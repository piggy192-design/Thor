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Instructions" sheetId="5" state="visible" r:id="rId5"/>
  </sheets>
  <definedNames>
    <definedName name="_xlnm._FilterDatabase" localSheetId="0" hidden="1">'Project Database'!$A$1:$AP$504</definedName>
  </definedNames>
  <calcPr calcId="191028" fullCalcOnLoad="1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C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D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E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F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G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H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I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J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K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L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M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N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O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2">
    <numFmt numFmtId="164" formatCode="#,##0.00&quot; M&quot;"/>
    <numFmt numFmtId="165" formatCode="0.0%"/>
  </numFmts>
  <fonts count="37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Arial"/>
      <family val="2"/>
      <b val="1"/>
      <color rgb="FFFFFFFF"/>
      <sz val="10"/>
    </font>
    <font>
      <name val="Arial"/>
      <family val="2"/>
      <color rgb="FF222222"/>
      <sz val="10"/>
    </font>
    <font>
      <name val="Arial"/>
      <family val="2"/>
      <color rgb="FF555555"/>
      <sz val="10"/>
    </font>
    <font>
      <name val="Arial"/>
      <family val="2"/>
      <b val="1"/>
      <color rgb="FF222222"/>
      <sz val="10"/>
    </font>
    <font>
      <name val="Calibri"/>
      <charset val="1"/>
      <family val="2"/>
      <color rgb="FFFF0000"/>
      <sz val="11"/>
    </font>
  </fonts>
  <fills count="28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/>
      <diagonal/>
    </border>
    <border>
      <left/>
      <right style="thin">
        <color rgb="FFD49A00"/>
      </right>
      <top style="thin">
        <color rgb="FFD49A00"/>
      </top>
      <bottom/>
      <diagonal/>
    </border>
  </borders>
  <cellStyleXfs count="1">
    <xf numFmtId="0" fontId="0" fillId="23" borderId="1"/>
  </cellStyleXfs>
  <cellXfs count="176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14" fillId="14" borderId="0" pivotButton="0" quotePrefix="0" xfId="0"/>
    <xf numFmtId="0" fontId="14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2" borderId="5" pivotButton="0" quotePrefix="0" xfId="0"/>
    <xf numFmtId="0" fontId="0" fillId="5" borderId="5" pivotButton="0" quotePrefix="0" xfId="0"/>
    <xf numFmtId="0" fontId="0" fillId="6" borderId="5" pivotButton="0" quotePrefix="0" xfId="0"/>
    <xf numFmtId="0" fontId="0" fillId="7" borderId="5" pivotButton="0" quotePrefix="0" xfId="0"/>
    <xf numFmtId="0" fontId="0" fillId="8" borderId="5" pivotButton="0" quotePrefix="0" xfId="0"/>
    <xf numFmtId="0" fontId="0" fillId="9" borderId="5" pivotButton="0" quotePrefix="0" xfId="0"/>
    <xf numFmtId="0" fontId="0" fillId="10" borderId="5" pivotButton="0" quotePrefix="0" xfId="0"/>
    <xf numFmtId="0" fontId="0" fillId="3" borderId="5" pivotButton="0" quotePrefix="0" xfId="0"/>
    <xf numFmtId="0" fontId="2" fillId="3" borderId="18" applyAlignment="1" pivotButton="0" quotePrefix="0" xfId="0">
      <alignment vertical="center" wrapText="1"/>
    </xf>
    <xf numFmtId="0" fontId="4" fillId="2" borderId="4" applyAlignment="1" pivotButton="0" quotePrefix="0" xfId="0">
      <alignment horizontal="center" vertical="center" wrapText="1"/>
    </xf>
    <xf numFmtId="0" fontId="2" fillId="5" borderId="4" applyAlignment="1" pivotButton="0" quotePrefix="0" xfId="0">
      <alignment horizontal="center" vertical="center" wrapText="1"/>
    </xf>
    <xf numFmtId="0" fontId="2" fillId="6" borderId="4" applyAlignment="1" pivotButton="0" quotePrefix="0" xfId="0">
      <alignment horizontal="center" vertical="center" wrapText="1"/>
    </xf>
    <xf numFmtId="0" fontId="2" fillId="7" borderId="4" applyAlignment="1" pivotButton="0" quotePrefix="0" xfId="0">
      <alignment horizontal="center" vertical="center" wrapText="1"/>
    </xf>
    <xf numFmtId="0" fontId="2" fillId="8" borderId="4" applyAlignment="1" pivotButton="0" quotePrefix="0" xfId="0">
      <alignment horizontal="center" vertical="center" wrapText="1"/>
    </xf>
    <xf numFmtId="0" fontId="2" fillId="9" borderId="4" applyAlignment="1" pivotButton="0" quotePrefix="0" xfId="0">
      <alignment horizontal="center" vertical="center" wrapText="1"/>
    </xf>
    <xf numFmtId="0" fontId="4" fillId="11" borderId="4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7" applyAlignment="1" pivotButton="0" quotePrefix="0" xfId="0">
      <alignment horizontal="center" vertical="center" wrapText="1"/>
    </xf>
    <xf numFmtId="0" fontId="7" fillId="12" borderId="8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center" vertical="center" wrapText="1"/>
    </xf>
    <xf numFmtId="164" fontId="7" fillId="12" borderId="8" applyAlignment="1" pivotButton="0" quotePrefix="0" xfId="0">
      <alignment horizontal="center" vertical="center" wrapText="1"/>
    </xf>
    <xf numFmtId="0" fontId="9" fillId="12" borderId="8" applyAlignment="1" pivotButton="0" quotePrefix="0" xfId="0">
      <alignment horizontal="center" vertical="center" wrapText="1"/>
    </xf>
    <xf numFmtId="165" fontId="7" fillId="12" borderId="9" applyAlignment="1" pivotButton="0" quotePrefix="0" xfId="0">
      <alignment horizontal="center" vertical="center" wrapText="1"/>
    </xf>
    <xf numFmtId="0" fontId="7" fillId="14" borderId="8" applyAlignment="1" pivotButton="0" quotePrefix="0" xfId="0">
      <alignment horizontal="left" vertical="center" wrapText="1"/>
    </xf>
    <xf numFmtId="0" fontId="7" fillId="14" borderId="8" applyAlignment="1" pivotButton="0" quotePrefix="0" xfId="0">
      <alignment horizontal="center" vertical="center" wrapText="1"/>
    </xf>
    <xf numFmtId="164" fontId="7" fillId="14" borderId="8" applyAlignment="1" pivotButton="0" quotePrefix="0" xfId="0">
      <alignment horizontal="center" vertical="center" wrapText="1"/>
    </xf>
    <xf numFmtId="0" fontId="9" fillId="14" borderId="8" applyAlignment="1" pivotButton="0" quotePrefix="0" xfId="0">
      <alignment horizontal="center" vertical="center" wrapText="1"/>
    </xf>
    <xf numFmtId="165" fontId="7" fillId="14" borderId="8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8" fillId="9" borderId="4" applyAlignment="1" pivotButton="0" quotePrefix="0" xfId="0">
      <alignment horizontal="center" vertical="center" wrapText="1"/>
    </xf>
    <xf numFmtId="0" fontId="11" fillId="5" borderId="4" applyAlignment="1" pivotButton="0" quotePrefix="0" xfId="0">
      <alignment horizontal="left" vertical="center" wrapText="1"/>
    </xf>
    <xf numFmtId="0" fontId="12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8" applyAlignment="1" pivotButton="0" quotePrefix="0" xfId="0">
      <alignment horizontal="left" vertical="center" wrapText="1"/>
    </xf>
    <xf numFmtId="0" fontId="13" fillId="15" borderId="10" applyAlignment="1" applyProtection="1" pivotButton="0" quotePrefix="0" xfId="0">
      <alignment horizontal="center" vertical="center" wrapText="1"/>
      <protection locked="0" hidden="0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11" fillId="6" borderId="4" applyAlignment="1" pivotButton="0" quotePrefix="0" xfId="0">
      <alignment horizontal="left" vertical="center" wrapText="1"/>
    </xf>
    <xf numFmtId="0" fontId="11" fillId="7" borderId="4" applyAlignment="1" pivotButton="0" quotePrefix="0" xfId="0">
      <alignment horizontal="left" vertical="center" wrapText="1"/>
    </xf>
    <xf numFmtId="0" fontId="11" fillId="8" borderId="4" applyAlignment="1" pivotButton="0" quotePrefix="0" xfId="0">
      <alignment horizontal="left" vertical="center" wrapText="1"/>
    </xf>
    <xf numFmtId="0" fontId="11" fillId="9" borderId="4" applyAlignment="1" pivotButton="0" quotePrefix="0" xfId="0">
      <alignment horizontal="left" vertical="center" wrapText="1"/>
    </xf>
    <xf numFmtId="3" fontId="13" fillId="15" borderId="11" applyAlignment="1" applyProtection="1" pivotButton="0" quotePrefix="0" xfId="0">
      <alignment horizontal="center" vertical="center" wrapText="1"/>
      <protection locked="0" hidden="0"/>
    </xf>
    <xf numFmtId="0" fontId="7" fillId="16" borderId="12" applyAlignment="1" pivotButton="0" quotePrefix="0" xfId="0">
      <alignment horizontal="left" vertical="center" wrapText="1"/>
    </xf>
    <xf numFmtId="0" fontId="0" fillId="17" borderId="5" pivotButton="0" quotePrefix="0" xfId="0"/>
    <xf numFmtId="0" fontId="15" fillId="17" borderId="4" applyAlignment="1" pivotButton="0" quotePrefix="0" xfId="0">
      <alignment horizontal="left" vertical="center" wrapText="1"/>
    </xf>
    <xf numFmtId="0" fontId="7" fillId="16" borderId="13" applyAlignment="1" pivotButton="0" quotePrefix="0" xfId="0">
      <alignment horizontal="left" vertical="center" wrapText="1"/>
    </xf>
    <xf numFmtId="0" fontId="16" fillId="20" borderId="15" pivotButton="0" quotePrefix="0" xfId="0"/>
    <xf numFmtId="0" fontId="12" fillId="4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left" vertical="center" wrapText="1"/>
    </xf>
    <xf numFmtId="9" fontId="8" fillId="13" borderId="8" applyAlignment="1" pivotButton="0" quotePrefix="0" xfId="0">
      <alignment horizontal="center" vertical="center" wrapText="1"/>
    </xf>
    <xf numFmtId="0" fontId="18" fillId="2" borderId="8" applyAlignment="1" pivotButton="0" quotePrefix="0" xfId="0">
      <alignment horizontal="center" vertical="center" wrapText="1"/>
    </xf>
    <xf numFmtId="9" fontId="7" fillId="12" borderId="8" applyAlignment="1" pivotButton="0" quotePrefix="0" xfId="0">
      <alignment horizontal="center" vertical="center" wrapText="1"/>
    </xf>
    <xf numFmtId="9" fontId="7" fillId="14" borderId="8" applyAlignment="1" pivotButton="0" quotePrefix="0" xfId="0">
      <alignment horizontal="center" vertical="center" wrapText="1"/>
    </xf>
    <xf numFmtId="0" fontId="28" fillId="0" borderId="8" pivotButton="0" quotePrefix="0" xfId="0"/>
    <xf numFmtId="164" fontId="28" fillId="0" borderId="8" pivotButton="0" quotePrefix="0" xfId="0"/>
    <xf numFmtId="0" fontId="36" fillId="22" borderId="0" pivotButton="0" quotePrefix="0" xfId="0"/>
    <xf numFmtId="0" fontId="5" fillId="5" borderId="6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6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6" fillId="11" borderId="6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0" borderId="21" pivotButton="0" quotePrefix="0" xfId="0"/>
    <xf numFmtId="0" fontId="2" fillId="7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left" vertical="center" wrapText="1"/>
    </xf>
    <xf numFmtId="0" fontId="4" fillId="9" borderId="16" applyAlignment="1" pivotButton="0" quotePrefix="0" xfId="0">
      <alignment horizontal="center" vertical="center" wrapText="1"/>
    </xf>
    <xf numFmtId="0" fontId="0" fillId="0" borderId="24" pivotButton="0" quotePrefix="0" xfId="0"/>
    <xf numFmtId="0" fontId="11" fillId="21" borderId="3" applyAlignment="1" pivotButton="0" quotePrefix="0" xfId="0">
      <alignment horizontal="left" vertical="center" wrapText="1"/>
    </xf>
    <xf numFmtId="0" fontId="8" fillId="14" borderId="13" applyAlignment="1" pivotButton="0" quotePrefix="0" xfId="0">
      <alignment horizontal="left" vertical="center" wrapText="1"/>
    </xf>
    <xf numFmtId="0" fontId="0" fillId="0" borderId="23" pivotButton="0" quotePrefix="0" xfId="0"/>
    <xf numFmtId="0" fontId="21" fillId="16" borderId="13" applyAlignment="1" pivotButton="0" quotePrefix="0" xfId="0">
      <alignment horizontal="left" vertical="center" wrapText="1"/>
    </xf>
    <xf numFmtId="165" fontId="22" fillId="15" borderId="17" applyAlignment="1" pivotButton="0" quotePrefix="0" xfId="0">
      <alignment horizontal="center" vertical="center" wrapText="1"/>
    </xf>
    <xf numFmtId="0" fontId="0" fillId="0" borderId="22" pivotButton="0" quotePrefix="0" xfId="0"/>
    <xf numFmtId="0" fontId="11" fillId="5" borderId="3" applyAlignment="1" pivotButton="0" quotePrefix="0" xfId="0">
      <alignment horizontal="left" vertical="center" wrapText="1"/>
    </xf>
    <xf numFmtId="0" fontId="25" fillId="14" borderId="13" applyAlignment="1" pivotButton="0" quotePrefix="0" xfId="0">
      <alignment horizontal="left" vertical="center" wrapText="1"/>
    </xf>
    <xf numFmtId="0" fontId="33" fillId="27" borderId="27" applyAlignment="1" pivotButton="0" quotePrefix="0" xfId="0">
      <alignment vertical="center"/>
    </xf>
    <xf numFmtId="0" fontId="33" fillId="27" borderId="28" applyAlignment="1" pivotButton="0" quotePrefix="0" xfId="0">
      <alignment vertical="center"/>
    </xf>
    <xf numFmtId="0" fontId="33" fillId="27" borderId="29" applyAlignment="1" pivotButton="0" quotePrefix="0" xfId="0">
      <alignment vertical="center"/>
    </xf>
    <xf numFmtId="0" fontId="34" fillId="24" borderId="1" applyAlignment="1" pivotButton="0" quotePrefix="0" xfId="0">
      <alignment vertical="center" wrapText="1"/>
    </xf>
    <xf numFmtId="0" fontId="34" fillId="23" borderId="1" applyAlignment="1" pivotButton="0" quotePrefix="0" xfId="0">
      <alignment vertical="center" wrapText="1"/>
    </xf>
    <xf numFmtId="9" fontId="12" fillId="4" borderId="17" applyAlignment="1" pivotButton="0" quotePrefix="0" xfId="0">
      <alignment horizontal="center" vertical="center" wrapText="1"/>
    </xf>
    <xf numFmtId="0" fontId="23" fillId="4" borderId="17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11" fillId="7" borderId="3" applyAlignment="1" pivotButton="0" quotePrefix="0" xfId="0">
      <alignment horizontal="left" vertical="center" wrapText="1"/>
    </xf>
    <xf numFmtId="0" fontId="13" fillId="16" borderId="13" applyAlignment="1" pivotButton="0" quotePrefix="0" xfId="0">
      <alignment horizontal="left" vertical="center" wrapText="1"/>
    </xf>
    <xf numFmtId="0" fontId="19" fillId="9" borderId="16" applyAlignment="1" pivotButton="0" quotePrefix="0" xfId="0">
      <alignment horizontal="center" vertical="center" wrapText="1"/>
    </xf>
    <xf numFmtId="0" fontId="4" fillId="9" borderId="6" applyAlignment="1" pivotButton="0" quotePrefix="0" xfId="0">
      <alignment horizontal="left" vertical="center" wrapText="1"/>
    </xf>
    <xf numFmtId="0" fontId="25" fillId="12" borderId="13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2" fillId="15" borderId="17" applyAlignment="1" pivotButton="0" quotePrefix="0" xfId="0">
      <alignment horizontal="center" vertical="center" wrapText="1"/>
    </xf>
    <xf numFmtId="165" fontId="23" fillId="4" borderId="17" applyAlignment="1" pivotButton="0" quotePrefix="0" xfId="0">
      <alignment horizontal="center" vertical="center" wrapText="1"/>
    </xf>
    <xf numFmtId="0" fontId="10" fillId="9" borderId="2" applyAlignment="1" pivotButton="0" quotePrefix="0" xfId="0">
      <alignment horizontal="center" vertical="center" wrapText="1"/>
    </xf>
    <xf numFmtId="0" fontId="12" fillId="4" borderId="17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20" fillId="4" borderId="13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left" vertical="center" wrapText="1"/>
    </xf>
    <xf numFmtId="0" fontId="32" fillId="25" borderId="1" applyAlignment="1" pivotButton="0" quotePrefix="0" xfId="0">
      <alignment vertical="center"/>
    </xf>
    <xf numFmtId="0" fontId="33" fillId="26" borderId="1" applyAlignment="1" pivotButton="0" quotePrefix="0" xfId="0">
      <alignment vertical="center"/>
    </xf>
    <xf numFmtId="0" fontId="13" fillId="15" borderId="14" applyAlignment="1" applyProtection="1" pivotButton="0" quotePrefix="0" xfId="0">
      <alignment horizontal="left" vertical="center" wrapText="1"/>
      <protection locked="0" hidden="0"/>
    </xf>
    <xf numFmtId="0" fontId="0" fillId="0" borderId="25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1" fontId="33" fillId="27" borderId="27" applyAlignment="1" pivotButton="0" quotePrefix="0" xfId="0">
      <alignment vertical="center"/>
    </xf>
    <xf numFmtId="0" fontId="26" fillId="16" borderId="0" applyAlignment="1" pivotButton="0" quotePrefix="0" xfId="0">
      <alignment horizontal="left" vertical="center" wrapText="1"/>
    </xf>
    <xf numFmtId="0" fontId="8" fillId="12" borderId="13" applyAlignment="1" pivotButton="0" quotePrefix="0" xfId="0">
      <alignment horizontal="left" vertical="center" wrapText="1"/>
    </xf>
    <xf numFmtId="0" fontId="23" fillId="15" borderId="17" applyAlignment="1" pivotButton="0" quotePrefix="0" xfId="0">
      <alignment horizontal="center" vertical="center" wrapText="1"/>
    </xf>
    <xf numFmtId="0" fontId="4" fillId="9" borderId="16" applyAlignment="1" pivotButton="0" quotePrefix="0" xfId="0">
      <alignment horizontal="left" vertical="center" wrapText="1"/>
    </xf>
    <xf numFmtId="0" fontId="20" fillId="13" borderId="17" applyAlignment="1" pivotButton="0" quotePrefix="0" xfId="0">
      <alignment horizontal="center" vertical="center" wrapText="1"/>
    </xf>
    <xf numFmtId="0" fontId="35" fillId="23" borderId="1" applyAlignment="1" pivotButton="0" quotePrefix="0" xfId="0">
      <alignment vertical="center" wrapText="1"/>
    </xf>
    <xf numFmtId="0" fontId="20" fillId="13" borderId="17" applyAlignment="1" pivotButton="0" quotePrefix="0" xfId="0">
      <alignment horizontal="left" vertical="center" wrapText="1"/>
    </xf>
    <xf numFmtId="0" fontId="11" fillId="6" borderId="3" applyAlignment="1" pivotButton="0" quotePrefix="0" xfId="0">
      <alignment horizontal="left" vertical="center" wrapText="1"/>
    </xf>
    <xf numFmtId="0" fontId="11" fillId="1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2" fillId="4" borderId="13" applyAlignment="1" pivotButton="0" quotePrefix="0" xfId="0">
      <alignment horizontal="left" vertical="center" wrapText="1"/>
    </xf>
    <xf numFmtId="0" fontId="13" fillId="15" borderId="13" applyAlignment="1" pivotButton="0" quotePrefix="0" xfId="0">
      <alignment horizontal="center" vertical="center" wrapText="1"/>
    </xf>
    <xf numFmtId="0" fontId="13" fillId="16" borderId="13" applyAlignment="1" pivotButton="0" quotePrefix="0" xfId="0">
      <alignment horizontal="center" vertical="center" wrapText="1"/>
    </xf>
    <xf numFmtId="0" fontId="7" fillId="14" borderId="13" applyAlignment="1" pivotButton="0" quotePrefix="0" xfId="0">
      <alignment horizontal="left" vertical="center" wrapText="1"/>
    </xf>
    <xf numFmtId="0" fontId="13" fillId="12" borderId="13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3" applyAlignment="1" pivotButton="0" quotePrefix="0" xfId="0">
      <alignment horizontal="left" vertical="center" wrapText="1"/>
    </xf>
    <xf numFmtId="0" fontId="30" fillId="13" borderId="3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7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4" fillId="13" borderId="0" applyAlignment="1" pivotButton="0" quotePrefix="0" xfId="0">
      <alignment horizontal="left" vertical="center" wrapText="1"/>
    </xf>
    <xf numFmtId="0" fontId="23" fillId="13" borderId="13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6" applyAlignment="1" pivotButton="0" quotePrefix="0" xfId="0">
      <alignment horizontal="left" vertical="center" wrapText="1"/>
    </xf>
    <xf numFmtId="0" fontId="23" fillId="4" borderId="13" applyAlignment="1" pivotButton="0" quotePrefix="0" xfId="0">
      <alignment horizontal="center" vertical="center" wrapText="1"/>
    </xf>
    <xf numFmtId="0" fontId="29" fillId="9" borderId="13" applyAlignment="1" pivotButton="0" quotePrefix="0" xfId="0">
      <alignment horizontal="center" vertical="center" wrapText="1"/>
    </xf>
    <xf numFmtId="0" fontId="31" fillId="9" borderId="3" applyAlignment="1" pivotButton="0" quotePrefix="0" xfId="0">
      <alignment horizontal="center" vertical="center" wrapText="1"/>
    </xf>
    <xf numFmtId="0" fontId="0" fillId="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33" fillId="27" borderId="38" applyAlignment="1" pivotButton="0" quotePrefix="0" xfId="0">
      <alignment vertical="center"/>
    </xf>
    <xf numFmtId="0" fontId="0" fillId="0" borderId="28" pivotButton="0" quotePrefix="0" xfId="0"/>
    <xf numFmtId="0" fontId="0" fillId="0" borderId="29" pivotButton="0" quotePrefix="0" xfId="0"/>
    <xf numFmtId="1" fontId="33" fillId="27" borderId="38" applyAlignment="1" pivotButton="0" quotePrefix="0" xfId="0">
      <alignment vertical="center"/>
    </xf>
    <xf numFmtId="0" fontId="2" fillId="18" borderId="1" applyAlignment="1" pivotButton="0" quotePrefix="0" xfId="0">
      <alignment horizontal="center" vertical="center" wrapText="1"/>
    </xf>
    <xf numFmtId="0" fontId="2" fillId="19" borderId="1" applyAlignment="1" pivotButton="0" quotePrefix="0" xfId="0">
      <alignment horizontal="center" vertical="center" wrapText="1"/>
    </xf>
    <xf numFmtId="0" fontId="17" fillId="14" borderId="1" applyAlignment="1" pivotButton="0" quotePrefix="0" xfId="0">
      <alignment horizontal="left" vertical="center" wrapText="1"/>
    </xf>
    <xf numFmtId="0" fontId="15" fillId="2" borderId="1" applyAlignment="1" pivotButton="0" quotePrefix="0" xfId="0">
      <alignment horizontal="left" vertical="center" wrapText="1"/>
    </xf>
    <xf numFmtId="0" fontId="26" fillId="16" borderId="1" applyAlignment="1" pivotButton="0" quotePrefix="0" xfId="0">
      <alignment horizontal="left" vertical="center" wrapText="1"/>
    </xf>
    <xf numFmtId="0" fontId="1" fillId="2" borderId="1" applyAlignment="1" pivotButton="0" quotePrefix="0" xfId="0">
      <alignment horizontal="left" vertical="center" indent="1"/>
    </xf>
    <xf numFmtId="0" fontId="0" fillId="2" borderId="1" pivotButton="0" quotePrefix="0" xfId="0"/>
    <xf numFmtId="0" fontId="23" fillId="4" borderId="1" applyAlignment="1" pivotButton="0" quotePrefix="0" xfId="0">
      <alignment horizontal="left" vertical="center" wrapText="1"/>
    </xf>
    <xf numFmtId="0" fontId="23" fillId="13" borderId="1" applyAlignment="1" pivotButton="0" quotePrefix="0" xfId="0">
      <alignment horizontal="left" vertical="center" wrapText="1"/>
    </xf>
    <xf numFmtId="0" fontId="29" fillId="9" borderId="1" applyAlignment="1" pivotButton="0" quotePrefix="0" xfId="0">
      <alignment horizontal="left" vertical="center" wrapText="1"/>
    </xf>
    <xf numFmtId="0" fontId="4" fillId="9" borderId="1" applyAlignment="1" pivotButton="0" quotePrefix="0" xfId="0">
      <alignment horizontal="left" vertical="center" wrapText="1"/>
    </xf>
    <xf numFmtId="0" fontId="24" fillId="13" borderId="1" applyAlignment="1" pivotButton="0" quotePrefix="0" xfId="0">
      <alignment horizontal="left" vertical="center" wrapText="1"/>
    </xf>
    <xf numFmtId="0" fontId="7" fillId="0" borderId="1" applyAlignment="1" pivotButton="0" quotePrefix="0" xfId="0">
      <alignment horizontal="left" vertical="center" wrapText="1"/>
    </xf>
    <xf numFmtId="0" fontId="0" fillId="0" borderId="1" pivotButton="0" quotePrefix="0" xfId="0"/>
  </cellXfs>
  <cellStyles count="1">
    <cellStyle name="Normal" xfId="0" builtinId="0"/>
  </cellStyles>
  <dxfs count="3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C5" dT="2026-08-27T01:56:43.02" personId="{BE8A153B-FB32-44A0-B175-14E1F655B442}" id="{D697F934-33A5-4362-8F8A-FBBF7074724E}">
    <text xml:space="preserve">Task No - 5000
</text>
  </threadedComment>
  <threadedComment ref="AD5" dT="2026-08-27T01:56:54.04" personId="{BE8A153B-FB32-44A0-B175-14E1F655B442}" id="{E0DBF5F8-7F49-4118-8720-97AB7CA0C788}">
    <text xml:space="preserve">Task Number 7300
</text>
  </threadedComment>
  <threadedComment ref="AE5" dT="2026-08-27T01:57:38.16" personId="{BE8A153B-FB32-44A0-B175-14E1F655B442}" id="{5F2C9931-CFCE-4CBB-AF48-4424C6C74487}">
    <text>Task No - 6100</text>
  </threadedComment>
  <threadedComment ref="AF5" dT="2026-08-27T01:57:54.35" personId="{BE8A153B-FB32-44A0-B175-14E1F655B442}" id="{B5BDC888-C10A-4BA0-9A4D-36C557B0FE11}">
    <text>Task No - 6200</text>
  </threadedComment>
  <threadedComment ref="AG5" dT="2026-08-27T01:58:26.72" personId="{BE8A153B-FB32-44A0-B175-14E1F655B442}" id="{29719A38-F856-43BC-9D87-6CAA8B958DCF}">
    <text>Task No - 6300</text>
  </threadedComment>
  <threadedComment ref="AH5" dT="2026-08-27T01:58:46.30" personId="{BE8A153B-FB32-44A0-B175-14E1F655B442}" id="{925DBB45-B3A5-4118-B786-1CD08A46CD9F}">
    <text>Task No - 6400</text>
  </threadedComment>
  <threadedComment ref="AI5" dT="2026-08-27T01:59:07.13" personId="{BE8A153B-FB32-44A0-B175-14E1F655B442}" id="{8D61AD9F-B5B4-46C7-9366-1CD91C795959}">
    <text>Task No - 6500 6510 6520 6530</text>
  </threadedComment>
  <threadedComment ref="AJ5" dT="2026-08-27T01:59:31.95" personId="{BE8A153B-FB32-44A0-B175-14E1F655B442}" id="{2012CEBF-9DA0-46AB-990E-ACDEECDFBAF5}">
    <text xml:space="preserve">Task No - 6600 </text>
  </threadedComment>
  <threadedComment ref="AK5" dT="2026-08-27T02:01:02.91" personId="{BE8A153B-FB32-44A0-B175-14E1F655B442}" id="{C73F9FBE-F06A-459E-9927-9E8A69C8F17D}">
    <text>Task No 6620</text>
  </threadedComment>
  <threadedComment ref="AL5" dT="2026-08-27T02:01:21.72" personId="{BE8A153B-FB32-44A0-B175-14E1F655B442}" id="{24D4C3A5-822B-421F-8CCA-89DA8714184B}">
    <text>Task No - 6630</text>
  </threadedComment>
  <threadedComment ref="AM5" dT="2026-08-27T02:01:39.51" personId="{BE8A153B-FB32-44A0-B175-14E1F655B442}" id="{12533FAD-5700-4564-B547-BEDCDD91B6D0}">
    <text>Task No - 7000</text>
  </threadedComment>
  <threadedComment ref="AN5" dT="2026-08-27T02:01:55.86" personId="{BE8A153B-FB32-44A0-B175-14E1F655B442}" id="{44924316-329F-41A6-ACF0-CA4CD4C3E125}">
    <text>Task No - 7100 7150</text>
  </threadedComment>
  <threadedComment ref="AO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Relationships xmlns="http://schemas.openxmlformats.org/package/2006/relationships"><Relationship Type="http://schemas.openxmlformats.org/officeDocument/2006/relationships/vmlDrawing" Target="../drawings/vmlDrawing1.vml" Id="anysvml" 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AQ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baseColWidth="8" defaultColWidth="8.6640625" defaultRowHeight="14.4"/>
  <cols>
    <col width="14" customWidth="1" style="74" min="1" max="1"/>
    <col width="28" customWidth="1" style="74" min="2" max="2"/>
    <col width="22" customWidth="1" style="74" min="3" max="3"/>
    <col width="18" customWidth="1" style="74" min="4" max="4"/>
    <col width="10" customWidth="1" style="74" min="5" max="5"/>
    <col width="9" customWidth="1" style="74" min="6" max="6"/>
    <col width="12" customWidth="1" style="74" min="7" max="7"/>
    <col width="14" customWidth="1" style="74" min="8" max="8"/>
    <col width="12" customWidth="1" style="74" min="9" max="9"/>
    <col width="14" customWidth="1" style="74" min="10" max="10"/>
    <col width="12" customWidth="1" style="74" min="11" max="11"/>
    <col width="14" customWidth="1" style="74" min="12" max="12"/>
    <col width="12" customWidth="1" style="74" min="13" max="13"/>
    <col width="14" customWidth="1" style="74" min="14" max="14"/>
    <col width="13" customWidth="1" style="74" min="15" max="15"/>
    <col width="11" customWidth="1" style="74" min="17" max="17"/>
    <col width="12" customWidth="1" style="74" min="21" max="21"/>
    <col width="13" customWidth="1" style="74" min="23" max="23"/>
    <col width="10" customWidth="1" style="74" min="24" max="24"/>
    <col width="14" customWidth="1" style="74" min="25" max="25"/>
    <col width="44.5546875" customWidth="1" style="74" min="26" max="26"/>
    <col width="50" customWidth="1" style="74" min="27" max="27"/>
    <col width="14" customWidth="1" style="74" min="28" max="28"/>
    <col width="11.33203125" customWidth="1" style="74" min="29" max="29"/>
    <col width="10.33203125" customWidth="1" style="74" min="30" max="30"/>
    <col width="8.44140625" customWidth="1" style="74" min="31" max="31"/>
    <col width="11" customWidth="1" style="74" min="32" max="32"/>
    <col width="13" customWidth="1" style="74" min="33" max="33"/>
    <col width="9.5546875" customWidth="1" style="74" min="35" max="35"/>
    <col width="17.33203125" customWidth="1" style="74" min="36" max="36"/>
    <col width="11.44140625" customWidth="1" style="74" min="39" max="39"/>
    <col width="10" customWidth="1" style="74" min="41" max="41"/>
  </cols>
  <sheetData>
    <row r="1" ht="36" customHeight="1" s="74">
      <c r="A1" s="1" t="inlineStr">
        <is>
          <t>DEMATIC  |  Project Reference Database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55" t="inlineStr">
        <is>
          <t>Manhour Cost (% of Project Cost)</t>
        </is>
      </c>
    </row>
    <row r="2" ht="15.75" customHeight="1" s="74">
      <c r="A2" s="79" t="inlineStr">
        <is>
          <t>All timelines in WEEKS  |  Project Value in MILLIONS  |  Enter data for each system used — leave others blank</t>
        </is>
      </c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  <c r="K2" s="80" t="n"/>
      <c r="L2" s="80" t="n"/>
      <c r="M2" s="80" t="n"/>
      <c r="N2" s="80" t="n"/>
      <c r="O2" s="80" t="n"/>
      <c r="P2" s="80" t="n"/>
      <c r="Q2" s="80" t="n"/>
      <c r="R2" s="80" t="n"/>
      <c r="S2" s="80" t="n"/>
      <c r="T2" s="80" t="n"/>
      <c r="U2" s="80" t="n"/>
      <c r="V2" s="80" t="n"/>
      <c r="W2" s="80" t="n"/>
      <c r="X2" s="80" t="n"/>
      <c r="Y2" s="80" t="n"/>
      <c r="Z2" s="80" t="n"/>
      <c r="AA2" s="156" t="n"/>
    </row>
    <row r="3" ht="21.75" customHeight="1" s="74">
      <c r="A3" s="81" t="inlineStr">
        <is>
          <t>PROJECT DETAILS</t>
        </is>
      </c>
      <c r="B3" s="72" t="n"/>
      <c r="C3" s="72" t="n"/>
      <c r="D3" s="72" t="n"/>
      <c r="E3" s="72" t="n"/>
      <c r="F3" s="72" t="n"/>
      <c r="G3" s="77" t="inlineStr">
        <is>
          <t>MULTISHUTTLE  (tote)</t>
        </is>
      </c>
      <c r="H3" s="72" t="n"/>
      <c r="I3" s="71" t="inlineStr">
        <is>
          <t>AUTOSTORE  (tote)</t>
        </is>
      </c>
      <c r="J3" s="72" t="n"/>
      <c r="K3" s="84" t="inlineStr">
        <is>
          <t>PALLET SHUTTLE  (pallet)</t>
        </is>
      </c>
      <c r="L3" s="72" t="n"/>
      <c r="M3" s="78" t="inlineStr">
        <is>
          <t>SRM CRANE  (pallet)</t>
        </is>
      </c>
      <c r="N3" s="72" t="n"/>
      <c r="O3" s="85" t="inlineStr">
        <is>
          <t>CONVEYORS</t>
        </is>
      </c>
      <c r="P3" s="72" t="n"/>
      <c r="Q3" s="77" t="n"/>
      <c r="R3" s="72" t="n"/>
      <c r="S3" s="72" t="n"/>
      <c r="T3" s="72" t="n"/>
      <c r="U3" s="72" t="n"/>
      <c r="V3" s="72" t="n"/>
      <c r="W3" s="12" t="inlineStr">
        <is>
          <t>TOTAL</t>
        </is>
      </c>
      <c r="X3" s="77" t="inlineStr">
        <is>
          <t>PROJECT VALUE</t>
        </is>
      </c>
      <c r="Y3" s="72" t="n"/>
      <c r="Z3" s="82" t="inlineStr">
        <is>
          <t>ATTRIBUTES</t>
        </is>
      </c>
      <c r="AA3" s="72" t="n"/>
      <c r="AB3" s="83" t="n"/>
    </row>
    <row r="4" ht="13.5" customHeight="1" s="74">
      <c r="A4" s="14" t="n"/>
      <c r="B4" s="14" t="n"/>
      <c r="C4" s="14" t="n"/>
      <c r="D4" s="14" t="n"/>
      <c r="E4" s="14" t="n"/>
      <c r="F4" s="14" t="n"/>
      <c r="G4" s="15" t="n"/>
      <c r="H4" s="15" t="n"/>
      <c r="I4" s="16" t="n"/>
      <c r="J4" s="16" t="n"/>
      <c r="K4" s="17" t="n"/>
      <c r="L4" s="17" t="n"/>
      <c r="M4" s="18" t="n"/>
      <c r="N4" s="18" t="n"/>
      <c r="O4" s="19" t="n"/>
      <c r="P4" s="19" t="n"/>
      <c r="Q4" s="69" t="n"/>
      <c r="R4" s="70" t="n"/>
      <c r="S4" s="70" t="n"/>
      <c r="T4" s="70" t="n"/>
      <c r="U4" s="75" t="inlineStr">
        <is>
          <t>Execution  (sequential)</t>
        </is>
      </c>
      <c r="V4" s="70" t="n"/>
      <c r="W4" s="20" t="n"/>
      <c r="X4" s="15" t="n"/>
      <c r="Y4" s="15" t="n"/>
      <c r="Z4" s="21" t="n"/>
      <c r="AA4" s="21" t="n"/>
      <c r="AB4" s="21" t="n"/>
      <c r="AC4" s="22" t="n"/>
      <c r="AD4" s="22" t="n"/>
      <c r="AE4" s="22" t="n"/>
      <c r="AF4" s="22" t="n"/>
      <c r="AG4" s="22" t="n"/>
      <c r="AH4" s="22" t="n"/>
      <c r="AI4" s="22" t="n"/>
      <c r="AJ4" s="22" t="n"/>
      <c r="AK4" s="22" t="n"/>
      <c r="AL4" s="22" t="n"/>
      <c r="AM4" s="22" t="n"/>
      <c r="AN4" s="22" t="n"/>
      <c r="AO4" s="22" t="n"/>
      <c r="AP4" s="22" t="n"/>
    </row>
    <row r="5" ht="36" customHeight="1" s="74">
      <c r="A5" s="23" t="inlineStr">
        <is>
          <t>Project ID *</t>
        </is>
      </c>
      <c r="B5" s="23" t="inlineStr">
        <is>
          <t>Project Name *</t>
        </is>
      </c>
      <c r="C5" s="23" t="inlineStr">
        <is>
          <t>Client / Region</t>
        </is>
      </c>
      <c r="D5" s="23" t="inlineStr">
        <is>
          <t>Solution Type</t>
        </is>
      </c>
      <c r="E5" s="23" t="inlineStr">
        <is>
          <t>Year</t>
        </is>
      </c>
      <c r="F5" s="23" t="inlineStr">
        <is>
          <t>Won?</t>
        </is>
      </c>
      <c r="G5" s="24" t="inlineStr">
        <is>
          <t>Shuttles</t>
        </is>
      </c>
      <c r="H5" s="24" t="inlineStr">
        <is>
          <t>Tote Locations</t>
        </is>
      </c>
      <c r="I5" s="25" t="inlineStr">
        <is>
          <t>Robots</t>
        </is>
      </c>
      <c r="J5" s="25" t="inlineStr">
        <is>
          <t>Tote Locations</t>
        </is>
      </c>
      <c r="K5" s="26" t="inlineStr">
        <is>
          <t>Shuttles</t>
        </is>
      </c>
      <c r="L5" s="26" t="inlineStr">
        <is>
          <t>Pallet Locations</t>
        </is>
      </c>
      <c r="M5" s="27" t="inlineStr">
        <is>
          <t>Cranes</t>
        </is>
      </c>
      <c r="N5" s="27" t="inlineStr">
        <is>
          <t>Pallet Locations</t>
        </is>
      </c>
      <c r="O5" s="28" t="inlineStr">
        <is>
          <t>Case Conv (m)</t>
        </is>
      </c>
      <c r="P5" s="28" t="inlineStr">
        <is>
          <t>Pallet Conv (m)</t>
        </is>
      </c>
      <c r="Q5" s="24" t="inlineStr">
        <is>
          <t>Mechanical
Eng</t>
        </is>
      </c>
      <c r="R5" s="24" t="inlineStr">
        <is>
          <t>Controls
Eng</t>
        </is>
      </c>
      <c r="S5" s="24" t="inlineStr">
        <is>
          <t>Systems
Eng</t>
        </is>
      </c>
      <c r="T5" s="24" t="inlineStr">
        <is>
          <t>Software
Eng</t>
        </is>
      </c>
      <c r="U5" s="29" t="inlineStr">
        <is>
          <t>M&amp;E
Installation</t>
        </is>
      </c>
      <c r="V5" s="29" t="inlineStr">
        <is>
          <t>Commissioning</t>
        </is>
      </c>
      <c r="W5" s="12" t="inlineStr">
        <is>
          <t>Total
Timeline (wks)</t>
        </is>
      </c>
      <c r="X5" s="24" t="inlineStr">
        <is>
          <t>Currency</t>
        </is>
      </c>
      <c r="Y5" s="24" t="inlineStr">
        <is>
          <t>Value (M)</t>
        </is>
      </c>
      <c r="Z5" s="82" t="inlineStr">
        <is>
          <t>Automation
Equipment</t>
        </is>
      </c>
      <c r="AA5" s="82" t="inlineStr">
        <is>
          <t>Notes / Lessons Learned</t>
        </is>
      </c>
      <c r="AB5" s="30" t="inlineStr">
        <is>
          <t>ID Check</t>
        </is>
      </c>
      <c r="AC5" s="31" t="inlineStr">
        <is>
          <t>Mech Inst</t>
        </is>
      </c>
      <c r="AD5" s="31" t="inlineStr">
        <is>
          <t>Elec Inst</t>
        </is>
      </c>
      <c r="AE5" s="31" t="inlineStr">
        <is>
          <t>Project Management</t>
        </is>
      </c>
      <c r="AF5" s="31" t="inlineStr">
        <is>
          <t>Systems Eng</t>
        </is>
      </c>
      <c r="AG5" s="31" t="inlineStr">
        <is>
          <t>Mechanical Eng</t>
        </is>
      </c>
      <c r="AH5" s="31" t="inlineStr">
        <is>
          <t>Structural Engineering</t>
        </is>
      </c>
      <c r="AI5" s="31" t="inlineStr">
        <is>
          <t>Site Sup</t>
        </is>
      </c>
      <c r="AJ5" s="31" t="inlineStr">
        <is>
          <t>Controls Commissioning</t>
        </is>
      </c>
      <c r="AK5" s="31" t="inlineStr">
        <is>
          <t>Systems Commissioning</t>
        </is>
      </c>
      <c r="AL5" s="31" t="inlineStr">
        <is>
          <t>Service Commissioning</t>
        </is>
      </c>
      <c r="AM5" s="31" t="inlineStr">
        <is>
          <t>Controls Eng</t>
        </is>
      </c>
      <c r="AN5" s="31" t="inlineStr">
        <is>
          <t>Controls Purchase</t>
        </is>
      </c>
      <c r="AO5" s="31" t="inlineStr">
        <is>
          <t>Software Eng</t>
        </is>
      </c>
      <c r="AP5" s="31" t="inlineStr">
        <is>
          <t>Misc</t>
        </is>
      </c>
    </row>
    <row r="6" ht="18" customHeight="1" s="74">
      <c r="A6" s="32" t="inlineStr">
        <is>
          <t>SC22164</t>
        </is>
      </c>
      <c r="B6" s="32" t="inlineStr">
        <is>
          <t>Eren</t>
        </is>
      </c>
      <c r="C6" s="32" t="inlineStr">
        <is>
          <t>Turkey ME</t>
        </is>
      </c>
      <c r="D6" s="32" t="inlineStr">
        <is>
          <t>Others/complex</t>
        </is>
      </c>
      <c r="E6" s="33" t="n">
        <v>2024</v>
      </c>
      <c r="F6" s="33" t="inlineStr">
        <is>
          <t>Yes</t>
        </is>
      </c>
      <c r="G6" s="33" t="n">
        <v>164</v>
      </c>
      <c r="H6" s="33" t="n">
        <v>69000</v>
      </c>
      <c r="I6" s="33" t="n">
        <v>0</v>
      </c>
      <c r="J6" s="33" t="n">
        <v>0</v>
      </c>
      <c r="K6" s="33" t="n">
        <v>0</v>
      </c>
      <c r="L6" s="33" t="n">
        <v>0</v>
      </c>
      <c r="M6" s="33" t="n">
        <v>0</v>
      </c>
      <c r="N6" s="33" t="n">
        <v>0</v>
      </c>
      <c r="O6" s="33" t="n">
        <v>1900</v>
      </c>
      <c r="P6" s="33" t="n">
        <v>0</v>
      </c>
      <c r="Q6" s="33" t="n">
        <v>51</v>
      </c>
      <c r="R6" s="33" t="n">
        <v>20</v>
      </c>
      <c r="S6" s="33" t="n">
        <v>16</v>
      </c>
      <c r="T6" s="33" t="n">
        <v>45</v>
      </c>
      <c r="U6" s="33" t="n">
        <v>26</v>
      </c>
      <c r="V6" s="33" t="n">
        <v>30</v>
      </c>
      <c r="W6" s="34" t="n">
        <v>103</v>
      </c>
      <c r="X6" s="33" t="inlineStr">
        <is>
          <t>USD</t>
        </is>
      </c>
      <c r="Y6" s="35" t="n">
        <v>17.9</v>
      </c>
      <c r="Z6" s="32" t="inlineStr">
        <is>
          <t>Hybotics APP Autobagger Carton Reducting Lidding Sealer Tote Stacker DeStacker MCS</t>
        </is>
      </c>
      <c r="AA6" s="32" t="n"/>
      <c r="AB6" s="36">
        <f>IF(A6="","",IF(COUNTIF($A$6:$A$504,A6)&gt;1,"⚠ Duplicate",""))</f>
        <v/>
      </c>
      <c r="AC6" s="37" t="n">
        <v>0</v>
      </c>
      <c r="AD6" s="37" t="n">
        <v>0</v>
      </c>
      <c r="AE6" s="37" t="n">
        <v>0</v>
      </c>
      <c r="AF6" s="37" t="n">
        <v>0</v>
      </c>
      <c r="AG6" s="37" t="n">
        <v>0</v>
      </c>
      <c r="AH6" s="37" t="n">
        <v>0</v>
      </c>
      <c r="AI6" s="37" t="n">
        <v>0</v>
      </c>
      <c r="AJ6" s="37" t="n">
        <v>0</v>
      </c>
      <c r="AK6" s="37" t="n">
        <v>0</v>
      </c>
      <c r="AL6" s="37" t="n">
        <v>0</v>
      </c>
      <c r="AM6" s="37" t="n">
        <v>0</v>
      </c>
      <c r="AN6" s="37" t="n">
        <v>0</v>
      </c>
      <c r="AO6" s="37" t="n">
        <v>0</v>
      </c>
      <c r="AP6" s="37" t="n">
        <v>0</v>
      </c>
      <c r="AQ6" s="10" t="n"/>
    </row>
    <row r="7" ht="18" customHeight="1" s="74">
      <c r="A7" s="38" t="inlineStr">
        <is>
          <t>SW31305</t>
        </is>
      </c>
      <c r="B7" s="38" t="inlineStr">
        <is>
          <t>Turkish Cargo</t>
        </is>
      </c>
      <c r="C7" s="38" t="inlineStr">
        <is>
          <t>Turkey ME</t>
        </is>
      </c>
      <c r="D7" s="38" t="n"/>
      <c r="E7" s="39" t="n">
        <v>2025</v>
      </c>
      <c r="F7" s="39" t="inlineStr">
        <is>
          <t>No</t>
        </is>
      </c>
      <c r="G7" s="39" t="n">
        <v>0</v>
      </c>
      <c r="H7" s="39" t="n">
        <v>0</v>
      </c>
      <c r="I7" s="39" t="n">
        <v>0</v>
      </c>
      <c r="J7" s="39" t="n">
        <v>0</v>
      </c>
      <c r="K7" s="39" t="n">
        <v>0</v>
      </c>
      <c r="L7" s="39" t="n">
        <v>0</v>
      </c>
      <c r="M7" s="39" t="n">
        <v>24</v>
      </c>
      <c r="N7" s="39" t="n">
        <v>50000</v>
      </c>
      <c r="O7" s="39" t="n">
        <v>0</v>
      </c>
      <c r="P7" s="39" t="n">
        <v>1600</v>
      </c>
      <c r="Q7" s="39" t="n">
        <v>56</v>
      </c>
      <c r="R7" s="39" t="n">
        <v>46</v>
      </c>
      <c r="S7" s="39" t="n">
        <v>27</v>
      </c>
      <c r="T7" s="39" t="n">
        <v>65</v>
      </c>
      <c r="U7" s="39" t="n">
        <v>31</v>
      </c>
      <c r="V7" s="39" t="n">
        <v>16</v>
      </c>
      <c r="W7" s="34" t="n">
        <v>105</v>
      </c>
      <c r="X7" s="39" t="inlineStr">
        <is>
          <t>USD</t>
        </is>
      </c>
      <c r="Y7" s="40" t="n">
        <v>30</v>
      </c>
      <c r="Z7" s="38" t="inlineStr">
        <is>
          <t xml:space="preserve">SRM BK25 </t>
        </is>
      </c>
      <c r="AA7" s="38" t="inlineStr">
        <is>
          <t>2 SRM Cranes in 1 Aisle Configuration</t>
        </is>
      </c>
      <c r="AB7" s="41">
        <f>IF(A7="","",IF(COUNTIF($A$6:$A$504,A7)&gt;1,"⚠ Duplicate",""))</f>
        <v/>
      </c>
      <c r="AC7" s="42" t="n">
        <v>0.011</v>
      </c>
      <c r="AD7" s="42" t="n">
        <v>0.011</v>
      </c>
      <c r="AE7" s="42" t="n">
        <v>0.011</v>
      </c>
      <c r="AF7" s="42" t="n">
        <v>0.004</v>
      </c>
      <c r="AG7" s="42" t="n">
        <v>0.01</v>
      </c>
      <c r="AH7" s="42" t="n">
        <v>0.008</v>
      </c>
      <c r="AI7" s="42" t="n">
        <v>0.008</v>
      </c>
      <c r="AJ7" s="42" t="n">
        <v>0.021</v>
      </c>
      <c r="AK7" s="42" t="n">
        <v>0.021</v>
      </c>
      <c r="AL7" s="42" t="n">
        <v>0.021</v>
      </c>
      <c r="AM7" s="42" t="n">
        <v>0.03</v>
      </c>
      <c r="AN7" s="42" t="n">
        <v>0.03</v>
      </c>
      <c r="AO7" s="42" t="n">
        <v>0.003</v>
      </c>
      <c r="AP7" s="37" t="n">
        <v>0.001</v>
      </c>
    </row>
    <row r="8" ht="18" customHeight="1" s="74">
      <c r="A8" s="32" t="inlineStr">
        <is>
          <t>SW3128-1</t>
        </is>
      </c>
      <c r="B8" s="32" t="inlineStr">
        <is>
          <t>DHL Aurora SPARK</t>
        </is>
      </c>
      <c r="C8" s="32" t="inlineStr">
        <is>
          <t>KSA ME</t>
        </is>
      </c>
      <c r="D8" s="32" t="n"/>
      <c r="E8" s="33" t="n">
        <v>2025</v>
      </c>
      <c r="F8" s="33" t="inlineStr">
        <is>
          <t>No</t>
        </is>
      </c>
      <c r="G8" s="33" t="n">
        <v>0</v>
      </c>
      <c r="H8" s="33" t="n">
        <v>0</v>
      </c>
      <c r="I8" s="33" t="n">
        <v>5</v>
      </c>
      <c r="J8" s="33" t="n">
        <v>85000</v>
      </c>
      <c r="K8" s="33" t="n">
        <v>0</v>
      </c>
      <c r="L8" s="33" t="n">
        <v>0</v>
      </c>
      <c r="M8" s="33" t="n">
        <v>0</v>
      </c>
      <c r="N8" s="33" t="n">
        <v>0</v>
      </c>
      <c r="O8" s="33" t="n">
        <v>0</v>
      </c>
      <c r="P8" s="33" t="n">
        <v>0</v>
      </c>
      <c r="Q8" s="33" t="n">
        <v>17</v>
      </c>
      <c r="R8" s="33" t="n">
        <v>2</v>
      </c>
      <c r="S8" s="33" t="n">
        <v>10</v>
      </c>
      <c r="T8" s="33" t="n">
        <v>12</v>
      </c>
      <c r="U8" s="33" t="n">
        <v>10</v>
      </c>
      <c r="V8" s="33" t="n">
        <v>10</v>
      </c>
      <c r="W8" s="34" t="n">
        <v>33</v>
      </c>
      <c r="X8" s="33" t="inlineStr">
        <is>
          <t>USD</t>
        </is>
      </c>
      <c r="Y8" s="35" t="n">
        <v>3.9</v>
      </c>
      <c r="Z8" s="32" t="inlineStr">
        <is>
          <t>AutoStore</t>
        </is>
      </c>
      <c r="AA8" s="32" t="n"/>
      <c r="AB8" s="36">
        <f>IF(A8="","",IF(COUNTIF($A$6:$A$504,A8)&gt;1,"⚠ Duplicate",""))</f>
        <v/>
      </c>
      <c r="AC8" s="43" t="n">
        <v>0.05</v>
      </c>
      <c r="AD8" s="43" t="n">
        <v>0.05</v>
      </c>
      <c r="AE8" s="43" t="n">
        <v>0.05</v>
      </c>
      <c r="AF8" s="43" t="n">
        <v>0.07000000000000001</v>
      </c>
      <c r="AG8" s="43" t="n">
        <v>0.09</v>
      </c>
      <c r="AH8" s="43" t="n">
        <v>0.06</v>
      </c>
      <c r="AI8" s="43" t="n">
        <v>0.06</v>
      </c>
      <c r="AJ8" s="43" t="n">
        <v>0.01</v>
      </c>
      <c r="AK8" s="43" t="n">
        <v>0.01</v>
      </c>
      <c r="AL8" s="43" t="n">
        <v>0.01</v>
      </c>
      <c r="AM8" s="43" t="n">
        <v>0.01</v>
      </c>
      <c r="AN8" s="43" t="n">
        <v>0.01</v>
      </c>
      <c r="AO8" s="43" t="n">
        <v>0.04</v>
      </c>
      <c r="AP8" s="37" t="n">
        <v>0.001</v>
      </c>
      <c r="AQ8" s="10" t="n"/>
    </row>
    <row r="9" ht="18" customHeight="1" s="74">
      <c r="A9" s="38" t="inlineStr">
        <is>
          <t>SW3128-2</t>
        </is>
      </c>
      <c r="B9" s="38" t="inlineStr">
        <is>
          <t>DHL Aurora - JUBAIL*</t>
        </is>
      </c>
      <c r="C9" s="38" t="inlineStr">
        <is>
          <t>KSA ME</t>
        </is>
      </c>
      <c r="D9" s="38" t="n"/>
      <c r="E9" s="39" t="n">
        <v>2025</v>
      </c>
      <c r="F9" s="39" t="inlineStr">
        <is>
          <t>No</t>
        </is>
      </c>
      <c r="G9" s="39" t="n">
        <v>0</v>
      </c>
      <c r="H9" s="39" t="n">
        <v>0</v>
      </c>
      <c r="I9" s="39" t="n">
        <v>10</v>
      </c>
      <c r="J9" s="39" t="n">
        <v>165000</v>
      </c>
      <c r="K9" s="39" t="n">
        <v>0</v>
      </c>
      <c r="L9" s="39" t="n">
        <v>0</v>
      </c>
      <c r="M9" s="39" t="n">
        <v>0</v>
      </c>
      <c r="N9" s="39" t="n">
        <v>0</v>
      </c>
      <c r="O9" s="39" t="n">
        <v>0</v>
      </c>
      <c r="P9" s="39" t="n">
        <v>0</v>
      </c>
      <c r="Q9" s="39" t="n">
        <v>6</v>
      </c>
      <c r="R9" s="39" t="n">
        <v>2</v>
      </c>
      <c r="S9" s="39" t="n">
        <v>10</v>
      </c>
      <c r="T9" s="39" t="n">
        <v>6</v>
      </c>
      <c r="U9" s="39" t="n">
        <v>12</v>
      </c>
      <c r="V9" s="39" t="n">
        <v>16</v>
      </c>
      <c r="W9" s="34" t="n">
        <v>43</v>
      </c>
      <c r="X9" s="39" t="inlineStr">
        <is>
          <t>USD</t>
        </is>
      </c>
      <c r="Y9" s="40" t="n">
        <v>6.2</v>
      </c>
      <c r="Z9" s="38" t="inlineStr">
        <is>
          <t>AutoStore</t>
        </is>
      </c>
      <c r="AA9" s="38" t="n"/>
      <c r="AB9" s="41">
        <f>IF(A9="","",IF(COUNTIF($A$6:$A$504,A9)&gt;1,"⚠ Duplicate",""))</f>
        <v/>
      </c>
      <c r="AC9" s="42" t="n">
        <v>0.05</v>
      </c>
      <c r="AD9" s="42" t="n">
        <v>0.05</v>
      </c>
      <c r="AE9" s="42" t="n">
        <v>0.05</v>
      </c>
      <c r="AF9" s="42" t="n">
        <v>0.07000000000000001</v>
      </c>
      <c r="AG9" s="42" t="n">
        <v>0.09</v>
      </c>
      <c r="AH9" s="42" t="n">
        <v>0.06</v>
      </c>
      <c r="AI9" s="42" t="n">
        <v>0.06</v>
      </c>
      <c r="AJ9" s="42" t="n">
        <v>0.01</v>
      </c>
      <c r="AK9" s="42" t="n">
        <v>0.01</v>
      </c>
      <c r="AL9" s="42" t="n">
        <v>0.01</v>
      </c>
      <c r="AM9" s="42" t="n">
        <v>0.01</v>
      </c>
      <c r="AN9" s="42" t="n">
        <v>0.01</v>
      </c>
      <c r="AO9" s="42" t="n">
        <v>0.04</v>
      </c>
      <c r="AP9" s="37" t="n">
        <v>0.001</v>
      </c>
      <c r="AQ9" s="10" t="n"/>
    </row>
    <row r="10" ht="18" customHeight="1" s="74">
      <c r="A10" s="32" t="inlineStr">
        <is>
          <t>SW3128-3</t>
        </is>
      </c>
      <c r="B10" s="32" t="inlineStr">
        <is>
          <t>DHL Aurora - YANBU*</t>
        </is>
      </c>
      <c r="C10" s="32" t="inlineStr">
        <is>
          <t>KSA ME</t>
        </is>
      </c>
      <c r="D10" s="32" t="n"/>
      <c r="E10" s="33" t="n">
        <v>2025</v>
      </c>
      <c r="F10" s="33" t="inlineStr">
        <is>
          <t>No</t>
        </is>
      </c>
      <c r="G10" s="33" t="n">
        <v>0</v>
      </c>
      <c r="H10" s="33" t="n">
        <v>0</v>
      </c>
      <c r="I10" s="33" t="n">
        <v>20</v>
      </c>
      <c r="J10" s="33" t="n">
        <v>130000</v>
      </c>
      <c r="K10" s="33" t="n">
        <v>0</v>
      </c>
      <c r="L10" s="33" t="n">
        <v>0</v>
      </c>
      <c r="M10" s="33" t="n">
        <v>0</v>
      </c>
      <c r="N10" s="33" t="n">
        <v>0</v>
      </c>
      <c r="O10" s="33" t="n">
        <v>0</v>
      </c>
      <c r="P10" s="33" t="n">
        <v>0</v>
      </c>
      <c r="Q10" s="33" t="n">
        <v>6</v>
      </c>
      <c r="R10" s="33" t="n">
        <v>2</v>
      </c>
      <c r="S10" s="33" t="n">
        <v>4</v>
      </c>
      <c r="T10" s="33" t="n">
        <v>6</v>
      </c>
      <c r="U10" s="33" t="n">
        <v>9</v>
      </c>
      <c r="V10" s="33" t="n">
        <v>14</v>
      </c>
      <c r="W10" s="34" t="n">
        <v>41</v>
      </c>
      <c r="X10" s="33" t="inlineStr">
        <is>
          <t>USD</t>
        </is>
      </c>
      <c r="Y10" s="35" t="n">
        <v>5</v>
      </c>
      <c r="Z10" s="32" t="inlineStr">
        <is>
          <t>AutoStore</t>
        </is>
      </c>
      <c r="AA10" s="32" t="n"/>
      <c r="AB10" s="36">
        <f>IF(A10="","",IF(COUNTIF($A$6:$A$504,A10)&gt;1,"⚠ Duplicate",""))</f>
        <v/>
      </c>
      <c r="AC10" s="43" t="n">
        <v>0.05</v>
      </c>
      <c r="AD10" s="43" t="n">
        <v>0.05</v>
      </c>
      <c r="AE10" s="43" t="n">
        <v>0.05</v>
      </c>
      <c r="AF10" s="43" t="n">
        <v>0.07000000000000001</v>
      </c>
      <c r="AG10" s="43" t="n">
        <v>0.09</v>
      </c>
      <c r="AH10" s="43" t="n">
        <v>0.06</v>
      </c>
      <c r="AI10" s="43" t="n">
        <v>0.06</v>
      </c>
      <c r="AJ10" s="43" t="n">
        <v>0.01</v>
      </c>
      <c r="AK10" s="43" t="n">
        <v>0.01</v>
      </c>
      <c r="AL10" s="43" t="n">
        <v>0.01</v>
      </c>
      <c r="AM10" s="43" t="n">
        <v>0.01</v>
      </c>
      <c r="AN10" s="43" t="n">
        <v>0.01</v>
      </c>
      <c r="AO10" s="43" t="n">
        <v>0.04</v>
      </c>
      <c r="AP10" s="37" t="n">
        <v>0.001</v>
      </c>
      <c r="AQ10" s="10" t="n"/>
    </row>
    <row r="11" ht="18" customHeight="1" s="74">
      <c r="A11" s="38" t="inlineStr">
        <is>
          <t>SC22154</t>
        </is>
      </c>
      <c r="B11" s="38" t="inlineStr">
        <is>
          <t>Almarai Poultry</t>
        </is>
      </c>
      <c r="C11" s="38" t="inlineStr">
        <is>
          <t>KSA ME</t>
        </is>
      </c>
      <c r="D11" s="38" t="inlineStr">
        <is>
          <t>Others/complex</t>
        </is>
      </c>
      <c r="E11" s="39" t="n">
        <v>2025</v>
      </c>
      <c r="F11" s="39" t="inlineStr">
        <is>
          <t>Yes</t>
        </is>
      </c>
      <c r="G11" s="39" t="n">
        <v>45</v>
      </c>
      <c r="H11" s="39" t="n">
        <v>10000</v>
      </c>
      <c r="I11" s="39" t="n">
        <v>0</v>
      </c>
      <c r="J11" s="39" t="n">
        <v>0</v>
      </c>
      <c r="K11" s="39" t="n">
        <v>0</v>
      </c>
      <c r="L11" s="39" t="n">
        <v>0</v>
      </c>
      <c r="M11" s="39" t="n">
        <v>0</v>
      </c>
      <c r="N11" s="39" t="n">
        <v>0</v>
      </c>
      <c r="O11" s="39" t="n">
        <v>900</v>
      </c>
      <c r="P11" s="39" t="n">
        <v>0</v>
      </c>
      <c r="Q11" s="39" t="n">
        <v>56</v>
      </c>
      <c r="R11" s="39" t="n">
        <v>32</v>
      </c>
      <c r="S11" s="39" t="n">
        <v>20</v>
      </c>
      <c r="T11" s="39" t="n">
        <v>60</v>
      </c>
      <c r="U11" s="39" t="n">
        <v>29</v>
      </c>
      <c r="V11" s="39" t="n">
        <v>41</v>
      </c>
      <c r="W11" s="34" t="n">
        <v>94</v>
      </c>
      <c r="X11" s="39" t="inlineStr">
        <is>
          <t>USD</t>
        </is>
      </c>
      <c r="Y11" s="40" t="n">
        <v>12.3</v>
      </c>
      <c r="Z11" s="38" t="inlineStr">
        <is>
          <t>DMS MCS Elten Tote Palletising Case Lidding</t>
        </is>
      </c>
      <c r="AA11" s="38" t="n"/>
      <c r="AB11" s="41">
        <f>IF(A11="","",IF(COUNTIF($A$6:$A$504,A11)&gt;1,"⚠ Duplicate",""))</f>
        <v/>
      </c>
      <c r="AC11" s="37" t="n">
        <v>0</v>
      </c>
      <c r="AD11" s="37" t="n">
        <v>0</v>
      </c>
      <c r="AE11" s="37" t="n">
        <v>0</v>
      </c>
      <c r="AF11" s="37" t="n">
        <v>0</v>
      </c>
      <c r="AG11" s="37" t="n">
        <v>0</v>
      </c>
      <c r="AH11" s="37" t="n">
        <v>0</v>
      </c>
      <c r="AI11" s="37" t="n">
        <v>0</v>
      </c>
      <c r="AJ11" s="37" t="n">
        <v>0</v>
      </c>
      <c r="AK11" s="37" t="n">
        <v>0</v>
      </c>
      <c r="AL11" s="37" t="n">
        <v>0</v>
      </c>
      <c r="AM11" s="37" t="n">
        <v>0</v>
      </c>
      <c r="AN11" s="37" t="n">
        <v>0</v>
      </c>
      <c r="AO11" s="37" t="n">
        <v>0</v>
      </c>
      <c r="AP11" s="37" t="n">
        <v>0</v>
      </c>
      <c r="AQ11" s="10" t="n"/>
    </row>
    <row r="12" ht="18" customHeight="1" s="74">
      <c r="A12" s="32" t="inlineStr">
        <is>
          <t>SC22158</t>
        </is>
      </c>
      <c r="B12" s="32" t="inlineStr">
        <is>
          <t>Almarai Bakery</t>
        </is>
      </c>
      <c r="C12" s="32" t="inlineStr">
        <is>
          <t>KSA ME</t>
        </is>
      </c>
      <c r="D12" s="32" t="inlineStr">
        <is>
          <t>Others/complex</t>
        </is>
      </c>
      <c r="E12" s="33" t="n">
        <v>2025</v>
      </c>
      <c r="F12" s="33" t="inlineStr">
        <is>
          <t>Yes</t>
        </is>
      </c>
      <c r="G12" s="33" t="n">
        <v>35</v>
      </c>
      <c r="H12" s="33" t="n">
        <v>5000</v>
      </c>
      <c r="I12" s="33" t="n">
        <v>0</v>
      </c>
      <c r="J12" s="33" t="n">
        <v>0</v>
      </c>
      <c r="K12" s="33" t="n">
        <v>15</v>
      </c>
      <c r="L12" s="33" t="n">
        <v>5000</v>
      </c>
      <c r="M12" s="33" t="n">
        <v>0</v>
      </c>
      <c r="N12" s="33" t="n">
        <v>0</v>
      </c>
      <c r="O12" s="33" t="n">
        <v>800</v>
      </c>
      <c r="P12" s="33" t="n">
        <v>200</v>
      </c>
      <c r="Q12" s="33" t="n">
        <v>79</v>
      </c>
      <c r="R12" s="33" t="n">
        <v>28</v>
      </c>
      <c r="S12" s="33" t="n">
        <v>16</v>
      </c>
      <c r="T12" s="33" t="n">
        <v>66</v>
      </c>
      <c r="U12" s="33" t="n">
        <v>37</v>
      </c>
      <c r="V12" s="33" t="n">
        <v>28</v>
      </c>
      <c r="W12" s="34" t="n">
        <v>143</v>
      </c>
      <c r="X12" s="33" t="inlineStr">
        <is>
          <t>USD</t>
        </is>
      </c>
      <c r="Y12" s="35" t="n">
        <v>14.3</v>
      </c>
      <c r="Z12" s="32" t="inlineStr">
        <is>
          <t>2 Way Shuttle BK25</t>
        </is>
      </c>
      <c r="AA12" s="32" t="n"/>
      <c r="AB12" s="36">
        <f>IF(A12="","",IF(COUNTIF($A$6:$A$504,A12)&gt;1,"⚠ Duplicate",""))</f>
        <v/>
      </c>
      <c r="AC12" s="37" t="n">
        <v>0</v>
      </c>
      <c r="AD12" s="37" t="n">
        <v>0</v>
      </c>
      <c r="AE12" s="37" t="n">
        <v>0</v>
      </c>
      <c r="AF12" s="37" t="n">
        <v>0</v>
      </c>
      <c r="AG12" s="37" t="n">
        <v>0</v>
      </c>
      <c r="AH12" s="37" t="n">
        <v>0</v>
      </c>
      <c r="AI12" s="37" t="n">
        <v>0</v>
      </c>
      <c r="AJ12" s="37" t="n">
        <v>0</v>
      </c>
      <c r="AK12" s="37" t="n">
        <v>0</v>
      </c>
      <c r="AL12" s="37" t="n">
        <v>0</v>
      </c>
      <c r="AM12" s="37" t="n">
        <v>0</v>
      </c>
      <c r="AN12" s="37" t="n">
        <v>0</v>
      </c>
      <c r="AO12" s="37" t="n">
        <v>0</v>
      </c>
      <c r="AP12" s="37" t="n">
        <v>0</v>
      </c>
      <c r="AQ12" s="10" t="n"/>
    </row>
    <row r="13" ht="18" customHeight="1" s="74">
      <c r="A13" s="38" t="inlineStr">
        <is>
          <t>SC22213</t>
        </is>
      </c>
      <c r="B13" s="38" t="inlineStr">
        <is>
          <t>LG CNS Marketkrly DMS</t>
        </is>
      </c>
      <c r="C13" s="38" t="inlineStr">
        <is>
          <t>Korea ASIA</t>
        </is>
      </c>
      <c r="D13" s="38" t="n"/>
      <c r="E13" s="39" t="n">
        <v>2025</v>
      </c>
      <c r="F13" s="39" t="inlineStr">
        <is>
          <t>No</t>
        </is>
      </c>
      <c r="G13" s="39" t="n">
        <v>120</v>
      </c>
      <c r="H13" s="39" t="n">
        <v>30000</v>
      </c>
      <c r="I13" s="39" t="n">
        <v>0</v>
      </c>
      <c r="J13" s="39" t="n">
        <v>0</v>
      </c>
      <c r="K13" s="39" t="n">
        <v>0</v>
      </c>
      <c r="L13" s="39" t="n">
        <v>0</v>
      </c>
      <c r="M13" s="39" t="n">
        <v>0</v>
      </c>
      <c r="N13" s="39" t="n">
        <v>0</v>
      </c>
      <c r="O13" s="39" t="n">
        <v>0</v>
      </c>
      <c r="P13" s="39" t="n">
        <v>0</v>
      </c>
      <c r="Q13" s="39" t="n">
        <v>29</v>
      </c>
      <c r="R13" s="39" t="n">
        <v>0</v>
      </c>
      <c r="S13" s="39" t="n">
        <v>0</v>
      </c>
      <c r="T13" s="39" t="n">
        <v>30</v>
      </c>
      <c r="U13" s="39" t="n">
        <v>26</v>
      </c>
      <c r="V13" s="39" t="n">
        <v>16</v>
      </c>
      <c r="W13" s="34" t="n">
        <v>78</v>
      </c>
      <c r="X13" s="39" t="inlineStr">
        <is>
          <t>USD</t>
        </is>
      </c>
      <c r="Y13" s="40" t="n">
        <v>4.3</v>
      </c>
      <c r="Z13" s="38" t="inlineStr">
        <is>
          <t>DMS</t>
        </is>
      </c>
      <c r="AA13" s="38" t="n"/>
      <c r="AB13" s="41">
        <f>IF(A13="","",IF(COUNTIF($A$6:$A$504,A13)&gt;1,"⚠ Duplicate",""))</f>
        <v/>
      </c>
      <c r="AC13" s="42" t="n">
        <v>0.05</v>
      </c>
      <c r="AD13" s="42" t="n">
        <v>0.05</v>
      </c>
      <c r="AE13" s="42" t="n">
        <v>0.05</v>
      </c>
      <c r="AF13" s="42" t="n">
        <v>0.07000000000000001</v>
      </c>
      <c r="AG13" s="42" t="n">
        <v>0.09</v>
      </c>
      <c r="AH13" s="42" t="n">
        <v>0.06</v>
      </c>
      <c r="AI13" s="42" t="n">
        <v>0.06</v>
      </c>
      <c r="AJ13" s="42" t="n">
        <v>0.01</v>
      </c>
      <c r="AK13" s="42" t="n">
        <v>0.01</v>
      </c>
      <c r="AL13" s="42" t="n">
        <v>0.01</v>
      </c>
      <c r="AM13" s="42" t="n">
        <v>0.01</v>
      </c>
      <c r="AN13" s="42" t="n">
        <v>0.01</v>
      </c>
      <c r="AO13" s="42" t="n">
        <v>0.04</v>
      </c>
      <c r="AP13" s="37" t="n">
        <v>0.001</v>
      </c>
      <c r="AQ13" s="10" t="n"/>
    </row>
    <row r="14" ht="18" customHeight="1" s="74">
      <c r="A14" s="32" t="inlineStr">
        <is>
          <t>SC22168</t>
        </is>
      </c>
      <c r="B14" s="32" t="inlineStr">
        <is>
          <t>Retail Logistics</t>
        </is>
      </c>
      <c r="C14" s="32" t="inlineStr">
        <is>
          <t>Dubai ME</t>
        </is>
      </c>
      <c r="D14" s="32" t="n"/>
      <c r="E14" s="33" t="n">
        <v>2025</v>
      </c>
      <c r="F14" s="33" t="inlineStr">
        <is>
          <t>No</t>
        </is>
      </c>
      <c r="G14" s="33" t="n">
        <v>65</v>
      </c>
      <c r="H14" s="33" t="n">
        <v>30000</v>
      </c>
      <c r="I14" s="33" t="n">
        <v>0</v>
      </c>
      <c r="J14" s="33" t="n">
        <v>0</v>
      </c>
      <c r="K14" s="33" t="n">
        <v>0</v>
      </c>
      <c r="L14" s="33" t="n">
        <v>0</v>
      </c>
      <c r="M14" s="33" t="n">
        <v>0</v>
      </c>
      <c r="N14" s="33" t="n">
        <v>0</v>
      </c>
      <c r="O14" s="33" t="n">
        <v>300</v>
      </c>
      <c r="P14" s="33" t="n">
        <v>0</v>
      </c>
      <c r="Q14" s="33" t="n">
        <v>48</v>
      </c>
      <c r="R14" s="33" t="n">
        <v>32</v>
      </c>
      <c r="S14" s="33" t="n">
        <v>14</v>
      </c>
      <c r="T14" s="33" t="n">
        <v>48</v>
      </c>
      <c r="U14" s="33" t="n">
        <v>44</v>
      </c>
      <c r="V14" s="33" t="n">
        <v>45</v>
      </c>
      <c r="W14" s="34" t="n">
        <v>91</v>
      </c>
      <c r="X14" s="33" t="inlineStr">
        <is>
          <t>USD</t>
        </is>
      </c>
      <c r="Y14" s="35" t="n">
        <v>15.5</v>
      </c>
      <c r="Z14" s="32" t="inlineStr">
        <is>
          <t>MCS</t>
        </is>
      </c>
      <c r="AA14" s="32" t="n"/>
      <c r="AB14" s="36">
        <f>IF(A14="","",IF(COUNTIF($A$6:$A$504,A14)&gt;1,"⚠ Duplicate",""))</f>
        <v/>
      </c>
      <c r="AC14" s="43" t="n">
        <v>0.05</v>
      </c>
      <c r="AD14" s="43" t="n">
        <v>0.05</v>
      </c>
      <c r="AE14" s="43" t="n">
        <v>0.05</v>
      </c>
      <c r="AF14" s="43" t="n">
        <v>0.07000000000000001</v>
      </c>
      <c r="AG14" s="43" t="n">
        <v>0.09</v>
      </c>
      <c r="AH14" s="43" t="n">
        <v>0.06</v>
      </c>
      <c r="AI14" s="43" t="n">
        <v>0.06</v>
      </c>
      <c r="AJ14" s="43" t="n">
        <v>0.01</v>
      </c>
      <c r="AK14" s="43" t="n">
        <v>0.01</v>
      </c>
      <c r="AL14" s="43" t="n">
        <v>0.01</v>
      </c>
      <c r="AM14" s="43" t="n">
        <v>0.01</v>
      </c>
      <c r="AN14" s="43" t="n">
        <v>0.01</v>
      </c>
      <c r="AO14" s="43" t="n">
        <v>0.04</v>
      </c>
      <c r="AP14" s="37" t="n">
        <v>0.001</v>
      </c>
      <c r="AQ14" s="10" t="n"/>
    </row>
    <row r="15" ht="18" customHeight="1" s="74">
      <c r="A15" s="38" t="inlineStr">
        <is>
          <t>SW31293</t>
        </is>
      </c>
      <c r="B15" s="38" t="inlineStr">
        <is>
          <t>Caterpillar 4WS</t>
        </is>
      </c>
      <c r="C15" s="38" t="inlineStr">
        <is>
          <t>Thailand ASIA</t>
        </is>
      </c>
      <c r="D15" s="38" t="n"/>
      <c r="E15" s="39" t="n">
        <v>2025</v>
      </c>
      <c r="F15" s="39" t="inlineStr">
        <is>
          <t>No</t>
        </is>
      </c>
      <c r="G15" s="39" t="n">
        <v>0</v>
      </c>
      <c r="H15" s="39" t="n">
        <v>0</v>
      </c>
      <c r="I15" s="39" t="n">
        <v>0</v>
      </c>
      <c r="J15" s="39" t="n">
        <v>0</v>
      </c>
      <c r="K15" s="39" t="n">
        <v>15</v>
      </c>
      <c r="L15" s="39" t="n">
        <v>5000</v>
      </c>
      <c r="M15" s="39" t="n">
        <v>0</v>
      </c>
      <c r="N15" s="39" t="n">
        <v>0</v>
      </c>
      <c r="O15" s="39" t="n">
        <v>0</v>
      </c>
      <c r="P15" s="39" t="n">
        <v>200</v>
      </c>
      <c r="Q15" s="39" t="n">
        <v>33</v>
      </c>
      <c r="R15" s="39" t="n">
        <v>0</v>
      </c>
      <c r="S15" s="39" t="n">
        <v>25</v>
      </c>
      <c r="T15" s="39" t="n">
        <v>40</v>
      </c>
      <c r="U15" s="39" t="n">
        <v>17</v>
      </c>
      <c r="V15" s="39" t="n">
        <v>8</v>
      </c>
      <c r="W15" s="34" t="n">
        <v>65</v>
      </c>
      <c r="X15" s="39" t="inlineStr">
        <is>
          <t>USD</t>
        </is>
      </c>
      <c r="Y15" s="40" t="n">
        <v>2.7</v>
      </c>
      <c r="Z15" s="38" t="inlineStr">
        <is>
          <t>4WS Pallet</t>
        </is>
      </c>
      <c r="AA15" s="38" t="n"/>
      <c r="AB15" s="41">
        <f>IF(A15="","",IF(COUNTIF($A$6:$A$504,A15)&gt;1,"⚠ Duplicate",""))</f>
        <v/>
      </c>
      <c r="AC15" s="42" t="n">
        <v>0.05</v>
      </c>
      <c r="AD15" s="42" t="n">
        <v>0.05</v>
      </c>
      <c r="AE15" s="42" t="n">
        <v>0.05</v>
      </c>
      <c r="AF15" s="42" t="n">
        <v>0.07000000000000001</v>
      </c>
      <c r="AG15" s="42" t="n">
        <v>0.09</v>
      </c>
      <c r="AH15" s="42" t="n">
        <v>0.06</v>
      </c>
      <c r="AI15" s="42" t="n">
        <v>0.06</v>
      </c>
      <c r="AJ15" s="42" t="n">
        <v>0.01</v>
      </c>
      <c r="AK15" s="42" t="n">
        <v>0.01</v>
      </c>
      <c r="AL15" s="42" t="n">
        <v>0.01</v>
      </c>
      <c r="AM15" s="42" t="n">
        <v>0.01</v>
      </c>
      <c r="AN15" s="42" t="n">
        <v>0.01</v>
      </c>
      <c r="AO15" s="42" t="n">
        <v>0.04</v>
      </c>
      <c r="AP15" s="37" t="n">
        <v>0.001</v>
      </c>
      <c r="AQ15" s="10" t="n"/>
    </row>
    <row r="16" ht="18" customHeight="1" s="74">
      <c r="A16" s="32" t="inlineStr">
        <is>
          <t>SC22191</t>
        </is>
      </c>
      <c r="B16" s="32" t="inlineStr">
        <is>
          <t>Plexus Bridgeview</t>
        </is>
      </c>
      <c r="C16" s="32" t="inlineStr">
        <is>
          <t>Malaysia ASIA</t>
        </is>
      </c>
      <c r="D16" s="32" t="inlineStr">
        <is>
          <t>Autostore</t>
        </is>
      </c>
      <c r="E16" s="33" t="n">
        <v>2025</v>
      </c>
      <c r="F16" s="33" t="inlineStr">
        <is>
          <t>Yes</t>
        </is>
      </c>
      <c r="G16" s="33" t="n">
        <v>0</v>
      </c>
      <c r="H16" s="33" t="n">
        <v>0</v>
      </c>
      <c r="I16" s="33" t="n">
        <v>20</v>
      </c>
      <c r="J16" s="33" t="n">
        <v>10000</v>
      </c>
      <c r="K16" s="33" t="n">
        <v>0</v>
      </c>
      <c r="L16" s="33" t="n">
        <v>0</v>
      </c>
      <c r="M16" s="33" t="n">
        <v>0</v>
      </c>
      <c r="N16" s="33" t="n">
        <v>0</v>
      </c>
      <c r="O16" s="33" t="n">
        <v>100</v>
      </c>
      <c r="P16" s="33" t="n">
        <v>0</v>
      </c>
      <c r="Q16" s="33" t="n">
        <v>25</v>
      </c>
      <c r="R16" s="33" t="n">
        <v>2</v>
      </c>
      <c r="S16" s="33" t="n">
        <v>12</v>
      </c>
      <c r="T16" s="33" t="n">
        <v>25</v>
      </c>
      <c r="U16" s="33" t="n">
        <v>8</v>
      </c>
      <c r="V16" s="33" t="n">
        <v>18</v>
      </c>
      <c r="W16" s="34" t="n">
        <v>47</v>
      </c>
      <c r="X16" s="33" t="inlineStr">
        <is>
          <t>USD</t>
        </is>
      </c>
      <c r="Y16" s="35" t="n">
        <v>2.2</v>
      </c>
      <c r="Z16" s="32" t="inlineStr">
        <is>
          <t>Autostore</t>
        </is>
      </c>
      <c r="AA16" s="32" t="n"/>
      <c r="AB16" s="36">
        <f>IF(A16="","",IF(COUNTIF($A$6:$A$504,A16)&gt;1,"⚠ Duplicate",""))</f>
        <v/>
      </c>
      <c r="AC16" s="37" t="n">
        <v>0</v>
      </c>
      <c r="AD16" s="37" t="n">
        <v>0</v>
      </c>
      <c r="AE16" s="37" t="n">
        <v>0</v>
      </c>
      <c r="AF16" s="37" t="n">
        <v>0</v>
      </c>
      <c r="AG16" s="37" t="n">
        <v>0</v>
      </c>
      <c r="AH16" s="37" t="n">
        <v>0</v>
      </c>
      <c r="AI16" s="37" t="n">
        <v>0</v>
      </c>
      <c r="AJ16" s="37" t="n">
        <v>0</v>
      </c>
      <c r="AK16" s="37" t="n">
        <v>0</v>
      </c>
      <c r="AL16" s="37" t="n">
        <v>0</v>
      </c>
      <c r="AM16" s="37" t="n">
        <v>0</v>
      </c>
      <c r="AN16" s="37" t="n">
        <v>0</v>
      </c>
      <c r="AO16" s="37" t="n">
        <v>0</v>
      </c>
      <c r="AP16" s="37" t="n">
        <v>0</v>
      </c>
      <c r="AQ16" s="10" t="n"/>
    </row>
    <row r="17" ht="18" customHeight="1" s="74">
      <c r="A17" s="38" t="inlineStr">
        <is>
          <t>SW31269</t>
        </is>
      </c>
      <c r="B17" s="38" t="inlineStr">
        <is>
          <t>Plexus Bangkok</t>
        </is>
      </c>
      <c r="C17" s="38" t="inlineStr">
        <is>
          <t>Malaysia ASIA</t>
        </is>
      </c>
      <c r="D17" s="38" t="inlineStr">
        <is>
          <t>Autostore</t>
        </is>
      </c>
      <c r="E17" s="39" t="n">
        <v>2025</v>
      </c>
      <c r="F17" s="39" t="inlineStr">
        <is>
          <t>Yes</t>
        </is>
      </c>
      <c r="G17" s="39" t="n">
        <v>0</v>
      </c>
      <c r="H17" s="39" t="n">
        <v>0</v>
      </c>
      <c r="I17" s="39" t="n">
        <v>10</v>
      </c>
      <c r="J17" s="39" t="n">
        <v>10000</v>
      </c>
      <c r="K17" s="39" t="n">
        <v>0</v>
      </c>
      <c r="L17" s="39" t="n">
        <v>0</v>
      </c>
      <c r="M17" s="39" t="n">
        <v>0</v>
      </c>
      <c r="N17" s="39" t="n">
        <v>0</v>
      </c>
      <c r="O17" s="39" t="n">
        <v>0</v>
      </c>
      <c r="P17" s="39" t="n">
        <v>0</v>
      </c>
      <c r="Q17" s="39" t="n">
        <v>24</v>
      </c>
      <c r="R17" s="39" t="n">
        <v>2</v>
      </c>
      <c r="S17" s="39" t="n">
        <v>12</v>
      </c>
      <c r="T17" s="39" t="n">
        <v>23</v>
      </c>
      <c r="U17" s="39" t="n">
        <v>9</v>
      </c>
      <c r="V17" s="39" t="n">
        <v>11</v>
      </c>
      <c r="W17" s="34" t="n">
        <v>47</v>
      </c>
      <c r="X17" s="39" t="inlineStr">
        <is>
          <t>USD</t>
        </is>
      </c>
      <c r="Y17" s="40" t="n">
        <v>1.7</v>
      </c>
      <c r="Z17" s="38" t="inlineStr">
        <is>
          <t>Autostore</t>
        </is>
      </c>
      <c r="AA17" s="38" t="n"/>
      <c r="AB17" s="41">
        <f>IF(A17="","",IF(COUNTIF($A$6:$A$504,A17)&gt;1,"⚠ Duplicate",""))</f>
        <v/>
      </c>
      <c r="AC17" s="37" t="n">
        <v>0</v>
      </c>
      <c r="AD17" s="37" t="n">
        <v>0</v>
      </c>
      <c r="AE17" s="37" t="n">
        <v>0</v>
      </c>
      <c r="AF17" s="37" t="n">
        <v>0</v>
      </c>
      <c r="AG17" s="37" t="n">
        <v>0</v>
      </c>
      <c r="AH17" s="37" t="n">
        <v>0</v>
      </c>
      <c r="AI17" s="37" t="n">
        <v>0</v>
      </c>
      <c r="AJ17" s="37" t="n">
        <v>0</v>
      </c>
      <c r="AK17" s="37" t="n">
        <v>0</v>
      </c>
      <c r="AL17" s="37" t="n">
        <v>0</v>
      </c>
      <c r="AM17" s="37" t="n">
        <v>0</v>
      </c>
      <c r="AN17" s="37" t="n">
        <v>0</v>
      </c>
      <c r="AO17" s="37" t="n">
        <v>0</v>
      </c>
      <c r="AP17" s="37" t="n">
        <v>0</v>
      </c>
      <c r="AQ17" s="10" t="n"/>
    </row>
    <row r="18" ht="18" customHeight="1" s="74">
      <c r="A18" s="32" t="inlineStr">
        <is>
          <t>SC22188</t>
        </is>
      </c>
      <c r="B18" s="32" t="inlineStr">
        <is>
          <t>Jaya Grocer</t>
        </is>
      </c>
      <c r="C18" s="32" t="inlineStr">
        <is>
          <t>Malaysia ASIA</t>
        </is>
      </c>
      <c r="D18" s="32" t="n"/>
      <c r="E18" s="33" t="n">
        <v>2025</v>
      </c>
      <c r="F18" s="33" t="inlineStr">
        <is>
          <t>No</t>
        </is>
      </c>
      <c r="G18" s="33" t="n">
        <v>160</v>
      </c>
      <c r="H18" s="33" t="n">
        <v>95000</v>
      </c>
      <c r="I18" s="33" t="n">
        <v>0</v>
      </c>
      <c r="J18" s="33" t="n">
        <v>0</v>
      </c>
      <c r="K18" s="33" t="n">
        <v>50</v>
      </c>
      <c r="L18" s="33" t="n">
        <v>15000</v>
      </c>
      <c r="M18" s="33" t="n">
        <v>0</v>
      </c>
      <c r="N18" s="33" t="n">
        <v>0</v>
      </c>
      <c r="O18" s="33" t="n">
        <v>800</v>
      </c>
      <c r="P18" s="33" t="n">
        <v>100</v>
      </c>
      <c r="Q18" s="33" t="n">
        <v>46</v>
      </c>
      <c r="R18" s="33" t="n">
        <v>24</v>
      </c>
      <c r="S18" s="33" t="n">
        <v>27</v>
      </c>
      <c r="T18" s="33" t="n">
        <v>57</v>
      </c>
      <c r="U18" s="33" t="n">
        <v>26</v>
      </c>
      <c r="V18" s="33" t="n">
        <v>34</v>
      </c>
      <c r="W18" s="34" t="n">
        <v>92</v>
      </c>
      <c r="X18" s="33" t="inlineStr">
        <is>
          <t>USD</t>
        </is>
      </c>
      <c r="Y18" s="35" t="n">
        <v>25.4</v>
      </c>
      <c r="Z18" s="32" t="n"/>
      <c r="AA18" s="32" t="n"/>
      <c r="AB18" s="36">
        <f>IF(A18="","",IF(COUNTIF($A$6:$A$504,A18)&gt;1,"⚠ Duplicate",""))</f>
        <v/>
      </c>
      <c r="AC18" s="43" t="n">
        <v>0.05</v>
      </c>
      <c r="AD18" s="43" t="n">
        <v>0.05</v>
      </c>
      <c r="AE18" s="43" t="n">
        <v>0.05</v>
      </c>
      <c r="AF18" s="43" t="n">
        <v>0.07000000000000001</v>
      </c>
      <c r="AG18" s="43" t="n">
        <v>0.09</v>
      </c>
      <c r="AH18" s="43" t="n">
        <v>0.06</v>
      </c>
      <c r="AI18" s="43" t="n">
        <v>0.06</v>
      </c>
      <c r="AJ18" s="43" t="n">
        <v>0.01</v>
      </c>
      <c r="AK18" s="43" t="n">
        <v>0.01</v>
      </c>
      <c r="AL18" s="43" t="n">
        <v>0.01</v>
      </c>
      <c r="AM18" s="43" t="n">
        <v>0.01</v>
      </c>
      <c r="AN18" s="43" t="n">
        <v>0.01</v>
      </c>
      <c r="AO18" s="43" t="n">
        <v>0.04</v>
      </c>
      <c r="AP18" s="37" t="n">
        <v>0.001</v>
      </c>
      <c r="AQ18" s="10" t="n"/>
    </row>
    <row r="19" ht="18" customHeight="1" s="74">
      <c r="A19" s="38" t="inlineStr">
        <is>
          <t>SW31277</t>
        </is>
      </c>
      <c r="B19" s="38" t="inlineStr">
        <is>
          <t>Swire Coca-Cola</t>
        </is>
      </c>
      <c r="C19" s="38" t="inlineStr">
        <is>
          <t>Taiwan ASIA</t>
        </is>
      </c>
      <c r="D19" s="38" t="inlineStr">
        <is>
          <t>Pallet Hotel</t>
        </is>
      </c>
      <c r="E19" s="39" t="n">
        <v>2025</v>
      </c>
      <c r="F19" s="39" t="inlineStr">
        <is>
          <t>Yes</t>
        </is>
      </c>
      <c r="G19" s="39" t="n">
        <v>0</v>
      </c>
      <c r="H19" s="39" t="n">
        <v>0</v>
      </c>
      <c r="I19" s="39" t="n">
        <v>0</v>
      </c>
      <c r="J19" s="39" t="n">
        <v>0</v>
      </c>
      <c r="K19" s="39" t="n">
        <v>0</v>
      </c>
      <c r="L19" s="39" t="n">
        <v>0</v>
      </c>
      <c r="M19" s="39" t="n">
        <v>8</v>
      </c>
      <c r="N19" s="39" t="n">
        <v>15000</v>
      </c>
      <c r="O19" s="39" t="n">
        <v>0</v>
      </c>
      <c r="P19" s="39" t="n">
        <v>700</v>
      </c>
      <c r="Q19" s="39" t="n">
        <v>84</v>
      </c>
      <c r="R19" s="39" t="n">
        <v>48</v>
      </c>
      <c r="S19" s="39" t="n">
        <v>25</v>
      </c>
      <c r="T19" s="39" t="n">
        <v>55</v>
      </c>
      <c r="U19" s="39" t="n">
        <v>27</v>
      </c>
      <c r="V19" s="39" t="n">
        <v>33</v>
      </c>
      <c r="W19" s="34" t="n">
        <v>139</v>
      </c>
      <c r="X19" s="39" t="inlineStr">
        <is>
          <t>USD</t>
        </is>
      </c>
      <c r="Y19" s="40" t="n">
        <v>18.7</v>
      </c>
      <c r="Z19" s="38" t="inlineStr">
        <is>
          <t xml:space="preserve">SRM BK25 Shuttlecar RGV </t>
        </is>
      </c>
      <c r="AA19" s="38" t="n"/>
      <c r="AB19" s="41">
        <f>IF(A19="","",IF(COUNTIF($A$6:$A$504,A19)&gt;1,"⚠ Duplicate",""))</f>
        <v/>
      </c>
      <c r="AC19" s="37" t="n">
        <v>0</v>
      </c>
      <c r="AD19" s="37" t="n">
        <v>0</v>
      </c>
      <c r="AE19" s="37" t="n">
        <v>0</v>
      </c>
      <c r="AF19" s="37" t="n">
        <v>0</v>
      </c>
      <c r="AG19" s="37" t="n">
        <v>0</v>
      </c>
      <c r="AH19" s="37" t="n">
        <v>0</v>
      </c>
      <c r="AI19" s="37" t="n">
        <v>0</v>
      </c>
      <c r="AJ19" s="37" t="n">
        <v>0</v>
      </c>
      <c r="AK19" s="37" t="n">
        <v>0</v>
      </c>
      <c r="AL19" s="37" t="n">
        <v>0</v>
      </c>
      <c r="AM19" s="37" t="n">
        <v>0</v>
      </c>
      <c r="AN19" s="37" t="n">
        <v>0</v>
      </c>
      <c r="AO19" s="37" t="n">
        <v>0</v>
      </c>
      <c r="AP19" s="37" t="n">
        <v>0</v>
      </c>
      <c r="AQ19" s="68" t="n"/>
    </row>
    <row r="20" ht="18" customHeight="1" s="74">
      <c r="A20" s="32" t="inlineStr">
        <is>
          <t>SW31253</t>
        </is>
      </c>
      <c r="B20" s="32" t="inlineStr">
        <is>
          <t>RSI Taichung Split Case</t>
        </is>
      </c>
      <c r="C20" s="32" t="inlineStr">
        <is>
          <t>Taiwan ASIA</t>
        </is>
      </c>
      <c r="D20" s="32" t="inlineStr">
        <is>
          <t>Others/complex</t>
        </is>
      </c>
      <c r="E20" s="33" t="n">
        <v>2025</v>
      </c>
      <c r="F20" s="33" t="inlineStr">
        <is>
          <t>Yes</t>
        </is>
      </c>
      <c r="G20" s="33" t="n">
        <v>115</v>
      </c>
      <c r="H20" s="33" t="n">
        <v>25000</v>
      </c>
      <c r="I20" s="33" t="n">
        <v>0</v>
      </c>
      <c r="J20" s="33" t="n">
        <v>0</v>
      </c>
      <c r="K20" s="33" t="n">
        <v>0</v>
      </c>
      <c r="L20" s="33" t="n">
        <v>0</v>
      </c>
      <c r="M20" s="33" t="n">
        <v>0</v>
      </c>
      <c r="N20" s="33" t="n">
        <v>0</v>
      </c>
      <c r="O20" s="33" t="n">
        <v>2000</v>
      </c>
      <c r="P20" s="33" t="n">
        <v>200</v>
      </c>
      <c r="Q20" s="33" t="n">
        <v>40</v>
      </c>
      <c r="R20" s="33" t="n">
        <v>0</v>
      </c>
      <c r="S20" s="33" t="n">
        <v>51</v>
      </c>
      <c r="T20" s="33" t="n">
        <v>0</v>
      </c>
      <c r="U20" s="33" t="n">
        <v>23</v>
      </c>
      <c r="V20" s="33" t="n">
        <v>25</v>
      </c>
      <c r="W20" s="34" t="n">
        <v>65</v>
      </c>
      <c r="X20" s="33" t="inlineStr">
        <is>
          <t>USD</t>
        </is>
      </c>
      <c r="Y20" s="35" t="n">
        <v>13</v>
      </c>
      <c r="Z20" s="32" t="inlineStr">
        <is>
          <t>SRM BK25 MCS DMS AMCAP MCP FMCF RGV LIFTER PALLET ELTEN SCHWINGHANDL NORIN SUZHOU MARKEM IMAJE METTLER TOLEDO</t>
        </is>
      </c>
      <c r="AA20" s="32" t="n"/>
      <c r="AB20" s="36">
        <f>IF(A20="","",IF(COUNTIF($A$6:$A$504,A20)&gt;1,"⚠ Duplicate",""))</f>
        <v/>
      </c>
      <c r="AC20" s="37" t="n">
        <v>0</v>
      </c>
      <c r="AD20" s="37" t="n">
        <v>0</v>
      </c>
      <c r="AE20" s="37" t="n">
        <v>0</v>
      </c>
      <c r="AF20" s="37" t="n">
        <v>0</v>
      </c>
      <c r="AG20" s="37" t="n">
        <v>0</v>
      </c>
      <c r="AH20" s="37" t="n">
        <v>0</v>
      </c>
      <c r="AI20" s="37" t="n">
        <v>0</v>
      </c>
      <c r="AJ20" s="37" t="n">
        <v>0</v>
      </c>
      <c r="AK20" s="37" t="n">
        <v>0</v>
      </c>
      <c r="AL20" s="37" t="n">
        <v>0</v>
      </c>
      <c r="AM20" s="37" t="n">
        <v>0</v>
      </c>
      <c r="AN20" s="37" t="n">
        <v>0</v>
      </c>
      <c r="AO20" s="37" t="n">
        <v>0</v>
      </c>
      <c r="AP20" s="37" t="n">
        <v>0</v>
      </c>
      <c r="AQ20" s="10" t="n"/>
    </row>
    <row r="21" ht="18" customHeight="1" s="74">
      <c r="A21" s="38" t="inlineStr">
        <is>
          <t>SC22207</t>
        </is>
      </c>
      <c r="B21" s="38" t="inlineStr">
        <is>
          <t>Siemens Gebze</t>
        </is>
      </c>
      <c r="C21" s="38" t="inlineStr">
        <is>
          <t>Turkey ME</t>
        </is>
      </c>
      <c r="D21" s="38" t="n"/>
      <c r="E21" s="39" t="n">
        <v>2025</v>
      </c>
      <c r="F21" s="39" t="inlineStr">
        <is>
          <t>No</t>
        </is>
      </c>
      <c r="G21" s="39" t="n">
        <v>0</v>
      </c>
      <c r="H21" s="39" t="n">
        <v>0</v>
      </c>
      <c r="I21" s="39" t="n">
        <v>15</v>
      </c>
      <c r="J21" s="39" t="n">
        <v>20000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26</v>
      </c>
      <c r="R21" s="39" t="n">
        <v>0</v>
      </c>
      <c r="S21" s="39" t="n">
        <v>12</v>
      </c>
      <c r="T21" s="39" t="n">
        <v>18</v>
      </c>
      <c r="U21" s="39" t="n">
        <v>9</v>
      </c>
      <c r="V21" s="39" t="n">
        <v>8</v>
      </c>
      <c r="W21" s="34" t="n">
        <v>44</v>
      </c>
      <c r="X21" s="39" t="inlineStr">
        <is>
          <t>USD</t>
        </is>
      </c>
      <c r="Y21" s="40" t="n">
        <v>2.5</v>
      </c>
      <c r="Z21" s="38" t="inlineStr">
        <is>
          <t>Autostore</t>
        </is>
      </c>
      <c r="AA21" s="38" t="n"/>
      <c r="AB21" s="41">
        <f>IF(A21="","",IF(COUNTIF($A$6:$A$504,A21)&gt;1,"⚠ Duplicate",""))</f>
        <v/>
      </c>
      <c r="AC21" s="42" t="n">
        <v>0.05</v>
      </c>
      <c r="AD21" s="42" t="n">
        <v>0.05</v>
      </c>
      <c r="AE21" s="42" t="n">
        <v>0.05</v>
      </c>
      <c r="AF21" s="42" t="n">
        <v>0.07000000000000001</v>
      </c>
      <c r="AG21" s="42" t="n">
        <v>0.09</v>
      </c>
      <c r="AH21" s="42" t="n">
        <v>0.06</v>
      </c>
      <c r="AI21" s="42" t="n">
        <v>0.06</v>
      </c>
      <c r="AJ21" s="42" t="n">
        <v>0.01</v>
      </c>
      <c r="AK21" s="42" t="n">
        <v>0.01</v>
      </c>
      <c r="AL21" s="42" t="n">
        <v>0.01</v>
      </c>
      <c r="AM21" s="42" t="n">
        <v>0.01</v>
      </c>
      <c r="AN21" s="42" t="n">
        <v>0.01</v>
      </c>
      <c r="AO21" s="42" t="n">
        <v>0.04</v>
      </c>
      <c r="AP21" s="37" t="n">
        <v>0.001</v>
      </c>
      <c r="AQ21" s="10" t="n"/>
    </row>
    <row r="22" ht="18" customHeight="1" s="74">
      <c r="A22" s="32" t="inlineStr">
        <is>
          <t>SC22225</t>
        </is>
      </c>
      <c r="B22" s="32" t="inlineStr">
        <is>
          <t>Amazon RUH9</t>
        </is>
      </c>
      <c r="C22" s="32" t="inlineStr">
        <is>
          <t>KSA ME</t>
        </is>
      </c>
      <c r="D22" s="32" t="inlineStr">
        <is>
          <t>Others/complex</t>
        </is>
      </c>
      <c r="E22" s="33" t="n">
        <v>2025</v>
      </c>
      <c r="F22" s="33" t="inlineStr">
        <is>
          <t>Yes</t>
        </is>
      </c>
      <c r="G22" s="33" t="n">
        <v>0</v>
      </c>
      <c r="H22" s="33" t="n">
        <v>0</v>
      </c>
      <c r="I22" s="33" t="n">
        <v>0</v>
      </c>
      <c r="J22" s="33" t="n">
        <v>0</v>
      </c>
      <c r="K22" s="33" t="n">
        <v>0</v>
      </c>
      <c r="L22" s="33" t="n">
        <v>0</v>
      </c>
      <c r="M22" s="33" t="n">
        <v>0</v>
      </c>
      <c r="N22" s="33" t="n">
        <v>0</v>
      </c>
      <c r="O22" s="33" t="n">
        <v>3500</v>
      </c>
      <c r="P22" s="33" t="n">
        <v>0</v>
      </c>
      <c r="Q22" s="33" t="n">
        <v>54</v>
      </c>
      <c r="R22" s="33" t="n">
        <v>42</v>
      </c>
      <c r="S22" s="33" t="n">
        <v>10</v>
      </c>
      <c r="T22" s="33" t="n">
        <v>0</v>
      </c>
      <c r="U22" s="33" t="n">
        <v>18</v>
      </c>
      <c r="V22" s="33" t="n">
        <v>8</v>
      </c>
      <c r="W22" s="34" t="n">
        <v>81</v>
      </c>
      <c r="X22" s="33" t="inlineStr">
        <is>
          <t>USD</t>
        </is>
      </c>
      <c r="Y22" s="35" t="n">
        <v>18</v>
      </c>
      <c r="Z22" s="32" t="inlineStr">
        <is>
          <t>XB Sorter CBS crossbelt MCS</t>
        </is>
      </c>
      <c r="AA22" s="32" t="n"/>
      <c r="AB22" s="36">
        <f>IF(A22="","",IF(COUNTIF($A$6:$A$504,A22)&gt;1,"⚠ Duplicate",""))</f>
        <v/>
      </c>
      <c r="AC22" s="37" t="n">
        <v>0</v>
      </c>
      <c r="AD22" s="37" t="n">
        <v>0</v>
      </c>
      <c r="AE22" s="37" t="n">
        <v>0</v>
      </c>
      <c r="AF22" s="37" t="n">
        <v>0</v>
      </c>
      <c r="AG22" s="37" t="n">
        <v>0</v>
      </c>
      <c r="AH22" s="37" t="n">
        <v>0</v>
      </c>
      <c r="AI22" s="37" t="n">
        <v>0</v>
      </c>
      <c r="AJ22" s="37" t="n">
        <v>0</v>
      </c>
      <c r="AK22" s="37" t="n">
        <v>0</v>
      </c>
      <c r="AL22" s="37" t="n">
        <v>0</v>
      </c>
      <c r="AM22" s="37" t="n">
        <v>0</v>
      </c>
      <c r="AN22" s="37" t="n">
        <v>0</v>
      </c>
      <c r="AO22" s="37" t="n">
        <v>0</v>
      </c>
      <c r="AP22" s="37" t="n">
        <v>0</v>
      </c>
      <c r="AQ22" s="10" t="n"/>
    </row>
    <row r="23" ht="18" customHeight="1" s="74">
      <c r="A23" s="38" t="inlineStr">
        <is>
          <t>SW31322</t>
        </is>
      </c>
      <c r="B23" s="38" t="inlineStr">
        <is>
          <t>PepsiCo ASRS VN</t>
        </is>
      </c>
      <c r="C23" s="38" t="inlineStr">
        <is>
          <t>Vietnam Asia</t>
        </is>
      </c>
      <c r="D23" s="38" t="n"/>
      <c r="E23" s="39" t="n">
        <v>2025</v>
      </c>
      <c r="F23" s="39" t="inlineStr">
        <is>
          <t>No</t>
        </is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7</v>
      </c>
      <c r="N23" s="39" t="n">
        <v>10000</v>
      </c>
      <c r="O23" s="39" t="n">
        <v>0</v>
      </c>
      <c r="P23" s="39" t="n">
        <v>500</v>
      </c>
      <c r="Q23" s="39" t="n">
        <v>32</v>
      </c>
      <c r="R23" s="39" t="n">
        <v>36</v>
      </c>
      <c r="S23" s="39" t="n">
        <v>27</v>
      </c>
      <c r="T23" s="39" t="n">
        <v>47</v>
      </c>
      <c r="U23" s="39" t="n">
        <v>21</v>
      </c>
      <c r="V23" s="39" t="n">
        <v>18</v>
      </c>
      <c r="W23" s="34" t="n">
        <v>70</v>
      </c>
      <c r="X23" s="39" t="inlineStr">
        <is>
          <t>USD</t>
        </is>
      </c>
      <c r="Y23" s="40" t="n">
        <v>7.2</v>
      </c>
      <c r="Z23" s="38" t="inlineStr">
        <is>
          <t xml:space="preserve">SRM BK25 </t>
        </is>
      </c>
      <c r="AA23" s="38" t="n"/>
      <c r="AB23" s="41">
        <f>IF(A23="","",IF(COUNTIF($A$6:$A$504,A23)&gt;1,"⚠ Duplicate",""))</f>
        <v/>
      </c>
      <c r="AC23" s="42" t="n">
        <v>0.05</v>
      </c>
      <c r="AD23" s="42" t="n">
        <v>0.05</v>
      </c>
      <c r="AE23" s="42" t="n">
        <v>0.05</v>
      </c>
      <c r="AF23" s="42" t="n">
        <v>0.07000000000000001</v>
      </c>
      <c r="AG23" s="42" t="n">
        <v>0.09</v>
      </c>
      <c r="AH23" s="42" t="n">
        <v>0.06</v>
      </c>
      <c r="AI23" s="42" t="n">
        <v>0.06</v>
      </c>
      <c r="AJ23" s="42" t="n">
        <v>0.01</v>
      </c>
      <c r="AK23" s="42" t="n">
        <v>0.01</v>
      </c>
      <c r="AL23" s="42" t="n">
        <v>0.01</v>
      </c>
      <c r="AM23" s="42" t="n">
        <v>0.01</v>
      </c>
      <c r="AN23" s="42" t="n">
        <v>0.01</v>
      </c>
      <c r="AO23" s="42" t="n">
        <v>0.04</v>
      </c>
      <c r="AP23" s="37" t="n">
        <v>0.001</v>
      </c>
      <c r="AQ23" s="10" t="n"/>
    </row>
    <row r="24" ht="18" customHeight="1" s="74">
      <c r="A24" s="32" t="inlineStr">
        <is>
          <t>SW31325</t>
        </is>
      </c>
      <c r="B24" s="32" t="inlineStr">
        <is>
          <t>MR DIY MY</t>
        </is>
      </c>
      <c r="C24" s="32" t="inlineStr">
        <is>
          <t>Malaysia ASIA</t>
        </is>
      </c>
      <c r="D24" s="32" t="n"/>
      <c r="E24" s="33" t="n">
        <v>2025</v>
      </c>
      <c r="F24" s="33" t="inlineStr">
        <is>
          <t>No</t>
        </is>
      </c>
      <c r="G24" s="33" t="n">
        <v>95</v>
      </c>
      <c r="H24" s="33" t="n">
        <v>31020</v>
      </c>
      <c r="I24" s="33" t="n">
        <v>0</v>
      </c>
      <c r="J24" s="33" t="n">
        <v>0</v>
      </c>
      <c r="K24" s="33" t="n">
        <v>15</v>
      </c>
      <c r="L24" s="33" t="n">
        <v>5000</v>
      </c>
      <c r="M24" s="33" t="n">
        <v>12</v>
      </c>
      <c r="N24" s="33" t="n">
        <v>30000</v>
      </c>
      <c r="O24" s="33" t="n">
        <v>1500</v>
      </c>
      <c r="P24" s="33" t="n">
        <v>500</v>
      </c>
      <c r="Q24" s="33" t="n">
        <v>60</v>
      </c>
      <c r="R24" s="33" t="n">
        <v>44</v>
      </c>
      <c r="S24" s="33" t="n">
        <v>29</v>
      </c>
      <c r="T24" s="33" t="n">
        <v>59</v>
      </c>
      <c r="U24" s="33" t="n">
        <v>88</v>
      </c>
      <c r="V24" s="33" t="n">
        <v>45</v>
      </c>
      <c r="W24" s="34" t="n">
        <v>142</v>
      </c>
      <c r="X24" s="33" t="inlineStr">
        <is>
          <t>USD</t>
        </is>
      </c>
      <c r="Y24" s="35" t="n">
        <v>30.45</v>
      </c>
      <c r="Z24" s="32" t="inlineStr">
        <is>
          <t>ASRS MCS DMS</t>
        </is>
      </c>
      <c r="AA24" s="32" t="n"/>
      <c r="AB24" s="36">
        <f>IF(A24="","",IF(COUNTIF($A$6:$A$504,A24)&gt;1,"⚠ Duplicate",""))</f>
        <v/>
      </c>
      <c r="AC24" s="43" t="n">
        <v>0.05</v>
      </c>
      <c r="AD24" s="43" t="n">
        <v>0.05</v>
      </c>
      <c r="AE24" s="43" t="n">
        <v>0.05</v>
      </c>
      <c r="AF24" s="43" t="n">
        <v>0.07000000000000001</v>
      </c>
      <c r="AG24" s="43" t="n">
        <v>0.09</v>
      </c>
      <c r="AH24" s="43" t="n">
        <v>0.06</v>
      </c>
      <c r="AI24" s="43" t="n">
        <v>0.06</v>
      </c>
      <c r="AJ24" s="43" t="n">
        <v>0.01</v>
      </c>
      <c r="AK24" s="43" t="n">
        <v>0.01</v>
      </c>
      <c r="AL24" s="43" t="n">
        <v>0.01</v>
      </c>
      <c r="AM24" s="43" t="n">
        <v>0.01</v>
      </c>
      <c r="AN24" s="43" t="n">
        <v>0.01</v>
      </c>
      <c r="AO24" s="43" t="n">
        <v>0.04</v>
      </c>
      <c r="AP24" s="37" t="n">
        <v>0.001</v>
      </c>
      <c r="AQ24" s="10" t="n"/>
    </row>
    <row r="25" ht="18" customHeight="1" s="74">
      <c r="A25" s="38" t="inlineStr">
        <is>
          <t>SW31244</t>
        </is>
      </c>
      <c r="B25" s="38" t="inlineStr">
        <is>
          <t>DHL (Project PEW+)</t>
        </is>
      </c>
      <c r="C25" s="38" t="inlineStr">
        <is>
          <t>Malaysia ASIA</t>
        </is>
      </c>
      <c r="D25" s="38" t="n"/>
      <c r="E25" s="39" t="n">
        <v>2022</v>
      </c>
      <c r="F25" s="39" t="inlineStr">
        <is>
          <t>No</t>
        </is>
      </c>
      <c r="G25" s="39" t="n">
        <v>0</v>
      </c>
      <c r="H25" s="39" t="n">
        <v>0</v>
      </c>
      <c r="I25" s="39" t="n">
        <v>0</v>
      </c>
      <c r="J25" s="39" t="n">
        <v>0</v>
      </c>
      <c r="K25" s="39" t="n">
        <v>0</v>
      </c>
      <c r="L25" s="39" t="n">
        <v>0</v>
      </c>
      <c r="M25" s="39" t="n">
        <v>2</v>
      </c>
      <c r="N25" s="39" t="n">
        <v>13500</v>
      </c>
      <c r="O25" s="39" t="n">
        <v>0</v>
      </c>
      <c r="P25" s="39" t="n">
        <v>34</v>
      </c>
      <c r="Q25" s="39" t="n">
        <v>51</v>
      </c>
      <c r="R25" s="39" t="n">
        <v>50</v>
      </c>
      <c r="S25" s="39" t="n">
        <v>0</v>
      </c>
      <c r="T25" s="39" t="n">
        <v>62</v>
      </c>
      <c r="U25" s="39" t="n">
        <v>20</v>
      </c>
      <c r="V25" s="39" t="n">
        <v>5</v>
      </c>
      <c r="W25" s="34" t="n">
        <v>80</v>
      </c>
      <c r="X25" s="39" t="inlineStr">
        <is>
          <t>MYR</t>
        </is>
      </c>
      <c r="Y25" s="40" t="n">
        <v>15.5</v>
      </c>
      <c r="Z25" s="38" t="inlineStr">
        <is>
          <t>SRM BK25</t>
        </is>
      </c>
      <c r="AA25" s="38" t="n"/>
      <c r="AB25" s="41">
        <f>IF(A25="","",IF(COUNTIF($A$6:$A$504,A25)&gt;1,"⚠ Duplicate",""))</f>
        <v/>
      </c>
      <c r="AC25" s="42" t="n">
        <v>0.05</v>
      </c>
      <c r="AD25" s="42" t="n">
        <v>0.05</v>
      </c>
      <c r="AE25" s="42" t="n">
        <v>0.05</v>
      </c>
      <c r="AF25" s="42" t="n">
        <v>0.07000000000000001</v>
      </c>
      <c r="AG25" s="42" t="n">
        <v>0.09</v>
      </c>
      <c r="AH25" s="42" t="n">
        <v>0.06</v>
      </c>
      <c r="AI25" s="42" t="n">
        <v>0.06</v>
      </c>
      <c r="AJ25" s="42" t="n">
        <v>0.01</v>
      </c>
      <c r="AK25" s="42" t="n">
        <v>0.01</v>
      </c>
      <c r="AL25" s="42" t="n">
        <v>0.01</v>
      </c>
      <c r="AM25" s="42" t="n">
        <v>0.01</v>
      </c>
      <c r="AN25" s="42" t="n">
        <v>0.01</v>
      </c>
      <c r="AO25" s="42" t="n">
        <v>0.04</v>
      </c>
      <c r="AP25" s="37" t="n">
        <v>0.001</v>
      </c>
      <c r="AQ25" s="10" t="n"/>
    </row>
    <row r="26" ht="18" customHeight="1" s="74">
      <c r="A26" s="32" t="inlineStr">
        <is>
          <t>SC22206</t>
        </is>
      </c>
      <c r="B26" s="32" t="inlineStr">
        <is>
          <t>FFDC Fairprice PH1</t>
        </is>
      </c>
      <c r="C26" s="32" t="inlineStr">
        <is>
          <t>Singapore ASIA</t>
        </is>
      </c>
      <c r="D26" s="32" t="inlineStr">
        <is>
          <t>Others/complex</t>
        </is>
      </c>
      <c r="E26" s="33" t="n">
        <v>2019</v>
      </c>
      <c r="F26" s="33" t="inlineStr">
        <is>
          <t>Yes</t>
        </is>
      </c>
      <c r="G26" s="33" t="n">
        <v>250</v>
      </c>
      <c r="H26" s="33" t="n">
        <v>120500</v>
      </c>
      <c r="I26" s="33" t="n">
        <v>0</v>
      </c>
      <c r="J26" s="33" t="n">
        <v>0</v>
      </c>
      <c r="K26" s="33" t="n">
        <v>0</v>
      </c>
      <c r="L26" s="33" t="n">
        <v>0</v>
      </c>
      <c r="M26" s="33" t="n">
        <v>12</v>
      </c>
      <c r="N26" s="33" t="n">
        <v>33000</v>
      </c>
      <c r="O26" s="33" t="n">
        <v>2300</v>
      </c>
      <c r="P26" s="33" t="n">
        <v>5000</v>
      </c>
      <c r="Q26" s="33" t="n">
        <v>58</v>
      </c>
      <c r="R26" s="33" t="n">
        <v>56</v>
      </c>
      <c r="S26" s="33" t="n">
        <v>24</v>
      </c>
      <c r="T26" s="33" t="n">
        <v>66</v>
      </c>
      <c r="U26" s="33" t="n">
        <v>40</v>
      </c>
      <c r="V26" s="33" t="n">
        <v>30</v>
      </c>
      <c r="W26" s="34" t="n">
        <v>114</v>
      </c>
      <c r="X26" s="33" t="inlineStr">
        <is>
          <t>SGD</t>
        </is>
      </c>
      <c r="Y26" s="40" t="n">
        <v>71</v>
      </c>
      <c r="Z26" s="32" t="inlineStr">
        <is>
          <t>SRM BK25 MCS DMS AMCAP MCP FMCF RGV LIFTER PALLET ELTEN SCHWINGHANDL NORIN SUZHOU MARKEM IMAJE METTLER TOLEDO</t>
        </is>
      </c>
      <c r="AA26" s="32" t="inlineStr">
        <is>
          <t>Actual timeline is much, much worse compared to handover</t>
        </is>
      </c>
      <c r="AB26" s="36">
        <f>IF(A26="","",IF(COUNTIF($A$6:$A$504,A26)&gt;1,"⚠ Duplicate",""))</f>
        <v/>
      </c>
      <c r="AC26" s="37" t="n">
        <v>0</v>
      </c>
      <c r="AD26" s="37" t="n">
        <v>0</v>
      </c>
      <c r="AE26" s="37" t="n">
        <v>0</v>
      </c>
      <c r="AF26" s="37" t="n">
        <v>0</v>
      </c>
      <c r="AG26" s="37" t="n">
        <v>0</v>
      </c>
      <c r="AH26" s="37" t="n">
        <v>0</v>
      </c>
      <c r="AI26" s="37" t="n">
        <v>0</v>
      </c>
      <c r="AJ26" s="37" t="n">
        <v>0</v>
      </c>
      <c r="AK26" s="37" t="n">
        <v>0</v>
      </c>
      <c r="AL26" s="37" t="n">
        <v>0</v>
      </c>
      <c r="AM26" s="37" t="n">
        <v>0</v>
      </c>
      <c r="AN26" s="37" t="n">
        <v>0</v>
      </c>
      <c r="AO26" s="37" t="n">
        <v>0</v>
      </c>
      <c r="AP26" s="37" t="n">
        <v>0</v>
      </c>
      <c r="AQ26" s="10" t="n"/>
    </row>
    <row r="27" ht="18" customHeight="1" s="74">
      <c r="A27" s="38" t="inlineStr">
        <is>
          <t>SW31186</t>
        </is>
      </c>
      <c r="B27" s="38" t="inlineStr">
        <is>
          <t>Gudang Garam H</t>
        </is>
      </c>
      <c r="C27" s="38" t="inlineStr">
        <is>
          <t>Indonesia ASIA</t>
        </is>
      </c>
      <c r="D27" s="38" t="inlineStr">
        <is>
          <t>Pallet Hotel</t>
        </is>
      </c>
      <c r="E27" s="39" t="n">
        <v>2021</v>
      </c>
      <c r="F27" s="39" t="inlineStr">
        <is>
          <t>Yes</t>
        </is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3</v>
      </c>
      <c r="N27" s="39" t="n">
        <v>75000</v>
      </c>
      <c r="O27" s="39" t="n">
        <v>0</v>
      </c>
      <c r="P27" s="39" t="n">
        <v>100</v>
      </c>
      <c r="Q27" s="39" t="n">
        <v>28</v>
      </c>
      <c r="R27" s="39" t="n">
        <v>24</v>
      </c>
      <c r="S27" s="39" t="n">
        <v>4</v>
      </c>
      <c r="T27" s="39" t="n">
        <v>24</v>
      </c>
      <c r="U27" s="39" t="n">
        <v>28</v>
      </c>
      <c r="V27" s="39" t="n">
        <v>12</v>
      </c>
      <c r="W27" s="34" t="n">
        <v>52</v>
      </c>
      <c r="X27" s="39" t="inlineStr">
        <is>
          <t>EUR</t>
        </is>
      </c>
      <c r="Y27" s="40" t="n">
        <v>11.7</v>
      </c>
      <c r="Z27" s="38" t="inlineStr">
        <is>
          <t>SRM BK25 Shuttlecar</t>
        </is>
      </c>
      <c r="AA27" s="38" t="n"/>
      <c r="AB27" s="41">
        <f>IF(A27="","",IF(COUNTIF($A$6:$A$504,A27)&gt;1,"⚠ Duplicate",""))</f>
        <v/>
      </c>
      <c r="AC27" s="37" t="n">
        <v>0</v>
      </c>
      <c r="AD27" s="37" t="n">
        <v>0</v>
      </c>
      <c r="AE27" s="37" t="n">
        <v>0</v>
      </c>
      <c r="AF27" s="37" t="n">
        <v>0</v>
      </c>
      <c r="AG27" s="37" t="n">
        <v>0</v>
      </c>
      <c r="AH27" s="37" t="n">
        <v>0</v>
      </c>
      <c r="AI27" s="37" t="n">
        <v>0</v>
      </c>
      <c r="AJ27" s="37" t="n">
        <v>0</v>
      </c>
      <c r="AK27" s="37" t="n">
        <v>0</v>
      </c>
      <c r="AL27" s="37" t="n">
        <v>0</v>
      </c>
      <c r="AM27" s="37" t="n">
        <v>0</v>
      </c>
      <c r="AN27" s="37" t="n">
        <v>0</v>
      </c>
      <c r="AO27" s="37" t="n">
        <v>0</v>
      </c>
      <c r="AP27" s="37" t="n">
        <v>0</v>
      </c>
      <c r="AQ27" s="10" t="n"/>
    </row>
    <row r="28" ht="18" customHeight="1" s="74">
      <c r="A28" s="32" t="inlineStr">
        <is>
          <t>SC22167</t>
        </is>
      </c>
      <c r="B28" s="32" t="inlineStr">
        <is>
          <t>Jabil Autostore</t>
        </is>
      </c>
      <c r="C28" s="32" t="inlineStr">
        <is>
          <t>Malaysia ASIA</t>
        </is>
      </c>
      <c r="D28" s="32" t="inlineStr">
        <is>
          <t>Autostore</t>
        </is>
      </c>
      <c r="E28" s="33" t="n">
        <v>2019</v>
      </c>
      <c r="F28" s="33" t="inlineStr">
        <is>
          <t>Yes</t>
        </is>
      </c>
      <c r="G28" s="33" t="n">
        <v>0</v>
      </c>
      <c r="H28" s="33" t="n">
        <v>0</v>
      </c>
      <c r="I28" s="33" t="n">
        <v>4</v>
      </c>
      <c r="J28" s="33" t="n">
        <v>6700</v>
      </c>
      <c r="K28" s="33" t="n">
        <v>0</v>
      </c>
      <c r="L28" s="33" t="n">
        <v>0</v>
      </c>
      <c r="M28" s="33" t="n">
        <v>0</v>
      </c>
      <c r="N28" s="33" t="n">
        <v>0</v>
      </c>
      <c r="O28" s="33" t="n">
        <v>0</v>
      </c>
      <c r="P28" s="33" t="n">
        <v>0</v>
      </c>
      <c r="Q28" s="33" t="n">
        <v>21</v>
      </c>
      <c r="R28" s="33" t="n">
        <v>2</v>
      </c>
      <c r="S28" s="33" t="n">
        <v>2</v>
      </c>
      <c r="T28" s="33" t="n">
        <v>18</v>
      </c>
      <c r="U28" s="33" t="n">
        <v>7</v>
      </c>
      <c r="V28" s="33" t="n">
        <v>4</v>
      </c>
      <c r="W28" s="34" t="n">
        <v>24</v>
      </c>
      <c r="X28" s="33" t="inlineStr">
        <is>
          <t>USD</t>
        </is>
      </c>
      <c r="Y28" s="40" t="n">
        <v>1</v>
      </c>
      <c r="Z28" s="32" t="inlineStr">
        <is>
          <t>Autostore</t>
        </is>
      </c>
      <c r="AA28" s="32" t="n"/>
      <c r="AB28" s="36">
        <f>IF(A28="","",IF(COUNTIF($A$6:$A$504,A28)&gt;1,"⚠ Duplicate",""))</f>
        <v/>
      </c>
      <c r="AC28" s="37" t="n">
        <v>0</v>
      </c>
      <c r="AD28" s="37" t="n">
        <v>0</v>
      </c>
      <c r="AE28" s="37" t="n">
        <v>0</v>
      </c>
      <c r="AF28" s="37" t="n">
        <v>0</v>
      </c>
      <c r="AG28" s="37" t="n">
        <v>0</v>
      </c>
      <c r="AH28" s="37" t="n">
        <v>0</v>
      </c>
      <c r="AI28" s="37" t="n">
        <v>0</v>
      </c>
      <c r="AJ28" s="37" t="n">
        <v>0</v>
      </c>
      <c r="AK28" s="37" t="n">
        <v>0</v>
      </c>
      <c r="AL28" s="37" t="n">
        <v>0</v>
      </c>
      <c r="AM28" s="37" t="n">
        <v>0</v>
      </c>
      <c r="AN28" s="37" t="n">
        <v>0</v>
      </c>
      <c r="AO28" s="37" t="n">
        <v>0</v>
      </c>
      <c r="AP28" s="37" t="n">
        <v>0</v>
      </c>
      <c r="AQ28" s="10" t="n"/>
    </row>
    <row r="29" ht="18" customHeight="1" s="74">
      <c r="A29" s="38" t="inlineStr">
        <is>
          <t>SW31240</t>
        </is>
      </c>
      <c r="B29" s="38" t="inlineStr">
        <is>
          <t>CJ iHerb</t>
        </is>
      </c>
      <c r="C29" s="38" t="inlineStr">
        <is>
          <t>Korea ASIA</t>
        </is>
      </c>
      <c r="D29" s="38" t="inlineStr">
        <is>
          <t>Autostore</t>
        </is>
      </c>
      <c r="E29" s="39" t="n">
        <v>2023</v>
      </c>
      <c r="F29" s="39" t="inlineStr">
        <is>
          <t>Yes</t>
        </is>
      </c>
      <c r="G29" s="39" t="n">
        <v>0</v>
      </c>
      <c r="H29" s="39" t="n">
        <v>0</v>
      </c>
      <c r="I29" s="39" t="n">
        <v>140</v>
      </c>
      <c r="J29" s="39" t="n">
        <v>93000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80</v>
      </c>
      <c r="P29" s="39" t="n">
        <v>0</v>
      </c>
      <c r="Q29" s="39" t="n">
        <v>23</v>
      </c>
      <c r="R29" s="39" t="n">
        <v>10</v>
      </c>
      <c r="S29" s="39" t="n">
        <v>13</v>
      </c>
      <c r="T29" s="39" t="n">
        <v>20</v>
      </c>
      <c r="U29" s="39" t="n">
        <v>9</v>
      </c>
      <c r="V29" s="39" t="n">
        <v>12</v>
      </c>
      <c r="W29" s="34" t="n">
        <v>38</v>
      </c>
      <c r="X29" s="39" t="inlineStr">
        <is>
          <t>USD</t>
        </is>
      </c>
      <c r="Y29" s="40" t="n">
        <v>10.3</v>
      </c>
      <c r="Z29" s="38" t="inlineStr">
        <is>
          <t>Autostore MCS</t>
        </is>
      </c>
      <c r="AA29" s="38" t="n"/>
      <c r="AB29" s="41">
        <f>IF(A29="","",IF(COUNTIF($A$6:$A$504,A29)&gt;1,"⚠ Duplicate",""))</f>
        <v/>
      </c>
      <c r="AC29" s="37" t="n">
        <v>0</v>
      </c>
      <c r="AD29" s="37" t="n">
        <v>0</v>
      </c>
      <c r="AE29" s="37" t="n">
        <v>0</v>
      </c>
      <c r="AF29" s="37" t="n">
        <v>0</v>
      </c>
      <c r="AG29" s="37" t="n">
        <v>0</v>
      </c>
      <c r="AH29" s="37" t="n">
        <v>0</v>
      </c>
      <c r="AI29" s="37" t="n">
        <v>0</v>
      </c>
      <c r="AJ29" s="37" t="n">
        <v>0</v>
      </c>
      <c r="AK29" s="37" t="n">
        <v>0</v>
      </c>
      <c r="AL29" s="37" t="n">
        <v>0</v>
      </c>
      <c r="AM29" s="37" t="n">
        <v>0</v>
      </c>
      <c r="AN29" s="37" t="n">
        <v>0</v>
      </c>
      <c r="AO29" s="37" t="n">
        <v>0</v>
      </c>
      <c r="AP29" s="37" t="n">
        <v>0</v>
      </c>
      <c r="AQ29" s="10" t="n"/>
    </row>
    <row r="30" ht="18" customHeight="1" s="74">
      <c r="A30" s="32" t="inlineStr">
        <is>
          <t>SC22204</t>
        </is>
      </c>
      <c r="B30" s="32" t="inlineStr">
        <is>
          <t>Coupang Autostore</t>
        </is>
      </c>
      <c r="C30" s="32" t="inlineStr">
        <is>
          <t>Korea ASIA</t>
        </is>
      </c>
      <c r="D30" s="32" t="inlineStr">
        <is>
          <t>Autostore</t>
        </is>
      </c>
      <c r="E30" s="33" t="n">
        <v>2024</v>
      </c>
      <c r="F30" s="33" t="inlineStr">
        <is>
          <t>Yes</t>
        </is>
      </c>
      <c r="G30" s="33" t="n">
        <v>0</v>
      </c>
      <c r="H30" s="33" t="n">
        <v>0</v>
      </c>
      <c r="I30" s="33" t="n">
        <v>500</v>
      </c>
      <c r="J30" s="33" t="n">
        <v>200000</v>
      </c>
      <c r="K30" s="33" t="n">
        <v>0</v>
      </c>
      <c r="L30" s="33" t="n">
        <v>0</v>
      </c>
      <c r="M30" s="33" t="n">
        <v>0</v>
      </c>
      <c r="N30" s="33" t="n">
        <v>0</v>
      </c>
      <c r="O30" s="33" t="n">
        <v>0</v>
      </c>
      <c r="P30" s="33" t="n">
        <v>0</v>
      </c>
      <c r="Q30" s="33" t="n">
        <v>16</v>
      </c>
      <c r="R30" s="33" t="n">
        <v>7</v>
      </c>
      <c r="S30" s="33" t="n">
        <v>7</v>
      </c>
      <c r="T30" s="33" t="n">
        <v>29</v>
      </c>
      <c r="U30" s="33" t="n">
        <v>12</v>
      </c>
      <c r="V30" s="33" t="n">
        <v>17</v>
      </c>
      <c r="W30" s="34" t="n">
        <v>46</v>
      </c>
      <c r="X30" s="33" t="inlineStr">
        <is>
          <t>USD</t>
        </is>
      </c>
      <c r="Y30" s="40" t="n">
        <v>9.220000000000001</v>
      </c>
      <c r="Z30" s="32" t="inlineStr">
        <is>
          <t>Autostore PTL</t>
        </is>
      </c>
      <c r="AA30" s="32" t="n"/>
      <c r="AB30" s="36">
        <f>IF(A30="","",IF(COUNTIF($A$6:$A$504,A30)&gt;1,"⚠ Duplicate",""))</f>
        <v/>
      </c>
      <c r="AC30" s="43" t="n">
        <v>0.05985533802247048</v>
      </c>
      <c r="AD30" s="43" t="n">
        <v>0</v>
      </c>
      <c r="AE30" s="43" t="n">
        <v>0.04870852701722641</v>
      </c>
      <c r="AF30" s="43" t="n">
        <v>0.005023804116824426</v>
      </c>
      <c r="AG30" s="43" t="n">
        <v>0.08714148677968518</v>
      </c>
      <c r="AH30" s="43" t="n">
        <v>0</v>
      </c>
      <c r="AI30" s="43" t="n">
        <v>0.03602870021356722</v>
      </c>
      <c r="AJ30" s="43" t="n">
        <v>0.0007519604156778079</v>
      </c>
      <c r="AK30" s="43" t="n">
        <v>0</v>
      </c>
      <c r="AL30" s="43" t="n">
        <v>0.02176747645695123</v>
      </c>
      <c r="AM30" s="43" t="n">
        <v>0.002879828389139048</v>
      </c>
      <c r="AN30" s="43" t="n">
        <v>0</v>
      </c>
      <c r="AO30" s="43" t="n">
        <v>0.07060868402455088</v>
      </c>
      <c r="AP30" s="37" t="n">
        <v>0.02288249766353828</v>
      </c>
    </row>
    <row r="31" ht="18" customHeight="1" s="74">
      <c r="A31" s="38" t="inlineStr">
        <is>
          <t>SC22076</t>
        </is>
      </c>
      <c r="B31" s="38" t="inlineStr">
        <is>
          <t>Lazada PH1</t>
        </is>
      </c>
      <c r="C31" s="38" t="inlineStr">
        <is>
          <t>Thailand ASIA</t>
        </is>
      </c>
      <c r="D31" s="38" t="inlineStr">
        <is>
          <t>Others/complex</t>
        </is>
      </c>
      <c r="E31" s="39" t="n">
        <v>2019</v>
      </c>
      <c r="F31" s="39" t="inlineStr">
        <is>
          <t>Yes</t>
        </is>
      </c>
      <c r="G31" s="39" t="n">
        <v>0</v>
      </c>
      <c r="H31" s="39" t="n">
        <v>0</v>
      </c>
      <c r="I31" s="39" t="n">
        <v>0</v>
      </c>
      <c r="J31" s="39" t="n">
        <v>0</v>
      </c>
      <c r="K31" s="39" t="n">
        <v>0</v>
      </c>
      <c r="L31" s="39" t="n">
        <v>0</v>
      </c>
      <c r="M31" s="39" t="n">
        <v>0</v>
      </c>
      <c r="N31" s="39" t="n">
        <v>0</v>
      </c>
      <c r="O31" s="39" t="n">
        <v>2200</v>
      </c>
      <c r="P31" s="39" t="n">
        <v>0</v>
      </c>
      <c r="Q31" s="39" t="n">
        <v>28</v>
      </c>
      <c r="R31" s="39" t="n">
        <v>29</v>
      </c>
      <c r="S31" s="39" t="n">
        <v>0</v>
      </c>
      <c r="T31" s="39" t="n">
        <v>23</v>
      </c>
      <c r="U31" s="39" t="n">
        <v>22</v>
      </c>
      <c r="V31" s="39" t="n">
        <v>15</v>
      </c>
      <c r="W31" s="34" t="n">
        <v>47</v>
      </c>
      <c r="X31" s="39" t="inlineStr">
        <is>
          <t>USD</t>
        </is>
      </c>
      <c r="Y31" s="40" t="n">
        <v>10.7</v>
      </c>
      <c r="Z31" s="38" t="inlineStr">
        <is>
          <t>XB Sorter CBS crossbelt MCS PTL Mezzanine Rack</t>
        </is>
      </c>
      <c r="AA31" s="38" t="n"/>
      <c r="AB31" s="41">
        <f>IF(A31="","",IF(COUNTIF($A$6:$A$504,A31)&gt;1,"⚠ Duplicate",""))</f>
        <v/>
      </c>
      <c r="AC31" s="37" t="n">
        <v>0</v>
      </c>
      <c r="AD31" s="37" t="n">
        <v>0</v>
      </c>
      <c r="AE31" s="37" t="n">
        <v>0</v>
      </c>
      <c r="AF31" s="37" t="n">
        <v>0</v>
      </c>
      <c r="AG31" s="37" t="n">
        <v>0</v>
      </c>
      <c r="AH31" s="37" t="n">
        <v>0</v>
      </c>
      <c r="AI31" s="37" t="n">
        <v>0</v>
      </c>
      <c r="AJ31" s="37" t="n">
        <v>0</v>
      </c>
      <c r="AK31" s="37" t="n">
        <v>0</v>
      </c>
      <c r="AL31" s="37" t="n">
        <v>0</v>
      </c>
      <c r="AM31" s="37" t="n">
        <v>0</v>
      </c>
      <c r="AN31" s="37" t="n">
        <v>0</v>
      </c>
      <c r="AO31" s="37" t="n">
        <v>0</v>
      </c>
      <c r="AP31" s="37" t="n">
        <v>0</v>
      </c>
      <c r="AQ31" s="10" t="n"/>
    </row>
    <row r="32" ht="18" customHeight="1" s="74">
      <c r="A32" s="32" t="inlineStr">
        <is>
          <t>SC22088</t>
        </is>
      </c>
      <c r="B32" s="32" t="inlineStr">
        <is>
          <t>LG -CNS Megahub</t>
        </is>
      </c>
      <c r="C32" s="32" t="inlineStr">
        <is>
          <t>Korea ASIA</t>
        </is>
      </c>
      <c r="D32" s="32" t="n"/>
      <c r="E32" s="33" t="n">
        <v>2021</v>
      </c>
      <c r="F32" s="33" t="n"/>
      <c r="G32" s="33" t="n">
        <v>0</v>
      </c>
      <c r="H32" s="33" t="n">
        <v>0</v>
      </c>
      <c r="I32" s="33" t="n">
        <v>0</v>
      </c>
      <c r="J32" s="33" t="n">
        <v>0</v>
      </c>
      <c r="K32" s="33" t="n">
        <v>0</v>
      </c>
      <c r="L32" s="33" t="n">
        <v>0</v>
      </c>
      <c r="M32" s="33" t="n">
        <v>0</v>
      </c>
      <c r="N32" s="33" t="n">
        <v>0</v>
      </c>
      <c r="O32" s="33" t="n">
        <v>3000</v>
      </c>
      <c r="P32" s="33" t="n">
        <v>0</v>
      </c>
      <c r="Q32" s="33" t="n">
        <v>66</v>
      </c>
      <c r="R32" s="33" t="n">
        <v>32</v>
      </c>
      <c r="S32" s="33" t="n">
        <v>0</v>
      </c>
      <c r="T32" s="33" t="n">
        <v>49</v>
      </c>
      <c r="U32" s="33" t="n">
        <v>36</v>
      </c>
      <c r="V32" s="33" t="n">
        <v>24</v>
      </c>
      <c r="W32" s="34" t="n">
        <v>100</v>
      </c>
      <c r="X32" s="33" t="inlineStr">
        <is>
          <t>EUR</t>
        </is>
      </c>
      <c r="Y32" s="40" t="n">
        <v>37.75</v>
      </c>
      <c r="Z32" s="32" t="inlineStr">
        <is>
          <t xml:space="preserve">XB Sorter CBS crossbelt MCS </t>
        </is>
      </c>
      <c r="AA32" s="32" t="inlineStr">
        <is>
          <t>Purely sortation system only</t>
        </is>
      </c>
      <c r="AB32" s="36">
        <f>IF(A32="","",IF(COUNTIF($A$6:$A$504,A32)&gt;1,"⚠ Duplicate",""))</f>
        <v/>
      </c>
      <c r="AC32" s="43" t="n">
        <v>0.05</v>
      </c>
      <c r="AD32" s="43" t="n">
        <v>0.05</v>
      </c>
      <c r="AE32" s="43" t="n">
        <v>0.05</v>
      </c>
      <c r="AF32" s="43" t="n">
        <v>0.07000000000000001</v>
      </c>
      <c r="AG32" s="43" t="n">
        <v>0.09</v>
      </c>
      <c r="AH32" s="43" t="n">
        <v>0.06</v>
      </c>
      <c r="AI32" s="43" t="n">
        <v>0.06</v>
      </c>
      <c r="AJ32" s="43" t="n">
        <v>0.01</v>
      </c>
      <c r="AK32" s="43" t="n">
        <v>0.01</v>
      </c>
      <c r="AL32" s="43" t="n">
        <v>0.01</v>
      </c>
      <c r="AM32" s="43" t="n">
        <v>0.01</v>
      </c>
      <c r="AN32" s="43" t="n">
        <v>0.01</v>
      </c>
      <c r="AO32" s="43" t="n">
        <v>0.04</v>
      </c>
      <c r="AP32" s="37" t="n">
        <v>0.001</v>
      </c>
      <c r="AQ32" s="10" t="n"/>
    </row>
    <row r="33" ht="18" customHeight="1" s="74">
      <c r="A33" s="38" t="inlineStr">
        <is>
          <t>SW31150</t>
        </is>
      </c>
      <c r="B33" s="38" t="inlineStr">
        <is>
          <t>Lotte Chilsung</t>
        </is>
      </c>
      <c r="C33" s="38" t="inlineStr">
        <is>
          <t>Korea ASIA</t>
        </is>
      </c>
      <c r="D33" s="38" t="inlineStr">
        <is>
          <t>Others/complex</t>
        </is>
      </c>
      <c r="E33" s="39" t="n">
        <v>2020</v>
      </c>
      <c r="F33" s="39" t="inlineStr">
        <is>
          <t>Yes</t>
        </is>
      </c>
      <c r="G33" s="39" t="n">
        <v>64</v>
      </c>
      <c r="H33" s="39" t="n">
        <v>20500</v>
      </c>
      <c r="I33" s="39" t="n">
        <v>0</v>
      </c>
      <c r="J33" s="39" t="n">
        <v>0</v>
      </c>
      <c r="K33" s="39" t="n">
        <v>3</v>
      </c>
      <c r="L33" s="39" t="n">
        <v>800</v>
      </c>
      <c r="M33" s="39" t="n">
        <v>3</v>
      </c>
      <c r="N33" s="39" t="n">
        <v>8200</v>
      </c>
      <c r="O33" s="39" t="n">
        <v>120</v>
      </c>
      <c r="P33" s="39" t="n">
        <v>300</v>
      </c>
      <c r="Q33" s="39" t="n">
        <v>48</v>
      </c>
      <c r="R33" s="39" t="n">
        <v>58</v>
      </c>
      <c r="S33" s="39" t="n">
        <v>0</v>
      </c>
      <c r="T33" s="39" t="n">
        <v>54</v>
      </c>
      <c r="U33" s="39" t="n">
        <v>40</v>
      </c>
      <c r="V33" s="39" t="n">
        <v>27</v>
      </c>
      <c r="W33" s="34" t="n">
        <v>104</v>
      </c>
      <c r="X33" s="39" t="inlineStr">
        <is>
          <t>USD</t>
        </is>
      </c>
      <c r="Y33" s="40" t="n">
        <v>22.2</v>
      </c>
      <c r="Z33" s="38" t="inlineStr">
        <is>
          <t>SRM BK25 MCS DMS 2WS AMCAP MCP FMCF RGV LIFTER PALLET ELTEN SCHWINGHANDL NORIN SUZHOU MARKEM IMAJE METTLER TOLEDO KAIXIN</t>
        </is>
      </c>
      <c r="AA33" s="38" t="n"/>
      <c r="AB33" s="41">
        <f>IF(A33="","",IF(COUNTIF($A$6:$A$504,A33)&gt;1,"⚠ Duplicate",""))</f>
        <v/>
      </c>
      <c r="AC33" s="37" t="n">
        <v>0</v>
      </c>
      <c r="AD33" s="37" t="n">
        <v>0</v>
      </c>
      <c r="AE33" s="37" t="n">
        <v>0</v>
      </c>
      <c r="AF33" s="37" t="n">
        <v>0</v>
      </c>
      <c r="AG33" s="37" t="n">
        <v>0</v>
      </c>
      <c r="AH33" s="37" t="n">
        <v>0</v>
      </c>
      <c r="AI33" s="37" t="n">
        <v>0</v>
      </c>
      <c r="AJ33" s="37" t="n">
        <v>0</v>
      </c>
      <c r="AK33" s="37" t="n">
        <v>0</v>
      </c>
      <c r="AL33" s="37" t="n">
        <v>0</v>
      </c>
      <c r="AM33" s="37" t="n">
        <v>0</v>
      </c>
      <c r="AN33" s="37" t="n">
        <v>0</v>
      </c>
      <c r="AO33" s="37" t="n">
        <v>0</v>
      </c>
      <c r="AP33" s="37" t="n">
        <v>0</v>
      </c>
      <c r="AQ33" s="10" t="n"/>
    </row>
    <row r="34" ht="18" customHeight="1" s="74">
      <c r="A34" s="32" t="inlineStr">
        <is>
          <t>SW31157</t>
        </is>
      </c>
      <c r="B34" s="32" t="inlineStr">
        <is>
          <t>Lotte LGL Youngnam</t>
        </is>
      </c>
      <c r="C34" s="32" t="inlineStr">
        <is>
          <t>Korea ASIA</t>
        </is>
      </c>
      <c r="D34" s="32" t="inlineStr">
        <is>
          <t>Others/complex</t>
        </is>
      </c>
      <c r="E34" s="33" t="n">
        <v>2020</v>
      </c>
      <c r="F34" s="33" t="inlineStr">
        <is>
          <t>Yes</t>
        </is>
      </c>
      <c r="G34" s="33" t="n">
        <v>56</v>
      </c>
      <c r="H34" s="33" t="n">
        <v>27500</v>
      </c>
      <c r="I34" s="33" t="n">
        <v>0</v>
      </c>
      <c r="J34" s="33" t="n">
        <v>0</v>
      </c>
      <c r="K34" s="33" t="n">
        <v>0</v>
      </c>
      <c r="L34" s="33" t="n">
        <v>0</v>
      </c>
      <c r="M34" s="33" t="n">
        <v>4</v>
      </c>
      <c r="N34" s="33" t="n">
        <v>8000</v>
      </c>
      <c r="O34" s="33" t="n">
        <v>1400</v>
      </c>
      <c r="P34" s="33" t="n">
        <v>400</v>
      </c>
      <c r="Q34" s="33" t="n">
        <v>38</v>
      </c>
      <c r="R34" s="33" t="n">
        <v>35</v>
      </c>
      <c r="S34" s="33" t="n">
        <v>16</v>
      </c>
      <c r="T34" s="33" t="n">
        <v>42</v>
      </c>
      <c r="U34" s="33" t="n">
        <v>32</v>
      </c>
      <c r="V34" s="33" t="n">
        <v>31</v>
      </c>
      <c r="W34" s="34" t="n">
        <v>89</v>
      </c>
      <c r="X34" s="33" t="inlineStr">
        <is>
          <t>USD</t>
        </is>
      </c>
      <c r="Y34" s="40" t="n">
        <v>22.9</v>
      </c>
      <c r="Z34" s="32" t="inlineStr">
        <is>
          <t>SRM  BK25 DMS MCS ELTEN QIMAROX Mezz PTL Robot Layer Picker</t>
        </is>
      </c>
      <c r="AA34" s="32" t="n"/>
      <c r="AB34" s="36">
        <f>IF(A34="","",IF(COUNTIF($A$6:$A$504,A34)&gt;1,"⚠ Duplicate",""))</f>
        <v/>
      </c>
      <c r="AC34" s="37" t="n">
        <v>0</v>
      </c>
      <c r="AD34" s="37" t="n">
        <v>0</v>
      </c>
      <c r="AE34" s="37" t="n">
        <v>0</v>
      </c>
      <c r="AF34" s="37" t="n">
        <v>0</v>
      </c>
      <c r="AG34" s="37" t="n">
        <v>0</v>
      </c>
      <c r="AH34" s="37" t="n">
        <v>0</v>
      </c>
      <c r="AI34" s="37" t="n">
        <v>0</v>
      </c>
      <c r="AJ34" s="37" t="n">
        <v>0</v>
      </c>
      <c r="AK34" s="37" t="n">
        <v>0</v>
      </c>
      <c r="AL34" s="37" t="n">
        <v>0</v>
      </c>
      <c r="AM34" s="37" t="n">
        <v>0</v>
      </c>
      <c r="AN34" s="37" t="n">
        <v>0</v>
      </c>
      <c r="AO34" s="37" t="n">
        <v>0</v>
      </c>
      <c r="AP34" s="37" t="n">
        <v>0</v>
      </c>
      <c r="AQ34" s="10" t="n"/>
    </row>
    <row r="35" ht="18" customHeight="1" s="74">
      <c r="A35" s="38" t="inlineStr">
        <is>
          <t>SC22094</t>
        </is>
      </c>
      <c r="B35" s="38" t="inlineStr">
        <is>
          <t>Hsu Maw Autostore</t>
        </is>
      </c>
      <c r="C35" s="38" t="inlineStr">
        <is>
          <t>Taiwan ASIA</t>
        </is>
      </c>
      <c r="D35" s="38" t="inlineStr">
        <is>
          <t>Autostore</t>
        </is>
      </c>
      <c r="E35" s="39" t="n">
        <v>2021</v>
      </c>
      <c r="F35" s="39" t="inlineStr">
        <is>
          <t>Yes</t>
        </is>
      </c>
      <c r="G35" s="39" t="n">
        <v>0</v>
      </c>
      <c r="H35" s="39" t="n">
        <v>0</v>
      </c>
      <c r="I35" s="39" t="n">
        <v>5</v>
      </c>
      <c r="J35" s="39" t="n">
        <v>15000</v>
      </c>
      <c r="K35" s="39" t="n">
        <v>0</v>
      </c>
      <c r="L35" s="39" t="n">
        <v>0</v>
      </c>
      <c r="M35" s="39" t="n">
        <v>0</v>
      </c>
      <c r="N35" s="39" t="n">
        <v>0</v>
      </c>
      <c r="O35" s="39" t="n">
        <v>0</v>
      </c>
      <c r="P35" s="39" t="n">
        <v>0</v>
      </c>
      <c r="Q35" s="39" t="n">
        <v>20</v>
      </c>
      <c r="R35" s="39" t="n">
        <v>2</v>
      </c>
      <c r="S35" s="39" t="n">
        <v>4</v>
      </c>
      <c r="T35" s="39" t="n">
        <v>24</v>
      </c>
      <c r="U35" s="39" t="n">
        <v>6</v>
      </c>
      <c r="V35" s="39" t="n">
        <v>5</v>
      </c>
      <c r="W35" s="34" t="n">
        <v>34</v>
      </c>
      <c r="X35" s="39" t="inlineStr">
        <is>
          <t>USD</t>
        </is>
      </c>
      <c r="Y35" s="40" t="n">
        <v>1.02</v>
      </c>
      <c r="Z35" s="38" t="inlineStr">
        <is>
          <t>Autostore</t>
        </is>
      </c>
      <c r="AA35" s="38" t="n"/>
      <c r="AB35" s="41">
        <f>IF(A35="","",IF(COUNTIF($A$6:$A$504,A35)&gt;1,"⚠ Duplicate",""))</f>
        <v/>
      </c>
      <c r="AC35" s="37" t="n">
        <v>0</v>
      </c>
      <c r="AD35" s="37" t="n">
        <v>0</v>
      </c>
      <c r="AE35" s="37" t="n">
        <v>0.04872205363088507</v>
      </c>
      <c r="AF35" s="37" t="n">
        <v>0</v>
      </c>
      <c r="AG35" s="37" t="n">
        <v>0.00628505670706197</v>
      </c>
      <c r="AH35" s="37" t="n">
        <v>0</v>
      </c>
      <c r="AI35" s="37" t="n">
        <v>0.02412028341525975</v>
      </c>
      <c r="AJ35" s="37" t="n">
        <v>0.08882880145980918</v>
      </c>
      <c r="AK35" s="37" t="n">
        <v>0</v>
      </c>
      <c r="AL35" s="37" t="n">
        <v>0</v>
      </c>
      <c r="AM35" s="37" t="n">
        <v>0</v>
      </c>
      <c r="AN35" s="37" t="n">
        <v>0</v>
      </c>
      <c r="AO35" s="37" t="n">
        <v>0.02466168959396852</v>
      </c>
      <c r="AP35" s="37" t="n">
        <v>0</v>
      </c>
    </row>
    <row r="36" ht="18" customHeight="1" s="74">
      <c r="A36" s="32" t="inlineStr">
        <is>
          <t>SW31193</t>
        </is>
      </c>
      <c r="B36" s="32" t="inlineStr">
        <is>
          <t>LF Phoenix ASRS</t>
        </is>
      </c>
      <c r="C36" s="32" t="inlineStr">
        <is>
          <t>Malaysia ASIA</t>
        </is>
      </c>
      <c r="D36" s="32" t="inlineStr">
        <is>
          <t>Pallet Hotel</t>
        </is>
      </c>
      <c r="E36" s="33" t="n">
        <v>2023</v>
      </c>
      <c r="F36" s="33" t="inlineStr">
        <is>
          <t>Yes</t>
        </is>
      </c>
      <c r="G36" s="33" t="n">
        <v>0</v>
      </c>
      <c r="H36" s="33" t="n">
        <v>0</v>
      </c>
      <c r="I36" s="33" t="n">
        <v>0</v>
      </c>
      <c r="J36" s="33" t="n">
        <v>0</v>
      </c>
      <c r="K36" s="33" t="n">
        <v>0</v>
      </c>
      <c r="L36" s="33" t="n">
        <v>0</v>
      </c>
      <c r="M36" s="33" t="n">
        <v>7</v>
      </c>
      <c r="N36" s="33" t="n">
        <v>0</v>
      </c>
      <c r="O36" s="33" t="n">
        <v>0</v>
      </c>
      <c r="P36" s="33" t="n">
        <v>500</v>
      </c>
      <c r="Q36" s="33" t="n">
        <v>36</v>
      </c>
      <c r="R36" s="33" t="n">
        <v>34</v>
      </c>
      <c r="S36" s="33" t="n">
        <v>16</v>
      </c>
      <c r="T36" s="33" t="n">
        <v>42</v>
      </c>
      <c r="U36" s="33" t="n">
        <v>27</v>
      </c>
      <c r="V36" s="33" t="n">
        <v>26</v>
      </c>
      <c r="W36" s="34" t="n">
        <v>75</v>
      </c>
      <c r="X36" s="33" t="inlineStr">
        <is>
          <t>MYR</t>
        </is>
      </c>
      <c r="Y36" s="40" t="n">
        <v>24.29</v>
      </c>
      <c r="Z36" s="32" t="inlineStr">
        <is>
          <t>SRM BK25</t>
        </is>
      </c>
      <c r="AA36" s="32" t="inlineStr">
        <is>
          <t>Racking not in scope</t>
        </is>
      </c>
      <c r="AB36" s="36">
        <f>IF(A36="","",IF(COUNTIF($A$6:$A$504,A36)&gt;1,"⚠ Duplicate",""))</f>
        <v/>
      </c>
      <c r="AC36" s="43" t="n">
        <v>0.03963368956135951</v>
      </c>
      <c r="AD36" s="43" t="n">
        <v>0.03064751543143669</v>
      </c>
      <c r="AE36" s="43" t="n">
        <v>0.05305254388165813</v>
      </c>
      <c r="AF36" s="43" t="n">
        <v>0.003816509500807946</v>
      </c>
      <c r="AG36" s="43" t="n">
        <v>0.01538381475811512</v>
      </c>
      <c r="AH36" s="43" t="n">
        <v>0</v>
      </c>
      <c r="AI36" s="43" t="n">
        <v>0.02036504009462588</v>
      </c>
      <c r="AJ36" s="43" t="n">
        <v>0.02504583169153374</v>
      </c>
      <c r="AK36" s="43" t="n">
        <v>0.004009411108903849</v>
      </c>
      <c r="AL36" s="43" t="n">
        <v>0.01035387219753341</v>
      </c>
      <c r="AM36" s="43" t="n">
        <v>0.03458066536155243</v>
      </c>
      <c r="AN36" s="43" t="n">
        <v>0.04804784179532302</v>
      </c>
      <c r="AO36" s="43" t="n">
        <v>0.0230248248254304</v>
      </c>
      <c r="AP36" s="37" t="n">
        <v>0.002444267322475879</v>
      </c>
    </row>
    <row r="37" ht="18" customHeight="1" s="74">
      <c r="A37" s="38" t="inlineStr">
        <is>
          <t>SW31261</t>
        </is>
      </c>
      <c r="B37" s="38" t="inlineStr">
        <is>
          <t>Plexus Seaside</t>
        </is>
      </c>
      <c r="C37" s="38" t="inlineStr">
        <is>
          <t>Malaysia ASIA</t>
        </is>
      </c>
      <c r="D37" s="38" t="inlineStr">
        <is>
          <t>Autostore</t>
        </is>
      </c>
      <c r="E37" s="39" t="n">
        <v>2024</v>
      </c>
      <c r="F37" s="39" t="inlineStr">
        <is>
          <t>Yes</t>
        </is>
      </c>
      <c r="G37" s="39" t="n">
        <v>0</v>
      </c>
      <c r="H37" s="39" t="n">
        <v>0</v>
      </c>
      <c r="I37" s="39" t="n">
        <v>12</v>
      </c>
      <c r="J37" s="39" t="n">
        <v>10000</v>
      </c>
      <c r="K37" s="39" t="n">
        <v>0</v>
      </c>
      <c r="L37" s="39" t="n">
        <v>0</v>
      </c>
      <c r="M37" s="39" t="n">
        <v>0</v>
      </c>
      <c r="N37" s="39" t="n">
        <v>0</v>
      </c>
      <c r="O37" s="39" t="n">
        <v>0</v>
      </c>
      <c r="P37" s="39" t="n">
        <v>0</v>
      </c>
      <c r="Q37" s="39" t="n">
        <v>18</v>
      </c>
      <c r="R37" s="39" t="n">
        <v>2</v>
      </c>
      <c r="S37" s="39" t="n">
        <v>12</v>
      </c>
      <c r="T37" s="39" t="n">
        <v>24</v>
      </c>
      <c r="U37" s="39" t="n">
        <v>10</v>
      </c>
      <c r="V37" s="39" t="n">
        <v>23</v>
      </c>
      <c r="W37" s="34" t="n">
        <v>42</v>
      </c>
      <c r="X37" s="39" t="inlineStr">
        <is>
          <t>USD</t>
        </is>
      </c>
      <c r="Y37" s="40" t="n">
        <v>1.63</v>
      </c>
      <c r="Z37" s="38" t="inlineStr">
        <is>
          <t>Autostore</t>
        </is>
      </c>
      <c r="AA37" s="38" t="n"/>
      <c r="AB37" s="41">
        <f>IF(A37="","",IF(COUNTIF($A$6:$A$504,A37)&gt;1,"⚠ Duplicate",""))</f>
        <v/>
      </c>
      <c r="AC37" s="37" t="n">
        <v>0.03444602869956017</v>
      </c>
      <c r="AD37" s="37" t="n">
        <v>0</v>
      </c>
      <c r="AE37" s="37" t="n">
        <v>0.03257704845718964</v>
      </c>
      <c r="AF37" s="37" t="n">
        <v>0</v>
      </c>
      <c r="AG37" s="37" t="n">
        <v>0.03643363590853829</v>
      </c>
      <c r="AH37" s="37" t="n">
        <v>0</v>
      </c>
      <c r="AI37" s="37" t="n">
        <v>0.01501799918725192</v>
      </c>
      <c r="AJ37" s="37" t="n">
        <v>0</v>
      </c>
      <c r="AK37" s="37" t="n">
        <v>0</v>
      </c>
      <c r="AL37" s="37" t="n">
        <v>0.0002521243361430617</v>
      </c>
      <c r="AM37" s="37" t="n">
        <v>0.004086945559514623</v>
      </c>
      <c r="AN37" s="37" t="n">
        <v>0</v>
      </c>
      <c r="AO37" s="37" t="n">
        <v>0.09428801895920387</v>
      </c>
      <c r="AP37" s="37" t="n">
        <v>4.438077898621939e-05</v>
      </c>
    </row>
    <row r="38" ht="18" customHeight="1" s="74">
      <c r="A38" s="32" t="inlineStr">
        <is>
          <t>SC22126</t>
        </is>
      </c>
      <c r="B38" s="32" t="inlineStr">
        <is>
          <t>Plexus Riverside</t>
        </is>
      </c>
      <c r="C38" s="32" t="inlineStr">
        <is>
          <t>Malaysia ASIA</t>
        </is>
      </c>
      <c r="D38" s="32" t="inlineStr">
        <is>
          <t>Autostore</t>
        </is>
      </c>
      <c r="E38" s="33" t="n">
        <v>2022</v>
      </c>
      <c r="F38" s="33" t="inlineStr">
        <is>
          <t>Yes</t>
        </is>
      </c>
      <c r="G38" s="33" t="n">
        <v>0</v>
      </c>
      <c r="H38" s="33" t="n">
        <v>0</v>
      </c>
      <c r="I38" s="33" t="n">
        <v>14</v>
      </c>
      <c r="J38" s="33" t="n">
        <v>11000</v>
      </c>
      <c r="K38" s="33" t="n">
        <v>0</v>
      </c>
      <c r="L38" s="33" t="n">
        <v>0</v>
      </c>
      <c r="M38" s="33" t="n">
        <v>0</v>
      </c>
      <c r="N38" s="33" t="n">
        <v>0</v>
      </c>
      <c r="O38" s="33" t="n">
        <v>0</v>
      </c>
      <c r="P38" s="33" t="n">
        <v>0</v>
      </c>
      <c r="Q38" s="33" t="n">
        <v>25</v>
      </c>
      <c r="R38" s="33" t="n">
        <v>2</v>
      </c>
      <c r="S38" s="33" t="n">
        <v>12</v>
      </c>
      <c r="T38" s="33" t="n">
        <v>40</v>
      </c>
      <c r="U38" s="33" t="n">
        <v>10</v>
      </c>
      <c r="V38" s="33" t="n">
        <v>15</v>
      </c>
      <c r="W38" s="34" t="n">
        <v>52</v>
      </c>
      <c r="X38" s="33" t="inlineStr">
        <is>
          <t>USD</t>
        </is>
      </c>
      <c r="Y38" s="40" t="n">
        <v>1.79</v>
      </c>
      <c r="Z38" s="32" t="inlineStr">
        <is>
          <t>Autostore</t>
        </is>
      </c>
      <c r="AA38" s="32" t="inlineStr">
        <is>
          <t>First Plexus project, longer everything.</t>
        </is>
      </c>
      <c r="AB38" s="36">
        <f>IF(A38="","",IF(COUNTIF($A$6:$A$504,A38)&gt;1,"⚠ Duplicate",""))</f>
        <v/>
      </c>
      <c r="AC38" s="37" t="n">
        <v>0.03058565202536138</v>
      </c>
      <c r="AD38" s="37" t="n">
        <v>0.00663291136018963</v>
      </c>
      <c r="AE38" s="37" t="n">
        <v>0.05198480292583055</v>
      </c>
      <c r="AF38" s="37" t="n">
        <v>0</v>
      </c>
      <c r="AG38" s="37" t="n">
        <v>0.005716881067445528</v>
      </c>
      <c r="AH38" s="37" t="n">
        <v>0</v>
      </c>
      <c r="AI38" s="37" t="n">
        <v>0.01031931406655589</v>
      </c>
      <c r="AJ38" s="37" t="n">
        <v>0</v>
      </c>
      <c r="AK38" s="37" t="n">
        <v>0</v>
      </c>
      <c r="AL38" s="37" t="n">
        <v>0</v>
      </c>
      <c r="AM38" s="37" t="n">
        <v>0</v>
      </c>
      <c r="AN38" s="37" t="n">
        <v>0</v>
      </c>
      <c r="AO38" s="37" t="n">
        <v>0.1442547011430668</v>
      </c>
      <c r="AP38" s="37" t="n">
        <v>0</v>
      </c>
    </row>
    <row r="39" ht="18" customHeight="1" s="74">
      <c r="A39" s="38" t="inlineStr">
        <is>
          <t>SW31179</t>
        </is>
      </c>
      <c r="B39" s="38" t="inlineStr">
        <is>
          <t>Caterpillar Autostore</t>
        </is>
      </c>
      <c r="C39" s="38" t="inlineStr">
        <is>
          <t>Singapore ASIA</t>
        </is>
      </c>
      <c r="D39" s="38" t="inlineStr">
        <is>
          <t>Autostore</t>
        </is>
      </c>
      <c r="E39" s="39" t="n">
        <v>2021</v>
      </c>
      <c r="F39" s="39" t="inlineStr">
        <is>
          <t>Yes</t>
        </is>
      </c>
      <c r="G39" s="39" t="n">
        <v>0</v>
      </c>
      <c r="H39" s="39" t="n">
        <v>0</v>
      </c>
      <c r="I39" s="39" t="n">
        <v>84</v>
      </c>
      <c r="J39" s="39" t="n">
        <v>163000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300</v>
      </c>
      <c r="P39" s="39" t="n">
        <v>0</v>
      </c>
      <c r="Q39" s="39" t="n">
        <v>24</v>
      </c>
      <c r="R39" s="39" t="n">
        <v>27</v>
      </c>
      <c r="S39" s="39" t="n">
        <v>9</v>
      </c>
      <c r="T39" s="39" t="n">
        <v>26</v>
      </c>
      <c r="U39" s="39" t="n">
        <v>15</v>
      </c>
      <c r="V39" s="39" t="n">
        <v>22</v>
      </c>
      <c r="W39" s="34" t="n">
        <v>52</v>
      </c>
      <c r="X39" s="39" t="inlineStr">
        <is>
          <t>SGD</t>
        </is>
      </c>
      <c r="Y39" s="40" t="n">
        <v>16.9</v>
      </c>
      <c r="Z39" s="38" t="inlineStr">
        <is>
          <t>Autostore MCS</t>
        </is>
      </c>
      <c r="AA39" s="38" t="inlineStr">
        <is>
          <t xml:space="preserve">Delayed progressive shipment schedule, 35 weeks additional on top of total timeline </t>
        </is>
      </c>
      <c r="AB39" s="41">
        <f>IF(A39="","",IF(COUNTIF($A$6:$A$504,A39)&gt;1,"⚠ Duplicate",""))</f>
        <v/>
      </c>
      <c r="AC39" s="37" t="n">
        <v>0</v>
      </c>
      <c r="AD39" s="37" t="n">
        <v>0</v>
      </c>
      <c r="AE39" s="37" t="n">
        <v>0</v>
      </c>
      <c r="AF39" s="37" t="n">
        <v>0</v>
      </c>
      <c r="AG39" s="37" t="n">
        <v>0</v>
      </c>
      <c r="AH39" s="37" t="n">
        <v>0</v>
      </c>
      <c r="AI39" s="37" t="n">
        <v>0</v>
      </c>
      <c r="AJ39" s="37" t="n">
        <v>0</v>
      </c>
      <c r="AK39" s="37" t="n">
        <v>0</v>
      </c>
      <c r="AL39" s="37" t="n">
        <v>0</v>
      </c>
      <c r="AM39" s="37" t="n">
        <v>0</v>
      </c>
      <c r="AN39" s="37" t="n">
        <v>0</v>
      </c>
      <c r="AO39" s="37" t="n">
        <v>0</v>
      </c>
      <c r="AP39" s="37" t="n">
        <v>0</v>
      </c>
      <c r="AQ39" s="10" t="n"/>
    </row>
    <row r="40" ht="18" customHeight="1" s="74">
      <c r="A40" s="32" t="inlineStr">
        <is>
          <t>SC22103</t>
        </is>
      </c>
      <c r="B40" s="32" t="inlineStr">
        <is>
          <t>WDS Tainan</t>
        </is>
      </c>
      <c r="C40" s="32" t="inlineStr">
        <is>
          <t>Taiwan ASIA</t>
        </is>
      </c>
      <c r="D40" s="32" t="inlineStr">
        <is>
          <t>Others/complex</t>
        </is>
      </c>
      <c r="E40" s="33" t="n">
        <v>2023</v>
      </c>
      <c r="F40" s="33" t="inlineStr">
        <is>
          <t>Yes</t>
        </is>
      </c>
      <c r="G40" s="33" t="n">
        <v>78</v>
      </c>
      <c r="H40" s="33" t="n">
        <v>15000</v>
      </c>
      <c r="I40" s="33" t="n">
        <v>0</v>
      </c>
      <c r="J40" s="33" t="n">
        <v>0</v>
      </c>
      <c r="K40" s="33" t="n">
        <v>0</v>
      </c>
      <c r="L40" s="33" t="n">
        <v>0</v>
      </c>
      <c r="M40" s="33" t="n">
        <v>0</v>
      </c>
      <c r="N40" s="33" t="n">
        <v>0</v>
      </c>
      <c r="O40" s="33" t="n">
        <v>2400</v>
      </c>
      <c r="P40" s="33" t="n">
        <v>100</v>
      </c>
      <c r="Q40" s="33" t="n">
        <v>56</v>
      </c>
      <c r="R40" s="33" t="n">
        <v>38</v>
      </c>
      <c r="S40" s="33" t="n">
        <v>12</v>
      </c>
      <c r="T40" s="33" t="n">
        <v>75</v>
      </c>
      <c r="U40" s="33" t="n">
        <v>57</v>
      </c>
      <c r="V40" s="33" t="n">
        <v>50</v>
      </c>
      <c r="W40" s="34" t="n">
        <v>120</v>
      </c>
      <c r="X40" s="33" t="inlineStr">
        <is>
          <t>USD</t>
        </is>
      </c>
      <c r="Y40" s="40" t="n">
        <v>22.03</v>
      </c>
      <c r="Z40" s="32" t="inlineStr">
        <is>
          <t>XB Sorter CBS crossbelt MCS DMS BK25 PTL Mezzanine Selective Rack</t>
        </is>
      </c>
      <c r="AA40" s="32" t="n"/>
      <c r="AB40" s="36">
        <f>IF(A40="","",IF(COUNTIF($A$6:$A$504,A40)&gt;1,"⚠ Duplicate",""))</f>
        <v/>
      </c>
      <c r="AC40" s="37" t="n">
        <v>0</v>
      </c>
      <c r="AD40" s="37" t="n">
        <v>0</v>
      </c>
      <c r="AE40" s="37" t="n">
        <v>0</v>
      </c>
      <c r="AF40" s="37" t="n">
        <v>0</v>
      </c>
      <c r="AG40" s="37" t="n">
        <v>0</v>
      </c>
      <c r="AH40" s="37" t="n">
        <v>0</v>
      </c>
      <c r="AI40" s="37" t="n">
        <v>0</v>
      </c>
      <c r="AJ40" s="37" t="n">
        <v>0</v>
      </c>
      <c r="AK40" s="37" t="n">
        <v>0</v>
      </c>
      <c r="AL40" s="37" t="n">
        <v>0</v>
      </c>
      <c r="AM40" s="37" t="n">
        <v>0</v>
      </c>
      <c r="AN40" s="37" t="n">
        <v>0</v>
      </c>
      <c r="AO40" s="37" t="n">
        <v>0</v>
      </c>
      <c r="AP40" s="37" t="n">
        <v>0</v>
      </c>
      <c r="AQ40" s="10" t="n"/>
    </row>
    <row r="41" ht="18" customHeight="1" s="74">
      <c r="A41" s="38" t="inlineStr">
        <is>
          <t>SC22136</t>
        </is>
      </c>
      <c r="B41" s="38" t="inlineStr">
        <is>
          <t>WDS Keelung</t>
        </is>
      </c>
      <c r="C41" s="38" t="inlineStr">
        <is>
          <t>Taiwan ASIA</t>
        </is>
      </c>
      <c r="D41" s="38" t="inlineStr">
        <is>
          <t>Others/complex</t>
        </is>
      </c>
      <c r="E41" s="39" t="n">
        <v>2025</v>
      </c>
      <c r="F41" s="39" t="inlineStr">
        <is>
          <t>Yes</t>
        </is>
      </c>
      <c r="G41" s="39" t="n">
        <v>0</v>
      </c>
      <c r="H41" s="39" t="n">
        <v>0</v>
      </c>
      <c r="I41" s="39" t="n">
        <v>0</v>
      </c>
      <c r="J41" s="39" t="n">
        <v>0</v>
      </c>
      <c r="K41" s="39" t="n">
        <v>0</v>
      </c>
      <c r="L41" s="39" t="n">
        <v>0</v>
      </c>
      <c r="M41" s="39" t="n">
        <v>0</v>
      </c>
      <c r="N41" s="39" t="n">
        <v>0</v>
      </c>
      <c r="O41" s="39" t="n">
        <v>800</v>
      </c>
      <c r="P41" s="39" t="n">
        <v>0</v>
      </c>
      <c r="Q41" s="39" t="n">
        <v>60</v>
      </c>
      <c r="R41" s="39" t="n">
        <v>40</v>
      </c>
      <c r="S41" s="39" t="n">
        <v>12</v>
      </c>
      <c r="T41" s="39" t="n">
        <v>69</v>
      </c>
      <c r="U41" s="39" t="n">
        <v>26</v>
      </c>
      <c r="V41" s="39" t="n">
        <v>40</v>
      </c>
      <c r="W41" s="34" t="n">
        <v>105</v>
      </c>
      <c r="X41" s="39" t="inlineStr">
        <is>
          <t>USD</t>
        </is>
      </c>
      <c r="Y41" s="40" t="n">
        <v>9.52</v>
      </c>
      <c r="Z41" s="38" t="inlineStr">
        <is>
          <t>XB Sorter CBS Crossbelt MCS Libiao Mezzanine</t>
        </is>
      </c>
      <c r="AA41" s="38" t="n"/>
      <c r="AB41" s="41">
        <f>IF(A41="","",IF(COUNTIF($A$6:$A$504,A41)&gt;1,"⚠ Duplicate",""))</f>
        <v/>
      </c>
      <c r="AC41" s="37" t="n">
        <v>0</v>
      </c>
      <c r="AD41" s="37" t="n">
        <v>0</v>
      </c>
      <c r="AE41" s="37" t="n">
        <v>0</v>
      </c>
      <c r="AF41" s="37" t="n">
        <v>0</v>
      </c>
      <c r="AG41" s="37" t="n">
        <v>0</v>
      </c>
      <c r="AH41" s="37" t="n">
        <v>0</v>
      </c>
      <c r="AI41" s="37" t="n">
        <v>0</v>
      </c>
      <c r="AJ41" s="37" t="n">
        <v>0</v>
      </c>
      <c r="AK41" s="37" t="n">
        <v>0</v>
      </c>
      <c r="AL41" s="37" t="n">
        <v>0</v>
      </c>
      <c r="AM41" s="37" t="n">
        <v>0</v>
      </c>
      <c r="AN41" s="37" t="n">
        <v>0</v>
      </c>
      <c r="AO41" s="37" t="n">
        <v>0</v>
      </c>
      <c r="AP41" s="37" t="n">
        <v>0</v>
      </c>
      <c r="AQ41" s="10" t="n"/>
    </row>
    <row r="42" ht="18" customHeight="1" s="74">
      <c r="A42" s="32" t="inlineStr">
        <is>
          <t>SW31344</t>
        </is>
      </c>
      <c r="B42" s="32" t="inlineStr">
        <is>
          <t>DHL Project Consumer</t>
        </is>
      </c>
      <c r="C42" s="32" t="inlineStr">
        <is>
          <t>Thailand ASIA</t>
        </is>
      </c>
      <c r="D42" s="32" t="n"/>
      <c r="E42" s="33" t="n">
        <v>2026</v>
      </c>
      <c r="F42" s="33" t="inlineStr">
        <is>
          <t>No</t>
        </is>
      </c>
      <c r="G42" s="33" t="n">
        <v>0</v>
      </c>
      <c r="H42" s="33" t="n">
        <v>0</v>
      </c>
      <c r="I42" s="33" t="n">
        <v>0</v>
      </c>
      <c r="J42" s="33" t="n">
        <v>0</v>
      </c>
      <c r="K42" s="33" t="n">
        <v>56</v>
      </c>
      <c r="L42" s="33" t="n">
        <v>45000</v>
      </c>
      <c r="M42" s="33" t="n">
        <v>0</v>
      </c>
      <c r="N42" s="33" t="n">
        <v>0</v>
      </c>
      <c r="O42" s="33" t="n">
        <v>0</v>
      </c>
      <c r="P42" s="33" t="n">
        <v>178</v>
      </c>
      <c r="Q42" s="33" t="n">
        <v>52</v>
      </c>
      <c r="R42" s="33" t="n">
        <v>0</v>
      </c>
      <c r="S42" s="33" t="n">
        <v>25</v>
      </c>
      <c r="T42" s="33" t="n">
        <v>45</v>
      </c>
      <c r="U42" s="33" t="n">
        <v>21</v>
      </c>
      <c r="V42" s="33" t="n">
        <v>31</v>
      </c>
      <c r="W42" s="34" t="n">
        <v>106.4</v>
      </c>
      <c r="X42" s="33" t="inlineStr">
        <is>
          <t>USD</t>
        </is>
      </c>
      <c r="Y42" s="40" t="n">
        <v>19.01</v>
      </c>
      <c r="Z42" s="32" t="inlineStr">
        <is>
          <t>4WS Pallet + AMR</t>
        </is>
      </c>
      <c r="AA42" s="32" t="n"/>
      <c r="AB42" s="36">
        <f>IF(A42="","",IF(COUNTIF($A$6:$A$504,A42)&gt;1,"⚠ Duplicate",""))</f>
        <v/>
      </c>
      <c r="AC42" s="43" t="n">
        <v>0.05</v>
      </c>
      <c r="AD42" s="43" t="n">
        <v>0.05</v>
      </c>
      <c r="AE42" s="43" t="n">
        <v>0.05</v>
      </c>
      <c r="AF42" s="43" t="n">
        <v>0.07000000000000001</v>
      </c>
      <c r="AG42" s="43" t="n">
        <v>0.09</v>
      </c>
      <c r="AH42" s="43" t="n">
        <v>0.06</v>
      </c>
      <c r="AI42" s="43" t="n">
        <v>0.06</v>
      </c>
      <c r="AJ42" s="43" t="n">
        <v>0.01</v>
      </c>
      <c r="AK42" s="43" t="n">
        <v>0.01</v>
      </c>
      <c r="AL42" s="43" t="n">
        <v>0.01</v>
      </c>
      <c r="AM42" s="43" t="n">
        <v>0.01</v>
      </c>
      <c r="AN42" s="43" t="n">
        <v>0.01</v>
      </c>
      <c r="AO42" s="43" t="n">
        <v>0.04</v>
      </c>
      <c r="AP42" s="37" t="n">
        <v>0.001</v>
      </c>
      <c r="AQ42" s="10" t="n"/>
    </row>
    <row r="43" ht="18" customHeight="1" s="74">
      <c r="A43" s="38" t="inlineStr">
        <is>
          <t>SC22228</t>
        </is>
      </c>
      <c r="B43" s="38" t="inlineStr">
        <is>
          <t>Changmaru (Box4U)</t>
        </is>
      </c>
      <c r="C43" s="38" t="inlineStr">
        <is>
          <t>Korea ASIA</t>
        </is>
      </c>
      <c r="D43" s="38" t="n"/>
      <c r="E43" s="39" t="n">
        <v>2026</v>
      </c>
      <c r="F43" s="39" t="inlineStr">
        <is>
          <t>No</t>
        </is>
      </c>
      <c r="G43" s="39" t="n">
        <v>30</v>
      </c>
      <c r="H43" s="39" t="n">
        <v>6200</v>
      </c>
      <c r="I43" s="39" t="n">
        <v>0</v>
      </c>
      <c r="J43" s="39" t="n">
        <v>0</v>
      </c>
      <c r="K43" s="39" t="n">
        <v>0</v>
      </c>
      <c r="L43" s="39" t="n">
        <v>0</v>
      </c>
      <c r="M43" s="39" t="n">
        <v>3</v>
      </c>
      <c r="N43" s="39" t="n">
        <v>4300</v>
      </c>
      <c r="O43" s="39" t="n">
        <v>350</v>
      </c>
      <c r="P43" s="39" t="n">
        <v>255</v>
      </c>
      <c r="Q43" s="39" t="n">
        <v>46</v>
      </c>
      <c r="R43" s="39" t="n">
        <v>48</v>
      </c>
      <c r="S43" s="39" t="n">
        <v>27</v>
      </c>
      <c r="T43" s="39" t="n">
        <v>57</v>
      </c>
      <c r="U43" s="39" t="n">
        <v>28</v>
      </c>
      <c r="V43" s="39" t="n">
        <v>35</v>
      </c>
      <c r="W43" s="34" t="n">
        <v>108</v>
      </c>
      <c r="X43" s="39" t="inlineStr">
        <is>
          <t>USD</t>
        </is>
      </c>
      <c r="Y43" s="40" t="n">
        <v>11.9</v>
      </c>
      <c r="Z43" s="38" t="inlineStr">
        <is>
          <t>ASRS, DMS, Layer Picker</t>
        </is>
      </c>
      <c r="AA43" s="38" t="inlineStr">
        <is>
          <t>ASRS Rack Clad not Dematic scope, DMS Racking under Dematic scope</t>
        </is>
      </c>
      <c r="AB43" s="41">
        <f>IF(A43="","",IF(COUNTIF($A$6:$A$504,A43)&gt;1,"⚠ Duplicate",""))</f>
        <v/>
      </c>
      <c r="AC43" s="42" t="n">
        <v>0.052</v>
      </c>
      <c r="AD43" s="42" t="n">
        <v>0.052</v>
      </c>
      <c r="AE43" s="42" t="n">
        <v>0.052</v>
      </c>
      <c r="AF43" s="42" t="n">
        <v>0.008</v>
      </c>
      <c r="AG43" s="42" t="n">
        <v>0.022</v>
      </c>
      <c r="AH43" s="42" t="n">
        <v>0.01</v>
      </c>
      <c r="AI43" s="42" t="n">
        <v>0.01</v>
      </c>
      <c r="AJ43" s="42" t="n">
        <v>0.031</v>
      </c>
      <c r="AK43" s="42" t="n">
        <v>0.031</v>
      </c>
      <c r="AL43" s="42" t="n">
        <v>0.031</v>
      </c>
      <c r="AM43" s="42" t="n">
        <v>0.038</v>
      </c>
      <c r="AN43" s="42" t="n">
        <v>0.038</v>
      </c>
      <c r="AO43" s="42" t="n">
        <v>0</v>
      </c>
      <c r="AP43" s="37" t="n">
        <v>0.001</v>
      </c>
      <c r="AQ43" s="10" t="n"/>
    </row>
    <row r="44" ht="18" customHeight="1" s="74">
      <c r="A44" s="32" t="inlineStr">
        <is>
          <t>SC22176</t>
        </is>
      </c>
      <c r="B44" s="32" t="inlineStr">
        <is>
          <t>Zuellig Cebu</t>
        </is>
      </c>
      <c r="C44" s="32" t="inlineStr">
        <is>
          <t>Philipines ASIA</t>
        </is>
      </c>
      <c r="D44" s="32" t="inlineStr">
        <is>
          <t>Others/complex</t>
        </is>
      </c>
      <c r="E44" s="33" t="n">
        <v>2025</v>
      </c>
      <c r="F44" s="33" t="inlineStr">
        <is>
          <t>Yes</t>
        </is>
      </c>
      <c r="G44" s="33" t="n">
        <v>0</v>
      </c>
      <c r="H44" s="33" t="n">
        <v>0</v>
      </c>
      <c r="I44" s="33" t="n">
        <v>0</v>
      </c>
      <c r="J44" s="33" t="n">
        <v>0</v>
      </c>
      <c r="K44" s="33" t="n">
        <v>0</v>
      </c>
      <c r="L44" s="33" t="n">
        <v>0</v>
      </c>
      <c r="M44" s="33" t="n">
        <v>0</v>
      </c>
      <c r="N44" s="33" t="n">
        <v>0</v>
      </c>
      <c r="O44" s="33" t="n">
        <v>230</v>
      </c>
      <c r="P44" s="33" t="n">
        <v>0</v>
      </c>
      <c r="Q44" s="33" t="n">
        <v>7</v>
      </c>
      <c r="R44" s="33" t="n">
        <v>7</v>
      </c>
      <c r="S44" s="33" t="n">
        <v>7</v>
      </c>
      <c r="T44" s="33" t="n">
        <v>20</v>
      </c>
      <c r="U44" s="33" t="n">
        <v>28</v>
      </c>
      <c r="V44" s="33" t="n">
        <v>13</v>
      </c>
      <c r="W44" s="34" t="n">
        <v>53</v>
      </c>
      <c r="X44" s="33" t="inlineStr">
        <is>
          <t>USD</t>
        </is>
      </c>
      <c r="Y44" s="40" t="n">
        <v>1.5</v>
      </c>
      <c r="Z44" s="32" t="inlineStr">
        <is>
          <t>MCS</t>
        </is>
      </c>
      <c r="AA44" s="32" t="inlineStr">
        <is>
          <t>Zone Route Picking</t>
        </is>
      </c>
      <c r="AB44" s="36">
        <f>IF(A44="","",IF(COUNTIF($A$6:$A$504,A44)&gt;1,"⚠ Duplicate",""))</f>
        <v/>
      </c>
      <c r="AC44" s="37" t="n">
        <v>0</v>
      </c>
      <c r="AD44" s="37" t="n">
        <v>0</v>
      </c>
      <c r="AE44" s="37" t="n">
        <v>0</v>
      </c>
      <c r="AF44" s="37" t="n">
        <v>0</v>
      </c>
      <c r="AG44" s="37" t="n">
        <v>0</v>
      </c>
      <c r="AH44" s="37" t="n">
        <v>0</v>
      </c>
      <c r="AI44" s="37" t="n">
        <v>0</v>
      </c>
      <c r="AJ44" s="37" t="n">
        <v>0</v>
      </c>
      <c r="AK44" s="37" t="n">
        <v>0</v>
      </c>
      <c r="AL44" s="37" t="n">
        <v>0</v>
      </c>
      <c r="AM44" s="37" t="n">
        <v>0</v>
      </c>
      <c r="AN44" s="37" t="n">
        <v>0</v>
      </c>
      <c r="AO44" s="37" t="n">
        <v>0</v>
      </c>
      <c r="AP44" s="37" t="n">
        <v>0</v>
      </c>
      <c r="AQ44" s="10" t="n"/>
    </row>
    <row r="45" ht="18" customHeight="1" s="74">
      <c r="A45" s="38" t="inlineStr">
        <is>
          <t>SC22185</t>
        </is>
      </c>
      <c r="B45" s="38" t="inlineStr">
        <is>
          <t>Starlux Taoyuan</t>
        </is>
      </c>
      <c r="C45" s="38" t="inlineStr">
        <is>
          <t>Taiwan ASIA</t>
        </is>
      </c>
      <c r="D45" s="38" t="inlineStr">
        <is>
          <t>Others/complex</t>
        </is>
      </c>
      <c r="E45" s="39" t="n">
        <v>2025</v>
      </c>
      <c r="F45" s="39" t="inlineStr">
        <is>
          <t>Yes</t>
        </is>
      </c>
      <c r="G45" s="39" t="n">
        <v>64</v>
      </c>
      <c r="H45" s="39" t="n">
        <v>7000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6</v>
      </c>
      <c r="N45" s="39" t="n">
        <v>900</v>
      </c>
      <c r="O45" s="39" t="n">
        <v>473</v>
      </c>
      <c r="P45" s="39" t="n">
        <v>200</v>
      </c>
      <c r="Q45" s="39" t="n">
        <v>58</v>
      </c>
      <c r="R45" s="39" t="n">
        <v>44</v>
      </c>
      <c r="S45" s="39" t="n">
        <v>27</v>
      </c>
      <c r="T45" s="39" t="n">
        <v>39</v>
      </c>
      <c r="U45" s="39" t="n">
        <v>30</v>
      </c>
      <c r="V45" s="39" t="n">
        <v>33</v>
      </c>
      <c r="W45" s="34" t="n">
        <v>107</v>
      </c>
      <c r="X45" s="39" t="inlineStr">
        <is>
          <t>USD</t>
        </is>
      </c>
      <c r="Y45" s="40" t="n">
        <v>11.9</v>
      </c>
      <c r="Z45" s="38" t="inlineStr">
        <is>
          <t>ML SRM MCS BK25 DMS</t>
        </is>
      </c>
      <c r="AA45" s="38" t="inlineStr">
        <is>
          <t>2 Aisle Miniload</t>
        </is>
      </c>
      <c r="AB45" s="41">
        <f>IF(A45="","",IF(COUNTIF($A$6:$A$504,A45)&gt;1,"⚠ Duplicate",""))</f>
        <v/>
      </c>
      <c r="AC45" s="37" t="n">
        <v>0</v>
      </c>
      <c r="AD45" s="37" t="n">
        <v>0</v>
      </c>
      <c r="AE45" s="37" t="n">
        <v>0</v>
      </c>
      <c r="AF45" s="37" t="n">
        <v>0</v>
      </c>
      <c r="AG45" s="37" t="n">
        <v>0</v>
      </c>
      <c r="AH45" s="37" t="n">
        <v>0</v>
      </c>
      <c r="AI45" s="37" t="n">
        <v>0</v>
      </c>
      <c r="AJ45" s="37" t="n">
        <v>0</v>
      </c>
      <c r="AK45" s="37" t="n">
        <v>0</v>
      </c>
      <c r="AL45" s="37" t="n">
        <v>0</v>
      </c>
      <c r="AM45" s="37" t="n">
        <v>0</v>
      </c>
      <c r="AN45" s="37" t="n">
        <v>0</v>
      </c>
      <c r="AO45" s="37" t="n">
        <v>0</v>
      </c>
      <c r="AP45" s="37" t="n">
        <v>0</v>
      </c>
      <c r="AQ45" s="10" t="n"/>
    </row>
    <row r="46" ht="18" customHeight="1" s="74">
      <c r="A46" s="38" t="n"/>
      <c r="B46" s="38" t="n"/>
      <c r="C46" s="38" t="n"/>
      <c r="D46" s="38" t="n"/>
      <c r="E46" s="39" t="n"/>
      <c r="F46" s="39" t="n"/>
      <c r="G46" s="39" t="n"/>
      <c r="H46" s="39" t="n"/>
      <c r="I46" s="39" t="n"/>
      <c r="J46" s="39" t="n"/>
      <c r="K46" s="39" t="n"/>
      <c r="L46" s="3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  <c r="V46" s="39" t="n"/>
      <c r="W46" s="34" t="n"/>
      <c r="X46" s="39" t="n"/>
      <c r="Y46" s="40" t="n"/>
      <c r="Z46" s="38" t="n"/>
      <c r="AA46" s="38" t="n"/>
      <c r="AB46" s="41">
        <f>IF(A46="","",IF(COUNTIF($A$6:$A$504,A46)&gt;1,"⚠ Duplicate",""))</f>
        <v/>
      </c>
      <c r="AC46" s="42" t="n"/>
      <c r="AD46" s="42" t="n"/>
      <c r="AE46" s="42" t="n"/>
      <c r="AF46" s="42" t="n"/>
      <c r="AG46" s="42" t="n"/>
      <c r="AH46" s="42" t="n"/>
      <c r="AI46" s="42" t="n"/>
      <c r="AJ46" s="42" t="n"/>
      <c r="AK46" s="42" t="n"/>
      <c r="AL46" s="42" t="n"/>
      <c r="AM46" s="42" t="n"/>
      <c r="AN46" s="42" t="n"/>
      <c r="AO46" s="42" t="n"/>
      <c r="AP46" s="42" t="n"/>
    </row>
    <row r="47" ht="18" customHeight="1" s="74">
      <c r="A47" s="32" t="n"/>
      <c r="B47" s="32" t="n"/>
      <c r="C47" s="32" t="n"/>
      <c r="D47" s="32" t="n"/>
      <c r="E47" s="33" t="n"/>
      <c r="F47" s="33" t="n"/>
      <c r="G47" s="33" t="n"/>
      <c r="H47" s="33" t="n"/>
      <c r="I47" s="33" t="n"/>
      <c r="J47" s="33" t="n"/>
      <c r="K47" s="33" t="n"/>
      <c r="L47" s="33" t="n"/>
      <c r="M47" s="33" t="n"/>
      <c r="N47" s="33" t="n"/>
      <c r="O47" s="33" t="n"/>
      <c r="P47" s="33" t="n"/>
      <c r="Q47" s="33" t="n"/>
      <c r="R47" s="33" t="n"/>
      <c r="S47" s="33" t="n"/>
      <c r="T47" s="33" t="n"/>
      <c r="U47" s="33" t="n"/>
      <c r="V47" s="33" t="n"/>
      <c r="W47" s="34" t="n"/>
      <c r="X47" s="33" t="n"/>
      <c r="Y47" s="35" t="n"/>
      <c r="Z47" s="32" t="n"/>
      <c r="AA47" s="32" t="n"/>
      <c r="AB47" s="36">
        <f>IF(A47="","",IF(COUNTIF($A$6:$A$504,A47)&gt;1,"⚠ Duplicate",""))</f>
        <v/>
      </c>
      <c r="AC47" s="43" t="n"/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  <c r="AM47" s="43" t="n"/>
      <c r="AN47" s="43" t="n"/>
      <c r="AO47" s="43" t="n"/>
      <c r="AP47" s="43" t="n"/>
    </row>
    <row r="48" ht="18" customHeight="1" s="74">
      <c r="A48" s="38" t="n"/>
      <c r="B48" s="38" t="n"/>
      <c r="C48" s="38" t="n"/>
      <c r="D48" s="38" t="n"/>
      <c r="E48" s="39" t="n"/>
      <c r="F48" s="39" t="n"/>
      <c r="G48" s="39" t="n"/>
      <c r="H48" s="39" t="n"/>
      <c r="I48" s="39" t="n"/>
      <c r="J48" s="39" t="n"/>
      <c r="K48" s="39" t="n"/>
      <c r="L48" s="3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  <c r="V48" s="39" t="n"/>
      <c r="W48" s="34" t="n"/>
      <c r="X48" s="39" t="n"/>
      <c r="Y48" s="40" t="n"/>
      <c r="Z48" s="38" t="n"/>
      <c r="AA48" s="38" t="n"/>
      <c r="AB48" s="41">
        <f>IF(A48="","",IF(COUNTIF($A$6:$A$504,A48)&gt;1,"⚠ Duplicate",""))</f>
        <v/>
      </c>
      <c r="AC48" s="42" t="n"/>
      <c r="AD48" s="42" t="n"/>
      <c r="AE48" s="42" t="n"/>
      <c r="AF48" s="42" t="n"/>
      <c r="AG48" s="42" t="n"/>
      <c r="AH48" s="42" t="n"/>
      <c r="AI48" s="42" t="n"/>
      <c r="AJ48" s="42" t="n"/>
      <c r="AK48" s="42" t="n"/>
      <c r="AL48" s="42" t="n"/>
      <c r="AM48" s="42" t="n"/>
      <c r="AN48" s="42" t="n"/>
      <c r="AO48" s="42" t="n"/>
      <c r="AP48" s="42" t="n"/>
    </row>
    <row r="49" ht="18" customHeight="1" s="74">
      <c r="A49" s="32" t="n"/>
      <c r="B49" s="32" t="n"/>
      <c r="C49" s="32" t="n"/>
      <c r="D49" s="32" t="n"/>
      <c r="E49" s="33" t="n"/>
      <c r="F49" s="33" t="n"/>
      <c r="G49" s="33" t="n"/>
      <c r="H49" s="33" t="n"/>
      <c r="I49" s="33" t="n"/>
      <c r="J49" s="33" t="n"/>
      <c r="K49" s="33" t="n"/>
      <c r="L49" s="33" t="n"/>
      <c r="M49" s="33" t="n"/>
      <c r="N49" s="33" t="n"/>
      <c r="O49" s="33" t="n"/>
      <c r="P49" s="33" t="n"/>
      <c r="Q49" s="33" t="n"/>
      <c r="R49" s="33" t="n"/>
      <c r="S49" s="33" t="n"/>
      <c r="T49" s="33" t="n"/>
      <c r="U49" s="33" t="n"/>
      <c r="V49" s="33" t="n"/>
      <c r="W49" s="34" t="n"/>
      <c r="X49" s="33" t="n"/>
      <c r="Y49" s="35" t="n"/>
      <c r="Z49" s="32" t="n"/>
      <c r="AA49" s="32" t="n"/>
      <c r="AB49" s="36">
        <f>IF(A49="","",IF(COUNTIF($A$6:$A$504,A49)&gt;1,"⚠ Duplicate",""))</f>
        <v/>
      </c>
      <c r="AC49" s="43" t="n"/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  <c r="AM49" s="43" t="n"/>
      <c r="AN49" s="43" t="n"/>
      <c r="AO49" s="43" t="n"/>
      <c r="AP49" s="43" t="n"/>
    </row>
    <row r="50" ht="18" customHeight="1" s="74">
      <c r="A50" s="38" t="n"/>
      <c r="B50" s="38" t="n"/>
      <c r="C50" s="38" t="n"/>
      <c r="D50" s="38" t="n"/>
      <c r="E50" s="39" t="n"/>
      <c r="F50" s="39" t="n"/>
      <c r="G50" s="39" t="n"/>
      <c r="H50" s="39" t="n"/>
      <c r="I50" s="39" t="n"/>
      <c r="J50" s="39" t="n"/>
      <c r="K50" s="39" t="n"/>
      <c r="L50" s="3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  <c r="V50" s="39" t="n"/>
      <c r="W50" s="34" t="n"/>
      <c r="X50" s="39" t="n"/>
      <c r="Y50" s="40" t="n"/>
      <c r="Z50" s="38" t="n"/>
      <c r="AA50" s="38" t="n"/>
      <c r="AB50" s="41">
        <f>IF(A50="","",IF(COUNTIF($A$6:$A$504,A50)&gt;1,"⚠ Duplicate",""))</f>
        <v/>
      </c>
      <c r="AC50" s="42" t="n"/>
      <c r="AD50" s="42" t="n"/>
      <c r="AE50" s="42" t="n"/>
      <c r="AF50" s="42" t="n"/>
      <c r="AG50" s="42" t="n"/>
      <c r="AH50" s="42" t="n"/>
      <c r="AI50" s="42" t="n"/>
      <c r="AJ50" s="42" t="n"/>
      <c r="AK50" s="42" t="n"/>
      <c r="AL50" s="42" t="n"/>
      <c r="AM50" s="42" t="n"/>
      <c r="AN50" s="42" t="n"/>
      <c r="AO50" s="42" t="n"/>
      <c r="AP50" s="42" t="n"/>
    </row>
    <row r="51" ht="18" customHeight="1" s="74">
      <c r="A51" s="32" t="n"/>
      <c r="B51" s="32" t="n"/>
      <c r="C51" s="32" t="n"/>
      <c r="D51" s="32" t="n"/>
      <c r="E51" s="33" t="n"/>
      <c r="F51" s="33" t="n"/>
      <c r="G51" s="33" t="n"/>
      <c r="H51" s="33" t="n"/>
      <c r="I51" s="33" t="n"/>
      <c r="J51" s="33" t="n"/>
      <c r="K51" s="33" t="n"/>
      <c r="L51" s="33" t="n"/>
      <c r="M51" s="33" t="n"/>
      <c r="N51" s="33" t="n"/>
      <c r="O51" s="33" t="n"/>
      <c r="P51" s="33" t="n"/>
      <c r="Q51" s="33" t="n"/>
      <c r="R51" s="33" t="n"/>
      <c r="S51" s="33" t="n"/>
      <c r="T51" s="33" t="n"/>
      <c r="U51" s="33" t="n"/>
      <c r="V51" s="33" t="n"/>
      <c r="W51" s="34" t="n"/>
      <c r="X51" s="33" t="n"/>
      <c r="Y51" s="35" t="n"/>
      <c r="Z51" s="32" t="n"/>
      <c r="AA51" s="32" t="n"/>
      <c r="AB51" s="36">
        <f>IF(A51="","",IF(COUNTIF($A$6:$A$504,A51)&gt;1,"⚠ Duplicate",""))</f>
        <v/>
      </c>
      <c r="AC51" s="43" t="n"/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  <c r="AM51" s="43" t="n"/>
      <c r="AN51" s="43" t="n"/>
      <c r="AO51" s="43" t="n"/>
      <c r="AP51" s="43" t="n"/>
    </row>
    <row r="52" ht="18" customHeight="1" s="74">
      <c r="A52" s="38" t="n"/>
      <c r="B52" s="38" t="n"/>
      <c r="C52" s="38" t="n"/>
      <c r="D52" s="38" t="n"/>
      <c r="E52" s="39" t="n"/>
      <c r="F52" s="39" t="n"/>
      <c r="G52" s="39" t="n"/>
      <c r="H52" s="39" t="n"/>
      <c r="I52" s="39" t="n"/>
      <c r="J52" s="39" t="n"/>
      <c r="K52" s="39" t="n"/>
      <c r="L52" s="3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  <c r="V52" s="39" t="n"/>
      <c r="W52" s="34" t="n"/>
      <c r="X52" s="39" t="n"/>
      <c r="Y52" s="40" t="n"/>
      <c r="Z52" s="38" t="n"/>
      <c r="AA52" s="38" t="n"/>
      <c r="AB52" s="41">
        <f>IF(A52="","",IF(COUNTIF($A$6:$A$504,A52)&gt;1,"⚠ Duplicate",""))</f>
        <v/>
      </c>
      <c r="AC52" s="42" t="n"/>
      <c r="AD52" s="42" t="n"/>
      <c r="AE52" s="42" t="n"/>
      <c r="AF52" s="42" t="n"/>
      <c r="AG52" s="42" t="n"/>
      <c r="AH52" s="42" t="n"/>
      <c r="AI52" s="42" t="n"/>
      <c r="AJ52" s="42" t="n"/>
      <c r="AK52" s="42" t="n"/>
      <c r="AL52" s="42" t="n"/>
      <c r="AM52" s="42" t="n"/>
      <c r="AN52" s="42" t="n"/>
      <c r="AO52" s="42" t="n"/>
      <c r="AP52" s="42" t="n"/>
    </row>
    <row r="53" ht="18" customHeight="1" s="74">
      <c r="A53" s="32" t="n"/>
      <c r="B53" s="32" t="n"/>
      <c r="C53" s="32" t="n"/>
      <c r="D53" s="32" t="n"/>
      <c r="E53" s="33" t="n"/>
      <c r="F53" s="33" t="n"/>
      <c r="G53" s="33" t="n"/>
      <c r="H53" s="33" t="n"/>
      <c r="I53" s="33" t="n"/>
      <c r="J53" s="33" t="n"/>
      <c r="K53" s="33" t="n"/>
      <c r="L53" s="33" t="n"/>
      <c r="M53" s="33" t="n"/>
      <c r="N53" s="33" t="n"/>
      <c r="O53" s="33" t="n"/>
      <c r="P53" s="33" t="n"/>
      <c r="Q53" s="33" t="n"/>
      <c r="R53" s="33" t="n"/>
      <c r="S53" s="33" t="n"/>
      <c r="T53" s="33" t="n"/>
      <c r="U53" s="33" t="n"/>
      <c r="V53" s="33" t="n"/>
      <c r="W53" s="34" t="n"/>
      <c r="X53" s="33" t="n"/>
      <c r="Y53" s="35" t="n"/>
      <c r="Z53" s="32" t="n"/>
      <c r="AA53" s="32" t="n"/>
      <c r="AB53" s="36">
        <f>IF(A53="","",IF(COUNTIF($A$6:$A$504,A53)&gt;1,"⚠ Duplicate",""))</f>
        <v/>
      </c>
      <c r="AC53" s="43" t="n"/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  <c r="AM53" s="43" t="n"/>
      <c r="AN53" s="43" t="n"/>
      <c r="AO53" s="43" t="n"/>
      <c r="AP53" s="43" t="n"/>
    </row>
    <row r="54" ht="18" customHeight="1" s="74">
      <c r="A54" s="38" t="n"/>
      <c r="B54" s="38" t="n"/>
      <c r="C54" s="38" t="n"/>
      <c r="D54" s="38" t="n"/>
      <c r="E54" s="39" t="n"/>
      <c r="F54" s="39" t="n"/>
      <c r="G54" s="39" t="n"/>
      <c r="H54" s="39" t="n"/>
      <c r="I54" s="39" t="n"/>
      <c r="J54" s="39" t="n"/>
      <c r="K54" s="39" t="n"/>
      <c r="L54" s="3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  <c r="V54" s="39" t="n"/>
      <c r="W54" s="34" t="n"/>
      <c r="X54" s="39" t="n"/>
      <c r="Y54" s="40" t="n"/>
      <c r="Z54" s="38" t="n"/>
      <c r="AA54" s="38" t="n"/>
      <c r="AB54" s="41">
        <f>IF(A54="","",IF(COUNTIF($A$6:$A$504,A54)&gt;1,"⚠ Duplicate",""))</f>
        <v/>
      </c>
      <c r="AC54" s="42" t="n"/>
      <c r="AD54" s="42" t="n"/>
      <c r="AE54" s="42" t="n"/>
      <c r="AF54" s="42" t="n"/>
      <c r="AG54" s="42" t="n"/>
      <c r="AH54" s="42" t="n"/>
      <c r="AI54" s="42" t="n"/>
      <c r="AJ54" s="42" t="n"/>
      <c r="AK54" s="42" t="n"/>
      <c r="AL54" s="42" t="n"/>
      <c r="AM54" s="42" t="n"/>
      <c r="AN54" s="42" t="n"/>
      <c r="AO54" s="42" t="n"/>
      <c r="AP54" s="42" t="n"/>
    </row>
    <row r="55" ht="18" customHeight="1" s="74">
      <c r="A55" s="32" t="n"/>
      <c r="B55" s="32" t="n"/>
      <c r="C55" s="32" t="n"/>
      <c r="D55" s="32" t="n"/>
      <c r="E55" s="33" t="n"/>
      <c r="F55" s="33" t="n"/>
      <c r="G55" s="33" t="n"/>
      <c r="H55" s="33" t="n"/>
      <c r="I55" s="33" t="n"/>
      <c r="J55" s="33" t="n"/>
      <c r="K55" s="33" t="n"/>
      <c r="L55" s="33" t="n"/>
      <c r="M55" s="33" t="n"/>
      <c r="N55" s="33" t="n"/>
      <c r="O55" s="33" t="n"/>
      <c r="P55" s="33" t="n"/>
      <c r="Q55" s="33" t="n"/>
      <c r="R55" s="33" t="n"/>
      <c r="S55" s="33" t="n"/>
      <c r="T55" s="33" t="n"/>
      <c r="U55" s="33" t="n"/>
      <c r="V55" s="33" t="n"/>
      <c r="W55" s="34" t="n"/>
      <c r="X55" s="33" t="n"/>
      <c r="Y55" s="35" t="n"/>
      <c r="Z55" s="32" t="n"/>
      <c r="AA55" s="32" t="n"/>
      <c r="AB55" s="36">
        <f>IF(A55="","",IF(COUNTIF($A$6:$A$504,A55)&gt;1,"⚠ Duplicate",""))</f>
        <v/>
      </c>
      <c r="AC55" s="43" t="n"/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  <c r="AM55" s="43" t="n"/>
      <c r="AN55" s="43" t="n"/>
      <c r="AO55" s="43" t="n"/>
      <c r="AP55" s="43" t="n"/>
    </row>
    <row r="56" ht="18" customHeight="1" s="74">
      <c r="A56" s="38" t="n"/>
      <c r="B56" s="38" t="n"/>
      <c r="C56" s="38" t="n"/>
      <c r="D56" s="38" t="n"/>
      <c r="E56" s="39" t="n"/>
      <c r="F56" s="39" t="n"/>
      <c r="G56" s="39" t="n"/>
      <c r="H56" s="39" t="n"/>
      <c r="I56" s="39" t="n"/>
      <c r="J56" s="39" t="n"/>
      <c r="K56" s="39" t="n"/>
      <c r="L56" s="3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  <c r="V56" s="39" t="n"/>
      <c r="W56" s="34" t="n"/>
      <c r="X56" s="39" t="n"/>
      <c r="Y56" s="40" t="n"/>
      <c r="Z56" s="38" t="n"/>
      <c r="AA56" s="38" t="n"/>
      <c r="AB56" s="41">
        <f>IF(A56="","",IF(COUNTIF($A$6:$A$504,A56)&gt;1,"⚠ Duplicate",""))</f>
        <v/>
      </c>
      <c r="AC56" s="42" t="n"/>
      <c r="AD56" s="42" t="n"/>
      <c r="AE56" s="42" t="n"/>
      <c r="AF56" s="42" t="n"/>
      <c r="AG56" s="42" t="n"/>
      <c r="AH56" s="42" t="n"/>
      <c r="AI56" s="42" t="n"/>
      <c r="AJ56" s="42" t="n"/>
      <c r="AK56" s="42" t="n"/>
      <c r="AL56" s="42" t="n"/>
      <c r="AM56" s="42" t="n"/>
      <c r="AN56" s="42" t="n"/>
      <c r="AO56" s="42" t="n"/>
      <c r="AP56" s="42" t="n"/>
    </row>
    <row r="57" ht="18" customHeight="1" s="74">
      <c r="A57" s="32" t="n"/>
      <c r="B57" s="32" t="n"/>
      <c r="C57" s="32" t="n"/>
      <c r="D57" s="32" t="n"/>
      <c r="E57" s="33" t="n"/>
      <c r="F57" s="33" t="n"/>
      <c r="G57" s="33" t="n"/>
      <c r="H57" s="33" t="n"/>
      <c r="I57" s="33" t="n"/>
      <c r="J57" s="33" t="n"/>
      <c r="K57" s="33" t="n"/>
      <c r="L57" s="33" t="n"/>
      <c r="M57" s="33" t="n"/>
      <c r="N57" s="33" t="n"/>
      <c r="O57" s="33" t="n"/>
      <c r="P57" s="33" t="n"/>
      <c r="Q57" s="33" t="n"/>
      <c r="R57" s="33" t="n"/>
      <c r="S57" s="33" t="n"/>
      <c r="T57" s="33" t="n"/>
      <c r="U57" s="33" t="n"/>
      <c r="V57" s="33" t="n"/>
      <c r="W57" s="34" t="n"/>
      <c r="X57" s="33" t="n"/>
      <c r="Y57" s="35" t="n"/>
      <c r="Z57" s="32" t="n"/>
      <c r="AA57" s="32" t="n"/>
      <c r="AB57" s="36">
        <f>IF(A57="","",IF(COUNTIF($A$6:$A$504,A57)&gt;1,"⚠ Duplicate",""))</f>
        <v/>
      </c>
      <c r="AC57" s="43" t="n"/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  <c r="AM57" s="43" t="n"/>
      <c r="AN57" s="43" t="n"/>
      <c r="AO57" s="43" t="n"/>
      <c r="AP57" s="43" t="n"/>
    </row>
    <row r="58" ht="18" customHeight="1" s="74">
      <c r="A58" s="38" t="n"/>
      <c r="B58" s="38" t="n"/>
      <c r="C58" s="38" t="n"/>
      <c r="D58" s="38" t="n"/>
      <c r="E58" s="39" t="n"/>
      <c r="F58" s="39" t="n"/>
      <c r="G58" s="39" t="n"/>
      <c r="H58" s="39" t="n"/>
      <c r="I58" s="39" t="n"/>
      <c r="J58" s="39" t="n"/>
      <c r="K58" s="39" t="n"/>
      <c r="L58" s="3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  <c r="V58" s="39" t="n"/>
      <c r="W58" s="34" t="n"/>
      <c r="X58" s="39" t="n"/>
      <c r="Y58" s="40" t="n"/>
      <c r="Z58" s="38" t="n"/>
      <c r="AA58" s="38" t="n"/>
      <c r="AB58" s="41">
        <f>IF(A58="","",IF(COUNTIF($A$6:$A$504,A58)&gt;1,"⚠ Duplicate",""))</f>
        <v/>
      </c>
      <c r="AC58" s="42" t="n"/>
      <c r="AD58" s="42" t="n"/>
      <c r="AE58" s="42" t="n"/>
      <c r="AF58" s="42" t="n"/>
      <c r="AG58" s="42" t="n"/>
      <c r="AH58" s="42" t="n"/>
      <c r="AI58" s="42" t="n"/>
      <c r="AJ58" s="42" t="n"/>
      <c r="AK58" s="42" t="n"/>
      <c r="AL58" s="42" t="n"/>
      <c r="AM58" s="42" t="n"/>
      <c r="AN58" s="42" t="n"/>
      <c r="AO58" s="42" t="n"/>
      <c r="AP58" s="42" t="n"/>
    </row>
    <row r="59" ht="18" customHeight="1" s="74">
      <c r="A59" s="32" t="n"/>
      <c r="B59" s="32" t="n"/>
      <c r="C59" s="32" t="n"/>
      <c r="D59" s="32" t="n"/>
      <c r="E59" s="33" t="n"/>
      <c r="F59" s="33" t="n"/>
      <c r="G59" s="33" t="n"/>
      <c r="H59" s="33" t="n"/>
      <c r="I59" s="33" t="n"/>
      <c r="J59" s="33" t="n"/>
      <c r="K59" s="33" t="n"/>
      <c r="L59" s="33" t="n"/>
      <c r="M59" s="33" t="n"/>
      <c r="N59" s="33" t="n"/>
      <c r="O59" s="33" t="n"/>
      <c r="P59" s="33" t="n"/>
      <c r="Q59" s="33" t="n"/>
      <c r="R59" s="33" t="n"/>
      <c r="S59" s="33" t="n"/>
      <c r="T59" s="33" t="n"/>
      <c r="U59" s="33" t="n"/>
      <c r="V59" s="33" t="n"/>
      <c r="W59" s="34" t="n"/>
      <c r="X59" s="33" t="n"/>
      <c r="Y59" s="35" t="n"/>
      <c r="Z59" s="32" t="n"/>
      <c r="AA59" s="32" t="n"/>
      <c r="AB59" s="36">
        <f>IF(A59="","",IF(COUNTIF($A$6:$A$504,A59)&gt;1,"⚠ Duplicate",""))</f>
        <v/>
      </c>
      <c r="AC59" s="43" t="n"/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  <c r="AM59" s="43" t="n"/>
      <c r="AN59" s="43" t="n"/>
      <c r="AO59" s="43" t="n"/>
      <c r="AP59" s="43" t="n"/>
    </row>
    <row r="60" ht="18" customHeight="1" s="74">
      <c r="A60" s="38" t="n"/>
      <c r="B60" s="38" t="n"/>
      <c r="C60" s="38" t="n"/>
      <c r="D60" s="38" t="n"/>
      <c r="E60" s="3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4" t="n"/>
      <c r="X60" s="39" t="n"/>
      <c r="Y60" s="40" t="n"/>
      <c r="Z60" s="38" t="n"/>
      <c r="AA60" s="38" t="n"/>
      <c r="AB60" s="41">
        <f>IF(A60="","",IF(COUNTIF($A$6:$A$504,A60)&gt;1,"⚠ Duplicate",""))</f>
        <v/>
      </c>
      <c r="AC60" s="42" t="n"/>
      <c r="AD60" s="42" t="n"/>
      <c r="AE60" s="42" t="n"/>
      <c r="AF60" s="42" t="n"/>
      <c r="AG60" s="42" t="n"/>
      <c r="AH60" s="42" t="n"/>
      <c r="AI60" s="42" t="n"/>
      <c r="AJ60" s="42" t="n"/>
      <c r="AK60" s="42" t="n"/>
      <c r="AL60" s="42" t="n"/>
      <c r="AM60" s="42" t="n"/>
      <c r="AN60" s="42" t="n"/>
      <c r="AO60" s="42" t="n"/>
      <c r="AP60" s="42" t="n"/>
    </row>
    <row r="61" ht="18" customHeight="1" s="74">
      <c r="A61" s="32" t="n"/>
      <c r="B61" s="32" t="n"/>
      <c r="C61" s="32" t="n"/>
      <c r="D61" s="32" t="n"/>
      <c r="E61" s="33" t="n"/>
      <c r="F61" s="33" t="n"/>
      <c r="G61" s="33" t="n"/>
      <c r="H61" s="33" t="n"/>
      <c r="I61" s="33" t="n"/>
      <c r="J61" s="33" t="n"/>
      <c r="K61" s="33" t="n"/>
      <c r="L61" s="33" t="n"/>
      <c r="M61" s="33" t="n"/>
      <c r="N61" s="33" t="n"/>
      <c r="O61" s="33" t="n"/>
      <c r="P61" s="33" t="n"/>
      <c r="Q61" s="33" t="n"/>
      <c r="R61" s="33" t="n"/>
      <c r="S61" s="33" t="n"/>
      <c r="T61" s="33" t="n"/>
      <c r="U61" s="33" t="n"/>
      <c r="V61" s="33" t="n"/>
      <c r="W61" s="34" t="n"/>
      <c r="X61" s="33" t="n"/>
      <c r="Y61" s="35" t="n"/>
      <c r="Z61" s="32" t="n"/>
      <c r="AA61" s="32" t="n"/>
      <c r="AB61" s="36">
        <f>IF(A61="","",IF(COUNTIF($A$6:$A$504,A61)&gt;1,"⚠ Duplicate",""))</f>
        <v/>
      </c>
      <c r="AC61" s="43" t="n"/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  <c r="AM61" s="43" t="n"/>
      <c r="AN61" s="43" t="n"/>
      <c r="AO61" s="43" t="n"/>
      <c r="AP61" s="43" t="n"/>
    </row>
    <row r="62" ht="18" customHeight="1" s="74">
      <c r="A62" s="38" t="n"/>
      <c r="B62" s="38" t="n"/>
      <c r="C62" s="38" t="n"/>
      <c r="D62" s="38" t="n"/>
      <c r="E62" s="3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4" t="n"/>
      <c r="X62" s="39" t="n"/>
      <c r="Y62" s="40" t="n"/>
      <c r="Z62" s="38" t="n"/>
      <c r="AA62" s="38" t="n"/>
      <c r="AB62" s="41">
        <f>IF(A62="","",IF(COUNTIF($A$6:$A$504,A62)&gt;1,"⚠ Duplicate",""))</f>
        <v/>
      </c>
      <c r="AC62" s="42" t="n"/>
      <c r="AD62" s="42" t="n"/>
      <c r="AE62" s="42" t="n"/>
      <c r="AF62" s="42" t="n"/>
      <c r="AG62" s="42" t="n"/>
      <c r="AH62" s="42" t="n"/>
      <c r="AI62" s="42" t="n"/>
      <c r="AJ62" s="42" t="n"/>
      <c r="AK62" s="42" t="n"/>
      <c r="AL62" s="42" t="n"/>
      <c r="AM62" s="42" t="n"/>
      <c r="AN62" s="42" t="n"/>
      <c r="AO62" s="42" t="n"/>
      <c r="AP62" s="42" t="n"/>
    </row>
    <row r="63" ht="18" customHeight="1" s="74">
      <c r="A63" s="32" t="n"/>
      <c r="B63" s="32" t="n"/>
      <c r="C63" s="32" t="n"/>
      <c r="D63" s="32" t="n"/>
      <c r="E63" s="33" t="n"/>
      <c r="F63" s="33" t="n"/>
      <c r="G63" s="33" t="n"/>
      <c r="H63" s="33" t="n"/>
      <c r="I63" s="33" t="n"/>
      <c r="J63" s="33" t="n"/>
      <c r="K63" s="33" t="n"/>
      <c r="L63" s="33" t="n"/>
      <c r="M63" s="33" t="n"/>
      <c r="N63" s="33" t="n"/>
      <c r="O63" s="33" t="n"/>
      <c r="P63" s="33" t="n"/>
      <c r="Q63" s="33" t="n"/>
      <c r="R63" s="33" t="n"/>
      <c r="S63" s="33" t="n"/>
      <c r="T63" s="33" t="n"/>
      <c r="U63" s="33" t="n"/>
      <c r="V63" s="33" t="n"/>
      <c r="W63" s="34" t="n"/>
      <c r="X63" s="33" t="n"/>
      <c r="Y63" s="35" t="n"/>
      <c r="Z63" s="32" t="n"/>
      <c r="AA63" s="32" t="n"/>
      <c r="AB63" s="36">
        <f>IF(A63="","",IF(COUNTIF($A$6:$A$504,A63)&gt;1,"⚠ Duplicate",""))</f>
        <v/>
      </c>
      <c r="AC63" s="43" t="n"/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  <c r="AM63" s="43" t="n"/>
      <c r="AN63" s="43" t="n"/>
      <c r="AO63" s="43" t="n"/>
      <c r="AP63" s="43" t="n"/>
    </row>
    <row r="64" ht="18" customHeight="1" s="74">
      <c r="A64" s="38" t="n"/>
      <c r="B64" s="38" t="n"/>
      <c r="C64" s="38" t="n"/>
      <c r="D64" s="38" t="n"/>
      <c r="E64" s="3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4" t="n"/>
      <c r="X64" s="39" t="n"/>
      <c r="Y64" s="40" t="n"/>
      <c r="Z64" s="38" t="n"/>
      <c r="AA64" s="38" t="n"/>
      <c r="AB64" s="41">
        <f>IF(A64="","",IF(COUNTIF($A$6:$A$504,A64)&gt;1,"⚠ Duplicate",""))</f>
        <v/>
      </c>
      <c r="AC64" s="42" t="n"/>
      <c r="AD64" s="42" t="n"/>
      <c r="AE64" s="42" t="n"/>
      <c r="AF64" s="42" t="n"/>
      <c r="AG64" s="42" t="n"/>
      <c r="AH64" s="42" t="n"/>
      <c r="AI64" s="42" t="n"/>
      <c r="AJ64" s="42" t="n"/>
      <c r="AK64" s="42" t="n"/>
      <c r="AL64" s="42" t="n"/>
      <c r="AM64" s="42" t="n"/>
      <c r="AN64" s="42" t="n"/>
      <c r="AO64" s="42" t="n"/>
      <c r="AP64" s="42" t="n"/>
    </row>
    <row r="65" ht="18" customHeight="1" s="74">
      <c r="A65" s="32" t="n"/>
      <c r="B65" s="32" t="n"/>
      <c r="C65" s="32" t="n"/>
      <c r="D65" s="32" t="n"/>
      <c r="E65" s="33" t="n"/>
      <c r="F65" s="33" t="n"/>
      <c r="G65" s="33" t="n"/>
      <c r="H65" s="33" t="n"/>
      <c r="I65" s="33" t="n"/>
      <c r="J65" s="33" t="n"/>
      <c r="K65" s="33" t="n"/>
      <c r="L65" s="33" t="n"/>
      <c r="M65" s="33" t="n"/>
      <c r="N65" s="33" t="n"/>
      <c r="O65" s="33" t="n"/>
      <c r="P65" s="33" t="n"/>
      <c r="Q65" s="33" t="n"/>
      <c r="R65" s="33" t="n"/>
      <c r="S65" s="33" t="n"/>
      <c r="T65" s="33" t="n"/>
      <c r="U65" s="33" t="n"/>
      <c r="V65" s="33" t="n"/>
      <c r="W65" s="34" t="n"/>
      <c r="X65" s="33" t="n"/>
      <c r="Y65" s="35" t="n"/>
      <c r="Z65" s="32" t="n"/>
      <c r="AA65" s="32" t="n"/>
      <c r="AB65" s="36">
        <f>IF(A65="","",IF(COUNTIF($A$6:$A$504,A65)&gt;1,"⚠ Duplicate",""))</f>
        <v/>
      </c>
      <c r="AC65" s="43" t="n"/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  <c r="AM65" s="43" t="n"/>
      <c r="AN65" s="43" t="n"/>
      <c r="AO65" s="43" t="n"/>
      <c r="AP65" s="43" t="n"/>
    </row>
    <row r="66" ht="18" customHeight="1" s="74">
      <c r="A66" s="38" t="n"/>
      <c r="B66" s="38" t="n"/>
      <c r="C66" s="38" t="n"/>
      <c r="D66" s="38" t="n"/>
      <c r="E66" s="3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4" t="n"/>
      <c r="X66" s="39" t="n"/>
      <c r="Y66" s="40" t="n"/>
      <c r="Z66" s="38" t="n"/>
      <c r="AA66" s="38" t="n"/>
      <c r="AB66" s="41">
        <f>IF(A66="","",IF(COUNTIF($A$6:$A$504,A66)&gt;1,"⚠ Duplicate",""))</f>
        <v/>
      </c>
      <c r="AC66" s="42" t="n"/>
      <c r="AD66" s="42" t="n"/>
      <c r="AE66" s="42" t="n"/>
      <c r="AF66" s="42" t="n"/>
      <c r="AG66" s="42" t="n"/>
      <c r="AH66" s="42" t="n"/>
      <c r="AI66" s="42" t="n"/>
      <c r="AJ66" s="42" t="n"/>
      <c r="AK66" s="42" t="n"/>
      <c r="AL66" s="42" t="n"/>
      <c r="AM66" s="42" t="n"/>
      <c r="AN66" s="42" t="n"/>
      <c r="AO66" s="42" t="n"/>
      <c r="AP66" s="42" t="n"/>
    </row>
    <row r="67" ht="18" customHeight="1" s="74">
      <c r="A67" s="32" t="n"/>
      <c r="B67" s="32" t="n"/>
      <c r="C67" s="32" t="n"/>
      <c r="D67" s="32" t="n"/>
      <c r="E67" s="33" t="n"/>
      <c r="F67" s="33" t="n"/>
      <c r="G67" s="33" t="n"/>
      <c r="H67" s="33" t="n"/>
      <c r="I67" s="33" t="n"/>
      <c r="J67" s="33" t="n"/>
      <c r="K67" s="33" t="n"/>
      <c r="L67" s="33" t="n"/>
      <c r="M67" s="33" t="n"/>
      <c r="N67" s="33" t="n"/>
      <c r="O67" s="33" t="n"/>
      <c r="P67" s="33" t="n"/>
      <c r="Q67" s="33" t="n"/>
      <c r="R67" s="33" t="n"/>
      <c r="S67" s="33" t="n"/>
      <c r="T67" s="33" t="n"/>
      <c r="U67" s="33" t="n"/>
      <c r="V67" s="33" t="n"/>
      <c r="W67" s="34" t="n"/>
      <c r="X67" s="33" t="n"/>
      <c r="Y67" s="35" t="n"/>
      <c r="Z67" s="32" t="n"/>
      <c r="AA67" s="32" t="n"/>
      <c r="AB67" s="36">
        <f>IF(A67="","",IF(COUNTIF($A$6:$A$504,A67)&gt;1,"⚠ Duplicate",""))</f>
        <v/>
      </c>
      <c r="AC67" s="43" t="n"/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  <c r="AM67" s="43" t="n"/>
      <c r="AN67" s="43" t="n"/>
      <c r="AO67" s="43" t="n"/>
      <c r="AP67" s="43" t="n"/>
    </row>
    <row r="68" ht="18" customHeight="1" s="74">
      <c r="A68" s="38" t="n"/>
      <c r="B68" s="38" t="n"/>
      <c r="C68" s="38" t="n"/>
      <c r="D68" s="38" t="n"/>
      <c r="E68" s="3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4" t="n"/>
      <c r="X68" s="39" t="n"/>
      <c r="Y68" s="40" t="n"/>
      <c r="Z68" s="38" t="n"/>
      <c r="AA68" s="38" t="n"/>
      <c r="AB68" s="41">
        <f>IF(A68="","",IF(COUNTIF($A$6:$A$504,A68)&gt;1,"⚠ Duplicate",""))</f>
        <v/>
      </c>
      <c r="AC68" s="42" t="n"/>
      <c r="AD68" s="42" t="n"/>
      <c r="AE68" s="42" t="n"/>
      <c r="AF68" s="42" t="n"/>
      <c r="AG68" s="42" t="n"/>
      <c r="AH68" s="42" t="n"/>
      <c r="AI68" s="42" t="n"/>
      <c r="AJ68" s="42" t="n"/>
      <c r="AK68" s="42" t="n"/>
      <c r="AL68" s="42" t="n"/>
      <c r="AM68" s="42" t="n"/>
      <c r="AN68" s="42" t="n"/>
      <c r="AO68" s="42" t="n"/>
      <c r="AP68" s="42" t="n"/>
    </row>
    <row r="69" ht="18" customHeight="1" s="74">
      <c r="A69" s="32" t="n"/>
      <c r="B69" s="32" t="n"/>
      <c r="C69" s="32" t="n"/>
      <c r="D69" s="32" t="n"/>
      <c r="E69" s="33" t="n"/>
      <c r="F69" s="33" t="n"/>
      <c r="G69" s="33" t="n"/>
      <c r="H69" s="33" t="n"/>
      <c r="I69" s="33" t="n"/>
      <c r="J69" s="33" t="n"/>
      <c r="K69" s="33" t="n"/>
      <c r="L69" s="33" t="n"/>
      <c r="M69" s="33" t="n"/>
      <c r="N69" s="33" t="n"/>
      <c r="O69" s="33" t="n"/>
      <c r="P69" s="33" t="n"/>
      <c r="Q69" s="33" t="n"/>
      <c r="R69" s="33" t="n"/>
      <c r="S69" s="33" t="n"/>
      <c r="T69" s="33" t="n"/>
      <c r="U69" s="33" t="n"/>
      <c r="V69" s="33" t="n"/>
      <c r="W69" s="34" t="n"/>
      <c r="X69" s="33" t="n"/>
      <c r="Y69" s="35" t="n"/>
      <c r="Z69" s="32" t="n"/>
      <c r="AA69" s="32" t="n"/>
      <c r="AB69" s="36">
        <f>IF(A69="","",IF(COUNTIF($A$6:$A$504,A69)&gt;1,"⚠ Duplicate",""))</f>
        <v/>
      </c>
      <c r="AC69" s="43" t="n"/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  <c r="AM69" s="43" t="n"/>
      <c r="AN69" s="43" t="n"/>
      <c r="AO69" s="43" t="n"/>
      <c r="AP69" s="43" t="n"/>
    </row>
    <row r="70" ht="18" customHeight="1" s="74">
      <c r="A70" s="38" t="n"/>
      <c r="B70" s="38" t="n"/>
      <c r="C70" s="38" t="n"/>
      <c r="D70" s="38" t="n"/>
      <c r="E70" s="3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4" t="n"/>
      <c r="X70" s="39" t="n"/>
      <c r="Y70" s="40" t="n"/>
      <c r="Z70" s="38" t="n"/>
      <c r="AA70" s="38" t="n"/>
      <c r="AB70" s="41">
        <f>IF(A70="","",IF(COUNTIF($A$6:$A$504,A70)&gt;1,"⚠ Duplicate",""))</f>
        <v/>
      </c>
      <c r="AC70" s="42" t="n"/>
      <c r="AD70" s="42" t="n"/>
      <c r="AE70" s="42" t="n"/>
      <c r="AF70" s="42" t="n"/>
      <c r="AG70" s="42" t="n"/>
      <c r="AH70" s="42" t="n"/>
      <c r="AI70" s="42" t="n"/>
      <c r="AJ70" s="42" t="n"/>
      <c r="AK70" s="42" t="n"/>
      <c r="AL70" s="42" t="n"/>
      <c r="AM70" s="42" t="n"/>
      <c r="AN70" s="42" t="n"/>
      <c r="AO70" s="42" t="n"/>
      <c r="AP70" s="42" t="n"/>
    </row>
    <row r="71" ht="18" customHeight="1" s="74">
      <c r="A71" s="32" t="n"/>
      <c r="B71" s="32" t="n"/>
      <c r="C71" s="32" t="n"/>
      <c r="D71" s="32" t="n"/>
      <c r="E71" s="33" t="n"/>
      <c r="F71" s="33" t="n"/>
      <c r="G71" s="33" t="n"/>
      <c r="H71" s="33" t="n"/>
      <c r="I71" s="33" t="n"/>
      <c r="J71" s="33" t="n"/>
      <c r="K71" s="33" t="n"/>
      <c r="L71" s="33" t="n"/>
      <c r="M71" s="33" t="n"/>
      <c r="N71" s="33" t="n"/>
      <c r="O71" s="33" t="n"/>
      <c r="P71" s="33" t="n"/>
      <c r="Q71" s="33" t="n"/>
      <c r="R71" s="33" t="n"/>
      <c r="S71" s="33" t="n"/>
      <c r="T71" s="33" t="n"/>
      <c r="U71" s="33" t="n"/>
      <c r="V71" s="33" t="n"/>
      <c r="W71" s="34" t="n"/>
      <c r="X71" s="33" t="n"/>
      <c r="Y71" s="35" t="n"/>
      <c r="Z71" s="32" t="n"/>
      <c r="AA71" s="32" t="n"/>
      <c r="AB71" s="36">
        <f>IF(A71="","",IF(COUNTIF($A$6:$A$504,A71)&gt;1,"⚠ Duplicate",""))</f>
        <v/>
      </c>
      <c r="AC71" s="43" t="n"/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  <c r="AM71" s="43" t="n"/>
      <c r="AN71" s="43" t="n"/>
      <c r="AO71" s="43" t="n"/>
      <c r="AP71" s="43" t="n"/>
    </row>
    <row r="72" ht="18" customHeight="1" s="74">
      <c r="A72" s="38" t="n"/>
      <c r="B72" s="38" t="n"/>
      <c r="C72" s="38" t="n"/>
      <c r="D72" s="38" t="n"/>
      <c r="E72" s="3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4" t="n"/>
      <c r="X72" s="39" t="n"/>
      <c r="Y72" s="40" t="n"/>
      <c r="Z72" s="38" t="n"/>
      <c r="AA72" s="38" t="n"/>
      <c r="AB72" s="41">
        <f>IF(A72="","",IF(COUNTIF($A$6:$A$504,A72)&gt;1,"⚠ Duplicate",""))</f>
        <v/>
      </c>
      <c r="AC72" s="42" t="n"/>
      <c r="AD72" s="42" t="n"/>
      <c r="AE72" s="42" t="n"/>
      <c r="AF72" s="42" t="n"/>
      <c r="AG72" s="42" t="n"/>
      <c r="AH72" s="42" t="n"/>
      <c r="AI72" s="42" t="n"/>
      <c r="AJ72" s="42" t="n"/>
      <c r="AK72" s="42" t="n"/>
      <c r="AL72" s="42" t="n"/>
      <c r="AM72" s="42" t="n"/>
      <c r="AN72" s="42" t="n"/>
      <c r="AO72" s="42" t="n"/>
      <c r="AP72" s="42" t="n"/>
    </row>
    <row r="73" ht="18" customHeight="1" s="74">
      <c r="A73" s="32" t="n"/>
      <c r="B73" s="32" t="n"/>
      <c r="C73" s="32" t="n"/>
      <c r="D73" s="32" t="n"/>
      <c r="E73" s="33" t="n"/>
      <c r="F73" s="33" t="n"/>
      <c r="G73" s="33" t="n"/>
      <c r="H73" s="33" t="n"/>
      <c r="I73" s="33" t="n"/>
      <c r="J73" s="33" t="n"/>
      <c r="K73" s="33" t="n"/>
      <c r="L73" s="33" t="n"/>
      <c r="M73" s="33" t="n"/>
      <c r="N73" s="33" t="n"/>
      <c r="O73" s="33" t="n"/>
      <c r="P73" s="33" t="n"/>
      <c r="Q73" s="33" t="n"/>
      <c r="R73" s="33" t="n"/>
      <c r="S73" s="33" t="n"/>
      <c r="T73" s="33" t="n"/>
      <c r="U73" s="33" t="n"/>
      <c r="V73" s="33" t="n"/>
      <c r="W73" s="34" t="n"/>
      <c r="X73" s="33" t="n"/>
      <c r="Y73" s="35" t="n"/>
      <c r="Z73" s="32" t="n"/>
      <c r="AA73" s="32" t="n"/>
      <c r="AB73" s="36">
        <f>IF(A73="","",IF(COUNTIF($A$6:$A$504,A73)&gt;1,"⚠ Duplicate",""))</f>
        <v/>
      </c>
      <c r="AC73" s="43" t="n"/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  <c r="AM73" s="43" t="n"/>
      <c r="AN73" s="43" t="n"/>
      <c r="AO73" s="43" t="n"/>
      <c r="AP73" s="43" t="n"/>
    </row>
    <row r="74" ht="18" customHeight="1" s="74">
      <c r="A74" s="38" t="n"/>
      <c r="B74" s="38" t="n"/>
      <c r="C74" s="38" t="n"/>
      <c r="D74" s="38" t="n"/>
      <c r="E74" s="3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4" t="n"/>
      <c r="X74" s="39" t="n"/>
      <c r="Y74" s="40" t="n"/>
      <c r="Z74" s="38" t="n"/>
      <c r="AA74" s="38" t="n"/>
      <c r="AB74" s="41">
        <f>IF(A74="","",IF(COUNTIF($A$6:$A$504,A74)&gt;1,"⚠ Duplicate",""))</f>
        <v/>
      </c>
      <c r="AC74" s="42" t="n"/>
      <c r="AD74" s="42" t="n"/>
      <c r="AE74" s="42" t="n"/>
      <c r="AF74" s="42" t="n"/>
      <c r="AG74" s="42" t="n"/>
      <c r="AH74" s="42" t="n"/>
      <c r="AI74" s="42" t="n"/>
      <c r="AJ74" s="42" t="n"/>
      <c r="AK74" s="42" t="n"/>
      <c r="AL74" s="42" t="n"/>
      <c r="AM74" s="42" t="n"/>
      <c r="AN74" s="42" t="n"/>
      <c r="AO74" s="42" t="n"/>
      <c r="AP74" s="42" t="n"/>
    </row>
    <row r="75" ht="18" customHeight="1" s="74">
      <c r="A75" s="32" t="n"/>
      <c r="B75" s="32" t="n"/>
      <c r="C75" s="32" t="n"/>
      <c r="D75" s="32" t="n"/>
      <c r="E75" s="33" t="n"/>
      <c r="F75" s="33" t="n"/>
      <c r="G75" s="33" t="n"/>
      <c r="H75" s="33" t="n"/>
      <c r="I75" s="33" t="n"/>
      <c r="J75" s="33" t="n"/>
      <c r="K75" s="33" t="n"/>
      <c r="L75" s="33" t="n"/>
      <c r="M75" s="33" t="n"/>
      <c r="N75" s="33" t="n"/>
      <c r="O75" s="33" t="n"/>
      <c r="P75" s="33" t="n"/>
      <c r="Q75" s="33" t="n"/>
      <c r="R75" s="33" t="n"/>
      <c r="S75" s="33" t="n"/>
      <c r="T75" s="33" t="n"/>
      <c r="U75" s="33" t="n"/>
      <c r="V75" s="33" t="n"/>
      <c r="W75" s="34" t="n"/>
      <c r="X75" s="33" t="n"/>
      <c r="Y75" s="35" t="n"/>
      <c r="Z75" s="32" t="n"/>
      <c r="AA75" s="32" t="n"/>
      <c r="AB75" s="36">
        <f>IF(A75="","",IF(COUNTIF($A$6:$A$504,A75)&gt;1,"⚠ Duplicate",""))</f>
        <v/>
      </c>
      <c r="AC75" s="43" t="n"/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  <c r="AM75" s="43" t="n"/>
      <c r="AN75" s="43" t="n"/>
      <c r="AO75" s="43" t="n"/>
      <c r="AP75" s="43" t="n"/>
    </row>
    <row r="76" ht="18" customHeight="1" s="74">
      <c r="A76" s="38" t="n"/>
      <c r="B76" s="38" t="n"/>
      <c r="C76" s="38" t="n"/>
      <c r="D76" s="38" t="n"/>
      <c r="E76" s="3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4" t="n"/>
      <c r="X76" s="39" t="n"/>
      <c r="Y76" s="40" t="n"/>
      <c r="Z76" s="38" t="n"/>
      <c r="AA76" s="38" t="n"/>
      <c r="AB76" s="41">
        <f>IF(A76="","",IF(COUNTIF($A$6:$A$504,A76)&gt;1,"⚠ Duplicate",""))</f>
        <v/>
      </c>
      <c r="AC76" s="42" t="n"/>
      <c r="AD76" s="42" t="n"/>
      <c r="AE76" s="42" t="n"/>
      <c r="AF76" s="42" t="n"/>
      <c r="AG76" s="42" t="n"/>
      <c r="AH76" s="42" t="n"/>
      <c r="AI76" s="42" t="n"/>
      <c r="AJ76" s="42" t="n"/>
      <c r="AK76" s="42" t="n"/>
      <c r="AL76" s="42" t="n"/>
      <c r="AM76" s="42" t="n"/>
      <c r="AN76" s="42" t="n"/>
      <c r="AO76" s="42" t="n"/>
      <c r="AP76" s="42" t="n"/>
    </row>
    <row r="77" ht="18" customHeight="1" s="74">
      <c r="A77" s="32" t="n"/>
      <c r="B77" s="32" t="n"/>
      <c r="C77" s="32" t="n"/>
      <c r="D77" s="32" t="n"/>
      <c r="E77" s="33" t="n"/>
      <c r="F77" s="33" t="n"/>
      <c r="G77" s="33" t="n"/>
      <c r="H77" s="33" t="n"/>
      <c r="I77" s="33" t="n"/>
      <c r="J77" s="33" t="n"/>
      <c r="K77" s="33" t="n"/>
      <c r="L77" s="33" t="n"/>
      <c r="M77" s="33" t="n"/>
      <c r="N77" s="33" t="n"/>
      <c r="O77" s="33" t="n"/>
      <c r="P77" s="33" t="n"/>
      <c r="Q77" s="33" t="n"/>
      <c r="R77" s="33" t="n"/>
      <c r="S77" s="33" t="n"/>
      <c r="T77" s="33" t="n"/>
      <c r="U77" s="33" t="n"/>
      <c r="V77" s="33" t="n"/>
      <c r="W77" s="34" t="n"/>
      <c r="X77" s="33" t="n"/>
      <c r="Y77" s="35" t="n"/>
      <c r="Z77" s="32" t="n"/>
      <c r="AA77" s="32" t="n"/>
      <c r="AB77" s="36">
        <f>IF(A77="","",IF(COUNTIF($A$6:$A$504,A77)&gt;1,"⚠ Duplicate",""))</f>
        <v/>
      </c>
      <c r="AC77" s="43" t="n"/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  <c r="AM77" s="43" t="n"/>
      <c r="AN77" s="43" t="n"/>
      <c r="AO77" s="43" t="n"/>
      <c r="AP77" s="43" t="n"/>
    </row>
    <row r="78" ht="18" customHeight="1" s="74">
      <c r="A78" s="38" t="n"/>
      <c r="B78" s="38" t="n"/>
      <c r="C78" s="38" t="n"/>
      <c r="D78" s="38" t="n"/>
      <c r="E78" s="3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4" t="n"/>
      <c r="X78" s="39" t="n"/>
      <c r="Y78" s="40" t="n"/>
      <c r="Z78" s="38" t="n"/>
      <c r="AA78" s="38" t="n"/>
      <c r="AB78" s="41">
        <f>IF(A78="","",IF(COUNTIF($A$6:$A$504,A78)&gt;1,"⚠ Duplicate",""))</f>
        <v/>
      </c>
      <c r="AC78" s="42" t="n"/>
      <c r="AD78" s="42" t="n"/>
      <c r="AE78" s="42" t="n"/>
      <c r="AF78" s="42" t="n"/>
      <c r="AG78" s="42" t="n"/>
      <c r="AH78" s="42" t="n"/>
      <c r="AI78" s="42" t="n"/>
      <c r="AJ78" s="42" t="n"/>
      <c r="AK78" s="42" t="n"/>
      <c r="AL78" s="42" t="n"/>
      <c r="AM78" s="42" t="n"/>
      <c r="AN78" s="42" t="n"/>
      <c r="AO78" s="42" t="n"/>
      <c r="AP78" s="42" t="n"/>
    </row>
    <row r="79" ht="18" customHeight="1" s="74">
      <c r="A79" s="32" t="n"/>
      <c r="B79" s="32" t="n"/>
      <c r="C79" s="32" t="n"/>
      <c r="D79" s="32" t="n"/>
      <c r="E79" s="33" t="n"/>
      <c r="F79" s="33" t="n"/>
      <c r="G79" s="33" t="n"/>
      <c r="H79" s="33" t="n"/>
      <c r="I79" s="33" t="n"/>
      <c r="J79" s="33" t="n"/>
      <c r="K79" s="33" t="n"/>
      <c r="L79" s="33" t="n"/>
      <c r="M79" s="33" t="n"/>
      <c r="N79" s="33" t="n"/>
      <c r="O79" s="33" t="n"/>
      <c r="P79" s="33" t="n"/>
      <c r="Q79" s="33" t="n"/>
      <c r="R79" s="33" t="n"/>
      <c r="S79" s="33" t="n"/>
      <c r="T79" s="33" t="n"/>
      <c r="U79" s="33" t="n"/>
      <c r="V79" s="33" t="n"/>
      <c r="W79" s="34" t="n"/>
      <c r="X79" s="33" t="n"/>
      <c r="Y79" s="35" t="n"/>
      <c r="Z79" s="32" t="n"/>
      <c r="AA79" s="32" t="n"/>
      <c r="AB79" s="36">
        <f>IF(A79="","",IF(COUNTIF($A$6:$A$504,A79)&gt;1,"⚠ Duplicate",""))</f>
        <v/>
      </c>
      <c r="AC79" s="43" t="n"/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  <c r="AM79" s="43" t="n"/>
      <c r="AN79" s="43" t="n"/>
      <c r="AO79" s="43" t="n"/>
      <c r="AP79" s="43" t="n"/>
    </row>
    <row r="80" ht="18" customHeight="1" s="74">
      <c r="A80" s="38" t="n"/>
      <c r="B80" s="38" t="n"/>
      <c r="C80" s="38" t="n"/>
      <c r="D80" s="38" t="n"/>
      <c r="E80" s="3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4" t="n"/>
      <c r="X80" s="39" t="n"/>
      <c r="Y80" s="40" t="n"/>
      <c r="Z80" s="38" t="n"/>
      <c r="AA80" s="38" t="n"/>
      <c r="AB80" s="41">
        <f>IF(A80="","",IF(COUNTIF($A$6:$A$504,A80)&gt;1,"⚠ Duplicate",""))</f>
        <v/>
      </c>
      <c r="AC80" s="42" t="n"/>
      <c r="AD80" s="42" t="n"/>
      <c r="AE80" s="42" t="n"/>
      <c r="AF80" s="42" t="n"/>
      <c r="AG80" s="42" t="n"/>
      <c r="AH80" s="42" t="n"/>
      <c r="AI80" s="42" t="n"/>
      <c r="AJ80" s="42" t="n"/>
      <c r="AK80" s="42" t="n"/>
      <c r="AL80" s="42" t="n"/>
      <c r="AM80" s="42" t="n"/>
      <c r="AN80" s="42" t="n"/>
      <c r="AO80" s="42" t="n"/>
      <c r="AP80" s="42" t="n"/>
    </row>
    <row r="81" ht="18" customHeight="1" s="74">
      <c r="A81" s="32" t="n"/>
      <c r="B81" s="32" t="n"/>
      <c r="C81" s="32" t="n"/>
      <c r="D81" s="32" t="n"/>
      <c r="E81" s="33" t="n"/>
      <c r="F81" s="33" t="n"/>
      <c r="G81" s="33" t="n"/>
      <c r="H81" s="33" t="n"/>
      <c r="I81" s="33" t="n"/>
      <c r="J81" s="33" t="n"/>
      <c r="K81" s="33" t="n"/>
      <c r="L81" s="33" t="n"/>
      <c r="M81" s="33" t="n"/>
      <c r="N81" s="33" t="n"/>
      <c r="O81" s="33" t="n"/>
      <c r="P81" s="33" t="n"/>
      <c r="Q81" s="33" t="n"/>
      <c r="R81" s="33" t="n"/>
      <c r="S81" s="33" t="n"/>
      <c r="T81" s="33" t="n"/>
      <c r="U81" s="33" t="n"/>
      <c r="V81" s="33" t="n"/>
      <c r="W81" s="34" t="n"/>
      <c r="X81" s="33" t="n"/>
      <c r="Y81" s="35" t="n"/>
      <c r="Z81" s="32" t="n"/>
      <c r="AA81" s="32" t="n"/>
      <c r="AB81" s="36">
        <f>IF(A81="","",IF(COUNTIF($A$6:$A$504,A81)&gt;1,"⚠ Duplicate",""))</f>
        <v/>
      </c>
      <c r="AC81" s="43" t="n"/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  <c r="AM81" s="43" t="n"/>
      <c r="AN81" s="43" t="n"/>
      <c r="AO81" s="43" t="n"/>
      <c r="AP81" s="43" t="n"/>
    </row>
    <row r="82" ht="18" customHeight="1" s="74">
      <c r="A82" s="38" t="n"/>
      <c r="B82" s="38" t="n"/>
      <c r="C82" s="38" t="n"/>
      <c r="D82" s="38" t="n"/>
      <c r="E82" s="3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4" t="n"/>
      <c r="X82" s="39" t="n"/>
      <c r="Y82" s="40" t="n"/>
      <c r="Z82" s="38" t="n"/>
      <c r="AA82" s="38" t="n"/>
      <c r="AB82" s="41">
        <f>IF(A82="","",IF(COUNTIF($A$6:$A$504,A82)&gt;1,"⚠ Duplicate",""))</f>
        <v/>
      </c>
      <c r="AC82" s="42" t="n"/>
      <c r="AD82" s="42" t="n"/>
      <c r="AE82" s="42" t="n"/>
      <c r="AF82" s="42" t="n"/>
      <c r="AG82" s="42" t="n"/>
      <c r="AH82" s="42" t="n"/>
      <c r="AI82" s="42" t="n"/>
      <c r="AJ82" s="42" t="n"/>
      <c r="AK82" s="42" t="n"/>
      <c r="AL82" s="42" t="n"/>
      <c r="AM82" s="42" t="n"/>
      <c r="AN82" s="42" t="n"/>
      <c r="AO82" s="42" t="n"/>
      <c r="AP82" s="42" t="n"/>
    </row>
    <row r="83" ht="18" customHeight="1" s="74">
      <c r="A83" s="32" t="n"/>
      <c r="B83" s="32" t="n"/>
      <c r="C83" s="32" t="n"/>
      <c r="D83" s="32" t="n"/>
      <c r="E83" s="33" t="n"/>
      <c r="F83" s="33" t="n"/>
      <c r="G83" s="33" t="n"/>
      <c r="H83" s="33" t="n"/>
      <c r="I83" s="33" t="n"/>
      <c r="J83" s="33" t="n"/>
      <c r="K83" s="33" t="n"/>
      <c r="L83" s="33" t="n"/>
      <c r="M83" s="33" t="n"/>
      <c r="N83" s="33" t="n"/>
      <c r="O83" s="33" t="n"/>
      <c r="P83" s="33" t="n"/>
      <c r="Q83" s="33" t="n"/>
      <c r="R83" s="33" t="n"/>
      <c r="S83" s="33" t="n"/>
      <c r="T83" s="33" t="n"/>
      <c r="U83" s="33" t="n"/>
      <c r="V83" s="33" t="n"/>
      <c r="W83" s="34" t="n"/>
      <c r="X83" s="33" t="n"/>
      <c r="Y83" s="35" t="n"/>
      <c r="Z83" s="32" t="n"/>
      <c r="AA83" s="32" t="n"/>
      <c r="AB83" s="36">
        <f>IF(A83="","",IF(COUNTIF($A$6:$A$504,A83)&gt;1,"⚠ Duplicate",""))</f>
        <v/>
      </c>
      <c r="AC83" s="43" t="n"/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  <c r="AM83" s="43" t="n"/>
      <c r="AN83" s="43" t="n"/>
      <c r="AO83" s="43" t="n"/>
      <c r="AP83" s="43" t="n"/>
    </row>
    <row r="84" ht="18" customHeight="1" s="74">
      <c r="A84" s="38" t="n"/>
      <c r="B84" s="38" t="n"/>
      <c r="C84" s="38" t="n"/>
      <c r="D84" s="38" t="n"/>
      <c r="E84" s="3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4" t="n"/>
      <c r="X84" s="39" t="n"/>
      <c r="Y84" s="40" t="n"/>
      <c r="Z84" s="38" t="n"/>
      <c r="AA84" s="38" t="n"/>
      <c r="AB84" s="41">
        <f>IF(A84="","",IF(COUNTIF($A$6:$A$504,A84)&gt;1,"⚠ Duplicate",""))</f>
        <v/>
      </c>
      <c r="AC84" s="42" t="n"/>
      <c r="AD84" s="42" t="n"/>
      <c r="AE84" s="42" t="n"/>
      <c r="AF84" s="42" t="n"/>
      <c r="AG84" s="42" t="n"/>
      <c r="AH84" s="42" t="n"/>
      <c r="AI84" s="42" t="n"/>
      <c r="AJ84" s="42" t="n"/>
      <c r="AK84" s="42" t="n"/>
      <c r="AL84" s="42" t="n"/>
      <c r="AM84" s="42" t="n"/>
      <c r="AN84" s="42" t="n"/>
      <c r="AO84" s="42" t="n"/>
      <c r="AP84" s="42" t="n"/>
    </row>
    <row r="85" ht="18" customHeight="1" s="74">
      <c r="A85" s="32" t="n"/>
      <c r="B85" s="32" t="n"/>
      <c r="C85" s="32" t="n"/>
      <c r="D85" s="32" t="n"/>
      <c r="E85" s="33" t="n"/>
      <c r="F85" s="33" t="n"/>
      <c r="G85" s="33" t="n"/>
      <c r="H85" s="33" t="n"/>
      <c r="I85" s="33" t="n"/>
      <c r="J85" s="33" t="n"/>
      <c r="K85" s="33" t="n"/>
      <c r="L85" s="33" t="n"/>
      <c r="M85" s="33" t="n"/>
      <c r="N85" s="33" t="n"/>
      <c r="O85" s="33" t="n"/>
      <c r="P85" s="33" t="n"/>
      <c r="Q85" s="33" t="n"/>
      <c r="R85" s="33" t="n"/>
      <c r="S85" s="33" t="n"/>
      <c r="T85" s="33" t="n"/>
      <c r="U85" s="33" t="n"/>
      <c r="V85" s="33" t="n"/>
      <c r="W85" s="34" t="n"/>
      <c r="X85" s="33" t="n"/>
      <c r="Y85" s="35" t="n"/>
      <c r="Z85" s="32" t="n"/>
      <c r="AA85" s="32" t="n"/>
      <c r="AB85" s="36">
        <f>IF(A85="","",IF(COUNTIF($A$6:$A$504,A85)&gt;1,"⚠ Duplicate",""))</f>
        <v/>
      </c>
      <c r="AC85" s="43" t="n"/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  <c r="AM85" s="43" t="n"/>
      <c r="AN85" s="43" t="n"/>
      <c r="AO85" s="43" t="n"/>
      <c r="AP85" s="43" t="n"/>
    </row>
    <row r="86" ht="18" customHeight="1" s="74">
      <c r="A86" s="38" t="n"/>
      <c r="B86" s="38" t="n"/>
      <c r="C86" s="38" t="n"/>
      <c r="D86" s="38" t="n"/>
      <c r="E86" s="3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4" t="n"/>
      <c r="X86" s="39" t="n"/>
      <c r="Y86" s="40" t="n"/>
      <c r="Z86" s="38" t="n"/>
      <c r="AA86" s="38" t="n"/>
      <c r="AB86" s="41">
        <f>IF(A86="","",IF(COUNTIF($A$6:$A$504,A86)&gt;1,"⚠ Duplicate",""))</f>
        <v/>
      </c>
      <c r="AC86" s="42" t="n"/>
      <c r="AD86" s="42" t="n"/>
      <c r="AE86" s="42" t="n"/>
      <c r="AF86" s="42" t="n"/>
      <c r="AG86" s="42" t="n"/>
      <c r="AH86" s="42" t="n"/>
      <c r="AI86" s="42" t="n"/>
      <c r="AJ86" s="42" t="n"/>
      <c r="AK86" s="42" t="n"/>
      <c r="AL86" s="42" t="n"/>
      <c r="AM86" s="42" t="n"/>
      <c r="AN86" s="42" t="n"/>
      <c r="AO86" s="42" t="n"/>
      <c r="AP86" s="42" t="n"/>
    </row>
    <row r="87" ht="18" customHeight="1" s="74">
      <c r="A87" s="32" t="n"/>
      <c r="B87" s="32" t="n"/>
      <c r="C87" s="32" t="n"/>
      <c r="D87" s="32" t="n"/>
      <c r="E87" s="33" t="n"/>
      <c r="F87" s="33" t="n"/>
      <c r="G87" s="33" t="n"/>
      <c r="H87" s="33" t="n"/>
      <c r="I87" s="33" t="n"/>
      <c r="J87" s="33" t="n"/>
      <c r="K87" s="33" t="n"/>
      <c r="L87" s="33" t="n"/>
      <c r="M87" s="33" t="n"/>
      <c r="N87" s="33" t="n"/>
      <c r="O87" s="33" t="n"/>
      <c r="P87" s="33" t="n"/>
      <c r="Q87" s="33" t="n"/>
      <c r="R87" s="33" t="n"/>
      <c r="S87" s="33" t="n"/>
      <c r="T87" s="33" t="n"/>
      <c r="U87" s="33" t="n"/>
      <c r="V87" s="33" t="n"/>
      <c r="W87" s="34" t="n"/>
      <c r="X87" s="33" t="n"/>
      <c r="Y87" s="35" t="n"/>
      <c r="Z87" s="32" t="n"/>
      <c r="AA87" s="32" t="n"/>
      <c r="AB87" s="36">
        <f>IF(A87="","",IF(COUNTIF($A$6:$A$504,A87)&gt;1,"⚠ Duplicate",""))</f>
        <v/>
      </c>
      <c r="AC87" s="43" t="n"/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  <c r="AM87" s="43" t="n"/>
      <c r="AN87" s="43" t="n"/>
      <c r="AO87" s="43" t="n"/>
      <c r="AP87" s="43" t="n"/>
    </row>
    <row r="88" ht="18" customHeight="1" s="74">
      <c r="A88" s="38" t="n"/>
      <c r="B88" s="38" t="n"/>
      <c r="C88" s="38" t="n"/>
      <c r="D88" s="38" t="n"/>
      <c r="E88" s="3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4" t="n"/>
      <c r="X88" s="39" t="n"/>
      <c r="Y88" s="40" t="n"/>
      <c r="Z88" s="38" t="n"/>
      <c r="AA88" s="38" t="n"/>
      <c r="AB88" s="41">
        <f>IF(A88="","",IF(COUNTIF($A$6:$A$504,A88)&gt;1,"⚠ Duplicate",""))</f>
        <v/>
      </c>
      <c r="AC88" s="42" t="n"/>
      <c r="AD88" s="42" t="n"/>
      <c r="AE88" s="42" t="n"/>
      <c r="AF88" s="42" t="n"/>
      <c r="AG88" s="42" t="n"/>
      <c r="AH88" s="42" t="n"/>
      <c r="AI88" s="42" t="n"/>
      <c r="AJ88" s="42" t="n"/>
      <c r="AK88" s="42" t="n"/>
      <c r="AL88" s="42" t="n"/>
      <c r="AM88" s="42" t="n"/>
      <c r="AN88" s="42" t="n"/>
      <c r="AO88" s="42" t="n"/>
      <c r="AP88" s="42" t="n"/>
    </row>
    <row r="89" ht="18" customHeight="1" s="74">
      <c r="A89" s="32" t="n"/>
      <c r="B89" s="32" t="n"/>
      <c r="C89" s="32" t="n"/>
      <c r="D89" s="32" t="n"/>
      <c r="E89" s="33" t="n"/>
      <c r="F89" s="33" t="n"/>
      <c r="G89" s="33" t="n"/>
      <c r="H89" s="33" t="n"/>
      <c r="I89" s="33" t="n"/>
      <c r="J89" s="33" t="n"/>
      <c r="K89" s="33" t="n"/>
      <c r="L89" s="33" t="n"/>
      <c r="M89" s="33" t="n"/>
      <c r="N89" s="33" t="n"/>
      <c r="O89" s="33" t="n"/>
      <c r="P89" s="33" t="n"/>
      <c r="Q89" s="33" t="n"/>
      <c r="R89" s="33" t="n"/>
      <c r="S89" s="33" t="n"/>
      <c r="T89" s="33" t="n"/>
      <c r="U89" s="33" t="n"/>
      <c r="V89" s="33" t="n"/>
      <c r="W89" s="34" t="n"/>
      <c r="X89" s="33" t="n"/>
      <c r="Y89" s="35" t="n"/>
      <c r="Z89" s="32" t="n"/>
      <c r="AA89" s="32" t="n"/>
      <c r="AB89" s="36">
        <f>IF(A89="","",IF(COUNTIF($A$6:$A$504,A89)&gt;1,"⚠ Duplicate",""))</f>
        <v/>
      </c>
      <c r="AC89" s="43" t="n"/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  <c r="AM89" s="43" t="n"/>
      <c r="AN89" s="43" t="n"/>
      <c r="AO89" s="43" t="n"/>
      <c r="AP89" s="43" t="n"/>
    </row>
    <row r="90" ht="18" customHeight="1" s="74">
      <c r="A90" s="38" t="n"/>
      <c r="B90" s="38" t="n"/>
      <c r="C90" s="38" t="n"/>
      <c r="D90" s="38" t="n"/>
      <c r="E90" s="3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4" t="n"/>
      <c r="X90" s="39" t="n"/>
      <c r="Y90" s="40" t="n"/>
      <c r="Z90" s="38" t="n"/>
      <c r="AA90" s="38" t="n"/>
      <c r="AB90" s="41">
        <f>IF(A90="","",IF(COUNTIF($A$6:$A$504,A90)&gt;1,"⚠ Duplicate",""))</f>
        <v/>
      </c>
      <c r="AC90" s="42" t="n"/>
      <c r="AD90" s="42" t="n"/>
      <c r="AE90" s="42" t="n"/>
      <c r="AF90" s="42" t="n"/>
      <c r="AG90" s="42" t="n"/>
      <c r="AH90" s="42" t="n"/>
      <c r="AI90" s="42" t="n"/>
      <c r="AJ90" s="42" t="n"/>
      <c r="AK90" s="42" t="n"/>
      <c r="AL90" s="42" t="n"/>
      <c r="AM90" s="42" t="n"/>
      <c r="AN90" s="42" t="n"/>
      <c r="AO90" s="42" t="n"/>
      <c r="AP90" s="42" t="n"/>
    </row>
    <row r="91" ht="18" customHeight="1" s="74">
      <c r="A91" s="32" t="n"/>
      <c r="B91" s="32" t="n"/>
      <c r="C91" s="32" t="n"/>
      <c r="D91" s="32" t="n"/>
      <c r="E91" s="33" t="n"/>
      <c r="F91" s="33" t="n"/>
      <c r="G91" s="33" t="n"/>
      <c r="H91" s="33" t="n"/>
      <c r="I91" s="33" t="n"/>
      <c r="J91" s="33" t="n"/>
      <c r="K91" s="33" t="n"/>
      <c r="L91" s="33" t="n"/>
      <c r="M91" s="33" t="n"/>
      <c r="N91" s="33" t="n"/>
      <c r="O91" s="33" t="n"/>
      <c r="P91" s="33" t="n"/>
      <c r="Q91" s="33" t="n"/>
      <c r="R91" s="33" t="n"/>
      <c r="S91" s="33" t="n"/>
      <c r="T91" s="33" t="n"/>
      <c r="U91" s="33" t="n"/>
      <c r="V91" s="33" t="n"/>
      <c r="W91" s="34" t="n"/>
      <c r="X91" s="33" t="n"/>
      <c r="Y91" s="35" t="n"/>
      <c r="Z91" s="32" t="n"/>
      <c r="AA91" s="32" t="n"/>
      <c r="AB91" s="36">
        <f>IF(A91="","",IF(COUNTIF($A$6:$A$504,A91)&gt;1,"⚠ Duplicate",""))</f>
        <v/>
      </c>
      <c r="AC91" s="43" t="n"/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  <c r="AM91" s="43" t="n"/>
      <c r="AN91" s="43" t="n"/>
      <c r="AO91" s="43" t="n"/>
      <c r="AP91" s="43" t="n"/>
    </row>
    <row r="92" ht="18" customHeight="1" s="74">
      <c r="A92" s="38" t="n"/>
      <c r="B92" s="38" t="n"/>
      <c r="C92" s="38" t="n"/>
      <c r="D92" s="38" t="n"/>
      <c r="E92" s="3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4" t="n"/>
      <c r="X92" s="39" t="n"/>
      <c r="Y92" s="40" t="n"/>
      <c r="Z92" s="38" t="n"/>
      <c r="AA92" s="38" t="n"/>
      <c r="AB92" s="41">
        <f>IF(A92="","",IF(COUNTIF($A$6:$A$504,A92)&gt;1,"⚠ Duplicate",""))</f>
        <v/>
      </c>
      <c r="AC92" s="42" t="n"/>
      <c r="AD92" s="42" t="n"/>
      <c r="AE92" s="42" t="n"/>
      <c r="AF92" s="42" t="n"/>
      <c r="AG92" s="42" t="n"/>
      <c r="AH92" s="42" t="n"/>
      <c r="AI92" s="42" t="n"/>
      <c r="AJ92" s="42" t="n"/>
      <c r="AK92" s="42" t="n"/>
      <c r="AL92" s="42" t="n"/>
      <c r="AM92" s="42" t="n"/>
      <c r="AN92" s="42" t="n"/>
      <c r="AO92" s="42" t="n"/>
      <c r="AP92" s="42" t="n"/>
    </row>
    <row r="93" ht="18" customHeight="1" s="74">
      <c r="A93" s="32" t="n"/>
      <c r="B93" s="32" t="n"/>
      <c r="C93" s="32" t="n"/>
      <c r="D93" s="32" t="n"/>
      <c r="E93" s="33" t="n"/>
      <c r="F93" s="33" t="n"/>
      <c r="G93" s="33" t="n"/>
      <c r="H93" s="33" t="n"/>
      <c r="I93" s="33" t="n"/>
      <c r="J93" s="33" t="n"/>
      <c r="K93" s="33" t="n"/>
      <c r="L93" s="33" t="n"/>
      <c r="M93" s="33" t="n"/>
      <c r="N93" s="33" t="n"/>
      <c r="O93" s="33" t="n"/>
      <c r="P93" s="33" t="n"/>
      <c r="Q93" s="33" t="n"/>
      <c r="R93" s="33" t="n"/>
      <c r="S93" s="33" t="n"/>
      <c r="T93" s="33" t="n"/>
      <c r="U93" s="33" t="n"/>
      <c r="V93" s="33" t="n"/>
      <c r="W93" s="34" t="n"/>
      <c r="X93" s="33" t="n"/>
      <c r="Y93" s="35" t="n"/>
      <c r="Z93" s="32" t="n"/>
      <c r="AA93" s="32" t="n"/>
      <c r="AB93" s="36">
        <f>IF(A93="","",IF(COUNTIF($A$6:$A$504,A93)&gt;1,"⚠ Duplicate",""))</f>
        <v/>
      </c>
      <c r="AC93" s="43" t="n"/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  <c r="AM93" s="43" t="n"/>
      <c r="AN93" s="43" t="n"/>
      <c r="AO93" s="43" t="n"/>
      <c r="AP93" s="43" t="n"/>
    </row>
    <row r="94" ht="18" customHeight="1" s="74">
      <c r="A94" s="38" t="n"/>
      <c r="B94" s="38" t="n"/>
      <c r="C94" s="38" t="n"/>
      <c r="D94" s="38" t="n"/>
      <c r="E94" s="3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4" t="n"/>
      <c r="X94" s="39" t="n"/>
      <c r="Y94" s="40" t="n"/>
      <c r="Z94" s="38" t="n"/>
      <c r="AA94" s="38" t="n"/>
      <c r="AB94" s="41">
        <f>IF(A94="","",IF(COUNTIF($A$6:$A$504,A94)&gt;1,"⚠ Duplicate",""))</f>
        <v/>
      </c>
      <c r="AC94" s="42" t="n"/>
      <c r="AD94" s="42" t="n"/>
      <c r="AE94" s="42" t="n"/>
      <c r="AF94" s="42" t="n"/>
      <c r="AG94" s="42" t="n"/>
      <c r="AH94" s="42" t="n"/>
      <c r="AI94" s="42" t="n"/>
      <c r="AJ94" s="42" t="n"/>
      <c r="AK94" s="42" t="n"/>
      <c r="AL94" s="42" t="n"/>
      <c r="AM94" s="42" t="n"/>
      <c r="AN94" s="42" t="n"/>
      <c r="AO94" s="42" t="n"/>
      <c r="AP94" s="42" t="n"/>
    </row>
    <row r="95" ht="18" customHeight="1" s="74">
      <c r="A95" s="32" t="n"/>
      <c r="B95" s="32" t="n"/>
      <c r="C95" s="32" t="n"/>
      <c r="D95" s="32" t="n"/>
      <c r="E95" s="33" t="n"/>
      <c r="F95" s="33" t="n"/>
      <c r="G95" s="33" t="n"/>
      <c r="H95" s="33" t="n"/>
      <c r="I95" s="33" t="n"/>
      <c r="J95" s="33" t="n"/>
      <c r="K95" s="33" t="n"/>
      <c r="L95" s="33" t="n"/>
      <c r="M95" s="33" t="n"/>
      <c r="N95" s="33" t="n"/>
      <c r="O95" s="33" t="n"/>
      <c r="P95" s="33" t="n"/>
      <c r="Q95" s="33" t="n"/>
      <c r="R95" s="33" t="n"/>
      <c r="S95" s="33" t="n"/>
      <c r="T95" s="33" t="n"/>
      <c r="U95" s="33" t="n"/>
      <c r="V95" s="33" t="n"/>
      <c r="W95" s="34" t="n"/>
      <c r="X95" s="33" t="n"/>
      <c r="Y95" s="35" t="n"/>
      <c r="Z95" s="32" t="n"/>
      <c r="AA95" s="32" t="n"/>
      <c r="AB95" s="36">
        <f>IF(A95="","",IF(COUNTIF($A$6:$A$504,A95)&gt;1,"⚠ Duplicate",""))</f>
        <v/>
      </c>
      <c r="AC95" s="43" t="n"/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  <c r="AM95" s="43" t="n"/>
      <c r="AN95" s="43" t="n"/>
      <c r="AO95" s="43" t="n"/>
      <c r="AP95" s="43" t="n"/>
    </row>
    <row r="96" ht="18" customHeight="1" s="74">
      <c r="A96" s="38" t="n"/>
      <c r="B96" s="38" t="n"/>
      <c r="C96" s="38" t="n"/>
      <c r="D96" s="38" t="n"/>
      <c r="E96" s="3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4" t="n"/>
      <c r="X96" s="39" t="n"/>
      <c r="Y96" s="40" t="n"/>
      <c r="Z96" s="38" t="n"/>
      <c r="AA96" s="38" t="n"/>
      <c r="AB96" s="41">
        <f>IF(A96="","",IF(COUNTIF($A$6:$A$504,A96)&gt;1,"⚠ Duplicate",""))</f>
        <v/>
      </c>
      <c r="AC96" s="42" t="n"/>
      <c r="AD96" s="42" t="n"/>
      <c r="AE96" s="42" t="n"/>
      <c r="AF96" s="42" t="n"/>
      <c r="AG96" s="42" t="n"/>
      <c r="AH96" s="42" t="n"/>
      <c r="AI96" s="42" t="n"/>
      <c r="AJ96" s="42" t="n"/>
      <c r="AK96" s="42" t="n"/>
      <c r="AL96" s="42" t="n"/>
      <c r="AM96" s="42" t="n"/>
      <c r="AN96" s="42" t="n"/>
      <c r="AO96" s="42" t="n"/>
      <c r="AP96" s="42" t="n"/>
    </row>
    <row r="97" ht="18" customHeight="1" s="74">
      <c r="A97" s="32" t="n"/>
      <c r="B97" s="32" t="n"/>
      <c r="C97" s="32" t="n"/>
      <c r="D97" s="32" t="n"/>
      <c r="E97" s="33" t="n"/>
      <c r="F97" s="33" t="n"/>
      <c r="G97" s="33" t="n"/>
      <c r="H97" s="33" t="n"/>
      <c r="I97" s="33" t="n"/>
      <c r="J97" s="33" t="n"/>
      <c r="K97" s="33" t="n"/>
      <c r="L97" s="33" t="n"/>
      <c r="M97" s="33" t="n"/>
      <c r="N97" s="33" t="n"/>
      <c r="O97" s="33" t="n"/>
      <c r="P97" s="33" t="n"/>
      <c r="Q97" s="33" t="n"/>
      <c r="R97" s="33" t="n"/>
      <c r="S97" s="33" t="n"/>
      <c r="T97" s="33" t="n"/>
      <c r="U97" s="33" t="n"/>
      <c r="V97" s="33" t="n"/>
      <c r="W97" s="34" t="n"/>
      <c r="X97" s="33" t="n"/>
      <c r="Y97" s="35" t="n"/>
      <c r="Z97" s="32" t="n"/>
      <c r="AA97" s="32" t="n"/>
      <c r="AB97" s="36">
        <f>IF(A97="","",IF(COUNTIF($A$6:$A$504,A97)&gt;1,"⚠ Duplicate",""))</f>
        <v/>
      </c>
      <c r="AC97" s="43" t="n"/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  <c r="AM97" s="43" t="n"/>
      <c r="AN97" s="43" t="n"/>
      <c r="AO97" s="43" t="n"/>
      <c r="AP97" s="43" t="n"/>
    </row>
    <row r="98" ht="18" customHeight="1" s="74">
      <c r="A98" s="38" t="n"/>
      <c r="B98" s="38" t="n"/>
      <c r="C98" s="38" t="n"/>
      <c r="D98" s="38" t="n"/>
      <c r="E98" s="3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4" t="n"/>
      <c r="X98" s="39" t="n"/>
      <c r="Y98" s="40" t="n"/>
      <c r="Z98" s="38" t="n"/>
      <c r="AA98" s="38" t="n"/>
      <c r="AB98" s="41">
        <f>IF(A98="","",IF(COUNTIF($A$6:$A$504,A98)&gt;1,"⚠ Duplicate",""))</f>
        <v/>
      </c>
      <c r="AC98" s="42" t="n"/>
      <c r="AD98" s="42" t="n"/>
      <c r="AE98" s="42" t="n"/>
      <c r="AF98" s="42" t="n"/>
      <c r="AG98" s="42" t="n"/>
      <c r="AH98" s="42" t="n"/>
      <c r="AI98" s="42" t="n"/>
      <c r="AJ98" s="42" t="n"/>
      <c r="AK98" s="42" t="n"/>
      <c r="AL98" s="42" t="n"/>
      <c r="AM98" s="42" t="n"/>
      <c r="AN98" s="42" t="n"/>
      <c r="AO98" s="42" t="n"/>
      <c r="AP98" s="42" t="n"/>
    </row>
    <row r="99" ht="18" customHeight="1" s="74">
      <c r="A99" s="32" t="n"/>
      <c r="B99" s="32" t="n"/>
      <c r="C99" s="32" t="n"/>
      <c r="D99" s="32" t="n"/>
      <c r="E99" s="33" t="n"/>
      <c r="F99" s="33" t="n"/>
      <c r="G99" s="33" t="n"/>
      <c r="H99" s="33" t="n"/>
      <c r="I99" s="33" t="n"/>
      <c r="J99" s="33" t="n"/>
      <c r="K99" s="33" t="n"/>
      <c r="L99" s="33" t="n"/>
      <c r="M99" s="33" t="n"/>
      <c r="N99" s="33" t="n"/>
      <c r="O99" s="33" t="n"/>
      <c r="P99" s="33" t="n"/>
      <c r="Q99" s="33" t="n"/>
      <c r="R99" s="33" t="n"/>
      <c r="S99" s="33" t="n"/>
      <c r="T99" s="33" t="n"/>
      <c r="U99" s="33" t="n"/>
      <c r="V99" s="33" t="n"/>
      <c r="W99" s="34" t="n"/>
      <c r="X99" s="33" t="n"/>
      <c r="Y99" s="35" t="n"/>
      <c r="Z99" s="32" t="n"/>
      <c r="AA99" s="32" t="n"/>
      <c r="AB99" s="36">
        <f>IF(A99="","",IF(COUNTIF($A$6:$A$504,A99)&gt;1,"⚠ Duplicate",""))</f>
        <v/>
      </c>
      <c r="AC99" s="43" t="n"/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  <c r="AM99" s="43" t="n"/>
      <c r="AN99" s="43" t="n"/>
      <c r="AO99" s="43" t="n"/>
      <c r="AP99" s="43" t="n"/>
    </row>
    <row r="100" ht="18" customHeight="1" s="74">
      <c r="A100" s="38" t="n"/>
      <c r="B100" s="38" t="n"/>
      <c r="C100" s="38" t="n"/>
      <c r="D100" s="38" t="n"/>
      <c r="E100" s="3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4" t="n"/>
      <c r="X100" s="39" t="n"/>
      <c r="Y100" s="40" t="n"/>
      <c r="Z100" s="38" t="n"/>
      <c r="AA100" s="38" t="n"/>
      <c r="AB100" s="41">
        <f>IF(A100="","",IF(COUNTIF($A$6:$A$504,A100)&gt;1,"⚠ Duplicate",""))</f>
        <v/>
      </c>
      <c r="AC100" s="42" t="n"/>
      <c r="AD100" s="42" t="n"/>
      <c r="AE100" s="42" t="n"/>
      <c r="AF100" s="42" t="n"/>
      <c r="AG100" s="42" t="n"/>
      <c r="AH100" s="42" t="n"/>
      <c r="AI100" s="42" t="n"/>
      <c r="AJ100" s="42" t="n"/>
      <c r="AK100" s="42" t="n"/>
      <c r="AL100" s="42" t="n"/>
      <c r="AM100" s="42" t="n"/>
      <c r="AN100" s="42" t="n"/>
      <c r="AO100" s="42" t="n"/>
      <c r="AP100" s="42" t="n"/>
    </row>
    <row r="101" ht="18" customHeight="1" s="74">
      <c r="A101" s="32" t="n"/>
      <c r="B101" s="32" t="n"/>
      <c r="C101" s="32" t="n"/>
      <c r="D101" s="32" t="n"/>
      <c r="E101" s="33" t="n"/>
      <c r="F101" s="33" t="n"/>
      <c r="G101" s="33" t="n"/>
      <c r="H101" s="33" t="n"/>
      <c r="I101" s="33" t="n"/>
      <c r="J101" s="33" t="n"/>
      <c r="K101" s="33" t="n"/>
      <c r="L101" s="33" t="n"/>
      <c r="M101" s="33" t="n"/>
      <c r="N101" s="33" t="n"/>
      <c r="O101" s="33" t="n"/>
      <c r="P101" s="33" t="n"/>
      <c r="Q101" s="33" t="n"/>
      <c r="R101" s="33" t="n"/>
      <c r="S101" s="33" t="n"/>
      <c r="T101" s="33" t="n"/>
      <c r="U101" s="33" t="n"/>
      <c r="V101" s="33" t="n"/>
      <c r="W101" s="34" t="n"/>
      <c r="X101" s="33" t="n"/>
      <c r="Y101" s="35" t="n"/>
      <c r="Z101" s="32" t="n"/>
      <c r="AA101" s="32" t="n"/>
      <c r="AB101" s="36">
        <f>IF(A101="","",IF(COUNTIF($A$6:$A$504,A101)&gt;1,"⚠ Duplicate",""))</f>
        <v/>
      </c>
      <c r="AC101" s="43" t="n"/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  <c r="AM101" s="43" t="n"/>
      <c r="AN101" s="43" t="n"/>
      <c r="AO101" s="43" t="n"/>
      <c r="AP101" s="43" t="n"/>
    </row>
    <row r="102" ht="18" customHeight="1" s="74">
      <c r="A102" s="38" t="n"/>
      <c r="B102" s="38" t="n"/>
      <c r="C102" s="38" t="n"/>
      <c r="D102" s="38" t="n"/>
      <c r="E102" s="3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4" t="n"/>
      <c r="X102" s="39" t="n"/>
      <c r="Y102" s="40" t="n"/>
      <c r="Z102" s="38" t="n"/>
      <c r="AA102" s="38" t="n"/>
      <c r="AB102" s="41">
        <f>IF(A102="","",IF(COUNTIF($A$6:$A$504,A102)&gt;1,"⚠ Duplicate",""))</f>
        <v/>
      </c>
      <c r="AC102" s="42" t="n"/>
      <c r="AD102" s="42" t="n"/>
      <c r="AE102" s="42" t="n"/>
      <c r="AF102" s="42" t="n"/>
      <c r="AG102" s="42" t="n"/>
      <c r="AH102" s="42" t="n"/>
      <c r="AI102" s="42" t="n"/>
      <c r="AJ102" s="42" t="n"/>
      <c r="AK102" s="42" t="n"/>
      <c r="AL102" s="42" t="n"/>
      <c r="AM102" s="42" t="n"/>
      <c r="AN102" s="42" t="n"/>
      <c r="AO102" s="42" t="n"/>
      <c r="AP102" s="42" t="n"/>
    </row>
    <row r="103" ht="18" customHeight="1" s="74">
      <c r="A103" s="32" t="n"/>
      <c r="B103" s="32" t="n"/>
      <c r="C103" s="32" t="n"/>
      <c r="D103" s="32" t="n"/>
      <c r="E103" s="33" t="n"/>
      <c r="F103" s="33" t="n"/>
      <c r="G103" s="33" t="n"/>
      <c r="H103" s="33" t="n"/>
      <c r="I103" s="33" t="n"/>
      <c r="J103" s="33" t="n"/>
      <c r="K103" s="33" t="n"/>
      <c r="L103" s="33" t="n"/>
      <c r="M103" s="33" t="n"/>
      <c r="N103" s="33" t="n"/>
      <c r="O103" s="33" t="n"/>
      <c r="P103" s="33" t="n"/>
      <c r="Q103" s="33" t="n"/>
      <c r="R103" s="33" t="n"/>
      <c r="S103" s="33" t="n"/>
      <c r="T103" s="33" t="n"/>
      <c r="U103" s="33" t="n"/>
      <c r="V103" s="33" t="n"/>
      <c r="W103" s="34" t="n"/>
      <c r="X103" s="33" t="n"/>
      <c r="Y103" s="35" t="n"/>
      <c r="Z103" s="32" t="n"/>
      <c r="AA103" s="32" t="n"/>
      <c r="AB103" s="36">
        <f>IF(A103="","",IF(COUNTIF($A$6:$A$504,A103)&gt;1,"⚠ Duplicate",""))</f>
        <v/>
      </c>
      <c r="AC103" s="43" t="n"/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  <c r="AM103" s="43" t="n"/>
      <c r="AN103" s="43" t="n"/>
      <c r="AO103" s="43" t="n"/>
      <c r="AP103" s="43" t="n"/>
    </row>
    <row r="104" ht="18" customHeight="1" s="74">
      <c r="A104" s="38" t="n"/>
      <c r="B104" s="38" t="n"/>
      <c r="C104" s="38" t="n"/>
      <c r="D104" s="38" t="n"/>
      <c r="E104" s="3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4" t="n"/>
      <c r="X104" s="39" t="n"/>
      <c r="Y104" s="40" t="n"/>
      <c r="Z104" s="38" t="n"/>
      <c r="AA104" s="38" t="n"/>
      <c r="AB104" s="41">
        <f>IF(A104="","",IF(COUNTIF($A$6:$A$504,A104)&gt;1,"⚠ Duplicate",""))</f>
        <v/>
      </c>
      <c r="AC104" s="42" t="n"/>
      <c r="AD104" s="42" t="n"/>
      <c r="AE104" s="42" t="n"/>
      <c r="AF104" s="42" t="n"/>
      <c r="AG104" s="42" t="n"/>
      <c r="AH104" s="42" t="n"/>
      <c r="AI104" s="42" t="n"/>
      <c r="AJ104" s="42" t="n"/>
      <c r="AK104" s="42" t="n"/>
      <c r="AL104" s="42" t="n"/>
      <c r="AM104" s="42" t="n"/>
      <c r="AN104" s="42" t="n"/>
      <c r="AO104" s="42" t="n"/>
      <c r="AP104" s="42" t="n"/>
    </row>
    <row r="105" ht="18" customHeight="1" s="74">
      <c r="A105" s="32" t="n"/>
      <c r="B105" s="32" t="n"/>
      <c r="C105" s="32" t="n"/>
      <c r="D105" s="32" t="n"/>
      <c r="E105" s="33" t="n"/>
      <c r="F105" s="33" t="n"/>
      <c r="G105" s="33" t="n"/>
      <c r="H105" s="33" t="n"/>
      <c r="I105" s="33" t="n"/>
      <c r="J105" s="33" t="n"/>
      <c r="K105" s="33" t="n"/>
      <c r="L105" s="33" t="n"/>
      <c r="M105" s="33" t="n"/>
      <c r="N105" s="33" t="n"/>
      <c r="O105" s="33" t="n"/>
      <c r="P105" s="33" t="n"/>
      <c r="Q105" s="33" t="n"/>
      <c r="R105" s="33" t="n"/>
      <c r="S105" s="33" t="n"/>
      <c r="T105" s="33" t="n"/>
      <c r="U105" s="33" t="n"/>
      <c r="V105" s="33" t="n"/>
      <c r="W105" s="34" t="n"/>
      <c r="X105" s="33" t="n"/>
      <c r="Y105" s="35" t="n"/>
      <c r="Z105" s="32" t="n"/>
      <c r="AA105" s="32" t="n"/>
      <c r="AB105" s="36">
        <f>IF(A105="","",IF(COUNTIF($A$6:$A$504,A105)&gt;1,"⚠ Duplicate",""))</f>
        <v/>
      </c>
      <c r="AC105" s="43" t="n"/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  <c r="AM105" s="43" t="n"/>
      <c r="AN105" s="43" t="n"/>
      <c r="AO105" s="43" t="n"/>
      <c r="AP105" s="43" t="n"/>
    </row>
    <row r="106" ht="18" customHeight="1" s="74">
      <c r="A106" s="38" t="n"/>
      <c r="B106" s="38" t="n"/>
      <c r="C106" s="38" t="n"/>
      <c r="D106" s="38" t="n"/>
      <c r="E106" s="39" t="n"/>
      <c r="F106" s="39" t="n"/>
      <c r="G106" s="39" t="n"/>
      <c r="H106" s="39" t="n"/>
      <c r="I106" s="39" t="n"/>
      <c r="J106" s="39" t="n"/>
      <c r="K106" s="39" t="n"/>
      <c r="L106" s="39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4" t="n"/>
      <c r="X106" s="39" t="n"/>
      <c r="Y106" s="40" t="n"/>
      <c r="Z106" s="38" t="n"/>
      <c r="AA106" s="38" t="n"/>
      <c r="AB106" s="41">
        <f>IF(A106="","",IF(COUNTIF($A$6:$A$504,A106)&gt;1,"⚠ Duplicate",""))</f>
        <v/>
      </c>
      <c r="AC106" s="42" t="n"/>
      <c r="AD106" s="42" t="n"/>
      <c r="AE106" s="42" t="n"/>
      <c r="AF106" s="42" t="n"/>
      <c r="AG106" s="42" t="n"/>
      <c r="AH106" s="42" t="n"/>
      <c r="AI106" s="42" t="n"/>
      <c r="AJ106" s="42" t="n"/>
      <c r="AK106" s="42" t="n"/>
      <c r="AL106" s="42" t="n"/>
      <c r="AM106" s="42" t="n"/>
      <c r="AN106" s="42" t="n"/>
      <c r="AO106" s="42" t="n"/>
      <c r="AP106" s="42" t="n"/>
    </row>
    <row r="107" ht="18" customHeight="1" s="74">
      <c r="A107" s="32" t="n"/>
      <c r="B107" s="32" t="n"/>
      <c r="C107" s="32" t="n"/>
      <c r="D107" s="32" t="n"/>
      <c r="E107" s="33" t="n"/>
      <c r="F107" s="33" t="n"/>
      <c r="G107" s="33" t="n"/>
      <c r="H107" s="33" t="n"/>
      <c r="I107" s="33" t="n"/>
      <c r="J107" s="33" t="n"/>
      <c r="K107" s="33" t="n"/>
      <c r="L107" s="33" t="n"/>
      <c r="M107" s="33" t="n"/>
      <c r="N107" s="33" t="n"/>
      <c r="O107" s="33" t="n"/>
      <c r="P107" s="33" t="n"/>
      <c r="Q107" s="33" t="n"/>
      <c r="R107" s="33" t="n"/>
      <c r="S107" s="33" t="n"/>
      <c r="T107" s="33" t="n"/>
      <c r="U107" s="33" t="n"/>
      <c r="V107" s="33" t="n"/>
      <c r="W107" s="34" t="n"/>
      <c r="X107" s="33" t="n"/>
      <c r="Y107" s="35" t="n"/>
      <c r="Z107" s="32" t="n"/>
      <c r="AA107" s="32" t="n"/>
      <c r="AB107" s="36">
        <f>IF(A107="","",IF(COUNTIF($A$6:$A$504,A107)&gt;1,"⚠ Duplicate",""))</f>
        <v/>
      </c>
      <c r="AC107" s="43" t="n"/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  <c r="AM107" s="43" t="n"/>
      <c r="AN107" s="43" t="n"/>
      <c r="AO107" s="43" t="n"/>
      <c r="AP107" s="43" t="n"/>
    </row>
    <row r="108" ht="18" customHeight="1" s="74">
      <c r="A108" s="38" t="n"/>
      <c r="B108" s="38" t="n"/>
      <c r="C108" s="38" t="n"/>
      <c r="D108" s="38" t="n"/>
      <c r="E108" s="39" t="n"/>
      <c r="F108" s="39" t="n"/>
      <c r="G108" s="39" t="n"/>
      <c r="H108" s="39" t="n"/>
      <c r="I108" s="39" t="n"/>
      <c r="J108" s="39" t="n"/>
      <c r="K108" s="39" t="n"/>
      <c r="L108" s="39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39" t="n"/>
      <c r="V108" s="39" t="n"/>
      <c r="W108" s="34" t="n"/>
      <c r="X108" s="39" t="n"/>
      <c r="Y108" s="40" t="n"/>
      <c r="Z108" s="38" t="n"/>
      <c r="AA108" s="38" t="n"/>
      <c r="AB108" s="41">
        <f>IF(A108="","",IF(COUNTIF($A$6:$A$504,A108)&gt;1,"⚠ Duplicate",""))</f>
        <v/>
      </c>
      <c r="AC108" s="42" t="n"/>
      <c r="AD108" s="42" t="n"/>
      <c r="AE108" s="42" t="n"/>
      <c r="AF108" s="42" t="n"/>
      <c r="AG108" s="42" t="n"/>
      <c r="AH108" s="42" t="n"/>
      <c r="AI108" s="42" t="n"/>
      <c r="AJ108" s="42" t="n"/>
      <c r="AK108" s="42" t="n"/>
      <c r="AL108" s="42" t="n"/>
      <c r="AM108" s="42" t="n"/>
      <c r="AN108" s="42" t="n"/>
      <c r="AO108" s="42" t="n"/>
      <c r="AP108" s="42" t="n"/>
    </row>
    <row r="109" ht="18" customHeight="1" s="74">
      <c r="A109" s="32" t="n"/>
      <c r="B109" s="32" t="n"/>
      <c r="C109" s="32" t="n"/>
      <c r="D109" s="32" t="n"/>
      <c r="E109" s="33" t="n"/>
      <c r="F109" s="33" t="n"/>
      <c r="G109" s="33" t="n"/>
      <c r="H109" s="33" t="n"/>
      <c r="I109" s="33" t="n"/>
      <c r="J109" s="33" t="n"/>
      <c r="K109" s="33" t="n"/>
      <c r="L109" s="33" t="n"/>
      <c r="M109" s="33" t="n"/>
      <c r="N109" s="33" t="n"/>
      <c r="O109" s="33" t="n"/>
      <c r="P109" s="33" t="n"/>
      <c r="Q109" s="33" t="n"/>
      <c r="R109" s="33" t="n"/>
      <c r="S109" s="33" t="n"/>
      <c r="T109" s="33" t="n"/>
      <c r="U109" s="33" t="n"/>
      <c r="V109" s="33" t="n"/>
      <c r="W109" s="34" t="n"/>
      <c r="X109" s="33" t="n"/>
      <c r="Y109" s="35" t="n"/>
      <c r="Z109" s="32" t="n"/>
      <c r="AA109" s="32" t="n"/>
      <c r="AB109" s="36">
        <f>IF(A109="","",IF(COUNTIF($A$6:$A$504,A109)&gt;1,"⚠ Duplicate",""))</f>
        <v/>
      </c>
      <c r="AC109" s="43" t="n"/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  <c r="AM109" s="43" t="n"/>
      <c r="AN109" s="43" t="n"/>
      <c r="AO109" s="43" t="n"/>
      <c r="AP109" s="43" t="n"/>
    </row>
    <row r="110" ht="18" customHeight="1" s="74">
      <c r="A110" s="38" t="n"/>
      <c r="B110" s="38" t="n"/>
      <c r="C110" s="38" t="n"/>
      <c r="D110" s="38" t="n"/>
      <c r="E110" s="39" t="n"/>
      <c r="F110" s="39" t="n"/>
      <c r="G110" s="39" t="n"/>
      <c r="H110" s="39" t="n"/>
      <c r="I110" s="39" t="n"/>
      <c r="J110" s="39" t="n"/>
      <c r="K110" s="39" t="n"/>
      <c r="L110" s="39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39" t="n"/>
      <c r="V110" s="39" t="n"/>
      <c r="W110" s="34" t="n"/>
      <c r="X110" s="39" t="n"/>
      <c r="Y110" s="40" t="n"/>
      <c r="Z110" s="38" t="n"/>
      <c r="AA110" s="38" t="n"/>
      <c r="AB110" s="41">
        <f>IF(A110="","",IF(COUNTIF($A$6:$A$504,A110)&gt;1,"⚠ Duplicate",""))</f>
        <v/>
      </c>
      <c r="AC110" s="42" t="n"/>
      <c r="AD110" s="42" t="n"/>
      <c r="AE110" s="42" t="n"/>
      <c r="AF110" s="42" t="n"/>
      <c r="AG110" s="42" t="n"/>
      <c r="AH110" s="42" t="n"/>
      <c r="AI110" s="42" t="n"/>
      <c r="AJ110" s="42" t="n"/>
      <c r="AK110" s="42" t="n"/>
      <c r="AL110" s="42" t="n"/>
      <c r="AM110" s="42" t="n"/>
      <c r="AN110" s="42" t="n"/>
      <c r="AO110" s="42" t="n"/>
      <c r="AP110" s="42" t="n"/>
    </row>
    <row r="111" ht="18" customHeight="1" s="74">
      <c r="A111" s="32" t="n"/>
      <c r="B111" s="32" t="n"/>
      <c r="C111" s="32" t="n"/>
      <c r="D111" s="32" t="n"/>
      <c r="E111" s="33" t="n"/>
      <c r="F111" s="33" t="n"/>
      <c r="G111" s="33" t="n"/>
      <c r="H111" s="33" t="n"/>
      <c r="I111" s="33" t="n"/>
      <c r="J111" s="33" t="n"/>
      <c r="K111" s="33" t="n"/>
      <c r="L111" s="33" t="n"/>
      <c r="M111" s="33" t="n"/>
      <c r="N111" s="33" t="n"/>
      <c r="O111" s="33" t="n"/>
      <c r="P111" s="33" t="n"/>
      <c r="Q111" s="33" t="n"/>
      <c r="R111" s="33" t="n"/>
      <c r="S111" s="33" t="n"/>
      <c r="T111" s="33" t="n"/>
      <c r="U111" s="33" t="n"/>
      <c r="V111" s="33" t="n"/>
      <c r="W111" s="34" t="n"/>
      <c r="X111" s="33" t="n"/>
      <c r="Y111" s="35" t="n"/>
      <c r="Z111" s="32" t="n"/>
      <c r="AA111" s="32" t="n"/>
      <c r="AB111" s="36">
        <f>IF(A111="","",IF(COUNTIF($A$6:$A$504,A111)&gt;1,"⚠ Duplicate",""))</f>
        <v/>
      </c>
      <c r="AC111" s="43" t="n"/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  <c r="AM111" s="43" t="n"/>
      <c r="AN111" s="43" t="n"/>
      <c r="AO111" s="43" t="n"/>
      <c r="AP111" s="43" t="n"/>
    </row>
    <row r="112" ht="18" customHeight="1" s="74">
      <c r="A112" s="38" t="n"/>
      <c r="B112" s="38" t="n"/>
      <c r="C112" s="38" t="n"/>
      <c r="D112" s="38" t="n"/>
      <c r="E112" s="39" t="n"/>
      <c r="F112" s="39" t="n"/>
      <c r="G112" s="39" t="n"/>
      <c r="H112" s="39" t="n"/>
      <c r="I112" s="39" t="n"/>
      <c r="J112" s="39" t="n"/>
      <c r="K112" s="39" t="n"/>
      <c r="L112" s="39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39" t="n"/>
      <c r="V112" s="39" t="n"/>
      <c r="W112" s="34" t="n"/>
      <c r="X112" s="39" t="n"/>
      <c r="Y112" s="40" t="n"/>
      <c r="Z112" s="38" t="n"/>
      <c r="AA112" s="38" t="n"/>
      <c r="AB112" s="41">
        <f>IF(A112="","",IF(COUNTIF($A$6:$A$504,A112)&gt;1,"⚠ Duplicate",""))</f>
        <v/>
      </c>
      <c r="AC112" s="42" t="n"/>
      <c r="AD112" s="42" t="n"/>
      <c r="AE112" s="42" t="n"/>
      <c r="AF112" s="42" t="n"/>
      <c r="AG112" s="42" t="n"/>
      <c r="AH112" s="42" t="n"/>
      <c r="AI112" s="42" t="n"/>
      <c r="AJ112" s="42" t="n"/>
      <c r="AK112" s="42" t="n"/>
      <c r="AL112" s="42" t="n"/>
      <c r="AM112" s="42" t="n"/>
      <c r="AN112" s="42" t="n"/>
      <c r="AO112" s="42" t="n"/>
      <c r="AP112" s="42" t="n"/>
    </row>
    <row r="113" ht="18" customHeight="1" s="74">
      <c r="A113" s="32" t="n"/>
      <c r="B113" s="32" t="n"/>
      <c r="C113" s="32" t="n"/>
      <c r="D113" s="32" t="n"/>
      <c r="E113" s="33" t="n"/>
      <c r="F113" s="33" t="n"/>
      <c r="G113" s="33" t="n"/>
      <c r="H113" s="33" t="n"/>
      <c r="I113" s="33" t="n"/>
      <c r="J113" s="33" t="n"/>
      <c r="K113" s="33" t="n"/>
      <c r="L113" s="33" t="n"/>
      <c r="M113" s="33" t="n"/>
      <c r="N113" s="33" t="n"/>
      <c r="O113" s="33" t="n"/>
      <c r="P113" s="33" t="n"/>
      <c r="Q113" s="33" t="n"/>
      <c r="R113" s="33" t="n"/>
      <c r="S113" s="33" t="n"/>
      <c r="T113" s="33" t="n"/>
      <c r="U113" s="33" t="n"/>
      <c r="V113" s="33" t="n"/>
      <c r="W113" s="34" t="n"/>
      <c r="X113" s="33" t="n"/>
      <c r="Y113" s="35" t="n"/>
      <c r="Z113" s="32" t="n"/>
      <c r="AA113" s="32" t="n"/>
      <c r="AB113" s="36">
        <f>IF(A113="","",IF(COUNTIF($A$6:$A$504,A113)&gt;1,"⚠ Duplicate",""))</f>
        <v/>
      </c>
      <c r="AC113" s="43" t="n"/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  <c r="AM113" s="43" t="n"/>
      <c r="AN113" s="43" t="n"/>
      <c r="AO113" s="43" t="n"/>
      <c r="AP113" s="43" t="n"/>
    </row>
    <row r="114" ht="18" customHeight="1" s="74">
      <c r="A114" s="38" t="n"/>
      <c r="B114" s="38" t="n"/>
      <c r="C114" s="38" t="n"/>
      <c r="D114" s="38" t="n"/>
      <c r="E114" s="39" t="n"/>
      <c r="F114" s="39" t="n"/>
      <c r="G114" s="39" t="n"/>
      <c r="H114" s="39" t="n"/>
      <c r="I114" s="39" t="n"/>
      <c r="J114" s="39" t="n"/>
      <c r="K114" s="39" t="n"/>
      <c r="L114" s="39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39" t="n"/>
      <c r="V114" s="39" t="n"/>
      <c r="W114" s="34" t="n"/>
      <c r="X114" s="39" t="n"/>
      <c r="Y114" s="40" t="n"/>
      <c r="Z114" s="38" t="n"/>
      <c r="AA114" s="38" t="n"/>
      <c r="AB114" s="41">
        <f>IF(A114="","",IF(COUNTIF($A$6:$A$504,A114)&gt;1,"⚠ Duplicate",""))</f>
        <v/>
      </c>
      <c r="AC114" s="42" t="n"/>
      <c r="AD114" s="42" t="n"/>
      <c r="AE114" s="42" t="n"/>
      <c r="AF114" s="42" t="n"/>
      <c r="AG114" s="42" t="n"/>
      <c r="AH114" s="42" t="n"/>
      <c r="AI114" s="42" t="n"/>
      <c r="AJ114" s="42" t="n"/>
      <c r="AK114" s="42" t="n"/>
      <c r="AL114" s="42" t="n"/>
      <c r="AM114" s="42" t="n"/>
      <c r="AN114" s="42" t="n"/>
      <c r="AO114" s="42" t="n"/>
      <c r="AP114" s="42" t="n"/>
    </row>
    <row r="115" ht="18" customHeight="1" s="74">
      <c r="A115" s="32" t="n"/>
      <c r="B115" s="32" t="n"/>
      <c r="C115" s="32" t="n"/>
      <c r="D115" s="32" t="n"/>
      <c r="E115" s="33" t="n"/>
      <c r="F115" s="33" t="n"/>
      <c r="G115" s="33" t="n"/>
      <c r="H115" s="33" t="n"/>
      <c r="I115" s="33" t="n"/>
      <c r="J115" s="33" t="n"/>
      <c r="K115" s="33" t="n"/>
      <c r="L115" s="33" t="n"/>
      <c r="M115" s="33" t="n"/>
      <c r="N115" s="33" t="n"/>
      <c r="O115" s="33" t="n"/>
      <c r="P115" s="33" t="n"/>
      <c r="Q115" s="33" t="n"/>
      <c r="R115" s="33" t="n"/>
      <c r="S115" s="33" t="n"/>
      <c r="T115" s="33" t="n"/>
      <c r="U115" s="33" t="n"/>
      <c r="V115" s="33" t="n"/>
      <c r="W115" s="34" t="n"/>
      <c r="X115" s="33" t="n"/>
      <c r="Y115" s="35" t="n"/>
      <c r="Z115" s="32" t="n"/>
      <c r="AA115" s="32" t="n"/>
      <c r="AB115" s="36">
        <f>IF(A115="","",IF(COUNTIF($A$6:$A$504,A115)&gt;1,"⚠ Duplicate",""))</f>
        <v/>
      </c>
      <c r="AC115" s="43" t="n"/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  <c r="AM115" s="43" t="n"/>
      <c r="AN115" s="43" t="n"/>
      <c r="AO115" s="43" t="n"/>
      <c r="AP115" s="43" t="n"/>
    </row>
    <row r="116" ht="18" customHeight="1" s="74">
      <c r="A116" s="38" t="n"/>
      <c r="B116" s="38" t="n"/>
      <c r="C116" s="38" t="n"/>
      <c r="D116" s="38" t="n"/>
      <c r="E116" s="39" t="n"/>
      <c r="F116" s="39" t="n"/>
      <c r="G116" s="39" t="n"/>
      <c r="H116" s="39" t="n"/>
      <c r="I116" s="39" t="n"/>
      <c r="J116" s="39" t="n"/>
      <c r="K116" s="39" t="n"/>
      <c r="L116" s="39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39" t="n"/>
      <c r="V116" s="39" t="n"/>
      <c r="W116" s="34" t="n"/>
      <c r="X116" s="39" t="n"/>
      <c r="Y116" s="40" t="n"/>
      <c r="Z116" s="38" t="n"/>
      <c r="AA116" s="38" t="n"/>
      <c r="AB116" s="41">
        <f>IF(A116="","",IF(COUNTIF($A$6:$A$504,A116)&gt;1,"⚠ Duplicate",""))</f>
        <v/>
      </c>
      <c r="AC116" s="42" t="n"/>
      <c r="AD116" s="42" t="n"/>
      <c r="AE116" s="42" t="n"/>
      <c r="AF116" s="42" t="n"/>
      <c r="AG116" s="42" t="n"/>
      <c r="AH116" s="42" t="n"/>
      <c r="AI116" s="42" t="n"/>
      <c r="AJ116" s="42" t="n"/>
      <c r="AK116" s="42" t="n"/>
      <c r="AL116" s="42" t="n"/>
      <c r="AM116" s="42" t="n"/>
      <c r="AN116" s="42" t="n"/>
      <c r="AO116" s="42" t="n"/>
      <c r="AP116" s="42" t="n"/>
    </row>
    <row r="117" ht="18" customHeight="1" s="74">
      <c r="A117" s="32" t="n"/>
      <c r="B117" s="32" t="n"/>
      <c r="C117" s="32" t="n"/>
      <c r="D117" s="32" t="n"/>
      <c r="E117" s="33" t="n"/>
      <c r="F117" s="33" t="n"/>
      <c r="G117" s="33" t="n"/>
      <c r="H117" s="33" t="n"/>
      <c r="I117" s="33" t="n"/>
      <c r="J117" s="33" t="n"/>
      <c r="K117" s="33" t="n"/>
      <c r="L117" s="33" t="n"/>
      <c r="M117" s="33" t="n"/>
      <c r="N117" s="33" t="n"/>
      <c r="O117" s="33" t="n"/>
      <c r="P117" s="33" t="n"/>
      <c r="Q117" s="33" t="n"/>
      <c r="R117" s="33" t="n"/>
      <c r="S117" s="33" t="n"/>
      <c r="T117" s="33" t="n"/>
      <c r="U117" s="33" t="n"/>
      <c r="V117" s="33" t="n"/>
      <c r="W117" s="34" t="n"/>
      <c r="X117" s="33" t="n"/>
      <c r="Y117" s="35" t="n"/>
      <c r="Z117" s="32" t="n"/>
      <c r="AA117" s="32" t="n"/>
      <c r="AB117" s="36">
        <f>IF(A117="","",IF(COUNTIF($A$6:$A$504,A117)&gt;1,"⚠ Duplicate",""))</f>
        <v/>
      </c>
      <c r="AC117" s="43" t="n"/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  <c r="AM117" s="43" t="n"/>
      <c r="AN117" s="43" t="n"/>
      <c r="AO117" s="43" t="n"/>
      <c r="AP117" s="43" t="n"/>
    </row>
    <row r="118" ht="18" customHeight="1" s="74">
      <c r="A118" s="38" t="n"/>
      <c r="B118" s="38" t="n"/>
      <c r="C118" s="38" t="n"/>
      <c r="D118" s="38" t="n"/>
      <c r="E118" s="39" t="n"/>
      <c r="F118" s="39" t="n"/>
      <c r="G118" s="39" t="n"/>
      <c r="H118" s="39" t="n"/>
      <c r="I118" s="39" t="n"/>
      <c r="J118" s="39" t="n"/>
      <c r="K118" s="39" t="n"/>
      <c r="L118" s="39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39" t="n"/>
      <c r="V118" s="39" t="n"/>
      <c r="W118" s="34" t="n"/>
      <c r="X118" s="39" t="n"/>
      <c r="Y118" s="40" t="n"/>
      <c r="Z118" s="38" t="n"/>
      <c r="AA118" s="38" t="n"/>
      <c r="AB118" s="41">
        <f>IF(A118="","",IF(COUNTIF($A$6:$A$504,A118)&gt;1,"⚠ Duplicate",""))</f>
        <v/>
      </c>
      <c r="AC118" s="42" t="n"/>
      <c r="AD118" s="42" t="n"/>
      <c r="AE118" s="42" t="n"/>
      <c r="AF118" s="42" t="n"/>
      <c r="AG118" s="42" t="n"/>
      <c r="AH118" s="42" t="n"/>
      <c r="AI118" s="42" t="n"/>
      <c r="AJ118" s="42" t="n"/>
      <c r="AK118" s="42" t="n"/>
      <c r="AL118" s="42" t="n"/>
      <c r="AM118" s="42" t="n"/>
      <c r="AN118" s="42" t="n"/>
      <c r="AO118" s="42" t="n"/>
      <c r="AP118" s="42" t="n"/>
    </row>
    <row r="119" ht="18" customHeight="1" s="74">
      <c r="A119" s="32" t="n"/>
      <c r="B119" s="32" t="n"/>
      <c r="C119" s="32" t="n"/>
      <c r="D119" s="32" t="n"/>
      <c r="E119" s="33" t="n"/>
      <c r="F119" s="33" t="n"/>
      <c r="G119" s="33" t="n"/>
      <c r="H119" s="33" t="n"/>
      <c r="I119" s="33" t="n"/>
      <c r="J119" s="33" t="n"/>
      <c r="K119" s="33" t="n"/>
      <c r="L119" s="33" t="n"/>
      <c r="M119" s="33" t="n"/>
      <c r="N119" s="33" t="n"/>
      <c r="O119" s="33" t="n"/>
      <c r="P119" s="33" t="n"/>
      <c r="Q119" s="33" t="n"/>
      <c r="R119" s="33" t="n"/>
      <c r="S119" s="33" t="n"/>
      <c r="T119" s="33" t="n"/>
      <c r="U119" s="33" t="n"/>
      <c r="V119" s="33" t="n"/>
      <c r="W119" s="34" t="n"/>
      <c r="X119" s="33" t="n"/>
      <c r="Y119" s="35" t="n"/>
      <c r="Z119" s="32" t="n"/>
      <c r="AA119" s="32" t="n"/>
      <c r="AB119" s="36">
        <f>IF(A119="","",IF(COUNTIF($A$6:$A$504,A119)&gt;1,"⚠ Duplicate",""))</f>
        <v/>
      </c>
      <c r="AC119" s="43" t="n"/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  <c r="AM119" s="43" t="n"/>
      <c r="AN119" s="43" t="n"/>
      <c r="AO119" s="43" t="n"/>
      <c r="AP119" s="43" t="n"/>
    </row>
    <row r="120" ht="18" customHeight="1" s="74">
      <c r="A120" s="38" t="n"/>
      <c r="B120" s="38" t="n"/>
      <c r="C120" s="38" t="n"/>
      <c r="D120" s="38" t="n"/>
      <c r="E120" s="39" t="n"/>
      <c r="F120" s="39" t="n"/>
      <c r="G120" s="39" t="n"/>
      <c r="H120" s="39" t="n"/>
      <c r="I120" s="39" t="n"/>
      <c r="J120" s="39" t="n"/>
      <c r="K120" s="39" t="n"/>
      <c r="L120" s="39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39" t="n"/>
      <c r="V120" s="39" t="n"/>
      <c r="W120" s="34" t="n"/>
      <c r="X120" s="39" t="n"/>
      <c r="Y120" s="40" t="n"/>
      <c r="Z120" s="38" t="n"/>
      <c r="AA120" s="38" t="n"/>
      <c r="AB120" s="41">
        <f>IF(A120="","",IF(COUNTIF($A$6:$A$504,A120)&gt;1,"⚠ Duplicate",""))</f>
        <v/>
      </c>
      <c r="AC120" s="42" t="n"/>
      <c r="AD120" s="42" t="n"/>
      <c r="AE120" s="42" t="n"/>
      <c r="AF120" s="42" t="n"/>
      <c r="AG120" s="42" t="n"/>
      <c r="AH120" s="42" t="n"/>
      <c r="AI120" s="42" t="n"/>
      <c r="AJ120" s="42" t="n"/>
      <c r="AK120" s="42" t="n"/>
      <c r="AL120" s="42" t="n"/>
      <c r="AM120" s="42" t="n"/>
      <c r="AN120" s="42" t="n"/>
      <c r="AO120" s="42" t="n"/>
      <c r="AP120" s="42" t="n"/>
    </row>
    <row r="121" ht="18" customHeight="1" s="74">
      <c r="A121" s="32" t="n"/>
      <c r="B121" s="32" t="n"/>
      <c r="C121" s="32" t="n"/>
      <c r="D121" s="32" t="n"/>
      <c r="E121" s="33" t="n"/>
      <c r="F121" s="33" t="n"/>
      <c r="G121" s="33" t="n"/>
      <c r="H121" s="33" t="n"/>
      <c r="I121" s="33" t="n"/>
      <c r="J121" s="33" t="n"/>
      <c r="K121" s="33" t="n"/>
      <c r="L121" s="33" t="n"/>
      <c r="M121" s="33" t="n"/>
      <c r="N121" s="33" t="n"/>
      <c r="O121" s="33" t="n"/>
      <c r="P121" s="33" t="n"/>
      <c r="Q121" s="33" t="n"/>
      <c r="R121" s="33" t="n"/>
      <c r="S121" s="33" t="n"/>
      <c r="T121" s="33" t="n"/>
      <c r="U121" s="33" t="n"/>
      <c r="V121" s="33" t="n"/>
      <c r="W121" s="34" t="n"/>
      <c r="X121" s="33" t="n"/>
      <c r="Y121" s="35" t="n"/>
      <c r="Z121" s="32" t="n"/>
      <c r="AA121" s="32" t="n"/>
      <c r="AB121" s="36">
        <f>IF(A121="","",IF(COUNTIF($A$6:$A$504,A121)&gt;1,"⚠ Duplicate",""))</f>
        <v/>
      </c>
      <c r="AC121" s="43" t="n"/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  <c r="AM121" s="43" t="n"/>
      <c r="AN121" s="43" t="n"/>
      <c r="AO121" s="43" t="n"/>
      <c r="AP121" s="43" t="n"/>
    </row>
    <row r="122" ht="18" customHeight="1" s="74">
      <c r="A122" s="38" t="n"/>
      <c r="B122" s="38" t="n"/>
      <c r="C122" s="38" t="n"/>
      <c r="D122" s="38" t="n"/>
      <c r="E122" s="39" t="n"/>
      <c r="F122" s="39" t="n"/>
      <c r="G122" s="39" t="n"/>
      <c r="H122" s="39" t="n"/>
      <c r="I122" s="39" t="n"/>
      <c r="J122" s="39" t="n"/>
      <c r="K122" s="39" t="n"/>
      <c r="L122" s="39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39" t="n"/>
      <c r="V122" s="39" t="n"/>
      <c r="W122" s="34" t="n"/>
      <c r="X122" s="39" t="n"/>
      <c r="Y122" s="40" t="n"/>
      <c r="Z122" s="38" t="n"/>
      <c r="AA122" s="38" t="n"/>
      <c r="AB122" s="41">
        <f>IF(A122="","",IF(COUNTIF($A$6:$A$504,A122)&gt;1,"⚠ Duplicate",""))</f>
        <v/>
      </c>
      <c r="AC122" s="42" t="n"/>
      <c r="AD122" s="42" t="n"/>
      <c r="AE122" s="42" t="n"/>
      <c r="AF122" s="42" t="n"/>
      <c r="AG122" s="42" t="n"/>
      <c r="AH122" s="42" t="n"/>
      <c r="AI122" s="42" t="n"/>
      <c r="AJ122" s="42" t="n"/>
      <c r="AK122" s="42" t="n"/>
      <c r="AL122" s="42" t="n"/>
      <c r="AM122" s="42" t="n"/>
      <c r="AN122" s="42" t="n"/>
      <c r="AO122" s="42" t="n"/>
      <c r="AP122" s="42" t="n"/>
    </row>
    <row r="123" ht="18" customHeight="1" s="74">
      <c r="A123" s="32" t="n"/>
      <c r="B123" s="32" t="n"/>
      <c r="C123" s="32" t="n"/>
      <c r="D123" s="32" t="n"/>
      <c r="E123" s="33" t="n"/>
      <c r="F123" s="33" t="n"/>
      <c r="G123" s="33" t="n"/>
      <c r="H123" s="33" t="n"/>
      <c r="I123" s="33" t="n"/>
      <c r="J123" s="33" t="n"/>
      <c r="K123" s="33" t="n"/>
      <c r="L123" s="33" t="n"/>
      <c r="M123" s="33" t="n"/>
      <c r="N123" s="33" t="n"/>
      <c r="O123" s="33" t="n"/>
      <c r="P123" s="33" t="n"/>
      <c r="Q123" s="33" t="n"/>
      <c r="R123" s="33" t="n"/>
      <c r="S123" s="33" t="n"/>
      <c r="T123" s="33" t="n"/>
      <c r="U123" s="33" t="n"/>
      <c r="V123" s="33" t="n"/>
      <c r="W123" s="34" t="n"/>
      <c r="X123" s="33" t="n"/>
      <c r="Y123" s="35" t="n"/>
      <c r="Z123" s="32" t="n"/>
      <c r="AA123" s="32" t="n"/>
      <c r="AB123" s="36">
        <f>IF(A123="","",IF(COUNTIF($A$6:$A$504,A123)&gt;1,"⚠ Duplicate",""))</f>
        <v/>
      </c>
      <c r="AC123" s="43" t="n"/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  <c r="AM123" s="43" t="n"/>
      <c r="AN123" s="43" t="n"/>
      <c r="AO123" s="43" t="n"/>
      <c r="AP123" s="43" t="n"/>
    </row>
    <row r="124" ht="18" customHeight="1" s="74">
      <c r="A124" s="38" t="n"/>
      <c r="B124" s="38" t="n"/>
      <c r="C124" s="38" t="n"/>
      <c r="D124" s="38" t="n"/>
      <c r="E124" s="39" t="n"/>
      <c r="F124" s="39" t="n"/>
      <c r="G124" s="39" t="n"/>
      <c r="H124" s="39" t="n"/>
      <c r="I124" s="39" t="n"/>
      <c r="J124" s="39" t="n"/>
      <c r="K124" s="39" t="n"/>
      <c r="L124" s="39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39" t="n"/>
      <c r="V124" s="39" t="n"/>
      <c r="W124" s="34" t="n"/>
      <c r="X124" s="39" t="n"/>
      <c r="Y124" s="40" t="n"/>
      <c r="Z124" s="38" t="n"/>
      <c r="AA124" s="38" t="n"/>
      <c r="AB124" s="41">
        <f>IF(A124="","",IF(COUNTIF($A$6:$A$504,A124)&gt;1,"⚠ Duplicate",""))</f>
        <v/>
      </c>
      <c r="AC124" s="42" t="n"/>
      <c r="AD124" s="42" t="n"/>
      <c r="AE124" s="42" t="n"/>
      <c r="AF124" s="42" t="n"/>
      <c r="AG124" s="42" t="n"/>
      <c r="AH124" s="42" t="n"/>
      <c r="AI124" s="42" t="n"/>
      <c r="AJ124" s="42" t="n"/>
      <c r="AK124" s="42" t="n"/>
      <c r="AL124" s="42" t="n"/>
      <c r="AM124" s="42" t="n"/>
      <c r="AN124" s="42" t="n"/>
      <c r="AO124" s="42" t="n"/>
      <c r="AP124" s="42" t="n"/>
    </row>
    <row r="125" ht="18" customHeight="1" s="74">
      <c r="A125" s="32" t="n"/>
      <c r="B125" s="32" t="n"/>
      <c r="C125" s="32" t="n"/>
      <c r="D125" s="32" t="n"/>
      <c r="E125" s="33" t="n"/>
      <c r="F125" s="33" t="n"/>
      <c r="G125" s="33" t="n"/>
      <c r="H125" s="33" t="n"/>
      <c r="I125" s="33" t="n"/>
      <c r="J125" s="33" t="n"/>
      <c r="K125" s="33" t="n"/>
      <c r="L125" s="33" t="n"/>
      <c r="M125" s="33" t="n"/>
      <c r="N125" s="33" t="n"/>
      <c r="O125" s="33" t="n"/>
      <c r="P125" s="33" t="n"/>
      <c r="Q125" s="33" t="n"/>
      <c r="R125" s="33" t="n"/>
      <c r="S125" s="33" t="n"/>
      <c r="T125" s="33" t="n"/>
      <c r="U125" s="33" t="n"/>
      <c r="V125" s="33" t="n"/>
      <c r="W125" s="34" t="n"/>
      <c r="X125" s="33" t="n"/>
      <c r="Y125" s="35" t="n"/>
      <c r="Z125" s="32" t="n"/>
      <c r="AA125" s="32" t="n"/>
      <c r="AB125" s="36">
        <f>IF(A125="","",IF(COUNTIF($A$6:$A$504,A125)&gt;1,"⚠ Duplicate",""))</f>
        <v/>
      </c>
      <c r="AC125" s="43" t="n"/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  <c r="AM125" s="43" t="n"/>
      <c r="AN125" s="43" t="n"/>
      <c r="AO125" s="43" t="n"/>
      <c r="AP125" s="43" t="n"/>
    </row>
    <row r="126" ht="18" customHeight="1" s="74">
      <c r="A126" s="38" t="n"/>
      <c r="B126" s="38" t="n"/>
      <c r="C126" s="38" t="n"/>
      <c r="D126" s="38" t="n"/>
      <c r="E126" s="39" t="n"/>
      <c r="F126" s="39" t="n"/>
      <c r="G126" s="39" t="n"/>
      <c r="H126" s="39" t="n"/>
      <c r="I126" s="39" t="n"/>
      <c r="J126" s="39" t="n"/>
      <c r="K126" s="39" t="n"/>
      <c r="L126" s="39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39" t="n"/>
      <c r="V126" s="39" t="n"/>
      <c r="W126" s="34" t="n"/>
      <c r="X126" s="39" t="n"/>
      <c r="Y126" s="40" t="n"/>
      <c r="Z126" s="38" t="n"/>
      <c r="AA126" s="38" t="n"/>
      <c r="AB126" s="41">
        <f>IF(A126="","",IF(COUNTIF($A$6:$A$504,A126)&gt;1,"⚠ Duplicate",""))</f>
        <v/>
      </c>
      <c r="AC126" s="42" t="n"/>
      <c r="AD126" s="42" t="n"/>
      <c r="AE126" s="42" t="n"/>
      <c r="AF126" s="42" t="n"/>
      <c r="AG126" s="42" t="n"/>
      <c r="AH126" s="42" t="n"/>
      <c r="AI126" s="42" t="n"/>
      <c r="AJ126" s="42" t="n"/>
      <c r="AK126" s="42" t="n"/>
      <c r="AL126" s="42" t="n"/>
      <c r="AM126" s="42" t="n"/>
      <c r="AN126" s="42" t="n"/>
      <c r="AO126" s="42" t="n"/>
      <c r="AP126" s="42" t="n"/>
    </row>
    <row r="127" ht="18" customHeight="1" s="74">
      <c r="A127" s="32" t="n"/>
      <c r="B127" s="32" t="n"/>
      <c r="C127" s="32" t="n"/>
      <c r="D127" s="32" t="n"/>
      <c r="E127" s="33" t="n"/>
      <c r="F127" s="33" t="n"/>
      <c r="G127" s="33" t="n"/>
      <c r="H127" s="33" t="n"/>
      <c r="I127" s="33" t="n"/>
      <c r="J127" s="33" t="n"/>
      <c r="K127" s="33" t="n"/>
      <c r="L127" s="33" t="n"/>
      <c r="M127" s="33" t="n"/>
      <c r="N127" s="33" t="n"/>
      <c r="O127" s="33" t="n"/>
      <c r="P127" s="33" t="n"/>
      <c r="Q127" s="33" t="n"/>
      <c r="R127" s="33" t="n"/>
      <c r="S127" s="33" t="n"/>
      <c r="T127" s="33" t="n"/>
      <c r="U127" s="33" t="n"/>
      <c r="V127" s="33" t="n"/>
      <c r="W127" s="34" t="n"/>
      <c r="X127" s="33" t="n"/>
      <c r="Y127" s="35" t="n"/>
      <c r="Z127" s="32" t="n"/>
      <c r="AA127" s="32" t="n"/>
      <c r="AB127" s="36">
        <f>IF(A127="","",IF(COUNTIF($A$6:$A$504,A127)&gt;1,"⚠ Duplicate",""))</f>
        <v/>
      </c>
      <c r="AC127" s="43" t="n"/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  <c r="AM127" s="43" t="n"/>
      <c r="AN127" s="43" t="n"/>
      <c r="AO127" s="43" t="n"/>
      <c r="AP127" s="43" t="n"/>
    </row>
    <row r="128" ht="18" customHeight="1" s="74">
      <c r="A128" s="38" t="n"/>
      <c r="B128" s="38" t="n"/>
      <c r="C128" s="38" t="n"/>
      <c r="D128" s="38" t="n"/>
      <c r="E128" s="39" t="n"/>
      <c r="F128" s="39" t="n"/>
      <c r="G128" s="39" t="n"/>
      <c r="H128" s="39" t="n"/>
      <c r="I128" s="39" t="n"/>
      <c r="J128" s="39" t="n"/>
      <c r="K128" s="39" t="n"/>
      <c r="L128" s="39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39" t="n"/>
      <c r="V128" s="39" t="n"/>
      <c r="W128" s="34" t="n"/>
      <c r="X128" s="39" t="n"/>
      <c r="Y128" s="40" t="n"/>
      <c r="Z128" s="38" t="n"/>
      <c r="AA128" s="38" t="n"/>
      <c r="AB128" s="41">
        <f>IF(A128="","",IF(COUNTIF($A$6:$A$504,A128)&gt;1,"⚠ Duplicate",""))</f>
        <v/>
      </c>
      <c r="AC128" s="42" t="n"/>
      <c r="AD128" s="42" t="n"/>
      <c r="AE128" s="42" t="n"/>
      <c r="AF128" s="42" t="n"/>
      <c r="AG128" s="42" t="n"/>
      <c r="AH128" s="42" t="n"/>
      <c r="AI128" s="42" t="n"/>
      <c r="AJ128" s="42" t="n"/>
      <c r="AK128" s="42" t="n"/>
      <c r="AL128" s="42" t="n"/>
      <c r="AM128" s="42" t="n"/>
      <c r="AN128" s="42" t="n"/>
      <c r="AO128" s="42" t="n"/>
      <c r="AP128" s="42" t="n"/>
    </row>
    <row r="129" ht="18" customHeight="1" s="74">
      <c r="A129" s="32" t="n"/>
      <c r="B129" s="32" t="n"/>
      <c r="C129" s="32" t="n"/>
      <c r="D129" s="32" t="n"/>
      <c r="E129" s="33" t="n"/>
      <c r="F129" s="33" t="n"/>
      <c r="G129" s="33" t="n"/>
      <c r="H129" s="33" t="n"/>
      <c r="I129" s="33" t="n"/>
      <c r="J129" s="33" t="n"/>
      <c r="K129" s="33" t="n"/>
      <c r="L129" s="33" t="n"/>
      <c r="M129" s="33" t="n"/>
      <c r="N129" s="33" t="n"/>
      <c r="O129" s="33" t="n"/>
      <c r="P129" s="33" t="n"/>
      <c r="Q129" s="33" t="n"/>
      <c r="R129" s="33" t="n"/>
      <c r="S129" s="33" t="n"/>
      <c r="T129" s="33" t="n"/>
      <c r="U129" s="33" t="n"/>
      <c r="V129" s="33" t="n"/>
      <c r="W129" s="34" t="n"/>
      <c r="X129" s="33" t="n"/>
      <c r="Y129" s="35" t="n"/>
      <c r="Z129" s="32" t="n"/>
      <c r="AA129" s="32" t="n"/>
      <c r="AB129" s="36">
        <f>IF(A129="","",IF(COUNTIF($A$6:$A$504,A129)&gt;1,"⚠ Duplicate",""))</f>
        <v/>
      </c>
      <c r="AC129" s="43" t="n"/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  <c r="AM129" s="43" t="n"/>
      <c r="AN129" s="43" t="n"/>
      <c r="AO129" s="43" t="n"/>
      <c r="AP129" s="43" t="n"/>
    </row>
    <row r="130" ht="18" customHeight="1" s="74">
      <c r="A130" s="38" t="n"/>
      <c r="B130" s="38" t="n"/>
      <c r="C130" s="38" t="n"/>
      <c r="D130" s="38" t="n"/>
      <c r="E130" s="39" t="n"/>
      <c r="F130" s="39" t="n"/>
      <c r="G130" s="39" t="n"/>
      <c r="H130" s="39" t="n"/>
      <c r="I130" s="39" t="n"/>
      <c r="J130" s="39" t="n"/>
      <c r="K130" s="39" t="n"/>
      <c r="L130" s="39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39" t="n"/>
      <c r="V130" s="39" t="n"/>
      <c r="W130" s="34" t="n"/>
      <c r="X130" s="39" t="n"/>
      <c r="Y130" s="40" t="n"/>
      <c r="Z130" s="38" t="n"/>
      <c r="AA130" s="38" t="n"/>
      <c r="AB130" s="41">
        <f>IF(A130="","",IF(COUNTIF($A$6:$A$504,A130)&gt;1,"⚠ Duplicate",""))</f>
        <v/>
      </c>
      <c r="AC130" s="42" t="n"/>
      <c r="AD130" s="42" t="n"/>
      <c r="AE130" s="42" t="n"/>
      <c r="AF130" s="42" t="n"/>
      <c r="AG130" s="42" t="n"/>
      <c r="AH130" s="42" t="n"/>
      <c r="AI130" s="42" t="n"/>
      <c r="AJ130" s="42" t="n"/>
      <c r="AK130" s="42" t="n"/>
      <c r="AL130" s="42" t="n"/>
      <c r="AM130" s="42" t="n"/>
      <c r="AN130" s="42" t="n"/>
      <c r="AO130" s="42" t="n"/>
      <c r="AP130" s="42" t="n"/>
    </row>
    <row r="131" ht="18" customHeight="1" s="74">
      <c r="A131" s="32" t="n"/>
      <c r="B131" s="32" t="n"/>
      <c r="C131" s="32" t="n"/>
      <c r="D131" s="32" t="n"/>
      <c r="E131" s="33" t="n"/>
      <c r="F131" s="33" t="n"/>
      <c r="G131" s="33" t="n"/>
      <c r="H131" s="33" t="n"/>
      <c r="I131" s="33" t="n"/>
      <c r="J131" s="33" t="n"/>
      <c r="K131" s="33" t="n"/>
      <c r="L131" s="33" t="n"/>
      <c r="M131" s="33" t="n"/>
      <c r="N131" s="33" t="n"/>
      <c r="O131" s="33" t="n"/>
      <c r="P131" s="33" t="n"/>
      <c r="Q131" s="33" t="n"/>
      <c r="R131" s="33" t="n"/>
      <c r="S131" s="33" t="n"/>
      <c r="T131" s="33" t="n"/>
      <c r="U131" s="33" t="n"/>
      <c r="V131" s="33" t="n"/>
      <c r="W131" s="34" t="n"/>
      <c r="X131" s="33" t="n"/>
      <c r="Y131" s="35" t="n"/>
      <c r="Z131" s="32" t="n"/>
      <c r="AA131" s="32" t="n"/>
      <c r="AB131" s="36">
        <f>IF(A131="","",IF(COUNTIF($A$6:$A$504,A131)&gt;1,"⚠ Duplicate",""))</f>
        <v/>
      </c>
      <c r="AC131" s="43" t="n"/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  <c r="AM131" s="43" t="n"/>
      <c r="AN131" s="43" t="n"/>
      <c r="AO131" s="43" t="n"/>
      <c r="AP131" s="43" t="n"/>
    </row>
    <row r="132" ht="18" customHeight="1" s="74">
      <c r="A132" s="38" t="n"/>
      <c r="B132" s="38" t="n"/>
      <c r="C132" s="38" t="n"/>
      <c r="D132" s="38" t="n"/>
      <c r="E132" s="39" t="n"/>
      <c r="F132" s="39" t="n"/>
      <c r="G132" s="39" t="n"/>
      <c r="H132" s="39" t="n"/>
      <c r="I132" s="39" t="n"/>
      <c r="J132" s="39" t="n"/>
      <c r="K132" s="39" t="n"/>
      <c r="L132" s="39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39" t="n"/>
      <c r="V132" s="39" t="n"/>
      <c r="W132" s="34" t="n"/>
      <c r="X132" s="39" t="n"/>
      <c r="Y132" s="40" t="n"/>
      <c r="Z132" s="38" t="n"/>
      <c r="AA132" s="38" t="n"/>
      <c r="AB132" s="41">
        <f>IF(A132="","",IF(COUNTIF($A$6:$A$504,A132)&gt;1,"⚠ Duplicate",""))</f>
        <v/>
      </c>
      <c r="AC132" s="42" t="n"/>
      <c r="AD132" s="42" t="n"/>
      <c r="AE132" s="42" t="n"/>
      <c r="AF132" s="42" t="n"/>
      <c r="AG132" s="42" t="n"/>
      <c r="AH132" s="42" t="n"/>
      <c r="AI132" s="42" t="n"/>
      <c r="AJ132" s="42" t="n"/>
      <c r="AK132" s="42" t="n"/>
      <c r="AL132" s="42" t="n"/>
      <c r="AM132" s="42" t="n"/>
      <c r="AN132" s="42" t="n"/>
      <c r="AO132" s="42" t="n"/>
      <c r="AP132" s="42" t="n"/>
    </row>
    <row r="133" ht="18" customHeight="1" s="74">
      <c r="A133" s="32" t="n"/>
      <c r="B133" s="32" t="n"/>
      <c r="C133" s="32" t="n"/>
      <c r="D133" s="32" t="n"/>
      <c r="E133" s="33" t="n"/>
      <c r="F133" s="33" t="n"/>
      <c r="G133" s="33" t="n"/>
      <c r="H133" s="33" t="n"/>
      <c r="I133" s="33" t="n"/>
      <c r="J133" s="33" t="n"/>
      <c r="K133" s="33" t="n"/>
      <c r="L133" s="33" t="n"/>
      <c r="M133" s="33" t="n"/>
      <c r="N133" s="33" t="n"/>
      <c r="O133" s="33" t="n"/>
      <c r="P133" s="33" t="n"/>
      <c r="Q133" s="33" t="n"/>
      <c r="R133" s="33" t="n"/>
      <c r="S133" s="33" t="n"/>
      <c r="T133" s="33" t="n"/>
      <c r="U133" s="33" t="n"/>
      <c r="V133" s="33" t="n"/>
      <c r="W133" s="34" t="n"/>
      <c r="X133" s="33" t="n"/>
      <c r="Y133" s="35" t="n"/>
      <c r="Z133" s="32" t="n"/>
      <c r="AA133" s="32" t="n"/>
      <c r="AB133" s="36">
        <f>IF(A133="","",IF(COUNTIF($A$6:$A$504,A133)&gt;1,"⚠ Duplicate",""))</f>
        <v/>
      </c>
      <c r="AC133" s="43" t="n"/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  <c r="AM133" s="43" t="n"/>
      <c r="AN133" s="43" t="n"/>
      <c r="AO133" s="43" t="n"/>
      <c r="AP133" s="43" t="n"/>
    </row>
    <row r="134" ht="18" customHeight="1" s="74">
      <c r="A134" s="38" t="n"/>
      <c r="B134" s="38" t="n"/>
      <c r="C134" s="38" t="n"/>
      <c r="D134" s="38" t="n"/>
      <c r="E134" s="39" t="n"/>
      <c r="F134" s="39" t="n"/>
      <c r="G134" s="39" t="n"/>
      <c r="H134" s="39" t="n"/>
      <c r="I134" s="39" t="n"/>
      <c r="J134" s="39" t="n"/>
      <c r="K134" s="39" t="n"/>
      <c r="L134" s="39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39" t="n"/>
      <c r="V134" s="39" t="n"/>
      <c r="W134" s="34" t="n"/>
      <c r="X134" s="39" t="n"/>
      <c r="Y134" s="40" t="n"/>
      <c r="Z134" s="38" t="n"/>
      <c r="AA134" s="38" t="n"/>
      <c r="AB134" s="41">
        <f>IF(A134="","",IF(COUNTIF($A$6:$A$504,A134)&gt;1,"⚠ Duplicate",""))</f>
        <v/>
      </c>
      <c r="AC134" s="42" t="n"/>
      <c r="AD134" s="42" t="n"/>
      <c r="AE134" s="42" t="n"/>
      <c r="AF134" s="42" t="n"/>
      <c r="AG134" s="42" t="n"/>
      <c r="AH134" s="42" t="n"/>
      <c r="AI134" s="42" t="n"/>
      <c r="AJ134" s="42" t="n"/>
      <c r="AK134" s="42" t="n"/>
      <c r="AL134" s="42" t="n"/>
      <c r="AM134" s="42" t="n"/>
      <c r="AN134" s="42" t="n"/>
      <c r="AO134" s="42" t="n"/>
      <c r="AP134" s="42" t="n"/>
    </row>
    <row r="135" ht="18" customHeight="1" s="74">
      <c r="A135" s="32" t="n"/>
      <c r="B135" s="32" t="n"/>
      <c r="C135" s="32" t="n"/>
      <c r="D135" s="32" t="n"/>
      <c r="E135" s="33" t="n"/>
      <c r="F135" s="33" t="n"/>
      <c r="G135" s="33" t="n"/>
      <c r="H135" s="33" t="n"/>
      <c r="I135" s="33" t="n"/>
      <c r="J135" s="33" t="n"/>
      <c r="K135" s="33" t="n"/>
      <c r="L135" s="33" t="n"/>
      <c r="M135" s="33" t="n"/>
      <c r="N135" s="33" t="n"/>
      <c r="O135" s="33" t="n"/>
      <c r="P135" s="33" t="n"/>
      <c r="Q135" s="33" t="n"/>
      <c r="R135" s="33" t="n"/>
      <c r="S135" s="33" t="n"/>
      <c r="T135" s="33" t="n"/>
      <c r="U135" s="33" t="n"/>
      <c r="V135" s="33" t="n"/>
      <c r="W135" s="34" t="n"/>
      <c r="X135" s="33" t="n"/>
      <c r="Y135" s="35" t="n"/>
      <c r="Z135" s="32" t="n"/>
      <c r="AA135" s="32" t="n"/>
      <c r="AB135" s="36">
        <f>IF(A135="","",IF(COUNTIF($A$6:$A$504,A135)&gt;1,"⚠ Duplicate",""))</f>
        <v/>
      </c>
      <c r="AC135" s="43" t="n"/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  <c r="AM135" s="43" t="n"/>
      <c r="AN135" s="43" t="n"/>
      <c r="AO135" s="43" t="n"/>
      <c r="AP135" s="43" t="n"/>
    </row>
    <row r="136" ht="18" customHeight="1" s="74">
      <c r="A136" s="38" t="n"/>
      <c r="B136" s="38" t="n"/>
      <c r="C136" s="38" t="n"/>
      <c r="D136" s="38" t="n"/>
      <c r="E136" s="39" t="n"/>
      <c r="F136" s="39" t="n"/>
      <c r="G136" s="39" t="n"/>
      <c r="H136" s="39" t="n"/>
      <c r="I136" s="39" t="n"/>
      <c r="J136" s="39" t="n"/>
      <c r="K136" s="39" t="n"/>
      <c r="L136" s="39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39" t="n"/>
      <c r="V136" s="39" t="n"/>
      <c r="W136" s="34" t="n"/>
      <c r="X136" s="39" t="n"/>
      <c r="Y136" s="40" t="n"/>
      <c r="Z136" s="38" t="n"/>
      <c r="AA136" s="38" t="n"/>
      <c r="AB136" s="41">
        <f>IF(A136="","",IF(COUNTIF($A$6:$A$504,A136)&gt;1,"⚠ Duplicate",""))</f>
        <v/>
      </c>
      <c r="AC136" s="42" t="n"/>
      <c r="AD136" s="42" t="n"/>
      <c r="AE136" s="42" t="n"/>
      <c r="AF136" s="42" t="n"/>
      <c r="AG136" s="42" t="n"/>
      <c r="AH136" s="42" t="n"/>
      <c r="AI136" s="42" t="n"/>
      <c r="AJ136" s="42" t="n"/>
      <c r="AK136" s="42" t="n"/>
      <c r="AL136" s="42" t="n"/>
      <c r="AM136" s="42" t="n"/>
      <c r="AN136" s="42" t="n"/>
      <c r="AO136" s="42" t="n"/>
      <c r="AP136" s="42" t="n"/>
    </row>
    <row r="137" ht="18" customHeight="1" s="74">
      <c r="A137" s="32" t="n"/>
      <c r="B137" s="32" t="n"/>
      <c r="C137" s="32" t="n"/>
      <c r="D137" s="32" t="n"/>
      <c r="E137" s="33" t="n"/>
      <c r="F137" s="33" t="n"/>
      <c r="G137" s="33" t="n"/>
      <c r="H137" s="33" t="n"/>
      <c r="I137" s="33" t="n"/>
      <c r="J137" s="33" t="n"/>
      <c r="K137" s="33" t="n"/>
      <c r="L137" s="33" t="n"/>
      <c r="M137" s="33" t="n"/>
      <c r="N137" s="33" t="n"/>
      <c r="O137" s="33" t="n"/>
      <c r="P137" s="33" t="n"/>
      <c r="Q137" s="33" t="n"/>
      <c r="R137" s="33" t="n"/>
      <c r="S137" s="33" t="n"/>
      <c r="T137" s="33" t="n"/>
      <c r="U137" s="33" t="n"/>
      <c r="V137" s="33" t="n"/>
      <c r="W137" s="34" t="n"/>
      <c r="X137" s="33" t="n"/>
      <c r="Y137" s="35" t="n"/>
      <c r="Z137" s="32" t="n"/>
      <c r="AA137" s="32" t="n"/>
      <c r="AB137" s="36">
        <f>IF(A137="","",IF(COUNTIF($A$6:$A$504,A137)&gt;1,"⚠ Duplicate",""))</f>
        <v/>
      </c>
      <c r="AC137" s="43" t="n"/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  <c r="AM137" s="43" t="n"/>
      <c r="AN137" s="43" t="n"/>
      <c r="AO137" s="43" t="n"/>
      <c r="AP137" s="43" t="n"/>
    </row>
    <row r="138" ht="18" customHeight="1" s="74">
      <c r="A138" s="38" t="n"/>
      <c r="B138" s="38" t="n"/>
      <c r="C138" s="38" t="n"/>
      <c r="D138" s="38" t="n"/>
      <c r="E138" s="39" t="n"/>
      <c r="F138" s="39" t="n"/>
      <c r="G138" s="39" t="n"/>
      <c r="H138" s="39" t="n"/>
      <c r="I138" s="39" t="n"/>
      <c r="J138" s="39" t="n"/>
      <c r="K138" s="39" t="n"/>
      <c r="L138" s="39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39" t="n"/>
      <c r="V138" s="39" t="n"/>
      <c r="W138" s="34" t="n"/>
      <c r="X138" s="39" t="n"/>
      <c r="Y138" s="40" t="n"/>
      <c r="Z138" s="38" t="n"/>
      <c r="AA138" s="38" t="n"/>
      <c r="AB138" s="41">
        <f>IF(A138="","",IF(COUNTIF($A$6:$A$504,A138)&gt;1,"⚠ Duplicate",""))</f>
        <v/>
      </c>
      <c r="AC138" s="42" t="n"/>
      <c r="AD138" s="42" t="n"/>
      <c r="AE138" s="42" t="n"/>
      <c r="AF138" s="42" t="n"/>
      <c r="AG138" s="42" t="n"/>
      <c r="AH138" s="42" t="n"/>
      <c r="AI138" s="42" t="n"/>
      <c r="AJ138" s="42" t="n"/>
      <c r="AK138" s="42" t="n"/>
      <c r="AL138" s="42" t="n"/>
      <c r="AM138" s="42" t="n"/>
      <c r="AN138" s="42" t="n"/>
      <c r="AO138" s="42" t="n"/>
      <c r="AP138" s="42" t="n"/>
    </row>
    <row r="139" ht="18" customHeight="1" s="74">
      <c r="A139" s="32" t="n"/>
      <c r="B139" s="32" t="n"/>
      <c r="C139" s="32" t="n"/>
      <c r="D139" s="32" t="n"/>
      <c r="E139" s="33" t="n"/>
      <c r="F139" s="33" t="n"/>
      <c r="G139" s="33" t="n"/>
      <c r="H139" s="33" t="n"/>
      <c r="I139" s="33" t="n"/>
      <c r="J139" s="33" t="n"/>
      <c r="K139" s="33" t="n"/>
      <c r="L139" s="33" t="n"/>
      <c r="M139" s="33" t="n"/>
      <c r="N139" s="33" t="n"/>
      <c r="O139" s="33" t="n"/>
      <c r="P139" s="33" t="n"/>
      <c r="Q139" s="33" t="n"/>
      <c r="R139" s="33" t="n"/>
      <c r="S139" s="33" t="n"/>
      <c r="T139" s="33" t="n"/>
      <c r="U139" s="33" t="n"/>
      <c r="V139" s="33" t="n"/>
      <c r="W139" s="34" t="n"/>
      <c r="X139" s="33" t="n"/>
      <c r="Y139" s="35" t="n"/>
      <c r="Z139" s="32" t="n"/>
      <c r="AA139" s="32" t="n"/>
      <c r="AB139" s="36">
        <f>IF(A139="","",IF(COUNTIF($A$6:$A$504,A139)&gt;1,"⚠ Duplicate",""))</f>
        <v/>
      </c>
      <c r="AC139" s="43" t="n"/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  <c r="AM139" s="43" t="n"/>
      <c r="AN139" s="43" t="n"/>
      <c r="AO139" s="43" t="n"/>
      <c r="AP139" s="43" t="n"/>
    </row>
    <row r="140" ht="18" customHeight="1" s="74">
      <c r="A140" s="38" t="n"/>
      <c r="B140" s="38" t="n"/>
      <c r="C140" s="38" t="n"/>
      <c r="D140" s="38" t="n"/>
      <c r="E140" s="39" t="n"/>
      <c r="F140" s="39" t="n"/>
      <c r="G140" s="39" t="n"/>
      <c r="H140" s="39" t="n"/>
      <c r="I140" s="39" t="n"/>
      <c r="J140" s="39" t="n"/>
      <c r="K140" s="39" t="n"/>
      <c r="L140" s="39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39" t="n"/>
      <c r="V140" s="39" t="n"/>
      <c r="W140" s="34" t="n"/>
      <c r="X140" s="39" t="n"/>
      <c r="Y140" s="40" t="n"/>
      <c r="Z140" s="38" t="n"/>
      <c r="AA140" s="38" t="n"/>
      <c r="AB140" s="41">
        <f>IF(A140="","",IF(COUNTIF($A$6:$A$504,A140)&gt;1,"⚠ Duplicate",""))</f>
        <v/>
      </c>
      <c r="AC140" s="42" t="n"/>
      <c r="AD140" s="42" t="n"/>
      <c r="AE140" s="42" t="n"/>
      <c r="AF140" s="42" t="n"/>
      <c r="AG140" s="42" t="n"/>
      <c r="AH140" s="42" t="n"/>
      <c r="AI140" s="42" t="n"/>
      <c r="AJ140" s="42" t="n"/>
      <c r="AK140" s="42" t="n"/>
      <c r="AL140" s="42" t="n"/>
      <c r="AM140" s="42" t="n"/>
      <c r="AN140" s="42" t="n"/>
      <c r="AO140" s="42" t="n"/>
      <c r="AP140" s="42" t="n"/>
    </row>
    <row r="141" ht="18" customHeight="1" s="74">
      <c r="A141" s="32" t="n"/>
      <c r="B141" s="32" t="n"/>
      <c r="C141" s="32" t="n"/>
      <c r="D141" s="32" t="n"/>
      <c r="E141" s="33" t="n"/>
      <c r="F141" s="33" t="n"/>
      <c r="G141" s="33" t="n"/>
      <c r="H141" s="33" t="n"/>
      <c r="I141" s="33" t="n"/>
      <c r="J141" s="33" t="n"/>
      <c r="K141" s="33" t="n"/>
      <c r="L141" s="33" t="n"/>
      <c r="M141" s="33" t="n"/>
      <c r="N141" s="33" t="n"/>
      <c r="O141" s="33" t="n"/>
      <c r="P141" s="33" t="n"/>
      <c r="Q141" s="33" t="n"/>
      <c r="R141" s="33" t="n"/>
      <c r="S141" s="33" t="n"/>
      <c r="T141" s="33" t="n"/>
      <c r="U141" s="33" t="n"/>
      <c r="V141" s="33" t="n"/>
      <c r="W141" s="34" t="n"/>
      <c r="X141" s="33" t="n"/>
      <c r="Y141" s="35" t="n"/>
      <c r="Z141" s="32" t="n"/>
      <c r="AA141" s="32" t="n"/>
      <c r="AB141" s="36">
        <f>IF(A141="","",IF(COUNTIF($A$6:$A$504,A141)&gt;1,"⚠ Duplicate",""))</f>
        <v/>
      </c>
      <c r="AC141" s="43" t="n"/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  <c r="AM141" s="43" t="n"/>
      <c r="AN141" s="43" t="n"/>
      <c r="AO141" s="43" t="n"/>
      <c r="AP141" s="43" t="n"/>
    </row>
    <row r="142" ht="18" customHeight="1" s="74">
      <c r="A142" s="38" t="n"/>
      <c r="B142" s="38" t="n"/>
      <c r="C142" s="38" t="n"/>
      <c r="D142" s="38" t="n"/>
      <c r="E142" s="39" t="n"/>
      <c r="F142" s="39" t="n"/>
      <c r="G142" s="39" t="n"/>
      <c r="H142" s="39" t="n"/>
      <c r="I142" s="39" t="n"/>
      <c r="J142" s="39" t="n"/>
      <c r="K142" s="39" t="n"/>
      <c r="L142" s="39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39" t="n"/>
      <c r="V142" s="39" t="n"/>
      <c r="W142" s="34" t="n"/>
      <c r="X142" s="39" t="n"/>
      <c r="Y142" s="40" t="n"/>
      <c r="Z142" s="38" t="n"/>
      <c r="AA142" s="38" t="n"/>
      <c r="AB142" s="41">
        <f>IF(A142="","",IF(COUNTIF($A$6:$A$504,A142)&gt;1,"⚠ Duplicate",""))</f>
        <v/>
      </c>
      <c r="AC142" s="42" t="n"/>
      <c r="AD142" s="42" t="n"/>
      <c r="AE142" s="42" t="n"/>
      <c r="AF142" s="42" t="n"/>
      <c r="AG142" s="42" t="n"/>
      <c r="AH142" s="42" t="n"/>
      <c r="AI142" s="42" t="n"/>
      <c r="AJ142" s="42" t="n"/>
      <c r="AK142" s="42" t="n"/>
      <c r="AL142" s="42" t="n"/>
      <c r="AM142" s="42" t="n"/>
      <c r="AN142" s="42" t="n"/>
      <c r="AO142" s="42" t="n"/>
      <c r="AP142" s="42" t="n"/>
    </row>
    <row r="143" ht="18" customHeight="1" s="74">
      <c r="A143" s="32" t="n"/>
      <c r="B143" s="32" t="n"/>
      <c r="C143" s="32" t="n"/>
      <c r="D143" s="32" t="n"/>
      <c r="E143" s="33" t="n"/>
      <c r="F143" s="33" t="n"/>
      <c r="G143" s="33" t="n"/>
      <c r="H143" s="33" t="n"/>
      <c r="I143" s="33" t="n"/>
      <c r="J143" s="33" t="n"/>
      <c r="K143" s="33" t="n"/>
      <c r="L143" s="33" t="n"/>
      <c r="M143" s="33" t="n"/>
      <c r="N143" s="33" t="n"/>
      <c r="O143" s="33" t="n"/>
      <c r="P143" s="33" t="n"/>
      <c r="Q143" s="33" t="n"/>
      <c r="R143" s="33" t="n"/>
      <c r="S143" s="33" t="n"/>
      <c r="T143" s="33" t="n"/>
      <c r="U143" s="33" t="n"/>
      <c r="V143" s="33" t="n"/>
      <c r="W143" s="34" t="n"/>
      <c r="X143" s="33" t="n"/>
      <c r="Y143" s="35" t="n"/>
      <c r="Z143" s="32" t="n"/>
      <c r="AA143" s="32" t="n"/>
      <c r="AB143" s="36">
        <f>IF(A143="","",IF(COUNTIF($A$6:$A$504,A143)&gt;1,"⚠ Duplicate",""))</f>
        <v/>
      </c>
      <c r="AC143" s="43" t="n"/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  <c r="AM143" s="43" t="n"/>
      <c r="AN143" s="43" t="n"/>
      <c r="AO143" s="43" t="n"/>
      <c r="AP143" s="43" t="n"/>
    </row>
    <row r="144" ht="18" customHeight="1" s="74">
      <c r="A144" s="38" t="n"/>
      <c r="B144" s="38" t="n"/>
      <c r="C144" s="38" t="n"/>
      <c r="D144" s="38" t="n"/>
      <c r="E144" s="39" t="n"/>
      <c r="F144" s="39" t="n"/>
      <c r="G144" s="39" t="n"/>
      <c r="H144" s="39" t="n"/>
      <c r="I144" s="39" t="n"/>
      <c r="J144" s="39" t="n"/>
      <c r="K144" s="39" t="n"/>
      <c r="L144" s="39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39" t="n"/>
      <c r="V144" s="39" t="n"/>
      <c r="W144" s="34" t="n"/>
      <c r="X144" s="39" t="n"/>
      <c r="Y144" s="40" t="n"/>
      <c r="Z144" s="38" t="n"/>
      <c r="AA144" s="38" t="n"/>
      <c r="AB144" s="41">
        <f>IF(A144="","",IF(COUNTIF($A$6:$A$504,A144)&gt;1,"⚠ Duplicate",""))</f>
        <v/>
      </c>
      <c r="AC144" s="42" t="n"/>
      <c r="AD144" s="42" t="n"/>
      <c r="AE144" s="42" t="n"/>
      <c r="AF144" s="42" t="n"/>
      <c r="AG144" s="42" t="n"/>
      <c r="AH144" s="42" t="n"/>
      <c r="AI144" s="42" t="n"/>
      <c r="AJ144" s="42" t="n"/>
      <c r="AK144" s="42" t="n"/>
      <c r="AL144" s="42" t="n"/>
      <c r="AM144" s="42" t="n"/>
      <c r="AN144" s="42" t="n"/>
      <c r="AO144" s="42" t="n"/>
      <c r="AP144" s="42" t="n"/>
    </row>
    <row r="145" ht="18" customHeight="1" s="74">
      <c r="A145" s="32" t="n"/>
      <c r="B145" s="32" t="n"/>
      <c r="C145" s="32" t="n"/>
      <c r="D145" s="32" t="n"/>
      <c r="E145" s="33" t="n"/>
      <c r="F145" s="33" t="n"/>
      <c r="G145" s="33" t="n"/>
      <c r="H145" s="33" t="n"/>
      <c r="I145" s="33" t="n"/>
      <c r="J145" s="33" t="n"/>
      <c r="K145" s="33" t="n"/>
      <c r="L145" s="33" t="n"/>
      <c r="M145" s="33" t="n"/>
      <c r="N145" s="33" t="n"/>
      <c r="O145" s="33" t="n"/>
      <c r="P145" s="33" t="n"/>
      <c r="Q145" s="33" t="n"/>
      <c r="R145" s="33" t="n"/>
      <c r="S145" s="33" t="n"/>
      <c r="T145" s="33" t="n"/>
      <c r="U145" s="33" t="n"/>
      <c r="V145" s="33" t="n"/>
      <c r="W145" s="34" t="n"/>
      <c r="X145" s="33" t="n"/>
      <c r="Y145" s="35" t="n"/>
      <c r="Z145" s="32" t="n"/>
      <c r="AA145" s="32" t="n"/>
      <c r="AB145" s="36">
        <f>IF(A145="","",IF(COUNTIF($A$6:$A$504,A145)&gt;1,"⚠ Duplicate",""))</f>
        <v/>
      </c>
      <c r="AC145" s="43" t="n"/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  <c r="AM145" s="43" t="n"/>
      <c r="AN145" s="43" t="n"/>
      <c r="AO145" s="43" t="n"/>
      <c r="AP145" s="43" t="n"/>
    </row>
    <row r="146" ht="18" customHeight="1" s="74">
      <c r="A146" s="38" t="n"/>
      <c r="B146" s="38" t="n"/>
      <c r="C146" s="38" t="n"/>
      <c r="D146" s="38" t="n"/>
      <c r="E146" s="39" t="n"/>
      <c r="F146" s="39" t="n"/>
      <c r="G146" s="39" t="n"/>
      <c r="H146" s="39" t="n"/>
      <c r="I146" s="39" t="n"/>
      <c r="J146" s="39" t="n"/>
      <c r="K146" s="39" t="n"/>
      <c r="L146" s="39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39" t="n"/>
      <c r="V146" s="39" t="n"/>
      <c r="W146" s="34" t="n"/>
      <c r="X146" s="39" t="n"/>
      <c r="Y146" s="40" t="n"/>
      <c r="Z146" s="38" t="n"/>
      <c r="AA146" s="38" t="n"/>
      <c r="AB146" s="41">
        <f>IF(A146="","",IF(COUNTIF($A$6:$A$504,A146)&gt;1,"⚠ Duplicate",""))</f>
        <v/>
      </c>
      <c r="AC146" s="42" t="n"/>
      <c r="AD146" s="42" t="n"/>
      <c r="AE146" s="42" t="n"/>
      <c r="AF146" s="42" t="n"/>
      <c r="AG146" s="42" t="n"/>
      <c r="AH146" s="42" t="n"/>
      <c r="AI146" s="42" t="n"/>
      <c r="AJ146" s="42" t="n"/>
      <c r="AK146" s="42" t="n"/>
      <c r="AL146" s="42" t="n"/>
      <c r="AM146" s="42" t="n"/>
      <c r="AN146" s="42" t="n"/>
      <c r="AO146" s="42" t="n"/>
      <c r="AP146" s="42" t="n"/>
    </row>
    <row r="147" ht="18" customHeight="1" s="74">
      <c r="A147" s="32" t="n"/>
      <c r="B147" s="32" t="n"/>
      <c r="C147" s="32" t="n"/>
      <c r="D147" s="32" t="n"/>
      <c r="E147" s="33" t="n"/>
      <c r="F147" s="33" t="n"/>
      <c r="G147" s="33" t="n"/>
      <c r="H147" s="33" t="n"/>
      <c r="I147" s="33" t="n"/>
      <c r="J147" s="33" t="n"/>
      <c r="K147" s="33" t="n"/>
      <c r="L147" s="33" t="n"/>
      <c r="M147" s="33" t="n"/>
      <c r="N147" s="33" t="n"/>
      <c r="O147" s="33" t="n"/>
      <c r="P147" s="33" t="n"/>
      <c r="Q147" s="33" t="n"/>
      <c r="R147" s="33" t="n"/>
      <c r="S147" s="33" t="n"/>
      <c r="T147" s="33" t="n"/>
      <c r="U147" s="33" t="n"/>
      <c r="V147" s="33" t="n"/>
      <c r="W147" s="34" t="n"/>
      <c r="X147" s="33" t="n"/>
      <c r="Y147" s="35" t="n"/>
      <c r="Z147" s="32" t="n"/>
      <c r="AA147" s="32" t="n"/>
      <c r="AB147" s="36">
        <f>IF(A147="","",IF(COUNTIF($A$6:$A$504,A147)&gt;1,"⚠ Duplicate",""))</f>
        <v/>
      </c>
      <c r="AC147" s="43" t="n"/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  <c r="AM147" s="43" t="n"/>
      <c r="AN147" s="43" t="n"/>
      <c r="AO147" s="43" t="n"/>
      <c r="AP147" s="43" t="n"/>
    </row>
    <row r="148" ht="18" customHeight="1" s="74">
      <c r="A148" s="38" t="n"/>
      <c r="B148" s="38" t="n"/>
      <c r="C148" s="38" t="n"/>
      <c r="D148" s="38" t="n"/>
      <c r="E148" s="39" t="n"/>
      <c r="F148" s="39" t="n"/>
      <c r="G148" s="39" t="n"/>
      <c r="H148" s="39" t="n"/>
      <c r="I148" s="39" t="n"/>
      <c r="J148" s="39" t="n"/>
      <c r="K148" s="39" t="n"/>
      <c r="L148" s="39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39" t="n"/>
      <c r="V148" s="39" t="n"/>
      <c r="W148" s="34" t="n"/>
      <c r="X148" s="39" t="n"/>
      <c r="Y148" s="40" t="n"/>
      <c r="Z148" s="38" t="n"/>
      <c r="AA148" s="38" t="n"/>
      <c r="AB148" s="41">
        <f>IF(A148="","",IF(COUNTIF($A$6:$A$504,A148)&gt;1,"⚠ Duplicate",""))</f>
        <v/>
      </c>
      <c r="AC148" s="42" t="n"/>
      <c r="AD148" s="42" t="n"/>
      <c r="AE148" s="42" t="n"/>
      <c r="AF148" s="42" t="n"/>
      <c r="AG148" s="42" t="n"/>
      <c r="AH148" s="42" t="n"/>
      <c r="AI148" s="42" t="n"/>
      <c r="AJ148" s="42" t="n"/>
      <c r="AK148" s="42" t="n"/>
      <c r="AL148" s="42" t="n"/>
      <c r="AM148" s="42" t="n"/>
      <c r="AN148" s="42" t="n"/>
      <c r="AO148" s="42" t="n"/>
      <c r="AP148" s="42" t="n"/>
    </row>
    <row r="149" ht="18" customHeight="1" s="74">
      <c r="A149" s="32" t="n"/>
      <c r="B149" s="32" t="n"/>
      <c r="C149" s="32" t="n"/>
      <c r="D149" s="32" t="n"/>
      <c r="E149" s="33" t="n"/>
      <c r="F149" s="33" t="n"/>
      <c r="G149" s="33" t="n"/>
      <c r="H149" s="33" t="n"/>
      <c r="I149" s="33" t="n"/>
      <c r="J149" s="33" t="n"/>
      <c r="K149" s="33" t="n"/>
      <c r="L149" s="33" t="n"/>
      <c r="M149" s="33" t="n"/>
      <c r="N149" s="33" t="n"/>
      <c r="O149" s="33" t="n"/>
      <c r="P149" s="33" t="n"/>
      <c r="Q149" s="33" t="n"/>
      <c r="R149" s="33" t="n"/>
      <c r="S149" s="33" t="n"/>
      <c r="T149" s="33" t="n"/>
      <c r="U149" s="33" t="n"/>
      <c r="V149" s="33" t="n"/>
      <c r="W149" s="34" t="n"/>
      <c r="X149" s="33" t="n"/>
      <c r="Y149" s="35" t="n"/>
      <c r="Z149" s="32" t="n"/>
      <c r="AA149" s="32" t="n"/>
      <c r="AB149" s="36">
        <f>IF(A149="","",IF(COUNTIF($A$6:$A$504,A149)&gt;1,"⚠ Duplicate",""))</f>
        <v/>
      </c>
      <c r="AC149" s="43" t="n"/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  <c r="AM149" s="43" t="n"/>
      <c r="AN149" s="43" t="n"/>
      <c r="AO149" s="43" t="n"/>
      <c r="AP149" s="43" t="n"/>
    </row>
    <row r="150" ht="18" customHeight="1" s="74">
      <c r="A150" s="38" t="n"/>
      <c r="B150" s="38" t="n"/>
      <c r="C150" s="38" t="n"/>
      <c r="D150" s="38" t="n"/>
      <c r="E150" s="39" t="n"/>
      <c r="F150" s="39" t="n"/>
      <c r="G150" s="39" t="n"/>
      <c r="H150" s="39" t="n"/>
      <c r="I150" s="39" t="n"/>
      <c r="J150" s="39" t="n"/>
      <c r="K150" s="39" t="n"/>
      <c r="L150" s="39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39" t="n"/>
      <c r="V150" s="39" t="n"/>
      <c r="W150" s="34" t="n"/>
      <c r="X150" s="39" t="n"/>
      <c r="Y150" s="40" t="n"/>
      <c r="Z150" s="38" t="n"/>
      <c r="AA150" s="38" t="n"/>
      <c r="AB150" s="41">
        <f>IF(A150="","",IF(COUNTIF($A$6:$A$504,A150)&gt;1,"⚠ Duplicate",""))</f>
        <v/>
      </c>
      <c r="AC150" s="42" t="n"/>
      <c r="AD150" s="42" t="n"/>
      <c r="AE150" s="42" t="n"/>
      <c r="AF150" s="42" t="n"/>
      <c r="AG150" s="42" t="n"/>
      <c r="AH150" s="42" t="n"/>
      <c r="AI150" s="42" t="n"/>
      <c r="AJ150" s="42" t="n"/>
      <c r="AK150" s="42" t="n"/>
      <c r="AL150" s="42" t="n"/>
      <c r="AM150" s="42" t="n"/>
      <c r="AN150" s="42" t="n"/>
      <c r="AO150" s="42" t="n"/>
      <c r="AP150" s="42" t="n"/>
    </row>
    <row r="151" ht="18" customHeight="1" s="74">
      <c r="A151" s="32" t="n"/>
      <c r="B151" s="32" t="n"/>
      <c r="C151" s="32" t="n"/>
      <c r="D151" s="32" t="n"/>
      <c r="E151" s="33" t="n"/>
      <c r="F151" s="33" t="n"/>
      <c r="G151" s="33" t="n"/>
      <c r="H151" s="33" t="n"/>
      <c r="I151" s="33" t="n"/>
      <c r="J151" s="33" t="n"/>
      <c r="K151" s="33" t="n"/>
      <c r="L151" s="33" t="n"/>
      <c r="M151" s="33" t="n"/>
      <c r="N151" s="33" t="n"/>
      <c r="O151" s="33" t="n"/>
      <c r="P151" s="33" t="n"/>
      <c r="Q151" s="33" t="n"/>
      <c r="R151" s="33" t="n"/>
      <c r="S151" s="33" t="n"/>
      <c r="T151" s="33" t="n"/>
      <c r="U151" s="33" t="n"/>
      <c r="V151" s="33" t="n"/>
      <c r="W151" s="34" t="n"/>
      <c r="X151" s="33" t="n"/>
      <c r="Y151" s="35" t="n"/>
      <c r="Z151" s="32" t="n"/>
      <c r="AA151" s="32" t="n"/>
      <c r="AB151" s="36">
        <f>IF(A151="","",IF(COUNTIF($A$6:$A$504,A151)&gt;1,"⚠ Duplicate",""))</f>
        <v/>
      </c>
      <c r="AC151" s="43" t="n"/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  <c r="AM151" s="43" t="n"/>
      <c r="AN151" s="43" t="n"/>
      <c r="AO151" s="43" t="n"/>
      <c r="AP151" s="43" t="n"/>
    </row>
    <row r="152" ht="18" customHeight="1" s="74">
      <c r="A152" s="38" t="n"/>
      <c r="B152" s="38" t="n"/>
      <c r="C152" s="38" t="n"/>
      <c r="D152" s="38" t="n"/>
      <c r="E152" s="39" t="n"/>
      <c r="F152" s="39" t="n"/>
      <c r="G152" s="39" t="n"/>
      <c r="H152" s="39" t="n"/>
      <c r="I152" s="39" t="n"/>
      <c r="J152" s="39" t="n"/>
      <c r="K152" s="39" t="n"/>
      <c r="L152" s="39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39" t="n"/>
      <c r="V152" s="39" t="n"/>
      <c r="W152" s="34" t="n"/>
      <c r="X152" s="39" t="n"/>
      <c r="Y152" s="40" t="n"/>
      <c r="Z152" s="38" t="n"/>
      <c r="AA152" s="38" t="n"/>
      <c r="AB152" s="41">
        <f>IF(A152="","",IF(COUNTIF($A$6:$A$504,A152)&gt;1,"⚠ Duplicate",""))</f>
        <v/>
      </c>
      <c r="AC152" s="42" t="n"/>
      <c r="AD152" s="42" t="n"/>
      <c r="AE152" s="42" t="n"/>
      <c r="AF152" s="42" t="n"/>
      <c r="AG152" s="42" t="n"/>
      <c r="AH152" s="42" t="n"/>
      <c r="AI152" s="42" t="n"/>
      <c r="AJ152" s="42" t="n"/>
      <c r="AK152" s="42" t="n"/>
      <c r="AL152" s="42" t="n"/>
      <c r="AM152" s="42" t="n"/>
      <c r="AN152" s="42" t="n"/>
      <c r="AO152" s="42" t="n"/>
      <c r="AP152" s="42" t="n"/>
    </row>
    <row r="153" ht="18" customHeight="1" s="74">
      <c r="A153" s="32" t="n"/>
      <c r="B153" s="32" t="n"/>
      <c r="C153" s="32" t="n"/>
      <c r="D153" s="32" t="n"/>
      <c r="E153" s="33" t="n"/>
      <c r="F153" s="33" t="n"/>
      <c r="G153" s="33" t="n"/>
      <c r="H153" s="33" t="n"/>
      <c r="I153" s="33" t="n"/>
      <c r="J153" s="33" t="n"/>
      <c r="K153" s="33" t="n"/>
      <c r="L153" s="33" t="n"/>
      <c r="M153" s="33" t="n"/>
      <c r="N153" s="33" t="n"/>
      <c r="O153" s="33" t="n"/>
      <c r="P153" s="33" t="n"/>
      <c r="Q153" s="33" t="n"/>
      <c r="R153" s="33" t="n"/>
      <c r="S153" s="33" t="n"/>
      <c r="T153" s="33" t="n"/>
      <c r="U153" s="33" t="n"/>
      <c r="V153" s="33" t="n"/>
      <c r="W153" s="34" t="n"/>
      <c r="X153" s="33" t="n"/>
      <c r="Y153" s="35" t="n"/>
      <c r="Z153" s="32" t="n"/>
      <c r="AA153" s="32" t="n"/>
      <c r="AB153" s="36">
        <f>IF(A153="","",IF(COUNTIF($A$6:$A$504,A153)&gt;1,"⚠ Duplicate",""))</f>
        <v/>
      </c>
      <c r="AC153" s="43" t="n"/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  <c r="AM153" s="43" t="n"/>
      <c r="AN153" s="43" t="n"/>
      <c r="AO153" s="43" t="n"/>
      <c r="AP153" s="43" t="n"/>
    </row>
    <row r="154" ht="18" customHeight="1" s="74">
      <c r="A154" s="38" t="n"/>
      <c r="B154" s="38" t="n"/>
      <c r="C154" s="38" t="n"/>
      <c r="D154" s="38" t="n"/>
      <c r="E154" s="39" t="n"/>
      <c r="F154" s="39" t="n"/>
      <c r="G154" s="39" t="n"/>
      <c r="H154" s="39" t="n"/>
      <c r="I154" s="39" t="n"/>
      <c r="J154" s="39" t="n"/>
      <c r="K154" s="39" t="n"/>
      <c r="L154" s="39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39" t="n"/>
      <c r="V154" s="39" t="n"/>
      <c r="W154" s="34" t="n"/>
      <c r="X154" s="39" t="n"/>
      <c r="Y154" s="40" t="n"/>
      <c r="Z154" s="38" t="n"/>
      <c r="AA154" s="38" t="n"/>
      <c r="AB154" s="41">
        <f>IF(A154="","",IF(COUNTIF($A$6:$A$504,A154)&gt;1,"⚠ Duplicate",""))</f>
        <v/>
      </c>
      <c r="AC154" s="42" t="n"/>
      <c r="AD154" s="42" t="n"/>
      <c r="AE154" s="42" t="n"/>
      <c r="AF154" s="42" t="n"/>
      <c r="AG154" s="42" t="n"/>
      <c r="AH154" s="42" t="n"/>
      <c r="AI154" s="42" t="n"/>
      <c r="AJ154" s="42" t="n"/>
      <c r="AK154" s="42" t="n"/>
      <c r="AL154" s="42" t="n"/>
      <c r="AM154" s="42" t="n"/>
      <c r="AN154" s="42" t="n"/>
      <c r="AO154" s="42" t="n"/>
      <c r="AP154" s="42" t="n"/>
    </row>
    <row r="155" ht="18" customHeight="1" s="74">
      <c r="A155" s="32" t="n"/>
      <c r="B155" s="32" t="n"/>
      <c r="C155" s="32" t="n"/>
      <c r="D155" s="32" t="n"/>
      <c r="E155" s="33" t="n"/>
      <c r="F155" s="33" t="n"/>
      <c r="G155" s="33" t="n"/>
      <c r="H155" s="33" t="n"/>
      <c r="I155" s="33" t="n"/>
      <c r="J155" s="33" t="n"/>
      <c r="K155" s="33" t="n"/>
      <c r="L155" s="33" t="n"/>
      <c r="M155" s="33" t="n"/>
      <c r="N155" s="33" t="n"/>
      <c r="O155" s="33" t="n"/>
      <c r="P155" s="33" t="n"/>
      <c r="Q155" s="33" t="n"/>
      <c r="R155" s="33" t="n"/>
      <c r="S155" s="33" t="n"/>
      <c r="T155" s="33" t="n"/>
      <c r="U155" s="33" t="n"/>
      <c r="V155" s="33" t="n"/>
      <c r="W155" s="34" t="n"/>
      <c r="X155" s="33" t="n"/>
      <c r="Y155" s="35" t="n"/>
      <c r="Z155" s="32" t="n"/>
      <c r="AA155" s="32" t="n"/>
      <c r="AB155" s="36">
        <f>IF(A155="","",IF(COUNTIF($A$6:$A$504,A155)&gt;1,"⚠ Duplicate",""))</f>
        <v/>
      </c>
      <c r="AC155" s="43" t="n"/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  <c r="AM155" s="43" t="n"/>
      <c r="AN155" s="43" t="n"/>
      <c r="AO155" s="43" t="n"/>
      <c r="AP155" s="43" t="n"/>
    </row>
    <row r="156" ht="18" customHeight="1" s="74">
      <c r="A156" s="38" t="n"/>
      <c r="B156" s="38" t="n"/>
      <c r="C156" s="38" t="n"/>
      <c r="D156" s="38" t="n"/>
      <c r="E156" s="39" t="n"/>
      <c r="F156" s="39" t="n"/>
      <c r="G156" s="39" t="n"/>
      <c r="H156" s="39" t="n"/>
      <c r="I156" s="39" t="n"/>
      <c r="J156" s="39" t="n"/>
      <c r="K156" s="39" t="n"/>
      <c r="L156" s="39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39" t="n"/>
      <c r="V156" s="39" t="n"/>
      <c r="W156" s="34" t="n"/>
      <c r="X156" s="39" t="n"/>
      <c r="Y156" s="40" t="n"/>
      <c r="Z156" s="38" t="n"/>
      <c r="AA156" s="38" t="n"/>
      <c r="AB156" s="41">
        <f>IF(A156="","",IF(COUNTIF($A$6:$A$504,A156)&gt;1,"⚠ Duplicate",""))</f>
        <v/>
      </c>
      <c r="AC156" s="42" t="n"/>
      <c r="AD156" s="42" t="n"/>
      <c r="AE156" s="42" t="n"/>
      <c r="AF156" s="42" t="n"/>
      <c r="AG156" s="42" t="n"/>
      <c r="AH156" s="42" t="n"/>
      <c r="AI156" s="42" t="n"/>
      <c r="AJ156" s="42" t="n"/>
      <c r="AK156" s="42" t="n"/>
      <c r="AL156" s="42" t="n"/>
      <c r="AM156" s="42" t="n"/>
      <c r="AN156" s="42" t="n"/>
      <c r="AO156" s="42" t="n"/>
      <c r="AP156" s="42" t="n"/>
    </row>
    <row r="157" ht="18" customHeight="1" s="74">
      <c r="A157" s="32" t="n"/>
      <c r="B157" s="32" t="n"/>
      <c r="C157" s="32" t="n"/>
      <c r="D157" s="32" t="n"/>
      <c r="E157" s="33" t="n"/>
      <c r="F157" s="33" t="n"/>
      <c r="G157" s="33" t="n"/>
      <c r="H157" s="33" t="n"/>
      <c r="I157" s="33" t="n"/>
      <c r="J157" s="33" t="n"/>
      <c r="K157" s="33" t="n"/>
      <c r="L157" s="33" t="n"/>
      <c r="M157" s="33" t="n"/>
      <c r="N157" s="33" t="n"/>
      <c r="O157" s="33" t="n"/>
      <c r="P157" s="33" t="n"/>
      <c r="Q157" s="33" t="n"/>
      <c r="R157" s="33" t="n"/>
      <c r="S157" s="33" t="n"/>
      <c r="T157" s="33" t="n"/>
      <c r="U157" s="33" t="n"/>
      <c r="V157" s="33" t="n"/>
      <c r="W157" s="34" t="n"/>
      <c r="X157" s="33" t="n"/>
      <c r="Y157" s="35" t="n"/>
      <c r="Z157" s="32" t="n"/>
      <c r="AA157" s="32" t="n"/>
      <c r="AB157" s="36">
        <f>IF(A157="","",IF(COUNTIF($A$6:$A$504,A157)&gt;1,"⚠ Duplicate",""))</f>
        <v/>
      </c>
      <c r="AC157" s="43" t="n"/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  <c r="AM157" s="43" t="n"/>
      <c r="AN157" s="43" t="n"/>
      <c r="AO157" s="43" t="n"/>
      <c r="AP157" s="43" t="n"/>
    </row>
    <row r="158" ht="18" customHeight="1" s="74">
      <c r="A158" s="38" t="n"/>
      <c r="B158" s="38" t="n"/>
      <c r="C158" s="38" t="n"/>
      <c r="D158" s="38" t="n"/>
      <c r="E158" s="39" t="n"/>
      <c r="F158" s="39" t="n"/>
      <c r="G158" s="39" t="n"/>
      <c r="H158" s="39" t="n"/>
      <c r="I158" s="39" t="n"/>
      <c r="J158" s="39" t="n"/>
      <c r="K158" s="39" t="n"/>
      <c r="L158" s="39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39" t="n"/>
      <c r="V158" s="39" t="n"/>
      <c r="W158" s="34" t="n"/>
      <c r="X158" s="39" t="n"/>
      <c r="Y158" s="40" t="n"/>
      <c r="Z158" s="38" t="n"/>
      <c r="AA158" s="38" t="n"/>
      <c r="AB158" s="41">
        <f>IF(A158="","",IF(COUNTIF($A$6:$A$504,A158)&gt;1,"⚠ Duplicate",""))</f>
        <v/>
      </c>
      <c r="AC158" s="42" t="n"/>
      <c r="AD158" s="42" t="n"/>
      <c r="AE158" s="42" t="n"/>
      <c r="AF158" s="42" t="n"/>
      <c r="AG158" s="42" t="n"/>
      <c r="AH158" s="42" t="n"/>
      <c r="AI158" s="42" t="n"/>
      <c r="AJ158" s="42" t="n"/>
      <c r="AK158" s="42" t="n"/>
      <c r="AL158" s="42" t="n"/>
      <c r="AM158" s="42" t="n"/>
      <c r="AN158" s="42" t="n"/>
      <c r="AO158" s="42" t="n"/>
      <c r="AP158" s="42" t="n"/>
    </row>
    <row r="159" ht="18" customHeight="1" s="74">
      <c r="A159" s="32" t="n"/>
      <c r="B159" s="32" t="n"/>
      <c r="C159" s="32" t="n"/>
      <c r="D159" s="32" t="n"/>
      <c r="E159" s="33" t="n"/>
      <c r="F159" s="33" t="n"/>
      <c r="G159" s="33" t="n"/>
      <c r="H159" s="33" t="n"/>
      <c r="I159" s="33" t="n"/>
      <c r="J159" s="33" t="n"/>
      <c r="K159" s="33" t="n"/>
      <c r="L159" s="33" t="n"/>
      <c r="M159" s="33" t="n"/>
      <c r="N159" s="33" t="n"/>
      <c r="O159" s="33" t="n"/>
      <c r="P159" s="33" t="n"/>
      <c r="Q159" s="33" t="n"/>
      <c r="R159" s="33" t="n"/>
      <c r="S159" s="33" t="n"/>
      <c r="T159" s="33" t="n"/>
      <c r="U159" s="33" t="n"/>
      <c r="V159" s="33" t="n"/>
      <c r="W159" s="34" t="n"/>
      <c r="X159" s="33" t="n"/>
      <c r="Y159" s="35" t="n"/>
      <c r="Z159" s="32" t="n"/>
      <c r="AA159" s="32" t="n"/>
      <c r="AB159" s="36">
        <f>IF(A159="","",IF(COUNTIF($A$6:$A$504,A159)&gt;1,"⚠ Duplicate",""))</f>
        <v/>
      </c>
      <c r="AC159" s="43" t="n"/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  <c r="AM159" s="43" t="n"/>
      <c r="AN159" s="43" t="n"/>
      <c r="AO159" s="43" t="n"/>
      <c r="AP159" s="43" t="n"/>
    </row>
    <row r="160" ht="18" customHeight="1" s="74">
      <c r="A160" s="38" t="n"/>
      <c r="B160" s="38" t="n"/>
      <c r="C160" s="38" t="n"/>
      <c r="D160" s="38" t="n"/>
      <c r="E160" s="39" t="n"/>
      <c r="F160" s="39" t="n"/>
      <c r="G160" s="39" t="n"/>
      <c r="H160" s="39" t="n"/>
      <c r="I160" s="39" t="n"/>
      <c r="J160" s="39" t="n"/>
      <c r="K160" s="39" t="n"/>
      <c r="L160" s="39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39" t="n"/>
      <c r="V160" s="39" t="n"/>
      <c r="W160" s="34" t="n"/>
      <c r="X160" s="39" t="n"/>
      <c r="Y160" s="40" t="n"/>
      <c r="Z160" s="38" t="n"/>
      <c r="AA160" s="38" t="n"/>
      <c r="AB160" s="41">
        <f>IF(A160="","",IF(COUNTIF($A$6:$A$504,A160)&gt;1,"⚠ Duplicate",""))</f>
        <v/>
      </c>
      <c r="AC160" s="42" t="n"/>
      <c r="AD160" s="42" t="n"/>
      <c r="AE160" s="42" t="n"/>
      <c r="AF160" s="42" t="n"/>
      <c r="AG160" s="42" t="n"/>
      <c r="AH160" s="42" t="n"/>
      <c r="AI160" s="42" t="n"/>
      <c r="AJ160" s="42" t="n"/>
      <c r="AK160" s="42" t="n"/>
      <c r="AL160" s="42" t="n"/>
      <c r="AM160" s="42" t="n"/>
      <c r="AN160" s="42" t="n"/>
      <c r="AO160" s="42" t="n"/>
      <c r="AP160" s="42" t="n"/>
    </row>
    <row r="161" ht="18" customHeight="1" s="74">
      <c r="A161" s="32" t="n"/>
      <c r="B161" s="32" t="n"/>
      <c r="C161" s="32" t="n"/>
      <c r="D161" s="32" t="n"/>
      <c r="E161" s="33" t="n"/>
      <c r="F161" s="33" t="n"/>
      <c r="G161" s="33" t="n"/>
      <c r="H161" s="33" t="n"/>
      <c r="I161" s="33" t="n"/>
      <c r="J161" s="33" t="n"/>
      <c r="K161" s="33" t="n"/>
      <c r="L161" s="33" t="n"/>
      <c r="M161" s="33" t="n"/>
      <c r="N161" s="33" t="n"/>
      <c r="O161" s="33" t="n"/>
      <c r="P161" s="33" t="n"/>
      <c r="Q161" s="33" t="n"/>
      <c r="R161" s="33" t="n"/>
      <c r="S161" s="33" t="n"/>
      <c r="T161" s="33" t="n"/>
      <c r="U161" s="33" t="n"/>
      <c r="V161" s="33" t="n"/>
      <c r="W161" s="34" t="n"/>
      <c r="X161" s="33" t="n"/>
      <c r="Y161" s="35" t="n"/>
      <c r="Z161" s="32" t="n"/>
      <c r="AA161" s="32" t="n"/>
      <c r="AB161" s="36">
        <f>IF(A161="","",IF(COUNTIF($A$6:$A$504,A161)&gt;1,"⚠ Duplicate",""))</f>
        <v/>
      </c>
      <c r="AC161" s="43" t="n"/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  <c r="AM161" s="43" t="n"/>
      <c r="AN161" s="43" t="n"/>
      <c r="AO161" s="43" t="n"/>
      <c r="AP161" s="43" t="n"/>
    </row>
    <row r="162" ht="18" customHeight="1" s="74">
      <c r="A162" s="38" t="n"/>
      <c r="B162" s="38" t="n"/>
      <c r="C162" s="38" t="n"/>
      <c r="D162" s="38" t="n"/>
      <c r="E162" s="39" t="n"/>
      <c r="F162" s="39" t="n"/>
      <c r="G162" s="39" t="n"/>
      <c r="H162" s="39" t="n"/>
      <c r="I162" s="39" t="n"/>
      <c r="J162" s="39" t="n"/>
      <c r="K162" s="39" t="n"/>
      <c r="L162" s="39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39" t="n"/>
      <c r="V162" s="39" t="n"/>
      <c r="W162" s="34" t="n"/>
      <c r="X162" s="39" t="n"/>
      <c r="Y162" s="40" t="n"/>
      <c r="Z162" s="38" t="n"/>
      <c r="AA162" s="38" t="n"/>
      <c r="AB162" s="41">
        <f>IF(A162="","",IF(COUNTIF($A$6:$A$504,A162)&gt;1,"⚠ Duplicate",""))</f>
        <v/>
      </c>
      <c r="AC162" s="42" t="n"/>
      <c r="AD162" s="42" t="n"/>
      <c r="AE162" s="42" t="n"/>
      <c r="AF162" s="42" t="n"/>
      <c r="AG162" s="42" t="n"/>
      <c r="AH162" s="42" t="n"/>
      <c r="AI162" s="42" t="n"/>
      <c r="AJ162" s="42" t="n"/>
      <c r="AK162" s="42" t="n"/>
      <c r="AL162" s="42" t="n"/>
      <c r="AM162" s="42" t="n"/>
      <c r="AN162" s="42" t="n"/>
      <c r="AO162" s="42" t="n"/>
      <c r="AP162" s="42" t="n"/>
    </row>
    <row r="163" ht="18" customHeight="1" s="74">
      <c r="A163" s="32" t="n"/>
      <c r="B163" s="32" t="n"/>
      <c r="C163" s="32" t="n"/>
      <c r="D163" s="32" t="n"/>
      <c r="E163" s="33" t="n"/>
      <c r="F163" s="33" t="n"/>
      <c r="G163" s="33" t="n"/>
      <c r="H163" s="33" t="n"/>
      <c r="I163" s="33" t="n"/>
      <c r="J163" s="33" t="n"/>
      <c r="K163" s="33" t="n"/>
      <c r="L163" s="33" t="n"/>
      <c r="M163" s="33" t="n"/>
      <c r="N163" s="33" t="n"/>
      <c r="O163" s="33" t="n"/>
      <c r="P163" s="33" t="n"/>
      <c r="Q163" s="33" t="n"/>
      <c r="R163" s="33" t="n"/>
      <c r="S163" s="33" t="n"/>
      <c r="T163" s="33" t="n"/>
      <c r="U163" s="33" t="n"/>
      <c r="V163" s="33" t="n"/>
      <c r="W163" s="34" t="n"/>
      <c r="X163" s="33" t="n"/>
      <c r="Y163" s="35" t="n"/>
      <c r="Z163" s="32" t="n"/>
      <c r="AA163" s="32" t="n"/>
      <c r="AB163" s="36">
        <f>IF(A163="","",IF(COUNTIF($A$6:$A$504,A163)&gt;1,"⚠ Duplicate",""))</f>
        <v/>
      </c>
      <c r="AC163" s="43" t="n"/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  <c r="AM163" s="43" t="n"/>
      <c r="AN163" s="43" t="n"/>
      <c r="AO163" s="43" t="n"/>
      <c r="AP163" s="43" t="n"/>
    </row>
    <row r="164" ht="18" customHeight="1" s="74">
      <c r="A164" s="38" t="n"/>
      <c r="B164" s="38" t="n"/>
      <c r="C164" s="38" t="n"/>
      <c r="D164" s="38" t="n"/>
      <c r="E164" s="39" t="n"/>
      <c r="F164" s="39" t="n"/>
      <c r="G164" s="39" t="n"/>
      <c r="H164" s="39" t="n"/>
      <c r="I164" s="39" t="n"/>
      <c r="J164" s="39" t="n"/>
      <c r="K164" s="39" t="n"/>
      <c r="L164" s="39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39" t="n"/>
      <c r="V164" s="39" t="n"/>
      <c r="W164" s="34" t="n"/>
      <c r="X164" s="39" t="n"/>
      <c r="Y164" s="40" t="n"/>
      <c r="Z164" s="38" t="n"/>
      <c r="AA164" s="38" t="n"/>
      <c r="AB164" s="41">
        <f>IF(A164="","",IF(COUNTIF($A$6:$A$504,A164)&gt;1,"⚠ Duplicate",""))</f>
        <v/>
      </c>
      <c r="AC164" s="42" t="n"/>
      <c r="AD164" s="42" t="n"/>
      <c r="AE164" s="42" t="n"/>
      <c r="AF164" s="42" t="n"/>
      <c r="AG164" s="42" t="n"/>
      <c r="AH164" s="42" t="n"/>
      <c r="AI164" s="42" t="n"/>
      <c r="AJ164" s="42" t="n"/>
      <c r="AK164" s="42" t="n"/>
      <c r="AL164" s="42" t="n"/>
      <c r="AM164" s="42" t="n"/>
      <c r="AN164" s="42" t="n"/>
      <c r="AO164" s="42" t="n"/>
      <c r="AP164" s="42" t="n"/>
    </row>
    <row r="165" ht="18" customHeight="1" s="74">
      <c r="A165" s="32" t="n"/>
      <c r="B165" s="32" t="n"/>
      <c r="C165" s="32" t="n"/>
      <c r="D165" s="32" t="n"/>
      <c r="E165" s="33" t="n"/>
      <c r="F165" s="33" t="n"/>
      <c r="G165" s="33" t="n"/>
      <c r="H165" s="33" t="n"/>
      <c r="I165" s="33" t="n"/>
      <c r="J165" s="33" t="n"/>
      <c r="K165" s="33" t="n"/>
      <c r="L165" s="33" t="n"/>
      <c r="M165" s="33" t="n"/>
      <c r="N165" s="33" t="n"/>
      <c r="O165" s="33" t="n"/>
      <c r="P165" s="33" t="n"/>
      <c r="Q165" s="33" t="n"/>
      <c r="R165" s="33" t="n"/>
      <c r="S165" s="33" t="n"/>
      <c r="T165" s="33" t="n"/>
      <c r="U165" s="33" t="n"/>
      <c r="V165" s="33" t="n"/>
      <c r="W165" s="34" t="n"/>
      <c r="X165" s="33" t="n"/>
      <c r="Y165" s="35" t="n"/>
      <c r="Z165" s="32" t="n"/>
      <c r="AA165" s="32" t="n"/>
      <c r="AB165" s="36">
        <f>IF(A165="","",IF(COUNTIF($A$6:$A$504,A165)&gt;1,"⚠ Duplicate",""))</f>
        <v/>
      </c>
      <c r="AC165" s="43" t="n"/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  <c r="AM165" s="43" t="n"/>
      <c r="AN165" s="43" t="n"/>
      <c r="AO165" s="43" t="n"/>
      <c r="AP165" s="43" t="n"/>
    </row>
    <row r="166" ht="18" customHeight="1" s="74">
      <c r="A166" s="38" t="n"/>
      <c r="B166" s="38" t="n"/>
      <c r="C166" s="38" t="n"/>
      <c r="D166" s="38" t="n"/>
      <c r="E166" s="39" t="n"/>
      <c r="F166" s="39" t="n"/>
      <c r="G166" s="39" t="n"/>
      <c r="H166" s="39" t="n"/>
      <c r="I166" s="39" t="n"/>
      <c r="J166" s="39" t="n"/>
      <c r="K166" s="39" t="n"/>
      <c r="L166" s="39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39" t="n"/>
      <c r="V166" s="39" t="n"/>
      <c r="W166" s="34" t="n"/>
      <c r="X166" s="39" t="n"/>
      <c r="Y166" s="40" t="n"/>
      <c r="Z166" s="38" t="n"/>
      <c r="AA166" s="38" t="n"/>
      <c r="AB166" s="41">
        <f>IF(A166="","",IF(COUNTIF($A$6:$A$504,A166)&gt;1,"⚠ Duplicate",""))</f>
        <v/>
      </c>
      <c r="AC166" s="42" t="n"/>
      <c r="AD166" s="42" t="n"/>
      <c r="AE166" s="42" t="n"/>
      <c r="AF166" s="42" t="n"/>
      <c r="AG166" s="42" t="n"/>
      <c r="AH166" s="42" t="n"/>
      <c r="AI166" s="42" t="n"/>
      <c r="AJ166" s="42" t="n"/>
      <c r="AK166" s="42" t="n"/>
      <c r="AL166" s="42" t="n"/>
      <c r="AM166" s="42" t="n"/>
      <c r="AN166" s="42" t="n"/>
      <c r="AO166" s="42" t="n"/>
      <c r="AP166" s="42" t="n"/>
    </row>
    <row r="167" ht="18" customHeight="1" s="74">
      <c r="A167" s="32" t="n"/>
      <c r="B167" s="32" t="n"/>
      <c r="C167" s="32" t="n"/>
      <c r="D167" s="32" t="n"/>
      <c r="E167" s="33" t="n"/>
      <c r="F167" s="33" t="n"/>
      <c r="G167" s="33" t="n"/>
      <c r="H167" s="33" t="n"/>
      <c r="I167" s="33" t="n"/>
      <c r="J167" s="33" t="n"/>
      <c r="K167" s="33" t="n"/>
      <c r="L167" s="33" t="n"/>
      <c r="M167" s="33" t="n"/>
      <c r="N167" s="33" t="n"/>
      <c r="O167" s="33" t="n"/>
      <c r="P167" s="33" t="n"/>
      <c r="Q167" s="33" t="n"/>
      <c r="R167" s="33" t="n"/>
      <c r="S167" s="33" t="n"/>
      <c r="T167" s="33" t="n"/>
      <c r="U167" s="33" t="n"/>
      <c r="V167" s="33" t="n"/>
      <c r="W167" s="34" t="n"/>
      <c r="X167" s="33" t="n"/>
      <c r="Y167" s="35" t="n"/>
      <c r="Z167" s="32" t="n"/>
      <c r="AA167" s="32" t="n"/>
      <c r="AB167" s="36">
        <f>IF(A167="","",IF(COUNTIF($A$6:$A$504,A167)&gt;1,"⚠ Duplicate",""))</f>
        <v/>
      </c>
      <c r="AC167" s="43" t="n"/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  <c r="AM167" s="43" t="n"/>
      <c r="AN167" s="43" t="n"/>
      <c r="AO167" s="43" t="n"/>
      <c r="AP167" s="43" t="n"/>
    </row>
    <row r="168" ht="18" customHeight="1" s="74">
      <c r="A168" s="38" t="n"/>
      <c r="B168" s="38" t="n"/>
      <c r="C168" s="38" t="n"/>
      <c r="D168" s="38" t="n"/>
      <c r="E168" s="39" t="n"/>
      <c r="F168" s="39" t="n"/>
      <c r="G168" s="39" t="n"/>
      <c r="H168" s="39" t="n"/>
      <c r="I168" s="39" t="n"/>
      <c r="J168" s="39" t="n"/>
      <c r="K168" s="39" t="n"/>
      <c r="L168" s="39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39" t="n"/>
      <c r="V168" s="39" t="n"/>
      <c r="W168" s="34" t="n"/>
      <c r="X168" s="39" t="n"/>
      <c r="Y168" s="40" t="n"/>
      <c r="Z168" s="38" t="n"/>
      <c r="AA168" s="38" t="n"/>
      <c r="AB168" s="41">
        <f>IF(A168="","",IF(COUNTIF($A$6:$A$504,A168)&gt;1,"⚠ Duplicate",""))</f>
        <v/>
      </c>
      <c r="AC168" s="42" t="n"/>
      <c r="AD168" s="42" t="n"/>
      <c r="AE168" s="42" t="n"/>
      <c r="AF168" s="42" t="n"/>
      <c r="AG168" s="42" t="n"/>
      <c r="AH168" s="42" t="n"/>
      <c r="AI168" s="42" t="n"/>
      <c r="AJ168" s="42" t="n"/>
      <c r="AK168" s="42" t="n"/>
      <c r="AL168" s="42" t="n"/>
      <c r="AM168" s="42" t="n"/>
      <c r="AN168" s="42" t="n"/>
      <c r="AO168" s="42" t="n"/>
      <c r="AP168" s="42" t="n"/>
    </row>
    <row r="169" ht="18" customHeight="1" s="74">
      <c r="A169" s="32" t="n"/>
      <c r="B169" s="32" t="n"/>
      <c r="C169" s="32" t="n"/>
      <c r="D169" s="32" t="n"/>
      <c r="E169" s="33" t="n"/>
      <c r="F169" s="33" t="n"/>
      <c r="G169" s="33" t="n"/>
      <c r="H169" s="33" t="n"/>
      <c r="I169" s="33" t="n"/>
      <c r="J169" s="33" t="n"/>
      <c r="K169" s="33" t="n"/>
      <c r="L169" s="33" t="n"/>
      <c r="M169" s="33" t="n"/>
      <c r="N169" s="33" t="n"/>
      <c r="O169" s="33" t="n"/>
      <c r="P169" s="33" t="n"/>
      <c r="Q169" s="33" t="n"/>
      <c r="R169" s="33" t="n"/>
      <c r="S169" s="33" t="n"/>
      <c r="T169" s="33" t="n"/>
      <c r="U169" s="33" t="n"/>
      <c r="V169" s="33" t="n"/>
      <c r="W169" s="34" t="n"/>
      <c r="X169" s="33" t="n"/>
      <c r="Y169" s="35" t="n"/>
      <c r="Z169" s="32" t="n"/>
      <c r="AA169" s="32" t="n"/>
      <c r="AB169" s="36">
        <f>IF(A169="","",IF(COUNTIF($A$6:$A$504,A169)&gt;1,"⚠ Duplicate",""))</f>
        <v/>
      </c>
      <c r="AC169" s="43" t="n"/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  <c r="AM169" s="43" t="n"/>
      <c r="AN169" s="43" t="n"/>
      <c r="AO169" s="43" t="n"/>
      <c r="AP169" s="43" t="n"/>
    </row>
    <row r="170" ht="18" customHeight="1" s="74">
      <c r="A170" s="38" t="n"/>
      <c r="B170" s="38" t="n"/>
      <c r="C170" s="38" t="n"/>
      <c r="D170" s="38" t="n"/>
      <c r="E170" s="39" t="n"/>
      <c r="F170" s="39" t="n"/>
      <c r="G170" s="39" t="n"/>
      <c r="H170" s="39" t="n"/>
      <c r="I170" s="39" t="n"/>
      <c r="J170" s="39" t="n"/>
      <c r="K170" s="39" t="n"/>
      <c r="L170" s="39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39" t="n"/>
      <c r="V170" s="39" t="n"/>
      <c r="W170" s="34" t="n"/>
      <c r="X170" s="39" t="n"/>
      <c r="Y170" s="40" t="n"/>
      <c r="Z170" s="38" t="n"/>
      <c r="AA170" s="38" t="n"/>
      <c r="AB170" s="41">
        <f>IF(A170="","",IF(COUNTIF($A$6:$A$504,A170)&gt;1,"⚠ Duplicate",""))</f>
        <v/>
      </c>
      <c r="AC170" s="42" t="n"/>
      <c r="AD170" s="42" t="n"/>
      <c r="AE170" s="42" t="n"/>
      <c r="AF170" s="42" t="n"/>
      <c r="AG170" s="42" t="n"/>
      <c r="AH170" s="42" t="n"/>
      <c r="AI170" s="42" t="n"/>
      <c r="AJ170" s="42" t="n"/>
      <c r="AK170" s="42" t="n"/>
      <c r="AL170" s="42" t="n"/>
      <c r="AM170" s="42" t="n"/>
      <c r="AN170" s="42" t="n"/>
      <c r="AO170" s="42" t="n"/>
      <c r="AP170" s="42" t="n"/>
    </row>
    <row r="171" ht="18" customHeight="1" s="74">
      <c r="A171" s="32" t="n"/>
      <c r="B171" s="32" t="n"/>
      <c r="C171" s="32" t="n"/>
      <c r="D171" s="32" t="n"/>
      <c r="E171" s="33" t="n"/>
      <c r="F171" s="33" t="n"/>
      <c r="G171" s="33" t="n"/>
      <c r="H171" s="33" t="n"/>
      <c r="I171" s="33" t="n"/>
      <c r="J171" s="33" t="n"/>
      <c r="K171" s="33" t="n"/>
      <c r="L171" s="33" t="n"/>
      <c r="M171" s="33" t="n"/>
      <c r="N171" s="33" t="n"/>
      <c r="O171" s="33" t="n"/>
      <c r="P171" s="33" t="n"/>
      <c r="Q171" s="33" t="n"/>
      <c r="R171" s="33" t="n"/>
      <c r="S171" s="33" t="n"/>
      <c r="T171" s="33" t="n"/>
      <c r="U171" s="33" t="n"/>
      <c r="V171" s="33" t="n"/>
      <c r="W171" s="34" t="n"/>
      <c r="X171" s="33" t="n"/>
      <c r="Y171" s="35" t="n"/>
      <c r="Z171" s="32" t="n"/>
      <c r="AA171" s="32" t="n"/>
      <c r="AB171" s="36">
        <f>IF(A171="","",IF(COUNTIF($A$6:$A$504,A171)&gt;1,"⚠ Duplicate",""))</f>
        <v/>
      </c>
      <c r="AC171" s="43" t="n"/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  <c r="AM171" s="43" t="n"/>
      <c r="AN171" s="43" t="n"/>
      <c r="AO171" s="43" t="n"/>
      <c r="AP171" s="43" t="n"/>
    </row>
    <row r="172" ht="18" customHeight="1" s="74">
      <c r="A172" s="38" t="n"/>
      <c r="B172" s="38" t="n"/>
      <c r="C172" s="38" t="n"/>
      <c r="D172" s="38" t="n"/>
      <c r="E172" s="39" t="n"/>
      <c r="F172" s="39" t="n"/>
      <c r="G172" s="39" t="n"/>
      <c r="H172" s="39" t="n"/>
      <c r="I172" s="39" t="n"/>
      <c r="J172" s="39" t="n"/>
      <c r="K172" s="39" t="n"/>
      <c r="L172" s="39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39" t="n"/>
      <c r="V172" s="39" t="n"/>
      <c r="W172" s="34" t="n"/>
      <c r="X172" s="39" t="n"/>
      <c r="Y172" s="40" t="n"/>
      <c r="Z172" s="38" t="n"/>
      <c r="AA172" s="38" t="n"/>
      <c r="AB172" s="41">
        <f>IF(A172="","",IF(COUNTIF($A$6:$A$504,A172)&gt;1,"⚠ Duplicate",""))</f>
        <v/>
      </c>
      <c r="AC172" s="42" t="n"/>
      <c r="AD172" s="42" t="n"/>
      <c r="AE172" s="42" t="n"/>
      <c r="AF172" s="42" t="n"/>
      <c r="AG172" s="42" t="n"/>
      <c r="AH172" s="42" t="n"/>
      <c r="AI172" s="42" t="n"/>
      <c r="AJ172" s="42" t="n"/>
      <c r="AK172" s="42" t="n"/>
      <c r="AL172" s="42" t="n"/>
      <c r="AM172" s="42" t="n"/>
      <c r="AN172" s="42" t="n"/>
      <c r="AO172" s="42" t="n"/>
      <c r="AP172" s="42" t="n"/>
    </row>
    <row r="173" ht="18" customHeight="1" s="74">
      <c r="A173" s="32" t="n"/>
      <c r="B173" s="32" t="n"/>
      <c r="C173" s="32" t="n"/>
      <c r="D173" s="32" t="n"/>
      <c r="E173" s="33" t="n"/>
      <c r="F173" s="33" t="n"/>
      <c r="G173" s="33" t="n"/>
      <c r="H173" s="33" t="n"/>
      <c r="I173" s="33" t="n"/>
      <c r="J173" s="33" t="n"/>
      <c r="K173" s="33" t="n"/>
      <c r="L173" s="33" t="n"/>
      <c r="M173" s="33" t="n"/>
      <c r="N173" s="33" t="n"/>
      <c r="O173" s="33" t="n"/>
      <c r="P173" s="33" t="n"/>
      <c r="Q173" s="33" t="n"/>
      <c r="R173" s="33" t="n"/>
      <c r="S173" s="33" t="n"/>
      <c r="T173" s="33" t="n"/>
      <c r="U173" s="33" t="n"/>
      <c r="V173" s="33" t="n"/>
      <c r="W173" s="34" t="n"/>
      <c r="X173" s="33" t="n"/>
      <c r="Y173" s="35" t="n"/>
      <c r="Z173" s="32" t="n"/>
      <c r="AA173" s="32" t="n"/>
      <c r="AB173" s="36">
        <f>IF(A173="","",IF(COUNTIF($A$6:$A$504,A173)&gt;1,"⚠ Duplicate",""))</f>
        <v/>
      </c>
      <c r="AC173" s="43" t="n"/>
      <c r="AD173" s="43" t="n"/>
      <c r="AE173" s="43" t="n"/>
      <c r="AF173" s="43" t="n"/>
      <c r="AG173" s="43" t="n"/>
      <c r="AH173" s="43" t="n"/>
      <c r="AI173" s="43" t="n"/>
      <c r="AJ173" s="43" t="n"/>
      <c r="AK173" s="43" t="n"/>
      <c r="AL173" s="43" t="n"/>
      <c r="AM173" s="43" t="n"/>
      <c r="AN173" s="43" t="n"/>
      <c r="AO173" s="43" t="n"/>
      <c r="AP173" s="43" t="n"/>
    </row>
    <row r="174" ht="18" customHeight="1" s="74">
      <c r="A174" s="38" t="n"/>
      <c r="B174" s="38" t="n"/>
      <c r="C174" s="38" t="n"/>
      <c r="D174" s="38" t="n"/>
      <c r="E174" s="39" t="n"/>
      <c r="F174" s="39" t="n"/>
      <c r="G174" s="39" t="n"/>
      <c r="H174" s="39" t="n"/>
      <c r="I174" s="39" t="n"/>
      <c r="J174" s="39" t="n"/>
      <c r="K174" s="39" t="n"/>
      <c r="L174" s="39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39" t="n"/>
      <c r="V174" s="39" t="n"/>
      <c r="W174" s="34" t="n"/>
      <c r="X174" s="39" t="n"/>
      <c r="Y174" s="40" t="n"/>
      <c r="Z174" s="38" t="n"/>
      <c r="AA174" s="38" t="n"/>
      <c r="AB174" s="41">
        <f>IF(A174="","",IF(COUNTIF($A$6:$A$504,A174)&gt;1,"⚠ Duplicate",""))</f>
        <v/>
      </c>
      <c r="AC174" s="42" t="n"/>
      <c r="AD174" s="42" t="n"/>
      <c r="AE174" s="42" t="n"/>
      <c r="AF174" s="42" t="n"/>
      <c r="AG174" s="42" t="n"/>
      <c r="AH174" s="42" t="n"/>
      <c r="AI174" s="42" t="n"/>
      <c r="AJ174" s="42" t="n"/>
      <c r="AK174" s="42" t="n"/>
      <c r="AL174" s="42" t="n"/>
      <c r="AM174" s="42" t="n"/>
      <c r="AN174" s="42" t="n"/>
      <c r="AO174" s="42" t="n"/>
      <c r="AP174" s="42" t="n"/>
    </row>
    <row r="175" ht="18" customHeight="1" s="74">
      <c r="A175" s="32" t="n"/>
      <c r="B175" s="32" t="n"/>
      <c r="C175" s="32" t="n"/>
      <c r="D175" s="32" t="n"/>
      <c r="E175" s="33" t="n"/>
      <c r="F175" s="33" t="n"/>
      <c r="G175" s="33" t="n"/>
      <c r="H175" s="33" t="n"/>
      <c r="I175" s="33" t="n"/>
      <c r="J175" s="33" t="n"/>
      <c r="K175" s="33" t="n"/>
      <c r="L175" s="33" t="n"/>
      <c r="M175" s="33" t="n"/>
      <c r="N175" s="33" t="n"/>
      <c r="O175" s="33" t="n"/>
      <c r="P175" s="33" t="n"/>
      <c r="Q175" s="33" t="n"/>
      <c r="R175" s="33" t="n"/>
      <c r="S175" s="33" t="n"/>
      <c r="T175" s="33" t="n"/>
      <c r="U175" s="33" t="n"/>
      <c r="V175" s="33" t="n"/>
      <c r="W175" s="34" t="n"/>
      <c r="X175" s="33" t="n"/>
      <c r="Y175" s="35" t="n"/>
      <c r="Z175" s="32" t="n"/>
      <c r="AA175" s="32" t="n"/>
      <c r="AB175" s="36">
        <f>IF(A175="","",IF(COUNTIF($A$6:$A$504,A175)&gt;1,"⚠ Duplicate",""))</f>
        <v/>
      </c>
      <c r="AC175" s="43" t="n"/>
      <c r="AD175" s="43" t="n"/>
      <c r="AE175" s="43" t="n"/>
      <c r="AF175" s="43" t="n"/>
      <c r="AG175" s="43" t="n"/>
      <c r="AH175" s="43" t="n"/>
      <c r="AI175" s="43" t="n"/>
      <c r="AJ175" s="43" t="n"/>
      <c r="AK175" s="43" t="n"/>
      <c r="AL175" s="43" t="n"/>
      <c r="AM175" s="43" t="n"/>
      <c r="AN175" s="43" t="n"/>
      <c r="AO175" s="43" t="n"/>
      <c r="AP175" s="43" t="n"/>
    </row>
    <row r="176" ht="18" customHeight="1" s="74">
      <c r="A176" s="38" t="n"/>
      <c r="B176" s="38" t="n"/>
      <c r="C176" s="38" t="n"/>
      <c r="D176" s="38" t="n"/>
      <c r="E176" s="39" t="n"/>
      <c r="F176" s="39" t="n"/>
      <c r="G176" s="39" t="n"/>
      <c r="H176" s="39" t="n"/>
      <c r="I176" s="39" t="n"/>
      <c r="J176" s="39" t="n"/>
      <c r="K176" s="39" t="n"/>
      <c r="L176" s="39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39" t="n"/>
      <c r="V176" s="39" t="n"/>
      <c r="W176" s="34" t="n"/>
      <c r="X176" s="39" t="n"/>
      <c r="Y176" s="40" t="n"/>
      <c r="Z176" s="38" t="n"/>
      <c r="AA176" s="38" t="n"/>
      <c r="AB176" s="41">
        <f>IF(A176="","",IF(COUNTIF($A$6:$A$504,A176)&gt;1,"⚠ Duplicate",""))</f>
        <v/>
      </c>
      <c r="AC176" s="42" t="n"/>
      <c r="AD176" s="42" t="n"/>
      <c r="AE176" s="42" t="n"/>
      <c r="AF176" s="42" t="n"/>
      <c r="AG176" s="42" t="n"/>
      <c r="AH176" s="42" t="n"/>
      <c r="AI176" s="42" t="n"/>
      <c r="AJ176" s="42" t="n"/>
      <c r="AK176" s="42" t="n"/>
      <c r="AL176" s="42" t="n"/>
      <c r="AM176" s="42" t="n"/>
      <c r="AN176" s="42" t="n"/>
      <c r="AO176" s="42" t="n"/>
      <c r="AP176" s="42" t="n"/>
    </row>
    <row r="177" ht="18" customHeight="1" s="74">
      <c r="A177" s="32" t="n"/>
      <c r="B177" s="32" t="n"/>
      <c r="C177" s="32" t="n"/>
      <c r="D177" s="32" t="n"/>
      <c r="E177" s="33" t="n"/>
      <c r="F177" s="33" t="n"/>
      <c r="G177" s="33" t="n"/>
      <c r="H177" s="33" t="n"/>
      <c r="I177" s="33" t="n"/>
      <c r="J177" s="33" t="n"/>
      <c r="K177" s="33" t="n"/>
      <c r="L177" s="33" t="n"/>
      <c r="M177" s="33" t="n"/>
      <c r="N177" s="33" t="n"/>
      <c r="O177" s="33" t="n"/>
      <c r="P177" s="33" t="n"/>
      <c r="Q177" s="33" t="n"/>
      <c r="R177" s="33" t="n"/>
      <c r="S177" s="33" t="n"/>
      <c r="T177" s="33" t="n"/>
      <c r="U177" s="33" t="n"/>
      <c r="V177" s="33" t="n"/>
      <c r="W177" s="34" t="n"/>
      <c r="X177" s="33" t="n"/>
      <c r="Y177" s="35" t="n"/>
      <c r="Z177" s="32" t="n"/>
      <c r="AA177" s="32" t="n"/>
      <c r="AB177" s="36">
        <f>IF(A177="","",IF(COUNTIF($A$6:$A$504,A177)&gt;1,"⚠ Duplicate",""))</f>
        <v/>
      </c>
      <c r="AC177" s="43" t="n"/>
      <c r="AD177" s="43" t="n"/>
      <c r="AE177" s="43" t="n"/>
      <c r="AF177" s="43" t="n"/>
      <c r="AG177" s="43" t="n"/>
      <c r="AH177" s="43" t="n"/>
      <c r="AI177" s="43" t="n"/>
      <c r="AJ177" s="43" t="n"/>
      <c r="AK177" s="43" t="n"/>
      <c r="AL177" s="43" t="n"/>
      <c r="AM177" s="43" t="n"/>
      <c r="AN177" s="43" t="n"/>
      <c r="AO177" s="43" t="n"/>
      <c r="AP177" s="43" t="n"/>
    </row>
    <row r="178" ht="18" customHeight="1" s="74">
      <c r="A178" s="38" t="n"/>
      <c r="B178" s="38" t="n"/>
      <c r="C178" s="38" t="n"/>
      <c r="D178" s="38" t="n"/>
      <c r="E178" s="39" t="n"/>
      <c r="F178" s="39" t="n"/>
      <c r="G178" s="39" t="n"/>
      <c r="H178" s="39" t="n"/>
      <c r="I178" s="39" t="n"/>
      <c r="J178" s="39" t="n"/>
      <c r="K178" s="39" t="n"/>
      <c r="L178" s="39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39" t="n"/>
      <c r="V178" s="39" t="n"/>
      <c r="W178" s="34" t="n"/>
      <c r="X178" s="39" t="n"/>
      <c r="Y178" s="40" t="n"/>
      <c r="Z178" s="38" t="n"/>
      <c r="AA178" s="38" t="n"/>
      <c r="AB178" s="41">
        <f>IF(A178="","",IF(COUNTIF($A$6:$A$504,A178)&gt;1,"⚠ Duplicate",""))</f>
        <v/>
      </c>
      <c r="AC178" s="42" t="n"/>
      <c r="AD178" s="42" t="n"/>
      <c r="AE178" s="42" t="n"/>
      <c r="AF178" s="42" t="n"/>
      <c r="AG178" s="42" t="n"/>
      <c r="AH178" s="42" t="n"/>
      <c r="AI178" s="42" t="n"/>
      <c r="AJ178" s="42" t="n"/>
      <c r="AK178" s="42" t="n"/>
      <c r="AL178" s="42" t="n"/>
      <c r="AM178" s="42" t="n"/>
      <c r="AN178" s="42" t="n"/>
      <c r="AO178" s="42" t="n"/>
      <c r="AP178" s="42" t="n"/>
    </row>
    <row r="179" ht="18" customHeight="1" s="74">
      <c r="A179" s="32" t="n"/>
      <c r="B179" s="32" t="n"/>
      <c r="C179" s="32" t="n"/>
      <c r="D179" s="32" t="n"/>
      <c r="E179" s="33" t="n"/>
      <c r="F179" s="33" t="n"/>
      <c r="G179" s="33" t="n"/>
      <c r="H179" s="33" t="n"/>
      <c r="I179" s="33" t="n"/>
      <c r="J179" s="33" t="n"/>
      <c r="K179" s="33" t="n"/>
      <c r="L179" s="33" t="n"/>
      <c r="M179" s="33" t="n"/>
      <c r="N179" s="33" t="n"/>
      <c r="O179" s="33" t="n"/>
      <c r="P179" s="33" t="n"/>
      <c r="Q179" s="33" t="n"/>
      <c r="R179" s="33" t="n"/>
      <c r="S179" s="33" t="n"/>
      <c r="T179" s="33" t="n"/>
      <c r="U179" s="33" t="n"/>
      <c r="V179" s="33" t="n"/>
      <c r="W179" s="34" t="n"/>
      <c r="X179" s="33" t="n"/>
      <c r="Y179" s="35" t="n"/>
      <c r="Z179" s="32" t="n"/>
      <c r="AA179" s="32" t="n"/>
      <c r="AB179" s="36">
        <f>IF(A179="","",IF(COUNTIF($A$6:$A$504,A179)&gt;1,"⚠ Duplicate",""))</f>
        <v/>
      </c>
      <c r="AC179" s="43" t="n"/>
      <c r="AD179" s="43" t="n"/>
      <c r="AE179" s="43" t="n"/>
      <c r="AF179" s="43" t="n"/>
      <c r="AG179" s="43" t="n"/>
      <c r="AH179" s="43" t="n"/>
      <c r="AI179" s="43" t="n"/>
      <c r="AJ179" s="43" t="n"/>
      <c r="AK179" s="43" t="n"/>
      <c r="AL179" s="43" t="n"/>
      <c r="AM179" s="43" t="n"/>
      <c r="AN179" s="43" t="n"/>
      <c r="AO179" s="43" t="n"/>
      <c r="AP179" s="43" t="n"/>
    </row>
    <row r="180" ht="18" customHeight="1" s="74">
      <c r="A180" s="38" t="n"/>
      <c r="B180" s="38" t="n"/>
      <c r="C180" s="38" t="n"/>
      <c r="D180" s="38" t="n"/>
      <c r="E180" s="39" t="n"/>
      <c r="F180" s="39" t="n"/>
      <c r="G180" s="39" t="n"/>
      <c r="H180" s="39" t="n"/>
      <c r="I180" s="39" t="n"/>
      <c r="J180" s="39" t="n"/>
      <c r="K180" s="39" t="n"/>
      <c r="L180" s="39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39" t="n"/>
      <c r="V180" s="39" t="n"/>
      <c r="W180" s="34" t="n"/>
      <c r="X180" s="39" t="n"/>
      <c r="Y180" s="40" t="n"/>
      <c r="Z180" s="38" t="n"/>
      <c r="AA180" s="38" t="n"/>
      <c r="AB180" s="41">
        <f>IF(A180="","",IF(COUNTIF($A$6:$A$504,A180)&gt;1,"⚠ Duplicate",""))</f>
        <v/>
      </c>
      <c r="AC180" s="42" t="n"/>
      <c r="AD180" s="42" t="n"/>
      <c r="AE180" s="42" t="n"/>
      <c r="AF180" s="42" t="n"/>
      <c r="AG180" s="42" t="n"/>
      <c r="AH180" s="42" t="n"/>
      <c r="AI180" s="42" t="n"/>
      <c r="AJ180" s="42" t="n"/>
      <c r="AK180" s="42" t="n"/>
      <c r="AL180" s="42" t="n"/>
      <c r="AM180" s="42" t="n"/>
      <c r="AN180" s="42" t="n"/>
      <c r="AO180" s="42" t="n"/>
      <c r="AP180" s="42" t="n"/>
    </row>
    <row r="181" ht="18" customHeight="1" s="74">
      <c r="A181" s="32" t="n"/>
      <c r="B181" s="32" t="n"/>
      <c r="C181" s="32" t="n"/>
      <c r="D181" s="32" t="n"/>
      <c r="E181" s="33" t="n"/>
      <c r="F181" s="33" t="n"/>
      <c r="G181" s="33" t="n"/>
      <c r="H181" s="33" t="n"/>
      <c r="I181" s="33" t="n"/>
      <c r="J181" s="33" t="n"/>
      <c r="K181" s="33" t="n"/>
      <c r="L181" s="33" t="n"/>
      <c r="M181" s="33" t="n"/>
      <c r="N181" s="33" t="n"/>
      <c r="O181" s="33" t="n"/>
      <c r="P181" s="33" t="n"/>
      <c r="Q181" s="33" t="n"/>
      <c r="R181" s="33" t="n"/>
      <c r="S181" s="33" t="n"/>
      <c r="T181" s="33" t="n"/>
      <c r="U181" s="33" t="n"/>
      <c r="V181" s="33" t="n"/>
      <c r="W181" s="34" t="n"/>
      <c r="X181" s="33" t="n"/>
      <c r="Y181" s="35" t="n"/>
      <c r="Z181" s="32" t="n"/>
      <c r="AA181" s="32" t="n"/>
      <c r="AB181" s="36">
        <f>IF(A181="","",IF(COUNTIF($A$6:$A$504,A181)&gt;1,"⚠ Duplicate",""))</f>
        <v/>
      </c>
      <c r="AC181" s="43" t="n"/>
      <c r="AD181" s="43" t="n"/>
      <c r="AE181" s="43" t="n"/>
      <c r="AF181" s="43" t="n"/>
      <c r="AG181" s="43" t="n"/>
      <c r="AH181" s="43" t="n"/>
      <c r="AI181" s="43" t="n"/>
      <c r="AJ181" s="43" t="n"/>
      <c r="AK181" s="43" t="n"/>
      <c r="AL181" s="43" t="n"/>
      <c r="AM181" s="43" t="n"/>
      <c r="AN181" s="43" t="n"/>
      <c r="AO181" s="43" t="n"/>
      <c r="AP181" s="43" t="n"/>
    </row>
    <row r="182" ht="18" customHeight="1" s="74">
      <c r="A182" s="38" t="n"/>
      <c r="B182" s="38" t="n"/>
      <c r="C182" s="38" t="n"/>
      <c r="D182" s="38" t="n"/>
      <c r="E182" s="39" t="n"/>
      <c r="F182" s="39" t="n"/>
      <c r="G182" s="39" t="n"/>
      <c r="H182" s="39" t="n"/>
      <c r="I182" s="39" t="n"/>
      <c r="J182" s="39" t="n"/>
      <c r="K182" s="39" t="n"/>
      <c r="L182" s="39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39" t="n"/>
      <c r="V182" s="39" t="n"/>
      <c r="W182" s="34" t="n"/>
      <c r="X182" s="39" t="n"/>
      <c r="Y182" s="40" t="n"/>
      <c r="Z182" s="38" t="n"/>
      <c r="AA182" s="38" t="n"/>
      <c r="AB182" s="41">
        <f>IF(A182="","",IF(COUNTIF($A$6:$A$504,A182)&gt;1,"⚠ Duplicate",""))</f>
        <v/>
      </c>
      <c r="AC182" s="42" t="n"/>
      <c r="AD182" s="42" t="n"/>
      <c r="AE182" s="42" t="n"/>
      <c r="AF182" s="42" t="n"/>
      <c r="AG182" s="42" t="n"/>
      <c r="AH182" s="42" t="n"/>
      <c r="AI182" s="42" t="n"/>
      <c r="AJ182" s="42" t="n"/>
      <c r="AK182" s="42" t="n"/>
      <c r="AL182" s="42" t="n"/>
      <c r="AM182" s="42" t="n"/>
      <c r="AN182" s="42" t="n"/>
      <c r="AO182" s="42" t="n"/>
      <c r="AP182" s="42" t="n"/>
    </row>
    <row r="183" ht="18" customHeight="1" s="74">
      <c r="A183" s="32" t="n"/>
      <c r="B183" s="32" t="n"/>
      <c r="C183" s="32" t="n"/>
      <c r="D183" s="32" t="n"/>
      <c r="E183" s="33" t="n"/>
      <c r="F183" s="33" t="n"/>
      <c r="G183" s="33" t="n"/>
      <c r="H183" s="33" t="n"/>
      <c r="I183" s="33" t="n"/>
      <c r="J183" s="33" t="n"/>
      <c r="K183" s="33" t="n"/>
      <c r="L183" s="33" t="n"/>
      <c r="M183" s="33" t="n"/>
      <c r="N183" s="33" t="n"/>
      <c r="O183" s="33" t="n"/>
      <c r="P183" s="33" t="n"/>
      <c r="Q183" s="33" t="n"/>
      <c r="R183" s="33" t="n"/>
      <c r="S183" s="33" t="n"/>
      <c r="T183" s="33" t="n"/>
      <c r="U183" s="33" t="n"/>
      <c r="V183" s="33" t="n"/>
      <c r="W183" s="34" t="n"/>
      <c r="X183" s="33" t="n"/>
      <c r="Y183" s="35" t="n"/>
      <c r="Z183" s="32" t="n"/>
      <c r="AA183" s="32" t="n"/>
      <c r="AB183" s="36">
        <f>IF(A183="","",IF(COUNTIF($A$6:$A$504,A183)&gt;1,"⚠ Duplicate",""))</f>
        <v/>
      </c>
      <c r="AC183" s="43" t="n"/>
      <c r="AD183" s="43" t="n"/>
      <c r="AE183" s="43" t="n"/>
      <c r="AF183" s="43" t="n"/>
      <c r="AG183" s="43" t="n"/>
      <c r="AH183" s="43" t="n"/>
      <c r="AI183" s="43" t="n"/>
      <c r="AJ183" s="43" t="n"/>
      <c r="AK183" s="43" t="n"/>
      <c r="AL183" s="43" t="n"/>
      <c r="AM183" s="43" t="n"/>
      <c r="AN183" s="43" t="n"/>
      <c r="AO183" s="43" t="n"/>
      <c r="AP183" s="43" t="n"/>
    </row>
    <row r="184" ht="18" customHeight="1" s="74">
      <c r="A184" s="38" t="n"/>
      <c r="B184" s="38" t="n"/>
      <c r="C184" s="38" t="n"/>
      <c r="D184" s="38" t="n"/>
      <c r="E184" s="39" t="n"/>
      <c r="F184" s="39" t="n"/>
      <c r="G184" s="39" t="n"/>
      <c r="H184" s="39" t="n"/>
      <c r="I184" s="39" t="n"/>
      <c r="J184" s="39" t="n"/>
      <c r="K184" s="39" t="n"/>
      <c r="L184" s="39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39" t="n"/>
      <c r="V184" s="39" t="n"/>
      <c r="W184" s="34" t="n"/>
      <c r="X184" s="39" t="n"/>
      <c r="Y184" s="40" t="n"/>
      <c r="Z184" s="38" t="n"/>
      <c r="AA184" s="38" t="n"/>
      <c r="AB184" s="41">
        <f>IF(A184="","",IF(COUNTIF($A$6:$A$504,A184)&gt;1,"⚠ Duplicate",""))</f>
        <v/>
      </c>
      <c r="AC184" s="42" t="n"/>
      <c r="AD184" s="42" t="n"/>
      <c r="AE184" s="42" t="n"/>
      <c r="AF184" s="42" t="n"/>
      <c r="AG184" s="42" t="n"/>
      <c r="AH184" s="42" t="n"/>
      <c r="AI184" s="42" t="n"/>
      <c r="AJ184" s="42" t="n"/>
      <c r="AK184" s="42" t="n"/>
      <c r="AL184" s="42" t="n"/>
      <c r="AM184" s="42" t="n"/>
      <c r="AN184" s="42" t="n"/>
      <c r="AO184" s="42" t="n"/>
      <c r="AP184" s="42" t="n"/>
    </row>
    <row r="185" ht="18" customHeight="1" s="74">
      <c r="A185" s="32" t="n"/>
      <c r="B185" s="32" t="n"/>
      <c r="C185" s="32" t="n"/>
      <c r="D185" s="32" t="n"/>
      <c r="E185" s="33" t="n"/>
      <c r="F185" s="33" t="n"/>
      <c r="G185" s="33" t="n"/>
      <c r="H185" s="33" t="n"/>
      <c r="I185" s="33" t="n"/>
      <c r="J185" s="33" t="n"/>
      <c r="K185" s="33" t="n"/>
      <c r="L185" s="33" t="n"/>
      <c r="M185" s="33" t="n"/>
      <c r="N185" s="33" t="n"/>
      <c r="O185" s="33" t="n"/>
      <c r="P185" s="33" t="n"/>
      <c r="Q185" s="33" t="n"/>
      <c r="R185" s="33" t="n"/>
      <c r="S185" s="33" t="n"/>
      <c r="T185" s="33" t="n"/>
      <c r="U185" s="33" t="n"/>
      <c r="V185" s="33" t="n"/>
      <c r="W185" s="34" t="n"/>
      <c r="X185" s="33" t="n"/>
      <c r="Y185" s="35" t="n"/>
      <c r="Z185" s="32" t="n"/>
      <c r="AA185" s="32" t="n"/>
      <c r="AB185" s="36">
        <f>IF(A185="","",IF(COUNTIF($A$6:$A$504,A185)&gt;1,"⚠ Duplicate",""))</f>
        <v/>
      </c>
      <c r="AC185" s="43" t="n"/>
      <c r="AD185" s="43" t="n"/>
      <c r="AE185" s="43" t="n"/>
      <c r="AF185" s="43" t="n"/>
      <c r="AG185" s="43" t="n"/>
      <c r="AH185" s="43" t="n"/>
      <c r="AI185" s="43" t="n"/>
      <c r="AJ185" s="43" t="n"/>
      <c r="AK185" s="43" t="n"/>
      <c r="AL185" s="43" t="n"/>
      <c r="AM185" s="43" t="n"/>
      <c r="AN185" s="43" t="n"/>
      <c r="AO185" s="43" t="n"/>
      <c r="AP185" s="43" t="n"/>
    </row>
    <row r="186" ht="18" customHeight="1" s="74">
      <c r="A186" s="38" t="n"/>
      <c r="B186" s="38" t="n"/>
      <c r="C186" s="38" t="n"/>
      <c r="D186" s="38" t="n"/>
      <c r="E186" s="39" t="n"/>
      <c r="F186" s="39" t="n"/>
      <c r="G186" s="39" t="n"/>
      <c r="H186" s="39" t="n"/>
      <c r="I186" s="39" t="n"/>
      <c r="J186" s="39" t="n"/>
      <c r="K186" s="39" t="n"/>
      <c r="L186" s="39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39" t="n"/>
      <c r="V186" s="39" t="n"/>
      <c r="W186" s="34" t="n"/>
      <c r="X186" s="39" t="n"/>
      <c r="Y186" s="40" t="n"/>
      <c r="Z186" s="38" t="n"/>
      <c r="AA186" s="38" t="n"/>
      <c r="AB186" s="41">
        <f>IF(A186="","",IF(COUNTIF($A$6:$A$504,A186)&gt;1,"⚠ Duplicate",""))</f>
        <v/>
      </c>
      <c r="AC186" s="42" t="n"/>
      <c r="AD186" s="42" t="n"/>
      <c r="AE186" s="42" t="n"/>
      <c r="AF186" s="42" t="n"/>
      <c r="AG186" s="42" t="n"/>
      <c r="AH186" s="42" t="n"/>
      <c r="AI186" s="42" t="n"/>
      <c r="AJ186" s="42" t="n"/>
      <c r="AK186" s="42" t="n"/>
      <c r="AL186" s="42" t="n"/>
      <c r="AM186" s="42" t="n"/>
      <c r="AN186" s="42" t="n"/>
      <c r="AO186" s="42" t="n"/>
      <c r="AP186" s="42" t="n"/>
    </row>
    <row r="187" ht="18" customHeight="1" s="74">
      <c r="A187" s="32" t="n"/>
      <c r="B187" s="32" t="n"/>
      <c r="C187" s="32" t="n"/>
      <c r="D187" s="32" t="n"/>
      <c r="E187" s="33" t="n"/>
      <c r="F187" s="33" t="n"/>
      <c r="G187" s="33" t="n"/>
      <c r="H187" s="33" t="n"/>
      <c r="I187" s="33" t="n"/>
      <c r="J187" s="33" t="n"/>
      <c r="K187" s="33" t="n"/>
      <c r="L187" s="33" t="n"/>
      <c r="M187" s="33" t="n"/>
      <c r="N187" s="33" t="n"/>
      <c r="O187" s="33" t="n"/>
      <c r="P187" s="33" t="n"/>
      <c r="Q187" s="33" t="n"/>
      <c r="R187" s="33" t="n"/>
      <c r="S187" s="33" t="n"/>
      <c r="T187" s="33" t="n"/>
      <c r="U187" s="33" t="n"/>
      <c r="V187" s="33" t="n"/>
      <c r="W187" s="34" t="n"/>
      <c r="X187" s="33" t="n"/>
      <c r="Y187" s="35" t="n"/>
      <c r="Z187" s="32" t="n"/>
      <c r="AA187" s="32" t="n"/>
      <c r="AB187" s="36">
        <f>IF(A187="","",IF(COUNTIF($A$6:$A$504,A187)&gt;1,"⚠ Duplicate",""))</f>
        <v/>
      </c>
      <c r="AC187" s="43" t="n"/>
      <c r="AD187" s="43" t="n"/>
      <c r="AE187" s="43" t="n"/>
      <c r="AF187" s="43" t="n"/>
      <c r="AG187" s="43" t="n"/>
      <c r="AH187" s="43" t="n"/>
      <c r="AI187" s="43" t="n"/>
      <c r="AJ187" s="43" t="n"/>
      <c r="AK187" s="43" t="n"/>
      <c r="AL187" s="43" t="n"/>
      <c r="AM187" s="43" t="n"/>
      <c r="AN187" s="43" t="n"/>
      <c r="AO187" s="43" t="n"/>
      <c r="AP187" s="43" t="n"/>
    </row>
    <row r="188" ht="18" customHeight="1" s="74">
      <c r="A188" s="38" t="n"/>
      <c r="B188" s="38" t="n"/>
      <c r="C188" s="38" t="n"/>
      <c r="D188" s="38" t="n"/>
      <c r="E188" s="39" t="n"/>
      <c r="F188" s="39" t="n"/>
      <c r="G188" s="39" t="n"/>
      <c r="H188" s="39" t="n"/>
      <c r="I188" s="39" t="n"/>
      <c r="J188" s="39" t="n"/>
      <c r="K188" s="39" t="n"/>
      <c r="L188" s="39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39" t="n"/>
      <c r="V188" s="39" t="n"/>
      <c r="W188" s="34" t="n"/>
      <c r="X188" s="39" t="n"/>
      <c r="Y188" s="40" t="n"/>
      <c r="Z188" s="38" t="n"/>
      <c r="AA188" s="38" t="n"/>
      <c r="AB188" s="41">
        <f>IF(A188="","",IF(COUNTIF($A$6:$A$504,A188)&gt;1,"⚠ Duplicate",""))</f>
        <v/>
      </c>
      <c r="AC188" s="42" t="n"/>
      <c r="AD188" s="42" t="n"/>
      <c r="AE188" s="42" t="n"/>
      <c r="AF188" s="42" t="n"/>
      <c r="AG188" s="42" t="n"/>
      <c r="AH188" s="42" t="n"/>
      <c r="AI188" s="42" t="n"/>
      <c r="AJ188" s="42" t="n"/>
      <c r="AK188" s="42" t="n"/>
      <c r="AL188" s="42" t="n"/>
      <c r="AM188" s="42" t="n"/>
      <c r="AN188" s="42" t="n"/>
      <c r="AO188" s="42" t="n"/>
      <c r="AP188" s="42" t="n"/>
    </row>
    <row r="189" ht="18" customHeight="1" s="74">
      <c r="A189" s="32" t="n"/>
      <c r="B189" s="32" t="n"/>
      <c r="C189" s="32" t="n"/>
      <c r="D189" s="32" t="n"/>
      <c r="E189" s="33" t="n"/>
      <c r="F189" s="33" t="n"/>
      <c r="G189" s="33" t="n"/>
      <c r="H189" s="33" t="n"/>
      <c r="I189" s="33" t="n"/>
      <c r="J189" s="33" t="n"/>
      <c r="K189" s="33" t="n"/>
      <c r="L189" s="33" t="n"/>
      <c r="M189" s="33" t="n"/>
      <c r="N189" s="33" t="n"/>
      <c r="O189" s="33" t="n"/>
      <c r="P189" s="33" t="n"/>
      <c r="Q189" s="33" t="n"/>
      <c r="R189" s="33" t="n"/>
      <c r="S189" s="33" t="n"/>
      <c r="T189" s="33" t="n"/>
      <c r="U189" s="33" t="n"/>
      <c r="V189" s="33" t="n"/>
      <c r="W189" s="34" t="n"/>
      <c r="X189" s="33" t="n"/>
      <c r="Y189" s="35" t="n"/>
      <c r="Z189" s="32" t="n"/>
      <c r="AA189" s="32" t="n"/>
      <c r="AB189" s="36">
        <f>IF(A189="","",IF(COUNTIF($A$6:$A$504,A189)&gt;1,"⚠ Duplicate",""))</f>
        <v/>
      </c>
      <c r="AC189" s="43" t="n"/>
      <c r="AD189" s="43" t="n"/>
      <c r="AE189" s="43" t="n"/>
      <c r="AF189" s="43" t="n"/>
      <c r="AG189" s="43" t="n"/>
      <c r="AH189" s="43" t="n"/>
      <c r="AI189" s="43" t="n"/>
      <c r="AJ189" s="43" t="n"/>
      <c r="AK189" s="43" t="n"/>
      <c r="AL189" s="43" t="n"/>
      <c r="AM189" s="43" t="n"/>
      <c r="AN189" s="43" t="n"/>
      <c r="AO189" s="43" t="n"/>
      <c r="AP189" s="43" t="n"/>
    </row>
    <row r="190" ht="18" customHeight="1" s="74">
      <c r="A190" s="38" t="n"/>
      <c r="B190" s="38" t="n"/>
      <c r="C190" s="38" t="n"/>
      <c r="D190" s="38" t="n"/>
      <c r="E190" s="39" t="n"/>
      <c r="F190" s="39" t="n"/>
      <c r="G190" s="39" t="n"/>
      <c r="H190" s="39" t="n"/>
      <c r="I190" s="39" t="n"/>
      <c r="J190" s="39" t="n"/>
      <c r="K190" s="39" t="n"/>
      <c r="L190" s="39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39" t="n"/>
      <c r="V190" s="39" t="n"/>
      <c r="W190" s="34" t="n"/>
      <c r="X190" s="39" t="n"/>
      <c r="Y190" s="40" t="n"/>
      <c r="Z190" s="38" t="n"/>
      <c r="AA190" s="38" t="n"/>
      <c r="AB190" s="41">
        <f>IF(A190="","",IF(COUNTIF($A$6:$A$504,A190)&gt;1,"⚠ Duplicate",""))</f>
        <v/>
      </c>
      <c r="AC190" s="42" t="n"/>
      <c r="AD190" s="42" t="n"/>
      <c r="AE190" s="42" t="n"/>
      <c r="AF190" s="42" t="n"/>
      <c r="AG190" s="42" t="n"/>
      <c r="AH190" s="42" t="n"/>
      <c r="AI190" s="42" t="n"/>
      <c r="AJ190" s="42" t="n"/>
      <c r="AK190" s="42" t="n"/>
      <c r="AL190" s="42" t="n"/>
      <c r="AM190" s="42" t="n"/>
      <c r="AN190" s="42" t="n"/>
      <c r="AO190" s="42" t="n"/>
      <c r="AP190" s="42" t="n"/>
    </row>
    <row r="191" ht="18" customHeight="1" s="74">
      <c r="A191" s="32" t="n"/>
      <c r="B191" s="32" t="n"/>
      <c r="C191" s="32" t="n"/>
      <c r="D191" s="32" t="n"/>
      <c r="E191" s="33" t="n"/>
      <c r="F191" s="33" t="n"/>
      <c r="G191" s="33" t="n"/>
      <c r="H191" s="33" t="n"/>
      <c r="I191" s="33" t="n"/>
      <c r="J191" s="33" t="n"/>
      <c r="K191" s="33" t="n"/>
      <c r="L191" s="33" t="n"/>
      <c r="M191" s="33" t="n"/>
      <c r="N191" s="33" t="n"/>
      <c r="O191" s="33" t="n"/>
      <c r="P191" s="33" t="n"/>
      <c r="Q191" s="33" t="n"/>
      <c r="R191" s="33" t="n"/>
      <c r="S191" s="33" t="n"/>
      <c r="T191" s="33" t="n"/>
      <c r="U191" s="33" t="n"/>
      <c r="V191" s="33" t="n"/>
      <c r="W191" s="34" t="n"/>
      <c r="X191" s="33" t="n"/>
      <c r="Y191" s="35" t="n"/>
      <c r="Z191" s="32" t="n"/>
      <c r="AA191" s="32" t="n"/>
      <c r="AB191" s="36">
        <f>IF(A191="","",IF(COUNTIF($A$6:$A$504,A191)&gt;1,"⚠ Duplicate",""))</f>
        <v/>
      </c>
      <c r="AC191" s="43" t="n"/>
      <c r="AD191" s="43" t="n"/>
      <c r="AE191" s="43" t="n"/>
      <c r="AF191" s="43" t="n"/>
      <c r="AG191" s="43" t="n"/>
      <c r="AH191" s="43" t="n"/>
      <c r="AI191" s="43" t="n"/>
      <c r="AJ191" s="43" t="n"/>
      <c r="AK191" s="43" t="n"/>
      <c r="AL191" s="43" t="n"/>
      <c r="AM191" s="43" t="n"/>
      <c r="AN191" s="43" t="n"/>
      <c r="AO191" s="43" t="n"/>
      <c r="AP191" s="43" t="n"/>
    </row>
    <row r="192" ht="18" customHeight="1" s="74">
      <c r="A192" s="38" t="n"/>
      <c r="B192" s="38" t="n"/>
      <c r="C192" s="38" t="n"/>
      <c r="D192" s="38" t="n"/>
      <c r="E192" s="39" t="n"/>
      <c r="F192" s="39" t="n"/>
      <c r="G192" s="39" t="n"/>
      <c r="H192" s="39" t="n"/>
      <c r="I192" s="39" t="n"/>
      <c r="J192" s="39" t="n"/>
      <c r="K192" s="39" t="n"/>
      <c r="L192" s="39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39" t="n"/>
      <c r="V192" s="39" t="n"/>
      <c r="W192" s="34" t="n"/>
      <c r="X192" s="39" t="n"/>
      <c r="Y192" s="40" t="n"/>
      <c r="Z192" s="38" t="n"/>
      <c r="AA192" s="38" t="n"/>
      <c r="AB192" s="41">
        <f>IF(A192="","",IF(COUNTIF($A$6:$A$504,A192)&gt;1,"⚠ Duplicate",""))</f>
        <v/>
      </c>
      <c r="AC192" s="42" t="n"/>
      <c r="AD192" s="42" t="n"/>
      <c r="AE192" s="42" t="n"/>
      <c r="AF192" s="42" t="n"/>
      <c r="AG192" s="42" t="n"/>
      <c r="AH192" s="42" t="n"/>
      <c r="AI192" s="42" t="n"/>
      <c r="AJ192" s="42" t="n"/>
      <c r="AK192" s="42" t="n"/>
      <c r="AL192" s="42" t="n"/>
      <c r="AM192" s="42" t="n"/>
      <c r="AN192" s="42" t="n"/>
      <c r="AO192" s="42" t="n"/>
      <c r="AP192" s="42" t="n"/>
    </row>
    <row r="193" ht="18" customHeight="1" s="74">
      <c r="A193" s="32" t="n"/>
      <c r="B193" s="32" t="n"/>
      <c r="C193" s="32" t="n"/>
      <c r="D193" s="32" t="n"/>
      <c r="E193" s="33" t="n"/>
      <c r="F193" s="33" t="n"/>
      <c r="G193" s="33" t="n"/>
      <c r="H193" s="33" t="n"/>
      <c r="I193" s="33" t="n"/>
      <c r="J193" s="33" t="n"/>
      <c r="K193" s="33" t="n"/>
      <c r="L193" s="33" t="n"/>
      <c r="M193" s="33" t="n"/>
      <c r="N193" s="33" t="n"/>
      <c r="O193" s="33" t="n"/>
      <c r="P193" s="33" t="n"/>
      <c r="Q193" s="33" t="n"/>
      <c r="R193" s="33" t="n"/>
      <c r="S193" s="33" t="n"/>
      <c r="T193" s="33" t="n"/>
      <c r="U193" s="33" t="n"/>
      <c r="V193" s="33" t="n"/>
      <c r="W193" s="34" t="n"/>
      <c r="X193" s="33" t="n"/>
      <c r="Y193" s="35" t="n"/>
      <c r="Z193" s="32" t="n"/>
      <c r="AA193" s="32" t="n"/>
      <c r="AB193" s="36">
        <f>IF(A193="","",IF(COUNTIF($A$6:$A$504,A193)&gt;1,"⚠ Duplicate",""))</f>
        <v/>
      </c>
      <c r="AC193" s="43" t="n"/>
      <c r="AD193" s="43" t="n"/>
      <c r="AE193" s="43" t="n"/>
      <c r="AF193" s="43" t="n"/>
      <c r="AG193" s="43" t="n"/>
      <c r="AH193" s="43" t="n"/>
      <c r="AI193" s="43" t="n"/>
      <c r="AJ193" s="43" t="n"/>
      <c r="AK193" s="43" t="n"/>
      <c r="AL193" s="43" t="n"/>
      <c r="AM193" s="43" t="n"/>
      <c r="AN193" s="43" t="n"/>
      <c r="AO193" s="43" t="n"/>
      <c r="AP193" s="43" t="n"/>
    </row>
    <row r="194" ht="18" customHeight="1" s="74">
      <c r="A194" s="38" t="n"/>
      <c r="B194" s="38" t="n"/>
      <c r="C194" s="38" t="n"/>
      <c r="D194" s="38" t="n"/>
      <c r="E194" s="39" t="n"/>
      <c r="F194" s="39" t="n"/>
      <c r="G194" s="39" t="n"/>
      <c r="H194" s="39" t="n"/>
      <c r="I194" s="39" t="n"/>
      <c r="J194" s="39" t="n"/>
      <c r="K194" s="39" t="n"/>
      <c r="L194" s="39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39" t="n"/>
      <c r="V194" s="39" t="n"/>
      <c r="W194" s="34" t="n"/>
      <c r="X194" s="39" t="n"/>
      <c r="Y194" s="40" t="n"/>
      <c r="Z194" s="38" t="n"/>
      <c r="AA194" s="38" t="n"/>
      <c r="AB194" s="41">
        <f>IF(A194="","",IF(COUNTIF($A$6:$A$504,A194)&gt;1,"⚠ Duplicate",""))</f>
        <v/>
      </c>
      <c r="AC194" s="42" t="n"/>
      <c r="AD194" s="42" t="n"/>
      <c r="AE194" s="42" t="n"/>
      <c r="AF194" s="42" t="n"/>
      <c r="AG194" s="42" t="n"/>
      <c r="AH194" s="42" t="n"/>
      <c r="AI194" s="42" t="n"/>
      <c r="AJ194" s="42" t="n"/>
      <c r="AK194" s="42" t="n"/>
      <c r="AL194" s="42" t="n"/>
      <c r="AM194" s="42" t="n"/>
      <c r="AN194" s="42" t="n"/>
      <c r="AO194" s="42" t="n"/>
      <c r="AP194" s="42" t="n"/>
    </row>
    <row r="195" ht="18" customHeight="1" s="74">
      <c r="A195" s="32" t="n"/>
      <c r="B195" s="32" t="n"/>
      <c r="C195" s="32" t="n"/>
      <c r="D195" s="32" t="n"/>
      <c r="E195" s="33" t="n"/>
      <c r="F195" s="33" t="n"/>
      <c r="G195" s="33" t="n"/>
      <c r="H195" s="33" t="n"/>
      <c r="I195" s="33" t="n"/>
      <c r="J195" s="33" t="n"/>
      <c r="K195" s="33" t="n"/>
      <c r="L195" s="33" t="n"/>
      <c r="M195" s="33" t="n"/>
      <c r="N195" s="33" t="n"/>
      <c r="O195" s="33" t="n"/>
      <c r="P195" s="33" t="n"/>
      <c r="Q195" s="33" t="n"/>
      <c r="R195" s="33" t="n"/>
      <c r="S195" s="33" t="n"/>
      <c r="T195" s="33" t="n"/>
      <c r="U195" s="33" t="n"/>
      <c r="V195" s="33" t="n"/>
      <c r="W195" s="34" t="n"/>
      <c r="X195" s="33" t="n"/>
      <c r="Y195" s="35" t="n"/>
      <c r="Z195" s="32" t="n"/>
      <c r="AA195" s="32" t="n"/>
      <c r="AB195" s="36">
        <f>IF(A195="","",IF(COUNTIF($A$6:$A$504,A195)&gt;1,"⚠ Duplicate",""))</f>
        <v/>
      </c>
      <c r="AC195" s="43" t="n"/>
      <c r="AD195" s="43" t="n"/>
      <c r="AE195" s="43" t="n"/>
      <c r="AF195" s="43" t="n"/>
      <c r="AG195" s="43" t="n"/>
      <c r="AH195" s="43" t="n"/>
      <c r="AI195" s="43" t="n"/>
      <c r="AJ195" s="43" t="n"/>
      <c r="AK195" s="43" t="n"/>
      <c r="AL195" s="43" t="n"/>
      <c r="AM195" s="43" t="n"/>
      <c r="AN195" s="43" t="n"/>
      <c r="AO195" s="43" t="n"/>
      <c r="AP195" s="43" t="n"/>
    </row>
    <row r="196" ht="18" customHeight="1" s="74">
      <c r="A196" s="38" t="n"/>
      <c r="B196" s="38" t="n"/>
      <c r="C196" s="38" t="n"/>
      <c r="D196" s="38" t="n"/>
      <c r="E196" s="39" t="n"/>
      <c r="F196" s="39" t="n"/>
      <c r="G196" s="39" t="n"/>
      <c r="H196" s="39" t="n"/>
      <c r="I196" s="39" t="n"/>
      <c r="J196" s="39" t="n"/>
      <c r="K196" s="39" t="n"/>
      <c r="L196" s="39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39" t="n"/>
      <c r="V196" s="39" t="n"/>
      <c r="W196" s="34" t="n"/>
      <c r="X196" s="39" t="n"/>
      <c r="Y196" s="40" t="n"/>
      <c r="Z196" s="38" t="n"/>
      <c r="AA196" s="38" t="n"/>
      <c r="AB196" s="41">
        <f>IF(A196="","",IF(COUNTIF($A$6:$A$504,A196)&gt;1,"⚠ Duplicate",""))</f>
        <v/>
      </c>
      <c r="AC196" s="42" t="n"/>
      <c r="AD196" s="42" t="n"/>
      <c r="AE196" s="42" t="n"/>
      <c r="AF196" s="42" t="n"/>
      <c r="AG196" s="42" t="n"/>
      <c r="AH196" s="42" t="n"/>
      <c r="AI196" s="42" t="n"/>
      <c r="AJ196" s="42" t="n"/>
      <c r="AK196" s="42" t="n"/>
      <c r="AL196" s="42" t="n"/>
      <c r="AM196" s="42" t="n"/>
      <c r="AN196" s="42" t="n"/>
      <c r="AO196" s="42" t="n"/>
      <c r="AP196" s="42" t="n"/>
    </row>
    <row r="197" ht="18" customHeight="1" s="74">
      <c r="A197" s="32" t="n"/>
      <c r="B197" s="32" t="n"/>
      <c r="C197" s="32" t="n"/>
      <c r="D197" s="32" t="n"/>
      <c r="E197" s="33" t="n"/>
      <c r="F197" s="33" t="n"/>
      <c r="G197" s="33" t="n"/>
      <c r="H197" s="33" t="n"/>
      <c r="I197" s="33" t="n"/>
      <c r="J197" s="33" t="n"/>
      <c r="K197" s="33" t="n"/>
      <c r="L197" s="33" t="n"/>
      <c r="M197" s="33" t="n"/>
      <c r="N197" s="33" t="n"/>
      <c r="O197" s="33" t="n"/>
      <c r="P197" s="33" t="n"/>
      <c r="Q197" s="33" t="n"/>
      <c r="R197" s="33" t="n"/>
      <c r="S197" s="33" t="n"/>
      <c r="T197" s="33" t="n"/>
      <c r="U197" s="33" t="n"/>
      <c r="V197" s="33" t="n"/>
      <c r="W197" s="34" t="n"/>
      <c r="X197" s="33" t="n"/>
      <c r="Y197" s="35" t="n"/>
      <c r="Z197" s="32" t="n"/>
      <c r="AA197" s="32" t="n"/>
      <c r="AB197" s="36">
        <f>IF(A197="","",IF(COUNTIF($A$6:$A$504,A197)&gt;1,"⚠ Duplicate",""))</f>
        <v/>
      </c>
      <c r="AC197" s="43" t="n"/>
      <c r="AD197" s="43" t="n"/>
      <c r="AE197" s="43" t="n"/>
      <c r="AF197" s="43" t="n"/>
      <c r="AG197" s="43" t="n"/>
      <c r="AH197" s="43" t="n"/>
      <c r="AI197" s="43" t="n"/>
      <c r="AJ197" s="43" t="n"/>
      <c r="AK197" s="43" t="n"/>
      <c r="AL197" s="43" t="n"/>
      <c r="AM197" s="43" t="n"/>
      <c r="AN197" s="43" t="n"/>
      <c r="AO197" s="43" t="n"/>
      <c r="AP197" s="43" t="n"/>
    </row>
    <row r="198" ht="18" customHeight="1" s="74">
      <c r="A198" s="38" t="n"/>
      <c r="B198" s="38" t="n"/>
      <c r="C198" s="38" t="n"/>
      <c r="D198" s="38" t="n"/>
      <c r="E198" s="39" t="n"/>
      <c r="F198" s="39" t="n"/>
      <c r="G198" s="39" t="n"/>
      <c r="H198" s="39" t="n"/>
      <c r="I198" s="39" t="n"/>
      <c r="J198" s="39" t="n"/>
      <c r="K198" s="39" t="n"/>
      <c r="L198" s="39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39" t="n"/>
      <c r="V198" s="39" t="n"/>
      <c r="W198" s="34" t="n"/>
      <c r="X198" s="39" t="n"/>
      <c r="Y198" s="40" t="n"/>
      <c r="Z198" s="38" t="n"/>
      <c r="AA198" s="38" t="n"/>
      <c r="AB198" s="41">
        <f>IF(A198="","",IF(COUNTIF($A$6:$A$504,A198)&gt;1,"⚠ Duplicate",""))</f>
        <v/>
      </c>
      <c r="AC198" s="42" t="n"/>
      <c r="AD198" s="42" t="n"/>
      <c r="AE198" s="42" t="n"/>
      <c r="AF198" s="42" t="n"/>
      <c r="AG198" s="42" t="n"/>
      <c r="AH198" s="42" t="n"/>
      <c r="AI198" s="42" t="n"/>
      <c r="AJ198" s="42" t="n"/>
      <c r="AK198" s="42" t="n"/>
      <c r="AL198" s="42" t="n"/>
      <c r="AM198" s="42" t="n"/>
      <c r="AN198" s="42" t="n"/>
      <c r="AO198" s="42" t="n"/>
      <c r="AP198" s="42" t="n"/>
    </row>
    <row r="199" ht="18" customHeight="1" s="74">
      <c r="A199" s="32" t="n"/>
      <c r="B199" s="32" t="n"/>
      <c r="C199" s="32" t="n"/>
      <c r="D199" s="32" t="n"/>
      <c r="E199" s="33" t="n"/>
      <c r="F199" s="33" t="n"/>
      <c r="G199" s="33" t="n"/>
      <c r="H199" s="33" t="n"/>
      <c r="I199" s="33" t="n"/>
      <c r="J199" s="33" t="n"/>
      <c r="K199" s="33" t="n"/>
      <c r="L199" s="33" t="n"/>
      <c r="M199" s="33" t="n"/>
      <c r="N199" s="33" t="n"/>
      <c r="O199" s="33" t="n"/>
      <c r="P199" s="33" t="n"/>
      <c r="Q199" s="33" t="n"/>
      <c r="R199" s="33" t="n"/>
      <c r="S199" s="33" t="n"/>
      <c r="T199" s="33" t="n"/>
      <c r="U199" s="33" t="n"/>
      <c r="V199" s="33" t="n"/>
      <c r="W199" s="34" t="n"/>
      <c r="X199" s="33" t="n"/>
      <c r="Y199" s="35" t="n"/>
      <c r="Z199" s="32" t="n"/>
      <c r="AA199" s="32" t="n"/>
      <c r="AB199" s="36">
        <f>IF(A199="","",IF(COUNTIF($A$6:$A$504,A199)&gt;1,"⚠ Duplicate",""))</f>
        <v/>
      </c>
      <c r="AC199" s="43" t="n"/>
      <c r="AD199" s="43" t="n"/>
      <c r="AE199" s="43" t="n"/>
      <c r="AF199" s="43" t="n"/>
      <c r="AG199" s="43" t="n"/>
      <c r="AH199" s="43" t="n"/>
      <c r="AI199" s="43" t="n"/>
      <c r="AJ199" s="43" t="n"/>
      <c r="AK199" s="43" t="n"/>
      <c r="AL199" s="43" t="n"/>
      <c r="AM199" s="43" t="n"/>
      <c r="AN199" s="43" t="n"/>
      <c r="AO199" s="43" t="n"/>
      <c r="AP199" s="43" t="n"/>
    </row>
    <row r="200" ht="18" customHeight="1" s="74">
      <c r="A200" s="38" t="n"/>
      <c r="B200" s="38" t="n"/>
      <c r="C200" s="38" t="n"/>
      <c r="D200" s="38" t="n"/>
      <c r="E200" s="39" t="n"/>
      <c r="F200" s="39" t="n"/>
      <c r="G200" s="39" t="n"/>
      <c r="H200" s="39" t="n"/>
      <c r="I200" s="39" t="n"/>
      <c r="J200" s="39" t="n"/>
      <c r="K200" s="39" t="n"/>
      <c r="L200" s="39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39" t="n"/>
      <c r="V200" s="39" t="n"/>
      <c r="W200" s="34" t="n"/>
      <c r="X200" s="39" t="n"/>
      <c r="Y200" s="40" t="n"/>
      <c r="Z200" s="38" t="n"/>
      <c r="AA200" s="38" t="n"/>
      <c r="AB200" s="41">
        <f>IF(A200="","",IF(COUNTIF($A$6:$A$504,A200)&gt;1,"⚠ Duplicate",""))</f>
        <v/>
      </c>
      <c r="AC200" s="42" t="n"/>
      <c r="AD200" s="42" t="n"/>
      <c r="AE200" s="42" t="n"/>
      <c r="AF200" s="42" t="n"/>
      <c r="AG200" s="42" t="n"/>
      <c r="AH200" s="42" t="n"/>
      <c r="AI200" s="42" t="n"/>
      <c r="AJ200" s="42" t="n"/>
      <c r="AK200" s="42" t="n"/>
      <c r="AL200" s="42" t="n"/>
      <c r="AM200" s="42" t="n"/>
      <c r="AN200" s="42" t="n"/>
      <c r="AO200" s="42" t="n"/>
      <c r="AP200" s="42" t="n"/>
    </row>
    <row r="201" ht="18" customHeight="1" s="74">
      <c r="A201" s="32" t="n"/>
      <c r="B201" s="32" t="n"/>
      <c r="C201" s="32" t="n"/>
      <c r="D201" s="32" t="n"/>
      <c r="E201" s="33" t="n"/>
      <c r="F201" s="33" t="n"/>
      <c r="G201" s="33" t="n"/>
      <c r="H201" s="33" t="n"/>
      <c r="I201" s="33" t="n"/>
      <c r="J201" s="33" t="n"/>
      <c r="K201" s="33" t="n"/>
      <c r="L201" s="33" t="n"/>
      <c r="M201" s="33" t="n"/>
      <c r="N201" s="33" t="n"/>
      <c r="O201" s="33" t="n"/>
      <c r="P201" s="33" t="n"/>
      <c r="Q201" s="33" t="n"/>
      <c r="R201" s="33" t="n"/>
      <c r="S201" s="33" t="n"/>
      <c r="T201" s="33" t="n"/>
      <c r="U201" s="33" t="n"/>
      <c r="V201" s="33" t="n"/>
      <c r="W201" s="34" t="n"/>
      <c r="X201" s="33" t="n"/>
      <c r="Y201" s="35" t="n"/>
      <c r="Z201" s="32" t="n"/>
      <c r="AA201" s="32" t="n"/>
      <c r="AB201" s="36">
        <f>IF(A201="","",IF(COUNTIF($A$6:$A$504,A201)&gt;1,"⚠ Duplicate",""))</f>
        <v/>
      </c>
      <c r="AC201" s="43" t="n"/>
      <c r="AD201" s="43" t="n"/>
      <c r="AE201" s="43" t="n"/>
      <c r="AF201" s="43" t="n"/>
      <c r="AG201" s="43" t="n"/>
      <c r="AH201" s="43" t="n"/>
      <c r="AI201" s="43" t="n"/>
      <c r="AJ201" s="43" t="n"/>
      <c r="AK201" s="43" t="n"/>
      <c r="AL201" s="43" t="n"/>
      <c r="AM201" s="43" t="n"/>
      <c r="AN201" s="43" t="n"/>
      <c r="AO201" s="43" t="n"/>
      <c r="AP201" s="43" t="n"/>
    </row>
    <row r="202" ht="18" customHeight="1" s="74">
      <c r="A202" s="38" t="n"/>
      <c r="B202" s="38" t="n"/>
      <c r="C202" s="38" t="n"/>
      <c r="D202" s="38" t="n"/>
      <c r="E202" s="39" t="n"/>
      <c r="F202" s="39" t="n"/>
      <c r="G202" s="39" t="n"/>
      <c r="H202" s="39" t="n"/>
      <c r="I202" s="39" t="n"/>
      <c r="J202" s="39" t="n"/>
      <c r="K202" s="39" t="n"/>
      <c r="L202" s="39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39" t="n"/>
      <c r="V202" s="39" t="n"/>
      <c r="W202" s="34" t="n"/>
      <c r="X202" s="39" t="n"/>
      <c r="Y202" s="40" t="n"/>
      <c r="Z202" s="38" t="n"/>
      <c r="AA202" s="38" t="n"/>
      <c r="AB202" s="41">
        <f>IF(A202="","",IF(COUNTIF($A$6:$A$504,A202)&gt;1,"⚠ Duplicate",""))</f>
        <v/>
      </c>
      <c r="AC202" s="42" t="n"/>
      <c r="AD202" s="42" t="n"/>
      <c r="AE202" s="42" t="n"/>
      <c r="AF202" s="42" t="n"/>
      <c r="AG202" s="42" t="n"/>
      <c r="AH202" s="42" t="n"/>
      <c r="AI202" s="42" t="n"/>
      <c r="AJ202" s="42" t="n"/>
      <c r="AK202" s="42" t="n"/>
      <c r="AL202" s="42" t="n"/>
      <c r="AM202" s="42" t="n"/>
      <c r="AN202" s="42" t="n"/>
      <c r="AO202" s="42" t="n"/>
      <c r="AP202" s="42" t="n"/>
    </row>
    <row r="203" ht="18" customHeight="1" s="74">
      <c r="A203" s="32" t="n"/>
      <c r="B203" s="32" t="n"/>
      <c r="C203" s="32" t="n"/>
      <c r="D203" s="32" t="n"/>
      <c r="E203" s="33" t="n"/>
      <c r="F203" s="33" t="n"/>
      <c r="G203" s="33" t="n"/>
      <c r="H203" s="33" t="n"/>
      <c r="I203" s="33" t="n"/>
      <c r="J203" s="33" t="n"/>
      <c r="K203" s="33" t="n"/>
      <c r="L203" s="33" t="n"/>
      <c r="M203" s="33" t="n"/>
      <c r="N203" s="33" t="n"/>
      <c r="O203" s="33" t="n"/>
      <c r="P203" s="33" t="n"/>
      <c r="Q203" s="33" t="n"/>
      <c r="R203" s="33" t="n"/>
      <c r="S203" s="33" t="n"/>
      <c r="T203" s="33" t="n"/>
      <c r="U203" s="33" t="n"/>
      <c r="V203" s="33" t="n"/>
      <c r="W203" s="34" t="n"/>
      <c r="X203" s="33" t="n"/>
      <c r="Y203" s="35" t="n"/>
      <c r="Z203" s="32" t="n"/>
      <c r="AA203" s="32" t="n"/>
      <c r="AB203" s="36">
        <f>IF(A203="","",IF(COUNTIF($A$6:$A$504,A203)&gt;1,"⚠ Duplicate",""))</f>
        <v/>
      </c>
      <c r="AC203" s="43" t="n"/>
      <c r="AD203" s="43" t="n"/>
      <c r="AE203" s="43" t="n"/>
      <c r="AF203" s="43" t="n"/>
      <c r="AG203" s="43" t="n"/>
      <c r="AH203" s="43" t="n"/>
      <c r="AI203" s="43" t="n"/>
      <c r="AJ203" s="43" t="n"/>
      <c r="AK203" s="43" t="n"/>
      <c r="AL203" s="43" t="n"/>
      <c r="AM203" s="43" t="n"/>
      <c r="AN203" s="43" t="n"/>
      <c r="AO203" s="43" t="n"/>
      <c r="AP203" s="43" t="n"/>
    </row>
    <row r="204" ht="18" customHeight="1" s="74">
      <c r="A204" s="38" t="n"/>
      <c r="B204" s="38" t="n"/>
      <c r="C204" s="38" t="n"/>
      <c r="D204" s="38" t="n"/>
      <c r="E204" s="39" t="n"/>
      <c r="F204" s="39" t="n"/>
      <c r="G204" s="39" t="n"/>
      <c r="H204" s="39" t="n"/>
      <c r="I204" s="39" t="n"/>
      <c r="J204" s="39" t="n"/>
      <c r="K204" s="39" t="n"/>
      <c r="L204" s="39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39" t="n"/>
      <c r="V204" s="39" t="n"/>
      <c r="W204" s="34" t="n"/>
      <c r="X204" s="39" t="n"/>
      <c r="Y204" s="40" t="n"/>
      <c r="Z204" s="38" t="n"/>
      <c r="AA204" s="38" t="n"/>
      <c r="AB204" s="41">
        <f>IF(A204="","",IF(COUNTIF($A$6:$A$504,A204)&gt;1,"⚠ Duplicate",""))</f>
        <v/>
      </c>
      <c r="AC204" s="42" t="n"/>
      <c r="AD204" s="42" t="n"/>
      <c r="AE204" s="42" t="n"/>
      <c r="AF204" s="42" t="n"/>
      <c r="AG204" s="42" t="n"/>
      <c r="AH204" s="42" t="n"/>
      <c r="AI204" s="42" t="n"/>
      <c r="AJ204" s="42" t="n"/>
      <c r="AK204" s="42" t="n"/>
      <c r="AL204" s="42" t="n"/>
      <c r="AM204" s="42" t="n"/>
      <c r="AN204" s="42" t="n"/>
      <c r="AO204" s="42" t="n"/>
      <c r="AP204" s="42" t="n"/>
    </row>
    <row r="205" ht="18" customHeight="1" s="74">
      <c r="A205" s="32" t="n"/>
      <c r="B205" s="32" t="n"/>
      <c r="C205" s="32" t="n"/>
      <c r="D205" s="32" t="n"/>
      <c r="E205" s="33" t="n"/>
      <c r="F205" s="33" t="n"/>
      <c r="G205" s="33" t="n"/>
      <c r="H205" s="33" t="n"/>
      <c r="I205" s="33" t="n"/>
      <c r="J205" s="33" t="n"/>
      <c r="K205" s="33" t="n"/>
      <c r="L205" s="33" t="n"/>
      <c r="M205" s="33" t="n"/>
      <c r="N205" s="33" t="n"/>
      <c r="O205" s="33" t="n"/>
      <c r="P205" s="33" t="n"/>
      <c r="Q205" s="33" t="n"/>
      <c r="R205" s="33" t="n"/>
      <c r="S205" s="33" t="n"/>
      <c r="T205" s="33" t="n"/>
      <c r="U205" s="33" t="n"/>
      <c r="V205" s="33" t="n"/>
      <c r="W205" s="34" t="n"/>
      <c r="X205" s="33" t="n"/>
      <c r="Y205" s="35" t="n"/>
      <c r="Z205" s="32" t="n"/>
      <c r="AA205" s="32" t="n"/>
      <c r="AB205" s="36">
        <f>IF(A205="","",IF(COUNTIF($A$6:$A$504,A205)&gt;1,"⚠ Duplicate",""))</f>
        <v/>
      </c>
      <c r="AC205" s="43" t="n"/>
      <c r="AD205" s="43" t="n"/>
      <c r="AE205" s="43" t="n"/>
      <c r="AF205" s="43" t="n"/>
      <c r="AG205" s="43" t="n"/>
      <c r="AH205" s="43" t="n"/>
      <c r="AI205" s="43" t="n"/>
      <c r="AJ205" s="43" t="n"/>
      <c r="AK205" s="43" t="n"/>
      <c r="AL205" s="43" t="n"/>
      <c r="AM205" s="43" t="n"/>
      <c r="AN205" s="43" t="n"/>
      <c r="AO205" s="43" t="n"/>
      <c r="AP205" s="43" t="n"/>
    </row>
    <row r="206" ht="18" customHeight="1" s="74">
      <c r="A206" s="38" t="n"/>
      <c r="B206" s="38" t="n"/>
      <c r="C206" s="38" t="n"/>
      <c r="D206" s="38" t="n"/>
      <c r="E206" s="39" t="n"/>
      <c r="F206" s="39" t="n"/>
      <c r="G206" s="39" t="n"/>
      <c r="H206" s="39" t="n"/>
      <c r="I206" s="39" t="n"/>
      <c r="J206" s="39" t="n"/>
      <c r="K206" s="39" t="n"/>
      <c r="L206" s="39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39" t="n"/>
      <c r="V206" s="39" t="n"/>
      <c r="W206" s="34" t="n"/>
      <c r="X206" s="39" t="n"/>
      <c r="Y206" s="40" t="n"/>
      <c r="Z206" s="38" t="n"/>
      <c r="AA206" s="38" t="n"/>
      <c r="AB206" s="41">
        <f>IF(A206="","",IF(COUNTIF($A$6:$A$504,A206)&gt;1,"⚠ Duplicate",""))</f>
        <v/>
      </c>
      <c r="AC206" s="42" t="n"/>
      <c r="AD206" s="42" t="n"/>
      <c r="AE206" s="42" t="n"/>
      <c r="AF206" s="42" t="n"/>
      <c r="AG206" s="42" t="n"/>
      <c r="AH206" s="42" t="n"/>
      <c r="AI206" s="42" t="n"/>
      <c r="AJ206" s="42" t="n"/>
      <c r="AK206" s="42" t="n"/>
      <c r="AL206" s="42" t="n"/>
      <c r="AM206" s="42" t="n"/>
      <c r="AN206" s="42" t="n"/>
      <c r="AO206" s="42" t="n"/>
      <c r="AP206" s="42" t="n"/>
    </row>
    <row r="207" ht="18" customHeight="1" s="74">
      <c r="A207" s="32" t="n"/>
      <c r="B207" s="32" t="n"/>
      <c r="C207" s="32" t="n"/>
      <c r="D207" s="32" t="n"/>
      <c r="E207" s="33" t="n"/>
      <c r="F207" s="33" t="n"/>
      <c r="G207" s="33" t="n"/>
      <c r="H207" s="33" t="n"/>
      <c r="I207" s="33" t="n"/>
      <c r="J207" s="33" t="n"/>
      <c r="K207" s="33" t="n"/>
      <c r="L207" s="33" t="n"/>
      <c r="M207" s="33" t="n"/>
      <c r="N207" s="33" t="n"/>
      <c r="O207" s="33" t="n"/>
      <c r="P207" s="33" t="n"/>
      <c r="Q207" s="33" t="n"/>
      <c r="R207" s="33" t="n"/>
      <c r="S207" s="33" t="n"/>
      <c r="T207" s="33" t="n"/>
      <c r="U207" s="33" t="n"/>
      <c r="V207" s="33" t="n"/>
      <c r="W207" s="34" t="n"/>
      <c r="X207" s="33" t="n"/>
      <c r="Y207" s="35" t="n"/>
      <c r="Z207" s="32" t="n"/>
      <c r="AA207" s="32" t="n"/>
      <c r="AB207" s="36">
        <f>IF(A207="","",IF(COUNTIF($A$6:$A$504,A207)&gt;1,"⚠ Duplicate",""))</f>
        <v/>
      </c>
      <c r="AC207" s="43" t="n"/>
      <c r="AD207" s="43" t="n"/>
      <c r="AE207" s="43" t="n"/>
      <c r="AF207" s="43" t="n"/>
      <c r="AG207" s="43" t="n"/>
      <c r="AH207" s="43" t="n"/>
      <c r="AI207" s="43" t="n"/>
      <c r="AJ207" s="43" t="n"/>
      <c r="AK207" s="43" t="n"/>
      <c r="AL207" s="43" t="n"/>
      <c r="AM207" s="43" t="n"/>
      <c r="AN207" s="43" t="n"/>
      <c r="AO207" s="43" t="n"/>
      <c r="AP207" s="43" t="n"/>
    </row>
    <row r="208" ht="18" customHeight="1" s="74">
      <c r="A208" s="38" t="n"/>
      <c r="B208" s="38" t="n"/>
      <c r="C208" s="38" t="n"/>
      <c r="D208" s="38" t="n"/>
      <c r="E208" s="39" t="n"/>
      <c r="F208" s="39" t="n"/>
      <c r="G208" s="39" t="n"/>
      <c r="H208" s="39" t="n"/>
      <c r="I208" s="39" t="n"/>
      <c r="J208" s="39" t="n"/>
      <c r="K208" s="39" t="n"/>
      <c r="L208" s="39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39" t="n"/>
      <c r="V208" s="39" t="n"/>
      <c r="W208" s="34" t="n"/>
      <c r="X208" s="39" t="n"/>
      <c r="Y208" s="40" t="n"/>
      <c r="Z208" s="38" t="n"/>
      <c r="AA208" s="38" t="n"/>
      <c r="AB208" s="41">
        <f>IF(A208="","",IF(COUNTIF($A$6:$A$504,A208)&gt;1,"⚠ Duplicate",""))</f>
        <v/>
      </c>
      <c r="AC208" s="42" t="n"/>
      <c r="AD208" s="42" t="n"/>
      <c r="AE208" s="42" t="n"/>
      <c r="AF208" s="42" t="n"/>
      <c r="AG208" s="42" t="n"/>
      <c r="AH208" s="42" t="n"/>
      <c r="AI208" s="42" t="n"/>
      <c r="AJ208" s="42" t="n"/>
      <c r="AK208" s="42" t="n"/>
      <c r="AL208" s="42" t="n"/>
      <c r="AM208" s="42" t="n"/>
      <c r="AN208" s="42" t="n"/>
      <c r="AO208" s="42" t="n"/>
      <c r="AP208" s="42" t="n"/>
    </row>
    <row r="209" ht="18" customHeight="1" s="74">
      <c r="A209" s="32" t="n"/>
      <c r="B209" s="32" t="n"/>
      <c r="C209" s="32" t="n"/>
      <c r="D209" s="32" t="n"/>
      <c r="E209" s="33" t="n"/>
      <c r="F209" s="33" t="n"/>
      <c r="G209" s="33" t="n"/>
      <c r="H209" s="33" t="n"/>
      <c r="I209" s="33" t="n"/>
      <c r="J209" s="33" t="n"/>
      <c r="K209" s="33" t="n"/>
      <c r="L209" s="33" t="n"/>
      <c r="M209" s="33" t="n"/>
      <c r="N209" s="33" t="n"/>
      <c r="O209" s="33" t="n"/>
      <c r="P209" s="33" t="n"/>
      <c r="Q209" s="33" t="n"/>
      <c r="R209" s="33" t="n"/>
      <c r="S209" s="33" t="n"/>
      <c r="T209" s="33" t="n"/>
      <c r="U209" s="33" t="n"/>
      <c r="V209" s="33" t="n"/>
      <c r="W209" s="34" t="n"/>
      <c r="X209" s="33" t="n"/>
      <c r="Y209" s="35" t="n"/>
      <c r="Z209" s="32" t="n"/>
      <c r="AA209" s="32" t="n"/>
      <c r="AB209" s="36">
        <f>IF(A209="","",IF(COUNTIF($A$6:$A$504,A209)&gt;1,"⚠ Duplicate",""))</f>
        <v/>
      </c>
      <c r="AC209" s="43" t="n"/>
      <c r="AD209" s="43" t="n"/>
      <c r="AE209" s="43" t="n"/>
      <c r="AF209" s="43" t="n"/>
      <c r="AG209" s="43" t="n"/>
      <c r="AH209" s="43" t="n"/>
      <c r="AI209" s="43" t="n"/>
      <c r="AJ209" s="43" t="n"/>
      <c r="AK209" s="43" t="n"/>
      <c r="AL209" s="43" t="n"/>
      <c r="AM209" s="43" t="n"/>
      <c r="AN209" s="43" t="n"/>
      <c r="AO209" s="43" t="n"/>
      <c r="AP209" s="43" t="n"/>
    </row>
    <row r="210" ht="18" customHeight="1" s="74">
      <c r="A210" s="38" t="n"/>
      <c r="B210" s="38" t="n"/>
      <c r="C210" s="38" t="n"/>
      <c r="D210" s="38" t="n"/>
      <c r="E210" s="39" t="n"/>
      <c r="F210" s="39" t="n"/>
      <c r="G210" s="39" t="n"/>
      <c r="H210" s="39" t="n"/>
      <c r="I210" s="39" t="n"/>
      <c r="J210" s="39" t="n"/>
      <c r="K210" s="39" t="n"/>
      <c r="L210" s="39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39" t="n"/>
      <c r="V210" s="39" t="n"/>
      <c r="W210" s="34" t="n"/>
      <c r="X210" s="39" t="n"/>
      <c r="Y210" s="40" t="n"/>
      <c r="Z210" s="38" t="n"/>
      <c r="AA210" s="38" t="n"/>
      <c r="AB210" s="41">
        <f>IF(A210="","",IF(COUNTIF($A$6:$A$504,A210)&gt;1,"⚠ Duplicate",""))</f>
        <v/>
      </c>
      <c r="AC210" s="42" t="n"/>
      <c r="AD210" s="42" t="n"/>
      <c r="AE210" s="42" t="n"/>
      <c r="AF210" s="42" t="n"/>
      <c r="AG210" s="42" t="n"/>
      <c r="AH210" s="42" t="n"/>
      <c r="AI210" s="42" t="n"/>
      <c r="AJ210" s="42" t="n"/>
      <c r="AK210" s="42" t="n"/>
      <c r="AL210" s="42" t="n"/>
      <c r="AM210" s="42" t="n"/>
      <c r="AN210" s="42" t="n"/>
      <c r="AO210" s="42" t="n"/>
      <c r="AP210" s="42" t="n"/>
    </row>
    <row r="211" ht="18" customHeight="1" s="74">
      <c r="A211" s="32" t="n"/>
      <c r="B211" s="32" t="n"/>
      <c r="C211" s="32" t="n"/>
      <c r="D211" s="32" t="n"/>
      <c r="E211" s="33" t="n"/>
      <c r="F211" s="33" t="n"/>
      <c r="G211" s="33" t="n"/>
      <c r="H211" s="33" t="n"/>
      <c r="I211" s="33" t="n"/>
      <c r="J211" s="33" t="n"/>
      <c r="K211" s="33" t="n"/>
      <c r="L211" s="33" t="n"/>
      <c r="M211" s="33" t="n"/>
      <c r="N211" s="33" t="n"/>
      <c r="O211" s="33" t="n"/>
      <c r="P211" s="33" t="n"/>
      <c r="Q211" s="33" t="n"/>
      <c r="R211" s="33" t="n"/>
      <c r="S211" s="33" t="n"/>
      <c r="T211" s="33" t="n"/>
      <c r="U211" s="33" t="n"/>
      <c r="V211" s="33" t="n"/>
      <c r="W211" s="34" t="n"/>
      <c r="X211" s="33" t="n"/>
      <c r="Y211" s="35" t="n"/>
      <c r="Z211" s="32" t="n"/>
      <c r="AA211" s="32" t="n"/>
      <c r="AB211" s="36">
        <f>IF(A211="","",IF(COUNTIF($A$6:$A$504,A211)&gt;1,"⚠ Duplicate",""))</f>
        <v/>
      </c>
      <c r="AC211" s="43" t="n"/>
      <c r="AD211" s="43" t="n"/>
      <c r="AE211" s="43" t="n"/>
      <c r="AF211" s="43" t="n"/>
      <c r="AG211" s="43" t="n"/>
      <c r="AH211" s="43" t="n"/>
      <c r="AI211" s="43" t="n"/>
      <c r="AJ211" s="43" t="n"/>
      <c r="AK211" s="43" t="n"/>
      <c r="AL211" s="43" t="n"/>
      <c r="AM211" s="43" t="n"/>
      <c r="AN211" s="43" t="n"/>
      <c r="AO211" s="43" t="n"/>
      <c r="AP211" s="43" t="n"/>
    </row>
    <row r="212" ht="18" customHeight="1" s="74">
      <c r="A212" s="38" t="n"/>
      <c r="B212" s="38" t="n"/>
      <c r="C212" s="38" t="n"/>
      <c r="D212" s="38" t="n"/>
      <c r="E212" s="39" t="n"/>
      <c r="F212" s="39" t="n"/>
      <c r="G212" s="39" t="n"/>
      <c r="H212" s="39" t="n"/>
      <c r="I212" s="39" t="n"/>
      <c r="J212" s="39" t="n"/>
      <c r="K212" s="39" t="n"/>
      <c r="L212" s="39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39" t="n"/>
      <c r="V212" s="39" t="n"/>
      <c r="W212" s="34" t="n"/>
      <c r="X212" s="39" t="n"/>
      <c r="Y212" s="40" t="n"/>
      <c r="Z212" s="38" t="n"/>
      <c r="AA212" s="38" t="n"/>
      <c r="AB212" s="41">
        <f>IF(A212="","",IF(COUNTIF($A$6:$A$504,A212)&gt;1,"⚠ Duplicate",""))</f>
        <v/>
      </c>
      <c r="AC212" s="42" t="n"/>
      <c r="AD212" s="42" t="n"/>
      <c r="AE212" s="42" t="n"/>
      <c r="AF212" s="42" t="n"/>
      <c r="AG212" s="42" t="n"/>
      <c r="AH212" s="42" t="n"/>
      <c r="AI212" s="42" t="n"/>
      <c r="AJ212" s="42" t="n"/>
      <c r="AK212" s="42" t="n"/>
      <c r="AL212" s="42" t="n"/>
      <c r="AM212" s="42" t="n"/>
      <c r="AN212" s="42" t="n"/>
      <c r="AO212" s="42" t="n"/>
      <c r="AP212" s="42" t="n"/>
    </row>
    <row r="213" ht="18" customHeight="1" s="74">
      <c r="A213" s="32" t="n"/>
      <c r="B213" s="32" t="n"/>
      <c r="C213" s="32" t="n"/>
      <c r="D213" s="32" t="n"/>
      <c r="E213" s="33" t="n"/>
      <c r="F213" s="33" t="n"/>
      <c r="G213" s="33" t="n"/>
      <c r="H213" s="33" t="n"/>
      <c r="I213" s="33" t="n"/>
      <c r="J213" s="33" t="n"/>
      <c r="K213" s="33" t="n"/>
      <c r="L213" s="33" t="n"/>
      <c r="M213" s="33" t="n"/>
      <c r="N213" s="33" t="n"/>
      <c r="O213" s="33" t="n"/>
      <c r="P213" s="33" t="n"/>
      <c r="Q213" s="33" t="n"/>
      <c r="R213" s="33" t="n"/>
      <c r="S213" s="33" t="n"/>
      <c r="T213" s="33" t="n"/>
      <c r="U213" s="33" t="n"/>
      <c r="V213" s="33" t="n"/>
      <c r="W213" s="34" t="n"/>
      <c r="X213" s="33" t="n"/>
      <c r="Y213" s="35" t="n"/>
      <c r="Z213" s="32" t="n"/>
      <c r="AA213" s="32" t="n"/>
      <c r="AB213" s="36">
        <f>IF(A213="","",IF(COUNTIF($A$6:$A$504,A213)&gt;1,"⚠ Duplicate",""))</f>
        <v/>
      </c>
      <c r="AC213" s="43" t="n"/>
      <c r="AD213" s="43" t="n"/>
      <c r="AE213" s="43" t="n"/>
      <c r="AF213" s="43" t="n"/>
      <c r="AG213" s="43" t="n"/>
      <c r="AH213" s="43" t="n"/>
      <c r="AI213" s="43" t="n"/>
      <c r="AJ213" s="43" t="n"/>
      <c r="AK213" s="43" t="n"/>
      <c r="AL213" s="43" t="n"/>
      <c r="AM213" s="43" t="n"/>
      <c r="AN213" s="43" t="n"/>
      <c r="AO213" s="43" t="n"/>
      <c r="AP213" s="43" t="n"/>
    </row>
    <row r="214" ht="18" customHeight="1" s="74">
      <c r="A214" s="38" t="n"/>
      <c r="B214" s="38" t="n"/>
      <c r="C214" s="38" t="n"/>
      <c r="D214" s="38" t="n"/>
      <c r="E214" s="39" t="n"/>
      <c r="F214" s="39" t="n"/>
      <c r="G214" s="39" t="n"/>
      <c r="H214" s="39" t="n"/>
      <c r="I214" s="39" t="n"/>
      <c r="J214" s="39" t="n"/>
      <c r="K214" s="39" t="n"/>
      <c r="L214" s="39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39" t="n"/>
      <c r="V214" s="39" t="n"/>
      <c r="W214" s="34" t="n"/>
      <c r="X214" s="39" t="n"/>
      <c r="Y214" s="40" t="n"/>
      <c r="Z214" s="38" t="n"/>
      <c r="AA214" s="38" t="n"/>
      <c r="AB214" s="41">
        <f>IF(A214="","",IF(COUNTIF($A$6:$A$504,A214)&gt;1,"⚠ Duplicate",""))</f>
        <v/>
      </c>
      <c r="AC214" s="42" t="n"/>
      <c r="AD214" s="42" t="n"/>
      <c r="AE214" s="42" t="n"/>
      <c r="AF214" s="42" t="n"/>
      <c r="AG214" s="42" t="n"/>
      <c r="AH214" s="42" t="n"/>
      <c r="AI214" s="42" t="n"/>
      <c r="AJ214" s="42" t="n"/>
      <c r="AK214" s="42" t="n"/>
      <c r="AL214" s="42" t="n"/>
      <c r="AM214" s="42" t="n"/>
      <c r="AN214" s="42" t="n"/>
      <c r="AO214" s="42" t="n"/>
      <c r="AP214" s="42" t="n"/>
    </row>
    <row r="215" ht="18" customHeight="1" s="74">
      <c r="A215" s="32" t="n"/>
      <c r="B215" s="32" t="n"/>
      <c r="C215" s="32" t="n"/>
      <c r="D215" s="32" t="n"/>
      <c r="E215" s="33" t="n"/>
      <c r="F215" s="33" t="n"/>
      <c r="G215" s="33" t="n"/>
      <c r="H215" s="33" t="n"/>
      <c r="I215" s="33" t="n"/>
      <c r="J215" s="33" t="n"/>
      <c r="K215" s="33" t="n"/>
      <c r="L215" s="33" t="n"/>
      <c r="M215" s="33" t="n"/>
      <c r="N215" s="33" t="n"/>
      <c r="O215" s="33" t="n"/>
      <c r="P215" s="33" t="n"/>
      <c r="Q215" s="33" t="n"/>
      <c r="R215" s="33" t="n"/>
      <c r="S215" s="33" t="n"/>
      <c r="T215" s="33" t="n"/>
      <c r="U215" s="33" t="n"/>
      <c r="V215" s="33" t="n"/>
      <c r="W215" s="34" t="n"/>
      <c r="X215" s="33" t="n"/>
      <c r="Y215" s="35" t="n"/>
      <c r="Z215" s="32" t="n"/>
      <c r="AA215" s="32" t="n"/>
      <c r="AB215" s="36">
        <f>IF(A215="","",IF(COUNTIF($A$6:$A$504,A215)&gt;1,"⚠ Duplicate",""))</f>
        <v/>
      </c>
      <c r="AC215" s="43" t="n"/>
      <c r="AD215" s="43" t="n"/>
      <c r="AE215" s="43" t="n"/>
      <c r="AF215" s="43" t="n"/>
      <c r="AG215" s="43" t="n"/>
      <c r="AH215" s="43" t="n"/>
      <c r="AI215" s="43" t="n"/>
      <c r="AJ215" s="43" t="n"/>
      <c r="AK215" s="43" t="n"/>
      <c r="AL215" s="43" t="n"/>
      <c r="AM215" s="43" t="n"/>
      <c r="AN215" s="43" t="n"/>
      <c r="AO215" s="43" t="n"/>
      <c r="AP215" s="43" t="n"/>
    </row>
    <row r="216" ht="18" customHeight="1" s="74">
      <c r="A216" s="38" t="n"/>
      <c r="B216" s="38" t="n"/>
      <c r="C216" s="38" t="n"/>
      <c r="D216" s="38" t="n"/>
      <c r="E216" s="39" t="n"/>
      <c r="F216" s="39" t="n"/>
      <c r="G216" s="39" t="n"/>
      <c r="H216" s="39" t="n"/>
      <c r="I216" s="39" t="n"/>
      <c r="J216" s="39" t="n"/>
      <c r="K216" s="39" t="n"/>
      <c r="L216" s="39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39" t="n"/>
      <c r="V216" s="39" t="n"/>
      <c r="W216" s="34" t="n"/>
      <c r="X216" s="39" t="n"/>
      <c r="Y216" s="40" t="n"/>
      <c r="Z216" s="38" t="n"/>
      <c r="AA216" s="38" t="n"/>
      <c r="AB216" s="41">
        <f>IF(A216="","",IF(COUNTIF($A$6:$A$504,A216)&gt;1,"⚠ Duplicate",""))</f>
        <v/>
      </c>
      <c r="AC216" s="42" t="n"/>
      <c r="AD216" s="42" t="n"/>
      <c r="AE216" s="42" t="n"/>
      <c r="AF216" s="42" t="n"/>
      <c r="AG216" s="42" t="n"/>
      <c r="AH216" s="42" t="n"/>
      <c r="AI216" s="42" t="n"/>
      <c r="AJ216" s="42" t="n"/>
      <c r="AK216" s="42" t="n"/>
      <c r="AL216" s="42" t="n"/>
      <c r="AM216" s="42" t="n"/>
      <c r="AN216" s="42" t="n"/>
      <c r="AO216" s="42" t="n"/>
      <c r="AP216" s="42" t="n"/>
    </row>
    <row r="217" ht="18" customHeight="1" s="74">
      <c r="A217" s="32" t="n"/>
      <c r="B217" s="32" t="n"/>
      <c r="C217" s="32" t="n"/>
      <c r="D217" s="32" t="n"/>
      <c r="E217" s="33" t="n"/>
      <c r="F217" s="33" t="n"/>
      <c r="G217" s="33" t="n"/>
      <c r="H217" s="33" t="n"/>
      <c r="I217" s="33" t="n"/>
      <c r="J217" s="33" t="n"/>
      <c r="K217" s="33" t="n"/>
      <c r="L217" s="33" t="n"/>
      <c r="M217" s="33" t="n"/>
      <c r="N217" s="33" t="n"/>
      <c r="O217" s="33" t="n"/>
      <c r="P217" s="33" t="n"/>
      <c r="Q217" s="33" t="n"/>
      <c r="R217" s="33" t="n"/>
      <c r="S217" s="33" t="n"/>
      <c r="T217" s="33" t="n"/>
      <c r="U217" s="33" t="n"/>
      <c r="V217" s="33" t="n"/>
      <c r="W217" s="34" t="n"/>
      <c r="X217" s="33" t="n"/>
      <c r="Y217" s="35" t="n"/>
      <c r="Z217" s="32" t="n"/>
      <c r="AA217" s="32" t="n"/>
      <c r="AB217" s="36">
        <f>IF(A217="","",IF(COUNTIF($A$6:$A$504,A217)&gt;1,"⚠ Duplicate",""))</f>
        <v/>
      </c>
      <c r="AC217" s="43" t="n"/>
      <c r="AD217" s="43" t="n"/>
      <c r="AE217" s="43" t="n"/>
      <c r="AF217" s="43" t="n"/>
      <c r="AG217" s="43" t="n"/>
      <c r="AH217" s="43" t="n"/>
      <c r="AI217" s="43" t="n"/>
      <c r="AJ217" s="43" t="n"/>
      <c r="AK217" s="43" t="n"/>
      <c r="AL217" s="43" t="n"/>
      <c r="AM217" s="43" t="n"/>
      <c r="AN217" s="43" t="n"/>
      <c r="AO217" s="43" t="n"/>
      <c r="AP217" s="43" t="n"/>
    </row>
    <row r="218" ht="18" customHeight="1" s="74">
      <c r="A218" s="38" t="n"/>
      <c r="B218" s="38" t="n"/>
      <c r="C218" s="38" t="n"/>
      <c r="D218" s="38" t="n"/>
      <c r="E218" s="39" t="n"/>
      <c r="F218" s="39" t="n"/>
      <c r="G218" s="39" t="n"/>
      <c r="H218" s="39" t="n"/>
      <c r="I218" s="39" t="n"/>
      <c r="J218" s="39" t="n"/>
      <c r="K218" s="39" t="n"/>
      <c r="L218" s="39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39" t="n"/>
      <c r="V218" s="39" t="n"/>
      <c r="W218" s="34" t="n"/>
      <c r="X218" s="39" t="n"/>
      <c r="Y218" s="40" t="n"/>
      <c r="Z218" s="38" t="n"/>
      <c r="AA218" s="38" t="n"/>
      <c r="AB218" s="41">
        <f>IF(A218="","",IF(COUNTIF($A$6:$A$504,A218)&gt;1,"⚠ Duplicate",""))</f>
        <v/>
      </c>
      <c r="AC218" s="42" t="n"/>
      <c r="AD218" s="42" t="n"/>
      <c r="AE218" s="42" t="n"/>
      <c r="AF218" s="42" t="n"/>
      <c r="AG218" s="42" t="n"/>
      <c r="AH218" s="42" t="n"/>
      <c r="AI218" s="42" t="n"/>
      <c r="AJ218" s="42" t="n"/>
      <c r="AK218" s="42" t="n"/>
      <c r="AL218" s="42" t="n"/>
      <c r="AM218" s="42" t="n"/>
      <c r="AN218" s="42" t="n"/>
      <c r="AO218" s="42" t="n"/>
      <c r="AP218" s="42" t="n"/>
    </row>
    <row r="219" ht="18" customHeight="1" s="74">
      <c r="A219" s="32" t="n"/>
      <c r="B219" s="32" t="n"/>
      <c r="C219" s="32" t="n"/>
      <c r="D219" s="32" t="n"/>
      <c r="E219" s="33" t="n"/>
      <c r="F219" s="33" t="n"/>
      <c r="G219" s="33" t="n"/>
      <c r="H219" s="33" t="n"/>
      <c r="I219" s="33" t="n"/>
      <c r="J219" s="33" t="n"/>
      <c r="K219" s="33" t="n"/>
      <c r="L219" s="33" t="n"/>
      <c r="M219" s="33" t="n"/>
      <c r="N219" s="33" t="n"/>
      <c r="O219" s="33" t="n"/>
      <c r="P219" s="33" t="n"/>
      <c r="Q219" s="33" t="n"/>
      <c r="R219" s="33" t="n"/>
      <c r="S219" s="33" t="n"/>
      <c r="T219" s="33" t="n"/>
      <c r="U219" s="33" t="n"/>
      <c r="V219" s="33" t="n"/>
      <c r="W219" s="34" t="n"/>
      <c r="X219" s="33" t="n"/>
      <c r="Y219" s="35" t="n"/>
      <c r="Z219" s="32" t="n"/>
      <c r="AA219" s="32" t="n"/>
      <c r="AB219" s="36">
        <f>IF(A219="","",IF(COUNTIF($A$6:$A$504,A219)&gt;1,"⚠ Duplicate",""))</f>
        <v/>
      </c>
      <c r="AC219" s="43" t="n"/>
      <c r="AD219" s="43" t="n"/>
      <c r="AE219" s="43" t="n"/>
      <c r="AF219" s="43" t="n"/>
      <c r="AG219" s="43" t="n"/>
      <c r="AH219" s="43" t="n"/>
      <c r="AI219" s="43" t="n"/>
      <c r="AJ219" s="43" t="n"/>
      <c r="AK219" s="43" t="n"/>
      <c r="AL219" s="43" t="n"/>
      <c r="AM219" s="43" t="n"/>
      <c r="AN219" s="43" t="n"/>
      <c r="AO219" s="43" t="n"/>
      <c r="AP219" s="43" t="n"/>
    </row>
    <row r="220" ht="18" customHeight="1" s="74">
      <c r="A220" s="38" t="n"/>
      <c r="B220" s="38" t="n"/>
      <c r="C220" s="38" t="n"/>
      <c r="D220" s="38" t="n"/>
      <c r="E220" s="39" t="n"/>
      <c r="F220" s="39" t="n"/>
      <c r="G220" s="39" t="n"/>
      <c r="H220" s="39" t="n"/>
      <c r="I220" s="39" t="n"/>
      <c r="J220" s="39" t="n"/>
      <c r="K220" s="39" t="n"/>
      <c r="L220" s="39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39" t="n"/>
      <c r="V220" s="39" t="n"/>
      <c r="W220" s="34" t="n"/>
      <c r="X220" s="39" t="n"/>
      <c r="Y220" s="40" t="n"/>
      <c r="Z220" s="38" t="n"/>
      <c r="AA220" s="38" t="n"/>
      <c r="AB220" s="41">
        <f>IF(A220="","",IF(COUNTIF($A$6:$A$504,A220)&gt;1,"⚠ Duplicate",""))</f>
        <v/>
      </c>
      <c r="AC220" s="42" t="n"/>
      <c r="AD220" s="42" t="n"/>
      <c r="AE220" s="42" t="n"/>
      <c r="AF220" s="42" t="n"/>
      <c r="AG220" s="42" t="n"/>
      <c r="AH220" s="42" t="n"/>
      <c r="AI220" s="42" t="n"/>
      <c r="AJ220" s="42" t="n"/>
      <c r="AK220" s="42" t="n"/>
      <c r="AL220" s="42" t="n"/>
      <c r="AM220" s="42" t="n"/>
      <c r="AN220" s="42" t="n"/>
      <c r="AO220" s="42" t="n"/>
      <c r="AP220" s="42" t="n"/>
    </row>
    <row r="221" ht="18" customHeight="1" s="74">
      <c r="A221" s="32" t="n"/>
      <c r="B221" s="32" t="n"/>
      <c r="C221" s="32" t="n"/>
      <c r="D221" s="32" t="n"/>
      <c r="E221" s="33" t="n"/>
      <c r="F221" s="33" t="n"/>
      <c r="G221" s="33" t="n"/>
      <c r="H221" s="33" t="n"/>
      <c r="I221" s="33" t="n"/>
      <c r="J221" s="33" t="n"/>
      <c r="K221" s="33" t="n"/>
      <c r="L221" s="33" t="n"/>
      <c r="M221" s="33" t="n"/>
      <c r="N221" s="33" t="n"/>
      <c r="O221" s="33" t="n"/>
      <c r="P221" s="33" t="n"/>
      <c r="Q221" s="33" t="n"/>
      <c r="R221" s="33" t="n"/>
      <c r="S221" s="33" t="n"/>
      <c r="T221" s="33" t="n"/>
      <c r="U221" s="33" t="n"/>
      <c r="V221" s="33" t="n"/>
      <c r="W221" s="34" t="n"/>
      <c r="X221" s="33" t="n"/>
      <c r="Y221" s="35" t="n"/>
      <c r="Z221" s="32" t="n"/>
      <c r="AA221" s="32" t="n"/>
      <c r="AB221" s="36">
        <f>IF(A221="","",IF(COUNTIF($A$6:$A$504,A221)&gt;1,"⚠ Duplicate",""))</f>
        <v/>
      </c>
      <c r="AC221" s="43" t="n"/>
      <c r="AD221" s="43" t="n"/>
      <c r="AE221" s="43" t="n"/>
      <c r="AF221" s="43" t="n"/>
      <c r="AG221" s="43" t="n"/>
      <c r="AH221" s="43" t="n"/>
      <c r="AI221" s="43" t="n"/>
      <c r="AJ221" s="43" t="n"/>
      <c r="AK221" s="43" t="n"/>
      <c r="AL221" s="43" t="n"/>
      <c r="AM221" s="43" t="n"/>
      <c r="AN221" s="43" t="n"/>
      <c r="AO221" s="43" t="n"/>
      <c r="AP221" s="43" t="n"/>
    </row>
    <row r="222" ht="18" customHeight="1" s="74">
      <c r="A222" s="38" t="n"/>
      <c r="B222" s="38" t="n"/>
      <c r="C222" s="38" t="n"/>
      <c r="D222" s="38" t="n"/>
      <c r="E222" s="39" t="n"/>
      <c r="F222" s="39" t="n"/>
      <c r="G222" s="39" t="n"/>
      <c r="H222" s="39" t="n"/>
      <c r="I222" s="39" t="n"/>
      <c r="J222" s="39" t="n"/>
      <c r="K222" s="39" t="n"/>
      <c r="L222" s="39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4" t="n"/>
      <c r="X222" s="39" t="n"/>
      <c r="Y222" s="40" t="n"/>
      <c r="Z222" s="38" t="n"/>
      <c r="AA222" s="38" t="n"/>
      <c r="AB222" s="41">
        <f>IF(A222="","",IF(COUNTIF($A$6:$A$504,A222)&gt;1,"⚠ Duplicate",""))</f>
        <v/>
      </c>
      <c r="AC222" s="42" t="n"/>
      <c r="AD222" s="42" t="n"/>
      <c r="AE222" s="42" t="n"/>
      <c r="AF222" s="42" t="n"/>
      <c r="AG222" s="42" t="n"/>
      <c r="AH222" s="42" t="n"/>
      <c r="AI222" s="42" t="n"/>
      <c r="AJ222" s="42" t="n"/>
      <c r="AK222" s="42" t="n"/>
      <c r="AL222" s="42" t="n"/>
      <c r="AM222" s="42" t="n"/>
      <c r="AN222" s="42" t="n"/>
      <c r="AO222" s="42" t="n"/>
      <c r="AP222" s="42" t="n"/>
    </row>
    <row r="223" ht="18" customHeight="1" s="74">
      <c r="A223" s="32" t="n"/>
      <c r="B223" s="32" t="n"/>
      <c r="C223" s="32" t="n"/>
      <c r="D223" s="32" t="n"/>
      <c r="E223" s="33" t="n"/>
      <c r="F223" s="33" t="n"/>
      <c r="G223" s="33" t="n"/>
      <c r="H223" s="33" t="n"/>
      <c r="I223" s="33" t="n"/>
      <c r="J223" s="33" t="n"/>
      <c r="K223" s="33" t="n"/>
      <c r="L223" s="33" t="n"/>
      <c r="M223" s="33" t="n"/>
      <c r="N223" s="33" t="n"/>
      <c r="O223" s="33" t="n"/>
      <c r="P223" s="33" t="n"/>
      <c r="Q223" s="33" t="n"/>
      <c r="R223" s="33" t="n"/>
      <c r="S223" s="33" t="n"/>
      <c r="T223" s="33" t="n"/>
      <c r="U223" s="33" t="n"/>
      <c r="V223" s="33" t="n"/>
      <c r="W223" s="34" t="n"/>
      <c r="X223" s="33" t="n"/>
      <c r="Y223" s="35" t="n"/>
      <c r="Z223" s="32" t="n"/>
      <c r="AA223" s="32" t="n"/>
      <c r="AB223" s="36">
        <f>IF(A223="","",IF(COUNTIF($A$6:$A$504,A223)&gt;1,"⚠ Duplicate",""))</f>
        <v/>
      </c>
      <c r="AC223" s="43" t="n"/>
      <c r="AD223" s="43" t="n"/>
      <c r="AE223" s="43" t="n"/>
      <c r="AF223" s="43" t="n"/>
      <c r="AG223" s="43" t="n"/>
      <c r="AH223" s="43" t="n"/>
      <c r="AI223" s="43" t="n"/>
      <c r="AJ223" s="43" t="n"/>
      <c r="AK223" s="43" t="n"/>
      <c r="AL223" s="43" t="n"/>
      <c r="AM223" s="43" t="n"/>
      <c r="AN223" s="43" t="n"/>
      <c r="AO223" s="43" t="n"/>
      <c r="AP223" s="43" t="n"/>
    </row>
    <row r="224" ht="18" customHeight="1" s="74">
      <c r="A224" s="38" t="n"/>
      <c r="B224" s="38" t="n"/>
      <c r="C224" s="38" t="n"/>
      <c r="D224" s="38" t="n"/>
      <c r="E224" s="39" t="n"/>
      <c r="F224" s="39" t="n"/>
      <c r="G224" s="39" t="n"/>
      <c r="H224" s="39" t="n"/>
      <c r="I224" s="39" t="n"/>
      <c r="J224" s="39" t="n"/>
      <c r="K224" s="39" t="n"/>
      <c r="L224" s="39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39" t="n"/>
      <c r="V224" s="39" t="n"/>
      <c r="W224" s="34" t="n"/>
      <c r="X224" s="39" t="n"/>
      <c r="Y224" s="40" t="n"/>
      <c r="Z224" s="38" t="n"/>
      <c r="AA224" s="38" t="n"/>
      <c r="AB224" s="41">
        <f>IF(A224="","",IF(COUNTIF($A$6:$A$504,A224)&gt;1,"⚠ Duplicate",""))</f>
        <v/>
      </c>
      <c r="AC224" s="42" t="n"/>
      <c r="AD224" s="42" t="n"/>
      <c r="AE224" s="42" t="n"/>
      <c r="AF224" s="42" t="n"/>
      <c r="AG224" s="42" t="n"/>
      <c r="AH224" s="42" t="n"/>
      <c r="AI224" s="42" t="n"/>
      <c r="AJ224" s="42" t="n"/>
      <c r="AK224" s="42" t="n"/>
      <c r="AL224" s="42" t="n"/>
      <c r="AM224" s="42" t="n"/>
      <c r="AN224" s="42" t="n"/>
      <c r="AO224" s="42" t="n"/>
      <c r="AP224" s="42" t="n"/>
    </row>
    <row r="225" ht="18" customHeight="1" s="74">
      <c r="A225" s="32" t="n"/>
      <c r="B225" s="32" t="n"/>
      <c r="C225" s="32" t="n"/>
      <c r="D225" s="32" t="n"/>
      <c r="E225" s="33" t="n"/>
      <c r="F225" s="33" t="n"/>
      <c r="G225" s="33" t="n"/>
      <c r="H225" s="33" t="n"/>
      <c r="I225" s="33" t="n"/>
      <c r="J225" s="33" t="n"/>
      <c r="K225" s="33" t="n"/>
      <c r="L225" s="33" t="n"/>
      <c r="M225" s="33" t="n"/>
      <c r="N225" s="33" t="n"/>
      <c r="O225" s="33" t="n"/>
      <c r="P225" s="33" t="n"/>
      <c r="Q225" s="33" t="n"/>
      <c r="R225" s="33" t="n"/>
      <c r="S225" s="33" t="n"/>
      <c r="T225" s="33" t="n"/>
      <c r="U225" s="33" t="n"/>
      <c r="V225" s="33" t="n"/>
      <c r="W225" s="34" t="n"/>
      <c r="X225" s="33" t="n"/>
      <c r="Y225" s="35" t="n"/>
      <c r="Z225" s="32" t="n"/>
      <c r="AA225" s="32" t="n"/>
      <c r="AB225" s="36">
        <f>IF(A225="","",IF(COUNTIF($A$6:$A$504,A225)&gt;1,"⚠ Duplicate",""))</f>
        <v/>
      </c>
      <c r="AC225" s="43" t="n"/>
      <c r="AD225" s="43" t="n"/>
      <c r="AE225" s="43" t="n"/>
      <c r="AF225" s="43" t="n"/>
      <c r="AG225" s="43" t="n"/>
      <c r="AH225" s="43" t="n"/>
      <c r="AI225" s="43" t="n"/>
      <c r="AJ225" s="43" t="n"/>
      <c r="AK225" s="43" t="n"/>
      <c r="AL225" s="43" t="n"/>
      <c r="AM225" s="43" t="n"/>
      <c r="AN225" s="43" t="n"/>
      <c r="AO225" s="43" t="n"/>
      <c r="AP225" s="43" t="n"/>
    </row>
    <row r="226" ht="18" customHeight="1" s="74">
      <c r="A226" s="38" t="n"/>
      <c r="B226" s="38" t="n"/>
      <c r="C226" s="38" t="n"/>
      <c r="D226" s="38" t="n"/>
      <c r="E226" s="39" t="n"/>
      <c r="F226" s="39" t="n"/>
      <c r="G226" s="39" t="n"/>
      <c r="H226" s="39" t="n"/>
      <c r="I226" s="39" t="n"/>
      <c r="J226" s="39" t="n"/>
      <c r="K226" s="39" t="n"/>
      <c r="L226" s="39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39" t="n"/>
      <c r="V226" s="39" t="n"/>
      <c r="W226" s="34" t="n"/>
      <c r="X226" s="39" t="n"/>
      <c r="Y226" s="40" t="n"/>
      <c r="Z226" s="38" t="n"/>
      <c r="AA226" s="38" t="n"/>
      <c r="AB226" s="41">
        <f>IF(A226="","",IF(COUNTIF($A$6:$A$504,A226)&gt;1,"⚠ Duplicate",""))</f>
        <v/>
      </c>
      <c r="AC226" s="42" t="n"/>
      <c r="AD226" s="42" t="n"/>
      <c r="AE226" s="42" t="n"/>
      <c r="AF226" s="42" t="n"/>
      <c r="AG226" s="42" t="n"/>
      <c r="AH226" s="42" t="n"/>
      <c r="AI226" s="42" t="n"/>
      <c r="AJ226" s="42" t="n"/>
      <c r="AK226" s="42" t="n"/>
      <c r="AL226" s="42" t="n"/>
      <c r="AM226" s="42" t="n"/>
      <c r="AN226" s="42" t="n"/>
      <c r="AO226" s="42" t="n"/>
      <c r="AP226" s="42" t="n"/>
    </row>
    <row r="227" ht="18" customHeight="1" s="74">
      <c r="A227" s="32" t="n"/>
      <c r="B227" s="32" t="n"/>
      <c r="C227" s="32" t="n"/>
      <c r="D227" s="32" t="n"/>
      <c r="E227" s="33" t="n"/>
      <c r="F227" s="33" t="n"/>
      <c r="G227" s="33" t="n"/>
      <c r="H227" s="33" t="n"/>
      <c r="I227" s="33" t="n"/>
      <c r="J227" s="33" t="n"/>
      <c r="K227" s="33" t="n"/>
      <c r="L227" s="33" t="n"/>
      <c r="M227" s="33" t="n"/>
      <c r="N227" s="33" t="n"/>
      <c r="O227" s="33" t="n"/>
      <c r="P227" s="33" t="n"/>
      <c r="Q227" s="33" t="n"/>
      <c r="R227" s="33" t="n"/>
      <c r="S227" s="33" t="n"/>
      <c r="T227" s="33" t="n"/>
      <c r="U227" s="33" t="n"/>
      <c r="V227" s="33" t="n"/>
      <c r="W227" s="34" t="n"/>
      <c r="X227" s="33" t="n"/>
      <c r="Y227" s="35" t="n"/>
      <c r="Z227" s="32" t="n"/>
      <c r="AA227" s="32" t="n"/>
      <c r="AB227" s="36">
        <f>IF(A227="","",IF(COUNTIF($A$6:$A$504,A227)&gt;1,"⚠ Duplicate",""))</f>
        <v/>
      </c>
      <c r="AC227" s="43" t="n"/>
      <c r="AD227" s="43" t="n"/>
      <c r="AE227" s="43" t="n"/>
      <c r="AF227" s="43" t="n"/>
      <c r="AG227" s="43" t="n"/>
      <c r="AH227" s="43" t="n"/>
      <c r="AI227" s="43" t="n"/>
      <c r="AJ227" s="43" t="n"/>
      <c r="AK227" s="43" t="n"/>
      <c r="AL227" s="43" t="n"/>
      <c r="AM227" s="43" t="n"/>
      <c r="AN227" s="43" t="n"/>
      <c r="AO227" s="43" t="n"/>
      <c r="AP227" s="43" t="n"/>
    </row>
    <row r="228" ht="18" customHeight="1" s="74">
      <c r="A228" s="38" t="n"/>
      <c r="B228" s="38" t="n"/>
      <c r="C228" s="38" t="n"/>
      <c r="D228" s="38" t="n"/>
      <c r="E228" s="39" t="n"/>
      <c r="F228" s="39" t="n"/>
      <c r="G228" s="39" t="n"/>
      <c r="H228" s="39" t="n"/>
      <c r="I228" s="39" t="n"/>
      <c r="J228" s="39" t="n"/>
      <c r="K228" s="39" t="n"/>
      <c r="L228" s="39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39" t="n"/>
      <c r="V228" s="39" t="n"/>
      <c r="W228" s="34" t="n"/>
      <c r="X228" s="39" t="n"/>
      <c r="Y228" s="40" t="n"/>
      <c r="Z228" s="38" t="n"/>
      <c r="AA228" s="38" t="n"/>
      <c r="AB228" s="41">
        <f>IF(A228="","",IF(COUNTIF($A$6:$A$504,A228)&gt;1,"⚠ Duplicate",""))</f>
        <v/>
      </c>
      <c r="AC228" s="42" t="n"/>
      <c r="AD228" s="42" t="n"/>
      <c r="AE228" s="42" t="n"/>
      <c r="AF228" s="42" t="n"/>
      <c r="AG228" s="42" t="n"/>
      <c r="AH228" s="42" t="n"/>
      <c r="AI228" s="42" t="n"/>
      <c r="AJ228" s="42" t="n"/>
      <c r="AK228" s="42" t="n"/>
      <c r="AL228" s="42" t="n"/>
      <c r="AM228" s="42" t="n"/>
      <c r="AN228" s="42" t="n"/>
      <c r="AO228" s="42" t="n"/>
      <c r="AP228" s="42" t="n"/>
    </row>
    <row r="229" ht="18" customHeight="1" s="74">
      <c r="A229" s="32" t="n"/>
      <c r="B229" s="32" t="n"/>
      <c r="C229" s="32" t="n"/>
      <c r="D229" s="32" t="n"/>
      <c r="E229" s="33" t="n"/>
      <c r="F229" s="33" t="n"/>
      <c r="G229" s="33" t="n"/>
      <c r="H229" s="33" t="n"/>
      <c r="I229" s="33" t="n"/>
      <c r="J229" s="33" t="n"/>
      <c r="K229" s="33" t="n"/>
      <c r="L229" s="33" t="n"/>
      <c r="M229" s="33" t="n"/>
      <c r="N229" s="33" t="n"/>
      <c r="O229" s="33" t="n"/>
      <c r="P229" s="33" t="n"/>
      <c r="Q229" s="33" t="n"/>
      <c r="R229" s="33" t="n"/>
      <c r="S229" s="33" t="n"/>
      <c r="T229" s="33" t="n"/>
      <c r="U229" s="33" t="n"/>
      <c r="V229" s="33" t="n"/>
      <c r="W229" s="34" t="n"/>
      <c r="X229" s="33" t="n"/>
      <c r="Y229" s="35" t="n"/>
      <c r="Z229" s="32" t="n"/>
      <c r="AA229" s="32" t="n"/>
      <c r="AB229" s="36">
        <f>IF(A229="","",IF(COUNTIF($A$6:$A$504,A229)&gt;1,"⚠ Duplicate",""))</f>
        <v/>
      </c>
      <c r="AC229" s="43" t="n"/>
      <c r="AD229" s="43" t="n"/>
      <c r="AE229" s="43" t="n"/>
      <c r="AF229" s="43" t="n"/>
      <c r="AG229" s="43" t="n"/>
      <c r="AH229" s="43" t="n"/>
      <c r="AI229" s="43" t="n"/>
      <c r="AJ229" s="43" t="n"/>
      <c r="AK229" s="43" t="n"/>
      <c r="AL229" s="43" t="n"/>
      <c r="AM229" s="43" t="n"/>
      <c r="AN229" s="43" t="n"/>
      <c r="AO229" s="43" t="n"/>
      <c r="AP229" s="43" t="n"/>
    </row>
    <row r="230" ht="18" customHeight="1" s="74">
      <c r="A230" s="38" t="n"/>
      <c r="B230" s="38" t="n"/>
      <c r="C230" s="38" t="n"/>
      <c r="D230" s="38" t="n"/>
      <c r="E230" s="39" t="n"/>
      <c r="F230" s="39" t="n"/>
      <c r="G230" s="39" t="n"/>
      <c r="H230" s="39" t="n"/>
      <c r="I230" s="39" t="n"/>
      <c r="J230" s="39" t="n"/>
      <c r="K230" s="39" t="n"/>
      <c r="L230" s="39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39" t="n"/>
      <c r="V230" s="39" t="n"/>
      <c r="W230" s="34" t="n"/>
      <c r="X230" s="39" t="n"/>
      <c r="Y230" s="40" t="n"/>
      <c r="Z230" s="38" t="n"/>
      <c r="AA230" s="38" t="n"/>
      <c r="AB230" s="41">
        <f>IF(A230="","",IF(COUNTIF($A$6:$A$504,A230)&gt;1,"⚠ Duplicate",""))</f>
        <v/>
      </c>
      <c r="AC230" s="42" t="n"/>
      <c r="AD230" s="42" t="n"/>
      <c r="AE230" s="42" t="n"/>
      <c r="AF230" s="42" t="n"/>
      <c r="AG230" s="42" t="n"/>
      <c r="AH230" s="42" t="n"/>
      <c r="AI230" s="42" t="n"/>
      <c r="AJ230" s="42" t="n"/>
      <c r="AK230" s="42" t="n"/>
      <c r="AL230" s="42" t="n"/>
      <c r="AM230" s="42" t="n"/>
      <c r="AN230" s="42" t="n"/>
      <c r="AO230" s="42" t="n"/>
      <c r="AP230" s="42" t="n"/>
    </row>
    <row r="231" ht="18" customHeight="1" s="74">
      <c r="A231" s="32" t="n"/>
      <c r="B231" s="32" t="n"/>
      <c r="C231" s="32" t="n"/>
      <c r="D231" s="32" t="n"/>
      <c r="E231" s="33" t="n"/>
      <c r="F231" s="33" t="n"/>
      <c r="G231" s="33" t="n"/>
      <c r="H231" s="33" t="n"/>
      <c r="I231" s="33" t="n"/>
      <c r="J231" s="33" t="n"/>
      <c r="K231" s="33" t="n"/>
      <c r="L231" s="33" t="n"/>
      <c r="M231" s="33" t="n"/>
      <c r="N231" s="33" t="n"/>
      <c r="O231" s="33" t="n"/>
      <c r="P231" s="33" t="n"/>
      <c r="Q231" s="33" t="n"/>
      <c r="R231" s="33" t="n"/>
      <c r="S231" s="33" t="n"/>
      <c r="T231" s="33" t="n"/>
      <c r="U231" s="33" t="n"/>
      <c r="V231" s="33" t="n"/>
      <c r="W231" s="34" t="n"/>
      <c r="X231" s="33" t="n"/>
      <c r="Y231" s="35" t="n"/>
      <c r="Z231" s="32" t="n"/>
      <c r="AA231" s="32" t="n"/>
      <c r="AB231" s="36">
        <f>IF(A231="","",IF(COUNTIF($A$6:$A$504,A231)&gt;1,"⚠ Duplicate",""))</f>
        <v/>
      </c>
      <c r="AC231" s="43" t="n"/>
      <c r="AD231" s="43" t="n"/>
      <c r="AE231" s="43" t="n"/>
      <c r="AF231" s="43" t="n"/>
      <c r="AG231" s="43" t="n"/>
      <c r="AH231" s="43" t="n"/>
      <c r="AI231" s="43" t="n"/>
      <c r="AJ231" s="43" t="n"/>
      <c r="AK231" s="43" t="n"/>
      <c r="AL231" s="43" t="n"/>
      <c r="AM231" s="43" t="n"/>
      <c r="AN231" s="43" t="n"/>
      <c r="AO231" s="43" t="n"/>
      <c r="AP231" s="43" t="n"/>
    </row>
    <row r="232" ht="18" customHeight="1" s="74">
      <c r="A232" s="38" t="n"/>
      <c r="B232" s="38" t="n"/>
      <c r="C232" s="38" t="n"/>
      <c r="D232" s="38" t="n"/>
      <c r="E232" s="39" t="n"/>
      <c r="F232" s="39" t="n"/>
      <c r="G232" s="39" t="n"/>
      <c r="H232" s="39" t="n"/>
      <c r="I232" s="39" t="n"/>
      <c r="J232" s="39" t="n"/>
      <c r="K232" s="39" t="n"/>
      <c r="L232" s="39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39" t="n"/>
      <c r="V232" s="39" t="n"/>
      <c r="W232" s="34" t="n"/>
      <c r="X232" s="39" t="n"/>
      <c r="Y232" s="40" t="n"/>
      <c r="Z232" s="38" t="n"/>
      <c r="AA232" s="38" t="n"/>
      <c r="AB232" s="41">
        <f>IF(A232="","",IF(COUNTIF($A$6:$A$504,A232)&gt;1,"⚠ Duplicate",""))</f>
        <v/>
      </c>
      <c r="AC232" s="42" t="n"/>
      <c r="AD232" s="42" t="n"/>
      <c r="AE232" s="42" t="n"/>
      <c r="AF232" s="42" t="n"/>
      <c r="AG232" s="42" t="n"/>
      <c r="AH232" s="42" t="n"/>
      <c r="AI232" s="42" t="n"/>
      <c r="AJ232" s="42" t="n"/>
      <c r="AK232" s="42" t="n"/>
      <c r="AL232" s="42" t="n"/>
      <c r="AM232" s="42" t="n"/>
      <c r="AN232" s="42" t="n"/>
      <c r="AO232" s="42" t="n"/>
      <c r="AP232" s="42" t="n"/>
    </row>
    <row r="233" ht="18" customHeight="1" s="74">
      <c r="A233" s="32" t="n"/>
      <c r="B233" s="32" t="n"/>
      <c r="C233" s="32" t="n"/>
      <c r="D233" s="32" t="n"/>
      <c r="E233" s="33" t="n"/>
      <c r="F233" s="33" t="n"/>
      <c r="G233" s="33" t="n"/>
      <c r="H233" s="33" t="n"/>
      <c r="I233" s="33" t="n"/>
      <c r="J233" s="33" t="n"/>
      <c r="K233" s="33" t="n"/>
      <c r="L233" s="33" t="n"/>
      <c r="M233" s="33" t="n"/>
      <c r="N233" s="33" t="n"/>
      <c r="O233" s="33" t="n"/>
      <c r="P233" s="33" t="n"/>
      <c r="Q233" s="33" t="n"/>
      <c r="R233" s="33" t="n"/>
      <c r="S233" s="33" t="n"/>
      <c r="T233" s="33" t="n"/>
      <c r="U233" s="33" t="n"/>
      <c r="V233" s="33" t="n"/>
      <c r="W233" s="34" t="n"/>
      <c r="X233" s="33" t="n"/>
      <c r="Y233" s="35" t="n"/>
      <c r="Z233" s="32" t="n"/>
      <c r="AA233" s="32" t="n"/>
      <c r="AB233" s="36">
        <f>IF(A233="","",IF(COUNTIF($A$6:$A$504,A233)&gt;1,"⚠ Duplicate",""))</f>
        <v/>
      </c>
      <c r="AC233" s="43" t="n"/>
      <c r="AD233" s="43" t="n"/>
      <c r="AE233" s="43" t="n"/>
      <c r="AF233" s="43" t="n"/>
      <c r="AG233" s="43" t="n"/>
      <c r="AH233" s="43" t="n"/>
      <c r="AI233" s="43" t="n"/>
      <c r="AJ233" s="43" t="n"/>
      <c r="AK233" s="43" t="n"/>
      <c r="AL233" s="43" t="n"/>
      <c r="AM233" s="43" t="n"/>
      <c r="AN233" s="43" t="n"/>
      <c r="AO233" s="43" t="n"/>
      <c r="AP233" s="43" t="n"/>
    </row>
    <row r="234" ht="18" customHeight="1" s="74">
      <c r="A234" s="38" t="n"/>
      <c r="B234" s="38" t="n"/>
      <c r="C234" s="38" t="n"/>
      <c r="D234" s="38" t="n"/>
      <c r="E234" s="39" t="n"/>
      <c r="F234" s="39" t="n"/>
      <c r="G234" s="39" t="n"/>
      <c r="H234" s="39" t="n"/>
      <c r="I234" s="39" t="n"/>
      <c r="J234" s="39" t="n"/>
      <c r="K234" s="39" t="n"/>
      <c r="L234" s="39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39" t="n"/>
      <c r="V234" s="39" t="n"/>
      <c r="W234" s="34" t="n"/>
      <c r="X234" s="39" t="n"/>
      <c r="Y234" s="40" t="n"/>
      <c r="Z234" s="38" t="n"/>
      <c r="AA234" s="38" t="n"/>
      <c r="AB234" s="41">
        <f>IF(A234="","",IF(COUNTIF($A$6:$A$504,A234)&gt;1,"⚠ Duplicate",""))</f>
        <v/>
      </c>
      <c r="AC234" s="42" t="n"/>
      <c r="AD234" s="42" t="n"/>
      <c r="AE234" s="42" t="n"/>
      <c r="AF234" s="42" t="n"/>
      <c r="AG234" s="42" t="n"/>
      <c r="AH234" s="42" t="n"/>
      <c r="AI234" s="42" t="n"/>
      <c r="AJ234" s="42" t="n"/>
      <c r="AK234" s="42" t="n"/>
      <c r="AL234" s="42" t="n"/>
      <c r="AM234" s="42" t="n"/>
      <c r="AN234" s="42" t="n"/>
      <c r="AO234" s="42" t="n"/>
      <c r="AP234" s="42" t="n"/>
    </row>
    <row r="235" ht="18" customHeight="1" s="74">
      <c r="A235" s="32" t="n"/>
      <c r="B235" s="32" t="n"/>
      <c r="C235" s="32" t="n"/>
      <c r="D235" s="32" t="n"/>
      <c r="E235" s="33" t="n"/>
      <c r="F235" s="33" t="n"/>
      <c r="G235" s="33" t="n"/>
      <c r="H235" s="33" t="n"/>
      <c r="I235" s="33" t="n"/>
      <c r="J235" s="33" t="n"/>
      <c r="K235" s="33" t="n"/>
      <c r="L235" s="33" t="n"/>
      <c r="M235" s="33" t="n"/>
      <c r="N235" s="33" t="n"/>
      <c r="O235" s="33" t="n"/>
      <c r="P235" s="33" t="n"/>
      <c r="Q235" s="33" t="n"/>
      <c r="R235" s="33" t="n"/>
      <c r="S235" s="33" t="n"/>
      <c r="T235" s="33" t="n"/>
      <c r="U235" s="33" t="n"/>
      <c r="V235" s="33" t="n"/>
      <c r="W235" s="34" t="n"/>
      <c r="X235" s="33" t="n"/>
      <c r="Y235" s="35" t="n"/>
      <c r="Z235" s="32" t="n"/>
      <c r="AA235" s="32" t="n"/>
      <c r="AB235" s="36">
        <f>IF(A235="","",IF(COUNTIF($A$6:$A$504,A235)&gt;1,"⚠ Duplicate",""))</f>
        <v/>
      </c>
      <c r="AC235" s="43" t="n"/>
      <c r="AD235" s="43" t="n"/>
      <c r="AE235" s="43" t="n"/>
      <c r="AF235" s="43" t="n"/>
      <c r="AG235" s="43" t="n"/>
      <c r="AH235" s="43" t="n"/>
      <c r="AI235" s="43" t="n"/>
      <c r="AJ235" s="43" t="n"/>
      <c r="AK235" s="43" t="n"/>
      <c r="AL235" s="43" t="n"/>
      <c r="AM235" s="43" t="n"/>
      <c r="AN235" s="43" t="n"/>
      <c r="AO235" s="43" t="n"/>
      <c r="AP235" s="43" t="n"/>
    </row>
    <row r="236" ht="18" customHeight="1" s="74">
      <c r="A236" s="38" t="n"/>
      <c r="B236" s="38" t="n"/>
      <c r="C236" s="38" t="n"/>
      <c r="D236" s="38" t="n"/>
      <c r="E236" s="39" t="n"/>
      <c r="F236" s="39" t="n"/>
      <c r="G236" s="39" t="n"/>
      <c r="H236" s="39" t="n"/>
      <c r="I236" s="39" t="n"/>
      <c r="J236" s="39" t="n"/>
      <c r="K236" s="39" t="n"/>
      <c r="L236" s="39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39" t="n"/>
      <c r="V236" s="39" t="n"/>
      <c r="W236" s="34" t="n"/>
      <c r="X236" s="39" t="n"/>
      <c r="Y236" s="40" t="n"/>
      <c r="Z236" s="38" t="n"/>
      <c r="AA236" s="38" t="n"/>
      <c r="AB236" s="41">
        <f>IF(A236="","",IF(COUNTIF($A$6:$A$504,A236)&gt;1,"⚠ Duplicate",""))</f>
        <v/>
      </c>
      <c r="AC236" s="42" t="n"/>
      <c r="AD236" s="42" t="n"/>
      <c r="AE236" s="42" t="n"/>
      <c r="AF236" s="42" t="n"/>
      <c r="AG236" s="42" t="n"/>
      <c r="AH236" s="42" t="n"/>
      <c r="AI236" s="42" t="n"/>
      <c r="AJ236" s="42" t="n"/>
      <c r="AK236" s="42" t="n"/>
      <c r="AL236" s="42" t="n"/>
      <c r="AM236" s="42" t="n"/>
      <c r="AN236" s="42" t="n"/>
      <c r="AO236" s="42" t="n"/>
      <c r="AP236" s="42" t="n"/>
    </row>
    <row r="237" ht="18" customHeight="1" s="74">
      <c r="A237" s="32" t="n"/>
      <c r="B237" s="32" t="n"/>
      <c r="C237" s="32" t="n"/>
      <c r="D237" s="32" t="n"/>
      <c r="E237" s="33" t="n"/>
      <c r="F237" s="33" t="n"/>
      <c r="G237" s="33" t="n"/>
      <c r="H237" s="33" t="n"/>
      <c r="I237" s="33" t="n"/>
      <c r="J237" s="33" t="n"/>
      <c r="K237" s="33" t="n"/>
      <c r="L237" s="33" t="n"/>
      <c r="M237" s="33" t="n"/>
      <c r="N237" s="33" t="n"/>
      <c r="O237" s="33" t="n"/>
      <c r="P237" s="33" t="n"/>
      <c r="Q237" s="33" t="n"/>
      <c r="R237" s="33" t="n"/>
      <c r="S237" s="33" t="n"/>
      <c r="T237" s="33" t="n"/>
      <c r="U237" s="33" t="n"/>
      <c r="V237" s="33" t="n"/>
      <c r="W237" s="34" t="n"/>
      <c r="X237" s="33" t="n"/>
      <c r="Y237" s="35" t="n"/>
      <c r="Z237" s="32" t="n"/>
      <c r="AA237" s="32" t="n"/>
      <c r="AB237" s="36">
        <f>IF(A237="","",IF(COUNTIF($A$6:$A$504,A237)&gt;1,"⚠ Duplicate",""))</f>
        <v/>
      </c>
      <c r="AC237" s="43" t="n"/>
      <c r="AD237" s="43" t="n"/>
      <c r="AE237" s="43" t="n"/>
      <c r="AF237" s="43" t="n"/>
      <c r="AG237" s="43" t="n"/>
      <c r="AH237" s="43" t="n"/>
      <c r="AI237" s="43" t="n"/>
      <c r="AJ237" s="43" t="n"/>
      <c r="AK237" s="43" t="n"/>
      <c r="AL237" s="43" t="n"/>
      <c r="AM237" s="43" t="n"/>
      <c r="AN237" s="43" t="n"/>
      <c r="AO237" s="43" t="n"/>
      <c r="AP237" s="43" t="n"/>
    </row>
    <row r="238" ht="18" customHeight="1" s="74">
      <c r="A238" s="38" t="n"/>
      <c r="B238" s="38" t="n"/>
      <c r="C238" s="38" t="n"/>
      <c r="D238" s="38" t="n"/>
      <c r="E238" s="39" t="n"/>
      <c r="F238" s="39" t="n"/>
      <c r="G238" s="39" t="n"/>
      <c r="H238" s="39" t="n"/>
      <c r="I238" s="39" t="n"/>
      <c r="J238" s="39" t="n"/>
      <c r="K238" s="39" t="n"/>
      <c r="L238" s="39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39" t="n"/>
      <c r="V238" s="39" t="n"/>
      <c r="W238" s="34" t="n"/>
      <c r="X238" s="39" t="n"/>
      <c r="Y238" s="40" t="n"/>
      <c r="Z238" s="38" t="n"/>
      <c r="AA238" s="38" t="n"/>
      <c r="AB238" s="41">
        <f>IF(A238="","",IF(COUNTIF($A$6:$A$504,A238)&gt;1,"⚠ Duplicate",""))</f>
        <v/>
      </c>
      <c r="AC238" s="42" t="n"/>
      <c r="AD238" s="42" t="n"/>
      <c r="AE238" s="42" t="n"/>
      <c r="AF238" s="42" t="n"/>
      <c r="AG238" s="42" t="n"/>
      <c r="AH238" s="42" t="n"/>
      <c r="AI238" s="42" t="n"/>
      <c r="AJ238" s="42" t="n"/>
      <c r="AK238" s="42" t="n"/>
      <c r="AL238" s="42" t="n"/>
      <c r="AM238" s="42" t="n"/>
      <c r="AN238" s="42" t="n"/>
      <c r="AO238" s="42" t="n"/>
      <c r="AP238" s="42" t="n"/>
    </row>
    <row r="239" ht="18" customHeight="1" s="74">
      <c r="A239" s="32" t="n"/>
      <c r="B239" s="32" t="n"/>
      <c r="C239" s="32" t="n"/>
      <c r="D239" s="32" t="n"/>
      <c r="E239" s="33" t="n"/>
      <c r="F239" s="33" t="n"/>
      <c r="G239" s="33" t="n"/>
      <c r="H239" s="33" t="n"/>
      <c r="I239" s="33" t="n"/>
      <c r="J239" s="33" t="n"/>
      <c r="K239" s="33" t="n"/>
      <c r="L239" s="33" t="n"/>
      <c r="M239" s="33" t="n"/>
      <c r="N239" s="33" t="n"/>
      <c r="O239" s="33" t="n"/>
      <c r="P239" s="33" t="n"/>
      <c r="Q239" s="33" t="n"/>
      <c r="R239" s="33" t="n"/>
      <c r="S239" s="33" t="n"/>
      <c r="T239" s="33" t="n"/>
      <c r="U239" s="33" t="n"/>
      <c r="V239" s="33" t="n"/>
      <c r="W239" s="34" t="n"/>
      <c r="X239" s="33" t="n"/>
      <c r="Y239" s="35" t="n"/>
      <c r="Z239" s="32" t="n"/>
      <c r="AA239" s="32" t="n"/>
      <c r="AB239" s="36">
        <f>IF(A239="","",IF(COUNTIF($A$6:$A$504,A239)&gt;1,"⚠ Duplicate",""))</f>
        <v/>
      </c>
      <c r="AC239" s="43" t="n"/>
      <c r="AD239" s="43" t="n"/>
      <c r="AE239" s="43" t="n"/>
      <c r="AF239" s="43" t="n"/>
      <c r="AG239" s="43" t="n"/>
      <c r="AH239" s="43" t="n"/>
      <c r="AI239" s="43" t="n"/>
      <c r="AJ239" s="43" t="n"/>
      <c r="AK239" s="43" t="n"/>
      <c r="AL239" s="43" t="n"/>
      <c r="AM239" s="43" t="n"/>
      <c r="AN239" s="43" t="n"/>
      <c r="AO239" s="43" t="n"/>
      <c r="AP239" s="43" t="n"/>
    </row>
    <row r="240" ht="18" customHeight="1" s="74">
      <c r="A240" s="38" t="n"/>
      <c r="B240" s="38" t="n"/>
      <c r="C240" s="38" t="n"/>
      <c r="D240" s="38" t="n"/>
      <c r="E240" s="39" t="n"/>
      <c r="F240" s="39" t="n"/>
      <c r="G240" s="39" t="n"/>
      <c r="H240" s="39" t="n"/>
      <c r="I240" s="39" t="n"/>
      <c r="J240" s="39" t="n"/>
      <c r="K240" s="39" t="n"/>
      <c r="L240" s="39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39" t="n"/>
      <c r="V240" s="39" t="n"/>
      <c r="W240" s="34" t="n"/>
      <c r="X240" s="39" t="n"/>
      <c r="Y240" s="40" t="n"/>
      <c r="Z240" s="38" t="n"/>
      <c r="AA240" s="38" t="n"/>
      <c r="AB240" s="41">
        <f>IF(A240="","",IF(COUNTIF($A$6:$A$504,A240)&gt;1,"⚠ Duplicate",""))</f>
        <v/>
      </c>
      <c r="AC240" s="42" t="n"/>
      <c r="AD240" s="42" t="n"/>
      <c r="AE240" s="42" t="n"/>
      <c r="AF240" s="42" t="n"/>
      <c r="AG240" s="42" t="n"/>
      <c r="AH240" s="42" t="n"/>
      <c r="AI240" s="42" t="n"/>
      <c r="AJ240" s="42" t="n"/>
      <c r="AK240" s="42" t="n"/>
      <c r="AL240" s="42" t="n"/>
      <c r="AM240" s="42" t="n"/>
      <c r="AN240" s="42" t="n"/>
      <c r="AO240" s="42" t="n"/>
      <c r="AP240" s="42" t="n"/>
    </row>
    <row r="241" ht="18" customHeight="1" s="74">
      <c r="A241" s="32" t="n"/>
      <c r="B241" s="32" t="n"/>
      <c r="C241" s="32" t="n"/>
      <c r="D241" s="32" t="n"/>
      <c r="E241" s="33" t="n"/>
      <c r="F241" s="33" t="n"/>
      <c r="G241" s="33" t="n"/>
      <c r="H241" s="33" t="n"/>
      <c r="I241" s="33" t="n"/>
      <c r="J241" s="33" t="n"/>
      <c r="K241" s="33" t="n"/>
      <c r="L241" s="33" t="n"/>
      <c r="M241" s="33" t="n"/>
      <c r="N241" s="33" t="n"/>
      <c r="O241" s="33" t="n"/>
      <c r="P241" s="33" t="n"/>
      <c r="Q241" s="33" t="n"/>
      <c r="R241" s="33" t="n"/>
      <c r="S241" s="33" t="n"/>
      <c r="T241" s="33" t="n"/>
      <c r="U241" s="33" t="n"/>
      <c r="V241" s="33" t="n"/>
      <c r="W241" s="34" t="n"/>
      <c r="X241" s="33" t="n"/>
      <c r="Y241" s="35" t="n"/>
      <c r="Z241" s="32" t="n"/>
      <c r="AA241" s="32" t="n"/>
      <c r="AB241" s="36">
        <f>IF(A241="","",IF(COUNTIF($A$6:$A$504,A241)&gt;1,"⚠ Duplicate",""))</f>
        <v/>
      </c>
      <c r="AC241" s="43" t="n"/>
      <c r="AD241" s="43" t="n"/>
      <c r="AE241" s="43" t="n"/>
      <c r="AF241" s="43" t="n"/>
      <c r="AG241" s="43" t="n"/>
      <c r="AH241" s="43" t="n"/>
      <c r="AI241" s="43" t="n"/>
      <c r="AJ241" s="43" t="n"/>
      <c r="AK241" s="43" t="n"/>
      <c r="AL241" s="43" t="n"/>
      <c r="AM241" s="43" t="n"/>
      <c r="AN241" s="43" t="n"/>
      <c r="AO241" s="43" t="n"/>
      <c r="AP241" s="43" t="n"/>
    </row>
    <row r="242" ht="18" customHeight="1" s="74">
      <c r="A242" s="38" t="n"/>
      <c r="B242" s="38" t="n"/>
      <c r="C242" s="38" t="n"/>
      <c r="D242" s="38" t="n"/>
      <c r="E242" s="39" t="n"/>
      <c r="F242" s="39" t="n"/>
      <c r="G242" s="39" t="n"/>
      <c r="H242" s="39" t="n"/>
      <c r="I242" s="39" t="n"/>
      <c r="J242" s="39" t="n"/>
      <c r="K242" s="39" t="n"/>
      <c r="L242" s="39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39" t="n"/>
      <c r="V242" s="39" t="n"/>
      <c r="W242" s="34" t="n"/>
      <c r="X242" s="39" t="n"/>
      <c r="Y242" s="40" t="n"/>
      <c r="Z242" s="38" t="n"/>
      <c r="AA242" s="38" t="n"/>
      <c r="AB242" s="41">
        <f>IF(A242="","",IF(COUNTIF($A$6:$A$504,A242)&gt;1,"⚠ Duplicate",""))</f>
        <v/>
      </c>
      <c r="AC242" s="42" t="n"/>
      <c r="AD242" s="42" t="n"/>
      <c r="AE242" s="42" t="n"/>
      <c r="AF242" s="42" t="n"/>
      <c r="AG242" s="42" t="n"/>
      <c r="AH242" s="42" t="n"/>
      <c r="AI242" s="42" t="n"/>
      <c r="AJ242" s="42" t="n"/>
      <c r="AK242" s="42" t="n"/>
      <c r="AL242" s="42" t="n"/>
      <c r="AM242" s="42" t="n"/>
      <c r="AN242" s="42" t="n"/>
      <c r="AO242" s="42" t="n"/>
      <c r="AP242" s="42" t="n"/>
    </row>
    <row r="243" ht="18" customHeight="1" s="74">
      <c r="A243" s="32" t="n"/>
      <c r="B243" s="32" t="n"/>
      <c r="C243" s="32" t="n"/>
      <c r="D243" s="32" t="n"/>
      <c r="E243" s="33" t="n"/>
      <c r="F243" s="33" t="n"/>
      <c r="G243" s="33" t="n"/>
      <c r="H243" s="33" t="n"/>
      <c r="I243" s="33" t="n"/>
      <c r="J243" s="33" t="n"/>
      <c r="K243" s="33" t="n"/>
      <c r="L243" s="33" t="n"/>
      <c r="M243" s="33" t="n"/>
      <c r="N243" s="33" t="n"/>
      <c r="O243" s="33" t="n"/>
      <c r="P243" s="33" t="n"/>
      <c r="Q243" s="33" t="n"/>
      <c r="R243" s="33" t="n"/>
      <c r="S243" s="33" t="n"/>
      <c r="T243" s="33" t="n"/>
      <c r="U243" s="33" t="n"/>
      <c r="V243" s="33" t="n"/>
      <c r="W243" s="34" t="n"/>
      <c r="X243" s="33" t="n"/>
      <c r="Y243" s="35" t="n"/>
      <c r="Z243" s="32" t="n"/>
      <c r="AA243" s="32" t="n"/>
      <c r="AB243" s="36">
        <f>IF(A243="","",IF(COUNTIF($A$6:$A$504,A243)&gt;1,"⚠ Duplicate",""))</f>
        <v/>
      </c>
      <c r="AC243" s="43" t="n"/>
      <c r="AD243" s="43" t="n"/>
      <c r="AE243" s="43" t="n"/>
      <c r="AF243" s="43" t="n"/>
      <c r="AG243" s="43" t="n"/>
      <c r="AH243" s="43" t="n"/>
      <c r="AI243" s="43" t="n"/>
      <c r="AJ243" s="43" t="n"/>
      <c r="AK243" s="43" t="n"/>
      <c r="AL243" s="43" t="n"/>
      <c r="AM243" s="43" t="n"/>
      <c r="AN243" s="43" t="n"/>
      <c r="AO243" s="43" t="n"/>
      <c r="AP243" s="43" t="n"/>
    </row>
    <row r="244" ht="18" customHeight="1" s="74">
      <c r="A244" s="38" t="n"/>
      <c r="B244" s="38" t="n"/>
      <c r="C244" s="38" t="n"/>
      <c r="D244" s="38" t="n"/>
      <c r="E244" s="39" t="n"/>
      <c r="F244" s="39" t="n"/>
      <c r="G244" s="39" t="n"/>
      <c r="H244" s="39" t="n"/>
      <c r="I244" s="39" t="n"/>
      <c r="J244" s="39" t="n"/>
      <c r="K244" s="39" t="n"/>
      <c r="L244" s="39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39" t="n"/>
      <c r="V244" s="39" t="n"/>
      <c r="W244" s="34" t="n"/>
      <c r="X244" s="39" t="n"/>
      <c r="Y244" s="40" t="n"/>
      <c r="Z244" s="38" t="n"/>
      <c r="AA244" s="38" t="n"/>
      <c r="AB244" s="41">
        <f>IF(A244="","",IF(COUNTIF($A$6:$A$504,A244)&gt;1,"⚠ Duplicate",""))</f>
        <v/>
      </c>
      <c r="AC244" s="42" t="n"/>
      <c r="AD244" s="42" t="n"/>
      <c r="AE244" s="42" t="n"/>
      <c r="AF244" s="42" t="n"/>
      <c r="AG244" s="42" t="n"/>
      <c r="AH244" s="42" t="n"/>
      <c r="AI244" s="42" t="n"/>
      <c r="AJ244" s="42" t="n"/>
      <c r="AK244" s="42" t="n"/>
      <c r="AL244" s="42" t="n"/>
      <c r="AM244" s="42" t="n"/>
      <c r="AN244" s="42" t="n"/>
      <c r="AO244" s="42" t="n"/>
      <c r="AP244" s="42" t="n"/>
    </row>
    <row r="245" ht="18" customHeight="1" s="74">
      <c r="A245" s="32" t="n"/>
      <c r="B245" s="32" t="n"/>
      <c r="C245" s="32" t="n"/>
      <c r="D245" s="32" t="n"/>
      <c r="E245" s="33" t="n"/>
      <c r="F245" s="33" t="n"/>
      <c r="G245" s="33" t="n"/>
      <c r="H245" s="33" t="n"/>
      <c r="I245" s="33" t="n"/>
      <c r="J245" s="33" t="n"/>
      <c r="K245" s="33" t="n"/>
      <c r="L245" s="33" t="n"/>
      <c r="M245" s="33" t="n"/>
      <c r="N245" s="33" t="n"/>
      <c r="O245" s="33" t="n"/>
      <c r="P245" s="33" t="n"/>
      <c r="Q245" s="33" t="n"/>
      <c r="R245" s="33" t="n"/>
      <c r="S245" s="33" t="n"/>
      <c r="T245" s="33" t="n"/>
      <c r="U245" s="33" t="n"/>
      <c r="V245" s="33" t="n"/>
      <c r="W245" s="34" t="n"/>
      <c r="X245" s="33" t="n"/>
      <c r="Y245" s="35" t="n"/>
      <c r="Z245" s="32" t="n"/>
      <c r="AA245" s="32" t="n"/>
      <c r="AB245" s="36">
        <f>IF(A245="","",IF(COUNTIF($A$6:$A$504,A245)&gt;1,"⚠ Duplicate",""))</f>
        <v/>
      </c>
      <c r="AC245" s="43" t="n"/>
      <c r="AD245" s="43" t="n"/>
      <c r="AE245" s="43" t="n"/>
      <c r="AF245" s="43" t="n"/>
      <c r="AG245" s="43" t="n"/>
      <c r="AH245" s="43" t="n"/>
      <c r="AI245" s="43" t="n"/>
      <c r="AJ245" s="43" t="n"/>
      <c r="AK245" s="43" t="n"/>
      <c r="AL245" s="43" t="n"/>
      <c r="AM245" s="43" t="n"/>
      <c r="AN245" s="43" t="n"/>
      <c r="AO245" s="43" t="n"/>
      <c r="AP245" s="43" t="n"/>
    </row>
    <row r="246" ht="18" customHeight="1" s="74">
      <c r="A246" s="38" t="n"/>
      <c r="B246" s="38" t="n"/>
      <c r="C246" s="38" t="n"/>
      <c r="D246" s="38" t="n"/>
      <c r="E246" s="39" t="n"/>
      <c r="F246" s="39" t="n"/>
      <c r="G246" s="39" t="n"/>
      <c r="H246" s="39" t="n"/>
      <c r="I246" s="39" t="n"/>
      <c r="J246" s="39" t="n"/>
      <c r="K246" s="39" t="n"/>
      <c r="L246" s="39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39" t="n"/>
      <c r="V246" s="39" t="n"/>
      <c r="W246" s="34" t="n"/>
      <c r="X246" s="39" t="n"/>
      <c r="Y246" s="40" t="n"/>
      <c r="Z246" s="38" t="n"/>
      <c r="AA246" s="38" t="n"/>
      <c r="AB246" s="41">
        <f>IF(A246="","",IF(COUNTIF($A$6:$A$504,A246)&gt;1,"⚠ Duplicate",""))</f>
        <v/>
      </c>
      <c r="AC246" s="42" t="n"/>
      <c r="AD246" s="42" t="n"/>
      <c r="AE246" s="42" t="n"/>
      <c r="AF246" s="42" t="n"/>
      <c r="AG246" s="42" t="n"/>
      <c r="AH246" s="42" t="n"/>
      <c r="AI246" s="42" t="n"/>
      <c r="AJ246" s="42" t="n"/>
      <c r="AK246" s="42" t="n"/>
      <c r="AL246" s="42" t="n"/>
      <c r="AM246" s="42" t="n"/>
      <c r="AN246" s="42" t="n"/>
      <c r="AO246" s="42" t="n"/>
      <c r="AP246" s="42" t="n"/>
    </row>
    <row r="247" ht="18" customHeight="1" s="74">
      <c r="A247" s="32" t="n"/>
      <c r="B247" s="32" t="n"/>
      <c r="C247" s="32" t="n"/>
      <c r="D247" s="32" t="n"/>
      <c r="E247" s="33" t="n"/>
      <c r="F247" s="33" t="n"/>
      <c r="G247" s="33" t="n"/>
      <c r="H247" s="33" t="n"/>
      <c r="I247" s="33" t="n"/>
      <c r="J247" s="33" t="n"/>
      <c r="K247" s="33" t="n"/>
      <c r="L247" s="33" t="n"/>
      <c r="M247" s="33" t="n"/>
      <c r="N247" s="33" t="n"/>
      <c r="O247" s="33" t="n"/>
      <c r="P247" s="33" t="n"/>
      <c r="Q247" s="33" t="n"/>
      <c r="R247" s="33" t="n"/>
      <c r="S247" s="33" t="n"/>
      <c r="T247" s="33" t="n"/>
      <c r="U247" s="33" t="n"/>
      <c r="V247" s="33" t="n"/>
      <c r="W247" s="34" t="n"/>
      <c r="X247" s="33" t="n"/>
      <c r="Y247" s="35" t="n"/>
      <c r="Z247" s="32" t="n"/>
      <c r="AA247" s="32" t="n"/>
      <c r="AB247" s="36">
        <f>IF(A247="","",IF(COUNTIF($A$6:$A$504,A247)&gt;1,"⚠ Duplicate",""))</f>
        <v/>
      </c>
      <c r="AC247" s="43" t="n"/>
      <c r="AD247" s="43" t="n"/>
      <c r="AE247" s="43" t="n"/>
      <c r="AF247" s="43" t="n"/>
      <c r="AG247" s="43" t="n"/>
      <c r="AH247" s="43" t="n"/>
      <c r="AI247" s="43" t="n"/>
      <c r="AJ247" s="43" t="n"/>
      <c r="AK247" s="43" t="n"/>
      <c r="AL247" s="43" t="n"/>
      <c r="AM247" s="43" t="n"/>
      <c r="AN247" s="43" t="n"/>
      <c r="AO247" s="43" t="n"/>
      <c r="AP247" s="43" t="n"/>
    </row>
    <row r="248" ht="18" customHeight="1" s="74">
      <c r="A248" s="38" t="n"/>
      <c r="B248" s="38" t="n"/>
      <c r="C248" s="38" t="n"/>
      <c r="D248" s="38" t="n"/>
      <c r="E248" s="39" t="n"/>
      <c r="F248" s="39" t="n"/>
      <c r="G248" s="39" t="n"/>
      <c r="H248" s="39" t="n"/>
      <c r="I248" s="39" t="n"/>
      <c r="J248" s="39" t="n"/>
      <c r="K248" s="39" t="n"/>
      <c r="L248" s="39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39" t="n"/>
      <c r="V248" s="39" t="n"/>
      <c r="W248" s="34" t="n"/>
      <c r="X248" s="39" t="n"/>
      <c r="Y248" s="40" t="n"/>
      <c r="Z248" s="38" t="n"/>
      <c r="AA248" s="38" t="n"/>
      <c r="AB248" s="41">
        <f>IF(A248="","",IF(COUNTIF($A$6:$A$504,A248)&gt;1,"⚠ Duplicate",""))</f>
        <v/>
      </c>
      <c r="AC248" s="42" t="n"/>
      <c r="AD248" s="42" t="n"/>
      <c r="AE248" s="42" t="n"/>
      <c r="AF248" s="42" t="n"/>
      <c r="AG248" s="42" t="n"/>
      <c r="AH248" s="42" t="n"/>
      <c r="AI248" s="42" t="n"/>
      <c r="AJ248" s="42" t="n"/>
      <c r="AK248" s="42" t="n"/>
      <c r="AL248" s="42" t="n"/>
      <c r="AM248" s="42" t="n"/>
      <c r="AN248" s="42" t="n"/>
      <c r="AO248" s="42" t="n"/>
      <c r="AP248" s="42" t="n"/>
    </row>
    <row r="249" ht="18" customHeight="1" s="74">
      <c r="A249" s="32" t="n"/>
      <c r="B249" s="32" t="n"/>
      <c r="C249" s="32" t="n"/>
      <c r="D249" s="32" t="n"/>
      <c r="E249" s="33" t="n"/>
      <c r="F249" s="33" t="n"/>
      <c r="G249" s="33" t="n"/>
      <c r="H249" s="33" t="n"/>
      <c r="I249" s="33" t="n"/>
      <c r="J249" s="33" t="n"/>
      <c r="K249" s="33" t="n"/>
      <c r="L249" s="33" t="n"/>
      <c r="M249" s="33" t="n"/>
      <c r="N249" s="33" t="n"/>
      <c r="O249" s="33" t="n"/>
      <c r="P249" s="33" t="n"/>
      <c r="Q249" s="33" t="n"/>
      <c r="R249" s="33" t="n"/>
      <c r="S249" s="33" t="n"/>
      <c r="T249" s="33" t="n"/>
      <c r="U249" s="33" t="n"/>
      <c r="V249" s="33" t="n"/>
      <c r="W249" s="34" t="n"/>
      <c r="X249" s="33" t="n"/>
      <c r="Y249" s="35" t="n"/>
      <c r="Z249" s="32" t="n"/>
      <c r="AA249" s="32" t="n"/>
      <c r="AB249" s="36">
        <f>IF(A249="","",IF(COUNTIF($A$6:$A$504,A249)&gt;1,"⚠ Duplicate",""))</f>
        <v/>
      </c>
      <c r="AC249" s="43" t="n"/>
      <c r="AD249" s="43" t="n"/>
      <c r="AE249" s="43" t="n"/>
      <c r="AF249" s="43" t="n"/>
      <c r="AG249" s="43" t="n"/>
      <c r="AH249" s="43" t="n"/>
      <c r="AI249" s="43" t="n"/>
      <c r="AJ249" s="43" t="n"/>
      <c r="AK249" s="43" t="n"/>
      <c r="AL249" s="43" t="n"/>
      <c r="AM249" s="43" t="n"/>
      <c r="AN249" s="43" t="n"/>
      <c r="AO249" s="43" t="n"/>
      <c r="AP249" s="43" t="n"/>
    </row>
    <row r="250" ht="18" customHeight="1" s="74">
      <c r="A250" s="38" t="n"/>
      <c r="B250" s="38" t="n"/>
      <c r="C250" s="38" t="n"/>
      <c r="D250" s="38" t="n"/>
      <c r="E250" s="39" t="n"/>
      <c r="F250" s="39" t="n"/>
      <c r="G250" s="39" t="n"/>
      <c r="H250" s="39" t="n"/>
      <c r="I250" s="39" t="n"/>
      <c r="J250" s="39" t="n"/>
      <c r="K250" s="39" t="n"/>
      <c r="L250" s="39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4" t="n"/>
      <c r="X250" s="39" t="n"/>
      <c r="Y250" s="40" t="n"/>
      <c r="Z250" s="38" t="n"/>
      <c r="AA250" s="38" t="n"/>
      <c r="AB250" s="41">
        <f>IF(A250="","",IF(COUNTIF($A$6:$A$504,A250)&gt;1,"⚠ Duplicate",""))</f>
        <v/>
      </c>
      <c r="AC250" s="42" t="n"/>
      <c r="AD250" s="42" t="n"/>
      <c r="AE250" s="42" t="n"/>
      <c r="AF250" s="42" t="n"/>
      <c r="AG250" s="42" t="n"/>
      <c r="AH250" s="42" t="n"/>
      <c r="AI250" s="42" t="n"/>
      <c r="AJ250" s="42" t="n"/>
      <c r="AK250" s="42" t="n"/>
      <c r="AL250" s="42" t="n"/>
      <c r="AM250" s="42" t="n"/>
      <c r="AN250" s="42" t="n"/>
      <c r="AO250" s="42" t="n"/>
      <c r="AP250" s="42" t="n"/>
    </row>
    <row r="251" ht="18" customHeight="1" s="74">
      <c r="A251" s="32" t="n"/>
      <c r="B251" s="32" t="n"/>
      <c r="C251" s="32" t="n"/>
      <c r="D251" s="32" t="n"/>
      <c r="E251" s="33" t="n"/>
      <c r="F251" s="33" t="n"/>
      <c r="G251" s="33" t="n"/>
      <c r="H251" s="33" t="n"/>
      <c r="I251" s="33" t="n"/>
      <c r="J251" s="33" t="n"/>
      <c r="K251" s="33" t="n"/>
      <c r="L251" s="33" t="n"/>
      <c r="M251" s="33" t="n"/>
      <c r="N251" s="33" t="n"/>
      <c r="O251" s="33" t="n"/>
      <c r="P251" s="33" t="n"/>
      <c r="Q251" s="33" t="n"/>
      <c r="R251" s="33" t="n"/>
      <c r="S251" s="33" t="n"/>
      <c r="T251" s="33" t="n"/>
      <c r="U251" s="33" t="n"/>
      <c r="V251" s="33" t="n"/>
      <c r="W251" s="34" t="n"/>
      <c r="X251" s="33" t="n"/>
      <c r="Y251" s="35" t="n"/>
      <c r="Z251" s="32" t="n"/>
      <c r="AA251" s="32" t="n"/>
      <c r="AB251" s="36">
        <f>IF(A251="","",IF(COUNTIF($A$6:$A$504,A251)&gt;1,"⚠ Duplicate",""))</f>
        <v/>
      </c>
      <c r="AC251" s="43" t="n"/>
      <c r="AD251" s="43" t="n"/>
      <c r="AE251" s="43" t="n"/>
      <c r="AF251" s="43" t="n"/>
      <c r="AG251" s="43" t="n"/>
      <c r="AH251" s="43" t="n"/>
      <c r="AI251" s="43" t="n"/>
      <c r="AJ251" s="43" t="n"/>
      <c r="AK251" s="43" t="n"/>
      <c r="AL251" s="43" t="n"/>
      <c r="AM251" s="43" t="n"/>
      <c r="AN251" s="43" t="n"/>
      <c r="AO251" s="43" t="n"/>
      <c r="AP251" s="43" t="n"/>
    </row>
    <row r="252" ht="18" customHeight="1" s="74">
      <c r="A252" s="38" t="n"/>
      <c r="B252" s="38" t="n"/>
      <c r="C252" s="38" t="n"/>
      <c r="D252" s="38" t="n"/>
      <c r="E252" s="39" t="n"/>
      <c r="F252" s="39" t="n"/>
      <c r="G252" s="39" t="n"/>
      <c r="H252" s="39" t="n"/>
      <c r="I252" s="39" t="n"/>
      <c r="J252" s="39" t="n"/>
      <c r="K252" s="39" t="n"/>
      <c r="L252" s="39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39" t="n"/>
      <c r="V252" s="39" t="n"/>
      <c r="W252" s="34" t="n"/>
      <c r="X252" s="39" t="n"/>
      <c r="Y252" s="40" t="n"/>
      <c r="Z252" s="38" t="n"/>
      <c r="AA252" s="38" t="n"/>
      <c r="AB252" s="41">
        <f>IF(A252="","",IF(COUNTIF($A$6:$A$504,A252)&gt;1,"⚠ Duplicate",""))</f>
        <v/>
      </c>
      <c r="AC252" s="42" t="n"/>
      <c r="AD252" s="42" t="n"/>
      <c r="AE252" s="42" t="n"/>
      <c r="AF252" s="42" t="n"/>
      <c r="AG252" s="42" t="n"/>
      <c r="AH252" s="42" t="n"/>
      <c r="AI252" s="42" t="n"/>
      <c r="AJ252" s="42" t="n"/>
      <c r="AK252" s="42" t="n"/>
      <c r="AL252" s="42" t="n"/>
      <c r="AM252" s="42" t="n"/>
      <c r="AN252" s="42" t="n"/>
      <c r="AO252" s="42" t="n"/>
      <c r="AP252" s="42" t="n"/>
    </row>
    <row r="253" ht="18" customHeight="1" s="74">
      <c r="A253" s="32" t="n"/>
      <c r="B253" s="32" t="n"/>
      <c r="C253" s="32" t="n"/>
      <c r="D253" s="32" t="n"/>
      <c r="E253" s="33" t="n"/>
      <c r="F253" s="33" t="n"/>
      <c r="G253" s="33" t="n"/>
      <c r="H253" s="33" t="n"/>
      <c r="I253" s="33" t="n"/>
      <c r="J253" s="33" t="n"/>
      <c r="K253" s="33" t="n"/>
      <c r="L253" s="33" t="n"/>
      <c r="M253" s="33" t="n"/>
      <c r="N253" s="33" t="n"/>
      <c r="O253" s="33" t="n"/>
      <c r="P253" s="33" t="n"/>
      <c r="Q253" s="33" t="n"/>
      <c r="R253" s="33" t="n"/>
      <c r="S253" s="33" t="n"/>
      <c r="T253" s="33" t="n"/>
      <c r="U253" s="33" t="n"/>
      <c r="V253" s="33" t="n"/>
      <c r="W253" s="34" t="n"/>
      <c r="X253" s="33" t="n"/>
      <c r="Y253" s="35" t="n"/>
      <c r="Z253" s="32" t="n"/>
      <c r="AA253" s="32" t="n"/>
      <c r="AB253" s="36">
        <f>IF(A253="","",IF(COUNTIF($A$6:$A$504,A253)&gt;1,"⚠ Duplicate",""))</f>
        <v/>
      </c>
      <c r="AC253" s="43" t="n"/>
      <c r="AD253" s="43" t="n"/>
      <c r="AE253" s="43" t="n"/>
      <c r="AF253" s="43" t="n"/>
      <c r="AG253" s="43" t="n"/>
      <c r="AH253" s="43" t="n"/>
      <c r="AI253" s="43" t="n"/>
      <c r="AJ253" s="43" t="n"/>
      <c r="AK253" s="43" t="n"/>
      <c r="AL253" s="43" t="n"/>
      <c r="AM253" s="43" t="n"/>
      <c r="AN253" s="43" t="n"/>
      <c r="AO253" s="43" t="n"/>
      <c r="AP253" s="43" t="n"/>
    </row>
    <row r="254" ht="18" customHeight="1" s="74">
      <c r="A254" s="38" t="n"/>
      <c r="B254" s="38" t="n"/>
      <c r="C254" s="38" t="n"/>
      <c r="D254" s="38" t="n"/>
      <c r="E254" s="39" t="n"/>
      <c r="F254" s="39" t="n"/>
      <c r="G254" s="39" t="n"/>
      <c r="H254" s="39" t="n"/>
      <c r="I254" s="39" t="n"/>
      <c r="J254" s="39" t="n"/>
      <c r="K254" s="39" t="n"/>
      <c r="L254" s="39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39" t="n"/>
      <c r="V254" s="39" t="n"/>
      <c r="W254" s="34" t="n"/>
      <c r="X254" s="39" t="n"/>
      <c r="Y254" s="40" t="n"/>
      <c r="Z254" s="38" t="n"/>
      <c r="AA254" s="38" t="n"/>
      <c r="AB254" s="41">
        <f>IF(A254="","",IF(COUNTIF($A$6:$A$504,A254)&gt;1,"⚠ Duplicate",""))</f>
        <v/>
      </c>
      <c r="AC254" s="42" t="n"/>
      <c r="AD254" s="42" t="n"/>
      <c r="AE254" s="42" t="n"/>
      <c r="AF254" s="42" t="n"/>
      <c r="AG254" s="42" t="n"/>
      <c r="AH254" s="42" t="n"/>
      <c r="AI254" s="42" t="n"/>
      <c r="AJ254" s="42" t="n"/>
      <c r="AK254" s="42" t="n"/>
      <c r="AL254" s="42" t="n"/>
      <c r="AM254" s="42" t="n"/>
      <c r="AN254" s="42" t="n"/>
      <c r="AO254" s="42" t="n"/>
      <c r="AP254" s="42" t="n"/>
    </row>
    <row r="255" ht="18" customHeight="1" s="74">
      <c r="A255" s="32" t="n"/>
      <c r="B255" s="32" t="n"/>
      <c r="C255" s="32" t="n"/>
      <c r="D255" s="32" t="n"/>
      <c r="E255" s="33" t="n"/>
      <c r="F255" s="33" t="n"/>
      <c r="G255" s="33" t="n"/>
      <c r="H255" s="33" t="n"/>
      <c r="I255" s="33" t="n"/>
      <c r="J255" s="33" t="n"/>
      <c r="K255" s="33" t="n"/>
      <c r="L255" s="33" t="n"/>
      <c r="M255" s="33" t="n"/>
      <c r="N255" s="33" t="n"/>
      <c r="O255" s="33" t="n"/>
      <c r="P255" s="33" t="n"/>
      <c r="Q255" s="33" t="n"/>
      <c r="R255" s="33" t="n"/>
      <c r="S255" s="33" t="n"/>
      <c r="T255" s="33" t="n"/>
      <c r="U255" s="33" t="n"/>
      <c r="V255" s="33" t="n"/>
      <c r="W255" s="34" t="n"/>
      <c r="X255" s="33" t="n"/>
      <c r="Y255" s="35" t="n"/>
      <c r="Z255" s="32" t="n"/>
      <c r="AA255" s="32" t="n"/>
      <c r="AB255" s="36">
        <f>IF(A255="","",IF(COUNTIF($A$6:$A$504,A255)&gt;1,"⚠ Duplicate",""))</f>
        <v/>
      </c>
      <c r="AC255" s="43" t="n"/>
      <c r="AD255" s="43" t="n"/>
      <c r="AE255" s="43" t="n"/>
      <c r="AF255" s="43" t="n"/>
      <c r="AG255" s="43" t="n"/>
      <c r="AH255" s="43" t="n"/>
      <c r="AI255" s="43" t="n"/>
      <c r="AJ255" s="43" t="n"/>
      <c r="AK255" s="43" t="n"/>
      <c r="AL255" s="43" t="n"/>
      <c r="AM255" s="43" t="n"/>
      <c r="AN255" s="43" t="n"/>
      <c r="AO255" s="43" t="n"/>
      <c r="AP255" s="43" t="n"/>
    </row>
    <row r="256" ht="18" customHeight="1" s="74">
      <c r="A256" s="38" t="n"/>
      <c r="B256" s="38" t="n"/>
      <c r="C256" s="38" t="n"/>
      <c r="D256" s="38" t="n"/>
      <c r="E256" s="39" t="n"/>
      <c r="F256" s="39" t="n"/>
      <c r="G256" s="39" t="n"/>
      <c r="H256" s="39" t="n"/>
      <c r="I256" s="39" t="n"/>
      <c r="J256" s="39" t="n"/>
      <c r="K256" s="39" t="n"/>
      <c r="L256" s="39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39" t="n"/>
      <c r="V256" s="39" t="n"/>
      <c r="W256" s="34" t="n"/>
      <c r="X256" s="39" t="n"/>
      <c r="Y256" s="40" t="n"/>
      <c r="Z256" s="38" t="n"/>
      <c r="AA256" s="38" t="n"/>
      <c r="AB256" s="41">
        <f>IF(A256="","",IF(COUNTIF($A$6:$A$504,A256)&gt;1,"⚠ Duplicate",""))</f>
        <v/>
      </c>
      <c r="AC256" s="42" t="n"/>
      <c r="AD256" s="42" t="n"/>
      <c r="AE256" s="42" t="n"/>
      <c r="AF256" s="42" t="n"/>
      <c r="AG256" s="42" t="n"/>
      <c r="AH256" s="42" t="n"/>
      <c r="AI256" s="42" t="n"/>
      <c r="AJ256" s="42" t="n"/>
      <c r="AK256" s="42" t="n"/>
      <c r="AL256" s="42" t="n"/>
      <c r="AM256" s="42" t="n"/>
      <c r="AN256" s="42" t="n"/>
      <c r="AO256" s="42" t="n"/>
      <c r="AP256" s="42" t="n"/>
    </row>
    <row r="257" ht="18" customHeight="1" s="74">
      <c r="A257" s="32" t="n"/>
      <c r="B257" s="32" t="n"/>
      <c r="C257" s="32" t="n"/>
      <c r="D257" s="32" t="n"/>
      <c r="E257" s="33" t="n"/>
      <c r="F257" s="33" t="n"/>
      <c r="G257" s="33" t="n"/>
      <c r="H257" s="33" t="n"/>
      <c r="I257" s="33" t="n"/>
      <c r="J257" s="33" t="n"/>
      <c r="K257" s="33" t="n"/>
      <c r="L257" s="33" t="n"/>
      <c r="M257" s="33" t="n"/>
      <c r="N257" s="33" t="n"/>
      <c r="O257" s="33" t="n"/>
      <c r="P257" s="33" t="n"/>
      <c r="Q257" s="33" t="n"/>
      <c r="R257" s="33" t="n"/>
      <c r="S257" s="33" t="n"/>
      <c r="T257" s="33" t="n"/>
      <c r="U257" s="33" t="n"/>
      <c r="V257" s="33" t="n"/>
      <c r="W257" s="34" t="n"/>
      <c r="X257" s="33" t="n"/>
      <c r="Y257" s="35" t="n"/>
      <c r="Z257" s="32" t="n"/>
      <c r="AA257" s="32" t="n"/>
      <c r="AB257" s="36">
        <f>IF(A257="","",IF(COUNTIF($A$6:$A$504,A257)&gt;1,"⚠ Duplicate",""))</f>
        <v/>
      </c>
      <c r="AC257" s="43" t="n"/>
      <c r="AD257" s="43" t="n"/>
      <c r="AE257" s="43" t="n"/>
      <c r="AF257" s="43" t="n"/>
      <c r="AG257" s="43" t="n"/>
      <c r="AH257" s="43" t="n"/>
      <c r="AI257" s="43" t="n"/>
      <c r="AJ257" s="43" t="n"/>
      <c r="AK257" s="43" t="n"/>
      <c r="AL257" s="43" t="n"/>
      <c r="AM257" s="43" t="n"/>
      <c r="AN257" s="43" t="n"/>
      <c r="AO257" s="43" t="n"/>
      <c r="AP257" s="43" t="n"/>
    </row>
    <row r="258" ht="18" customHeight="1" s="74">
      <c r="A258" s="38" t="n"/>
      <c r="B258" s="38" t="n"/>
      <c r="C258" s="38" t="n"/>
      <c r="D258" s="38" t="n"/>
      <c r="E258" s="39" t="n"/>
      <c r="F258" s="39" t="n"/>
      <c r="G258" s="39" t="n"/>
      <c r="H258" s="39" t="n"/>
      <c r="I258" s="39" t="n"/>
      <c r="J258" s="39" t="n"/>
      <c r="K258" s="39" t="n"/>
      <c r="L258" s="39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39" t="n"/>
      <c r="V258" s="39" t="n"/>
      <c r="W258" s="34" t="n"/>
      <c r="X258" s="39" t="n"/>
      <c r="Y258" s="40" t="n"/>
      <c r="Z258" s="38" t="n"/>
      <c r="AA258" s="38" t="n"/>
      <c r="AB258" s="41">
        <f>IF(A258="","",IF(COUNTIF($A$6:$A$504,A258)&gt;1,"⚠ Duplicate",""))</f>
        <v/>
      </c>
      <c r="AC258" s="42" t="n"/>
      <c r="AD258" s="42" t="n"/>
      <c r="AE258" s="42" t="n"/>
      <c r="AF258" s="42" t="n"/>
      <c r="AG258" s="42" t="n"/>
      <c r="AH258" s="42" t="n"/>
      <c r="AI258" s="42" t="n"/>
      <c r="AJ258" s="42" t="n"/>
      <c r="AK258" s="42" t="n"/>
      <c r="AL258" s="42" t="n"/>
      <c r="AM258" s="42" t="n"/>
      <c r="AN258" s="42" t="n"/>
      <c r="AO258" s="42" t="n"/>
      <c r="AP258" s="42" t="n"/>
    </row>
    <row r="259" ht="18" customHeight="1" s="74">
      <c r="A259" s="32" t="n"/>
      <c r="B259" s="32" t="n"/>
      <c r="C259" s="32" t="n"/>
      <c r="D259" s="32" t="n"/>
      <c r="E259" s="33" t="n"/>
      <c r="F259" s="33" t="n"/>
      <c r="G259" s="33" t="n"/>
      <c r="H259" s="33" t="n"/>
      <c r="I259" s="33" t="n"/>
      <c r="J259" s="33" t="n"/>
      <c r="K259" s="33" t="n"/>
      <c r="L259" s="33" t="n"/>
      <c r="M259" s="33" t="n"/>
      <c r="N259" s="33" t="n"/>
      <c r="O259" s="33" t="n"/>
      <c r="P259" s="33" t="n"/>
      <c r="Q259" s="33" t="n"/>
      <c r="R259" s="33" t="n"/>
      <c r="S259" s="33" t="n"/>
      <c r="T259" s="33" t="n"/>
      <c r="U259" s="33" t="n"/>
      <c r="V259" s="33" t="n"/>
      <c r="W259" s="34" t="n"/>
      <c r="X259" s="33" t="n"/>
      <c r="Y259" s="35" t="n"/>
      <c r="Z259" s="32" t="n"/>
      <c r="AA259" s="32" t="n"/>
      <c r="AB259" s="36">
        <f>IF(A259="","",IF(COUNTIF($A$6:$A$504,A259)&gt;1,"⚠ Duplicate",""))</f>
        <v/>
      </c>
      <c r="AC259" s="43" t="n"/>
      <c r="AD259" s="43" t="n"/>
      <c r="AE259" s="43" t="n"/>
      <c r="AF259" s="43" t="n"/>
      <c r="AG259" s="43" t="n"/>
      <c r="AH259" s="43" t="n"/>
      <c r="AI259" s="43" t="n"/>
      <c r="AJ259" s="43" t="n"/>
      <c r="AK259" s="43" t="n"/>
      <c r="AL259" s="43" t="n"/>
      <c r="AM259" s="43" t="n"/>
      <c r="AN259" s="43" t="n"/>
      <c r="AO259" s="43" t="n"/>
      <c r="AP259" s="43" t="n"/>
    </row>
    <row r="260" ht="18" customHeight="1" s="74">
      <c r="A260" s="38" t="n"/>
      <c r="B260" s="38" t="n"/>
      <c r="C260" s="38" t="n"/>
      <c r="D260" s="38" t="n"/>
      <c r="E260" s="39" t="n"/>
      <c r="F260" s="39" t="n"/>
      <c r="G260" s="39" t="n"/>
      <c r="H260" s="39" t="n"/>
      <c r="I260" s="39" t="n"/>
      <c r="J260" s="39" t="n"/>
      <c r="K260" s="39" t="n"/>
      <c r="L260" s="39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39" t="n"/>
      <c r="V260" s="39" t="n"/>
      <c r="W260" s="34" t="n"/>
      <c r="X260" s="39" t="n"/>
      <c r="Y260" s="40" t="n"/>
      <c r="Z260" s="38" t="n"/>
      <c r="AA260" s="38" t="n"/>
      <c r="AB260" s="41">
        <f>IF(A260="","",IF(COUNTIF($A$6:$A$504,A260)&gt;1,"⚠ Duplicate",""))</f>
        <v/>
      </c>
      <c r="AC260" s="42" t="n"/>
      <c r="AD260" s="42" t="n"/>
      <c r="AE260" s="42" t="n"/>
      <c r="AF260" s="42" t="n"/>
      <c r="AG260" s="42" t="n"/>
      <c r="AH260" s="42" t="n"/>
      <c r="AI260" s="42" t="n"/>
      <c r="AJ260" s="42" t="n"/>
      <c r="AK260" s="42" t="n"/>
      <c r="AL260" s="42" t="n"/>
      <c r="AM260" s="42" t="n"/>
      <c r="AN260" s="42" t="n"/>
      <c r="AO260" s="42" t="n"/>
      <c r="AP260" s="42" t="n"/>
    </row>
    <row r="261" ht="18" customHeight="1" s="74">
      <c r="A261" s="32" t="n"/>
      <c r="B261" s="32" t="n"/>
      <c r="C261" s="32" t="n"/>
      <c r="D261" s="32" t="n"/>
      <c r="E261" s="33" t="n"/>
      <c r="F261" s="33" t="n"/>
      <c r="G261" s="33" t="n"/>
      <c r="H261" s="33" t="n"/>
      <c r="I261" s="33" t="n"/>
      <c r="J261" s="33" t="n"/>
      <c r="K261" s="33" t="n"/>
      <c r="L261" s="33" t="n"/>
      <c r="M261" s="33" t="n"/>
      <c r="N261" s="33" t="n"/>
      <c r="O261" s="33" t="n"/>
      <c r="P261" s="33" t="n"/>
      <c r="Q261" s="33" t="n"/>
      <c r="R261" s="33" t="n"/>
      <c r="S261" s="33" t="n"/>
      <c r="T261" s="33" t="n"/>
      <c r="U261" s="33" t="n"/>
      <c r="V261" s="33" t="n"/>
      <c r="W261" s="34" t="n"/>
      <c r="X261" s="33" t="n"/>
      <c r="Y261" s="35" t="n"/>
      <c r="Z261" s="32" t="n"/>
      <c r="AA261" s="32" t="n"/>
      <c r="AB261" s="36">
        <f>IF(A261="","",IF(COUNTIF($A$6:$A$504,A261)&gt;1,"⚠ Duplicate",""))</f>
        <v/>
      </c>
      <c r="AC261" s="43" t="n"/>
      <c r="AD261" s="43" t="n"/>
      <c r="AE261" s="43" t="n"/>
      <c r="AF261" s="43" t="n"/>
      <c r="AG261" s="43" t="n"/>
      <c r="AH261" s="43" t="n"/>
      <c r="AI261" s="43" t="n"/>
      <c r="AJ261" s="43" t="n"/>
      <c r="AK261" s="43" t="n"/>
      <c r="AL261" s="43" t="n"/>
      <c r="AM261" s="43" t="n"/>
      <c r="AN261" s="43" t="n"/>
      <c r="AO261" s="43" t="n"/>
      <c r="AP261" s="43" t="n"/>
    </row>
    <row r="262" ht="18" customHeight="1" s="74">
      <c r="A262" s="38" t="n"/>
      <c r="B262" s="38" t="n"/>
      <c r="C262" s="38" t="n"/>
      <c r="D262" s="38" t="n"/>
      <c r="E262" s="39" t="n"/>
      <c r="F262" s="39" t="n"/>
      <c r="G262" s="39" t="n"/>
      <c r="H262" s="39" t="n"/>
      <c r="I262" s="39" t="n"/>
      <c r="J262" s="39" t="n"/>
      <c r="K262" s="39" t="n"/>
      <c r="L262" s="39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39" t="n"/>
      <c r="V262" s="39" t="n"/>
      <c r="W262" s="34" t="n"/>
      <c r="X262" s="39" t="n"/>
      <c r="Y262" s="40" t="n"/>
      <c r="Z262" s="38" t="n"/>
      <c r="AA262" s="38" t="n"/>
      <c r="AB262" s="41">
        <f>IF(A262="","",IF(COUNTIF($A$6:$A$504,A262)&gt;1,"⚠ Duplicate",""))</f>
        <v/>
      </c>
      <c r="AC262" s="42" t="n"/>
      <c r="AD262" s="42" t="n"/>
      <c r="AE262" s="42" t="n"/>
      <c r="AF262" s="42" t="n"/>
      <c r="AG262" s="42" t="n"/>
      <c r="AH262" s="42" t="n"/>
      <c r="AI262" s="42" t="n"/>
      <c r="AJ262" s="42" t="n"/>
      <c r="AK262" s="42" t="n"/>
      <c r="AL262" s="42" t="n"/>
      <c r="AM262" s="42" t="n"/>
      <c r="AN262" s="42" t="n"/>
      <c r="AO262" s="42" t="n"/>
      <c r="AP262" s="42" t="n"/>
    </row>
    <row r="263" ht="18" customHeight="1" s="74">
      <c r="A263" s="32" t="n"/>
      <c r="B263" s="32" t="n"/>
      <c r="C263" s="32" t="n"/>
      <c r="D263" s="32" t="n"/>
      <c r="E263" s="33" t="n"/>
      <c r="F263" s="33" t="n"/>
      <c r="G263" s="33" t="n"/>
      <c r="H263" s="33" t="n"/>
      <c r="I263" s="33" t="n"/>
      <c r="J263" s="33" t="n"/>
      <c r="K263" s="33" t="n"/>
      <c r="L263" s="33" t="n"/>
      <c r="M263" s="33" t="n"/>
      <c r="N263" s="33" t="n"/>
      <c r="O263" s="33" t="n"/>
      <c r="P263" s="33" t="n"/>
      <c r="Q263" s="33" t="n"/>
      <c r="R263" s="33" t="n"/>
      <c r="S263" s="33" t="n"/>
      <c r="T263" s="33" t="n"/>
      <c r="U263" s="33" t="n"/>
      <c r="V263" s="33" t="n"/>
      <c r="W263" s="34" t="n"/>
      <c r="X263" s="33" t="n"/>
      <c r="Y263" s="35" t="n"/>
      <c r="Z263" s="32" t="n"/>
      <c r="AA263" s="32" t="n"/>
      <c r="AB263" s="36">
        <f>IF(A263="","",IF(COUNTIF($A$6:$A$504,A263)&gt;1,"⚠ Duplicate",""))</f>
        <v/>
      </c>
      <c r="AC263" s="43" t="n"/>
      <c r="AD263" s="43" t="n"/>
      <c r="AE263" s="43" t="n"/>
      <c r="AF263" s="43" t="n"/>
      <c r="AG263" s="43" t="n"/>
      <c r="AH263" s="43" t="n"/>
      <c r="AI263" s="43" t="n"/>
      <c r="AJ263" s="43" t="n"/>
      <c r="AK263" s="43" t="n"/>
      <c r="AL263" s="43" t="n"/>
      <c r="AM263" s="43" t="n"/>
      <c r="AN263" s="43" t="n"/>
      <c r="AO263" s="43" t="n"/>
      <c r="AP263" s="43" t="n"/>
    </row>
    <row r="264" ht="18" customHeight="1" s="74">
      <c r="A264" s="38" t="n"/>
      <c r="B264" s="38" t="n"/>
      <c r="C264" s="38" t="n"/>
      <c r="D264" s="38" t="n"/>
      <c r="E264" s="39" t="n"/>
      <c r="F264" s="39" t="n"/>
      <c r="G264" s="39" t="n"/>
      <c r="H264" s="39" t="n"/>
      <c r="I264" s="39" t="n"/>
      <c r="J264" s="39" t="n"/>
      <c r="K264" s="39" t="n"/>
      <c r="L264" s="39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39" t="n"/>
      <c r="V264" s="39" t="n"/>
      <c r="W264" s="34" t="n"/>
      <c r="X264" s="39" t="n"/>
      <c r="Y264" s="40" t="n"/>
      <c r="Z264" s="38" t="n"/>
      <c r="AA264" s="38" t="n"/>
      <c r="AB264" s="41">
        <f>IF(A264="","",IF(COUNTIF($A$6:$A$504,A264)&gt;1,"⚠ Duplicate",""))</f>
        <v/>
      </c>
      <c r="AC264" s="42" t="n"/>
      <c r="AD264" s="42" t="n"/>
      <c r="AE264" s="42" t="n"/>
      <c r="AF264" s="42" t="n"/>
      <c r="AG264" s="42" t="n"/>
      <c r="AH264" s="42" t="n"/>
      <c r="AI264" s="42" t="n"/>
      <c r="AJ264" s="42" t="n"/>
      <c r="AK264" s="42" t="n"/>
      <c r="AL264" s="42" t="n"/>
      <c r="AM264" s="42" t="n"/>
      <c r="AN264" s="42" t="n"/>
      <c r="AO264" s="42" t="n"/>
      <c r="AP264" s="42" t="n"/>
    </row>
    <row r="265" ht="18" customHeight="1" s="74">
      <c r="A265" s="32" t="n"/>
      <c r="B265" s="32" t="n"/>
      <c r="C265" s="32" t="n"/>
      <c r="D265" s="32" t="n"/>
      <c r="E265" s="33" t="n"/>
      <c r="F265" s="33" t="n"/>
      <c r="G265" s="33" t="n"/>
      <c r="H265" s="33" t="n"/>
      <c r="I265" s="33" t="n"/>
      <c r="J265" s="33" t="n"/>
      <c r="K265" s="33" t="n"/>
      <c r="L265" s="33" t="n"/>
      <c r="M265" s="33" t="n"/>
      <c r="N265" s="33" t="n"/>
      <c r="O265" s="33" t="n"/>
      <c r="P265" s="33" t="n"/>
      <c r="Q265" s="33" t="n"/>
      <c r="R265" s="33" t="n"/>
      <c r="S265" s="33" t="n"/>
      <c r="T265" s="33" t="n"/>
      <c r="U265" s="33" t="n"/>
      <c r="V265" s="33" t="n"/>
      <c r="W265" s="34" t="n"/>
      <c r="X265" s="33" t="n"/>
      <c r="Y265" s="35" t="n"/>
      <c r="Z265" s="32" t="n"/>
      <c r="AA265" s="32" t="n"/>
      <c r="AB265" s="36">
        <f>IF(A265="","",IF(COUNTIF($A$6:$A$504,A265)&gt;1,"⚠ Duplicate",""))</f>
        <v/>
      </c>
      <c r="AC265" s="43" t="n"/>
      <c r="AD265" s="43" t="n"/>
      <c r="AE265" s="43" t="n"/>
      <c r="AF265" s="43" t="n"/>
      <c r="AG265" s="43" t="n"/>
      <c r="AH265" s="43" t="n"/>
      <c r="AI265" s="43" t="n"/>
      <c r="AJ265" s="43" t="n"/>
      <c r="AK265" s="43" t="n"/>
      <c r="AL265" s="43" t="n"/>
      <c r="AM265" s="43" t="n"/>
      <c r="AN265" s="43" t="n"/>
      <c r="AO265" s="43" t="n"/>
      <c r="AP265" s="43" t="n"/>
    </row>
    <row r="266" ht="18" customHeight="1" s="74">
      <c r="A266" s="38" t="n"/>
      <c r="B266" s="38" t="n"/>
      <c r="C266" s="38" t="n"/>
      <c r="D266" s="38" t="n"/>
      <c r="E266" s="39" t="n"/>
      <c r="F266" s="39" t="n"/>
      <c r="G266" s="39" t="n"/>
      <c r="H266" s="39" t="n"/>
      <c r="I266" s="39" t="n"/>
      <c r="J266" s="39" t="n"/>
      <c r="K266" s="39" t="n"/>
      <c r="L266" s="39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39" t="n"/>
      <c r="V266" s="39" t="n"/>
      <c r="W266" s="34" t="n"/>
      <c r="X266" s="39" t="n"/>
      <c r="Y266" s="40" t="n"/>
      <c r="Z266" s="38" t="n"/>
      <c r="AA266" s="38" t="n"/>
      <c r="AB266" s="41">
        <f>IF(A266="","",IF(COUNTIF($A$6:$A$504,A266)&gt;1,"⚠ Duplicate",""))</f>
        <v/>
      </c>
      <c r="AC266" s="42" t="n"/>
      <c r="AD266" s="42" t="n"/>
      <c r="AE266" s="42" t="n"/>
      <c r="AF266" s="42" t="n"/>
      <c r="AG266" s="42" t="n"/>
      <c r="AH266" s="42" t="n"/>
      <c r="AI266" s="42" t="n"/>
      <c r="AJ266" s="42" t="n"/>
      <c r="AK266" s="42" t="n"/>
      <c r="AL266" s="42" t="n"/>
      <c r="AM266" s="42" t="n"/>
      <c r="AN266" s="42" t="n"/>
      <c r="AO266" s="42" t="n"/>
      <c r="AP266" s="42" t="n"/>
    </row>
    <row r="267" ht="18" customHeight="1" s="74">
      <c r="A267" s="32" t="n"/>
      <c r="B267" s="32" t="n"/>
      <c r="C267" s="32" t="n"/>
      <c r="D267" s="32" t="n"/>
      <c r="E267" s="33" t="n"/>
      <c r="F267" s="33" t="n"/>
      <c r="G267" s="33" t="n"/>
      <c r="H267" s="33" t="n"/>
      <c r="I267" s="33" t="n"/>
      <c r="J267" s="33" t="n"/>
      <c r="K267" s="33" t="n"/>
      <c r="L267" s="33" t="n"/>
      <c r="M267" s="33" t="n"/>
      <c r="N267" s="33" t="n"/>
      <c r="O267" s="33" t="n"/>
      <c r="P267" s="33" t="n"/>
      <c r="Q267" s="33" t="n"/>
      <c r="R267" s="33" t="n"/>
      <c r="S267" s="33" t="n"/>
      <c r="T267" s="33" t="n"/>
      <c r="U267" s="33" t="n"/>
      <c r="V267" s="33" t="n"/>
      <c r="W267" s="34" t="n"/>
      <c r="X267" s="33" t="n"/>
      <c r="Y267" s="35" t="n"/>
      <c r="Z267" s="32" t="n"/>
      <c r="AA267" s="32" t="n"/>
      <c r="AB267" s="36">
        <f>IF(A267="","",IF(COUNTIF($A$6:$A$504,A267)&gt;1,"⚠ Duplicate",""))</f>
        <v/>
      </c>
      <c r="AC267" s="43" t="n"/>
      <c r="AD267" s="43" t="n"/>
      <c r="AE267" s="43" t="n"/>
      <c r="AF267" s="43" t="n"/>
      <c r="AG267" s="43" t="n"/>
      <c r="AH267" s="43" t="n"/>
      <c r="AI267" s="43" t="n"/>
      <c r="AJ267" s="43" t="n"/>
      <c r="AK267" s="43" t="n"/>
      <c r="AL267" s="43" t="n"/>
      <c r="AM267" s="43" t="n"/>
      <c r="AN267" s="43" t="n"/>
      <c r="AO267" s="43" t="n"/>
      <c r="AP267" s="43" t="n"/>
    </row>
    <row r="268" ht="18" customHeight="1" s="74">
      <c r="A268" s="38" t="n"/>
      <c r="B268" s="38" t="n"/>
      <c r="C268" s="38" t="n"/>
      <c r="D268" s="38" t="n"/>
      <c r="E268" s="39" t="n"/>
      <c r="F268" s="39" t="n"/>
      <c r="G268" s="39" t="n"/>
      <c r="H268" s="39" t="n"/>
      <c r="I268" s="39" t="n"/>
      <c r="J268" s="39" t="n"/>
      <c r="K268" s="39" t="n"/>
      <c r="L268" s="39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39" t="n"/>
      <c r="V268" s="39" t="n"/>
      <c r="W268" s="34" t="n"/>
      <c r="X268" s="39" t="n"/>
      <c r="Y268" s="40" t="n"/>
      <c r="Z268" s="38" t="n"/>
      <c r="AA268" s="38" t="n"/>
      <c r="AB268" s="41">
        <f>IF(A268="","",IF(COUNTIF($A$6:$A$504,A268)&gt;1,"⚠ Duplicate",""))</f>
        <v/>
      </c>
      <c r="AC268" s="42" t="n"/>
      <c r="AD268" s="42" t="n"/>
      <c r="AE268" s="42" t="n"/>
      <c r="AF268" s="42" t="n"/>
      <c r="AG268" s="42" t="n"/>
      <c r="AH268" s="42" t="n"/>
      <c r="AI268" s="42" t="n"/>
      <c r="AJ268" s="42" t="n"/>
      <c r="AK268" s="42" t="n"/>
      <c r="AL268" s="42" t="n"/>
      <c r="AM268" s="42" t="n"/>
      <c r="AN268" s="42" t="n"/>
      <c r="AO268" s="42" t="n"/>
      <c r="AP268" s="42" t="n"/>
    </row>
    <row r="269" ht="18" customHeight="1" s="74">
      <c r="A269" s="32" t="n"/>
      <c r="B269" s="32" t="n"/>
      <c r="C269" s="32" t="n"/>
      <c r="D269" s="32" t="n"/>
      <c r="E269" s="33" t="n"/>
      <c r="F269" s="33" t="n"/>
      <c r="G269" s="33" t="n"/>
      <c r="H269" s="33" t="n"/>
      <c r="I269" s="33" t="n"/>
      <c r="J269" s="33" t="n"/>
      <c r="K269" s="33" t="n"/>
      <c r="L269" s="33" t="n"/>
      <c r="M269" s="33" t="n"/>
      <c r="N269" s="33" t="n"/>
      <c r="O269" s="33" t="n"/>
      <c r="P269" s="33" t="n"/>
      <c r="Q269" s="33" t="n"/>
      <c r="R269" s="33" t="n"/>
      <c r="S269" s="33" t="n"/>
      <c r="T269" s="33" t="n"/>
      <c r="U269" s="33" t="n"/>
      <c r="V269" s="33" t="n"/>
      <c r="W269" s="34" t="n"/>
      <c r="X269" s="33" t="n"/>
      <c r="Y269" s="35" t="n"/>
      <c r="Z269" s="32" t="n"/>
      <c r="AA269" s="32" t="n"/>
      <c r="AB269" s="36">
        <f>IF(A269="","",IF(COUNTIF($A$6:$A$504,A269)&gt;1,"⚠ Duplicate",""))</f>
        <v/>
      </c>
      <c r="AC269" s="43" t="n"/>
      <c r="AD269" s="43" t="n"/>
      <c r="AE269" s="43" t="n"/>
      <c r="AF269" s="43" t="n"/>
      <c r="AG269" s="43" t="n"/>
      <c r="AH269" s="43" t="n"/>
      <c r="AI269" s="43" t="n"/>
      <c r="AJ269" s="43" t="n"/>
      <c r="AK269" s="43" t="n"/>
      <c r="AL269" s="43" t="n"/>
      <c r="AM269" s="43" t="n"/>
      <c r="AN269" s="43" t="n"/>
      <c r="AO269" s="43" t="n"/>
      <c r="AP269" s="43" t="n"/>
    </row>
    <row r="270" ht="18" customHeight="1" s="74">
      <c r="A270" s="38" t="n"/>
      <c r="B270" s="38" t="n"/>
      <c r="C270" s="38" t="n"/>
      <c r="D270" s="38" t="n"/>
      <c r="E270" s="39" t="n"/>
      <c r="F270" s="39" t="n"/>
      <c r="G270" s="39" t="n"/>
      <c r="H270" s="39" t="n"/>
      <c r="I270" s="39" t="n"/>
      <c r="J270" s="39" t="n"/>
      <c r="K270" s="39" t="n"/>
      <c r="L270" s="39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39" t="n"/>
      <c r="V270" s="39" t="n"/>
      <c r="W270" s="34" t="n"/>
      <c r="X270" s="39" t="n"/>
      <c r="Y270" s="40" t="n"/>
      <c r="Z270" s="38" t="n"/>
      <c r="AA270" s="38" t="n"/>
      <c r="AB270" s="41">
        <f>IF(A270="","",IF(COUNTIF($A$6:$A$504,A270)&gt;1,"⚠ Duplicate",""))</f>
        <v/>
      </c>
      <c r="AC270" s="42" t="n"/>
      <c r="AD270" s="42" t="n"/>
      <c r="AE270" s="42" t="n"/>
      <c r="AF270" s="42" t="n"/>
      <c r="AG270" s="42" t="n"/>
      <c r="AH270" s="42" t="n"/>
      <c r="AI270" s="42" t="n"/>
      <c r="AJ270" s="42" t="n"/>
      <c r="AK270" s="42" t="n"/>
      <c r="AL270" s="42" t="n"/>
      <c r="AM270" s="42" t="n"/>
      <c r="AN270" s="42" t="n"/>
      <c r="AO270" s="42" t="n"/>
      <c r="AP270" s="42" t="n"/>
    </row>
    <row r="271" ht="18" customHeight="1" s="74">
      <c r="A271" s="32" t="n"/>
      <c r="B271" s="32" t="n"/>
      <c r="C271" s="32" t="n"/>
      <c r="D271" s="32" t="n"/>
      <c r="E271" s="33" t="n"/>
      <c r="F271" s="33" t="n"/>
      <c r="G271" s="33" t="n"/>
      <c r="H271" s="33" t="n"/>
      <c r="I271" s="33" t="n"/>
      <c r="J271" s="33" t="n"/>
      <c r="K271" s="33" t="n"/>
      <c r="L271" s="33" t="n"/>
      <c r="M271" s="33" t="n"/>
      <c r="N271" s="33" t="n"/>
      <c r="O271" s="33" t="n"/>
      <c r="P271" s="33" t="n"/>
      <c r="Q271" s="33" t="n"/>
      <c r="R271" s="33" t="n"/>
      <c r="S271" s="33" t="n"/>
      <c r="T271" s="33" t="n"/>
      <c r="U271" s="33" t="n"/>
      <c r="V271" s="33" t="n"/>
      <c r="W271" s="34" t="n"/>
      <c r="X271" s="33" t="n"/>
      <c r="Y271" s="35" t="n"/>
      <c r="Z271" s="32" t="n"/>
      <c r="AA271" s="32" t="n"/>
      <c r="AB271" s="36">
        <f>IF(A271="","",IF(COUNTIF($A$6:$A$504,A271)&gt;1,"⚠ Duplicate",""))</f>
        <v/>
      </c>
      <c r="AC271" s="43" t="n"/>
      <c r="AD271" s="43" t="n"/>
      <c r="AE271" s="43" t="n"/>
      <c r="AF271" s="43" t="n"/>
      <c r="AG271" s="43" t="n"/>
      <c r="AH271" s="43" t="n"/>
      <c r="AI271" s="43" t="n"/>
      <c r="AJ271" s="43" t="n"/>
      <c r="AK271" s="43" t="n"/>
      <c r="AL271" s="43" t="n"/>
      <c r="AM271" s="43" t="n"/>
      <c r="AN271" s="43" t="n"/>
      <c r="AO271" s="43" t="n"/>
      <c r="AP271" s="43" t="n"/>
    </row>
    <row r="272" ht="18" customHeight="1" s="74">
      <c r="A272" s="38" t="n"/>
      <c r="B272" s="38" t="n"/>
      <c r="C272" s="38" t="n"/>
      <c r="D272" s="38" t="n"/>
      <c r="E272" s="39" t="n"/>
      <c r="F272" s="39" t="n"/>
      <c r="G272" s="39" t="n"/>
      <c r="H272" s="39" t="n"/>
      <c r="I272" s="39" t="n"/>
      <c r="J272" s="39" t="n"/>
      <c r="K272" s="39" t="n"/>
      <c r="L272" s="39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39" t="n"/>
      <c r="V272" s="39" t="n"/>
      <c r="W272" s="34" t="n"/>
      <c r="X272" s="39" t="n"/>
      <c r="Y272" s="40" t="n"/>
      <c r="Z272" s="38" t="n"/>
      <c r="AA272" s="38" t="n"/>
      <c r="AB272" s="41">
        <f>IF(A272="","",IF(COUNTIF($A$6:$A$504,A272)&gt;1,"⚠ Duplicate",""))</f>
        <v/>
      </c>
      <c r="AC272" s="42" t="n"/>
      <c r="AD272" s="42" t="n"/>
      <c r="AE272" s="42" t="n"/>
      <c r="AF272" s="42" t="n"/>
      <c r="AG272" s="42" t="n"/>
      <c r="AH272" s="42" t="n"/>
      <c r="AI272" s="42" t="n"/>
      <c r="AJ272" s="42" t="n"/>
      <c r="AK272" s="42" t="n"/>
      <c r="AL272" s="42" t="n"/>
      <c r="AM272" s="42" t="n"/>
      <c r="AN272" s="42" t="n"/>
      <c r="AO272" s="42" t="n"/>
      <c r="AP272" s="42" t="n"/>
    </row>
    <row r="273" ht="18" customHeight="1" s="74">
      <c r="A273" s="32" t="n"/>
      <c r="B273" s="32" t="n"/>
      <c r="C273" s="32" t="n"/>
      <c r="D273" s="32" t="n"/>
      <c r="E273" s="33" t="n"/>
      <c r="F273" s="33" t="n"/>
      <c r="G273" s="33" t="n"/>
      <c r="H273" s="33" t="n"/>
      <c r="I273" s="33" t="n"/>
      <c r="J273" s="33" t="n"/>
      <c r="K273" s="33" t="n"/>
      <c r="L273" s="33" t="n"/>
      <c r="M273" s="33" t="n"/>
      <c r="N273" s="33" t="n"/>
      <c r="O273" s="33" t="n"/>
      <c r="P273" s="33" t="n"/>
      <c r="Q273" s="33" t="n"/>
      <c r="R273" s="33" t="n"/>
      <c r="S273" s="33" t="n"/>
      <c r="T273" s="33" t="n"/>
      <c r="U273" s="33" t="n"/>
      <c r="V273" s="33" t="n"/>
      <c r="W273" s="34" t="n"/>
      <c r="X273" s="33" t="n"/>
      <c r="Y273" s="35" t="n"/>
      <c r="Z273" s="32" t="n"/>
      <c r="AA273" s="32" t="n"/>
      <c r="AB273" s="36">
        <f>IF(A273="","",IF(COUNTIF($A$6:$A$504,A273)&gt;1,"⚠ Duplicate",""))</f>
        <v/>
      </c>
      <c r="AC273" s="43" t="n"/>
      <c r="AD273" s="43" t="n"/>
      <c r="AE273" s="43" t="n"/>
      <c r="AF273" s="43" t="n"/>
      <c r="AG273" s="43" t="n"/>
      <c r="AH273" s="43" t="n"/>
      <c r="AI273" s="43" t="n"/>
      <c r="AJ273" s="43" t="n"/>
      <c r="AK273" s="43" t="n"/>
      <c r="AL273" s="43" t="n"/>
      <c r="AM273" s="43" t="n"/>
      <c r="AN273" s="43" t="n"/>
      <c r="AO273" s="43" t="n"/>
      <c r="AP273" s="43" t="n"/>
    </row>
    <row r="274" ht="18" customHeight="1" s="74">
      <c r="A274" s="38" t="n"/>
      <c r="B274" s="38" t="n"/>
      <c r="C274" s="38" t="n"/>
      <c r="D274" s="38" t="n"/>
      <c r="E274" s="39" t="n"/>
      <c r="F274" s="39" t="n"/>
      <c r="G274" s="39" t="n"/>
      <c r="H274" s="39" t="n"/>
      <c r="I274" s="39" t="n"/>
      <c r="J274" s="39" t="n"/>
      <c r="K274" s="39" t="n"/>
      <c r="L274" s="39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39" t="n"/>
      <c r="V274" s="39" t="n"/>
      <c r="W274" s="34" t="n"/>
      <c r="X274" s="39" t="n"/>
      <c r="Y274" s="40" t="n"/>
      <c r="Z274" s="38" t="n"/>
      <c r="AA274" s="38" t="n"/>
      <c r="AB274" s="41">
        <f>IF(A274="","",IF(COUNTIF($A$6:$A$504,A274)&gt;1,"⚠ Duplicate",""))</f>
        <v/>
      </c>
      <c r="AC274" s="42" t="n"/>
      <c r="AD274" s="42" t="n"/>
      <c r="AE274" s="42" t="n"/>
      <c r="AF274" s="42" t="n"/>
      <c r="AG274" s="42" t="n"/>
      <c r="AH274" s="42" t="n"/>
      <c r="AI274" s="42" t="n"/>
      <c r="AJ274" s="42" t="n"/>
      <c r="AK274" s="42" t="n"/>
      <c r="AL274" s="42" t="n"/>
      <c r="AM274" s="42" t="n"/>
      <c r="AN274" s="42" t="n"/>
      <c r="AO274" s="42" t="n"/>
      <c r="AP274" s="42" t="n"/>
    </row>
    <row r="275" ht="18" customHeight="1" s="74">
      <c r="A275" s="32" t="n"/>
      <c r="B275" s="32" t="n"/>
      <c r="C275" s="32" t="n"/>
      <c r="D275" s="32" t="n"/>
      <c r="E275" s="33" t="n"/>
      <c r="F275" s="33" t="n"/>
      <c r="G275" s="33" t="n"/>
      <c r="H275" s="33" t="n"/>
      <c r="I275" s="33" t="n"/>
      <c r="J275" s="33" t="n"/>
      <c r="K275" s="33" t="n"/>
      <c r="L275" s="33" t="n"/>
      <c r="M275" s="33" t="n"/>
      <c r="N275" s="33" t="n"/>
      <c r="O275" s="33" t="n"/>
      <c r="P275" s="33" t="n"/>
      <c r="Q275" s="33" t="n"/>
      <c r="R275" s="33" t="n"/>
      <c r="S275" s="33" t="n"/>
      <c r="T275" s="33" t="n"/>
      <c r="U275" s="33" t="n"/>
      <c r="V275" s="33" t="n"/>
      <c r="W275" s="34" t="n"/>
      <c r="X275" s="33" t="n"/>
      <c r="Y275" s="35" t="n"/>
      <c r="Z275" s="32" t="n"/>
      <c r="AA275" s="32" t="n"/>
      <c r="AB275" s="36">
        <f>IF(A275="","",IF(COUNTIF($A$6:$A$504,A275)&gt;1,"⚠ Duplicate",""))</f>
        <v/>
      </c>
      <c r="AC275" s="43" t="n"/>
      <c r="AD275" s="43" t="n"/>
      <c r="AE275" s="43" t="n"/>
      <c r="AF275" s="43" t="n"/>
      <c r="AG275" s="43" t="n"/>
      <c r="AH275" s="43" t="n"/>
      <c r="AI275" s="43" t="n"/>
      <c r="AJ275" s="43" t="n"/>
      <c r="AK275" s="43" t="n"/>
      <c r="AL275" s="43" t="n"/>
      <c r="AM275" s="43" t="n"/>
      <c r="AN275" s="43" t="n"/>
      <c r="AO275" s="43" t="n"/>
      <c r="AP275" s="43" t="n"/>
    </row>
    <row r="276" ht="18" customHeight="1" s="74">
      <c r="A276" s="38" t="n"/>
      <c r="B276" s="38" t="n"/>
      <c r="C276" s="38" t="n"/>
      <c r="D276" s="38" t="n"/>
      <c r="E276" s="39" t="n"/>
      <c r="F276" s="39" t="n"/>
      <c r="G276" s="39" t="n"/>
      <c r="H276" s="39" t="n"/>
      <c r="I276" s="39" t="n"/>
      <c r="J276" s="39" t="n"/>
      <c r="K276" s="39" t="n"/>
      <c r="L276" s="39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39" t="n"/>
      <c r="V276" s="39" t="n"/>
      <c r="W276" s="34" t="n"/>
      <c r="X276" s="39" t="n"/>
      <c r="Y276" s="40" t="n"/>
      <c r="Z276" s="38" t="n"/>
      <c r="AA276" s="38" t="n"/>
      <c r="AB276" s="41">
        <f>IF(A276="","",IF(COUNTIF($A$6:$A$504,A276)&gt;1,"⚠ Duplicate",""))</f>
        <v/>
      </c>
      <c r="AC276" s="42" t="n"/>
      <c r="AD276" s="42" t="n"/>
      <c r="AE276" s="42" t="n"/>
      <c r="AF276" s="42" t="n"/>
      <c r="AG276" s="42" t="n"/>
      <c r="AH276" s="42" t="n"/>
      <c r="AI276" s="42" t="n"/>
      <c r="AJ276" s="42" t="n"/>
      <c r="AK276" s="42" t="n"/>
      <c r="AL276" s="42" t="n"/>
      <c r="AM276" s="42" t="n"/>
      <c r="AN276" s="42" t="n"/>
      <c r="AO276" s="42" t="n"/>
      <c r="AP276" s="42" t="n"/>
    </row>
    <row r="277" ht="18" customHeight="1" s="74">
      <c r="A277" s="32" t="n"/>
      <c r="B277" s="32" t="n"/>
      <c r="C277" s="32" t="n"/>
      <c r="D277" s="32" t="n"/>
      <c r="E277" s="33" t="n"/>
      <c r="F277" s="33" t="n"/>
      <c r="G277" s="33" t="n"/>
      <c r="H277" s="33" t="n"/>
      <c r="I277" s="33" t="n"/>
      <c r="J277" s="33" t="n"/>
      <c r="K277" s="33" t="n"/>
      <c r="L277" s="33" t="n"/>
      <c r="M277" s="33" t="n"/>
      <c r="N277" s="33" t="n"/>
      <c r="O277" s="33" t="n"/>
      <c r="P277" s="33" t="n"/>
      <c r="Q277" s="33" t="n"/>
      <c r="R277" s="33" t="n"/>
      <c r="S277" s="33" t="n"/>
      <c r="T277" s="33" t="n"/>
      <c r="U277" s="33" t="n"/>
      <c r="V277" s="33" t="n"/>
      <c r="W277" s="34" t="n"/>
      <c r="X277" s="33" t="n"/>
      <c r="Y277" s="35" t="n"/>
      <c r="Z277" s="32" t="n"/>
      <c r="AA277" s="32" t="n"/>
      <c r="AB277" s="36">
        <f>IF(A277="","",IF(COUNTIF($A$6:$A$504,A277)&gt;1,"⚠ Duplicate",""))</f>
        <v/>
      </c>
      <c r="AC277" s="43" t="n"/>
      <c r="AD277" s="43" t="n"/>
      <c r="AE277" s="43" t="n"/>
      <c r="AF277" s="43" t="n"/>
      <c r="AG277" s="43" t="n"/>
      <c r="AH277" s="43" t="n"/>
      <c r="AI277" s="43" t="n"/>
      <c r="AJ277" s="43" t="n"/>
      <c r="AK277" s="43" t="n"/>
      <c r="AL277" s="43" t="n"/>
      <c r="AM277" s="43" t="n"/>
      <c r="AN277" s="43" t="n"/>
      <c r="AO277" s="43" t="n"/>
      <c r="AP277" s="43" t="n"/>
    </row>
    <row r="278" ht="18" customHeight="1" s="74">
      <c r="A278" s="38" t="n"/>
      <c r="B278" s="38" t="n"/>
      <c r="C278" s="38" t="n"/>
      <c r="D278" s="38" t="n"/>
      <c r="E278" s="39" t="n"/>
      <c r="F278" s="39" t="n"/>
      <c r="G278" s="39" t="n"/>
      <c r="H278" s="39" t="n"/>
      <c r="I278" s="39" t="n"/>
      <c r="J278" s="39" t="n"/>
      <c r="K278" s="39" t="n"/>
      <c r="L278" s="39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39" t="n"/>
      <c r="V278" s="39" t="n"/>
      <c r="W278" s="34" t="n"/>
      <c r="X278" s="39" t="n"/>
      <c r="Y278" s="40" t="n"/>
      <c r="Z278" s="38" t="n"/>
      <c r="AA278" s="38" t="n"/>
      <c r="AB278" s="41">
        <f>IF(A278="","",IF(COUNTIF($A$6:$A$504,A278)&gt;1,"⚠ Duplicate",""))</f>
        <v/>
      </c>
      <c r="AC278" s="42" t="n"/>
      <c r="AD278" s="42" t="n"/>
      <c r="AE278" s="42" t="n"/>
      <c r="AF278" s="42" t="n"/>
      <c r="AG278" s="42" t="n"/>
      <c r="AH278" s="42" t="n"/>
      <c r="AI278" s="42" t="n"/>
      <c r="AJ278" s="42" t="n"/>
      <c r="AK278" s="42" t="n"/>
      <c r="AL278" s="42" t="n"/>
      <c r="AM278" s="42" t="n"/>
      <c r="AN278" s="42" t="n"/>
      <c r="AO278" s="42" t="n"/>
      <c r="AP278" s="42" t="n"/>
    </row>
    <row r="279" ht="18" customHeight="1" s="74">
      <c r="A279" s="32" t="n"/>
      <c r="B279" s="32" t="n"/>
      <c r="C279" s="32" t="n"/>
      <c r="D279" s="32" t="n"/>
      <c r="E279" s="33" t="n"/>
      <c r="F279" s="33" t="n"/>
      <c r="G279" s="33" t="n"/>
      <c r="H279" s="33" t="n"/>
      <c r="I279" s="33" t="n"/>
      <c r="J279" s="33" t="n"/>
      <c r="K279" s="33" t="n"/>
      <c r="L279" s="33" t="n"/>
      <c r="M279" s="33" t="n"/>
      <c r="N279" s="33" t="n"/>
      <c r="O279" s="33" t="n"/>
      <c r="P279" s="33" t="n"/>
      <c r="Q279" s="33" t="n"/>
      <c r="R279" s="33" t="n"/>
      <c r="S279" s="33" t="n"/>
      <c r="T279" s="33" t="n"/>
      <c r="U279" s="33" t="n"/>
      <c r="V279" s="33" t="n"/>
      <c r="W279" s="34" t="n"/>
      <c r="X279" s="33" t="n"/>
      <c r="Y279" s="35" t="n"/>
      <c r="Z279" s="32" t="n"/>
      <c r="AA279" s="32" t="n"/>
      <c r="AB279" s="36">
        <f>IF(A279="","",IF(COUNTIF($A$6:$A$504,A279)&gt;1,"⚠ Duplicate",""))</f>
        <v/>
      </c>
      <c r="AC279" s="43" t="n"/>
      <c r="AD279" s="43" t="n"/>
      <c r="AE279" s="43" t="n"/>
      <c r="AF279" s="43" t="n"/>
      <c r="AG279" s="43" t="n"/>
      <c r="AH279" s="43" t="n"/>
      <c r="AI279" s="43" t="n"/>
      <c r="AJ279" s="43" t="n"/>
      <c r="AK279" s="43" t="n"/>
      <c r="AL279" s="43" t="n"/>
      <c r="AM279" s="43" t="n"/>
      <c r="AN279" s="43" t="n"/>
      <c r="AO279" s="43" t="n"/>
      <c r="AP279" s="43" t="n"/>
    </row>
    <row r="280" ht="18" customHeight="1" s="74">
      <c r="A280" s="38" t="n"/>
      <c r="B280" s="38" t="n"/>
      <c r="C280" s="38" t="n"/>
      <c r="D280" s="38" t="n"/>
      <c r="E280" s="39" t="n"/>
      <c r="F280" s="39" t="n"/>
      <c r="G280" s="39" t="n"/>
      <c r="H280" s="39" t="n"/>
      <c r="I280" s="39" t="n"/>
      <c r="J280" s="39" t="n"/>
      <c r="K280" s="39" t="n"/>
      <c r="L280" s="39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39" t="n"/>
      <c r="V280" s="39" t="n"/>
      <c r="W280" s="34" t="n"/>
      <c r="X280" s="39" t="n"/>
      <c r="Y280" s="40" t="n"/>
      <c r="Z280" s="38" t="n"/>
      <c r="AA280" s="38" t="n"/>
      <c r="AB280" s="41">
        <f>IF(A280="","",IF(COUNTIF($A$6:$A$504,A280)&gt;1,"⚠ Duplicate",""))</f>
        <v/>
      </c>
      <c r="AC280" s="42" t="n"/>
      <c r="AD280" s="42" t="n"/>
      <c r="AE280" s="42" t="n"/>
      <c r="AF280" s="42" t="n"/>
      <c r="AG280" s="42" t="n"/>
      <c r="AH280" s="42" t="n"/>
      <c r="AI280" s="42" t="n"/>
      <c r="AJ280" s="42" t="n"/>
      <c r="AK280" s="42" t="n"/>
      <c r="AL280" s="42" t="n"/>
      <c r="AM280" s="42" t="n"/>
      <c r="AN280" s="42" t="n"/>
      <c r="AO280" s="42" t="n"/>
      <c r="AP280" s="42" t="n"/>
    </row>
    <row r="281" ht="18" customHeight="1" s="74">
      <c r="A281" s="32" t="n"/>
      <c r="B281" s="32" t="n"/>
      <c r="C281" s="32" t="n"/>
      <c r="D281" s="32" t="n"/>
      <c r="E281" s="33" t="n"/>
      <c r="F281" s="33" t="n"/>
      <c r="G281" s="33" t="n"/>
      <c r="H281" s="33" t="n"/>
      <c r="I281" s="33" t="n"/>
      <c r="J281" s="33" t="n"/>
      <c r="K281" s="33" t="n"/>
      <c r="L281" s="33" t="n"/>
      <c r="M281" s="33" t="n"/>
      <c r="N281" s="33" t="n"/>
      <c r="O281" s="33" t="n"/>
      <c r="P281" s="33" t="n"/>
      <c r="Q281" s="33" t="n"/>
      <c r="R281" s="33" t="n"/>
      <c r="S281" s="33" t="n"/>
      <c r="T281" s="33" t="n"/>
      <c r="U281" s="33" t="n"/>
      <c r="V281" s="33" t="n"/>
      <c r="W281" s="34" t="n"/>
      <c r="X281" s="33" t="n"/>
      <c r="Y281" s="35" t="n"/>
      <c r="Z281" s="32" t="n"/>
      <c r="AA281" s="32" t="n"/>
      <c r="AB281" s="36">
        <f>IF(A281="","",IF(COUNTIF($A$6:$A$504,A281)&gt;1,"⚠ Duplicate",""))</f>
        <v/>
      </c>
      <c r="AC281" s="43" t="n"/>
      <c r="AD281" s="43" t="n"/>
      <c r="AE281" s="43" t="n"/>
      <c r="AF281" s="43" t="n"/>
      <c r="AG281" s="43" t="n"/>
      <c r="AH281" s="43" t="n"/>
      <c r="AI281" s="43" t="n"/>
      <c r="AJ281" s="43" t="n"/>
      <c r="AK281" s="43" t="n"/>
      <c r="AL281" s="43" t="n"/>
      <c r="AM281" s="43" t="n"/>
      <c r="AN281" s="43" t="n"/>
      <c r="AO281" s="43" t="n"/>
      <c r="AP281" s="43" t="n"/>
    </row>
    <row r="282" ht="18" customHeight="1" s="74">
      <c r="A282" s="38" t="n"/>
      <c r="B282" s="38" t="n"/>
      <c r="C282" s="38" t="n"/>
      <c r="D282" s="38" t="n"/>
      <c r="E282" s="39" t="n"/>
      <c r="F282" s="39" t="n"/>
      <c r="G282" s="39" t="n"/>
      <c r="H282" s="39" t="n"/>
      <c r="I282" s="39" t="n"/>
      <c r="J282" s="39" t="n"/>
      <c r="K282" s="39" t="n"/>
      <c r="L282" s="39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39" t="n"/>
      <c r="V282" s="39" t="n"/>
      <c r="W282" s="34" t="n"/>
      <c r="X282" s="39" t="n"/>
      <c r="Y282" s="40" t="n"/>
      <c r="Z282" s="38" t="n"/>
      <c r="AA282" s="38" t="n"/>
      <c r="AB282" s="41">
        <f>IF(A282="","",IF(COUNTIF($A$6:$A$504,A282)&gt;1,"⚠ Duplicate",""))</f>
        <v/>
      </c>
      <c r="AC282" s="42" t="n"/>
      <c r="AD282" s="42" t="n"/>
      <c r="AE282" s="42" t="n"/>
      <c r="AF282" s="42" t="n"/>
      <c r="AG282" s="42" t="n"/>
      <c r="AH282" s="42" t="n"/>
      <c r="AI282" s="42" t="n"/>
      <c r="AJ282" s="42" t="n"/>
      <c r="AK282" s="42" t="n"/>
      <c r="AL282" s="42" t="n"/>
      <c r="AM282" s="42" t="n"/>
      <c r="AN282" s="42" t="n"/>
      <c r="AO282" s="42" t="n"/>
      <c r="AP282" s="42" t="n"/>
    </row>
    <row r="283" ht="18" customHeight="1" s="74">
      <c r="A283" s="32" t="n"/>
      <c r="B283" s="32" t="n"/>
      <c r="C283" s="32" t="n"/>
      <c r="D283" s="32" t="n"/>
      <c r="E283" s="33" t="n"/>
      <c r="F283" s="33" t="n"/>
      <c r="G283" s="33" t="n"/>
      <c r="H283" s="33" t="n"/>
      <c r="I283" s="33" t="n"/>
      <c r="J283" s="33" t="n"/>
      <c r="K283" s="33" t="n"/>
      <c r="L283" s="33" t="n"/>
      <c r="M283" s="33" t="n"/>
      <c r="N283" s="33" t="n"/>
      <c r="O283" s="33" t="n"/>
      <c r="P283" s="33" t="n"/>
      <c r="Q283" s="33" t="n"/>
      <c r="R283" s="33" t="n"/>
      <c r="S283" s="33" t="n"/>
      <c r="T283" s="33" t="n"/>
      <c r="U283" s="33" t="n"/>
      <c r="V283" s="33" t="n"/>
      <c r="W283" s="34" t="n"/>
      <c r="X283" s="33" t="n"/>
      <c r="Y283" s="35" t="n"/>
      <c r="Z283" s="32" t="n"/>
      <c r="AA283" s="32" t="n"/>
      <c r="AB283" s="36">
        <f>IF(A283="","",IF(COUNTIF($A$6:$A$504,A283)&gt;1,"⚠ Duplicate",""))</f>
        <v/>
      </c>
      <c r="AC283" s="43" t="n"/>
      <c r="AD283" s="43" t="n"/>
      <c r="AE283" s="43" t="n"/>
      <c r="AF283" s="43" t="n"/>
      <c r="AG283" s="43" t="n"/>
      <c r="AH283" s="43" t="n"/>
      <c r="AI283" s="43" t="n"/>
      <c r="AJ283" s="43" t="n"/>
      <c r="AK283" s="43" t="n"/>
      <c r="AL283" s="43" t="n"/>
      <c r="AM283" s="43" t="n"/>
      <c r="AN283" s="43" t="n"/>
      <c r="AO283" s="43" t="n"/>
      <c r="AP283" s="43" t="n"/>
    </row>
    <row r="284" ht="18" customHeight="1" s="74">
      <c r="A284" s="38" t="n"/>
      <c r="B284" s="38" t="n"/>
      <c r="C284" s="38" t="n"/>
      <c r="D284" s="38" t="n"/>
      <c r="E284" s="39" t="n"/>
      <c r="F284" s="39" t="n"/>
      <c r="G284" s="39" t="n"/>
      <c r="H284" s="39" t="n"/>
      <c r="I284" s="39" t="n"/>
      <c r="J284" s="39" t="n"/>
      <c r="K284" s="39" t="n"/>
      <c r="L284" s="39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39" t="n"/>
      <c r="V284" s="39" t="n"/>
      <c r="W284" s="34" t="n"/>
      <c r="X284" s="39" t="n"/>
      <c r="Y284" s="40" t="n"/>
      <c r="Z284" s="38" t="n"/>
      <c r="AA284" s="38" t="n"/>
      <c r="AB284" s="41">
        <f>IF(A284="","",IF(COUNTIF($A$6:$A$504,A284)&gt;1,"⚠ Duplicate",""))</f>
        <v/>
      </c>
      <c r="AC284" s="42" t="n"/>
      <c r="AD284" s="42" t="n"/>
      <c r="AE284" s="42" t="n"/>
      <c r="AF284" s="42" t="n"/>
      <c r="AG284" s="42" t="n"/>
      <c r="AH284" s="42" t="n"/>
      <c r="AI284" s="42" t="n"/>
      <c r="AJ284" s="42" t="n"/>
      <c r="AK284" s="42" t="n"/>
      <c r="AL284" s="42" t="n"/>
      <c r="AM284" s="42" t="n"/>
      <c r="AN284" s="42" t="n"/>
      <c r="AO284" s="42" t="n"/>
      <c r="AP284" s="42" t="n"/>
    </row>
    <row r="285" ht="18" customHeight="1" s="74">
      <c r="A285" s="32" t="n"/>
      <c r="B285" s="32" t="n"/>
      <c r="C285" s="32" t="n"/>
      <c r="D285" s="32" t="n"/>
      <c r="E285" s="33" t="n"/>
      <c r="F285" s="33" t="n"/>
      <c r="G285" s="33" t="n"/>
      <c r="H285" s="33" t="n"/>
      <c r="I285" s="33" t="n"/>
      <c r="J285" s="33" t="n"/>
      <c r="K285" s="33" t="n"/>
      <c r="L285" s="33" t="n"/>
      <c r="M285" s="33" t="n"/>
      <c r="N285" s="33" t="n"/>
      <c r="O285" s="33" t="n"/>
      <c r="P285" s="33" t="n"/>
      <c r="Q285" s="33" t="n"/>
      <c r="R285" s="33" t="n"/>
      <c r="S285" s="33" t="n"/>
      <c r="T285" s="33" t="n"/>
      <c r="U285" s="33" t="n"/>
      <c r="V285" s="33" t="n"/>
      <c r="W285" s="34" t="n"/>
      <c r="X285" s="33" t="n"/>
      <c r="Y285" s="35" t="n"/>
      <c r="Z285" s="32" t="n"/>
      <c r="AA285" s="32" t="n"/>
      <c r="AB285" s="36">
        <f>IF(A285="","",IF(COUNTIF($A$6:$A$504,A285)&gt;1,"⚠ Duplicate",""))</f>
        <v/>
      </c>
      <c r="AC285" s="43" t="n"/>
      <c r="AD285" s="43" t="n"/>
      <c r="AE285" s="43" t="n"/>
      <c r="AF285" s="43" t="n"/>
      <c r="AG285" s="43" t="n"/>
      <c r="AH285" s="43" t="n"/>
      <c r="AI285" s="43" t="n"/>
      <c r="AJ285" s="43" t="n"/>
      <c r="AK285" s="43" t="n"/>
      <c r="AL285" s="43" t="n"/>
      <c r="AM285" s="43" t="n"/>
      <c r="AN285" s="43" t="n"/>
      <c r="AO285" s="43" t="n"/>
      <c r="AP285" s="43" t="n"/>
    </row>
    <row r="286" ht="18" customHeight="1" s="74">
      <c r="A286" s="38" t="n"/>
      <c r="B286" s="38" t="n"/>
      <c r="C286" s="38" t="n"/>
      <c r="D286" s="38" t="n"/>
      <c r="E286" s="39" t="n"/>
      <c r="F286" s="39" t="n"/>
      <c r="G286" s="39" t="n"/>
      <c r="H286" s="39" t="n"/>
      <c r="I286" s="39" t="n"/>
      <c r="J286" s="39" t="n"/>
      <c r="K286" s="39" t="n"/>
      <c r="L286" s="39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39" t="n"/>
      <c r="V286" s="39" t="n"/>
      <c r="W286" s="34" t="n"/>
      <c r="X286" s="39" t="n"/>
      <c r="Y286" s="40" t="n"/>
      <c r="Z286" s="38" t="n"/>
      <c r="AA286" s="38" t="n"/>
      <c r="AB286" s="41">
        <f>IF(A286="","",IF(COUNTIF($A$6:$A$504,A286)&gt;1,"⚠ Duplicate",""))</f>
        <v/>
      </c>
      <c r="AC286" s="42" t="n"/>
      <c r="AD286" s="42" t="n"/>
      <c r="AE286" s="42" t="n"/>
      <c r="AF286" s="42" t="n"/>
      <c r="AG286" s="42" t="n"/>
      <c r="AH286" s="42" t="n"/>
      <c r="AI286" s="42" t="n"/>
      <c r="AJ286" s="42" t="n"/>
      <c r="AK286" s="42" t="n"/>
      <c r="AL286" s="42" t="n"/>
      <c r="AM286" s="42" t="n"/>
      <c r="AN286" s="42" t="n"/>
      <c r="AO286" s="42" t="n"/>
      <c r="AP286" s="42" t="n"/>
    </row>
    <row r="287" ht="18" customHeight="1" s="74">
      <c r="A287" s="32" t="n"/>
      <c r="B287" s="32" t="n"/>
      <c r="C287" s="32" t="n"/>
      <c r="D287" s="32" t="n"/>
      <c r="E287" s="33" t="n"/>
      <c r="F287" s="33" t="n"/>
      <c r="G287" s="33" t="n"/>
      <c r="H287" s="33" t="n"/>
      <c r="I287" s="33" t="n"/>
      <c r="J287" s="33" t="n"/>
      <c r="K287" s="33" t="n"/>
      <c r="L287" s="33" t="n"/>
      <c r="M287" s="33" t="n"/>
      <c r="N287" s="33" t="n"/>
      <c r="O287" s="33" t="n"/>
      <c r="P287" s="33" t="n"/>
      <c r="Q287" s="33" t="n"/>
      <c r="R287" s="33" t="n"/>
      <c r="S287" s="33" t="n"/>
      <c r="T287" s="33" t="n"/>
      <c r="U287" s="33" t="n"/>
      <c r="V287" s="33" t="n"/>
      <c r="W287" s="34" t="n"/>
      <c r="X287" s="33" t="n"/>
      <c r="Y287" s="35" t="n"/>
      <c r="Z287" s="32" t="n"/>
      <c r="AA287" s="32" t="n"/>
      <c r="AB287" s="36">
        <f>IF(A287="","",IF(COUNTIF($A$6:$A$504,A287)&gt;1,"⚠ Duplicate",""))</f>
        <v/>
      </c>
      <c r="AC287" s="43" t="n"/>
      <c r="AD287" s="43" t="n"/>
      <c r="AE287" s="43" t="n"/>
      <c r="AF287" s="43" t="n"/>
      <c r="AG287" s="43" t="n"/>
      <c r="AH287" s="43" t="n"/>
      <c r="AI287" s="43" t="n"/>
      <c r="AJ287" s="43" t="n"/>
      <c r="AK287" s="43" t="n"/>
      <c r="AL287" s="43" t="n"/>
      <c r="AM287" s="43" t="n"/>
      <c r="AN287" s="43" t="n"/>
      <c r="AO287" s="43" t="n"/>
      <c r="AP287" s="43" t="n"/>
    </row>
    <row r="288" ht="18" customHeight="1" s="74">
      <c r="A288" s="38" t="n"/>
      <c r="B288" s="38" t="n"/>
      <c r="C288" s="38" t="n"/>
      <c r="D288" s="38" t="n"/>
      <c r="E288" s="39" t="n"/>
      <c r="F288" s="39" t="n"/>
      <c r="G288" s="39" t="n"/>
      <c r="H288" s="39" t="n"/>
      <c r="I288" s="39" t="n"/>
      <c r="J288" s="39" t="n"/>
      <c r="K288" s="39" t="n"/>
      <c r="L288" s="39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39" t="n"/>
      <c r="V288" s="39" t="n"/>
      <c r="W288" s="34" t="n"/>
      <c r="X288" s="39" t="n"/>
      <c r="Y288" s="40" t="n"/>
      <c r="Z288" s="38" t="n"/>
      <c r="AA288" s="38" t="n"/>
      <c r="AB288" s="41">
        <f>IF(A288="","",IF(COUNTIF($A$6:$A$504,A288)&gt;1,"⚠ Duplicate",""))</f>
        <v/>
      </c>
      <c r="AC288" s="42" t="n"/>
      <c r="AD288" s="42" t="n"/>
      <c r="AE288" s="42" t="n"/>
      <c r="AF288" s="42" t="n"/>
      <c r="AG288" s="42" t="n"/>
      <c r="AH288" s="42" t="n"/>
      <c r="AI288" s="42" t="n"/>
      <c r="AJ288" s="42" t="n"/>
      <c r="AK288" s="42" t="n"/>
      <c r="AL288" s="42" t="n"/>
      <c r="AM288" s="42" t="n"/>
      <c r="AN288" s="42" t="n"/>
      <c r="AO288" s="42" t="n"/>
      <c r="AP288" s="42" t="n"/>
    </row>
    <row r="289" ht="18" customHeight="1" s="74">
      <c r="A289" s="32" t="n"/>
      <c r="B289" s="32" t="n"/>
      <c r="C289" s="32" t="n"/>
      <c r="D289" s="32" t="n"/>
      <c r="E289" s="33" t="n"/>
      <c r="F289" s="33" t="n"/>
      <c r="G289" s="33" t="n"/>
      <c r="H289" s="33" t="n"/>
      <c r="I289" s="33" t="n"/>
      <c r="J289" s="33" t="n"/>
      <c r="K289" s="33" t="n"/>
      <c r="L289" s="33" t="n"/>
      <c r="M289" s="33" t="n"/>
      <c r="N289" s="33" t="n"/>
      <c r="O289" s="33" t="n"/>
      <c r="P289" s="33" t="n"/>
      <c r="Q289" s="33" t="n"/>
      <c r="R289" s="33" t="n"/>
      <c r="S289" s="33" t="n"/>
      <c r="T289" s="33" t="n"/>
      <c r="U289" s="33" t="n"/>
      <c r="V289" s="33" t="n"/>
      <c r="W289" s="34" t="n"/>
      <c r="X289" s="33" t="n"/>
      <c r="Y289" s="35" t="n"/>
      <c r="Z289" s="32" t="n"/>
      <c r="AA289" s="32" t="n"/>
      <c r="AB289" s="36">
        <f>IF(A289="","",IF(COUNTIF($A$6:$A$504,A289)&gt;1,"⚠ Duplicate",""))</f>
        <v/>
      </c>
      <c r="AC289" s="43" t="n"/>
      <c r="AD289" s="43" t="n"/>
      <c r="AE289" s="43" t="n"/>
      <c r="AF289" s="43" t="n"/>
      <c r="AG289" s="43" t="n"/>
      <c r="AH289" s="43" t="n"/>
      <c r="AI289" s="43" t="n"/>
      <c r="AJ289" s="43" t="n"/>
      <c r="AK289" s="43" t="n"/>
      <c r="AL289" s="43" t="n"/>
      <c r="AM289" s="43" t="n"/>
      <c r="AN289" s="43" t="n"/>
      <c r="AO289" s="43" t="n"/>
      <c r="AP289" s="43" t="n"/>
    </row>
    <row r="290" ht="18" customHeight="1" s="74">
      <c r="A290" s="38" t="n"/>
      <c r="B290" s="38" t="n"/>
      <c r="C290" s="38" t="n"/>
      <c r="D290" s="38" t="n"/>
      <c r="E290" s="39" t="n"/>
      <c r="F290" s="39" t="n"/>
      <c r="G290" s="39" t="n"/>
      <c r="H290" s="39" t="n"/>
      <c r="I290" s="39" t="n"/>
      <c r="J290" s="39" t="n"/>
      <c r="K290" s="39" t="n"/>
      <c r="L290" s="39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39" t="n"/>
      <c r="V290" s="39" t="n"/>
      <c r="W290" s="34" t="n"/>
      <c r="X290" s="39" t="n"/>
      <c r="Y290" s="40" t="n"/>
      <c r="Z290" s="38" t="n"/>
      <c r="AA290" s="38" t="n"/>
      <c r="AB290" s="41">
        <f>IF(A290="","",IF(COUNTIF($A$6:$A$504,A290)&gt;1,"⚠ Duplicate",""))</f>
        <v/>
      </c>
      <c r="AC290" s="42" t="n"/>
      <c r="AD290" s="42" t="n"/>
      <c r="AE290" s="42" t="n"/>
      <c r="AF290" s="42" t="n"/>
      <c r="AG290" s="42" t="n"/>
      <c r="AH290" s="42" t="n"/>
      <c r="AI290" s="42" t="n"/>
      <c r="AJ290" s="42" t="n"/>
      <c r="AK290" s="42" t="n"/>
      <c r="AL290" s="42" t="n"/>
      <c r="AM290" s="42" t="n"/>
      <c r="AN290" s="42" t="n"/>
      <c r="AO290" s="42" t="n"/>
      <c r="AP290" s="42" t="n"/>
    </row>
    <row r="291" ht="18" customHeight="1" s="74">
      <c r="A291" s="32" t="n"/>
      <c r="B291" s="32" t="n"/>
      <c r="C291" s="32" t="n"/>
      <c r="D291" s="32" t="n"/>
      <c r="E291" s="33" t="n"/>
      <c r="F291" s="33" t="n"/>
      <c r="G291" s="33" t="n"/>
      <c r="H291" s="33" t="n"/>
      <c r="I291" s="33" t="n"/>
      <c r="J291" s="33" t="n"/>
      <c r="K291" s="33" t="n"/>
      <c r="L291" s="33" t="n"/>
      <c r="M291" s="33" t="n"/>
      <c r="N291" s="33" t="n"/>
      <c r="O291" s="33" t="n"/>
      <c r="P291" s="33" t="n"/>
      <c r="Q291" s="33" t="n"/>
      <c r="R291" s="33" t="n"/>
      <c r="S291" s="33" t="n"/>
      <c r="T291" s="33" t="n"/>
      <c r="U291" s="33" t="n"/>
      <c r="V291" s="33" t="n"/>
      <c r="W291" s="34" t="n"/>
      <c r="X291" s="33" t="n"/>
      <c r="Y291" s="35" t="n"/>
      <c r="Z291" s="32" t="n"/>
      <c r="AA291" s="32" t="n"/>
      <c r="AB291" s="36">
        <f>IF(A291="","",IF(COUNTIF($A$6:$A$504,A291)&gt;1,"⚠ Duplicate",""))</f>
        <v/>
      </c>
      <c r="AC291" s="43" t="n"/>
      <c r="AD291" s="43" t="n"/>
      <c r="AE291" s="43" t="n"/>
      <c r="AF291" s="43" t="n"/>
      <c r="AG291" s="43" t="n"/>
      <c r="AH291" s="43" t="n"/>
      <c r="AI291" s="43" t="n"/>
      <c r="AJ291" s="43" t="n"/>
      <c r="AK291" s="43" t="n"/>
      <c r="AL291" s="43" t="n"/>
      <c r="AM291" s="43" t="n"/>
      <c r="AN291" s="43" t="n"/>
      <c r="AO291" s="43" t="n"/>
      <c r="AP291" s="43" t="n"/>
    </row>
    <row r="292" ht="18" customHeight="1" s="74">
      <c r="A292" s="38" t="n"/>
      <c r="B292" s="38" t="n"/>
      <c r="C292" s="38" t="n"/>
      <c r="D292" s="38" t="n"/>
      <c r="E292" s="39" t="n"/>
      <c r="F292" s="39" t="n"/>
      <c r="G292" s="39" t="n"/>
      <c r="H292" s="39" t="n"/>
      <c r="I292" s="39" t="n"/>
      <c r="J292" s="39" t="n"/>
      <c r="K292" s="39" t="n"/>
      <c r="L292" s="39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39" t="n"/>
      <c r="V292" s="39" t="n"/>
      <c r="W292" s="34" t="n"/>
      <c r="X292" s="39" t="n"/>
      <c r="Y292" s="40" t="n"/>
      <c r="Z292" s="38" t="n"/>
      <c r="AA292" s="38" t="n"/>
      <c r="AB292" s="41">
        <f>IF(A292="","",IF(COUNTIF($A$6:$A$504,A292)&gt;1,"⚠ Duplicate",""))</f>
        <v/>
      </c>
      <c r="AC292" s="42" t="n"/>
      <c r="AD292" s="42" t="n"/>
      <c r="AE292" s="42" t="n"/>
      <c r="AF292" s="42" t="n"/>
      <c r="AG292" s="42" t="n"/>
      <c r="AH292" s="42" t="n"/>
      <c r="AI292" s="42" t="n"/>
      <c r="AJ292" s="42" t="n"/>
      <c r="AK292" s="42" t="n"/>
      <c r="AL292" s="42" t="n"/>
      <c r="AM292" s="42" t="n"/>
      <c r="AN292" s="42" t="n"/>
      <c r="AO292" s="42" t="n"/>
      <c r="AP292" s="42" t="n"/>
    </row>
    <row r="293" ht="18" customHeight="1" s="74">
      <c r="A293" s="32" t="n"/>
      <c r="B293" s="32" t="n"/>
      <c r="C293" s="32" t="n"/>
      <c r="D293" s="32" t="n"/>
      <c r="E293" s="33" t="n"/>
      <c r="F293" s="33" t="n"/>
      <c r="G293" s="33" t="n"/>
      <c r="H293" s="33" t="n"/>
      <c r="I293" s="33" t="n"/>
      <c r="J293" s="33" t="n"/>
      <c r="K293" s="33" t="n"/>
      <c r="L293" s="33" t="n"/>
      <c r="M293" s="33" t="n"/>
      <c r="N293" s="33" t="n"/>
      <c r="O293" s="33" t="n"/>
      <c r="P293" s="33" t="n"/>
      <c r="Q293" s="33" t="n"/>
      <c r="R293" s="33" t="n"/>
      <c r="S293" s="33" t="n"/>
      <c r="T293" s="33" t="n"/>
      <c r="U293" s="33" t="n"/>
      <c r="V293" s="33" t="n"/>
      <c r="W293" s="34" t="n"/>
      <c r="X293" s="33" t="n"/>
      <c r="Y293" s="35" t="n"/>
      <c r="Z293" s="32" t="n"/>
      <c r="AA293" s="32" t="n"/>
      <c r="AB293" s="36">
        <f>IF(A293="","",IF(COUNTIF($A$6:$A$504,A293)&gt;1,"⚠ Duplicate",""))</f>
        <v/>
      </c>
      <c r="AC293" s="43" t="n"/>
      <c r="AD293" s="43" t="n"/>
      <c r="AE293" s="43" t="n"/>
      <c r="AF293" s="43" t="n"/>
      <c r="AG293" s="43" t="n"/>
      <c r="AH293" s="43" t="n"/>
      <c r="AI293" s="43" t="n"/>
      <c r="AJ293" s="43" t="n"/>
      <c r="AK293" s="43" t="n"/>
      <c r="AL293" s="43" t="n"/>
      <c r="AM293" s="43" t="n"/>
      <c r="AN293" s="43" t="n"/>
      <c r="AO293" s="43" t="n"/>
      <c r="AP293" s="43" t="n"/>
    </row>
    <row r="294" ht="18" customHeight="1" s="74">
      <c r="A294" s="38" t="n"/>
      <c r="B294" s="38" t="n"/>
      <c r="C294" s="38" t="n"/>
      <c r="D294" s="38" t="n"/>
      <c r="E294" s="39" t="n"/>
      <c r="F294" s="39" t="n"/>
      <c r="G294" s="39" t="n"/>
      <c r="H294" s="39" t="n"/>
      <c r="I294" s="39" t="n"/>
      <c r="J294" s="39" t="n"/>
      <c r="K294" s="39" t="n"/>
      <c r="L294" s="39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39" t="n"/>
      <c r="V294" s="39" t="n"/>
      <c r="W294" s="34" t="n"/>
      <c r="X294" s="39" t="n"/>
      <c r="Y294" s="40" t="n"/>
      <c r="Z294" s="38" t="n"/>
      <c r="AA294" s="38" t="n"/>
      <c r="AB294" s="41">
        <f>IF(A294="","",IF(COUNTIF($A$6:$A$504,A294)&gt;1,"⚠ Duplicate",""))</f>
        <v/>
      </c>
      <c r="AC294" s="42" t="n"/>
      <c r="AD294" s="42" t="n"/>
      <c r="AE294" s="42" t="n"/>
      <c r="AF294" s="42" t="n"/>
      <c r="AG294" s="42" t="n"/>
      <c r="AH294" s="42" t="n"/>
      <c r="AI294" s="42" t="n"/>
      <c r="AJ294" s="42" t="n"/>
      <c r="AK294" s="42" t="n"/>
      <c r="AL294" s="42" t="n"/>
      <c r="AM294" s="42" t="n"/>
      <c r="AN294" s="42" t="n"/>
      <c r="AO294" s="42" t="n"/>
      <c r="AP294" s="42" t="n"/>
    </row>
    <row r="295" ht="18" customHeight="1" s="74">
      <c r="A295" s="32" t="n"/>
      <c r="B295" s="32" t="n"/>
      <c r="C295" s="32" t="n"/>
      <c r="D295" s="32" t="n"/>
      <c r="E295" s="33" t="n"/>
      <c r="F295" s="33" t="n"/>
      <c r="G295" s="33" t="n"/>
      <c r="H295" s="33" t="n"/>
      <c r="I295" s="33" t="n"/>
      <c r="J295" s="33" t="n"/>
      <c r="K295" s="33" t="n"/>
      <c r="L295" s="33" t="n"/>
      <c r="M295" s="33" t="n"/>
      <c r="N295" s="33" t="n"/>
      <c r="O295" s="33" t="n"/>
      <c r="P295" s="33" t="n"/>
      <c r="Q295" s="33" t="n"/>
      <c r="R295" s="33" t="n"/>
      <c r="S295" s="33" t="n"/>
      <c r="T295" s="33" t="n"/>
      <c r="U295" s="33" t="n"/>
      <c r="V295" s="33" t="n"/>
      <c r="W295" s="34" t="n"/>
      <c r="X295" s="33" t="n"/>
      <c r="Y295" s="35" t="n"/>
      <c r="Z295" s="32" t="n"/>
      <c r="AA295" s="32" t="n"/>
      <c r="AB295" s="36">
        <f>IF(A295="","",IF(COUNTIF($A$6:$A$504,A295)&gt;1,"⚠ Duplicate",""))</f>
        <v/>
      </c>
      <c r="AC295" s="43" t="n"/>
      <c r="AD295" s="43" t="n"/>
      <c r="AE295" s="43" t="n"/>
      <c r="AF295" s="43" t="n"/>
      <c r="AG295" s="43" t="n"/>
      <c r="AH295" s="43" t="n"/>
      <c r="AI295" s="43" t="n"/>
      <c r="AJ295" s="43" t="n"/>
      <c r="AK295" s="43" t="n"/>
      <c r="AL295" s="43" t="n"/>
      <c r="AM295" s="43" t="n"/>
      <c r="AN295" s="43" t="n"/>
      <c r="AO295" s="43" t="n"/>
      <c r="AP295" s="43" t="n"/>
    </row>
    <row r="296" ht="18" customHeight="1" s="74">
      <c r="A296" s="38" t="n"/>
      <c r="B296" s="38" t="n"/>
      <c r="C296" s="38" t="n"/>
      <c r="D296" s="38" t="n"/>
      <c r="E296" s="39" t="n"/>
      <c r="F296" s="39" t="n"/>
      <c r="G296" s="39" t="n"/>
      <c r="H296" s="39" t="n"/>
      <c r="I296" s="39" t="n"/>
      <c r="J296" s="39" t="n"/>
      <c r="K296" s="39" t="n"/>
      <c r="L296" s="39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39" t="n"/>
      <c r="V296" s="39" t="n"/>
      <c r="W296" s="34" t="n"/>
      <c r="X296" s="39" t="n"/>
      <c r="Y296" s="40" t="n"/>
      <c r="Z296" s="38" t="n"/>
      <c r="AA296" s="38" t="n"/>
      <c r="AB296" s="41">
        <f>IF(A296="","",IF(COUNTIF($A$6:$A$504,A296)&gt;1,"⚠ Duplicate",""))</f>
        <v/>
      </c>
      <c r="AC296" s="42" t="n"/>
      <c r="AD296" s="42" t="n"/>
      <c r="AE296" s="42" t="n"/>
      <c r="AF296" s="42" t="n"/>
      <c r="AG296" s="42" t="n"/>
      <c r="AH296" s="42" t="n"/>
      <c r="AI296" s="42" t="n"/>
      <c r="AJ296" s="42" t="n"/>
      <c r="AK296" s="42" t="n"/>
      <c r="AL296" s="42" t="n"/>
      <c r="AM296" s="42" t="n"/>
      <c r="AN296" s="42" t="n"/>
      <c r="AO296" s="42" t="n"/>
      <c r="AP296" s="42" t="n"/>
    </row>
    <row r="297" ht="18" customHeight="1" s="74">
      <c r="A297" s="32" t="n"/>
      <c r="B297" s="32" t="n"/>
      <c r="C297" s="32" t="n"/>
      <c r="D297" s="32" t="n"/>
      <c r="E297" s="33" t="n"/>
      <c r="F297" s="33" t="n"/>
      <c r="G297" s="33" t="n"/>
      <c r="H297" s="33" t="n"/>
      <c r="I297" s="33" t="n"/>
      <c r="J297" s="33" t="n"/>
      <c r="K297" s="33" t="n"/>
      <c r="L297" s="33" t="n"/>
      <c r="M297" s="33" t="n"/>
      <c r="N297" s="33" t="n"/>
      <c r="O297" s="33" t="n"/>
      <c r="P297" s="33" t="n"/>
      <c r="Q297" s="33" t="n"/>
      <c r="R297" s="33" t="n"/>
      <c r="S297" s="33" t="n"/>
      <c r="T297" s="33" t="n"/>
      <c r="U297" s="33" t="n"/>
      <c r="V297" s="33" t="n"/>
      <c r="W297" s="34" t="n"/>
      <c r="X297" s="33" t="n"/>
      <c r="Y297" s="35" t="n"/>
      <c r="Z297" s="32" t="n"/>
      <c r="AA297" s="32" t="n"/>
      <c r="AB297" s="36">
        <f>IF(A297="","",IF(COUNTIF($A$6:$A$504,A297)&gt;1,"⚠ Duplicate",""))</f>
        <v/>
      </c>
      <c r="AC297" s="43" t="n"/>
      <c r="AD297" s="43" t="n"/>
      <c r="AE297" s="43" t="n"/>
      <c r="AF297" s="43" t="n"/>
      <c r="AG297" s="43" t="n"/>
      <c r="AH297" s="43" t="n"/>
      <c r="AI297" s="43" t="n"/>
      <c r="AJ297" s="43" t="n"/>
      <c r="AK297" s="43" t="n"/>
      <c r="AL297" s="43" t="n"/>
      <c r="AM297" s="43" t="n"/>
      <c r="AN297" s="43" t="n"/>
      <c r="AO297" s="43" t="n"/>
      <c r="AP297" s="43" t="n"/>
    </row>
    <row r="298" ht="18" customHeight="1" s="74">
      <c r="A298" s="38" t="n"/>
      <c r="B298" s="38" t="n"/>
      <c r="C298" s="38" t="n"/>
      <c r="D298" s="38" t="n"/>
      <c r="E298" s="39" t="n"/>
      <c r="F298" s="39" t="n"/>
      <c r="G298" s="39" t="n"/>
      <c r="H298" s="39" t="n"/>
      <c r="I298" s="39" t="n"/>
      <c r="J298" s="39" t="n"/>
      <c r="K298" s="39" t="n"/>
      <c r="L298" s="39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39" t="n"/>
      <c r="V298" s="39" t="n"/>
      <c r="W298" s="34" t="n"/>
      <c r="X298" s="39" t="n"/>
      <c r="Y298" s="40" t="n"/>
      <c r="Z298" s="38" t="n"/>
      <c r="AA298" s="38" t="n"/>
      <c r="AB298" s="41">
        <f>IF(A298="","",IF(COUNTIF($A$6:$A$504,A298)&gt;1,"⚠ Duplicate",""))</f>
        <v/>
      </c>
      <c r="AC298" s="42" t="n"/>
      <c r="AD298" s="42" t="n"/>
      <c r="AE298" s="42" t="n"/>
      <c r="AF298" s="42" t="n"/>
      <c r="AG298" s="42" t="n"/>
      <c r="AH298" s="42" t="n"/>
      <c r="AI298" s="42" t="n"/>
      <c r="AJ298" s="42" t="n"/>
      <c r="AK298" s="42" t="n"/>
      <c r="AL298" s="42" t="n"/>
      <c r="AM298" s="42" t="n"/>
      <c r="AN298" s="42" t="n"/>
      <c r="AO298" s="42" t="n"/>
      <c r="AP298" s="42" t="n"/>
    </row>
    <row r="299" ht="18" customHeight="1" s="74">
      <c r="A299" s="32" t="n"/>
      <c r="B299" s="32" t="n"/>
      <c r="C299" s="32" t="n"/>
      <c r="D299" s="32" t="n"/>
      <c r="E299" s="33" t="n"/>
      <c r="F299" s="33" t="n"/>
      <c r="G299" s="33" t="n"/>
      <c r="H299" s="33" t="n"/>
      <c r="I299" s="33" t="n"/>
      <c r="J299" s="33" t="n"/>
      <c r="K299" s="33" t="n"/>
      <c r="L299" s="33" t="n"/>
      <c r="M299" s="33" t="n"/>
      <c r="N299" s="33" t="n"/>
      <c r="O299" s="33" t="n"/>
      <c r="P299" s="33" t="n"/>
      <c r="Q299" s="33" t="n"/>
      <c r="R299" s="33" t="n"/>
      <c r="S299" s="33" t="n"/>
      <c r="T299" s="33" t="n"/>
      <c r="U299" s="33" t="n"/>
      <c r="V299" s="33" t="n"/>
      <c r="W299" s="34" t="n"/>
      <c r="X299" s="33" t="n"/>
      <c r="Y299" s="35" t="n"/>
      <c r="Z299" s="32" t="n"/>
      <c r="AA299" s="32" t="n"/>
      <c r="AB299" s="36">
        <f>IF(A299="","",IF(COUNTIF($A$6:$A$504,A299)&gt;1,"⚠ Duplicate",""))</f>
        <v/>
      </c>
      <c r="AC299" s="43" t="n"/>
      <c r="AD299" s="43" t="n"/>
      <c r="AE299" s="43" t="n"/>
      <c r="AF299" s="43" t="n"/>
      <c r="AG299" s="43" t="n"/>
      <c r="AH299" s="43" t="n"/>
      <c r="AI299" s="43" t="n"/>
      <c r="AJ299" s="43" t="n"/>
      <c r="AK299" s="43" t="n"/>
      <c r="AL299" s="43" t="n"/>
      <c r="AM299" s="43" t="n"/>
      <c r="AN299" s="43" t="n"/>
      <c r="AO299" s="43" t="n"/>
      <c r="AP299" s="43" t="n"/>
    </row>
    <row r="300" ht="18" customHeight="1" s="74">
      <c r="A300" s="38" t="n"/>
      <c r="B300" s="38" t="n"/>
      <c r="C300" s="38" t="n"/>
      <c r="D300" s="38" t="n"/>
      <c r="E300" s="39" t="n"/>
      <c r="F300" s="39" t="n"/>
      <c r="G300" s="39" t="n"/>
      <c r="H300" s="39" t="n"/>
      <c r="I300" s="39" t="n"/>
      <c r="J300" s="39" t="n"/>
      <c r="K300" s="39" t="n"/>
      <c r="L300" s="39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39" t="n"/>
      <c r="V300" s="39" t="n"/>
      <c r="W300" s="34" t="n"/>
      <c r="X300" s="39" t="n"/>
      <c r="Y300" s="40" t="n"/>
      <c r="Z300" s="38" t="n"/>
      <c r="AA300" s="38" t="n"/>
      <c r="AB300" s="41">
        <f>IF(A300="","",IF(COUNTIF($A$6:$A$504,A300)&gt;1,"⚠ Duplicate",""))</f>
        <v/>
      </c>
      <c r="AC300" s="42" t="n"/>
      <c r="AD300" s="42" t="n"/>
      <c r="AE300" s="42" t="n"/>
      <c r="AF300" s="42" t="n"/>
      <c r="AG300" s="42" t="n"/>
      <c r="AH300" s="42" t="n"/>
      <c r="AI300" s="42" t="n"/>
      <c r="AJ300" s="42" t="n"/>
      <c r="AK300" s="42" t="n"/>
      <c r="AL300" s="42" t="n"/>
      <c r="AM300" s="42" t="n"/>
      <c r="AN300" s="42" t="n"/>
      <c r="AO300" s="42" t="n"/>
      <c r="AP300" s="42" t="n"/>
    </row>
    <row r="301" ht="18" customHeight="1" s="74">
      <c r="A301" s="32" t="n"/>
      <c r="B301" s="32" t="n"/>
      <c r="C301" s="32" t="n"/>
      <c r="D301" s="32" t="n"/>
      <c r="E301" s="33" t="n"/>
      <c r="F301" s="33" t="n"/>
      <c r="G301" s="33" t="n"/>
      <c r="H301" s="33" t="n"/>
      <c r="I301" s="33" t="n"/>
      <c r="J301" s="33" t="n"/>
      <c r="K301" s="33" t="n"/>
      <c r="L301" s="33" t="n"/>
      <c r="M301" s="33" t="n"/>
      <c r="N301" s="33" t="n"/>
      <c r="O301" s="33" t="n"/>
      <c r="P301" s="33" t="n"/>
      <c r="Q301" s="33" t="n"/>
      <c r="R301" s="33" t="n"/>
      <c r="S301" s="33" t="n"/>
      <c r="T301" s="33" t="n"/>
      <c r="U301" s="33" t="n"/>
      <c r="V301" s="33" t="n"/>
      <c r="W301" s="34" t="n"/>
      <c r="X301" s="33" t="n"/>
      <c r="Y301" s="35" t="n"/>
      <c r="Z301" s="32" t="n"/>
      <c r="AA301" s="32" t="n"/>
      <c r="AB301" s="36">
        <f>IF(A301="","",IF(COUNTIF($A$6:$A$504,A301)&gt;1,"⚠ Duplicate",""))</f>
        <v/>
      </c>
      <c r="AC301" s="43" t="n"/>
      <c r="AD301" s="43" t="n"/>
      <c r="AE301" s="43" t="n"/>
      <c r="AF301" s="43" t="n"/>
      <c r="AG301" s="43" t="n"/>
      <c r="AH301" s="43" t="n"/>
      <c r="AI301" s="43" t="n"/>
      <c r="AJ301" s="43" t="n"/>
      <c r="AK301" s="43" t="n"/>
      <c r="AL301" s="43" t="n"/>
      <c r="AM301" s="43" t="n"/>
      <c r="AN301" s="43" t="n"/>
      <c r="AO301" s="43" t="n"/>
      <c r="AP301" s="43" t="n"/>
    </row>
    <row r="302" ht="18" customHeight="1" s="74">
      <c r="A302" s="38" t="n"/>
      <c r="B302" s="38" t="n"/>
      <c r="C302" s="38" t="n"/>
      <c r="D302" s="38" t="n"/>
      <c r="E302" s="39" t="n"/>
      <c r="F302" s="39" t="n"/>
      <c r="G302" s="39" t="n"/>
      <c r="H302" s="39" t="n"/>
      <c r="I302" s="39" t="n"/>
      <c r="J302" s="39" t="n"/>
      <c r="K302" s="39" t="n"/>
      <c r="L302" s="39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39" t="n"/>
      <c r="V302" s="39" t="n"/>
      <c r="W302" s="34" t="n"/>
      <c r="X302" s="39" t="n"/>
      <c r="Y302" s="40" t="n"/>
      <c r="Z302" s="38" t="n"/>
      <c r="AA302" s="38" t="n"/>
      <c r="AB302" s="41">
        <f>IF(A302="","",IF(COUNTIF($A$6:$A$504,A302)&gt;1,"⚠ Duplicate",""))</f>
        <v/>
      </c>
      <c r="AC302" s="42" t="n"/>
      <c r="AD302" s="42" t="n"/>
      <c r="AE302" s="42" t="n"/>
      <c r="AF302" s="42" t="n"/>
      <c r="AG302" s="42" t="n"/>
      <c r="AH302" s="42" t="n"/>
      <c r="AI302" s="42" t="n"/>
      <c r="AJ302" s="42" t="n"/>
      <c r="AK302" s="42" t="n"/>
      <c r="AL302" s="42" t="n"/>
      <c r="AM302" s="42" t="n"/>
      <c r="AN302" s="42" t="n"/>
      <c r="AO302" s="42" t="n"/>
      <c r="AP302" s="42" t="n"/>
    </row>
    <row r="303" ht="18" customHeight="1" s="74">
      <c r="A303" s="32" t="n"/>
      <c r="B303" s="32" t="n"/>
      <c r="C303" s="32" t="n"/>
      <c r="D303" s="32" t="n"/>
      <c r="E303" s="33" t="n"/>
      <c r="F303" s="33" t="n"/>
      <c r="G303" s="33" t="n"/>
      <c r="H303" s="33" t="n"/>
      <c r="I303" s="33" t="n"/>
      <c r="J303" s="33" t="n"/>
      <c r="K303" s="33" t="n"/>
      <c r="L303" s="33" t="n"/>
      <c r="M303" s="33" t="n"/>
      <c r="N303" s="33" t="n"/>
      <c r="O303" s="33" t="n"/>
      <c r="P303" s="33" t="n"/>
      <c r="Q303" s="33" t="n"/>
      <c r="R303" s="33" t="n"/>
      <c r="S303" s="33" t="n"/>
      <c r="T303" s="33" t="n"/>
      <c r="U303" s="33" t="n"/>
      <c r="V303" s="33" t="n"/>
      <c r="W303" s="34" t="n"/>
      <c r="X303" s="33" t="n"/>
      <c r="Y303" s="35" t="n"/>
      <c r="Z303" s="32" t="n"/>
      <c r="AA303" s="32" t="n"/>
      <c r="AB303" s="36">
        <f>IF(A303="","",IF(COUNTIF($A$6:$A$504,A303)&gt;1,"⚠ Duplicate",""))</f>
        <v/>
      </c>
      <c r="AC303" s="43" t="n"/>
      <c r="AD303" s="43" t="n"/>
      <c r="AE303" s="43" t="n"/>
      <c r="AF303" s="43" t="n"/>
      <c r="AG303" s="43" t="n"/>
      <c r="AH303" s="43" t="n"/>
      <c r="AI303" s="43" t="n"/>
      <c r="AJ303" s="43" t="n"/>
      <c r="AK303" s="43" t="n"/>
      <c r="AL303" s="43" t="n"/>
      <c r="AM303" s="43" t="n"/>
      <c r="AN303" s="43" t="n"/>
      <c r="AO303" s="43" t="n"/>
      <c r="AP303" s="43" t="n"/>
    </row>
    <row r="304" ht="18" customHeight="1" s="74">
      <c r="A304" s="38" t="n"/>
      <c r="B304" s="38" t="n"/>
      <c r="C304" s="38" t="n"/>
      <c r="D304" s="38" t="n"/>
      <c r="E304" s="39" t="n"/>
      <c r="F304" s="39" t="n"/>
      <c r="G304" s="39" t="n"/>
      <c r="H304" s="39" t="n"/>
      <c r="I304" s="39" t="n"/>
      <c r="J304" s="39" t="n"/>
      <c r="K304" s="39" t="n"/>
      <c r="L304" s="39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39" t="n"/>
      <c r="V304" s="39" t="n"/>
      <c r="W304" s="34" t="n"/>
      <c r="X304" s="39" t="n"/>
      <c r="Y304" s="40" t="n"/>
      <c r="Z304" s="38" t="n"/>
      <c r="AA304" s="38" t="n"/>
      <c r="AB304" s="41">
        <f>IF(A304="","",IF(COUNTIF($A$6:$A$504,A304)&gt;1,"⚠ Duplicate",""))</f>
        <v/>
      </c>
      <c r="AC304" s="42" t="n"/>
      <c r="AD304" s="42" t="n"/>
      <c r="AE304" s="42" t="n"/>
      <c r="AF304" s="42" t="n"/>
      <c r="AG304" s="42" t="n"/>
      <c r="AH304" s="42" t="n"/>
      <c r="AI304" s="42" t="n"/>
      <c r="AJ304" s="42" t="n"/>
      <c r="AK304" s="42" t="n"/>
      <c r="AL304" s="42" t="n"/>
      <c r="AM304" s="42" t="n"/>
      <c r="AN304" s="42" t="n"/>
      <c r="AO304" s="42" t="n"/>
      <c r="AP304" s="42" t="n"/>
    </row>
    <row r="305" ht="18" customHeight="1" s="74">
      <c r="A305" s="32" t="n"/>
      <c r="B305" s="32" t="n"/>
      <c r="C305" s="32" t="n"/>
      <c r="D305" s="32" t="n"/>
      <c r="E305" s="33" t="n"/>
      <c r="F305" s="33" t="n"/>
      <c r="G305" s="33" t="n"/>
      <c r="H305" s="33" t="n"/>
      <c r="I305" s="33" t="n"/>
      <c r="J305" s="33" t="n"/>
      <c r="K305" s="33" t="n"/>
      <c r="L305" s="33" t="n"/>
      <c r="M305" s="33" t="n"/>
      <c r="N305" s="33" t="n"/>
      <c r="O305" s="33" t="n"/>
      <c r="P305" s="33" t="n"/>
      <c r="Q305" s="33" t="n"/>
      <c r="R305" s="33" t="n"/>
      <c r="S305" s="33" t="n"/>
      <c r="T305" s="33" t="n"/>
      <c r="U305" s="33" t="n"/>
      <c r="V305" s="33" t="n"/>
      <c r="W305" s="34" t="n"/>
      <c r="X305" s="33" t="n"/>
      <c r="Y305" s="35" t="n"/>
      <c r="Z305" s="32" t="n"/>
      <c r="AA305" s="32" t="n"/>
      <c r="AB305" s="36">
        <f>IF(A305="","",IF(COUNTIF($A$6:$A$504,A305)&gt;1,"⚠ Duplicate",""))</f>
        <v/>
      </c>
      <c r="AC305" s="43" t="n"/>
      <c r="AD305" s="43" t="n"/>
      <c r="AE305" s="43" t="n"/>
      <c r="AF305" s="43" t="n"/>
      <c r="AG305" s="43" t="n"/>
      <c r="AH305" s="43" t="n"/>
      <c r="AI305" s="43" t="n"/>
      <c r="AJ305" s="43" t="n"/>
      <c r="AK305" s="43" t="n"/>
      <c r="AL305" s="43" t="n"/>
      <c r="AM305" s="43" t="n"/>
      <c r="AN305" s="43" t="n"/>
      <c r="AO305" s="43" t="n"/>
      <c r="AP305" s="43" t="n"/>
    </row>
    <row r="306" ht="18" customHeight="1" s="74">
      <c r="A306" s="38" t="n"/>
      <c r="B306" s="38" t="n"/>
      <c r="C306" s="38" t="n"/>
      <c r="D306" s="38" t="n"/>
      <c r="E306" s="39" t="n"/>
      <c r="F306" s="39" t="n"/>
      <c r="G306" s="39" t="n"/>
      <c r="H306" s="39" t="n"/>
      <c r="I306" s="39" t="n"/>
      <c r="J306" s="39" t="n"/>
      <c r="K306" s="39" t="n"/>
      <c r="L306" s="39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39" t="n"/>
      <c r="V306" s="39" t="n"/>
      <c r="W306" s="34" t="n"/>
      <c r="X306" s="39" t="n"/>
      <c r="Y306" s="40" t="n"/>
      <c r="Z306" s="38" t="n"/>
      <c r="AA306" s="38" t="n"/>
      <c r="AB306" s="41">
        <f>IF(A306="","",IF(COUNTIF($A$6:$A$504,A306)&gt;1,"⚠ Duplicate",""))</f>
        <v/>
      </c>
      <c r="AC306" s="42" t="n"/>
      <c r="AD306" s="42" t="n"/>
      <c r="AE306" s="42" t="n"/>
      <c r="AF306" s="42" t="n"/>
      <c r="AG306" s="42" t="n"/>
      <c r="AH306" s="42" t="n"/>
      <c r="AI306" s="42" t="n"/>
      <c r="AJ306" s="42" t="n"/>
      <c r="AK306" s="42" t="n"/>
      <c r="AL306" s="42" t="n"/>
      <c r="AM306" s="42" t="n"/>
      <c r="AN306" s="42" t="n"/>
      <c r="AO306" s="42" t="n"/>
      <c r="AP306" s="42" t="n"/>
    </row>
    <row r="307" ht="18" customHeight="1" s="74">
      <c r="A307" s="32" t="n"/>
      <c r="B307" s="32" t="n"/>
      <c r="C307" s="32" t="n"/>
      <c r="D307" s="32" t="n"/>
      <c r="E307" s="33" t="n"/>
      <c r="F307" s="33" t="n"/>
      <c r="G307" s="33" t="n"/>
      <c r="H307" s="33" t="n"/>
      <c r="I307" s="33" t="n"/>
      <c r="J307" s="33" t="n"/>
      <c r="K307" s="33" t="n"/>
      <c r="L307" s="33" t="n"/>
      <c r="M307" s="33" t="n"/>
      <c r="N307" s="33" t="n"/>
      <c r="O307" s="33" t="n"/>
      <c r="P307" s="33" t="n"/>
      <c r="Q307" s="33" t="n"/>
      <c r="R307" s="33" t="n"/>
      <c r="S307" s="33" t="n"/>
      <c r="T307" s="33" t="n"/>
      <c r="U307" s="33" t="n"/>
      <c r="V307" s="33" t="n"/>
      <c r="W307" s="34" t="n"/>
      <c r="X307" s="33" t="n"/>
      <c r="Y307" s="35" t="n"/>
      <c r="Z307" s="32" t="n"/>
      <c r="AA307" s="32" t="n"/>
      <c r="AB307" s="36">
        <f>IF(A307="","",IF(COUNTIF($A$6:$A$504,A307)&gt;1,"⚠ Duplicate",""))</f>
        <v/>
      </c>
      <c r="AC307" s="43" t="n"/>
      <c r="AD307" s="43" t="n"/>
      <c r="AE307" s="43" t="n"/>
      <c r="AF307" s="43" t="n"/>
      <c r="AG307" s="43" t="n"/>
      <c r="AH307" s="43" t="n"/>
      <c r="AI307" s="43" t="n"/>
      <c r="AJ307" s="43" t="n"/>
      <c r="AK307" s="43" t="n"/>
      <c r="AL307" s="43" t="n"/>
      <c r="AM307" s="43" t="n"/>
      <c r="AN307" s="43" t="n"/>
      <c r="AO307" s="43" t="n"/>
      <c r="AP307" s="43" t="n"/>
    </row>
    <row r="308" ht="18" customHeight="1" s="74">
      <c r="A308" s="38" t="n"/>
      <c r="B308" s="38" t="n"/>
      <c r="C308" s="38" t="n"/>
      <c r="D308" s="38" t="n"/>
      <c r="E308" s="39" t="n"/>
      <c r="F308" s="39" t="n"/>
      <c r="G308" s="39" t="n"/>
      <c r="H308" s="39" t="n"/>
      <c r="I308" s="39" t="n"/>
      <c r="J308" s="39" t="n"/>
      <c r="K308" s="39" t="n"/>
      <c r="L308" s="39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39" t="n"/>
      <c r="V308" s="39" t="n"/>
      <c r="W308" s="34" t="n"/>
      <c r="X308" s="39" t="n"/>
      <c r="Y308" s="40" t="n"/>
      <c r="Z308" s="38" t="n"/>
      <c r="AA308" s="38" t="n"/>
      <c r="AB308" s="41">
        <f>IF(A308="","",IF(COUNTIF($A$6:$A$504,A308)&gt;1,"⚠ Duplicate",""))</f>
        <v/>
      </c>
      <c r="AC308" s="42" t="n"/>
      <c r="AD308" s="42" t="n"/>
      <c r="AE308" s="42" t="n"/>
      <c r="AF308" s="42" t="n"/>
      <c r="AG308" s="42" t="n"/>
      <c r="AH308" s="42" t="n"/>
      <c r="AI308" s="42" t="n"/>
      <c r="AJ308" s="42" t="n"/>
      <c r="AK308" s="42" t="n"/>
      <c r="AL308" s="42" t="n"/>
      <c r="AM308" s="42" t="n"/>
      <c r="AN308" s="42" t="n"/>
      <c r="AO308" s="42" t="n"/>
      <c r="AP308" s="42" t="n"/>
    </row>
    <row r="309" ht="18" customHeight="1" s="74">
      <c r="A309" s="32" t="n"/>
      <c r="B309" s="32" t="n"/>
      <c r="C309" s="32" t="n"/>
      <c r="D309" s="32" t="n"/>
      <c r="E309" s="33" t="n"/>
      <c r="F309" s="33" t="n"/>
      <c r="G309" s="33" t="n"/>
      <c r="H309" s="33" t="n"/>
      <c r="I309" s="33" t="n"/>
      <c r="J309" s="33" t="n"/>
      <c r="K309" s="33" t="n"/>
      <c r="L309" s="33" t="n"/>
      <c r="M309" s="33" t="n"/>
      <c r="N309" s="33" t="n"/>
      <c r="O309" s="33" t="n"/>
      <c r="P309" s="33" t="n"/>
      <c r="Q309" s="33" t="n"/>
      <c r="R309" s="33" t="n"/>
      <c r="S309" s="33" t="n"/>
      <c r="T309" s="33" t="n"/>
      <c r="U309" s="33" t="n"/>
      <c r="V309" s="33" t="n"/>
      <c r="W309" s="34" t="n"/>
      <c r="X309" s="33" t="n"/>
      <c r="Y309" s="35" t="n"/>
      <c r="Z309" s="32" t="n"/>
      <c r="AA309" s="32" t="n"/>
      <c r="AB309" s="36">
        <f>IF(A309="","",IF(COUNTIF($A$6:$A$504,A309)&gt;1,"⚠ Duplicate",""))</f>
        <v/>
      </c>
      <c r="AC309" s="43" t="n"/>
      <c r="AD309" s="43" t="n"/>
      <c r="AE309" s="43" t="n"/>
      <c r="AF309" s="43" t="n"/>
      <c r="AG309" s="43" t="n"/>
      <c r="AH309" s="43" t="n"/>
      <c r="AI309" s="43" t="n"/>
      <c r="AJ309" s="43" t="n"/>
      <c r="AK309" s="43" t="n"/>
      <c r="AL309" s="43" t="n"/>
      <c r="AM309" s="43" t="n"/>
      <c r="AN309" s="43" t="n"/>
      <c r="AO309" s="43" t="n"/>
      <c r="AP309" s="43" t="n"/>
    </row>
    <row r="310" ht="18" customHeight="1" s="74">
      <c r="A310" s="38" t="n"/>
      <c r="B310" s="38" t="n"/>
      <c r="C310" s="38" t="n"/>
      <c r="D310" s="38" t="n"/>
      <c r="E310" s="39" t="n"/>
      <c r="F310" s="39" t="n"/>
      <c r="G310" s="39" t="n"/>
      <c r="H310" s="39" t="n"/>
      <c r="I310" s="39" t="n"/>
      <c r="J310" s="39" t="n"/>
      <c r="K310" s="39" t="n"/>
      <c r="L310" s="39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39" t="n"/>
      <c r="V310" s="39" t="n"/>
      <c r="W310" s="34" t="n"/>
      <c r="X310" s="39" t="n"/>
      <c r="Y310" s="40" t="n"/>
      <c r="Z310" s="38" t="n"/>
      <c r="AA310" s="38" t="n"/>
      <c r="AB310" s="41">
        <f>IF(A310="","",IF(COUNTIF($A$6:$A$504,A310)&gt;1,"⚠ Duplicate",""))</f>
        <v/>
      </c>
      <c r="AC310" s="42" t="n"/>
      <c r="AD310" s="42" t="n"/>
      <c r="AE310" s="42" t="n"/>
      <c r="AF310" s="42" t="n"/>
      <c r="AG310" s="42" t="n"/>
      <c r="AH310" s="42" t="n"/>
      <c r="AI310" s="42" t="n"/>
      <c r="AJ310" s="42" t="n"/>
      <c r="AK310" s="42" t="n"/>
      <c r="AL310" s="42" t="n"/>
      <c r="AM310" s="42" t="n"/>
      <c r="AN310" s="42" t="n"/>
      <c r="AO310" s="42" t="n"/>
      <c r="AP310" s="42" t="n"/>
    </row>
    <row r="311" ht="18" customHeight="1" s="74">
      <c r="A311" s="32" t="n"/>
      <c r="B311" s="32" t="n"/>
      <c r="C311" s="32" t="n"/>
      <c r="D311" s="32" t="n"/>
      <c r="E311" s="33" t="n"/>
      <c r="F311" s="33" t="n"/>
      <c r="G311" s="33" t="n"/>
      <c r="H311" s="33" t="n"/>
      <c r="I311" s="33" t="n"/>
      <c r="J311" s="33" t="n"/>
      <c r="K311" s="33" t="n"/>
      <c r="L311" s="33" t="n"/>
      <c r="M311" s="33" t="n"/>
      <c r="N311" s="33" t="n"/>
      <c r="O311" s="33" t="n"/>
      <c r="P311" s="33" t="n"/>
      <c r="Q311" s="33" t="n"/>
      <c r="R311" s="33" t="n"/>
      <c r="S311" s="33" t="n"/>
      <c r="T311" s="33" t="n"/>
      <c r="U311" s="33" t="n"/>
      <c r="V311" s="33" t="n"/>
      <c r="W311" s="34" t="n"/>
      <c r="X311" s="33" t="n"/>
      <c r="Y311" s="35" t="n"/>
      <c r="Z311" s="32" t="n"/>
      <c r="AA311" s="32" t="n"/>
      <c r="AB311" s="36">
        <f>IF(A311="","",IF(COUNTIF($A$6:$A$504,A311)&gt;1,"⚠ Duplicate",""))</f>
        <v/>
      </c>
      <c r="AC311" s="43" t="n"/>
      <c r="AD311" s="43" t="n"/>
      <c r="AE311" s="43" t="n"/>
      <c r="AF311" s="43" t="n"/>
      <c r="AG311" s="43" t="n"/>
      <c r="AH311" s="43" t="n"/>
      <c r="AI311" s="43" t="n"/>
      <c r="AJ311" s="43" t="n"/>
      <c r="AK311" s="43" t="n"/>
      <c r="AL311" s="43" t="n"/>
      <c r="AM311" s="43" t="n"/>
      <c r="AN311" s="43" t="n"/>
      <c r="AO311" s="43" t="n"/>
      <c r="AP311" s="43" t="n"/>
    </row>
    <row r="312" ht="18" customHeight="1" s="74">
      <c r="A312" s="38" t="n"/>
      <c r="B312" s="38" t="n"/>
      <c r="C312" s="38" t="n"/>
      <c r="D312" s="38" t="n"/>
      <c r="E312" s="39" t="n"/>
      <c r="F312" s="39" t="n"/>
      <c r="G312" s="39" t="n"/>
      <c r="H312" s="39" t="n"/>
      <c r="I312" s="39" t="n"/>
      <c r="J312" s="39" t="n"/>
      <c r="K312" s="39" t="n"/>
      <c r="L312" s="39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39" t="n"/>
      <c r="V312" s="39" t="n"/>
      <c r="W312" s="34" t="n"/>
      <c r="X312" s="39" t="n"/>
      <c r="Y312" s="40" t="n"/>
      <c r="Z312" s="38" t="n"/>
      <c r="AA312" s="38" t="n"/>
      <c r="AB312" s="41">
        <f>IF(A312="","",IF(COUNTIF($A$6:$A$504,A312)&gt;1,"⚠ Duplicate",""))</f>
        <v/>
      </c>
      <c r="AC312" s="42" t="n"/>
      <c r="AD312" s="42" t="n"/>
      <c r="AE312" s="42" t="n"/>
      <c r="AF312" s="42" t="n"/>
      <c r="AG312" s="42" t="n"/>
      <c r="AH312" s="42" t="n"/>
      <c r="AI312" s="42" t="n"/>
      <c r="AJ312" s="42" t="n"/>
      <c r="AK312" s="42" t="n"/>
      <c r="AL312" s="42" t="n"/>
      <c r="AM312" s="42" t="n"/>
      <c r="AN312" s="42" t="n"/>
      <c r="AO312" s="42" t="n"/>
      <c r="AP312" s="42" t="n"/>
    </row>
    <row r="313" ht="18" customHeight="1" s="74">
      <c r="A313" s="32" t="n"/>
      <c r="B313" s="32" t="n"/>
      <c r="C313" s="32" t="n"/>
      <c r="D313" s="32" t="n"/>
      <c r="E313" s="33" t="n"/>
      <c r="F313" s="33" t="n"/>
      <c r="G313" s="33" t="n"/>
      <c r="H313" s="33" t="n"/>
      <c r="I313" s="33" t="n"/>
      <c r="J313" s="33" t="n"/>
      <c r="K313" s="33" t="n"/>
      <c r="L313" s="33" t="n"/>
      <c r="M313" s="33" t="n"/>
      <c r="N313" s="33" t="n"/>
      <c r="O313" s="33" t="n"/>
      <c r="P313" s="33" t="n"/>
      <c r="Q313" s="33" t="n"/>
      <c r="R313" s="33" t="n"/>
      <c r="S313" s="33" t="n"/>
      <c r="T313" s="33" t="n"/>
      <c r="U313" s="33" t="n"/>
      <c r="V313" s="33" t="n"/>
      <c r="W313" s="34" t="n"/>
      <c r="X313" s="33" t="n"/>
      <c r="Y313" s="35" t="n"/>
      <c r="Z313" s="32" t="n"/>
      <c r="AA313" s="32" t="n"/>
      <c r="AB313" s="36">
        <f>IF(A313="","",IF(COUNTIF($A$6:$A$504,A313)&gt;1,"⚠ Duplicate",""))</f>
        <v/>
      </c>
      <c r="AC313" s="43" t="n"/>
      <c r="AD313" s="43" t="n"/>
      <c r="AE313" s="43" t="n"/>
      <c r="AF313" s="43" t="n"/>
      <c r="AG313" s="43" t="n"/>
      <c r="AH313" s="43" t="n"/>
      <c r="AI313" s="43" t="n"/>
      <c r="AJ313" s="43" t="n"/>
      <c r="AK313" s="43" t="n"/>
      <c r="AL313" s="43" t="n"/>
      <c r="AM313" s="43" t="n"/>
      <c r="AN313" s="43" t="n"/>
      <c r="AO313" s="43" t="n"/>
      <c r="AP313" s="43" t="n"/>
    </row>
    <row r="314" ht="18" customHeight="1" s="74">
      <c r="A314" s="38" t="n"/>
      <c r="B314" s="38" t="n"/>
      <c r="C314" s="38" t="n"/>
      <c r="D314" s="38" t="n"/>
      <c r="E314" s="39" t="n"/>
      <c r="F314" s="39" t="n"/>
      <c r="G314" s="39" t="n"/>
      <c r="H314" s="39" t="n"/>
      <c r="I314" s="39" t="n"/>
      <c r="J314" s="39" t="n"/>
      <c r="K314" s="39" t="n"/>
      <c r="L314" s="39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39" t="n"/>
      <c r="V314" s="39" t="n"/>
      <c r="W314" s="34" t="n"/>
      <c r="X314" s="39" t="n"/>
      <c r="Y314" s="40" t="n"/>
      <c r="Z314" s="38" t="n"/>
      <c r="AA314" s="38" t="n"/>
      <c r="AB314" s="41">
        <f>IF(A314="","",IF(COUNTIF($A$6:$A$504,A314)&gt;1,"⚠ Duplicate",""))</f>
        <v/>
      </c>
      <c r="AC314" s="42" t="n"/>
      <c r="AD314" s="42" t="n"/>
      <c r="AE314" s="42" t="n"/>
      <c r="AF314" s="42" t="n"/>
      <c r="AG314" s="42" t="n"/>
      <c r="AH314" s="42" t="n"/>
      <c r="AI314" s="42" t="n"/>
      <c r="AJ314" s="42" t="n"/>
      <c r="AK314" s="42" t="n"/>
      <c r="AL314" s="42" t="n"/>
      <c r="AM314" s="42" t="n"/>
      <c r="AN314" s="42" t="n"/>
      <c r="AO314" s="42" t="n"/>
      <c r="AP314" s="42" t="n"/>
    </row>
    <row r="315" ht="18" customHeight="1" s="74">
      <c r="A315" s="32" t="n"/>
      <c r="B315" s="32" t="n"/>
      <c r="C315" s="32" t="n"/>
      <c r="D315" s="32" t="n"/>
      <c r="E315" s="33" t="n"/>
      <c r="F315" s="33" t="n"/>
      <c r="G315" s="33" t="n"/>
      <c r="H315" s="33" t="n"/>
      <c r="I315" s="33" t="n"/>
      <c r="J315" s="33" t="n"/>
      <c r="K315" s="33" t="n"/>
      <c r="L315" s="33" t="n"/>
      <c r="M315" s="33" t="n"/>
      <c r="N315" s="33" t="n"/>
      <c r="O315" s="33" t="n"/>
      <c r="P315" s="33" t="n"/>
      <c r="Q315" s="33" t="n"/>
      <c r="R315" s="33" t="n"/>
      <c r="S315" s="33" t="n"/>
      <c r="T315" s="33" t="n"/>
      <c r="U315" s="33" t="n"/>
      <c r="V315" s="33" t="n"/>
      <c r="W315" s="34" t="n"/>
      <c r="X315" s="33" t="n"/>
      <c r="Y315" s="35" t="n"/>
      <c r="Z315" s="32" t="n"/>
      <c r="AA315" s="32" t="n"/>
      <c r="AB315" s="36">
        <f>IF(A315="","",IF(COUNTIF($A$6:$A$504,A315)&gt;1,"⚠ Duplicate",""))</f>
        <v/>
      </c>
      <c r="AC315" s="43" t="n"/>
      <c r="AD315" s="43" t="n"/>
      <c r="AE315" s="43" t="n"/>
      <c r="AF315" s="43" t="n"/>
      <c r="AG315" s="43" t="n"/>
      <c r="AH315" s="43" t="n"/>
      <c r="AI315" s="43" t="n"/>
      <c r="AJ315" s="43" t="n"/>
      <c r="AK315" s="43" t="n"/>
      <c r="AL315" s="43" t="n"/>
      <c r="AM315" s="43" t="n"/>
      <c r="AN315" s="43" t="n"/>
      <c r="AO315" s="43" t="n"/>
      <c r="AP315" s="43" t="n"/>
    </row>
    <row r="316" ht="18" customHeight="1" s="74">
      <c r="A316" s="38" t="n"/>
      <c r="B316" s="38" t="n"/>
      <c r="C316" s="38" t="n"/>
      <c r="D316" s="38" t="n"/>
      <c r="E316" s="39" t="n"/>
      <c r="F316" s="39" t="n"/>
      <c r="G316" s="39" t="n"/>
      <c r="H316" s="39" t="n"/>
      <c r="I316" s="39" t="n"/>
      <c r="J316" s="39" t="n"/>
      <c r="K316" s="39" t="n"/>
      <c r="L316" s="39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39" t="n"/>
      <c r="V316" s="39" t="n"/>
      <c r="W316" s="34" t="n"/>
      <c r="X316" s="39" t="n"/>
      <c r="Y316" s="40" t="n"/>
      <c r="Z316" s="38" t="n"/>
      <c r="AA316" s="38" t="n"/>
      <c r="AB316" s="41">
        <f>IF(A316="","",IF(COUNTIF($A$6:$A$504,A316)&gt;1,"⚠ Duplicate",""))</f>
        <v/>
      </c>
      <c r="AC316" s="42" t="n"/>
      <c r="AD316" s="42" t="n"/>
      <c r="AE316" s="42" t="n"/>
      <c r="AF316" s="42" t="n"/>
      <c r="AG316" s="42" t="n"/>
      <c r="AH316" s="42" t="n"/>
      <c r="AI316" s="42" t="n"/>
      <c r="AJ316" s="42" t="n"/>
      <c r="AK316" s="42" t="n"/>
      <c r="AL316" s="42" t="n"/>
      <c r="AM316" s="42" t="n"/>
      <c r="AN316" s="42" t="n"/>
      <c r="AO316" s="42" t="n"/>
      <c r="AP316" s="42" t="n"/>
    </row>
    <row r="317" ht="18" customHeight="1" s="74">
      <c r="A317" s="32" t="n"/>
      <c r="B317" s="32" t="n"/>
      <c r="C317" s="32" t="n"/>
      <c r="D317" s="32" t="n"/>
      <c r="E317" s="33" t="n"/>
      <c r="F317" s="33" t="n"/>
      <c r="G317" s="33" t="n"/>
      <c r="H317" s="33" t="n"/>
      <c r="I317" s="33" t="n"/>
      <c r="J317" s="33" t="n"/>
      <c r="K317" s="33" t="n"/>
      <c r="L317" s="33" t="n"/>
      <c r="M317" s="33" t="n"/>
      <c r="N317" s="33" t="n"/>
      <c r="O317" s="33" t="n"/>
      <c r="P317" s="33" t="n"/>
      <c r="Q317" s="33" t="n"/>
      <c r="R317" s="33" t="n"/>
      <c r="S317" s="33" t="n"/>
      <c r="T317" s="33" t="n"/>
      <c r="U317" s="33" t="n"/>
      <c r="V317" s="33" t="n"/>
      <c r="W317" s="34" t="n"/>
      <c r="X317" s="33" t="n"/>
      <c r="Y317" s="35" t="n"/>
      <c r="Z317" s="32" t="n"/>
      <c r="AA317" s="32" t="n"/>
      <c r="AB317" s="36">
        <f>IF(A317="","",IF(COUNTIF($A$6:$A$504,A317)&gt;1,"⚠ Duplicate",""))</f>
        <v/>
      </c>
      <c r="AC317" s="43" t="n"/>
      <c r="AD317" s="43" t="n"/>
      <c r="AE317" s="43" t="n"/>
      <c r="AF317" s="43" t="n"/>
      <c r="AG317" s="43" t="n"/>
      <c r="AH317" s="43" t="n"/>
      <c r="AI317" s="43" t="n"/>
      <c r="AJ317" s="43" t="n"/>
      <c r="AK317" s="43" t="n"/>
      <c r="AL317" s="43" t="n"/>
      <c r="AM317" s="43" t="n"/>
      <c r="AN317" s="43" t="n"/>
      <c r="AO317" s="43" t="n"/>
      <c r="AP317" s="43" t="n"/>
    </row>
    <row r="318" ht="18" customHeight="1" s="74">
      <c r="A318" s="38" t="n"/>
      <c r="B318" s="38" t="n"/>
      <c r="C318" s="38" t="n"/>
      <c r="D318" s="38" t="n"/>
      <c r="E318" s="39" t="n"/>
      <c r="F318" s="39" t="n"/>
      <c r="G318" s="39" t="n"/>
      <c r="H318" s="39" t="n"/>
      <c r="I318" s="39" t="n"/>
      <c r="J318" s="39" t="n"/>
      <c r="K318" s="39" t="n"/>
      <c r="L318" s="39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39" t="n"/>
      <c r="V318" s="39" t="n"/>
      <c r="W318" s="34" t="n"/>
      <c r="X318" s="39" t="n"/>
      <c r="Y318" s="40" t="n"/>
      <c r="Z318" s="38" t="n"/>
      <c r="AA318" s="38" t="n"/>
      <c r="AB318" s="41">
        <f>IF(A318="","",IF(COUNTIF($A$6:$A$504,A318)&gt;1,"⚠ Duplicate",""))</f>
        <v/>
      </c>
      <c r="AC318" s="42" t="n"/>
      <c r="AD318" s="42" t="n"/>
      <c r="AE318" s="42" t="n"/>
      <c r="AF318" s="42" t="n"/>
      <c r="AG318" s="42" t="n"/>
      <c r="AH318" s="42" t="n"/>
      <c r="AI318" s="42" t="n"/>
      <c r="AJ318" s="42" t="n"/>
      <c r="AK318" s="42" t="n"/>
      <c r="AL318" s="42" t="n"/>
      <c r="AM318" s="42" t="n"/>
      <c r="AN318" s="42" t="n"/>
      <c r="AO318" s="42" t="n"/>
      <c r="AP318" s="42" t="n"/>
    </row>
    <row r="319" ht="18" customHeight="1" s="74">
      <c r="A319" s="32" t="n"/>
      <c r="B319" s="32" t="n"/>
      <c r="C319" s="32" t="n"/>
      <c r="D319" s="32" t="n"/>
      <c r="E319" s="33" t="n"/>
      <c r="F319" s="33" t="n"/>
      <c r="G319" s="33" t="n"/>
      <c r="H319" s="33" t="n"/>
      <c r="I319" s="33" t="n"/>
      <c r="J319" s="33" t="n"/>
      <c r="K319" s="33" t="n"/>
      <c r="L319" s="33" t="n"/>
      <c r="M319" s="33" t="n"/>
      <c r="N319" s="33" t="n"/>
      <c r="O319" s="33" t="n"/>
      <c r="P319" s="33" t="n"/>
      <c r="Q319" s="33" t="n"/>
      <c r="R319" s="33" t="n"/>
      <c r="S319" s="33" t="n"/>
      <c r="T319" s="33" t="n"/>
      <c r="U319" s="33" t="n"/>
      <c r="V319" s="33" t="n"/>
      <c r="W319" s="34" t="n"/>
      <c r="X319" s="33" t="n"/>
      <c r="Y319" s="35" t="n"/>
      <c r="Z319" s="32" t="n"/>
      <c r="AA319" s="32" t="n"/>
      <c r="AB319" s="36">
        <f>IF(A319="","",IF(COUNTIF($A$6:$A$504,A319)&gt;1,"⚠ Duplicate",""))</f>
        <v/>
      </c>
      <c r="AC319" s="43" t="n"/>
      <c r="AD319" s="43" t="n"/>
      <c r="AE319" s="43" t="n"/>
      <c r="AF319" s="43" t="n"/>
      <c r="AG319" s="43" t="n"/>
      <c r="AH319" s="43" t="n"/>
      <c r="AI319" s="43" t="n"/>
      <c r="AJ319" s="43" t="n"/>
      <c r="AK319" s="43" t="n"/>
      <c r="AL319" s="43" t="n"/>
      <c r="AM319" s="43" t="n"/>
      <c r="AN319" s="43" t="n"/>
      <c r="AO319" s="43" t="n"/>
      <c r="AP319" s="43" t="n"/>
    </row>
    <row r="320" ht="18" customHeight="1" s="74">
      <c r="A320" s="38" t="n"/>
      <c r="B320" s="38" t="n"/>
      <c r="C320" s="38" t="n"/>
      <c r="D320" s="38" t="n"/>
      <c r="E320" s="39" t="n"/>
      <c r="F320" s="39" t="n"/>
      <c r="G320" s="39" t="n"/>
      <c r="H320" s="39" t="n"/>
      <c r="I320" s="39" t="n"/>
      <c r="J320" s="39" t="n"/>
      <c r="K320" s="39" t="n"/>
      <c r="L320" s="39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39" t="n"/>
      <c r="V320" s="39" t="n"/>
      <c r="W320" s="34" t="n"/>
      <c r="X320" s="39" t="n"/>
      <c r="Y320" s="40" t="n"/>
      <c r="Z320" s="38" t="n"/>
      <c r="AA320" s="38" t="n"/>
      <c r="AB320" s="41">
        <f>IF(A320="","",IF(COUNTIF($A$6:$A$504,A320)&gt;1,"⚠ Duplicate",""))</f>
        <v/>
      </c>
      <c r="AC320" s="42" t="n"/>
      <c r="AD320" s="42" t="n"/>
      <c r="AE320" s="42" t="n"/>
      <c r="AF320" s="42" t="n"/>
      <c r="AG320" s="42" t="n"/>
      <c r="AH320" s="42" t="n"/>
      <c r="AI320" s="42" t="n"/>
      <c r="AJ320" s="42" t="n"/>
      <c r="AK320" s="42" t="n"/>
      <c r="AL320" s="42" t="n"/>
      <c r="AM320" s="42" t="n"/>
      <c r="AN320" s="42" t="n"/>
      <c r="AO320" s="42" t="n"/>
      <c r="AP320" s="42" t="n"/>
    </row>
    <row r="321" ht="18" customHeight="1" s="74">
      <c r="A321" s="32" t="n"/>
      <c r="B321" s="32" t="n"/>
      <c r="C321" s="32" t="n"/>
      <c r="D321" s="32" t="n"/>
      <c r="E321" s="33" t="n"/>
      <c r="F321" s="33" t="n"/>
      <c r="G321" s="33" t="n"/>
      <c r="H321" s="33" t="n"/>
      <c r="I321" s="33" t="n"/>
      <c r="J321" s="33" t="n"/>
      <c r="K321" s="33" t="n"/>
      <c r="L321" s="33" t="n"/>
      <c r="M321" s="33" t="n"/>
      <c r="N321" s="33" t="n"/>
      <c r="O321" s="33" t="n"/>
      <c r="P321" s="33" t="n"/>
      <c r="Q321" s="33" t="n"/>
      <c r="R321" s="33" t="n"/>
      <c r="S321" s="33" t="n"/>
      <c r="T321" s="33" t="n"/>
      <c r="U321" s="33" t="n"/>
      <c r="V321" s="33" t="n"/>
      <c r="W321" s="34" t="n"/>
      <c r="X321" s="33" t="n"/>
      <c r="Y321" s="35" t="n"/>
      <c r="Z321" s="32" t="n"/>
      <c r="AA321" s="32" t="n"/>
      <c r="AB321" s="36">
        <f>IF(A321="","",IF(COUNTIF($A$6:$A$504,A321)&gt;1,"⚠ Duplicate",""))</f>
        <v/>
      </c>
      <c r="AC321" s="43" t="n"/>
      <c r="AD321" s="43" t="n"/>
      <c r="AE321" s="43" t="n"/>
      <c r="AF321" s="43" t="n"/>
      <c r="AG321" s="43" t="n"/>
      <c r="AH321" s="43" t="n"/>
      <c r="AI321" s="43" t="n"/>
      <c r="AJ321" s="43" t="n"/>
      <c r="AK321" s="43" t="n"/>
      <c r="AL321" s="43" t="n"/>
      <c r="AM321" s="43" t="n"/>
      <c r="AN321" s="43" t="n"/>
      <c r="AO321" s="43" t="n"/>
      <c r="AP321" s="43" t="n"/>
    </row>
    <row r="322" ht="18" customHeight="1" s="74">
      <c r="A322" s="38" t="n"/>
      <c r="B322" s="38" t="n"/>
      <c r="C322" s="38" t="n"/>
      <c r="D322" s="38" t="n"/>
      <c r="E322" s="39" t="n"/>
      <c r="F322" s="39" t="n"/>
      <c r="G322" s="39" t="n"/>
      <c r="H322" s="39" t="n"/>
      <c r="I322" s="39" t="n"/>
      <c r="J322" s="39" t="n"/>
      <c r="K322" s="39" t="n"/>
      <c r="L322" s="39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39" t="n"/>
      <c r="V322" s="39" t="n"/>
      <c r="W322" s="34" t="n"/>
      <c r="X322" s="39" t="n"/>
      <c r="Y322" s="40" t="n"/>
      <c r="Z322" s="38" t="n"/>
      <c r="AA322" s="38" t="n"/>
      <c r="AB322" s="41">
        <f>IF(A322="","",IF(COUNTIF($A$6:$A$504,A322)&gt;1,"⚠ Duplicate",""))</f>
        <v/>
      </c>
      <c r="AC322" s="42" t="n"/>
      <c r="AD322" s="42" t="n"/>
      <c r="AE322" s="42" t="n"/>
      <c r="AF322" s="42" t="n"/>
      <c r="AG322" s="42" t="n"/>
      <c r="AH322" s="42" t="n"/>
      <c r="AI322" s="42" t="n"/>
      <c r="AJ322" s="42" t="n"/>
      <c r="AK322" s="42" t="n"/>
      <c r="AL322" s="42" t="n"/>
      <c r="AM322" s="42" t="n"/>
      <c r="AN322" s="42" t="n"/>
      <c r="AO322" s="42" t="n"/>
      <c r="AP322" s="42" t="n"/>
    </row>
    <row r="323" ht="18" customHeight="1" s="74">
      <c r="A323" s="32" t="n"/>
      <c r="B323" s="32" t="n"/>
      <c r="C323" s="32" t="n"/>
      <c r="D323" s="32" t="n"/>
      <c r="E323" s="33" t="n"/>
      <c r="F323" s="33" t="n"/>
      <c r="G323" s="33" t="n"/>
      <c r="H323" s="33" t="n"/>
      <c r="I323" s="33" t="n"/>
      <c r="J323" s="33" t="n"/>
      <c r="K323" s="33" t="n"/>
      <c r="L323" s="33" t="n"/>
      <c r="M323" s="33" t="n"/>
      <c r="N323" s="33" t="n"/>
      <c r="O323" s="33" t="n"/>
      <c r="P323" s="33" t="n"/>
      <c r="Q323" s="33" t="n"/>
      <c r="R323" s="33" t="n"/>
      <c r="S323" s="33" t="n"/>
      <c r="T323" s="33" t="n"/>
      <c r="U323" s="33" t="n"/>
      <c r="V323" s="33" t="n"/>
      <c r="W323" s="34" t="n"/>
      <c r="X323" s="33" t="n"/>
      <c r="Y323" s="35" t="n"/>
      <c r="Z323" s="32" t="n"/>
      <c r="AA323" s="32" t="n"/>
      <c r="AB323" s="36">
        <f>IF(A323="","",IF(COUNTIF($A$6:$A$504,A323)&gt;1,"⚠ Duplicate",""))</f>
        <v/>
      </c>
      <c r="AC323" s="43" t="n"/>
      <c r="AD323" s="43" t="n"/>
      <c r="AE323" s="43" t="n"/>
      <c r="AF323" s="43" t="n"/>
      <c r="AG323" s="43" t="n"/>
      <c r="AH323" s="43" t="n"/>
      <c r="AI323" s="43" t="n"/>
      <c r="AJ323" s="43" t="n"/>
      <c r="AK323" s="43" t="n"/>
      <c r="AL323" s="43" t="n"/>
      <c r="AM323" s="43" t="n"/>
      <c r="AN323" s="43" t="n"/>
      <c r="AO323" s="43" t="n"/>
      <c r="AP323" s="43" t="n"/>
    </row>
    <row r="324" ht="18" customHeight="1" s="74">
      <c r="A324" s="38" t="n"/>
      <c r="B324" s="38" t="n"/>
      <c r="C324" s="38" t="n"/>
      <c r="D324" s="38" t="n"/>
      <c r="E324" s="39" t="n"/>
      <c r="F324" s="39" t="n"/>
      <c r="G324" s="39" t="n"/>
      <c r="H324" s="39" t="n"/>
      <c r="I324" s="39" t="n"/>
      <c r="J324" s="39" t="n"/>
      <c r="K324" s="39" t="n"/>
      <c r="L324" s="39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39" t="n"/>
      <c r="V324" s="39" t="n"/>
      <c r="W324" s="34" t="n"/>
      <c r="X324" s="39" t="n"/>
      <c r="Y324" s="40" t="n"/>
      <c r="Z324" s="38" t="n"/>
      <c r="AA324" s="38" t="n"/>
      <c r="AB324" s="41">
        <f>IF(A324="","",IF(COUNTIF($A$6:$A$504,A324)&gt;1,"⚠ Duplicate",""))</f>
        <v/>
      </c>
      <c r="AC324" s="42" t="n"/>
      <c r="AD324" s="42" t="n"/>
      <c r="AE324" s="42" t="n"/>
      <c r="AF324" s="42" t="n"/>
      <c r="AG324" s="42" t="n"/>
      <c r="AH324" s="42" t="n"/>
      <c r="AI324" s="42" t="n"/>
      <c r="AJ324" s="42" t="n"/>
      <c r="AK324" s="42" t="n"/>
      <c r="AL324" s="42" t="n"/>
      <c r="AM324" s="42" t="n"/>
      <c r="AN324" s="42" t="n"/>
      <c r="AO324" s="42" t="n"/>
      <c r="AP324" s="42" t="n"/>
    </row>
    <row r="325" ht="18" customHeight="1" s="74">
      <c r="A325" s="32" t="n"/>
      <c r="B325" s="32" t="n"/>
      <c r="C325" s="32" t="n"/>
      <c r="D325" s="32" t="n"/>
      <c r="E325" s="33" t="n"/>
      <c r="F325" s="33" t="n"/>
      <c r="G325" s="33" t="n"/>
      <c r="H325" s="33" t="n"/>
      <c r="I325" s="33" t="n"/>
      <c r="J325" s="33" t="n"/>
      <c r="K325" s="33" t="n"/>
      <c r="L325" s="33" t="n"/>
      <c r="M325" s="33" t="n"/>
      <c r="N325" s="33" t="n"/>
      <c r="O325" s="33" t="n"/>
      <c r="P325" s="33" t="n"/>
      <c r="Q325" s="33" t="n"/>
      <c r="R325" s="33" t="n"/>
      <c r="S325" s="33" t="n"/>
      <c r="T325" s="33" t="n"/>
      <c r="U325" s="33" t="n"/>
      <c r="V325" s="33" t="n"/>
      <c r="W325" s="34" t="n"/>
      <c r="X325" s="33" t="n"/>
      <c r="Y325" s="35" t="n"/>
      <c r="Z325" s="32" t="n"/>
      <c r="AA325" s="32" t="n"/>
      <c r="AB325" s="36">
        <f>IF(A325="","",IF(COUNTIF($A$6:$A$504,A325)&gt;1,"⚠ Duplicate",""))</f>
        <v/>
      </c>
      <c r="AC325" s="43" t="n"/>
      <c r="AD325" s="43" t="n"/>
      <c r="AE325" s="43" t="n"/>
      <c r="AF325" s="43" t="n"/>
      <c r="AG325" s="43" t="n"/>
      <c r="AH325" s="43" t="n"/>
      <c r="AI325" s="43" t="n"/>
      <c r="AJ325" s="43" t="n"/>
      <c r="AK325" s="43" t="n"/>
      <c r="AL325" s="43" t="n"/>
      <c r="AM325" s="43" t="n"/>
      <c r="AN325" s="43" t="n"/>
      <c r="AO325" s="43" t="n"/>
      <c r="AP325" s="43" t="n"/>
    </row>
    <row r="326" ht="18" customHeight="1" s="74">
      <c r="A326" s="38" t="n"/>
      <c r="B326" s="38" t="n"/>
      <c r="C326" s="38" t="n"/>
      <c r="D326" s="38" t="n"/>
      <c r="E326" s="39" t="n"/>
      <c r="F326" s="39" t="n"/>
      <c r="G326" s="39" t="n"/>
      <c r="H326" s="39" t="n"/>
      <c r="I326" s="39" t="n"/>
      <c r="J326" s="39" t="n"/>
      <c r="K326" s="39" t="n"/>
      <c r="L326" s="39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39" t="n"/>
      <c r="V326" s="39" t="n"/>
      <c r="W326" s="34" t="n"/>
      <c r="X326" s="39" t="n"/>
      <c r="Y326" s="40" t="n"/>
      <c r="Z326" s="38" t="n"/>
      <c r="AA326" s="38" t="n"/>
      <c r="AB326" s="41">
        <f>IF(A326="","",IF(COUNTIF($A$6:$A$504,A326)&gt;1,"⚠ Duplicate",""))</f>
        <v/>
      </c>
      <c r="AC326" s="42" t="n"/>
      <c r="AD326" s="42" t="n"/>
      <c r="AE326" s="42" t="n"/>
      <c r="AF326" s="42" t="n"/>
      <c r="AG326" s="42" t="n"/>
      <c r="AH326" s="42" t="n"/>
      <c r="AI326" s="42" t="n"/>
      <c r="AJ326" s="42" t="n"/>
      <c r="AK326" s="42" t="n"/>
      <c r="AL326" s="42" t="n"/>
      <c r="AM326" s="42" t="n"/>
      <c r="AN326" s="42" t="n"/>
      <c r="AO326" s="42" t="n"/>
      <c r="AP326" s="42" t="n"/>
    </row>
    <row r="327" ht="18" customHeight="1" s="74">
      <c r="A327" s="32" t="n"/>
      <c r="B327" s="32" t="n"/>
      <c r="C327" s="32" t="n"/>
      <c r="D327" s="32" t="n"/>
      <c r="E327" s="33" t="n"/>
      <c r="F327" s="33" t="n"/>
      <c r="G327" s="33" t="n"/>
      <c r="H327" s="33" t="n"/>
      <c r="I327" s="33" t="n"/>
      <c r="J327" s="33" t="n"/>
      <c r="K327" s="33" t="n"/>
      <c r="L327" s="33" t="n"/>
      <c r="M327" s="33" t="n"/>
      <c r="N327" s="33" t="n"/>
      <c r="O327" s="33" t="n"/>
      <c r="P327" s="33" t="n"/>
      <c r="Q327" s="33" t="n"/>
      <c r="R327" s="33" t="n"/>
      <c r="S327" s="33" t="n"/>
      <c r="T327" s="33" t="n"/>
      <c r="U327" s="33" t="n"/>
      <c r="V327" s="33" t="n"/>
      <c r="W327" s="34" t="n"/>
      <c r="X327" s="33" t="n"/>
      <c r="Y327" s="35" t="n"/>
      <c r="Z327" s="32" t="n"/>
      <c r="AA327" s="32" t="n"/>
      <c r="AB327" s="36">
        <f>IF(A327="","",IF(COUNTIF($A$6:$A$504,A327)&gt;1,"⚠ Duplicate",""))</f>
        <v/>
      </c>
      <c r="AC327" s="43" t="n"/>
      <c r="AD327" s="43" t="n"/>
      <c r="AE327" s="43" t="n"/>
      <c r="AF327" s="43" t="n"/>
      <c r="AG327" s="43" t="n"/>
      <c r="AH327" s="43" t="n"/>
      <c r="AI327" s="43" t="n"/>
      <c r="AJ327" s="43" t="n"/>
      <c r="AK327" s="43" t="n"/>
      <c r="AL327" s="43" t="n"/>
      <c r="AM327" s="43" t="n"/>
      <c r="AN327" s="43" t="n"/>
      <c r="AO327" s="43" t="n"/>
      <c r="AP327" s="43" t="n"/>
    </row>
    <row r="328" ht="18" customHeight="1" s="74">
      <c r="A328" s="38" t="n"/>
      <c r="B328" s="38" t="n"/>
      <c r="C328" s="38" t="n"/>
      <c r="D328" s="38" t="n"/>
      <c r="E328" s="39" t="n"/>
      <c r="F328" s="39" t="n"/>
      <c r="G328" s="39" t="n"/>
      <c r="H328" s="39" t="n"/>
      <c r="I328" s="39" t="n"/>
      <c r="J328" s="39" t="n"/>
      <c r="K328" s="39" t="n"/>
      <c r="L328" s="39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39" t="n"/>
      <c r="V328" s="39" t="n"/>
      <c r="W328" s="34" t="n"/>
      <c r="X328" s="39" t="n"/>
      <c r="Y328" s="40" t="n"/>
      <c r="Z328" s="38" t="n"/>
      <c r="AA328" s="38" t="n"/>
      <c r="AB328" s="41">
        <f>IF(A328="","",IF(COUNTIF($A$6:$A$504,A328)&gt;1,"⚠ Duplicate",""))</f>
        <v/>
      </c>
      <c r="AC328" s="42" t="n"/>
      <c r="AD328" s="42" t="n"/>
      <c r="AE328" s="42" t="n"/>
      <c r="AF328" s="42" t="n"/>
      <c r="AG328" s="42" t="n"/>
      <c r="AH328" s="42" t="n"/>
      <c r="AI328" s="42" t="n"/>
      <c r="AJ328" s="42" t="n"/>
      <c r="AK328" s="42" t="n"/>
      <c r="AL328" s="42" t="n"/>
      <c r="AM328" s="42" t="n"/>
      <c r="AN328" s="42" t="n"/>
      <c r="AO328" s="42" t="n"/>
      <c r="AP328" s="42" t="n"/>
    </row>
    <row r="329" ht="18" customHeight="1" s="74">
      <c r="A329" s="32" t="n"/>
      <c r="B329" s="32" t="n"/>
      <c r="C329" s="32" t="n"/>
      <c r="D329" s="32" t="n"/>
      <c r="E329" s="33" t="n"/>
      <c r="F329" s="33" t="n"/>
      <c r="G329" s="33" t="n"/>
      <c r="H329" s="33" t="n"/>
      <c r="I329" s="33" t="n"/>
      <c r="J329" s="33" t="n"/>
      <c r="K329" s="33" t="n"/>
      <c r="L329" s="33" t="n"/>
      <c r="M329" s="33" t="n"/>
      <c r="N329" s="33" t="n"/>
      <c r="O329" s="33" t="n"/>
      <c r="P329" s="33" t="n"/>
      <c r="Q329" s="33" t="n"/>
      <c r="R329" s="33" t="n"/>
      <c r="S329" s="33" t="n"/>
      <c r="T329" s="33" t="n"/>
      <c r="U329" s="33" t="n"/>
      <c r="V329" s="33" t="n"/>
      <c r="W329" s="34" t="n"/>
      <c r="X329" s="33" t="n"/>
      <c r="Y329" s="35" t="n"/>
      <c r="Z329" s="32" t="n"/>
      <c r="AA329" s="32" t="n"/>
      <c r="AB329" s="36">
        <f>IF(A329="","",IF(COUNTIF($A$6:$A$504,A329)&gt;1,"⚠ Duplicate",""))</f>
        <v/>
      </c>
      <c r="AC329" s="43" t="n"/>
      <c r="AD329" s="43" t="n"/>
      <c r="AE329" s="43" t="n"/>
      <c r="AF329" s="43" t="n"/>
      <c r="AG329" s="43" t="n"/>
      <c r="AH329" s="43" t="n"/>
      <c r="AI329" s="43" t="n"/>
      <c r="AJ329" s="43" t="n"/>
      <c r="AK329" s="43" t="n"/>
      <c r="AL329" s="43" t="n"/>
      <c r="AM329" s="43" t="n"/>
      <c r="AN329" s="43" t="n"/>
      <c r="AO329" s="43" t="n"/>
      <c r="AP329" s="43" t="n"/>
    </row>
    <row r="330" ht="18" customHeight="1" s="74">
      <c r="A330" s="38" t="n"/>
      <c r="B330" s="38" t="n"/>
      <c r="C330" s="38" t="n"/>
      <c r="D330" s="38" t="n"/>
      <c r="E330" s="39" t="n"/>
      <c r="F330" s="39" t="n"/>
      <c r="G330" s="39" t="n"/>
      <c r="H330" s="39" t="n"/>
      <c r="I330" s="39" t="n"/>
      <c r="J330" s="39" t="n"/>
      <c r="K330" s="39" t="n"/>
      <c r="L330" s="39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39" t="n"/>
      <c r="V330" s="39" t="n"/>
      <c r="W330" s="34" t="n"/>
      <c r="X330" s="39" t="n"/>
      <c r="Y330" s="40" t="n"/>
      <c r="Z330" s="38" t="n"/>
      <c r="AA330" s="38" t="n"/>
      <c r="AB330" s="41">
        <f>IF(A330="","",IF(COUNTIF($A$6:$A$504,A330)&gt;1,"⚠ Duplicate",""))</f>
        <v/>
      </c>
      <c r="AC330" s="42" t="n"/>
      <c r="AD330" s="42" t="n"/>
      <c r="AE330" s="42" t="n"/>
      <c r="AF330" s="42" t="n"/>
      <c r="AG330" s="42" t="n"/>
      <c r="AH330" s="42" t="n"/>
      <c r="AI330" s="42" t="n"/>
      <c r="AJ330" s="42" t="n"/>
      <c r="AK330" s="42" t="n"/>
      <c r="AL330" s="42" t="n"/>
      <c r="AM330" s="42" t="n"/>
      <c r="AN330" s="42" t="n"/>
      <c r="AO330" s="42" t="n"/>
      <c r="AP330" s="42" t="n"/>
    </row>
    <row r="331" ht="18" customHeight="1" s="74">
      <c r="A331" s="32" t="n"/>
      <c r="B331" s="32" t="n"/>
      <c r="C331" s="32" t="n"/>
      <c r="D331" s="32" t="n"/>
      <c r="E331" s="33" t="n"/>
      <c r="F331" s="33" t="n"/>
      <c r="G331" s="33" t="n"/>
      <c r="H331" s="33" t="n"/>
      <c r="I331" s="33" t="n"/>
      <c r="J331" s="33" t="n"/>
      <c r="K331" s="33" t="n"/>
      <c r="L331" s="33" t="n"/>
      <c r="M331" s="33" t="n"/>
      <c r="N331" s="33" t="n"/>
      <c r="O331" s="33" t="n"/>
      <c r="P331" s="33" t="n"/>
      <c r="Q331" s="33" t="n"/>
      <c r="R331" s="33" t="n"/>
      <c r="S331" s="33" t="n"/>
      <c r="T331" s="33" t="n"/>
      <c r="U331" s="33" t="n"/>
      <c r="V331" s="33" t="n"/>
      <c r="W331" s="34" t="n"/>
      <c r="X331" s="33" t="n"/>
      <c r="Y331" s="35" t="n"/>
      <c r="Z331" s="32" t="n"/>
      <c r="AA331" s="32" t="n"/>
      <c r="AB331" s="36">
        <f>IF(A331="","",IF(COUNTIF($A$6:$A$504,A331)&gt;1,"⚠ Duplicate",""))</f>
        <v/>
      </c>
      <c r="AC331" s="43" t="n"/>
      <c r="AD331" s="43" t="n"/>
      <c r="AE331" s="43" t="n"/>
      <c r="AF331" s="43" t="n"/>
      <c r="AG331" s="43" t="n"/>
      <c r="AH331" s="43" t="n"/>
      <c r="AI331" s="43" t="n"/>
      <c r="AJ331" s="43" t="n"/>
      <c r="AK331" s="43" t="n"/>
      <c r="AL331" s="43" t="n"/>
      <c r="AM331" s="43" t="n"/>
      <c r="AN331" s="43" t="n"/>
      <c r="AO331" s="43" t="n"/>
      <c r="AP331" s="43" t="n"/>
    </row>
    <row r="332" ht="18" customHeight="1" s="74">
      <c r="A332" s="38" t="n"/>
      <c r="B332" s="38" t="n"/>
      <c r="C332" s="38" t="n"/>
      <c r="D332" s="38" t="n"/>
      <c r="E332" s="39" t="n"/>
      <c r="F332" s="39" t="n"/>
      <c r="G332" s="39" t="n"/>
      <c r="H332" s="39" t="n"/>
      <c r="I332" s="39" t="n"/>
      <c r="J332" s="39" t="n"/>
      <c r="K332" s="39" t="n"/>
      <c r="L332" s="39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39" t="n"/>
      <c r="V332" s="39" t="n"/>
      <c r="W332" s="34" t="n"/>
      <c r="X332" s="39" t="n"/>
      <c r="Y332" s="40" t="n"/>
      <c r="Z332" s="38" t="n"/>
      <c r="AA332" s="38" t="n"/>
      <c r="AB332" s="41">
        <f>IF(A332="","",IF(COUNTIF($A$6:$A$504,A332)&gt;1,"⚠ Duplicate",""))</f>
        <v/>
      </c>
      <c r="AC332" s="42" t="n"/>
      <c r="AD332" s="42" t="n"/>
      <c r="AE332" s="42" t="n"/>
      <c r="AF332" s="42" t="n"/>
      <c r="AG332" s="42" t="n"/>
      <c r="AH332" s="42" t="n"/>
      <c r="AI332" s="42" t="n"/>
      <c r="AJ332" s="42" t="n"/>
      <c r="AK332" s="42" t="n"/>
      <c r="AL332" s="42" t="n"/>
      <c r="AM332" s="42" t="n"/>
      <c r="AN332" s="42" t="n"/>
      <c r="AO332" s="42" t="n"/>
      <c r="AP332" s="42" t="n"/>
    </row>
    <row r="333" ht="18" customHeight="1" s="74">
      <c r="A333" s="32" t="n"/>
      <c r="B333" s="32" t="n"/>
      <c r="C333" s="32" t="n"/>
      <c r="D333" s="32" t="n"/>
      <c r="E333" s="33" t="n"/>
      <c r="F333" s="33" t="n"/>
      <c r="G333" s="33" t="n"/>
      <c r="H333" s="33" t="n"/>
      <c r="I333" s="33" t="n"/>
      <c r="J333" s="33" t="n"/>
      <c r="K333" s="33" t="n"/>
      <c r="L333" s="33" t="n"/>
      <c r="M333" s="33" t="n"/>
      <c r="N333" s="33" t="n"/>
      <c r="O333" s="33" t="n"/>
      <c r="P333" s="33" t="n"/>
      <c r="Q333" s="33" t="n"/>
      <c r="R333" s="33" t="n"/>
      <c r="S333" s="33" t="n"/>
      <c r="T333" s="33" t="n"/>
      <c r="U333" s="33" t="n"/>
      <c r="V333" s="33" t="n"/>
      <c r="W333" s="34" t="n"/>
      <c r="X333" s="33" t="n"/>
      <c r="Y333" s="35" t="n"/>
      <c r="Z333" s="32" t="n"/>
      <c r="AA333" s="32" t="n"/>
      <c r="AB333" s="36">
        <f>IF(A333="","",IF(COUNTIF($A$6:$A$504,A333)&gt;1,"⚠ Duplicate",""))</f>
        <v/>
      </c>
      <c r="AC333" s="43" t="n"/>
      <c r="AD333" s="43" t="n"/>
      <c r="AE333" s="43" t="n"/>
      <c r="AF333" s="43" t="n"/>
      <c r="AG333" s="43" t="n"/>
      <c r="AH333" s="43" t="n"/>
      <c r="AI333" s="43" t="n"/>
      <c r="AJ333" s="43" t="n"/>
      <c r="AK333" s="43" t="n"/>
      <c r="AL333" s="43" t="n"/>
      <c r="AM333" s="43" t="n"/>
      <c r="AN333" s="43" t="n"/>
      <c r="AO333" s="43" t="n"/>
      <c r="AP333" s="43" t="n"/>
    </row>
    <row r="334" ht="18" customHeight="1" s="74">
      <c r="A334" s="38" t="n"/>
      <c r="B334" s="38" t="n"/>
      <c r="C334" s="38" t="n"/>
      <c r="D334" s="38" t="n"/>
      <c r="E334" s="39" t="n"/>
      <c r="F334" s="39" t="n"/>
      <c r="G334" s="39" t="n"/>
      <c r="H334" s="39" t="n"/>
      <c r="I334" s="39" t="n"/>
      <c r="J334" s="39" t="n"/>
      <c r="K334" s="39" t="n"/>
      <c r="L334" s="39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39" t="n"/>
      <c r="V334" s="39" t="n"/>
      <c r="W334" s="34" t="n"/>
      <c r="X334" s="39" t="n"/>
      <c r="Y334" s="40" t="n"/>
      <c r="Z334" s="38" t="n"/>
      <c r="AA334" s="38" t="n"/>
      <c r="AB334" s="41">
        <f>IF(A334="","",IF(COUNTIF($A$6:$A$504,A334)&gt;1,"⚠ Duplicate",""))</f>
        <v/>
      </c>
      <c r="AC334" s="42" t="n"/>
      <c r="AD334" s="42" t="n"/>
      <c r="AE334" s="42" t="n"/>
      <c r="AF334" s="42" t="n"/>
      <c r="AG334" s="42" t="n"/>
      <c r="AH334" s="42" t="n"/>
      <c r="AI334" s="42" t="n"/>
      <c r="AJ334" s="42" t="n"/>
      <c r="AK334" s="42" t="n"/>
      <c r="AL334" s="42" t="n"/>
      <c r="AM334" s="42" t="n"/>
      <c r="AN334" s="42" t="n"/>
      <c r="AO334" s="42" t="n"/>
      <c r="AP334" s="42" t="n"/>
    </row>
    <row r="335" ht="18" customHeight="1" s="74">
      <c r="A335" s="32" t="n"/>
      <c r="B335" s="32" t="n"/>
      <c r="C335" s="32" t="n"/>
      <c r="D335" s="32" t="n"/>
      <c r="E335" s="33" t="n"/>
      <c r="F335" s="33" t="n"/>
      <c r="G335" s="33" t="n"/>
      <c r="H335" s="33" t="n"/>
      <c r="I335" s="33" t="n"/>
      <c r="J335" s="33" t="n"/>
      <c r="K335" s="33" t="n"/>
      <c r="L335" s="33" t="n"/>
      <c r="M335" s="33" t="n"/>
      <c r="N335" s="33" t="n"/>
      <c r="O335" s="33" t="n"/>
      <c r="P335" s="33" t="n"/>
      <c r="Q335" s="33" t="n"/>
      <c r="R335" s="33" t="n"/>
      <c r="S335" s="33" t="n"/>
      <c r="T335" s="33" t="n"/>
      <c r="U335" s="33" t="n"/>
      <c r="V335" s="33" t="n"/>
      <c r="W335" s="34" t="n"/>
      <c r="X335" s="33" t="n"/>
      <c r="Y335" s="35" t="n"/>
      <c r="Z335" s="32" t="n"/>
      <c r="AA335" s="32" t="n"/>
      <c r="AB335" s="36">
        <f>IF(A335="","",IF(COUNTIF($A$6:$A$504,A335)&gt;1,"⚠ Duplicate",""))</f>
        <v/>
      </c>
      <c r="AC335" s="43" t="n"/>
      <c r="AD335" s="43" t="n"/>
      <c r="AE335" s="43" t="n"/>
      <c r="AF335" s="43" t="n"/>
      <c r="AG335" s="43" t="n"/>
      <c r="AH335" s="43" t="n"/>
      <c r="AI335" s="43" t="n"/>
      <c r="AJ335" s="43" t="n"/>
      <c r="AK335" s="43" t="n"/>
      <c r="AL335" s="43" t="n"/>
      <c r="AM335" s="43" t="n"/>
      <c r="AN335" s="43" t="n"/>
      <c r="AO335" s="43" t="n"/>
      <c r="AP335" s="43" t="n"/>
    </row>
    <row r="336" ht="18" customHeight="1" s="74">
      <c r="A336" s="38" t="n"/>
      <c r="B336" s="38" t="n"/>
      <c r="C336" s="38" t="n"/>
      <c r="D336" s="38" t="n"/>
      <c r="E336" s="39" t="n"/>
      <c r="F336" s="39" t="n"/>
      <c r="G336" s="39" t="n"/>
      <c r="H336" s="39" t="n"/>
      <c r="I336" s="39" t="n"/>
      <c r="J336" s="39" t="n"/>
      <c r="K336" s="39" t="n"/>
      <c r="L336" s="39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39" t="n"/>
      <c r="V336" s="39" t="n"/>
      <c r="W336" s="34" t="n"/>
      <c r="X336" s="39" t="n"/>
      <c r="Y336" s="40" t="n"/>
      <c r="Z336" s="38" t="n"/>
      <c r="AA336" s="38" t="n"/>
      <c r="AB336" s="41">
        <f>IF(A336="","",IF(COUNTIF($A$6:$A$504,A336)&gt;1,"⚠ Duplicate",""))</f>
        <v/>
      </c>
      <c r="AC336" s="42" t="n"/>
      <c r="AD336" s="42" t="n"/>
      <c r="AE336" s="42" t="n"/>
      <c r="AF336" s="42" t="n"/>
      <c r="AG336" s="42" t="n"/>
      <c r="AH336" s="42" t="n"/>
      <c r="AI336" s="42" t="n"/>
      <c r="AJ336" s="42" t="n"/>
      <c r="AK336" s="42" t="n"/>
      <c r="AL336" s="42" t="n"/>
      <c r="AM336" s="42" t="n"/>
      <c r="AN336" s="42" t="n"/>
      <c r="AO336" s="42" t="n"/>
      <c r="AP336" s="42" t="n"/>
    </row>
    <row r="337" ht="18" customHeight="1" s="74">
      <c r="A337" s="32" t="n"/>
      <c r="B337" s="32" t="n"/>
      <c r="C337" s="32" t="n"/>
      <c r="D337" s="32" t="n"/>
      <c r="E337" s="33" t="n"/>
      <c r="F337" s="33" t="n"/>
      <c r="G337" s="33" t="n"/>
      <c r="H337" s="33" t="n"/>
      <c r="I337" s="33" t="n"/>
      <c r="J337" s="33" t="n"/>
      <c r="K337" s="33" t="n"/>
      <c r="L337" s="33" t="n"/>
      <c r="M337" s="33" t="n"/>
      <c r="N337" s="33" t="n"/>
      <c r="O337" s="33" t="n"/>
      <c r="P337" s="33" t="n"/>
      <c r="Q337" s="33" t="n"/>
      <c r="R337" s="33" t="n"/>
      <c r="S337" s="33" t="n"/>
      <c r="T337" s="33" t="n"/>
      <c r="U337" s="33" t="n"/>
      <c r="V337" s="33" t="n"/>
      <c r="W337" s="34" t="n"/>
      <c r="X337" s="33" t="n"/>
      <c r="Y337" s="35" t="n"/>
      <c r="Z337" s="32" t="n"/>
      <c r="AA337" s="32" t="n"/>
      <c r="AB337" s="36">
        <f>IF(A337="","",IF(COUNTIF($A$6:$A$504,A337)&gt;1,"⚠ Duplicate",""))</f>
        <v/>
      </c>
      <c r="AC337" s="43" t="n"/>
      <c r="AD337" s="43" t="n"/>
      <c r="AE337" s="43" t="n"/>
      <c r="AF337" s="43" t="n"/>
      <c r="AG337" s="43" t="n"/>
      <c r="AH337" s="43" t="n"/>
      <c r="AI337" s="43" t="n"/>
      <c r="AJ337" s="43" t="n"/>
      <c r="AK337" s="43" t="n"/>
      <c r="AL337" s="43" t="n"/>
      <c r="AM337" s="43" t="n"/>
      <c r="AN337" s="43" t="n"/>
      <c r="AO337" s="43" t="n"/>
      <c r="AP337" s="43" t="n"/>
    </row>
    <row r="338" ht="18" customHeight="1" s="74">
      <c r="A338" s="38" t="n"/>
      <c r="B338" s="38" t="n"/>
      <c r="C338" s="38" t="n"/>
      <c r="D338" s="38" t="n"/>
      <c r="E338" s="39" t="n"/>
      <c r="F338" s="39" t="n"/>
      <c r="G338" s="39" t="n"/>
      <c r="H338" s="39" t="n"/>
      <c r="I338" s="39" t="n"/>
      <c r="J338" s="39" t="n"/>
      <c r="K338" s="39" t="n"/>
      <c r="L338" s="39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39" t="n"/>
      <c r="V338" s="39" t="n"/>
      <c r="W338" s="34" t="n"/>
      <c r="X338" s="39" t="n"/>
      <c r="Y338" s="40" t="n"/>
      <c r="Z338" s="38" t="n"/>
      <c r="AA338" s="38" t="n"/>
      <c r="AB338" s="41">
        <f>IF(A338="","",IF(COUNTIF($A$6:$A$504,A338)&gt;1,"⚠ Duplicate",""))</f>
        <v/>
      </c>
      <c r="AC338" s="42" t="n"/>
      <c r="AD338" s="42" t="n"/>
      <c r="AE338" s="42" t="n"/>
      <c r="AF338" s="42" t="n"/>
      <c r="AG338" s="42" t="n"/>
      <c r="AH338" s="42" t="n"/>
      <c r="AI338" s="42" t="n"/>
      <c r="AJ338" s="42" t="n"/>
      <c r="AK338" s="42" t="n"/>
      <c r="AL338" s="42" t="n"/>
      <c r="AM338" s="42" t="n"/>
      <c r="AN338" s="42" t="n"/>
      <c r="AO338" s="42" t="n"/>
      <c r="AP338" s="42" t="n"/>
    </row>
    <row r="339" ht="18" customHeight="1" s="74">
      <c r="A339" s="32" t="n"/>
      <c r="B339" s="32" t="n"/>
      <c r="C339" s="32" t="n"/>
      <c r="D339" s="32" t="n"/>
      <c r="E339" s="33" t="n"/>
      <c r="F339" s="33" t="n"/>
      <c r="G339" s="33" t="n"/>
      <c r="H339" s="33" t="n"/>
      <c r="I339" s="33" t="n"/>
      <c r="J339" s="33" t="n"/>
      <c r="K339" s="33" t="n"/>
      <c r="L339" s="33" t="n"/>
      <c r="M339" s="33" t="n"/>
      <c r="N339" s="33" t="n"/>
      <c r="O339" s="33" t="n"/>
      <c r="P339" s="33" t="n"/>
      <c r="Q339" s="33" t="n"/>
      <c r="R339" s="33" t="n"/>
      <c r="S339" s="33" t="n"/>
      <c r="T339" s="33" t="n"/>
      <c r="U339" s="33" t="n"/>
      <c r="V339" s="33" t="n"/>
      <c r="W339" s="34" t="n"/>
      <c r="X339" s="33" t="n"/>
      <c r="Y339" s="35" t="n"/>
      <c r="Z339" s="32" t="n"/>
      <c r="AA339" s="32" t="n"/>
      <c r="AB339" s="36">
        <f>IF(A339="","",IF(COUNTIF($A$6:$A$504,A339)&gt;1,"⚠ Duplicate",""))</f>
        <v/>
      </c>
      <c r="AC339" s="43" t="n"/>
      <c r="AD339" s="43" t="n"/>
      <c r="AE339" s="43" t="n"/>
      <c r="AF339" s="43" t="n"/>
      <c r="AG339" s="43" t="n"/>
      <c r="AH339" s="43" t="n"/>
      <c r="AI339" s="43" t="n"/>
      <c r="AJ339" s="43" t="n"/>
      <c r="AK339" s="43" t="n"/>
      <c r="AL339" s="43" t="n"/>
      <c r="AM339" s="43" t="n"/>
      <c r="AN339" s="43" t="n"/>
      <c r="AO339" s="43" t="n"/>
      <c r="AP339" s="43" t="n"/>
    </row>
    <row r="340" ht="18" customHeight="1" s="74">
      <c r="A340" s="38" t="n"/>
      <c r="B340" s="38" t="n"/>
      <c r="C340" s="38" t="n"/>
      <c r="D340" s="38" t="n"/>
      <c r="E340" s="39" t="n"/>
      <c r="F340" s="39" t="n"/>
      <c r="G340" s="39" t="n"/>
      <c r="H340" s="39" t="n"/>
      <c r="I340" s="39" t="n"/>
      <c r="J340" s="39" t="n"/>
      <c r="K340" s="39" t="n"/>
      <c r="L340" s="39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39" t="n"/>
      <c r="V340" s="39" t="n"/>
      <c r="W340" s="34" t="n"/>
      <c r="X340" s="39" t="n"/>
      <c r="Y340" s="40" t="n"/>
      <c r="Z340" s="38" t="n"/>
      <c r="AA340" s="38" t="n"/>
      <c r="AB340" s="41">
        <f>IF(A340="","",IF(COUNTIF($A$6:$A$504,A340)&gt;1,"⚠ Duplicate",""))</f>
        <v/>
      </c>
      <c r="AC340" s="42" t="n"/>
      <c r="AD340" s="42" t="n"/>
      <c r="AE340" s="42" t="n"/>
      <c r="AF340" s="42" t="n"/>
      <c r="AG340" s="42" t="n"/>
      <c r="AH340" s="42" t="n"/>
      <c r="AI340" s="42" t="n"/>
      <c r="AJ340" s="42" t="n"/>
      <c r="AK340" s="42" t="n"/>
      <c r="AL340" s="42" t="n"/>
      <c r="AM340" s="42" t="n"/>
      <c r="AN340" s="42" t="n"/>
      <c r="AO340" s="42" t="n"/>
      <c r="AP340" s="42" t="n"/>
    </row>
    <row r="341" ht="18" customHeight="1" s="74">
      <c r="A341" s="32" t="n"/>
      <c r="B341" s="32" t="n"/>
      <c r="C341" s="32" t="n"/>
      <c r="D341" s="32" t="n"/>
      <c r="E341" s="33" t="n"/>
      <c r="F341" s="33" t="n"/>
      <c r="G341" s="33" t="n"/>
      <c r="H341" s="33" t="n"/>
      <c r="I341" s="33" t="n"/>
      <c r="J341" s="33" t="n"/>
      <c r="K341" s="33" t="n"/>
      <c r="L341" s="33" t="n"/>
      <c r="M341" s="33" t="n"/>
      <c r="N341" s="33" t="n"/>
      <c r="O341" s="33" t="n"/>
      <c r="P341" s="33" t="n"/>
      <c r="Q341" s="33" t="n"/>
      <c r="R341" s="33" t="n"/>
      <c r="S341" s="33" t="n"/>
      <c r="T341" s="33" t="n"/>
      <c r="U341" s="33" t="n"/>
      <c r="V341" s="33" t="n"/>
      <c r="W341" s="34" t="n"/>
      <c r="X341" s="33" t="n"/>
      <c r="Y341" s="35" t="n"/>
      <c r="Z341" s="32" t="n"/>
      <c r="AA341" s="32" t="n"/>
      <c r="AB341" s="36">
        <f>IF(A341="","",IF(COUNTIF($A$6:$A$504,A341)&gt;1,"⚠ Duplicate",""))</f>
        <v/>
      </c>
      <c r="AC341" s="43" t="n"/>
      <c r="AD341" s="43" t="n"/>
      <c r="AE341" s="43" t="n"/>
      <c r="AF341" s="43" t="n"/>
      <c r="AG341" s="43" t="n"/>
      <c r="AH341" s="43" t="n"/>
      <c r="AI341" s="43" t="n"/>
      <c r="AJ341" s="43" t="n"/>
      <c r="AK341" s="43" t="n"/>
      <c r="AL341" s="43" t="n"/>
      <c r="AM341" s="43" t="n"/>
      <c r="AN341" s="43" t="n"/>
      <c r="AO341" s="43" t="n"/>
      <c r="AP341" s="43" t="n"/>
    </row>
    <row r="342" ht="18" customHeight="1" s="74">
      <c r="A342" s="38" t="n"/>
      <c r="B342" s="38" t="n"/>
      <c r="C342" s="38" t="n"/>
      <c r="D342" s="38" t="n"/>
      <c r="E342" s="39" t="n"/>
      <c r="F342" s="39" t="n"/>
      <c r="G342" s="39" t="n"/>
      <c r="H342" s="39" t="n"/>
      <c r="I342" s="39" t="n"/>
      <c r="J342" s="39" t="n"/>
      <c r="K342" s="39" t="n"/>
      <c r="L342" s="39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39" t="n"/>
      <c r="V342" s="39" t="n"/>
      <c r="W342" s="34" t="n"/>
      <c r="X342" s="39" t="n"/>
      <c r="Y342" s="40" t="n"/>
      <c r="Z342" s="38" t="n"/>
      <c r="AA342" s="38" t="n"/>
      <c r="AB342" s="41">
        <f>IF(A342="","",IF(COUNTIF($A$6:$A$504,A342)&gt;1,"⚠ Duplicate",""))</f>
        <v/>
      </c>
      <c r="AC342" s="42" t="n"/>
      <c r="AD342" s="42" t="n"/>
      <c r="AE342" s="42" t="n"/>
      <c r="AF342" s="42" t="n"/>
      <c r="AG342" s="42" t="n"/>
      <c r="AH342" s="42" t="n"/>
      <c r="AI342" s="42" t="n"/>
      <c r="AJ342" s="42" t="n"/>
      <c r="AK342" s="42" t="n"/>
      <c r="AL342" s="42" t="n"/>
      <c r="AM342" s="42" t="n"/>
      <c r="AN342" s="42" t="n"/>
      <c r="AO342" s="42" t="n"/>
      <c r="AP342" s="42" t="n"/>
    </row>
    <row r="343" ht="18" customHeight="1" s="74">
      <c r="A343" s="32" t="n"/>
      <c r="B343" s="32" t="n"/>
      <c r="C343" s="32" t="n"/>
      <c r="D343" s="32" t="n"/>
      <c r="E343" s="33" t="n"/>
      <c r="F343" s="33" t="n"/>
      <c r="G343" s="33" t="n"/>
      <c r="H343" s="33" t="n"/>
      <c r="I343" s="33" t="n"/>
      <c r="J343" s="33" t="n"/>
      <c r="K343" s="33" t="n"/>
      <c r="L343" s="33" t="n"/>
      <c r="M343" s="33" t="n"/>
      <c r="N343" s="33" t="n"/>
      <c r="O343" s="33" t="n"/>
      <c r="P343" s="33" t="n"/>
      <c r="Q343" s="33" t="n"/>
      <c r="R343" s="33" t="n"/>
      <c r="S343" s="33" t="n"/>
      <c r="T343" s="33" t="n"/>
      <c r="U343" s="33" t="n"/>
      <c r="V343" s="33" t="n"/>
      <c r="W343" s="34" t="n"/>
      <c r="X343" s="33" t="n"/>
      <c r="Y343" s="35" t="n"/>
      <c r="Z343" s="32" t="n"/>
      <c r="AA343" s="32" t="n"/>
      <c r="AB343" s="36">
        <f>IF(A343="","",IF(COUNTIF($A$6:$A$504,A343)&gt;1,"⚠ Duplicate",""))</f>
        <v/>
      </c>
      <c r="AC343" s="43" t="n"/>
      <c r="AD343" s="43" t="n"/>
      <c r="AE343" s="43" t="n"/>
      <c r="AF343" s="43" t="n"/>
      <c r="AG343" s="43" t="n"/>
      <c r="AH343" s="43" t="n"/>
      <c r="AI343" s="43" t="n"/>
      <c r="AJ343" s="43" t="n"/>
      <c r="AK343" s="43" t="n"/>
      <c r="AL343" s="43" t="n"/>
      <c r="AM343" s="43" t="n"/>
      <c r="AN343" s="43" t="n"/>
      <c r="AO343" s="43" t="n"/>
      <c r="AP343" s="43" t="n"/>
    </row>
    <row r="344" ht="18" customHeight="1" s="74">
      <c r="A344" s="38" t="n"/>
      <c r="B344" s="38" t="n"/>
      <c r="C344" s="38" t="n"/>
      <c r="D344" s="38" t="n"/>
      <c r="E344" s="39" t="n"/>
      <c r="F344" s="39" t="n"/>
      <c r="G344" s="39" t="n"/>
      <c r="H344" s="39" t="n"/>
      <c r="I344" s="39" t="n"/>
      <c r="J344" s="39" t="n"/>
      <c r="K344" s="39" t="n"/>
      <c r="L344" s="39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39" t="n"/>
      <c r="V344" s="39" t="n"/>
      <c r="W344" s="34" t="n"/>
      <c r="X344" s="39" t="n"/>
      <c r="Y344" s="40" t="n"/>
      <c r="Z344" s="38" t="n"/>
      <c r="AA344" s="38" t="n"/>
      <c r="AB344" s="41">
        <f>IF(A344="","",IF(COUNTIF($A$6:$A$504,A344)&gt;1,"⚠ Duplicate",""))</f>
        <v/>
      </c>
      <c r="AC344" s="42" t="n"/>
      <c r="AD344" s="42" t="n"/>
      <c r="AE344" s="42" t="n"/>
      <c r="AF344" s="42" t="n"/>
      <c r="AG344" s="42" t="n"/>
      <c r="AH344" s="42" t="n"/>
      <c r="AI344" s="42" t="n"/>
      <c r="AJ344" s="42" t="n"/>
      <c r="AK344" s="42" t="n"/>
      <c r="AL344" s="42" t="n"/>
      <c r="AM344" s="42" t="n"/>
      <c r="AN344" s="42" t="n"/>
      <c r="AO344" s="42" t="n"/>
      <c r="AP344" s="42" t="n"/>
    </row>
    <row r="345" ht="18" customHeight="1" s="74">
      <c r="A345" s="32" t="n"/>
      <c r="B345" s="32" t="n"/>
      <c r="C345" s="32" t="n"/>
      <c r="D345" s="32" t="n"/>
      <c r="E345" s="33" t="n"/>
      <c r="F345" s="33" t="n"/>
      <c r="G345" s="33" t="n"/>
      <c r="H345" s="33" t="n"/>
      <c r="I345" s="33" t="n"/>
      <c r="J345" s="33" t="n"/>
      <c r="K345" s="33" t="n"/>
      <c r="L345" s="33" t="n"/>
      <c r="M345" s="33" t="n"/>
      <c r="N345" s="33" t="n"/>
      <c r="O345" s="33" t="n"/>
      <c r="P345" s="33" t="n"/>
      <c r="Q345" s="33" t="n"/>
      <c r="R345" s="33" t="n"/>
      <c r="S345" s="33" t="n"/>
      <c r="T345" s="33" t="n"/>
      <c r="U345" s="33" t="n"/>
      <c r="V345" s="33" t="n"/>
      <c r="W345" s="34" t="n"/>
      <c r="X345" s="33" t="n"/>
      <c r="Y345" s="35" t="n"/>
      <c r="Z345" s="32" t="n"/>
      <c r="AA345" s="32" t="n"/>
      <c r="AB345" s="36">
        <f>IF(A345="","",IF(COUNTIF($A$6:$A$504,A345)&gt;1,"⚠ Duplicate",""))</f>
        <v/>
      </c>
      <c r="AC345" s="43" t="n"/>
      <c r="AD345" s="43" t="n"/>
      <c r="AE345" s="43" t="n"/>
      <c r="AF345" s="43" t="n"/>
      <c r="AG345" s="43" t="n"/>
      <c r="AH345" s="43" t="n"/>
      <c r="AI345" s="43" t="n"/>
      <c r="AJ345" s="43" t="n"/>
      <c r="AK345" s="43" t="n"/>
      <c r="AL345" s="43" t="n"/>
      <c r="AM345" s="43" t="n"/>
      <c r="AN345" s="43" t="n"/>
      <c r="AO345" s="43" t="n"/>
      <c r="AP345" s="43" t="n"/>
    </row>
    <row r="346" ht="18" customHeight="1" s="74">
      <c r="A346" s="38" t="n"/>
      <c r="B346" s="38" t="n"/>
      <c r="C346" s="38" t="n"/>
      <c r="D346" s="38" t="n"/>
      <c r="E346" s="39" t="n"/>
      <c r="F346" s="39" t="n"/>
      <c r="G346" s="39" t="n"/>
      <c r="H346" s="39" t="n"/>
      <c r="I346" s="39" t="n"/>
      <c r="J346" s="39" t="n"/>
      <c r="K346" s="39" t="n"/>
      <c r="L346" s="39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39" t="n"/>
      <c r="V346" s="39" t="n"/>
      <c r="W346" s="34" t="n"/>
      <c r="X346" s="39" t="n"/>
      <c r="Y346" s="40" t="n"/>
      <c r="Z346" s="38" t="n"/>
      <c r="AA346" s="38" t="n"/>
      <c r="AB346" s="41">
        <f>IF(A346="","",IF(COUNTIF($A$6:$A$504,A346)&gt;1,"⚠ Duplicate",""))</f>
        <v/>
      </c>
      <c r="AC346" s="42" t="n"/>
      <c r="AD346" s="42" t="n"/>
      <c r="AE346" s="42" t="n"/>
      <c r="AF346" s="42" t="n"/>
      <c r="AG346" s="42" t="n"/>
      <c r="AH346" s="42" t="n"/>
      <c r="AI346" s="42" t="n"/>
      <c r="AJ346" s="42" t="n"/>
      <c r="AK346" s="42" t="n"/>
      <c r="AL346" s="42" t="n"/>
      <c r="AM346" s="42" t="n"/>
      <c r="AN346" s="42" t="n"/>
      <c r="AO346" s="42" t="n"/>
      <c r="AP346" s="42" t="n"/>
    </row>
    <row r="347" ht="18" customHeight="1" s="74">
      <c r="A347" s="32" t="n"/>
      <c r="B347" s="32" t="n"/>
      <c r="C347" s="32" t="n"/>
      <c r="D347" s="32" t="n"/>
      <c r="E347" s="33" t="n"/>
      <c r="F347" s="33" t="n"/>
      <c r="G347" s="33" t="n"/>
      <c r="H347" s="33" t="n"/>
      <c r="I347" s="33" t="n"/>
      <c r="J347" s="33" t="n"/>
      <c r="K347" s="33" t="n"/>
      <c r="L347" s="33" t="n"/>
      <c r="M347" s="33" t="n"/>
      <c r="N347" s="33" t="n"/>
      <c r="O347" s="33" t="n"/>
      <c r="P347" s="33" t="n"/>
      <c r="Q347" s="33" t="n"/>
      <c r="R347" s="33" t="n"/>
      <c r="S347" s="33" t="n"/>
      <c r="T347" s="33" t="n"/>
      <c r="U347" s="33" t="n"/>
      <c r="V347" s="33" t="n"/>
      <c r="W347" s="34" t="n"/>
      <c r="X347" s="33" t="n"/>
      <c r="Y347" s="35" t="n"/>
      <c r="Z347" s="32" t="n"/>
      <c r="AA347" s="32" t="n"/>
      <c r="AB347" s="36">
        <f>IF(A347="","",IF(COUNTIF($A$6:$A$504,A347)&gt;1,"⚠ Duplicate",""))</f>
        <v/>
      </c>
      <c r="AC347" s="43" t="n"/>
      <c r="AD347" s="43" t="n"/>
      <c r="AE347" s="43" t="n"/>
      <c r="AF347" s="43" t="n"/>
      <c r="AG347" s="43" t="n"/>
      <c r="AH347" s="43" t="n"/>
      <c r="AI347" s="43" t="n"/>
      <c r="AJ347" s="43" t="n"/>
      <c r="AK347" s="43" t="n"/>
      <c r="AL347" s="43" t="n"/>
      <c r="AM347" s="43" t="n"/>
      <c r="AN347" s="43" t="n"/>
      <c r="AO347" s="43" t="n"/>
      <c r="AP347" s="43" t="n"/>
    </row>
    <row r="348" ht="18" customHeight="1" s="74">
      <c r="A348" s="38" t="n"/>
      <c r="B348" s="38" t="n"/>
      <c r="C348" s="38" t="n"/>
      <c r="D348" s="38" t="n"/>
      <c r="E348" s="39" t="n"/>
      <c r="F348" s="39" t="n"/>
      <c r="G348" s="39" t="n"/>
      <c r="H348" s="39" t="n"/>
      <c r="I348" s="39" t="n"/>
      <c r="J348" s="39" t="n"/>
      <c r="K348" s="39" t="n"/>
      <c r="L348" s="39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39" t="n"/>
      <c r="V348" s="39" t="n"/>
      <c r="W348" s="34" t="n"/>
      <c r="X348" s="39" t="n"/>
      <c r="Y348" s="40" t="n"/>
      <c r="Z348" s="38" t="n"/>
      <c r="AA348" s="38" t="n"/>
      <c r="AB348" s="41">
        <f>IF(A348="","",IF(COUNTIF($A$6:$A$504,A348)&gt;1,"⚠ Duplicate",""))</f>
        <v/>
      </c>
      <c r="AC348" s="42" t="n"/>
      <c r="AD348" s="42" t="n"/>
      <c r="AE348" s="42" t="n"/>
      <c r="AF348" s="42" t="n"/>
      <c r="AG348" s="42" t="n"/>
      <c r="AH348" s="42" t="n"/>
      <c r="AI348" s="42" t="n"/>
      <c r="AJ348" s="42" t="n"/>
      <c r="AK348" s="42" t="n"/>
      <c r="AL348" s="42" t="n"/>
      <c r="AM348" s="42" t="n"/>
      <c r="AN348" s="42" t="n"/>
      <c r="AO348" s="42" t="n"/>
      <c r="AP348" s="42" t="n"/>
    </row>
    <row r="349" ht="18" customHeight="1" s="74">
      <c r="A349" s="32" t="n"/>
      <c r="B349" s="32" t="n"/>
      <c r="C349" s="32" t="n"/>
      <c r="D349" s="32" t="n"/>
      <c r="E349" s="33" t="n"/>
      <c r="F349" s="33" t="n"/>
      <c r="G349" s="33" t="n"/>
      <c r="H349" s="33" t="n"/>
      <c r="I349" s="33" t="n"/>
      <c r="J349" s="33" t="n"/>
      <c r="K349" s="33" t="n"/>
      <c r="L349" s="33" t="n"/>
      <c r="M349" s="33" t="n"/>
      <c r="N349" s="33" t="n"/>
      <c r="O349" s="33" t="n"/>
      <c r="P349" s="33" t="n"/>
      <c r="Q349" s="33" t="n"/>
      <c r="R349" s="33" t="n"/>
      <c r="S349" s="33" t="n"/>
      <c r="T349" s="33" t="n"/>
      <c r="U349" s="33" t="n"/>
      <c r="V349" s="33" t="n"/>
      <c r="W349" s="34" t="n"/>
      <c r="X349" s="33" t="n"/>
      <c r="Y349" s="35" t="n"/>
      <c r="Z349" s="32" t="n"/>
      <c r="AA349" s="32" t="n"/>
      <c r="AB349" s="36">
        <f>IF(A349="","",IF(COUNTIF($A$6:$A$504,A349)&gt;1,"⚠ Duplicate",""))</f>
        <v/>
      </c>
      <c r="AC349" s="43" t="n"/>
      <c r="AD349" s="43" t="n"/>
      <c r="AE349" s="43" t="n"/>
      <c r="AF349" s="43" t="n"/>
      <c r="AG349" s="43" t="n"/>
      <c r="AH349" s="43" t="n"/>
      <c r="AI349" s="43" t="n"/>
      <c r="AJ349" s="43" t="n"/>
      <c r="AK349" s="43" t="n"/>
      <c r="AL349" s="43" t="n"/>
      <c r="AM349" s="43" t="n"/>
      <c r="AN349" s="43" t="n"/>
      <c r="AO349" s="43" t="n"/>
      <c r="AP349" s="43" t="n"/>
    </row>
    <row r="350" ht="18" customHeight="1" s="74">
      <c r="A350" s="38" t="n"/>
      <c r="B350" s="38" t="n"/>
      <c r="C350" s="38" t="n"/>
      <c r="D350" s="38" t="n"/>
      <c r="E350" s="39" t="n"/>
      <c r="F350" s="39" t="n"/>
      <c r="G350" s="39" t="n"/>
      <c r="H350" s="39" t="n"/>
      <c r="I350" s="39" t="n"/>
      <c r="J350" s="39" t="n"/>
      <c r="K350" s="39" t="n"/>
      <c r="L350" s="39" t="n"/>
      <c r="M350" s="39" t="n"/>
      <c r="N350" s="39" t="n"/>
      <c r="O350" s="39" t="n"/>
      <c r="P350" s="39" t="n"/>
      <c r="Q350" s="39" t="n"/>
      <c r="R350" s="39" t="n"/>
      <c r="S350" s="39" t="n"/>
      <c r="T350" s="39" t="n"/>
      <c r="U350" s="39" t="n"/>
      <c r="V350" s="39" t="n"/>
      <c r="W350" s="34" t="n"/>
      <c r="X350" s="39" t="n"/>
      <c r="Y350" s="40" t="n"/>
      <c r="Z350" s="38" t="n"/>
      <c r="AA350" s="38" t="n"/>
      <c r="AB350" s="41">
        <f>IF(A350="","",IF(COUNTIF($A$6:$A$504,A350)&gt;1,"⚠ Duplicate",""))</f>
        <v/>
      </c>
      <c r="AC350" s="42" t="n"/>
      <c r="AD350" s="42" t="n"/>
      <c r="AE350" s="42" t="n"/>
      <c r="AF350" s="42" t="n"/>
      <c r="AG350" s="42" t="n"/>
      <c r="AH350" s="42" t="n"/>
      <c r="AI350" s="42" t="n"/>
      <c r="AJ350" s="42" t="n"/>
      <c r="AK350" s="42" t="n"/>
      <c r="AL350" s="42" t="n"/>
      <c r="AM350" s="42" t="n"/>
      <c r="AN350" s="42" t="n"/>
      <c r="AO350" s="42" t="n"/>
      <c r="AP350" s="42" t="n"/>
    </row>
    <row r="351" ht="18" customHeight="1" s="74">
      <c r="A351" s="32" t="n"/>
      <c r="B351" s="32" t="n"/>
      <c r="C351" s="32" t="n"/>
      <c r="D351" s="32" t="n"/>
      <c r="E351" s="33" t="n"/>
      <c r="F351" s="33" t="n"/>
      <c r="G351" s="33" t="n"/>
      <c r="H351" s="33" t="n"/>
      <c r="I351" s="33" t="n"/>
      <c r="J351" s="33" t="n"/>
      <c r="K351" s="33" t="n"/>
      <c r="L351" s="33" t="n"/>
      <c r="M351" s="33" t="n"/>
      <c r="N351" s="33" t="n"/>
      <c r="O351" s="33" t="n"/>
      <c r="P351" s="33" t="n"/>
      <c r="Q351" s="33" t="n"/>
      <c r="R351" s="33" t="n"/>
      <c r="S351" s="33" t="n"/>
      <c r="T351" s="33" t="n"/>
      <c r="U351" s="33" t="n"/>
      <c r="V351" s="33" t="n"/>
      <c r="W351" s="34" t="n"/>
      <c r="X351" s="33" t="n"/>
      <c r="Y351" s="35" t="n"/>
      <c r="Z351" s="32" t="n"/>
      <c r="AA351" s="32" t="n"/>
      <c r="AB351" s="36">
        <f>IF(A351="","",IF(COUNTIF($A$6:$A$504,A351)&gt;1,"⚠ Duplicate",""))</f>
        <v/>
      </c>
      <c r="AC351" s="43" t="n"/>
      <c r="AD351" s="43" t="n"/>
      <c r="AE351" s="43" t="n"/>
      <c r="AF351" s="43" t="n"/>
      <c r="AG351" s="43" t="n"/>
      <c r="AH351" s="43" t="n"/>
      <c r="AI351" s="43" t="n"/>
      <c r="AJ351" s="43" t="n"/>
      <c r="AK351" s="43" t="n"/>
      <c r="AL351" s="43" t="n"/>
      <c r="AM351" s="43" t="n"/>
      <c r="AN351" s="43" t="n"/>
      <c r="AO351" s="43" t="n"/>
      <c r="AP351" s="43" t="n"/>
    </row>
    <row r="352" ht="18" customHeight="1" s="74">
      <c r="A352" s="38" t="n"/>
      <c r="B352" s="38" t="n"/>
      <c r="C352" s="38" t="n"/>
      <c r="D352" s="38" t="n"/>
      <c r="E352" s="39" t="n"/>
      <c r="F352" s="39" t="n"/>
      <c r="G352" s="39" t="n"/>
      <c r="H352" s="39" t="n"/>
      <c r="I352" s="39" t="n"/>
      <c r="J352" s="39" t="n"/>
      <c r="K352" s="39" t="n"/>
      <c r="L352" s="39" t="n"/>
      <c r="M352" s="39" t="n"/>
      <c r="N352" s="39" t="n"/>
      <c r="O352" s="39" t="n"/>
      <c r="P352" s="39" t="n"/>
      <c r="Q352" s="39" t="n"/>
      <c r="R352" s="39" t="n"/>
      <c r="S352" s="39" t="n"/>
      <c r="T352" s="39" t="n"/>
      <c r="U352" s="39" t="n"/>
      <c r="V352" s="39" t="n"/>
      <c r="W352" s="34" t="n"/>
      <c r="X352" s="39" t="n"/>
      <c r="Y352" s="40" t="n"/>
      <c r="Z352" s="38" t="n"/>
      <c r="AA352" s="38" t="n"/>
      <c r="AB352" s="41">
        <f>IF(A352="","",IF(COUNTIF($A$6:$A$504,A352)&gt;1,"⚠ Duplicate",""))</f>
        <v/>
      </c>
      <c r="AC352" s="42" t="n"/>
      <c r="AD352" s="42" t="n"/>
      <c r="AE352" s="42" t="n"/>
      <c r="AF352" s="42" t="n"/>
      <c r="AG352" s="42" t="n"/>
      <c r="AH352" s="42" t="n"/>
      <c r="AI352" s="42" t="n"/>
      <c r="AJ352" s="42" t="n"/>
      <c r="AK352" s="42" t="n"/>
      <c r="AL352" s="42" t="n"/>
      <c r="AM352" s="42" t="n"/>
      <c r="AN352" s="42" t="n"/>
      <c r="AO352" s="42" t="n"/>
      <c r="AP352" s="42" t="n"/>
    </row>
    <row r="353" ht="18" customHeight="1" s="74">
      <c r="A353" s="32" t="n"/>
      <c r="B353" s="32" t="n"/>
      <c r="C353" s="32" t="n"/>
      <c r="D353" s="32" t="n"/>
      <c r="E353" s="33" t="n"/>
      <c r="F353" s="33" t="n"/>
      <c r="G353" s="33" t="n"/>
      <c r="H353" s="33" t="n"/>
      <c r="I353" s="33" t="n"/>
      <c r="J353" s="33" t="n"/>
      <c r="K353" s="33" t="n"/>
      <c r="L353" s="33" t="n"/>
      <c r="M353" s="33" t="n"/>
      <c r="N353" s="33" t="n"/>
      <c r="O353" s="33" t="n"/>
      <c r="P353" s="33" t="n"/>
      <c r="Q353" s="33" t="n"/>
      <c r="R353" s="33" t="n"/>
      <c r="S353" s="33" t="n"/>
      <c r="T353" s="33" t="n"/>
      <c r="U353" s="33" t="n"/>
      <c r="V353" s="33" t="n"/>
      <c r="W353" s="34" t="n"/>
      <c r="X353" s="33" t="n"/>
      <c r="Y353" s="35" t="n"/>
      <c r="Z353" s="32" t="n"/>
      <c r="AA353" s="32" t="n"/>
      <c r="AB353" s="36">
        <f>IF(A353="","",IF(COUNTIF($A$6:$A$504,A353)&gt;1,"⚠ Duplicate",""))</f>
        <v/>
      </c>
      <c r="AC353" s="43" t="n"/>
      <c r="AD353" s="43" t="n"/>
      <c r="AE353" s="43" t="n"/>
      <c r="AF353" s="43" t="n"/>
      <c r="AG353" s="43" t="n"/>
      <c r="AH353" s="43" t="n"/>
      <c r="AI353" s="43" t="n"/>
      <c r="AJ353" s="43" t="n"/>
      <c r="AK353" s="43" t="n"/>
      <c r="AL353" s="43" t="n"/>
      <c r="AM353" s="43" t="n"/>
      <c r="AN353" s="43" t="n"/>
      <c r="AO353" s="43" t="n"/>
      <c r="AP353" s="43" t="n"/>
    </row>
    <row r="354" ht="18" customHeight="1" s="74">
      <c r="A354" s="38" t="n"/>
      <c r="B354" s="38" t="n"/>
      <c r="C354" s="38" t="n"/>
      <c r="D354" s="38" t="n"/>
      <c r="E354" s="39" t="n"/>
      <c r="F354" s="39" t="n"/>
      <c r="G354" s="39" t="n"/>
      <c r="H354" s="39" t="n"/>
      <c r="I354" s="39" t="n"/>
      <c r="J354" s="39" t="n"/>
      <c r="K354" s="39" t="n"/>
      <c r="L354" s="39" t="n"/>
      <c r="M354" s="39" t="n"/>
      <c r="N354" s="39" t="n"/>
      <c r="O354" s="39" t="n"/>
      <c r="P354" s="39" t="n"/>
      <c r="Q354" s="39" t="n"/>
      <c r="R354" s="39" t="n"/>
      <c r="S354" s="39" t="n"/>
      <c r="T354" s="39" t="n"/>
      <c r="U354" s="39" t="n"/>
      <c r="V354" s="39" t="n"/>
      <c r="W354" s="34" t="n"/>
      <c r="X354" s="39" t="n"/>
      <c r="Y354" s="40" t="n"/>
      <c r="Z354" s="38" t="n"/>
      <c r="AA354" s="38" t="n"/>
      <c r="AB354" s="41">
        <f>IF(A354="","",IF(COUNTIF($A$6:$A$504,A354)&gt;1,"⚠ Duplicate",""))</f>
        <v/>
      </c>
      <c r="AC354" s="42" t="n"/>
      <c r="AD354" s="42" t="n"/>
      <c r="AE354" s="42" t="n"/>
      <c r="AF354" s="42" t="n"/>
      <c r="AG354" s="42" t="n"/>
      <c r="AH354" s="42" t="n"/>
      <c r="AI354" s="42" t="n"/>
      <c r="AJ354" s="42" t="n"/>
      <c r="AK354" s="42" t="n"/>
      <c r="AL354" s="42" t="n"/>
      <c r="AM354" s="42" t="n"/>
      <c r="AN354" s="42" t="n"/>
      <c r="AO354" s="42" t="n"/>
      <c r="AP354" s="42" t="n"/>
    </row>
    <row r="355" ht="18" customHeight="1" s="74">
      <c r="A355" s="32" t="n"/>
      <c r="B355" s="32" t="n"/>
      <c r="C355" s="32" t="n"/>
      <c r="D355" s="32" t="n"/>
      <c r="E355" s="33" t="n"/>
      <c r="F355" s="33" t="n"/>
      <c r="G355" s="33" t="n"/>
      <c r="H355" s="33" t="n"/>
      <c r="I355" s="33" t="n"/>
      <c r="J355" s="33" t="n"/>
      <c r="K355" s="33" t="n"/>
      <c r="L355" s="33" t="n"/>
      <c r="M355" s="33" t="n"/>
      <c r="N355" s="33" t="n"/>
      <c r="O355" s="33" t="n"/>
      <c r="P355" s="33" t="n"/>
      <c r="Q355" s="33" t="n"/>
      <c r="R355" s="33" t="n"/>
      <c r="S355" s="33" t="n"/>
      <c r="T355" s="33" t="n"/>
      <c r="U355" s="33" t="n"/>
      <c r="V355" s="33" t="n"/>
      <c r="W355" s="34" t="n"/>
      <c r="X355" s="33" t="n"/>
      <c r="Y355" s="35" t="n"/>
      <c r="Z355" s="32" t="n"/>
      <c r="AA355" s="32" t="n"/>
      <c r="AB355" s="36">
        <f>IF(A355="","",IF(COUNTIF($A$6:$A$504,A355)&gt;1,"⚠ Duplicate",""))</f>
        <v/>
      </c>
      <c r="AC355" s="43" t="n"/>
      <c r="AD355" s="43" t="n"/>
      <c r="AE355" s="43" t="n"/>
      <c r="AF355" s="43" t="n"/>
      <c r="AG355" s="43" t="n"/>
      <c r="AH355" s="43" t="n"/>
      <c r="AI355" s="43" t="n"/>
      <c r="AJ355" s="43" t="n"/>
      <c r="AK355" s="43" t="n"/>
      <c r="AL355" s="43" t="n"/>
      <c r="AM355" s="43" t="n"/>
      <c r="AN355" s="43" t="n"/>
      <c r="AO355" s="43" t="n"/>
      <c r="AP355" s="43" t="n"/>
    </row>
    <row r="356" ht="18" customHeight="1" s="74">
      <c r="A356" s="38" t="n"/>
      <c r="B356" s="38" t="n"/>
      <c r="C356" s="38" t="n"/>
      <c r="D356" s="38" t="n"/>
      <c r="E356" s="39" t="n"/>
      <c r="F356" s="39" t="n"/>
      <c r="G356" s="39" t="n"/>
      <c r="H356" s="39" t="n"/>
      <c r="I356" s="39" t="n"/>
      <c r="J356" s="39" t="n"/>
      <c r="K356" s="39" t="n"/>
      <c r="L356" s="39" t="n"/>
      <c r="M356" s="39" t="n"/>
      <c r="N356" s="39" t="n"/>
      <c r="O356" s="39" t="n"/>
      <c r="P356" s="39" t="n"/>
      <c r="Q356" s="39" t="n"/>
      <c r="R356" s="39" t="n"/>
      <c r="S356" s="39" t="n"/>
      <c r="T356" s="39" t="n"/>
      <c r="U356" s="39" t="n"/>
      <c r="V356" s="39" t="n"/>
      <c r="W356" s="34" t="n"/>
      <c r="X356" s="39" t="n"/>
      <c r="Y356" s="40" t="n"/>
      <c r="Z356" s="38" t="n"/>
      <c r="AA356" s="38" t="n"/>
      <c r="AB356" s="41">
        <f>IF(A356="","",IF(COUNTIF($A$6:$A$504,A356)&gt;1,"⚠ Duplicate",""))</f>
        <v/>
      </c>
      <c r="AC356" s="42" t="n"/>
      <c r="AD356" s="42" t="n"/>
      <c r="AE356" s="42" t="n"/>
      <c r="AF356" s="42" t="n"/>
      <c r="AG356" s="42" t="n"/>
      <c r="AH356" s="42" t="n"/>
      <c r="AI356" s="42" t="n"/>
      <c r="AJ356" s="42" t="n"/>
      <c r="AK356" s="42" t="n"/>
      <c r="AL356" s="42" t="n"/>
      <c r="AM356" s="42" t="n"/>
      <c r="AN356" s="42" t="n"/>
      <c r="AO356" s="42" t="n"/>
      <c r="AP356" s="42" t="n"/>
    </row>
    <row r="357" ht="18" customHeight="1" s="74">
      <c r="A357" s="32" t="n"/>
      <c r="B357" s="32" t="n"/>
      <c r="C357" s="32" t="n"/>
      <c r="D357" s="32" t="n"/>
      <c r="E357" s="33" t="n"/>
      <c r="F357" s="33" t="n"/>
      <c r="G357" s="33" t="n"/>
      <c r="H357" s="33" t="n"/>
      <c r="I357" s="33" t="n"/>
      <c r="J357" s="33" t="n"/>
      <c r="K357" s="33" t="n"/>
      <c r="L357" s="33" t="n"/>
      <c r="M357" s="33" t="n"/>
      <c r="N357" s="33" t="n"/>
      <c r="O357" s="33" t="n"/>
      <c r="P357" s="33" t="n"/>
      <c r="Q357" s="33" t="n"/>
      <c r="R357" s="33" t="n"/>
      <c r="S357" s="33" t="n"/>
      <c r="T357" s="33" t="n"/>
      <c r="U357" s="33" t="n"/>
      <c r="V357" s="33" t="n"/>
      <c r="W357" s="34" t="n"/>
      <c r="X357" s="33" t="n"/>
      <c r="Y357" s="35" t="n"/>
      <c r="Z357" s="32" t="n"/>
      <c r="AA357" s="32" t="n"/>
      <c r="AB357" s="36">
        <f>IF(A357="","",IF(COUNTIF($A$6:$A$504,A357)&gt;1,"⚠ Duplicate",""))</f>
        <v/>
      </c>
      <c r="AC357" s="43" t="n"/>
      <c r="AD357" s="43" t="n"/>
      <c r="AE357" s="43" t="n"/>
      <c r="AF357" s="43" t="n"/>
      <c r="AG357" s="43" t="n"/>
      <c r="AH357" s="43" t="n"/>
      <c r="AI357" s="43" t="n"/>
      <c r="AJ357" s="43" t="n"/>
      <c r="AK357" s="43" t="n"/>
      <c r="AL357" s="43" t="n"/>
      <c r="AM357" s="43" t="n"/>
      <c r="AN357" s="43" t="n"/>
      <c r="AO357" s="43" t="n"/>
      <c r="AP357" s="43" t="n"/>
    </row>
    <row r="358" ht="18" customHeight="1" s="74">
      <c r="A358" s="38" t="n"/>
      <c r="B358" s="38" t="n"/>
      <c r="C358" s="38" t="n"/>
      <c r="D358" s="38" t="n"/>
      <c r="E358" s="39" t="n"/>
      <c r="F358" s="39" t="n"/>
      <c r="G358" s="39" t="n"/>
      <c r="H358" s="39" t="n"/>
      <c r="I358" s="39" t="n"/>
      <c r="J358" s="39" t="n"/>
      <c r="K358" s="39" t="n"/>
      <c r="L358" s="39" t="n"/>
      <c r="M358" s="39" t="n"/>
      <c r="N358" s="39" t="n"/>
      <c r="O358" s="39" t="n"/>
      <c r="P358" s="39" t="n"/>
      <c r="Q358" s="39" t="n"/>
      <c r="R358" s="39" t="n"/>
      <c r="S358" s="39" t="n"/>
      <c r="T358" s="39" t="n"/>
      <c r="U358" s="39" t="n"/>
      <c r="V358" s="39" t="n"/>
      <c r="W358" s="34" t="n"/>
      <c r="X358" s="39" t="n"/>
      <c r="Y358" s="40" t="n"/>
      <c r="Z358" s="38" t="n"/>
      <c r="AA358" s="38" t="n"/>
      <c r="AB358" s="41">
        <f>IF(A358="","",IF(COUNTIF($A$6:$A$504,A358)&gt;1,"⚠ Duplicate",""))</f>
        <v/>
      </c>
      <c r="AC358" s="42" t="n"/>
      <c r="AD358" s="42" t="n"/>
      <c r="AE358" s="42" t="n"/>
      <c r="AF358" s="42" t="n"/>
      <c r="AG358" s="42" t="n"/>
      <c r="AH358" s="42" t="n"/>
      <c r="AI358" s="42" t="n"/>
      <c r="AJ358" s="42" t="n"/>
      <c r="AK358" s="42" t="n"/>
      <c r="AL358" s="42" t="n"/>
      <c r="AM358" s="42" t="n"/>
      <c r="AN358" s="42" t="n"/>
      <c r="AO358" s="42" t="n"/>
      <c r="AP358" s="42" t="n"/>
    </row>
    <row r="359" ht="18" customHeight="1" s="74">
      <c r="A359" s="32" t="n"/>
      <c r="B359" s="32" t="n"/>
      <c r="C359" s="32" t="n"/>
      <c r="D359" s="32" t="n"/>
      <c r="E359" s="33" t="n"/>
      <c r="F359" s="33" t="n"/>
      <c r="G359" s="33" t="n"/>
      <c r="H359" s="33" t="n"/>
      <c r="I359" s="33" t="n"/>
      <c r="J359" s="33" t="n"/>
      <c r="K359" s="33" t="n"/>
      <c r="L359" s="33" t="n"/>
      <c r="M359" s="33" t="n"/>
      <c r="N359" s="33" t="n"/>
      <c r="O359" s="33" t="n"/>
      <c r="P359" s="33" t="n"/>
      <c r="Q359" s="33" t="n"/>
      <c r="R359" s="33" t="n"/>
      <c r="S359" s="33" t="n"/>
      <c r="T359" s="33" t="n"/>
      <c r="U359" s="33" t="n"/>
      <c r="V359" s="33" t="n"/>
      <c r="W359" s="34" t="n"/>
      <c r="X359" s="33" t="n"/>
      <c r="Y359" s="35" t="n"/>
      <c r="Z359" s="32" t="n"/>
      <c r="AA359" s="32" t="n"/>
      <c r="AB359" s="36">
        <f>IF(A359="","",IF(COUNTIF($A$6:$A$504,A359)&gt;1,"⚠ Duplicate",""))</f>
        <v/>
      </c>
      <c r="AC359" s="43" t="n"/>
      <c r="AD359" s="43" t="n"/>
      <c r="AE359" s="43" t="n"/>
      <c r="AF359" s="43" t="n"/>
      <c r="AG359" s="43" t="n"/>
      <c r="AH359" s="43" t="n"/>
      <c r="AI359" s="43" t="n"/>
      <c r="AJ359" s="43" t="n"/>
      <c r="AK359" s="43" t="n"/>
      <c r="AL359" s="43" t="n"/>
      <c r="AM359" s="43" t="n"/>
      <c r="AN359" s="43" t="n"/>
      <c r="AO359" s="43" t="n"/>
      <c r="AP359" s="43" t="n"/>
    </row>
    <row r="360" ht="18" customHeight="1" s="74">
      <c r="A360" s="38" t="n"/>
      <c r="B360" s="38" t="n"/>
      <c r="C360" s="38" t="n"/>
      <c r="D360" s="38" t="n"/>
      <c r="E360" s="39" t="n"/>
      <c r="F360" s="39" t="n"/>
      <c r="G360" s="39" t="n"/>
      <c r="H360" s="39" t="n"/>
      <c r="I360" s="39" t="n"/>
      <c r="J360" s="39" t="n"/>
      <c r="K360" s="39" t="n"/>
      <c r="L360" s="39" t="n"/>
      <c r="M360" s="39" t="n"/>
      <c r="N360" s="39" t="n"/>
      <c r="O360" s="39" t="n"/>
      <c r="P360" s="39" t="n"/>
      <c r="Q360" s="39" t="n"/>
      <c r="R360" s="39" t="n"/>
      <c r="S360" s="39" t="n"/>
      <c r="T360" s="39" t="n"/>
      <c r="U360" s="39" t="n"/>
      <c r="V360" s="39" t="n"/>
      <c r="W360" s="34" t="n"/>
      <c r="X360" s="39" t="n"/>
      <c r="Y360" s="40" t="n"/>
      <c r="Z360" s="38" t="n"/>
      <c r="AA360" s="38" t="n"/>
      <c r="AB360" s="41">
        <f>IF(A360="","",IF(COUNTIF($A$6:$A$504,A360)&gt;1,"⚠ Duplicate",""))</f>
        <v/>
      </c>
      <c r="AC360" s="42" t="n"/>
      <c r="AD360" s="42" t="n"/>
      <c r="AE360" s="42" t="n"/>
      <c r="AF360" s="42" t="n"/>
      <c r="AG360" s="42" t="n"/>
      <c r="AH360" s="42" t="n"/>
      <c r="AI360" s="42" t="n"/>
      <c r="AJ360" s="42" t="n"/>
      <c r="AK360" s="42" t="n"/>
      <c r="AL360" s="42" t="n"/>
      <c r="AM360" s="42" t="n"/>
      <c r="AN360" s="42" t="n"/>
      <c r="AO360" s="42" t="n"/>
      <c r="AP360" s="42" t="n"/>
    </row>
    <row r="361" ht="18" customHeight="1" s="74">
      <c r="A361" s="32" t="n"/>
      <c r="B361" s="32" t="n"/>
      <c r="C361" s="32" t="n"/>
      <c r="D361" s="32" t="n"/>
      <c r="E361" s="33" t="n"/>
      <c r="F361" s="33" t="n"/>
      <c r="G361" s="33" t="n"/>
      <c r="H361" s="33" t="n"/>
      <c r="I361" s="33" t="n"/>
      <c r="J361" s="33" t="n"/>
      <c r="K361" s="33" t="n"/>
      <c r="L361" s="33" t="n"/>
      <c r="M361" s="33" t="n"/>
      <c r="N361" s="33" t="n"/>
      <c r="O361" s="33" t="n"/>
      <c r="P361" s="33" t="n"/>
      <c r="Q361" s="33" t="n"/>
      <c r="R361" s="33" t="n"/>
      <c r="S361" s="33" t="n"/>
      <c r="T361" s="33" t="n"/>
      <c r="U361" s="33" t="n"/>
      <c r="V361" s="33" t="n"/>
      <c r="W361" s="34" t="n"/>
      <c r="X361" s="33" t="n"/>
      <c r="Y361" s="35" t="n"/>
      <c r="Z361" s="32" t="n"/>
      <c r="AA361" s="32" t="n"/>
      <c r="AB361" s="36">
        <f>IF(A361="","",IF(COUNTIF($A$6:$A$504,A361)&gt;1,"⚠ Duplicate",""))</f>
        <v/>
      </c>
      <c r="AC361" s="43" t="n"/>
      <c r="AD361" s="43" t="n"/>
      <c r="AE361" s="43" t="n"/>
      <c r="AF361" s="43" t="n"/>
      <c r="AG361" s="43" t="n"/>
      <c r="AH361" s="43" t="n"/>
      <c r="AI361" s="43" t="n"/>
      <c r="AJ361" s="43" t="n"/>
      <c r="AK361" s="43" t="n"/>
      <c r="AL361" s="43" t="n"/>
      <c r="AM361" s="43" t="n"/>
      <c r="AN361" s="43" t="n"/>
      <c r="AO361" s="43" t="n"/>
      <c r="AP361" s="43" t="n"/>
    </row>
    <row r="362" ht="18" customHeight="1" s="74">
      <c r="A362" s="38" t="n"/>
      <c r="B362" s="38" t="n"/>
      <c r="C362" s="38" t="n"/>
      <c r="D362" s="38" t="n"/>
      <c r="E362" s="39" t="n"/>
      <c r="F362" s="39" t="n"/>
      <c r="G362" s="39" t="n"/>
      <c r="H362" s="39" t="n"/>
      <c r="I362" s="39" t="n"/>
      <c r="J362" s="39" t="n"/>
      <c r="K362" s="39" t="n"/>
      <c r="L362" s="39" t="n"/>
      <c r="M362" s="39" t="n"/>
      <c r="N362" s="39" t="n"/>
      <c r="O362" s="39" t="n"/>
      <c r="P362" s="39" t="n"/>
      <c r="Q362" s="39" t="n"/>
      <c r="R362" s="39" t="n"/>
      <c r="S362" s="39" t="n"/>
      <c r="T362" s="39" t="n"/>
      <c r="U362" s="39" t="n"/>
      <c r="V362" s="39" t="n"/>
      <c r="W362" s="34" t="n"/>
      <c r="X362" s="39" t="n"/>
      <c r="Y362" s="40" t="n"/>
      <c r="Z362" s="38" t="n"/>
      <c r="AA362" s="38" t="n"/>
      <c r="AB362" s="41">
        <f>IF(A362="","",IF(COUNTIF($A$6:$A$504,A362)&gt;1,"⚠ Duplicate",""))</f>
        <v/>
      </c>
      <c r="AC362" s="42" t="n"/>
      <c r="AD362" s="42" t="n"/>
      <c r="AE362" s="42" t="n"/>
      <c r="AF362" s="42" t="n"/>
      <c r="AG362" s="42" t="n"/>
      <c r="AH362" s="42" t="n"/>
      <c r="AI362" s="42" t="n"/>
      <c r="AJ362" s="42" t="n"/>
      <c r="AK362" s="42" t="n"/>
      <c r="AL362" s="42" t="n"/>
      <c r="AM362" s="42" t="n"/>
      <c r="AN362" s="42" t="n"/>
      <c r="AO362" s="42" t="n"/>
      <c r="AP362" s="42" t="n"/>
    </row>
    <row r="363" ht="18" customHeight="1" s="74">
      <c r="A363" s="32" t="n"/>
      <c r="B363" s="32" t="n"/>
      <c r="C363" s="32" t="n"/>
      <c r="D363" s="32" t="n"/>
      <c r="E363" s="33" t="n"/>
      <c r="F363" s="33" t="n"/>
      <c r="G363" s="33" t="n"/>
      <c r="H363" s="33" t="n"/>
      <c r="I363" s="33" t="n"/>
      <c r="J363" s="33" t="n"/>
      <c r="K363" s="33" t="n"/>
      <c r="L363" s="33" t="n"/>
      <c r="M363" s="33" t="n"/>
      <c r="N363" s="33" t="n"/>
      <c r="O363" s="33" t="n"/>
      <c r="P363" s="33" t="n"/>
      <c r="Q363" s="33" t="n"/>
      <c r="R363" s="33" t="n"/>
      <c r="S363" s="33" t="n"/>
      <c r="T363" s="33" t="n"/>
      <c r="U363" s="33" t="n"/>
      <c r="V363" s="33" t="n"/>
      <c r="W363" s="34" t="n"/>
      <c r="X363" s="33" t="n"/>
      <c r="Y363" s="35" t="n"/>
      <c r="Z363" s="32" t="n"/>
      <c r="AA363" s="32" t="n"/>
      <c r="AB363" s="36">
        <f>IF(A363="","",IF(COUNTIF($A$6:$A$504,A363)&gt;1,"⚠ Duplicate",""))</f>
        <v/>
      </c>
      <c r="AC363" s="43" t="n"/>
      <c r="AD363" s="43" t="n"/>
      <c r="AE363" s="43" t="n"/>
      <c r="AF363" s="43" t="n"/>
      <c r="AG363" s="43" t="n"/>
      <c r="AH363" s="43" t="n"/>
      <c r="AI363" s="43" t="n"/>
      <c r="AJ363" s="43" t="n"/>
      <c r="AK363" s="43" t="n"/>
      <c r="AL363" s="43" t="n"/>
      <c r="AM363" s="43" t="n"/>
      <c r="AN363" s="43" t="n"/>
      <c r="AO363" s="43" t="n"/>
      <c r="AP363" s="43" t="n"/>
    </row>
    <row r="364" ht="18" customHeight="1" s="74">
      <c r="A364" s="38" t="n"/>
      <c r="B364" s="38" t="n"/>
      <c r="C364" s="38" t="n"/>
      <c r="D364" s="38" t="n"/>
      <c r="E364" s="39" t="n"/>
      <c r="F364" s="39" t="n"/>
      <c r="G364" s="39" t="n"/>
      <c r="H364" s="39" t="n"/>
      <c r="I364" s="39" t="n"/>
      <c r="J364" s="39" t="n"/>
      <c r="K364" s="39" t="n"/>
      <c r="L364" s="39" t="n"/>
      <c r="M364" s="39" t="n"/>
      <c r="N364" s="39" t="n"/>
      <c r="O364" s="39" t="n"/>
      <c r="P364" s="39" t="n"/>
      <c r="Q364" s="39" t="n"/>
      <c r="R364" s="39" t="n"/>
      <c r="S364" s="39" t="n"/>
      <c r="T364" s="39" t="n"/>
      <c r="U364" s="39" t="n"/>
      <c r="V364" s="39" t="n"/>
      <c r="W364" s="34" t="n"/>
      <c r="X364" s="39" t="n"/>
      <c r="Y364" s="40" t="n"/>
      <c r="Z364" s="38" t="n"/>
      <c r="AA364" s="38" t="n"/>
      <c r="AB364" s="41">
        <f>IF(A364="","",IF(COUNTIF($A$6:$A$504,A364)&gt;1,"⚠ Duplicate",""))</f>
        <v/>
      </c>
      <c r="AC364" s="42" t="n"/>
      <c r="AD364" s="42" t="n"/>
      <c r="AE364" s="42" t="n"/>
      <c r="AF364" s="42" t="n"/>
      <c r="AG364" s="42" t="n"/>
      <c r="AH364" s="42" t="n"/>
      <c r="AI364" s="42" t="n"/>
      <c r="AJ364" s="42" t="n"/>
      <c r="AK364" s="42" t="n"/>
      <c r="AL364" s="42" t="n"/>
      <c r="AM364" s="42" t="n"/>
      <c r="AN364" s="42" t="n"/>
      <c r="AO364" s="42" t="n"/>
      <c r="AP364" s="42" t="n"/>
    </row>
    <row r="365" ht="18" customHeight="1" s="74">
      <c r="A365" s="32" t="n"/>
      <c r="B365" s="32" t="n"/>
      <c r="C365" s="32" t="n"/>
      <c r="D365" s="32" t="n"/>
      <c r="E365" s="33" t="n"/>
      <c r="F365" s="33" t="n"/>
      <c r="G365" s="33" t="n"/>
      <c r="H365" s="33" t="n"/>
      <c r="I365" s="33" t="n"/>
      <c r="J365" s="33" t="n"/>
      <c r="K365" s="33" t="n"/>
      <c r="L365" s="33" t="n"/>
      <c r="M365" s="33" t="n"/>
      <c r="N365" s="33" t="n"/>
      <c r="O365" s="33" t="n"/>
      <c r="P365" s="33" t="n"/>
      <c r="Q365" s="33" t="n"/>
      <c r="R365" s="33" t="n"/>
      <c r="S365" s="33" t="n"/>
      <c r="T365" s="33" t="n"/>
      <c r="U365" s="33" t="n"/>
      <c r="V365" s="33" t="n"/>
      <c r="W365" s="34" t="n"/>
      <c r="X365" s="33" t="n"/>
      <c r="Y365" s="35" t="n"/>
      <c r="Z365" s="32" t="n"/>
      <c r="AA365" s="32" t="n"/>
      <c r="AB365" s="36">
        <f>IF(A365="","",IF(COUNTIF($A$6:$A$504,A365)&gt;1,"⚠ Duplicate",""))</f>
        <v/>
      </c>
      <c r="AC365" s="43" t="n"/>
      <c r="AD365" s="43" t="n"/>
      <c r="AE365" s="43" t="n"/>
      <c r="AF365" s="43" t="n"/>
      <c r="AG365" s="43" t="n"/>
      <c r="AH365" s="43" t="n"/>
      <c r="AI365" s="43" t="n"/>
      <c r="AJ365" s="43" t="n"/>
      <c r="AK365" s="43" t="n"/>
      <c r="AL365" s="43" t="n"/>
      <c r="AM365" s="43" t="n"/>
      <c r="AN365" s="43" t="n"/>
      <c r="AO365" s="43" t="n"/>
      <c r="AP365" s="43" t="n"/>
    </row>
    <row r="366" ht="18" customHeight="1" s="74">
      <c r="A366" s="38" t="n"/>
      <c r="B366" s="38" t="n"/>
      <c r="C366" s="38" t="n"/>
      <c r="D366" s="38" t="n"/>
      <c r="E366" s="39" t="n"/>
      <c r="F366" s="39" t="n"/>
      <c r="G366" s="39" t="n"/>
      <c r="H366" s="39" t="n"/>
      <c r="I366" s="39" t="n"/>
      <c r="J366" s="39" t="n"/>
      <c r="K366" s="39" t="n"/>
      <c r="L366" s="39" t="n"/>
      <c r="M366" s="39" t="n"/>
      <c r="N366" s="39" t="n"/>
      <c r="O366" s="39" t="n"/>
      <c r="P366" s="39" t="n"/>
      <c r="Q366" s="39" t="n"/>
      <c r="R366" s="39" t="n"/>
      <c r="S366" s="39" t="n"/>
      <c r="T366" s="39" t="n"/>
      <c r="U366" s="39" t="n"/>
      <c r="V366" s="39" t="n"/>
      <c r="W366" s="34" t="n"/>
      <c r="X366" s="39" t="n"/>
      <c r="Y366" s="40" t="n"/>
      <c r="Z366" s="38" t="n"/>
      <c r="AA366" s="38" t="n"/>
      <c r="AB366" s="41">
        <f>IF(A366="","",IF(COUNTIF($A$6:$A$504,A366)&gt;1,"⚠ Duplicate",""))</f>
        <v/>
      </c>
      <c r="AC366" s="42" t="n"/>
      <c r="AD366" s="42" t="n"/>
      <c r="AE366" s="42" t="n"/>
      <c r="AF366" s="42" t="n"/>
      <c r="AG366" s="42" t="n"/>
      <c r="AH366" s="42" t="n"/>
      <c r="AI366" s="42" t="n"/>
      <c r="AJ366" s="42" t="n"/>
      <c r="AK366" s="42" t="n"/>
      <c r="AL366" s="42" t="n"/>
      <c r="AM366" s="42" t="n"/>
      <c r="AN366" s="42" t="n"/>
      <c r="AO366" s="42" t="n"/>
      <c r="AP366" s="42" t="n"/>
    </row>
    <row r="367" ht="18" customHeight="1" s="74">
      <c r="A367" s="32" t="n"/>
      <c r="B367" s="32" t="n"/>
      <c r="C367" s="32" t="n"/>
      <c r="D367" s="32" t="n"/>
      <c r="E367" s="33" t="n"/>
      <c r="F367" s="33" t="n"/>
      <c r="G367" s="33" t="n"/>
      <c r="H367" s="33" t="n"/>
      <c r="I367" s="33" t="n"/>
      <c r="J367" s="33" t="n"/>
      <c r="K367" s="33" t="n"/>
      <c r="L367" s="33" t="n"/>
      <c r="M367" s="33" t="n"/>
      <c r="N367" s="33" t="n"/>
      <c r="O367" s="33" t="n"/>
      <c r="P367" s="33" t="n"/>
      <c r="Q367" s="33" t="n"/>
      <c r="R367" s="33" t="n"/>
      <c r="S367" s="33" t="n"/>
      <c r="T367" s="33" t="n"/>
      <c r="U367" s="33" t="n"/>
      <c r="V367" s="33" t="n"/>
      <c r="W367" s="34" t="n"/>
      <c r="X367" s="33" t="n"/>
      <c r="Y367" s="35" t="n"/>
      <c r="Z367" s="32" t="n"/>
      <c r="AA367" s="32" t="n"/>
      <c r="AB367" s="36">
        <f>IF(A367="","",IF(COUNTIF($A$6:$A$504,A367)&gt;1,"⚠ Duplicate",""))</f>
        <v/>
      </c>
      <c r="AC367" s="43" t="n"/>
      <c r="AD367" s="43" t="n"/>
      <c r="AE367" s="43" t="n"/>
      <c r="AF367" s="43" t="n"/>
      <c r="AG367" s="43" t="n"/>
      <c r="AH367" s="43" t="n"/>
      <c r="AI367" s="43" t="n"/>
      <c r="AJ367" s="43" t="n"/>
      <c r="AK367" s="43" t="n"/>
      <c r="AL367" s="43" t="n"/>
      <c r="AM367" s="43" t="n"/>
      <c r="AN367" s="43" t="n"/>
      <c r="AO367" s="43" t="n"/>
      <c r="AP367" s="43" t="n"/>
    </row>
    <row r="368" ht="18" customHeight="1" s="74">
      <c r="A368" s="38" t="n"/>
      <c r="B368" s="38" t="n"/>
      <c r="C368" s="38" t="n"/>
      <c r="D368" s="38" t="n"/>
      <c r="E368" s="39" t="n"/>
      <c r="F368" s="39" t="n"/>
      <c r="G368" s="39" t="n"/>
      <c r="H368" s="39" t="n"/>
      <c r="I368" s="39" t="n"/>
      <c r="J368" s="39" t="n"/>
      <c r="K368" s="39" t="n"/>
      <c r="L368" s="39" t="n"/>
      <c r="M368" s="39" t="n"/>
      <c r="N368" s="39" t="n"/>
      <c r="O368" s="39" t="n"/>
      <c r="P368" s="39" t="n"/>
      <c r="Q368" s="39" t="n"/>
      <c r="R368" s="39" t="n"/>
      <c r="S368" s="39" t="n"/>
      <c r="T368" s="39" t="n"/>
      <c r="U368" s="39" t="n"/>
      <c r="V368" s="39" t="n"/>
      <c r="W368" s="34" t="n"/>
      <c r="X368" s="39" t="n"/>
      <c r="Y368" s="40" t="n"/>
      <c r="Z368" s="38" t="n"/>
      <c r="AA368" s="38" t="n"/>
      <c r="AB368" s="41">
        <f>IF(A368="","",IF(COUNTIF($A$6:$A$504,A368)&gt;1,"⚠ Duplicate",""))</f>
        <v/>
      </c>
      <c r="AC368" s="42" t="n"/>
      <c r="AD368" s="42" t="n"/>
      <c r="AE368" s="42" t="n"/>
      <c r="AF368" s="42" t="n"/>
      <c r="AG368" s="42" t="n"/>
      <c r="AH368" s="42" t="n"/>
      <c r="AI368" s="42" t="n"/>
      <c r="AJ368" s="42" t="n"/>
      <c r="AK368" s="42" t="n"/>
      <c r="AL368" s="42" t="n"/>
      <c r="AM368" s="42" t="n"/>
      <c r="AN368" s="42" t="n"/>
      <c r="AO368" s="42" t="n"/>
      <c r="AP368" s="42" t="n"/>
    </row>
    <row r="369" ht="18" customHeight="1" s="74">
      <c r="A369" s="32" t="n"/>
      <c r="B369" s="32" t="n"/>
      <c r="C369" s="32" t="n"/>
      <c r="D369" s="32" t="n"/>
      <c r="E369" s="33" t="n"/>
      <c r="F369" s="33" t="n"/>
      <c r="G369" s="33" t="n"/>
      <c r="H369" s="33" t="n"/>
      <c r="I369" s="33" t="n"/>
      <c r="J369" s="33" t="n"/>
      <c r="K369" s="33" t="n"/>
      <c r="L369" s="33" t="n"/>
      <c r="M369" s="33" t="n"/>
      <c r="N369" s="33" t="n"/>
      <c r="O369" s="33" t="n"/>
      <c r="P369" s="33" t="n"/>
      <c r="Q369" s="33" t="n"/>
      <c r="R369" s="33" t="n"/>
      <c r="S369" s="33" t="n"/>
      <c r="T369" s="33" t="n"/>
      <c r="U369" s="33" t="n"/>
      <c r="V369" s="33" t="n"/>
      <c r="W369" s="34" t="n"/>
      <c r="X369" s="33" t="n"/>
      <c r="Y369" s="35" t="n"/>
      <c r="Z369" s="32" t="n"/>
      <c r="AA369" s="32" t="n"/>
      <c r="AB369" s="36">
        <f>IF(A369="","",IF(COUNTIF($A$6:$A$504,A369)&gt;1,"⚠ Duplicate",""))</f>
        <v/>
      </c>
      <c r="AC369" s="43" t="n"/>
      <c r="AD369" s="43" t="n"/>
      <c r="AE369" s="43" t="n"/>
      <c r="AF369" s="43" t="n"/>
      <c r="AG369" s="43" t="n"/>
      <c r="AH369" s="43" t="n"/>
      <c r="AI369" s="43" t="n"/>
      <c r="AJ369" s="43" t="n"/>
      <c r="AK369" s="43" t="n"/>
      <c r="AL369" s="43" t="n"/>
      <c r="AM369" s="43" t="n"/>
      <c r="AN369" s="43" t="n"/>
      <c r="AO369" s="43" t="n"/>
      <c r="AP369" s="43" t="n"/>
    </row>
    <row r="370" ht="18" customHeight="1" s="74">
      <c r="A370" s="38" t="n"/>
      <c r="B370" s="38" t="n"/>
      <c r="C370" s="38" t="n"/>
      <c r="D370" s="38" t="n"/>
      <c r="E370" s="39" t="n"/>
      <c r="F370" s="39" t="n"/>
      <c r="G370" s="39" t="n"/>
      <c r="H370" s="39" t="n"/>
      <c r="I370" s="39" t="n"/>
      <c r="J370" s="39" t="n"/>
      <c r="K370" s="39" t="n"/>
      <c r="L370" s="39" t="n"/>
      <c r="M370" s="39" t="n"/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4" t="n"/>
      <c r="X370" s="39" t="n"/>
      <c r="Y370" s="40" t="n"/>
      <c r="Z370" s="38" t="n"/>
      <c r="AA370" s="38" t="n"/>
      <c r="AB370" s="41">
        <f>IF(A370="","",IF(COUNTIF($A$6:$A$504,A370)&gt;1,"⚠ Duplicate",""))</f>
        <v/>
      </c>
      <c r="AC370" s="42" t="n"/>
      <c r="AD370" s="42" t="n"/>
      <c r="AE370" s="42" t="n"/>
      <c r="AF370" s="42" t="n"/>
      <c r="AG370" s="42" t="n"/>
      <c r="AH370" s="42" t="n"/>
      <c r="AI370" s="42" t="n"/>
      <c r="AJ370" s="42" t="n"/>
      <c r="AK370" s="42" t="n"/>
      <c r="AL370" s="42" t="n"/>
      <c r="AM370" s="42" t="n"/>
      <c r="AN370" s="42" t="n"/>
      <c r="AO370" s="42" t="n"/>
      <c r="AP370" s="42" t="n"/>
    </row>
    <row r="371" ht="18" customHeight="1" s="74">
      <c r="A371" s="32" t="n"/>
      <c r="B371" s="32" t="n"/>
      <c r="C371" s="32" t="n"/>
      <c r="D371" s="32" t="n"/>
      <c r="E371" s="33" t="n"/>
      <c r="F371" s="33" t="n"/>
      <c r="G371" s="33" t="n"/>
      <c r="H371" s="33" t="n"/>
      <c r="I371" s="33" t="n"/>
      <c r="J371" s="33" t="n"/>
      <c r="K371" s="33" t="n"/>
      <c r="L371" s="33" t="n"/>
      <c r="M371" s="33" t="n"/>
      <c r="N371" s="33" t="n"/>
      <c r="O371" s="33" t="n"/>
      <c r="P371" s="33" t="n"/>
      <c r="Q371" s="33" t="n"/>
      <c r="R371" s="33" t="n"/>
      <c r="S371" s="33" t="n"/>
      <c r="T371" s="33" t="n"/>
      <c r="U371" s="33" t="n"/>
      <c r="V371" s="33" t="n"/>
      <c r="W371" s="34" t="n"/>
      <c r="X371" s="33" t="n"/>
      <c r="Y371" s="35" t="n"/>
      <c r="Z371" s="32" t="n"/>
      <c r="AA371" s="32" t="n"/>
      <c r="AB371" s="36">
        <f>IF(A371="","",IF(COUNTIF($A$6:$A$504,A371)&gt;1,"⚠ Duplicate",""))</f>
        <v/>
      </c>
      <c r="AC371" s="43" t="n"/>
      <c r="AD371" s="43" t="n"/>
      <c r="AE371" s="43" t="n"/>
      <c r="AF371" s="43" t="n"/>
      <c r="AG371" s="43" t="n"/>
      <c r="AH371" s="43" t="n"/>
      <c r="AI371" s="43" t="n"/>
      <c r="AJ371" s="43" t="n"/>
      <c r="AK371" s="43" t="n"/>
      <c r="AL371" s="43" t="n"/>
      <c r="AM371" s="43" t="n"/>
      <c r="AN371" s="43" t="n"/>
      <c r="AO371" s="43" t="n"/>
      <c r="AP371" s="43" t="n"/>
    </row>
    <row r="372" ht="18" customHeight="1" s="74">
      <c r="A372" s="38" t="n"/>
      <c r="B372" s="38" t="n"/>
      <c r="C372" s="38" t="n"/>
      <c r="D372" s="38" t="n"/>
      <c r="E372" s="39" t="n"/>
      <c r="F372" s="39" t="n"/>
      <c r="G372" s="39" t="n"/>
      <c r="H372" s="39" t="n"/>
      <c r="I372" s="39" t="n"/>
      <c r="J372" s="39" t="n"/>
      <c r="K372" s="39" t="n"/>
      <c r="L372" s="39" t="n"/>
      <c r="M372" s="39" t="n"/>
      <c r="N372" s="39" t="n"/>
      <c r="O372" s="39" t="n"/>
      <c r="P372" s="39" t="n"/>
      <c r="Q372" s="39" t="n"/>
      <c r="R372" s="39" t="n"/>
      <c r="S372" s="39" t="n"/>
      <c r="T372" s="39" t="n"/>
      <c r="U372" s="39" t="n"/>
      <c r="V372" s="39" t="n"/>
      <c r="W372" s="34" t="n"/>
      <c r="X372" s="39" t="n"/>
      <c r="Y372" s="40" t="n"/>
      <c r="Z372" s="38" t="n"/>
      <c r="AA372" s="38" t="n"/>
      <c r="AB372" s="41">
        <f>IF(A372="","",IF(COUNTIF($A$6:$A$504,A372)&gt;1,"⚠ Duplicate",""))</f>
        <v/>
      </c>
      <c r="AC372" s="42" t="n"/>
      <c r="AD372" s="42" t="n"/>
      <c r="AE372" s="42" t="n"/>
      <c r="AF372" s="42" t="n"/>
      <c r="AG372" s="42" t="n"/>
      <c r="AH372" s="42" t="n"/>
      <c r="AI372" s="42" t="n"/>
      <c r="AJ372" s="42" t="n"/>
      <c r="AK372" s="42" t="n"/>
      <c r="AL372" s="42" t="n"/>
      <c r="AM372" s="42" t="n"/>
      <c r="AN372" s="42" t="n"/>
      <c r="AO372" s="42" t="n"/>
      <c r="AP372" s="42" t="n"/>
    </row>
    <row r="373" ht="18" customHeight="1" s="74">
      <c r="A373" s="32" t="n"/>
      <c r="B373" s="32" t="n"/>
      <c r="C373" s="32" t="n"/>
      <c r="D373" s="32" t="n"/>
      <c r="E373" s="33" t="n"/>
      <c r="F373" s="33" t="n"/>
      <c r="G373" s="33" t="n"/>
      <c r="H373" s="33" t="n"/>
      <c r="I373" s="33" t="n"/>
      <c r="J373" s="33" t="n"/>
      <c r="K373" s="33" t="n"/>
      <c r="L373" s="33" t="n"/>
      <c r="M373" s="33" t="n"/>
      <c r="N373" s="33" t="n"/>
      <c r="O373" s="33" t="n"/>
      <c r="P373" s="33" t="n"/>
      <c r="Q373" s="33" t="n"/>
      <c r="R373" s="33" t="n"/>
      <c r="S373" s="33" t="n"/>
      <c r="T373" s="33" t="n"/>
      <c r="U373" s="33" t="n"/>
      <c r="V373" s="33" t="n"/>
      <c r="W373" s="34" t="n"/>
      <c r="X373" s="33" t="n"/>
      <c r="Y373" s="35" t="n"/>
      <c r="Z373" s="32" t="n"/>
      <c r="AA373" s="32" t="n"/>
      <c r="AB373" s="36">
        <f>IF(A373="","",IF(COUNTIF($A$6:$A$504,A373)&gt;1,"⚠ Duplicate",""))</f>
        <v/>
      </c>
      <c r="AC373" s="43" t="n"/>
      <c r="AD373" s="43" t="n"/>
      <c r="AE373" s="43" t="n"/>
      <c r="AF373" s="43" t="n"/>
      <c r="AG373" s="43" t="n"/>
      <c r="AH373" s="43" t="n"/>
      <c r="AI373" s="43" t="n"/>
      <c r="AJ373" s="43" t="n"/>
      <c r="AK373" s="43" t="n"/>
      <c r="AL373" s="43" t="n"/>
      <c r="AM373" s="43" t="n"/>
      <c r="AN373" s="43" t="n"/>
      <c r="AO373" s="43" t="n"/>
      <c r="AP373" s="43" t="n"/>
    </row>
    <row r="374" ht="18" customHeight="1" s="74">
      <c r="A374" s="38" t="n"/>
      <c r="B374" s="38" t="n"/>
      <c r="C374" s="38" t="n"/>
      <c r="D374" s="38" t="n"/>
      <c r="E374" s="39" t="n"/>
      <c r="F374" s="39" t="n"/>
      <c r="G374" s="39" t="n"/>
      <c r="H374" s="39" t="n"/>
      <c r="I374" s="39" t="n"/>
      <c r="J374" s="39" t="n"/>
      <c r="K374" s="39" t="n"/>
      <c r="L374" s="39" t="n"/>
      <c r="M374" s="39" t="n"/>
      <c r="N374" s="39" t="n"/>
      <c r="O374" s="39" t="n"/>
      <c r="P374" s="39" t="n"/>
      <c r="Q374" s="39" t="n"/>
      <c r="R374" s="39" t="n"/>
      <c r="S374" s="39" t="n"/>
      <c r="T374" s="39" t="n"/>
      <c r="U374" s="39" t="n"/>
      <c r="V374" s="39" t="n"/>
      <c r="W374" s="34" t="n"/>
      <c r="X374" s="39" t="n"/>
      <c r="Y374" s="40" t="n"/>
      <c r="Z374" s="38" t="n"/>
      <c r="AA374" s="38" t="n"/>
      <c r="AB374" s="41">
        <f>IF(A374="","",IF(COUNTIF($A$6:$A$504,A374)&gt;1,"⚠ Duplicate",""))</f>
        <v/>
      </c>
      <c r="AC374" s="42" t="n"/>
      <c r="AD374" s="42" t="n"/>
      <c r="AE374" s="42" t="n"/>
      <c r="AF374" s="42" t="n"/>
      <c r="AG374" s="42" t="n"/>
      <c r="AH374" s="42" t="n"/>
      <c r="AI374" s="42" t="n"/>
      <c r="AJ374" s="42" t="n"/>
      <c r="AK374" s="42" t="n"/>
      <c r="AL374" s="42" t="n"/>
      <c r="AM374" s="42" t="n"/>
      <c r="AN374" s="42" t="n"/>
      <c r="AO374" s="42" t="n"/>
      <c r="AP374" s="42" t="n"/>
    </row>
    <row r="375" ht="18" customHeight="1" s="74">
      <c r="A375" s="32" t="n"/>
      <c r="B375" s="32" t="n"/>
      <c r="C375" s="32" t="n"/>
      <c r="D375" s="32" t="n"/>
      <c r="E375" s="33" t="n"/>
      <c r="F375" s="33" t="n"/>
      <c r="G375" s="33" t="n"/>
      <c r="H375" s="33" t="n"/>
      <c r="I375" s="33" t="n"/>
      <c r="J375" s="33" t="n"/>
      <c r="K375" s="33" t="n"/>
      <c r="L375" s="33" t="n"/>
      <c r="M375" s="33" t="n"/>
      <c r="N375" s="33" t="n"/>
      <c r="O375" s="33" t="n"/>
      <c r="P375" s="33" t="n"/>
      <c r="Q375" s="33" t="n"/>
      <c r="R375" s="33" t="n"/>
      <c r="S375" s="33" t="n"/>
      <c r="T375" s="33" t="n"/>
      <c r="U375" s="33" t="n"/>
      <c r="V375" s="33" t="n"/>
      <c r="W375" s="34" t="n"/>
      <c r="X375" s="33" t="n"/>
      <c r="Y375" s="35" t="n"/>
      <c r="Z375" s="32" t="n"/>
      <c r="AA375" s="32" t="n"/>
      <c r="AB375" s="36">
        <f>IF(A375="","",IF(COUNTIF($A$6:$A$504,A375)&gt;1,"⚠ Duplicate",""))</f>
        <v/>
      </c>
      <c r="AC375" s="43" t="n"/>
      <c r="AD375" s="43" t="n"/>
      <c r="AE375" s="43" t="n"/>
      <c r="AF375" s="43" t="n"/>
      <c r="AG375" s="43" t="n"/>
      <c r="AH375" s="43" t="n"/>
      <c r="AI375" s="43" t="n"/>
      <c r="AJ375" s="43" t="n"/>
      <c r="AK375" s="43" t="n"/>
      <c r="AL375" s="43" t="n"/>
      <c r="AM375" s="43" t="n"/>
      <c r="AN375" s="43" t="n"/>
      <c r="AO375" s="43" t="n"/>
      <c r="AP375" s="43" t="n"/>
    </row>
    <row r="376" ht="18" customHeight="1" s="74">
      <c r="A376" s="38" t="n"/>
      <c r="B376" s="38" t="n"/>
      <c r="C376" s="38" t="n"/>
      <c r="D376" s="38" t="n"/>
      <c r="E376" s="39" t="n"/>
      <c r="F376" s="39" t="n"/>
      <c r="G376" s="39" t="n"/>
      <c r="H376" s="39" t="n"/>
      <c r="I376" s="39" t="n"/>
      <c r="J376" s="39" t="n"/>
      <c r="K376" s="39" t="n"/>
      <c r="L376" s="39" t="n"/>
      <c r="M376" s="39" t="n"/>
      <c r="N376" s="39" t="n"/>
      <c r="O376" s="39" t="n"/>
      <c r="P376" s="39" t="n"/>
      <c r="Q376" s="39" t="n"/>
      <c r="R376" s="39" t="n"/>
      <c r="S376" s="39" t="n"/>
      <c r="T376" s="39" t="n"/>
      <c r="U376" s="39" t="n"/>
      <c r="V376" s="39" t="n"/>
      <c r="W376" s="34" t="n"/>
      <c r="X376" s="39" t="n"/>
      <c r="Y376" s="40" t="n"/>
      <c r="Z376" s="38" t="n"/>
      <c r="AA376" s="38" t="n"/>
      <c r="AB376" s="41">
        <f>IF(A376="","",IF(COUNTIF($A$6:$A$504,A376)&gt;1,"⚠ Duplicate",""))</f>
        <v/>
      </c>
      <c r="AC376" s="42" t="n"/>
      <c r="AD376" s="42" t="n"/>
      <c r="AE376" s="42" t="n"/>
      <c r="AF376" s="42" t="n"/>
      <c r="AG376" s="42" t="n"/>
      <c r="AH376" s="42" t="n"/>
      <c r="AI376" s="42" t="n"/>
      <c r="AJ376" s="42" t="n"/>
      <c r="AK376" s="42" t="n"/>
      <c r="AL376" s="42" t="n"/>
      <c r="AM376" s="42" t="n"/>
      <c r="AN376" s="42" t="n"/>
      <c r="AO376" s="42" t="n"/>
      <c r="AP376" s="42" t="n"/>
    </row>
    <row r="377" ht="18" customHeight="1" s="74">
      <c r="A377" s="32" t="n"/>
      <c r="B377" s="32" t="n"/>
      <c r="C377" s="32" t="n"/>
      <c r="D377" s="32" t="n"/>
      <c r="E377" s="33" t="n"/>
      <c r="F377" s="33" t="n"/>
      <c r="G377" s="33" t="n"/>
      <c r="H377" s="33" t="n"/>
      <c r="I377" s="33" t="n"/>
      <c r="J377" s="33" t="n"/>
      <c r="K377" s="33" t="n"/>
      <c r="L377" s="33" t="n"/>
      <c r="M377" s="33" t="n"/>
      <c r="N377" s="33" t="n"/>
      <c r="O377" s="33" t="n"/>
      <c r="P377" s="33" t="n"/>
      <c r="Q377" s="33" t="n"/>
      <c r="R377" s="33" t="n"/>
      <c r="S377" s="33" t="n"/>
      <c r="T377" s="33" t="n"/>
      <c r="U377" s="33" t="n"/>
      <c r="V377" s="33" t="n"/>
      <c r="W377" s="34" t="n"/>
      <c r="X377" s="33" t="n"/>
      <c r="Y377" s="35" t="n"/>
      <c r="Z377" s="32" t="n"/>
      <c r="AA377" s="32" t="n"/>
      <c r="AB377" s="36">
        <f>IF(A377="","",IF(COUNTIF($A$6:$A$504,A377)&gt;1,"⚠ Duplicate",""))</f>
        <v/>
      </c>
      <c r="AC377" s="43" t="n"/>
      <c r="AD377" s="43" t="n"/>
      <c r="AE377" s="43" t="n"/>
      <c r="AF377" s="43" t="n"/>
      <c r="AG377" s="43" t="n"/>
      <c r="AH377" s="43" t="n"/>
      <c r="AI377" s="43" t="n"/>
      <c r="AJ377" s="43" t="n"/>
      <c r="AK377" s="43" t="n"/>
      <c r="AL377" s="43" t="n"/>
      <c r="AM377" s="43" t="n"/>
      <c r="AN377" s="43" t="n"/>
      <c r="AO377" s="43" t="n"/>
      <c r="AP377" s="43" t="n"/>
    </row>
    <row r="378" ht="18" customHeight="1" s="74">
      <c r="A378" s="38" t="n"/>
      <c r="B378" s="38" t="n"/>
      <c r="C378" s="38" t="n"/>
      <c r="D378" s="38" t="n"/>
      <c r="E378" s="39" t="n"/>
      <c r="F378" s="39" t="n"/>
      <c r="G378" s="39" t="n"/>
      <c r="H378" s="39" t="n"/>
      <c r="I378" s="39" t="n"/>
      <c r="J378" s="39" t="n"/>
      <c r="K378" s="39" t="n"/>
      <c r="L378" s="39" t="n"/>
      <c r="M378" s="39" t="n"/>
      <c r="N378" s="39" t="n"/>
      <c r="O378" s="39" t="n"/>
      <c r="P378" s="39" t="n"/>
      <c r="Q378" s="39" t="n"/>
      <c r="R378" s="39" t="n"/>
      <c r="S378" s="39" t="n"/>
      <c r="T378" s="39" t="n"/>
      <c r="U378" s="39" t="n"/>
      <c r="V378" s="39" t="n"/>
      <c r="W378" s="34" t="n"/>
      <c r="X378" s="39" t="n"/>
      <c r="Y378" s="40" t="n"/>
      <c r="Z378" s="38" t="n"/>
      <c r="AA378" s="38" t="n"/>
      <c r="AB378" s="41">
        <f>IF(A378="","",IF(COUNTIF($A$6:$A$504,A378)&gt;1,"⚠ Duplicate",""))</f>
        <v/>
      </c>
      <c r="AC378" s="42" t="n"/>
      <c r="AD378" s="42" t="n"/>
      <c r="AE378" s="42" t="n"/>
      <c r="AF378" s="42" t="n"/>
      <c r="AG378" s="42" t="n"/>
      <c r="AH378" s="42" t="n"/>
      <c r="AI378" s="42" t="n"/>
      <c r="AJ378" s="42" t="n"/>
      <c r="AK378" s="42" t="n"/>
      <c r="AL378" s="42" t="n"/>
      <c r="AM378" s="42" t="n"/>
      <c r="AN378" s="42" t="n"/>
      <c r="AO378" s="42" t="n"/>
      <c r="AP378" s="42" t="n"/>
    </row>
    <row r="379" ht="18" customHeight="1" s="74">
      <c r="A379" s="32" t="n"/>
      <c r="B379" s="32" t="n"/>
      <c r="C379" s="32" t="n"/>
      <c r="D379" s="32" t="n"/>
      <c r="E379" s="33" t="n"/>
      <c r="F379" s="33" t="n"/>
      <c r="G379" s="33" t="n"/>
      <c r="H379" s="33" t="n"/>
      <c r="I379" s="33" t="n"/>
      <c r="J379" s="33" t="n"/>
      <c r="K379" s="33" t="n"/>
      <c r="L379" s="33" t="n"/>
      <c r="M379" s="33" t="n"/>
      <c r="N379" s="33" t="n"/>
      <c r="O379" s="33" t="n"/>
      <c r="P379" s="33" t="n"/>
      <c r="Q379" s="33" t="n"/>
      <c r="R379" s="33" t="n"/>
      <c r="S379" s="33" t="n"/>
      <c r="T379" s="33" t="n"/>
      <c r="U379" s="33" t="n"/>
      <c r="V379" s="33" t="n"/>
      <c r="W379" s="34" t="n"/>
      <c r="X379" s="33" t="n"/>
      <c r="Y379" s="35" t="n"/>
      <c r="Z379" s="32" t="n"/>
      <c r="AA379" s="32" t="n"/>
      <c r="AB379" s="36">
        <f>IF(A379="","",IF(COUNTIF($A$6:$A$504,A379)&gt;1,"⚠ Duplicate",""))</f>
        <v/>
      </c>
      <c r="AC379" s="43" t="n"/>
      <c r="AD379" s="43" t="n"/>
      <c r="AE379" s="43" t="n"/>
      <c r="AF379" s="43" t="n"/>
      <c r="AG379" s="43" t="n"/>
      <c r="AH379" s="43" t="n"/>
      <c r="AI379" s="43" t="n"/>
      <c r="AJ379" s="43" t="n"/>
      <c r="AK379" s="43" t="n"/>
      <c r="AL379" s="43" t="n"/>
      <c r="AM379" s="43" t="n"/>
      <c r="AN379" s="43" t="n"/>
      <c r="AO379" s="43" t="n"/>
      <c r="AP379" s="43" t="n"/>
    </row>
    <row r="380" ht="18" customHeight="1" s="74">
      <c r="A380" s="38" t="n"/>
      <c r="B380" s="38" t="n"/>
      <c r="C380" s="38" t="n"/>
      <c r="D380" s="38" t="n"/>
      <c r="E380" s="39" t="n"/>
      <c r="F380" s="39" t="n"/>
      <c r="G380" s="39" t="n"/>
      <c r="H380" s="39" t="n"/>
      <c r="I380" s="39" t="n"/>
      <c r="J380" s="39" t="n"/>
      <c r="K380" s="39" t="n"/>
      <c r="L380" s="39" t="n"/>
      <c r="M380" s="39" t="n"/>
      <c r="N380" s="39" t="n"/>
      <c r="O380" s="39" t="n"/>
      <c r="P380" s="39" t="n"/>
      <c r="Q380" s="39" t="n"/>
      <c r="R380" s="39" t="n"/>
      <c r="S380" s="39" t="n"/>
      <c r="T380" s="39" t="n"/>
      <c r="U380" s="39" t="n"/>
      <c r="V380" s="39" t="n"/>
      <c r="W380" s="34" t="n"/>
      <c r="X380" s="39" t="n"/>
      <c r="Y380" s="40" t="n"/>
      <c r="Z380" s="38" t="n"/>
      <c r="AA380" s="38" t="n"/>
      <c r="AB380" s="41">
        <f>IF(A380="","",IF(COUNTIF($A$6:$A$504,A380)&gt;1,"⚠ Duplicate",""))</f>
        <v/>
      </c>
      <c r="AC380" s="42" t="n"/>
      <c r="AD380" s="42" t="n"/>
      <c r="AE380" s="42" t="n"/>
      <c r="AF380" s="42" t="n"/>
      <c r="AG380" s="42" t="n"/>
      <c r="AH380" s="42" t="n"/>
      <c r="AI380" s="42" t="n"/>
      <c r="AJ380" s="42" t="n"/>
      <c r="AK380" s="42" t="n"/>
      <c r="AL380" s="42" t="n"/>
      <c r="AM380" s="42" t="n"/>
      <c r="AN380" s="42" t="n"/>
      <c r="AO380" s="42" t="n"/>
      <c r="AP380" s="42" t="n"/>
    </row>
    <row r="381" ht="18" customHeight="1" s="74">
      <c r="A381" s="32" t="n"/>
      <c r="B381" s="32" t="n"/>
      <c r="C381" s="32" t="n"/>
      <c r="D381" s="32" t="n"/>
      <c r="E381" s="33" t="n"/>
      <c r="F381" s="33" t="n"/>
      <c r="G381" s="33" t="n"/>
      <c r="H381" s="33" t="n"/>
      <c r="I381" s="33" t="n"/>
      <c r="J381" s="33" t="n"/>
      <c r="K381" s="33" t="n"/>
      <c r="L381" s="33" t="n"/>
      <c r="M381" s="33" t="n"/>
      <c r="N381" s="33" t="n"/>
      <c r="O381" s="33" t="n"/>
      <c r="P381" s="33" t="n"/>
      <c r="Q381" s="33" t="n"/>
      <c r="R381" s="33" t="n"/>
      <c r="S381" s="33" t="n"/>
      <c r="T381" s="33" t="n"/>
      <c r="U381" s="33" t="n"/>
      <c r="V381" s="33" t="n"/>
      <c r="W381" s="34" t="n"/>
      <c r="X381" s="33" t="n"/>
      <c r="Y381" s="35" t="n"/>
      <c r="Z381" s="32" t="n"/>
      <c r="AA381" s="32" t="n"/>
      <c r="AB381" s="36">
        <f>IF(A381="","",IF(COUNTIF($A$6:$A$504,A381)&gt;1,"⚠ Duplicate",""))</f>
        <v/>
      </c>
      <c r="AC381" s="43" t="n"/>
      <c r="AD381" s="43" t="n"/>
      <c r="AE381" s="43" t="n"/>
      <c r="AF381" s="43" t="n"/>
      <c r="AG381" s="43" t="n"/>
      <c r="AH381" s="43" t="n"/>
      <c r="AI381" s="43" t="n"/>
      <c r="AJ381" s="43" t="n"/>
      <c r="AK381" s="43" t="n"/>
      <c r="AL381" s="43" t="n"/>
      <c r="AM381" s="43" t="n"/>
      <c r="AN381" s="43" t="n"/>
      <c r="AO381" s="43" t="n"/>
      <c r="AP381" s="43" t="n"/>
    </row>
    <row r="382" ht="18" customHeight="1" s="74">
      <c r="A382" s="38" t="n"/>
      <c r="B382" s="38" t="n"/>
      <c r="C382" s="38" t="n"/>
      <c r="D382" s="38" t="n"/>
      <c r="E382" s="39" t="n"/>
      <c r="F382" s="39" t="n"/>
      <c r="G382" s="39" t="n"/>
      <c r="H382" s="39" t="n"/>
      <c r="I382" s="39" t="n"/>
      <c r="J382" s="39" t="n"/>
      <c r="K382" s="39" t="n"/>
      <c r="L382" s="39" t="n"/>
      <c r="M382" s="39" t="n"/>
      <c r="N382" s="39" t="n"/>
      <c r="O382" s="39" t="n"/>
      <c r="P382" s="39" t="n"/>
      <c r="Q382" s="39" t="n"/>
      <c r="R382" s="39" t="n"/>
      <c r="S382" s="39" t="n"/>
      <c r="T382" s="39" t="n"/>
      <c r="U382" s="39" t="n"/>
      <c r="V382" s="39" t="n"/>
      <c r="W382" s="34" t="n"/>
      <c r="X382" s="39" t="n"/>
      <c r="Y382" s="40" t="n"/>
      <c r="Z382" s="38" t="n"/>
      <c r="AA382" s="38" t="n"/>
      <c r="AB382" s="41">
        <f>IF(A382="","",IF(COUNTIF($A$6:$A$504,A382)&gt;1,"⚠ Duplicate",""))</f>
        <v/>
      </c>
      <c r="AC382" s="42" t="n"/>
      <c r="AD382" s="42" t="n"/>
      <c r="AE382" s="42" t="n"/>
      <c r="AF382" s="42" t="n"/>
      <c r="AG382" s="42" t="n"/>
      <c r="AH382" s="42" t="n"/>
      <c r="AI382" s="42" t="n"/>
      <c r="AJ382" s="42" t="n"/>
      <c r="AK382" s="42" t="n"/>
      <c r="AL382" s="42" t="n"/>
      <c r="AM382" s="42" t="n"/>
      <c r="AN382" s="42" t="n"/>
      <c r="AO382" s="42" t="n"/>
      <c r="AP382" s="42" t="n"/>
    </row>
    <row r="383" ht="18" customHeight="1" s="74">
      <c r="A383" s="32" t="n"/>
      <c r="B383" s="32" t="n"/>
      <c r="C383" s="32" t="n"/>
      <c r="D383" s="32" t="n"/>
      <c r="E383" s="33" t="n"/>
      <c r="F383" s="33" t="n"/>
      <c r="G383" s="33" t="n"/>
      <c r="H383" s="33" t="n"/>
      <c r="I383" s="33" t="n"/>
      <c r="J383" s="33" t="n"/>
      <c r="K383" s="33" t="n"/>
      <c r="L383" s="33" t="n"/>
      <c r="M383" s="33" t="n"/>
      <c r="N383" s="33" t="n"/>
      <c r="O383" s="33" t="n"/>
      <c r="P383" s="33" t="n"/>
      <c r="Q383" s="33" t="n"/>
      <c r="R383" s="33" t="n"/>
      <c r="S383" s="33" t="n"/>
      <c r="T383" s="33" t="n"/>
      <c r="U383" s="33" t="n"/>
      <c r="V383" s="33" t="n"/>
      <c r="W383" s="34" t="n"/>
      <c r="X383" s="33" t="n"/>
      <c r="Y383" s="35" t="n"/>
      <c r="Z383" s="32" t="n"/>
      <c r="AA383" s="32" t="n"/>
      <c r="AB383" s="36">
        <f>IF(A383="","",IF(COUNTIF($A$6:$A$504,A383)&gt;1,"⚠ Duplicate",""))</f>
        <v/>
      </c>
      <c r="AC383" s="43" t="n"/>
      <c r="AD383" s="43" t="n"/>
      <c r="AE383" s="43" t="n"/>
      <c r="AF383" s="43" t="n"/>
      <c r="AG383" s="43" t="n"/>
      <c r="AH383" s="43" t="n"/>
      <c r="AI383" s="43" t="n"/>
      <c r="AJ383" s="43" t="n"/>
      <c r="AK383" s="43" t="n"/>
      <c r="AL383" s="43" t="n"/>
      <c r="AM383" s="43" t="n"/>
      <c r="AN383" s="43" t="n"/>
      <c r="AO383" s="43" t="n"/>
      <c r="AP383" s="43" t="n"/>
    </row>
    <row r="384" ht="18" customHeight="1" s="74">
      <c r="A384" s="38" t="n"/>
      <c r="B384" s="38" t="n"/>
      <c r="C384" s="38" t="n"/>
      <c r="D384" s="38" t="n"/>
      <c r="E384" s="39" t="n"/>
      <c r="F384" s="39" t="n"/>
      <c r="G384" s="39" t="n"/>
      <c r="H384" s="39" t="n"/>
      <c r="I384" s="39" t="n"/>
      <c r="J384" s="39" t="n"/>
      <c r="K384" s="39" t="n"/>
      <c r="L384" s="39" t="n"/>
      <c r="M384" s="39" t="n"/>
      <c r="N384" s="39" t="n"/>
      <c r="O384" s="39" t="n"/>
      <c r="P384" s="39" t="n"/>
      <c r="Q384" s="39" t="n"/>
      <c r="R384" s="39" t="n"/>
      <c r="S384" s="39" t="n"/>
      <c r="T384" s="39" t="n"/>
      <c r="U384" s="39" t="n"/>
      <c r="V384" s="39" t="n"/>
      <c r="W384" s="34" t="n"/>
      <c r="X384" s="39" t="n"/>
      <c r="Y384" s="40" t="n"/>
      <c r="Z384" s="38" t="n"/>
      <c r="AA384" s="38" t="n"/>
      <c r="AB384" s="41">
        <f>IF(A384="","",IF(COUNTIF($A$6:$A$504,A384)&gt;1,"⚠ Duplicate",""))</f>
        <v/>
      </c>
      <c r="AC384" s="42" t="n"/>
      <c r="AD384" s="42" t="n"/>
      <c r="AE384" s="42" t="n"/>
      <c r="AF384" s="42" t="n"/>
      <c r="AG384" s="42" t="n"/>
      <c r="AH384" s="42" t="n"/>
      <c r="AI384" s="42" t="n"/>
      <c r="AJ384" s="42" t="n"/>
      <c r="AK384" s="42" t="n"/>
      <c r="AL384" s="42" t="n"/>
      <c r="AM384" s="42" t="n"/>
      <c r="AN384" s="42" t="n"/>
      <c r="AO384" s="42" t="n"/>
      <c r="AP384" s="42" t="n"/>
    </row>
    <row r="385" ht="18" customHeight="1" s="74">
      <c r="A385" s="32" t="n"/>
      <c r="B385" s="32" t="n"/>
      <c r="C385" s="32" t="n"/>
      <c r="D385" s="32" t="n"/>
      <c r="E385" s="33" t="n"/>
      <c r="F385" s="33" t="n"/>
      <c r="G385" s="33" t="n"/>
      <c r="H385" s="33" t="n"/>
      <c r="I385" s="33" t="n"/>
      <c r="J385" s="33" t="n"/>
      <c r="K385" s="33" t="n"/>
      <c r="L385" s="33" t="n"/>
      <c r="M385" s="33" t="n"/>
      <c r="N385" s="33" t="n"/>
      <c r="O385" s="33" t="n"/>
      <c r="P385" s="33" t="n"/>
      <c r="Q385" s="33" t="n"/>
      <c r="R385" s="33" t="n"/>
      <c r="S385" s="33" t="n"/>
      <c r="T385" s="33" t="n"/>
      <c r="U385" s="33" t="n"/>
      <c r="V385" s="33" t="n"/>
      <c r="W385" s="34" t="n"/>
      <c r="X385" s="33" t="n"/>
      <c r="Y385" s="35" t="n"/>
      <c r="Z385" s="32" t="n"/>
      <c r="AA385" s="32" t="n"/>
      <c r="AB385" s="36">
        <f>IF(A385="","",IF(COUNTIF($A$6:$A$504,A385)&gt;1,"⚠ Duplicate",""))</f>
        <v/>
      </c>
      <c r="AC385" s="43" t="n"/>
      <c r="AD385" s="43" t="n"/>
      <c r="AE385" s="43" t="n"/>
      <c r="AF385" s="43" t="n"/>
      <c r="AG385" s="43" t="n"/>
      <c r="AH385" s="43" t="n"/>
      <c r="AI385" s="43" t="n"/>
      <c r="AJ385" s="43" t="n"/>
      <c r="AK385" s="43" t="n"/>
      <c r="AL385" s="43" t="n"/>
      <c r="AM385" s="43" t="n"/>
      <c r="AN385" s="43" t="n"/>
      <c r="AO385" s="43" t="n"/>
      <c r="AP385" s="43" t="n"/>
    </row>
    <row r="386" ht="18" customHeight="1" s="74">
      <c r="A386" s="38" t="n"/>
      <c r="B386" s="38" t="n"/>
      <c r="C386" s="38" t="n"/>
      <c r="D386" s="38" t="n"/>
      <c r="E386" s="39" t="n"/>
      <c r="F386" s="39" t="n"/>
      <c r="G386" s="39" t="n"/>
      <c r="H386" s="39" t="n"/>
      <c r="I386" s="39" t="n"/>
      <c r="J386" s="39" t="n"/>
      <c r="K386" s="39" t="n"/>
      <c r="L386" s="39" t="n"/>
      <c r="M386" s="39" t="n"/>
      <c r="N386" s="39" t="n"/>
      <c r="O386" s="39" t="n"/>
      <c r="P386" s="39" t="n"/>
      <c r="Q386" s="39" t="n"/>
      <c r="R386" s="39" t="n"/>
      <c r="S386" s="39" t="n"/>
      <c r="T386" s="39" t="n"/>
      <c r="U386" s="39" t="n"/>
      <c r="V386" s="39" t="n"/>
      <c r="W386" s="34" t="n"/>
      <c r="X386" s="39" t="n"/>
      <c r="Y386" s="40" t="n"/>
      <c r="Z386" s="38" t="n"/>
      <c r="AA386" s="38" t="n"/>
      <c r="AB386" s="41">
        <f>IF(A386="","",IF(COUNTIF($A$6:$A$504,A386)&gt;1,"⚠ Duplicate",""))</f>
        <v/>
      </c>
      <c r="AC386" s="42" t="n"/>
      <c r="AD386" s="42" t="n"/>
      <c r="AE386" s="42" t="n"/>
      <c r="AF386" s="42" t="n"/>
      <c r="AG386" s="42" t="n"/>
      <c r="AH386" s="42" t="n"/>
      <c r="AI386" s="42" t="n"/>
      <c r="AJ386" s="42" t="n"/>
      <c r="AK386" s="42" t="n"/>
      <c r="AL386" s="42" t="n"/>
      <c r="AM386" s="42" t="n"/>
      <c r="AN386" s="42" t="n"/>
      <c r="AO386" s="42" t="n"/>
      <c r="AP386" s="42" t="n"/>
    </row>
    <row r="387" ht="18" customHeight="1" s="74">
      <c r="A387" s="32" t="n"/>
      <c r="B387" s="32" t="n"/>
      <c r="C387" s="32" t="n"/>
      <c r="D387" s="32" t="n"/>
      <c r="E387" s="33" t="n"/>
      <c r="F387" s="33" t="n"/>
      <c r="G387" s="33" t="n"/>
      <c r="H387" s="33" t="n"/>
      <c r="I387" s="33" t="n"/>
      <c r="J387" s="33" t="n"/>
      <c r="K387" s="33" t="n"/>
      <c r="L387" s="33" t="n"/>
      <c r="M387" s="33" t="n"/>
      <c r="N387" s="33" t="n"/>
      <c r="O387" s="33" t="n"/>
      <c r="P387" s="33" t="n"/>
      <c r="Q387" s="33" t="n"/>
      <c r="R387" s="33" t="n"/>
      <c r="S387" s="33" t="n"/>
      <c r="T387" s="33" t="n"/>
      <c r="U387" s="33" t="n"/>
      <c r="V387" s="33" t="n"/>
      <c r="W387" s="34" t="n"/>
      <c r="X387" s="33" t="n"/>
      <c r="Y387" s="35" t="n"/>
      <c r="Z387" s="32" t="n"/>
      <c r="AA387" s="32" t="n"/>
      <c r="AB387" s="36">
        <f>IF(A387="","",IF(COUNTIF($A$6:$A$504,A387)&gt;1,"⚠ Duplicate",""))</f>
        <v/>
      </c>
      <c r="AC387" s="43" t="n"/>
      <c r="AD387" s="43" t="n"/>
      <c r="AE387" s="43" t="n"/>
      <c r="AF387" s="43" t="n"/>
      <c r="AG387" s="43" t="n"/>
      <c r="AH387" s="43" t="n"/>
      <c r="AI387" s="43" t="n"/>
      <c r="AJ387" s="43" t="n"/>
      <c r="AK387" s="43" t="n"/>
      <c r="AL387" s="43" t="n"/>
      <c r="AM387" s="43" t="n"/>
      <c r="AN387" s="43" t="n"/>
      <c r="AO387" s="43" t="n"/>
      <c r="AP387" s="43" t="n"/>
    </row>
    <row r="388" ht="18" customHeight="1" s="74">
      <c r="A388" s="38" t="n"/>
      <c r="B388" s="38" t="n"/>
      <c r="C388" s="38" t="n"/>
      <c r="D388" s="38" t="n"/>
      <c r="E388" s="39" t="n"/>
      <c r="F388" s="39" t="n"/>
      <c r="G388" s="39" t="n"/>
      <c r="H388" s="39" t="n"/>
      <c r="I388" s="39" t="n"/>
      <c r="J388" s="39" t="n"/>
      <c r="K388" s="39" t="n"/>
      <c r="L388" s="39" t="n"/>
      <c r="M388" s="39" t="n"/>
      <c r="N388" s="39" t="n"/>
      <c r="O388" s="39" t="n"/>
      <c r="P388" s="39" t="n"/>
      <c r="Q388" s="39" t="n"/>
      <c r="R388" s="39" t="n"/>
      <c r="S388" s="39" t="n"/>
      <c r="T388" s="39" t="n"/>
      <c r="U388" s="39" t="n"/>
      <c r="V388" s="39" t="n"/>
      <c r="W388" s="34" t="n"/>
      <c r="X388" s="39" t="n"/>
      <c r="Y388" s="40" t="n"/>
      <c r="Z388" s="38" t="n"/>
      <c r="AA388" s="38" t="n"/>
      <c r="AB388" s="41">
        <f>IF(A388="","",IF(COUNTIF($A$6:$A$504,A388)&gt;1,"⚠ Duplicate",""))</f>
        <v/>
      </c>
      <c r="AC388" s="42" t="n"/>
      <c r="AD388" s="42" t="n"/>
      <c r="AE388" s="42" t="n"/>
      <c r="AF388" s="42" t="n"/>
      <c r="AG388" s="42" t="n"/>
      <c r="AH388" s="42" t="n"/>
      <c r="AI388" s="42" t="n"/>
      <c r="AJ388" s="42" t="n"/>
      <c r="AK388" s="42" t="n"/>
      <c r="AL388" s="42" t="n"/>
      <c r="AM388" s="42" t="n"/>
      <c r="AN388" s="42" t="n"/>
      <c r="AO388" s="42" t="n"/>
      <c r="AP388" s="42" t="n"/>
    </row>
    <row r="389" ht="18" customHeight="1" s="74">
      <c r="A389" s="32" t="n"/>
      <c r="B389" s="32" t="n"/>
      <c r="C389" s="32" t="n"/>
      <c r="D389" s="32" t="n"/>
      <c r="E389" s="33" t="n"/>
      <c r="F389" s="33" t="n"/>
      <c r="G389" s="33" t="n"/>
      <c r="H389" s="33" t="n"/>
      <c r="I389" s="33" t="n"/>
      <c r="J389" s="33" t="n"/>
      <c r="K389" s="33" t="n"/>
      <c r="L389" s="33" t="n"/>
      <c r="M389" s="33" t="n"/>
      <c r="N389" s="33" t="n"/>
      <c r="O389" s="33" t="n"/>
      <c r="P389" s="33" t="n"/>
      <c r="Q389" s="33" t="n"/>
      <c r="R389" s="33" t="n"/>
      <c r="S389" s="33" t="n"/>
      <c r="T389" s="33" t="n"/>
      <c r="U389" s="33" t="n"/>
      <c r="V389" s="33" t="n"/>
      <c r="W389" s="34" t="n"/>
      <c r="X389" s="33" t="n"/>
      <c r="Y389" s="35" t="n"/>
      <c r="Z389" s="32" t="n"/>
      <c r="AA389" s="32" t="n"/>
      <c r="AB389" s="36">
        <f>IF(A389="","",IF(COUNTIF($A$6:$A$504,A389)&gt;1,"⚠ Duplicate",""))</f>
        <v/>
      </c>
      <c r="AC389" s="43" t="n"/>
      <c r="AD389" s="43" t="n"/>
      <c r="AE389" s="43" t="n"/>
      <c r="AF389" s="43" t="n"/>
      <c r="AG389" s="43" t="n"/>
      <c r="AH389" s="43" t="n"/>
      <c r="AI389" s="43" t="n"/>
      <c r="AJ389" s="43" t="n"/>
      <c r="AK389" s="43" t="n"/>
      <c r="AL389" s="43" t="n"/>
      <c r="AM389" s="43" t="n"/>
      <c r="AN389" s="43" t="n"/>
      <c r="AO389" s="43" t="n"/>
      <c r="AP389" s="43" t="n"/>
    </row>
    <row r="390" ht="18" customHeight="1" s="74">
      <c r="A390" s="38" t="n"/>
      <c r="B390" s="38" t="n"/>
      <c r="C390" s="38" t="n"/>
      <c r="D390" s="38" t="n"/>
      <c r="E390" s="39" t="n"/>
      <c r="F390" s="39" t="n"/>
      <c r="G390" s="39" t="n"/>
      <c r="H390" s="39" t="n"/>
      <c r="I390" s="39" t="n"/>
      <c r="J390" s="39" t="n"/>
      <c r="K390" s="39" t="n"/>
      <c r="L390" s="39" t="n"/>
      <c r="M390" s="39" t="n"/>
      <c r="N390" s="39" t="n"/>
      <c r="O390" s="39" t="n"/>
      <c r="P390" s="39" t="n"/>
      <c r="Q390" s="39" t="n"/>
      <c r="R390" s="39" t="n"/>
      <c r="S390" s="39" t="n"/>
      <c r="T390" s="39" t="n"/>
      <c r="U390" s="39" t="n"/>
      <c r="V390" s="39" t="n"/>
      <c r="W390" s="34" t="n"/>
      <c r="X390" s="39" t="n"/>
      <c r="Y390" s="40" t="n"/>
      <c r="Z390" s="38" t="n"/>
      <c r="AA390" s="38" t="n"/>
      <c r="AB390" s="41">
        <f>IF(A390="","",IF(COUNTIF($A$6:$A$504,A390)&gt;1,"⚠ Duplicate",""))</f>
        <v/>
      </c>
      <c r="AC390" s="42" t="n"/>
      <c r="AD390" s="42" t="n"/>
      <c r="AE390" s="42" t="n"/>
      <c r="AF390" s="42" t="n"/>
      <c r="AG390" s="42" t="n"/>
      <c r="AH390" s="42" t="n"/>
      <c r="AI390" s="42" t="n"/>
      <c r="AJ390" s="42" t="n"/>
      <c r="AK390" s="42" t="n"/>
      <c r="AL390" s="42" t="n"/>
      <c r="AM390" s="42" t="n"/>
      <c r="AN390" s="42" t="n"/>
      <c r="AO390" s="42" t="n"/>
      <c r="AP390" s="42" t="n"/>
    </row>
    <row r="391" ht="18" customHeight="1" s="74">
      <c r="A391" s="32" t="n"/>
      <c r="B391" s="32" t="n"/>
      <c r="C391" s="32" t="n"/>
      <c r="D391" s="32" t="n"/>
      <c r="E391" s="33" t="n"/>
      <c r="F391" s="33" t="n"/>
      <c r="G391" s="33" t="n"/>
      <c r="H391" s="33" t="n"/>
      <c r="I391" s="33" t="n"/>
      <c r="J391" s="33" t="n"/>
      <c r="K391" s="33" t="n"/>
      <c r="L391" s="33" t="n"/>
      <c r="M391" s="33" t="n"/>
      <c r="N391" s="33" t="n"/>
      <c r="O391" s="33" t="n"/>
      <c r="P391" s="33" t="n"/>
      <c r="Q391" s="33" t="n"/>
      <c r="R391" s="33" t="n"/>
      <c r="S391" s="33" t="n"/>
      <c r="T391" s="33" t="n"/>
      <c r="U391" s="33" t="n"/>
      <c r="V391" s="33" t="n"/>
      <c r="W391" s="34" t="n"/>
      <c r="X391" s="33" t="n"/>
      <c r="Y391" s="35" t="n"/>
      <c r="Z391" s="32" t="n"/>
      <c r="AA391" s="32" t="n"/>
      <c r="AB391" s="36">
        <f>IF(A391="","",IF(COUNTIF($A$6:$A$504,A391)&gt;1,"⚠ Duplicate",""))</f>
        <v/>
      </c>
      <c r="AC391" s="43" t="n"/>
      <c r="AD391" s="43" t="n"/>
      <c r="AE391" s="43" t="n"/>
      <c r="AF391" s="43" t="n"/>
      <c r="AG391" s="43" t="n"/>
      <c r="AH391" s="43" t="n"/>
      <c r="AI391" s="43" t="n"/>
      <c r="AJ391" s="43" t="n"/>
      <c r="AK391" s="43" t="n"/>
      <c r="AL391" s="43" t="n"/>
      <c r="AM391" s="43" t="n"/>
      <c r="AN391" s="43" t="n"/>
      <c r="AO391" s="43" t="n"/>
      <c r="AP391" s="43" t="n"/>
    </row>
    <row r="392" ht="18" customHeight="1" s="74">
      <c r="A392" s="38" t="n"/>
      <c r="B392" s="38" t="n"/>
      <c r="C392" s="38" t="n"/>
      <c r="D392" s="38" t="n"/>
      <c r="E392" s="39" t="n"/>
      <c r="F392" s="39" t="n"/>
      <c r="G392" s="39" t="n"/>
      <c r="H392" s="39" t="n"/>
      <c r="I392" s="39" t="n"/>
      <c r="J392" s="39" t="n"/>
      <c r="K392" s="39" t="n"/>
      <c r="L392" s="39" t="n"/>
      <c r="M392" s="39" t="n"/>
      <c r="N392" s="39" t="n"/>
      <c r="O392" s="39" t="n"/>
      <c r="P392" s="39" t="n"/>
      <c r="Q392" s="39" t="n"/>
      <c r="R392" s="39" t="n"/>
      <c r="S392" s="39" t="n"/>
      <c r="T392" s="39" t="n"/>
      <c r="U392" s="39" t="n"/>
      <c r="V392" s="39" t="n"/>
      <c r="W392" s="34" t="n"/>
      <c r="X392" s="39" t="n"/>
      <c r="Y392" s="40" t="n"/>
      <c r="Z392" s="38" t="n"/>
      <c r="AA392" s="38" t="n"/>
      <c r="AB392" s="41">
        <f>IF(A392="","",IF(COUNTIF($A$6:$A$504,A392)&gt;1,"⚠ Duplicate",""))</f>
        <v/>
      </c>
      <c r="AC392" s="42" t="n"/>
      <c r="AD392" s="42" t="n"/>
      <c r="AE392" s="42" t="n"/>
      <c r="AF392" s="42" t="n"/>
      <c r="AG392" s="42" t="n"/>
      <c r="AH392" s="42" t="n"/>
      <c r="AI392" s="42" t="n"/>
      <c r="AJ392" s="42" t="n"/>
      <c r="AK392" s="42" t="n"/>
      <c r="AL392" s="42" t="n"/>
      <c r="AM392" s="42" t="n"/>
      <c r="AN392" s="42" t="n"/>
      <c r="AO392" s="42" t="n"/>
      <c r="AP392" s="42" t="n"/>
    </row>
    <row r="393" ht="18" customHeight="1" s="74">
      <c r="A393" s="32" t="n"/>
      <c r="B393" s="32" t="n"/>
      <c r="C393" s="32" t="n"/>
      <c r="D393" s="32" t="n"/>
      <c r="E393" s="33" t="n"/>
      <c r="F393" s="33" t="n"/>
      <c r="G393" s="33" t="n"/>
      <c r="H393" s="33" t="n"/>
      <c r="I393" s="33" t="n"/>
      <c r="J393" s="33" t="n"/>
      <c r="K393" s="33" t="n"/>
      <c r="L393" s="33" t="n"/>
      <c r="M393" s="33" t="n"/>
      <c r="N393" s="33" t="n"/>
      <c r="O393" s="33" t="n"/>
      <c r="P393" s="33" t="n"/>
      <c r="Q393" s="33" t="n"/>
      <c r="R393" s="33" t="n"/>
      <c r="S393" s="33" t="n"/>
      <c r="T393" s="33" t="n"/>
      <c r="U393" s="33" t="n"/>
      <c r="V393" s="33" t="n"/>
      <c r="W393" s="34" t="n"/>
      <c r="X393" s="33" t="n"/>
      <c r="Y393" s="35" t="n"/>
      <c r="Z393" s="32" t="n"/>
      <c r="AA393" s="32" t="n"/>
      <c r="AB393" s="36">
        <f>IF(A393="","",IF(COUNTIF($A$6:$A$504,A393)&gt;1,"⚠ Duplicate",""))</f>
        <v/>
      </c>
      <c r="AC393" s="43" t="n"/>
      <c r="AD393" s="43" t="n"/>
      <c r="AE393" s="43" t="n"/>
      <c r="AF393" s="43" t="n"/>
      <c r="AG393" s="43" t="n"/>
      <c r="AH393" s="43" t="n"/>
      <c r="AI393" s="43" t="n"/>
      <c r="AJ393" s="43" t="n"/>
      <c r="AK393" s="43" t="n"/>
      <c r="AL393" s="43" t="n"/>
      <c r="AM393" s="43" t="n"/>
      <c r="AN393" s="43" t="n"/>
      <c r="AO393" s="43" t="n"/>
      <c r="AP393" s="43" t="n"/>
    </row>
    <row r="394" ht="18" customHeight="1" s="74">
      <c r="A394" s="38" t="n"/>
      <c r="B394" s="38" t="n"/>
      <c r="C394" s="38" t="n"/>
      <c r="D394" s="38" t="n"/>
      <c r="E394" s="39" t="n"/>
      <c r="F394" s="39" t="n"/>
      <c r="G394" s="39" t="n"/>
      <c r="H394" s="39" t="n"/>
      <c r="I394" s="39" t="n"/>
      <c r="J394" s="39" t="n"/>
      <c r="K394" s="39" t="n"/>
      <c r="L394" s="39" t="n"/>
      <c r="M394" s="39" t="n"/>
      <c r="N394" s="39" t="n"/>
      <c r="O394" s="39" t="n"/>
      <c r="P394" s="39" t="n"/>
      <c r="Q394" s="39" t="n"/>
      <c r="R394" s="39" t="n"/>
      <c r="S394" s="39" t="n"/>
      <c r="T394" s="39" t="n"/>
      <c r="U394" s="39" t="n"/>
      <c r="V394" s="39" t="n"/>
      <c r="W394" s="34" t="n"/>
      <c r="X394" s="39" t="n"/>
      <c r="Y394" s="40" t="n"/>
      <c r="Z394" s="38" t="n"/>
      <c r="AA394" s="38" t="n"/>
      <c r="AB394" s="41">
        <f>IF(A394="","",IF(COUNTIF($A$6:$A$504,A394)&gt;1,"⚠ Duplicate",""))</f>
        <v/>
      </c>
      <c r="AC394" s="42" t="n"/>
      <c r="AD394" s="42" t="n"/>
      <c r="AE394" s="42" t="n"/>
      <c r="AF394" s="42" t="n"/>
      <c r="AG394" s="42" t="n"/>
      <c r="AH394" s="42" t="n"/>
      <c r="AI394" s="42" t="n"/>
      <c r="AJ394" s="42" t="n"/>
      <c r="AK394" s="42" t="n"/>
      <c r="AL394" s="42" t="n"/>
      <c r="AM394" s="42" t="n"/>
      <c r="AN394" s="42" t="n"/>
      <c r="AO394" s="42" t="n"/>
      <c r="AP394" s="42" t="n"/>
    </row>
    <row r="395" ht="18" customHeight="1" s="74">
      <c r="A395" s="32" t="n"/>
      <c r="B395" s="32" t="n"/>
      <c r="C395" s="32" t="n"/>
      <c r="D395" s="32" t="n"/>
      <c r="E395" s="33" t="n"/>
      <c r="F395" s="33" t="n"/>
      <c r="G395" s="33" t="n"/>
      <c r="H395" s="33" t="n"/>
      <c r="I395" s="33" t="n"/>
      <c r="J395" s="33" t="n"/>
      <c r="K395" s="33" t="n"/>
      <c r="L395" s="33" t="n"/>
      <c r="M395" s="33" t="n"/>
      <c r="N395" s="33" t="n"/>
      <c r="O395" s="33" t="n"/>
      <c r="P395" s="33" t="n"/>
      <c r="Q395" s="33" t="n"/>
      <c r="R395" s="33" t="n"/>
      <c r="S395" s="33" t="n"/>
      <c r="T395" s="33" t="n"/>
      <c r="U395" s="33" t="n"/>
      <c r="V395" s="33" t="n"/>
      <c r="W395" s="34" t="n"/>
      <c r="X395" s="33" t="n"/>
      <c r="Y395" s="35" t="n"/>
      <c r="Z395" s="32" t="n"/>
      <c r="AA395" s="32" t="n"/>
      <c r="AB395" s="36">
        <f>IF(A395="","",IF(COUNTIF($A$6:$A$504,A395)&gt;1,"⚠ Duplicate",""))</f>
        <v/>
      </c>
      <c r="AC395" s="43" t="n"/>
      <c r="AD395" s="43" t="n"/>
      <c r="AE395" s="43" t="n"/>
      <c r="AF395" s="43" t="n"/>
      <c r="AG395" s="43" t="n"/>
      <c r="AH395" s="43" t="n"/>
      <c r="AI395" s="43" t="n"/>
      <c r="AJ395" s="43" t="n"/>
      <c r="AK395" s="43" t="n"/>
      <c r="AL395" s="43" t="n"/>
      <c r="AM395" s="43" t="n"/>
      <c r="AN395" s="43" t="n"/>
      <c r="AO395" s="43" t="n"/>
      <c r="AP395" s="43" t="n"/>
    </row>
    <row r="396" ht="18" customHeight="1" s="74">
      <c r="A396" s="38" t="n"/>
      <c r="B396" s="38" t="n"/>
      <c r="C396" s="38" t="n"/>
      <c r="D396" s="38" t="n"/>
      <c r="E396" s="39" t="n"/>
      <c r="F396" s="39" t="n"/>
      <c r="G396" s="39" t="n"/>
      <c r="H396" s="39" t="n"/>
      <c r="I396" s="39" t="n"/>
      <c r="J396" s="39" t="n"/>
      <c r="K396" s="39" t="n"/>
      <c r="L396" s="39" t="n"/>
      <c r="M396" s="39" t="n"/>
      <c r="N396" s="39" t="n"/>
      <c r="O396" s="39" t="n"/>
      <c r="P396" s="39" t="n"/>
      <c r="Q396" s="39" t="n"/>
      <c r="R396" s="39" t="n"/>
      <c r="S396" s="39" t="n"/>
      <c r="T396" s="39" t="n"/>
      <c r="U396" s="39" t="n"/>
      <c r="V396" s="39" t="n"/>
      <c r="W396" s="34" t="n"/>
      <c r="X396" s="39" t="n"/>
      <c r="Y396" s="40" t="n"/>
      <c r="Z396" s="38" t="n"/>
      <c r="AA396" s="38" t="n"/>
      <c r="AB396" s="41">
        <f>IF(A396="","",IF(COUNTIF($A$6:$A$504,A396)&gt;1,"⚠ Duplicate",""))</f>
        <v/>
      </c>
      <c r="AC396" s="42" t="n"/>
      <c r="AD396" s="42" t="n"/>
      <c r="AE396" s="42" t="n"/>
      <c r="AF396" s="42" t="n"/>
      <c r="AG396" s="42" t="n"/>
      <c r="AH396" s="42" t="n"/>
      <c r="AI396" s="42" t="n"/>
      <c r="AJ396" s="42" t="n"/>
      <c r="AK396" s="42" t="n"/>
      <c r="AL396" s="42" t="n"/>
      <c r="AM396" s="42" t="n"/>
      <c r="AN396" s="42" t="n"/>
      <c r="AO396" s="42" t="n"/>
      <c r="AP396" s="42" t="n"/>
    </row>
    <row r="397" ht="18" customHeight="1" s="74">
      <c r="A397" s="32" t="n"/>
      <c r="B397" s="32" t="n"/>
      <c r="C397" s="32" t="n"/>
      <c r="D397" s="32" t="n"/>
      <c r="E397" s="33" t="n"/>
      <c r="F397" s="33" t="n"/>
      <c r="G397" s="33" t="n"/>
      <c r="H397" s="33" t="n"/>
      <c r="I397" s="33" t="n"/>
      <c r="J397" s="33" t="n"/>
      <c r="K397" s="33" t="n"/>
      <c r="L397" s="33" t="n"/>
      <c r="M397" s="33" t="n"/>
      <c r="N397" s="33" t="n"/>
      <c r="O397" s="33" t="n"/>
      <c r="P397" s="33" t="n"/>
      <c r="Q397" s="33" t="n"/>
      <c r="R397" s="33" t="n"/>
      <c r="S397" s="33" t="n"/>
      <c r="T397" s="33" t="n"/>
      <c r="U397" s="33" t="n"/>
      <c r="V397" s="33" t="n"/>
      <c r="W397" s="34" t="n"/>
      <c r="X397" s="33" t="n"/>
      <c r="Y397" s="35" t="n"/>
      <c r="Z397" s="32" t="n"/>
      <c r="AA397" s="32" t="n"/>
      <c r="AB397" s="36">
        <f>IF(A397="","",IF(COUNTIF($A$6:$A$504,A397)&gt;1,"⚠ Duplicate",""))</f>
        <v/>
      </c>
      <c r="AC397" s="43" t="n"/>
      <c r="AD397" s="43" t="n"/>
      <c r="AE397" s="43" t="n"/>
      <c r="AF397" s="43" t="n"/>
      <c r="AG397" s="43" t="n"/>
      <c r="AH397" s="43" t="n"/>
      <c r="AI397" s="43" t="n"/>
      <c r="AJ397" s="43" t="n"/>
      <c r="AK397" s="43" t="n"/>
      <c r="AL397" s="43" t="n"/>
      <c r="AM397" s="43" t="n"/>
      <c r="AN397" s="43" t="n"/>
      <c r="AO397" s="43" t="n"/>
      <c r="AP397" s="43" t="n"/>
    </row>
    <row r="398" ht="18" customHeight="1" s="74">
      <c r="A398" s="38" t="n"/>
      <c r="B398" s="38" t="n"/>
      <c r="C398" s="38" t="n"/>
      <c r="D398" s="38" t="n"/>
      <c r="E398" s="39" t="n"/>
      <c r="F398" s="39" t="n"/>
      <c r="G398" s="39" t="n"/>
      <c r="H398" s="39" t="n"/>
      <c r="I398" s="39" t="n"/>
      <c r="J398" s="39" t="n"/>
      <c r="K398" s="39" t="n"/>
      <c r="L398" s="39" t="n"/>
      <c r="M398" s="39" t="n"/>
      <c r="N398" s="39" t="n"/>
      <c r="O398" s="39" t="n"/>
      <c r="P398" s="39" t="n"/>
      <c r="Q398" s="39" t="n"/>
      <c r="R398" s="39" t="n"/>
      <c r="S398" s="39" t="n"/>
      <c r="T398" s="39" t="n"/>
      <c r="U398" s="39" t="n"/>
      <c r="V398" s="39" t="n"/>
      <c r="W398" s="34" t="n"/>
      <c r="X398" s="39" t="n"/>
      <c r="Y398" s="40" t="n"/>
      <c r="Z398" s="38" t="n"/>
      <c r="AA398" s="38" t="n"/>
      <c r="AB398" s="41">
        <f>IF(A398="","",IF(COUNTIF($A$6:$A$504,A398)&gt;1,"⚠ Duplicate",""))</f>
        <v/>
      </c>
      <c r="AC398" s="42" t="n"/>
      <c r="AD398" s="42" t="n"/>
      <c r="AE398" s="42" t="n"/>
      <c r="AF398" s="42" t="n"/>
      <c r="AG398" s="42" t="n"/>
      <c r="AH398" s="42" t="n"/>
      <c r="AI398" s="42" t="n"/>
      <c r="AJ398" s="42" t="n"/>
      <c r="AK398" s="42" t="n"/>
      <c r="AL398" s="42" t="n"/>
      <c r="AM398" s="42" t="n"/>
      <c r="AN398" s="42" t="n"/>
      <c r="AO398" s="42" t="n"/>
      <c r="AP398" s="42" t="n"/>
    </row>
    <row r="399" ht="18" customHeight="1" s="74">
      <c r="A399" s="32" t="n"/>
      <c r="B399" s="32" t="n"/>
      <c r="C399" s="32" t="n"/>
      <c r="D399" s="32" t="n"/>
      <c r="E399" s="33" t="n"/>
      <c r="F399" s="33" t="n"/>
      <c r="G399" s="33" t="n"/>
      <c r="H399" s="33" t="n"/>
      <c r="I399" s="33" t="n"/>
      <c r="J399" s="33" t="n"/>
      <c r="K399" s="33" t="n"/>
      <c r="L399" s="33" t="n"/>
      <c r="M399" s="33" t="n"/>
      <c r="N399" s="33" t="n"/>
      <c r="O399" s="33" t="n"/>
      <c r="P399" s="33" t="n"/>
      <c r="Q399" s="33" t="n"/>
      <c r="R399" s="33" t="n"/>
      <c r="S399" s="33" t="n"/>
      <c r="T399" s="33" t="n"/>
      <c r="U399" s="33" t="n"/>
      <c r="V399" s="33" t="n"/>
      <c r="W399" s="34" t="n"/>
      <c r="X399" s="33" t="n"/>
      <c r="Y399" s="35" t="n"/>
      <c r="Z399" s="32" t="n"/>
      <c r="AA399" s="32" t="n"/>
      <c r="AB399" s="36">
        <f>IF(A399="","",IF(COUNTIF($A$6:$A$504,A399)&gt;1,"⚠ Duplicate",""))</f>
        <v/>
      </c>
      <c r="AC399" s="43" t="n"/>
      <c r="AD399" s="43" t="n"/>
      <c r="AE399" s="43" t="n"/>
      <c r="AF399" s="43" t="n"/>
      <c r="AG399" s="43" t="n"/>
      <c r="AH399" s="43" t="n"/>
      <c r="AI399" s="43" t="n"/>
      <c r="AJ399" s="43" t="n"/>
      <c r="AK399" s="43" t="n"/>
      <c r="AL399" s="43" t="n"/>
      <c r="AM399" s="43" t="n"/>
      <c r="AN399" s="43" t="n"/>
      <c r="AO399" s="43" t="n"/>
      <c r="AP399" s="43" t="n"/>
    </row>
    <row r="400" ht="18" customHeight="1" s="74">
      <c r="A400" s="38" t="n"/>
      <c r="B400" s="38" t="n"/>
      <c r="C400" s="38" t="n"/>
      <c r="D400" s="38" t="n"/>
      <c r="E400" s="39" t="n"/>
      <c r="F400" s="39" t="n"/>
      <c r="G400" s="39" t="n"/>
      <c r="H400" s="39" t="n"/>
      <c r="I400" s="39" t="n"/>
      <c r="J400" s="39" t="n"/>
      <c r="K400" s="39" t="n"/>
      <c r="L400" s="39" t="n"/>
      <c r="M400" s="39" t="n"/>
      <c r="N400" s="39" t="n"/>
      <c r="O400" s="39" t="n"/>
      <c r="P400" s="39" t="n"/>
      <c r="Q400" s="39" t="n"/>
      <c r="R400" s="39" t="n"/>
      <c r="S400" s="39" t="n"/>
      <c r="T400" s="39" t="n"/>
      <c r="U400" s="39" t="n"/>
      <c r="V400" s="39" t="n"/>
      <c r="W400" s="34" t="n"/>
      <c r="X400" s="39" t="n"/>
      <c r="Y400" s="40" t="n"/>
      <c r="Z400" s="38" t="n"/>
      <c r="AA400" s="38" t="n"/>
      <c r="AB400" s="41">
        <f>IF(A400="","",IF(COUNTIF($A$6:$A$504,A400)&gt;1,"⚠ Duplicate",""))</f>
        <v/>
      </c>
      <c r="AC400" s="42" t="n"/>
      <c r="AD400" s="42" t="n"/>
      <c r="AE400" s="42" t="n"/>
      <c r="AF400" s="42" t="n"/>
      <c r="AG400" s="42" t="n"/>
      <c r="AH400" s="42" t="n"/>
      <c r="AI400" s="42" t="n"/>
      <c r="AJ400" s="42" t="n"/>
      <c r="AK400" s="42" t="n"/>
      <c r="AL400" s="42" t="n"/>
      <c r="AM400" s="42" t="n"/>
      <c r="AN400" s="42" t="n"/>
      <c r="AO400" s="42" t="n"/>
      <c r="AP400" s="42" t="n"/>
    </row>
    <row r="401" ht="18" customHeight="1" s="74">
      <c r="A401" s="32" t="n"/>
      <c r="B401" s="32" t="n"/>
      <c r="C401" s="32" t="n"/>
      <c r="D401" s="32" t="n"/>
      <c r="E401" s="33" t="n"/>
      <c r="F401" s="33" t="n"/>
      <c r="G401" s="33" t="n"/>
      <c r="H401" s="33" t="n"/>
      <c r="I401" s="33" t="n"/>
      <c r="J401" s="33" t="n"/>
      <c r="K401" s="33" t="n"/>
      <c r="L401" s="33" t="n"/>
      <c r="M401" s="33" t="n"/>
      <c r="N401" s="33" t="n"/>
      <c r="O401" s="33" t="n"/>
      <c r="P401" s="33" t="n"/>
      <c r="Q401" s="33" t="n"/>
      <c r="R401" s="33" t="n"/>
      <c r="S401" s="33" t="n"/>
      <c r="T401" s="33" t="n"/>
      <c r="U401" s="33" t="n"/>
      <c r="V401" s="33" t="n"/>
      <c r="W401" s="34" t="n"/>
      <c r="X401" s="33" t="n"/>
      <c r="Y401" s="35" t="n"/>
      <c r="Z401" s="32" t="n"/>
      <c r="AA401" s="32" t="n"/>
      <c r="AB401" s="36">
        <f>IF(A401="","",IF(COUNTIF($A$6:$A$504,A401)&gt;1,"⚠ Duplicate",""))</f>
        <v/>
      </c>
      <c r="AC401" s="43" t="n"/>
      <c r="AD401" s="43" t="n"/>
      <c r="AE401" s="43" t="n"/>
      <c r="AF401" s="43" t="n"/>
      <c r="AG401" s="43" t="n"/>
      <c r="AH401" s="43" t="n"/>
      <c r="AI401" s="43" t="n"/>
      <c r="AJ401" s="43" t="n"/>
      <c r="AK401" s="43" t="n"/>
      <c r="AL401" s="43" t="n"/>
      <c r="AM401" s="43" t="n"/>
      <c r="AN401" s="43" t="n"/>
      <c r="AO401" s="43" t="n"/>
      <c r="AP401" s="43" t="n"/>
    </row>
    <row r="402" ht="18" customHeight="1" s="74">
      <c r="A402" s="38" t="n"/>
      <c r="B402" s="38" t="n"/>
      <c r="C402" s="38" t="n"/>
      <c r="D402" s="38" t="n"/>
      <c r="E402" s="39" t="n"/>
      <c r="F402" s="39" t="n"/>
      <c r="G402" s="39" t="n"/>
      <c r="H402" s="39" t="n"/>
      <c r="I402" s="39" t="n"/>
      <c r="J402" s="39" t="n"/>
      <c r="K402" s="39" t="n"/>
      <c r="L402" s="39" t="n"/>
      <c r="M402" s="39" t="n"/>
      <c r="N402" s="39" t="n"/>
      <c r="O402" s="39" t="n"/>
      <c r="P402" s="39" t="n"/>
      <c r="Q402" s="39" t="n"/>
      <c r="R402" s="39" t="n"/>
      <c r="S402" s="39" t="n"/>
      <c r="T402" s="39" t="n"/>
      <c r="U402" s="39" t="n"/>
      <c r="V402" s="39" t="n"/>
      <c r="W402" s="34" t="n"/>
      <c r="X402" s="39" t="n"/>
      <c r="Y402" s="40" t="n"/>
      <c r="Z402" s="38" t="n"/>
      <c r="AA402" s="38" t="n"/>
      <c r="AB402" s="41">
        <f>IF(A402="","",IF(COUNTIF($A$6:$A$504,A402)&gt;1,"⚠ Duplicate",""))</f>
        <v/>
      </c>
      <c r="AC402" s="42" t="n"/>
      <c r="AD402" s="42" t="n"/>
      <c r="AE402" s="42" t="n"/>
      <c r="AF402" s="42" t="n"/>
      <c r="AG402" s="42" t="n"/>
      <c r="AH402" s="42" t="n"/>
      <c r="AI402" s="42" t="n"/>
      <c r="AJ402" s="42" t="n"/>
      <c r="AK402" s="42" t="n"/>
      <c r="AL402" s="42" t="n"/>
      <c r="AM402" s="42" t="n"/>
      <c r="AN402" s="42" t="n"/>
      <c r="AO402" s="42" t="n"/>
      <c r="AP402" s="42" t="n"/>
    </row>
    <row r="403" ht="18" customHeight="1" s="74">
      <c r="A403" s="32" t="n"/>
      <c r="B403" s="32" t="n"/>
      <c r="C403" s="32" t="n"/>
      <c r="D403" s="32" t="n"/>
      <c r="E403" s="33" t="n"/>
      <c r="F403" s="33" t="n"/>
      <c r="G403" s="33" t="n"/>
      <c r="H403" s="33" t="n"/>
      <c r="I403" s="33" t="n"/>
      <c r="J403" s="33" t="n"/>
      <c r="K403" s="33" t="n"/>
      <c r="L403" s="33" t="n"/>
      <c r="M403" s="33" t="n"/>
      <c r="N403" s="33" t="n"/>
      <c r="O403" s="33" t="n"/>
      <c r="P403" s="33" t="n"/>
      <c r="Q403" s="33" t="n"/>
      <c r="R403" s="33" t="n"/>
      <c r="S403" s="33" t="n"/>
      <c r="T403" s="33" t="n"/>
      <c r="U403" s="33" t="n"/>
      <c r="V403" s="33" t="n"/>
      <c r="W403" s="34" t="n"/>
      <c r="X403" s="33" t="n"/>
      <c r="Y403" s="35" t="n"/>
      <c r="Z403" s="32" t="n"/>
      <c r="AA403" s="32" t="n"/>
      <c r="AB403" s="36">
        <f>IF(A403="","",IF(COUNTIF($A$6:$A$504,A403)&gt;1,"⚠ Duplicate",""))</f>
        <v/>
      </c>
      <c r="AC403" s="43" t="n"/>
      <c r="AD403" s="43" t="n"/>
      <c r="AE403" s="43" t="n"/>
      <c r="AF403" s="43" t="n"/>
      <c r="AG403" s="43" t="n"/>
      <c r="AH403" s="43" t="n"/>
      <c r="AI403" s="43" t="n"/>
      <c r="AJ403" s="43" t="n"/>
      <c r="AK403" s="43" t="n"/>
      <c r="AL403" s="43" t="n"/>
      <c r="AM403" s="43" t="n"/>
      <c r="AN403" s="43" t="n"/>
      <c r="AO403" s="43" t="n"/>
      <c r="AP403" s="43" t="n"/>
    </row>
    <row r="404" ht="18" customHeight="1" s="74">
      <c r="A404" s="38" t="n"/>
      <c r="B404" s="38" t="n"/>
      <c r="C404" s="38" t="n"/>
      <c r="D404" s="38" t="n"/>
      <c r="E404" s="39" t="n"/>
      <c r="F404" s="39" t="n"/>
      <c r="G404" s="39" t="n"/>
      <c r="H404" s="39" t="n"/>
      <c r="I404" s="39" t="n"/>
      <c r="J404" s="39" t="n"/>
      <c r="K404" s="39" t="n"/>
      <c r="L404" s="39" t="n"/>
      <c r="M404" s="39" t="n"/>
      <c r="N404" s="39" t="n"/>
      <c r="O404" s="39" t="n"/>
      <c r="P404" s="39" t="n"/>
      <c r="Q404" s="39" t="n"/>
      <c r="R404" s="39" t="n"/>
      <c r="S404" s="39" t="n"/>
      <c r="T404" s="39" t="n"/>
      <c r="U404" s="39" t="n"/>
      <c r="V404" s="39" t="n"/>
      <c r="W404" s="34" t="n"/>
      <c r="X404" s="39" t="n"/>
      <c r="Y404" s="40" t="n"/>
      <c r="Z404" s="38" t="n"/>
      <c r="AA404" s="38" t="n"/>
      <c r="AB404" s="41">
        <f>IF(A404="","",IF(COUNTIF($A$6:$A$504,A404)&gt;1,"⚠ Duplicate",""))</f>
        <v/>
      </c>
      <c r="AC404" s="42" t="n"/>
      <c r="AD404" s="42" t="n"/>
      <c r="AE404" s="42" t="n"/>
      <c r="AF404" s="42" t="n"/>
      <c r="AG404" s="42" t="n"/>
      <c r="AH404" s="42" t="n"/>
      <c r="AI404" s="42" t="n"/>
      <c r="AJ404" s="42" t="n"/>
      <c r="AK404" s="42" t="n"/>
      <c r="AL404" s="42" t="n"/>
      <c r="AM404" s="42" t="n"/>
      <c r="AN404" s="42" t="n"/>
      <c r="AO404" s="42" t="n"/>
      <c r="AP404" s="42" t="n"/>
    </row>
    <row r="405" ht="18" customHeight="1" s="74">
      <c r="A405" s="32" t="n"/>
      <c r="B405" s="32" t="n"/>
      <c r="C405" s="32" t="n"/>
      <c r="D405" s="32" t="n"/>
      <c r="E405" s="33" t="n"/>
      <c r="F405" s="33" t="n"/>
      <c r="G405" s="33" t="n"/>
      <c r="H405" s="33" t="n"/>
      <c r="I405" s="33" t="n"/>
      <c r="J405" s="33" t="n"/>
      <c r="K405" s="33" t="n"/>
      <c r="L405" s="33" t="n"/>
      <c r="M405" s="33" t="n"/>
      <c r="N405" s="33" t="n"/>
      <c r="O405" s="33" t="n"/>
      <c r="P405" s="33" t="n"/>
      <c r="Q405" s="33" t="n"/>
      <c r="R405" s="33" t="n"/>
      <c r="S405" s="33" t="n"/>
      <c r="T405" s="33" t="n"/>
      <c r="U405" s="33" t="n"/>
      <c r="V405" s="33" t="n"/>
      <c r="W405" s="34" t="n"/>
      <c r="X405" s="33" t="n"/>
      <c r="Y405" s="35" t="n"/>
      <c r="Z405" s="32" t="n"/>
      <c r="AA405" s="32" t="n"/>
      <c r="AB405" s="36">
        <f>IF(A405="","",IF(COUNTIF($A$6:$A$504,A405)&gt;1,"⚠ Duplicate",""))</f>
        <v/>
      </c>
      <c r="AC405" s="43" t="n"/>
      <c r="AD405" s="43" t="n"/>
      <c r="AE405" s="43" t="n"/>
      <c r="AF405" s="43" t="n"/>
      <c r="AG405" s="43" t="n"/>
      <c r="AH405" s="43" t="n"/>
      <c r="AI405" s="43" t="n"/>
      <c r="AJ405" s="43" t="n"/>
      <c r="AK405" s="43" t="n"/>
      <c r="AL405" s="43" t="n"/>
      <c r="AM405" s="43" t="n"/>
      <c r="AN405" s="43" t="n"/>
      <c r="AO405" s="43" t="n"/>
      <c r="AP405" s="43" t="n"/>
    </row>
    <row r="406" ht="18" customHeight="1" s="74">
      <c r="A406" s="38" t="n"/>
      <c r="B406" s="38" t="n"/>
      <c r="C406" s="38" t="n"/>
      <c r="D406" s="38" t="n"/>
      <c r="E406" s="39" t="n"/>
      <c r="F406" s="39" t="n"/>
      <c r="G406" s="39" t="n"/>
      <c r="H406" s="39" t="n"/>
      <c r="I406" s="39" t="n"/>
      <c r="J406" s="39" t="n"/>
      <c r="K406" s="39" t="n"/>
      <c r="L406" s="39" t="n"/>
      <c r="M406" s="39" t="n"/>
      <c r="N406" s="39" t="n"/>
      <c r="O406" s="39" t="n"/>
      <c r="P406" s="39" t="n"/>
      <c r="Q406" s="39" t="n"/>
      <c r="R406" s="39" t="n"/>
      <c r="S406" s="39" t="n"/>
      <c r="T406" s="39" t="n"/>
      <c r="U406" s="39" t="n"/>
      <c r="V406" s="39" t="n"/>
      <c r="W406" s="34" t="n"/>
      <c r="X406" s="39" t="n"/>
      <c r="Y406" s="40" t="n"/>
      <c r="Z406" s="38" t="n"/>
      <c r="AA406" s="38" t="n"/>
      <c r="AB406" s="41">
        <f>IF(A406="","",IF(COUNTIF($A$6:$A$504,A406)&gt;1,"⚠ Duplicate",""))</f>
        <v/>
      </c>
      <c r="AC406" s="42" t="n"/>
      <c r="AD406" s="42" t="n"/>
      <c r="AE406" s="42" t="n"/>
      <c r="AF406" s="42" t="n"/>
      <c r="AG406" s="42" t="n"/>
      <c r="AH406" s="42" t="n"/>
      <c r="AI406" s="42" t="n"/>
      <c r="AJ406" s="42" t="n"/>
      <c r="AK406" s="42" t="n"/>
      <c r="AL406" s="42" t="n"/>
      <c r="AM406" s="42" t="n"/>
      <c r="AN406" s="42" t="n"/>
      <c r="AO406" s="42" t="n"/>
      <c r="AP406" s="42" t="n"/>
    </row>
    <row r="407" ht="18" customHeight="1" s="74">
      <c r="A407" s="32" t="n"/>
      <c r="B407" s="32" t="n"/>
      <c r="C407" s="32" t="n"/>
      <c r="D407" s="32" t="n"/>
      <c r="E407" s="33" t="n"/>
      <c r="F407" s="33" t="n"/>
      <c r="G407" s="33" t="n"/>
      <c r="H407" s="33" t="n"/>
      <c r="I407" s="33" t="n"/>
      <c r="J407" s="33" t="n"/>
      <c r="K407" s="33" t="n"/>
      <c r="L407" s="33" t="n"/>
      <c r="M407" s="33" t="n"/>
      <c r="N407" s="33" t="n"/>
      <c r="O407" s="33" t="n"/>
      <c r="P407" s="33" t="n"/>
      <c r="Q407" s="33" t="n"/>
      <c r="R407" s="33" t="n"/>
      <c r="S407" s="33" t="n"/>
      <c r="T407" s="33" t="n"/>
      <c r="U407" s="33" t="n"/>
      <c r="V407" s="33" t="n"/>
      <c r="W407" s="34" t="n"/>
      <c r="X407" s="33" t="n"/>
      <c r="Y407" s="35" t="n"/>
      <c r="Z407" s="32" t="n"/>
      <c r="AA407" s="32" t="n"/>
      <c r="AB407" s="36">
        <f>IF(A407="","",IF(COUNTIF($A$6:$A$504,A407)&gt;1,"⚠ Duplicate",""))</f>
        <v/>
      </c>
      <c r="AC407" s="43" t="n"/>
      <c r="AD407" s="43" t="n"/>
      <c r="AE407" s="43" t="n"/>
      <c r="AF407" s="43" t="n"/>
      <c r="AG407" s="43" t="n"/>
      <c r="AH407" s="43" t="n"/>
      <c r="AI407" s="43" t="n"/>
      <c r="AJ407" s="43" t="n"/>
      <c r="AK407" s="43" t="n"/>
      <c r="AL407" s="43" t="n"/>
      <c r="AM407" s="43" t="n"/>
      <c r="AN407" s="43" t="n"/>
      <c r="AO407" s="43" t="n"/>
      <c r="AP407" s="43" t="n"/>
    </row>
    <row r="408" ht="18" customHeight="1" s="74">
      <c r="A408" s="38" t="n"/>
      <c r="B408" s="38" t="n"/>
      <c r="C408" s="38" t="n"/>
      <c r="D408" s="38" t="n"/>
      <c r="E408" s="39" t="n"/>
      <c r="F408" s="39" t="n"/>
      <c r="G408" s="39" t="n"/>
      <c r="H408" s="39" t="n"/>
      <c r="I408" s="39" t="n"/>
      <c r="J408" s="39" t="n"/>
      <c r="K408" s="39" t="n"/>
      <c r="L408" s="39" t="n"/>
      <c r="M408" s="39" t="n"/>
      <c r="N408" s="39" t="n"/>
      <c r="O408" s="39" t="n"/>
      <c r="P408" s="39" t="n"/>
      <c r="Q408" s="39" t="n"/>
      <c r="R408" s="39" t="n"/>
      <c r="S408" s="39" t="n"/>
      <c r="T408" s="39" t="n"/>
      <c r="U408" s="39" t="n"/>
      <c r="V408" s="39" t="n"/>
      <c r="W408" s="34" t="n"/>
      <c r="X408" s="39" t="n"/>
      <c r="Y408" s="40" t="n"/>
      <c r="Z408" s="38" t="n"/>
      <c r="AA408" s="38" t="n"/>
      <c r="AB408" s="41">
        <f>IF(A408="","",IF(COUNTIF($A$6:$A$504,A408)&gt;1,"⚠ Duplicate",""))</f>
        <v/>
      </c>
      <c r="AC408" s="42" t="n"/>
      <c r="AD408" s="42" t="n"/>
      <c r="AE408" s="42" t="n"/>
      <c r="AF408" s="42" t="n"/>
      <c r="AG408" s="42" t="n"/>
      <c r="AH408" s="42" t="n"/>
      <c r="AI408" s="42" t="n"/>
      <c r="AJ408" s="42" t="n"/>
      <c r="AK408" s="42" t="n"/>
      <c r="AL408" s="42" t="n"/>
      <c r="AM408" s="42" t="n"/>
      <c r="AN408" s="42" t="n"/>
      <c r="AO408" s="42" t="n"/>
      <c r="AP408" s="42" t="n"/>
    </row>
    <row r="409" ht="18" customHeight="1" s="74">
      <c r="A409" s="32" t="n"/>
      <c r="B409" s="32" t="n"/>
      <c r="C409" s="32" t="n"/>
      <c r="D409" s="32" t="n"/>
      <c r="E409" s="33" t="n"/>
      <c r="F409" s="33" t="n"/>
      <c r="G409" s="33" t="n"/>
      <c r="H409" s="33" t="n"/>
      <c r="I409" s="33" t="n"/>
      <c r="J409" s="33" t="n"/>
      <c r="K409" s="33" t="n"/>
      <c r="L409" s="33" t="n"/>
      <c r="M409" s="33" t="n"/>
      <c r="N409" s="33" t="n"/>
      <c r="O409" s="33" t="n"/>
      <c r="P409" s="33" t="n"/>
      <c r="Q409" s="33" t="n"/>
      <c r="R409" s="33" t="n"/>
      <c r="S409" s="33" t="n"/>
      <c r="T409" s="33" t="n"/>
      <c r="U409" s="33" t="n"/>
      <c r="V409" s="33" t="n"/>
      <c r="W409" s="34" t="n"/>
      <c r="X409" s="33" t="n"/>
      <c r="Y409" s="35" t="n"/>
      <c r="Z409" s="32" t="n"/>
      <c r="AA409" s="32" t="n"/>
      <c r="AB409" s="36">
        <f>IF(A409="","",IF(COUNTIF($A$6:$A$504,A409)&gt;1,"⚠ Duplicate",""))</f>
        <v/>
      </c>
      <c r="AC409" s="43" t="n"/>
      <c r="AD409" s="43" t="n"/>
      <c r="AE409" s="43" t="n"/>
      <c r="AF409" s="43" t="n"/>
      <c r="AG409" s="43" t="n"/>
      <c r="AH409" s="43" t="n"/>
      <c r="AI409" s="43" t="n"/>
      <c r="AJ409" s="43" t="n"/>
      <c r="AK409" s="43" t="n"/>
      <c r="AL409" s="43" t="n"/>
      <c r="AM409" s="43" t="n"/>
      <c r="AN409" s="43" t="n"/>
      <c r="AO409" s="43" t="n"/>
      <c r="AP409" s="43" t="n"/>
    </row>
    <row r="410" ht="18" customHeight="1" s="74">
      <c r="A410" s="38" t="n"/>
      <c r="B410" s="38" t="n"/>
      <c r="C410" s="38" t="n"/>
      <c r="D410" s="38" t="n"/>
      <c r="E410" s="39" t="n"/>
      <c r="F410" s="39" t="n"/>
      <c r="G410" s="39" t="n"/>
      <c r="H410" s="39" t="n"/>
      <c r="I410" s="39" t="n"/>
      <c r="J410" s="39" t="n"/>
      <c r="K410" s="39" t="n"/>
      <c r="L410" s="39" t="n"/>
      <c r="M410" s="39" t="n"/>
      <c r="N410" s="39" t="n"/>
      <c r="O410" s="39" t="n"/>
      <c r="P410" s="39" t="n"/>
      <c r="Q410" s="39" t="n"/>
      <c r="R410" s="39" t="n"/>
      <c r="S410" s="39" t="n"/>
      <c r="T410" s="39" t="n"/>
      <c r="U410" s="39" t="n"/>
      <c r="V410" s="39" t="n"/>
      <c r="W410" s="34" t="n"/>
      <c r="X410" s="39" t="n"/>
      <c r="Y410" s="40" t="n"/>
      <c r="Z410" s="38" t="n"/>
      <c r="AA410" s="38" t="n"/>
      <c r="AB410" s="41">
        <f>IF(A410="","",IF(COUNTIF($A$6:$A$504,A410)&gt;1,"⚠ Duplicate",""))</f>
        <v/>
      </c>
      <c r="AC410" s="42" t="n"/>
      <c r="AD410" s="42" t="n"/>
      <c r="AE410" s="42" t="n"/>
      <c r="AF410" s="42" t="n"/>
      <c r="AG410" s="42" t="n"/>
      <c r="AH410" s="42" t="n"/>
      <c r="AI410" s="42" t="n"/>
      <c r="AJ410" s="42" t="n"/>
      <c r="AK410" s="42" t="n"/>
      <c r="AL410" s="42" t="n"/>
      <c r="AM410" s="42" t="n"/>
      <c r="AN410" s="42" t="n"/>
      <c r="AO410" s="42" t="n"/>
      <c r="AP410" s="42" t="n"/>
    </row>
    <row r="411" ht="18" customHeight="1" s="74">
      <c r="A411" s="32" t="n"/>
      <c r="B411" s="32" t="n"/>
      <c r="C411" s="32" t="n"/>
      <c r="D411" s="32" t="n"/>
      <c r="E411" s="33" t="n"/>
      <c r="F411" s="33" t="n"/>
      <c r="G411" s="33" t="n"/>
      <c r="H411" s="33" t="n"/>
      <c r="I411" s="33" t="n"/>
      <c r="J411" s="33" t="n"/>
      <c r="K411" s="33" t="n"/>
      <c r="L411" s="33" t="n"/>
      <c r="M411" s="33" t="n"/>
      <c r="N411" s="33" t="n"/>
      <c r="O411" s="33" t="n"/>
      <c r="P411" s="33" t="n"/>
      <c r="Q411" s="33" t="n"/>
      <c r="R411" s="33" t="n"/>
      <c r="S411" s="33" t="n"/>
      <c r="T411" s="33" t="n"/>
      <c r="U411" s="33" t="n"/>
      <c r="V411" s="33" t="n"/>
      <c r="W411" s="34" t="n"/>
      <c r="X411" s="33" t="n"/>
      <c r="Y411" s="35" t="n"/>
      <c r="Z411" s="32" t="n"/>
      <c r="AA411" s="32" t="n"/>
      <c r="AB411" s="36">
        <f>IF(A411="","",IF(COUNTIF($A$6:$A$504,A411)&gt;1,"⚠ Duplicate",""))</f>
        <v/>
      </c>
      <c r="AC411" s="43" t="n"/>
      <c r="AD411" s="43" t="n"/>
      <c r="AE411" s="43" t="n"/>
      <c r="AF411" s="43" t="n"/>
      <c r="AG411" s="43" t="n"/>
      <c r="AH411" s="43" t="n"/>
      <c r="AI411" s="43" t="n"/>
      <c r="AJ411" s="43" t="n"/>
      <c r="AK411" s="43" t="n"/>
      <c r="AL411" s="43" t="n"/>
      <c r="AM411" s="43" t="n"/>
      <c r="AN411" s="43" t="n"/>
      <c r="AO411" s="43" t="n"/>
      <c r="AP411" s="43" t="n"/>
    </row>
    <row r="412" ht="18" customHeight="1" s="74">
      <c r="A412" s="38" t="n"/>
      <c r="B412" s="38" t="n"/>
      <c r="C412" s="38" t="n"/>
      <c r="D412" s="38" t="n"/>
      <c r="E412" s="39" t="n"/>
      <c r="F412" s="39" t="n"/>
      <c r="G412" s="39" t="n"/>
      <c r="H412" s="39" t="n"/>
      <c r="I412" s="39" t="n"/>
      <c r="J412" s="39" t="n"/>
      <c r="K412" s="39" t="n"/>
      <c r="L412" s="39" t="n"/>
      <c r="M412" s="39" t="n"/>
      <c r="N412" s="39" t="n"/>
      <c r="O412" s="39" t="n"/>
      <c r="P412" s="39" t="n"/>
      <c r="Q412" s="39" t="n"/>
      <c r="R412" s="39" t="n"/>
      <c r="S412" s="39" t="n"/>
      <c r="T412" s="39" t="n"/>
      <c r="U412" s="39" t="n"/>
      <c r="V412" s="39" t="n"/>
      <c r="W412" s="34" t="n"/>
      <c r="X412" s="39" t="n"/>
      <c r="Y412" s="40" t="n"/>
      <c r="Z412" s="38" t="n"/>
      <c r="AA412" s="38" t="n"/>
      <c r="AB412" s="41">
        <f>IF(A412="","",IF(COUNTIF($A$6:$A$504,A412)&gt;1,"⚠ Duplicate",""))</f>
        <v/>
      </c>
      <c r="AC412" s="42" t="n"/>
      <c r="AD412" s="42" t="n"/>
      <c r="AE412" s="42" t="n"/>
      <c r="AF412" s="42" t="n"/>
      <c r="AG412" s="42" t="n"/>
      <c r="AH412" s="42" t="n"/>
      <c r="AI412" s="42" t="n"/>
      <c r="AJ412" s="42" t="n"/>
      <c r="AK412" s="42" t="n"/>
      <c r="AL412" s="42" t="n"/>
      <c r="AM412" s="42" t="n"/>
      <c r="AN412" s="42" t="n"/>
      <c r="AO412" s="42" t="n"/>
      <c r="AP412" s="42" t="n"/>
    </row>
    <row r="413" ht="18" customHeight="1" s="74">
      <c r="A413" s="32" t="n"/>
      <c r="B413" s="32" t="n"/>
      <c r="C413" s="32" t="n"/>
      <c r="D413" s="32" t="n"/>
      <c r="E413" s="33" t="n"/>
      <c r="F413" s="33" t="n"/>
      <c r="G413" s="33" t="n"/>
      <c r="H413" s="33" t="n"/>
      <c r="I413" s="33" t="n"/>
      <c r="J413" s="33" t="n"/>
      <c r="K413" s="33" t="n"/>
      <c r="L413" s="33" t="n"/>
      <c r="M413" s="33" t="n"/>
      <c r="N413" s="33" t="n"/>
      <c r="O413" s="33" t="n"/>
      <c r="P413" s="33" t="n"/>
      <c r="Q413" s="33" t="n"/>
      <c r="R413" s="33" t="n"/>
      <c r="S413" s="33" t="n"/>
      <c r="T413" s="33" t="n"/>
      <c r="U413" s="33" t="n"/>
      <c r="V413" s="33" t="n"/>
      <c r="W413" s="34" t="n"/>
      <c r="X413" s="33" t="n"/>
      <c r="Y413" s="35" t="n"/>
      <c r="Z413" s="32" t="n"/>
      <c r="AA413" s="32" t="n"/>
      <c r="AB413" s="36">
        <f>IF(A413="","",IF(COUNTIF($A$6:$A$504,A413)&gt;1,"⚠ Duplicate",""))</f>
        <v/>
      </c>
      <c r="AC413" s="43" t="n"/>
      <c r="AD413" s="43" t="n"/>
      <c r="AE413" s="43" t="n"/>
      <c r="AF413" s="43" t="n"/>
      <c r="AG413" s="43" t="n"/>
      <c r="AH413" s="43" t="n"/>
      <c r="AI413" s="43" t="n"/>
      <c r="AJ413" s="43" t="n"/>
      <c r="AK413" s="43" t="n"/>
      <c r="AL413" s="43" t="n"/>
      <c r="AM413" s="43" t="n"/>
      <c r="AN413" s="43" t="n"/>
      <c r="AO413" s="43" t="n"/>
      <c r="AP413" s="43" t="n"/>
    </row>
    <row r="414" ht="18" customHeight="1" s="74">
      <c r="A414" s="38" t="n"/>
      <c r="B414" s="38" t="n"/>
      <c r="C414" s="38" t="n"/>
      <c r="D414" s="38" t="n"/>
      <c r="E414" s="39" t="n"/>
      <c r="F414" s="39" t="n"/>
      <c r="G414" s="39" t="n"/>
      <c r="H414" s="39" t="n"/>
      <c r="I414" s="39" t="n"/>
      <c r="J414" s="39" t="n"/>
      <c r="K414" s="39" t="n"/>
      <c r="L414" s="39" t="n"/>
      <c r="M414" s="39" t="n"/>
      <c r="N414" s="39" t="n"/>
      <c r="O414" s="39" t="n"/>
      <c r="P414" s="39" t="n"/>
      <c r="Q414" s="39" t="n"/>
      <c r="R414" s="39" t="n"/>
      <c r="S414" s="39" t="n"/>
      <c r="T414" s="39" t="n"/>
      <c r="U414" s="39" t="n"/>
      <c r="V414" s="39" t="n"/>
      <c r="W414" s="34" t="n"/>
      <c r="X414" s="39" t="n"/>
      <c r="Y414" s="40" t="n"/>
      <c r="Z414" s="38" t="n"/>
      <c r="AA414" s="38" t="n"/>
      <c r="AB414" s="41">
        <f>IF(A414="","",IF(COUNTIF($A$6:$A$504,A414)&gt;1,"⚠ Duplicate",""))</f>
        <v/>
      </c>
      <c r="AC414" s="42" t="n"/>
      <c r="AD414" s="42" t="n"/>
      <c r="AE414" s="42" t="n"/>
      <c r="AF414" s="42" t="n"/>
      <c r="AG414" s="42" t="n"/>
      <c r="AH414" s="42" t="n"/>
      <c r="AI414" s="42" t="n"/>
      <c r="AJ414" s="42" t="n"/>
      <c r="AK414" s="42" t="n"/>
      <c r="AL414" s="42" t="n"/>
      <c r="AM414" s="42" t="n"/>
      <c r="AN414" s="42" t="n"/>
      <c r="AO414" s="42" t="n"/>
      <c r="AP414" s="42" t="n"/>
    </row>
    <row r="415" ht="18" customHeight="1" s="74">
      <c r="A415" s="32" t="n"/>
      <c r="B415" s="32" t="n"/>
      <c r="C415" s="32" t="n"/>
      <c r="D415" s="32" t="n"/>
      <c r="E415" s="33" t="n"/>
      <c r="F415" s="33" t="n"/>
      <c r="G415" s="33" t="n"/>
      <c r="H415" s="33" t="n"/>
      <c r="I415" s="33" t="n"/>
      <c r="J415" s="33" t="n"/>
      <c r="K415" s="33" t="n"/>
      <c r="L415" s="33" t="n"/>
      <c r="M415" s="33" t="n"/>
      <c r="N415" s="33" t="n"/>
      <c r="O415" s="33" t="n"/>
      <c r="P415" s="33" t="n"/>
      <c r="Q415" s="33" t="n"/>
      <c r="R415" s="33" t="n"/>
      <c r="S415" s="33" t="n"/>
      <c r="T415" s="33" t="n"/>
      <c r="U415" s="33" t="n"/>
      <c r="V415" s="33" t="n"/>
      <c r="W415" s="34" t="n"/>
      <c r="X415" s="33" t="n"/>
      <c r="Y415" s="35" t="n"/>
      <c r="Z415" s="32" t="n"/>
      <c r="AA415" s="32" t="n"/>
      <c r="AB415" s="36">
        <f>IF(A415="","",IF(COUNTIF($A$6:$A$504,A415)&gt;1,"⚠ Duplicate",""))</f>
        <v/>
      </c>
      <c r="AC415" s="43" t="n"/>
      <c r="AD415" s="43" t="n"/>
      <c r="AE415" s="43" t="n"/>
      <c r="AF415" s="43" t="n"/>
      <c r="AG415" s="43" t="n"/>
      <c r="AH415" s="43" t="n"/>
      <c r="AI415" s="43" t="n"/>
      <c r="AJ415" s="43" t="n"/>
      <c r="AK415" s="43" t="n"/>
      <c r="AL415" s="43" t="n"/>
      <c r="AM415" s="43" t="n"/>
      <c r="AN415" s="43" t="n"/>
      <c r="AO415" s="43" t="n"/>
      <c r="AP415" s="43" t="n"/>
    </row>
    <row r="416" ht="18" customHeight="1" s="74">
      <c r="A416" s="38" t="n"/>
      <c r="B416" s="38" t="n"/>
      <c r="C416" s="38" t="n"/>
      <c r="D416" s="38" t="n"/>
      <c r="E416" s="39" t="n"/>
      <c r="F416" s="39" t="n"/>
      <c r="G416" s="39" t="n"/>
      <c r="H416" s="39" t="n"/>
      <c r="I416" s="39" t="n"/>
      <c r="J416" s="39" t="n"/>
      <c r="K416" s="39" t="n"/>
      <c r="L416" s="39" t="n"/>
      <c r="M416" s="39" t="n"/>
      <c r="N416" s="39" t="n"/>
      <c r="O416" s="39" t="n"/>
      <c r="P416" s="39" t="n"/>
      <c r="Q416" s="39" t="n"/>
      <c r="R416" s="39" t="n"/>
      <c r="S416" s="39" t="n"/>
      <c r="T416" s="39" t="n"/>
      <c r="U416" s="39" t="n"/>
      <c r="V416" s="39" t="n"/>
      <c r="W416" s="34" t="n"/>
      <c r="X416" s="39" t="n"/>
      <c r="Y416" s="40" t="n"/>
      <c r="Z416" s="38" t="n"/>
      <c r="AA416" s="38" t="n"/>
      <c r="AB416" s="41">
        <f>IF(A416="","",IF(COUNTIF($A$6:$A$504,A416)&gt;1,"⚠ Duplicate",""))</f>
        <v/>
      </c>
      <c r="AC416" s="42" t="n"/>
      <c r="AD416" s="42" t="n"/>
      <c r="AE416" s="42" t="n"/>
      <c r="AF416" s="42" t="n"/>
      <c r="AG416" s="42" t="n"/>
      <c r="AH416" s="42" t="n"/>
      <c r="AI416" s="42" t="n"/>
      <c r="AJ416" s="42" t="n"/>
      <c r="AK416" s="42" t="n"/>
      <c r="AL416" s="42" t="n"/>
      <c r="AM416" s="42" t="n"/>
      <c r="AN416" s="42" t="n"/>
      <c r="AO416" s="42" t="n"/>
      <c r="AP416" s="42" t="n"/>
    </row>
    <row r="417" ht="18" customHeight="1" s="74">
      <c r="A417" s="32" t="n"/>
      <c r="B417" s="32" t="n"/>
      <c r="C417" s="32" t="n"/>
      <c r="D417" s="32" t="n"/>
      <c r="E417" s="33" t="n"/>
      <c r="F417" s="33" t="n"/>
      <c r="G417" s="33" t="n"/>
      <c r="H417" s="33" t="n"/>
      <c r="I417" s="33" t="n"/>
      <c r="J417" s="33" t="n"/>
      <c r="K417" s="33" t="n"/>
      <c r="L417" s="33" t="n"/>
      <c r="M417" s="33" t="n"/>
      <c r="N417" s="33" t="n"/>
      <c r="O417" s="33" t="n"/>
      <c r="P417" s="33" t="n"/>
      <c r="Q417" s="33" t="n"/>
      <c r="R417" s="33" t="n"/>
      <c r="S417" s="33" t="n"/>
      <c r="T417" s="33" t="n"/>
      <c r="U417" s="33" t="n"/>
      <c r="V417" s="33" t="n"/>
      <c r="W417" s="34" t="n"/>
      <c r="X417" s="33" t="n"/>
      <c r="Y417" s="35" t="n"/>
      <c r="Z417" s="32" t="n"/>
      <c r="AA417" s="32" t="n"/>
      <c r="AB417" s="36">
        <f>IF(A417="","",IF(COUNTIF($A$6:$A$504,A417)&gt;1,"⚠ Duplicate",""))</f>
        <v/>
      </c>
      <c r="AC417" s="43" t="n"/>
      <c r="AD417" s="43" t="n"/>
      <c r="AE417" s="43" t="n"/>
      <c r="AF417" s="43" t="n"/>
      <c r="AG417" s="43" t="n"/>
      <c r="AH417" s="43" t="n"/>
      <c r="AI417" s="43" t="n"/>
      <c r="AJ417" s="43" t="n"/>
      <c r="AK417" s="43" t="n"/>
      <c r="AL417" s="43" t="n"/>
      <c r="AM417" s="43" t="n"/>
      <c r="AN417" s="43" t="n"/>
      <c r="AO417" s="43" t="n"/>
      <c r="AP417" s="43" t="n"/>
    </row>
    <row r="418" ht="18" customHeight="1" s="74">
      <c r="A418" s="38" t="n"/>
      <c r="B418" s="38" t="n"/>
      <c r="C418" s="38" t="n"/>
      <c r="D418" s="38" t="n"/>
      <c r="E418" s="39" t="n"/>
      <c r="F418" s="39" t="n"/>
      <c r="G418" s="39" t="n"/>
      <c r="H418" s="39" t="n"/>
      <c r="I418" s="39" t="n"/>
      <c r="J418" s="39" t="n"/>
      <c r="K418" s="39" t="n"/>
      <c r="L418" s="39" t="n"/>
      <c r="M418" s="39" t="n"/>
      <c r="N418" s="39" t="n"/>
      <c r="O418" s="39" t="n"/>
      <c r="P418" s="39" t="n"/>
      <c r="Q418" s="39" t="n"/>
      <c r="R418" s="39" t="n"/>
      <c r="S418" s="39" t="n"/>
      <c r="T418" s="39" t="n"/>
      <c r="U418" s="39" t="n"/>
      <c r="V418" s="39" t="n"/>
      <c r="W418" s="34" t="n"/>
      <c r="X418" s="39" t="n"/>
      <c r="Y418" s="40" t="n"/>
      <c r="Z418" s="38" t="n"/>
      <c r="AA418" s="38" t="n"/>
      <c r="AB418" s="41">
        <f>IF(A418="","",IF(COUNTIF($A$6:$A$504,A418)&gt;1,"⚠ Duplicate",""))</f>
        <v/>
      </c>
      <c r="AC418" s="42" t="n"/>
      <c r="AD418" s="42" t="n"/>
      <c r="AE418" s="42" t="n"/>
      <c r="AF418" s="42" t="n"/>
      <c r="AG418" s="42" t="n"/>
      <c r="AH418" s="42" t="n"/>
      <c r="AI418" s="42" t="n"/>
      <c r="AJ418" s="42" t="n"/>
      <c r="AK418" s="42" t="n"/>
      <c r="AL418" s="42" t="n"/>
      <c r="AM418" s="42" t="n"/>
      <c r="AN418" s="42" t="n"/>
      <c r="AO418" s="42" t="n"/>
      <c r="AP418" s="42" t="n"/>
    </row>
    <row r="419" ht="18" customHeight="1" s="74">
      <c r="A419" s="32" t="n"/>
      <c r="B419" s="32" t="n"/>
      <c r="C419" s="32" t="n"/>
      <c r="D419" s="32" t="n"/>
      <c r="E419" s="33" t="n"/>
      <c r="F419" s="33" t="n"/>
      <c r="G419" s="33" t="n"/>
      <c r="H419" s="33" t="n"/>
      <c r="I419" s="33" t="n"/>
      <c r="J419" s="33" t="n"/>
      <c r="K419" s="33" t="n"/>
      <c r="L419" s="33" t="n"/>
      <c r="M419" s="33" t="n"/>
      <c r="N419" s="33" t="n"/>
      <c r="O419" s="33" t="n"/>
      <c r="P419" s="33" t="n"/>
      <c r="Q419" s="33" t="n"/>
      <c r="R419" s="33" t="n"/>
      <c r="S419" s="33" t="n"/>
      <c r="T419" s="33" t="n"/>
      <c r="U419" s="33" t="n"/>
      <c r="V419" s="33" t="n"/>
      <c r="W419" s="34" t="n"/>
      <c r="X419" s="33" t="n"/>
      <c r="Y419" s="35" t="n"/>
      <c r="Z419" s="32" t="n"/>
      <c r="AA419" s="32" t="n"/>
      <c r="AB419" s="36">
        <f>IF(A419="","",IF(COUNTIF($A$6:$A$504,A419)&gt;1,"⚠ Duplicate",""))</f>
        <v/>
      </c>
      <c r="AC419" s="43" t="n"/>
      <c r="AD419" s="43" t="n"/>
      <c r="AE419" s="43" t="n"/>
      <c r="AF419" s="43" t="n"/>
      <c r="AG419" s="43" t="n"/>
      <c r="AH419" s="43" t="n"/>
      <c r="AI419" s="43" t="n"/>
      <c r="AJ419" s="43" t="n"/>
      <c r="AK419" s="43" t="n"/>
      <c r="AL419" s="43" t="n"/>
      <c r="AM419" s="43" t="n"/>
      <c r="AN419" s="43" t="n"/>
      <c r="AO419" s="43" t="n"/>
      <c r="AP419" s="43" t="n"/>
    </row>
    <row r="420" ht="18" customHeight="1" s="74">
      <c r="A420" s="38" t="n"/>
      <c r="B420" s="38" t="n"/>
      <c r="C420" s="38" t="n"/>
      <c r="D420" s="38" t="n"/>
      <c r="E420" s="39" t="n"/>
      <c r="F420" s="39" t="n"/>
      <c r="G420" s="39" t="n"/>
      <c r="H420" s="39" t="n"/>
      <c r="I420" s="39" t="n"/>
      <c r="J420" s="39" t="n"/>
      <c r="K420" s="39" t="n"/>
      <c r="L420" s="39" t="n"/>
      <c r="M420" s="39" t="n"/>
      <c r="N420" s="39" t="n"/>
      <c r="O420" s="39" t="n"/>
      <c r="P420" s="39" t="n"/>
      <c r="Q420" s="39" t="n"/>
      <c r="R420" s="39" t="n"/>
      <c r="S420" s="39" t="n"/>
      <c r="T420" s="39" t="n"/>
      <c r="U420" s="39" t="n"/>
      <c r="V420" s="39" t="n"/>
      <c r="W420" s="34" t="n"/>
      <c r="X420" s="39" t="n"/>
      <c r="Y420" s="40" t="n"/>
      <c r="Z420" s="38" t="n"/>
      <c r="AA420" s="38" t="n"/>
      <c r="AB420" s="41">
        <f>IF(A420="","",IF(COUNTIF($A$6:$A$504,A420)&gt;1,"⚠ Duplicate",""))</f>
        <v/>
      </c>
      <c r="AC420" s="42" t="n"/>
      <c r="AD420" s="42" t="n"/>
      <c r="AE420" s="42" t="n"/>
      <c r="AF420" s="42" t="n"/>
      <c r="AG420" s="42" t="n"/>
      <c r="AH420" s="42" t="n"/>
      <c r="AI420" s="42" t="n"/>
      <c r="AJ420" s="42" t="n"/>
      <c r="AK420" s="42" t="n"/>
      <c r="AL420" s="42" t="n"/>
      <c r="AM420" s="42" t="n"/>
      <c r="AN420" s="42" t="n"/>
      <c r="AO420" s="42" t="n"/>
      <c r="AP420" s="42" t="n"/>
    </row>
    <row r="421" ht="18" customHeight="1" s="74">
      <c r="A421" s="32" t="n"/>
      <c r="B421" s="32" t="n"/>
      <c r="C421" s="32" t="n"/>
      <c r="D421" s="32" t="n"/>
      <c r="E421" s="33" t="n"/>
      <c r="F421" s="33" t="n"/>
      <c r="G421" s="33" t="n"/>
      <c r="H421" s="33" t="n"/>
      <c r="I421" s="33" t="n"/>
      <c r="J421" s="33" t="n"/>
      <c r="K421" s="33" t="n"/>
      <c r="L421" s="33" t="n"/>
      <c r="M421" s="33" t="n"/>
      <c r="N421" s="33" t="n"/>
      <c r="O421" s="33" t="n"/>
      <c r="P421" s="33" t="n"/>
      <c r="Q421" s="33" t="n"/>
      <c r="R421" s="33" t="n"/>
      <c r="S421" s="33" t="n"/>
      <c r="T421" s="33" t="n"/>
      <c r="U421" s="33" t="n"/>
      <c r="V421" s="33" t="n"/>
      <c r="W421" s="34" t="n"/>
      <c r="X421" s="33" t="n"/>
      <c r="Y421" s="35" t="n"/>
      <c r="Z421" s="32" t="n"/>
      <c r="AA421" s="32" t="n"/>
      <c r="AB421" s="36">
        <f>IF(A421="","",IF(COUNTIF($A$6:$A$504,A421)&gt;1,"⚠ Duplicate",""))</f>
        <v/>
      </c>
      <c r="AC421" s="43" t="n"/>
      <c r="AD421" s="43" t="n"/>
      <c r="AE421" s="43" t="n"/>
      <c r="AF421" s="43" t="n"/>
      <c r="AG421" s="43" t="n"/>
      <c r="AH421" s="43" t="n"/>
      <c r="AI421" s="43" t="n"/>
      <c r="AJ421" s="43" t="n"/>
      <c r="AK421" s="43" t="n"/>
      <c r="AL421" s="43" t="n"/>
      <c r="AM421" s="43" t="n"/>
      <c r="AN421" s="43" t="n"/>
      <c r="AO421" s="43" t="n"/>
      <c r="AP421" s="43" t="n"/>
    </row>
    <row r="422" ht="18" customHeight="1" s="74">
      <c r="A422" s="38" t="n"/>
      <c r="B422" s="38" t="n"/>
      <c r="C422" s="38" t="n"/>
      <c r="D422" s="38" t="n"/>
      <c r="E422" s="39" t="n"/>
      <c r="F422" s="39" t="n"/>
      <c r="G422" s="39" t="n"/>
      <c r="H422" s="39" t="n"/>
      <c r="I422" s="39" t="n"/>
      <c r="J422" s="39" t="n"/>
      <c r="K422" s="39" t="n"/>
      <c r="L422" s="39" t="n"/>
      <c r="M422" s="39" t="n"/>
      <c r="N422" s="39" t="n"/>
      <c r="O422" s="39" t="n"/>
      <c r="P422" s="39" t="n"/>
      <c r="Q422" s="39" t="n"/>
      <c r="R422" s="39" t="n"/>
      <c r="S422" s="39" t="n"/>
      <c r="T422" s="39" t="n"/>
      <c r="U422" s="39" t="n"/>
      <c r="V422" s="39" t="n"/>
      <c r="W422" s="34" t="n"/>
      <c r="X422" s="39" t="n"/>
      <c r="Y422" s="40" t="n"/>
      <c r="Z422" s="38" t="n"/>
      <c r="AA422" s="38" t="n"/>
      <c r="AB422" s="41">
        <f>IF(A422="","",IF(COUNTIF($A$6:$A$504,A422)&gt;1,"⚠ Duplicate",""))</f>
        <v/>
      </c>
      <c r="AC422" s="42" t="n"/>
      <c r="AD422" s="42" t="n"/>
      <c r="AE422" s="42" t="n"/>
      <c r="AF422" s="42" t="n"/>
      <c r="AG422" s="42" t="n"/>
      <c r="AH422" s="42" t="n"/>
      <c r="AI422" s="42" t="n"/>
      <c r="AJ422" s="42" t="n"/>
      <c r="AK422" s="42" t="n"/>
      <c r="AL422" s="42" t="n"/>
      <c r="AM422" s="42" t="n"/>
      <c r="AN422" s="42" t="n"/>
      <c r="AO422" s="42" t="n"/>
      <c r="AP422" s="42" t="n"/>
    </row>
    <row r="423" ht="18" customHeight="1" s="74">
      <c r="A423" s="32" t="n"/>
      <c r="B423" s="32" t="n"/>
      <c r="C423" s="32" t="n"/>
      <c r="D423" s="32" t="n"/>
      <c r="E423" s="33" t="n"/>
      <c r="F423" s="33" t="n"/>
      <c r="G423" s="33" t="n"/>
      <c r="H423" s="33" t="n"/>
      <c r="I423" s="33" t="n"/>
      <c r="J423" s="33" t="n"/>
      <c r="K423" s="33" t="n"/>
      <c r="L423" s="33" t="n"/>
      <c r="M423" s="33" t="n"/>
      <c r="N423" s="33" t="n"/>
      <c r="O423" s="33" t="n"/>
      <c r="P423" s="33" t="n"/>
      <c r="Q423" s="33" t="n"/>
      <c r="R423" s="33" t="n"/>
      <c r="S423" s="33" t="n"/>
      <c r="T423" s="33" t="n"/>
      <c r="U423" s="33" t="n"/>
      <c r="V423" s="33" t="n"/>
      <c r="W423" s="34" t="n"/>
      <c r="X423" s="33" t="n"/>
      <c r="Y423" s="35" t="n"/>
      <c r="Z423" s="32" t="n"/>
      <c r="AA423" s="32" t="n"/>
      <c r="AB423" s="36">
        <f>IF(A423="","",IF(COUNTIF($A$6:$A$504,A423)&gt;1,"⚠ Duplicate",""))</f>
        <v/>
      </c>
      <c r="AC423" s="43" t="n"/>
      <c r="AD423" s="43" t="n"/>
      <c r="AE423" s="43" t="n"/>
      <c r="AF423" s="43" t="n"/>
      <c r="AG423" s="43" t="n"/>
      <c r="AH423" s="43" t="n"/>
      <c r="AI423" s="43" t="n"/>
      <c r="AJ423" s="43" t="n"/>
      <c r="AK423" s="43" t="n"/>
      <c r="AL423" s="43" t="n"/>
      <c r="AM423" s="43" t="n"/>
      <c r="AN423" s="43" t="n"/>
      <c r="AO423" s="43" t="n"/>
      <c r="AP423" s="43" t="n"/>
    </row>
    <row r="424" ht="18" customHeight="1" s="74">
      <c r="A424" s="38" t="n"/>
      <c r="B424" s="38" t="n"/>
      <c r="C424" s="38" t="n"/>
      <c r="D424" s="38" t="n"/>
      <c r="E424" s="39" t="n"/>
      <c r="F424" s="39" t="n"/>
      <c r="G424" s="39" t="n"/>
      <c r="H424" s="39" t="n"/>
      <c r="I424" s="39" t="n"/>
      <c r="J424" s="39" t="n"/>
      <c r="K424" s="39" t="n"/>
      <c r="L424" s="39" t="n"/>
      <c r="M424" s="39" t="n"/>
      <c r="N424" s="39" t="n"/>
      <c r="O424" s="39" t="n"/>
      <c r="P424" s="39" t="n"/>
      <c r="Q424" s="39" t="n"/>
      <c r="R424" s="39" t="n"/>
      <c r="S424" s="39" t="n"/>
      <c r="T424" s="39" t="n"/>
      <c r="U424" s="39" t="n"/>
      <c r="V424" s="39" t="n"/>
      <c r="W424" s="34" t="n"/>
      <c r="X424" s="39" t="n"/>
      <c r="Y424" s="40" t="n"/>
      <c r="Z424" s="38" t="n"/>
      <c r="AA424" s="38" t="n"/>
      <c r="AB424" s="41">
        <f>IF(A424="","",IF(COUNTIF($A$6:$A$504,A424)&gt;1,"⚠ Duplicate",""))</f>
        <v/>
      </c>
      <c r="AC424" s="42" t="n"/>
      <c r="AD424" s="42" t="n"/>
      <c r="AE424" s="42" t="n"/>
      <c r="AF424" s="42" t="n"/>
      <c r="AG424" s="42" t="n"/>
      <c r="AH424" s="42" t="n"/>
      <c r="AI424" s="42" t="n"/>
      <c r="AJ424" s="42" t="n"/>
      <c r="AK424" s="42" t="n"/>
      <c r="AL424" s="42" t="n"/>
      <c r="AM424" s="42" t="n"/>
      <c r="AN424" s="42" t="n"/>
      <c r="AO424" s="42" t="n"/>
      <c r="AP424" s="42" t="n"/>
    </row>
    <row r="425" ht="18" customHeight="1" s="74">
      <c r="A425" s="32" t="n"/>
      <c r="B425" s="32" t="n"/>
      <c r="C425" s="32" t="n"/>
      <c r="D425" s="32" t="n"/>
      <c r="E425" s="33" t="n"/>
      <c r="F425" s="33" t="n"/>
      <c r="G425" s="33" t="n"/>
      <c r="H425" s="33" t="n"/>
      <c r="I425" s="33" t="n"/>
      <c r="J425" s="33" t="n"/>
      <c r="K425" s="33" t="n"/>
      <c r="L425" s="33" t="n"/>
      <c r="M425" s="33" t="n"/>
      <c r="N425" s="33" t="n"/>
      <c r="O425" s="33" t="n"/>
      <c r="P425" s="33" t="n"/>
      <c r="Q425" s="33" t="n"/>
      <c r="R425" s="33" t="n"/>
      <c r="S425" s="33" t="n"/>
      <c r="T425" s="33" t="n"/>
      <c r="U425" s="33" t="n"/>
      <c r="V425" s="33" t="n"/>
      <c r="W425" s="34" t="n"/>
      <c r="X425" s="33" t="n"/>
      <c r="Y425" s="35" t="n"/>
      <c r="Z425" s="32" t="n"/>
      <c r="AA425" s="32" t="n"/>
      <c r="AB425" s="36">
        <f>IF(A425="","",IF(COUNTIF($A$6:$A$504,A425)&gt;1,"⚠ Duplicate",""))</f>
        <v/>
      </c>
      <c r="AC425" s="43" t="n"/>
      <c r="AD425" s="43" t="n"/>
      <c r="AE425" s="43" t="n"/>
      <c r="AF425" s="43" t="n"/>
      <c r="AG425" s="43" t="n"/>
      <c r="AH425" s="43" t="n"/>
      <c r="AI425" s="43" t="n"/>
      <c r="AJ425" s="43" t="n"/>
      <c r="AK425" s="43" t="n"/>
      <c r="AL425" s="43" t="n"/>
      <c r="AM425" s="43" t="n"/>
      <c r="AN425" s="43" t="n"/>
      <c r="AO425" s="43" t="n"/>
      <c r="AP425" s="43" t="n"/>
    </row>
    <row r="426" ht="18" customHeight="1" s="74">
      <c r="A426" s="38" t="n"/>
      <c r="B426" s="38" t="n"/>
      <c r="C426" s="38" t="n"/>
      <c r="D426" s="38" t="n"/>
      <c r="E426" s="39" t="n"/>
      <c r="F426" s="39" t="n"/>
      <c r="G426" s="39" t="n"/>
      <c r="H426" s="39" t="n"/>
      <c r="I426" s="39" t="n"/>
      <c r="J426" s="39" t="n"/>
      <c r="K426" s="39" t="n"/>
      <c r="L426" s="39" t="n"/>
      <c r="M426" s="39" t="n"/>
      <c r="N426" s="39" t="n"/>
      <c r="O426" s="39" t="n"/>
      <c r="P426" s="39" t="n"/>
      <c r="Q426" s="39" t="n"/>
      <c r="R426" s="39" t="n"/>
      <c r="S426" s="39" t="n"/>
      <c r="T426" s="39" t="n"/>
      <c r="U426" s="39" t="n"/>
      <c r="V426" s="39" t="n"/>
      <c r="W426" s="34" t="n"/>
      <c r="X426" s="39" t="n"/>
      <c r="Y426" s="40" t="n"/>
      <c r="Z426" s="38" t="n"/>
      <c r="AA426" s="38" t="n"/>
      <c r="AB426" s="41">
        <f>IF(A426="","",IF(COUNTIF($A$6:$A$504,A426)&gt;1,"⚠ Duplicate",""))</f>
        <v/>
      </c>
      <c r="AC426" s="42" t="n"/>
      <c r="AD426" s="42" t="n"/>
      <c r="AE426" s="42" t="n"/>
      <c r="AF426" s="42" t="n"/>
      <c r="AG426" s="42" t="n"/>
      <c r="AH426" s="42" t="n"/>
      <c r="AI426" s="42" t="n"/>
      <c r="AJ426" s="42" t="n"/>
      <c r="AK426" s="42" t="n"/>
      <c r="AL426" s="42" t="n"/>
      <c r="AM426" s="42" t="n"/>
      <c r="AN426" s="42" t="n"/>
      <c r="AO426" s="42" t="n"/>
      <c r="AP426" s="42" t="n"/>
    </row>
    <row r="427" ht="18" customHeight="1" s="74">
      <c r="A427" s="32" t="n"/>
      <c r="B427" s="32" t="n"/>
      <c r="C427" s="32" t="n"/>
      <c r="D427" s="32" t="n"/>
      <c r="E427" s="33" t="n"/>
      <c r="F427" s="33" t="n"/>
      <c r="G427" s="33" t="n"/>
      <c r="H427" s="33" t="n"/>
      <c r="I427" s="33" t="n"/>
      <c r="J427" s="33" t="n"/>
      <c r="K427" s="33" t="n"/>
      <c r="L427" s="33" t="n"/>
      <c r="M427" s="33" t="n"/>
      <c r="N427" s="33" t="n"/>
      <c r="O427" s="33" t="n"/>
      <c r="P427" s="33" t="n"/>
      <c r="Q427" s="33" t="n"/>
      <c r="R427" s="33" t="n"/>
      <c r="S427" s="33" t="n"/>
      <c r="T427" s="33" t="n"/>
      <c r="U427" s="33" t="n"/>
      <c r="V427" s="33" t="n"/>
      <c r="W427" s="34" t="n"/>
      <c r="X427" s="33" t="n"/>
      <c r="Y427" s="35" t="n"/>
      <c r="Z427" s="32" t="n"/>
      <c r="AA427" s="32" t="n"/>
      <c r="AB427" s="36">
        <f>IF(A427="","",IF(COUNTIF($A$6:$A$504,A427)&gt;1,"⚠ Duplicate",""))</f>
        <v/>
      </c>
      <c r="AC427" s="43" t="n"/>
      <c r="AD427" s="43" t="n"/>
      <c r="AE427" s="43" t="n"/>
      <c r="AF427" s="43" t="n"/>
      <c r="AG427" s="43" t="n"/>
      <c r="AH427" s="43" t="n"/>
      <c r="AI427" s="43" t="n"/>
      <c r="AJ427" s="43" t="n"/>
      <c r="AK427" s="43" t="n"/>
      <c r="AL427" s="43" t="n"/>
      <c r="AM427" s="43" t="n"/>
      <c r="AN427" s="43" t="n"/>
      <c r="AO427" s="43" t="n"/>
      <c r="AP427" s="43" t="n"/>
    </row>
    <row r="428" ht="18" customHeight="1" s="74">
      <c r="A428" s="38" t="n"/>
      <c r="B428" s="38" t="n"/>
      <c r="C428" s="38" t="n"/>
      <c r="D428" s="38" t="n"/>
      <c r="E428" s="39" t="n"/>
      <c r="F428" s="39" t="n"/>
      <c r="G428" s="39" t="n"/>
      <c r="H428" s="39" t="n"/>
      <c r="I428" s="39" t="n"/>
      <c r="J428" s="39" t="n"/>
      <c r="K428" s="39" t="n"/>
      <c r="L428" s="39" t="n"/>
      <c r="M428" s="39" t="n"/>
      <c r="N428" s="39" t="n"/>
      <c r="O428" s="39" t="n"/>
      <c r="P428" s="39" t="n"/>
      <c r="Q428" s="39" t="n"/>
      <c r="R428" s="39" t="n"/>
      <c r="S428" s="39" t="n"/>
      <c r="T428" s="39" t="n"/>
      <c r="U428" s="39" t="n"/>
      <c r="V428" s="39" t="n"/>
      <c r="W428" s="34" t="n"/>
      <c r="X428" s="39" t="n"/>
      <c r="Y428" s="40" t="n"/>
      <c r="Z428" s="38" t="n"/>
      <c r="AA428" s="38" t="n"/>
      <c r="AB428" s="41">
        <f>IF(A428="","",IF(COUNTIF($A$6:$A$504,A428)&gt;1,"⚠ Duplicate",""))</f>
        <v/>
      </c>
      <c r="AC428" s="42" t="n"/>
      <c r="AD428" s="42" t="n"/>
      <c r="AE428" s="42" t="n"/>
      <c r="AF428" s="42" t="n"/>
      <c r="AG428" s="42" t="n"/>
      <c r="AH428" s="42" t="n"/>
      <c r="AI428" s="42" t="n"/>
      <c r="AJ428" s="42" t="n"/>
      <c r="AK428" s="42" t="n"/>
      <c r="AL428" s="42" t="n"/>
      <c r="AM428" s="42" t="n"/>
      <c r="AN428" s="42" t="n"/>
      <c r="AO428" s="42" t="n"/>
      <c r="AP428" s="42" t="n"/>
    </row>
    <row r="429" ht="18" customHeight="1" s="74">
      <c r="A429" s="32" t="n"/>
      <c r="B429" s="32" t="n"/>
      <c r="C429" s="32" t="n"/>
      <c r="D429" s="32" t="n"/>
      <c r="E429" s="33" t="n"/>
      <c r="F429" s="33" t="n"/>
      <c r="G429" s="33" t="n"/>
      <c r="H429" s="33" t="n"/>
      <c r="I429" s="33" t="n"/>
      <c r="J429" s="33" t="n"/>
      <c r="K429" s="33" t="n"/>
      <c r="L429" s="33" t="n"/>
      <c r="M429" s="33" t="n"/>
      <c r="N429" s="33" t="n"/>
      <c r="O429" s="33" t="n"/>
      <c r="P429" s="33" t="n"/>
      <c r="Q429" s="33" t="n"/>
      <c r="R429" s="33" t="n"/>
      <c r="S429" s="33" t="n"/>
      <c r="T429" s="33" t="n"/>
      <c r="U429" s="33" t="n"/>
      <c r="V429" s="33" t="n"/>
      <c r="W429" s="34" t="n"/>
      <c r="X429" s="33" t="n"/>
      <c r="Y429" s="35" t="n"/>
      <c r="Z429" s="32" t="n"/>
      <c r="AA429" s="32" t="n"/>
      <c r="AB429" s="36">
        <f>IF(A429="","",IF(COUNTIF($A$6:$A$504,A429)&gt;1,"⚠ Duplicate",""))</f>
        <v/>
      </c>
      <c r="AC429" s="43" t="n"/>
      <c r="AD429" s="43" t="n"/>
      <c r="AE429" s="43" t="n"/>
      <c r="AF429" s="43" t="n"/>
      <c r="AG429" s="43" t="n"/>
      <c r="AH429" s="43" t="n"/>
      <c r="AI429" s="43" t="n"/>
      <c r="AJ429" s="43" t="n"/>
      <c r="AK429" s="43" t="n"/>
      <c r="AL429" s="43" t="n"/>
      <c r="AM429" s="43" t="n"/>
      <c r="AN429" s="43" t="n"/>
      <c r="AO429" s="43" t="n"/>
      <c r="AP429" s="43" t="n"/>
    </row>
    <row r="430" ht="18" customHeight="1" s="74">
      <c r="A430" s="38" t="n"/>
      <c r="B430" s="38" t="n"/>
      <c r="C430" s="38" t="n"/>
      <c r="D430" s="38" t="n"/>
      <c r="E430" s="39" t="n"/>
      <c r="F430" s="39" t="n"/>
      <c r="G430" s="39" t="n"/>
      <c r="H430" s="39" t="n"/>
      <c r="I430" s="39" t="n"/>
      <c r="J430" s="39" t="n"/>
      <c r="K430" s="39" t="n"/>
      <c r="L430" s="39" t="n"/>
      <c r="M430" s="39" t="n"/>
      <c r="N430" s="39" t="n"/>
      <c r="O430" s="39" t="n"/>
      <c r="P430" s="39" t="n"/>
      <c r="Q430" s="39" t="n"/>
      <c r="R430" s="39" t="n"/>
      <c r="S430" s="39" t="n"/>
      <c r="T430" s="39" t="n"/>
      <c r="U430" s="39" t="n"/>
      <c r="V430" s="39" t="n"/>
      <c r="W430" s="34" t="n"/>
      <c r="X430" s="39" t="n"/>
      <c r="Y430" s="40" t="n"/>
      <c r="Z430" s="38" t="n"/>
      <c r="AA430" s="38" t="n"/>
      <c r="AB430" s="41">
        <f>IF(A430="","",IF(COUNTIF($A$6:$A$504,A430)&gt;1,"⚠ Duplicate",""))</f>
        <v/>
      </c>
      <c r="AC430" s="42" t="n"/>
      <c r="AD430" s="42" t="n"/>
      <c r="AE430" s="42" t="n"/>
      <c r="AF430" s="42" t="n"/>
      <c r="AG430" s="42" t="n"/>
      <c r="AH430" s="42" t="n"/>
      <c r="AI430" s="42" t="n"/>
      <c r="AJ430" s="42" t="n"/>
      <c r="AK430" s="42" t="n"/>
      <c r="AL430" s="42" t="n"/>
      <c r="AM430" s="42" t="n"/>
      <c r="AN430" s="42" t="n"/>
      <c r="AO430" s="42" t="n"/>
      <c r="AP430" s="42" t="n"/>
    </row>
    <row r="431" ht="18" customHeight="1" s="74">
      <c r="A431" s="32" t="n"/>
      <c r="B431" s="32" t="n"/>
      <c r="C431" s="32" t="n"/>
      <c r="D431" s="32" t="n"/>
      <c r="E431" s="33" t="n"/>
      <c r="F431" s="33" t="n"/>
      <c r="G431" s="33" t="n"/>
      <c r="H431" s="33" t="n"/>
      <c r="I431" s="33" t="n"/>
      <c r="J431" s="33" t="n"/>
      <c r="K431" s="33" t="n"/>
      <c r="L431" s="33" t="n"/>
      <c r="M431" s="33" t="n"/>
      <c r="N431" s="33" t="n"/>
      <c r="O431" s="33" t="n"/>
      <c r="P431" s="33" t="n"/>
      <c r="Q431" s="33" t="n"/>
      <c r="R431" s="33" t="n"/>
      <c r="S431" s="33" t="n"/>
      <c r="T431" s="33" t="n"/>
      <c r="U431" s="33" t="n"/>
      <c r="V431" s="33" t="n"/>
      <c r="W431" s="34" t="n"/>
      <c r="X431" s="33" t="n"/>
      <c r="Y431" s="35" t="n"/>
      <c r="Z431" s="32" t="n"/>
      <c r="AA431" s="32" t="n"/>
      <c r="AB431" s="36">
        <f>IF(A431="","",IF(COUNTIF($A$6:$A$504,A431)&gt;1,"⚠ Duplicate",""))</f>
        <v/>
      </c>
      <c r="AC431" s="43" t="n"/>
      <c r="AD431" s="43" t="n"/>
      <c r="AE431" s="43" t="n"/>
      <c r="AF431" s="43" t="n"/>
      <c r="AG431" s="43" t="n"/>
      <c r="AH431" s="43" t="n"/>
      <c r="AI431" s="43" t="n"/>
      <c r="AJ431" s="43" t="n"/>
      <c r="AK431" s="43" t="n"/>
      <c r="AL431" s="43" t="n"/>
      <c r="AM431" s="43" t="n"/>
      <c r="AN431" s="43" t="n"/>
      <c r="AO431" s="43" t="n"/>
      <c r="AP431" s="43" t="n"/>
    </row>
    <row r="432" ht="18" customHeight="1" s="74">
      <c r="A432" s="38" t="n"/>
      <c r="B432" s="38" t="n"/>
      <c r="C432" s="38" t="n"/>
      <c r="D432" s="38" t="n"/>
      <c r="E432" s="39" t="n"/>
      <c r="F432" s="39" t="n"/>
      <c r="G432" s="39" t="n"/>
      <c r="H432" s="39" t="n"/>
      <c r="I432" s="39" t="n"/>
      <c r="J432" s="39" t="n"/>
      <c r="K432" s="39" t="n"/>
      <c r="L432" s="39" t="n"/>
      <c r="M432" s="39" t="n"/>
      <c r="N432" s="39" t="n"/>
      <c r="O432" s="39" t="n"/>
      <c r="P432" s="39" t="n"/>
      <c r="Q432" s="39" t="n"/>
      <c r="R432" s="39" t="n"/>
      <c r="S432" s="39" t="n"/>
      <c r="T432" s="39" t="n"/>
      <c r="U432" s="39" t="n"/>
      <c r="V432" s="39" t="n"/>
      <c r="W432" s="34" t="n"/>
      <c r="X432" s="39" t="n"/>
      <c r="Y432" s="40" t="n"/>
      <c r="Z432" s="38" t="n"/>
      <c r="AA432" s="38" t="n"/>
      <c r="AB432" s="41">
        <f>IF(A432="","",IF(COUNTIF($A$6:$A$504,A432)&gt;1,"⚠ Duplicate",""))</f>
        <v/>
      </c>
      <c r="AC432" s="42" t="n"/>
      <c r="AD432" s="42" t="n"/>
      <c r="AE432" s="42" t="n"/>
      <c r="AF432" s="42" t="n"/>
      <c r="AG432" s="42" t="n"/>
      <c r="AH432" s="42" t="n"/>
      <c r="AI432" s="42" t="n"/>
      <c r="AJ432" s="42" t="n"/>
      <c r="AK432" s="42" t="n"/>
      <c r="AL432" s="42" t="n"/>
      <c r="AM432" s="42" t="n"/>
      <c r="AN432" s="42" t="n"/>
      <c r="AO432" s="42" t="n"/>
      <c r="AP432" s="42" t="n"/>
    </row>
    <row r="433" ht="18" customHeight="1" s="74">
      <c r="A433" s="32" t="n"/>
      <c r="B433" s="32" t="n"/>
      <c r="C433" s="32" t="n"/>
      <c r="D433" s="32" t="n"/>
      <c r="E433" s="33" t="n"/>
      <c r="F433" s="33" t="n"/>
      <c r="G433" s="33" t="n"/>
      <c r="H433" s="33" t="n"/>
      <c r="I433" s="33" t="n"/>
      <c r="J433" s="33" t="n"/>
      <c r="K433" s="33" t="n"/>
      <c r="L433" s="33" t="n"/>
      <c r="M433" s="33" t="n"/>
      <c r="N433" s="33" t="n"/>
      <c r="O433" s="33" t="n"/>
      <c r="P433" s="33" t="n"/>
      <c r="Q433" s="33" t="n"/>
      <c r="R433" s="33" t="n"/>
      <c r="S433" s="33" t="n"/>
      <c r="T433" s="33" t="n"/>
      <c r="U433" s="33" t="n"/>
      <c r="V433" s="33" t="n"/>
      <c r="W433" s="34" t="n"/>
      <c r="X433" s="33" t="n"/>
      <c r="Y433" s="35" t="n"/>
      <c r="Z433" s="32" t="n"/>
      <c r="AA433" s="32" t="n"/>
      <c r="AB433" s="36">
        <f>IF(A433="","",IF(COUNTIF($A$6:$A$504,A433)&gt;1,"⚠ Duplicate",""))</f>
        <v/>
      </c>
      <c r="AC433" s="43" t="n"/>
      <c r="AD433" s="43" t="n"/>
      <c r="AE433" s="43" t="n"/>
      <c r="AF433" s="43" t="n"/>
      <c r="AG433" s="43" t="n"/>
      <c r="AH433" s="43" t="n"/>
      <c r="AI433" s="43" t="n"/>
      <c r="AJ433" s="43" t="n"/>
      <c r="AK433" s="43" t="n"/>
      <c r="AL433" s="43" t="n"/>
      <c r="AM433" s="43" t="n"/>
      <c r="AN433" s="43" t="n"/>
      <c r="AO433" s="43" t="n"/>
      <c r="AP433" s="43" t="n"/>
    </row>
    <row r="434" ht="18" customHeight="1" s="74">
      <c r="A434" s="38" t="n"/>
      <c r="B434" s="38" t="n"/>
      <c r="C434" s="38" t="n"/>
      <c r="D434" s="38" t="n"/>
      <c r="E434" s="39" t="n"/>
      <c r="F434" s="39" t="n"/>
      <c r="G434" s="39" t="n"/>
      <c r="H434" s="39" t="n"/>
      <c r="I434" s="39" t="n"/>
      <c r="J434" s="39" t="n"/>
      <c r="K434" s="39" t="n"/>
      <c r="L434" s="39" t="n"/>
      <c r="M434" s="39" t="n"/>
      <c r="N434" s="39" t="n"/>
      <c r="O434" s="39" t="n"/>
      <c r="P434" s="39" t="n"/>
      <c r="Q434" s="39" t="n"/>
      <c r="R434" s="39" t="n"/>
      <c r="S434" s="39" t="n"/>
      <c r="T434" s="39" t="n"/>
      <c r="U434" s="39" t="n"/>
      <c r="V434" s="39" t="n"/>
      <c r="W434" s="34" t="n"/>
      <c r="X434" s="39" t="n"/>
      <c r="Y434" s="40" t="n"/>
      <c r="Z434" s="38" t="n"/>
      <c r="AA434" s="38" t="n"/>
      <c r="AB434" s="41">
        <f>IF(A434="","",IF(COUNTIF($A$6:$A$504,A434)&gt;1,"⚠ Duplicate",""))</f>
        <v/>
      </c>
      <c r="AC434" s="42" t="n"/>
      <c r="AD434" s="42" t="n"/>
      <c r="AE434" s="42" t="n"/>
      <c r="AF434" s="42" t="n"/>
      <c r="AG434" s="42" t="n"/>
      <c r="AH434" s="42" t="n"/>
      <c r="AI434" s="42" t="n"/>
      <c r="AJ434" s="42" t="n"/>
      <c r="AK434" s="42" t="n"/>
      <c r="AL434" s="42" t="n"/>
      <c r="AM434" s="42" t="n"/>
      <c r="AN434" s="42" t="n"/>
      <c r="AO434" s="42" t="n"/>
      <c r="AP434" s="42" t="n"/>
    </row>
    <row r="435" ht="18" customHeight="1" s="74">
      <c r="A435" s="32" t="n"/>
      <c r="B435" s="32" t="n"/>
      <c r="C435" s="32" t="n"/>
      <c r="D435" s="32" t="n"/>
      <c r="E435" s="33" t="n"/>
      <c r="F435" s="33" t="n"/>
      <c r="G435" s="33" t="n"/>
      <c r="H435" s="33" t="n"/>
      <c r="I435" s="33" t="n"/>
      <c r="J435" s="33" t="n"/>
      <c r="K435" s="33" t="n"/>
      <c r="L435" s="33" t="n"/>
      <c r="M435" s="33" t="n"/>
      <c r="N435" s="33" t="n"/>
      <c r="O435" s="33" t="n"/>
      <c r="P435" s="33" t="n"/>
      <c r="Q435" s="33" t="n"/>
      <c r="R435" s="33" t="n"/>
      <c r="S435" s="33" t="n"/>
      <c r="T435" s="33" t="n"/>
      <c r="U435" s="33" t="n"/>
      <c r="V435" s="33" t="n"/>
      <c r="W435" s="34" t="n"/>
      <c r="X435" s="33" t="n"/>
      <c r="Y435" s="35" t="n"/>
      <c r="Z435" s="32" t="n"/>
      <c r="AA435" s="32" t="n"/>
      <c r="AB435" s="36">
        <f>IF(A435="","",IF(COUNTIF($A$6:$A$504,A435)&gt;1,"⚠ Duplicate",""))</f>
        <v/>
      </c>
      <c r="AC435" s="43" t="n"/>
      <c r="AD435" s="43" t="n"/>
      <c r="AE435" s="43" t="n"/>
      <c r="AF435" s="43" t="n"/>
      <c r="AG435" s="43" t="n"/>
      <c r="AH435" s="43" t="n"/>
      <c r="AI435" s="43" t="n"/>
      <c r="AJ435" s="43" t="n"/>
      <c r="AK435" s="43" t="n"/>
      <c r="AL435" s="43" t="n"/>
      <c r="AM435" s="43" t="n"/>
      <c r="AN435" s="43" t="n"/>
      <c r="AO435" s="43" t="n"/>
      <c r="AP435" s="43" t="n"/>
    </row>
    <row r="436" ht="18" customHeight="1" s="74">
      <c r="A436" s="38" t="n"/>
      <c r="B436" s="38" t="n"/>
      <c r="C436" s="38" t="n"/>
      <c r="D436" s="38" t="n"/>
      <c r="E436" s="39" t="n"/>
      <c r="F436" s="39" t="n"/>
      <c r="G436" s="39" t="n"/>
      <c r="H436" s="39" t="n"/>
      <c r="I436" s="39" t="n"/>
      <c r="J436" s="39" t="n"/>
      <c r="K436" s="39" t="n"/>
      <c r="L436" s="39" t="n"/>
      <c r="M436" s="39" t="n"/>
      <c r="N436" s="39" t="n"/>
      <c r="O436" s="39" t="n"/>
      <c r="P436" s="39" t="n"/>
      <c r="Q436" s="39" t="n"/>
      <c r="R436" s="39" t="n"/>
      <c r="S436" s="39" t="n"/>
      <c r="T436" s="39" t="n"/>
      <c r="U436" s="39" t="n"/>
      <c r="V436" s="39" t="n"/>
      <c r="W436" s="34" t="n"/>
      <c r="X436" s="39" t="n"/>
      <c r="Y436" s="40" t="n"/>
      <c r="Z436" s="38" t="n"/>
      <c r="AA436" s="38" t="n"/>
      <c r="AB436" s="41">
        <f>IF(A436="","",IF(COUNTIF($A$6:$A$504,A436)&gt;1,"⚠ Duplicate",""))</f>
        <v/>
      </c>
      <c r="AC436" s="42" t="n"/>
      <c r="AD436" s="42" t="n"/>
      <c r="AE436" s="42" t="n"/>
      <c r="AF436" s="42" t="n"/>
      <c r="AG436" s="42" t="n"/>
      <c r="AH436" s="42" t="n"/>
      <c r="AI436" s="42" t="n"/>
      <c r="AJ436" s="42" t="n"/>
      <c r="AK436" s="42" t="n"/>
      <c r="AL436" s="42" t="n"/>
      <c r="AM436" s="42" t="n"/>
      <c r="AN436" s="42" t="n"/>
      <c r="AO436" s="42" t="n"/>
      <c r="AP436" s="42" t="n"/>
    </row>
    <row r="437" ht="18" customHeight="1" s="74">
      <c r="A437" s="32" t="n"/>
      <c r="B437" s="32" t="n"/>
      <c r="C437" s="32" t="n"/>
      <c r="D437" s="32" t="n"/>
      <c r="E437" s="33" t="n"/>
      <c r="F437" s="33" t="n"/>
      <c r="G437" s="33" t="n"/>
      <c r="H437" s="33" t="n"/>
      <c r="I437" s="33" t="n"/>
      <c r="J437" s="33" t="n"/>
      <c r="K437" s="33" t="n"/>
      <c r="L437" s="33" t="n"/>
      <c r="M437" s="33" t="n"/>
      <c r="N437" s="33" t="n"/>
      <c r="O437" s="33" t="n"/>
      <c r="P437" s="33" t="n"/>
      <c r="Q437" s="33" t="n"/>
      <c r="R437" s="33" t="n"/>
      <c r="S437" s="33" t="n"/>
      <c r="T437" s="33" t="n"/>
      <c r="U437" s="33" t="n"/>
      <c r="V437" s="33" t="n"/>
      <c r="W437" s="34" t="n"/>
      <c r="X437" s="33" t="n"/>
      <c r="Y437" s="35" t="n"/>
      <c r="Z437" s="32" t="n"/>
      <c r="AA437" s="32" t="n"/>
      <c r="AB437" s="36">
        <f>IF(A437="","",IF(COUNTIF($A$6:$A$504,A437)&gt;1,"⚠ Duplicate",""))</f>
        <v/>
      </c>
      <c r="AC437" s="43" t="n"/>
      <c r="AD437" s="43" t="n"/>
      <c r="AE437" s="43" t="n"/>
      <c r="AF437" s="43" t="n"/>
      <c r="AG437" s="43" t="n"/>
      <c r="AH437" s="43" t="n"/>
      <c r="AI437" s="43" t="n"/>
      <c r="AJ437" s="43" t="n"/>
      <c r="AK437" s="43" t="n"/>
      <c r="AL437" s="43" t="n"/>
      <c r="AM437" s="43" t="n"/>
      <c r="AN437" s="43" t="n"/>
      <c r="AO437" s="43" t="n"/>
      <c r="AP437" s="43" t="n"/>
    </row>
    <row r="438" ht="18" customHeight="1" s="74">
      <c r="A438" s="38" t="n"/>
      <c r="B438" s="38" t="n"/>
      <c r="C438" s="38" t="n"/>
      <c r="D438" s="38" t="n"/>
      <c r="E438" s="39" t="n"/>
      <c r="F438" s="39" t="n"/>
      <c r="G438" s="39" t="n"/>
      <c r="H438" s="39" t="n"/>
      <c r="I438" s="39" t="n"/>
      <c r="J438" s="39" t="n"/>
      <c r="K438" s="39" t="n"/>
      <c r="L438" s="39" t="n"/>
      <c r="M438" s="39" t="n"/>
      <c r="N438" s="39" t="n"/>
      <c r="O438" s="39" t="n"/>
      <c r="P438" s="39" t="n"/>
      <c r="Q438" s="39" t="n"/>
      <c r="R438" s="39" t="n"/>
      <c r="S438" s="39" t="n"/>
      <c r="T438" s="39" t="n"/>
      <c r="U438" s="39" t="n"/>
      <c r="V438" s="39" t="n"/>
      <c r="W438" s="34" t="n"/>
      <c r="X438" s="39" t="n"/>
      <c r="Y438" s="40" t="n"/>
      <c r="Z438" s="38" t="n"/>
      <c r="AA438" s="38" t="n"/>
      <c r="AB438" s="41">
        <f>IF(A438="","",IF(COUNTIF($A$6:$A$504,A438)&gt;1,"⚠ Duplicate",""))</f>
        <v/>
      </c>
      <c r="AC438" s="42" t="n"/>
      <c r="AD438" s="42" t="n"/>
      <c r="AE438" s="42" t="n"/>
      <c r="AF438" s="42" t="n"/>
      <c r="AG438" s="42" t="n"/>
      <c r="AH438" s="42" t="n"/>
      <c r="AI438" s="42" t="n"/>
      <c r="AJ438" s="42" t="n"/>
      <c r="AK438" s="42" t="n"/>
      <c r="AL438" s="42" t="n"/>
      <c r="AM438" s="42" t="n"/>
      <c r="AN438" s="42" t="n"/>
      <c r="AO438" s="42" t="n"/>
      <c r="AP438" s="42" t="n"/>
    </row>
    <row r="439" ht="18" customHeight="1" s="74">
      <c r="A439" s="32" t="n"/>
      <c r="B439" s="32" t="n"/>
      <c r="C439" s="32" t="n"/>
      <c r="D439" s="32" t="n"/>
      <c r="E439" s="33" t="n"/>
      <c r="F439" s="33" t="n"/>
      <c r="G439" s="33" t="n"/>
      <c r="H439" s="33" t="n"/>
      <c r="I439" s="33" t="n"/>
      <c r="J439" s="33" t="n"/>
      <c r="K439" s="33" t="n"/>
      <c r="L439" s="33" t="n"/>
      <c r="M439" s="33" t="n"/>
      <c r="N439" s="33" t="n"/>
      <c r="O439" s="33" t="n"/>
      <c r="P439" s="33" t="n"/>
      <c r="Q439" s="33" t="n"/>
      <c r="R439" s="33" t="n"/>
      <c r="S439" s="33" t="n"/>
      <c r="T439" s="33" t="n"/>
      <c r="U439" s="33" t="n"/>
      <c r="V439" s="33" t="n"/>
      <c r="W439" s="34" t="n"/>
      <c r="X439" s="33" t="n"/>
      <c r="Y439" s="35" t="n"/>
      <c r="Z439" s="32" t="n"/>
      <c r="AA439" s="32" t="n"/>
      <c r="AB439" s="36">
        <f>IF(A439="","",IF(COUNTIF($A$6:$A$504,A439)&gt;1,"⚠ Duplicate",""))</f>
        <v/>
      </c>
      <c r="AC439" s="43" t="n"/>
      <c r="AD439" s="43" t="n"/>
      <c r="AE439" s="43" t="n"/>
      <c r="AF439" s="43" t="n"/>
      <c r="AG439" s="43" t="n"/>
      <c r="AH439" s="43" t="n"/>
      <c r="AI439" s="43" t="n"/>
      <c r="AJ439" s="43" t="n"/>
      <c r="AK439" s="43" t="n"/>
      <c r="AL439" s="43" t="n"/>
      <c r="AM439" s="43" t="n"/>
      <c r="AN439" s="43" t="n"/>
      <c r="AO439" s="43" t="n"/>
      <c r="AP439" s="43" t="n"/>
    </row>
    <row r="440" ht="18" customHeight="1" s="74">
      <c r="A440" s="38" t="n"/>
      <c r="B440" s="38" t="n"/>
      <c r="C440" s="38" t="n"/>
      <c r="D440" s="38" t="n"/>
      <c r="E440" s="39" t="n"/>
      <c r="F440" s="39" t="n"/>
      <c r="G440" s="39" t="n"/>
      <c r="H440" s="39" t="n"/>
      <c r="I440" s="39" t="n"/>
      <c r="J440" s="39" t="n"/>
      <c r="K440" s="39" t="n"/>
      <c r="L440" s="39" t="n"/>
      <c r="M440" s="39" t="n"/>
      <c r="N440" s="39" t="n"/>
      <c r="O440" s="39" t="n"/>
      <c r="P440" s="39" t="n"/>
      <c r="Q440" s="39" t="n"/>
      <c r="R440" s="39" t="n"/>
      <c r="S440" s="39" t="n"/>
      <c r="T440" s="39" t="n"/>
      <c r="U440" s="39" t="n"/>
      <c r="V440" s="39" t="n"/>
      <c r="W440" s="34" t="n"/>
      <c r="X440" s="39" t="n"/>
      <c r="Y440" s="40" t="n"/>
      <c r="Z440" s="38" t="n"/>
      <c r="AA440" s="38" t="n"/>
      <c r="AB440" s="41">
        <f>IF(A440="","",IF(COUNTIF($A$6:$A$504,A440)&gt;1,"⚠ Duplicate",""))</f>
        <v/>
      </c>
      <c r="AC440" s="42" t="n"/>
      <c r="AD440" s="42" t="n"/>
      <c r="AE440" s="42" t="n"/>
      <c r="AF440" s="42" t="n"/>
      <c r="AG440" s="42" t="n"/>
      <c r="AH440" s="42" t="n"/>
      <c r="AI440" s="42" t="n"/>
      <c r="AJ440" s="42" t="n"/>
      <c r="AK440" s="42" t="n"/>
      <c r="AL440" s="42" t="n"/>
      <c r="AM440" s="42" t="n"/>
      <c r="AN440" s="42" t="n"/>
      <c r="AO440" s="42" t="n"/>
      <c r="AP440" s="42" t="n"/>
    </row>
    <row r="441" ht="18" customHeight="1" s="74">
      <c r="A441" s="32" t="n"/>
      <c r="B441" s="32" t="n"/>
      <c r="C441" s="32" t="n"/>
      <c r="D441" s="32" t="n"/>
      <c r="E441" s="33" t="n"/>
      <c r="F441" s="33" t="n"/>
      <c r="G441" s="33" t="n"/>
      <c r="H441" s="33" t="n"/>
      <c r="I441" s="33" t="n"/>
      <c r="J441" s="33" t="n"/>
      <c r="K441" s="33" t="n"/>
      <c r="L441" s="33" t="n"/>
      <c r="M441" s="33" t="n"/>
      <c r="N441" s="33" t="n"/>
      <c r="O441" s="33" t="n"/>
      <c r="P441" s="33" t="n"/>
      <c r="Q441" s="33" t="n"/>
      <c r="R441" s="33" t="n"/>
      <c r="S441" s="33" t="n"/>
      <c r="T441" s="33" t="n"/>
      <c r="U441" s="33" t="n"/>
      <c r="V441" s="33" t="n"/>
      <c r="W441" s="34" t="n"/>
      <c r="X441" s="33" t="n"/>
      <c r="Y441" s="35" t="n"/>
      <c r="Z441" s="32" t="n"/>
      <c r="AA441" s="32" t="n"/>
      <c r="AB441" s="36">
        <f>IF(A441="","",IF(COUNTIF($A$6:$A$504,A441)&gt;1,"⚠ Duplicate",""))</f>
        <v/>
      </c>
      <c r="AC441" s="43" t="n"/>
      <c r="AD441" s="43" t="n"/>
      <c r="AE441" s="43" t="n"/>
      <c r="AF441" s="43" t="n"/>
      <c r="AG441" s="43" t="n"/>
      <c r="AH441" s="43" t="n"/>
      <c r="AI441" s="43" t="n"/>
      <c r="AJ441" s="43" t="n"/>
      <c r="AK441" s="43" t="n"/>
      <c r="AL441" s="43" t="n"/>
      <c r="AM441" s="43" t="n"/>
      <c r="AN441" s="43" t="n"/>
      <c r="AO441" s="43" t="n"/>
      <c r="AP441" s="43" t="n"/>
    </row>
    <row r="442" ht="18" customHeight="1" s="74">
      <c r="A442" s="38" t="n"/>
      <c r="B442" s="38" t="n"/>
      <c r="C442" s="38" t="n"/>
      <c r="D442" s="38" t="n"/>
      <c r="E442" s="39" t="n"/>
      <c r="F442" s="39" t="n"/>
      <c r="G442" s="39" t="n"/>
      <c r="H442" s="39" t="n"/>
      <c r="I442" s="39" t="n"/>
      <c r="J442" s="39" t="n"/>
      <c r="K442" s="39" t="n"/>
      <c r="L442" s="39" t="n"/>
      <c r="M442" s="39" t="n"/>
      <c r="N442" s="39" t="n"/>
      <c r="O442" s="39" t="n"/>
      <c r="P442" s="39" t="n"/>
      <c r="Q442" s="39" t="n"/>
      <c r="R442" s="39" t="n"/>
      <c r="S442" s="39" t="n"/>
      <c r="T442" s="39" t="n"/>
      <c r="U442" s="39" t="n"/>
      <c r="V442" s="39" t="n"/>
      <c r="W442" s="34" t="n"/>
      <c r="X442" s="39" t="n"/>
      <c r="Y442" s="40" t="n"/>
      <c r="Z442" s="38" t="n"/>
      <c r="AA442" s="38" t="n"/>
      <c r="AB442" s="41">
        <f>IF(A442="","",IF(COUNTIF($A$6:$A$504,A442)&gt;1,"⚠ Duplicate",""))</f>
        <v/>
      </c>
      <c r="AC442" s="42" t="n"/>
      <c r="AD442" s="42" t="n"/>
      <c r="AE442" s="42" t="n"/>
      <c r="AF442" s="42" t="n"/>
      <c r="AG442" s="42" t="n"/>
      <c r="AH442" s="42" t="n"/>
      <c r="AI442" s="42" t="n"/>
      <c r="AJ442" s="42" t="n"/>
      <c r="AK442" s="42" t="n"/>
      <c r="AL442" s="42" t="n"/>
      <c r="AM442" s="42" t="n"/>
      <c r="AN442" s="42" t="n"/>
      <c r="AO442" s="42" t="n"/>
      <c r="AP442" s="42" t="n"/>
    </row>
    <row r="443" ht="18" customHeight="1" s="74">
      <c r="A443" s="32" t="n"/>
      <c r="B443" s="32" t="n"/>
      <c r="C443" s="32" t="n"/>
      <c r="D443" s="32" t="n"/>
      <c r="E443" s="33" t="n"/>
      <c r="F443" s="33" t="n"/>
      <c r="G443" s="33" t="n"/>
      <c r="H443" s="33" t="n"/>
      <c r="I443" s="33" t="n"/>
      <c r="J443" s="33" t="n"/>
      <c r="K443" s="33" t="n"/>
      <c r="L443" s="33" t="n"/>
      <c r="M443" s="33" t="n"/>
      <c r="N443" s="33" t="n"/>
      <c r="O443" s="33" t="n"/>
      <c r="P443" s="33" t="n"/>
      <c r="Q443" s="33" t="n"/>
      <c r="R443" s="33" t="n"/>
      <c r="S443" s="33" t="n"/>
      <c r="T443" s="33" t="n"/>
      <c r="U443" s="33" t="n"/>
      <c r="V443" s="33" t="n"/>
      <c r="W443" s="34" t="n"/>
      <c r="X443" s="33" t="n"/>
      <c r="Y443" s="35" t="n"/>
      <c r="Z443" s="32" t="n"/>
      <c r="AA443" s="32" t="n"/>
      <c r="AB443" s="36">
        <f>IF(A443="","",IF(COUNTIF($A$6:$A$504,A443)&gt;1,"⚠ Duplicate",""))</f>
        <v/>
      </c>
      <c r="AC443" s="43" t="n"/>
      <c r="AD443" s="43" t="n"/>
      <c r="AE443" s="43" t="n"/>
      <c r="AF443" s="43" t="n"/>
      <c r="AG443" s="43" t="n"/>
      <c r="AH443" s="43" t="n"/>
      <c r="AI443" s="43" t="n"/>
      <c r="AJ443" s="43" t="n"/>
      <c r="AK443" s="43" t="n"/>
      <c r="AL443" s="43" t="n"/>
      <c r="AM443" s="43" t="n"/>
      <c r="AN443" s="43" t="n"/>
      <c r="AO443" s="43" t="n"/>
      <c r="AP443" s="43" t="n"/>
    </row>
    <row r="444" ht="18" customHeight="1" s="74">
      <c r="A444" s="38" t="n"/>
      <c r="B444" s="38" t="n"/>
      <c r="C444" s="38" t="n"/>
      <c r="D444" s="38" t="n"/>
      <c r="E444" s="39" t="n"/>
      <c r="F444" s="39" t="n"/>
      <c r="G444" s="39" t="n"/>
      <c r="H444" s="39" t="n"/>
      <c r="I444" s="39" t="n"/>
      <c r="J444" s="39" t="n"/>
      <c r="K444" s="39" t="n"/>
      <c r="L444" s="39" t="n"/>
      <c r="M444" s="39" t="n"/>
      <c r="N444" s="39" t="n"/>
      <c r="O444" s="39" t="n"/>
      <c r="P444" s="39" t="n"/>
      <c r="Q444" s="39" t="n"/>
      <c r="R444" s="39" t="n"/>
      <c r="S444" s="39" t="n"/>
      <c r="T444" s="39" t="n"/>
      <c r="U444" s="39" t="n"/>
      <c r="V444" s="39" t="n"/>
      <c r="W444" s="34" t="n"/>
      <c r="X444" s="39" t="n"/>
      <c r="Y444" s="40" t="n"/>
      <c r="Z444" s="38" t="n"/>
      <c r="AA444" s="38" t="n"/>
      <c r="AB444" s="41">
        <f>IF(A444="","",IF(COUNTIF($A$6:$A$504,A444)&gt;1,"⚠ Duplicate",""))</f>
        <v/>
      </c>
      <c r="AC444" s="42" t="n"/>
      <c r="AD444" s="42" t="n"/>
      <c r="AE444" s="42" t="n"/>
      <c r="AF444" s="42" t="n"/>
      <c r="AG444" s="42" t="n"/>
      <c r="AH444" s="42" t="n"/>
      <c r="AI444" s="42" t="n"/>
      <c r="AJ444" s="42" t="n"/>
      <c r="AK444" s="42" t="n"/>
      <c r="AL444" s="42" t="n"/>
      <c r="AM444" s="42" t="n"/>
      <c r="AN444" s="42" t="n"/>
      <c r="AO444" s="42" t="n"/>
      <c r="AP444" s="42" t="n"/>
    </row>
    <row r="445" ht="18" customHeight="1" s="74">
      <c r="A445" s="32" t="n"/>
      <c r="B445" s="32" t="n"/>
      <c r="C445" s="32" t="n"/>
      <c r="D445" s="32" t="n"/>
      <c r="E445" s="33" t="n"/>
      <c r="F445" s="33" t="n"/>
      <c r="G445" s="33" t="n"/>
      <c r="H445" s="33" t="n"/>
      <c r="I445" s="33" t="n"/>
      <c r="J445" s="33" t="n"/>
      <c r="K445" s="33" t="n"/>
      <c r="L445" s="33" t="n"/>
      <c r="M445" s="33" t="n"/>
      <c r="N445" s="33" t="n"/>
      <c r="O445" s="33" t="n"/>
      <c r="P445" s="33" t="n"/>
      <c r="Q445" s="33" t="n"/>
      <c r="R445" s="33" t="n"/>
      <c r="S445" s="33" t="n"/>
      <c r="T445" s="33" t="n"/>
      <c r="U445" s="33" t="n"/>
      <c r="V445" s="33" t="n"/>
      <c r="W445" s="34" t="n"/>
      <c r="X445" s="33" t="n"/>
      <c r="Y445" s="35" t="n"/>
      <c r="Z445" s="32" t="n"/>
      <c r="AA445" s="32" t="n"/>
      <c r="AB445" s="36">
        <f>IF(A445="","",IF(COUNTIF($A$6:$A$504,A445)&gt;1,"⚠ Duplicate",""))</f>
        <v/>
      </c>
      <c r="AC445" s="43" t="n"/>
      <c r="AD445" s="43" t="n"/>
      <c r="AE445" s="43" t="n"/>
      <c r="AF445" s="43" t="n"/>
      <c r="AG445" s="43" t="n"/>
      <c r="AH445" s="43" t="n"/>
      <c r="AI445" s="43" t="n"/>
      <c r="AJ445" s="43" t="n"/>
      <c r="AK445" s="43" t="n"/>
      <c r="AL445" s="43" t="n"/>
      <c r="AM445" s="43" t="n"/>
      <c r="AN445" s="43" t="n"/>
      <c r="AO445" s="43" t="n"/>
      <c r="AP445" s="43" t="n"/>
    </row>
    <row r="446" ht="18" customHeight="1" s="74">
      <c r="A446" s="38" t="n"/>
      <c r="B446" s="38" t="n"/>
      <c r="C446" s="38" t="n"/>
      <c r="D446" s="38" t="n"/>
      <c r="E446" s="39" t="n"/>
      <c r="F446" s="39" t="n"/>
      <c r="G446" s="39" t="n"/>
      <c r="H446" s="39" t="n"/>
      <c r="I446" s="39" t="n"/>
      <c r="J446" s="39" t="n"/>
      <c r="K446" s="39" t="n"/>
      <c r="L446" s="39" t="n"/>
      <c r="M446" s="39" t="n"/>
      <c r="N446" s="39" t="n"/>
      <c r="O446" s="39" t="n"/>
      <c r="P446" s="39" t="n"/>
      <c r="Q446" s="39" t="n"/>
      <c r="R446" s="39" t="n"/>
      <c r="S446" s="39" t="n"/>
      <c r="T446" s="39" t="n"/>
      <c r="U446" s="39" t="n"/>
      <c r="V446" s="39" t="n"/>
      <c r="W446" s="34" t="n"/>
      <c r="X446" s="39" t="n"/>
      <c r="Y446" s="40" t="n"/>
      <c r="Z446" s="38" t="n"/>
      <c r="AA446" s="38" t="n"/>
      <c r="AB446" s="41">
        <f>IF(A446="","",IF(COUNTIF($A$6:$A$504,A446)&gt;1,"⚠ Duplicate",""))</f>
        <v/>
      </c>
      <c r="AC446" s="42" t="n"/>
      <c r="AD446" s="42" t="n"/>
      <c r="AE446" s="42" t="n"/>
      <c r="AF446" s="42" t="n"/>
      <c r="AG446" s="42" t="n"/>
      <c r="AH446" s="42" t="n"/>
      <c r="AI446" s="42" t="n"/>
      <c r="AJ446" s="42" t="n"/>
      <c r="AK446" s="42" t="n"/>
      <c r="AL446" s="42" t="n"/>
      <c r="AM446" s="42" t="n"/>
      <c r="AN446" s="42" t="n"/>
      <c r="AO446" s="42" t="n"/>
      <c r="AP446" s="42" t="n"/>
    </row>
    <row r="447" ht="18" customHeight="1" s="74">
      <c r="A447" s="32" t="n"/>
      <c r="B447" s="32" t="n"/>
      <c r="C447" s="32" t="n"/>
      <c r="D447" s="32" t="n"/>
      <c r="E447" s="33" t="n"/>
      <c r="F447" s="33" t="n"/>
      <c r="G447" s="33" t="n"/>
      <c r="H447" s="33" t="n"/>
      <c r="I447" s="33" t="n"/>
      <c r="J447" s="33" t="n"/>
      <c r="K447" s="33" t="n"/>
      <c r="L447" s="33" t="n"/>
      <c r="M447" s="33" t="n"/>
      <c r="N447" s="33" t="n"/>
      <c r="O447" s="33" t="n"/>
      <c r="P447" s="33" t="n"/>
      <c r="Q447" s="33" t="n"/>
      <c r="R447" s="33" t="n"/>
      <c r="S447" s="33" t="n"/>
      <c r="T447" s="33" t="n"/>
      <c r="U447" s="33" t="n"/>
      <c r="V447" s="33" t="n"/>
      <c r="W447" s="34" t="n"/>
      <c r="X447" s="33" t="n"/>
      <c r="Y447" s="35" t="n"/>
      <c r="Z447" s="32" t="n"/>
      <c r="AA447" s="32" t="n"/>
      <c r="AB447" s="36">
        <f>IF(A447="","",IF(COUNTIF($A$6:$A$504,A447)&gt;1,"⚠ Duplicate",""))</f>
        <v/>
      </c>
      <c r="AC447" s="43" t="n"/>
      <c r="AD447" s="43" t="n"/>
      <c r="AE447" s="43" t="n"/>
      <c r="AF447" s="43" t="n"/>
      <c r="AG447" s="43" t="n"/>
      <c r="AH447" s="43" t="n"/>
      <c r="AI447" s="43" t="n"/>
      <c r="AJ447" s="43" t="n"/>
      <c r="AK447" s="43" t="n"/>
      <c r="AL447" s="43" t="n"/>
      <c r="AM447" s="43" t="n"/>
      <c r="AN447" s="43" t="n"/>
      <c r="AO447" s="43" t="n"/>
      <c r="AP447" s="43" t="n"/>
    </row>
    <row r="448" ht="18" customHeight="1" s="74">
      <c r="A448" s="38" t="n"/>
      <c r="B448" s="38" t="n"/>
      <c r="C448" s="38" t="n"/>
      <c r="D448" s="38" t="n"/>
      <c r="E448" s="39" t="n"/>
      <c r="F448" s="39" t="n"/>
      <c r="G448" s="39" t="n"/>
      <c r="H448" s="39" t="n"/>
      <c r="I448" s="39" t="n"/>
      <c r="J448" s="39" t="n"/>
      <c r="K448" s="39" t="n"/>
      <c r="L448" s="39" t="n"/>
      <c r="M448" s="39" t="n"/>
      <c r="N448" s="39" t="n"/>
      <c r="O448" s="39" t="n"/>
      <c r="P448" s="39" t="n"/>
      <c r="Q448" s="39" t="n"/>
      <c r="R448" s="39" t="n"/>
      <c r="S448" s="39" t="n"/>
      <c r="T448" s="39" t="n"/>
      <c r="U448" s="39" t="n"/>
      <c r="V448" s="39" t="n"/>
      <c r="W448" s="34" t="n"/>
      <c r="X448" s="39" t="n"/>
      <c r="Y448" s="40" t="n"/>
      <c r="Z448" s="38" t="n"/>
      <c r="AA448" s="38" t="n"/>
      <c r="AB448" s="41">
        <f>IF(A448="","",IF(COUNTIF($A$6:$A$504,A448)&gt;1,"⚠ Duplicate",""))</f>
        <v/>
      </c>
      <c r="AC448" s="42" t="n"/>
      <c r="AD448" s="42" t="n"/>
      <c r="AE448" s="42" t="n"/>
      <c r="AF448" s="42" t="n"/>
      <c r="AG448" s="42" t="n"/>
      <c r="AH448" s="42" t="n"/>
      <c r="AI448" s="42" t="n"/>
      <c r="AJ448" s="42" t="n"/>
      <c r="AK448" s="42" t="n"/>
      <c r="AL448" s="42" t="n"/>
      <c r="AM448" s="42" t="n"/>
      <c r="AN448" s="42" t="n"/>
      <c r="AO448" s="42" t="n"/>
      <c r="AP448" s="42" t="n"/>
    </row>
    <row r="449" ht="18" customHeight="1" s="74">
      <c r="A449" s="32" t="n"/>
      <c r="B449" s="32" t="n"/>
      <c r="C449" s="32" t="n"/>
      <c r="D449" s="32" t="n"/>
      <c r="E449" s="33" t="n"/>
      <c r="F449" s="33" t="n"/>
      <c r="G449" s="33" t="n"/>
      <c r="H449" s="33" t="n"/>
      <c r="I449" s="33" t="n"/>
      <c r="J449" s="33" t="n"/>
      <c r="K449" s="33" t="n"/>
      <c r="L449" s="33" t="n"/>
      <c r="M449" s="33" t="n"/>
      <c r="N449" s="33" t="n"/>
      <c r="O449" s="33" t="n"/>
      <c r="P449" s="33" t="n"/>
      <c r="Q449" s="33" t="n"/>
      <c r="R449" s="33" t="n"/>
      <c r="S449" s="33" t="n"/>
      <c r="T449" s="33" t="n"/>
      <c r="U449" s="33" t="n"/>
      <c r="V449" s="33" t="n"/>
      <c r="W449" s="34" t="n"/>
      <c r="X449" s="33" t="n"/>
      <c r="Y449" s="35" t="n"/>
      <c r="Z449" s="32" t="n"/>
      <c r="AA449" s="32" t="n"/>
      <c r="AB449" s="36">
        <f>IF(A449="","",IF(COUNTIF($A$6:$A$504,A449)&gt;1,"⚠ Duplicate",""))</f>
        <v/>
      </c>
      <c r="AC449" s="43" t="n"/>
      <c r="AD449" s="43" t="n"/>
      <c r="AE449" s="43" t="n"/>
      <c r="AF449" s="43" t="n"/>
      <c r="AG449" s="43" t="n"/>
      <c r="AH449" s="43" t="n"/>
      <c r="AI449" s="43" t="n"/>
      <c r="AJ449" s="43" t="n"/>
      <c r="AK449" s="43" t="n"/>
      <c r="AL449" s="43" t="n"/>
      <c r="AM449" s="43" t="n"/>
      <c r="AN449" s="43" t="n"/>
      <c r="AO449" s="43" t="n"/>
      <c r="AP449" s="43" t="n"/>
    </row>
    <row r="450" ht="18" customHeight="1" s="74">
      <c r="A450" s="38" t="n"/>
      <c r="B450" s="38" t="n"/>
      <c r="C450" s="38" t="n"/>
      <c r="D450" s="38" t="n"/>
      <c r="E450" s="39" t="n"/>
      <c r="F450" s="39" t="n"/>
      <c r="G450" s="39" t="n"/>
      <c r="H450" s="39" t="n"/>
      <c r="I450" s="39" t="n"/>
      <c r="J450" s="39" t="n"/>
      <c r="K450" s="39" t="n"/>
      <c r="L450" s="39" t="n"/>
      <c r="M450" s="39" t="n"/>
      <c r="N450" s="39" t="n"/>
      <c r="O450" s="39" t="n"/>
      <c r="P450" s="39" t="n"/>
      <c r="Q450" s="39" t="n"/>
      <c r="R450" s="39" t="n"/>
      <c r="S450" s="39" t="n"/>
      <c r="T450" s="39" t="n"/>
      <c r="U450" s="39" t="n"/>
      <c r="V450" s="39" t="n"/>
      <c r="W450" s="34" t="n"/>
      <c r="X450" s="39" t="n"/>
      <c r="Y450" s="40" t="n"/>
      <c r="Z450" s="38" t="n"/>
      <c r="AA450" s="38" t="n"/>
      <c r="AB450" s="41">
        <f>IF(A450="","",IF(COUNTIF($A$6:$A$504,A450)&gt;1,"⚠ Duplicate",""))</f>
        <v/>
      </c>
      <c r="AC450" s="42" t="n"/>
      <c r="AD450" s="42" t="n"/>
      <c r="AE450" s="42" t="n"/>
      <c r="AF450" s="42" t="n"/>
      <c r="AG450" s="42" t="n"/>
      <c r="AH450" s="42" t="n"/>
      <c r="AI450" s="42" t="n"/>
      <c r="AJ450" s="42" t="n"/>
      <c r="AK450" s="42" t="n"/>
      <c r="AL450" s="42" t="n"/>
      <c r="AM450" s="42" t="n"/>
      <c r="AN450" s="42" t="n"/>
      <c r="AO450" s="42" t="n"/>
      <c r="AP450" s="42" t="n"/>
    </row>
    <row r="451" ht="18" customHeight="1" s="74">
      <c r="A451" s="32" t="n"/>
      <c r="B451" s="32" t="n"/>
      <c r="C451" s="32" t="n"/>
      <c r="D451" s="32" t="n"/>
      <c r="E451" s="33" t="n"/>
      <c r="F451" s="33" t="n"/>
      <c r="G451" s="33" t="n"/>
      <c r="H451" s="33" t="n"/>
      <c r="I451" s="33" t="n"/>
      <c r="J451" s="33" t="n"/>
      <c r="K451" s="33" t="n"/>
      <c r="L451" s="33" t="n"/>
      <c r="M451" s="33" t="n"/>
      <c r="N451" s="33" t="n"/>
      <c r="O451" s="33" t="n"/>
      <c r="P451" s="33" t="n"/>
      <c r="Q451" s="33" t="n"/>
      <c r="R451" s="33" t="n"/>
      <c r="S451" s="33" t="n"/>
      <c r="T451" s="33" t="n"/>
      <c r="U451" s="33" t="n"/>
      <c r="V451" s="33" t="n"/>
      <c r="W451" s="34" t="n"/>
      <c r="X451" s="33" t="n"/>
      <c r="Y451" s="35" t="n"/>
      <c r="Z451" s="32" t="n"/>
      <c r="AA451" s="32" t="n"/>
      <c r="AB451" s="36">
        <f>IF(A451="","",IF(COUNTIF($A$6:$A$504,A451)&gt;1,"⚠ Duplicate",""))</f>
        <v/>
      </c>
      <c r="AC451" s="43" t="n"/>
      <c r="AD451" s="43" t="n"/>
      <c r="AE451" s="43" t="n"/>
      <c r="AF451" s="43" t="n"/>
      <c r="AG451" s="43" t="n"/>
      <c r="AH451" s="43" t="n"/>
      <c r="AI451" s="43" t="n"/>
      <c r="AJ451" s="43" t="n"/>
      <c r="AK451" s="43" t="n"/>
      <c r="AL451" s="43" t="n"/>
      <c r="AM451" s="43" t="n"/>
      <c r="AN451" s="43" t="n"/>
      <c r="AO451" s="43" t="n"/>
      <c r="AP451" s="43" t="n"/>
    </row>
    <row r="452" ht="18" customHeight="1" s="74">
      <c r="A452" s="38" t="n"/>
      <c r="B452" s="38" t="n"/>
      <c r="C452" s="38" t="n"/>
      <c r="D452" s="38" t="n"/>
      <c r="E452" s="39" t="n"/>
      <c r="F452" s="39" t="n"/>
      <c r="G452" s="39" t="n"/>
      <c r="H452" s="39" t="n"/>
      <c r="I452" s="39" t="n"/>
      <c r="J452" s="39" t="n"/>
      <c r="K452" s="39" t="n"/>
      <c r="L452" s="39" t="n"/>
      <c r="M452" s="39" t="n"/>
      <c r="N452" s="39" t="n"/>
      <c r="O452" s="39" t="n"/>
      <c r="P452" s="39" t="n"/>
      <c r="Q452" s="39" t="n"/>
      <c r="R452" s="39" t="n"/>
      <c r="S452" s="39" t="n"/>
      <c r="T452" s="39" t="n"/>
      <c r="U452" s="39" t="n"/>
      <c r="V452" s="39" t="n"/>
      <c r="W452" s="34" t="n"/>
      <c r="X452" s="39" t="n"/>
      <c r="Y452" s="40" t="n"/>
      <c r="Z452" s="38" t="n"/>
      <c r="AA452" s="38" t="n"/>
      <c r="AB452" s="41">
        <f>IF(A452="","",IF(COUNTIF($A$6:$A$504,A452)&gt;1,"⚠ Duplicate",""))</f>
        <v/>
      </c>
      <c r="AC452" s="42" t="n"/>
      <c r="AD452" s="42" t="n"/>
      <c r="AE452" s="42" t="n"/>
      <c r="AF452" s="42" t="n"/>
      <c r="AG452" s="42" t="n"/>
      <c r="AH452" s="42" t="n"/>
      <c r="AI452" s="42" t="n"/>
      <c r="AJ452" s="42" t="n"/>
      <c r="AK452" s="42" t="n"/>
      <c r="AL452" s="42" t="n"/>
      <c r="AM452" s="42" t="n"/>
      <c r="AN452" s="42" t="n"/>
      <c r="AO452" s="42" t="n"/>
      <c r="AP452" s="42" t="n"/>
    </row>
    <row r="453" ht="18" customHeight="1" s="74">
      <c r="A453" s="32" t="n"/>
      <c r="B453" s="32" t="n"/>
      <c r="C453" s="32" t="n"/>
      <c r="D453" s="32" t="n"/>
      <c r="E453" s="33" t="n"/>
      <c r="F453" s="33" t="n"/>
      <c r="G453" s="33" t="n"/>
      <c r="H453" s="33" t="n"/>
      <c r="I453" s="33" t="n"/>
      <c r="J453" s="33" t="n"/>
      <c r="K453" s="33" t="n"/>
      <c r="L453" s="33" t="n"/>
      <c r="M453" s="33" t="n"/>
      <c r="N453" s="33" t="n"/>
      <c r="O453" s="33" t="n"/>
      <c r="P453" s="33" t="n"/>
      <c r="Q453" s="33" t="n"/>
      <c r="R453" s="33" t="n"/>
      <c r="S453" s="33" t="n"/>
      <c r="T453" s="33" t="n"/>
      <c r="U453" s="33" t="n"/>
      <c r="V453" s="33" t="n"/>
      <c r="W453" s="34" t="n"/>
      <c r="X453" s="33" t="n"/>
      <c r="Y453" s="35" t="n"/>
      <c r="Z453" s="32" t="n"/>
      <c r="AA453" s="32" t="n"/>
      <c r="AB453" s="36">
        <f>IF(A453="","",IF(COUNTIF($A$6:$A$504,A453)&gt;1,"⚠ Duplicate",""))</f>
        <v/>
      </c>
      <c r="AC453" s="43" t="n"/>
      <c r="AD453" s="43" t="n"/>
      <c r="AE453" s="43" t="n"/>
      <c r="AF453" s="43" t="n"/>
      <c r="AG453" s="43" t="n"/>
      <c r="AH453" s="43" t="n"/>
      <c r="AI453" s="43" t="n"/>
      <c r="AJ453" s="43" t="n"/>
      <c r="AK453" s="43" t="n"/>
      <c r="AL453" s="43" t="n"/>
      <c r="AM453" s="43" t="n"/>
      <c r="AN453" s="43" t="n"/>
      <c r="AO453" s="43" t="n"/>
      <c r="AP453" s="43" t="n"/>
    </row>
    <row r="454" ht="18" customHeight="1" s="74">
      <c r="A454" s="38" t="n"/>
      <c r="B454" s="38" t="n"/>
      <c r="C454" s="38" t="n"/>
      <c r="D454" s="38" t="n"/>
      <c r="E454" s="39" t="n"/>
      <c r="F454" s="39" t="n"/>
      <c r="G454" s="39" t="n"/>
      <c r="H454" s="39" t="n"/>
      <c r="I454" s="39" t="n"/>
      <c r="J454" s="39" t="n"/>
      <c r="K454" s="39" t="n"/>
      <c r="L454" s="39" t="n"/>
      <c r="M454" s="39" t="n"/>
      <c r="N454" s="39" t="n"/>
      <c r="O454" s="39" t="n"/>
      <c r="P454" s="39" t="n"/>
      <c r="Q454" s="39" t="n"/>
      <c r="R454" s="39" t="n"/>
      <c r="S454" s="39" t="n"/>
      <c r="T454" s="39" t="n"/>
      <c r="U454" s="39" t="n"/>
      <c r="V454" s="39" t="n"/>
      <c r="W454" s="34" t="n"/>
      <c r="X454" s="39" t="n"/>
      <c r="Y454" s="40" t="n"/>
      <c r="Z454" s="38" t="n"/>
      <c r="AA454" s="38" t="n"/>
      <c r="AB454" s="41">
        <f>IF(A454="","",IF(COUNTIF($A$6:$A$504,A454)&gt;1,"⚠ Duplicate",""))</f>
        <v/>
      </c>
      <c r="AC454" s="42" t="n"/>
      <c r="AD454" s="42" t="n"/>
      <c r="AE454" s="42" t="n"/>
      <c r="AF454" s="42" t="n"/>
      <c r="AG454" s="42" t="n"/>
      <c r="AH454" s="42" t="n"/>
      <c r="AI454" s="42" t="n"/>
      <c r="AJ454" s="42" t="n"/>
      <c r="AK454" s="42" t="n"/>
      <c r="AL454" s="42" t="n"/>
      <c r="AM454" s="42" t="n"/>
      <c r="AN454" s="42" t="n"/>
      <c r="AO454" s="42" t="n"/>
      <c r="AP454" s="42" t="n"/>
    </row>
    <row r="455" ht="18" customHeight="1" s="74">
      <c r="A455" s="32" t="n"/>
      <c r="B455" s="32" t="n"/>
      <c r="C455" s="32" t="n"/>
      <c r="D455" s="32" t="n"/>
      <c r="E455" s="33" t="n"/>
      <c r="F455" s="33" t="n"/>
      <c r="G455" s="33" t="n"/>
      <c r="H455" s="33" t="n"/>
      <c r="I455" s="33" t="n"/>
      <c r="J455" s="33" t="n"/>
      <c r="K455" s="33" t="n"/>
      <c r="L455" s="33" t="n"/>
      <c r="M455" s="33" t="n"/>
      <c r="N455" s="33" t="n"/>
      <c r="O455" s="33" t="n"/>
      <c r="P455" s="33" t="n"/>
      <c r="Q455" s="33" t="n"/>
      <c r="R455" s="33" t="n"/>
      <c r="S455" s="33" t="n"/>
      <c r="T455" s="33" t="n"/>
      <c r="U455" s="33" t="n"/>
      <c r="V455" s="33" t="n"/>
      <c r="W455" s="34" t="n"/>
      <c r="X455" s="33" t="n"/>
      <c r="Y455" s="35" t="n"/>
      <c r="Z455" s="32" t="n"/>
      <c r="AA455" s="32" t="n"/>
      <c r="AB455" s="36">
        <f>IF(A455="","",IF(COUNTIF($A$6:$A$504,A455)&gt;1,"⚠ Duplicate",""))</f>
        <v/>
      </c>
      <c r="AC455" s="43" t="n"/>
      <c r="AD455" s="43" t="n"/>
      <c r="AE455" s="43" t="n"/>
      <c r="AF455" s="43" t="n"/>
      <c r="AG455" s="43" t="n"/>
      <c r="AH455" s="43" t="n"/>
      <c r="AI455" s="43" t="n"/>
      <c r="AJ455" s="43" t="n"/>
      <c r="AK455" s="43" t="n"/>
      <c r="AL455" s="43" t="n"/>
      <c r="AM455" s="43" t="n"/>
      <c r="AN455" s="43" t="n"/>
      <c r="AO455" s="43" t="n"/>
      <c r="AP455" s="43" t="n"/>
    </row>
    <row r="456" ht="18" customHeight="1" s="74">
      <c r="A456" s="38" t="n"/>
      <c r="B456" s="38" t="n"/>
      <c r="C456" s="38" t="n"/>
      <c r="D456" s="38" t="n"/>
      <c r="E456" s="39" t="n"/>
      <c r="F456" s="39" t="n"/>
      <c r="G456" s="39" t="n"/>
      <c r="H456" s="39" t="n"/>
      <c r="I456" s="39" t="n"/>
      <c r="J456" s="39" t="n"/>
      <c r="K456" s="39" t="n"/>
      <c r="L456" s="39" t="n"/>
      <c r="M456" s="39" t="n"/>
      <c r="N456" s="39" t="n"/>
      <c r="O456" s="39" t="n"/>
      <c r="P456" s="39" t="n"/>
      <c r="Q456" s="39" t="n"/>
      <c r="R456" s="39" t="n"/>
      <c r="S456" s="39" t="n"/>
      <c r="T456" s="39" t="n"/>
      <c r="U456" s="39" t="n"/>
      <c r="V456" s="39" t="n"/>
      <c r="W456" s="34" t="n"/>
      <c r="X456" s="39" t="n"/>
      <c r="Y456" s="40" t="n"/>
      <c r="Z456" s="38" t="n"/>
      <c r="AA456" s="38" t="n"/>
      <c r="AB456" s="41">
        <f>IF(A456="","",IF(COUNTIF($A$6:$A$504,A456)&gt;1,"⚠ Duplicate",""))</f>
        <v/>
      </c>
      <c r="AC456" s="42" t="n"/>
      <c r="AD456" s="42" t="n"/>
      <c r="AE456" s="42" t="n"/>
      <c r="AF456" s="42" t="n"/>
      <c r="AG456" s="42" t="n"/>
      <c r="AH456" s="42" t="n"/>
      <c r="AI456" s="42" t="n"/>
      <c r="AJ456" s="42" t="n"/>
      <c r="AK456" s="42" t="n"/>
      <c r="AL456" s="42" t="n"/>
      <c r="AM456" s="42" t="n"/>
      <c r="AN456" s="42" t="n"/>
      <c r="AO456" s="42" t="n"/>
      <c r="AP456" s="42" t="n"/>
    </row>
    <row r="457" ht="18" customHeight="1" s="74">
      <c r="A457" s="32" t="n"/>
      <c r="B457" s="32" t="n"/>
      <c r="C457" s="32" t="n"/>
      <c r="D457" s="32" t="n"/>
      <c r="E457" s="33" t="n"/>
      <c r="F457" s="33" t="n"/>
      <c r="G457" s="33" t="n"/>
      <c r="H457" s="33" t="n"/>
      <c r="I457" s="33" t="n"/>
      <c r="J457" s="33" t="n"/>
      <c r="K457" s="33" t="n"/>
      <c r="L457" s="33" t="n"/>
      <c r="M457" s="33" t="n"/>
      <c r="N457" s="33" t="n"/>
      <c r="O457" s="33" t="n"/>
      <c r="P457" s="33" t="n"/>
      <c r="Q457" s="33" t="n"/>
      <c r="R457" s="33" t="n"/>
      <c r="S457" s="33" t="n"/>
      <c r="T457" s="33" t="n"/>
      <c r="U457" s="33" t="n"/>
      <c r="V457" s="33" t="n"/>
      <c r="W457" s="34" t="n"/>
      <c r="X457" s="33" t="n"/>
      <c r="Y457" s="35" t="n"/>
      <c r="Z457" s="32" t="n"/>
      <c r="AA457" s="32" t="n"/>
      <c r="AB457" s="36">
        <f>IF(A457="","",IF(COUNTIF($A$6:$A$504,A457)&gt;1,"⚠ Duplicate",""))</f>
        <v/>
      </c>
      <c r="AC457" s="43" t="n"/>
      <c r="AD457" s="43" t="n"/>
      <c r="AE457" s="43" t="n"/>
      <c r="AF457" s="43" t="n"/>
      <c r="AG457" s="43" t="n"/>
      <c r="AH457" s="43" t="n"/>
      <c r="AI457" s="43" t="n"/>
      <c r="AJ457" s="43" t="n"/>
      <c r="AK457" s="43" t="n"/>
      <c r="AL457" s="43" t="n"/>
      <c r="AM457" s="43" t="n"/>
      <c r="AN457" s="43" t="n"/>
      <c r="AO457" s="43" t="n"/>
      <c r="AP457" s="43" t="n"/>
    </row>
    <row r="458" ht="18" customHeight="1" s="74">
      <c r="A458" s="38" t="n"/>
      <c r="B458" s="38" t="n"/>
      <c r="C458" s="38" t="n"/>
      <c r="D458" s="38" t="n"/>
      <c r="E458" s="39" t="n"/>
      <c r="F458" s="39" t="n"/>
      <c r="G458" s="39" t="n"/>
      <c r="H458" s="39" t="n"/>
      <c r="I458" s="39" t="n"/>
      <c r="J458" s="39" t="n"/>
      <c r="K458" s="39" t="n"/>
      <c r="L458" s="39" t="n"/>
      <c r="M458" s="39" t="n"/>
      <c r="N458" s="39" t="n"/>
      <c r="O458" s="39" t="n"/>
      <c r="P458" s="39" t="n"/>
      <c r="Q458" s="39" t="n"/>
      <c r="R458" s="39" t="n"/>
      <c r="S458" s="39" t="n"/>
      <c r="T458" s="39" t="n"/>
      <c r="U458" s="39" t="n"/>
      <c r="V458" s="39" t="n"/>
      <c r="W458" s="34" t="n"/>
      <c r="X458" s="39" t="n"/>
      <c r="Y458" s="40" t="n"/>
      <c r="Z458" s="38" t="n"/>
      <c r="AA458" s="38" t="n"/>
      <c r="AB458" s="41">
        <f>IF(A458="","",IF(COUNTIF($A$6:$A$504,A458)&gt;1,"⚠ Duplicate",""))</f>
        <v/>
      </c>
      <c r="AC458" s="42" t="n"/>
      <c r="AD458" s="42" t="n"/>
      <c r="AE458" s="42" t="n"/>
      <c r="AF458" s="42" t="n"/>
      <c r="AG458" s="42" t="n"/>
      <c r="AH458" s="42" t="n"/>
      <c r="AI458" s="42" t="n"/>
      <c r="AJ458" s="42" t="n"/>
      <c r="AK458" s="42" t="n"/>
      <c r="AL458" s="42" t="n"/>
      <c r="AM458" s="42" t="n"/>
      <c r="AN458" s="42" t="n"/>
      <c r="AO458" s="42" t="n"/>
      <c r="AP458" s="42" t="n"/>
    </row>
    <row r="459" ht="18" customHeight="1" s="74">
      <c r="A459" s="32" t="n"/>
      <c r="B459" s="32" t="n"/>
      <c r="C459" s="32" t="n"/>
      <c r="D459" s="32" t="n"/>
      <c r="E459" s="33" t="n"/>
      <c r="F459" s="33" t="n"/>
      <c r="G459" s="33" t="n"/>
      <c r="H459" s="33" t="n"/>
      <c r="I459" s="33" t="n"/>
      <c r="J459" s="33" t="n"/>
      <c r="K459" s="33" t="n"/>
      <c r="L459" s="33" t="n"/>
      <c r="M459" s="33" t="n"/>
      <c r="N459" s="33" t="n"/>
      <c r="O459" s="33" t="n"/>
      <c r="P459" s="33" t="n"/>
      <c r="Q459" s="33" t="n"/>
      <c r="R459" s="33" t="n"/>
      <c r="S459" s="33" t="n"/>
      <c r="T459" s="33" t="n"/>
      <c r="U459" s="33" t="n"/>
      <c r="V459" s="33" t="n"/>
      <c r="W459" s="34" t="n"/>
      <c r="X459" s="33" t="n"/>
      <c r="Y459" s="35" t="n"/>
      <c r="Z459" s="32" t="n"/>
      <c r="AA459" s="32" t="n"/>
      <c r="AB459" s="36">
        <f>IF(A459="","",IF(COUNTIF($A$6:$A$504,A459)&gt;1,"⚠ Duplicate",""))</f>
        <v/>
      </c>
      <c r="AC459" s="43" t="n"/>
      <c r="AD459" s="43" t="n"/>
      <c r="AE459" s="43" t="n"/>
      <c r="AF459" s="43" t="n"/>
      <c r="AG459" s="43" t="n"/>
      <c r="AH459" s="43" t="n"/>
      <c r="AI459" s="43" t="n"/>
      <c r="AJ459" s="43" t="n"/>
      <c r="AK459" s="43" t="n"/>
      <c r="AL459" s="43" t="n"/>
      <c r="AM459" s="43" t="n"/>
      <c r="AN459" s="43" t="n"/>
      <c r="AO459" s="43" t="n"/>
      <c r="AP459" s="43" t="n"/>
    </row>
    <row r="460" ht="18" customHeight="1" s="74">
      <c r="A460" s="38" t="n"/>
      <c r="B460" s="38" t="n"/>
      <c r="C460" s="38" t="n"/>
      <c r="D460" s="38" t="n"/>
      <c r="E460" s="39" t="n"/>
      <c r="F460" s="39" t="n"/>
      <c r="G460" s="39" t="n"/>
      <c r="H460" s="39" t="n"/>
      <c r="I460" s="39" t="n"/>
      <c r="J460" s="39" t="n"/>
      <c r="K460" s="39" t="n"/>
      <c r="L460" s="39" t="n"/>
      <c r="M460" s="39" t="n"/>
      <c r="N460" s="39" t="n"/>
      <c r="O460" s="39" t="n"/>
      <c r="P460" s="39" t="n"/>
      <c r="Q460" s="39" t="n"/>
      <c r="R460" s="39" t="n"/>
      <c r="S460" s="39" t="n"/>
      <c r="T460" s="39" t="n"/>
      <c r="U460" s="39" t="n"/>
      <c r="V460" s="39" t="n"/>
      <c r="W460" s="34" t="n"/>
      <c r="X460" s="39" t="n"/>
      <c r="Y460" s="40" t="n"/>
      <c r="Z460" s="38" t="n"/>
      <c r="AA460" s="38" t="n"/>
      <c r="AB460" s="41">
        <f>IF(A460="","",IF(COUNTIF($A$6:$A$504,A460)&gt;1,"⚠ Duplicate",""))</f>
        <v/>
      </c>
      <c r="AC460" s="42" t="n"/>
      <c r="AD460" s="42" t="n"/>
      <c r="AE460" s="42" t="n"/>
      <c r="AF460" s="42" t="n"/>
      <c r="AG460" s="42" t="n"/>
      <c r="AH460" s="42" t="n"/>
      <c r="AI460" s="42" t="n"/>
      <c r="AJ460" s="42" t="n"/>
      <c r="AK460" s="42" t="n"/>
      <c r="AL460" s="42" t="n"/>
      <c r="AM460" s="42" t="n"/>
      <c r="AN460" s="42" t="n"/>
      <c r="AO460" s="42" t="n"/>
      <c r="AP460" s="42" t="n"/>
    </row>
    <row r="461" ht="18" customHeight="1" s="74">
      <c r="A461" s="32" t="n"/>
      <c r="B461" s="32" t="n"/>
      <c r="C461" s="32" t="n"/>
      <c r="D461" s="32" t="n"/>
      <c r="E461" s="33" t="n"/>
      <c r="F461" s="33" t="n"/>
      <c r="G461" s="33" t="n"/>
      <c r="H461" s="33" t="n"/>
      <c r="I461" s="33" t="n"/>
      <c r="J461" s="33" t="n"/>
      <c r="K461" s="33" t="n"/>
      <c r="L461" s="33" t="n"/>
      <c r="M461" s="33" t="n"/>
      <c r="N461" s="33" t="n"/>
      <c r="O461" s="33" t="n"/>
      <c r="P461" s="33" t="n"/>
      <c r="Q461" s="33" t="n"/>
      <c r="R461" s="33" t="n"/>
      <c r="S461" s="33" t="n"/>
      <c r="T461" s="33" t="n"/>
      <c r="U461" s="33" t="n"/>
      <c r="V461" s="33" t="n"/>
      <c r="W461" s="34" t="n"/>
      <c r="X461" s="33" t="n"/>
      <c r="Y461" s="35" t="n"/>
      <c r="Z461" s="32" t="n"/>
      <c r="AA461" s="32" t="n"/>
      <c r="AB461" s="36">
        <f>IF(A461="","",IF(COUNTIF($A$6:$A$504,A461)&gt;1,"⚠ Duplicate",""))</f>
        <v/>
      </c>
      <c r="AC461" s="43" t="n"/>
      <c r="AD461" s="43" t="n"/>
      <c r="AE461" s="43" t="n"/>
      <c r="AF461" s="43" t="n"/>
      <c r="AG461" s="43" t="n"/>
      <c r="AH461" s="43" t="n"/>
      <c r="AI461" s="43" t="n"/>
      <c r="AJ461" s="43" t="n"/>
      <c r="AK461" s="43" t="n"/>
      <c r="AL461" s="43" t="n"/>
      <c r="AM461" s="43" t="n"/>
      <c r="AN461" s="43" t="n"/>
      <c r="AO461" s="43" t="n"/>
      <c r="AP461" s="43" t="n"/>
    </row>
    <row r="462" ht="18" customHeight="1" s="74">
      <c r="A462" s="38" t="n"/>
      <c r="B462" s="38" t="n"/>
      <c r="C462" s="38" t="n"/>
      <c r="D462" s="38" t="n"/>
      <c r="E462" s="39" t="n"/>
      <c r="F462" s="39" t="n"/>
      <c r="G462" s="39" t="n"/>
      <c r="H462" s="39" t="n"/>
      <c r="I462" s="39" t="n"/>
      <c r="J462" s="39" t="n"/>
      <c r="K462" s="39" t="n"/>
      <c r="L462" s="39" t="n"/>
      <c r="M462" s="39" t="n"/>
      <c r="N462" s="39" t="n"/>
      <c r="O462" s="39" t="n"/>
      <c r="P462" s="39" t="n"/>
      <c r="Q462" s="39" t="n"/>
      <c r="R462" s="39" t="n"/>
      <c r="S462" s="39" t="n"/>
      <c r="T462" s="39" t="n"/>
      <c r="U462" s="39" t="n"/>
      <c r="V462" s="39" t="n"/>
      <c r="W462" s="34" t="n"/>
      <c r="X462" s="39" t="n"/>
      <c r="Y462" s="40" t="n"/>
      <c r="Z462" s="38" t="n"/>
      <c r="AA462" s="38" t="n"/>
      <c r="AB462" s="41">
        <f>IF(A462="","",IF(COUNTIF($A$6:$A$504,A462)&gt;1,"⚠ Duplicate",""))</f>
        <v/>
      </c>
      <c r="AC462" s="42" t="n"/>
      <c r="AD462" s="42" t="n"/>
      <c r="AE462" s="42" t="n"/>
      <c r="AF462" s="42" t="n"/>
      <c r="AG462" s="42" t="n"/>
      <c r="AH462" s="42" t="n"/>
      <c r="AI462" s="42" t="n"/>
      <c r="AJ462" s="42" t="n"/>
      <c r="AK462" s="42" t="n"/>
      <c r="AL462" s="42" t="n"/>
      <c r="AM462" s="42" t="n"/>
      <c r="AN462" s="42" t="n"/>
      <c r="AO462" s="42" t="n"/>
      <c r="AP462" s="42" t="n"/>
    </row>
    <row r="463" ht="18" customHeight="1" s="74">
      <c r="A463" s="32" t="n"/>
      <c r="B463" s="32" t="n"/>
      <c r="C463" s="32" t="n"/>
      <c r="D463" s="32" t="n"/>
      <c r="E463" s="33" t="n"/>
      <c r="F463" s="33" t="n"/>
      <c r="G463" s="33" t="n"/>
      <c r="H463" s="33" t="n"/>
      <c r="I463" s="33" t="n"/>
      <c r="J463" s="33" t="n"/>
      <c r="K463" s="33" t="n"/>
      <c r="L463" s="33" t="n"/>
      <c r="M463" s="33" t="n"/>
      <c r="N463" s="33" t="n"/>
      <c r="O463" s="33" t="n"/>
      <c r="P463" s="33" t="n"/>
      <c r="Q463" s="33" t="n"/>
      <c r="R463" s="33" t="n"/>
      <c r="S463" s="33" t="n"/>
      <c r="T463" s="33" t="n"/>
      <c r="U463" s="33" t="n"/>
      <c r="V463" s="33" t="n"/>
      <c r="W463" s="34" t="n"/>
      <c r="X463" s="33" t="n"/>
      <c r="Y463" s="35" t="n"/>
      <c r="Z463" s="32" t="n"/>
      <c r="AA463" s="32" t="n"/>
      <c r="AB463" s="36">
        <f>IF(A463="","",IF(COUNTIF($A$6:$A$504,A463)&gt;1,"⚠ Duplicate",""))</f>
        <v/>
      </c>
      <c r="AC463" s="43" t="n"/>
      <c r="AD463" s="43" t="n"/>
      <c r="AE463" s="43" t="n"/>
      <c r="AF463" s="43" t="n"/>
      <c r="AG463" s="43" t="n"/>
      <c r="AH463" s="43" t="n"/>
      <c r="AI463" s="43" t="n"/>
      <c r="AJ463" s="43" t="n"/>
      <c r="AK463" s="43" t="n"/>
      <c r="AL463" s="43" t="n"/>
      <c r="AM463" s="43" t="n"/>
      <c r="AN463" s="43" t="n"/>
      <c r="AO463" s="43" t="n"/>
      <c r="AP463" s="43" t="n"/>
    </row>
    <row r="464" ht="18" customHeight="1" s="74">
      <c r="A464" s="38" t="n"/>
      <c r="B464" s="38" t="n"/>
      <c r="C464" s="38" t="n"/>
      <c r="D464" s="38" t="n"/>
      <c r="E464" s="39" t="n"/>
      <c r="F464" s="39" t="n"/>
      <c r="G464" s="39" t="n"/>
      <c r="H464" s="39" t="n"/>
      <c r="I464" s="39" t="n"/>
      <c r="J464" s="39" t="n"/>
      <c r="K464" s="39" t="n"/>
      <c r="L464" s="39" t="n"/>
      <c r="M464" s="39" t="n"/>
      <c r="N464" s="39" t="n"/>
      <c r="O464" s="39" t="n"/>
      <c r="P464" s="39" t="n"/>
      <c r="Q464" s="39" t="n"/>
      <c r="R464" s="39" t="n"/>
      <c r="S464" s="39" t="n"/>
      <c r="T464" s="39" t="n"/>
      <c r="U464" s="39" t="n"/>
      <c r="V464" s="39" t="n"/>
      <c r="W464" s="34" t="n"/>
      <c r="X464" s="39" t="n"/>
      <c r="Y464" s="40" t="n"/>
      <c r="Z464" s="38" t="n"/>
      <c r="AA464" s="38" t="n"/>
      <c r="AB464" s="41">
        <f>IF(A464="","",IF(COUNTIF($A$6:$A$504,A464)&gt;1,"⚠ Duplicate",""))</f>
        <v/>
      </c>
      <c r="AC464" s="42" t="n"/>
      <c r="AD464" s="42" t="n"/>
      <c r="AE464" s="42" t="n"/>
      <c r="AF464" s="42" t="n"/>
      <c r="AG464" s="42" t="n"/>
      <c r="AH464" s="42" t="n"/>
      <c r="AI464" s="42" t="n"/>
      <c r="AJ464" s="42" t="n"/>
      <c r="AK464" s="42" t="n"/>
      <c r="AL464" s="42" t="n"/>
      <c r="AM464" s="42" t="n"/>
      <c r="AN464" s="42" t="n"/>
      <c r="AO464" s="42" t="n"/>
      <c r="AP464" s="42" t="n"/>
    </row>
    <row r="465" ht="18" customHeight="1" s="74">
      <c r="A465" s="32" t="n"/>
      <c r="B465" s="32" t="n"/>
      <c r="C465" s="32" t="n"/>
      <c r="D465" s="32" t="n"/>
      <c r="E465" s="33" t="n"/>
      <c r="F465" s="33" t="n"/>
      <c r="G465" s="33" t="n"/>
      <c r="H465" s="33" t="n"/>
      <c r="I465" s="33" t="n"/>
      <c r="J465" s="33" t="n"/>
      <c r="K465" s="33" t="n"/>
      <c r="L465" s="33" t="n"/>
      <c r="M465" s="33" t="n"/>
      <c r="N465" s="33" t="n"/>
      <c r="O465" s="33" t="n"/>
      <c r="P465" s="33" t="n"/>
      <c r="Q465" s="33" t="n"/>
      <c r="R465" s="33" t="n"/>
      <c r="S465" s="33" t="n"/>
      <c r="T465" s="33" t="n"/>
      <c r="U465" s="33" t="n"/>
      <c r="V465" s="33" t="n"/>
      <c r="W465" s="34" t="n"/>
      <c r="X465" s="33" t="n"/>
      <c r="Y465" s="35" t="n"/>
      <c r="Z465" s="32" t="n"/>
      <c r="AA465" s="32" t="n"/>
      <c r="AB465" s="36">
        <f>IF(A465="","",IF(COUNTIF($A$6:$A$504,A465)&gt;1,"⚠ Duplicate",""))</f>
        <v/>
      </c>
      <c r="AC465" s="43" t="n"/>
      <c r="AD465" s="43" t="n"/>
      <c r="AE465" s="43" t="n"/>
      <c r="AF465" s="43" t="n"/>
      <c r="AG465" s="43" t="n"/>
      <c r="AH465" s="43" t="n"/>
      <c r="AI465" s="43" t="n"/>
      <c r="AJ465" s="43" t="n"/>
      <c r="AK465" s="43" t="n"/>
      <c r="AL465" s="43" t="n"/>
      <c r="AM465" s="43" t="n"/>
      <c r="AN465" s="43" t="n"/>
      <c r="AO465" s="43" t="n"/>
      <c r="AP465" s="43" t="n"/>
    </row>
    <row r="466" ht="18" customHeight="1" s="74">
      <c r="A466" s="38" t="n"/>
      <c r="B466" s="38" t="n"/>
      <c r="C466" s="38" t="n"/>
      <c r="D466" s="38" t="n"/>
      <c r="E466" s="39" t="n"/>
      <c r="F466" s="39" t="n"/>
      <c r="G466" s="39" t="n"/>
      <c r="H466" s="39" t="n"/>
      <c r="I466" s="39" t="n"/>
      <c r="J466" s="39" t="n"/>
      <c r="K466" s="39" t="n"/>
      <c r="L466" s="39" t="n"/>
      <c r="M466" s="39" t="n"/>
      <c r="N466" s="39" t="n"/>
      <c r="O466" s="39" t="n"/>
      <c r="P466" s="39" t="n"/>
      <c r="Q466" s="39" t="n"/>
      <c r="R466" s="39" t="n"/>
      <c r="S466" s="39" t="n"/>
      <c r="T466" s="39" t="n"/>
      <c r="U466" s="39" t="n"/>
      <c r="V466" s="39" t="n"/>
      <c r="W466" s="34" t="n"/>
      <c r="X466" s="39" t="n"/>
      <c r="Y466" s="40" t="n"/>
      <c r="Z466" s="38" t="n"/>
      <c r="AA466" s="38" t="n"/>
      <c r="AB466" s="41">
        <f>IF(A466="","",IF(COUNTIF($A$6:$A$504,A466)&gt;1,"⚠ Duplicate",""))</f>
        <v/>
      </c>
      <c r="AC466" s="42" t="n"/>
      <c r="AD466" s="42" t="n"/>
      <c r="AE466" s="42" t="n"/>
      <c r="AF466" s="42" t="n"/>
      <c r="AG466" s="42" t="n"/>
      <c r="AH466" s="42" t="n"/>
      <c r="AI466" s="42" t="n"/>
      <c r="AJ466" s="42" t="n"/>
      <c r="AK466" s="42" t="n"/>
      <c r="AL466" s="42" t="n"/>
      <c r="AM466" s="42" t="n"/>
      <c r="AN466" s="42" t="n"/>
      <c r="AO466" s="42" t="n"/>
      <c r="AP466" s="42" t="n"/>
    </row>
    <row r="467" ht="18" customHeight="1" s="74">
      <c r="A467" s="32" t="n"/>
      <c r="B467" s="32" t="n"/>
      <c r="C467" s="32" t="n"/>
      <c r="D467" s="32" t="n"/>
      <c r="E467" s="33" t="n"/>
      <c r="F467" s="33" t="n"/>
      <c r="G467" s="33" t="n"/>
      <c r="H467" s="33" t="n"/>
      <c r="I467" s="33" t="n"/>
      <c r="J467" s="33" t="n"/>
      <c r="K467" s="33" t="n"/>
      <c r="L467" s="33" t="n"/>
      <c r="M467" s="33" t="n"/>
      <c r="N467" s="33" t="n"/>
      <c r="O467" s="33" t="n"/>
      <c r="P467" s="33" t="n"/>
      <c r="Q467" s="33" t="n"/>
      <c r="R467" s="33" t="n"/>
      <c r="S467" s="33" t="n"/>
      <c r="T467" s="33" t="n"/>
      <c r="U467" s="33" t="n"/>
      <c r="V467" s="33" t="n"/>
      <c r="W467" s="34" t="n"/>
      <c r="X467" s="33" t="n"/>
      <c r="Y467" s="35" t="n"/>
      <c r="Z467" s="32" t="n"/>
      <c r="AA467" s="32" t="n"/>
      <c r="AB467" s="36">
        <f>IF(A467="","",IF(COUNTIF($A$6:$A$504,A467)&gt;1,"⚠ Duplicate",""))</f>
        <v/>
      </c>
      <c r="AC467" s="43" t="n"/>
      <c r="AD467" s="43" t="n"/>
      <c r="AE467" s="43" t="n"/>
      <c r="AF467" s="43" t="n"/>
      <c r="AG467" s="43" t="n"/>
      <c r="AH467" s="43" t="n"/>
      <c r="AI467" s="43" t="n"/>
      <c r="AJ467" s="43" t="n"/>
      <c r="AK467" s="43" t="n"/>
      <c r="AL467" s="43" t="n"/>
      <c r="AM467" s="43" t="n"/>
      <c r="AN467" s="43" t="n"/>
      <c r="AO467" s="43" t="n"/>
      <c r="AP467" s="43" t="n"/>
    </row>
    <row r="468" ht="18" customHeight="1" s="74">
      <c r="A468" s="38" t="n"/>
      <c r="B468" s="38" t="n"/>
      <c r="C468" s="38" t="n"/>
      <c r="D468" s="38" t="n"/>
      <c r="E468" s="39" t="n"/>
      <c r="F468" s="39" t="n"/>
      <c r="G468" s="39" t="n"/>
      <c r="H468" s="39" t="n"/>
      <c r="I468" s="39" t="n"/>
      <c r="J468" s="39" t="n"/>
      <c r="K468" s="39" t="n"/>
      <c r="L468" s="39" t="n"/>
      <c r="M468" s="39" t="n"/>
      <c r="N468" s="39" t="n"/>
      <c r="O468" s="39" t="n"/>
      <c r="P468" s="39" t="n"/>
      <c r="Q468" s="39" t="n"/>
      <c r="R468" s="39" t="n"/>
      <c r="S468" s="39" t="n"/>
      <c r="T468" s="39" t="n"/>
      <c r="U468" s="39" t="n"/>
      <c r="V468" s="39" t="n"/>
      <c r="W468" s="34" t="n"/>
      <c r="X468" s="39" t="n"/>
      <c r="Y468" s="40" t="n"/>
      <c r="Z468" s="38" t="n"/>
      <c r="AA468" s="38" t="n"/>
      <c r="AB468" s="41">
        <f>IF(A468="","",IF(COUNTIF($A$6:$A$504,A468)&gt;1,"⚠ Duplicate",""))</f>
        <v/>
      </c>
      <c r="AC468" s="42" t="n"/>
      <c r="AD468" s="42" t="n"/>
      <c r="AE468" s="42" t="n"/>
      <c r="AF468" s="42" t="n"/>
      <c r="AG468" s="42" t="n"/>
      <c r="AH468" s="42" t="n"/>
      <c r="AI468" s="42" t="n"/>
      <c r="AJ468" s="42" t="n"/>
      <c r="AK468" s="42" t="n"/>
      <c r="AL468" s="42" t="n"/>
      <c r="AM468" s="42" t="n"/>
      <c r="AN468" s="42" t="n"/>
      <c r="AO468" s="42" t="n"/>
      <c r="AP468" s="42" t="n"/>
    </row>
    <row r="469" ht="18" customHeight="1" s="74">
      <c r="A469" s="32" t="n"/>
      <c r="B469" s="32" t="n"/>
      <c r="C469" s="32" t="n"/>
      <c r="D469" s="32" t="n"/>
      <c r="E469" s="33" t="n"/>
      <c r="F469" s="33" t="n"/>
      <c r="G469" s="33" t="n"/>
      <c r="H469" s="33" t="n"/>
      <c r="I469" s="33" t="n"/>
      <c r="J469" s="33" t="n"/>
      <c r="K469" s="33" t="n"/>
      <c r="L469" s="33" t="n"/>
      <c r="M469" s="33" t="n"/>
      <c r="N469" s="33" t="n"/>
      <c r="O469" s="33" t="n"/>
      <c r="P469" s="33" t="n"/>
      <c r="Q469" s="33" t="n"/>
      <c r="R469" s="33" t="n"/>
      <c r="S469" s="33" t="n"/>
      <c r="T469" s="33" t="n"/>
      <c r="U469" s="33" t="n"/>
      <c r="V469" s="33" t="n"/>
      <c r="W469" s="34" t="n"/>
      <c r="X469" s="33" t="n"/>
      <c r="Y469" s="35" t="n"/>
      <c r="Z469" s="32" t="n"/>
      <c r="AA469" s="32" t="n"/>
      <c r="AB469" s="36">
        <f>IF(A469="","",IF(COUNTIF($A$6:$A$504,A469)&gt;1,"⚠ Duplicate",""))</f>
        <v/>
      </c>
      <c r="AC469" s="43" t="n"/>
      <c r="AD469" s="43" t="n"/>
      <c r="AE469" s="43" t="n"/>
      <c r="AF469" s="43" t="n"/>
      <c r="AG469" s="43" t="n"/>
      <c r="AH469" s="43" t="n"/>
      <c r="AI469" s="43" t="n"/>
      <c r="AJ469" s="43" t="n"/>
      <c r="AK469" s="43" t="n"/>
      <c r="AL469" s="43" t="n"/>
      <c r="AM469" s="43" t="n"/>
      <c r="AN469" s="43" t="n"/>
      <c r="AO469" s="43" t="n"/>
      <c r="AP469" s="43" t="n"/>
    </row>
    <row r="470" ht="18" customHeight="1" s="74">
      <c r="A470" s="38" t="n"/>
      <c r="B470" s="38" t="n"/>
      <c r="C470" s="38" t="n"/>
      <c r="D470" s="38" t="n"/>
      <c r="E470" s="39" t="n"/>
      <c r="F470" s="39" t="n"/>
      <c r="G470" s="39" t="n"/>
      <c r="H470" s="39" t="n"/>
      <c r="I470" s="39" t="n"/>
      <c r="J470" s="39" t="n"/>
      <c r="K470" s="39" t="n"/>
      <c r="L470" s="39" t="n"/>
      <c r="M470" s="39" t="n"/>
      <c r="N470" s="39" t="n"/>
      <c r="O470" s="39" t="n"/>
      <c r="P470" s="39" t="n"/>
      <c r="Q470" s="39" t="n"/>
      <c r="R470" s="39" t="n"/>
      <c r="S470" s="39" t="n"/>
      <c r="T470" s="39" t="n"/>
      <c r="U470" s="39" t="n"/>
      <c r="V470" s="39" t="n"/>
      <c r="W470" s="34" t="n"/>
      <c r="X470" s="39" t="n"/>
      <c r="Y470" s="40" t="n"/>
      <c r="Z470" s="38" t="n"/>
      <c r="AA470" s="38" t="n"/>
      <c r="AB470" s="41">
        <f>IF(A470="","",IF(COUNTIF($A$6:$A$504,A470)&gt;1,"⚠ Duplicate",""))</f>
        <v/>
      </c>
      <c r="AC470" s="42" t="n"/>
      <c r="AD470" s="42" t="n"/>
      <c r="AE470" s="42" t="n"/>
      <c r="AF470" s="42" t="n"/>
      <c r="AG470" s="42" t="n"/>
      <c r="AH470" s="42" t="n"/>
      <c r="AI470" s="42" t="n"/>
      <c r="AJ470" s="42" t="n"/>
      <c r="AK470" s="42" t="n"/>
      <c r="AL470" s="42" t="n"/>
      <c r="AM470" s="42" t="n"/>
      <c r="AN470" s="42" t="n"/>
      <c r="AO470" s="42" t="n"/>
      <c r="AP470" s="42" t="n"/>
    </row>
    <row r="471" ht="18" customHeight="1" s="74">
      <c r="A471" s="32" t="n"/>
      <c r="B471" s="32" t="n"/>
      <c r="C471" s="32" t="n"/>
      <c r="D471" s="32" t="n"/>
      <c r="E471" s="33" t="n"/>
      <c r="F471" s="33" t="n"/>
      <c r="G471" s="33" t="n"/>
      <c r="H471" s="33" t="n"/>
      <c r="I471" s="33" t="n"/>
      <c r="J471" s="33" t="n"/>
      <c r="K471" s="33" t="n"/>
      <c r="L471" s="33" t="n"/>
      <c r="M471" s="33" t="n"/>
      <c r="N471" s="33" t="n"/>
      <c r="O471" s="33" t="n"/>
      <c r="P471" s="33" t="n"/>
      <c r="Q471" s="33" t="n"/>
      <c r="R471" s="33" t="n"/>
      <c r="S471" s="33" t="n"/>
      <c r="T471" s="33" t="n"/>
      <c r="U471" s="33" t="n"/>
      <c r="V471" s="33" t="n"/>
      <c r="W471" s="34" t="n"/>
      <c r="X471" s="33" t="n"/>
      <c r="Y471" s="35" t="n"/>
      <c r="Z471" s="32" t="n"/>
      <c r="AA471" s="32" t="n"/>
      <c r="AB471" s="36">
        <f>IF(A471="","",IF(COUNTIF($A$6:$A$504,A471)&gt;1,"⚠ Duplicate",""))</f>
        <v/>
      </c>
      <c r="AC471" s="43" t="n"/>
      <c r="AD471" s="43" t="n"/>
      <c r="AE471" s="43" t="n"/>
      <c r="AF471" s="43" t="n"/>
      <c r="AG471" s="43" t="n"/>
      <c r="AH471" s="43" t="n"/>
      <c r="AI471" s="43" t="n"/>
      <c r="AJ471" s="43" t="n"/>
      <c r="AK471" s="43" t="n"/>
      <c r="AL471" s="43" t="n"/>
      <c r="AM471" s="43" t="n"/>
      <c r="AN471" s="43" t="n"/>
      <c r="AO471" s="43" t="n"/>
      <c r="AP471" s="43" t="n"/>
    </row>
    <row r="472" ht="18" customHeight="1" s="74">
      <c r="A472" s="38" t="n"/>
      <c r="B472" s="38" t="n"/>
      <c r="C472" s="38" t="n"/>
      <c r="D472" s="38" t="n"/>
      <c r="E472" s="39" t="n"/>
      <c r="F472" s="39" t="n"/>
      <c r="G472" s="39" t="n"/>
      <c r="H472" s="39" t="n"/>
      <c r="I472" s="39" t="n"/>
      <c r="J472" s="39" t="n"/>
      <c r="K472" s="39" t="n"/>
      <c r="L472" s="39" t="n"/>
      <c r="M472" s="39" t="n"/>
      <c r="N472" s="39" t="n"/>
      <c r="O472" s="39" t="n"/>
      <c r="P472" s="39" t="n"/>
      <c r="Q472" s="39" t="n"/>
      <c r="R472" s="39" t="n"/>
      <c r="S472" s="39" t="n"/>
      <c r="T472" s="39" t="n"/>
      <c r="U472" s="39" t="n"/>
      <c r="V472" s="39" t="n"/>
      <c r="W472" s="34" t="n"/>
      <c r="X472" s="39" t="n"/>
      <c r="Y472" s="40" t="n"/>
      <c r="Z472" s="38" t="n"/>
      <c r="AA472" s="38" t="n"/>
      <c r="AB472" s="41">
        <f>IF(A472="","",IF(COUNTIF($A$6:$A$504,A472)&gt;1,"⚠ Duplicate",""))</f>
        <v/>
      </c>
      <c r="AC472" s="42" t="n"/>
      <c r="AD472" s="42" t="n"/>
      <c r="AE472" s="42" t="n"/>
      <c r="AF472" s="42" t="n"/>
      <c r="AG472" s="42" t="n"/>
      <c r="AH472" s="42" t="n"/>
      <c r="AI472" s="42" t="n"/>
      <c r="AJ472" s="42" t="n"/>
      <c r="AK472" s="42" t="n"/>
      <c r="AL472" s="42" t="n"/>
      <c r="AM472" s="42" t="n"/>
      <c r="AN472" s="42" t="n"/>
      <c r="AO472" s="42" t="n"/>
      <c r="AP472" s="42" t="n"/>
    </row>
    <row r="473" ht="18" customHeight="1" s="74">
      <c r="A473" s="32" t="n"/>
      <c r="B473" s="32" t="n"/>
      <c r="C473" s="32" t="n"/>
      <c r="D473" s="32" t="n"/>
      <c r="E473" s="33" t="n"/>
      <c r="F473" s="33" t="n"/>
      <c r="G473" s="33" t="n"/>
      <c r="H473" s="33" t="n"/>
      <c r="I473" s="33" t="n"/>
      <c r="J473" s="33" t="n"/>
      <c r="K473" s="33" t="n"/>
      <c r="L473" s="33" t="n"/>
      <c r="M473" s="33" t="n"/>
      <c r="N473" s="33" t="n"/>
      <c r="O473" s="33" t="n"/>
      <c r="P473" s="33" t="n"/>
      <c r="Q473" s="33" t="n"/>
      <c r="R473" s="33" t="n"/>
      <c r="S473" s="33" t="n"/>
      <c r="T473" s="33" t="n"/>
      <c r="U473" s="33" t="n"/>
      <c r="V473" s="33" t="n"/>
      <c r="W473" s="34" t="n"/>
      <c r="X473" s="33" t="n"/>
      <c r="Y473" s="35" t="n"/>
      <c r="Z473" s="32" t="n"/>
      <c r="AA473" s="32" t="n"/>
      <c r="AB473" s="36">
        <f>IF(A473="","",IF(COUNTIF($A$6:$A$504,A473)&gt;1,"⚠ Duplicate",""))</f>
        <v/>
      </c>
      <c r="AC473" s="43" t="n"/>
      <c r="AD473" s="43" t="n"/>
      <c r="AE473" s="43" t="n"/>
      <c r="AF473" s="43" t="n"/>
      <c r="AG473" s="43" t="n"/>
      <c r="AH473" s="43" t="n"/>
      <c r="AI473" s="43" t="n"/>
      <c r="AJ473" s="43" t="n"/>
      <c r="AK473" s="43" t="n"/>
      <c r="AL473" s="43" t="n"/>
      <c r="AM473" s="43" t="n"/>
      <c r="AN473" s="43" t="n"/>
      <c r="AO473" s="43" t="n"/>
      <c r="AP473" s="43" t="n"/>
    </row>
    <row r="474" ht="18" customHeight="1" s="74">
      <c r="A474" s="38" t="n"/>
      <c r="B474" s="38" t="n"/>
      <c r="C474" s="38" t="n"/>
      <c r="D474" s="38" t="n"/>
      <c r="E474" s="39" t="n"/>
      <c r="F474" s="39" t="n"/>
      <c r="G474" s="39" t="n"/>
      <c r="H474" s="39" t="n"/>
      <c r="I474" s="39" t="n"/>
      <c r="J474" s="39" t="n"/>
      <c r="K474" s="39" t="n"/>
      <c r="L474" s="39" t="n"/>
      <c r="M474" s="39" t="n"/>
      <c r="N474" s="39" t="n"/>
      <c r="O474" s="39" t="n"/>
      <c r="P474" s="39" t="n"/>
      <c r="Q474" s="39" t="n"/>
      <c r="R474" s="39" t="n"/>
      <c r="S474" s="39" t="n"/>
      <c r="T474" s="39" t="n"/>
      <c r="U474" s="39" t="n"/>
      <c r="V474" s="39" t="n"/>
      <c r="W474" s="34" t="n"/>
      <c r="X474" s="39" t="n"/>
      <c r="Y474" s="40" t="n"/>
      <c r="Z474" s="38" t="n"/>
      <c r="AA474" s="38" t="n"/>
      <c r="AB474" s="41">
        <f>IF(A474="","",IF(COUNTIF($A$6:$A$504,A474)&gt;1,"⚠ Duplicate",""))</f>
        <v/>
      </c>
      <c r="AC474" s="42" t="n"/>
      <c r="AD474" s="42" t="n"/>
      <c r="AE474" s="42" t="n"/>
      <c r="AF474" s="42" t="n"/>
      <c r="AG474" s="42" t="n"/>
      <c r="AH474" s="42" t="n"/>
      <c r="AI474" s="42" t="n"/>
      <c r="AJ474" s="42" t="n"/>
      <c r="AK474" s="42" t="n"/>
      <c r="AL474" s="42" t="n"/>
      <c r="AM474" s="42" t="n"/>
      <c r="AN474" s="42" t="n"/>
      <c r="AO474" s="42" t="n"/>
      <c r="AP474" s="42" t="n"/>
    </row>
    <row r="475" ht="18" customHeight="1" s="74">
      <c r="A475" s="32" t="n"/>
      <c r="B475" s="32" t="n"/>
      <c r="C475" s="32" t="n"/>
      <c r="D475" s="32" t="n"/>
      <c r="E475" s="33" t="n"/>
      <c r="F475" s="33" t="n"/>
      <c r="G475" s="33" t="n"/>
      <c r="H475" s="33" t="n"/>
      <c r="I475" s="33" t="n"/>
      <c r="J475" s="33" t="n"/>
      <c r="K475" s="33" t="n"/>
      <c r="L475" s="33" t="n"/>
      <c r="M475" s="33" t="n"/>
      <c r="N475" s="33" t="n"/>
      <c r="O475" s="33" t="n"/>
      <c r="P475" s="33" t="n"/>
      <c r="Q475" s="33" t="n"/>
      <c r="R475" s="33" t="n"/>
      <c r="S475" s="33" t="n"/>
      <c r="T475" s="33" t="n"/>
      <c r="U475" s="33" t="n"/>
      <c r="V475" s="33" t="n"/>
      <c r="W475" s="34" t="n"/>
      <c r="X475" s="33" t="n"/>
      <c r="Y475" s="35" t="n"/>
      <c r="Z475" s="32" t="n"/>
      <c r="AA475" s="32" t="n"/>
      <c r="AB475" s="36">
        <f>IF(A475="","",IF(COUNTIF($A$6:$A$504,A475)&gt;1,"⚠ Duplicate",""))</f>
        <v/>
      </c>
      <c r="AC475" s="43" t="n"/>
      <c r="AD475" s="43" t="n"/>
      <c r="AE475" s="43" t="n"/>
      <c r="AF475" s="43" t="n"/>
      <c r="AG475" s="43" t="n"/>
      <c r="AH475" s="43" t="n"/>
      <c r="AI475" s="43" t="n"/>
      <c r="AJ475" s="43" t="n"/>
      <c r="AK475" s="43" t="n"/>
      <c r="AL475" s="43" t="n"/>
      <c r="AM475" s="43" t="n"/>
      <c r="AN475" s="43" t="n"/>
      <c r="AO475" s="43" t="n"/>
      <c r="AP475" s="43" t="n"/>
    </row>
    <row r="476" ht="18" customHeight="1" s="74">
      <c r="A476" s="38" t="n"/>
      <c r="B476" s="38" t="n"/>
      <c r="C476" s="38" t="n"/>
      <c r="D476" s="38" t="n"/>
      <c r="E476" s="39" t="n"/>
      <c r="F476" s="39" t="n"/>
      <c r="G476" s="39" t="n"/>
      <c r="H476" s="39" t="n"/>
      <c r="I476" s="39" t="n"/>
      <c r="J476" s="39" t="n"/>
      <c r="K476" s="39" t="n"/>
      <c r="L476" s="39" t="n"/>
      <c r="M476" s="39" t="n"/>
      <c r="N476" s="39" t="n"/>
      <c r="O476" s="39" t="n"/>
      <c r="P476" s="39" t="n"/>
      <c r="Q476" s="39" t="n"/>
      <c r="R476" s="39" t="n"/>
      <c r="S476" s="39" t="n"/>
      <c r="T476" s="39" t="n"/>
      <c r="U476" s="39" t="n"/>
      <c r="V476" s="39" t="n"/>
      <c r="W476" s="34" t="n"/>
      <c r="X476" s="39" t="n"/>
      <c r="Y476" s="40" t="n"/>
      <c r="Z476" s="38" t="n"/>
      <c r="AA476" s="38" t="n"/>
      <c r="AB476" s="41">
        <f>IF(A476="","",IF(COUNTIF($A$6:$A$504,A476)&gt;1,"⚠ Duplicate",""))</f>
        <v/>
      </c>
      <c r="AC476" s="42" t="n"/>
      <c r="AD476" s="42" t="n"/>
      <c r="AE476" s="42" t="n"/>
      <c r="AF476" s="42" t="n"/>
      <c r="AG476" s="42" t="n"/>
      <c r="AH476" s="42" t="n"/>
      <c r="AI476" s="42" t="n"/>
      <c r="AJ476" s="42" t="n"/>
      <c r="AK476" s="42" t="n"/>
      <c r="AL476" s="42" t="n"/>
      <c r="AM476" s="42" t="n"/>
      <c r="AN476" s="42" t="n"/>
      <c r="AO476" s="42" t="n"/>
      <c r="AP476" s="42" t="n"/>
    </row>
    <row r="477" ht="18" customHeight="1" s="74">
      <c r="A477" s="32" t="n"/>
      <c r="B477" s="32" t="n"/>
      <c r="C477" s="32" t="n"/>
      <c r="D477" s="32" t="n"/>
      <c r="E477" s="33" t="n"/>
      <c r="F477" s="33" t="n"/>
      <c r="G477" s="33" t="n"/>
      <c r="H477" s="33" t="n"/>
      <c r="I477" s="33" t="n"/>
      <c r="J477" s="33" t="n"/>
      <c r="K477" s="33" t="n"/>
      <c r="L477" s="33" t="n"/>
      <c r="M477" s="33" t="n"/>
      <c r="N477" s="33" t="n"/>
      <c r="O477" s="33" t="n"/>
      <c r="P477" s="33" t="n"/>
      <c r="Q477" s="33" t="n"/>
      <c r="R477" s="33" t="n"/>
      <c r="S477" s="33" t="n"/>
      <c r="T477" s="33" t="n"/>
      <c r="U477" s="33" t="n"/>
      <c r="V477" s="33" t="n"/>
      <c r="W477" s="34" t="n"/>
      <c r="X477" s="33" t="n"/>
      <c r="Y477" s="35" t="n"/>
      <c r="Z477" s="32" t="n"/>
      <c r="AA477" s="32" t="n"/>
      <c r="AB477" s="36">
        <f>IF(A477="","",IF(COUNTIF($A$6:$A$504,A477)&gt;1,"⚠ Duplicate",""))</f>
        <v/>
      </c>
      <c r="AC477" s="43" t="n"/>
      <c r="AD477" s="43" t="n"/>
      <c r="AE477" s="43" t="n"/>
      <c r="AF477" s="43" t="n"/>
      <c r="AG477" s="43" t="n"/>
      <c r="AH477" s="43" t="n"/>
      <c r="AI477" s="43" t="n"/>
      <c r="AJ477" s="43" t="n"/>
      <c r="AK477" s="43" t="n"/>
      <c r="AL477" s="43" t="n"/>
      <c r="AM477" s="43" t="n"/>
      <c r="AN477" s="43" t="n"/>
      <c r="AO477" s="43" t="n"/>
      <c r="AP477" s="43" t="n"/>
    </row>
    <row r="478" ht="18" customHeight="1" s="74">
      <c r="A478" s="38" t="n"/>
      <c r="B478" s="38" t="n"/>
      <c r="C478" s="38" t="n"/>
      <c r="D478" s="38" t="n"/>
      <c r="E478" s="39" t="n"/>
      <c r="F478" s="39" t="n"/>
      <c r="G478" s="39" t="n"/>
      <c r="H478" s="39" t="n"/>
      <c r="I478" s="39" t="n"/>
      <c r="J478" s="39" t="n"/>
      <c r="K478" s="39" t="n"/>
      <c r="L478" s="39" t="n"/>
      <c r="M478" s="39" t="n"/>
      <c r="N478" s="39" t="n"/>
      <c r="O478" s="39" t="n"/>
      <c r="P478" s="39" t="n"/>
      <c r="Q478" s="39" t="n"/>
      <c r="R478" s="39" t="n"/>
      <c r="S478" s="39" t="n"/>
      <c r="T478" s="39" t="n"/>
      <c r="U478" s="39" t="n"/>
      <c r="V478" s="39" t="n"/>
      <c r="W478" s="34" t="n"/>
      <c r="X478" s="39" t="n"/>
      <c r="Y478" s="40" t="n"/>
      <c r="Z478" s="38" t="n"/>
      <c r="AA478" s="38" t="n"/>
      <c r="AB478" s="41">
        <f>IF(A478="","",IF(COUNTIF($A$6:$A$504,A478)&gt;1,"⚠ Duplicate",""))</f>
        <v/>
      </c>
      <c r="AC478" s="42" t="n"/>
      <c r="AD478" s="42" t="n"/>
      <c r="AE478" s="42" t="n"/>
      <c r="AF478" s="42" t="n"/>
      <c r="AG478" s="42" t="n"/>
      <c r="AH478" s="42" t="n"/>
      <c r="AI478" s="42" t="n"/>
      <c r="AJ478" s="42" t="n"/>
      <c r="AK478" s="42" t="n"/>
      <c r="AL478" s="42" t="n"/>
      <c r="AM478" s="42" t="n"/>
      <c r="AN478" s="42" t="n"/>
      <c r="AO478" s="42" t="n"/>
      <c r="AP478" s="42" t="n"/>
    </row>
    <row r="479" ht="18" customHeight="1" s="74">
      <c r="A479" s="32" t="n"/>
      <c r="B479" s="32" t="n"/>
      <c r="C479" s="32" t="n"/>
      <c r="D479" s="32" t="n"/>
      <c r="E479" s="33" t="n"/>
      <c r="F479" s="33" t="n"/>
      <c r="G479" s="33" t="n"/>
      <c r="H479" s="33" t="n"/>
      <c r="I479" s="33" t="n"/>
      <c r="J479" s="33" t="n"/>
      <c r="K479" s="33" t="n"/>
      <c r="L479" s="33" t="n"/>
      <c r="M479" s="33" t="n"/>
      <c r="N479" s="33" t="n"/>
      <c r="O479" s="33" t="n"/>
      <c r="P479" s="33" t="n"/>
      <c r="Q479" s="33" t="n"/>
      <c r="R479" s="33" t="n"/>
      <c r="S479" s="33" t="n"/>
      <c r="T479" s="33" t="n"/>
      <c r="U479" s="33" t="n"/>
      <c r="V479" s="33" t="n"/>
      <c r="W479" s="34" t="n"/>
      <c r="X479" s="33" t="n"/>
      <c r="Y479" s="35" t="n"/>
      <c r="Z479" s="32" t="n"/>
      <c r="AA479" s="32" t="n"/>
      <c r="AB479" s="36">
        <f>IF(A479="","",IF(COUNTIF($A$6:$A$504,A479)&gt;1,"⚠ Duplicate",""))</f>
        <v/>
      </c>
      <c r="AC479" s="43" t="n"/>
      <c r="AD479" s="43" t="n"/>
      <c r="AE479" s="43" t="n"/>
      <c r="AF479" s="43" t="n"/>
      <c r="AG479" s="43" t="n"/>
      <c r="AH479" s="43" t="n"/>
      <c r="AI479" s="43" t="n"/>
      <c r="AJ479" s="43" t="n"/>
      <c r="AK479" s="43" t="n"/>
      <c r="AL479" s="43" t="n"/>
      <c r="AM479" s="43" t="n"/>
      <c r="AN479" s="43" t="n"/>
      <c r="AO479" s="43" t="n"/>
      <c r="AP479" s="43" t="n"/>
    </row>
    <row r="480" ht="18" customHeight="1" s="74">
      <c r="A480" s="38" t="n"/>
      <c r="B480" s="38" t="n"/>
      <c r="C480" s="38" t="n"/>
      <c r="D480" s="38" t="n"/>
      <c r="E480" s="39" t="n"/>
      <c r="F480" s="39" t="n"/>
      <c r="G480" s="39" t="n"/>
      <c r="H480" s="39" t="n"/>
      <c r="I480" s="39" t="n"/>
      <c r="J480" s="39" t="n"/>
      <c r="K480" s="39" t="n"/>
      <c r="L480" s="39" t="n"/>
      <c r="M480" s="39" t="n"/>
      <c r="N480" s="39" t="n"/>
      <c r="O480" s="39" t="n"/>
      <c r="P480" s="39" t="n"/>
      <c r="Q480" s="39" t="n"/>
      <c r="R480" s="39" t="n"/>
      <c r="S480" s="39" t="n"/>
      <c r="T480" s="39" t="n"/>
      <c r="U480" s="39" t="n"/>
      <c r="V480" s="39" t="n"/>
      <c r="W480" s="34" t="n"/>
      <c r="X480" s="39" t="n"/>
      <c r="Y480" s="40" t="n"/>
      <c r="Z480" s="38" t="n"/>
      <c r="AA480" s="38" t="n"/>
      <c r="AB480" s="41">
        <f>IF(A480="","",IF(COUNTIF($A$6:$A$504,A480)&gt;1,"⚠ Duplicate",""))</f>
        <v/>
      </c>
      <c r="AC480" s="42" t="n"/>
      <c r="AD480" s="42" t="n"/>
      <c r="AE480" s="42" t="n"/>
      <c r="AF480" s="42" t="n"/>
      <c r="AG480" s="42" t="n"/>
      <c r="AH480" s="42" t="n"/>
      <c r="AI480" s="42" t="n"/>
      <c r="AJ480" s="42" t="n"/>
      <c r="AK480" s="42" t="n"/>
      <c r="AL480" s="42" t="n"/>
      <c r="AM480" s="42" t="n"/>
      <c r="AN480" s="42" t="n"/>
      <c r="AO480" s="42" t="n"/>
      <c r="AP480" s="42" t="n"/>
    </row>
    <row r="481" ht="18" customHeight="1" s="74">
      <c r="A481" s="32" t="n"/>
      <c r="B481" s="32" t="n"/>
      <c r="C481" s="32" t="n"/>
      <c r="D481" s="32" t="n"/>
      <c r="E481" s="33" t="n"/>
      <c r="F481" s="33" t="n"/>
      <c r="G481" s="33" t="n"/>
      <c r="H481" s="33" t="n"/>
      <c r="I481" s="33" t="n"/>
      <c r="J481" s="33" t="n"/>
      <c r="K481" s="33" t="n"/>
      <c r="L481" s="33" t="n"/>
      <c r="M481" s="33" t="n"/>
      <c r="N481" s="33" t="n"/>
      <c r="O481" s="33" t="n"/>
      <c r="P481" s="33" t="n"/>
      <c r="Q481" s="33" t="n"/>
      <c r="R481" s="33" t="n"/>
      <c r="S481" s="33" t="n"/>
      <c r="T481" s="33" t="n"/>
      <c r="U481" s="33" t="n"/>
      <c r="V481" s="33" t="n"/>
      <c r="W481" s="34" t="n"/>
      <c r="X481" s="33" t="n"/>
      <c r="Y481" s="35" t="n"/>
      <c r="Z481" s="32" t="n"/>
      <c r="AA481" s="32" t="n"/>
      <c r="AB481" s="36">
        <f>IF(A481="","",IF(COUNTIF($A$6:$A$504,A481)&gt;1,"⚠ Duplicate",""))</f>
        <v/>
      </c>
      <c r="AC481" s="43" t="n"/>
      <c r="AD481" s="43" t="n"/>
      <c r="AE481" s="43" t="n"/>
      <c r="AF481" s="43" t="n"/>
      <c r="AG481" s="43" t="n"/>
      <c r="AH481" s="43" t="n"/>
      <c r="AI481" s="43" t="n"/>
      <c r="AJ481" s="43" t="n"/>
      <c r="AK481" s="43" t="n"/>
      <c r="AL481" s="43" t="n"/>
      <c r="AM481" s="43" t="n"/>
      <c r="AN481" s="43" t="n"/>
      <c r="AO481" s="43" t="n"/>
      <c r="AP481" s="43" t="n"/>
    </row>
    <row r="482" ht="18" customHeight="1" s="74">
      <c r="A482" s="38" t="n"/>
      <c r="B482" s="38" t="n"/>
      <c r="C482" s="38" t="n"/>
      <c r="D482" s="38" t="n"/>
      <c r="E482" s="39" t="n"/>
      <c r="F482" s="39" t="n"/>
      <c r="G482" s="39" t="n"/>
      <c r="H482" s="39" t="n"/>
      <c r="I482" s="39" t="n"/>
      <c r="J482" s="39" t="n"/>
      <c r="K482" s="39" t="n"/>
      <c r="L482" s="39" t="n"/>
      <c r="M482" s="39" t="n"/>
      <c r="N482" s="39" t="n"/>
      <c r="O482" s="39" t="n"/>
      <c r="P482" s="39" t="n"/>
      <c r="Q482" s="39" t="n"/>
      <c r="R482" s="39" t="n"/>
      <c r="S482" s="39" t="n"/>
      <c r="T482" s="39" t="n"/>
      <c r="U482" s="39" t="n"/>
      <c r="V482" s="39" t="n"/>
      <c r="W482" s="34" t="n"/>
      <c r="X482" s="39" t="n"/>
      <c r="Y482" s="40" t="n"/>
      <c r="Z482" s="38" t="n"/>
      <c r="AA482" s="38" t="n"/>
      <c r="AB482" s="41">
        <f>IF(A482="","",IF(COUNTIF($A$6:$A$504,A482)&gt;1,"⚠ Duplicate",""))</f>
        <v/>
      </c>
      <c r="AC482" s="42" t="n"/>
      <c r="AD482" s="42" t="n"/>
      <c r="AE482" s="42" t="n"/>
      <c r="AF482" s="42" t="n"/>
      <c r="AG482" s="42" t="n"/>
      <c r="AH482" s="42" t="n"/>
      <c r="AI482" s="42" t="n"/>
      <c r="AJ482" s="42" t="n"/>
      <c r="AK482" s="42" t="n"/>
      <c r="AL482" s="42" t="n"/>
      <c r="AM482" s="42" t="n"/>
      <c r="AN482" s="42" t="n"/>
      <c r="AO482" s="42" t="n"/>
      <c r="AP482" s="42" t="n"/>
    </row>
    <row r="483" ht="18" customHeight="1" s="74">
      <c r="A483" s="32" t="n"/>
      <c r="B483" s="32" t="n"/>
      <c r="C483" s="32" t="n"/>
      <c r="D483" s="32" t="n"/>
      <c r="E483" s="33" t="n"/>
      <c r="F483" s="33" t="n"/>
      <c r="G483" s="33" t="n"/>
      <c r="H483" s="33" t="n"/>
      <c r="I483" s="33" t="n"/>
      <c r="J483" s="33" t="n"/>
      <c r="K483" s="33" t="n"/>
      <c r="L483" s="33" t="n"/>
      <c r="M483" s="33" t="n"/>
      <c r="N483" s="33" t="n"/>
      <c r="O483" s="33" t="n"/>
      <c r="P483" s="33" t="n"/>
      <c r="Q483" s="33" t="n"/>
      <c r="R483" s="33" t="n"/>
      <c r="S483" s="33" t="n"/>
      <c r="T483" s="33" t="n"/>
      <c r="U483" s="33" t="n"/>
      <c r="V483" s="33" t="n"/>
      <c r="W483" s="34" t="n"/>
      <c r="X483" s="33" t="n"/>
      <c r="Y483" s="35" t="n"/>
      <c r="Z483" s="32" t="n"/>
      <c r="AA483" s="32" t="n"/>
      <c r="AB483" s="36">
        <f>IF(A483="","",IF(COUNTIF($A$6:$A$504,A483)&gt;1,"⚠ Duplicate",""))</f>
        <v/>
      </c>
      <c r="AC483" s="43" t="n"/>
      <c r="AD483" s="43" t="n"/>
      <c r="AE483" s="43" t="n"/>
      <c r="AF483" s="43" t="n"/>
      <c r="AG483" s="43" t="n"/>
      <c r="AH483" s="43" t="n"/>
      <c r="AI483" s="43" t="n"/>
      <c r="AJ483" s="43" t="n"/>
      <c r="AK483" s="43" t="n"/>
      <c r="AL483" s="43" t="n"/>
      <c r="AM483" s="43" t="n"/>
      <c r="AN483" s="43" t="n"/>
      <c r="AO483" s="43" t="n"/>
      <c r="AP483" s="43" t="n"/>
    </row>
    <row r="484" ht="18" customHeight="1" s="74">
      <c r="A484" s="38" t="n"/>
      <c r="B484" s="38" t="n"/>
      <c r="C484" s="38" t="n"/>
      <c r="D484" s="38" t="n"/>
      <c r="E484" s="39" t="n"/>
      <c r="F484" s="39" t="n"/>
      <c r="G484" s="39" t="n"/>
      <c r="H484" s="39" t="n"/>
      <c r="I484" s="39" t="n"/>
      <c r="J484" s="39" t="n"/>
      <c r="K484" s="39" t="n"/>
      <c r="L484" s="39" t="n"/>
      <c r="M484" s="39" t="n"/>
      <c r="N484" s="39" t="n"/>
      <c r="O484" s="39" t="n"/>
      <c r="P484" s="39" t="n"/>
      <c r="Q484" s="39" t="n"/>
      <c r="R484" s="39" t="n"/>
      <c r="S484" s="39" t="n"/>
      <c r="T484" s="39" t="n"/>
      <c r="U484" s="39" t="n"/>
      <c r="V484" s="39" t="n"/>
      <c r="W484" s="34" t="n"/>
      <c r="X484" s="39" t="n"/>
      <c r="Y484" s="40" t="n"/>
      <c r="Z484" s="38" t="n"/>
      <c r="AA484" s="38" t="n"/>
      <c r="AB484" s="41">
        <f>IF(A484="","",IF(COUNTIF($A$6:$A$504,A484)&gt;1,"⚠ Duplicate",""))</f>
        <v/>
      </c>
      <c r="AC484" s="42" t="n"/>
      <c r="AD484" s="42" t="n"/>
      <c r="AE484" s="42" t="n"/>
      <c r="AF484" s="42" t="n"/>
      <c r="AG484" s="42" t="n"/>
      <c r="AH484" s="42" t="n"/>
      <c r="AI484" s="42" t="n"/>
      <c r="AJ484" s="42" t="n"/>
      <c r="AK484" s="42" t="n"/>
      <c r="AL484" s="42" t="n"/>
      <c r="AM484" s="42" t="n"/>
      <c r="AN484" s="42" t="n"/>
      <c r="AO484" s="42" t="n"/>
      <c r="AP484" s="42" t="n"/>
    </row>
    <row r="485" ht="18" customHeight="1" s="74">
      <c r="A485" s="32" t="n"/>
      <c r="B485" s="32" t="n"/>
      <c r="C485" s="32" t="n"/>
      <c r="D485" s="32" t="n"/>
      <c r="E485" s="33" t="n"/>
      <c r="F485" s="33" t="n"/>
      <c r="G485" s="33" t="n"/>
      <c r="H485" s="33" t="n"/>
      <c r="I485" s="33" t="n"/>
      <c r="J485" s="33" t="n"/>
      <c r="K485" s="33" t="n"/>
      <c r="L485" s="33" t="n"/>
      <c r="M485" s="33" t="n"/>
      <c r="N485" s="33" t="n"/>
      <c r="O485" s="33" t="n"/>
      <c r="P485" s="33" t="n"/>
      <c r="Q485" s="33" t="n"/>
      <c r="R485" s="33" t="n"/>
      <c r="S485" s="33" t="n"/>
      <c r="T485" s="33" t="n"/>
      <c r="U485" s="33" t="n"/>
      <c r="V485" s="33" t="n"/>
      <c r="W485" s="34" t="n"/>
      <c r="X485" s="33" t="n"/>
      <c r="Y485" s="35" t="n"/>
      <c r="Z485" s="32" t="n"/>
      <c r="AA485" s="32" t="n"/>
      <c r="AB485" s="36">
        <f>IF(A485="","",IF(COUNTIF($A$6:$A$504,A485)&gt;1,"⚠ Duplicate",""))</f>
        <v/>
      </c>
      <c r="AC485" s="43" t="n"/>
      <c r="AD485" s="43" t="n"/>
      <c r="AE485" s="43" t="n"/>
      <c r="AF485" s="43" t="n"/>
      <c r="AG485" s="43" t="n"/>
      <c r="AH485" s="43" t="n"/>
      <c r="AI485" s="43" t="n"/>
      <c r="AJ485" s="43" t="n"/>
      <c r="AK485" s="43" t="n"/>
      <c r="AL485" s="43" t="n"/>
      <c r="AM485" s="43" t="n"/>
      <c r="AN485" s="43" t="n"/>
      <c r="AO485" s="43" t="n"/>
      <c r="AP485" s="43" t="n"/>
    </row>
    <row r="486" ht="18" customHeight="1" s="74">
      <c r="A486" s="38" t="n"/>
      <c r="B486" s="38" t="n"/>
      <c r="C486" s="38" t="n"/>
      <c r="D486" s="38" t="n"/>
      <c r="E486" s="39" t="n"/>
      <c r="F486" s="39" t="n"/>
      <c r="G486" s="39" t="n"/>
      <c r="H486" s="39" t="n"/>
      <c r="I486" s="39" t="n"/>
      <c r="J486" s="39" t="n"/>
      <c r="K486" s="39" t="n"/>
      <c r="L486" s="39" t="n"/>
      <c r="M486" s="39" t="n"/>
      <c r="N486" s="39" t="n"/>
      <c r="O486" s="39" t="n"/>
      <c r="P486" s="39" t="n"/>
      <c r="Q486" s="39" t="n"/>
      <c r="R486" s="39" t="n"/>
      <c r="S486" s="39" t="n"/>
      <c r="T486" s="39" t="n"/>
      <c r="U486" s="39" t="n"/>
      <c r="V486" s="39" t="n"/>
      <c r="W486" s="34" t="n"/>
      <c r="X486" s="39" t="n"/>
      <c r="Y486" s="40" t="n"/>
      <c r="Z486" s="38" t="n"/>
      <c r="AA486" s="38" t="n"/>
      <c r="AB486" s="41">
        <f>IF(A486="","",IF(COUNTIF($A$6:$A$504,A486)&gt;1,"⚠ Duplicate",""))</f>
        <v/>
      </c>
      <c r="AC486" s="42" t="n"/>
      <c r="AD486" s="42" t="n"/>
      <c r="AE486" s="42" t="n"/>
      <c r="AF486" s="42" t="n"/>
      <c r="AG486" s="42" t="n"/>
      <c r="AH486" s="42" t="n"/>
      <c r="AI486" s="42" t="n"/>
      <c r="AJ486" s="42" t="n"/>
      <c r="AK486" s="42" t="n"/>
      <c r="AL486" s="42" t="n"/>
      <c r="AM486" s="42" t="n"/>
      <c r="AN486" s="42" t="n"/>
      <c r="AO486" s="42" t="n"/>
      <c r="AP486" s="42" t="n"/>
    </row>
    <row r="487" ht="18" customHeight="1" s="74">
      <c r="A487" s="32" t="n"/>
      <c r="B487" s="32" t="n"/>
      <c r="C487" s="32" t="n"/>
      <c r="D487" s="32" t="n"/>
      <c r="E487" s="33" t="n"/>
      <c r="F487" s="33" t="n"/>
      <c r="G487" s="33" t="n"/>
      <c r="H487" s="33" t="n"/>
      <c r="I487" s="33" t="n"/>
      <c r="J487" s="33" t="n"/>
      <c r="K487" s="33" t="n"/>
      <c r="L487" s="33" t="n"/>
      <c r="M487" s="33" t="n"/>
      <c r="N487" s="33" t="n"/>
      <c r="O487" s="33" t="n"/>
      <c r="P487" s="33" t="n"/>
      <c r="Q487" s="33" t="n"/>
      <c r="R487" s="33" t="n"/>
      <c r="S487" s="33" t="n"/>
      <c r="T487" s="33" t="n"/>
      <c r="U487" s="33" t="n"/>
      <c r="V487" s="33" t="n"/>
      <c r="W487" s="34" t="n"/>
      <c r="X487" s="33" t="n"/>
      <c r="Y487" s="35" t="n"/>
      <c r="Z487" s="32" t="n"/>
      <c r="AA487" s="32" t="n"/>
      <c r="AB487" s="36">
        <f>IF(A487="","",IF(COUNTIF($A$6:$A$504,A487)&gt;1,"⚠ Duplicate",""))</f>
        <v/>
      </c>
      <c r="AC487" s="43" t="n"/>
      <c r="AD487" s="43" t="n"/>
      <c r="AE487" s="43" t="n"/>
      <c r="AF487" s="43" t="n"/>
      <c r="AG487" s="43" t="n"/>
      <c r="AH487" s="43" t="n"/>
      <c r="AI487" s="43" t="n"/>
      <c r="AJ487" s="43" t="n"/>
      <c r="AK487" s="43" t="n"/>
      <c r="AL487" s="43" t="n"/>
      <c r="AM487" s="43" t="n"/>
      <c r="AN487" s="43" t="n"/>
      <c r="AO487" s="43" t="n"/>
      <c r="AP487" s="43" t="n"/>
    </row>
    <row r="488" ht="18" customHeight="1" s="74">
      <c r="A488" s="38" t="n"/>
      <c r="B488" s="38" t="n"/>
      <c r="C488" s="38" t="n"/>
      <c r="D488" s="38" t="n"/>
      <c r="E488" s="39" t="n"/>
      <c r="F488" s="39" t="n"/>
      <c r="G488" s="39" t="n"/>
      <c r="H488" s="39" t="n"/>
      <c r="I488" s="39" t="n"/>
      <c r="J488" s="39" t="n"/>
      <c r="K488" s="39" t="n"/>
      <c r="L488" s="39" t="n"/>
      <c r="M488" s="39" t="n"/>
      <c r="N488" s="39" t="n"/>
      <c r="O488" s="39" t="n"/>
      <c r="P488" s="39" t="n"/>
      <c r="Q488" s="39" t="n"/>
      <c r="R488" s="39" t="n"/>
      <c r="S488" s="39" t="n"/>
      <c r="T488" s="39" t="n"/>
      <c r="U488" s="39" t="n"/>
      <c r="V488" s="39" t="n"/>
      <c r="W488" s="34" t="n"/>
      <c r="X488" s="39" t="n"/>
      <c r="Y488" s="40" t="n"/>
      <c r="Z488" s="38" t="n"/>
      <c r="AA488" s="38" t="n"/>
      <c r="AB488" s="41">
        <f>IF(A488="","",IF(COUNTIF($A$6:$A$504,A488)&gt;1,"⚠ Duplicate",""))</f>
        <v/>
      </c>
      <c r="AC488" s="42" t="n"/>
      <c r="AD488" s="42" t="n"/>
      <c r="AE488" s="42" t="n"/>
      <c r="AF488" s="42" t="n"/>
      <c r="AG488" s="42" t="n"/>
      <c r="AH488" s="42" t="n"/>
      <c r="AI488" s="42" t="n"/>
      <c r="AJ488" s="42" t="n"/>
      <c r="AK488" s="42" t="n"/>
      <c r="AL488" s="42" t="n"/>
      <c r="AM488" s="42" t="n"/>
      <c r="AN488" s="42" t="n"/>
      <c r="AO488" s="42" t="n"/>
      <c r="AP488" s="42" t="n"/>
    </row>
    <row r="489" ht="18" customHeight="1" s="74">
      <c r="A489" s="32" t="n"/>
      <c r="B489" s="32" t="n"/>
      <c r="C489" s="32" t="n"/>
      <c r="D489" s="32" t="n"/>
      <c r="E489" s="33" t="n"/>
      <c r="F489" s="33" t="n"/>
      <c r="G489" s="33" t="n"/>
      <c r="H489" s="33" t="n"/>
      <c r="I489" s="33" t="n"/>
      <c r="J489" s="33" t="n"/>
      <c r="K489" s="33" t="n"/>
      <c r="L489" s="33" t="n"/>
      <c r="M489" s="33" t="n"/>
      <c r="N489" s="33" t="n"/>
      <c r="O489" s="33" t="n"/>
      <c r="P489" s="33" t="n"/>
      <c r="Q489" s="33" t="n"/>
      <c r="R489" s="33" t="n"/>
      <c r="S489" s="33" t="n"/>
      <c r="T489" s="33" t="n"/>
      <c r="U489" s="33" t="n"/>
      <c r="V489" s="33" t="n"/>
      <c r="W489" s="34" t="n"/>
      <c r="X489" s="33" t="n"/>
      <c r="Y489" s="35" t="n"/>
      <c r="Z489" s="32" t="n"/>
      <c r="AA489" s="32" t="n"/>
      <c r="AB489" s="36">
        <f>IF(A489="","",IF(COUNTIF($A$6:$A$504,A489)&gt;1,"⚠ Duplicate",""))</f>
        <v/>
      </c>
      <c r="AC489" s="43" t="n"/>
      <c r="AD489" s="43" t="n"/>
      <c r="AE489" s="43" t="n"/>
      <c r="AF489" s="43" t="n"/>
      <c r="AG489" s="43" t="n"/>
      <c r="AH489" s="43" t="n"/>
      <c r="AI489" s="43" t="n"/>
      <c r="AJ489" s="43" t="n"/>
      <c r="AK489" s="43" t="n"/>
      <c r="AL489" s="43" t="n"/>
      <c r="AM489" s="43" t="n"/>
      <c r="AN489" s="43" t="n"/>
      <c r="AO489" s="43" t="n"/>
      <c r="AP489" s="43" t="n"/>
    </row>
    <row r="490" ht="18" customHeight="1" s="74">
      <c r="A490" s="38" t="n"/>
      <c r="B490" s="38" t="n"/>
      <c r="C490" s="38" t="n"/>
      <c r="D490" s="38" t="n"/>
      <c r="E490" s="39" t="n"/>
      <c r="F490" s="39" t="n"/>
      <c r="G490" s="39" t="n"/>
      <c r="H490" s="39" t="n"/>
      <c r="I490" s="39" t="n"/>
      <c r="J490" s="39" t="n"/>
      <c r="K490" s="39" t="n"/>
      <c r="L490" s="39" t="n"/>
      <c r="M490" s="39" t="n"/>
      <c r="N490" s="39" t="n"/>
      <c r="O490" s="39" t="n"/>
      <c r="P490" s="39" t="n"/>
      <c r="Q490" s="39" t="n"/>
      <c r="R490" s="39" t="n"/>
      <c r="S490" s="39" t="n"/>
      <c r="T490" s="39" t="n"/>
      <c r="U490" s="39" t="n"/>
      <c r="V490" s="39" t="n"/>
      <c r="W490" s="34" t="n"/>
      <c r="X490" s="39" t="n"/>
      <c r="Y490" s="40" t="n"/>
      <c r="Z490" s="38" t="n"/>
      <c r="AA490" s="38" t="n"/>
      <c r="AB490" s="41">
        <f>IF(A490="","",IF(COUNTIF($A$6:$A$504,A490)&gt;1,"⚠ Duplicate",""))</f>
        <v/>
      </c>
      <c r="AC490" s="42" t="n"/>
      <c r="AD490" s="42" t="n"/>
      <c r="AE490" s="42" t="n"/>
      <c r="AF490" s="42" t="n"/>
      <c r="AG490" s="42" t="n"/>
      <c r="AH490" s="42" t="n"/>
      <c r="AI490" s="42" t="n"/>
      <c r="AJ490" s="42" t="n"/>
      <c r="AK490" s="42" t="n"/>
      <c r="AL490" s="42" t="n"/>
      <c r="AM490" s="42" t="n"/>
      <c r="AN490" s="42" t="n"/>
      <c r="AO490" s="42" t="n"/>
      <c r="AP490" s="42" t="n"/>
    </row>
    <row r="491" ht="18" customHeight="1" s="74">
      <c r="A491" s="32" t="n"/>
      <c r="B491" s="32" t="n"/>
      <c r="C491" s="32" t="n"/>
      <c r="D491" s="32" t="n"/>
      <c r="E491" s="33" t="n"/>
      <c r="F491" s="33" t="n"/>
      <c r="G491" s="33" t="n"/>
      <c r="H491" s="33" t="n"/>
      <c r="I491" s="33" t="n"/>
      <c r="J491" s="33" t="n"/>
      <c r="K491" s="33" t="n"/>
      <c r="L491" s="33" t="n"/>
      <c r="M491" s="33" t="n"/>
      <c r="N491" s="33" t="n"/>
      <c r="O491" s="33" t="n"/>
      <c r="P491" s="33" t="n"/>
      <c r="Q491" s="33" t="n"/>
      <c r="R491" s="33" t="n"/>
      <c r="S491" s="33" t="n"/>
      <c r="T491" s="33" t="n"/>
      <c r="U491" s="33" t="n"/>
      <c r="V491" s="33" t="n"/>
      <c r="W491" s="34" t="n"/>
      <c r="X491" s="33" t="n"/>
      <c r="Y491" s="35" t="n"/>
      <c r="Z491" s="32" t="n"/>
      <c r="AA491" s="32" t="n"/>
      <c r="AB491" s="36">
        <f>IF(A491="","",IF(COUNTIF($A$6:$A$504,A491)&gt;1,"⚠ Duplicate",""))</f>
        <v/>
      </c>
      <c r="AC491" s="43" t="n"/>
      <c r="AD491" s="43" t="n"/>
      <c r="AE491" s="43" t="n"/>
      <c r="AF491" s="43" t="n"/>
      <c r="AG491" s="43" t="n"/>
      <c r="AH491" s="43" t="n"/>
      <c r="AI491" s="43" t="n"/>
      <c r="AJ491" s="43" t="n"/>
      <c r="AK491" s="43" t="n"/>
      <c r="AL491" s="43" t="n"/>
      <c r="AM491" s="43" t="n"/>
      <c r="AN491" s="43" t="n"/>
      <c r="AO491" s="43" t="n"/>
      <c r="AP491" s="43" t="n"/>
    </row>
    <row r="492" ht="18" customHeight="1" s="74">
      <c r="A492" s="38" t="n"/>
      <c r="B492" s="38" t="n"/>
      <c r="C492" s="38" t="n"/>
      <c r="D492" s="38" t="n"/>
      <c r="E492" s="39" t="n"/>
      <c r="F492" s="39" t="n"/>
      <c r="G492" s="39" t="n"/>
      <c r="H492" s="39" t="n"/>
      <c r="I492" s="39" t="n"/>
      <c r="J492" s="39" t="n"/>
      <c r="K492" s="39" t="n"/>
      <c r="L492" s="39" t="n"/>
      <c r="M492" s="39" t="n"/>
      <c r="N492" s="39" t="n"/>
      <c r="O492" s="39" t="n"/>
      <c r="P492" s="39" t="n"/>
      <c r="Q492" s="39" t="n"/>
      <c r="R492" s="39" t="n"/>
      <c r="S492" s="39" t="n"/>
      <c r="T492" s="39" t="n"/>
      <c r="U492" s="39" t="n"/>
      <c r="V492" s="39" t="n"/>
      <c r="W492" s="34" t="n"/>
      <c r="X492" s="39" t="n"/>
      <c r="Y492" s="40" t="n"/>
      <c r="Z492" s="38" t="n"/>
      <c r="AA492" s="38" t="n"/>
      <c r="AB492" s="41">
        <f>IF(A492="","",IF(COUNTIF($A$6:$A$504,A492)&gt;1,"⚠ Duplicate",""))</f>
        <v/>
      </c>
      <c r="AC492" s="42" t="n"/>
      <c r="AD492" s="42" t="n"/>
      <c r="AE492" s="42" t="n"/>
      <c r="AF492" s="42" t="n"/>
      <c r="AG492" s="42" t="n"/>
      <c r="AH492" s="42" t="n"/>
      <c r="AI492" s="42" t="n"/>
      <c r="AJ492" s="42" t="n"/>
      <c r="AK492" s="42" t="n"/>
      <c r="AL492" s="42" t="n"/>
      <c r="AM492" s="42" t="n"/>
      <c r="AN492" s="42" t="n"/>
      <c r="AO492" s="42" t="n"/>
      <c r="AP492" s="42" t="n"/>
    </row>
    <row r="493" ht="18" customHeight="1" s="74">
      <c r="A493" s="32" t="n"/>
      <c r="B493" s="32" t="n"/>
      <c r="C493" s="32" t="n"/>
      <c r="D493" s="32" t="n"/>
      <c r="E493" s="33" t="n"/>
      <c r="F493" s="33" t="n"/>
      <c r="G493" s="33" t="n"/>
      <c r="H493" s="33" t="n"/>
      <c r="I493" s="33" t="n"/>
      <c r="J493" s="33" t="n"/>
      <c r="K493" s="33" t="n"/>
      <c r="L493" s="33" t="n"/>
      <c r="M493" s="33" t="n"/>
      <c r="N493" s="33" t="n"/>
      <c r="O493" s="33" t="n"/>
      <c r="P493" s="33" t="n"/>
      <c r="Q493" s="33" t="n"/>
      <c r="R493" s="33" t="n"/>
      <c r="S493" s="33" t="n"/>
      <c r="T493" s="33" t="n"/>
      <c r="U493" s="33" t="n"/>
      <c r="V493" s="33" t="n"/>
      <c r="W493" s="34" t="n"/>
      <c r="X493" s="33" t="n"/>
      <c r="Y493" s="35" t="n"/>
      <c r="Z493" s="32" t="n"/>
      <c r="AA493" s="32" t="n"/>
      <c r="AB493" s="36">
        <f>IF(A493="","",IF(COUNTIF($A$6:$A$504,A493)&gt;1,"⚠ Duplicate",""))</f>
        <v/>
      </c>
      <c r="AC493" s="43" t="n"/>
      <c r="AD493" s="43" t="n"/>
      <c r="AE493" s="43" t="n"/>
      <c r="AF493" s="43" t="n"/>
      <c r="AG493" s="43" t="n"/>
      <c r="AH493" s="43" t="n"/>
      <c r="AI493" s="43" t="n"/>
      <c r="AJ493" s="43" t="n"/>
      <c r="AK493" s="43" t="n"/>
      <c r="AL493" s="43" t="n"/>
      <c r="AM493" s="43" t="n"/>
      <c r="AN493" s="43" t="n"/>
      <c r="AO493" s="43" t="n"/>
      <c r="AP493" s="43" t="n"/>
    </row>
    <row r="494" ht="18" customHeight="1" s="74">
      <c r="A494" s="38" t="n"/>
      <c r="B494" s="38" t="n"/>
      <c r="C494" s="38" t="n"/>
      <c r="D494" s="38" t="n"/>
      <c r="E494" s="39" t="n"/>
      <c r="F494" s="39" t="n"/>
      <c r="G494" s="39" t="n"/>
      <c r="H494" s="39" t="n"/>
      <c r="I494" s="39" t="n"/>
      <c r="J494" s="39" t="n"/>
      <c r="K494" s="39" t="n"/>
      <c r="L494" s="39" t="n"/>
      <c r="M494" s="39" t="n"/>
      <c r="N494" s="39" t="n"/>
      <c r="O494" s="39" t="n"/>
      <c r="P494" s="39" t="n"/>
      <c r="Q494" s="39" t="n"/>
      <c r="R494" s="39" t="n"/>
      <c r="S494" s="39" t="n"/>
      <c r="T494" s="39" t="n"/>
      <c r="U494" s="39" t="n"/>
      <c r="V494" s="39" t="n"/>
      <c r="W494" s="34" t="n"/>
      <c r="X494" s="39" t="n"/>
      <c r="Y494" s="40" t="n"/>
      <c r="Z494" s="38" t="n"/>
      <c r="AA494" s="38" t="n"/>
      <c r="AB494" s="41">
        <f>IF(A494="","",IF(COUNTIF($A$6:$A$504,A494)&gt;1,"⚠ Duplicate",""))</f>
        <v/>
      </c>
      <c r="AC494" s="42" t="n"/>
      <c r="AD494" s="42" t="n"/>
      <c r="AE494" s="42" t="n"/>
      <c r="AF494" s="42" t="n"/>
      <c r="AG494" s="42" t="n"/>
      <c r="AH494" s="42" t="n"/>
      <c r="AI494" s="42" t="n"/>
      <c r="AJ494" s="42" t="n"/>
      <c r="AK494" s="42" t="n"/>
      <c r="AL494" s="42" t="n"/>
      <c r="AM494" s="42" t="n"/>
      <c r="AN494" s="42" t="n"/>
      <c r="AO494" s="42" t="n"/>
      <c r="AP494" s="42" t="n"/>
    </row>
    <row r="495" ht="18" customHeight="1" s="74">
      <c r="A495" s="32" t="n"/>
      <c r="B495" s="32" t="n"/>
      <c r="C495" s="32" t="n"/>
      <c r="D495" s="32" t="n"/>
      <c r="E495" s="33" t="n"/>
      <c r="F495" s="33" t="n"/>
      <c r="G495" s="33" t="n"/>
      <c r="H495" s="33" t="n"/>
      <c r="I495" s="33" t="n"/>
      <c r="J495" s="33" t="n"/>
      <c r="K495" s="33" t="n"/>
      <c r="L495" s="33" t="n"/>
      <c r="M495" s="33" t="n"/>
      <c r="N495" s="33" t="n"/>
      <c r="O495" s="33" t="n"/>
      <c r="P495" s="33" t="n"/>
      <c r="Q495" s="33" t="n"/>
      <c r="R495" s="33" t="n"/>
      <c r="S495" s="33" t="n"/>
      <c r="T495" s="33" t="n"/>
      <c r="U495" s="33" t="n"/>
      <c r="V495" s="33" t="n"/>
      <c r="W495" s="34" t="n"/>
      <c r="X495" s="33" t="n"/>
      <c r="Y495" s="35" t="n"/>
      <c r="Z495" s="32" t="n"/>
      <c r="AA495" s="32" t="n"/>
      <c r="AB495" s="36">
        <f>IF(A495="","",IF(COUNTIF($A$6:$A$504,A495)&gt;1,"⚠ Duplicate",""))</f>
        <v/>
      </c>
      <c r="AC495" s="43" t="n"/>
      <c r="AD495" s="43" t="n"/>
      <c r="AE495" s="43" t="n"/>
      <c r="AF495" s="43" t="n"/>
      <c r="AG495" s="43" t="n"/>
      <c r="AH495" s="43" t="n"/>
      <c r="AI495" s="43" t="n"/>
      <c r="AJ495" s="43" t="n"/>
      <c r="AK495" s="43" t="n"/>
      <c r="AL495" s="43" t="n"/>
      <c r="AM495" s="43" t="n"/>
      <c r="AN495" s="43" t="n"/>
      <c r="AO495" s="43" t="n"/>
      <c r="AP495" s="43" t="n"/>
    </row>
    <row r="496" ht="18" customHeight="1" s="74">
      <c r="A496" s="38" t="n"/>
      <c r="B496" s="38" t="n"/>
      <c r="C496" s="38" t="n"/>
      <c r="D496" s="38" t="n"/>
      <c r="E496" s="39" t="n"/>
      <c r="F496" s="39" t="n"/>
      <c r="G496" s="39" t="n"/>
      <c r="H496" s="39" t="n"/>
      <c r="I496" s="39" t="n"/>
      <c r="J496" s="39" t="n"/>
      <c r="K496" s="39" t="n"/>
      <c r="L496" s="39" t="n"/>
      <c r="M496" s="39" t="n"/>
      <c r="N496" s="39" t="n"/>
      <c r="O496" s="39" t="n"/>
      <c r="P496" s="39" t="n"/>
      <c r="Q496" s="39" t="n"/>
      <c r="R496" s="39" t="n"/>
      <c r="S496" s="39" t="n"/>
      <c r="T496" s="39" t="n"/>
      <c r="U496" s="39" t="n"/>
      <c r="V496" s="39" t="n"/>
      <c r="W496" s="34" t="n"/>
      <c r="X496" s="39" t="n"/>
      <c r="Y496" s="40" t="n"/>
      <c r="Z496" s="38" t="n"/>
      <c r="AA496" s="38" t="n"/>
      <c r="AB496" s="41">
        <f>IF(A496="","",IF(COUNTIF($A$6:$A$504,A496)&gt;1,"⚠ Duplicate",""))</f>
        <v/>
      </c>
      <c r="AC496" s="42" t="n"/>
      <c r="AD496" s="42" t="n"/>
      <c r="AE496" s="42" t="n"/>
      <c r="AF496" s="42" t="n"/>
      <c r="AG496" s="42" t="n"/>
      <c r="AH496" s="42" t="n"/>
      <c r="AI496" s="42" t="n"/>
      <c r="AJ496" s="42" t="n"/>
      <c r="AK496" s="42" t="n"/>
      <c r="AL496" s="42" t="n"/>
      <c r="AM496" s="42" t="n"/>
      <c r="AN496" s="42" t="n"/>
      <c r="AO496" s="42" t="n"/>
      <c r="AP496" s="42" t="n"/>
    </row>
    <row r="497" ht="18" customHeight="1" s="74">
      <c r="A497" s="32" t="n"/>
      <c r="B497" s="32" t="n"/>
      <c r="C497" s="32" t="n"/>
      <c r="D497" s="32" t="n"/>
      <c r="E497" s="33" t="n"/>
      <c r="F497" s="33" t="n"/>
      <c r="G497" s="33" t="n"/>
      <c r="H497" s="33" t="n"/>
      <c r="I497" s="33" t="n"/>
      <c r="J497" s="33" t="n"/>
      <c r="K497" s="33" t="n"/>
      <c r="L497" s="33" t="n"/>
      <c r="M497" s="33" t="n"/>
      <c r="N497" s="33" t="n"/>
      <c r="O497" s="33" t="n"/>
      <c r="P497" s="33" t="n"/>
      <c r="Q497" s="33" t="n"/>
      <c r="R497" s="33" t="n"/>
      <c r="S497" s="33" t="n"/>
      <c r="T497" s="33" t="n"/>
      <c r="U497" s="33" t="n"/>
      <c r="V497" s="33" t="n"/>
      <c r="W497" s="34" t="n"/>
      <c r="X497" s="33" t="n"/>
      <c r="Y497" s="35" t="n"/>
      <c r="Z497" s="32" t="n"/>
      <c r="AA497" s="32" t="n"/>
      <c r="AB497" s="36">
        <f>IF(A497="","",IF(COUNTIF($A$6:$A$504,A497)&gt;1,"⚠ Duplicate",""))</f>
        <v/>
      </c>
      <c r="AC497" s="43" t="n"/>
      <c r="AD497" s="43" t="n"/>
      <c r="AE497" s="43" t="n"/>
      <c r="AF497" s="43" t="n"/>
      <c r="AG497" s="43" t="n"/>
      <c r="AH497" s="43" t="n"/>
      <c r="AI497" s="43" t="n"/>
      <c r="AJ497" s="43" t="n"/>
      <c r="AK497" s="43" t="n"/>
      <c r="AL497" s="43" t="n"/>
      <c r="AM497" s="43" t="n"/>
      <c r="AN497" s="43" t="n"/>
      <c r="AO497" s="43" t="n"/>
      <c r="AP497" s="43" t="n"/>
    </row>
    <row r="498" ht="18" customHeight="1" s="74">
      <c r="A498" s="38" t="n"/>
      <c r="B498" s="38" t="n"/>
      <c r="C498" s="38" t="n"/>
      <c r="D498" s="38" t="n"/>
      <c r="E498" s="39" t="n"/>
      <c r="F498" s="39" t="n"/>
      <c r="G498" s="39" t="n"/>
      <c r="H498" s="39" t="n"/>
      <c r="I498" s="39" t="n"/>
      <c r="J498" s="39" t="n"/>
      <c r="K498" s="39" t="n"/>
      <c r="L498" s="39" t="n"/>
      <c r="M498" s="39" t="n"/>
      <c r="N498" s="39" t="n"/>
      <c r="O498" s="39" t="n"/>
      <c r="P498" s="39" t="n"/>
      <c r="Q498" s="39" t="n"/>
      <c r="R498" s="39" t="n"/>
      <c r="S498" s="39" t="n"/>
      <c r="T498" s="39" t="n"/>
      <c r="U498" s="39" t="n"/>
      <c r="V498" s="39" t="n"/>
      <c r="W498" s="34" t="n"/>
      <c r="X498" s="39" t="n"/>
      <c r="Y498" s="40" t="n"/>
      <c r="Z498" s="38" t="n"/>
      <c r="AA498" s="38" t="n"/>
      <c r="AB498" s="41">
        <f>IF(A498="","",IF(COUNTIF($A$6:$A$504,A498)&gt;1,"⚠ Duplicate",""))</f>
        <v/>
      </c>
      <c r="AC498" s="42" t="n"/>
      <c r="AD498" s="42" t="n"/>
      <c r="AE498" s="42" t="n"/>
      <c r="AF498" s="42" t="n"/>
      <c r="AG498" s="42" t="n"/>
      <c r="AH498" s="42" t="n"/>
      <c r="AI498" s="42" t="n"/>
      <c r="AJ498" s="42" t="n"/>
      <c r="AK498" s="42" t="n"/>
      <c r="AL498" s="42" t="n"/>
      <c r="AM498" s="42" t="n"/>
      <c r="AN498" s="42" t="n"/>
      <c r="AO498" s="42" t="n"/>
      <c r="AP498" s="42" t="n"/>
    </row>
    <row r="499" ht="18" customHeight="1" s="74">
      <c r="A499" s="32" t="n"/>
      <c r="B499" s="32" t="n"/>
      <c r="C499" s="32" t="n"/>
      <c r="D499" s="32" t="n"/>
      <c r="E499" s="33" t="n"/>
      <c r="F499" s="33" t="n"/>
      <c r="G499" s="33" t="n"/>
      <c r="H499" s="33" t="n"/>
      <c r="I499" s="33" t="n"/>
      <c r="J499" s="33" t="n"/>
      <c r="K499" s="33" t="n"/>
      <c r="L499" s="33" t="n"/>
      <c r="M499" s="33" t="n"/>
      <c r="N499" s="33" t="n"/>
      <c r="O499" s="33" t="n"/>
      <c r="P499" s="33" t="n"/>
      <c r="Q499" s="33" t="n"/>
      <c r="R499" s="33" t="n"/>
      <c r="S499" s="33" t="n"/>
      <c r="T499" s="33" t="n"/>
      <c r="U499" s="33" t="n"/>
      <c r="V499" s="33" t="n"/>
      <c r="W499" s="34" t="n"/>
      <c r="X499" s="33" t="n"/>
      <c r="Y499" s="35" t="n"/>
      <c r="Z499" s="32" t="n"/>
      <c r="AA499" s="32" t="n"/>
      <c r="AB499" s="36">
        <f>IF(A499="","",IF(COUNTIF($A$6:$A$504,A499)&gt;1,"⚠ Duplicate",""))</f>
        <v/>
      </c>
      <c r="AC499" s="43" t="n"/>
      <c r="AD499" s="43" t="n"/>
      <c r="AE499" s="43" t="n"/>
      <c r="AF499" s="43" t="n"/>
      <c r="AG499" s="43" t="n"/>
      <c r="AH499" s="43" t="n"/>
      <c r="AI499" s="43" t="n"/>
      <c r="AJ499" s="43" t="n"/>
      <c r="AK499" s="43" t="n"/>
      <c r="AL499" s="43" t="n"/>
      <c r="AM499" s="43" t="n"/>
      <c r="AN499" s="43" t="n"/>
      <c r="AO499" s="43" t="n"/>
      <c r="AP499" s="43" t="n"/>
    </row>
    <row r="500" ht="18" customHeight="1" s="74">
      <c r="A500" s="38" t="n"/>
      <c r="B500" s="38" t="n"/>
      <c r="C500" s="38" t="n"/>
      <c r="D500" s="38" t="n"/>
      <c r="E500" s="39" t="n"/>
      <c r="F500" s="39" t="n"/>
      <c r="G500" s="39" t="n"/>
      <c r="H500" s="39" t="n"/>
      <c r="I500" s="39" t="n"/>
      <c r="J500" s="39" t="n"/>
      <c r="K500" s="39" t="n"/>
      <c r="L500" s="39" t="n"/>
      <c r="M500" s="39" t="n"/>
      <c r="N500" s="39" t="n"/>
      <c r="O500" s="39" t="n"/>
      <c r="P500" s="39" t="n"/>
      <c r="Q500" s="39" t="n"/>
      <c r="R500" s="39" t="n"/>
      <c r="S500" s="39" t="n"/>
      <c r="T500" s="39" t="n"/>
      <c r="U500" s="39" t="n"/>
      <c r="V500" s="39" t="n"/>
      <c r="W500" s="34" t="n"/>
      <c r="X500" s="39" t="n"/>
      <c r="Y500" s="40" t="n"/>
      <c r="Z500" s="38" t="n"/>
      <c r="AA500" s="38" t="n"/>
      <c r="AB500" s="41">
        <f>IF(A500="","",IF(COUNTIF($A$6:$A$504,A500)&gt;1,"⚠ Duplicate",""))</f>
        <v/>
      </c>
      <c r="AC500" s="42" t="n"/>
      <c r="AD500" s="42" t="n"/>
      <c r="AE500" s="42" t="n"/>
      <c r="AF500" s="42" t="n"/>
      <c r="AG500" s="42" t="n"/>
      <c r="AH500" s="42" t="n"/>
      <c r="AI500" s="42" t="n"/>
      <c r="AJ500" s="42" t="n"/>
      <c r="AK500" s="42" t="n"/>
      <c r="AL500" s="42" t="n"/>
      <c r="AM500" s="42" t="n"/>
      <c r="AN500" s="42" t="n"/>
      <c r="AO500" s="42" t="n"/>
      <c r="AP500" s="42" t="n"/>
    </row>
    <row r="501" ht="18" customHeight="1" s="74">
      <c r="A501" s="32" t="n"/>
      <c r="B501" s="32" t="n"/>
      <c r="C501" s="32" t="n"/>
      <c r="D501" s="32" t="n"/>
      <c r="E501" s="33" t="n"/>
      <c r="F501" s="33" t="n"/>
      <c r="G501" s="33" t="n"/>
      <c r="H501" s="33" t="n"/>
      <c r="I501" s="33" t="n"/>
      <c r="J501" s="33" t="n"/>
      <c r="K501" s="33" t="n"/>
      <c r="L501" s="33" t="n"/>
      <c r="M501" s="33" t="n"/>
      <c r="N501" s="33" t="n"/>
      <c r="O501" s="33" t="n"/>
      <c r="P501" s="33" t="n"/>
      <c r="Q501" s="33" t="n"/>
      <c r="R501" s="33" t="n"/>
      <c r="S501" s="33" t="n"/>
      <c r="T501" s="33" t="n"/>
      <c r="U501" s="33" t="n"/>
      <c r="V501" s="33" t="n"/>
      <c r="W501" s="34" t="n"/>
      <c r="X501" s="33" t="n"/>
      <c r="Y501" s="35" t="n"/>
      <c r="Z501" s="32" t="n"/>
      <c r="AA501" s="32" t="n"/>
      <c r="AB501" s="36">
        <f>IF(A501="","",IF(COUNTIF($A$6:$A$504,A501)&gt;1,"⚠ Duplicate",""))</f>
        <v/>
      </c>
      <c r="AC501" s="43" t="n"/>
      <c r="AD501" s="43" t="n"/>
      <c r="AE501" s="43" t="n"/>
      <c r="AF501" s="43" t="n"/>
      <c r="AG501" s="43" t="n"/>
      <c r="AH501" s="43" t="n"/>
      <c r="AI501" s="43" t="n"/>
      <c r="AJ501" s="43" t="n"/>
      <c r="AK501" s="43" t="n"/>
      <c r="AL501" s="43" t="n"/>
      <c r="AM501" s="43" t="n"/>
      <c r="AN501" s="43" t="n"/>
      <c r="AO501" s="43" t="n"/>
      <c r="AP501" s="43" t="n"/>
    </row>
    <row r="502" ht="18" customHeight="1" s="74">
      <c r="A502" s="38" t="n"/>
      <c r="B502" s="38" t="n"/>
      <c r="C502" s="38" t="n"/>
      <c r="D502" s="38" t="n"/>
      <c r="E502" s="39" t="n"/>
      <c r="F502" s="39" t="n"/>
      <c r="G502" s="39" t="n"/>
      <c r="H502" s="39" t="n"/>
      <c r="I502" s="39" t="n"/>
      <c r="J502" s="39" t="n"/>
      <c r="K502" s="39" t="n"/>
      <c r="L502" s="39" t="n"/>
      <c r="M502" s="39" t="n"/>
      <c r="N502" s="39" t="n"/>
      <c r="O502" s="39" t="n"/>
      <c r="P502" s="39" t="n"/>
      <c r="Q502" s="39" t="n"/>
      <c r="R502" s="39" t="n"/>
      <c r="S502" s="39" t="n"/>
      <c r="T502" s="39" t="n"/>
      <c r="U502" s="39" t="n"/>
      <c r="V502" s="39" t="n"/>
      <c r="W502" s="34" t="n"/>
      <c r="X502" s="39" t="n"/>
      <c r="Y502" s="40" t="n"/>
      <c r="Z502" s="38" t="n"/>
      <c r="AA502" s="38" t="n"/>
      <c r="AB502" s="41">
        <f>IF(A502="","",IF(COUNTIF($A$6:$A$504,A502)&gt;1,"⚠ Duplicate",""))</f>
        <v/>
      </c>
      <c r="AC502" s="42" t="n"/>
      <c r="AD502" s="42" t="n"/>
      <c r="AE502" s="42" t="n"/>
      <c r="AF502" s="42" t="n"/>
      <c r="AG502" s="42" t="n"/>
      <c r="AH502" s="42" t="n"/>
      <c r="AI502" s="42" t="n"/>
      <c r="AJ502" s="42" t="n"/>
      <c r="AK502" s="42" t="n"/>
      <c r="AL502" s="42" t="n"/>
      <c r="AM502" s="42" t="n"/>
      <c r="AN502" s="42" t="n"/>
      <c r="AO502" s="42" t="n"/>
      <c r="AP502" s="42" t="n"/>
    </row>
    <row r="503" ht="18" customHeight="1" s="74">
      <c r="A503" s="32" t="n"/>
      <c r="B503" s="32" t="n"/>
      <c r="C503" s="32" t="n"/>
      <c r="D503" s="32" t="n"/>
      <c r="E503" s="33" t="n"/>
      <c r="F503" s="33" t="n"/>
      <c r="G503" s="33" t="n"/>
      <c r="H503" s="33" t="n"/>
      <c r="I503" s="33" t="n"/>
      <c r="J503" s="33" t="n"/>
      <c r="K503" s="33" t="n"/>
      <c r="L503" s="33" t="n"/>
      <c r="M503" s="33" t="n"/>
      <c r="N503" s="33" t="n"/>
      <c r="O503" s="33" t="n"/>
      <c r="P503" s="33" t="n"/>
      <c r="Q503" s="33" t="n"/>
      <c r="R503" s="33" t="n"/>
      <c r="S503" s="33" t="n"/>
      <c r="T503" s="33" t="n"/>
      <c r="U503" s="33" t="n"/>
      <c r="V503" s="33" t="n"/>
      <c r="W503" s="34" t="n"/>
      <c r="X503" s="33" t="n"/>
      <c r="Y503" s="35" t="n"/>
      <c r="Z503" s="32" t="n"/>
      <c r="AA503" s="32" t="n"/>
      <c r="AB503" s="36">
        <f>IF(A503="","",IF(COUNTIF($A$6:$A$504,A503)&gt;1,"⚠ Duplicate",""))</f>
        <v/>
      </c>
      <c r="AC503" s="43" t="n"/>
      <c r="AD503" s="43" t="n"/>
      <c r="AE503" s="43" t="n"/>
      <c r="AF503" s="43" t="n"/>
      <c r="AG503" s="43" t="n"/>
      <c r="AH503" s="43" t="n"/>
      <c r="AI503" s="43" t="n"/>
      <c r="AJ503" s="43" t="n"/>
      <c r="AK503" s="43" t="n"/>
      <c r="AL503" s="43" t="n"/>
      <c r="AM503" s="43" t="n"/>
      <c r="AN503" s="43" t="n"/>
      <c r="AO503" s="43" t="n"/>
      <c r="AP503" s="43" t="n"/>
    </row>
    <row r="504" ht="18" customHeight="1" s="74">
      <c r="A504" s="38" t="n"/>
      <c r="B504" s="38" t="n"/>
      <c r="C504" s="38" t="n"/>
      <c r="D504" s="38" t="n"/>
      <c r="E504" s="39" t="n"/>
      <c r="F504" s="39" t="n"/>
      <c r="G504" s="39" t="n"/>
      <c r="H504" s="39" t="n"/>
      <c r="I504" s="39" t="n"/>
      <c r="J504" s="39" t="n"/>
      <c r="K504" s="39" t="n"/>
      <c r="L504" s="39" t="n"/>
      <c r="M504" s="39" t="n"/>
      <c r="N504" s="39" t="n"/>
      <c r="O504" s="39" t="n"/>
      <c r="P504" s="39" t="n"/>
      <c r="Q504" s="39" t="n"/>
      <c r="R504" s="39" t="n"/>
      <c r="S504" s="39" t="n"/>
      <c r="T504" s="39" t="n"/>
      <c r="U504" s="39" t="n"/>
      <c r="V504" s="39" t="n"/>
      <c r="W504" s="34" t="n"/>
      <c r="X504" s="39" t="n"/>
      <c r="Y504" s="40" t="n"/>
      <c r="Z504" s="38" t="n"/>
      <c r="AA504" s="38" t="n"/>
      <c r="AB504" s="41">
        <f>IF(A504="","",IF(COUNTIF($A$6:$A$504,A504)&gt;1,"⚠ Duplicate",""))</f>
        <v/>
      </c>
      <c r="AC504" s="42" t="n"/>
      <c r="AD504" s="42" t="n"/>
      <c r="AE504" s="42" t="n"/>
      <c r="AF504" s="42" t="n"/>
      <c r="AG504" s="42" t="n"/>
      <c r="AH504" s="42" t="n"/>
      <c r="AI504" s="42" t="n"/>
      <c r="AJ504" s="42" t="n"/>
      <c r="AK504" s="42" t="n"/>
      <c r="AL504" s="42" t="n"/>
      <c r="AM504" s="42" t="n"/>
      <c r="AN504" s="42" t="n"/>
      <c r="AO504" s="42" t="n"/>
      <c r="AP504" s="42" t="n"/>
    </row>
  </sheetData>
  <autoFilter ref="A1:AP504">
    <filterColumn colId="28" hiddenButton="0" showButton="0"/>
    <filterColumn colId="29" hiddenButton="0" showButton="0"/>
    <filterColumn colId="30" hiddenButton="0" showButton="0"/>
    <filterColumn colId="31" hiddenButton="0" showButton="0"/>
    <filterColumn colId="32" hiddenButton="0" showButton="0"/>
    <filterColumn colId="33" hiddenButton="0" showButton="0"/>
    <filterColumn colId="34" hiddenButton="0" showButton="0"/>
    <filterColumn colId="35" hiddenButton="0" showButton="0"/>
    <filterColumn colId="36" hiddenButton="0" showButton="0"/>
    <filterColumn colId="37" hiddenButton="0" showButton="0"/>
    <filterColumn colId="38" hiddenButton="0" showButton="0"/>
    <filterColumn colId="39" hiddenButton="0" showButton="0"/>
    <filterColumn colId="40" hiddenButton="0" showButton="0"/>
  </autoFilter>
  <mergeCells count="14">
    <mergeCell ref="O3:P3"/>
    <mergeCell ref="Q4:T4"/>
    <mergeCell ref="Z3:AB3"/>
    <mergeCell ref="AA2:AB2"/>
    <mergeCell ref="U4:V4"/>
    <mergeCell ref="X3:Y3"/>
    <mergeCell ref="M3:N3"/>
    <mergeCell ref="AC1:AP3"/>
    <mergeCell ref="A3:F3"/>
    <mergeCell ref="A2:Z2"/>
    <mergeCell ref="G3:H3"/>
    <mergeCell ref="Q3:V3"/>
    <mergeCell ref="K3:L3"/>
    <mergeCell ref="I3:J3"/>
  </mergeCells>
  <conditionalFormatting sqref="A6:AP504">
    <cfRule type="expression" priority="8" dxfId="2">
      <formula>$F6="Yes"</formula>
    </cfRule>
  </conditionalFormatting>
  <conditionalFormatting sqref="A6:A504">
    <cfRule type="expression" priority="9" dxfId="1">
      <formula>AND(A6&lt;&gt;"",COUNTIF($A$6:$A$504,A6)&gt;1)</formula>
    </cfRule>
  </conditionalFormatting>
  <conditionalFormatting sqref="AC36:AP3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5:AP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7:AP3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8:AP3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0:AP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8">
    <dataValidation sqref="X6:X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W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Y6:Y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AC6:AP504" showDropDown="0" showInputMessage="0" showErrorMessage="1" allowBlank="1" errorTitle="Invalid manhour %" error="Enter a percentage between 0% and 100%. Type 5% (or 0.05), not 5." promptTitle="Manhour cost" prompt="Share of project value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61"/>
  <sheetViews>
    <sheetView showGridLines="0" zoomScale="70" zoomScaleNormal="70" workbookViewId="0">
      <selection activeCell="Y14" sqref="Y14"/>
    </sheetView>
  </sheetViews>
  <sheetFormatPr baseColWidth="8" defaultColWidth="8.6640625" defaultRowHeight="14.4"/>
  <cols>
    <col width="5" customWidth="1" style="74" min="1" max="1"/>
    <col width="13" customWidth="1" style="74" min="2" max="2"/>
    <col width="19.88671875" customWidth="1" style="74" min="3" max="3"/>
    <col width="15.33203125" customWidth="1" style="74" min="4" max="4"/>
    <col width="9.44140625" customWidth="1" style="74" min="5" max="5"/>
    <col width="17.33203125" customWidth="1" style="74" min="6" max="6"/>
    <col width="9.44140625" customWidth="1" style="74" min="7" max="7"/>
    <col width="7.44140625" customWidth="1" style="74" min="8" max="8"/>
    <col width="8" customWidth="1" style="74" min="9" max="9"/>
    <col width="6.6640625" customWidth="1" style="74" min="10" max="10"/>
    <col width="9.44140625" customWidth="1" style="74" min="11" max="11"/>
    <col width="7.88671875" customWidth="1" style="74" min="12" max="13"/>
    <col width="5.6640625" customWidth="1" style="74" min="14" max="14"/>
    <col width="5.44140625" customWidth="1" style="74" min="15" max="18"/>
    <col width="5.6640625" customWidth="1" style="74" min="19" max="19"/>
    <col width="6.109375" customWidth="1" style="74" min="20" max="20"/>
    <col width="5.44140625" customWidth="1" style="74" min="21" max="21"/>
    <col width="1.6640625" customWidth="1" style="74" min="23" max="23"/>
  </cols>
  <sheetData>
    <row r="1" ht="36" customHeight="1" s="74">
      <c r="A1" s="157" t="inlineStr">
        <is>
          <t>DEMATIC  | Project Search &amp; Schedule Estimator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4" customHeight="1" s="74">
      <c r="A3" s="113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80" t="n"/>
      <c r="C3" s="80" t="n"/>
      <c r="D3" s="80" t="n"/>
      <c r="E3" s="80" t="n"/>
      <c r="F3" s="80" t="n"/>
      <c r="G3" s="80" t="n"/>
    </row>
    <row r="4" ht="24" customHeight="1" s="74">
      <c r="A4" s="44" t="n"/>
      <c r="B4" s="28" t="inlineStr">
        <is>
          <t>System</t>
        </is>
      </c>
      <c r="C4" s="28" t="inlineStr">
        <is>
          <t>Include?</t>
        </is>
      </c>
      <c r="D4" s="28" t="inlineStr">
        <is>
          <t>Parameter 1</t>
        </is>
      </c>
      <c r="E4" s="28" t="inlineStr">
        <is>
          <t>Your Value</t>
        </is>
      </c>
      <c r="F4" s="28" t="inlineStr">
        <is>
          <t>Parameter 2</t>
        </is>
      </c>
      <c r="G4" s="28" t="inlineStr">
        <is>
          <t>Your Value</t>
        </is>
      </c>
      <c r="I4" s="118" t="inlineStr">
        <is>
          <t>OPTIONAL FILTERS</t>
        </is>
      </c>
    </row>
    <row r="5" ht="25.5" customHeight="1" s="74">
      <c r="A5" s="15" t="n"/>
      <c r="B5" s="45" t="inlineStr">
        <is>
          <t>Multishuttle</t>
        </is>
      </c>
      <c r="C5" s="46" t="inlineStr">
        <is>
          <t>NO</t>
        </is>
      </c>
      <c r="D5" s="47" t="inlineStr">
        <is>
          <t>No. of Shuttles</t>
        </is>
      </c>
      <c r="E5" s="48" t="n"/>
      <c r="F5" s="47" t="inlineStr">
        <is>
          <t>No. of Tote Locations</t>
        </is>
      </c>
      <c r="G5" s="49" t="n"/>
      <c r="H5" s="2" t="n"/>
      <c r="I5" s="119" t="inlineStr">
        <is>
          <t>Solution Type</t>
        </is>
      </c>
      <c r="L5" s="158" t="inlineStr">
        <is>
          <t>All</t>
        </is>
      </c>
      <c r="M5" s="159" t="n"/>
      <c r="N5" s="159" t="n"/>
      <c r="O5" s="159" t="n"/>
      <c r="P5" s="159" t="n"/>
      <c r="Q5" s="160" t="n"/>
    </row>
    <row r="6" ht="25.5" customHeight="1" s="74">
      <c r="A6" s="16" t="n"/>
      <c r="B6" s="50" t="inlineStr">
        <is>
          <t>AutoStore</t>
        </is>
      </c>
      <c r="C6" s="46" t="inlineStr">
        <is>
          <t>YES</t>
        </is>
      </c>
      <c r="D6" s="47" t="inlineStr">
        <is>
          <t>No. of Robots</t>
        </is>
      </c>
      <c r="E6" s="48" t="n">
        <v>20</v>
      </c>
      <c r="F6" s="47" t="inlineStr">
        <is>
          <t>No. of Tote Locations</t>
        </is>
      </c>
      <c r="G6" s="49" t="n">
        <v>10000</v>
      </c>
      <c r="H6" s="2" t="n"/>
      <c r="I6" s="119" t="inlineStr">
        <is>
          <t>Region contains</t>
        </is>
      </c>
      <c r="L6" s="158" t="n"/>
      <c r="M6" s="159" t="n"/>
      <c r="N6" s="159" t="n"/>
      <c r="O6" s="159" t="n"/>
      <c r="P6" s="159" t="n"/>
      <c r="Q6" s="160" t="n"/>
    </row>
    <row r="7" ht="25.5" customHeight="1" s="74">
      <c r="A7" s="17" t="n"/>
      <c r="B7" s="51" t="inlineStr">
        <is>
          <t>Pallet Shuttle</t>
        </is>
      </c>
      <c r="C7" s="46" t="inlineStr">
        <is>
          <t>NO</t>
        </is>
      </c>
      <c r="D7" s="47" t="inlineStr">
        <is>
          <t>No. of Shuttles</t>
        </is>
      </c>
      <c r="E7" s="48" t="n"/>
      <c r="F7" s="47" t="inlineStr">
        <is>
          <t>No. of Pallet Locations</t>
        </is>
      </c>
      <c r="G7" s="49" t="n"/>
      <c r="H7" s="2" t="n"/>
      <c r="I7" s="119" t="inlineStr">
        <is>
          <t>Year (exact)</t>
        </is>
      </c>
      <c r="L7" s="161" t="n"/>
      <c r="M7" s="159" t="n"/>
      <c r="N7" s="159" t="n"/>
      <c r="O7" s="159" t="n"/>
      <c r="P7" s="159" t="n"/>
      <c r="Q7" s="160" t="n"/>
    </row>
    <row r="8" ht="25.5" customHeight="1" s="74">
      <c r="A8" s="18" t="n"/>
      <c r="B8" s="52" t="inlineStr">
        <is>
          <t>SRM Crane</t>
        </is>
      </c>
      <c r="C8" s="46" t="inlineStr">
        <is>
          <t>NO</t>
        </is>
      </c>
      <c r="D8" s="47" t="inlineStr">
        <is>
          <t>No. of Cranes</t>
        </is>
      </c>
      <c r="E8" s="48" t="n"/>
      <c r="F8" s="47" t="inlineStr">
        <is>
          <t>No. of Pallet Locations</t>
        </is>
      </c>
      <c r="G8" s="49" t="n"/>
      <c r="H8" s="2" t="n"/>
      <c r="I8" s="119" t="inlineStr">
        <is>
          <t>Won status</t>
        </is>
      </c>
      <c r="L8" s="158" t="inlineStr">
        <is>
          <t>All</t>
        </is>
      </c>
      <c r="M8" s="159" t="n"/>
      <c r="N8" s="159" t="n"/>
      <c r="O8" s="159" t="n"/>
      <c r="P8" s="159" t="n"/>
      <c r="Q8" s="160" t="n"/>
    </row>
    <row r="9" ht="25.5" customHeight="1" s="74">
      <c r="A9" s="19" t="n"/>
      <c r="B9" s="53" t="inlineStr">
        <is>
          <t>Conveyors</t>
        </is>
      </c>
      <c r="C9" s="46" t="inlineStr">
        <is>
          <t>NO</t>
        </is>
      </c>
      <c r="D9" s="47" t="inlineStr">
        <is>
          <t>Case Conveyor (metres)</t>
        </is>
      </c>
      <c r="E9" s="54" t="n"/>
      <c r="F9" s="55" t="inlineStr">
        <is>
          <t>Pallet Conveyor (metres)</t>
        </is>
      </c>
      <c r="G9" s="54" t="n"/>
      <c r="H9" s="2" t="n"/>
      <c r="I9" s="100" t="inlineStr">
        <is>
          <t>Blank or All = no filter. Filters combine.</t>
        </is>
      </c>
    </row>
    <row r="10" ht="25.5" customHeight="1" s="74">
      <c r="A10" s="56" t="n"/>
      <c r="B10" s="57" t="inlineStr">
        <is>
          <t>Keywords</t>
        </is>
      </c>
      <c r="C10" s="46" t="inlineStr">
        <is>
          <t>NO</t>
        </is>
      </c>
      <c r="D10" s="58" t="inlineStr">
        <is>
          <t>Search keywords (space-separated)</t>
        </is>
      </c>
      <c r="E10" s="120" t="n"/>
      <c r="F10" s="121" t="n"/>
      <c r="G10" s="122" t="n"/>
      <c r="H10" s="2" t="n"/>
      <c r="I10" s="100" t="inlineStr">
        <is>
          <t>Region searches Client / Region text (e.g. ME).
Solution Type must be filled in the database.</t>
        </is>
      </c>
    </row>
    <row r="11" ht="23.25" customHeight="1" s="74">
      <c r="A11" s="162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4">
      <c r="A12" s="163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129">
        <f>IF(H13=0,"Select a system or keywords to rank projects",IF(COUNT(_Helper!BH2:BH501)=0,"No matches. Broaden or clear the filters.",COUNT(_Helper!BH2:BH501)&amp;" matching projects"))</f>
        <v/>
      </c>
    </row>
    <row r="13" hidden="1" ht="21" customHeight="1" s="74">
      <c r="B13" s="59">
        <f>IF(C5="YES",1,0)</f>
        <v/>
      </c>
      <c r="C13" s="59">
        <f>IF(C6="YES",1,0)</f>
        <v/>
      </c>
      <c r="D13" s="59">
        <f>IF(C7="YES",1,0)</f>
        <v/>
      </c>
      <c r="E13" s="59">
        <f>IF(C8="YES",1,0)</f>
        <v/>
      </c>
      <c r="F13" s="59">
        <f>IF(C9="YES",1,0)</f>
        <v/>
      </c>
      <c r="G13" s="59">
        <f>IF(C10="YES",1,0)</f>
        <v/>
      </c>
      <c r="H13" s="59">
        <f>SUM(B13:F13)*2+G13</f>
        <v/>
      </c>
      <c r="I13" s="59">
        <f>IFERROR(TRIM(MID(SUBSTITUTE(TRIM('Smart Search'!E10)," ",REPT(" ",100)),1,100)),"")</f>
        <v/>
      </c>
      <c r="J13" s="59">
        <f>IFERROR(TRIM(MID(SUBSTITUTE(TRIM('Smart Search'!E10)," ",REPT(" ",100)),101,100)),"")</f>
        <v/>
      </c>
      <c r="K13" s="59">
        <f>IFERROR(TRIM(MID(SUBSTITUTE(TRIM('Smart Search'!E10)," ",REPT(" ",100)),201,100)),"")</f>
        <v/>
      </c>
      <c r="L13" s="59">
        <f>IFERROR(TRIM(MID(SUBSTITUTE(TRIM('Smart Search'!E10)," ",REPT(" ",100)),301,100)),"")</f>
        <v/>
      </c>
      <c r="M13" s="59">
        <f>IFERROR(TRIM(MID(SUBSTITUTE(TRIM('Smart Search'!E10)," ",REPT(" ",100)),401,100)),"")</f>
        <v/>
      </c>
      <c r="N13" s="59">
        <f>IFERROR(TRIM(MID(SUBSTITUTE(TRIM('Smart Search'!E10)," ",REPT(" ",100)),501,100)),"")</f>
        <v/>
      </c>
      <c r="O13" s="59">
        <f>IFERROR(TRIM(MID(SUBSTITUTE(TRIM('Smart Search'!E10)," ",REPT(" ",100)),601,100)),"")</f>
        <v/>
      </c>
      <c r="P13" s="59">
        <f>IFERROR(TRIM(MID(SUBSTITUTE(TRIM('Smart Search'!E10)," ",REPT(" ",100)),701,100)),"")</f>
        <v/>
      </c>
      <c r="Q13" s="59">
        <f>IFERROR(TRIM(MID(SUBSTITUTE(TRIM('Smart Search'!E10)," ",REPT(" ",100)),801,100)),"")</f>
        <v/>
      </c>
      <c r="R13" s="59">
        <f>IFERROR(TRIM(MID(SUBSTITUTE(TRIM('Smart Search'!E10)," ",REPT(" ",100)),901,100)),"")</f>
        <v/>
      </c>
      <c r="S13" s="59">
        <f>IFERROR(TRIM(MID(SUBSTITUTE(TRIM('Smart Search'!E10)," ",REPT(" ",100)),1001,100)),"")</f>
        <v/>
      </c>
      <c r="T13" s="59">
        <f>IFERROR(TRIM(MID(SUBSTITUTE(TRIM('Smart Search'!E10)," ",REPT(" ",100)),1101,100)),"")</f>
        <v/>
      </c>
      <c r="U13" s="59">
        <f>IFERROR(TRIM(MID(SUBSTITUTE(TRIM('Smart Search'!E10)," ",REPT(" ",100)),1201,100)),"")</f>
        <v/>
      </c>
      <c r="V13" s="59">
        <f>IFERROR(TRIM(MID(SUBSTITUTE(TRIM('Smart Search'!E10)," ",REPT(" ",100)),1301,100)),"")</f>
        <v/>
      </c>
      <c r="W13" s="59">
        <f>IF(TRIM('Smart Search'!E10)="",0,LEN(TRIM('Smart Search'!E10))-LEN(SUBSTITUTE(TRIM('Smart Search'!E10)," ",""))+1)</f>
        <v/>
      </c>
    </row>
    <row r="14" ht="30" customHeight="1" s="74">
      <c r="A14" s="164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4" thickBot="1">
      <c r="A15" s="165" t="inlineStr">
        <is>
          <t xml:space="preserve">  📊  TOP 5 CLOSEST MATCHES</t>
        </is>
      </c>
    </row>
    <row r="16" ht="36" customHeight="1" s="74">
      <c r="A16" s="28" t="inlineStr">
        <is>
          <t>Rank</t>
        </is>
      </c>
      <c r="B16" s="28" t="inlineStr">
        <is>
          <t>Project ID</t>
        </is>
      </c>
      <c r="C16" s="28" t="inlineStr">
        <is>
          <t>Project Name</t>
        </is>
      </c>
      <c r="D16" s="28" t="inlineStr">
        <is>
          <t>MS
Shuttles</t>
        </is>
      </c>
      <c r="E16" s="28" t="inlineStr">
        <is>
          <t>MS Tote
Locs</t>
        </is>
      </c>
      <c r="F16" s="28" t="inlineStr">
        <is>
          <t>AS
Robots</t>
        </is>
      </c>
      <c r="G16" s="28" t="inlineStr">
        <is>
          <t>AS Tote
Locs</t>
        </is>
      </c>
      <c r="H16" s="28" t="inlineStr">
        <is>
          <t>PS
Shuttles</t>
        </is>
      </c>
      <c r="I16" s="28" t="inlineStr">
        <is>
          <t>PS Pallet
Locs</t>
        </is>
      </c>
      <c r="J16" s="28" t="inlineStr">
        <is>
          <t>SRM
Cranes</t>
        </is>
      </c>
      <c r="K16" s="28" t="inlineStr">
        <is>
          <t>SRM Pallet
Locs</t>
        </is>
      </c>
      <c r="L16" s="28" t="inlineStr">
        <is>
          <t>Case
Conv (m)</t>
        </is>
      </c>
      <c r="M16" s="28" t="inlineStr">
        <is>
          <t>Pallet
Conv (m)</t>
        </is>
      </c>
      <c r="N16" s="28" t="inlineStr">
        <is>
          <t>Match
Score</t>
        </is>
      </c>
      <c r="O16" s="28" t="inlineStr">
        <is>
          <t>Mech
(wks)</t>
        </is>
      </c>
      <c r="P16" s="28" t="inlineStr">
        <is>
          <t>Ctrl
(wks)</t>
        </is>
      </c>
      <c r="Q16" s="28" t="inlineStr">
        <is>
          <t>Sys
(wks)</t>
        </is>
      </c>
      <c r="R16" s="28" t="inlineStr">
        <is>
          <t>SW
(wks)</t>
        </is>
      </c>
      <c r="S16" s="28" t="inlineStr">
        <is>
          <t>Install
(wks)</t>
        </is>
      </c>
      <c r="T16" s="28" t="inlineStr">
        <is>
          <t>Comm
(wks)</t>
        </is>
      </c>
      <c r="U16" s="28" t="inlineStr">
        <is>
          <t>Total
(wks)</t>
        </is>
      </c>
    </row>
    <row r="17" ht="18.75" customHeight="1" s="74">
      <c r="A17" s="60" t="n">
        <v>1</v>
      </c>
      <c r="B17" s="34">
        <f>IFERROR(INDEX(_Helper!A2:A501,MATCH(LARGE(_Helper!BH2:BH501,1),_Helper!BH2:BH501,0)),"-")</f>
        <v/>
      </c>
      <c r="C17" s="61">
        <f>IFERROR(INDEX(_Helper!B2:B501,MATCH(LARGE(_Helper!BH2:BH501,1),_Helper!BH2:BH501,0)),"-")</f>
        <v/>
      </c>
      <c r="D17" s="34">
        <f>IFERROR(INDEX(_Helper!C2:C501,MATCH(LARGE(_Helper!BH2:BH501,1),_Helper!BH2:BH501,0)),"-")</f>
        <v/>
      </c>
      <c r="E17" s="34">
        <f>IFERROR(INDEX(_Helper!D2:D501,MATCH(LARGE(_Helper!BH2:BH501,1),_Helper!BH2:BH501,0)),"-")</f>
        <v/>
      </c>
      <c r="F17" s="34">
        <f>IFERROR(INDEX(_Helper!E2:E501,MATCH(LARGE(_Helper!BH2:BH501,1),_Helper!BH2:BH501,0)),"-")</f>
        <v/>
      </c>
      <c r="G17" s="34">
        <f>IFERROR(INDEX(_Helper!F2:F501,MATCH(LARGE(_Helper!BH2:BH501,1),_Helper!BH2:BH501,0)),"-")</f>
        <v/>
      </c>
      <c r="H17" s="34">
        <f>IFERROR(INDEX(_Helper!G2:G501,MATCH(LARGE(_Helper!BH2:BH501,1),_Helper!BH2:BH501,0)),"-")</f>
        <v/>
      </c>
      <c r="I17" s="34">
        <f>IFERROR(INDEX(_Helper!H2:H501,MATCH(LARGE(_Helper!BH2:BH501,1),_Helper!BH2:BH501,0)),"-")</f>
        <v/>
      </c>
      <c r="J17" s="34">
        <f>IFERROR(INDEX(_Helper!I2:I501,MATCH(LARGE(_Helper!BH2:BH501,1),_Helper!BH2:BH501,0)),"-")</f>
        <v/>
      </c>
      <c r="K17" s="34">
        <f>IFERROR(INDEX(_Helper!J2:J501,MATCH(LARGE(_Helper!BH2:BH501,1),_Helper!BH2:BH501,0)),"-")</f>
        <v/>
      </c>
      <c r="L17" s="34">
        <f>IFERROR(INDEX(_Helper!K2:K501,MATCH(LARGE(_Helper!BH2:BH501,1),_Helper!BH2:BH501,0)),"-")</f>
        <v/>
      </c>
      <c r="M17" s="34">
        <f>IFERROR(INDEX(_Helper!L2:L501,MATCH(LARGE(_Helper!BH2:BH501,1),_Helper!BH2:BH501,0)),"-")</f>
        <v/>
      </c>
      <c r="N17" s="62">
        <f>IFERROR(INDEX(_Helper!BH2:BH501,MATCH(LARGE(_Helper!BH2:BH501,1),_Helper!BH2:BH501,0)),"-")</f>
        <v/>
      </c>
      <c r="O17" s="34">
        <f>IFERROR(INDEX(_Helper!M2:M501,MATCH(LARGE(_Helper!BH2:BH501,1),_Helper!BH2:BH501,0)),"-")</f>
        <v/>
      </c>
      <c r="P17" s="34">
        <f>IFERROR(INDEX(_Helper!N2:N501,MATCH(LARGE(_Helper!BH2:BH501,1),_Helper!BH2:BH501,0)),"-")</f>
        <v/>
      </c>
      <c r="Q17" s="34">
        <f>IFERROR(INDEX(_Helper!O2:O501,MATCH(LARGE(_Helper!BH2:BH501,1),_Helper!BH2:BH501,0)),"-")</f>
        <v/>
      </c>
      <c r="R17" s="34">
        <f>IFERROR(INDEX(_Helper!P2:P501,MATCH(LARGE(_Helper!BH2:BH501,1),_Helper!BH2:BH501,0)),"-")</f>
        <v/>
      </c>
      <c r="S17" s="34">
        <f>IFERROR(INDEX(_Helper!Q2:Q501,MATCH(LARGE(_Helper!BH2:BH501,1),_Helper!BH2:BH501,0)),"-")</f>
        <v/>
      </c>
      <c r="T17" s="34">
        <f>IFERROR(INDEX(_Helper!R2:R501,MATCH(LARGE(_Helper!BH2:BH501,1),_Helper!BH2:BH501,0)),"-")</f>
        <v/>
      </c>
      <c r="U17" s="34">
        <f>IFERROR(INDEX(_Helper!S2:S501,MATCH(LARGE(_Helper!BH2:BH501,1),_Helper!BH2:BH501,0)),"-")</f>
        <v/>
      </c>
    </row>
    <row r="18" ht="19.5" customHeight="1" s="74">
      <c r="A18" s="63" t="n">
        <v>2</v>
      </c>
      <c r="B18" s="33">
        <f>IFERROR(INDEX(_Helper!A2:A501,MATCH(LARGE(_Helper!BH2:BH501,2),_Helper!BH2:BH501,0)),"-")</f>
        <v/>
      </c>
      <c r="C18" s="32">
        <f>IFERROR(INDEX(_Helper!B2:B501,MATCH(LARGE(_Helper!BH2:BH501,2),_Helper!BH2:BH501,0)),"-")</f>
        <v/>
      </c>
      <c r="D18" s="33">
        <f>IFERROR(INDEX(_Helper!C2:C501,MATCH(LARGE(_Helper!BH2:BH501,2),_Helper!BH2:BH501,0)),"-")</f>
        <v/>
      </c>
      <c r="E18" s="33">
        <f>IFERROR(INDEX(_Helper!D2:D501,MATCH(LARGE(_Helper!BH2:BH501,2),_Helper!BH2:BH501,0)),"-")</f>
        <v/>
      </c>
      <c r="F18" s="33">
        <f>IFERROR(INDEX(_Helper!E2:E501,MATCH(LARGE(_Helper!BH2:BH501,2),_Helper!BH2:BH501,0)),"-")</f>
        <v/>
      </c>
      <c r="G18" s="33">
        <f>IFERROR(INDEX(_Helper!F2:F501,MATCH(LARGE(_Helper!BH2:BH501,2),_Helper!BH2:BH501,0)),"-")</f>
        <v/>
      </c>
      <c r="H18" s="33">
        <f>IFERROR(INDEX(_Helper!G2:G501,MATCH(LARGE(_Helper!BH2:BH501,2),_Helper!BH2:BH501,0)),"-")</f>
        <v/>
      </c>
      <c r="I18" s="33">
        <f>IFERROR(INDEX(_Helper!H2:H501,MATCH(LARGE(_Helper!BH2:BH501,2),_Helper!BH2:BH501,0)),"-")</f>
        <v/>
      </c>
      <c r="J18" s="33">
        <f>IFERROR(INDEX(_Helper!I2:I501,MATCH(LARGE(_Helper!BH2:BH501,2),_Helper!BH2:BH501,0)),"-")</f>
        <v/>
      </c>
      <c r="K18" s="33">
        <f>IFERROR(INDEX(_Helper!J2:J501,MATCH(LARGE(_Helper!BH2:BH501,2),_Helper!BH2:BH501,0)),"-")</f>
        <v/>
      </c>
      <c r="L18" s="33">
        <f>IFERROR(INDEX(_Helper!K2:K501,MATCH(LARGE(_Helper!BH2:BH501,2),_Helper!BH2:BH501,0)),"-")</f>
        <v/>
      </c>
      <c r="M18" s="33">
        <f>IFERROR(INDEX(_Helper!L2:L501,MATCH(LARGE(_Helper!BH2:BH501,2),_Helper!BH2:BH501,0)),"-")</f>
        <v/>
      </c>
      <c r="N18" s="64">
        <f>IFERROR(INDEX(_Helper!BH2:BH501,MATCH(LARGE(_Helper!BH2:BH501,2),_Helper!BH2:BH501,0)),"-")</f>
        <v/>
      </c>
      <c r="O18" s="33">
        <f>IFERROR(INDEX(_Helper!M2:M501,MATCH(LARGE(_Helper!BH2:BH501,2),_Helper!BH2:BH501,0)),"-")</f>
        <v/>
      </c>
      <c r="P18" s="33">
        <f>IFERROR(INDEX(_Helper!N2:N501,MATCH(LARGE(_Helper!BH2:BH501,2),_Helper!BH2:BH501,0)),"-")</f>
        <v/>
      </c>
      <c r="Q18" s="33">
        <f>IFERROR(INDEX(_Helper!O2:O501,MATCH(LARGE(_Helper!BH2:BH501,2),_Helper!BH2:BH501,0)),"-")</f>
        <v/>
      </c>
      <c r="R18" s="33">
        <f>IFERROR(INDEX(_Helper!P2:P501,MATCH(LARGE(_Helper!BH2:BH501,2),_Helper!BH2:BH501,0)),"-")</f>
        <v/>
      </c>
      <c r="S18" s="33">
        <f>IFERROR(INDEX(_Helper!Q2:Q501,MATCH(LARGE(_Helper!BH2:BH501,2),_Helper!BH2:BH501,0)),"-")</f>
        <v/>
      </c>
      <c r="T18" s="33">
        <f>IFERROR(INDEX(_Helper!R2:R501,MATCH(LARGE(_Helper!BH2:BH501,2),_Helper!BH2:BH501,0)),"-")</f>
        <v/>
      </c>
      <c r="U18" s="33">
        <f>IFERROR(INDEX(_Helper!S2:S501,MATCH(LARGE(_Helper!BH2:BH501,2),_Helper!BH2:BH501,0)),"-")</f>
        <v/>
      </c>
    </row>
    <row r="19" ht="19.5" customHeight="1" s="74">
      <c r="A19" s="63" t="n">
        <v>3</v>
      </c>
      <c r="B19" s="39">
        <f>IFERROR(INDEX(_Helper!A2:A501,MATCH(LARGE(_Helper!BH2:BH501,3),_Helper!BH2:BH501,0)),"-")</f>
        <v/>
      </c>
      <c r="C19" s="38">
        <f>IFERROR(INDEX(_Helper!B2:B501,MATCH(LARGE(_Helper!BH2:BH501,3),_Helper!BH2:BH501,0)),"-")</f>
        <v/>
      </c>
      <c r="D19" s="39">
        <f>IFERROR(INDEX(_Helper!C2:C501,MATCH(LARGE(_Helper!BH2:BH501,3),_Helper!BH2:BH501,0)),"-")</f>
        <v/>
      </c>
      <c r="E19" s="39">
        <f>IFERROR(INDEX(_Helper!D2:D501,MATCH(LARGE(_Helper!BH2:BH501,3),_Helper!BH2:BH501,0)),"-")</f>
        <v/>
      </c>
      <c r="F19" s="39">
        <f>IFERROR(INDEX(_Helper!E2:E501,MATCH(LARGE(_Helper!BH2:BH501,3),_Helper!BH2:BH501,0)),"-")</f>
        <v/>
      </c>
      <c r="G19" s="39">
        <f>IFERROR(INDEX(_Helper!F2:F501,MATCH(LARGE(_Helper!BH2:BH501,3),_Helper!BH2:BH501,0)),"-")</f>
        <v/>
      </c>
      <c r="H19" s="39">
        <f>IFERROR(INDEX(_Helper!G2:G501,MATCH(LARGE(_Helper!BH2:BH501,3),_Helper!BH2:BH501,0)),"-")</f>
        <v/>
      </c>
      <c r="I19" s="39">
        <f>IFERROR(INDEX(_Helper!H2:H501,MATCH(LARGE(_Helper!BH2:BH501,3),_Helper!BH2:BH501,0)),"-")</f>
        <v/>
      </c>
      <c r="J19" s="39">
        <f>IFERROR(INDEX(_Helper!I2:I501,MATCH(LARGE(_Helper!BH2:BH501,3),_Helper!BH2:BH501,0)),"-")</f>
        <v/>
      </c>
      <c r="K19" s="39">
        <f>IFERROR(INDEX(_Helper!J2:J501,MATCH(LARGE(_Helper!BH2:BH501,3),_Helper!BH2:BH501,0)),"-")</f>
        <v/>
      </c>
      <c r="L19" s="39">
        <f>IFERROR(INDEX(_Helper!K2:K501,MATCH(LARGE(_Helper!BH2:BH501,3),_Helper!BH2:BH501,0)),"-")</f>
        <v/>
      </c>
      <c r="M19" s="39">
        <f>IFERROR(INDEX(_Helper!L2:L501,MATCH(LARGE(_Helper!BH2:BH501,3),_Helper!BH2:BH501,0)),"-")</f>
        <v/>
      </c>
      <c r="N19" s="65">
        <f>IFERROR(INDEX(_Helper!BH2:BH501,MATCH(LARGE(_Helper!BH2:BH501,3),_Helper!BH2:BH501,0)),"-")</f>
        <v/>
      </c>
      <c r="O19" s="39">
        <f>IFERROR(INDEX(_Helper!M2:M501,MATCH(LARGE(_Helper!BH2:BH501,3),_Helper!BH2:BH501,0)),"-")</f>
        <v/>
      </c>
      <c r="P19" s="39">
        <f>IFERROR(INDEX(_Helper!N2:N501,MATCH(LARGE(_Helper!BH2:BH501,3),_Helper!BH2:BH501,0)),"-")</f>
        <v/>
      </c>
      <c r="Q19" s="39">
        <f>IFERROR(INDEX(_Helper!O2:O501,MATCH(LARGE(_Helper!BH2:BH501,3),_Helper!BH2:BH501,0)),"-")</f>
        <v/>
      </c>
      <c r="R19" s="39">
        <f>IFERROR(INDEX(_Helper!P2:P501,MATCH(LARGE(_Helper!BH2:BH501,3),_Helper!BH2:BH501,0)),"-")</f>
        <v/>
      </c>
      <c r="S19" s="39">
        <f>IFERROR(INDEX(_Helper!Q2:Q501,MATCH(LARGE(_Helper!BH2:BH501,3),_Helper!BH2:BH501,0)),"-")</f>
        <v/>
      </c>
      <c r="T19" s="39">
        <f>IFERROR(INDEX(_Helper!R2:R501,MATCH(LARGE(_Helper!BH2:BH501,3),_Helper!BH2:BH501,0)),"-")</f>
        <v/>
      </c>
      <c r="U19" s="39">
        <f>IFERROR(INDEX(_Helper!S2:S501,MATCH(LARGE(_Helper!BH2:BH501,3),_Helper!BH2:BH501,0)),"-")</f>
        <v/>
      </c>
    </row>
    <row r="20" ht="19.5" customHeight="1" s="74">
      <c r="A20" s="63" t="n">
        <v>4</v>
      </c>
      <c r="B20" s="33">
        <f>IFERROR(INDEX(_Helper!A2:A501,MATCH(LARGE(_Helper!BH2:BH501,4),_Helper!BH2:BH501,0)),"-")</f>
        <v/>
      </c>
      <c r="C20" s="32">
        <f>IFERROR(INDEX(_Helper!B2:B501,MATCH(LARGE(_Helper!BH2:BH501,4),_Helper!BH2:BH501,0)),"-")</f>
        <v/>
      </c>
      <c r="D20" s="33">
        <f>IFERROR(INDEX(_Helper!C2:C501,MATCH(LARGE(_Helper!BH2:BH501,4),_Helper!BH2:BH501,0)),"-")</f>
        <v/>
      </c>
      <c r="E20" s="33">
        <f>IFERROR(INDEX(_Helper!D2:D501,MATCH(LARGE(_Helper!BH2:BH501,4),_Helper!BH2:BH501,0)),"-")</f>
        <v/>
      </c>
      <c r="F20" s="33">
        <f>IFERROR(INDEX(_Helper!E2:E501,MATCH(LARGE(_Helper!BH2:BH501,4),_Helper!BH2:BH501,0)),"-")</f>
        <v/>
      </c>
      <c r="G20" s="33">
        <f>IFERROR(INDEX(_Helper!F2:F501,MATCH(LARGE(_Helper!BH2:BH501,4),_Helper!BH2:BH501,0)),"-")</f>
        <v/>
      </c>
      <c r="H20" s="33">
        <f>IFERROR(INDEX(_Helper!G2:G501,MATCH(LARGE(_Helper!BH2:BH501,4),_Helper!BH2:BH501,0)),"-")</f>
        <v/>
      </c>
      <c r="I20" s="33">
        <f>IFERROR(INDEX(_Helper!H2:H501,MATCH(LARGE(_Helper!BH2:BH501,4),_Helper!BH2:BH501,0)),"-")</f>
        <v/>
      </c>
      <c r="J20" s="33">
        <f>IFERROR(INDEX(_Helper!I2:I501,MATCH(LARGE(_Helper!BH2:BH501,4),_Helper!BH2:BH501,0)),"-")</f>
        <v/>
      </c>
      <c r="K20" s="33">
        <f>IFERROR(INDEX(_Helper!J2:J501,MATCH(LARGE(_Helper!BH2:BH501,4),_Helper!BH2:BH501,0)),"-")</f>
        <v/>
      </c>
      <c r="L20" s="33">
        <f>IFERROR(INDEX(_Helper!K2:K501,MATCH(LARGE(_Helper!BH2:BH501,4),_Helper!BH2:BH501,0)),"-")</f>
        <v/>
      </c>
      <c r="M20" s="33">
        <f>IFERROR(INDEX(_Helper!L2:L501,MATCH(LARGE(_Helper!BH2:BH501,4),_Helper!BH2:BH501,0)),"-")</f>
        <v/>
      </c>
      <c r="N20" s="64">
        <f>IFERROR(INDEX(_Helper!BH2:BH501,MATCH(LARGE(_Helper!BH2:BH501,4),_Helper!BH2:BH501,0)),"-")</f>
        <v/>
      </c>
      <c r="O20" s="33">
        <f>IFERROR(INDEX(_Helper!M2:M501,MATCH(LARGE(_Helper!BH2:BH501,4),_Helper!BH2:BH501,0)),"-")</f>
        <v/>
      </c>
      <c r="P20" s="33">
        <f>IFERROR(INDEX(_Helper!N2:N501,MATCH(LARGE(_Helper!BH2:BH501,4),_Helper!BH2:BH501,0)),"-")</f>
        <v/>
      </c>
      <c r="Q20" s="33">
        <f>IFERROR(INDEX(_Helper!O2:O501,MATCH(LARGE(_Helper!BH2:BH501,4),_Helper!BH2:BH501,0)),"-")</f>
        <v/>
      </c>
      <c r="R20" s="33">
        <f>IFERROR(INDEX(_Helper!P2:P501,MATCH(LARGE(_Helper!BH2:BH501,4),_Helper!BH2:BH501,0)),"-")</f>
        <v/>
      </c>
      <c r="S20" s="33">
        <f>IFERROR(INDEX(_Helper!Q2:Q501,MATCH(LARGE(_Helper!BH2:BH501,4),_Helper!BH2:BH501,0)),"-")</f>
        <v/>
      </c>
      <c r="T20" s="33">
        <f>IFERROR(INDEX(_Helper!R2:R501,MATCH(LARGE(_Helper!BH2:BH501,4),_Helper!BH2:BH501,0)),"-")</f>
        <v/>
      </c>
      <c r="U20" s="33">
        <f>IFERROR(INDEX(_Helper!S2:S501,MATCH(LARGE(_Helper!BH2:BH501,4),_Helper!BH2:BH501,0)),"-")</f>
        <v/>
      </c>
    </row>
    <row r="21" ht="24" customHeight="1" s="74">
      <c r="A21" s="63" t="n">
        <v>5</v>
      </c>
      <c r="B21" s="39">
        <f>IFERROR(INDEX(_Helper!A2:A501,MATCH(LARGE(_Helper!BH2:BH501,5),_Helper!BH2:BH501,0)),"-")</f>
        <v/>
      </c>
      <c r="C21" s="38">
        <f>IFERROR(INDEX(_Helper!B2:B501,MATCH(LARGE(_Helper!BH2:BH501,5),_Helper!BH2:BH501,0)),"-")</f>
        <v/>
      </c>
      <c r="D21" s="39">
        <f>IFERROR(INDEX(_Helper!C2:C501,MATCH(LARGE(_Helper!BH2:BH501,5),_Helper!BH2:BH501,0)),"-")</f>
        <v/>
      </c>
      <c r="E21" s="39">
        <f>IFERROR(INDEX(_Helper!D2:D501,MATCH(LARGE(_Helper!BH2:BH501,5),_Helper!BH2:BH501,0)),"-")</f>
        <v/>
      </c>
      <c r="F21" s="39">
        <f>IFERROR(INDEX(_Helper!E2:E501,MATCH(LARGE(_Helper!BH2:BH501,5),_Helper!BH2:BH501,0)),"-")</f>
        <v/>
      </c>
      <c r="G21" s="39">
        <f>IFERROR(INDEX(_Helper!F2:F501,MATCH(LARGE(_Helper!BH2:BH501,5),_Helper!BH2:BH501,0)),"-")</f>
        <v/>
      </c>
      <c r="H21" s="39">
        <f>IFERROR(INDEX(_Helper!G2:G501,MATCH(LARGE(_Helper!BH2:BH501,5),_Helper!BH2:BH501,0)),"-")</f>
        <v/>
      </c>
      <c r="I21" s="39">
        <f>IFERROR(INDEX(_Helper!H2:H501,MATCH(LARGE(_Helper!BH2:BH501,5),_Helper!BH2:BH501,0)),"-")</f>
        <v/>
      </c>
      <c r="J21" s="39">
        <f>IFERROR(INDEX(_Helper!I2:I501,MATCH(LARGE(_Helper!BH2:BH501,5),_Helper!BH2:BH501,0)),"-")</f>
        <v/>
      </c>
      <c r="K21" s="39">
        <f>IFERROR(INDEX(_Helper!J2:J501,MATCH(LARGE(_Helper!BH2:BH501,5),_Helper!BH2:BH501,0)),"-")</f>
        <v/>
      </c>
      <c r="L21" s="39">
        <f>IFERROR(INDEX(_Helper!K2:K501,MATCH(LARGE(_Helper!BH2:BH501,5),_Helper!BH2:BH501,0)),"-")</f>
        <v/>
      </c>
      <c r="M21" s="39">
        <f>IFERROR(INDEX(_Helper!L2:L501,MATCH(LARGE(_Helper!BH2:BH501,5),_Helper!BH2:BH501,0)),"-")</f>
        <v/>
      </c>
      <c r="N21" s="65">
        <f>IFERROR(INDEX(_Helper!BH2:BH501,MATCH(LARGE(_Helper!BH2:BH501,5),_Helper!BH2:BH501,0)),"-")</f>
        <v/>
      </c>
      <c r="O21" s="39">
        <f>IFERROR(INDEX(_Helper!M2:M501,MATCH(LARGE(_Helper!BH2:BH501,5),_Helper!BH2:BH501,0)),"-")</f>
        <v/>
      </c>
      <c r="P21" s="39">
        <f>IFERROR(INDEX(_Helper!N2:N501,MATCH(LARGE(_Helper!BH2:BH501,5),_Helper!BH2:BH501,0)),"-")</f>
        <v/>
      </c>
      <c r="Q21" s="39">
        <f>IFERROR(INDEX(_Helper!O2:O501,MATCH(LARGE(_Helper!BH2:BH501,5),_Helper!BH2:BH501,0)),"-")</f>
        <v/>
      </c>
      <c r="R21" s="39">
        <f>IFERROR(INDEX(_Helper!P2:P501,MATCH(LARGE(_Helper!BH2:BH501,5),_Helper!BH2:BH501,0)),"-")</f>
        <v/>
      </c>
      <c r="S21" s="39">
        <f>IFERROR(INDEX(_Helper!Q2:Q501,MATCH(LARGE(_Helper!BH2:BH501,5),_Helper!BH2:BH501,0)),"-")</f>
        <v/>
      </c>
      <c r="T21" s="39">
        <f>IFERROR(INDEX(_Helper!R2:R501,MATCH(LARGE(_Helper!BH2:BH501,5),_Helper!BH2:BH501,0)),"-")</f>
        <v/>
      </c>
      <c r="U21" s="39">
        <f>IFERROR(INDEX(_Helper!S2:S501,MATCH(LARGE(_Helper!BH2:BH501,5),_Helper!BH2:BH501,0)),"-")</f>
        <v/>
      </c>
    </row>
    <row r="22" ht="14.25" customHeight="1" s="74">
      <c r="A22" s="3" t="n"/>
    </row>
    <row r="23" ht="24" customHeight="1" s="74">
      <c r="A23" s="165" t="inlineStr">
        <is>
          <t xml:space="preserve">  📅  ESTIMATED SCHEDULE &amp; MANHOUR COST  —  from closest match</t>
        </is>
      </c>
      <c r="R23" s="3" t="n"/>
      <c r="S23" s="3" t="n"/>
      <c r="T23" s="3" t="n"/>
      <c r="U23" s="3" t="n"/>
    </row>
    <row r="24" ht="19.5" customHeight="1" s="74">
      <c r="A24" s="108" t="inlineStr">
        <is>
          <t xml:space="preserve">  CLOSEST MATCH REFERENCE PROJECT</t>
        </is>
      </c>
      <c r="B24" s="70" t="n"/>
      <c r="C24" s="70" t="n"/>
      <c r="D24" s="70" t="n"/>
      <c r="E24" s="70" t="n"/>
      <c r="F24" s="70" t="n"/>
      <c r="G24" s="70" t="n"/>
      <c r="H24" s="70" t="n"/>
      <c r="I24" s="70" t="n"/>
      <c r="J24" s="70" t="n"/>
      <c r="K24" s="70" t="n"/>
      <c r="L24" s="70" t="n"/>
      <c r="M24" s="70" t="n"/>
      <c r="N24" s="70" t="n"/>
      <c r="O24" s="70" t="n"/>
      <c r="P24" s="70" t="n"/>
      <c r="Q24" s="70" t="n"/>
      <c r="R24" s="3" t="n"/>
      <c r="S24" s="3" t="n"/>
      <c r="T24" s="3" t="n"/>
      <c r="U24" s="3" t="n"/>
    </row>
    <row r="25" ht="18" customHeight="1" s="74">
      <c r="A25" s="107" t="inlineStr">
        <is>
          <t>Project ID</t>
        </is>
      </c>
      <c r="B25" s="88" t="n"/>
      <c r="C25" s="88" t="n"/>
      <c r="D25" s="88" t="n"/>
      <c r="E25" s="107" t="inlineStr">
        <is>
          <t>Project Name</t>
        </is>
      </c>
      <c r="F25" s="88" t="n"/>
      <c r="G25" s="88" t="n"/>
      <c r="H25" s="88" t="n"/>
      <c r="I25" s="88" t="n"/>
      <c r="J25" s="88" t="n"/>
      <c r="K25" s="107" t="inlineStr">
        <is>
          <t>Client / Region</t>
        </is>
      </c>
      <c r="L25" s="88" t="n"/>
      <c r="M25" s="88" t="n"/>
      <c r="N25" s="88" t="n"/>
      <c r="O25" s="107" t="inlineStr">
        <is>
          <t>Match Score</t>
        </is>
      </c>
      <c r="P25" s="88" t="n"/>
      <c r="Q25" s="88" t="n"/>
      <c r="R25" s="3" t="n"/>
      <c r="S25" s="3" t="n"/>
      <c r="T25" s="3" t="n"/>
      <c r="U25" s="3" t="n"/>
    </row>
    <row r="26" ht="25.5" customHeight="1" s="74">
      <c r="A26" s="114">
        <f>IFERROR(INDEX(_Helper!A2:A501,MATCH(LARGE(_Helper!BH2:BH501,1),_Helper!BH2:BH501,0)),"-")</f>
        <v/>
      </c>
      <c r="B26" s="94" t="n"/>
      <c r="C26" s="94" t="n"/>
      <c r="D26" s="94" t="n"/>
      <c r="E26" s="130">
        <f>IFERROR(INDEX(_Helper!B2:B501,MATCH(LARGE(_Helper!BH2:BH501,1),_Helper!BH2:BH501,0)),"-")</f>
        <v/>
      </c>
      <c r="F26" s="94" t="n"/>
      <c r="G26" s="94" t="n"/>
      <c r="H26" s="94" t="n"/>
      <c r="I26" s="94" t="n"/>
      <c r="J26" s="94" t="n"/>
      <c r="K26" s="106">
        <f>IFERROR(INDEX('Project Database'!C:C,MATCH(INDEX(_Helper!A2:A501,MATCH(LARGE(_Helper!BH2:BH501,1),_Helper!BH2:BH501,0)),'Project Database'!A:A,0)),"-")</f>
        <v/>
      </c>
      <c r="L26" s="91" t="n"/>
      <c r="M26" s="91" t="n"/>
      <c r="N26" s="91" t="n"/>
      <c r="O26" s="102">
        <f>IFERROR(LARGE(_Helper!BH2:BH501,1),"-")</f>
        <v/>
      </c>
      <c r="P26" s="94" t="n"/>
      <c r="Q26" s="94" t="n"/>
      <c r="R26" s="3" t="n"/>
      <c r="S26" s="3" t="n"/>
      <c r="T26" s="3" t="n"/>
      <c r="U26" s="3" t="n"/>
    </row>
    <row r="27" ht="21.75" customHeight="1" s="74">
      <c r="A27" s="92" t="inlineStr">
        <is>
          <t>Mechanical Engineering</t>
        </is>
      </c>
      <c r="B27" s="91" t="n"/>
      <c r="C27" s="91" t="n"/>
      <c r="D27" s="91" t="n"/>
      <c r="E27" s="91" t="n"/>
      <c r="F27" s="91" t="n"/>
      <c r="G27" s="91" t="n"/>
      <c r="H27" s="91" t="n"/>
      <c r="I27" s="91" t="n"/>
      <c r="J27" s="91" t="n"/>
      <c r="K27" s="111">
        <f>IFERROR(INDEX(_Helper!M2:M501,MATCH(LARGE(_Helper!BH2:BH501,1),_Helper!BH2:BH501,0)),"-")</f>
        <v/>
      </c>
      <c r="L27" s="94" t="n"/>
      <c r="M27" s="94" t="n"/>
      <c r="N27" s="94" t="n"/>
      <c r="O27" s="3" t="n"/>
      <c r="P27" s="3" t="n"/>
      <c r="Q27" s="3" t="n"/>
      <c r="R27" s="3" t="n"/>
      <c r="S27" s="3" t="n"/>
      <c r="T27" s="3" t="n"/>
      <c r="U27" s="3" t="n"/>
    </row>
    <row r="28" ht="21.75" customHeight="1" s="74">
      <c r="A28" s="92" t="inlineStr">
        <is>
          <t>Controls Engineering</t>
        </is>
      </c>
      <c r="B28" s="91" t="n"/>
      <c r="C28" s="91" t="n"/>
      <c r="D28" s="91" t="n"/>
      <c r="E28" s="91" t="n"/>
      <c r="F28" s="91" t="n"/>
      <c r="G28" s="91" t="n"/>
      <c r="H28" s="91" t="n"/>
      <c r="I28" s="91" t="n"/>
      <c r="J28" s="91" t="n"/>
      <c r="K28" s="111">
        <f>IFERROR(INDEX(_Helper!N2:N501,MATCH(LARGE(_Helper!BH2:BH501,1),_Helper!BH2:BH501,0)),"-")</f>
        <v/>
      </c>
      <c r="L28" s="94" t="n"/>
      <c r="M28" s="94" t="n"/>
      <c r="N28" s="94" t="n"/>
      <c r="O28" s="3" t="n"/>
      <c r="P28" s="3" t="n"/>
      <c r="Q28" s="3" t="n"/>
      <c r="R28" s="3" t="n"/>
      <c r="S28" s="3" t="n"/>
      <c r="T28" s="3" t="n"/>
      <c r="U28" s="3" t="n"/>
    </row>
    <row r="29" ht="21.75" customHeight="1" s="74">
      <c r="A29" s="92" t="inlineStr">
        <is>
          <t>Systems Engineering</t>
        </is>
      </c>
      <c r="B29" s="91" t="n"/>
      <c r="C29" s="91" t="n"/>
      <c r="D29" s="91" t="n"/>
      <c r="E29" s="91" t="n"/>
      <c r="F29" s="91" t="n"/>
      <c r="G29" s="91" t="n"/>
      <c r="H29" s="91" t="n"/>
      <c r="I29" s="91" t="n"/>
      <c r="J29" s="91" t="n"/>
      <c r="K29" s="111">
        <f>IFERROR(INDEX(_Helper!O2:O501,MATCH(LARGE(_Helper!BH2:BH501,1),_Helper!BH2:BH501,0)),"-")</f>
        <v/>
      </c>
      <c r="L29" s="94" t="n"/>
      <c r="M29" s="94" t="n"/>
      <c r="N29" s="94" t="n"/>
      <c r="O29" s="3" t="n"/>
      <c r="P29" s="3" t="n"/>
      <c r="Q29" s="3" t="n"/>
      <c r="R29" s="3" t="n"/>
      <c r="S29" s="3" t="n"/>
      <c r="T29" s="3" t="n"/>
      <c r="U29" s="3" t="n"/>
    </row>
    <row r="30" ht="21.75" customHeight="1" s="74">
      <c r="A30" s="92" t="inlineStr">
        <is>
          <t>Software Engineering</t>
        </is>
      </c>
      <c r="B30" s="91" t="n"/>
      <c r="C30" s="91" t="n"/>
      <c r="D30" s="91" t="n"/>
      <c r="E30" s="91" t="n"/>
      <c r="F30" s="91" t="n"/>
      <c r="G30" s="91" t="n"/>
      <c r="H30" s="91" t="n"/>
      <c r="I30" s="91" t="n"/>
      <c r="J30" s="91" t="n"/>
      <c r="K30" s="111">
        <f>IFERROR(INDEX(_Helper!P2:P501,MATCH(LARGE(_Helper!BH2:BH501,1),_Helper!BH2:BH501,0)),"-")</f>
        <v/>
      </c>
      <c r="L30" s="94" t="n"/>
      <c r="M30" s="94" t="n"/>
      <c r="N30" s="94" t="n"/>
      <c r="O30" s="3" t="n"/>
      <c r="P30" s="3" t="n"/>
      <c r="Q30" s="3" t="n"/>
      <c r="R30" s="3" t="n"/>
      <c r="S30" s="3" t="n"/>
      <c r="T30" s="3" t="n"/>
      <c r="U30" s="3" t="n"/>
    </row>
    <row r="31" ht="21.75" customHeight="1" s="74">
      <c r="A31" s="92" t="inlineStr">
        <is>
          <t>M&amp;E Installation</t>
        </is>
      </c>
      <c r="B31" s="91" t="n"/>
      <c r="C31" s="91" t="n"/>
      <c r="D31" s="91" t="n"/>
      <c r="E31" s="91" t="n"/>
      <c r="F31" s="91" t="n"/>
      <c r="G31" s="91" t="n"/>
      <c r="H31" s="91" t="n"/>
      <c r="I31" s="91" t="n"/>
      <c r="J31" s="91" t="n"/>
      <c r="K31" s="111">
        <f>IFERROR(INDEX(_Helper!Q2:Q501,MATCH(LARGE(_Helper!BH2:BH501,1),_Helper!BH2:BH501,0)),"-")</f>
        <v/>
      </c>
      <c r="L31" s="94" t="n"/>
      <c r="M31" s="94" t="n"/>
      <c r="N31" s="94" t="n"/>
      <c r="O31" s="3" t="n"/>
      <c r="P31" s="3" t="n"/>
      <c r="Q31" s="3" t="n"/>
      <c r="R31" s="3" t="n"/>
      <c r="S31" s="3" t="n"/>
      <c r="T31" s="3" t="n"/>
      <c r="U31" s="3" t="n"/>
    </row>
    <row r="32" ht="21.75" customHeight="1" s="74">
      <c r="A32" s="92" t="inlineStr">
        <is>
          <t>Commissioning</t>
        </is>
      </c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111">
        <f>IFERROR(INDEX(_Helper!R2:R501,MATCH(LARGE(_Helper!BH2:BH501,1),_Helper!BH2:BH501,0)),"-")</f>
        <v/>
      </c>
      <c r="L32" s="94" t="n"/>
      <c r="M32" s="94" t="n"/>
      <c r="N32" s="94" t="n"/>
      <c r="O32" s="3" t="n"/>
      <c r="P32" s="3" t="n"/>
      <c r="Q32" s="3" t="n"/>
      <c r="R32" s="3" t="n"/>
      <c r="S32" s="3" t="n"/>
      <c r="T32" s="3" t="n"/>
      <c r="U32" s="3" t="n"/>
    </row>
    <row r="33" ht="21.75" customHeight="1" s="74">
      <c r="A33" s="116" t="inlineStr">
        <is>
          <t>TOTAL PROJECT TIMELINE</t>
        </is>
      </c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103">
        <f>IFERROR(INDEX(_Helper!S2:S501,MATCH(LARGE(_Helper!BH2:BH501,1),_Helper!BH2:BH501,0)),"-")</f>
        <v/>
      </c>
      <c r="L33" s="94" t="n"/>
      <c r="M33" s="94" t="n"/>
      <c r="N33" s="94" t="n"/>
      <c r="O33" s="3" t="n"/>
      <c r="P33" s="3" t="n"/>
      <c r="Q33" s="3" t="n"/>
      <c r="R33" s="3" t="n"/>
      <c r="S33" s="3" t="n"/>
      <c r="T33" s="3" t="n"/>
      <c r="U33" s="3" t="n"/>
    </row>
    <row r="34" ht="21.75" customHeight="1" s="74" thickBot="1">
      <c r="A34" s="92" t="inlineStr">
        <is>
          <t>Project Value (closest match)</t>
        </is>
      </c>
      <c r="B34" s="91" t="n"/>
      <c r="C34" s="91" t="n"/>
      <c r="D34" s="91" t="n"/>
      <c r="E34" s="91" t="n"/>
      <c r="F34" s="91" t="n"/>
      <c r="G34" s="91" t="n"/>
      <c r="H34" s="91" t="n"/>
      <c r="I34" s="91" t="n"/>
      <c r="J34" s="91" t="n"/>
      <c r="K34" s="128">
        <f>IFERROR(INDEX(_Helper!T2:T501,MATCH(LARGE(_Helper!BH2:BH501,1),_Helper!BH2:BH501,0))&amp;" "&amp;TEXT(INDEX(_Helper!BY2:BY501,MATCH(LARGE(_Helper!BH2:BH501,1),_Helper!BH2:BH501,0)),"#,##0.00")&amp;" M","-")</f>
        <v/>
      </c>
      <c r="L34" s="94" t="n"/>
      <c r="M34" s="94" t="n"/>
      <c r="N34" s="94" t="n"/>
      <c r="O34" s="3" t="n"/>
      <c r="P34" s="3" t="n"/>
      <c r="Q34" s="3" t="n"/>
      <c r="R34" s="3" t="n"/>
      <c r="S34" s="3" t="n"/>
      <c r="T34" s="3" t="n"/>
      <c r="U34" s="3" t="n"/>
    </row>
    <row r="35" ht="18" customHeight="1" s="74" thickBot="1">
      <c r="A35" s="107" t="inlineStr">
        <is>
          <t>MANHOUR COST PROFILE  —  closest match</t>
        </is>
      </c>
      <c r="B35" s="88" t="n"/>
      <c r="C35" s="88" t="n"/>
      <c r="D35" s="88" t="n"/>
      <c r="E35" s="88" t="n"/>
      <c r="F35" s="88" t="n"/>
      <c r="G35" s="88" t="n"/>
      <c r="H35" s="88" t="n"/>
      <c r="I35" s="88" t="n"/>
      <c r="J35" s="88" t="n"/>
      <c r="K35" s="107" t="inlineStr">
        <is>
          <t>% of Project Cost</t>
        </is>
      </c>
      <c r="L35" s="88" t="n"/>
      <c r="M35" s="88" t="n"/>
      <c r="N35" s="88" t="n"/>
    </row>
    <row r="36" ht="21.75" customHeight="1" s="74" thickBot="1">
      <c r="A36" s="92" t="inlineStr">
        <is>
          <t>Mechanical Installation</t>
        </is>
      </c>
      <c r="B36" s="91" t="n"/>
      <c r="C36" s="91" t="n"/>
      <c r="D36" s="91" t="n"/>
      <c r="E36" s="91" t="n"/>
      <c r="F36" s="91" t="n"/>
      <c r="G36" s="91" t="n"/>
      <c r="H36" s="91" t="n"/>
      <c r="I36" s="91" t="n"/>
      <c r="J36" s="91" t="n"/>
      <c r="K36" s="93">
        <f>IFERROR(IF(INDEX(_Helper!A2:A501,MATCH(LARGE(_Helper!BH2:BH501,1),_Helper!BH2:BH501,0))="","-",INDEX(_Helper!BJ2:BJ501,MATCH(LARGE(_Helper!BH2:BH501,1),_Helper!BH2:BH501,0))),"-")</f>
        <v/>
      </c>
      <c r="L36" s="94" t="n"/>
      <c r="M36" s="94" t="n"/>
      <c r="N36" s="94" t="n"/>
    </row>
    <row r="37" ht="21.75" customHeight="1" s="74" thickBot="1">
      <c r="A37" s="92" t="inlineStr">
        <is>
          <t>Electrical Installation</t>
        </is>
      </c>
      <c r="B37" s="91" t="n"/>
      <c r="C37" s="91" t="n"/>
      <c r="D37" s="91" t="n"/>
      <c r="E37" s="91" t="n"/>
      <c r="F37" s="91" t="n"/>
      <c r="G37" s="91" t="n"/>
      <c r="H37" s="91" t="n"/>
      <c r="I37" s="91" t="n"/>
      <c r="J37" s="91" t="n"/>
      <c r="K37" s="93">
        <f>IFERROR(IF(INDEX(_Helper!A2:A501,MATCH(LARGE(_Helper!BH2:BH501,1),_Helper!BH2:BH501,0))="","-",INDEX(_Helper!BK2:BK501,MATCH(LARGE(_Helper!BH2:BH501,1),_Helper!BH2:BH501,0))),"-")</f>
        <v/>
      </c>
      <c r="L37" s="94" t="n"/>
      <c r="M37" s="94" t="n"/>
      <c r="N37" s="94" t="n"/>
    </row>
    <row r="38" ht="21.75" customHeight="1" s="74" thickBot="1">
      <c r="A38" s="92" t="inlineStr">
        <is>
          <t>Project Management</t>
        </is>
      </c>
      <c r="B38" s="91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3">
        <f>IFERROR(IF(INDEX(_Helper!A2:A501,MATCH(LARGE(_Helper!BH2:BH501,1),_Helper!BH2:BH501,0))="","-",INDEX(_Helper!BL2:BL501,MATCH(LARGE(_Helper!BH2:BH501,1),_Helper!BH2:BH501,0))),"-")</f>
        <v/>
      </c>
      <c r="L38" s="94" t="n"/>
      <c r="M38" s="94" t="n"/>
      <c r="N38" s="94" t="n"/>
    </row>
    <row r="39" ht="21.75" customHeight="1" s="74" thickBot="1">
      <c r="A39" s="92" t="inlineStr">
        <is>
          <t>Systems Engineering</t>
        </is>
      </c>
      <c r="B39" s="91" t="n"/>
      <c r="C39" s="91" t="n"/>
      <c r="D39" s="91" t="n"/>
      <c r="E39" s="91" t="n"/>
      <c r="F39" s="91" t="n"/>
      <c r="G39" s="91" t="n"/>
      <c r="H39" s="91" t="n"/>
      <c r="I39" s="91" t="n"/>
      <c r="J39" s="91" t="n"/>
      <c r="K39" s="93">
        <f>IFERROR(IF(INDEX(_Helper!A2:A501,MATCH(LARGE(_Helper!BH2:BH501,1),_Helper!BH2:BH501,0))="","-",INDEX(_Helper!BM2:BM501,MATCH(LARGE(_Helper!BH2:BH501,1),_Helper!BH2:BH501,0))),"-")</f>
        <v/>
      </c>
      <c r="L39" s="94" t="n"/>
      <c r="M39" s="94" t="n"/>
      <c r="N39" s="94" t="n"/>
    </row>
    <row r="40" ht="21.75" customHeight="1" s="74" thickBot="1">
      <c r="A40" s="92" t="inlineStr">
        <is>
          <t>Mechanical Engineering</t>
        </is>
      </c>
      <c r="B40" s="91" t="n"/>
      <c r="C40" s="91" t="n"/>
      <c r="D40" s="91" t="n"/>
      <c r="E40" s="91" t="n"/>
      <c r="F40" s="91" t="n"/>
      <c r="G40" s="91" t="n"/>
      <c r="H40" s="91" t="n"/>
      <c r="I40" s="91" t="n"/>
      <c r="J40" s="91" t="n"/>
      <c r="K40" s="93">
        <f>IFERROR(IF(INDEX(_Helper!A2:A501,MATCH(LARGE(_Helper!BH2:BH501,1),_Helper!BH2:BH501,0))="","-",INDEX(_Helper!BN2:BN501,MATCH(LARGE(_Helper!BH2:BH501,1),_Helper!BH2:BH501,0))),"-")</f>
        <v/>
      </c>
      <c r="L40" s="94" t="n"/>
      <c r="M40" s="94" t="n"/>
      <c r="N40" s="94" t="n"/>
    </row>
    <row r="41" ht="21.75" customHeight="1" s="74" thickBot="1">
      <c r="A41" s="92" t="inlineStr">
        <is>
          <t>Structural Engineering</t>
        </is>
      </c>
      <c r="B41" s="91" t="n"/>
      <c r="C41" s="91" t="n"/>
      <c r="D41" s="91" t="n"/>
      <c r="E41" s="91" t="n"/>
      <c r="F41" s="91" t="n"/>
      <c r="G41" s="91" t="n"/>
      <c r="H41" s="91" t="n"/>
      <c r="I41" s="91" t="n"/>
      <c r="J41" s="91" t="n"/>
      <c r="K41" s="93">
        <f>IFERROR(IF(INDEX(_Helper!A2:A501,MATCH(LARGE(_Helper!BH2:BH501,1),_Helper!BH2:BH501,0))="","-",INDEX(_Helper!BO2:BO501,MATCH(LARGE(_Helper!BH2:BH501,1),_Helper!BH2:BH501,0))),"-")</f>
        <v/>
      </c>
      <c r="L41" s="94" t="n"/>
      <c r="M41" s="94" t="n"/>
      <c r="N41" s="94" t="n"/>
    </row>
    <row r="42" ht="21.75" customHeight="1" s="74" thickBot="1">
      <c r="A42" s="92" t="inlineStr">
        <is>
          <t>Site Supervision</t>
        </is>
      </c>
      <c r="B42" s="91" t="n"/>
      <c r="C42" s="91" t="n"/>
      <c r="D42" s="91" t="n"/>
      <c r="E42" s="91" t="n"/>
      <c r="F42" s="91" t="n"/>
      <c r="G42" s="91" t="n"/>
      <c r="H42" s="91" t="n"/>
      <c r="I42" s="91" t="n"/>
      <c r="J42" s="91" t="n"/>
      <c r="K42" s="93">
        <f>IFERROR(IF(INDEX(_Helper!A2:A501,MATCH(LARGE(_Helper!BH2:BH501,1),_Helper!BH2:BH501,0))="","-",INDEX(_Helper!BP2:BP501,MATCH(LARGE(_Helper!BH2:BH501,1),_Helper!BH2:BH501,0))),"-")</f>
        <v/>
      </c>
      <c r="L42" s="94" t="n"/>
      <c r="M42" s="94" t="n"/>
      <c r="N42" s="94" t="n"/>
    </row>
    <row r="43" ht="21.75" customHeight="1" s="74" thickBot="1">
      <c r="A43" s="92" t="inlineStr">
        <is>
          <t>Controls Commissioning</t>
        </is>
      </c>
      <c r="B43" s="91" t="n"/>
      <c r="C43" s="91" t="n"/>
      <c r="D43" s="91" t="n"/>
      <c r="E43" s="91" t="n"/>
      <c r="F43" s="91" t="n"/>
      <c r="G43" s="91" t="n"/>
      <c r="H43" s="91" t="n"/>
      <c r="I43" s="91" t="n"/>
      <c r="J43" s="91" t="n"/>
      <c r="K43" s="93">
        <f>IFERROR(IF(INDEX(_Helper!A2:A501,MATCH(LARGE(_Helper!BH2:BH501,1),_Helper!BH2:BH501,0))="","-",INDEX(_Helper!BQ2:BQ501,MATCH(LARGE(_Helper!BH2:BH501,1),_Helper!BH2:BH501,0))),"-")</f>
        <v/>
      </c>
      <c r="L43" s="94" t="n"/>
      <c r="M43" s="94" t="n"/>
      <c r="N43" s="94" t="n"/>
    </row>
    <row r="44" ht="21.75" customHeight="1" s="74" thickBot="1">
      <c r="A44" s="92" t="inlineStr">
        <is>
          <t>Systems Commissioning</t>
        </is>
      </c>
      <c r="B44" s="91" t="n"/>
      <c r="C44" s="91" t="n"/>
      <c r="D44" s="91" t="n"/>
      <c r="E44" s="91" t="n"/>
      <c r="F44" s="91" t="n"/>
      <c r="G44" s="91" t="n"/>
      <c r="H44" s="91" t="n"/>
      <c r="I44" s="91" t="n"/>
      <c r="J44" s="91" t="n"/>
      <c r="K44" s="93">
        <f>IFERROR(IF(INDEX(_Helper!A2:A501,MATCH(LARGE(_Helper!BH2:BH501,1),_Helper!BH2:BH501,0))="","-",INDEX(_Helper!BR2:BR501,MATCH(LARGE(_Helper!BH2:BH501,1),_Helper!BH2:BH501,0))),"-")</f>
        <v/>
      </c>
      <c r="L44" s="94" t="n"/>
      <c r="M44" s="94" t="n"/>
      <c r="N44" s="94" t="n"/>
    </row>
    <row r="45" ht="21.75" customHeight="1" s="74" thickBot="1">
      <c r="A45" s="92" t="inlineStr">
        <is>
          <t>Service Commissioning</t>
        </is>
      </c>
      <c r="B45" s="91" t="n"/>
      <c r="C45" s="91" t="n"/>
      <c r="D45" s="91" t="n"/>
      <c r="E45" s="91" t="n"/>
      <c r="F45" s="91" t="n"/>
      <c r="G45" s="91" t="n"/>
      <c r="H45" s="91" t="n"/>
      <c r="I45" s="91" t="n"/>
      <c r="J45" s="91" t="n"/>
      <c r="K45" s="93">
        <f>IFERROR(IF(INDEX(_Helper!A2:A501,MATCH(LARGE(_Helper!BH2:BH501,1),_Helper!BH2:BH501,0))="","-",INDEX(_Helper!BS2:BS501,MATCH(LARGE(_Helper!BH2:BH501,1),_Helper!BH2:BH501,0))),"-")</f>
        <v/>
      </c>
      <c r="L45" s="94" t="n"/>
      <c r="M45" s="94" t="n"/>
      <c r="N45" s="94" t="n"/>
    </row>
    <row r="46" ht="21.75" customHeight="1" s="74" thickBot="1">
      <c r="A46" s="92" t="inlineStr">
        <is>
          <t>Controls Engineering</t>
        </is>
      </c>
      <c r="B46" s="91" t="n"/>
      <c r="C46" s="91" t="n"/>
      <c r="D46" s="91" t="n"/>
      <c r="E46" s="91" t="n"/>
      <c r="F46" s="91" t="n"/>
      <c r="G46" s="91" t="n"/>
      <c r="H46" s="91" t="n"/>
      <c r="I46" s="91" t="n"/>
      <c r="J46" s="91" t="n"/>
      <c r="K46" s="93">
        <f>IFERROR(IF(INDEX(_Helper!A2:A501,MATCH(LARGE(_Helper!BH2:BH501,1),_Helper!BH2:BH501,0))="","-",INDEX(_Helper!BT2:BT501,MATCH(LARGE(_Helper!BH2:BH501,1),_Helper!BH2:BH501,0))),"-")</f>
        <v/>
      </c>
      <c r="L46" s="94" t="n"/>
      <c r="M46" s="94" t="n"/>
      <c r="N46" s="94" t="n"/>
    </row>
    <row r="47" ht="21.75" customHeight="1" s="74" thickBot="1">
      <c r="A47" s="92" t="inlineStr">
        <is>
          <t>Controls Purchase</t>
        </is>
      </c>
      <c r="B47" s="91" t="n"/>
      <c r="C47" s="91" t="n"/>
      <c r="D47" s="91" t="n"/>
      <c r="E47" s="91" t="n"/>
      <c r="F47" s="91" t="n"/>
      <c r="G47" s="91" t="n"/>
      <c r="H47" s="91" t="n"/>
      <c r="I47" s="91" t="n"/>
      <c r="J47" s="91" t="n"/>
      <c r="K47" s="93">
        <f>IFERROR(IF(INDEX(_Helper!A2:A501,MATCH(LARGE(_Helper!BH2:BH501,1),_Helper!BH2:BH501,0))="","-",INDEX(_Helper!BU2:BU501,MATCH(LARGE(_Helper!BH2:BH501,1),_Helper!BH2:BH501,0))),"-")</f>
        <v/>
      </c>
      <c r="L47" s="94" t="n"/>
      <c r="M47" s="94" t="n"/>
      <c r="N47" s="94" t="n"/>
    </row>
    <row r="48" ht="21.75" customHeight="1" s="74" thickBot="1">
      <c r="A48" s="92" t="inlineStr">
        <is>
          <t>Software Engineering</t>
        </is>
      </c>
      <c r="B48" s="91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3">
        <f>IFERROR(IF(INDEX(_Helper!A2:A501,MATCH(LARGE(_Helper!BH2:BH501,1),_Helper!BH2:BH501,0))="","-",INDEX(_Helper!BV2:BV501,MATCH(LARGE(_Helper!BH2:BH501,1),_Helper!BH2:BH501,0))),"-")</f>
        <v/>
      </c>
      <c r="L48" s="94" t="n"/>
      <c r="M48" s="94" t="n"/>
      <c r="N48" s="94" t="n"/>
    </row>
    <row r="49" ht="21.75" customHeight="1" s="74" thickBot="1">
      <c r="A49" s="92" t="inlineStr">
        <is>
          <t>Miscellaneous</t>
        </is>
      </c>
      <c r="B49" s="91" t="n"/>
      <c r="C49" s="91" t="n"/>
      <c r="D49" s="91" t="n"/>
      <c r="E49" s="91" t="n"/>
      <c r="F49" s="91" t="n"/>
      <c r="G49" s="91" t="n"/>
      <c r="H49" s="91" t="n"/>
      <c r="I49" s="91" t="n"/>
      <c r="J49" s="91" t="n"/>
      <c r="K49" s="93">
        <f>IFERROR(IF(INDEX(_Helper!A2:A501,MATCH(LARGE(_Helper!BH2:BH501,1),_Helper!BH2:BH501,0))="","-",INDEX(_Helper!BW2:BW501,MATCH(LARGE(_Helper!BH2:BH501,1),_Helper!BH2:BH501,0))),"-")</f>
        <v/>
      </c>
      <c r="L49" s="94" t="n"/>
      <c r="M49" s="94" t="n"/>
      <c r="N49" s="94" t="n"/>
    </row>
    <row r="50" ht="21.75" customHeight="1" s="74" thickBot="1">
      <c r="A50" s="116" t="inlineStr">
        <is>
          <t>TOTAL MANHOUR COST</t>
        </is>
      </c>
      <c r="B50" s="91" t="n"/>
      <c r="C50" s="91" t="n"/>
      <c r="D50" s="91" t="n"/>
      <c r="E50" s="91" t="n"/>
      <c r="F50" s="91" t="n"/>
      <c r="G50" s="91" t="n"/>
      <c r="H50" s="91" t="n"/>
      <c r="I50" s="91" t="n"/>
      <c r="J50" s="91" t="n"/>
      <c r="K50" s="112">
        <f>IFERROR(IF(INDEX(_Helper!A2:A501,MATCH(LARGE(_Helper!BH2:BH501,1),_Helper!BH2:BH501,0))="","-",INDEX(_Helper!BX2:BX501,MATCH(LARGE(_Helper!BH2:BH501,1),_Helper!BH2:BH501,0))),"-")</f>
        <v/>
      </c>
      <c r="L50" s="94" t="n"/>
      <c r="M50" s="94" t="n"/>
      <c r="N50" s="94" t="n"/>
    </row>
    <row r="51" ht="15.75" customHeight="1" s="74">
      <c r="R51" s="3" t="n"/>
      <c r="S51" s="3" t="n"/>
      <c r="T51" s="3" t="n"/>
      <c r="U51" s="3" t="n"/>
    </row>
    <row r="52" ht="15" customHeight="1" s="74">
      <c r="A52" s="3" t="n"/>
      <c r="B52" s="3" t="n"/>
      <c r="C52" s="3" t="n"/>
      <c r="D52" s="3" t="n"/>
      <c r="E52" s="3" t="n"/>
      <c r="F52" s="3" t="n"/>
      <c r="G52" s="3" t="n"/>
      <c r="H52" s="3" t="n"/>
      <c r="I52" s="3" t="n"/>
      <c r="J52" s="3" t="n"/>
      <c r="K52" s="3" t="n"/>
      <c r="L52" s="3" t="n"/>
      <c r="M52" s="3" t="n"/>
      <c r="N52" s="3" t="n"/>
      <c r="O52" s="3" t="n"/>
      <c r="P52" s="3" t="n"/>
      <c r="Q52" s="3" t="n"/>
      <c r="R52" s="3" t="n"/>
      <c r="S52" s="3" t="n"/>
      <c r="T52" s="3" t="n"/>
      <c r="U52" s="3" t="n"/>
    </row>
    <row r="53" ht="21.75" customHeight="1" s="74">
      <c r="A53" s="165" t="inlineStr">
        <is>
          <t xml:space="preserve">  SYSTEM MATCH SCORECARD  —  closest match breakdown</t>
        </is>
      </c>
      <c r="R53" s="3" t="n"/>
      <c r="S53" s="3" t="n"/>
      <c r="T53" s="3" t="n"/>
      <c r="U53" s="3" t="n"/>
    </row>
    <row r="54" ht="19.5" customHeight="1" s="74">
      <c r="A54" s="127" t="inlineStr">
        <is>
          <t>System</t>
        </is>
      </c>
      <c r="B54" s="88" t="n"/>
      <c r="C54" s="88" t="n"/>
      <c r="D54" s="88" t="n"/>
      <c r="E54" s="88" t="n"/>
      <c r="F54" s="87" t="inlineStr">
        <is>
          <t>Score</t>
        </is>
      </c>
      <c r="G54" s="88" t="n"/>
      <c r="H54" s="88" t="n"/>
      <c r="I54" s="87" t="inlineStr">
        <is>
          <t>Status</t>
        </is>
      </c>
      <c r="J54" s="88" t="n"/>
      <c r="K54" s="88" t="n"/>
      <c r="L54" s="87" t="inlineStr">
        <is>
          <t>Match Strength  ◀──────────────▶</t>
        </is>
      </c>
      <c r="M54" s="88" t="n"/>
      <c r="N54" s="88" t="n"/>
      <c r="O54" s="88" t="n"/>
      <c r="P54" s="88" t="n"/>
      <c r="Q54" s="88" t="n"/>
      <c r="R54" s="3" t="n"/>
      <c r="S54" s="3" t="n"/>
      <c r="T54" s="3" t="n"/>
      <c r="U54" s="3" t="n"/>
    </row>
    <row r="55" ht="24" customHeight="1" s="74">
      <c r="A55" s="95" t="inlineStr">
        <is>
          <t>Multishuttle</t>
        </is>
      </c>
      <c r="B55" s="72" t="n"/>
      <c r="C55" s="72" t="n"/>
      <c r="D55" s="72" t="n"/>
      <c r="E55" s="72" t="n"/>
      <c r="F55" s="126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5" s="94" t="n"/>
      <c r="H55" s="94" t="n"/>
      <c r="I55" s="125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5" s="91" t="n"/>
      <c r="K55" s="91" t="n"/>
      <c r="L55" s="109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5" s="91" t="n"/>
      <c r="N55" s="91" t="n"/>
      <c r="O55" s="91" t="n"/>
      <c r="P55" s="91" t="n"/>
      <c r="Q55" s="91" t="n"/>
      <c r="R55" s="3" t="n"/>
      <c r="S55" s="3" t="n"/>
      <c r="T55" s="3" t="n"/>
      <c r="U55" s="3" t="n"/>
    </row>
    <row r="56" ht="24" customHeight="1" s="74">
      <c r="A56" s="131" t="inlineStr">
        <is>
          <t>AutoStore</t>
        </is>
      </c>
      <c r="B56" s="72" t="n"/>
      <c r="C56" s="72" t="n"/>
      <c r="D56" s="72" t="n"/>
      <c r="E56" s="72" t="n"/>
      <c r="F56" s="126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6" s="94" t="n"/>
      <c r="H56" s="94" t="n"/>
      <c r="I56" s="90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6" s="91" t="n"/>
      <c r="K56" s="91" t="n"/>
      <c r="L56" s="96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6" s="91" t="n"/>
      <c r="N56" s="91" t="n"/>
      <c r="O56" s="91" t="n"/>
      <c r="P56" s="91" t="n"/>
      <c r="Q56" s="91" t="n"/>
      <c r="R56" s="3" t="n"/>
      <c r="S56" s="3" t="n"/>
      <c r="T56" s="3" t="n"/>
      <c r="U56" s="3" t="n"/>
    </row>
    <row r="57" ht="24" customHeight="1" s="74">
      <c r="A57" s="105" t="inlineStr">
        <is>
          <t>Pallet Shuttle</t>
        </is>
      </c>
      <c r="B57" s="72" t="n"/>
      <c r="C57" s="72" t="n"/>
      <c r="D57" s="72" t="n"/>
      <c r="E57" s="72" t="n"/>
      <c r="F57" s="126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57" s="94" t="n"/>
      <c r="H57" s="94" t="n"/>
      <c r="I57" s="125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57" s="91" t="n"/>
      <c r="K57" s="91" t="n"/>
      <c r="L57" s="109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57" s="91" t="n"/>
      <c r="N57" s="91" t="n"/>
      <c r="O57" s="91" t="n"/>
      <c r="P57" s="91" t="n"/>
      <c r="Q57" s="91" t="n"/>
      <c r="R57" s="3" t="n"/>
      <c r="S57" s="3" t="n"/>
      <c r="T57" s="3" t="n"/>
      <c r="U57" s="3" t="n"/>
    </row>
    <row r="58" ht="24" customHeight="1" s="74">
      <c r="A58" s="133" t="inlineStr">
        <is>
          <t>SRM Crane</t>
        </is>
      </c>
      <c r="B58" s="72" t="n"/>
      <c r="C58" s="72" t="n"/>
      <c r="D58" s="72" t="n"/>
      <c r="E58" s="72" t="n"/>
      <c r="F58" s="126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58" s="94" t="n"/>
      <c r="H58" s="94" t="n"/>
      <c r="I58" s="90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58" s="91" t="n"/>
      <c r="K58" s="91" t="n"/>
      <c r="L58" s="96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58" s="91" t="n"/>
      <c r="N58" s="91" t="n"/>
      <c r="O58" s="91" t="n"/>
      <c r="P58" s="91" t="n"/>
      <c r="Q58" s="91" t="n"/>
      <c r="R58" s="3" t="n"/>
      <c r="S58" s="3" t="n"/>
      <c r="T58" s="3" t="n"/>
      <c r="U58" s="3" t="n"/>
    </row>
    <row r="59" ht="24" customHeight="1" s="74">
      <c r="A59" s="89" t="inlineStr">
        <is>
          <t>Conveyors</t>
        </is>
      </c>
      <c r="B59" s="72" t="n"/>
      <c r="C59" s="72" t="n"/>
      <c r="D59" s="72" t="n"/>
      <c r="E59" s="72" t="n"/>
      <c r="F59" s="126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59" s="94" t="n"/>
      <c r="H59" s="94" t="n"/>
      <c r="I59" s="125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59" s="91" t="n"/>
      <c r="K59" s="91" t="n"/>
      <c r="L59" s="109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59" s="91" t="n"/>
      <c r="N59" s="91" t="n"/>
      <c r="O59" s="91" t="n"/>
      <c r="P59" s="91" t="n"/>
      <c r="Q59" s="91" t="n"/>
      <c r="R59" s="3" t="n"/>
      <c r="S59" s="3" t="n"/>
      <c r="T59" s="3" t="n"/>
      <c r="U59" s="3" t="n"/>
    </row>
    <row r="60" ht="24" customHeight="1" s="74">
      <c r="A60" s="132" t="inlineStr">
        <is>
          <t>Keywords</t>
        </is>
      </c>
      <c r="B60" s="72" t="n"/>
      <c r="C60" s="72" t="n"/>
      <c r="D60" s="72" t="n"/>
      <c r="E60" s="72" t="n"/>
      <c r="F60" s="126">
        <f>IF('Smart Search'!G13=0,"—",TEXT(IFERROR(INDEX(_Helper!BD2:BD501,MATCH(LARGE(_Helper!BH2:BH501,1),_Helper!BH2:BH501,0))/IFERROR(1/'Smart Search'!H13,0),0),"0%"))</f>
        <v/>
      </c>
      <c r="G60" s="94" t="n"/>
      <c r="H60" s="94" t="n"/>
      <c r="I60" s="90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0" s="91" t="n"/>
      <c r="K60" s="91" t="n"/>
      <c r="L60" s="96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0" s="91" t="n"/>
      <c r="N60" s="91" t="n"/>
      <c r="O60" s="91" t="n"/>
      <c r="P60" s="91" t="n"/>
      <c r="Q60" s="91" t="n"/>
      <c r="R60" s="3" t="n"/>
      <c r="S60" s="3" t="n"/>
      <c r="T60" s="3" t="n"/>
      <c r="U60" s="3" t="n"/>
    </row>
    <row r="61" ht="15.75" customHeight="1" s="74">
      <c r="A61" s="166" t="inlineStr">
        <is>
          <t xml:space="preserve">  ✅ Strong ≥ 70%     🟡 Partial 30–69%     ❌ Weak &lt; 30%     — System not included in search</t>
        </is>
      </c>
      <c r="R61" s="3" t="n"/>
      <c r="S61" s="3" t="n"/>
      <c r="T61" s="3" t="n"/>
      <c r="U61" s="3" t="n"/>
    </row>
  </sheetData>
  <mergeCells count="108">
    <mergeCell ref="I54:K54"/>
    <mergeCell ref="K48:N48"/>
    <mergeCell ref="I10:Q11"/>
    <mergeCell ref="I56:K56"/>
    <mergeCell ref="L8:Q8"/>
    <mergeCell ref="A43:J43"/>
    <mergeCell ref="K38:N38"/>
    <mergeCell ref="L54:Q54"/>
    <mergeCell ref="K49:N49"/>
    <mergeCell ref="I8:K8"/>
    <mergeCell ref="A34:J34"/>
    <mergeCell ref="L56:Q56"/>
    <mergeCell ref="K33:N33"/>
    <mergeCell ref="A11:G11"/>
    <mergeCell ref="A49:J49"/>
    <mergeCell ref="A36:J36"/>
    <mergeCell ref="A57:E57"/>
    <mergeCell ref="K26:N26"/>
    <mergeCell ref="I59:K59"/>
    <mergeCell ref="K35:N35"/>
    <mergeCell ref="A32:J32"/>
    <mergeCell ref="L5:Q5"/>
    <mergeCell ref="K39:N39"/>
    <mergeCell ref="A24:Q24"/>
    <mergeCell ref="A29:J29"/>
    <mergeCell ref="A38:J38"/>
    <mergeCell ref="L55:Q55"/>
    <mergeCell ref="K37:N37"/>
    <mergeCell ref="A44:J44"/>
    <mergeCell ref="A31:J31"/>
    <mergeCell ref="A40:J40"/>
    <mergeCell ref="A14:U14"/>
    <mergeCell ref="A55:E55"/>
    <mergeCell ref="A1:G1"/>
    <mergeCell ref="I9:Q9"/>
    <mergeCell ref="K32:N32"/>
    <mergeCell ref="K41:N41"/>
    <mergeCell ref="K50:N50"/>
    <mergeCell ref="A3:G3"/>
    <mergeCell ref="L57:Q57"/>
    <mergeCell ref="A26:D26"/>
    <mergeCell ref="A12:G12"/>
    <mergeCell ref="K43:N43"/>
    <mergeCell ref="A50:J50"/>
    <mergeCell ref="A58:E58"/>
    <mergeCell ref="F59:H59"/>
    <mergeCell ref="A42:J42"/>
    <mergeCell ref="F55:H55"/>
    <mergeCell ref="K27:N27"/>
    <mergeCell ref="A47:J47"/>
    <mergeCell ref="E10:G10"/>
    <mergeCell ref="K42:N42"/>
    <mergeCell ref="A60:E60"/>
    <mergeCell ref="O25:Q25"/>
    <mergeCell ref="A28:J28"/>
    <mergeCell ref="K28:N28"/>
    <mergeCell ref="A61:Q61"/>
    <mergeCell ref="I55:K55"/>
    <mergeCell ref="I5:K5"/>
    <mergeCell ref="A30:J30"/>
    <mergeCell ref="K25:N25"/>
    <mergeCell ref="F58:H58"/>
    <mergeCell ref="K30:N30"/>
    <mergeCell ref="L6:Q6"/>
    <mergeCell ref="E25:J25"/>
    <mergeCell ref="K45:N45"/>
    <mergeCell ref="F60:H60"/>
    <mergeCell ref="K29:N29"/>
    <mergeCell ref="F57:H57"/>
    <mergeCell ref="K47:N47"/>
    <mergeCell ref="A41:J41"/>
    <mergeCell ref="K31:N31"/>
    <mergeCell ref="K46:N46"/>
    <mergeCell ref="L7:Q7"/>
    <mergeCell ref="K40:N40"/>
    <mergeCell ref="A15:U15"/>
    <mergeCell ref="A53:Q53"/>
    <mergeCell ref="A27:J27"/>
    <mergeCell ref="A2:G2"/>
    <mergeCell ref="I57:K57"/>
    <mergeCell ref="I7:K7"/>
    <mergeCell ref="A33:J33"/>
    <mergeCell ref="A59:E59"/>
    <mergeCell ref="O26:Q26"/>
    <mergeCell ref="A35:J35"/>
    <mergeCell ref="I58:K58"/>
    <mergeCell ref="I12:Q12"/>
    <mergeCell ref="L58:Q58"/>
    <mergeCell ref="A54:E54"/>
    <mergeCell ref="K34:N34"/>
    <mergeCell ref="A39:J39"/>
    <mergeCell ref="L60:Q60"/>
    <mergeCell ref="F56:H56"/>
    <mergeCell ref="A48:J48"/>
    <mergeCell ref="E26:J26"/>
    <mergeCell ref="A56:E56"/>
    <mergeCell ref="I4:Q4"/>
    <mergeCell ref="A45:J45"/>
    <mergeCell ref="L59:Q59"/>
    <mergeCell ref="K36:N36"/>
    <mergeCell ref="I60:K60"/>
    <mergeCell ref="A25:D25"/>
    <mergeCell ref="A23:Q23"/>
    <mergeCell ref="I6:K6"/>
    <mergeCell ref="K44:N44"/>
    <mergeCell ref="F54:H54"/>
    <mergeCell ref="A46:J46"/>
    <mergeCell ref="A37:J37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sqref="L5" showDropDown="0" showInputMessage="0" showErrorMessage="1" allowBlank="1" errorTitle="Invalid filter" error="Select a listed value, enter a year from 2000 to 2099, or clear the cell." type="list">
      <formula1>"All,Autostore,DMS GTP,Pallet Hotel,4WS,AMCAP,Others/complex"</formula1>
    </dataValidation>
    <dataValidation sqref="L8" showDropDown="0" showInputMessage="0" showErrorMessage="1" allowBlank="1" errorTitle="Invalid filter" error="Select a listed value, enter a year from 2000 to 2099, or clear the cell." type="list">
      <formula1>"All,Yes,No"</formula1>
    </dataValidation>
    <dataValidation sqref="L7" showDropDown="0" showInputMessage="0" showErrorMessage="1" allowBlank="1" errorTitle="Invalid filter" error="Select a listed value, enter a year from 2000 to 2099, or clear the cell." type="whole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Y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4">
      <c r="A1" s="4" t="inlineStr">
        <is>
          <t>Project ID</t>
        </is>
      </c>
      <c r="B1" s="4" t="inlineStr">
        <is>
          <t>Project Name</t>
        </is>
      </c>
      <c r="C1" s="4" t="inlineStr">
        <is>
          <t>MS Shuttles</t>
        </is>
      </c>
      <c r="D1" s="4" t="inlineStr">
        <is>
          <t>MS Tote Locs</t>
        </is>
      </c>
      <c r="E1" s="4" t="inlineStr">
        <is>
          <t>AS Robots</t>
        </is>
      </c>
      <c r="F1" s="4" t="inlineStr">
        <is>
          <t>AS Tote Locs</t>
        </is>
      </c>
      <c r="G1" s="4" t="inlineStr">
        <is>
          <t>PS Shuttles</t>
        </is>
      </c>
      <c r="H1" s="4" t="inlineStr">
        <is>
          <t>PS Pallet Locs</t>
        </is>
      </c>
      <c r="I1" s="4" t="inlineStr">
        <is>
          <t>SRM Cranes</t>
        </is>
      </c>
      <c r="J1" s="4" t="inlineStr">
        <is>
          <t>SRM Pallet Locs</t>
        </is>
      </c>
      <c r="K1" s="4" t="inlineStr">
        <is>
          <t>Case Conv (m)</t>
        </is>
      </c>
      <c r="L1" s="4" t="inlineStr">
        <is>
          <t>Pallet Conv (m)</t>
        </is>
      </c>
      <c r="M1" s="4" t="inlineStr">
        <is>
          <t>Mech wks</t>
        </is>
      </c>
      <c r="N1" s="4" t="inlineStr">
        <is>
          <t>Ctrl wks</t>
        </is>
      </c>
      <c r="O1" s="4" t="inlineStr">
        <is>
          <t>Sys wks</t>
        </is>
      </c>
      <c r="P1" s="4" t="inlineStr">
        <is>
          <t>SW wks</t>
        </is>
      </c>
      <c r="Q1" s="4" t="inlineStr">
        <is>
          <t>Install wks</t>
        </is>
      </c>
      <c r="R1" s="4" t="inlineStr">
        <is>
          <t>Commission wks</t>
        </is>
      </c>
      <c r="S1" s="4" t="inlineStr">
        <is>
          <t>Total wks</t>
        </is>
      </c>
      <c r="T1" s="4" t="inlineStr">
        <is>
          <t>Currency</t>
        </is>
      </c>
      <c r="U1" s="4" t="inlineStr">
        <is>
          <t>Value (M)</t>
        </is>
      </c>
      <c r="V1" s="4" t="inlineStr">
        <is>
          <t>Wt MS_Shut</t>
        </is>
      </c>
      <c r="W1" s="4" t="inlineStr">
        <is>
          <t>Wt MS_Tote</t>
        </is>
      </c>
      <c r="X1" s="4" t="inlineStr">
        <is>
          <t>Wt AS_Rob</t>
        </is>
      </c>
      <c r="Y1" s="4" t="inlineStr">
        <is>
          <t>Wt AS_Tote</t>
        </is>
      </c>
      <c r="Z1" s="4" t="inlineStr">
        <is>
          <t>Wt PS_Shut</t>
        </is>
      </c>
      <c r="AA1" s="4" t="inlineStr">
        <is>
          <t>Wt PS_Pal</t>
        </is>
      </c>
      <c r="AB1" s="4" t="inlineStr">
        <is>
          <t>Wt SRM_Cr</t>
        </is>
      </c>
      <c r="AC1" s="4" t="inlineStr">
        <is>
          <t>Wt SRM_Pal</t>
        </is>
      </c>
      <c r="AD1" s="4" t="inlineStr">
        <is>
          <t>Wt Conv_C</t>
        </is>
      </c>
      <c r="AE1" s="4" t="inlineStr">
        <is>
          <t>Wt Conv_P</t>
        </is>
      </c>
      <c r="AF1" s="4" t="inlineStr">
        <is>
          <t>Sim MS_Shut</t>
        </is>
      </c>
      <c r="AG1" s="4" t="inlineStr">
        <is>
          <t>Sim MS_Tote</t>
        </is>
      </c>
      <c r="AH1" s="4" t="inlineStr">
        <is>
          <t>Sim AS_Rob</t>
        </is>
      </c>
      <c r="AI1" s="4" t="inlineStr">
        <is>
          <t>Sim AS_Tote</t>
        </is>
      </c>
      <c r="AJ1" s="4" t="inlineStr">
        <is>
          <t>Sim PS_Shut</t>
        </is>
      </c>
      <c r="AK1" s="4" t="inlineStr">
        <is>
          <t>Sim PS_Pal</t>
        </is>
      </c>
      <c r="AL1" s="4" t="inlineStr">
        <is>
          <t>Sim SRM_Cr</t>
        </is>
      </c>
      <c r="AM1" s="4" t="inlineStr">
        <is>
          <t>Sim SRM_Pal</t>
        </is>
      </c>
      <c r="AN1" s="4" t="inlineStr">
        <is>
          <t>Sim Conv_C</t>
        </is>
      </c>
      <c r="AO1" s="4" t="inlineStr">
        <is>
          <t>Sim Conv_P</t>
        </is>
      </c>
      <c r="AP1" s="4" t="inlineStr">
        <is>
          <t>WtdScr MS_Shut</t>
        </is>
      </c>
      <c r="AQ1" s="4" t="inlineStr">
        <is>
          <t>WtdScr MS_Tote</t>
        </is>
      </c>
      <c r="AR1" s="4" t="inlineStr">
        <is>
          <t>WtdScr AS_Rob</t>
        </is>
      </c>
      <c r="AS1" s="4" t="inlineStr">
        <is>
          <t>WtdScr AS_Tote</t>
        </is>
      </c>
      <c r="AT1" s="4" t="inlineStr">
        <is>
          <t>WtdScr PS_Shut</t>
        </is>
      </c>
      <c r="AU1" s="4" t="inlineStr">
        <is>
          <t>WtdScr PS_Pal</t>
        </is>
      </c>
      <c r="AV1" s="4" t="inlineStr">
        <is>
          <t>WtdScr SRM_Cr</t>
        </is>
      </c>
      <c r="AW1" s="4" t="inlineStr">
        <is>
          <t>WtdScr SRM_Pal</t>
        </is>
      </c>
      <c r="AX1" s="4" t="inlineStr">
        <is>
          <t>WtdScr Conv_C</t>
        </is>
      </c>
      <c r="AY1" s="4" t="inlineStr">
        <is>
          <t>WtdScr Conv_P</t>
        </is>
      </c>
      <c r="AZ1" s="4" t="inlineStr">
        <is>
          <t>Auto Equipment</t>
        </is>
      </c>
      <c r="BA1" s="4" t="inlineStr">
        <is>
          <t>FINAL SCORE</t>
        </is>
      </c>
      <c r="BB1" s="4" t="inlineStr">
        <is>
          <t>Keyword Match</t>
        </is>
      </c>
      <c r="BC1" s="4" t="inlineStr">
        <is>
          <t>Keyword Wt</t>
        </is>
      </c>
      <c r="BD1" s="4" t="inlineStr">
        <is>
          <t>Keyword WtdScr</t>
        </is>
      </c>
      <c r="BE1" s="4" t="inlineStr">
        <is>
          <t>Raw Wtd Sum</t>
        </is>
      </c>
      <c r="BF1" s="4" t="inlineStr">
        <is>
          <t>Coverage Ratio</t>
        </is>
      </c>
      <c r="BG1" s="4" t="inlineStr">
        <is>
          <t>Penalty (core 25%, conv 25%)</t>
        </is>
      </c>
      <c r="BH1" s="4" t="inlineStr">
        <is>
          <t>Rank Score (tiebroken)</t>
        </is>
      </c>
      <c r="BI1" s="4" t="inlineStr">
        <is>
          <t>Unwanted Core Systems</t>
        </is>
      </c>
      <c r="BJ1" s="4" t="inlineStr">
        <is>
          <t>MH% Mech Inst</t>
        </is>
      </c>
      <c r="BK1" s="4" t="inlineStr">
        <is>
          <t>MH% Elec Inst</t>
        </is>
      </c>
      <c r="BL1" s="4" t="inlineStr">
        <is>
          <t>MH% Project Management</t>
        </is>
      </c>
      <c r="BM1" s="4" t="inlineStr">
        <is>
          <t>MH% Systems Eng</t>
        </is>
      </c>
      <c r="BN1" s="4" t="inlineStr">
        <is>
          <t>MH% Mechanical Eng</t>
        </is>
      </c>
      <c r="BO1" s="4" t="inlineStr">
        <is>
          <t>MH% Structural Engineering</t>
        </is>
      </c>
      <c r="BP1" s="4" t="inlineStr">
        <is>
          <t>MH% Site Sup</t>
        </is>
      </c>
      <c r="BQ1" s="4" t="inlineStr">
        <is>
          <t>MH% Controls Commissioning</t>
        </is>
      </c>
      <c r="BR1" s="4" t="inlineStr">
        <is>
          <t>MH% Systems Commissioning</t>
        </is>
      </c>
      <c r="BS1" s="4" t="inlineStr">
        <is>
          <t>MH% Service Commissioning</t>
        </is>
      </c>
      <c r="BT1" s="4" t="inlineStr">
        <is>
          <t>MH% Controls Eng</t>
        </is>
      </c>
      <c r="BU1" s="4" t="inlineStr">
        <is>
          <t>MH% Controls Purchase</t>
        </is>
      </c>
      <c r="BV1" s="4" t="inlineStr">
        <is>
          <t>MH% Software Eng</t>
        </is>
      </c>
      <c r="BW1" s="4" t="inlineStr">
        <is>
          <t>MH% Misc</t>
        </is>
      </c>
      <c r="BX1" s="4" t="inlineStr">
        <is>
          <t>MH% TOTAL</t>
        </is>
      </c>
      <c r="BY1" s="4" t="inlineStr">
        <is>
          <t>Value numeric</t>
        </is>
      </c>
    </row>
    <row r="2" ht="15" customHeight="1" s="74">
      <c r="A2" s="66">
        <f>'Project Database'!A6</f>
        <v/>
      </c>
      <c r="B2" s="66">
        <f>'Project Database'!B6</f>
        <v/>
      </c>
      <c r="C2" s="66">
        <f>'Project Database'!G6</f>
        <v/>
      </c>
      <c r="D2" s="66">
        <f>'Project Database'!H6</f>
        <v/>
      </c>
      <c r="E2" s="66">
        <f>'Project Database'!I6</f>
        <v/>
      </c>
      <c r="F2" s="66">
        <f>'Project Database'!J6</f>
        <v/>
      </c>
      <c r="G2" s="66">
        <f>'Project Database'!K6</f>
        <v/>
      </c>
      <c r="H2" s="66">
        <f>'Project Database'!L6</f>
        <v/>
      </c>
      <c r="I2" s="66">
        <f>'Project Database'!M6</f>
        <v/>
      </c>
      <c r="J2" s="66">
        <f>'Project Database'!N6</f>
        <v/>
      </c>
      <c r="K2" s="66">
        <f>'Project Database'!O6</f>
        <v/>
      </c>
      <c r="L2" s="66">
        <f>'Project Database'!P6</f>
        <v/>
      </c>
      <c r="M2" s="66">
        <f>'Project Database'!Q6</f>
        <v/>
      </c>
      <c r="N2" s="66">
        <f>'Project Database'!R6</f>
        <v/>
      </c>
      <c r="O2" s="66">
        <f>'Project Database'!S6</f>
        <v/>
      </c>
      <c r="P2" s="66">
        <f>'Project Database'!T6</f>
        <v/>
      </c>
      <c r="Q2" s="66">
        <f>'Project Database'!U6</f>
        <v/>
      </c>
      <c r="R2" s="66">
        <f>'Project Database'!V6</f>
        <v/>
      </c>
      <c r="S2" s="66">
        <f>'Project Database'!W6</f>
        <v/>
      </c>
      <c r="T2" s="66">
        <f>'Project Database'!X6</f>
        <v/>
      </c>
      <c r="U2" s="67">
        <f>'Project Database'!Y6</f>
        <v/>
      </c>
      <c r="V2" s="66">
        <f>IF('Smart Search'!B13=1,IFERROR(1/'Smart Search'!H13,0),0)</f>
        <v/>
      </c>
      <c r="W2" s="66">
        <f>IF('Smart Search'!B13=1,IFERROR(1/'Smart Search'!H13,0),0)</f>
        <v/>
      </c>
      <c r="X2" s="66">
        <f>IF('Smart Search'!C13=1,IFERROR(1/'Smart Search'!H13,0),0)</f>
        <v/>
      </c>
      <c r="Y2" s="66">
        <f>IF('Smart Search'!C13=1,IFERROR(1/'Smart Search'!H13,0),0)</f>
        <v/>
      </c>
      <c r="Z2" s="66">
        <f>IF('Smart Search'!D13=1,IFERROR(1/'Smart Search'!H13,0),0)</f>
        <v/>
      </c>
      <c r="AA2" s="66">
        <f>IF('Smart Search'!D13=1,IFERROR(1/'Smart Search'!H13,0),0)</f>
        <v/>
      </c>
      <c r="AB2" s="66">
        <f>IF('Smart Search'!E13=1,IFERROR(1/'Smart Search'!H13,0),0)</f>
        <v/>
      </c>
      <c r="AC2" s="66">
        <f>IF('Smart Search'!E13=1,IFERROR(1/'Smart Search'!H13,0),0)</f>
        <v/>
      </c>
      <c r="AD2" s="66">
        <f>IF('Smart Search'!F13=1,IFERROR(1/'Smart Search'!H13,0),0)</f>
        <v/>
      </c>
      <c r="AE2" s="66">
        <f>IF('Smart Search'!F13=1,IFERROR(1/'Smart Search'!H13,0),0)</f>
        <v/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66">
        <f>AF2*V2</f>
        <v/>
      </c>
      <c r="AQ2" s="66">
        <f>AG2*W2</f>
        <v/>
      </c>
      <c r="AR2" s="66">
        <f>AH2*X2</f>
        <v/>
      </c>
      <c r="AS2" s="66">
        <f>AI2*Y2</f>
        <v/>
      </c>
      <c r="AT2" s="66">
        <f>AJ2*Z2</f>
        <v/>
      </c>
      <c r="AU2" s="66">
        <f>AK2*AA2</f>
        <v/>
      </c>
      <c r="AV2" s="66">
        <f>AL2*AB2</f>
        <v/>
      </c>
      <c r="AW2" s="66">
        <f>AM2*AC2</f>
        <v/>
      </c>
      <c r="AX2" s="66">
        <f>AN2*AD2</f>
        <v/>
      </c>
      <c r="AY2" s="66">
        <f>AO2*AE2</f>
        <v/>
      </c>
      <c r="AZ2" s="66">
        <f>'Project Database'!Z6</f>
        <v/>
      </c>
      <c r="BA2" s="66">
        <f>IF(OR(A2="",'Smart Search'!H13=0),"",MAX(0,BE2*BF2*MAX(0,1-BG2)))</f>
        <v/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66">
        <f>IF('Smart Search'!G13=1,IFERROR(1/'Smart Search'!H13,0),0)</f>
        <v/>
      </c>
      <c r="BD2" s="66">
        <f>BB2*BC2</f>
        <v/>
      </c>
      <c r="BE2" s="66">
        <f>AP2+AQ2+AR2+AS2+AT2+AU2+AV2+AW2+AX2+AY2+BD2</f>
        <v/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5">
        <f>IF(AND('Project Database'!A6&lt;&gt;"",OR('Smart Search'!$L$5="",'Smart Search'!$L$5="All",TRIM('Project Database'!D6)=TRIM('Smart Search'!$L$5)),OR(TRIM('Smart Search'!$L$6)="",TRIM('Smart Search'!$L$6)="All",ISNUMBER(SEARCH(SUBSTITUTE(SUBSTITUTE(SUBSTITUTE(TRIM('Smart Search'!$L$6),"~","~~"),"*","~*"),"?","~?"),'Project Database'!C6))),OR('Smart Search'!$L$7="",AND('Project Database'!E6&lt;&gt;"",'Project Database'!E6='Smart Search'!$L$7)),OR('Smart Search'!$L$8="",'Smart Search'!$L$8="All",TRIM('Project Database'!F6)=TRIM('Smart Search'!$L$8))),IF(BA2="","",BA2+ROW()*0.0000000001),"")</f>
        <v/>
      </c>
      <c r="BI2" s="5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5">
        <f>IF('Project Database'!A6="","",N('Project Database'!AC6))</f>
        <v/>
      </c>
      <c r="BK2" s="5">
        <f>IF('Project Database'!A6="","",N('Project Database'!AD6))</f>
        <v/>
      </c>
      <c r="BL2" s="5">
        <f>IF('Project Database'!A6="","",N('Project Database'!AE6))</f>
        <v/>
      </c>
      <c r="BM2" s="5">
        <f>IF('Project Database'!A6="","",N('Project Database'!AF6))</f>
        <v/>
      </c>
      <c r="BN2" s="5">
        <f>IF('Project Database'!A6="","",N('Project Database'!AG6))</f>
        <v/>
      </c>
      <c r="BO2" s="5">
        <f>IF('Project Database'!A6="","",N('Project Database'!AH6))</f>
        <v/>
      </c>
      <c r="BP2" s="5">
        <f>IF('Project Database'!A6="","",N('Project Database'!AI6))</f>
        <v/>
      </c>
      <c r="BQ2" s="5">
        <f>IF('Project Database'!A6="","",N('Project Database'!AJ6))</f>
        <v/>
      </c>
      <c r="BR2" s="5">
        <f>IF('Project Database'!A6="","",N('Project Database'!AK6))</f>
        <v/>
      </c>
      <c r="BS2" s="5">
        <f>IF('Project Database'!A6="","",N('Project Database'!AL6))</f>
        <v/>
      </c>
      <c r="BT2" s="5">
        <f>IF('Project Database'!A6="","",N('Project Database'!AM6))</f>
        <v/>
      </c>
      <c r="BU2" s="5">
        <f>IF('Project Database'!A6="","",N('Project Database'!AN6))</f>
        <v/>
      </c>
      <c r="BV2" s="5">
        <f>IF('Project Database'!A6="","",N('Project Database'!AO6))</f>
        <v/>
      </c>
      <c r="BW2" s="5">
        <f>IF('Project Database'!A6="","",N('Project Database'!AP6))</f>
        <v/>
      </c>
      <c r="BX2" s="5">
        <f>IF(A2="","",SUM(BJ2:BW2))</f>
        <v/>
      </c>
      <c r="BY2" s="5">
        <f>IF(A2="","",IFERROR(IF(ISNUMBER(U2),U2,VALUE(SUBSTITUTE(SUBSTITUTE(SUBSTITUTE(UPPER(TRIM(U2)),"M",""),",","")," ",""))),0))</f>
        <v/>
      </c>
    </row>
    <row r="3" ht="15" customHeight="1" s="74">
      <c r="A3" s="66">
        <f>'Project Database'!A7</f>
        <v/>
      </c>
      <c r="B3" s="66">
        <f>'Project Database'!B7</f>
        <v/>
      </c>
      <c r="C3" s="66">
        <f>'Project Database'!G7</f>
        <v/>
      </c>
      <c r="D3" s="66">
        <f>'Project Database'!H7</f>
        <v/>
      </c>
      <c r="E3" s="66">
        <f>'Project Database'!I7</f>
        <v/>
      </c>
      <c r="F3" s="66">
        <f>'Project Database'!J7</f>
        <v/>
      </c>
      <c r="G3" s="66">
        <f>'Project Database'!K7</f>
        <v/>
      </c>
      <c r="H3" s="66">
        <f>'Project Database'!L7</f>
        <v/>
      </c>
      <c r="I3" s="66">
        <f>'Project Database'!M7</f>
        <v/>
      </c>
      <c r="J3" s="66">
        <f>'Project Database'!N7</f>
        <v/>
      </c>
      <c r="K3" s="66">
        <f>'Project Database'!O7</f>
        <v/>
      </c>
      <c r="L3" s="66">
        <f>'Project Database'!P7</f>
        <v/>
      </c>
      <c r="M3" s="66">
        <f>'Project Database'!Q7</f>
        <v/>
      </c>
      <c r="N3" s="66">
        <f>'Project Database'!R7</f>
        <v/>
      </c>
      <c r="O3" s="66">
        <f>'Project Database'!S7</f>
        <v/>
      </c>
      <c r="P3" s="66">
        <f>'Project Database'!T7</f>
        <v/>
      </c>
      <c r="Q3" s="66">
        <f>'Project Database'!U7</f>
        <v/>
      </c>
      <c r="R3" s="66">
        <f>'Project Database'!V7</f>
        <v/>
      </c>
      <c r="S3" s="66">
        <f>'Project Database'!W7</f>
        <v/>
      </c>
      <c r="T3" s="66">
        <f>'Project Database'!X7</f>
        <v/>
      </c>
      <c r="U3" s="67">
        <f>'Project Database'!Y7</f>
        <v/>
      </c>
      <c r="V3" s="66">
        <f>IF('Smart Search'!B13=1,IFERROR(1/'Smart Search'!H13,0),0)</f>
        <v/>
      </c>
      <c r="W3" s="66">
        <f>IF('Smart Search'!B13=1,IFERROR(1/'Smart Search'!H13,0),0)</f>
        <v/>
      </c>
      <c r="X3" s="66">
        <f>IF('Smart Search'!C13=1,IFERROR(1/'Smart Search'!H13,0),0)</f>
        <v/>
      </c>
      <c r="Y3" s="66">
        <f>IF('Smart Search'!C13=1,IFERROR(1/'Smart Search'!H13,0),0)</f>
        <v/>
      </c>
      <c r="Z3" s="66">
        <f>IF('Smart Search'!D13=1,IFERROR(1/'Smart Search'!H13,0),0)</f>
        <v/>
      </c>
      <c r="AA3" s="66">
        <f>IF('Smart Search'!D13=1,IFERROR(1/'Smart Search'!H13,0),0)</f>
        <v/>
      </c>
      <c r="AB3" s="66">
        <f>IF('Smart Search'!E13=1,IFERROR(1/'Smart Search'!H13,0),0)</f>
        <v/>
      </c>
      <c r="AC3" s="66">
        <f>IF('Smart Search'!E13=1,IFERROR(1/'Smart Search'!H13,0),0)</f>
        <v/>
      </c>
      <c r="AD3" s="66">
        <f>IF('Smart Search'!F13=1,IFERROR(1/'Smart Search'!H13,0),0)</f>
        <v/>
      </c>
      <c r="AE3" s="66">
        <f>IF('Smart Search'!F13=1,IFERROR(1/'Smart Search'!H13,0),0)</f>
        <v/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66">
        <f>AF3*V3</f>
        <v/>
      </c>
      <c r="AQ3" s="66">
        <f>AG3*W3</f>
        <v/>
      </c>
      <c r="AR3" s="66">
        <f>AH3*X3</f>
        <v/>
      </c>
      <c r="AS3" s="66">
        <f>AI3*Y3</f>
        <v/>
      </c>
      <c r="AT3" s="66">
        <f>AJ3*Z3</f>
        <v/>
      </c>
      <c r="AU3" s="66">
        <f>AK3*AA3</f>
        <v/>
      </c>
      <c r="AV3" s="66">
        <f>AL3*AB3</f>
        <v/>
      </c>
      <c r="AW3" s="66">
        <f>AM3*AC3</f>
        <v/>
      </c>
      <c r="AX3" s="66">
        <f>AN3*AD3</f>
        <v/>
      </c>
      <c r="AY3" s="66">
        <f>AO3*AE3</f>
        <v/>
      </c>
      <c r="AZ3" s="66">
        <f>'Project Database'!Z7</f>
        <v/>
      </c>
      <c r="BA3" s="66">
        <f>IF(OR(A3="",'Smart Search'!H13=0),"",MAX(0,BE3*BF3*MAX(0,1-BG3)))</f>
        <v/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66">
        <f>IF('Smart Search'!G13=1,IFERROR(1/'Smart Search'!H13,0),0)</f>
        <v/>
      </c>
      <c r="BD3" s="66">
        <f>BB3*BC3</f>
        <v/>
      </c>
      <c r="BE3" s="66">
        <f>AP3+AQ3+AR3+AS3+AT3+AU3+AV3+AW3+AX3+AY3+BD3</f>
        <v/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5">
        <f>IF(AND('Project Database'!A7&lt;&gt;"",OR('Smart Search'!$L$5="",'Smart Search'!$L$5="All",TRIM('Project Database'!D7)=TRIM('Smart Search'!$L$5)),OR(TRIM('Smart Search'!$L$6)="",TRIM('Smart Search'!$L$6)="All",ISNUMBER(SEARCH(SUBSTITUTE(SUBSTITUTE(SUBSTITUTE(TRIM('Smart Search'!$L$6),"~","~~"),"*","~*"),"?","~?"),'Project Database'!C7))),OR('Smart Search'!$L$7="",AND('Project Database'!E7&lt;&gt;"",'Project Database'!E7='Smart Search'!$L$7)),OR('Smart Search'!$L$8="",'Smart Search'!$L$8="All",TRIM('Project Database'!F7)=TRIM('Smart Search'!$L$8))),IF(BA3="","",BA3+ROW()*0.0000000001),"")</f>
        <v/>
      </c>
      <c r="BI3" s="5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5">
        <f>IF('Project Database'!A7="","",N('Project Database'!AC7))</f>
        <v/>
      </c>
      <c r="BK3" s="5">
        <f>IF('Project Database'!A7="","",N('Project Database'!AD7))</f>
        <v/>
      </c>
      <c r="BL3" s="5">
        <f>IF('Project Database'!A7="","",N('Project Database'!AE7))</f>
        <v/>
      </c>
      <c r="BM3" s="5">
        <f>IF('Project Database'!A7="","",N('Project Database'!AF7))</f>
        <v/>
      </c>
      <c r="BN3" s="5">
        <f>IF('Project Database'!A7="","",N('Project Database'!AG7))</f>
        <v/>
      </c>
      <c r="BO3" s="5">
        <f>IF('Project Database'!A7="","",N('Project Database'!AH7))</f>
        <v/>
      </c>
      <c r="BP3" s="5">
        <f>IF('Project Database'!A7="","",N('Project Database'!AI7))</f>
        <v/>
      </c>
      <c r="BQ3" s="5">
        <f>IF('Project Database'!A7="","",N('Project Database'!AJ7))</f>
        <v/>
      </c>
      <c r="BR3" s="5">
        <f>IF('Project Database'!A7="","",N('Project Database'!AK7))</f>
        <v/>
      </c>
      <c r="BS3" s="5">
        <f>IF('Project Database'!A7="","",N('Project Database'!AL7))</f>
        <v/>
      </c>
      <c r="BT3" s="5">
        <f>IF('Project Database'!A7="","",N('Project Database'!AM7))</f>
        <v/>
      </c>
      <c r="BU3" s="5">
        <f>IF('Project Database'!A7="","",N('Project Database'!AN7))</f>
        <v/>
      </c>
      <c r="BV3" s="5">
        <f>IF('Project Database'!A7="","",N('Project Database'!AO7))</f>
        <v/>
      </c>
      <c r="BW3" s="5">
        <f>IF('Project Database'!A7="","",N('Project Database'!AP7))</f>
        <v/>
      </c>
      <c r="BX3" s="5">
        <f>IF(A3="","",SUM(BJ3:BW3))</f>
        <v/>
      </c>
      <c r="BY3" s="5">
        <f>IF(A3="","",IFERROR(IF(ISNUMBER(U3),U3,VALUE(SUBSTITUTE(SUBSTITUTE(SUBSTITUTE(UPPER(TRIM(U3)),"M",""),",","")," ",""))),0))</f>
        <v/>
      </c>
    </row>
    <row r="4" ht="15" customHeight="1" s="74">
      <c r="A4" s="66">
        <f>'Project Database'!A8</f>
        <v/>
      </c>
      <c r="B4" s="66">
        <f>'Project Database'!B8</f>
        <v/>
      </c>
      <c r="C4" s="66">
        <f>'Project Database'!G8</f>
        <v/>
      </c>
      <c r="D4" s="66">
        <f>'Project Database'!H8</f>
        <v/>
      </c>
      <c r="E4" s="66">
        <f>'Project Database'!I8</f>
        <v/>
      </c>
      <c r="F4" s="66">
        <f>'Project Database'!J8</f>
        <v/>
      </c>
      <c r="G4" s="66">
        <f>'Project Database'!K8</f>
        <v/>
      </c>
      <c r="H4" s="66">
        <f>'Project Database'!L8</f>
        <v/>
      </c>
      <c r="I4" s="66">
        <f>'Project Database'!M8</f>
        <v/>
      </c>
      <c r="J4" s="66">
        <f>'Project Database'!N8</f>
        <v/>
      </c>
      <c r="K4" s="66">
        <f>'Project Database'!O8</f>
        <v/>
      </c>
      <c r="L4" s="66">
        <f>'Project Database'!P8</f>
        <v/>
      </c>
      <c r="M4" s="66">
        <f>'Project Database'!Q8</f>
        <v/>
      </c>
      <c r="N4" s="66">
        <f>'Project Database'!R8</f>
        <v/>
      </c>
      <c r="O4" s="66">
        <f>'Project Database'!S8</f>
        <v/>
      </c>
      <c r="P4" s="66">
        <f>'Project Database'!T8</f>
        <v/>
      </c>
      <c r="Q4" s="66">
        <f>'Project Database'!U8</f>
        <v/>
      </c>
      <c r="R4" s="66">
        <f>'Project Database'!V8</f>
        <v/>
      </c>
      <c r="S4" s="66">
        <f>'Project Database'!W8</f>
        <v/>
      </c>
      <c r="T4" s="66">
        <f>'Project Database'!X8</f>
        <v/>
      </c>
      <c r="U4" s="67">
        <f>'Project Database'!Y8</f>
        <v/>
      </c>
      <c r="V4" s="66">
        <f>IF('Smart Search'!B13=1,IFERROR(1/'Smart Search'!H13,0),0)</f>
        <v/>
      </c>
      <c r="W4" s="66">
        <f>IF('Smart Search'!B13=1,IFERROR(1/'Smart Search'!H13,0),0)</f>
        <v/>
      </c>
      <c r="X4" s="66">
        <f>IF('Smart Search'!C13=1,IFERROR(1/'Smart Search'!H13,0),0)</f>
        <v/>
      </c>
      <c r="Y4" s="66">
        <f>IF('Smart Search'!C13=1,IFERROR(1/'Smart Search'!H13,0),0)</f>
        <v/>
      </c>
      <c r="Z4" s="66">
        <f>IF('Smart Search'!D13=1,IFERROR(1/'Smart Search'!H13,0),0)</f>
        <v/>
      </c>
      <c r="AA4" s="66">
        <f>IF('Smart Search'!D13=1,IFERROR(1/'Smart Search'!H13,0),0)</f>
        <v/>
      </c>
      <c r="AB4" s="66">
        <f>IF('Smart Search'!E13=1,IFERROR(1/'Smart Search'!H13,0),0)</f>
        <v/>
      </c>
      <c r="AC4" s="66">
        <f>IF('Smart Search'!E13=1,IFERROR(1/'Smart Search'!H13,0),0)</f>
        <v/>
      </c>
      <c r="AD4" s="66">
        <f>IF('Smart Search'!F13=1,IFERROR(1/'Smart Search'!H13,0),0)</f>
        <v/>
      </c>
      <c r="AE4" s="66">
        <f>IF('Smart Search'!F13=1,IFERROR(1/'Smart Search'!H13,0),0)</f>
        <v/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66">
        <f>AF4*V4</f>
        <v/>
      </c>
      <c r="AQ4" s="66">
        <f>AG4*W4</f>
        <v/>
      </c>
      <c r="AR4" s="66">
        <f>AH4*X4</f>
        <v/>
      </c>
      <c r="AS4" s="66">
        <f>AI4*Y4</f>
        <v/>
      </c>
      <c r="AT4" s="66">
        <f>AJ4*Z4</f>
        <v/>
      </c>
      <c r="AU4" s="66">
        <f>AK4*AA4</f>
        <v/>
      </c>
      <c r="AV4" s="66">
        <f>AL4*AB4</f>
        <v/>
      </c>
      <c r="AW4" s="66">
        <f>AM4*AC4</f>
        <v/>
      </c>
      <c r="AX4" s="66">
        <f>AN4*AD4</f>
        <v/>
      </c>
      <c r="AY4" s="66">
        <f>AO4*AE4</f>
        <v/>
      </c>
      <c r="AZ4" s="66">
        <f>'Project Database'!Z8</f>
        <v/>
      </c>
      <c r="BA4" s="66">
        <f>IF(OR(A4="",'Smart Search'!H13=0),"",MAX(0,BE4*BF4*MAX(0,1-BG4)))</f>
        <v/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66">
        <f>IF('Smart Search'!G13=1,IFERROR(1/'Smart Search'!H13,0),0)</f>
        <v/>
      </c>
      <c r="BD4" s="66">
        <f>BB4*BC4</f>
        <v/>
      </c>
      <c r="BE4" s="66">
        <f>AP4+AQ4+AR4+AS4+AT4+AU4+AV4+AW4+AX4+AY4+BD4</f>
        <v/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5">
        <f>IF(AND('Project Database'!A8&lt;&gt;"",OR('Smart Search'!$L$5="",'Smart Search'!$L$5="All",TRIM('Project Database'!D8)=TRIM('Smart Search'!$L$5)),OR(TRIM('Smart Search'!$L$6)="",TRIM('Smart Search'!$L$6)="All",ISNUMBER(SEARCH(SUBSTITUTE(SUBSTITUTE(SUBSTITUTE(TRIM('Smart Search'!$L$6),"~","~~"),"*","~*"),"?","~?"),'Project Database'!C8))),OR('Smart Search'!$L$7="",AND('Project Database'!E8&lt;&gt;"",'Project Database'!E8='Smart Search'!$L$7)),OR('Smart Search'!$L$8="",'Smart Search'!$L$8="All",TRIM('Project Database'!F8)=TRIM('Smart Search'!$L$8))),IF(BA4="","",BA4+ROW()*0.0000000001),"")</f>
        <v/>
      </c>
      <c r="BI4" s="5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IF('Project Database'!A8="","",N('Project Database'!AC8))</f>
        <v/>
      </c>
      <c r="BK4" s="5">
        <f>IF('Project Database'!A8="","",N('Project Database'!AD8))</f>
        <v/>
      </c>
      <c r="BL4" s="5">
        <f>IF('Project Database'!A8="","",N('Project Database'!AE8))</f>
        <v/>
      </c>
      <c r="BM4" s="5">
        <f>IF('Project Database'!A8="","",N('Project Database'!AF8))</f>
        <v/>
      </c>
      <c r="BN4" s="5">
        <f>IF('Project Database'!A8="","",N('Project Database'!AG8))</f>
        <v/>
      </c>
      <c r="BO4" s="5">
        <f>IF('Project Database'!A8="","",N('Project Database'!AH8))</f>
        <v/>
      </c>
      <c r="BP4" s="5">
        <f>IF('Project Database'!A8="","",N('Project Database'!AI8))</f>
        <v/>
      </c>
      <c r="BQ4" s="5">
        <f>IF('Project Database'!A8="","",N('Project Database'!AJ8))</f>
        <v/>
      </c>
      <c r="BR4" s="5">
        <f>IF('Project Database'!A8="","",N('Project Database'!AK8))</f>
        <v/>
      </c>
      <c r="BS4" s="5">
        <f>IF('Project Database'!A8="","",N('Project Database'!AL8))</f>
        <v/>
      </c>
      <c r="BT4" s="5">
        <f>IF('Project Database'!A8="","",N('Project Database'!AM8))</f>
        <v/>
      </c>
      <c r="BU4" s="5">
        <f>IF('Project Database'!A8="","",N('Project Database'!AN8))</f>
        <v/>
      </c>
      <c r="BV4" s="5">
        <f>IF('Project Database'!A8="","",N('Project Database'!AO8))</f>
        <v/>
      </c>
      <c r="BW4" s="5">
        <f>IF('Project Database'!A8="","",N('Project Database'!AP8))</f>
        <v/>
      </c>
      <c r="BX4" s="5">
        <f>IF(A4="","",SUM(BJ4:BW4))</f>
        <v/>
      </c>
      <c r="BY4" s="5">
        <f>IF(A4="","",IFERROR(IF(ISNUMBER(U4),U4,VALUE(SUBSTITUTE(SUBSTITUTE(SUBSTITUTE(UPPER(TRIM(U4)),"M",""),",","")," ",""))),0))</f>
        <v/>
      </c>
    </row>
    <row r="5" ht="15" customHeight="1" s="74">
      <c r="A5" s="66">
        <f>'Project Database'!A9</f>
        <v/>
      </c>
      <c r="B5" s="66">
        <f>'Project Database'!B9</f>
        <v/>
      </c>
      <c r="C5" s="66">
        <f>'Project Database'!G9</f>
        <v/>
      </c>
      <c r="D5" s="66">
        <f>'Project Database'!H9</f>
        <v/>
      </c>
      <c r="E5" s="66">
        <f>'Project Database'!I9</f>
        <v/>
      </c>
      <c r="F5" s="66">
        <f>'Project Database'!J9</f>
        <v/>
      </c>
      <c r="G5" s="66">
        <f>'Project Database'!K9</f>
        <v/>
      </c>
      <c r="H5" s="66">
        <f>'Project Database'!L9</f>
        <v/>
      </c>
      <c r="I5" s="66">
        <f>'Project Database'!M9</f>
        <v/>
      </c>
      <c r="J5" s="66">
        <f>'Project Database'!N9</f>
        <v/>
      </c>
      <c r="K5" s="66">
        <f>'Project Database'!O9</f>
        <v/>
      </c>
      <c r="L5" s="66">
        <f>'Project Database'!P9</f>
        <v/>
      </c>
      <c r="M5" s="66">
        <f>'Project Database'!Q9</f>
        <v/>
      </c>
      <c r="N5" s="66">
        <f>'Project Database'!R9</f>
        <v/>
      </c>
      <c r="O5" s="66">
        <f>'Project Database'!S9</f>
        <v/>
      </c>
      <c r="P5" s="66">
        <f>'Project Database'!T9</f>
        <v/>
      </c>
      <c r="Q5" s="66">
        <f>'Project Database'!U9</f>
        <v/>
      </c>
      <c r="R5" s="66">
        <f>'Project Database'!V9</f>
        <v/>
      </c>
      <c r="S5" s="66">
        <f>'Project Database'!W9</f>
        <v/>
      </c>
      <c r="T5" s="66">
        <f>'Project Database'!X9</f>
        <v/>
      </c>
      <c r="U5" s="67">
        <f>'Project Database'!Y9</f>
        <v/>
      </c>
      <c r="V5" s="66">
        <f>IF('Smart Search'!B13=1,IFERROR(1/'Smart Search'!H13,0),0)</f>
        <v/>
      </c>
      <c r="W5" s="66">
        <f>IF('Smart Search'!B13=1,IFERROR(1/'Smart Search'!H13,0),0)</f>
        <v/>
      </c>
      <c r="X5" s="66">
        <f>IF('Smart Search'!C13=1,IFERROR(1/'Smart Search'!H13,0),0)</f>
        <v/>
      </c>
      <c r="Y5" s="66">
        <f>IF('Smart Search'!C13=1,IFERROR(1/'Smart Search'!H13,0),0)</f>
        <v/>
      </c>
      <c r="Z5" s="66">
        <f>IF('Smart Search'!D13=1,IFERROR(1/'Smart Search'!H13,0),0)</f>
        <v/>
      </c>
      <c r="AA5" s="66">
        <f>IF('Smart Search'!D13=1,IFERROR(1/'Smart Search'!H13,0),0)</f>
        <v/>
      </c>
      <c r="AB5" s="66">
        <f>IF('Smart Search'!E13=1,IFERROR(1/'Smart Search'!H13,0),0)</f>
        <v/>
      </c>
      <c r="AC5" s="66">
        <f>IF('Smart Search'!E13=1,IFERROR(1/'Smart Search'!H13,0),0)</f>
        <v/>
      </c>
      <c r="AD5" s="66">
        <f>IF('Smart Search'!F13=1,IFERROR(1/'Smart Search'!H13,0),0)</f>
        <v/>
      </c>
      <c r="AE5" s="66">
        <f>IF('Smart Search'!F13=1,IFERROR(1/'Smart Search'!H13,0),0)</f>
        <v/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66">
        <f>AF5*V5</f>
        <v/>
      </c>
      <c r="AQ5" s="66">
        <f>AG5*W5</f>
        <v/>
      </c>
      <c r="AR5" s="66">
        <f>AH5*X5</f>
        <v/>
      </c>
      <c r="AS5" s="66">
        <f>AI5*Y5</f>
        <v/>
      </c>
      <c r="AT5" s="66">
        <f>AJ5*Z5</f>
        <v/>
      </c>
      <c r="AU5" s="66">
        <f>AK5*AA5</f>
        <v/>
      </c>
      <c r="AV5" s="66">
        <f>AL5*AB5</f>
        <v/>
      </c>
      <c r="AW5" s="66">
        <f>AM5*AC5</f>
        <v/>
      </c>
      <c r="AX5" s="66">
        <f>AN5*AD5</f>
        <v/>
      </c>
      <c r="AY5" s="66">
        <f>AO5*AE5</f>
        <v/>
      </c>
      <c r="AZ5" s="66">
        <f>'Project Database'!Z9</f>
        <v/>
      </c>
      <c r="BA5" s="66">
        <f>IF(OR(A5="",'Smart Search'!H13=0),"",MAX(0,BE5*BF5*MAX(0,1-BG5)))</f>
        <v/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66">
        <f>IF('Smart Search'!G13=1,IFERROR(1/'Smart Search'!H13,0),0)</f>
        <v/>
      </c>
      <c r="BD5" s="66">
        <f>BB5*BC5</f>
        <v/>
      </c>
      <c r="BE5" s="66">
        <f>AP5+AQ5+AR5+AS5+AT5+AU5+AV5+AW5+AX5+AY5+BD5</f>
        <v/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5">
        <f>IF(AND('Project Database'!A9&lt;&gt;"",OR('Smart Search'!$L$5="",'Smart Search'!$L$5="All",TRIM('Project Database'!D9)=TRIM('Smart Search'!$L$5)),OR(TRIM('Smart Search'!$L$6)="",TRIM('Smart Search'!$L$6)="All",ISNUMBER(SEARCH(SUBSTITUTE(SUBSTITUTE(SUBSTITUTE(TRIM('Smart Search'!$L$6),"~","~~"),"*","~*"),"?","~?"),'Project Database'!C9))),OR('Smart Search'!$L$7="",AND('Project Database'!E9&lt;&gt;"",'Project Database'!E9='Smart Search'!$L$7)),OR('Smart Search'!$L$8="",'Smart Search'!$L$8="All",TRIM('Project Database'!F9)=TRIM('Smart Search'!$L$8))),IF(BA5="","",BA5+ROW()*0.0000000001),"")</f>
        <v/>
      </c>
      <c r="BI5" s="5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IF('Project Database'!A9="","",N('Project Database'!AC9))</f>
        <v/>
      </c>
      <c r="BK5" s="5">
        <f>IF('Project Database'!A9="","",N('Project Database'!AD9))</f>
        <v/>
      </c>
      <c r="BL5" s="5">
        <f>IF('Project Database'!A9="","",N('Project Database'!AE9))</f>
        <v/>
      </c>
      <c r="BM5" s="5">
        <f>IF('Project Database'!A9="","",N('Project Database'!AF9))</f>
        <v/>
      </c>
      <c r="BN5" s="5">
        <f>IF('Project Database'!A9="","",N('Project Database'!AG9))</f>
        <v/>
      </c>
      <c r="BO5" s="5">
        <f>IF('Project Database'!A9="","",N('Project Database'!AH9))</f>
        <v/>
      </c>
      <c r="BP5" s="5">
        <f>IF('Project Database'!A9="","",N('Project Database'!AI9))</f>
        <v/>
      </c>
      <c r="BQ5" s="5">
        <f>IF('Project Database'!A9="","",N('Project Database'!AJ9))</f>
        <v/>
      </c>
      <c r="BR5" s="5">
        <f>IF('Project Database'!A9="","",N('Project Database'!AK9))</f>
        <v/>
      </c>
      <c r="BS5" s="5">
        <f>IF('Project Database'!A9="","",N('Project Database'!AL9))</f>
        <v/>
      </c>
      <c r="BT5" s="5">
        <f>IF('Project Database'!A9="","",N('Project Database'!AM9))</f>
        <v/>
      </c>
      <c r="BU5" s="5">
        <f>IF('Project Database'!A9="","",N('Project Database'!AN9))</f>
        <v/>
      </c>
      <c r="BV5" s="5">
        <f>IF('Project Database'!A9="","",N('Project Database'!AO9))</f>
        <v/>
      </c>
      <c r="BW5" s="5">
        <f>IF('Project Database'!A9="","",N('Project Database'!AP9))</f>
        <v/>
      </c>
      <c r="BX5" s="5">
        <f>IF(A5="","",SUM(BJ5:BW5))</f>
        <v/>
      </c>
      <c r="BY5" s="5">
        <f>IF(A5="","",IFERROR(IF(ISNUMBER(U5),U5,VALUE(SUBSTITUTE(SUBSTITUTE(SUBSTITUTE(UPPER(TRIM(U5)),"M",""),",","")," ",""))),0))</f>
        <v/>
      </c>
    </row>
    <row r="6" ht="15" customHeight="1" s="74">
      <c r="A6" s="66">
        <f>'Project Database'!A10</f>
        <v/>
      </c>
      <c r="B6" s="66">
        <f>'Project Database'!B10</f>
        <v/>
      </c>
      <c r="C6" s="66">
        <f>'Project Database'!G10</f>
        <v/>
      </c>
      <c r="D6" s="66">
        <f>'Project Database'!H10</f>
        <v/>
      </c>
      <c r="E6" s="66">
        <f>'Project Database'!I10</f>
        <v/>
      </c>
      <c r="F6" s="66">
        <f>'Project Database'!J10</f>
        <v/>
      </c>
      <c r="G6" s="66">
        <f>'Project Database'!K10</f>
        <v/>
      </c>
      <c r="H6" s="66">
        <f>'Project Database'!L10</f>
        <v/>
      </c>
      <c r="I6" s="66">
        <f>'Project Database'!M10</f>
        <v/>
      </c>
      <c r="J6" s="66">
        <f>'Project Database'!N10</f>
        <v/>
      </c>
      <c r="K6" s="66">
        <f>'Project Database'!O10</f>
        <v/>
      </c>
      <c r="L6" s="66">
        <f>'Project Database'!P10</f>
        <v/>
      </c>
      <c r="M6" s="66">
        <f>'Project Database'!Q10</f>
        <v/>
      </c>
      <c r="N6" s="66">
        <f>'Project Database'!R10</f>
        <v/>
      </c>
      <c r="O6" s="66">
        <f>'Project Database'!S10</f>
        <v/>
      </c>
      <c r="P6" s="66">
        <f>'Project Database'!T10</f>
        <v/>
      </c>
      <c r="Q6" s="66">
        <f>'Project Database'!U10</f>
        <v/>
      </c>
      <c r="R6" s="66">
        <f>'Project Database'!V10</f>
        <v/>
      </c>
      <c r="S6" s="66">
        <f>'Project Database'!W10</f>
        <v/>
      </c>
      <c r="T6" s="66">
        <f>'Project Database'!X10</f>
        <v/>
      </c>
      <c r="U6" s="67">
        <f>'Project Database'!Y10</f>
        <v/>
      </c>
      <c r="V6" s="66">
        <f>IF('Smart Search'!B13=1,IFERROR(1/'Smart Search'!H13,0),0)</f>
        <v/>
      </c>
      <c r="W6" s="66">
        <f>IF('Smart Search'!B13=1,IFERROR(1/'Smart Search'!H13,0),0)</f>
        <v/>
      </c>
      <c r="X6" s="66">
        <f>IF('Smart Search'!C13=1,IFERROR(1/'Smart Search'!H13,0),0)</f>
        <v/>
      </c>
      <c r="Y6" s="66">
        <f>IF('Smart Search'!C13=1,IFERROR(1/'Smart Search'!H13,0),0)</f>
        <v/>
      </c>
      <c r="Z6" s="66">
        <f>IF('Smart Search'!D13=1,IFERROR(1/'Smart Search'!H13,0),0)</f>
        <v/>
      </c>
      <c r="AA6" s="66">
        <f>IF('Smart Search'!D13=1,IFERROR(1/'Smart Search'!H13,0),0)</f>
        <v/>
      </c>
      <c r="AB6" s="66">
        <f>IF('Smart Search'!E13=1,IFERROR(1/'Smart Search'!H13,0),0)</f>
        <v/>
      </c>
      <c r="AC6" s="66">
        <f>IF('Smart Search'!E13=1,IFERROR(1/'Smart Search'!H13,0),0)</f>
        <v/>
      </c>
      <c r="AD6" s="66">
        <f>IF('Smart Search'!F13=1,IFERROR(1/'Smart Search'!H13,0),0)</f>
        <v/>
      </c>
      <c r="AE6" s="66">
        <f>IF('Smart Search'!F13=1,IFERROR(1/'Smart Search'!H13,0),0)</f>
        <v/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66">
        <f>AF6*V6</f>
        <v/>
      </c>
      <c r="AQ6" s="66">
        <f>AG6*W6</f>
        <v/>
      </c>
      <c r="AR6" s="66">
        <f>AH6*X6</f>
        <v/>
      </c>
      <c r="AS6" s="66">
        <f>AI6*Y6</f>
        <v/>
      </c>
      <c r="AT6" s="66">
        <f>AJ6*Z6</f>
        <v/>
      </c>
      <c r="AU6" s="66">
        <f>AK6*AA6</f>
        <v/>
      </c>
      <c r="AV6" s="66">
        <f>AL6*AB6</f>
        <v/>
      </c>
      <c r="AW6" s="66">
        <f>AM6*AC6</f>
        <v/>
      </c>
      <c r="AX6" s="66">
        <f>AN6*AD6</f>
        <v/>
      </c>
      <c r="AY6" s="66">
        <f>AO6*AE6</f>
        <v/>
      </c>
      <c r="AZ6" s="66">
        <f>'Project Database'!Z10</f>
        <v/>
      </c>
      <c r="BA6" s="66">
        <f>IF(OR(A6="",'Smart Search'!H13=0),"",MAX(0,BE6*BF6*MAX(0,1-BG6)))</f>
        <v/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66">
        <f>IF('Smart Search'!G13=1,IFERROR(1/'Smart Search'!H13,0),0)</f>
        <v/>
      </c>
      <c r="BD6" s="66">
        <f>BB6*BC6</f>
        <v/>
      </c>
      <c r="BE6" s="66">
        <f>AP6+AQ6+AR6+AS6+AT6+AU6+AV6+AW6+AX6+AY6+BD6</f>
        <v/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5">
        <f>IF(AND('Project Database'!A10&lt;&gt;"",OR('Smart Search'!$L$5="",'Smart Search'!$L$5="All",TRIM('Project Database'!D10)=TRIM('Smart Search'!$L$5)),OR(TRIM('Smart Search'!$L$6)="",TRIM('Smart Search'!$L$6)="All",ISNUMBER(SEARCH(SUBSTITUTE(SUBSTITUTE(SUBSTITUTE(TRIM('Smart Search'!$L$6),"~","~~"),"*","~*"),"?","~?"),'Project Database'!C10))),OR('Smart Search'!$L$7="",AND('Project Database'!E10&lt;&gt;"",'Project Database'!E10='Smart Search'!$L$7)),OR('Smart Search'!$L$8="",'Smart Search'!$L$8="All",TRIM('Project Database'!F10)=TRIM('Smart Search'!$L$8))),IF(BA6="","",BA6+ROW()*0.0000000001),"")</f>
        <v/>
      </c>
      <c r="BI6" s="5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IF('Project Database'!A10="","",N('Project Database'!AC10))</f>
        <v/>
      </c>
      <c r="BK6" s="5">
        <f>IF('Project Database'!A10="","",N('Project Database'!AD10))</f>
        <v/>
      </c>
      <c r="BL6" s="5">
        <f>IF('Project Database'!A10="","",N('Project Database'!AE10))</f>
        <v/>
      </c>
      <c r="BM6" s="5">
        <f>IF('Project Database'!A10="","",N('Project Database'!AF10))</f>
        <v/>
      </c>
      <c r="BN6" s="5">
        <f>IF('Project Database'!A10="","",N('Project Database'!AG10))</f>
        <v/>
      </c>
      <c r="BO6" s="5">
        <f>IF('Project Database'!A10="","",N('Project Database'!AH10))</f>
        <v/>
      </c>
      <c r="BP6" s="5">
        <f>IF('Project Database'!A10="","",N('Project Database'!AI10))</f>
        <v/>
      </c>
      <c r="BQ6" s="5">
        <f>IF('Project Database'!A10="","",N('Project Database'!AJ10))</f>
        <v/>
      </c>
      <c r="BR6" s="5">
        <f>IF('Project Database'!A10="","",N('Project Database'!AK10))</f>
        <v/>
      </c>
      <c r="BS6" s="5">
        <f>IF('Project Database'!A10="","",N('Project Database'!AL10))</f>
        <v/>
      </c>
      <c r="BT6" s="5">
        <f>IF('Project Database'!A10="","",N('Project Database'!AM10))</f>
        <v/>
      </c>
      <c r="BU6" s="5">
        <f>IF('Project Database'!A10="","",N('Project Database'!AN10))</f>
        <v/>
      </c>
      <c r="BV6" s="5">
        <f>IF('Project Database'!A10="","",N('Project Database'!AO10))</f>
        <v/>
      </c>
      <c r="BW6" s="5">
        <f>IF('Project Database'!A10="","",N('Project Database'!AP10))</f>
        <v/>
      </c>
      <c r="BX6" s="5">
        <f>IF(A6="","",SUM(BJ6:BW6))</f>
        <v/>
      </c>
      <c r="BY6" s="5">
        <f>IF(A6="","",IFERROR(IF(ISNUMBER(U6),U6,VALUE(SUBSTITUTE(SUBSTITUTE(SUBSTITUTE(UPPER(TRIM(U6)),"M",""),",","")," ",""))),0))</f>
        <v/>
      </c>
    </row>
    <row r="7" ht="15" customHeight="1" s="74">
      <c r="A7" s="66">
        <f>'Project Database'!A11</f>
        <v/>
      </c>
      <c r="B7" s="66">
        <f>'Project Database'!B11</f>
        <v/>
      </c>
      <c r="C7" s="66">
        <f>'Project Database'!G11</f>
        <v/>
      </c>
      <c r="D7" s="66">
        <f>'Project Database'!H11</f>
        <v/>
      </c>
      <c r="E7" s="66">
        <f>'Project Database'!I11</f>
        <v/>
      </c>
      <c r="F7" s="66">
        <f>'Project Database'!J11</f>
        <v/>
      </c>
      <c r="G7" s="66">
        <f>'Project Database'!K11</f>
        <v/>
      </c>
      <c r="H7" s="66">
        <f>'Project Database'!L11</f>
        <v/>
      </c>
      <c r="I7" s="66">
        <f>'Project Database'!M11</f>
        <v/>
      </c>
      <c r="J7" s="66">
        <f>'Project Database'!N11</f>
        <v/>
      </c>
      <c r="K7" s="66">
        <f>'Project Database'!O11</f>
        <v/>
      </c>
      <c r="L7" s="66">
        <f>'Project Database'!P11</f>
        <v/>
      </c>
      <c r="M7" s="66">
        <f>'Project Database'!Q11</f>
        <v/>
      </c>
      <c r="N7" s="66">
        <f>'Project Database'!R11</f>
        <v/>
      </c>
      <c r="O7" s="66">
        <f>'Project Database'!S11</f>
        <v/>
      </c>
      <c r="P7" s="66">
        <f>'Project Database'!T11</f>
        <v/>
      </c>
      <c r="Q7" s="66">
        <f>'Project Database'!U11</f>
        <v/>
      </c>
      <c r="R7" s="66">
        <f>'Project Database'!V11</f>
        <v/>
      </c>
      <c r="S7" s="66">
        <f>'Project Database'!W11</f>
        <v/>
      </c>
      <c r="T7" s="66">
        <f>'Project Database'!X11</f>
        <v/>
      </c>
      <c r="U7" s="67">
        <f>'Project Database'!Y11</f>
        <v/>
      </c>
      <c r="V7" s="66">
        <f>IF('Smart Search'!B13=1,IFERROR(1/'Smart Search'!H13,0),0)</f>
        <v/>
      </c>
      <c r="W7" s="66">
        <f>IF('Smart Search'!B13=1,IFERROR(1/'Smart Search'!H13,0),0)</f>
        <v/>
      </c>
      <c r="X7" s="66">
        <f>IF('Smart Search'!C13=1,IFERROR(1/'Smart Search'!H13,0),0)</f>
        <v/>
      </c>
      <c r="Y7" s="66">
        <f>IF('Smart Search'!C13=1,IFERROR(1/'Smart Search'!H13,0),0)</f>
        <v/>
      </c>
      <c r="Z7" s="66">
        <f>IF('Smart Search'!D13=1,IFERROR(1/'Smart Search'!H13,0),0)</f>
        <v/>
      </c>
      <c r="AA7" s="66">
        <f>IF('Smart Search'!D13=1,IFERROR(1/'Smart Search'!H13,0),0)</f>
        <v/>
      </c>
      <c r="AB7" s="66">
        <f>IF('Smart Search'!E13=1,IFERROR(1/'Smart Search'!H13,0),0)</f>
        <v/>
      </c>
      <c r="AC7" s="66">
        <f>IF('Smart Search'!E13=1,IFERROR(1/'Smart Search'!H13,0),0)</f>
        <v/>
      </c>
      <c r="AD7" s="66">
        <f>IF('Smart Search'!F13=1,IFERROR(1/'Smart Search'!H13,0),0)</f>
        <v/>
      </c>
      <c r="AE7" s="66">
        <f>IF('Smart Search'!F13=1,IFERROR(1/'Smart Search'!H13,0),0)</f>
        <v/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66">
        <f>AF7*V7</f>
        <v/>
      </c>
      <c r="AQ7" s="66">
        <f>AG7*W7</f>
        <v/>
      </c>
      <c r="AR7" s="66">
        <f>AH7*X7</f>
        <v/>
      </c>
      <c r="AS7" s="66">
        <f>AI7*Y7</f>
        <v/>
      </c>
      <c r="AT7" s="66">
        <f>AJ7*Z7</f>
        <v/>
      </c>
      <c r="AU7" s="66">
        <f>AK7*AA7</f>
        <v/>
      </c>
      <c r="AV7" s="66">
        <f>AL7*AB7</f>
        <v/>
      </c>
      <c r="AW7" s="66">
        <f>AM7*AC7</f>
        <v/>
      </c>
      <c r="AX7" s="66">
        <f>AN7*AD7</f>
        <v/>
      </c>
      <c r="AY7" s="66">
        <f>AO7*AE7</f>
        <v/>
      </c>
      <c r="AZ7" s="66">
        <f>'Project Database'!Z11</f>
        <v/>
      </c>
      <c r="BA7" s="66">
        <f>IF(OR(A7="",'Smart Search'!H13=0),"",MAX(0,BE7*BF7*MAX(0,1-BG7)))</f>
        <v/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66">
        <f>IF('Smart Search'!G13=1,IFERROR(1/'Smart Search'!H13,0),0)</f>
        <v/>
      </c>
      <c r="BD7" s="66">
        <f>BB7*BC7</f>
        <v/>
      </c>
      <c r="BE7" s="66">
        <f>AP7+AQ7+AR7+AS7+AT7+AU7+AV7+AW7+AX7+AY7+BD7</f>
        <v/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5">
        <f>IF(AND('Project Database'!A11&lt;&gt;"",OR('Smart Search'!$L$5="",'Smart Search'!$L$5="All",TRIM('Project Database'!D11)=TRIM('Smart Search'!$L$5)),OR(TRIM('Smart Search'!$L$6)="",TRIM('Smart Search'!$L$6)="All",ISNUMBER(SEARCH(SUBSTITUTE(SUBSTITUTE(SUBSTITUTE(TRIM('Smart Search'!$L$6),"~","~~"),"*","~*"),"?","~?"),'Project Database'!C11))),OR('Smart Search'!$L$7="",AND('Project Database'!E11&lt;&gt;"",'Project Database'!E11='Smart Search'!$L$7)),OR('Smart Search'!$L$8="",'Smart Search'!$L$8="All",TRIM('Project Database'!F11)=TRIM('Smart Search'!$L$8))),IF(BA7="","",BA7+ROW()*0.0000000001),"")</f>
        <v/>
      </c>
      <c r="BI7" s="5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5">
        <f>IF('Project Database'!A11="","",N('Project Database'!AC11))</f>
        <v/>
      </c>
      <c r="BK7" s="5">
        <f>IF('Project Database'!A11="","",N('Project Database'!AD11))</f>
        <v/>
      </c>
      <c r="BL7" s="5">
        <f>IF('Project Database'!A11="","",N('Project Database'!AE11))</f>
        <v/>
      </c>
      <c r="BM7" s="5">
        <f>IF('Project Database'!A11="","",N('Project Database'!AF11))</f>
        <v/>
      </c>
      <c r="BN7" s="5">
        <f>IF('Project Database'!A11="","",N('Project Database'!AG11))</f>
        <v/>
      </c>
      <c r="BO7" s="5">
        <f>IF('Project Database'!A11="","",N('Project Database'!AH11))</f>
        <v/>
      </c>
      <c r="BP7" s="5">
        <f>IF('Project Database'!A11="","",N('Project Database'!AI11))</f>
        <v/>
      </c>
      <c r="BQ7" s="5">
        <f>IF('Project Database'!A11="","",N('Project Database'!AJ11))</f>
        <v/>
      </c>
      <c r="BR7" s="5">
        <f>IF('Project Database'!A11="","",N('Project Database'!AK11))</f>
        <v/>
      </c>
      <c r="BS7" s="5">
        <f>IF('Project Database'!A11="","",N('Project Database'!AL11))</f>
        <v/>
      </c>
      <c r="BT7" s="5">
        <f>IF('Project Database'!A11="","",N('Project Database'!AM11))</f>
        <v/>
      </c>
      <c r="BU7" s="5">
        <f>IF('Project Database'!A11="","",N('Project Database'!AN11))</f>
        <v/>
      </c>
      <c r="BV7" s="5">
        <f>IF('Project Database'!A11="","",N('Project Database'!AO11))</f>
        <v/>
      </c>
      <c r="BW7" s="5">
        <f>IF('Project Database'!A11="","",N('Project Database'!AP11))</f>
        <v/>
      </c>
      <c r="BX7" s="5">
        <f>IF(A7="","",SUM(BJ7:BW7))</f>
        <v/>
      </c>
      <c r="BY7" s="5">
        <f>IF(A7="","",IFERROR(IF(ISNUMBER(U7),U7,VALUE(SUBSTITUTE(SUBSTITUTE(SUBSTITUTE(UPPER(TRIM(U7)),"M",""),",","")," ",""))),0))</f>
        <v/>
      </c>
    </row>
    <row r="8" ht="15" customHeight="1" s="74">
      <c r="A8" s="66">
        <f>'Project Database'!A12</f>
        <v/>
      </c>
      <c r="B8" s="66">
        <f>'Project Database'!B12</f>
        <v/>
      </c>
      <c r="C8" s="66">
        <f>'Project Database'!G12</f>
        <v/>
      </c>
      <c r="D8" s="66">
        <f>'Project Database'!H12</f>
        <v/>
      </c>
      <c r="E8" s="66">
        <f>'Project Database'!I12</f>
        <v/>
      </c>
      <c r="F8" s="66">
        <f>'Project Database'!J12</f>
        <v/>
      </c>
      <c r="G8" s="66">
        <f>'Project Database'!K12</f>
        <v/>
      </c>
      <c r="H8" s="66">
        <f>'Project Database'!L12</f>
        <v/>
      </c>
      <c r="I8" s="66">
        <f>'Project Database'!M12</f>
        <v/>
      </c>
      <c r="J8" s="66">
        <f>'Project Database'!N12</f>
        <v/>
      </c>
      <c r="K8" s="66">
        <f>'Project Database'!O12</f>
        <v/>
      </c>
      <c r="L8" s="66">
        <f>'Project Database'!P12</f>
        <v/>
      </c>
      <c r="M8" s="66">
        <f>'Project Database'!Q12</f>
        <v/>
      </c>
      <c r="N8" s="66">
        <f>'Project Database'!R12</f>
        <v/>
      </c>
      <c r="O8" s="66">
        <f>'Project Database'!S12</f>
        <v/>
      </c>
      <c r="P8" s="66">
        <f>'Project Database'!T12</f>
        <v/>
      </c>
      <c r="Q8" s="66">
        <f>'Project Database'!U12</f>
        <v/>
      </c>
      <c r="R8" s="66">
        <f>'Project Database'!V12</f>
        <v/>
      </c>
      <c r="S8" s="66">
        <f>'Project Database'!W12</f>
        <v/>
      </c>
      <c r="T8" s="66">
        <f>'Project Database'!X12</f>
        <v/>
      </c>
      <c r="U8" s="67">
        <f>'Project Database'!Y12</f>
        <v/>
      </c>
      <c r="V8" s="66">
        <f>IF('Smart Search'!B13=1,IFERROR(1/'Smart Search'!H13,0),0)</f>
        <v/>
      </c>
      <c r="W8" s="66">
        <f>IF('Smart Search'!B13=1,IFERROR(1/'Smart Search'!H13,0),0)</f>
        <v/>
      </c>
      <c r="X8" s="66">
        <f>IF('Smart Search'!C13=1,IFERROR(1/'Smart Search'!H13,0),0)</f>
        <v/>
      </c>
      <c r="Y8" s="66">
        <f>IF('Smart Search'!C13=1,IFERROR(1/'Smart Search'!H13,0),0)</f>
        <v/>
      </c>
      <c r="Z8" s="66">
        <f>IF('Smart Search'!D13=1,IFERROR(1/'Smart Search'!H13,0),0)</f>
        <v/>
      </c>
      <c r="AA8" s="66">
        <f>IF('Smart Search'!D13=1,IFERROR(1/'Smart Search'!H13,0),0)</f>
        <v/>
      </c>
      <c r="AB8" s="66">
        <f>IF('Smart Search'!E13=1,IFERROR(1/'Smart Search'!H13,0),0)</f>
        <v/>
      </c>
      <c r="AC8" s="66">
        <f>IF('Smart Search'!E13=1,IFERROR(1/'Smart Search'!H13,0),0)</f>
        <v/>
      </c>
      <c r="AD8" s="66">
        <f>IF('Smart Search'!F13=1,IFERROR(1/'Smart Search'!H13,0),0)</f>
        <v/>
      </c>
      <c r="AE8" s="66">
        <f>IF('Smart Search'!F13=1,IFERROR(1/'Smart Search'!H13,0),0)</f>
        <v/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66">
        <f>AF8*V8</f>
        <v/>
      </c>
      <c r="AQ8" s="66">
        <f>AG8*W8</f>
        <v/>
      </c>
      <c r="AR8" s="66">
        <f>AH8*X8</f>
        <v/>
      </c>
      <c r="AS8" s="66">
        <f>AI8*Y8</f>
        <v/>
      </c>
      <c r="AT8" s="66">
        <f>AJ8*Z8</f>
        <v/>
      </c>
      <c r="AU8" s="66">
        <f>AK8*AA8</f>
        <v/>
      </c>
      <c r="AV8" s="66">
        <f>AL8*AB8</f>
        <v/>
      </c>
      <c r="AW8" s="66">
        <f>AM8*AC8</f>
        <v/>
      </c>
      <c r="AX8" s="66">
        <f>AN8*AD8</f>
        <v/>
      </c>
      <c r="AY8" s="66">
        <f>AO8*AE8</f>
        <v/>
      </c>
      <c r="AZ8" s="66">
        <f>'Project Database'!Z12</f>
        <v/>
      </c>
      <c r="BA8" s="66">
        <f>IF(OR(A8="",'Smart Search'!H13=0),"",MAX(0,BE8*BF8*MAX(0,1-BG8)))</f>
        <v/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66">
        <f>IF('Smart Search'!G13=1,IFERROR(1/'Smart Search'!H13,0),0)</f>
        <v/>
      </c>
      <c r="BD8" s="66">
        <f>BB8*BC8</f>
        <v/>
      </c>
      <c r="BE8" s="66">
        <f>AP8+AQ8+AR8+AS8+AT8+AU8+AV8+AW8+AX8+AY8+BD8</f>
        <v/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5">
        <f>IF(AND('Project Database'!A12&lt;&gt;"",OR('Smart Search'!$L$5="",'Smart Search'!$L$5="All",TRIM('Project Database'!D12)=TRIM('Smart Search'!$L$5)),OR(TRIM('Smart Search'!$L$6)="",TRIM('Smart Search'!$L$6)="All",ISNUMBER(SEARCH(SUBSTITUTE(SUBSTITUTE(SUBSTITUTE(TRIM('Smart Search'!$L$6),"~","~~"),"*","~*"),"?","~?"),'Project Database'!C12))),OR('Smart Search'!$L$7="",AND('Project Database'!E12&lt;&gt;"",'Project Database'!E12='Smart Search'!$L$7)),OR('Smart Search'!$L$8="",'Smart Search'!$L$8="All",TRIM('Project Database'!F12)=TRIM('Smart Search'!$L$8))),IF(BA8="","",BA8+ROW()*0.0000000001),"")</f>
        <v/>
      </c>
      <c r="BI8" s="5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5">
        <f>IF('Project Database'!A12="","",N('Project Database'!AC12))</f>
        <v/>
      </c>
      <c r="BK8" s="5">
        <f>IF('Project Database'!A12="","",N('Project Database'!AD12))</f>
        <v/>
      </c>
      <c r="BL8" s="5">
        <f>IF('Project Database'!A12="","",N('Project Database'!AE12))</f>
        <v/>
      </c>
      <c r="BM8" s="5">
        <f>IF('Project Database'!A12="","",N('Project Database'!AF12))</f>
        <v/>
      </c>
      <c r="BN8" s="5">
        <f>IF('Project Database'!A12="","",N('Project Database'!AG12))</f>
        <v/>
      </c>
      <c r="BO8" s="5">
        <f>IF('Project Database'!A12="","",N('Project Database'!AH12))</f>
        <v/>
      </c>
      <c r="BP8" s="5">
        <f>IF('Project Database'!A12="","",N('Project Database'!AI12))</f>
        <v/>
      </c>
      <c r="BQ8" s="5">
        <f>IF('Project Database'!A12="","",N('Project Database'!AJ12))</f>
        <v/>
      </c>
      <c r="BR8" s="5">
        <f>IF('Project Database'!A12="","",N('Project Database'!AK12))</f>
        <v/>
      </c>
      <c r="BS8" s="5">
        <f>IF('Project Database'!A12="","",N('Project Database'!AL12))</f>
        <v/>
      </c>
      <c r="BT8" s="5">
        <f>IF('Project Database'!A12="","",N('Project Database'!AM12))</f>
        <v/>
      </c>
      <c r="BU8" s="5">
        <f>IF('Project Database'!A12="","",N('Project Database'!AN12))</f>
        <v/>
      </c>
      <c r="BV8" s="5">
        <f>IF('Project Database'!A12="","",N('Project Database'!AO12))</f>
        <v/>
      </c>
      <c r="BW8" s="5">
        <f>IF('Project Database'!A12="","",N('Project Database'!AP12))</f>
        <v/>
      </c>
      <c r="BX8" s="5">
        <f>IF(A8="","",SUM(BJ8:BW8))</f>
        <v/>
      </c>
      <c r="BY8" s="5">
        <f>IF(A8="","",IFERROR(IF(ISNUMBER(U8),U8,VALUE(SUBSTITUTE(SUBSTITUTE(SUBSTITUTE(UPPER(TRIM(U8)),"M",""),",","")," ",""))),0))</f>
        <v/>
      </c>
    </row>
    <row r="9" ht="15" customHeight="1" s="74">
      <c r="A9" s="66">
        <f>'Project Database'!A13</f>
        <v/>
      </c>
      <c r="B9" s="66">
        <f>'Project Database'!B13</f>
        <v/>
      </c>
      <c r="C9" s="66">
        <f>'Project Database'!G13</f>
        <v/>
      </c>
      <c r="D9" s="66">
        <f>'Project Database'!H13</f>
        <v/>
      </c>
      <c r="E9" s="66">
        <f>'Project Database'!I13</f>
        <v/>
      </c>
      <c r="F9" s="66">
        <f>'Project Database'!J13</f>
        <v/>
      </c>
      <c r="G9" s="66">
        <f>'Project Database'!K13</f>
        <v/>
      </c>
      <c r="H9" s="66">
        <f>'Project Database'!L13</f>
        <v/>
      </c>
      <c r="I9" s="66">
        <f>'Project Database'!M13</f>
        <v/>
      </c>
      <c r="J9" s="66">
        <f>'Project Database'!N13</f>
        <v/>
      </c>
      <c r="K9" s="66">
        <f>'Project Database'!O13</f>
        <v/>
      </c>
      <c r="L9" s="66">
        <f>'Project Database'!P13</f>
        <v/>
      </c>
      <c r="M9" s="66">
        <f>'Project Database'!Q13</f>
        <v/>
      </c>
      <c r="N9" s="66">
        <f>'Project Database'!R13</f>
        <v/>
      </c>
      <c r="O9" s="66">
        <f>'Project Database'!S13</f>
        <v/>
      </c>
      <c r="P9" s="66">
        <f>'Project Database'!T13</f>
        <v/>
      </c>
      <c r="Q9" s="66">
        <f>'Project Database'!U13</f>
        <v/>
      </c>
      <c r="R9" s="66">
        <f>'Project Database'!V13</f>
        <v/>
      </c>
      <c r="S9" s="66">
        <f>'Project Database'!W13</f>
        <v/>
      </c>
      <c r="T9" s="66">
        <f>'Project Database'!X13</f>
        <v/>
      </c>
      <c r="U9" s="67">
        <f>'Project Database'!Y13</f>
        <v/>
      </c>
      <c r="V9" s="66">
        <f>IF('Smart Search'!B13=1,IFERROR(1/'Smart Search'!H13,0),0)</f>
        <v/>
      </c>
      <c r="W9" s="66">
        <f>IF('Smart Search'!B13=1,IFERROR(1/'Smart Search'!H13,0),0)</f>
        <v/>
      </c>
      <c r="X9" s="66">
        <f>IF('Smart Search'!C13=1,IFERROR(1/'Smart Search'!H13,0),0)</f>
        <v/>
      </c>
      <c r="Y9" s="66">
        <f>IF('Smart Search'!C13=1,IFERROR(1/'Smart Search'!H13,0),0)</f>
        <v/>
      </c>
      <c r="Z9" s="66">
        <f>IF('Smart Search'!D13=1,IFERROR(1/'Smart Search'!H13,0),0)</f>
        <v/>
      </c>
      <c r="AA9" s="66">
        <f>IF('Smart Search'!D13=1,IFERROR(1/'Smart Search'!H13,0),0)</f>
        <v/>
      </c>
      <c r="AB9" s="66">
        <f>IF('Smart Search'!E13=1,IFERROR(1/'Smart Search'!H13,0),0)</f>
        <v/>
      </c>
      <c r="AC9" s="66">
        <f>IF('Smart Search'!E13=1,IFERROR(1/'Smart Search'!H13,0),0)</f>
        <v/>
      </c>
      <c r="AD9" s="66">
        <f>IF('Smart Search'!F13=1,IFERROR(1/'Smart Search'!H13,0),0)</f>
        <v/>
      </c>
      <c r="AE9" s="66">
        <f>IF('Smart Search'!F13=1,IFERROR(1/'Smart Search'!H13,0),0)</f>
        <v/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66">
        <f>AF9*V9</f>
        <v/>
      </c>
      <c r="AQ9" s="66">
        <f>AG9*W9</f>
        <v/>
      </c>
      <c r="AR9" s="66">
        <f>AH9*X9</f>
        <v/>
      </c>
      <c r="AS9" s="66">
        <f>AI9*Y9</f>
        <v/>
      </c>
      <c r="AT9" s="66">
        <f>AJ9*Z9</f>
        <v/>
      </c>
      <c r="AU9" s="66">
        <f>AK9*AA9</f>
        <v/>
      </c>
      <c r="AV9" s="66">
        <f>AL9*AB9</f>
        <v/>
      </c>
      <c r="AW9" s="66">
        <f>AM9*AC9</f>
        <v/>
      </c>
      <c r="AX9" s="66">
        <f>AN9*AD9</f>
        <v/>
      </c>
      <c r="AY9" s="66">
        <f>AO9*AE9</f>
        <v/>
      </c>
      <c r="AZ9" s="66">
        <f>'Project Database'!Z13</f>
        <v/>
      </c>
      <c r="BA9" s="66">
        <f>IF(OR(A9="",'Smart Search'!H13=0),"",MAX(0,BE9*BF9*MAX(0,1-BG9)))</f>
        <v/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66">
        <f>IF('Smart Search'!G13=1,IFERROR(1/'Smart Search'!H13,0),0)</f>
        <v/>
      </c>
      <c r="BD9" s="66">
        <f>BB9*BC9</f>
        <v/>
      </c>
      <c r="BE9" s="66">
        <f>AP9+AQ9+AR9+AS9+AT9+AU9+AV9+AW9+AX9+AY9+BD9</f>
        <v/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5">
        <f>IF(AND('Project Database'!A13&lt;&gt;"",OR('Smart Search'!$L$5="",'Smart Search'!$L$5="All",TRIM('Project Database'!D13)=TRIM('Smart Search'!$L$5)),OR(TRIM('Smart Search'!$L$6)="",TRIM('Smart Search'!$L$6)="All",ISNUMBER(SEARCH(SUBSTITUTE(SUBSTITUTE(SUBSTITUTE(TRIM('Smart Search'!$L$6),"~","~~"),"*","~*"),"?","~?"),'Project Database'!C13))),OR('Smart Search'!$L$7="",AND('Project Database'!E13&lt;&gt;"",'Project Database'!E13='Smart Search'!$L$7)),OR('Smart Search'!$L$8="",'Smart Search'!$L$8="All",TRIM('Project Database'!F13)=TRIM('Smart Search'!$L$8))),IF(BA9="","",BA9+ROW()*0.0000000001),"")</f>
        <v/>
      </c>
      <c r="BI9" s="5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5">
        <f>IF('Project Database'!A13="","",N('Project Database'!AC13))</f>
        <v/>
      </c>
      <c r="BK9" s="5">
        <f>IF('Project Database'!A13="","",N('Project Database'!AD13))</f>
        <v/>
      </c>
      <c r="BL9" s="5">
        <f>IF('Project Database'!A13="","",N('Project Database'!AE13))</f>
        <v/>
      </c>
      <c r="BM9" s="5">
        <f>IF('Project Database'!A13="","",N('Project Database'!AF13))</f>
        <v/>
      </c>
      <c r="BN9" s="5">
        <f>IF('Project Database'!A13="","",N('Project Database'!AG13))</f>
        <v/>
      </c>
      <c r="BO9" s="5">
        <f>IF('Project Database'!A13="","",N('Project Database'!AH13))</f>
        <v/>
      </c>
      <c r="BP9" s="5">
        <f>IF('Project Database'!A13="","",N('Project Database'!AI13))</f>
        <v/>
      </c>
      <c r="BQ9" s="5">
        <f>IF('Project Database'!A13="","",N('Project Database'!AJ13))</f>
        <v/>
      </c>
      <c r="BR9" s="5">
        <f>IF('Project Database'!A13="","",N('Project Database'!AK13))</f>
        <v/>
      </c>
      <c r="BS9" s="5">
        <f>IF('Project Database'!A13="","",N('Project Database'!AL13))</f>
        <v/>
      </c>
      <c r="BT9" s="5">
        <f>IF('Project Database'!A13="","",N('Project Database'!AM13))</f>
        <v/>
      </c>
      <c r="BU9" s="5">
        <f>IF('Project Database'!A13="","",N('Project Database'!AN13))</f>
        <v/>
      </c>
      <c r="BV9" s="5">
        <f>IF('Project Database'!A13="","",N('Project Database'!AO13))</f>
        <v/>
      </c>
      <c r="BW9" s="5">
        <f>IF('Project Database'!A13="","",N('Project Database'!AP13))</f>
        <v/>
      </c>
      <c r="BX9" s="5">
        <f>IF(A9="","",SUM(BJ9:BW9))</f>
        <v/>
      </c>
      <c r="BY9" s="5">
        <f>IF(A9="","",IFERROR(IF(ISNUMBER(U9),U9,VALUE(SUBSTITUTE(SUBSTITUTE(SUBSTITUTE(UPPER(TRIM(U9)),"M",""),",","")," ",""))),0))</f>
        <v/>
      </c>
    </row>
    <row r="10" ht="15" customHeight="1" s="74">
      <c r="A10" s="66">
        <f>'Project Database'!A14</f>
        <v/>
      </c>
      <c r="B10" s="66">
        <f>'Project Database'!B14</f>
        <v/>
      </c>
      <c r="C10" s="66">
        <f>'Project Database'!G14</f>
        <v/>
      </c>
      <c r="D10" s="66">
        <f>'Project Database'!H14</f>
        <v/>
      </c>
      <c r="E10" s="66">
        <f>'Project Database'!I14</f>
        <v/>
      </c>
      <c r="F10" s="66">
        <f>'Project Database'!J14</f>
        <v/>
      </c>
      <c r="G10" s="66">
        <f>'Project Database'!K14</f>
        <v/>
      </c>
      <c r="H10" s="66">
        <f>'Project Database'!L14</f>
        <v/>
      </c>
      <c r="I10" s="66">
        <f>'Project Database'!M14</f>
        <v/>
      </c>
      <c r="J10" s="66">
        <f>'Project Database'!N14</f>
        <v/>
      </c>
      <c r="K10" s="66">
        <f>'Project Database'!O14</f>
        <v/>
      </c>
      <c r="L10" s="66">
        <f>'Project Database'!P14</f>
        <v/>
      </c>
      <c r="M10" s="66">
        <f>'Project Database'!Q14</f>
        <v/>
      </c>
      <c r="N10" s="66">
        <f>'Project Database'!R14</f>
        <v/>
      </c>
      <c r="O10" s="66">
        <f>'Project Database'!S14</f>
        <v/>
      </c>
      <c r="P10" s="66">
        <f>'Project Database'!T14</f>
        <v/>
      </c>
      <c r="Q10" s="66">
        <f>'Project Database'!U14</f>
        <v/>
      </c>
      <c r="R10" s="66">
        <f>'Project Database'!V14</f>
        <v/>
      </c>
      <c r="S10" s="66">
        <f>'Project Database'!W14</f>
        <v/>
      </c>
      <c r="T10" s="66">
        <f>'Project Database'!X14</f>
        <v/>
      </c>
      <c r="U10" s="67">
        <f>'Project Database'!Y14</f>
        <v/>
      </c>
      <c r="V10" s="66">
        <f>IF('Smart Search'!B13=1,IFERROR(1/'Smart Search'!H13,0),0)</f>
        <v/>
      </c>
      <c r="W10" s="66">
        <f>IF('Smart Search'!B13=1,IFERROR(1/'Smart Search'!H13,0),0)</f>
        <v/>
      </c>
      <c r="X10" s="66">
        <f>IF('Smart Search'!C13=1,IFERROR(1/'Smart Search'!H13,0),0)</f>
        <v/>
      </c>
      <c r="Y10" s="66">
        <f>IF('Smart Search'!C13=1,IFERROR(1/'Smart Search'!H13,0),0)</f>
        <v/>
      </c>
      <c r="Z10" s="66">
        <f>IF('Smart Search'!D13=1,IFERROR(1/'Smart Search'!H13,0),0)</f>
        <v/>
      </c>
      <c r="AA10" s="66">
        <f>IF('Smart Search'!D13=1,IFERROR(1/'Smart Search'!H13,0),0)</f>
        <v/>
      </c>
      <c r="AB10" s="66">
        <f>IF('Smart Search'!E13=1,IFERROR(1/'Smart Search'!H13,0),0)</f>
        <v/>
      </c>
      <c r="AC10" s="66">
        <f>IF('Smart Search'!E13=1,IFERROR(1/'Smart Search'!H13,0),0)</f>
        <v/>
      </c>
      <c r="AD10" s="66">
        <f>IF('Smart Search'!F13=1,IFERROR(1/'Smart Search'!H13,0),0)</f>
        <v/>
      </c>
      <c r="AE10" s="66">
        <f>IF('Smart Search'!F13=1,IFERROR(1/'Smart Search'!H13,0),0)</f>
        <v/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66">
        <f>AF10*V10</f>
        <v/>
      </c>
      <c r="AQ10" s="66">
        <f>AG10*W10</f>
        <v/>
      </c>
      <c r="AR10" s="66">
        <f>AH10*X10</f>
        <v/>
      </c>
      <c r="AS10" s="66">
        <f>AI10*Y10</f>
        <v/>
      </c>
      <c r="AT10" s="66">
        <f>AJ10*Z10</f>
        <v/>
      </c>
      <c r="AU10" s="66">
        <f>AK10*AA10</f>
        <v/>
      </c>
      <c r="AV10" s="66">
        <f>AL10*AB10</f>
        <v/>
      </c>
      <c r="AW10" s="66">
        <f>AM10*AC10</f>
        <v/>
      </c>
      <c r="AX10" s="66">
        <f>AN10*AD10</f>
        <v/>
      </c>
      <c r="AY10" s="66">
        <f>AO10*AE10</f>
        <v/>
      </c>
      <c r="AZ10" s="66">
        <f>'Project Database'!Z14</f>
        <v/>
      </c>
      <c r="BA10" s="66">
        <f>IF(OR(A10="",'Smart Search'!H13=0),"",MAX(0,BE10*BF10*MAX(0,1-BG10)))</f>
        <v/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66">
        <f>IF('Smart Search'!G13=1,IFERROR(1/'Smart Search'!H13,0),0)</f>
        <v/>
      </c>
      <c r="BD10" s="66">
        <f>BB10*BC10</f>
        <v/>
      </c>
      <c r="BE10" s="66">
        <f>AP10+AQ10+AR10+AS10+AT10+AU10+AV10+AW10+AX10+AY10+BD10</f>
        <v/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5">
        <f>IF(AND('Project Database'!A14&lt;&gt;"",OR('Smart Search'!$L$5="",'Smart Search'!$L$5="All",TRIM('Project Database'!D14)=TRIM('Smart Search'!$L$5)),OR(TRIM('Smart Search'!$L$6)="",TRIM('Smart Search'!$L$6)="All",ISNUMBER(SEARCH(SUBSTITUTE(SUBSTITUTE(SUBSTITUTE(TRIM('Smart Search'!$L$6),"~","~~"),"*","~*"),"?","~?"),'Project Database'!C14))),OR('Smart Search'!$L$7="",AND('Project Database'!E14&lt;&gt;"",'Project Database'!E14='Smart Search'!$L$7)),OR('Smart Search'!$L$8="",'Smart Search'!$L$8="All",TRIM('Project Database'!F14)=TRIM('Smart Search'!$L$8))),IF(BA10="","",BA10+ROW()*0.0000000001),"")</f>
        <v/>
      </c>
      <c r="BI10" s="5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5">
        <f>IF('Project Database'!A14="","",N('Project Database'!AC14))</f>
        <v/>
      </c>
      <c r="BK10" s="5">
        <f>IF('Project Database'!A14="","",N('Project Database'!AD14))</f>
        <v/>
      </c>
      <c r="BL10" s="5">
        <f>IF('Project Database'!A14="","",N('Project Database'!AE14))</f>
        <v/>
      </c>
      <c r="BM10" s="5">
        <f>IF('Project Database'!A14="","",N('Project Database'!AF14))</f>
        <v/>
      </c>
      <c r="BN10" s="5">
        <f>IF('Project Database'!A14="","",N('Project Database'!AG14))</f>
        <v/>
      </c>
      <c r="BO10" s="5">
        <f>IF('Project Database'!A14="","",N('Project Database'!AH14))</f>
        <v/>
      </c>
      <c r="BP10" s="5">
        <f>IF('Project Database'!A14="","",N('Project Database'!AI14))</f>
        <v/>
      </c>
      <c r="BQ10" s="5">
        <f>IF('Project Database'!A14="","",N('Project Database'!AJ14))</f>
        <v/>
      </c>
      <c r="BR10" s="5">
        <f>IF('Project Database'!A14="","",N('Project Database'!AK14))</f>
        <v/>
      </c>
      <c r="BS10" s="5">
        <f>IF('Project Database'!A14="","",N('Project Database'!AL14))</f>
        <v/>
      </c>
      <c r="BT10" s="5">
        <f>IF('Project Database'!A14="","",N('Project Database'!AM14))</f>
        <v/>
      </c>
      <c r="BU10" s="5">
        <f>IF('Project Database'!A14="","",N('Project Database'!AN14))</f>
        <v/>
      </c>
      <c r="BV10" s="5">
        <f>IF('Project Database'!A14="","",N('Project Database'!AO14))</f>
        <v/>
      </c>
      <c r="BW10" s="5">
        <f>IF('Project Database'!A14="","",N('Project Database'!AP14))</f>
        <v/>
      </c>
      <c r="BX10" s="5">
        <f>IF(A10="","",SUM(BJ10:BW10))</f>
        <v/>
      </c>
      <c r="BY10" s="5">
        <f>IF(A10="","",IFERROR(IF(ISNUMBER(U10),U10,VALUE(SUBSTITUTE(SUBSTITUTE(SUBSTITUTE(UPPER(TRIM(U10)),"M",""),",","")," ",""))),0))</f>
        <v/>
      </c>
    </row>
    <row r="11" ht="15" customHeight="1" s="74">
      <c r="A11" s="66">
        <f>'Project Database'!A15</f>
        <v/>
      </c>
      <c r="B11" s="66">
        <f>'Project Database'!B15</f>
        <v/>
      </c>
      <c r="C11" s="66">
        <f>'Project Database'!G15</f>
        <v/>
      </c>
      <c r="D11" s="66">
        <f>'Project Database'!H15</f>
        <v/>
      </c>
      <c r="E11" s="66">
        <f>'Project Database'!I15</f>
        <v/>
      </c>
      <c r="F11" s="66">
        <f>'Project Database'!J15</f>
        <v/>
      </c>
      <c r="G11" s="66">
        <f>'Project Database'!K15</f>
        <v/>
      </c>
      <c r="H11" s="66">
        <f>'Project Database'!L15</f>
        <v/>
      </c>
      <c r="I11" s="66">
        <f>'Project Database'!M15</f>
        <v/>
      </c>
      <c r="J11" s="66">
        <f>'Project Database'!N15</f>
        <v/>
      </c>
      <c r="K11" s="66">
        <f>'Project Database'!O15</f>
        <v/>
      </c>
      <c r="L11" s="66">
        <f>'Project Database'!P15</f>
        <v/>
      </c>
      <c r="M11" s="66">
        <f>'Project Database'!Q15</f>
        <v/>
      </c>
      <c r="N11" s="66">
        <f>'Project Database'!R15</f>
        <v/>
      </c>
      <c r="O11" s="66">
        <f>'Project Database'!S15</f>
        <v/>
      </c>
      <c r="P11" s="66">
        <f>'Project Database'!T15</f>
        <v/>
      </c>
      <c r="Q11" s="66">
        <f>'Project Database'!U15</f>
        <v/>
      </c>
      <c r="R11" s="66">
        <f>'Project Database'!V15</f>
        <v/>
      </c>
      <c r="S11" s="66">
        <f>'Project Database'!W15</f>
        <v/>
      </c>
      <c r="T11" s="66">
        <f>'Project Database'!X15</f>
        <v/>
      </c>
      <c r="U11" s="67">
        <f>'Project Database'!Y15</f>
        <v/>
      </c>
      <c r="V11" s="66">
        <f>IF('Smart Search'!B13=1,IFERROR(1/'Smart Search'!H13,0),0)</f>
        <v/>
      </c>
      <c r="W11" s="66">
        <f>IF('Smart Search'!B13=1,IFERROR(1/'Smart Search'!H13,0),0)</f>
        <v/>
      </c>
      <c r="X11" s="66">
        <f>IF('Smart Search'!C13=1,IFERROR(1/'Smart Search'!H13,0),0)</f>
        <v/>
      </c>
      <c r="Y11" s="66">
        <f>IF('Smart Search'!C13=1,IFERROR(1/'Smart Search'!H13,0),0)</f>
        <v/>
      </c>
      <c r="Z11" s="66">
        <f>IF('Smart Search'!D13=1,IFERROR(1/'Smart Search'!H13,0),0)</f>
        <v/>
      </c>
      <c r="AA11" s="66">
        <f>IF('Smart Search'!D13=1,IFERROR(1/'Smart Search'!H13,0),0)</f>
        <v/>
      </c>
      <c r="AB11" s="66">
        <f>IF('Smart Search'!E13=1,IFERROR(1/'Smart Search'!H13,0),0)</f>
        <v/>
      </c>
      <c r="AC11" s="66">
        <f>IF('Smart Search'!E13=1,IFERROR(1/'Smart Search'!H13,0),0)</f>
        <v/>
      </c>
      <c r="AD11" s="66">
        <f>IF('Smart Search'!F13=1,IFERROR(1/'Smart Search'!H13,0),0)</f>
        <v/>
      </c>
      <c r="AE11" s="66">
        <f>IF('Smart Search'!F13=1,IFERROR(1/'Smart Search'!H13,0),0)</f>
        <v/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66">
        <f>AF11*V11</f>
        <v/>
      </c>
      <c r="AQ11" s="66">
        <f>AG11*W11</f>
        <v/>
      </c>
      <c r="AR11" s="66">
        <f>AH11*X11</f>
        <v/>
      </c>
      <c r="AS11" s="66">
        <f>AI11*Y11</f>
        <v/>
      </c>
      <c r="AT11" s="66">
        <f>AJ11*Z11</f>
        <v/>
      </c>
      <c r="AU11" s="66">
        <f>AK11*AA11</f>
        <v/>
      </c>
      <c r="AV11" s="66">
        <f>AL11*AB11</f>
        <v/>
      </c>
      <c r="AW11" s="66">
        <f>AM11*AC11</f>
        <v/>
      </c>
      <c r="AX11" s="66">
        <f>AN11*AD11</f>
        <v/>
      </c>
      <c r="AY11" s="66">
        <f>AO11*AE11</f>
        <v/>
      </c>
      <c r="AZ11" s="66">
        <f>'Project Database'!Z15</f>
        <v/>
      </c>
      <c r="BA11" s="66">
        <f>IF(OR(A11="",'Smart Search'!H13=0),"",MAX(0,BE11*BF11*MAX(0,1-BG11)))</f>
        <v/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66">
        <f>IF('Smart Search'!G13=1,IFERROR(1/'Smart Search'!H13,0),0)</f>
        <v/>
      </c>
      <c r="BD11" s="66">
        <f>BB11*BC11</f>
        <v/>
      </c>
      <c r="BE11" s="66">
        <f>AP11+AQ11+AR11+AS11+AT11+AU11+AV11+AW11+AX11+AY11+BD11</f>
        <v/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5">
        <f>IF(AND('Project Database'!A15&lt;&gt;"",OR('Smart Search'!$L$5="",'Smart Search'!$L$5="All",TRIM('Project Database'!D15)=TRIM('Smart Search'!$L$5)),OR(TRIM('Smart Search'!$L$6)="",TRIM('Smart Search'!$L$6)="All",ISNUMBER(SEARCH(SUBSTITUTE(SUBSTITUTE(SUBSTITUTE(TRIM('Smart Search'!$L$6),"~","~~"),"*","~*"),"?","~?"),'Project Database'!C15))),OR('Smart Search'!$L$7="",AND('Project Database'!E15&lt;&gt;"",'Project Database'!E15='Smart Search'!$L$7)),OR('Smart Search'!$L$8="",'Smart Search'!$L$8="All",TRIM('Project Database'!F15)=TRIM('Smart Search'!$L$8))),IF(BA11="","",BA11+ROW()*0.0000000001),"")</f>
        <v/>
      </c>
      <c r="BI11" s="5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5">
        <f>IF('Project Database'!A15="","",N('Project Database'!AC15))</f>
        <v/>
      </c>
      <c r="BK11" s="5">
        <f>IF('Project Database'!A15="","",N('Project Database'!AD15))</f>
        <v/>
      </c>
      <c r="BL11" s="5">
        <f>IF('Project Database'!A15="","",N('Project Database'!AE15))</f>
        <v/>
      </c>
      <c r="BM11" s="5">
        <f>IF('Project Database'!A15="","",N('Project Database'!AF15))</f>
        <v/>
      </c>
      <c r="BN11" s="5">
        <f>IF('Project Database'!A15="","",N('Project Database'!AG15))</f>
        <v/>
      </c>
      <c r="BO11" s="5">
        <f>IF('Project Database'!A15="","",N('Project Database'!AH15))</f>
        <v/>
      </c>
      <c r="BP11" s="5">
        <f>IF('Project Database'!A15="","",N('Project Database'!AI15))</f>
        <v/>
      </c>
      <c r="BQ11" s="5">
        <f>IF('Project Database'!A15="","",N('Project Database'!AJ15))</f>
        <v/>
      </c>
      <c r="BR11" s="5">
        <f>IF('Project Database'!A15="","",N('Project Database'!AK15))</f>
        <v/>
      </c>
      <c r="BS11" s="5">
        <f>IF('Project Database'!A15="","",N('Project Database'!AL15))</f>
        <v/>
      </c>
      <c r="BT11" s="5">
        <f>IF('Project Database'!A15="","",N('Project Database'!AM15))</f>
        <v/>
      </c>
      <c r="BU11" s="5">
        <f>IF('Project Database'!A15="","",N('Project Database'!AN15))</f>
        <v/>
      </c>
      <c r="BV11" s="5">
        <f>IF('Project Database'!A15="","",N('Project Database'!AO15))</f>
        <v/>
      </c>
      <c r="BW11" s="5">
        <f>IF('Project Database'!A15="","",N('Project Database'!AP15))</f>
        <v/>
      </c>
      <c r="BX11" s="5">
        <f>IF(A11="","",SUM(BJ11:BW11))</f>
        <v/>
      </c>
      <c r="BY11" s="5">
        <f>IF(A11="","",IFERROR(IF(ISNUMBER(U11),U11,VALUE(SUBSTITUTE(SUBSTITUTE(SUBSTITUTE(UPPER(TRIM(U11)),"M",""),",","")," ",""))),0))</f>
        <v/>
      </c>
    </row>
    <row r="12" ht="15" customHeight="1" s="74">
      <c r="A12" s="66">
        <f>'Project Database'!A16</f>
        <v/>
      </c>
      <c r="B12" s="66">
        <f>'Project Database'!B16</f>
        <v/>
      </c>
      <c r="C12" s="66">
        <f>'Project Database'!G16</f>
        <v/>
      </c>
      <c r="D12" s="66">
        <f>'Project Database'!H16</f>
        <v/>
      </c>
      <c r="E12" s="66">
        <f>'Project Database'!I16</f>
        <v/>
      </c>
      <c r="F12" s="66">
        <f>'Project Database'!J16</f>
        <v/>
      </c>
      <c r="G12" s="66">
        <f>'Project Database'!K16</f>
        <v/>
      </c>
      <c r="H12" s="66">
        <f>'Project Database'!L16</f>
        <v/>
      </c>
      <c r="I12" s="66">
        <f>'Project Database'!M16</f>
        <v/>
      </c>
      <c r="J12" s="66">
        <f>'Project Database'!N16</f>
        <v/>
      </c>
      <c r="K12" s="66">
        <f>'Project Database'!O16</f>
        <v/>
      </c>
      <c r="L12" s="66">
        <f>'Project Database'!P16</f>
        <v/>
      </c>
      <c r="M12" s="66">
        <f>'Project Database'!Q16</f>
        <v/>
      </c>
      <c r="N12" s="66">
        <f>'Project Database'!R16</f>
        <v/>
      </c>
      <c r="O12" s="66">
        <f>'Project Database'!S16</f>
        <v/>
      </c>
      <c r="P12" s="66">
        <f>'Project Database'!T16</f>
        <v/>
      </c>
      <c r="Q12" s="66">
        <f>'Project Database'!U16</f>
        <v/>
      </c>
      <c r="R12" s="66">
        <f>'Project Database'!V16</f>
        <v/>
      </c>
      <c r="S12" s="66">
        <f>'Project Database'!W16</f>
        <v/>
      </c>
      <c r="T12" s="66">
        <f>'Project Database'!X16</f>
        <v/>
      </c>
      <c r="U12" s="67">
        <f>'Project Database'!Y16</f>
        <v/>
      </c>
      <c r="V12" s="66">
        <f>IF('Smart Search'!B13=1,IFERROR(1/'Smart Search'!H13,0),0)</f>
        <v/>
      </c>
      <c r="W12" s="66">
        <f>IF('Smart Search'!B13=1,IFERROR(1/'Smart Search'!H13,0),0)</f>
        <v/>
      </c>
      <c r="X12" s="66">
        <f>IF('Smart Search'!C13=1,IFERROR(1/'Smart Search'!H13,0),0)</f>
        <v/>
      </c>
      <c r="Y12" s="66">
        <f>IF('Smart Search'!C13=1,IFERROR(1/'Smart Search'!H13,0),0)</f>
        <v/>
      </c>
      <c r="Z12" s="66">
        <f>IF('Smart Search'!D13=1,IFERROR(1/'Smart Search'!H13,0),0)</f>
        <v/>
      </c>
      <c r="AA12" s="66">
        <f>IF('Smart Search'!D13=1,IFERROR(1/'Smart Search'!H13,0),0)</f>
        <v/>
      </c>
      <c r="AB12" s="66">
        <f>IF('Smart Search'!E13=1,IFERROR(1/'Smart Search'!H13,0),0)</f>
        <v/>
      </c>
      <c r="AC12" s="66">
        <f>IF('Smart Search'!E13=1,IFERROR(1/'Smart Search'!H13,0),0)</f>
        <v/>
      </c>
      <c r="AD12" s="66">
        <f>IF('Smart Search'!F13=1,IFERROR(1/'Smart Search'!H13,0),0)</f>
        <v/>
      </c>
      <c r="AE12" s="66">
        <f>IF('Smart Search'!F13=1,IFERROR(1/'Smart Search'!H13,0),0)</f>
        <v/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66">
        <f>AF12*V12</f>
        <v/>
      </c>
      <c r="AQ12" s="66">
        <f>AG12*W12</f>
        <v/>
      </c>
      <c r="AR12" s="66">
        <f>AH12*X12</f>
        <v/>
      </c>
      <c r="AS12" s="66">
        <f>AI12*Y12</f>
        <v/>
      </c>
      <c r="AT12" s="66">
        <f>AJ12*Z12</f>
        <v/>
      </c>
      <c r="AU12" s="66">
        <f>AK12*AA12</f>
        <v/>
      </c>
      <c r="AV12" s="66">
        <f>AL12*AB12</f>
        <v/>
      </c>
      <c r="AW12" s="66">
        <f>AM12*AC12</f>
        <v/>
      </c>
      <c r="AX12" s="66">
        <f>AN12*AD12</f>
        <v/>
      </c>
      <c r="AY12" s="66">
        <f>AO12*AE12</f>
        <v/>
      </c>
      <c r="AZ12" s="66">
        <f>'Project Database'!Z16</f>
        <v/>
      </c>
      <c r="BA12" s="66">
        <f>IF(OR(A12="",'Smart Search'!H13=0),"",MAX(0,BE12*BF12*MAX(0,1-BG12)))</f>
        <v/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66">
        <f>IF('Smart Search'!G13=1,IFERROR(1/'Smart Search'!H13,0),0)</f>
        <v/>
      </c>
      <c r="BD12" s="66">
        <f>BB12*BC12</f>
        <v/>
      </c>
      <c r="BE12" s="66">
        <f>AP12+AQ12+AR12+AS12+AT12+AU12+AV12+AW12+AX12+AY12+BD12</f>
        <v/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5">
        <f>IF(AND('Project Database'!A16&lt;&gt;"",OR('Smart Search'!$L$5="",'Smart Search'!$L$5="All",TRIM('Project Database'!D16)=TRIM('Smart Search'!$L$5)),OR(TRIM('Smart Search'!$L$6)="",TRIM('Smart Search'!$L$6)="All",ISNUMBER(SEARCH(SUBSTITUTE(SUBSTITUTE(SUBSTITUTE(TRIM('Smart Search'!$L$6),"~","~~"),"*","~*"),"?","~?"),'Project Database'!C16))),OR('Smart Search'!$L$7="",AND('Project Database'!E16&lt;&gt;"",'Project Database'!E16='Smart Search'!$L$7)),OR('Smart Search'!$L$8="",'Smart Search'!$L$8="All",TRIM('Project Database'!F16)=TRIM('Smart Search'!$L$8))),IF(BA12="","",BA12+ROW()*0.0000000001),"")</f>
        <v/>
      </c>
      <c r="BI12" s="5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IF('Project Database'!A16="","",N('Project Database'!AC16))</f>
        <v/>
      </c>
      <c r="BK12" s="5">
        <f>IF('Project Database'!A16="","",N('Project Database'!AD16))</f>
        <v/>
      </c>
      <c r="BL12" s="5">
        <f>IF('Project Database'!A16="","",N('Project Database'!AE16))</f>
        <v/>
      </c>
      <c r="BM12" s="5">
        <f>IF('Project Database'!A16="","",N('Project Database'!AF16))</f>
        <v/>
      </c>
      <c r="BN12" s="5">
        <f>IF('Project Database'!A16="","",N('Project Database'!AG16))</f>
        <v/>
      </c>
      <c r="BO12" s="5">
        <f>IF('Project Database'!A16="","",N('Project Database'!AH16))</f>
        <v/>
      </c>
      <c r="BP12" s="5">
        <f>IF('Project Database'!A16="","",N('Project Database'!AI16))</f>
        <v/>
      </c>
      <c r="BQ12" s="5">
        <f>IF('Project Database'!A16="","",N('Project Database'!AJ16))</f>
        <v/>
      </c>
      <c r="BR12" s="5">
        <f>IF('Project Database'!A16="","",N('Project Database'!AK16))</f>
        <v/>
      </c>
      <c r="BS12" s="5">
        <f>IF('Project Database'!A16="","",N('Project Database'!AL16))</f>
        <v/>
      </c>
      <c r="BT12" s="5">
        <f>IF('Project Database'!A16="","",N('Project Database'!AM16))</f>
        <v/>
      </c>
      <c r="BU12" s="5">
        <f>IF('Project Database'!A16="","",N('Project Database'!AN16))</f>
        <v/>
      </c>
      <c r="BV12" s="5">
        <f>IF('Project Database'!A16="","",N('Project Database'!AO16))</f>
        <v/>
      </c>
      <c r="BW12" s="5">
        <f>IF('Project Database'!A16="","",N('Project Database'!AP16))</f>
        <v/>
      </c>
      <c r="BX12" s="5">
        <f>IF(A12="","",SUM(BJ12:BW12))</f>
        <v/>
      </c>
      <c r="BY12" s="5">
        <f>IF(A12="","",IFERROR(IF(ISNUMBER(U12),U12,VALUE(SUBSTITUTE(SUBSTITUTE(SUBSTITUTE(UPPER(TRIM(U12)),"M",""),",","")," ",""))),0))</f>
        <v/>
      </c>
    </row>
    <row r="13" ht="15" customHeight="1" s="74">
      <c r="A13" s="66">
        <f>'Project Database'!A17</f>
        <v/>
      </c>
      <c r="B13" s="66">
        <f>'Project Database'!B17</f>
        <v/>
      </c>
      <c r="C13" s="66">
        <f>'Project Database'!G17</f>
        <v/>
      </c>
      <c r="D13" s="66">
        <f>'Project Database'!H17</f>
        <v/>
      </c>
      <c r="E13" s="66">
        <f>'Project Database'!I17</f>
        <v/>
      </c>
      <c r="F13" s="66">
        <f>'Project Database'!J17</f>
        <v/>
      </c>
      <c r="G13" s="66">
        <f>'Project Database'!K17</f>
        <v/>
      </c>
      <c r="H13" s="66">
        <f>'Project Database'!L17</f>
        <v/>
      </c>
      <c r="I13" s="66">
        <f>'Project Database'!M17</f>
        <v/>
      </c>
      <c r="J13" s="66">
        <f>'Project Database'!N17</f>
        <v/>
      </c>
      <c r="K13" s="66">
        <f>'Project Database'!O17</f>
        <v/>
      </c>
      <c r="L13" s="66">
        <f>'Project Database'!P17</f>
        <v/>
      </c>
      <c r="M13" s="66">
        <f>'Project Database'!Q17</f>
        <v/>
      </c>
      <c r="N13" s="66">
        <f>'Project Database'!R17</f>
        <v/>
      </c>
      <c r="O13" s="66">
        <f>'Project Database'!S17</f>
        <v/>
      </c>
      <c r="P13" s="66">
        <f>'Project Database'!T17</f>
        <v/>
      </c>
      <c r="Q13" s="66">
        <f>'Project Database'!U17</f>
        <v/>
      </c>
      <c r="R13" s="66">
        <f>'Project Database'!V17</f>
        <v/>
      </c>
      <c r="S13" s="66">
        <f>'Project Database'!W17</f>
        <v/>
      </c>
      <c r="T13" s="66">
        <f>'Project Database'!X17</f>
        <v/>
      </c>
      <c r="U13" s="67">
        <f>'Project Database'!Y17</f>
        <v/>
      </c>
      <c r="V13" s="66">
        <f>IF('Smart Search'!B13=1,IFERROR(1/'Smart Search'!H13,0),0)</f>
        <v/>
      </c>
      <c r="W13" s="66">
        <f>IF('Smart Search'!B13=1,IFERROR(1/'Smart Search'!H13,0),0)</f>
        <v/>
      </c>
      <c r="X13" s="66">
        <f>IF('Smart Search'!C13=1,IFERROR(1/'Smart Search'!H13,0),0)</f>
        <v/>
      </c>
      <c r="Y13" s="66">
        <f>IF('Smart Search'!C13=1,IFERROR(1/'Smart Search'!H13,0),0)</f>
        <v/>
      </c>
      <c r="Z13" s="66">
        <f>IF('Smart Search'!D13=1,IFERROR(1/'Smart Search'!H13,0),0)</f>
        <v/>
      </c>
      <c r="AA13" s="66">
        <f>IF('Smart Search'!D13=1,IFERROR(1/'Smart Search'!H13,0),0)</f>
        <v/>
      </c>
      <c r="AB13" s="66">
        <f>IF('Smart Search'!E13=1,IFERROR(1/'Smart Search'!H13,0),0)</f>
        <v/>
      </c>
      <c r="AC13" s="66">
        <f>IF('Smart Search'!E13=1,IFERROR(1/'Smart Search'!H13,0),0)</f>
        <v/>
      </c>
      <c r="AD13" s="66">
        <f>IF('Smart Search'!F13=1,IFERROR(1/'Smart Search'!H13,0),0)</f>
        <v/>
      </c>
      <c r="AE13" s="66">
        <f>IF('Smart Search'!F13=1,IFERROR(1/'Smart Search'!H13,0),0)</f>
        <v/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66">
        <f>AF13*V13</f>
        <v/>
      </c>
      <c r="AQ13" s="66">
        <f>AG13*W13</f>
        <v/>
      </c>
      <c r="AR13" s="66">
        <f>AH13*X13</f>
        <v/>
      </c>
      <c r="AS13" s="66">
        <f>AI13*Y13</f>
        <v/>
      </c>
      <c r="AT13" s="66">
        <f>AJ13*Z13</f>
        <v/>
      </c>
      <c r="AU13" s="66">
        <f>AK13*AA13</f>
        <v/>
      </c>
      <c r="AV13" s="66">
        <f>AL13*AB13</f>
        <v/>
      </c>
      <c r="AW13" s="66">
        <f>AM13*AC13</f>
        <v/>
      </c>
      <c r="AX13" s="66">
        <f>AN13*AD13</f>
        <v/>
      </c>
      <c r="AY13" s="66">
        <f>AO13*AE13</f>
        <v/>
      </c>
      <c r="AZ13" s="66">
        <f>'Project Database'!Z17</f>
        <v/>
      </c>
      <c r="BA13" s="66">
        <f>IF(OR(A13="",'Smart Search'!H13=0),"",MAX(0,BE13*BF13*MAX(0,1-BG13)))</f>
        <v/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66">
        <f>IF('Smart Search'!G13=1,IFERROR(1/'Smart Search'!H13,0),0)</f>
        <v/>
      </c>
      <c r="BD13" s="66">
        <f>BB13*BC13</f>
        <v/>
      </c>
      <c r="BE13" s="66">
        <f>AP13+AQ13+AR13+AS13+AT13+AU13+AV13+AW13+AX13+AY13+BD13</f>
        <v/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5">
        <f>IF(AND('Project Database'!A17&lt;&gt;"",OR('Smart Search'!$L$5="",'Smart Search'!$L$5="All",TRIM('Project Database'!D17)=TRIM('Smart Search'!$L$5)),OR(TRIM('Smart Search'!$L$6)="",TRIM('Smart Search'!$L$6)="All",ISNUMBER(SEARCH(SUBSTITUTE(SUBSTITUTE(SUBSTITUTE(TRIM('Smart Search'!$L$6),"~","~~"),"*","~*"),"?","~?"),'Project Database'!C17))),OR('Smart Search'!$L$7="",AND('Project Database'!E17&lt;&gt;"",'Project Database'!E17='Smart Search'!$L$7)),OR('Smart Search'!$L$8="",'Smart Search'!$L$8="All",TRIM('Project Database'!F17)=TRIM('Smart Search'!$L$8))),IF(BA13="","",BA13+ROW()*0.0000000001),"")</f>
        <v/>
      </c>
      <c r="BI13" s="5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IF('Project Database'!A17="","",N('Project Database'!AC17))</f>
        <v/>
      </c>
      <c r="BK13" s="5">
        <f>IF('Project Database'!A17="","",N('Project Database'!AD17))</f>
        <v/>
      </c>
      <c r="BL13" s="5">
        <f>IF('Project Database'!A17="","",N('Project Database'!AE17))</f>
        <v/>
      </c>
      <c r="BM13" s="5">
        <f>IF('Project Database'!A17="","",N('Project Database'!AF17))</f>
        <v/>
      </c>
      <c r="BN13" s="5">
        <f>IF('Project Database'!A17="","",N('Project Database'!AG17))</f>
        <v/>
      </c>
      <c r="BO13" s="5">
        <f>IF('Project Database'!A17="","",N('Project Database'!AH17))</f>
        <v/>
      </c>
      <c r="BP13" s="5">
        <f>IF('Project Database'!A17="","",N('Project Database'!AI17))</f>
        <v/>
      </c>
      <c r="BQ13" s="5">
        <f>IF('Project Database'!A17="","",N('Project Database'!AJ17))</f>
        <v/>
      </c>
      <c r="BR13" s="5">
        <f>IF('Project Database'!A17="","",N('Project Database'!AK17))</f>
        <v/>
      </c>
      <c r="BS13" s="5">
        <f>IF('Project Database'!A17="","",N('Project Database'!AL17))</f>
        <v/>
      </c>
      <c r="BT13" s="5">
        <f>IF('Project Database'!A17="","",N('Project Database'!AM17))</f>
        <v/>
      </c>
      <c r="BU13" s="5">
        <f>IF('Project Database'!A17="","",N('Project Database'!AN17))</f>
        <v/>
      </c>
      <c r="BV13" s="5">
        <f>IF('Project Database'!A17="","",N('Project Database'!AO17))</f>
        <v/>
      </c>
      <c r="BW13" s="5">
        <f>IF('Project Database'!A17="","",N('Project Database'!AP17))</f>
        <v/>
      </c>
      <c r="BX13" s="5">
        <f>IF(A13="","",SUM(BJ13:BW13))</f>
        <v/>
      </c>
      <c r="BY13" s="5">
        <f>IF(A13="","",IFERROR(IF(ISNUMBER(U13),U13,VALUE(SUBSTITUTE(SUBSTITUTE(SUBSTITUTE(UPPER(TRIM(U13)),"M",""),",","")," ",""))),0))</f>
        <v/>
      </c>
    </row>
    <row r="14" ht="15" customHeight="1" s="74">
      <c r="A14" s="66">
        <f>'Project Database'!A18</f>
        <v/>
      </c>
      <c r="B14" s="66">
        <f>'Project Database'!B18</f>
        <v/>
      </c>
      <c r="C14" s="66">
        <f>'Project Database'!G18</f>
        <v/>
      </c>
      <c r="D14" s="66">
        <f>'Project Database'!H18</f>
        <v/>
      </c>
      <c r="E14" s="66">
        <f>'Project Database'!I18</f>
        <v/>
      </c>
      <c r="F14" s="66">
        <f>'Project Database'!J18</f>
        <v/>
      </c>
      <c r="G14" s="66">
        <f>'Project Database'!K18</f>
        <v/>
      </c>
      <c r="H14" s="66">
        <f>'Project Database'!L18</f>
        <v/>
      </c>
      <c r="I14" s="66">
        <f>'Project Database'!M18</f>
        <v/>
      </c>
      <c r="J14" s="66">
        <f>'Project Database'!N18</f>
        <v/>
      </c>
      <c r="K14" s="66">
        <f>'Project Database'!O18</f>
        <v/>
      </c>
      <c r="L14" s="66">
        <f>'Project Database'!P18</f>
        <v/>
      </c>
      <c r="M14" s="66">
        <f>'Project Database'!Q18</f>
        <v/>
      </c>
      <c r="N14" s="66">
        <f>'Project Database'!R18</f>
        <v/>
      </c>
      <c r="O14" s="66">
        <f>'Project Database'!S18</f>
        <v/>
      </c>
      <c r="P14" s="66">
        <f>'Project Database'!T18</f>
        <v/>
      </c>
      <c r="Q14" s="66">
        <f>'Project Database'!U18</f>
        <v/>
      </c>
      <c r="R14" s="66">
        <f>'Project Database'!V18</f>
        <v/>
      </c>
      <c r="S14" s="66">
        <f>'Project Database'!W18</f>
        <v/>
      </c>
      <c r="T14" s="66">
        <f>'Project Database'!X18</f>
        <v/>
      </c>
      <c r="U14" s="67">
        <f>'Project Database'!Y18</f>
        <v/>
      </c>
      <c r="V14" s="66">
        <f>IF('Smart Search'!B13=1,IFERROR(1/'Smart Search'!H13,0),0)</f>
        <v/>
      </c>
      <c r="W14" s="66">
        <f>IF('Smart Search'!B13=1,IFERROR(1/'Smart Search'!H13,0),0)</f>
        <v/>
      </c>
      <c r="X14" s="66">
        <f>IF('Smart Search'!C13=1,IFERROR(1/'Smart Search'!H13,0),0)</f>
        <v/>
      </c>
      <c r="Y14" s="66">
        <f>IF('Smart Search'!C13=1,IFERROR(1/'Smart Search'!H13,0),0)</f>
        <v/>
      </c>
      <c r="Z14" s="66">
        <f>IF('Smart Search'!D13=1,IFERROR(1/'Smart Search'!H13,0),0)</f>
        <v/>
      </c>
      <c r="AA14" s="66">
        <f>IF('Smart Search'!D13=1,IFERROR(1/'Smart Search'!H13,0),0)</f>
        <v/>
      </c>
      <c r="AB14" s="66">
        <f>IF('Smart Search'!E13=1,IFERROR(1/'Smart Search'!H13,0),0)</f>
        <v/>
      </c>
      <c r="AC14" s="66">
        <f>IF('Smart Search'!E13=1,IFERROR(1/'Smart Search'!H13,0),0)</f>
        <v/>
      </c>
      <c r="AD14" s="66">
        <f>IF('Smart Search'!F13=1,IFERROR(1/'Smart Search'!H13,0),0)</f>
        <v/>
      </c>
      <c r="AE14" s="66">
        <f>IF('Smart Search'!F13=1,IFERROR(1/'Smart Search'!H13,0),0)</f>
        <v/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66">
        <f>AF14*V14</f>
        <v/>
      </c>
      <c r="AQ14" s="66">
        <f>AG14*W14</f>
        <v/>
      </c>
      <c r="AR14" s="66">
        <f>AH14*X14</f>
        <v/>
      </c>
      <c r="AS14" s="66">
        <f>AI14*Y14</f>
        <v/>
      </c>
      <c r="AT14" s="66">
        <f>AJ14*Z14</f>
        <v/>
      </c>
      <c r="AU14" s="66">
        <f>AK14*AA14</f>
        <v/>
      </c>
      <c r="AV14" s="66">
        <f>AL14*AB14</f>
        <v/>
      </c>
      <c r="AW14" s="66">
        <f>AM14*AC14</f>
        <v/>
      </c>
      <c r="AX14" s="66">
        <f>AN14*AD14</f>
        <v/>
      </c>
      <c r="AY14" s="66">
        <f>AO14*AE14</f>
        <v/>
      </c>
      <c r="AZ14" s="66">
        <f>'Project Database'!Z18</f>
        <v/>
      </c>
      <c r="BA14" s="66">
        <f>IF(OR(A14="",'Smart Search'!H13=0),"",MAX(0,BE14*BF14*MAX(0,1-BG14)))</f>
        <v/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66">
        <f>IF('Smart Search'!G13=1,IFERROR(1/'Smart Search'!H13,0),0)</f>
        <v/>
      </c>
      <c r="BD14" s="66">
        <f>BB14*BC14</f>
        <v/>
      </c>
      <c r="BE14" s="66">
        <f>AP14+AQ14+AR14+AS14+AT14+AU14+AV14+AW14+AX14+AY14+BD14</f>
        <v/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5">
        <f>IF(AND('Project Database'!A18&lt;&gt;"",OR('Smart Search'!$L$5="",'Smart Search'!$L$5="All",TRIM('Project Database'!D18)=TRIM('Smart Search'!$L$5)),OR(TRIM('Smart Search'!$L$6)="",TRIM('Smart Search'!$L$6)="All",ISNUMBER(SEARCH(SUBSTITUTE(SUBSTITUTE(SUBSTITUTE(TRIM('Smart Search'!$L$6),"~","~~"),"*","~*"),"?","~?"),'Project Database'!C18))),OR('Smart Search'!$L$7="",AND('Project Database'!E18&lt;&gt;"",'Project Database'!E18='Smart Search'!$L$7)),OR('Smart Search'!$L$8="",'Smart Search'!$L$8="All",TRIM('Project Database'!F18)=TRIM('Smart Search'!$L$8))),IF(BA14="","",BA14+ROW()*0.0000000001),"")</f>
        <v/>
      </c>
      <c r="BI14" s="5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5">
        <f>IF('Project Database'!A18="","",N('Project Database'!AC18))</f>
        <v/>
      </c>
      <c r="BK14" s="5">
        <f>IF('Project Database'!A18="","",N('Project Database'!AD18))</f>
        <v/>
      </c>
      <c r="BL14" s="5">
        <f>IF('Project Database'!A18="","",N('Project Database'!AE18))</f>
        <v/>
      </c>
      <c r="BM14" s="5">
        <f>IF('Project Database'!A18="","",N('Project Database'!AF18))</f>
        <v/>
      </c>
      <c r="BN14" s="5">
        <f>IF('Project Database'!A18="","",N('Project Database'!AG18))</f>
        <v/>
      </c>
      <c r="BO14" s="5">
        <f>IF('Project Database'!A18="","",N('Project Database'!AH18))</f>
        <v/>
      </c>
      <c r="BP14" s="5">
        <f>IF('Project Database'!A18="","",N('Project Database'!AI18))</f>
        <v/>
      </c>
      <c r="BQ14" s="5">
        <f>IF('Project Database'!A18="","",N('Project Database'!AJ18))</f>
        <v/>
      </c>
      <c r="BR14" s="5">
        <f>IF('Project Database'!A18="","",N('Project Database'!AK18))</f>
        <v/>
      </c>
      <c r="BS14" s="5">
        <f>IF('Project Database'!A18="","",N('Project Database'!AL18))</f>
        <v/>
      </c>
      <c r="BT14" s="5">
        <f>IF('Project Database'!A18="","",N('Project Database'!AM18))</f>
        <v/>
      </c>
      <c r="BU14" s="5">
        <f>IF('Project Database'!A18="","",N('Project Database'!AN18))</f>
        <v/>
      </c>
      <c r="BV14" s="5">
        <f>IF('Project Database'!A18="","",N('Project Database'!AO18))</f>
        <v/>
      </c>
      <c r="BW14" s="5">
        <f>IF('Project Database'!A18="","",N('Project Database'!AP18))</f>
        <v/>
      </c>
      <c r="BX14" s="5">
        <f>IF(A14="","",SUM(BJ14:BW14))</f>
        <v/>
      </c>
      <c r="BY14" s="5">
        <f>IF(A14="","",IFERROR(IF(ISNUMBER(U14),U14,VALUE(SUBSTITUTE(SUBSTITUTE(SUBSTITUTE(UPPER(TRIM(U14)),"M",""),",","")," ",""))),0))</f>
        <v/>
      </c>
    </row>
    <row r="15" ht="15" customHeight="1" s="74">
      <c r="A15" s="66">
        <f>'Project Database'!A19</f>
        <v/>
      </c>
      <c r="B15" s="66">
        <f>'Project Database'!B19</f>
        <v/>
      </c>
      <c r="C15" s="66">
        <f>'Project Database'!G19</f>
        <v/>
      </c>
      <c r="D15" s="66">
        <f>'Project Database'!H19</f>
        <v/>
      </c>
      <c r="E15" s="66">
        <f>'Project Database'!I19</f>
        <v/>
      </c>
      <c r="F15" s="66">
        <f>'Project Database'!J19</f>
        <v/>
      </c>
      <c r="G15" s="66">
        <f>'Project Database'!K19</f>
        <v/>
      </c>
      <c r="H15" s="66">
        <f>'Project Database'!L19</f>
        <v/>
      </c>
      <c r="I15" s="66">
        <f>'Project Database'!M19</f>
        <v/>
      </c>
      <c r="J15" s="66">
        <f>'Project Database'!N19</f>
        <v/>
      </c>
      <c r="K15" s="66">
        <f>'Project Database'!O19</f>
        <v/>
      </c>
      <c r="L15" s="66">
        <f>'Project Database'!P19</f>
        <v/>
      </c>
      <c r="M15" s="66">
        <f>'Project Database'!Q19</f>
        <v/>
      </c>
      <c r="N15" s="66">
        <f>'Project Database'!R19</f>
        <v/>
      </c>
      <c r="O15" s="66">
        <f>'Project Database'!S19</f>
        <v/>
      </c>
      <c r="P15" s="66">
        <f>'Project Database'!T19</f>
        <v/>
      </c>
      <c r="Q15" s="66">
        <f>'Project Database'!U19</f>
        <v/>
      </c>
      <c r="R15" s="66">
        <f>'Project Database'!V19</f>
        <v/>
      </c>
      <c r="S15" s="66">
        <f>'Project Database'!W19</f>
        <v/>
      </c>
      <c r="T15" s="66">
        <f>'Project Database'!X19</f>
        <v/>
      </c>
      <c r="U15" s="67">
        <f>'Project Database'!Y19</f>
        <v/>
      </c>
      <c r="V15" s="66">
        <f>IF('Smart Search'!B13=1,IFERROR(1/'Smart Search'!H13,0),0)</f>
        <v/>
      </c>
      <c r="W15" s="66">
        <f>IF('Smart Search'!B13=1,IFERROR(1/'Smart Search'!H13,0),0)</f>
        <v/>
      </c>
      <c r="X15" s="66">
        <f>IF('Smart Search'!C13=1,IFERROR(1/'Smart Search'!H13,0),0)</f>
        <v/>
      </c>
      <c r="Y15" s="66">
        <f>IF('Smart Search'!C13=1,IFERROR(1/'Smart Search'!H13,0),0)</f>
        <v/>
      </c>
      <c r="Z15" s="66">
        <f>IF('Smart Search'!D13=1,IFERROR(1/'Smart Search'!H13,0),0)</f>
        <v/>
      </c>
      <c r="AA15" s="66">
        <f>IF('Smart Search'!D13=1,IFERROR(1/'Smart Search'!H13,0),0)</f>
        <v/>
      </c>
      <c r="AB15" s="66">
        <f>IF('Smart Search'!E13=1,IFERROR(1/'Smart Search'!H13,0),0)</f>
        <v/>
      </c>
      <c r="AC15" s="66">
        <f>IF('Smart Search'!E13=1,IFERROR(1/'Smart Search'!H13,0),0)</f>
        <v/>
      </c>
      <c r="AD15" s="66">
        <f>IF('Smart Search'!F13=1,IFERROR(1/'Smart Search'!H13,0),0)</f>
        <v/>
      </c>
      <c r="AE15" s="66">
        <f>IF('Smart Search'!F13=1,IFERROR(1/'Smart Search'!H13,0),0)</f>
        <v/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66">
        <f>AF15*V15</f>
        <v/>
      </c>
      <c r="AQ15" s="66">
        <f>AG15*W15</f>
        <v/>
      </c>
      <c r="AR15" s="66">
        <f>AH15*X15</f>
        <v/>
      </c>
      <c r="AS15" s="66">
        <f>AI15*Y15</f>
        <v/>
      </c>
      <c r="AT15" s="66">
        <f>AJ15*Z15</f>
        <v/>
      </c>
      <c r="AU15" s="66">
        <f>AK15*AA15</f>
        <v/>
      </c>
      <c r="AV15" s="66">
        <f>AL15*AB15</f>
        <v/>
      </c>
      <c r="AW15" s="66">
        <f>AM15*AC15</f>
        <v/>
      </c>
      <c r="AX15" s="66">
        <f>AN15*AD15</f>
        <v/>
      </c>
      <c r="AY15" s="66">
        <f>AO15*AE15</f>
        <v/>
      </c>
      <c r="AZ15" s="66">
        <f>'Project Database'!Z19</f>
        <v/>
      </c>
      <c r="BA15" s="66">
        <f>IF(OR(A15="",'Smart Search'!H13=0),"",MAX(0,BE15*BF15*MAX(0,1-BG15)))</f>
        <v/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66">
        <f>IF('Smart Search'!G13=1,IFERROR(1/'Smart Search'!H13,0),0)</f>
        <v/>
      </c>
      <c r="BD15" s="66">
        <f>BB15*BC15</f>
        <v/>
      </c>
      <c r="BE15" s="66">
        <f>AP15+AQ15+AR15+AS15+AT15+AU15+AV15+AW15+AX15+AY15+BD15</f>
        <v/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5">
        <f>IF(AND('Project Database'!A19&lt;&gt;"",OR('Smart Search'!$L$5="",'Smart Search'!$L$5="All",TRIM('Project Database'!D19)=TRIM('Smart Search'!$L$5)),OR(TRIM('Smart Search'!$L$6)="",TRIM('Smart Search'!$L$6)="All",ISNUMBER(SEARCH(SUBSTITUTE(SUBSTITUTE(SUBSTITUTE(TRIM('Smart Search'!$L$6),"~","~~"),"*","~*"),"?","~?"),'Project Database'!C19))),OR('Smart Search'!$L$7="",AND('Project Database'!E19&lt;&gt;"",'Project Database'!E19='Smart Search'!$L$7)),OR('Smart Search'!$L$8="",'Smart Search'!$L$8="All",TRIM('Project Database'!F19)=TRIM('Smart Search'!$L$8))),IF(BA15="","",BA15+ROW()*0.0000000001),"")</f>
        <v/>
      </c>
      <c r="BI15" s="5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5">
        <f>IF('Project Database'!A19="","",N('Project Database'!AC19))</f>
        <v/>
      </c>
      <c r="BK15" s="5">
        <f>IF('Project Database'!A19="","",N('Project Database'!AD19))</f>
        <v/>
      </c>
      <c r="BL15" s="5">
        <f>IF('Project Database'!A19="","",N('Project Database'!AE19))</f>
        <v/>
      </c>
      <c r="BM15" s="5">
        <f>IF('Project Database'!A19="","",N('Project Database'!AF19))</f>
        <v/>
      </c>
      <c r="BN15" s="5">
        <f>IF('Project Database'!A19="","",N('Project Database'!AG19))</f>
        <v/>
      </c>
      <c r="BO15" s="5">
        <f>IF('Project Database'!A19="","",N('Project Database'!AH19))</f>
        <v/>
      </c>
      <c r="BP15" s="5">
        <f>IF('Project Database'!A19="","",N('Project Database'!AI19))</f>
        <v/>
      </c>
      <c r="BQ15" s="5">
        <f>IF('Project Database'!A19="","",N('Project Database'!AJ19))</f>
        <v/>
      </c>
      <c r="BR15" s="5">
        <f>IF('Project Database'!A19="","",N('Project Database'!AK19))</f>
        <v/>
      </c>
      <c r="BS15" s="5">
        <f>IF('Project Database'!A19="","",N('Project Database'!AL19))</f>
        <v/>
      </c>
      <c r="BT15" s="5">
        <f>IF('Project Database'!A19="","",N('Project Database'!AM19))</f>
        <v/>
      </c>
      <c r="BU15" s="5">
        <f>IF('Project Database'!A19="","",N('Project Database'!AN19))</f>
        <v/>
      </c>
      <c r="BV15" s="5">
        <f>IF('Project Database'!A19="","",N('Project Database'!AO19))</f>
        <v/>
      </c>
      <c r="BW15" s="5">
        <f>IF('Project Database'!A19="","",N('Project Database'!AP19))</f>
        <v/>
      </c>
      <c r="BX15" s="5">
        <f>IF(A15="","",SUM(BJ15:BW15))</f>
        <v/>
      </c>
      <c r="BY15" s="5">
        <f>IF(A15="","",IFERROR(IF(ISNUMBER(U15),U15,VALUE(SUBSTITUTE(SUBSTITUTE(SUBSTITUTE(UPPER(TRIM(U15)),"M",""),",","")," ",""))),0))</f>
        <v/>
      </c>
    </row>
    <row r="16" ht="15" customHeight="1" s="74">
      <c r="A16" s="66">
        <f>'Project Database'!A20</f>
        <v/>
      </c>
      <c r="B16" s="66">
        <f>'Project Database'!B20</f>
        <v/>
      </c>
      <c r="C16" s="66">
        <f>'Project Database'!G20</f>
        <v/>
      </c>
      <c r="D16" s="66">
        <f>'Project Database'!H20</f>
        <v/>
      </c>
      <c r="E16" s="66">
        <f>'Project Database'!I20</f>
        <v/>
      </c>
      <c r="F16" s="66">
        <f>'Project Database'!J20</f>
        <v/>
      </c>
      <c r="G16" s="66">
        <f>'Project Database'!K20</f>
        <v/>
      </c>
      <c r="H16" s="66">
        <f>'Project Database'!L20</f>
        <v/>
      </c>
      <c r="I16" s="66">
        <f>'Project Database'!M20</f>
        <v/>
      </c>
      <c r="J16" s="66">
        <f>'Project Database'!N20</f>
        <v/>
      </c>
      <c r="K16" s="66">
        <f>'Project Database'!O20</f>
        <v/>
      </c>
      <c r="L16" s="66">
        <f>'Project Database'!P20</f>
        <v/>
      </c>
      <c r="M16" s="66">
        <f>'Project Database'!Q20</f>
        <v/>
      </c>
      <c r="N16" s="66">
        <f>'Project Database'!R20</f>
        <v/>
      </c>
      <c r="O16" s="66">
        <f>'Project Database'!S20</f>
        <v/>
      </c>
      <c r="P16" s="66">
        <f>'Project Database'!T20</f>
        <v/>
      </c>
      <c r="Q16" s="66">
        <f>'Project Database'!U20</f>
        <v/>
      </c>
      <c r="R16" s="66">
        <f>'Project Database'!V20</f>
        <v/>
      </c>
      <c r="S16" s="66">
        <f>'Project Database'!W20</f>
        <v/>
      </c>
      <c r="T16" s="66">
        <f>'Project Database'!X20</f>
        <v/>
      </c>
      <c r="U16" s="67">
        <f>'Project Database'!Y20</f>
        <v/>
      </c>
      <c r="V16" s="66">
        <f>IF('Smart Search'!B13=1,IFERROR(1/'Smart Search'!H13,0),0)</f>
        <v/>
      </c>
      <c r="W16" s="66">
        <f>IF('Smart Search'!B13=1,IFERROR(1/'Smart Search'!H13,0),0)</f>
        <v/>
      </c>
      <c r="X16" s="66">
        <f>IF('Smart Search'!C13=1,IFERROR(1/'Smart Search'!H13,0),0)</f>
        <v/>
      </c>
      <c r="Y16" s="66">
        <f>IF('Smart Search'!C13=1,IFERROR(1/'Smart Search'!H13,0),0)</f>
        <v/>
      </c>
      <c r="Z16" s="66">
        <f>IF('Smart Search'!D13=1,IFERROR(1/'Smart Search'!H13,0),0)</f>
        <v/>
      </c>
      <c r="AA16" s="66">
        <f>IF('Smart Search'!D13=1,IFERROR(1/'Smart Search'!H13,0),0)</f>
        <v/>
      </c>
      <c r="AB16" s="66">
        <f>IF('Smart Search'!E13=1,IFERROR(1/'Smart Search'!H13,0),0)</f>
        <v/>
      </c>
      <c r="AC16" s="66">
        <f>IF('Smart Search'!E13=1,IFERROR(1/'Smart Search'!H13,0),0)</f>
        <v/>
      </c>
      <c r="AD16" s="66">
        <f>IF('Smart Search'!F13=1,IFERROR(1/'Smart Search'!H13,0),0)</f>
        <v/>
      </c>
      <c r="AE16" s="66">
        <f>IF('Smart Search'!F13=1,IFERROR(1/'Smart Search'!H13,0),0)</f>
        <v/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66">
        <f>AF16*V16</f>
        <v/>
      </c>
      <c r="AQ16" s="66">
        <f>AG16*W16</f>
        <v/>
      </c>
      <c r="AR16" s="66">
        <f>AH16*X16</f>
        <v/>
      </c>
      <c r="AS16" s="66">
        <f>AI16*Y16</f>
        <v/>
      </c>
      <c r="AT16" s="66">
        <f>AJ16*Z16</f>
        <v/>
      </c>
      <c r="AU16" s="66">
        <f>AK16*AA16</f>
        <v/>
      </c>
      <c r="AV16" s="66">
        <f>AL16*AB16</f>
        <v/>
      </c>
      <c r="AW16" s="66">
        <f>AM16*AC16</f>
        <v/>
      </c>
      <c r="AX16" s="66">
        <f>AN16*AD16</f>
        <v/>
      </c>
      <c r="AY16" s="66">
        <f>AO16*AE16</f>
        <v/>
      </c>
      <c r="AZ16" s="66">
        <f>'Project Database'!Z20</f>
        <v/>
      </c>
      <c r="BA16" s="66">
        <f>IF(OR(A16="",'Smart Search'!H13=0),"",MAX(0,BE16*BF16*MAX(0,1-BG16)))</f>
        <v/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66">
        <f>IF('Smart Search'!G13=1,IFERROR(1/'Smart Search'!H13,0),0)</f>
        <v/>
      </c>
      <c r="BD16" s="66">
        <f>BB16*BC16</f>
        <v/>
      </c>
      <c r="BE16" s="66">
        <f>AP16+AQ16+AR16+AS16+AT16+AU16+AV16+AW16+AX16+AY16+BD16</f>
        <v/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5">
        <f>IF(AND('Project Database'!A20&lt;&gt;"",OR('Smart Search'!$L$5="",'Smart Search'!$L$5="All",TRIM('Project Database'!D20)=TRIM('Smart Search'!$L$5)),OR(TRIM('Smart Search'!$L$6)="",TRIM('Smart Search'!$L$6)="All",ISNUMBER(SEARCH(SUBSTITUTE(SUBSTITUTE(SUBSTITUTE(TRIM('Smart Search'!$L$6),"~","~~"),"*","~*"),"?","~?"),'Project Database'!C20))),OR('Smart Search'!$L$7="",AND('Project Database'!E20&lt;&gt;"",'Project Database'!E20='Smart Search'!$L$7)),OR('Smart Search'!$L$8="",'Smart Search'!$L$8="All",TRIM('Project Database'!F20)=TRIM('Smart Search'!$L$8))),IF(BA16="","",BA16+ROW()*0.0000000001),"")</f>
        <v/>
      </c>
      <c r="BI16" s="5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5">
        <f>IF('Project Database'!A20="","",N('Project Database'!AC20))</f>
        <v/>
      </c>
      <c r="BK16" s="5">
        <f>IF('Project Database'!A20="","",N('Project Database'!AD20))</f>
        <v/>
      </c>
      <c r="BL16" s="5">
        <f>IF('Project Database'!A20="","",N('Project Database'!AE20))</f>
        <v/>
      </c>
      <c r="BM16" s="5">
        <f>IF('Project Database'!A20="","",N('Project Database'!AF20))</f>
        <v/>
      </c>
      <c r="BN16" s="5">
        <f>IF('Project Database'!A20="","",N('Project Database'!AG20))</f>
        <v/>
      </c>
      <c r="BO16" s="5">
        <f>IF('Project Database'!A20="","",N('Project Database'!AH20))</f>
        <v/>
      </c>
      <c r="BP16" s="5">
        <f>IF('Project Database'!A20="","",N('Project Database'!AI20))</f>
        <v/>
      </c>
      <c r="BQ16" s="5">
        <f>IF('Project Database'!A20="","",N('Project Database'!AJ20))</f>
        <v/>
      </c>
      <c r="BR16" s="5">
        <f>IF('Project Database'!A20="","",N('Project Database'!AK20))</f>
        <v/>
      </c>
      <c r="BS16" s="5">
        <f>IF('Project Database'!A20="","",N('Project Database'!AL20))</f>
        <v/>
      </c>
      <c r="BT16" s="5">
        <f>IF('Project Database'!A20="","",N('Project Database'!AM20))</f>
        <v/>
      </c>
      <c r="BU16" s="5">
        <f>IF('Project Database'!A20="","",N('Project Database'!AN20))</f>
        <v/>
      </c>
      <c r="BV16" s="5">
        <f>IF('Project Database'!A20="","",N('Project Database'!AO20))</f>
        <v/>
      </c>
      <c r="BW16" s="5">
        <f>IF('Project Database'!A20="","",N('Project Database'!AP20))</f>
        <v/>
      </c>
      <c r="BX16" s="5">
        <f>IF(A16="","",SUM(BJ16:BW16))</f>
        <v/>
      </c>
      <c r="BY16" s="5">
        <f>IF(A16="","",IFERROR(IF(ISNUMBER(U16),U16,VALUE(SUBSTITUTE(SUBSTITUTE(SUBSTITUTE(UPPER(TRIM(U16)),"M",""),",","")," ",""))),0))</f>
        <v/>
      </c>
    </row>
    <row r="17" ht="15" customHeight="1" s="74">
      <c r="A17" s="66">
        <f>'Project Database'!A21</f>
        <v/>
      </c>
      <c r="B17" s="66">
        <f>'Project Database'!B21</f>
        <v/>
      </c>
      <c r="C17" s="66">
        <f>'Project Database'!G21</f>
        <v/>
      </c>
      <c r="D17" s="66">
        <f>'Project Database'!H21</f>
        <v/>
      </c>
      <c r="E17" s="66">
        <f>'Project Database'!I21</f>
        <v/>
      </c>
      <c r="F17" s="66">
        <f>'Project Database'!J21</f>
        <v/>
      </c>
      <c r="G17" s="66">
        <f>'Project Database'!K21</f>
        <v/>
      </c>
      <c r="H17" s="66">
        <f>'Project Database'!L21</f>
        <v/>
      </c>
      <c r="I17" s="66">
        <f>'Project Database'!M21</f>
        <v/>
      </c>
      <c r="J17" s="66">
        <f>'Project Database'!N21</f>
        <v/>
      </c>
      <c r="K17" s="66">
        <f>'Project Database'!O21</f>
        <v/>
      </c>
      <c r="L17" s="66">
        <f>'Project Database'!P21</f>
        <v/>
      </c>
      <c r="M17" s="66">
        <f>'Project Database'!Q21</f>
        <v/>
      </c>
      <c r="N17" s="66">
        <f>'Project Database'!R21</f>
        <v/>
      </c>
      <c r="O17" s="66">
        <f>'Project Database'!S21</f>
        <v/>
      </c>
      <c r="P17" s="66">
        <f>'Project Database'!T21</f>
        <v/>
      </c>
      <c r="Q17" s="66">
        <f>'Project Database'!U21</f>
        <v/>
      </c>
      <c r="R17" s="66">
        <f>'Project Database'!V21</f>
        <v/>
      </c>
      <c r="S17" s="66">
        <f>'Project Database'!W21</f>
        <v/>
      </c>
      <c r="T17" s="66">
        <f>'Project Database'!X21</f>
        <v/>
      </c>
      <c r="U17" s="67">
        <f>'Project Database'!Y21</f>
        <v/>
      </c>
      <c r="V17" s="66">
        <f>IF('Smart Search'!B13=1,IFERROR(1/'Smart Search'!H13,0),0)</f>
        <v/>
      </c>
      <c r="W17" s="66">
        <f>IF('Smart Search'!B13=1,IFERROR(1/'Smart Search'!H13,0),0)</f>
        <v/>
      </c>
      <c r="X17" s="66">
        <f>IF('Smart Search'!C13=1,IFERROR(1/'Smart Search'!H13,0),0)</f>
        <v/>
      </c>
      <c r="Y17" s="66">
        <f>IF('Smart Search'!C13=1,IFERROR(1/'Smart Search'!H13,0),0)</f>
        <v/>
      </c>
      <c r="Z17" s="66">
        <f>IF('Smart Search'!D13=1,IFERROR(1/'Smart Search'!H13,0),0)</f>
        <v/>
      </c>
      <c r="AA17" s="66">
        <f>IF('Smart Search'!D13=1,IFERROR(1/'Smart Search'!H13,0),0)</f>
        <v/>
      </c>
      <c r="AB17" s="66">
        <f>IF('Smart Search'!E13=1,IFERROR(1/'Smart Search'!H13,0),0)</f>
        <v/>
      </c>
      <c r="AC17" s="66">
        <f>IF('Smart Search'!E13=1,IFERROR(1/'Smart Search'!H13,0),0)</f>
        <v/>
      </c>
      <c r="AD17" s="66">
        <f>IF('Smart Search'!F13=1,IFERROR(1/'Smart Search'!H13,0),0)</f>
        <v/>
      </c>
      <c r="AE17" s="66">
        <f>IF('Smart Search'!F13=1,IFERROR(1/'Smart Search'!H13,0),0)</f>
        <v/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66">
        <f>AF17*V17</f>
        <v/>
      </c>
      <c r="AQ17" s="66">
        <f>AG17*W17</f>
        <v/>
      </c>
      <c r="AR17" s="66">
        <f>AH17*X17</f>
        <v/>
      </c>
      <c r="AS17" s="66">
        <f>AI17*Y17</f>
        <v/>
      </c>
      <c r="AT17" s="66">
        <f>AJ17*Z17</f>
        <v/>
      </c>
      <c r="AU17" s="66">
        <f>AK17*AA17</f>
        <v/>
      </c>
      <c r="AV17" s="66">
        <f>AL17*AB17</f>
        <v/>
      </c>
      <c r="AW17" s="66">
        <f>AM17*AC17</f>
        <v/>
      </c>
      <c r="AX17" s="66">
        <f>AN17*AD17</f>
        <v/>
      </c>
      <c r="AY17" s="66">
        <f>AO17*AE17</f>
        <v/>
      </c>
      <c r="AZ17" s="66">
        <f>'Project Database'!Z21</f>
        <v/>
      </c>
      <c r="BA17" s="66">
        <f>IF(OR(A17="",'Smart Search'!H13=0),"",MAX(0,BE17*BF17*MAX(0,1-BG17)))</f>
        <v/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66">
        <f>IF('Smart Search'!G13=1,IFERROR(1/'Smart Search'!H13,0),0)</f>
        <v/>
      </c>
      <c r="BD17" s="66">
        <f>BB17*BC17</f>
        <v/>
      </c>
      <c r="BE17" s="66">
        <f>AP17+AQ17+AR17+AS17+AT17+AU17+AV17+AW17+AX17+AY17+BD17</f>
        <v/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5">
        <f>IF(AND('Project Database'!A21&lt;&gt;"",OR('Smart Search'!$L$5="",'Smart Search'!$L$5="All",TRIM('Project Database'!D21)=TRIM('Smart Search'!$L$5)),OR(TRIM('Smart Search'!$L$6)="",TRIM('Smart Search'!$L$6)="All",ISNUMBER(SEARCH(SUBSTITUTE(SUBSTITUTE(SUBSTITUTE(TRIM('Smart Search'!$L$6),"~","~~"),"*","~*"),"?","~?"),'Project Database'!C21))),OR('Smart Search'!$L$7="",AND('Project Database'!E21&lt;&gt;"",'Project Database'!E21='Smart Search'!$L$7)),OR('Smart Search'!$L$8="",'Smart Search'!$L$8="All",TRIM('Project Database'!F21)=TRIM('Smart Search'!$L$8))),IF(BA17="","",BA17+ROW()*0.0000000001),"")</f>
        <v/>
      </c>
      <c r="BI17" s="5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IF('Project Database'!A21="","",N('Project Database'!AC21))</f>
        <v/>
      </c>
      <c r="BK17" s="5">
        <f>IF('Project Database'!A21="","",N('Project Database'!AD21))</f>
        <v/>
      </c>
      <c r="BL17" s="5">
        <f>IF('Project Database'!A21="","",N('Project Database'!AE21))</f>
        <v/>
      </c>
      <c r="BM17" s="5">
        <f>IF('Project Database'!A21="","",N('Project Database'!AF21))</f>
        <v/>
      </c>
      <c r="BN17" s="5">
        <f>IF('Project Database'!A21="","",N('Project Database'!AG21))</f>
        <v/>
      </c>
      <c r="BO17" s="5">
        <f>IF('Project Database'!A21="","",N('Project Database'!AH21))</f>
        <v/>
      </c>
      <c r="BP17" s="5">
        <f>IF('Project Database'!A21="","",N('Project Database'!AI21))</f>
        <v/>
      </c>
      <c r="BQ17" s="5">
        <f>IF('Project Database'!A21="","",N('Project Database'!AJ21))</f>
        <v/>
      </c>
      <c r="BR17" s="5">
        <f>IF('Project Database'!A21="","",N('Project Database'!AK21))</f>
        <v/>
      </c>
      <c r="BS17" s="5">
        <f>IF('Project Database'!A21="","",N('Project Database'!AL21))</f>
        <v/>
      </c>
      <c r="BT17" s="5">
        <f>IF('Project Database'!A21="","",N('Project Database'!AM21))</f>
        <v/>
      </c>
      <c r="BU17" s="5">
        <f>IF('Project Database'!A21="","",N('Project Database'!AN21))</f>
        <v/>
      </c>
      <c r="BV17" s="5">
        <f>IF('Project Database'!A21="","",N('Project Database'!AO21))</f>
        <v/>
      </c>
      <c r="BW17" s="5">
        <f>IF('Project Database'!A21="","",N('Project Database'!AP21))</f>
        <v/>
      </c>
      <c r="BX17" s="5">
        <f>IF(A17="","",SUM(BJ17:BW17))</f>
        <v/>
      </c>
      <c r="BY17" s="5">
        <f>IF(A17="","",IFERROR(IF(ISNUMBER(U17),U17,VALUE(SUBSTITUTE(SUBSTITUTE(SUBSTITUTE(UPPER(TRIM(U17)),"M",""),",","")," ",""))),0))</f>
        <v/>
      </c>
    </row>
    <row r="18" ht="15" customHeight="1" s="74">
      <c r="A18" s="66">
        <f>'Project Database'!A22</f>
        <v/>
      </c>
      <c r="B18" s="66">
        <f>'Project Database'!B22</f>
        <v/>
      </c>
      <c r="C18" s="66">
        <f>'Project Database'!G22</f>
        <v/>
      </c>
      <c r="D18" s="66">
        <f>'Project Database'!H22</f>
        <v/>
      </c>
      <c r="E18" s="66">
        <f>'Project Database'!I22</f>
        <v/>
      </c>
      <c r="F18" s="66">
        <f>'Project Database'!J22</f>
        <v/>
      </c>
      <c r="G18" s="66">
        <f>'Project Database'!K22</f>
        <v/>
      </c>
      <c r="H18" s="66">
        <f>'Project Database'!L22</f>
        <v/>
      </c>
      <c r="I18" s="66">
        <f>'Project Database'!M22</f>
        <v/>
      </c>
      <c r="J18" s="66">
        <f>'Project Database'!N22</f>
        <v/>
      </c>
      <c r="K18" s="66">
        <f>'Project Database'!O22</f>
        <v/>
      </c>
      <c r="L18" s="66">
        <f>'Project Database'!P22</f>
        <v/>
      </c>
      <c r="M18" s="66">
        <f>'Project Database'!Q22</f>
        <v/>
      </c>
      <c r="N18" s="66">
        <f>'Project Database'!R22</f>
        <v/>
      </c>
      <c r="O18" s="66">
        <f>'Project Database'!S22</f>
        <v/>
      </c>
      <c r="P18" s="66">
        <f>'Project Database'!T22</f>
        <v/>
      </c>
      <c r="Q18" s="66">
        <f>'Project Database'!U22</f>
        <v/>
      </c>
      <c r="R18" s="66">
        <f>'Project Database'!V22</f>
        <v/>
      </c>
      <c r="S18" s="66">
        <f>'Project Database'!W22</f>
        <v/>
      </c>
      <c r="T18" s="66">
        <f>'Project Database'!X22</f>
        <v/>
      </c>
      <c r="U18" s="67">
        <f>'Project Database'!Y22</f>
        <v/>
      </c>
      <c r="V18" s="66">
        <f>IF('Smart Search'!B13=1,IFERROR(1/'Smart Search'!H13,0),0)</f>
        <v/>
      </c>
      <c r="W18" s="66">
        <f>IF('Smart Search'!B13=1,IFERROR(1/'Smart Search'!H13,0),0)</f>
        <v/>
      </c>
      <c r="X18" s="66">
        <f>IF('Smart Search'!C13=1,IFERROR(1/'Smart Search'!H13,0),0)</f>
        <v/>
      </c>
      <c r="Y18" s="66">
        <f>IF('Smart Search'!C13=1,IFERROR(1/'Smart Search'!H13,0),0)</f>
        <v/>
      </c>
      <c r="Z18" s="66">
        <f>IF('Smart Search'!D13=1,IFERROR(1/'Smart Search'!H13,0),0)</f>
        <v/>
      </c>
      <c r="AA18" s="66">
        <f>IF('Smart Search'!D13=1,IFERROR(1/'Smart Search'!H13,0),0)</f>
        <v/>
      </c>
      <c r="AB18" s="66">
        <f>IF('Smart Search'!E13=1,IFERROR(1/'Smart Search'!H13,0),0)</f>
        <v/>
      </c>
      <c r="AC18" s="66">
        <f>IF('Smart Search'!E13=1,IFERROR(1/'Smart Search'!H13,0),0)</f>
        <v/>
      </c>
      <c r="AD18" s="66">
        <f>IF('Smart Search'!F13=1,IFERROR(1/'Smart Search'!H13,0),0)</f>
        <v/>
      </c>
      <c r="AE18" s="66">
        <f>IF('Smart Search'!F13=1,IFERROR(1/'Smart Search'!H13,0),0)</f>
        <v/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66">
        <f>AF18*V18</f>
        <v/>
      </c>
      <c r="AQ18" s="66">
        <f>AG18*W18</f>
        <v/>
      </c>
      <c r="AR18" s="66">
        <f>AH18*X18</f>
        <v/>
      </c>
      <c r="AS18" s="66">
        <f>AI18*Y18</f>
        <v/>
      </c>
      <c r="AT18" s="66">
        <f>AJ18*Z18</f>
        <v/>
      </c>
      <c r="AU18" s="66">
        <f>AK18*AA18</f>
        <v/>
      </c>
      <c r="AV18" s="66">
        <f>AL18*AB18</f>
        <v/>
      </c>
      <c r="AW18" s="66">
        <f>AM18*AC18</f>
        <v/>
      </c>
      <c r="AX18" s="66">
        <f>AN18*AD18</f>
        <v/>
      </c>
      <c r="AY18" s="66">
        <f>AO18*AE18</f>
        <v/>
      </c>
      <c r="AZ18" s="66">
        <f>'Project Database'!Z22</f>
        <v/>
      </c>
      <c r="BA18" s="66">
        <f>IF(OR(A18="",'Smart Search'!H13=0),"",MAX(0,BE18*BF18*MAX(0,1-BG18)))</f>
        <v/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66">
        <f>IF('Smart Search'!G13=1,IFERROR(1/'Smart Search'!H13,0),0)</f>
        <v/>
      </c>
      <c r="BD18" s="66">
        <f>BB18*BC18</f>
        <v/>
      </c>
      <c r="BE18" s="66">
        <f>AP18+AQ18+AR18+AS18+AT18+AU18+AV18+AW18+AX18+AY18+BD18</f>
        <v/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5">
        <f>IF(AND('Project Database'!A22&lt;&gt;"",OR('Smart Search'!$L$5="",'Smart Search'!$L$5="All",TRIM('Project Database'!D22)=TRIM('Smart Search'!$L$5)),OR(TRIM('Smart Search'!$L$6)="",TRIM('Smart Search'!$L$6)="All",ISNUMBER(SEARCH(SUBSTITUTE(SUBSTITUTE(SUBSTITUTE(TRIM('Smart Search'!$L$6),"~","~~"),"*","~*"),"?","~?"),'Project Database'!C22))),OR('Smart Search'!$L$7="",AND('Project Database'!E22&lt;&gt;"",'Project Database'!E22='Smart Search'!$L$7)),OR('Smart Search'!$L$8="",'Smart Search'!$L$8="All",TRIM('Project Database'!F22)=TRIM('Smart Search'!$L$8))),IF(BA18="","",BA18+ROW()*0.0000000001),"")</f>
        <v/>
      </c>
      <c r="BI18" s="5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IF('Project Database'!A22="","",N('Project Database'!AC22))</f>
        <v/>
      </c>
      <c r="BK18" s="5">
        <f>IF('Project Database'!A22="","",N('Project Database'!AD22))</f>
        <v/>
      </c>
      <c r="BL18" s="5">
        <f>IF('Project Database'!A22="","",N('Project Database'!AE22))</f>
        <v/>
      </c>
      <c r="BM18" s="5">
        <f>IF('Project Database'!A22="","",N('Project Database'!AF22))</f>
        <v/>
      </c>
      <c r="BN18" s="5">
        <f>IF('Project Database'!A22="","",N('Project Database'!AG22))</f>
        <v/>
      </c>
      <c r="BO18" s="5">
        <f>IF('Project Database'!A22="","",N('Project Database'!AH22))</f>
        <v/>
      </c>
      <c r="BP18" s="5">
        <f>IF('Project Database'!A22="","",N('Project Database'!AI22))</f>
        <v/>
      </c>
      <c r="BQ18" s="5">
        <f>IF('Project Database'!A22="","",N('Project Database'!AJ22))</f>
        <v/>
      </c>
      <c r="BR18" s="5">
        <f>IF('Project Database'!A22="","",N('Project Database'!AK22))</f>
        <v/>
      </c>
      <c r="BS18" s="5">
        <f>IF('Project Database'!A22="","",N('Project Database'!AL22))</f>
        <v/>
      </c>
      <c r="BT18" s="5">
        <f>IF('Project Database'!A22="","",N('Project Database'!AM22))</f>
        <v/>
      </c>
      <c r="BU18" s="5">
        <f>IF('Project Database'!A22="","",N('Project Database'!AN22))</f>
        <v/>
      </c>
      <c r="BV18" s="5">
        <f>IF('Project Database'!A22="","",N('Project Database'!AO22))</f>
        <v/>
      </c>
      <c r="BW18" s="5">
        <f>IF('Project Database'!A22="","",N('Project Database'!AP22))</f>
        <v/>
      </c>
      <c r="BX18" s="5">
        <f>IF(A18="","",SUM(BJ18:BW18))</f>
        <v/>
      </c>
      <c r="BY18" s="5">
        <f>IF(A18="","",IFERROR(IF(ISNUMBER(U18),U18,VALUE(SUBSTITUTE(SUBSTITUTE(SUBSTITUTE(UPPER(TRIM(U18)),"M",""),",","")," ",""))),0))</f>
        <v/>
      </c>
    </row>
    <row r="19" ht="15" customHeight="1" s="74">
      <c r="A19" s="66">
        <f>'Project Database'!A23</f>
        <v/>
      </c>
      <c r="B19" s="66">
        <f>'Project Database'!B23</f>
        <v/>
      </c>
      <c r="C19" s="66">
        <f>'Project Database'!G23</f>
        <v/>
      </c>
      <c r="D19" s="66">
        <f>'Project Database'!H23</f>
        <v/>
      </c>
      <c r="E19" s="66">
        <f>'Project Database'!I23</f>
        <v/>
      </c>
      <c r="F19" s="66">
        <f>'Project Database'!J23</f>
        <v/>
      </c>
      <c r="G19" s="66">
        <f>'Project Database'!K23</f>
        <v/>
      </c>
      <c r="H19" s="66">
        <f>'Project Database'!L23</f>
        <v/>
      </c>
      <c r="I19" s="66">
        <f>'Project Database'!M23</f>
        <v/>
      </c>
      <c r="J19" s="66">
        <f>'Project Database'!N23</f>
        <v/>
      </c>
      <c r="K19" s="66">
        <f>'Project Database'!O23</f>
        <v/>
      </c>
      <c r="L19" s="66">
        <f>'Project Database'!P23</f>
        <v/>
      </c>
      <c r="M19" s="66">
        <f>'Project Database'!Q23</f>
        <v/>
      </c>
      <c r="N19" s="66">
        <f>'Project Database'!R23</f>
        <v/>
      </c>
      <c r="O19" s="66">
        <f>'Project Database'!S23</f>
        <v/>
      </c>
      <c r="P19" s="66">
        <f>'Project Database'!T23</f>
        <v/>
      </c>
      <c r="Q19" s="66">
        <f>'Project Database'!U23</f>
        <v/>
      </c>
      <c r="R19" s="66">
        <f>'Project Database'!V23</f>
        <v/>
      </c>
      <c r="S19" s="66">
        <f>'Project Database'!W23</f>
        <v/>
      </c>
      <c r="T19" s="66">
        <f>'Project Database'!X23</f>
        <v/>
      </c>
      <c r="U19" s="67">
        <f>'Project Database'!Y23</f>
        <v/>
      </c>
      <c r="V19" s="66">
        <f>IF('Smart Search'!B13=1,IFERROR(1/'Smart Search'!H13,0),0)</f>
        <v/>
      </c>
      <c r="W19" s="66">
        <f>IF('Smart Search'!B13=1,IFERROR(1/'Smart Search'!H13,0),0)</f>
        <v/>
      </c>
      <c r="X19" s="66">
        <f>IF('Smart Search'!C13=1,IFERROR(1/'Smart Search'!H13,0),0)</f>
        <v/>
      </c>
      <c r="Y19" s="66">
        <f>IF('Smart Search'!C13=1,IFERROR(1/'Smart Search'!H13,0),0)</f>
        <v/>
      </c>
      <c r="Z19" s="66">
        <f>IF('Smart Search'!D13=1,IFERROR(1/'Smart Search'!H13,0),0)</f>
        <v/>
      </c>
      <c r="AA19" s="66">
        <f>IF('Smart Search'!D13=1,IFERROR(1/'Smart Search'!H13,0),0)</f>
        <v/>
      </c>
      <c r="AB19" s="66">
        <f>IF('Smart Search'!E13=1,IFERROR(1/'Smart Search'!H13,0),0)</f>
        <v/>
      </c>
      <c r="AC19" s="66">
        <f>IF('Smart Search'!E13=1,IFERROR(1/'Smart Search'!H13,0),0)</f>
        <v/>
      </c>
      <c r="AD19" s="66">
        <f>IF('Smart Search'!F13=1,IFERROR(1/'Smart Search'!H13,0),0)</f>
        <v/>
      </c>
      <c r="AE19" s="66">
        <f>IF('Smart Search'!F13=1,IFERROR(1/'Smart Search'!H13,0),0)</f>
        <v/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66">
        <f>AF19*V19</f>
        <v/>
      </c>
      <c r="AQ19" s="66">
        <f>AG19*W19</f>
        <v/>
      </c>
      <c r="AR19" s="66">
        <f>AH19*X19</f>
        <v/>
      </c>
      <c r="AS19" s="66">
        <f>AI19*Y19</f>
        <v/>
      </c>
      <c r="AT19" s="66">
        <f>AJ19*Z19</f>
        <v/>
      </c>
      <c r="AU19" s="66">
        <f>AK19*AA19</f>
        <v/>
      </c>
      <c r="AV19" s="66">
        <f>AL19*AB19</f>
        <v/>
      </c>
      <c r="AW19" s="66">
        <f>AM19*AC19</f>
        <v/>
      </c>
      <c r="AX19" s="66">
        <f>AN19*AD19</f>
        <v/>
      </c>
      <c r="AY19" s="66">
        <f>AO19*AE19</f>
        <v/>
      </c>
      <c r="AZ19" s="66">
        <f>'Project Database'!Z23</f>
        <v/>
      </c>
      <c r="BA19" s="66">
        <f>IF(OR(A19="",'Smart Search'!H13=0),"",MAX(0,BE19*BF19*MAX(0,1-BG19)))</f>
        <v/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66">
        <f>IF('Smart Search'!G13=1,IFERROR(1/'Smart Search'!H13,0),0)</f>
        <v/>
      </c>
      <c r="BD19" s="66">
        <f>BB19*BC19</f>
        <v/>
      </c>
      <c r="BE19" s="66">
        <f>AP19+AQ19+AR19+AS19+AT19+AU19+AV19+AW19+AX19+AY19+BD19</f>
        <v/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5">
        <f>IF(AND('Project Database'!A23&lt;&gt;"",OR('Smart Search'!$L$5="",'Smart Search'!$L$5="All",TRIM('Project Database'!D23)=TRIM('Smart Search'!$L$5)),OR(TRIM('Smart Search'!$L$6)="",TRIM('Smart Search'!$L$6)="All",ISNUMBER(SEARCH(SUBSTITUTE(SUBSTITUTE(SUBSTITUTE(TRIM('Smart Search'!$L$6),"~","~~"),"*","~*"),"?","~?"),'Project Database'!C23))),OR('Smart Search'!$L$7="",AND('Project Database'!E23&lt;&gt;"",'Project Database'!E23='Smart Search'!$L$7)),OR('Smart Search'!$L$8="",'Smart Search'!$L$8="All",TRIM('Project Database'!F23)=TRIM('Smart Search'!$L$8))),IF(BA19="","",BA19+ROW()*0.0000000001),"")</f>
        <v/>
      </c>
      <c r="BI19" s="5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5">
        <f>IF('Project Database'!A23="","",N('Project Database'!AC23))</f>
        <v/>
      </c>
      <c r="BK19" s="5">
        <f>IF('Project Database'!A23="","",N('Project Database'!AD23))</f>
        <v/>
      </c>
      <c r="BL19" s="5">
        <f>IF('Project Database'!A23="","",N('Project Database'!AE23))</f>
        <v/>
      </c>
      <c r="BM19" s="5">
        <f>IF('Project Database'!A23="","",N('Project Database'!AF23))</f>
        <v/>
      </c>
      <c r="BN19" s="5">
        <f>IF('Project Database'!A23="","",N('Project Database'!AG23))</f>
        <v/>
      </c>
      <c r="BO19" s="5">
        <f>IF('Project Database'!A23="","",N('Project Database'!AH23))</f>
        <v/>
      </c>
      <c r="BP19" s="5">
        <f>IF('Project Database'!A23="","",N('Project Database'!AI23))</f>
        <v/>
      </c>
      <c r="BQ19" s="5">
        <f>IF('Project Database'!A23="","",N('Project Database'!AJ23))</f>
        <v/>
      </c>
      <c r="BR19" s="5">
        <f>IF('Project Database'!A23="","",N('Project Database'!AK23))</f>
        <v/>
      </c>
      <c r="BS19" s="5">
        <f>IF('Project Database'!A23="","",N('Project Database'!AL23))</f>
        <v/>
      </c>
      <c r="BT19" s="5">
        <f>IF('Project Database'!A23="","",N('Project Database'!AM23))</f>
        <v/>
      </c>
      <c r="BU19" s="5">
        <f>IF('Project Database'!A23="","",N('Project Database'!AN23))</f>
        <v/>
      </c>
      <c r="BV19" s="5">
        <f>IF('Project Database'!A23="","",N('Project Database'!AO23))</f>
        <v/>
      </c>
      <c r="BW19" s="5">
        <f>IF('Project Database'!A23="","",N('Project Database'!AP23))</f>
        <v/>
      </c>
      <c r="BX19" s="5">
        <f>IF(A19="","",SUM(BJ19:BW19))</f>
        <v/>
      </c>
      <c r="BY19" s="5">
        <f>IF(A19="","",IFERROR(IF(ISNUMBER(U19),U19,VALUE(SUBSTITUTE(SUBSTITUTE(SUBSTITUTE(UPPER(TRIM(U19)),"M",""),",","")," ",""))),0))</f>
        <v/>
      </c>
    </row>
    <row r="20" ht="15" customHeight="1" s="74">
      <c r="A20" s="66">
        <f>'Project Database'!A24</f>
        <v/>
      </c>
      <c r="B20" s="66">
        <f>'Project Database'!B24</f>
        <v/>
      </c>
      <c r="C20" s="66">
        <f>'Project Database'!G24</f>
        <v/>
      </c>
      <c r="D20" s="66">
        <f>'Project Database'!H24</f>
        <v/>
      </c>
      <c r="E20" s="66">
        <f>'Project Database'!I24</f>
        <v/>
      </c>
      <c r="F20" s="66">
        <f>'Project Database'!J24</f>
        <v/>
      </c>
      <c r="G20" s="66">
        <f>'Project Database'!K24</f>
        <v/>
      </c>
      <c r="H20" s="66">
        <f>'Project Database'!L24</f>
        <v/>
      </c>
      <c r="I20" s="66">
        <f>'Project Database'!M24</f>
        <v/>
      </c>
      <c r="J20" s="66">
        <f>'Project Database'!N24</f>
        <v/>
      </c>
      <c r="K20" s="66">
        <f>'Project Database'!O24</f>
        <v/>
      </c>
      <c r="L20" s="66">
        <f>'Project Database'!P24</f>
        <v/>
      </c>
      <c r="M20" s="66">
        <f>'Project Database'!Q24</f>
        <v/>
      </c>
      <c r="N20" s="66">
        <f>'Project Database'!R24</f>
        <v/>
      </c>
      <c r="O20" s="66">
        <f>'Project Database'!S24</f>
        <v/>
      </c>
      <c r="P20" s="66">
        <f>'Project Database'!T24</f>
        <v/>
      </c>
      <c r="Q20" s="66">
        <f>'Project Database'!U24</f>
        <v/>
      </c>
      <c r="R20" s="66">
        <f>'Project Database'!V24</f>
        <v/>
      </c>
      <c r="S20" s="66">
        <f>'Project Database'!W24</f>
        <v/>
      </c>
      <c r="T20" s="66">
        <f>'Project Database'!X24</f>
        <v/>
      </c>
      <c r="U20" s="67">
        <f>'Project Database'!Y24</f>
        <v/>
      </c>
      <c r="V20" s="66">
        <f>IF('Smart Search'!B13=1,IFERROR(1/'Smart Search'!H13,0),0)</f>
        <v/>
      </c>
      <c r="W20" s="66">
        <f>IF('Smart Search'!B13=1,IFERROR(1/'Smart Search'!H13,0),0)</f>
        <v/>
      </c>
      <c r="X20" s="66">
        <f>IF('Smart Search'!C13=1,IFERROR(1/'Smart Search'!H13,0),0)</f>
        <v/>
      </c>
      <c r="Y20" s="66">
        <f>IF('Smart Search'!C13=1,IFERROR(1/'Smart Search'!H13,0),0)</f>
        <v/>
      </c>
      <c r="Z20" s="66">
        <f>IF('Smart Search'!D13=1,IFERROR(1/'Smart Search'!H13,0),0)</f>
        <v/>
      </c>
      <c r="AA20" s="66">
        <f>IF('Smart Search'!D13=1,IFERROR(1/'Smart Search'!H13,0),0)</f>
        <v/>
      </c>
      <c r="AB20" s="66">
        <f>IF('Smart Search'!E13=1,IFERROR(1/'Smart Search'!H13,0),0)</f>
        <v/>
      </c>
      <c r="AC20" s="66">
        <f>IF('Smart Search'!E13=1,IFERROR(1/'Smart Search'!H13,0),0)</f>
        <v/>
      </c>
      <c r="AD20" s="66">
        <f>IF('Smart Search'!F13=1,IFERROR(1/'Smart Search'!H13,0),0)</f>
        <v/>
      </c>
      <c r="AE20" s="66">
        <f>IF('Smart Search'!F13=1,IFERROR(1/'Smart Search'!H13,0),0)</f>
        <v/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66">
        <f>AF20*V20</f>
        <v/>
      </c>
      <c r="AQ20" s="66">
        <f>AG20*W20</f>
        <v/>
      </c>
      <c r="AR20" s="66">
        <f>AH20*X20</f>
        <v/>
      </c>
      <c r="AS20" s="66">
        <f>AI20*Y20</f>
        <v/>
      </c>
      <c r="AT20" s="66">
        <f>AJ20*Z20</f>
        <v/>
      </c>
      <c r="AU20" s="66">
        <f>AK20*AA20</f>
        <v/>
      </c>
      <c r="AV20" s="66">
        <f>AL20*AB20</f>
        <v/>
      </c>
      <c r="AW20" s="66">
        <f>AM20*AC20</f>
        <v/>
      </c>
      <c r="AX20" s="66">
        <f>AN20*AD20</f>
        <v/>
      </c>
      <c r="AY20" s="66">
        <f>AO20*AE20</f>
        <v/>
      </c>
      <c r="AZ20" s="66">
        <f>'Project Database'!Z24</f>
        <v/>
      </c>
      <c r="BA20" s="66">
        <f>IF(OR(A20="",'Smart Search'!H13=0),"",MAX(0,BE20*BF20*MAX(0,1-BG20)))</f>
        <v/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66">
        <f>IF('Smart Search'!G13=1,IFERROR(1/'Smart Search'!H13,0),0)</f>
        <v/>
      </c>
      <c r="BD20" s="66">
        <f>BB20*BC20</f>
        <v/>
      </c>
      <c r="BE20" s="66">
        <f>AP20+AQ20+AR20+AS20+AT20+AU20+AV20+AW20+AX20+AY20+BD20</f>
        <v/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5">
        <f>IF(AND('Project Database'!A24&lt;&gt;"",OR('Smart Search'!$L$5="",'Smart Search'!$L$5="All",TRIM('Project Database'!D24)=TRIM('Smart Search'!$L$5)),OR(TRIM('Smart Search'!$L$6)="",TRIM('Smart Search'!$L$6)="All",ISNUMBER(SEARCH(SUBSTITUTE(SUBSTITUTE(SUBSTITUTE(TRIM('Smart Search'!$L$6),"~","~~"),"*","~*"),"?","~?"),'Project Database'!C24))),OR('Smart Search'!$L$7="",AND('Project Database'!E24&lt;&gt;"",'Project Database'!E24='Smart Search'!$L$7)),OR('Smart Search'!$L$8="",'Smart Search'!$L$8="All",TRIM('Project Database'!F24)=TRIM('Smart Search'!$L$8))),IF(BA20="","",BA20+ROW()*0.0000000001),"")</f>
        <v/>
      </c>
      <c r="BI20" s="5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5">
        <f>IF('Project Database'!A24="","",N('Project Database'!AC24))</f>
        <v/>
      </c>
      <c r="BK20" s="5">
        <f>IF('Project Database'!A24="","",N('Project Database'!AD24))</f>
        <v/>
      </c>
      <c r="BL20" s="5">
        <f>IF('Project Database'!A24="","",N('Project Database'!AE24))</f>
        <v/>
      </c>
      <c r="BM20" s="5">
        <f>IF('Project Database'!A24="","",N('Project Database'!AF24))</f>
        <v/>
      </c>
      <c r="BN20" s="5">
        <f>IF('Project Database'!A24="","",N('Project Database'!AG24))</f>
        <v/>
      </c>
      <c r="BO20" s="5">
        <f>IF('Project Database'!A24="","",N('Project Database'!AH24))</f>
        <v/>
      </c>
      <c r="BP20" s="5">
        <f>IF('Project Database'!A24="","",N('Project Database'!AI24))</f>
        <v/>
      </c>
      <c r="BQ20" s="5">
        <f>IF('Project Database'!A24="","",N('Project Database'!AJ24))</f>
        <v/>
      </c>
      <c r="BR20" s="5">
        <f>IF('Project Database'!A24="","",N('Project Database'!AK24))</f>
        <v/>
      </c>
      <c r="BS20" s="5">
        <f>IF('Project Database'!A24="","",N('Project Database'!AL24))</f>
        <v/>
      </c>
      <c r="BT20" s="5">
        <f>IF('Project Database'!A24="","",N('Project Database'!AM24))</f>
        <v/>
      </c>
      <c r="BU20" s="5">
        <f>IF('Project Database'!A24="","",N('Project Database'!AN24))</f>
        <v/>
      </c>
      <c r="BV20" s="5">
        <f>IF('Project Database'!A24="","",N('Project Database'!AO24))</f>
        <v/>
      </c>
      <c r="BW20" s="5">
        <f>IF('Project Database'!A24="","",N('Project Database'!AP24))</f>
        <v/>
      </c>
      <c r="BX20" s="5">
        <f>IF(A20="","",SUM(BJ20:BW20))</f>
        <v/>
      </c>
      <c r="BY20" s="5">
        <f>IF(A20="","",IFERROR(IF(ISNUMBER(U20),U20,VALUE(SUBSTITUTE(SUBSTITUTE(SUBSTITUTE(UPPER(TRIM(U20)),"M",""),",","")," ",""))),0))</f>
        <v/>
      </c>
    </row>
    <row r="21" ht="15" customHeight="1" s="74">
      <c r="A21" s="66">
        <f>'Project Database'!A25</f>
        <v/>
      </c>
      <c r="B21" s="66">
        <f>'Project Database'!B25</f>
        <v/>
      </c>
      <c r="C21" s="66">
        <f>'Project Database'!G25</f>
        <v/>
      </c>
      <c r="D21" s="66">
        <f>'Project Database'!H25</f>
        <v/>
      </c>
      <c r="E21" s="66">
        <f>'Project Database'!I25</f>
        <v/>
      </c>
      <c r="F21" s="66">
        <f>'Project Database'!J25</f>
        <v/>
      </c>
      <c r="G21" s="66">
        <f>'Project Database'!K25</f>
        <v/>
      </c>
      <c r="H21" s="66">
        <f>'Project Database'!L25</f>
        <v/>
      </c>
      <c r="I21" s="66">
        <f>'Project Database'!M25</f>
        <v/>
      </c>
      <c r="J21" s="66">
        <f>'Project Database'!N25</f>
        <v/>
      </c>
      <c r="K21" s="66">
        <f>'Project Database'!O25</f>
        <v/>
      </c>
      <c r="L21" s="66">
        <f>'Project Database'!P25</f>
        <v/>
      </c>
      <c r="M21" s="66">
        <f>'Project Database'!Q25</f>
        <v/>
      </c>
      <c r="N21" s="66">
        <f>'Project Database'!R25</f>
        <v/>
      </c>
      <c r="O21" s="66">
        <f>'Project Database'!S25</f>
        <v/>
      </c>
      <c r="P21" s="66">
        <f>'Project Database'!T25</f>
        <v/>
      </c>
      <c r="Q21" s="66">
        <f>'Project Database'!U25</f>
        <v/>
      </c>
      <c r="R21" s="66">
        <f>'Project Database'!V25</f>
        <v/>
      </c>
      <c r="S21" s="66">
        <f>'Project Database'!W25</f>
        <v/>
      </c>
      <c r="T21" s="66">
        <f>'Project Database'!X25</f>
        <v/>
      </c>
      <c r="U21" s="67">
        <f>'Project Database'!Y25</f>
        <v/>
      </c>
      <c r="V21" s="66">
        <f>IF('Smart Search'!B13=1,IFERROR(1/'Smart Search'!H13,0),0)</f>
        <v/>
      </c>
      <c r="W21" s="66">
        <f>IF('Smart Search'!B13=1,IFERROR(1/'Smart Search'!H13,0),0)</f>
        <v/>
      </c>
      <c r="X21" s="66">
        <f>IF('Smart Search'!C13=1,IFERROR(1/'Smart Search'!H13,0),0)</f>
        <v/>
      </c>
      <c r="Y21" s="66">
        <f>IF('Smart Search'!C13=1,IFERROR(1/'Smart Search'!H13,0),0)</f>
        <v/>
      </c>
      <c r="Z21" s="66">
        <f>IF('Smart Search'!D13=1,IFERROR(1/'Smart Search'!H13,0),0)</f>
        <v/>
      </c>
      <c r="AA21" s="66">
        <f>IF('Smart Search'!D13=1,IFERROR(1/'Smart Search'!H13,0),0)</f>
        <v/>
      </c>
      <c r="AB21" s="66">
        <f>IF('Smart Search'!E13=1,IFERROR(1/'Smart Search'!H13,0),0)</f>
        <v/>
      </c>
      <c r="AC21" s="66">
        <f>IF('Smart Search'!E13=1,IFERROR(1/'Smart Search'!H13,0),0)</f>
        <v/>
      </c>
      <c r="AD21" s="66">
        <f>IF('Smart Search'!F13=1,IFERROR(1/'Smart Search'!H13,0),0)</f>
        <v/>
      </c>
      <c r="AE21" s="66">
        <f>IF('Smart Search'!F13=1,IFERROR(1/'Smart Search'!H13,0),0)</f>
        <v/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66">
        <f>AF21*V21</f>
        <v/>
      </c>
      <c r="AQ21" s="66">
        <f>AG21*W21</f>
        <v/>
      </c>
      <c r="AR21" s="66">
        <f>AH21*X21</f>
        <v/>
      </c>
      <c r="AS21" s="66">
        <f>AI21*Y21</f>
        <v/>
      </c>
      <c r="AT21" s="66">
        <f>AJ21*Z21</f>
        <v/>
      </c>
      <c r="AU21" s="66">
        <f>AK21*AA21</f>
        <v/>
      </c>
      <c r="AV21" s="66">
        <f>AL21*AB21</f>
        <v/>
      </c>
      <c r="AW21" s="66">
        <f>AM21*AC21</f>
        <v/>
      </c>
      <c r="AX21" s="66">
        <f>AN21*AD21</f>
        <v/>
      </c>
      <c r="AY21" s="66">
        <f>AO21*AE21</f>
        <v/>
      </c>
      <c r="AZ21" s="66">
        <f>'Project Database'!Z25</f>
        <v/>
      </c>
      <c r="BA21" s="66">
        <f>IF(OR(A21="",'Smart Search'!H13=0),"",MAX(0,BE21*BF21*MAX(0,1-BG21)))</f>
        <v/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66">
        <f>IF('Smart Search'!G13=1,IFERROR(1/'Smart Search'!H13,0),0)</f>
        <v/>
      </c>
      <c r="BD21" s="66">
        <f>BB21*BC21</f>
        <v/>
      </c>
      <c r="BE21" s="66">
        <f>AP21+AQ21+AR21+AS21+AT21+AU21+AV21+AW21+AX21+AY21+BD21</f>
        <v/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5">
        <f>IF(AND('Project Database'!A25&lt;&gt;"",OR('Smart Search'!$L$5="",'Smart Search'!$L$5="All",TRIM('Project Database'!D25)=TRIM('Smart Search'!$L$5)),OR(TRIM('Smart Search'!$L$6)="",TRIM('Smart Search'!$L$6)="All",ISNUMBER(SEARCH(SUBSTITUTE(SUBSTITUTE(SUBSTITUTE(TRIM('Smart Search'!$L$6),"~","~~"),"*","~*"),"?","~?"),'Project Database'!C25))),OR('Smart Search'!$L$7="",AND('Project Database'!E25&lt;&gt;"",'Project Database'!E25='Smart Search'!$L$7)),OR('Smart Search'!$L$8="",'Smart Search'!$L$8="All",TRIM('Project Database'!F25)=TRIM('Smart Search'!$L$8))),IF(BA21="","",BA21+ROW()*0.0000000001),"")</f>
        <v/>
      </c>
      <c r="BI21" s="5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5">
        <f>IF('Project Database'!A25="","",N('Project Database'!AC25))</f>
        <v/>
      </c>
      <c r="BK21" s="5">
        <f>IF('Project Database'!A25="","",N('Project Database'!AD25))</f>
        <v/>
      </c>
      <c r="BL21" s="5">
        <f>IF('Project Database'!A25="","",N('Project Database'!AE25))</f>
        <v/>
      </c>
      <c r="BM21" s="5">
        <f>IF('Project Database'!A25="","",N('Project Database'!AF25))</f>
        <v/>
      </c>
      <c r="BN21" s="5">
        <f>IF('Project Database'!A25="","",N('Project Database'!AG25))</f>
        <v/>
      </c>
      <c r="BO21" s="5">
        <f>IF('Project Database'!A25="","",N('Project Database'!AH25))</f>
        <v/>
      </c>
      <c r="BP21" s="5">
        <f>IF('Project Database'!A25="","",N('Project Database'!AI25))</f>
        <v/>
      </c>
      <c r="BQ21" s="5">
        <f>IF('Project Database'!A25="","",N('Project Database'!AJ25))</f>
        <v/>
      </c>
      <c r="BR21" s="5">
        <f>IF('Project Database'!A25="","",N('Project Database'!AK25))</f>
        <v/>
      </c>
      <c r="BS21" s="5">
        <f>IF('Project Database'!A25="","",N('Project Database'!AL25))</f>
        <v/>
      </c>
      <c r="BT21" s="5">
        <f>IF('Project Database'!A25="","",N('Project Database'!AM25))</f>
        <v/>
      </c>
      <c r="BU21" s="5">
        <f>IF('Project Database'!A25="","",N('Project Database'!AN25))</f>
        <v/>
      </c>
      <c r="BV21" s="5">
        <f>IF('Project Database'!A25="","",N('Project Database'!AO25))</f>
        <v/>
      </c>
      <c r="BW21" s="5">
        <f>IF('Project Database'!A25="","",N('Project Database'!AP25))</f>
        <v/>
      </c>
      <c r="BX21" s="5">
        <f>IF(A21="","",SUM(BJ21:BW21))</f>
        <v/>
      </c>
      <c r="BY21" s="5">
        <f>IF(A21="","",IFERROR(IF(ISNUMBER(U21),U21,VALUE(SUBSTITUTE(SUBSTITUTE(SUBSTITUTE(UPPER(TRIM(U21)),"M",""),",","")," ",""))),0))</f>
        <v/>
      </c>
    </row>
    <row r="22" ht="15" customHeight="1" s="74">
      <c r="A22" s="66">
        <f>'Project Database'!A26</f>
        <v/>
      </c>
      <c r="B22" s="66">
        <f>'Project Database'!B26</f>
        <v/>
      </c>
      <c r="C22" s="66">
        <f>'Project Database'!G26</f>
        <v/>
      </c>
      <c r="D22" s="66">
        <f>'Project Database'!H26</f>
        <v/>
      </c>
      <c r="E22" s="66">
        <f>'Project Database'!I26</f>
        <v/>
      </c>
      <c r="F22" s="66">
        <f>'Project Database'!J26</f>
        <v/>
      </c>
      <c r="G22" s="66">
        <f>'Project Database'!K26</f>
        <v/>
      </c>
      <c r="H22" s="66">
        <f>'Project Database'!L26</f>
        <v/>
      </c>
      <c r="I22" s="66">
        <f>'Project Database'!M26</f>
        <v/>
      </c>
      <c r="J22" s="66">
        <f>'Project Database'!N26</f>
        <v/>
      </c>
      <c r="K22" s="66">
        <f>'Project Database'!O26</f>
        <v/>
      </c>
      <c r="L22" s="66">
        <f>'Project Database'!P26</f>
        <v/>
      </c>
      <c r="M22" s="66">
        <f>'Project Database'!Q26</f>
        <v/>
      </c>
      <c r="N22" s="66">
        <f>'Project Database'!R26</f>
        <v/>
      </c>
      <c r="O22" s="66">
        <f>'Project Database'!S26</f>
        <v/>
      </c>
      <c r="P22" s="66">
        <f>'Project Database'!T26</f>
        <v/>
      </c>
      <c r="Q22" s="66">
        <f>'Project Database'!U26</f>
        <v/>
      </c>
      <c r="R22" s="66">
        <f>'Project Database'!V26</f>
        <v/>
      </c>
      <c r="S22" s="66">
        <f>'Project Database'!W26</f>
        <v/>
      </c>
      <c r="T22" s="66">
        <f>'Project Database'!X26</f>
        <v/>
      </c>
      <c r="U22" s="67">
        <f>'Project Database'!Y26</f>
        <v/>
      </c>
      <c r="V22" s="66">
        <f>IF('Smart Search'!B13=1,IFERROR(1/'Smart Search'!H13,0),0)</f>
        <v/>
      </c>
      <c r="W22" s="66">
        <f>IF('Smart Search'!B13=1,IFERROR(1/'Smart Search'!H13,0),0)</f>
        <v/>
      </c>
      <c r="X22" s="66">
        <f>IF('Smart Search'!C13=1,IFERROR(1/'Smart Search'!H13,0),0)</f>
        <v/>
      </c>
      <c r="Y22" s="66">
        <f>IF('Smart Search'!C13=1,IFERROR(1/'Smart Search'!H13,0),0)</f>
        <v/>
      </c>
      <c r="Z22" s="66">
        <f>IF('Smart Search'!D13=1,IFERROR(1/'Smart Search'!H13,0),0)</f>
        <v/>
      </c>
      <c r="AA22" s="66">
        <f>IF('Smart Search'!D13=1,IFERROR(1/'Smart Search'!H13,0),0)</f>
        <v/>
      </c>
      <c r="AB22" s="66">
        <f>IF('Smart Search'!E13=1,IFERROR(1/'Smart Search'!H13,0),0)</f>
        <v/>
      </c>
      <c r="AC22" s="66">
        <f>IF('Smart Search'!E13=1,IFERROR(1/'Smart Search'!H13,0),0)</f>
        <v/>
      </c>
      <c r="AD22" s="66">
        <f>IF('Smart Search'!F13=1,IFERROR(1/'Smart Search'!H13,0),0)</f>
        <v/>
      </c>
      <c r="AE22" s="66">
        <f>IF('Smart Search'!F13=1,IFERROR(1/'Smart Search'!H13,0),0)</f>
        <v/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66">
        <f>AF22*V22</f>
        <v/>
      </c>
      <c r="AQ22" s="66">
        <f>AG22*W22</f>
        <v/>
      </c>
      <c r="AR22" s="66">
        <f>AH22*X22</f>
        <v/>
      </c>
      <c r="AS22" s="66">
        <f>AI22*Y22</f>
        <v/>
      </c>
      <c r="AT22" s="66">
        <f>AJ22*Z22</f>
        <v/>
      </c>
      <c r="AU22" s="66">
        <f>AK22*AA22</f>
        <v/>
      </c>
      <c r="AV22" s="66">
        <f>AL22*AB22</f>
        <v/>
      </c>
      <c r="AW22" s="66">
        <f>AM22*AC22</f>
        <v/>
      </c>
      <c r="AX22" s="66">
        <f>AN22*AD22</f>
        <v/>
      </c>
      <c r="AY22" s="66">
        <f>AO22*AE22</f>
        <v/>
      </c>
      <c r="AZ22" s="66">
        <f>'Project Database'!Z26</f>
        <v/>
      </c>
      <c r="BA22" s="66">
        <f>IF(OR(A22="",'Smart Search'!H13=0),"",MAX(0,BE22*BF22*MAX(0,1-BG22)))</f>
        <v/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66">
        <f>IF('Smart Search'!G13=1,IFERROR(1/'Smart Search'!H13,0),0)</f>
        <v/>
      </c>
      <c r="BD22" s="66">
        <f>BB22*BC22</f>
        <v/>
      </c>
      <c r="BE22" s="66">
        <f>AP22+AQ22+AR22+AS22+AT22+AU22+AV22+AW22+AX22+AY22+BD22</f>
        <v/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5">
        <f>IF(AND('Project Database'!A26&lt;&gt;"",OR('Smart Search'!$L$5="",'Smart Search'!$L$5="All",TRIM('Project Database'!D26)=TRIM('Smart Search'!$L$5)),OR(TRIM('Smart Search'!$L$6)="",TRIM('Smart Search'!$L$6)="All",ISNUMBER(SEARCH(SUBSTITUTE(SUBSTITUTE(SUBSTITUTE(TRIM('Smart Search'!$L$6),"~","~~"),"*","~*"),"?","~?"),'Project Database'!C26))),OR('Smart Search'!$L$7="",AND('Project Database'!E26&lt;&gt;"",'Project Database'!E26='Smart Search'!$L$7)),OR('Smart Search'!$L$8="",'Smart Search'!$L$8="All",TRIM('Project Database'!F26)=TRIM('Smart Search'!$L$8))),IF(BA22="","",BA22+ROW()*0.0000000001),"")</f>
        <v/>
      </c>
      <c r="BI22" s="5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5">
        <f>IF('Project Database'!A26="","",N('Project Database'!AC26))</f>
        <v/>
      </c>
      <c r="BK22" s="5">
        <f>IF('Project Database'!A26="","",N('Project Database'!AD26))</f>
        <v/>
      </c>
      <c r="BL22" s="5">
        <f>IF('Project Database'!A26="","",N('Project Database'!AE26))</f>
        <v/>
      </c>
      <c r="BM22" s="5">
        <f>IF('Project Database'!A26="","",N('Project Database'!AF26))</f>
        <v/>
      </c>
      <c r="BN22" s="5">
        <f>IF('Project Database'!A26="","",N('Project Database'!AG26))</f>
        <v/>
      </c>
      <c r="BO22" s="5">
        <f>IF('Project Database'!A26="","",N('Project Database'!AH26))</f>
        <v/>
      </c>
      <c r="BP22" s="5">
        <f>IF('Project Database'!A26="","",N('Project Database'!AI26))</f>
        <v/>
      </c>
      <c r="BQ22" s="5">
        <f>IF('Project Database'!A26="","",N('Project Database'!AJ26))</f>
        <v/>
      </c>
      <c r="BR22" s="5">
        <f>IF('Project Database'!A26="","",N('Project Database'!AK26))</f>
        <v/>
      </c>
      <c r="BS22" s="5">
        <f>IF('Project Database'!A26="","",N('Project Database'!AL26))</f>
        <v/>
      </c>
      <c r="BT22" s="5">
        <f>IF('Project Database'!A26="","",N('Project Database'!AM26))</f>
        <v/>
      </c>
      <c r="BU22" s="5">
        <f>IF('Project Database'!A26="","",N('Project Database'!AN26))</f>
        <v/>
      </c>
      <c r="BV22" s="5">
        <f>IF('Project Database'!A26="","",N('Project Database'!AO26))</f>
        <v/>
      </c>
      <c r="BW22" s="5">
        <f>IF('Project Database'!A26="","",N('Project Database'!AP26))</f>
        <v/>
      </c>
      <c r="BX22" s="5">
        <f>IF(A22="","",SUM(BJ22:BW22))</f>
        <v/>
      </c>
      <c r="BY22" s="5">
        <f>IF(A22="","",IFERROR(IF(ISNUMBER(U22),U22,VALUE(SUBSTITUTE(SUBSTITUTE(SUBSTITUTE(UPPER(TRIM(U22)),"M",""),",","")," ",""))),0))</f>
        <v/>
      </c>
    </row>
    <row r="23" ht="15" customHeight="1" s="74">
      <c r="A23" s="66">
        <f>'Project Database'!A27</f>
        <v/>
      </c>
      <c r="B23" s="66">
        <f>'Project Database'!B27</f>
        <v/>
      </c>
      <c r="C23" s="66">
        <f>'Project Database'!G27</f>
        <v/>
      </c>
      <c r="D23" s="66">
        <f>'Project Database'!H27</f>
        <v/>
      </c>
      <c r="E23" s="66">
        <f>'Project Database'!I27</f>
        <v/>
      </c>
      <c r="F23" s="66">
        <f>'Project Database'!J27</f>
        <v/>
      </c>
      <c r="G23" s="66">
        <f>'Project Database'!K27</f>
        <v/>
      </c>
      <c r="H23" s="66">
        <f>'Project Database'!L27</f>
        <v/>
      </c>
      <c r="I23" s="66">
        <f>'Project Database'!M27</f>
        <v/>
      </c>
      <c r="J23" s="66">
        <f>'Project Database'!N27</f>
        <v/>
      </c>
      <c r="K23" s="66">
        <f>'Project Database'!O27</f>
        <v/>
      </c>
      <c r="L23" s="66">
        <f>'Project Database'!P27</f>
        <v/>
      </c>
      <c r="M23" s="66">
        <f>'Project Database'!Q27</f>
        <v/>
      </c>
      <c r="N23" s="66">
        <f>'Project Database'!R27</f>
        <v/>
      </c>
      <c r="O23" s="66">
        <f>'Project Database'!S27</f>
        <v/>
      </c>
      <c r="P23" s="66">
        <f>'Project Database'!T27</f>
        <v/>
      </c>
      <c r="Q23" s="66">
        <f>'Project Database'!U27</f>
        <v/>
      </c>
      <c r="R23" s="66">
        <f>'Project Database'!V27</f>
        <v/>
      </c>
      <c r="S23" s="66">
        <f>'Project Database'!W27</f>
        <v/>
      </c>
      <c r="T23" s="66">
        <f>'Project Database'!X27</f>
        <v/>
      </c>
      <c r="U23" s="67">
        <f>'Project Database'!Y27</f>
        <v/>
      </c>
      <c r="V23" s="66">
        <f>IF('Smart Search'!B13=1,IFERROR(1/'Smart Search'!H13,0),0)</f>
        <v/>
      </c>
      <c r="W23" s="66">
        <f>IF('Smart Search'!B13=1,IFERROR(1/'Smart Search'!H13,0),0)</f>
        <v/>
      </c>
      <c r="X23" s="66">
        <f>IF('Smart Search'!C13=1,IFERROR(1/'Smart Search'!H13,0),0)</f>
        <v/>
      </c>
      <c r="Y23" s="66">
        <f>IF('Smart Search'!C13=1,IFERROR(1/'Smart Search'!H13,0),0)</f>
        <v/>
      </c>
      <c r="Z23" s="66">
        <f>IF('Smart Search'!D13=1,IFERROR(1/'Smart Search'!H13,0),0)</f>
        <v/>
      </c>
      <c r="AA23" s="66">
        <f>IF('Smart Search'!D13=1,IFERROR(1/'Smart Search'!H13,0),0)</f>
        <v/>
      </c>
      <c r="AB23" s="66">
        <f>IF('Smart Search'!E13=1,IFERROR(1/'Smart Search'!H13,0),0)</f>
        <v/>
      </c>
      <c r="AC23" s="66">
        <f>IF('Smart Search'!E13=1,IFERROR(1/'Smart Search'!H13,0),0)</f>
        <v/>
      </c>
      <c r="AD23" s="66">
        <f>IF('Smart Search'!F13=1,IFERROR(1/'Smart Search'!H13,0),0)</f>
        <v/>
      </c>
      <c r="AE23" s="66">
        <f>IF('Smart Search'!F13=1,IFERROR(1/'Smart Search'!H13,0),0)</f>
        <v/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66">
        <f>AF23*V23</f>
        <v/>
      </c>
      <c r="AQ23" s="66">
        <f>AG23*W23</f>
        <v/>
      </c>
      <c r="AR23" s="66">
        <f>AH23*X23</f>
        <v/>
      </c>
      <c r="AS23" s="66">
        <f>AI23*Y23</f>
        <v/>
      </c>
      <c r="AT23" s="66">
        <f>AJ23*Z23</f>
        <v/>
      </c>
      <c r="AU23" s="66">
        <f>AK23*AA23</f>
        <v/>
      </c>
      <c r="AV23" s="66">
        <f>AL23*AB23</f>
        <v/>
      </c>
      <c r="AW23" s="66">
        <f>AM23*AC23</f>
        <v/>
      </c>
      <c r="AX23" s="66">
        <f>AN23*AD23</f>
        <v/>
      </c>
      <c r="AY23" s="66">
        <f>AO23*AE23</f>
        <v/>
      </c>
      <c r="AZ23" s="66">
        <f>'Project Database'!Z27</f>
        <v/>
      </c>
      <c r="BA23" s="66">
        <f>IF(OR(A23="",'Smart Search'!H13=0),"",MAX(0,BE23*BF23*MAX(0,1-BG23)))</f>
        <v/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66">
        <f>IF('Smart Search'!G13=1,IFERROR(1/'Smart Search'!H13,0),0)</f>
        <v/>
      </c>
      <c r="BD23" s="66">
        <f>BB23*BC23</f>
        <v/>
      </c>
      <c r="BE23" s="66">
        <f>AP23+AQ23+AR23+AS23+AT23+AU23+AV23+AW23+AX23+AY23+BD23</f>
        <v/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5">
        <f>IF(AND('Project Database'!A27&lt;&gt;"",OR('Smart Search'!$L$5="",'Smart Search'!$L$5="All",TRIM('Project Database'!D27)=TRIM('Smart Search'!$L$5)),OR(TRIM('Smart Search'!$L$6)="",TRIM('Smart Search'!$L$6)="All",ISNUMBER(SEARCH(SUBSTITUTE(SUBSTITUTE(SUBSTITUTE(TRIM('Smart Search'!$L$6),"~","~~"),"*","~*"),"?","~?"),'Project Database'!C27))),OR('Smart Search'!$L$7="",AND('Project Database'!E27&lt;&gt;"",'Project Database'!E27='Smart Search'!$L$7)),OR('Smart Search'!$L$8="",'Smart Search'!$L$8="All",TRIM('Project Database'!F27)=TRIM('Smart Search'!$L$8))),IF(BA23="","",BA23+ROW()*0.0000000001),"")</f>
        <v/>
      </c>
      <c r="BI23" s="5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5">
        <f>IF('Project Database'!A27="","",N('Project Database'!AC27))</f>
        <v/>
      </c>
      <c r="BK23" s="5">
        <f>IF('Project Database'!A27="","",N('Project Database'!AD27))</f>
        <v/>
      </c>
      <c r="BL23" s="5">
        <f>IF('Project Database'!A27="","",N('Project Database'!AE27))</f>
        <v/>
      </c>
      <c r="BM23" s="5">
        <f>IF('Project Database'!A27="","",N('Project Database'!AF27))</f>
        <v/>
      </c>
      <c r="BN23" s="5">
        <f>IF('Project Database'!A27="","",N('Project Database'!AG27))</f>
        <v/>
      </c>
      <c r="BO23" s="5">
        <f>IF('Project Database'!A27="","",N('Project Database'!AH27))</f>
        <v/>
      </c>
      <c r="BP23" s="5">
        <f>IF('Project Database'!A27="","",N('Project Database'!AI27))</f>
        <v/>
      </c>
      <c r="BQ23" s="5">
        <f>IF('Project Database'!A27="","",N('Project Database'!AJ27))</f>
        <v/>
      </c>
      <c r="BR23" s="5">
        <f>IF('Project Database'!A27="","",N('Project Database'!AK27))</f>
        <v/>
      </c>
      <c r="BS23" s="5">
        <f>IF('Project Database'!A27="","",N('Project Database'!AL27))</f>
        <v/>
      </c>
      <c r="BT23" s="5">
        <f>IF('Project Database'!A27="","",N('Project Database'!AM27))</f>
        <v/>
      </c>
      <c r="BU23" s="5">
        <f>IF('Project Database'!A27="","",N('Project Database'!AN27))</f>
        <v/>
      </c>
      <c r="BV23" s="5">
        <f>IF('Project Database'!A27="","",N('Project Database'!AO27))</f>
        <v/>
      </c>
      <c r="BW23" s="5">
        <f>IF('Project Database'!A27="","",N('Project Database'!AP27))</f>
        <v/>
      </c>
      <c r="BX23" s="5">
        <f>IF(A23="","",SUM(BJ23:BW23))</f>
        <v/>
      </c>
      <c r="BY23" s="5">
        <f>IF(A23="","",IFERROR(IF(ISNUMBER(U23),U23,VALUE(SUBSTITUTE(SUBSTITUTE(SUBSTITUTE(UPPER(TRIM(U23)),"M",""),",","")," ",""))),0))</f>
        <v/>
      </c>
    </row>
    <row r="24" ht="15" customHeight="1" s="74">
      <c r="A24" s="66">
        <f>'Project Database'!A28</f>
        <v/>
      </c>
      <c r="B24" s="66">
        <f>'Project Database'!B28</f>
        <v/>
      </c>
      <c r="C24" s="66">
        <f>'Project Database'!G28</f>
        <v/>
      </c>
      <c r="D24" s="66">
        <f>'Project Database'!H28</f>
        <v/>
      </c>
      <c r="E24" s="66">
        <f>'Project Database'!I28</f>
        <v/>
      </c>
      <c r="F24" s="66">
        <f>'Project Database'!J28</f>
        <v/>
      </c>
      <c r="G24" s="66">
        <f>'Project Database'!K28</f>
        <v/>
      </c>
      <c r="H24" s="66">
        <f>'Project Database'!L28</f>
        <v/>
      </c>
      <c r="I24" s="66">
        <f>'Project Database'!M28</f>
        <v/>
      </c>
      <c r="J24" s="66">
        <f>'Project Database'!N28</f>
        <v/>
      </c>
      <c r="K24" s="66">
        <f>'Project Database'!O28</f>
        <v/>
      </c>
      <c r="L24" s="66">
        <f>'Project Database'!P28</f>
        <v/>
      </c>
      <c r="M24" s="66">
        <f>'Project Database'!Q28</f>
        <v/>
      </c>
      <c r="N24" s="66">
        <f>'Project Database'!R28</f>
        <v/>
      </c>
      <c r="O24" s="66">
        <f>'Project Database'!S28</f>
        <v/>
      </c>
      <c r="P24" s="66">
        <f>'Project Database'!T28</f>
        <v/>
      </c>
      <c r="Q24" s="66">
        <f>'Project Database'!U28</f>
        <v/>
      </c>
      <c r="R24" s="66">
        <f>'Project Database'!V28</f>
        <v/>
      </c>
      <c r="S24" s="66">
        <f>'Project Database'!W28</f>
        <v/>
      </c>
      <c r="T24" s="66">
        <f>'Project Database'!X28</f>
        <v/>
      </c>
      <c r="U24" s="67">
        <f>'Project Database'!Y28</f>
        <v/>
      </c>
      <c r="V24" s="66">
        <f>IF('Smart Search'!B13=1,IFERROR(1/'Smart Search'!H13,0),0)</f>
        <v/>
      </c>
      <c r="W24" s="66">
        <f>IF('Smart Search'!B13=1,IFERROR(1/'Smart Search'!H13,0),0)</f>
        <v/>
      </c>
      <c r="X24" s="66">
        <f>IF('Smart Search'!C13=1,IFERROR(1/'Smart Search'!H13,0),0)</f>
        <v/>
      </c>
      <c r="Y24" s="66">
        <f>IF('Smart Search'!C13=1,IFERROR(1/'Smart Search'!H13,0),0)</f>
        <v/>
      </c>
      <c r="Z24" s="66">
        <f>IF('Smart Search'!D13=1,IFERROR(1/'Smart Search'!H13,0),0)</f>
        <v/>
      </c>
      <c r="AA24" s="66">
        <f>IF('Smart Search'!D13=1,IFERROR(1/'Smart Search'!H13,0),0)</f>
        <v/>
      </c>
      <c r="AB24" s="66">
        <f>IF('Smart Search'!E13=1,IFERROR(1/'Smart Search'!H13,0),0)</f>
        <v/>
      </c>
      <c r="AC24" s="66">
        <f>IF('Smart Search'!E13=1,IFERROR(1/'Smart Search'!H13,0),0)</f>
        <v/>
      </c>
      <c r="AD24" s="66">
        <f>IF('Smart Search'!F13=1,IFERROR(1/'Smart Search'!H13,0),0)</f>
        <v/>
      </c>
      <c r="AE24" s="66">
        <f>IF('Smart Search'!F13=1,IFERROR(1/'Smart Search'!H13,0),0)</f>
        <v/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66">
        <f>AF24*V24</f>
        <v/>
      </c>
      <c r="AQ24" s="66">
        <f>AG24*W24</f>
        <v/>
      </c>
      <c r="AR24" s="66">
        <f>AH24*X24</f>
        <v/>
      </c>
      <c r="AS24" s="66">
        <f>AI24*Y24</f>
        <v/>
      </c>
      <c r="AT24" s="66">
        <f>AJ24*Z24</f>
        <v/>
      </c>
      <c r="AU24" s="66">
        <f>AK24*AA24</f>
        <v/>
      </c>
      <c r="AV24" s="66">
        <f>AL24*AB24</f>
        <v/>
      </c>
      <c r="AW24" s="66">
        <f>AM24*AC24</f>
        <v/>
      </c>
      <c r="AX24" s="66">
        <f>AN24*AD24</f>
        <v/>
      </c>
      <c r="AY24" s="66">
        <f>AO24*AE24</f>
        <v/>
      </c>
      <c r="AZ24" s="66">
        <f>'Project Database'!Z28</f>
        <v/>
      </c>
      <c r="BA24" s="66">
        <f>IF(OR(A24="",'Smart Search'!H13=0),"",MAX(0,BE24*BF24*MAX(0,1-BG24)))</f>
        <v/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66">
        <f>IF('Smart Search'!G13=1,IFERROR(1/'Smart Search'!H13,0),0)</f>
        <v/>
      </c>
      <c r="BD24" s="66">
        <f>BB24*BC24</f>
        <v/>
      </c>
      <c r="BE24" s="66">
        <f>AP24+AQ24+AR24+AS24+AT24+AU24+AV24+AW24+AX24+AY24+BD24</f>
        <v/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5">
        <f>IF(AND('Project Database'!A28&lt;&gt;"",OR('Smart Search'!$L$5="",'Smart Search'!$L$5="All",TRIM('Project Database'!D28)=TRIM('Smart Search'!$L$5)),OR(TRIM('Smart Search'!$L$6)="",TRIM('Smart Search'!$L$6)="All",ISNUMBER(SEARCH(SUBSTITUTE(SUBSTITUTE(SUBSTITUTE(TRIM('Smart Search'!$L$6),"~","~~"),"*","~*"),"?","~?"),'Project Database'!C28))),OR('Smart Search'!$L$7="",AND('Project Database'!E28&lt;&gt;"",'Project Database'!E28='Smart Search'!$L$7)),OR('Smart Search'!$L$8="",'Smart Search'!$L$8="All",TRIM('Project Database'!F28)=TRIM('Smart Search'!$L$8))),IF(BA24="","",BA24+ROW()*0.0000000001),"")</f>
        <v/>
      </c>
      <c r="BI24" s="5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IF('Project Database'!A28="","",N('Project Database'!AC28))</f>
        <v/>
      </c>
      <c r="BK24" s="5">
        <f>IF('Project Database'!A28="","",N('Project Database'!AD28))</f>
        <v/>
      </c>
      <c r="BL24" s="5">
        <f>IF('Project Database'!A28="","",N('Project Database'!AE28))</f>
        <v/>
      </c>
      <c r="BM24" s="5">
        <f>IF('Project Database'!A28="","",N('Project Database'!AF28))</f>
        <v/>
      </c>
      <c r="BN24" s="5">
        <f>IF('Project Database'!A28="","",N('Project Database'!AG28))</f>
        <v/>
      </c>
      <c r="BO24" s="5">
        <f>IF('Project Database'!A28="","",N('Project Database'!AH28))</f>
        <v/>
      </c>
      <c r="BP24" s="5">
        <f>IF('Project Database'!A28="","",N('Project Database'!AI28))</f>
        <v/>
      </c>
      <c r="BQ24" s="5">
        <f>IF('Project Database'!A28="","",N('Project Database'!AJ28))</f>
        <v/>
      </c>
      <c r="BR24" s="5">
        <f>IF('Project Database'!A28="","",N('Project Database'!AK28))</f>
        <v/>
      </c>
      <c r="BS24" s="5">
        <f>IF('Project Database'!A28="","",N('Project Database'!AL28))</f>
        <v/>
      </c>
      <c r="BT24" s="5">
        <f>IF('Project Database'!A28="","",N('Project Database'!AM28))</f>
        <v/>
      </c>
      <c r="BU24" s="5">
        <f>IF('Project Database'!A28="","",N('Project Database'!AN28))</f>
        <v/>
      </c>
      <c r="BV24" s="5">
        <f>IF('Project Database'!A28="","",N('Project Database'!AO28))</f>
        <v/>
      </c>
      <c r="BW24" s="5">
        <f>IF('Project Database'!A28="","",N('Project Database'!AP28))</f>
        <v/>
      </c>
      <c r="BX24" s="5">
        <f>IF(A24="","",SUM(BJ24:BW24))</f>
        <v/>
      </c>
      <c r="BY24" s="5">
        <f>IF(A24="","",IFERROR(IF(ISNUMBER(U24),U24,VALUE(SUBSTITUTE(SUBSTITUTE(SUBSTITUTE(UPPER(TRIM(U24)),"M",""),",","")," ",""))),0))</f>
        <v/>
      </c>
    </row>
    <row r="25" ht="15" customHeight="1" s="74">
      <c r="A25" s="66">
        <f>'Project Database'!A29</f>
        <v/>
      </c>
      <c r="B25" s="66">
        <f>'Project Database'!B29</f>
        <v/>
      </c>
      <c r="C25" s="66">
        <f>'Project Database'!G29</f>
        <v/>
      </c>
      <c r="D25" s="66">
        <f>'Project Database'!H29</f>
        <v/>
      </c>
      <c r="E25" s="66">
        <f>'Project Database'!I29</f>
        <v/>
      </c>
      <c r="F25" s="66">
        <f>'Project Database'!J29</f>
        <v/>
      </c>
      <c r="G25" s="66">
        <f>'Project Database'!K29</f>
        <v/>
      </c>
      <c r="H25" s="66">
        <f>'Project Database'!L29</f>
        <v/>
      </c>
      <c r="I25" s="66">
        <f>'Project Database'!M29</f>
        <v/>
      </c>
      <c r="J25" s="66">
        <f>'Project Database'!N29</f>
        <v/>
      </c>
      <c r="K25" s="66">
        <f>'Project Database'!O29</f>
        <v/>
      </c>
      <c r="L25" s="66">
        <f>'Project Database'!P29</f>
        <v/>
      </c>
      <c r="M25" s="66">
        <f>'Project Database'!Q29</f>
        <v/>
      </c>
      <c r="N25" s="66">
        <f>'Project Database'!R29</f>
        <v/>
      </c>
      <c r="O25" s="66">
        <f>'Project Database'!S29</f>
        <v/>
      </c>
      <c r="P25" s="66">
        <f>'Project Database'!T29</f>
        <v/>
      </c>
      <c r="Q25" s="66">
        <f>'Project Database'!U29</f>
        <v/>
      </c>
      <c r="R25" s="66">
        <f>'Project Database'!V29</f>
        <v/>
      </c>
      <c r="S25" s="66">
        <f>'Project Database'!W29</f>
        <v/>
      </c>
      <c r="T25" s="66">
        <f>'Project Database'!X29</f>
        <v/>
      </c>
      <c r="U25" s="67">
        <f>'Project Database'!Y29</f>
        <v/>
      </c>
      <c r="V25" s="66">
        <f>IF('Smart Search'!B13=1,IFERROR(1/'Smart Search'!H13,0),0)</f>
        <v/>
      </c>
      <c r="W25" s="66">
        <f>IF('Smart Search'!B13=1,IFERROR(1/'Smart Search'!H13,0),0)</f>
        <v/>
      </c>
      <c r="X25" s="66">
        <f>IF('Smart Search'!C13=1,IFERROR(1/'Smart Search'!H13,0),0)</f>
        <v/>
      </c>
      <c r="Y25" s="66">
        <f>IF('Smart Search'!C13=1,IFERROR(1/'Smart Search'!H13,0),0)</f>
        <v/>
      </c>
      <c r="Z25" s="66">
        <f>IF('Smart Search'!D13=1,IFERROR(1/'Smart Search'!H13,0),0)</f>
        <v/>
      </c>
      <c r="AA25" s="66">
        <f>IF('Smart Search'!D13=1,IFERROR(1/'Smart Search'!H13,0),0)</f>
        <v/>
      </c>
      <c r="AB25" s="66">
        <f>IF('Smart Search'!E13=1,IFERROR(1/'Smart Search'!H13,0),0)</f>
        <v/>
      </c>
      <c r="AC25" s="66">
        <f>IF('Smart Search'!E13=1,IFERROR(1/'Smart Search'!H13,0),0)</f>
        <v/>
      </c>
      <c r="AD25" s="66">
        <f>IF('Smart Search'!F13=1,IFERROR(1/'Smart Search'!H13,0),0)</f>
        <v/>
      </c>
      <c r="AE25" s="66">
        <f>IF('Smart Search'!F13=1,IFERROR(1/'Smart Search'!H13,0),0)</f>
        <v/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66">
        <f>AF25*V25</f>
        <v/>
      </c>
      <c r="AQ25" s="66">
        <f>AG25*W25</f>
        <v/>
      </c>
      <c r="AR25" s="66">
        <f>AH25*X25</f>
        <v/>
      </c>
      <c r="AS25" s="66">
        <f>AI25*Y25</f>
        <v/>
      </c>
      <c r="AT25" s="66">
        <f>AJ25*Z25</f>
        <v/>
      </c>
      <c r="AU25" s="66">
        <f>AK25*AA25</f>
        <v/>
      </c>
      <c r="AV25" s="66">
        <f>AL25*AB25</f>
        <v/>
      </c>
      <c r="AW25" s="66">
        <f>AM25*AC25</f>
        <v/>
      </c>
      <c r="AX25" s="66">
        <f>AN25*AD25</f>
        <v/>
      </c>
      <c r="AY25" s="66">
        <f>AO25*AE25</f>
        <v/>
      </c>
      <c r="AZ25" s="66">
        <f>'Project Database'!Z29</f>
        <v/>
      </c>
      <c r="BA25" s="66">
        <f>IF(OR(A25="",'Smart Search'!H13=0),"",MAX(0,BE25*BF25*MAX(0,1-BG25)))</f>
        <v/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66">
        <f>IF('Smart Search'!G13=1,IFERROR(1/'Smart Search'!H13,0),0)</f>
        <v/>
      </c>
      <c r="BD25" s="66">
        <f>BB25*BC25</f>
        <v/>
      </c>
      <c r="BE25" s="66">
        <f>AP25+AQ25+AR25+AS25+AT25+AU25+AV25+AW25+AX25+AY25+BD25</f>
        <v/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5">
        <f>IF(AND('Project Database'!A29&lt;&gt;"",OR('Smart Search'!$L$5="",'Smart Search'!$L$5="All",TRIM('Project Database'!D29)=TRIM('Smart Search'!$L$5)),OR(TRIM('Smart Search'!$L$6)="",TRIM('Smart Search'!$L$6)="All",ISNUMBER(SEARCH(SUBSTITUTE(SUBSTITUTE(SUBSTITUTE(TRIM('Smart Search'!$L$6),"~","~~"),"*","~*"),"?","~?"),'Project Database'!C29))),OR('Smart Search'!$L$7="",AND('Project Database'!E29&lt;&gt;"",'Project Database'!E29='Smart Search'!$L$7)),OR('Smart Search'!$L$8="",'Smart Search'!$L$8="All",TRIM('Project Database'!F29)=TRIM('Smart Search'!$L$8))),IF(BA25="","",BA25+ROW()*0.0000000001),"")</f>
        <v/>
      </c>
      <c r="BI25" s="5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IF('Project Database'!A29="","",N('Project Database'!AC29))</f>
        <v/>
      </c>
      <c r="BK25" s="5">
        <f>IF('Project Database'!A29="","",N('Project Database'!AD29))</f>
        <v/>
      </c>
      <c r="BL25" s="5">
        <f>IF('Project Database'!A29="","",N('Project Database'!AE29))</f>
        <v/>
      </c>
      <c r="BM25" s="5">
        <f>IF('Project Database'!A29="","",N('Project Database'!AF29))</f>
        <v/>
      </c>
      <c r="BN25" s="5">
        <f>IF('Project Database'!A29="","",N('Project Database'!AG29))</f>
        <v/>
      </c>
      <c r="BO25" s="5">
        <f>IF('Project Database'!A29="","",N('Project Database'!AH29))</f>
        <v/>
      </c>
      <c r="BP25" s="5">
        <f>IF('Project Database'!A29="","",N('Project Database'!AI29))</f>
        <v/>
      </c>
      <c r="BQ25" s="5">
        <f>IF('Project Database'!A29="","",N('Project Database'!AJ29))</f>
        <v/>
      </c>
      <c r="BR25" s="5">
        <f>IF('Project Database'!A29="","",N('Project Database'!AK29))</f>
        <v/>
      </c>
      <c r="BS25" s="5">
        <f>IF('Project Database'!A29="","",N('Project Database'!AL29))</f>
        <v/>
      </c>
      <c r="BT25" s="5">
        <f>IF('Project Database'!A29="","",N('Project Database'!AM29))</f>
        <v/>
      </c>
      <c r="BU25" s="5">
        <f>IF('Project Database'!A29="","",N('Project Database'!AN29))</f>
        <v/>
      </c>
      <c r="BV25" s="5">
        <f>IF('Project Database'!A29="","",N('Project Database'!AO29))</f>
        <v/>
      </c>
      <c r="BW25" s="5">
        <f>IF('Project Database'!A29="","",N('Project Database'!AP29))</f>
        <v/>
      </c>
      <c r="BX25" s="5">
        <f>IF(A25="","",SUM(BJ25:BW25))</f>
        <v/>
      </c>
      <c r="BY25" s="5">
        <f>IF(A25="","",IFERROR(IF(ISNUMBER(U25),U25,VALUE(SUBSTITUTE(SUBSTITUTE(SUBSTITUTE(UPPER(TRIM(U25)),"M",""),",","")," ",""))),0))</f>
        <v/>
      </c>
    </row>
    <row r="26" ht="15" customHeight="1" s="74">
      <c r="A26" s="66">
        <f>'Project Database'!A30</f>
        <v/>
      </c>
      <c r="B26" s="66">
        <f>'Project Database'!B30</f>
        <v/>
      </c>
      <c r="C26" s="66">
        <f>'Project Database'!G30</f>
        <v/>
      </c>
      <c r="D26" s="66">
        <f>'Project Database'!H30</f>
        <v/>
      </c>
      <c r="E26" s="66">
        <f>'Project Database'!I30</f>
        <v/>
      </c>
      <c r="F26" s="66">
        <f>'Project Database'!J30</f>
        <v/>
      </c>
      <c r="G26" s="66">
        <f>'Project Database'!K30</f>
        <v/>
      </c>
      <c r="H26" s="66">
        <f>'Project Database'!L30</f>
        <v/>
      </c>
      <c r="I26" s="66">
        <f>'Project Database'!M30</f>
        <v/>
      </c>
      <c r="J26" s="66">
        <f>'Project Database'!N30</f>
        <v/>
      </c>
      <c r="K26" s="66">
        <f>'Project Database'!O30</f>
        <v/>
      </c>
      <c r="L26" s="66">
        <f>'Project Database'!P30</f>
        <v/>
      </c>
      <c r="M26" s="66">
        <f>'Project Database'!Q30</f>
        <v/>
      </c>
      <c r="N26" s="66">
        <f>'Project Database'!R30</f>
        <v/>
      </c>
      <c r="O26" s="66">
        <f>'Project Database'!S30</f>
        <v/>
      </c>
      <c r="P26" s="66">
        <f>'Project Database'!T30</f>
        <v/>
      </c>
      <c r="Q26" s="66">
        <f>'Project Database'!U30</f>
        <v/>
      </c>
      <c r="R26" s="66">
        <f>'Project Database'!V30</f>
        <v/>
      </c>
      <c r="S26" s="66">
        <f>'Project Database'!W30</f>
        <v/>
      </c>
      <c r="T26" s="66">
        <f>'Project Database'!X30</f>
        <v/>
      </c>
      <c r="U26" s="67">
        <f>'Project Database'!Y30</f>
        <v/>
      </c>
      <c r="V26" s="66">
        <f>IF('Smart Search'!B13=1,IFERROR(1/'Smart Search'!H13,0),0)</f>
        <v/>
      </c>
      <c r="W26" s="66">
        <f>IF('Smart Search'!B13=1,IFERROR(1/'Smart Search'!H13,0),0)</f>
        <v/>
      </c>
      <c r="X26" s="66">
        <f>IF('Smart Search'!C13=1,IFERROR(1/'Smart Search'!H13,0),0)</f>
        <v/>
      </c>
      <c r="Y26" s="66">
        <f>IF('Smart Search'!C13=1,IFERROR(1/'Smart Search'!H13,0),0)</f>
        <v/>
      </c>
      <c r="Z26" s="66">
        <f>IF('Smart Search'!D13=1,IFERROR(1/'Smart Search'!H13,0),0)</f>
        <v/>
      </c>
      <c r="AA26" s="66">
        <f>IF('Smart Search'!D13=1,IFERROR(1/'Smart Search'!H13,0),0)</f>
        <v/>
      </c>
      <c r="AB26" s="66">
        <f>IF('Smart Search'!E13=1,IFERROR(1/'Smart Search'!H13,0),0)</f>
        <v/>
      </c>
      <c r="AC26" s="66">
        <f>IF('Smart Search'!E13=1,IFERROR(1/'Smart Search'!H13,0),0)</f>
        <v/>
      </c>
      <c r="AD26" s="66">
        <f>IF('Smart Search'!F13=1,IFERROR(1/'Smart Search'!H13,0),0)</f>
        <v/>
      </c>
      <c r="AE26" s="66">
        <f>IF('Smart Search'!F13=1,IFERROR(1/'Smart Search'!H13,0),0)</f>
        <v/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66">
        <f>AF26*V26</f>
        <v/>
      </c>
      <c r="AQ26" s="66">
        <f>AG26*W26</f>
        <v/>
      </c>
      <c r="AR26" s="66">
        <f>AH26*X26</f>
        <v/>
      </c>
      <c r="AS26" s="66">
        <f>AI26*Y26</f>
        <v/>
      </c>
      <c r="AT26" s="66">
        <f>AJ26*Z26</f>
        <v/>
      </c>
      <c r="AU26" s="66">
        <f>AK26*AA26</f>
        <v/>
      </c>
      <c r="AV26" s="66">
        <f>AL26*AB26</f>
        <v/>
      </c>
      <c r="AW26" s="66">
        <f>AM26*AC26</f>
        <v/>
      </c>
      <c r="AX26" s="66">
        <f>AN26*AD26</f>
        <v/>
      </c>
      <c r="AY26" s="66">
        <f>AO26*AE26</f>
        <v/>
      </c>
      <c r="AZ26" s="66">
        <f>'Project Database'!Z30</f>
        <v/>
      </c>
      <c r="BA26" s="66">
        <f>IF(OR(A26="",'Smart Search'!H13=0),"",MAX(0,BE26*BF26*MAX(0,1-BG26)))</f>
        <v/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66">
        <f>IF('Smart Search'!G13=1,IFERROR(1/'Smart Search'!H13,0),0)</f>
        <v/>
      </c>
      <c r="BD26" s="66">
        <f>BB26*BC26</f>
        <v/>
      </c>
      <c r="BE26" s="66">
        <f>AP26+AQ26+AR26+AS26+AT26+AU26+AV26+AW26+AX26+AY26+BD26</f>
        <v/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5">
        <f>IF(AND('Project Database'!A30&lt;&gt;"",OR('Smart Search'!$L$5="",'Smart Search'!$L$5="All",TRIM('Project Database'!D30)=TRIM('Smart Search'!$L$5)),OR(TRIM('Smart Search'!$L$6)="",TRIM('Smart Search'!$L$6)="All",ISNUMBER(SEARCH(SUBSTITUTE(SUBSTITUTE(SUBSTITUTE(TRIM('Smart Search'!$L$6),"~","~~"),"*","~*"),"?","~?"),'Project Database'!C30))),OR('Smart Search'!$L$7="",AND('Project Database'!E30&lt;&gt;"",'Project Database'!E30='Smart Search'!$L$7)),OR('Smart Search'!$L$8="",'Smart Search'!$L$8="All",TRIM('Project Database'!F30)=TRIM('Smart Search'!$L$8))),IF(BA26="","",BA26+ROW()*0.0000000001),"")</f>
        <v/>
      </c>
      <c r="BI26" s="5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IF('Project Database'!A30="","",N('Project Database'!AC30))</f>
        <v/>
      </c>
      <c r="BK26" s="5">
        <f>IF('Project Database'!A30="","",N('Project Database'!AD30))</f>
        <v/>
      </c>
      <c r="BL26" s="5">
        <f>IF('Project Database'!A30="","",N('Project Database'!AE30))</f>
        <v/>
      </c>
      <c r="BM26" s="5">
        <f>IF('Project Database'!A30="","",N('Project Database'!AF30))</f>
        <v/>
      </c>
      <c r="BN26" s="5">
        <f>IF('Project Database'!A30="","",N('Project Database'!AG30))</f>
        <v/>
      </c>
      <c r="BO26" s="5">
        <f>IF('Project Database'!A30="","",N('Project Database'!AH30))</f>
        <v/>
      </c>
      <c r="BP26" s="5">
        <f>IF('Project Database'!A30="","",N('Project Database'!AI30))</f>
        <v/>
      </c>
      <c r="BQ26" s="5">
        <f>IF('Project Database'!A30="","",N('Project Database'!AJ30))</f>
        <v/>
      </c>
      <c r="BR26" s="5">
        <f>IF('Project Database'!A30="","",N('Project Database'!AK30))</f>
        <v/>
      </c>
      <c r="BS26" s="5">
        <f>IF('Project Database'!A30="","",N('Project Database'!AL30))</f>
        <v/>
      </c>
      <c r="BT26" s="5">
        <f>IF('Project Database'!A30="","",N('Project Database'!AM30))</f>
        <v/>
      </c>
      <c r="BU26" s="5">
        <f>IF('Project Database'!A30="","",N('Project Database'!AN30))</f>
        <v/>
      </c>
      <c r="BV26" s="5">
        <f>IF('Project Database'!A30="","",N('Project Database'!AO30))</f>
        <v/>
      </c>
      <c r="BW26" s="5">
        <f>IF('Project Database'!A30="","",N('Project Database'!AP30))</f>
        <v/>
      </c>
      <c r="BX26" s="5">
        <f>IF(A26="","",SUM(BJ26:BW26))</f>
        <v/>
      </c>
      <c r="BY26" s="5">
        <f>IF(A26="","",IFERROR(IF(ISNUMBER(U26),U26,VALUE(SUBSTITUTE(SUBSTITUTE(SUBSTITUTE(UPPER(TRIM(U26)),"M",""),",","")," ",""))),0))</f>
        <v/>
      </c>
    </row>
    <row r="27" ht="15" customHeight="1" s="74">
      <c r="A27" s="66">
        <f>'Project Database'!A31</f>
        <v/>
      </c>
      <c r="B27" s="66">
        <f>'Project Database'!B31</f>
        <v/>
      </c>
      <c r="C27" s="66">
        <f>'Project Database'!G31</f>
        <v/>
      </c>
      <c r="D27" s="66">
        <f>'Project Database'!H31</f>
        <v/>
      </c>
      <c r="E27" s="66">
        <f>'Project Database'!I31</f>
        <v/>
      </c>
      <c r="F27" s="66">
        <f>'Project Database'!J31</f>
        <v/>
      </c>
      <c r="G27" s="66">
        <f>'Project Database'!K31</f>
        <v/>
      </c>
      <c r="H27" s="66">
        <f>'Project Database'!L31</f>
        <v/>
      </c>
      <c r="I27" s="66">
        <f>'Project Database'!M31</f>
        <v/>
      </c>
      <c r="J27" s="66">
        <f>'Project Database'!N31</f>
        <v/>
      </c>
      <c r="K27" s="66">
        <f>'Project Database'!O31</f>
        <v/>
      </c>
      <c r="L27" s="66">
        <f>'Project Database'!P31</f>
        <v/>
      </c>
      <c r="M27" s="66">
        <f>'Project Database'!Q31</f>
        <v/>
      </c>
      <c r="N27" s="66">
        <f>'Project Database'!R31</f>
        <v/>
      </c>
      <c r="O27" s="66">
        <f>'Project Database'!S31</f>
        <v/>
      </c>
      <c r="P27" s="66">
        <f>'Project Database'!T31</f>
        <v/>
      </c>
      <c r="Q27" s="66">
        <f>'Project Database'!U31</f>
        <v/>
      </c>
      <c r="R27" s="66">
        <f>'Project Database'!V31</f>
        <v/>
      </c>
      <c r="S27" s="66">
        <f>'Project Database'!W31</f>
        <v/>
      </c>
      <c r="T27" s="66">
        <f>'Project Database'!X31</f>
        <v/>
      </c>
      <c r="U27" s="67">
        <f>'Project Database'!Y31</f>
        <v/>
      </c>
      <c r="V27" s="66">
        <f>IF('Smart Search'!B13=1,IFERROR(1/'Smart Search'!H13,0),0)</f>
        <v/>
      </c>
      <c r="W27" s="66">
        <f>IF('Smart Search'!B13=1,IFERROR(1/'Smart Search'!H13,0),0)</f>
        <v/>
      </c>
      <c r="X27" s="66">
        <f>IF('Smart Search'!C13=1,IFERROR(1/'Smart Search'!H13,0),0)</f>
        <v/>
      </c>
      <c r="Y27" s="66">
        <f>IF('Smart Search'!C13=1,IFERROR(1/'Smart Search'!H13,0),0)</f>
        <v/>
      </c>
      <c r="Z27" s="66">
        <f>IF('Smart Search'!D13=1,IFERROR(1/'Smart Search'!H13,0),0)</f>
        <v/>
      </c>
      <c r="AA27" s="66">
        <f>IF('Smart Search'!D13=1,IFERROR(1/'Smart Search'!H13,0),0)</f>
        <v/>
      </c>
      <c r="AB27" s="66">
        <f>IF('Smart Search'!E13=1,IFERROR(1/'Smart Search'!H13,0),0)</f>
        <v/>
      </c>
      <c r="AC27" s="66">
        <f>IF('Smart Search'!E13=1,IFERROR(1/'Smart Search'!H13,0),0)</f>
        <v/>
      </c>
      <c r="AD27" s="66">
        <f>IF('Smart Search'!F13=1,IFERROR(1/'Smart Search'!H13,0),0)</f>
        <v/>
      </c>
      <c r="AE27" s="66">
        <f>IF('Smart Search'!F13=1,IFERROR(1/'Smart Search'!H13,0),0)</f>
        <v/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66">
        <f>AF27*V27</f>
        <v/>
      </c>
      <c r="AQ27" s="66">
        <f>AG27*W27</f>
        <v/>
      </c>
      <c r="AR27" s="66">
        <f>AH27*X27</f>
        <v/>
      </c>
      <c r="AS27" s="66">
        <f>AI27*Y27</f>
        <v/>
      </c>
      <c r="AT27" s="66">
        <f>AJ27*Z27</f>
        <v/>
      </c>
      <c r="AU27" s="66">
        <f>AK27*AA27</f>
        <v/>
      </c>
      <c r="AV27" s="66">
        <f>AL27*AB27</f>
        <v/>
      </c>
      <c r="AW27" s="66">
        <f>AM27*AC27</f>
        <v/>
      </c>
      <c r="AX27" s="66">
        <f>AN27*AD27</f>
        <v/>
      </c>
      <c r="AY27" s="66">
        <f>AO27*AE27</f>
        <v/>
      </c>
      <c r="AZ27" s="66">
        <f>'Project Database'!Z31</f>
        <v/>
      </c>
      <c r="BA27" s="66">
        <f>IF(OR(A27="",'Smart Search'!H13=0),"",MAX(0,BE27*BF27*MAX(0,1-BG27)))</f>
        <v/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66">
        <f>IF('Smart Search'!G13=1,IFERROR(1/'Smart Search'!H13,0),0)</f>
        <v/>
      </c>
      <c r="BD27" s="66">
        <f>BB27*BC27</f>
        <v/>
      </c>
      <c r="BE27" s="66">
        <f>AP27+AQ27+AR27+AS27+AT27+AU27+AV27+AW27+AX27+AY27+BD27</f>
        <v/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5">
        <f>IF(AND('Project Database'!A31&lt;&gt;"",OR('Smart Search'!$L$5="",'Smart Search'!$L$5="All",TRIM('Project Database'!D31)=TRIM('Smart Search'!$L$5)),OR(TRIM('Smart Search'!$L$6)="",TRIM('Smart Search'!$L$6)="All",ISNUMBER(SEARCH(SUBSTITUTE(SUBSTITUTE(SUBSTITUTE(TRIM('Smart Search'!$L$6),"~","~~"),"*","~*"),"?","~?"),'Project Database'!C31))),OR('Smart Search'!$L$7="",AND('Project Database'!E31&lt;&gt;"",'Project Database'!E31='Smart Search'!$L$7)),OR('Smart Search'!$L$8="",'Smart Search'!$L$8="All",TRIM('Project Database'!F31)=TRIM('Smart Search'!$L$8))),IF(BA27="","",BA27+ROW()*0.0000000001),"")</f>
        <v/>
      </c>
      <c r="BI27" s="5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IF('Project Database'!A31="","",N('Project Database'!AC31))</f>
        <v/>
      </c>
      <c r="BK27" s="5">
        <f>IF('Project Database'!A31="","",N('Project Database'!AD31))</f>
        <v/>
      </c>
      <c r="BL27" s="5">
        <f>IF('Project Database'!A31="","",N('Project Database'!AE31))</f>
        <v/>
      </c>
      <c r="BM27" s="5">
        <f>IF('Project Database'!A31="","",N('Project Database'!AF31))</f>
        <v/>
      </c>
      <c r="BN27" s="5">
        <f>IF('Project Database'!A31="","",N('Project Database'!AG31))</f>
        <v/>
      </c>
      <c r="BO27" s="5">
        <f>IF('Project Database'!A31="","",N('Project Database'!AH31))</f>
        <v/>
      </c>
      <c r="BP27" s="5">
        <f>IF('Project Database'!A31="","",N('Project Database'!AI31))</f>
        <v/>
      </c>
      <c r="BQ27" s="5">
        <f>IF('Project Database'!A31="","",N('Project Database'!AJ31))</f>
        <v/>
      </c>
      <c r="BR27" s="5">
        <f>IF('Project Database'!A31="","",N('Project Database'!AK31))</f>
        <v/>
      </c>
      <c r="BS27" s="5">
        <f>IF('Project Database'!A31="","",N('Project Database'!AL31))</f>
        <v/>
      </c>
      <c r="BT27" s="5">
        <f>IF('Project Database'!A31="","",N('Project Database'!AM31))</f>
        <v/>
      </c>
      <c r="BU27" s="5">
        <f>IF('Project Database'!A31="","",N('Project Database'!AN31))</f>
        <v/>
      </c>
      <c r="BV27" s="5">
        <f>IF('Project Database'!A31="","",N('Project Database'!AO31))</f>
        <v/>
      </c>
      <c r="BW27" s="5">
        <f>IF('Project Database'!A31="","",N('Project Database'!AP31))</f>
        <v/>
      </c>
      <c r="BX27" s="5">
        <f>IF(A27="","",SUM(BJ27:BW27))</f>
        <v/>
      </c>
      <c r="BY27" s="5">
        <f>IF(A27="","",IFERROR(IF(ISNUMBER(U27),U27,VALUE(SUBSTITUTE(SUBSTITUTE(SUBSTITUTE(UPPER(TRIM(U27)),"M",""),",","")," ",""))),0))</f>
        <v/>
      </c>
    </row>
    <row r="28" ht="15" customHeight="1" s="74">
      <c r="A28" s="66">
        <f>'Project Database'!A32</f>
        <v/>
      </c>
      <c r="B28" s="66">
        <f>'Project Database'!B32</f>
        <v/>
      </c>
      <c r="C28" s="66">
        <f>'Project Database'!G32</f>
        <v/>
      </c>
      <c r="D28" s="66">
        <f>'Project Database'!H32</f>
        <v/>
      </c>
      <c r="E28" s="66">
        <f>'Project Database'!I32</f>
        <v/>
      </c>
      <c r="F28" s="66">
        <f>'Project Database'!J32</f>
        <v/>
      </c>
      <c r="G28" s="66">
        <f>'Project Database'!K32</f>
        <v/>
      </c>
      <c r="H28" s="66">
        <f>'Project Database'!L32</f>
        <v/>
      </c>
      <c r="I28" s="66">
        <f>'Project Database'!M32</f>
        <v/>
      </c>
      <c r="J28" s="66">
        <f>'Project Database'!N32</f>
        <v/>
      </c>
      <c r="K28" s="66">
        <f>'Project Database'!O32</f>
        <v/>
      </c>
      <c r="L28" s="66">
        <f>'Project Database'!P32</f>
        <v/>
      </c>
      <c r="M28" s="66">
        <f>'Project Database'!Q32</f>
        <v/>
      </c>
      <c r="N28" s="66">
        <f>'Project Database'!R32</f>
        <v/>
      </c>
      <c r="O28" s="66">
        <f>'Project Database'!S32</f>
        <v/>
      </c>
      <c r="P28" s="66">
        <f>'Project Database'!T32</f>
        <v/>
      </c>
      <c r="Q28" s="66">
        <f>'Project Database'!U32</f>
        <v/>
      </c>
      <c r="R28" s="66">
        <f>'Project Database'!V32</f>
        <v/>
      </c>
      <c r="S28" s="66">
        <f>'Project Database'!W32</f>
        <v/>
      </c>
      <c r="T28" s="66">
        <f>'Project Database'!X32</f>
        <v/>
      </c>
      <c r="U28" s="67">
        <f>'Project Database'!Y32</f>
        <v/>
      </c>
      <c r="V28" s="66">
        <f>IF('Smart Search'!B13=1,IFERROR(1/'Smart Search'!H13,0),0)</f>
        <v/>
      </c>
      <c r="W28" s="66">
        <f>IF('Smart Search'!B13=1,IFERROR(1/'Smart Search'!H13,0),0)</f>
        <v/>
      </c>
      <c r="X28" s="66">
        <f>IF('Smart Search'!C13=1,IFERROR(1/'Smart Search'!H13,0),0)</f>
        <v/>
      </c>
      <c r="Y28" s="66">
        <f>IF('Smart Search'!C13=1,IFERROR(1/'Smart Search'!H13,0),0)</f>
        <v/>
      </c>
      <c r="Z28" s="66">
        <f>IF('Smart Search'!D13=1,IFERROR(1/'Smart Search'!H13,0),0)</f>
        <v/>
      </c>
      <c r="AA28" s="66">
        <f>IF('Smart Search'!D13=1,IFERROR(1/'Smart Search'!H13,0),0)</f>
        <v/>
      </c>
      <c r="AB28" s="66">
        <f>IF('Smart Search'!E13=1,IFERROR(1/'Smart Search'!H13,0),0)</f>
        <v/>
      </c>
      <c r="AC28" s="66">
        <f>IF('Smart Search'!E13=1,IFERROR(1/'Smart Search'!H13,0),0)</f>
        <v/>
      </c>
      <c r="AD28" s="66">
        <f>IF('Smart Search'!F13=1,IFERROR(1/'Smart Search'!H13,0),0)</f>
        <v/>
      </c>
      <c r="AE28" s="66">
        <f>IF('Smart Search'!F13=1,IFERROR(1/'Smart Search'!H13,0),0)</f>
        <v/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66">
        <f>AF28*V28</f>
        <v/>
      </c>
      <c r="AQ28" s="66">
        <f>AG28*W28</f>
        <v/>
      </c>
      <c r="AR28" s="66">
        <f>AH28*X28</f>
        <v/>
      </c>
      <c r="AS28" s="66">
        <f>AI28*Y28</f>
        <v/>
      </c>
      <c r="AT28" s="66">
        <f>AJ28*Z28</f>
        <v/>
      </c>
      <c r="AU28" s="66">
        <f>AK28*AA28</f>
        <v/>
      </c>
      <c r="AV28" s="66">
        <f>AL28*AB28</f>
        <v/>
      </c>
      <c r="AW28" s="66">
        <f>AM28*AC28</f>
        <v/>
      </c>
      <c r="AX28" s="66">
        <f>AN28*AD28</f>
        <v/>
      </c>
      <c r="AY28" s="66">
        <f>AO28*AE28</f>
        <v/>
      </c>
      <c r="AZ28" s="66">
        <f>'Project Database'!Z32</f>
        <v/>
      </c>
      <c r="BA28" s="66">
        <f>IF(OR(A28="",'Smart Search'!H13=0),"",MAX(0,BE28*BF28*MAX(0,1-BG28)))</f>
        <v/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66">
        <f>IF('Smart Search'!G13=1,IFERROR(1/'Smart Search'!H13,0),0)</f>
        <v/>
      </c>
      <c r="BD28" s="66">
        <f>BB28*BC28</f>
        <v/>
      </c>
      <c r="BE28" s="66">
        <f>AP28+AQ28+AR28+AS28+AT28+AU28+AV28+AW28+AX28+AY28+BD28</f>
        <v/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5">
        <f>IF(AND('Project Database'!A32&lt;&gt;"",OR('Smart Search'!$L$5="",'Smart Search'!$L$5="All",TRIM('Project Database'!D32)=TRIM('Smart Search'!$L$5)),OR(TRIM('Smart Search'!$L$6)="",TRIM('Smart Search'!$L$6)="All",ISNUMBER(SEARCH(SUBSTITUTE(SUBSTITUTE(SUBSTITUTE(TRIM('Smart Search'!$L$6),"~","~~"),"*","~*"),"?","~?"),'Project Database'!C32))),OR('Smart Search'!$L$7="",AND('Project Database'!E32&lt;&gt;"",'Project Database'!E32='Smart Search'!$L$7)),OR('Smart Search'!$L$8="",'Smart Search'!$L$8="All",TRIM('Project Database'!F32)=TRIM('Smart Search'!$L$8))),IF(BA28="","",BA28+ROW()*0.0000000001),"")</f>
        <v/>
      </c>
      <c r="BI28" s="5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IF('Project Database'!A32="","",N('Project Database'!AC32))</f>
        <v/>
      </c>
      <c r="BK28" s="5">
        <f>IF('Project Database'!A32="","",N('Project Database'!AD32))</f>
        <v/>
      </c>
      <c r="BL28" s="5">
        <f>IF('Project Database'!A32="","",N('Project Database'!AE32))</f>
        <v/>
      </c>
      <c r="BM28" s="5">
        <f>IF('Project Database'!A32="","",N('Project Database'!AF32))</f>
        <v/>
      </c>
      <c r="BN28" s="5">
        <f>IF('Project Database'!A32="","",N('Project Database'!AG32))</f>
        <v/>
      </c>
      <c r="BO28" s="5">
        <f>IF('Project Database'!A32="","",N('Project Database'!AH32))</f>
        <v/>
      </c>
      <c r="BP28" s="5">
        <f>IF('Project Database'!A32="","",N('Project Database'!AI32))</f>
        <v/>
      </c>
      <c r="BQ28" s="5">
        <f>IF('Project Database'!A32="","",N('Project Database'!AJ32))</f>
        <v/>
      </c>
      <c r="BR28" s="5">
        <f>IF('Project Database'!A32="","",N('Project Database'!AK32))</f>
        <v/>
      </c>
      <c r="BS28" s="5">
        <f>IF('Project Database'!A32="","",N('Project Database'!AL32))</f>
        <v/>
      </c>
      <c r="BT28" s="5">
        <f>IF('Project Database'!A32="","",N('Project Database'!AM32))</f>
        <v/>
      </c>
      <c r="BU28" s="5">
        <f>IF('Project Database'!A32="","",N('Project Database'!AN32))</f>
        <v/>
      </c>
      <c r="BV28" s="5">
        <f>IF('Project Database'!A32="","",N('Project Database'!AO32))</f>
        <v/>
      </c>
      <c r="BW28" s="5">
        <f>IF('Project Database'!A32="","",N('Project Database'!AP32))</f>
        <v/>
      </c>
      <c r="BX28" s="5">
        <f>IF(A28="","",SUM(BJ28:BW28))</f>
        <v/>
      </c>
      <c r="BY28" s="5">
        <f>IF(A28="","",IFERROR(IF(ISNUMBER(U28),U28,VALUE(SUBSTITUTE(SUBSTITUTE(SUBSTITUTE(UPPER(TRIM(U28)),"M",""),",","")," ",""))),0))</f>
        <v/>
      </c>
    </row>
    <row r="29" ht="15" customHeight="1" s="74">
      <c r="A29" s="66">
        <f>'Project Database'!A33</f>
        <v/>
      </c>
      <c r="B29" s="66">
        <f>'Project Database'!B33</f>
        <v/>
      </c>
      <c r="C29" s="66">
        <f>'Project Database'!G33</f>
        <v/>
      </c>
      <c r="D29" s="66">
        <f>'Project Database'!H33</f>
        <v/>
      </c>
      <c r="E29" s="66">
        <f>'Project Database'!I33</f>
        <v/>
      </c>
      <c r="F29" s="66">
        <f>'Project Database'!J33</f>
        <v/>
      </c>
      <c r="G29" s="66">
        <f>'Project Database'!K33</f>
        <v/>
      </c>
      <c r="H29" s="66">
        <f>'Project Database'!L33</f>
        <v/>
      </c>
      <c r="I29" s="66">
        <f>'Project Database'!M33</f>
        <v/>
      </c>
      <c r="J29" s="66">
        <f>'Project Database'!N33</f>
        <v/>
      </c>
      <c r="K29" s="66">
        <f>'Project Database'!O33</f>
        <v/>
      </c>
      <c r="L29" s="66">
        <f>'Project Database'!P33</f>
        <v/>
      </c>
      <c r="M29" s="66">
        <f>'Project Database'!Q33</f>
        <v/>
      </c>
      <c r="N29" s="66">
        <f>'Project Database'!R33</f>
        <v/>
      </c>
      <c r="O29" s="66">
        <f>'Project Database'!S33</f>
        <v/>
      </c>
      <c r="P29" s="66">
        <f>'Project Database'!T33</f>
        <v/>
      </c>
      <c r="Q29" s="66">
        <f>'Project Database'!U33</f>
        <v/>
      </c>
      <c r="R29" s="66">
        <f>'Project Database'!V33</f>
        <v/>
      </c>
      <c r="S29" s="66">
        <f>'Project Database'!W33</f>
        <v/>
      </c>
      <c r="T29" s="66">
        <f>'Project Database'!X33</f>
        <v/>
      </c>
      <c r="U29" s="67">
        <f>'Project Database'!Y33</f>
        <v/>
      </c>
      <c r="V29" s="66">
        <f>IF('Smart Search'!B13=1,IFERROR(1/'Smart Search'!H13,0),0)</f>
        <v/>
      </c>
      <c r="W29" s="66">
        <f>IF('Smart Search'!B13=1,IFERROR(1/'Smart Search'!H13,0),0)</f>
        <v/>
      </c>
      <c r="X29" s="66">
        <f>IF('Smart Search'!C13=1,IFERROR(1/'Smart Search'!H13,0),0)</f>
        <v/>
      </c>
      <c r="Y29" s="66">
        <f>IF('Smart Search'!C13=1,IFERROR(1/'Smart Search'!H13,0),0)</f>
        <v/>
      </c>
      <c r="Z29" s="66">
        <f>IF('Smart Search'!D13=1,IFERROR(1/'Smart Search'!H13,0),0)</f>
        <v/>
      </c>
      <c r="AA29" s="66">
        <f>IF('Smart Search'!D13=1,IFERROR(1/'Smart Search'!H13,0),0)</f>
        <v/>
      </c>
      <c r="AB29" s="66">
        <f>IF('Smart Search'!E13=1,IFERROR(1/'Smart Search'!H13,0),0)</f>
        <v/>
      </c>
      <c r="AC29" s="66">
        <f>IF('Smart Search'!E13=1,IFERROR(1/'Smart Search'!H13,0),0)</f>
        <v/>
      </c>
      <c r="AD29" s="66">
        <f>IF('Smart Search'!F13=1,IFERROR(1/'Smart Search'!H13,0),0)</f>
        <v/>
      </c>
      <c r="AE29" s="66">
        <f>IF('Smart Search'!F13=1,IFERROR(1/'Smart Search'!H13,0),0)</f>
        <v/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66">
        <f>AF29*V29</f>
        <v/>
      </c>
      <c r="AQ29" s="66">
        <f>AG29*W29</f>
        <v/>
      </c>
      <c r="AR29" s="66">
        <f>AH29*X29</f>
        <v/>
      </c>
      <c r="AS29" s="66">
        <f>AI29*Y29</f>
        <v/>
      </c>
      <c r="AT29" s="66">
        <f>AJ29*Z29</f>
        <v/>
      </c>
      <c r="AU29" s="66">
        <f>AK29*AA29</f>
        <v/>
      </c>
      <c r="AV29" s="66">
        <f>AL29*AB29</f>
        <v/>
      </c>
      <c r="AW29" s="66">
        <f>AM29*AC29</f>
        <v/>
      </c>
      <c r="AX29" s="66">
        <f>AN29*AD29</f>
        <v/>
      </c>
      <c r="AY29" s="66">
        <f>AO29*AE29</f>
        <v/>
      </c>
      <c r="AZ29" s="66">
        <f>'Project Database'!Z33</f>
        <v/>
      </c>
      <c r="BA29" s="66">
        <f>IF(OR(A29="",'Smart Search'!H13=0),"",MAX(0,BE29*BF29*MAX(0,1-BG29)))</f>
        <v/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66">
        <f>IF('Smart Search'!G13=1,IFERROR(1/'Smart Search'!H13,0),0)</f>
        <v/>
      </c>
      <c r="BD29" s="66">
        <f>BB29*BC29</f>
        <v/>
      </c>
      <c r="BE29" s="66">
        <f>AP29+AQ29+AR29+AS29+AT29+AU29+AV29+AW29+AX29+AY29+BD29</f>
        <v/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5">
        <f>IF(AND('Project Database'!A33&lt;&gt;"",OR('Smart Search'!$L$5="",'Smart Search'!$L$5="All",TRIM('Project Database'!D33)=TRIM('Smart Search'!$L$5)),OR(TRIM('Smart Search'!$L$6)="",TRIM('Smart Search'!$L$6)="All",ISNUMBER(SEARCH(SUBSTITUTE(SUBSTITUTE(SUBSTITUTE(TRIM('Smart Search'!$L$6),"~","~~"),"*","~*"),"?","~?"),'Project Database'!C33))),OR('Smart Search'!$L$7="",AND('Project Database'!E33&lt;&gt;"",'Project Database'!E33='Smart Search'!$L$7)),OR('Smart Search'!$L$8="",'Smart Search'!$L$8="All",TRIM('Project Database'!F33)=TRIM('Smart Search'!$L$8))),IF(BA29="","",BA29+ROW()*0.0000000001),"")</f>
        <v/>
      </c>
      <c r="BI29" s="5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5">
        <f>IF('Project Database'!A33="","",N('Project Database'!AC33))</f>
        <v/>
      </c>
      <c r="BK29" s="5">
        <f>IF('Project Database'!A33="","",N('Project Database'!AD33))</f>
        <v/>
      </c>
      <c r="BL29" s="5">
        <f>IF('Project Database'!A33="","",N('Project Database'!AE33))</f>
        <v/>
      </c>
      <c r="BM29" s="5">
        <f>IF('Project Database'!A33="","",N('Project Database'!AF33))</f>
        <v/>
      </c>
      <c r="BN29" s="5">
        <f>IF('Project Database'!A33="","",N('Project Database'!AG33))</f>
        <v/>
      </c>
      <c r="BO29" s="5">
        <f>IF('Project Database'!A33="","",N('Project Database'!AH33))</f>
        <v/>
      </c>
      <c r="BP29" s="5">
        <f>IF('Project Database'!A33="","",N('Project Database'!AI33))</f>
        <v/>
      </c>
      <c r="BQ29" s="5">
        <f>IF('Project Database'!A33="","",N('Project Database'!AJ33))</f>
        <v/>
      </c>
      <c r="BR29" s="5">
        <f>IF('Project Database'!A33="","",N('Project Database'!AK33))</f>
        <v/>
      </c>
      <c r="BS29" s="5">
        <f>IF('Project Database'!A33="","",N('Project Database'!AL33))</f>
        <v/>
      </c>
      <c r="BT29" s="5">
        <f>IF('Project Database'!A33="","",N('Project Database'!AM33))</f>
        <v/>
      </c>
      <c r="BU29" s="5">
        <f>IF('Project Database'!A33="","",N('Project Database'!AN33))</f>
        <v/>
      </c>
      <c r="BV29" s="5">
        <f>IF('Project Database'!A33="","",N('Project Database'!AO33))</f>
        <v/>
      </c>
      <c r="BW29" s="5">
        <f>IF('Project Database'!A33="","",N('Project Database'!AP33))</f>
        <v/>
      </c>
      <c r="BX29" s="5">
        <f>IF(A29="","",SUM(BJ29:BW29))</f>
        <v/>
      </c>
      <c r="BY29" s="5">
        <f>IF(A29="","",IFERROR(IF(ISNUMBER(U29),U29,VALUE(SUBSTITUTE(SUBSTITUTE(SUBSTITUTE(UPPER(TRIM(U29)),"M",""),",","")," ",""))),0))</f>
        <v/>
      </c>
    </row>
    <row r="30" ht="15" customHeight="1" s="74">
      <c r="A30" s="66">
        <f>'Project Database'!A34</f>
        <v/>
      </c>
      <c r="B30" s="66">
        <f>'Project Database'!B34</f>
        <v/>
      </c>
      <c r="C30" s="66">
        <f>'Project Database'!G34</f>
        <v/>
      </c>
      <c r="D30" s="66">
        <f>'Project Database'!H34</f>
        <v/>
      </c>
      <c r="E30" s="66">
        <f>'Project Database'!I34</f>
        <v/>
      </c>
      <c r="F30" s="66">
        <f>'Project Database'!J34</f>
        <v/>
      </c>
      <c r="G30" s="66">
        <f>'Project Database'!K34</f>
        <v/>
      </c>
      <c r="H30" s="66">
        <f>'Project Database'!L34</f>
        <v/>
      </c>
      <c r="I30" s="66">
        <f>'Project Database'!M34</f>
        <v/>
      </c>
      <c r="J30" s="66">
        <f>'Project Database'!N34</f>
        <v/>
      </c>
      <c r="K30" s="66">
        <f>'Project Database'!O34</f>
        <v/>
      </c>
      <c r="L30" s="66">
        <f>'Project Database'!P34</f>
        <v/>
      </c>
      <c r="M30" s="66">
        <f>'Project Database'!Q34</f>
        <v/>
      </c>
      <c r="N30" s="66">
        <f>'Project Database'!R34</f>
        <v/>
      </c>
      <c r="O30" s="66">
        <f>'Project Database'!S34</f>
        <v/>
      </c>
      <c r="P30" s="66">
        <f>'Project Database'!T34</f>
        <v/>
      </c>
      <c r="Q30" s="66">
        <f>'Project Database'!U34</f>
        <v/>
      </c>
      <c r="R30" s="66">
        <f>'Project Database'!V34</f>
        <v/>
      </c>
      <c r="S30" s="66">
        <f>'Project Database'!W34</f>
        <v/>
      </c>
      <c r="T30" s="66">
        <f>'Project Database'!X34</f>
        <v/>
      </c>
      <c r="U30" s="67">
        <f>'Project Database'!Y34</f>
        <v/>
      </c>
      <c r="V30" s="66">
        <f>IF('Smart Search'!B13=1,IFERROR(1/'Smart Search'!H13,0),0)</f>
        <v/>
      </c>
      <c r="W30" s="66">
        <f>IF('Smart Search'!B13=1,IFERROR(1/'Smart Search'!H13,0),0)</f>
        <v/>
      </c>
      <c r="X30" s="66">
        <f>IF('Smart Search'!C13=1,IFERROR(1/'Smart Search'!H13,0),0)</f>
        <v/>
      </c>
      <c r="Y30" s="66">
        <f>IF('Smart Search'!C13=1,IFERROR(1/'Smart Search'!H13,0),0)</f>
        <v/>
      </c>
      <c r="Z30" s="66">
        <f>IF('Smart Search'!D13=1,IFERROR(1/'Smart Search'!H13,0),0)</f>
        <v/>
      </c>
      <c r="AA30" s="66">
        <f>IF('Smart Search'!D13=1,IFERROR(1/'Smart Search'!H13,0),0)</f>
        <v/>
      </c>
      <c r="AB30" s="66">
        <f>IF('Smart Search'!E13=1,IFERROR(1/'Smart Search'!H13,0),0)</f>
        <v/>
      </c>
      <c r="AC30" s="66">
        <f>IF('Smart Search'!E13=1,IFERROR(1/'Smart Search'!H13,0),0)</f>
        <v/>
      </c>
      <c r="AD30" s="66">
        <f>IF('Smart Search'!F13=1,IFERROR(1/'Smart Search'!H13,0),0)</f>
        <v/>
      </c>
      <c r="AE30" s="66">
        <f>IF('Smart Search'!F13=1,IFERROR(1/'Smart Search'!H13,0),0)</f>
        <v/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66">
        <f>AF30*V30</f>
        <v/>
      </c>
      <c r="AQ30" s="66">
        <f>AG30*W30</f>
        <v/>
      </c>
      <c r="AR30" s="66">
        <f>AH30*X30</f>
        <v/>
      </c>
      <c r="AS30" s="66">
        <f>AI30*Y30</f>
        <v/>
      </c>
      <c r="AT30" s="66">
        <f>AJ30*Z30</f>
        <v/>
      </c>
      <c r="AU30" s="66">
        <f>AK30*AA30</f>
        <v/>
      </c>
      <c r="AV30" s="66">
        <f>AL30*AB30</f>
        <v/>
      </c>
      <c r="AW30" s="66">
        <f>AM30*AC30</f>
        <v/>
      </c>
      <c r="AX30" s="66">
        <f>AN30*AD30</f>
        <v/>
      </c>
      <c r="AY30" s="66">
        <f>AO30*AE30</f>
        <v/>
      </c>
      <c r="AZ30" s="66">
        <f>'Project Database'!Z34</f>
        <v/>
      </c>
      <c r="BA30" s="66">
        <f>IF(OR(A30="",'Smart Search'!H13=0),"",MAX(0,BE30*BF30*MAX(0,1-BG30)))</f>
        <v/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66">
        <f>IF('Smart Search'!G13=1,IFERROR(1/'Smart Search'!H13,0),0)</f>
        <v/>
      </c>
      <c r="BD30" s="66">
        <f>BB30*BC30</f>
        <v/>
      </c>
      <c r="BE30" s="66">
        <f>AP30+AQ30+AR30+AS30+AT30+AU30+AV30+AW30+AX30+AY30+BD30</f>
        <v/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5">
        <f>IF(AND('Project Database'!A34&lt;&gt;"",OR('Smart Search'!$L$5="",'Smart Search'!$L$5="All",TRIM('Project Database'!D34)=TRIM('Smart Search'!$L$5)),OR(TRIM('Smart Search'!$L$6)="",TRIM('Smart Search'!$L$6)="All",ISNUMBER(SEARCH(SUBSTITUTE(SUBSTITUTE(SUBSTITUTE(TRIM('Smart Search'!$L$6),"~","~~"),"*","~*"),"?","~?"),'Project Database'!C34))),OR('Smart Search'!$L$7="",AND('Project Database'!E34&lt;&gt;"",'Project Database'!E34='Smart Search'!$L$7)),OR('Smart Search'!$L$8="",'Smart Search'!$L$8="All",TRIM('Project Database'!F34)=TRIM('Smart Search'!$L$8))),IF(BA30="","",BA30+ROW()*0.0000000001),"")</f>
        <v/>
      </c>
      <c r="BI30" s="5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5">
        <f>IF('Project Database'!A34="","",N('Project Database'!AC34))</f>
        <v/>
      </c>
      <c r="BK30" s="5">
        <f>IF('Project Database'!A34="","",N('Project Database'!AD34))</f>
        <v/>
      </c>
      <c r="BL30" s="5">
        <f>IF('Project Database'!A34="","",N('Project Database'!AE34))</f>
        <v/>
      </c>
      <c r="BM30" s="5">
        <f>IF('Project Database'!A34="","",N('Project Database'!AF34))</f>
        <v/>
      </c>
      <c r="BN30" s="5">
        <f>IF('Project Database'!A34="","",N('Project Database'!AG34))</f>
        <v/>
      </c>
      <c r="BO30" s="5">
        <f>IF('Project Database'!A34="","",N('Project Database'!AH34))</f>
        <v/>
      </c>
      <c r="BP30" s="5">
        <f>IF('Project Database'!A34="","",N('Project Database'!AI34))</f>
        <v/>
      </c>
      <c r="BQ30" s="5">
        <f>IF('Project Database'!A34="","",N('Project Database'!AJ34))</f>
        <v/>
      </c>
      <c r="BR30" s="5">
        <f>IF('Project Database'!A34="","",N('Project Database'!AK34))</f>
        <v/>
      </c>
      <c r="BS30" s="5">
        <f>IF('Project Database'!A34="","",N('Project Database'!AL34))</f>
        <v/>
      </c>
      <c r="BT30" s="5">
        <f>IF('Project Database'!A34="","",N('Project Database'!AM34))</f>
        <v/>
      </c>
      <c r="BU30" s="5">
        <f>IF('Project Database'!A34="","",N('Project Database'!AN34))</f>
        <v/>
      </c>
      <c r="BV30" s="5">
        <f>IF('Project Database'!A34="","",N('Project Database'!AO34))</f>
        <v/>
      </c>
      <c r="BW30" s="5">
        <f>IF('Project Database'!A34="","",N('Project Database'!AP34))</f>
        <v/>
      </c>
      <c r="BX30" s="5">
        <f>IF(A30="","",SUM(BJ30:BW30))</f>
        <v/>
      </c>
      <c r="BY30" s="5">
        <f>IF(A30="","",IFERROR(IF(ISNUMBER(U30),U30,VALUE(SUBSTITUTE(SUBSTITUTE(SUBSTITUTE(UPPER(TRIM(U30)),"M",""),",","")," ",""))),0))</f>
        <v/>
      </c>
    </row>
    <row r="31" ht="15" customHeight="1" s="74">
      <c r="A31" s="66">
        <f>'Project Database'!A35</f>
        <v/>
      </c>
      <c r="B31" s="66">
        <f>'Project Database'!B35</f>
        <v/>
      </c>
      <c r="C31" s="66">
        <f>'Project Database'!G35</f>
        <v/>
      </c>
      <c r="D31" s="66">
        <f>'Project Database'!H35</f>
        <v/>
      </c>
      <c r="E31" s="66">
        <f>'Project Database'!I35</f>
        <v/>
      </c>
      <c r="F31" s="66">
        <f>'Project Database'!J35</f>
        <v/>
      </c>
      <c r="G31" s="66">
        <f>'Project Database'!K35</f>
        <v/>
      </c>
      <c r="H31" s="66">
        <f>'Project Database'!L35</f>
        <v/>
      </c>
      <c r="I31" s="66">
        <f>'Project Database'!M35</f>
        <v/>
      </c>
      <c r="J31" s="66">
        <f>'Project Database'!N35</f>
        <v/>
      </c>
      <c r="K31" s="66">
        <f>'Project Database'!O35</f>
        <v/>
      </c>
      <c r="L31" s="66">
        <f>'Project Database'!P35</f>
        <v/>
      </c>
      <c r="M31" s="66">
        <f>'Project Database'!Q35</f>
        <v/>
      </c>
      <c r="N31" s="66">
        <f>'Project Database'!R35</f>
        <v/>
      </c>
      <c r="O31" s="66">
        <f>'Project Database'!S35</f>
        <v/>
      </c>
      <c r="P31" s="66">
        <f>'Project Database'!T35</f>
        <v/>
      </c>
      <c r="Q31" s="66">
        <f>'Project Database'!U35</f>
        <v/>
      </c>
      <c r="R31" s="66">
        <f>'Project Database'!V35</f>
        <v/>
      </c>
      <c r="S31" s="66">
        <f>'Project Database'!W35</f>
        <v/>
      </c>
      <c r="T31" s="66">
        <f>'Project Database'!X35</f>
        <v/>
      </c>
      <c r="U31" s="67">
        <f>'Project Database'!Y35</f>
        <v/>
      </c>
      <c r="V31" s="66">
        <f>IF('Smart Search'!B13=1,IFERROR(1/'Smart Search'!H13,0),0)</f>
        <v/>
      </c>
      <c r="W31" s="66">
        <f>IF('Smart Search'!B13=1,IFERROR(1/'Smart Search'!H13,0),0)</f>
        <v/>
      </c>
      <c r="X31" s="66">
        <f>IF('Smart Search'!C13=1,IFERROR(1/'Smart Search'!H13,0),0)</f>
        <v/>
      </c>
      <c r="Y31" s="66">
        <f>IF('Smart Search'!C13=1,IFERROR(1/'Smart Search'!H13,0),0)</f>
        <v/>
      </c>
      <c r="Z31" s="66">
        <f>IF('Smart Search'!D13=1,IFERROR(1/'Smart Search'!H13,0),0)</f>
        <v/>
      </c>
      <c r="AA31" s="66">
        <f>IF('Smart Search'!D13=1,IFERROR(1/'Smart Search'!H13,0),0)</f>
        <v/>
      </c>
      <c r="AB31" s="66">
        <f>IF('Smart Search'!E13=1,IFERROR(1/'Smart Search'!H13,0),0)</f>
        <v/>
      </c>
      <c r="AC31" s="66">
        <f>IF('Smart Search'!E13=1,IFERROR(1/'Smart Search'!H13,0),0)</f>
        <v/>
      </c>
      <c r="AD31" s="66">
        <f>IF('Smart Search'!F13=1,IFERROR(1/'Smart Search'!H13,0),0)</f>
        <v/>
      </c>
      <c r="AE31" s="66">
        <f>IF('Smart Search'!F13=1,IFERROR(1/'Smart Search'!H13,0),0)</f>
        <v/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66">
        <f>AF31*V31</f>
        <v/>
      </c>
      <c r="AQ31" s="66">
        <f>AG31*W31</f>
        <v/>
      </c>
      <c r="AR31" s="66">
        <f>AH31*X31</f>
        <v/>
      </c>
      <c r="AS31" s="66">
        <f>AI31*Y31</f>
        <v/>
      </c>
      <c r="AT31" s="66">
        <f>AJ31*Z31</f>
        <v/>
      </c>
      <c r="AU31" s="66">
        <f>AK31*AA31</f>
        <v/>
      </c>
      <c r="AV31" s="66">
        <f>AL31*AB31</f>
        <v/>
      </c>
      <c r="AW31" s="66">
        <f>AM31*AC31</f>
        <v/>
      </c>
      <c r="AX31" s="66">
        <f>AN31*AD31</f>
        <v/>
      </c>
      <c r="AY31" s="66">
        <f>AO31*AE31</f>
        <v/>
      </c>
      <c r="AZ31" s="66">
        <f>'Project Database'!Z35</f>
        <v/>
      </c>
      <c r="BA31" s="66">
        <f>IF(OR(A31="",'Smart Search'!H13=0),"",MAX(0,BE31*BF31*MAX(0,1-BG31)))</f>
        <v/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66">
        <f>IF('Smart Search'!G13=1,IFERROR(1/'Smart Search'!H13,0),0)</f>
        <v/>
      </c>
      <c r="BD31" s="66">
        <f>BB31*BC31</f>
        <v/>
      </c>
      <c r="BE31" s="66">
        <f>AP31+AQ31+AR31+AS31+AT31+AU31+AV31+AW31+AX31+AY31+BD31</f>
        <v/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5">
        <f>IF(AND('Project Database'!A35&lt;&gt;"",OR('Smart Search'!$L$5="",'Smart Search'!$L$5="All",TRIM('Project Database'!D35)=TRIM('Smart Search'!$L$5)),OR(TRIM('Smart Search'!$L$6)="",TRIM('Smart Search'!$L$6)="All",ISNUMBER(SEARCH(SUBSTITUTE(SUBSTITUTE(SUBSTITUTE(TRIM('Smart Search'!$L$6),"~","~~"),"*","~*"),"?","~?"),'Project Database'!C35))),OR('Smart Search'!$L$7="",AND('Project Database'!E35&lt;&gt;"",'Project Database'!E35='Smart Search'!$L$7)),OR('Smart Search'!$L$8="",'Smart Search'!$L$8="All",TRIM('Project Database'!F35)=TRIM('Smart Search'!$L$8))),IF(BA31="","",BA31+ROW()*0.0000000001),"")</f>
        <v/>
      </c>
      <c r="BI31" s="5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IF('Project Database'!A35="","",N('Project Database'!AC35))</f>
        <v/>
      </c>
      <c r="BK31" s="5">
        <f>IF('Project Database'!A35="","",N('Project Database'!AD35))</f>
        <v/>
      </c>
      <c r="BL31" s="5">
        <f>IF('Project Database'!A35="","",N('Project Database'!AE35))</f>
        <v/>
      </c>
      <c r="BM31" s="5">
        <f>IF('Project Database'!A35="","",N('Project Database'!AF35))</f>
        <v/>
      </c>
      <c r="BN31" s="5">
        <f>IF('Project Database'!A35="","",N('Project Database'!AG35))</f>
        <v/>
      </c>
      <c r="BO31" s="5">
        <f>IF('Project Database'!A35="","",N('Project Database'!AH35))</f>
        <v/>
      </c>
      <c r="BP31" s="5">
        <f>IF('Project Database'!A35="","",N('Project Database'!AI35))</f>
        <v/>
      </c>
      <c r="BQ31" s="5">
        <f>IF('Project Database'!A35="","",N('Project Database'!AJ35))</f>
        <v/>
      </c>
      <c r="BR31" s="5">
        <f>IF('Project Database'!A35="","",N('Project Database'!AK35))</f>
        <v/>
      </c>
      <c r="BS31" s="5">
        <f>IF('Project Database'!A35="","",N('Project Database'!AL35))</f>
        <v/>
      </c>
      <c r="BT31" s="5">
        <f>IF('Project Database'!A35="","",N('Project Database'!AM35))</f>
        <v/>
      </c>
      <c r="BU31" s="5">
        <f>IF('Project Database'!A35="","",N('Project Database'!AN35))</f>
        <v/>
      </c>
      <c r="BV31" s="5">
        <f>IF('Project Database'!A35="","",N('Project Database'!AO35))</f>
        <v/>
      </c>
      <c r="BW31" s="5">
        <f>IF('Project Database'!A35="","",N('Project Database'!AP35))</f>
        <v/>
      </c>
      <c r="BX31" s="5">
        <f>IF(A31="","",SUM(BJ31:BW31))</f>
        <v/>
      </c>
      <c r="BY31" s="5">
        <f>IF(A31="","",IFERROR(IF(ISNUMBER(U31),U31,VALUE(SUBSTITUTE(SUBSTITUTE(SUBSTITUTE(UPPER(TRIM(U31)),"M",""),",","")," ",""))),0))</f>
        <v/>
      </c>
    </row>
    <row r="32" ht="15" customHeight="1" s="74">
      <c r="A32" s="66">
        <f>'Project Database'!A36</f>
        <v/>
      </c>
      <c r="B32" s="66">
        <f>'Project Database'!B36</f>
        <v/>
      </c>
      <c r="C32" s="66">
        <f>'Project Database'!G36</f>
        <v/>
      </c>
      <c r="D32" s="66">
        <f>'Project Database'!H36</f>
        <v/>
      </c>
      <c r="E32" s="66">
        <f>'Project Database'!I36</f>
        <v/>
      </c>
      <c r="F32" s="66">
        <f>'Project Database'!J36</f>
        <v/>
      </c>
      <c r="G32" s="66">
        <f>'Project Database'!K36</f>
        <v/>
      </c>
      <c r="H32" s="66">
        <f>'Project Database'!L36</f>
        <v/>
      </c>
      <c r="I32" s="66">
        <f>'Project Database'!M36</f>
        <v/>
      </c>
      <c r="J32" s="66">
        <f>'Project Database'!N36</f>
        <v/>
      </c>
      <c r="K32" s="66">
        <f>'Project Database'!O36</f>
        <v/>
      </c>
      <c r="L32" s="66">
        <f>'Project Database'!P36</f>
        <v/>
      </c>
      <c r="M32" s="66">
        <f>'Project Database'!Q36</f>
        <v/>
      </c>
      <c r="N32" s="66">
        <f>'Project Database'!R36</f>
        <v/>
      </c>
      <c r="O32" s="66">
        <f>'Project Database'!S36</f>
        <v/>
      </c>
      <c r="P32" s="66">
        <f>'Project Database'!T36</f>
        <v/>
      </c>
      <c r="Q32" s="66">
        <f>'Project Database'!U36</f>
        <v/>
      </c>
      <c r="R32" s="66">
        <f>'Project Database'!V36</f>
        <v/>
      </c>
      <c r="S32" s="66">
        <f>'Project Database'!W36</f>
        <v/>
      </c>
      <c r="T32" s="66">
        <f>'Project Database'!X36</f>
        <v/>
      </c>
      <c r="U32" s="67">
        <f>'Project Database'!Y36</f>
        <v/>
      </c>
      <c r="V32" s="66">
        <f>IF('Smart Search'!B13=1,IFERROR(1/'Smart Search'!H13,0),0)</f>
        <v/>
      </c>
      <c r="W32" s="66">
        <f>IF('Smart Search'!B13=1,IFERROR(1/'Smart Search'!H13,0),0)</f>
        <v/>
      </c>
      <c r="X32" s="66">
        <f>IF('Smart Search'!C13=1,IFERROR(1/'Smart Search'!H13,0),0)</f>
        <v/>
      </c>
      <c r="Y32" s="66">
        <f>IF('Smart Search'!C13=1,IFERROR(1/'Smart Search'!H13,0),0)</f>
        <v/>
      </c>
      <c r="Z32" s="66">
        <f>IF('Smart Search'!D13=1,IFERROR(1/'Smart Search'!H13,0),0)</f>
        <v/>
      </c>
      <c r="AA32" s="66">
        <f>IF('Smart Search'!D13=1,IFERROR(1/'Smart Search'!H13,0),0)</f>
        <v/>
      </c>
      <c r="AB32" s="66">
        <f>IF('Smart Search'!E13=1,IFERROR(1/'Smart Search'!H13,0),0)</f>
        <v/>
      </c>
      <c r="AC32" s="66">
        <f>IF('Smart Search'!E13=1,IFERROR(1/'Smart Search'!H13,0),0)</f>
        <v/>
      </c>
      <c r="AD32" s="66">
        <f>IF('Smart Search'!F13=1,IFERROR(1/'Smart Search'!H13,0),0)</f>
        <v/>
      </c>
      <c r="AE32" s="66">
        <f>IF('Smart Search'!F13=1,IFERROR(1/'Smart Search'!H13,0),0)</f>
        <v/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66">
        <f>AF32*V32</f>
        <v/>
      </c>
      <c r="AQ32" s="66">
        <f>AG32*W32</f>
        <v/>
      </c>
      <c r="AR32" s="66">
        <f>AH32*X32</f>
        <v/>
      </c>
      <c r="AS32" s="66">
        <f>AI32*Y32</f>
        <v/>
      </c>
      <c r="AT32" s="66">
        <f>AJ32*Z32</f>
        <v/>
      </c>
      <c r="AU32" s="66">
        <f>AK32*AA32</f>
        <v/>
      </c>
      <c r="AV32" s="66">
        <f>AL32*AB32</f>
        <v/>
      </c>
      <c r="AW32" s="66">
        <f>AM32*AC32</f>
        <v/>
      </c>
      <c r="AX32" s="66">
        <f>AN32*AD32</f>
        <v/>
      </c>
      <c r="AY32" s="66">
        <f>AO32*AE32</f>
        <v/>
      </c>
      <c r="AZ32" s="66">
        <f>'Project Database'!Z36</f>
        <v/>
      </c>
      <c r="BA32" s="66">
        <f>IF(OR(A32="",'Smart Search'!H13=0),"",MAX(0,BE32*BF32*MAX(0,1-BG32)))</f>
        <v/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66">
        <f>IF('Smart Search'!G13=1,IFERROR(1/'Smart Search'!H13,0),0)</f>
        <v/>
      </c>
      <c r="BD32" s="66">
        <f>BB32*BC32</f>
        <v/>
      </c>
      <c r="BE32" s="66">
        <f>AP32+AQ32+AR32+AS32+AT32+AU32+AV32+AW32+AX32+AY32+BD32</f>
        <v/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5">
        <f>IF(AND('Project Database'!A36&lt;&gt;"",OR('Smart Search'!$L$5="",'Smart Search'!$L$5="All",TRIM('Project Database'!D36)=TRIM('Smart Search'!$L$5)),OR(TRIM('Smart Search'!$L$6)="",TRIM('Smart Search'!$L$6)="All",ISNUMBER(SEARCH(SUBSTITUTE(SUBSTITUTE(SUBSTITUTE(TRIM('Smart Search'!$L$6),"~","~~"),"*","~*"),"?","~?"),'Project Database'!C36))),OR('Smart Search'!$L$7="",AND('Project Database'!E36&lt;&gt;"",'Project Database'!E36='Smart Search'!$L$7)),OR('Smart Search'!$L$8="",'Smart Search'!$L$8="All",TRIM('Project Database'!F36)=TRIM('Smart Search'!$L$8))),IF(BA32="","",BA32+ROW()*0.0000000001),"")</f>
        <v/>
      </c>
      <c r="BI32" s="5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5">
        <f>IF('Project Database'!A36="","",N('Project Database'!AC36))</f>
        <v/>
      </c>
      <c r="BK32" s="5">
        <f>IF('Project Database'!A36="","",N('Project Database'!AD36))</f>
        <v/>
      </c>
      <c r="BL32" s="5">
        <f>IF('Project Database'!A36="","",N('Project Database'!AE36))</f>
        <v/>
      </c>
      <c r="BM32" s="5">
        <f>IF('Project Database'!A36="","",N('Project Database'!AF36))</f>
        <v/>
      </c>
      <c r="BN32" s="5">
        <f>IF('Project Database'!A36="","",N('Project Database'!AG36))</f>
        <v/>
      </c>
      <c r="BO32" s="5">
        <f>IF('Project Database'!A36="","",N('Project Database'!AH36))</f>
        <v/>
      </c>
      <c r="BP32" s="5">
        <f>IF('Project Database'!A36="","",N('Project Database'!AI36))</f>
        <v/>
      </c>
      <c r="BQ32" s="5">
        <f>IF('Project Database'!A36="","",N('Project Database'!AJ36))</f>
        <v/>
      </c>
      <c r="BR32" s="5">
        <f>IF('Project Database'!A36="","",N('Project Database'!AK36))</f>
        <v/>
      </c>
      <c r="BS32" s="5">
        <f>IF('Project Database'!A36="","",N('Project Database'!AL36))</f>
        <v/>
      </c>
      <c r="BT32" s="5">
        <f>IF('Project Database'!A36="","",N('Project Database'!AM36))</f>
        <v/>
      </c>
      <c r="BU32" s="5">
        <f>IF('Project Database'!A36="","",N('Project Database'!AN36))</f>
        <v/>
      </c>
      <c r="BV32" s="5">
        <f>IF('Project Database'!A36="","",N('Project Database'!AO36))</f>
        <v/>
      </c>
      <c r="BW32" s="5">
        <f>IF('Project Database'!A36="","",N('Project Database'!AP36))</f>
        <v/>
      </c>
      <c r="BX32" s="5">
        <f>IF(A32="","",SUM(BJ32:BW32))</f>
        <v/>
      </c>
      <c r="BY32" s="5">
        <f>IF(A32="","",IFERROR(IF(ISNUMBER(U32),U32,VALUE(SUBSTITUTE(SUBSTITUTE(SUBSTITUTE(UPPER(TRIM(U32)),"M",""),",","")," ",""))),0))</f>
        <v/>
      </c>
    </row>
    <row r="33" ht="15" customHeight="1" s="74">
      <c r="A33" s="66">
        <f>'Project Database'!A37</f>
        <v/>
      </c>
      <c r="B33" s="66">
        <f>'Project Database'!B37</f>
        <v/>
      </c>
      <c r="C33" s="66">
        <f>'Project Database'!G37</f>
        <v/>
      </c>
      <c r="D33" s="66">
        <f>'Project Database'!H37</f>
        <v/>
      </c>
      <c r="E33" s="66">
        <f>'Project Database'!I37</f>
        <v/>
      </c>
      <c r="F33" s="66">
        <f>'Project Database'!J37</f>
        <v/>
      </c>
      <c r="G33" s="66">
        <f>'Project Database'!K37</f>
        <v/>
      </c>
      <c r="H33" s="66">
        <f>'Project Database'!L37</f>
        <v/>
      </c>
      <c r="I33" s="66">
        <f>'Project Database'!M37</f>
        <v/>
      </c>
      <c r="J33" s="66">
        <f>'Project Database'!N37</f>
        <v/>
      </c>
      <c r="K33" s="66">
        <f>'Project Database'!O37</f>
        <v/>
      </c>
      <c r="L33" s="66">
        <f>'Project Database'!P37</f>
        <v/>
      </c>
      <c r="M33" s="66">
        <f>'Project Database'!Q37</f>
        <v/>
      </c>
      <c r="N33" s="66">
        <f>'Project Database'!R37</f>
        <v/>
      </c>
      <c r="O33" s="66">
        <f>'Project Database'!S37</f>
        <v/>
      </c>
      <c r="P33" s="66">
        <f>'Project Database'!T37</f>
        <v/>
      </c>
      <c r="Q33" s="66">
        <f>'Project Database'!U37</f>
        <v/>
      </c>
      <c r="R33" s="66">
        <f>'Project Database'!V37</f>
        <v/>
      </c>
      <c r="S33" s="66">
        <f>'Project Database'!W37</f>
        <v/>
      </c>
      <c r="T33" s="66">
        <f>'Project Database'!X37</f>
        <v/>
      </c>
      <c r="U33" s="67">
        <f>'Project Database'!Y37</f>
        <v/>
      </c>
      <c r="V33" s="66">
        <f>IF('Smart Search'!B13=1,IFERROR(1/'Smart Search'!H13,0),0)</f>
        <v/>
      </c>
      <c r="W33" s="66">
        <f>IF('Smart Search'!B13=1,IFERROR(1/'Smart Search'!H13,0),0)</f>
        <v/>
      </c>
      <c r="X33" s="66">
        <f>IF('Smart Search'!C13=1,IFERROR(1/'Smart Search'!H13,0),0)</f>
        <v/>
      </c>
      <c r="Y33" s="66">
        <f>IF('Smart Search'!C13=1,IFERROR(1/'Smart Search'!H13,0),0)</f>
        <v/>
      </c>
      <c r="Z33" s="66">
        <f>IF('Smart Search'!D13=1,IFERROR(1/'Smart Search'!H13,0),0)</f>
        <v/>
      </c>
      <c r="AA33" s="66">
        <f>IF('Smart Search'!D13=1,IFERROR(1/'Smart Search'!H13,0),0)</f>
        <v/>
      </c>
      <c r="AB33" s="66">
        <f>IF('Smart Search'!E13=1,IFERROR(1/'Smart Search'!H13,0),0)</f>
        <v/>
      </c>
      <c r="AC33" s="66">
        <f>IF('Smart Search'!E13=1,IFERROR(1/'Smart Search'!H13,0),0)</f>
        <v/>
      </c>
      <c r="AD33" s="66">
        <f>IF('Smart Search'!F13=1,IFERROR(1/'Smart Search'!H13,0),0)</f>
        <v/>
      </c>
      <c r="AE33" s="66">
        <f>IF('Smart Search'!F13=1,IFERROR(1/'Smart Search'!H13,0),0)</f>
        <v/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66">
        <f>AF33*V33</f>
        <v/>
      </c>
      <c r="AQ33" s="66">
        <f>AG33*W33</f>
        <v/>
      </c>
      <c r="AR33" s="66">
        <f>AH33*X33</f>
        <v/>
      </c>
      <c r="AS33" s="66">
        <f>AI33*Y33</f>
        <v/>
      </c>
      <c r="AT33" s="66">
        <f>AJ33*Z33</f>
        <v/>
      </c>
      <c r="AU33" s="66">
        <f>AK33*AA33</f>
        <v/>
      </c>
      <c r="AV33" s="66">
        <f>AL33*AB33</f>
        <v/>
      </c>
      <c r="AW33" s="66">
        <f>AM33*AC33</f>
        <v/>
      </c>
      <c r="AX33" s="66">
        <f>AN33*AD33</f>
        <v/>
      </c>
      <c r="AY33" s="66">
        <f>AO33*AE33</f>
        <v/>
      </c>
      <c r="AZ33" s="66">
        <f>'Project Database'!Z37</f>
        <v/>
      </c>
      <c r="BA33" s="66">
        <f>IF(OR(A33="",'Smart Search'!H13=0),"",MAX(0,BE33*BF33*MAX(0,1-BG33)))</f>
        <v/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66">
        <f>IF('Smart Search'!G13=1,IFERROR(1/'Smart Search'!H13,0),0)</f>
        <v/>
      </c>
      <c r="BD33" s="66">
        <f>BB33*BC33</f>
        <v/>
      </c>
      <c r="BE33" s="66">
        <f>AP33+AQ33+AR33+AS33+AT33+AU33+AV33+AW33+AX33+AY33+BD33</f>
        <v/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5">
        <f>IF(AND('Project Database'!A37&lt;&gt;"",OR('Smart Search'!$L$5="",'Smart Search'!$L$5="All",TRIM('Project Database'!D37)=TRIM('Smart Search'!$L$5)),OR(TRIM('Smart Search'!$L$6)="",TRIM('Smart Search'!$L$6)="All",ISNUMBER(SEARCH(SUBSTITUTE(SUBSTITUTE(SUBSTITUTE(TRIM('Smart Search'!$L$6),"~","~~"),"*","~*"),"?","~?"),'Project Database'!C37))),OR('Smart Search'!$L$7="",AND('Project Database'!E37&lt;&gt;"",'Project Database'!E37='Smart Search'!$L$7)),OR('Smart Search'!$L$8="",'Smart Search'!$L$8="All",TRIM('Project Database'!F37)=TRIM('Smart Search'!$L$8))),IF(BA33="","",BA33+ROW()*0.0000000001),"")</f>
        <v/>
      </c>
      <c r="BI33" s="5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IF('Project Database'!A37="","",N('Project Database'!AC37))</f>
        <v/>
      </c>
      <c r="BK33" s="5">
        <f>IF('Project Database'!A37="","",N('Project Database'!AD37))</f>
        <v/>
      </c>
      <c r="BL33" s="5">
        <f>IF('Project Database'!A37="","",N('Project Database'!AE37))</f>
        <v/>
      </c>
      <c r="BM33" s="5">
        <f>IF('Project Database'!A37="","",N('Project Database'!AF37))</f>
        <v/>
      </c>
      <c r="BN33" s="5">
        <f>IF('Project Database'!A37="","",N('Project Database'!AG37))</f>
        <v/>
      </c>
      <c r="BO33" s="5">
        <f>IF('Project Database'!A37="","",N('Project Database'!AH37))</f>
        <v/>
      </c>
      <c r="BP33" s="5">
        <f>IF('Project Database'!A37="","",N('Project Database'!AI37))</f>
        <v/>
      </c>
      <c r="BQ33" s="5">
        <f>IF('Project Database'!A37="","",N('Project Database'!AJ37))</f>
        <v/>
      </c>
      <c r="BR33" s="5">
        <f>IF('Project Database'!A37="","",N('Project Database'!AK37))</f>
        <v/>
      </c>
      <c r="BS33" s="5">
        <f>IF('Project Database'!A37="","",N('Project Database'!AL37))</f>
        <v/>
      </c>
      <c r="BT33" s="5">
        <f>IF('Project Database'!A37="","",N('Project Database'!AM37))</f>
        <v/>
      </c>
      <c r="BU33" s="5">
        <f>IF('Project Database'!A37="","",N('Project Database'!AN37))</f>
        <v/>
      </c>
      <c r="BV33" s="5">
        <f>IF('Project Database'!A37="","",N('Project Database'!AO37))</f>
        <v/>
      </c>
      <c r="BW33" s="5">
        <f>IF('Project Database'!A37="","",N('Project Database'!AP37))</f>
        <v/>
      </c>
      <c r="BX33" s="5">
        <f>IF(A33="","",SUM(BJ33:BW33))</f>
        <v/>
      </c>
      <c r="BY33" s="5">
        <f>IF(A33="","",IFERROR(IF(ISNUMBER(U33),U33,VALUE(SUBSTITUTE(SUBSTITUTE(SUBSTITUTE(UPPER(TRIM(U33)),"M",""),",","")," ",""))),0))</f>
        <v/>
      </c>
    </row>
    <row r="34" ht="15" customHeight="1" s="74">
      <c r="A34" s="66">
        <f>'Project Database'!A38</f>
        <v/>
      </c>
      <c r="B34" s="66">
        <f>'Project Database'!B38</f>
        <v/>
      </c>
      <c r="C34" s="66">
        <f>'Project Database'!G38</f>
        <v/>
      </c>
      <c r="D34" s="66">
        <f>'Project Database'!H38</f>
        <v/>
      </c>
      <c r="E34" s="66">
        <f>'Project Database'!I38</f>
        <v/>
      </c>
      <c r="F34" s="66">
        <f>'Project Database'!J38</f>
        <v/>
      </c>
      <c r="G34" s="66">
        <f>'Project Database'!K38</f>
        <v/>
      </c>
      <c r="H34" s="66">
        <f>'Project Database'!L38</f>
        <v/>
      </c>
      <c r="I34" s="66">
        <f>'Project Database'!M38</f>
        <v/>
      </c>
      <c r="J34" s="66">
        <f>'Project Database'!N38</f>
        <v/>
      </c>
      <c r="K34" s="66">
        <f>'Project Database'!O38</f>
        <v/>
      </c>
      <c r="L34" s="66">
        <f>'Project Database'!P38</f>
        <v/>
      </c>
      <c r="M34" s="66">
        <f>'Project Database'!Q38</f>
        <v/>
      </c>
      <c r="N34" s="66">
        <f>'Project Database'!R38</f>
        <v/>
      </c>
      <c r="O34" s="66">
        <f>'Project Database'!S38</f>
        <v/>
      </c>
      <c r="P34" s="66">
        <f>'Project Database'!T38</f>
        <v/>
      </c>
      <c r="Q34" s="66">
        <f>'Project Database'!U38</f>
        <v/>
      </c>
      <c r="R34" s="66">
        <f>'Project Database'!V38</f>
        <v/>
      </c>
      <c r="S34" s="66">
        <f>'Project Database'!W38</f>
        <v/>
      </c>
      <c r="T34" s="66">
        <f>'Project Database'!X38</f>
        <v/>
      </c>
      <c r="U34" s="67">
        <f>'Project Database'!Y38</f>
        <v/>
      </c>
      <c r="V34" s="66">
        <f>IF('Smart Search'!B13=1,IFERROR(1/'Smart Search'!H13,0),0)</f>
        <v/>
      </c>
      <c r="W34" s="66">
        <f>IF('Smart Search'!B13=1,IFERROR(1/'Smart Search'!H13,0),0)</f>
        <v/>
      </c>
      <c r="X34" s="66">
        <f>IF('Smart Search'!C13=1,IFERROR(1/'Smart Search'!H13,0),0)</f>
        <v/>
      </c>
      <c r="Y34" s="66">
        <f>IF('Smart Search'!C13=1,IFERROR(1/'Smart Search'!H13,0),0)</f>
        <v/>
      </c>
      <c r="Z34" s="66">
        <f>IF('Smart Search'!D13=1,IFERROR(1/'Smart Search'!H13,0),0)</f>
        <v/>
      </c>
      <c r="AA34" s="66">
        <f>IF('Smart Search'!D13=1,IFERROR(1/'Smart Search'!H13,0),0)</f>
        <v/>
      </c>
      <c r="AB34" s="66">
        <f>IF('Smart Search'!E13=1,IFERROR(1/'Smart Search'!H13,0),0)</f>
        <v/>
      </c>
      <c r="AC34" s="66">
        <f>IF('Smart Search'!E13=1,IFERROR(1/'Smart Search'!H13,0),0)</f>
        <v/>
      </c>
      <c r="AD34" s="66">
        <f>IF('Smart Search'!F13=1,IFERROR(1/'Smart Search'!H13,0),0)</f>
        <v/>
      </c>
      <c r="AE34" s="66">
        <f>IF('Smart Search'!F13=1,IFERROR(1/'Smart Search'!H13,0),0)</f>
        <v/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66">
        <f>AF34*V34</f>
        <v/>
      </c>
      <c r="AQ34" s="66">
        <f>AG34*W34</f>
        <v/>
      </c>
      <c r="AR34" s="66">
        <f>AH34*X34</f>
        <v/>
      </c>
      <c r="AS34" s="66">
        <f>AI34*Y34</f>
        <v/>
      </c>
      <c r="AT34" s="66">
        <f>AJ34*Z34</f>
        <v/>
      </c>
      <c r="AU34" s="66">
        <f>AK34*AA34</f>
        <v/>
      </c>
      <c r="AV34" s="66">
        <f>AL34*AB34</f>
        <v/>
      </c>
      <c r="AW34" s="66">
        <f>AM34*AC34</f>
        <v/>
      </c>
      <c r="AX34" s="66">
        <f>AN34*AD34</f>
        <v/>
      </c>
      <c r="AY34" s="66">
        <f>AO34*AE34</f>
        <v/>
      </c>
      <c r="AZ34" s="66">
        <f>'Project Database'!Z38</f>
        <v/>
      </c>
      <c r="BA34" s="66">
        <f>IF(OR(A34="",'Smart Search'!H13=0),"",MAX(0,BE34*BF34*MAX(0,1-BG34)))</f>
        <v/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66">
        <f>IF('Smart Search'!G13=1,IFERROR(1/'Smart Search'!H13,0),0)</f>
        <v/>
      </c>
      <c r="BD34" s="66">
        <f>BB34*BC34</f>
        <v/>
      </c>
      <c r="BE34" s="66">
        <f>AP34+AQ34+AR34+AS34+AT34+AU34+AV34+AW34+AX34+AY34+BD34</f>
        <v/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5">
        <f>IF(AND('Project Database'!A38&lt;&gt;"",OR('Smart Search'!$L$5="",'Smart Search'!$L$5="All",TRIM('Project Database'!D38)=TRIM('Smart Search'!$L$5)),OR(TRIM('Smart Search'!$L$6)="",TRIM('Smart Search'!$L$6)="All",ISNUMBER(SEARCH(SUBSTITUTE(SUBSTITUTE(SUBSTITUTE(TRIM('Smart Search'!$L$6),"~","~~"),"*","~*"),"?","~?"),'Project Database'!C38))),OR('Smart Search'!$L$7="",AND('Project Database'!E38&lt;&gt;"",'Project Database'!E38='Smart Search'!$L$7)),OR('Smart Search'!$L$8="",'Smart Search'!$L$8="All",TRIM('Project Database'!F38)=TRIM('Smart Search'!$L$8))),IF(BA34="","",BA34+ROW()*0.0000000001),"")</f>
        <v/>
      </c>
      <c r="BI34" s="5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IF('Project Database'!A38="","",N('Project Database'!AC38))</f>
        <v/>
      </c>
      <c r="BK34" s="5">
        <f>IF('Project Database'!A38="","",N('Project Database'!AD38))</f>
        <v/>
      </c>
      <c r="BL34" s="5">
        <f>IF('Project Database'!A38="","",N('Project Database'!AE38))</f>
        <v/>
      </c>
      <c r="BM34" s="5">
        <f>IF('Project Database'!A38="","",N('Project Database'!AF38))</f>
        <v/>
      </c>
      <c r="BN34" s="5">
        <f>IF('Project Database'!A38="","",N('Project Database'!AG38))</f>
        <v/>
      </c>
      <c r="BO34" s="5">
        <f>IF('Project Database'!A38="","",N('Project Database'!AH38))</f>
        <v/>
      </c>
      <c r="BP34" s="5">
        <f>IF('Project Database'!A38="","",N('Project Database'!AI38))</f>
        <v/>
      </c>
      <c r="BQ34" s="5">
        <f>IF('Project Database'!A38="","",N('Project Database'!AJ38))</f>
        <v/>
      </c>
      <c r="BR34" s="5">
        <f>IF('Project Database'!A38="","",N('Project Database'!AK38))</f>
        <v/>
      </c>
      <c r="BS34" s="5">
        <f>IF('Project Database'!A38="","",N('Project Database'!AL38))</f>
        <v/>
      </c>
      <c r="BT34" s="5">
        <f>IF('Project Database'!A38="","",N('Project Database'!AM38))</f>
        <v/>
      </c>
      <c r="BU34" s="5">
        <f>IF('Project Database'!A38="","",N('Project Database'!AN38))</f>
        <v/>
      </c>
      <c r="BV34" s="5">
        <f>IF('Project Database'!A38="","",N('Project Database'!AO38))</f>
        <v/>
      </c>
      <c r="BW34" s="5">
        <f>IF('Project Database'!A38="","",N('Project Database'!AP38))</f>
        <v/>
      </c>
      <c r="BX34" s="5">
        <f>IF(A34="","",SUM(BJ34:BW34))</f>
        <v/>
      </c>
      <c r="BY34" s="5">
        <f>IF(A34="","",IFERROR(IF(ISNUMBER(U34),U34,VALUE(SUBSTITUTE(SUBSTITUTE(SUBSTITUTE(UPPER(TRIM(U34)),"M",""),",","")," ",""))),0))</f>
        <v/>
      </c>
    </row>
    <row r="35" ht="15" customHeight="1" s="74">
      <c r="A35" s="66">
        <f>'Project Database'!A39</f>
        <v/>
      </c>
      <c r="B35" s="66">
        <f>'Project Database'!B39</f>
        <v/>
      </c>
      <c r="C35" s="66">
        <f>'Project Database'!G39</f>
        <v/>
      </c>
      <c r="D35" s="66">
        <f>'Project Database'!H39</f>
        <v/>
      </c>
      <c r="E35" s="66">
        <f>'Project Database'!I39</f>
        <v/>
      </c>
      <c r="F35" s="66">
        <f>'Project Database'!J39</f>
        <v/>
      </c>
      <c r="G35" s="66">
        <f>'Project Database'!K39</f>
        <v/>
      </c>
      <c r="H35" s="66">
        <f>'Project Database'!L39</f>
        <v/>
      </c>
      <c r="I35" s="66">
        <f>'Project Database'!M39</f>
        <v/>
      </c>
      <c r="J35" s="66">
        <f>'Project Database'!N39</f>
        <v/>
      </c>
      <c r="K35" s="66">
        <f>'Project Database'!O39</f>
        <v/>
      </c>
      <c r="L35" s="66">
        <f>'Project Database'!P39</f>
        <v/>
      </c>
      <c r="M35" s="66">
        <f>'Project Database'!Q39</f>
        <v/>
      </c>
      <c r="N35" s="66">
        <f>'Project Database'!R39</f>
        <v/>
      </c>
      <c r="O35" s="66">
        <f>'Project Database'!S39</f>
        <v/>
      </c>
      <c r="P35" s="66">
        <f>'Project Database'!T39</f>
        <v/>
      </c>
      <c r="Q35" s="66">
        <f>'Project Database'!U39</f>
        <v/>
      </c>
      <c r="R35" s="66">
        <f>'Project Database'!V39</f>
        <v/>
      </c>
      <c r="S35" s="66">
        <f>'Project Database'!W39</f>
        <v/>
      </c>
      <c r="T35" s="66">
        <f>'Project Database'!X39</f>
        <v/>
      </c>
      <c r="U35" s="67">
        <f>'Project Database'!Y39</f>
        <v/>
      </c>
      <c r="V35" s="66">
        <f>IF('Smart Search'!B13=1,IFERROR(1/'Smart Search'!H13,0),0)</f>
        <v/>
      </c>
      <c r="W35" s="66">
        <f>IF('Smart Search'!B13=1,IFERROR(1/'Smart Search'!H13,0),0)</f>
        <v/>
      </c>
      <c r="X35" s="66">
        <f>IF('Smart Search'!C13=1,IFERROR(1/'Smart Search'!H13,0),0)</f>
        <v/>
      </c>
      <c r="Y35" s="66">
        <f>IF('Smart Search'!C13=1,IFERROR(1/'Smart Search'!H13,0),0)</f>
        <v/>
      </c>
      <c r="Z35" s="66">
        <f>IF('Smart Search'!D13=1,IFERROR(1/'Smart Search'!H13,0),0)</f>
        <v/>
      </c>
      <c r="AA35" s="66">
        <f>IF('Smart Search'!D13=1,IFERROR(1/'Smart Search'!H13,0),0)</f>
        <v/>
      </c>
      <c r="AB35" s="66">
        <f>IF('Smart Search'!E13=1,IFERROR(1/'Smart Search'!H13,0),0)</f>
        <v/>
      </c>
      <c r="AC35" s="66">
        <f>IF('Smart Search'!E13=1,IFERROR(1/'Smart Search'!H13,0),0)</f>
        <v/>
      </c>
      <c r="AD35" s="66">
        <f>IF('Smart Search'!F13=1,IFERROR(1/'Smart Search'!H13,0),0)</f>
        <v/>
      </c>
      <c r="AE35" s="66">
        <f>IF('Smart Search'!F13=1,IFERROR(1/'Smart Search'!H13,0),0)</f>
        <v/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66">
        <f>AF35*V35</f>
        <v/>
      </c>
      <c r="AQ35" s="66">
        <f>AG35*W35</f>
        <v/>
      </c>
      <c r="AR35" s="66">
        <f>AH35*X35</f>
        <v/>
      </c>
      <c r="AS35" s="66">
        <f>AI35*Y35</f>
        <v/>
      </c>
      <c r="AT35" s="66">
        <f>AJ35*Z35</f>
        <v/>
      </c>
      <c r="AU35" s="66">
        <f>AK35*AA35</f>
        <v/>
      </c>
      <c r="AV35" s="66">
        <f>AL35*AB35</f>
        <v/>
      </c>
      <c r="AW35" s="66">
        <f>AM35*AC35</f>
        <v/>
      </c>
      <c r="AX35" s="66">
        <f>AN35*AD35</f>
        <v/>
      </c>
      <c r="AY35" s="66">
        <f>AO35*AE35</f>
        <v/>
      </c>
      <c r="AZ35" s="66">
        <f>'Project Database'!Z39</f>
        <v/>
      </c>
      <c r="BA35" s="66">
        <f>IF(OR(A35="",'Smart Search'!H13=0),"",MAX(0,BE35*BF35*MAX(0,1-BG35)))</f>
        <v/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66">
        <f>IF('Smart Search'!G13=1,IFERROR(1/'Smart Search'!H13,0),0)</f>
        <v/>
      </c>
      <c r="BD35" s="66">
        <f>BB35*BC35</f>
        <v/>
      </c>
      <c r="BE35" s="66">
        <f>AP35+AQ35+AR35+AS35+AT35+AU35+AV35+AW35+AX35+AY35+BD35</f>
        <v/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5">
        <f>IF(AND('Project Database'!A39&lt;&gt;"",OR('Smart Search'!$L$5="",'Smart Search'!$L$5="All",TRIM('Project Database'!D39)=TRIM('Smart Search'!$L$5)),OR(TRIM('Smart Search'!$L$6)="",TRIM('Smart Search'!$L$6)="All",ISNUMBER(SEARCH(SUBSTITUTE(SUBSTITUTE(SUBSTITUTE(TRIM('Smart Search'!$L$6),"~","~~"),"*","~*"),"?","~?"),'Project Database'!C39))),OR('Smart Search'!$L$7="",AND('Project Database'!E39&lt;&gt;"",'Project Database'!E39='Smart Search'!$L$7)),OR('Smart Search'!$L$8="",'Smart Search'!$L$8="All",TRIM('Project Database'!F39)=TRIM('Smart Search'!$L$8))),IF(BA35="","",BA35+ROW()*0.0000000001),"")</f>
        <v/>
      </c>
      <c r="BI35" s="5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IF('Project Database'!A39="","",N('Project Database'!AC39))</f>
        <v/>
      </c>
      <c r="BK35" s="5">
        <f>IF('Project Database'!A39="","",N('Project Database'!AD39))</f>
        <v/>
      </c>
      <c r="BL35" s="5">
        <f>IF('Project Database'!A39="","",N('Project Database'!AE39))</f>
        <v/>
      </c>
      <c r="BM35" s="5">
        <f>IF('Project Database'!A39="","",N('Project Database'!AF39))</f>
        <v/>
      </c>
      <c r="BN35" s="5">
        <f>IF('Project Database'!A39="","",N('Project Database'!AG39))</f>
        <v/>
      </c>
      <c r="BO35" s="5">
        <f>IF('Project Database'!A39="","",N('Project Database'!AH39))</f>
        <v/>
      </c>
      <c r="BP35" s="5">
        <f>IF('Project Database'!A39="","",N('Project Database'!AI39))</f>
        <v/>
      </c>
      <c r="BQ35" s="5">
        <f>IF('Project Database'!A39="","",N('Project Database'!AJ39))</f>
        <v/>
      </c>
      <c r="BR35" s="5">
        <f>IF('Project Database'!A39="","",N('Project Database'!AK39))</f>
        <v/>
      </c>
      <c r="BS35" s="5">
        <f>IF('Project Database'!A39="","",N('Project Database'!AL39))</f>
        <v/>
      </c>
      <c r="BT35" s="5">
        <f>IF('Project Database'!A39="","",N('Project Database'!AM39))</f>
        <v/>
      </c>
      <c r="BU35" s="5">
        <f>IF('Project Database'!A39="","",N('Project Database'!AN39))</f>
        <v/>
      </c>
      <c r="BV35" s="5">
        <f>IF('Project Database'!A39="","",N('Project Database'!AO39))</f>
        <v/>
      </c>
      <c r="BW35" s="5">
        <f>IF('Project Database'!A39="","",N('Project Database'!AP39))</f>
        <v/>
      </c>
      <c r="BX35" s="5">
        <f>IF(A35="","",SUM(BJ35:BW35))</f>
        <v/>
      </c>
      <c r="BY35" s="5">
        <f>IF(A35="","",IFERROR(IF(ISNUMBER(U35),U35,VALUE(SUBSTITUTE(SUBSTITUTE(SUBSTITUTE(UPPER(TRIM(U35)),"M",""),",","")," ",""))),0))</f>
        <v/>
      </c>
    </row>
    <row r="36" ht="15" customHeight="1" s="74">
      <c r="A36" s="66">
        <f>'Project Database'!A40</f>
        <v/>
      </c>
      <c r="B36" s="66">
        <f>'Project Database'!B40</f>
        <v/>
      </c>
      <c r="C36" s="66">
        <f>'Project Database'!G40</f>
        <v/>
      </c>
      <c r="D36" s="66">
        <f>'Project Database'!H40</f>
        <v/>
      </c>
      <c r="E36" s="66">
        <f>'Project Database'!I40</f>
        <v/>
      </c>
      <c r="F36" s="66">
        <f>'Project Database'!J40</f>
        <v/>
      </c>
      <c r="G36" s="66">
        <f>'Project Database'!K40</f>
        <v/>
      </c>
      <c r="H36" s="66">
        <f>'Project Database'!L40</f>
        <v/>
      </c>
      <c r="I36" s="66">
        <f>'Project Database'!M40</f>
        <v/>
      </c>
      <c r="J36" s="66">
        <f>'Project Database'!N40</f>
        <v/>
      </c>
      <c r="K36" s="66">
        <f>'Project Database'!O40</f>
        <v/>
      </c>
      <c r="L36" s="66">
        <f>'Project Database'!P40</f>
        <v/>
      </c>
      <c r="M36" s="66">
        <f>'Project Database'!Q40</f>
        <v/>
      </c>
      <c r="N36" s="66">
        <f>'Project Database'!R40</f>
        <v/>
      </c>
      <c r="O36" s="66">
        <f>'Project Database'!S40</f>
        <v/>
      </c>
      <c r="P36" s="66">
        <f>'Project Database'!T40</f>
        <v/>
      </c>
      <c r="Q36" s="66">
        <f>'Project Database'!U40</f>
        <v/>
      </c>
      <c r="R36" s="66">
        <f>'Project Database'!V40</f>
        <v/>
      </c>
      <c r="S36" s="66">
        <f>'Project Database'!W40</f>
        <v/>
      </c>
      <c r="T36" s="66">
        <f>'Project Database'!X40</f>
        <v/>
      </c>
      <c r="U36" s="67">
        <f>'Project Database'!Y40</f>
        <v/>
      </c>
      <c r="V36" s="66">
        <f>IF('Smart Search'!B13=1,IFERROR(1/'Smart Search'!H13,0),0)</f>
        <v/>
      </c>
      <c r="W36" s="66">
        <f>IF('Smart Search'!B13=1,IFERROR(1/'Smart Search'!H13,0),0)</f>
        <v/>
      </c>
      <c r="X36" s="66">
        <f>IF('Smart Search'!C13=1,IFERROR(1/'Smart Search'!H13,0),0)</f>
        <v/>
      </c>
      <c r="Y36" s="66">
        <f>IF('Smart Search'!C13=1,IFERROR(1/'Smart Search'!H13,0),0)</f>
        <v/>
      </c>
      <c r="Z36" s="66">
        <f>IF('Smart Search'!D13=1,IFERROR(1/'Smart Search'!H13,0),0)</f>
        <v/>
      </c>
      <c r="AA36" s="66">
        <f>IF('Smart Search'!D13=1,IFERROR(1/'Smart Search'!H13,0),0)</f>
        <v/>
      </c>
      <c r="AB36" s="66">
        <f>IF('Smart Search'!E13=1,IFERROR(1/'Smart Search'!H13,0),0)</f>
        <v/>
      </c>
      <c r="AC36" s="66">
        <f>IF('Smart Search'!E13=1,IFERROR(1/'Smart Search'!H13,0),0)</f>
        <v/>
      </c>
      <c r="AD36" s="66">
        <f>IF('Smart Search'!F13=1,IFERROR(1/'Smart Search'!H13,0),0)</f>
        <v/>
      </c>
      <c r="AE36" s="66">
        <f>IF('Smart Search'!F13=1,IFERROR(1/'Smart Search'!H13,0),0)</f>
        <v/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66">
        <f>AF36*V36</f>
        <v/>
      </c>
      <c r="AQ36" s="66">
        <f>AG36*W36</f>
        <v/>
      </c>
      <c r="AR36" s="66">
        <f>AH36*X36</f>
        <v/>
      </c>
      <c r="AS36" s="66">
        <f>AI36*Y36</f>
        <v/>
      </c>
      <c r="AT36" s="66">
        <f>AJ36*Z36</f>
        <v/>
      </c>
      <c r="AU36" s="66">
        <f>AK36*AA36</f>
        <v/>
      </c>
      <c r="AV36" s="66">
        <f>AL36*AB36</f>
        <v/>
      </c>
      <c r="AW36" s="66">
        <f>AM36*AC36</f>
        <v/>
      </c>
      <c r="AX36" s="66">
        <f>AN36*AD36</f>
        <v/>
      </c>
      <c r="AY36" s="66">
        <f>AO36*AE36</f>
        <v/>
      </c>
      <c r="AZ36" s="66">
        <f>'Project Database'!Z40</f>
        <v/>
      </c>
      <c r="BA36" s="66">
        <f>IF(OR(A36="",'Smart Search'!H13=0),"",MAX(0,BE36*BF36*MAX(0,1-BG36)))</f>
        <v/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66">
        <f>IF('Smart Search'!G13=1,IFERROR(1/'Smart Search'!H13,0),0)</f>
        <v/>
      </c>
      <c r="BD36" s="66">
        <f>BB36*BC36</f>
        <v/>
      </c>
      <c r="BE36" s="66">
        <f>AP36+AQ36+AR36+AS36+AT36+AU36+AV36+AW36+AX36+AY36+BD36</f>
        <v/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5">
        <f>IF(AND('Project Database'!A40&lt;&gt;"",OR('Smart Search'!$L$5="",'Smart Search'!$L$5="All",TRIM('Project Database'!D40)=TRIM('Smart Search'!$L$5)),OR(TRIM('Smart Search'!$L$6)="",TRIM('Smart Search'!$L$6)="All",ISNUMBER(SEARCH(SUBSTITUTE(SUBSTITUTE(SUBSTITUTE(TRIM('Smart Search'!$L$6),"~","~~"),"*","~*"),"?","~?"),'Project Database'!C40))),OR('Smart Search'!$L$7="",AND('Project Database'!E40&lt;&gt;"",'Project Database'!E40='Smart Search'!$L$7)),OR('Smart Search'!$L$8="",'Smart Search'!$L$8="All",TRIM('Project Database'!F40)=TRIM('Smart Search'!$L$8))),IF(BA36="","",BA36+ROW()*0.0000000001),"")</f>
        <v/>
      </c>
      <c r="BI36" s="5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5">
        <f>IF('Project Database'!A40="","",N('Project Database'!AC40))</f>
        <v/>
      </c>
      <c r="BK36" s="5">
        <f>IF('Project Database'!A40="","",N('Project Database'!AD40))</f>
        <v/>
      </c>
      <c r="BL36" s="5">
        <f>IF('Project Database'!A40="","",N('Project Database'!AE40))</f>
        <v/>
      </c>
      <c r="BM36" s="5">
        <f>IF('Project Database'!A40="","",N('Project Database'!AF40))</f>
        <v/>
      </c>
      <c r="BN36" s="5">
        <f>IF('Project Database'!A40="","",N('Project Database'!AG40))</f>
        <v/>
      </c>
      <c r="BO36" s="5">
        <f>IF('Project Database'!A40="","",N('Project Database'!AH40))</f>
        <v/>
      </c>
      <c r="BP36" s="5">
        <f>IF('Project Database'!A40="","",N('Project Database'!AI40))</f>
        <v/>
      </c>
      <c r="BQ36" s="5">
        <f>IF('Project Database'!A40="","",N('Project Database'!AJ40))</f>
        <v/>
      </c>
      <c r="BR36" s="5">
        <f>IF('Project Database'!A40="","",N('Project Database'!AK40))</f>
        <v/>
      </c>
      <c r="BS36" s="5">
        <f>IF('Project Database'!A40="","",N('Project Database'!AL40))</f>
        <v/>
      </c>
      <c r="BT36" s="5">
        <f>IF('Project Database'!A40="","",N('Project Database'!AM40))</f>
        <v/>
      </c>
      <c r="BU36" s="5">
        <f>IF('Project Database'!A40="","",N('Project Database'!AN40))</f>
        <v/>
      </c>
      <c r="BV36" s="5">
        <f>IF('Project Database'!A40="","",N('Project Database'!AO40))</f>
        <v/>
      </c>
      <c r="BW36" s="5">
        <f>IF('Project Database'!A40="","",N('Project Database'!AP40))</f>
        <v/>
      </c>
      <c r="BX36" s="5">
        <f>IF(A36="","",SUM(BJ36:BW36))</f>
        <v/>
      </c>
      <c r="BY36" s="5">
        <f>IF(A36="","",IFERROR(IF(ISNUMBER(U36),U36,VALUE(SUBSTITUTE(SUBSTITUTE(SUBSTITUTE(UPPER(TRIM(U36)),"M",""),",","")," ",""))),0))</f>
        <v/>
      </c>
    </row>
    <row r="37" ht="15" customHeight="1" s="74">
      <c r="A37" s="66">
        <f>'Project Database'!A41</f>
        <v/>
      </c>
      <c r="B37" s="66">
        <f>'Project Database'!B41</f>
        <v/>
      </c>
      <c r="C37" s="66">
        <f>'Project Database'!G41</f>
        <v/>
      </c>
      <c r="D37" s="66">
        <f>'Project Database'!H41</f>
        <v/>
      </c>
      <c r="E37" s="66">
        <f>'Project Database'!I41</f>
        <v/>
      </c>
      <c r="F37" s="66">
        <f>'Project Database'!J41</f>
        <v/>
      </c>
      <c r="G37" s="66">
        <f>'Project Database'!K41</f>
        <v/>
      </c>
      <c r="H37" s="66">
        <f>'Project Database'!L41</f>
        <v/>
      </c>
      <c r="I37" s="66">
        <f>'Project Database'!M41</f>
        <v/>
      </c>
      <c r="J37" s="66">
        <f>'Project Database'!N41</f>
        <v/>
      </c>
      <c r="K37" s="66">
        <f>'Project Database'!O41</f>
        <v/>
      </c>
      <c r="L37" s="66">
        <f>'Project Database'!P41</f>
        <v/>
      </c>
      <c r="M37" s="66">
        <f>'Project Database'!Q41</f>
        <v/>
      </c>
      <c r="N37" s="66">
        <f>'Project Database'!R41</f>
        <v/>
      </c>
      <c r="O37" s="66">
        <f>'Project Database'!S41</f>
        <v/>
      </c>
      <c r="P37" s="66">
        <f>'Project Database'!T41</f>
        <v/>
      </c>
      <c r="Q37" s="66">
        <f>'Project Database'!U41</f>
        <v/>
      </c>
      <c r="R37" s="66">
        <f>'Project Database'!V41</f>
        <v/>
      </c>
      <c r="S37" s="66">
        <f>'Project Database'!W41</f>
        <v/>
      </c>
      <c r="T37" s="66">
        <f>'Project Database'!X41</f>
        <v/>
      </c>
      <c r="U37" s="67">
        <f>'Project Database'!Y41</f>
        <v/>
      </c>
      <c r="V37" s="66">
        <f>IF('Smart Search'!B13=1,IFERROR(1/'Smart Search'!H13,0),0)</f>
        <v/>
      </c>
      <c r="W37" s="66">
        <f>IF('Smart Search'!B13=1,IFERROR(1/'Smart Search'!H13,0),0)</f>
        <v/>
      </c>
      <c r="X37" s="66">
        <f>IF('Smart Search'!C13=1,IFERROR(1/'Smart Search'!H13,0),0)</f>
        <v/>
      </c>
      <c r="Y37" s="66">
        <f>IF('Smart Search'!C13=1,IFERROR(1/'Smart Search'!H13,0),0)</f>
        <v/>
      </c>
      <c r="Z37" s="66">
        <f>IF('Smart Search'!D13=1,IFERROR(1/'Smart Search'!H13,0),0)</f>
        <v/>
      </c>
      <c r="AA37" s="66">
        <f>IF('Smart Search'!D13=1,IFERROR(1/'Smart Search'!H13,0),0)</f>
        <v/>
      </c>
      <c r="AB37" s="66">
        <f>IF('Smart Search'!E13=1,IFERROR(1/'Smart Search'!H13,0),0)</f>
        <v/>
      </c>
      <c r="AC37" s="66">
        <f>IF('Smart Search'!E13=1,IFERROR(1/'Smart Search'!H13,0),0)</f>
        <v/>
      </c>
      <c r="AD37" s="66">
        <f>IF('Smart Search'!F13=1,IFERROR(1/'Smart Search'!H13,0),0)</f>
        <v/>
      </c>
      <c r="AE37" s="66">
        <f>IF('Smart Search'!F13=1,IFERROR(1/'Smart Search'!H13,0),0)</f>
        <v/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66">
        <f>AF37*V37</f>
        <v/>
      </c>
      <c r="AQ37" s="66">
        <f>AG37*W37</f>
        <v/>
      </c>
      <c r="AR37" s="66">
        <f>AH37*X37</f>
        <v/>
      </c>
      <c r="AS37" s="66">
        <f>AI37*Y37</f>
        <v/>
      </c>
      <c r="AT37" s="66">
        <f>AJ37*Z37</f>
        <v/>
      </c>
      <c r="AU37" s="66">
        <f>AK37*AA37</f>
        <v/>
      </c>
      <c r="AV37" s="66">
        <f>AL37*AB37</f>
        <v/>
      </c>
      <c r="AW37" s="66">
        <f>AM37*AC37</f>
        <v/>
      </c>
      <c r="AX37" s="66">
        <f>AN37*AD37</f>
        <v/>
      </c>
      <c r="AY37" s="66">
        <f>AO37*AE37</f>
        <v/>
      </c>
      <c r="AZ37" s="66">
        <f>'Project Database'!Z41</f>
        <v/>
      </c>
      <c r="BA37" s="66">
        <f>IF(OR(A37="",'Smart Search'!H13=0),"",MAX(0,BE37*BF37*MAX(0,1-BG37)))</f>
        <v/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66">
        <f>IF('Smart Search'!G13=1,IFERROR(1/'Smart Search'!H13,0),0)</f>
        <v/>
      </c>
      <c r="BD37" s="66">
        <f>BB37*BC37</f>
        <v/>
      </c>
      <c r="BE37" s="66">
        <f>AP37+AQ37+AR37+AS37+AT37+AU37+AV37+AW37+AX37+AY37+BD37</f>
        <v/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5">
        <f>IF(AND('Project Database'!A41&lt;&gt;"",OR('Smart Search'!$L$5="",'Smart Search'!$L$5="All",TRIM('Project Database'!D41)=TRIM('Smart Search'!$L$5)),OR(TRIM('Smart Search'!$L$6)="",TRIM('Smart Search'!$L$6)="All",ISNUMBER(SEARCH(SUBSTITUTE(SUBSTITUTE(SUBSTITUTE(TRIM('Smart Search'!$L$6),"~","~~"),"*","~*"),"?","~?"),'Project Database'!C41))),OR('Smart Search'!$L$7="",AND('Project Database'!E41&lt;&gt;"",'Project Database'!E41='Smart Search'!$L$7)),OR('Smart Search'!$L$8="",'Smart Search'!$L$8="All",TRIM('Project Database'!F41)=TRIM('Smart Search'!$L$8))),IF(BA37="","",BA37+ROW()*0.0000000001),"")</f>
        <v/>
      </c>
      <c r="BI37" s="5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IF('Project Database'!A41="","",N('Project Database'!AC41))</f>
        <v/>
      </c>
      <c r="BK37" s="5">
        <f>IF('Project Database'!A41="","",N('Project Database'!AD41))</f>
        <v/>
      </c>
      <c r="BL37" s="5">
        <f>IF('Project Database'!A41="","",N('Project Database'!AE41))</f>
        <v/>
      </c>
      <c r="BM37" s="5">
        <f>IF('Project Database'!A41="","",N('Project Database'!AF41))</f>
        <v/>
      </c>
      <c r="BN37" s="5">
        <f>IF('Project Database'!A41="","",N('Project Database'!AG41))</f>
        <v/>
      </c>
      <c r="BO37" s="5">
        <f>IF('Project Database'!A41="","",N('Project Database'!AH41))</f>
        <v/>
      </c>
      <c r="BP37" s="5">
        <f>IF('Project Database'!A41="","",N('Project Database'!AI41))</f>
        <v/>
      </c>
      <c r="BQ37" s="5">
        <f>IF('Project Database'!A41="","",N('Project Database'!AJ41))</f>
        <v/>
      </c>
      <c r="BR37" s="5">
        <f>IF('Project Database'!A41="","",N('Project Database'!AK41))</f>
        <v/>
      </c>
      <c r="BS37" s="5">
        <f>IF('Project Database'!A41="","",N('Project Database'!AL41))</f>
        <v/>
      </c>
      <c r="BT37" s="5">
        <f>IF('Project Database'!A41="","",N('Project Database'!AM41))</f>
        <v/>
      </c>
      <c r="BU37" s="5">
        <f>IF('Project Database'!A41="","",N('Project Database'!AN41))</f>
        <v/>
      </c>
      <c r="BV37" s="5">
        <f>IF('Project Database'!A41="","",N('Project Database'!AO41))</f>
        <v/>
      </c>
      <c r="BW37" s="5">
        <f>IF('Project Database'!A41="","",N('Project Database'!AP41))</f>
        <v/>
      </c>
      <c r="BX37" s="5">
        <f>IF(A37="","",SUM(BJ37:BW37))</f>
        <v/>
      </c>
      <c r="BY37" s="5">
        <f>IF(A37="","",IFERROR(IF(ISNUMBER(U37),U37,VALUE(SUBSTITUTE(SUBSTITUTE(SUBSTITUTE(UPPER(TRIM(U37)),"M",""),",","")," ",""))),0))</f>
        <v/>
      </c>
    </row>
    <row r="38" ht="15" customHeight="1" s="74">
      <c r="A38" s="66">
        <f>'Project Database'!A42</f>
        <v/>
      </c>
      <c r="B38" s="66">
        <f>'Project Database'!B42</f>
        <v/>
      </c>
      <c r="C38" s="66">
        <f>'Project Database'!G42</f>
        <v/>
      </c>
      <c r="D38" s="66">
        <f>'Project Database'!H42</f>
        <v/>
      </c>
      <c r="E38" s="66">
        <f>'Project Database'!I42</f>
        <v/>
      </c>
      <c r="F38" s="66">
        <f>'Project Database'!J42</f>
        <v/>
      </c>
      <c r="G38" s="66">
        <f>'Project Database'!K42</f>
        <v/>
      </c>
      <c r="H38" s="66">
        <f>'Project Database'!L42</f>
        <v/>
      </c>
      <c r="I38" s="66">
        <f>'Project Database'!M42</f>
        <v/>
      </c>
      <c r="J38" s="66">
        <f>'Project Database'!N42</f>
        <v/>
      </c>
      <c r="K38" s="66">
        <f>'Project Database'!O42</f>
        <v/>
      </c>
      <c r="L38" s="66">
        <f>'Project Database'!P42</f>
        <v/>
      </c>
      <c r="M38" s="66">
        <f>'Project Database'!Q42</f>
        <v/>
      </c>
      <c r="N38" s="66">
        <f>'Project Database'!R42</f>
        <v/>
      </c>
      <c r="O38" s="66">
        <f>'Project Database'!S42</f>
        <v/>
      </c>
      <c r="P38" s="66">
        <f>'Project Database'!T42</f>
        <v/>
      </c>
      <c r="Q38" s="66">
        <f>'Project Database'!U42</f>
        <v/>
      </c>
      <c r="R38" s="66">
        <f>'Project Database'!V42</f>
        <v/>
      </c>
      <c r="S38" s="66">
        <f>'Project Database'!W42</f>
        <v/>
      </c>
      <c r="T38" s="66">
        <f>'Project Database'!X42</f>
        <v/>
      </c>
      <c r="U38" s="67">
        <f>'Project Database'!Y42</f>
        <v/>
      </c>
      <c r="V38" s="66">
        <f>IF('Smart Search'!B13=1,IFERROR(1/'Smart Search'!H13,0),0)</f>
        <v/>
      </c>
      <c r="W38" s="66">
        <f>IF('Smart Search'!B13=1,IFERROR(1/'Smart Search'!H13,0),0)</f>
        <v/>
      </c>
      <c r="X38" s="66">
        <f>IF('Smart Search'!C13=1,IFERROR(1/'Smart Search'!H13,0),0)</f>
        <v/>
      </c>
      <c r="Y38" s="66">
        <f>IF('Smart Search'!C13=1,IFERROR(1/'Smart Search'!H13,0),0)</f>
        <v/>
      </c>
      <c r="Z38" s="66">
        <f>IF('Smart Search'!D13=1,IFERROR(1/'Smart Search'!H13,0),0)</f>
        <v/>
      </c>
      <c r="AA38" s="66">
        <f>IF('Smart Search'!D13=1,IFERROR(1/'Smart Search'!H13,0),0)</f>
        <v/>
      </c>
      <c r="AB38" s="66">
        <f>IF('Smart Search'!E13=1,IFERROR(1/'Smart Search'!H13,0),0)</f>
        <v/>
      </c>
      <c r="AC38" s="66">
        <f>IF('Smart Search'!E13=1,IFERROR(1/'Smart Search'!H13,0),0)</f>
        <v/>
      </c>
      <c r="AD38" s="66">
        <f>IF('Smart Search'!F13=1,IFERROR(1/'Smart Search'!H13,0),0)</f>
        <v/>
      </c>
      <c r="AE38" s="66">
        <f>IF('Smart Search'!F13=1,IFERROR(1/'Smart Search'!H13,0),0)</f>
        <v/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66">
        <f>AF38*V38</f>
        <v/>
      </c>
      <c r="AQ38" s="66">
        <f>AG38*W38</f>
        <v/>
      </c>
      <c r="AR38" s="66">
        <f>AH38*X38</f>
        <v/>
      </c>
      <c r="AS38" s="66">
        <f>AI38*Y38</f>
        <v/>
      </c>
      <c r="AT38" s="66">
        <f>AJ38*Z38</f>
        <v/>
      </c>
      <c r="AU38" s="66">
        <f>AK38*AA38</f>
        <v/>
      </c>
      <c r="AV38" s="66">
        <f>AL38*AB38</f>
        <v/>
      </c>
      <c r="AW38" s="66">
        <f>AM38*AC38</f>
        <v/>
      </c>
      <c r="AX38" s="66">
        <f>AN38*AD38</f>
        <v/>
      </c>
      <c r="AY38" s="66">
        <f>AO38*AE38</f>
        <v/>
      </c>
      <c r="AZ38" s="66">
        <f>'Project Database'!Z42</f>
        <v/>
      </c>
      <c r="BA38" s="66">
        <f>IF(OR(A38="",'Smart Search'!H13=0),"",MAX(0,BE38*BF38*MAX(0,1-BG38)))</f>
        <v/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66">
        <f>IF('Smart Search'!G13=1,IFERROR(1/'Smart Search'!H13,0),0)</f>
        <v/>
      </c>
      <c r="BD38" s="66">
        <f>BB38*BC38</f>
        <v/>
      </c>
      <c r="BE38" s="66">
        <f>AP38+AQ38+AR38+AS38+AT38+AU38+AV38+AW38+AX38+AY38+BD38</f>
        <v/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5">
        <f>IF(AND('Project Database'!A42&lt;&gt;"",OR('Smart Search'!$L$5="",'Smart Search'!$L$5="All",TRIM('Project Database'!D42)=TRIM('Smart Search'!$L$5)),OR(TRIM('Smart Search'!$L$6)="",TRIM('Smart Search'!$L$6)="All",ISNUMBER(SEARCH(SUBSTITUTE(SUBSTITUTE(SUBSTITUTE(TRIM('Smart Search'!$L$6),"~","~~"),"*","~*"),"?","~?"),'Project Database'!C42))),OR('Smart Search'!$L$7="",AND('Project Database'!E42&lt;&gt;"",'Project Database'!E42='Smart Search'!$L$7)),OR('Smart Search'!$L$8="",'Smart Search'!$L$8="All",TRIM('Project Database'!F42)=TRIM('Smart Search'!$L$8))),IF(BA38="","",BA38+ROW()*0.0000000001),"")</f>
        <v/>
      </c>
      <c r="BI38" s="5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5">
        <f>IF('Project Database'!A42="","",N('Project Database'!AC42))</f>
        <v/>
      </c>
      <c r="BK38" s="5">
        <f>IF('Project Database'!A42="","",N('Project Database'!AD42))</f>
        <v/>
      </c>
      <c r="BL38" s="5">
        <f>IF('Project Database'!A42="","",N('Project Database'!AE42))</f>
        <v/>
      </c>
      <c r="BM38" s="5">
        <f>IF('Project Database'!A42="","",N('Project Database'!AF42))</f>
        <v/>
      </c>
      <c r="BN38" s="5">
        <f>IF('Project Database'!A42="","",N('Project Database'!AG42))</f>
        <v/>
      </c>
      <c r="BO38" s="5">
        <f>IF('Project Database'!A42="","",N('Project Database'!AH42))</f>
        <v/>
      </c>
      <c r="BP38" s="5">
        <f>IF('Project Database'!A42="","",N('Project Database'!AI42))</f>
        <v/>
      </c>
      <c r="BQ38" s="5">
        <f>IF('Project Database'!A42="","",N('Project Database'!AJ42))</f>
        <v/>
      </c>
      <c r="BR38" s="5">
        <f>IF('Project Database'!A42="","",N('Project Database'!AK42))</f>
        <v/>
      </c>
      <c r="BS38" s="5">
        <f>IF('Project Database'!A42="","",N('Project Database'!AL42))</f>
        <v/>
      </c>
      <c r="BT38" s="5">
        <f>IF('Project Database'!A42="","",N('Project Database'!AM42))</f>
        <v/>
      </c>
      <c r="BU38" s="5">
        <f>IF('Project Database'!A42="","",N('Project Database'!AN42))</f>
        <v/>
      </c>
      <c r="BV38" s="5">
        <f>IF('Project Database'!A42="","",N('Project Database'!AO42))</f>
        <v/>
      </c>
      <c r="BW38" s="5">
        <f>IF('Project Database'!A42="","",N('Project Database'!AP42))</f>
        <v/>
      </c>
      <c r="BX38" s="5">
        <f>IF(A38="","",SUM(BJ38:BW38))</f>
        <v/>
      </c>
      <c r="BY38" s="5">
        <f>IF(A38="","",IFERROR(IF(ISNUMBER(U38),U38,VALUE(SUBSTITUTE(SUBSTITUTE(SUBSTITUTE(UPPER(TRIM(U38)),"M",""),",","")," ",""))),0))</f>
        <v/>
      </c>
    </row>
    <row r="39" ht="15" customHeight="1" s="74">
      <c r="A39" s="66">
        <f>'Project Database'!A43</f>
        <v/>
      </c>
      <c r="B39" s="66">
        <f>'Project Database'!B43</f>
        <v/>
      </c>
      <c r="C39" s="66">
        <f>'Project Database'!G43</f>
        <v/>
      </c>
      <c r="D39" s="66">
        <f>'Project Database'!H43</f>
        <v/>
      </c>
      <c r="E39" s="66">
        <f>'Project Database'!I43</f>
        <v/>
      </c>
      <c r="F39" s="66">
        <f>'Project Database'!J43</f>
        <v/>
      </c>
      <c r="G39" s="66">
        <f>'Project Database'!K43</f>
        <v/>
      </c>
      <c r="H39" s="66">
        <f>'Project Database'!L43</f>
        <v/>
      </c>
      <c r="I39" s="66">
        <f>'Project Database'!M43</f>
        <v/>
      </c>
      <c r="J39" s="66">
        <f>'Project Database'!N43</f>
        <v/>
      </c>
      <c r="K39" s="66">
        <f>'Project Database'!O43</f>
        <v/>
      </c>
      <c r="L39" s="66">
        <f>'Project Database'!P43</f>
        <v/>
      </c>
      <c r="M39" s="66">
        <f>'Project Database'!Q43</f>
        <v/>
      </c>
      <c r="N39" s="66">
        <f>'Project Database'!R43</f>
        <v/>
      </c>
      <c r="O39" s="66">
        <f>'Project Database'!S43</f>
        <v/>
      </c>
      <c r="P39" s="66">
        <f>'Project Database'!T43</f>
        <v/>
      </c>
      <c r="Q39" s="66">
        <f>'Project Database'!U43</f>
        <v/>
      </c>
      <c r="R39" s="66">
        <f>'Project Database'!V43</f>
        <v/>
      </c>
      <c r="S39" s="66">
        <f>'Project Database'!W43</f>
        <v/>
      </c>
      <c r="T39" s="66">
        <f>'Project Database'!X43</f>
        <v/>
      </c>
      <c r="U39" s="67">
        <f>'Project Database'!Y43</f>
        <v/>
      </c>
      <c r="V39" s="66">
        <f>IF('Smart Search'!B13=1,IFERROR(1/'Smart Search'!H13,0),0)</f>
        <v/>
      </c>
      <c r="W39" s="66">
        <f>IF('Smart Search'!B13=1,IFERROR(1/'Smart Search'!H13,0),0)</f>
        <v/>
      </c>
      <c r="X39" s="66">
        <f>IF('Smart Search'!C13=1,IFERROR(1/'Smart Search'!H13,0),0)</f>
        <v/>
      </c>
      <c r="Y39" s="66">
        <f>IF('Smart Search'!C13=1,IFERROR(1/'Smart Search'!H13,0),0)</f>
        <v/>
      </c>
      <c r="Z39" s="66">
        <f>IF('Smart Search'!D13=1,IFERROR(1/'Smart Search'!H13,0),0)</f>
        <v/>
      </c>
      <c r="AA39" s="66">
        <f>IF('Smart Search'!D13=1,IFERROR(1/'Smart Search'!H13,0),0)</f>
        <v/>
      </c>
      <c r="AB39" s="66">
        <f>IF('Smart Search'!E13=1,IFERROR(1/'Smart Search'!H13,0),0)</f>
        <v/>
      </c>
      <c r="AC39" s="66">
        <f>IF('Smart Search'!E13=1,IFERROR(1/'Smart Search'!H13,0),0)</f>
        <v/>
      </c>
      <c r="AD39" s="66">
        <f>IF('Smart Search'!F13=1,IFERROR(1/'Smart Search'!H13,0),0)</f>
        <v/>
      </c>
      <c r="AE39" s="66">
        <f>IF('Smart Search'!F13=1,IFERROR(1/'Smart Search'!H13,0),0)</f>
        <v/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66">
        <f>AF39*V39</f>
        <v/>
      </c>
      <c r="AQ39" s="66">
        <f>AG39*W39</f>
        <v/>
      </c>
      <c r="AR39" s="66">
        <f>AH39*X39</f>
        <v/>
      </c>
      <c r="AS39" s="66">
        <f>AI39*Y39</f>
        <v/>
      </c>
      <c r="AT39" s="66">
        <f>AJ39*Z39</f>
        <v/>
      </c>
      <c r="AU39" s="66">
        <f>AK39*AA39</f>
        <v/>
      </c>
      <c r="AV39" s="66">
        <f>AL39*AB39</f>
        <v/>
      </c>
      <c r="AW39" s="66">
        <f>AM39*AC39</f>
        <v/>
      </c>
      <c r="AX39" s="66">
        <f>AN39*AD39</f>
        <v/>
      </c>
      <c r="AY39" s="66">
        <f>AO39*AE39</f>
        <v/>
      </c>
      <c r="AZ39" s="66">
        <f>'Project Database'!Z43</f>
        <v/>
      </c>
      <c r="BA39" s="66">
        <f>IF(OR(A39="",'Smart Search'!H13=0),"",MAX(0,BE39*BF39*MAX(0,1-BG39)))</f>
        <v/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66">
        <f>IF('Smart Search'!G13=1,IFERROR(1/'Smart Search'!H13,0),0)</f>
        <v/>
      </c>
      <c r="BD39" s="66">
        <f>BB39*BC39</f>
        <v/>
      </c>
      <c r="BE39" s="66">
        <f>AP39+AQ39+AR39+AS39+AT39+AU39+AV39+AW39+AX39+AY39+BD39</f>
        <v/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5">
        <f>IF(AND('Project Database'!A43&lt;&gt;"",OR('Smart Search'!$L$5="",'Smart Search'!$L$5="All",TRIM('Project Database'!D43)=TRIM('Smart Search'!$L$5)),OR(TRIM('Smart Search'!$L$6)="",TRIM('Smart Search'!$L$6)="All",ISNUMBER(SEARCH(SUBSTITUTE(SUBSTITUTE(SUBSTITUTE(TRIM('Smart Search'!$L$6),"~","~~"),"*","~*"),"?","~?"),'Project Database'!C43))),OR('Smart Search'!$L$7="",AND('Project Database'!E43&lt;&gt;"",'Project Database'!E43='Smart Search'!$L$7)),OR('Smart Search'!$L$8="",'Smart Search'!$L$8="All",TRIM('Project Database'!F43)=TRIM('Smart Search'!$L$8))),IF(BA39="","",BA39+ROW()*0.0000000001),"")</f>
        <v/>
      </c>
      <c r="BI39" s="5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5">
        <f>IF('Project Database'!A43="","",N('Project Database'!AC43))</f>
        <v/>
      </c>
      <c r="BK39" s="5">
        <f>IF('Project Database'!A43="","",N('Project Database'!AD43))</f>
        <v/>
      </c>
      <c r="BL39" s="5">
        <f>IF('Project Database'!A43="","",N('Project Database'!AE43))</f>
        <v/>
      </c>
      <c r="BM39" s="5">
        <f>IF('Project Database'!A43="","",N('Project Database'!AF43))</f>
        <v/>
      </c>
      <c r="BN39" s="5">
        <f>IF('Project Database'!A43="","",N('Project Database'!AG43))</f>
        <v/>
      </c>
      <c r="BO39" s="5">
        <f>IF('Project Database'!A43="","",N('Project Database'!AH43))</f>
        <v/>
      </c>
      <c r="BP39" s="5">
        <f>IF('Project Database'!A43="","",N('Project Database'!AI43))</f>
        <v/>
      </c>
      <c r="BQ39" s="5">
        <f>IF('Project Database'!A43="","",N('Project Database'!AJ43))</f>
        <v/>
      </c>
      <c r="BR39" s="5">
        <f>IF('Project Database'!A43="","",N('Project Database'!AK43))</f>
        <v/>
      </c>
      <c r="BS39" s="5">
        <f>IF('Project Database'!A43="","",N('Project Database'!AL43))</f>
        <v/>
      </c>
      <c r="BT39" s="5">
        <f>IF('Project Database'!A43="","",N('Project Database'!AM43))</f>
        <v/>
      </c>
      <c r="BU39" s="5">
        <f>IF('Project Database'!A43="","",N('Project Database'!AN43))</f>
        <v/>
      </c>
      <c r="BV39" s="5">
        <f>IF('Project Database'!A43="","",N('Project Database'!AO43))</f>
        <v/>
      </c>
      <c r="BW39" s="5">
        <f>IF('Project Database'!A43="","",N('Project Database'!AP43))</f>
        <v/>
      </c>
      <c r="BX39" s="5">
        <f>IF(A39="","",SUM(BJ39:BW39))</f>
        <v/>
      </c>
      <c r="BY39" s="5">
        <f>IF(A39="","",IFERROR(IF(ISNUMBER(U39),U39,VALUE(SUBSTITUTE(SUBSTITUTE(SUBSTITUTE(UPPER(TRIM(U39)),"M",""),",","")," ",""))),0))</f>
        <v/>
      </c>
    </row>
    <row r="40" ht="15" customHeight="1" s="74">
      <c r="A40" s="66">
        <f>'Project Database'!A44</f>
        <v/>
      </c>
      <c r="B40" s="66">
        <f>'Project Database'!B44</f>
        <v/>
      </c>
      <c r="C40" s="66">
        <f>'Project Database'!G44</f>
        <v/>
      </c>
      <c r="D40" s="66">
        <f>'Project Database'!H44</f>
        <v/>
      </c>
      <c r="E40" s="66">
        <f>'Project Database'!I44</f>
        <v/>
      </c>
      <c r="F40" s="66">
        <f>'Project Database'!J44</f>
        <v/>
      </c>
      <c r="G40" s="66">
        <f>'Project Database'!K44</f>
        <v/>
      </c>
      <c r="H40" s="66">
        <f>'Project Database'!L44</f>
        <v/>
      </c>
      <c r="I40" s="66">
        <f>'Project Database'!M44</f>
        <v/>
      </c>
      <c r="J40" s="66">
        <f>'Project Database'!N44</f>
        <v/>
      </c>
      <c r="K40" s="66">
        <f>'Project Database'!O44</f>
        <v/>
      </c>
      <c r="L40" s="66">
        <f>'Project Database'!P44</f>
        <v/>
      </c>
      <c r="M40" s="66">
        <f>'Project Database'!Q44</f>
        <v/>
      </c>
      <c r="N40" s="66">
        <f>'Project Database'!R44</f>
        <v/>
      </c>
      <c r="O40" s="66">
        <f>'Project Database'!S44</f>
        <v/>
      </c>
      <c r="P40" s="66">
        <f>'Project Database'!T44</f>
        <v/>
      </c>
      <c r="Q40" s="66">
        <f>'Project Database'!U44</f>
        <v/>
      </c>
      <c r="R40" s="66">
        <f>'Project Database'!V44</f>
        <v/>
      </c>
      <c r="S40" s="66">
        <f>'Project Database'!W44</f>
        <v/>
      </c>
      <c r="T40" s="66">
        <f>'Project Database'!X44</f>
        <v/>
      </c>
      <c r="U40" s="67">
        <f>'Project Database'!Y44</f>
        <v/>
      </c>
      <c r="V40" s="66">
        <f>IF('Smart Search'!B13=1,IFERROR(1/'Smart Search'!H13,0),0)</f>
        <v/>
      </c>
      <c r="W40" s="66">
        <f>IF('Smart Search'!B13=1,IFERROR(1/'Smart Search'!H13,0),0)</f>
        <v/>
      </c>
      <c r="X40" s="66">
        <f>IF('Smart Search'!C13=1,IFERROR(1/'Smart Search'!H13,0),0)</f>
        <v/>
      </c>
      <c r="Y40" s="66">
        <f>IF('Smart Search'!C13=1,IFERROR(1/'Smart Search'!H13,0),0)</f>
        <v/>
      </c>
      <c r="Z40" s="66">
        <f>IF('Smart Search'!D13=1,IFERROR(1/'Smart Search'!H13,0),0)</f>
        <v/>
      </c>
      <c r="AA40" s="66">
        <f>IF('Smart Search'!D13=1,IFERROR(1/'Smart Search'!H13,0),0)</f>
        <v/>
      </c>
      <c r="AB40" s="66">
        <f>IF('Smart Search'!E13=1,IFERROR(1/'Smart Search'!H13,0),0)</f>
        <v/>
      </c>
      <c r="AC40" s="66">
        <f>IF('Smart Search'!E13=1,IFERROR(1/'Smart Search'!H13,0),0)</f>
        <v/>
      </c>
      <c r="AD40" s="66">
        <f>IF('Smart Search'!F13=1,IFERROR(1/'Smart Search'!H13,0),0)</f>
        <v/>
      </c>
      <c r="AE40" s="66">
        <f>IF('Smart Search'!F13=1,IFERROR(1/'Smart Search'!H13,0),0)</f>
        <v/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66">
        <f>AF40*V40</f>
        <v/>
      </c>
      <c r="AQ40" s="66">
        <f>AG40*W40</f>
        <v/>
      </c>
      <c r="AR40" s="66">
        <f>AH40*X40</f>
        <v/>
      </c>
      <c r="AS40" s="66">
        <f>AI40*Y40</f>
        <v/>
      </c>
      <c r="AT40" s="66">
        <f>AJ40*Z40</f>
        <v/>
      </c>
      <c r="AU40" s="66">
        <f>AK40*AA40</f>
        <v/>
      </c>
      <c r="AV40" s="66">
        <f>AL40*AB40</f>
        <v/>
      </c>
      <c r="AW40" s="66">
        <f>AM40*AC40</f>
        <v/>
      </c>
      <c r="AX40" s="66">
        <f>AN40*AD40</f>
        <v/>
      </c>
      <c r="AY40" s="66">
        <f>AO40*AE40</f>
        <v/>
      </c>
      <c r="AZ40" s="66">
        <f>'Project Database'!Z44</f>
        <v/>
      </c>
      <c r="BA40" s="66">
        <f>IF(OR(A40="",'Smart Search'!H13=0),"",MAX(0,BE40*BF40*MAX(0,1-BG40)))</f>
        <v/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66">
        <f>IF('Smart Search'!G13=1,IFERROR(1/'Smart Search'!H13,0),0)</f>
        <v/>
      </c>
      <c r="BD40" s="66">
        <f>BB40*BC40</f>
        <v/>
      </c>
      <c r="BE40" s="66">
        <f>AP40+AQ40+AR40+AS40+AT40+AU40+AV40+AW40+AX40+AY40+BD40</f>
        <v/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5">
        <f>IF(AND('Project Database'!A44&lt;&gt;"",OR('Smart Search'!$L$5="",'Smart Search'!$L$5="All",TRIM('Project Database'!D44)=TRIM('Smart Search'!$L$5)),OR(TRIM('Smart Search'!$L$6)="",TRIM('Smart Search'!$L$6)="All",ISNUMBER(SEARCH(SUBSTITUTE(SUBSTITUTE(SUBSTITUTE(TRIM('Smart Search'!$L$6),"~","~~"),"*","~*"),"?","~?"),'Project Database'!C44))),OR('Smart Search'!$L$7="",AND('Project Database'!E44&lt;&gt;"",'Project Database'!E44='Smart Search'!$L$7)),OR('Smart Search'!$L$8="",'Smart Search'!$L$8="All",TRIM('Project Database'!F44)=TRIM('Smart Search'!$L$8))),IF(BA40="","",BA40+ROW()*0.0000000001),"")</f>
        <v/>
      </c>
      <c r="BI40" s="5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IF('Project Database'!A44="","",N('Project Database'!AC44))</f>
        <v/>
      </c>
      <c r="BK40" s="5">
        <f>IF('Project Database'!A44="","",N('Project Database'!AD44))</f>
        <v/>
      </c>
      <c r="BL40" s="5">
        <f>IF('Project Database'!A44="","",N('Project Database'!AE44))</f>
        <v/>
      </c>
      <c r="BM40" s="5">
        <f>IF('Project Database'!A44="","",N('Project Database'!AF44))</f>
        <v/>
      </c>
      <c r="BN40" s="5">
        <f>IF('Project Database'!A44="","",N('Project Database'!AG44))</f>
        <v/>
      </c>
      <c r="BO40" s="5">
        <f>IF('Project Database'!A44="","",N('Project Database'!AH44))</f>
        <v/>
      </c>
      <c r="BP40" s="5">
        <f>IF('Project Database'!A44="","",N('Project Database'!AI44))</f>
        <v/>
      </c>
      <c r="BQ40" s="5">
        <f>IF('Project Database'!A44="","",N('Project Database'!AJ44))</f>
        <v/>
      </c>
      <c r="BR40" s="5">
        <f>IF('Project Database'!A44="","",N('Project Database'!AK44))</f>
        <v/>
      </c>
      <c r="BS40" s="5">
        <f>IF('Project Database'!A44="","",N('Project Database'!AL44))</f>
        <v/>
      </c>
      <c r="BT40" s="5">
        <f>IF('Project Database'!A44="","",N('Project Database'!AM44))</f>
        <v/>
      </c>
      <c r="BU40" s="5">
        <f>IF('Project Database'!A44="","",N('Project Database'!AN44))</f>
        <v/>
      </c>
      <c r="BV40" s="5">
        <f>IF('Project Database'!A44="","",N('Project Database'!AO44))</f>
        <v/>
      </c>
      <c r="BW40" s="5">
        <f>IF('Project Database'!A44="","",N('Project Database'!AP44))</f>
        <v/>
      </c>
      <c r="BX40" s="5">
        <f>IF(A40="","",SUM(BJ40:BW40))</f>
        <v/>
      </c>
      <c r="BY40" s="5">
        <f>IF(A40="","",IFERROR(IF(ISNUMBER(U40),U40,VALUE(SUBSTITUTE(SUBSTITUTE(SUBSTITUTE(UPPER(TRIM(U40)),"M",""),",","")," ",""))),0))</f>
        <v/>
      </c>
    </row>
    <row r="41" ht="15" customHeight="1" s="74">
      <c r="A41" s="66">
        <f>'Project Database'!A45</f>
        <v/>
      </c>
      <c r="B41" s="66">
        <f>'Project Database'!B45</f>
        <v/>
      </c>
      <c r="C41" s="66">
        <f>'Project Database'!G45</f>
        <v/>
      </c>
      <c r="D41" s="66">
        <f>'Project Database'!H45</f>
        <v/>
      </c>
      <c r="E41" s="66">
        <f>'Project Database'!I45</f>
        <v/>
      </c>
      <c r="F41" s="66">
        <f>'Project Database'!J45</f>
        <v/>
      </c>
      <c r="G41" s="66">
        <f>'Project Database'!K45</f>
        <v/>
      </c>
      <c r="H41" s="66">
        <f>'Project Database'!L45</f>
        <v/>
      </c>
      <c r="I41" s="66">
        <f>'Project Database'!M45</f>
        <v/>
      </c>
      <c r="J41" s="66">
        <f>'Project Database'!N45</f>
        <v/>
      </c>
      <c r="K41" s="66">
        <f>'Project Database'!O45</f>
        <v/>
      </c>
      <c r="L41" s="66">
        <f>'Project Database'!P45</f>
        <v/>
      </c>
      <c r="M41" s="66">
        <f>'Project Database'!Q45</f>
        <v/>
      </c>
      <c r="N41" s="66">
        <f>'Project Database'!R45</f>
        <v/>
      </c>
      <c r="O41" s="66">
        <f>'Project Database'!S45</f>
        <v/>
      </c>
      <c r="P41" s="66">
        <f>'Project Database'!T45</f>
        <v/>
      </c>
      <c r="Q41" s="66">
        <f>'Project Database'!U45</f>
        <v/>
      </c>
      <c r="R41" s="66">
        <f>'Project Database'!V45</f>
        <v/>
      </c>
      <c r="S41" s="66">
        <f>'Project Database'!W45</f>
        <v/>
      </c>
      <c r="T41" s="66">
        <f>'Project Database'!X45</f>
        <v/>
      </c>
      <c r="U41" s="67">
        <f>'Project Database'!Y45</f>
        <v/>
      </c>
      <c r="V41" s="66">
        <f>IF('Smart Search'!B13=1,IFERROR(1/'Smart Search'!H13,0),0)</f>
        <v/>
      </c>
      <c r="W41" s="66">
        <f>IF('Smart Search'!B13=1,IFERROR(1/'Smart Search'!H13,0),0)</f>
        <v/>
      </c>
      <c r="X41" s="66">
        <f>IF('Smart Search'!C13=1,IFERROR(1/'Smart Search'!H13,0),0)</f>
        <v/>
      </c>
      <c r="Y41" s="66">
        <f>IF('Smart Search'!C13=1,IFERROR(1/'Smart Search'!H13,0),0)</f>
        <v/>
      </c>
      <c r="Z41" s="66">
        <f>IF('Smart Search'!D13=1,IFERROR(1/'Smart Search'!H13,0),0)</f>
        <v/>
      </c>
      <c r="AA41" s="66">
        <f>IF('Smart Search'!D13=1,IFERROR(1/'Smart Search'!H13,0),0)</f>
        <v/>
      </c>
      <c r="AB41" s="66">
        <f>IF('Smart Search'!E13=1,IFERROR(1/'Smart Search'!H13,0),0)</f>
        <v/>
      </c>
      <c r="AC41" s="66">
        <f>IF('Smart Search'!E13=1,IFERROR(1/'Smart Search'!H13,0),0)</f>
        <v/>
      </c>
      <c r="AD41" s="66">
        <f>IF('Smart Search'!F13=1,IFERROR(1/'Smart Search'!H13,0),0)</f>
        <v/>
      </c>
      <c r="AE41" s="66">
        <f>IF('Smart Search'!F13=1,IFERROR(1/'Smart Search'!H13,0),0)</f>
        <v/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66">
        <f>AF41*V41</f>
        <v/>
      </c>
      <c r="AQ41" s="66">
        <f>AG41*W41</f>
        <v/>
      </c>
      <c r="AR41" s="66">
        <f>AH41*X41</f>
        <v/>
      </c>
      <c r="AS41" s="66">
        <f>AI41*Y41</f>
        <v/>
      </c>
      <c r="AT41" s="66">
        <f>AJ41*Z41</f>
        <v/>
      </c>
      <c r="AU41" s="66">
        <f>AK41*AA41</f>
        <v/>
      </c>
      <c r="AV41" s="66">
        <f>AL41*AB41</f>
        <v/>
      </c>
      <c r="AW41" s="66">
        <f>AM41*AC41</f>
        <v/>
      </c>
      <c r="AX41" s="66">
        <f>AN41*AD41</f>
        <v/>
      </c>
      <c r="AY41" s="66">
        <f>AO41*AE41</f>
        <v/>
      </c>
      <c r="AZ41" s="66">
        <f>'Project Database'!Z45</f>
        <v/>
      </c>
      <c r="BA41" s="66">
        <f>IF(OR(A41="",'Smart Search'!H13=0),"",MAX(0,BE41*BF41*MAX(0,1-BG41)))</f>
        <v/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66">
        <f>IF('Smart Search'!G13=1,IFERROR(1/'Smart Search'!H13,0),0)</f>
        <v/>
      </c>
      <c r="BD41" s="66">
        <f>BB41*BC41</f>
        <v/>
      </c>
      <c r="BE41" s="66">
        <f>AP41+AQ41+AR41+AS41+AT41+AU41+AV41+AW41+AX41+AY41+BD41</f>
        <v/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5">
        <f>IF(AND('Project Database'!A45&lt;&gt;"",OR('Smart Search'!$L$5="",'Smart Search'!$L$5="All",TRIM('Project Database'!D45)=TRIM('Smart Search'!$L$5)),OR(TRIM('Smart Search'!$L$6)="",TRIM('Smart Search'!$L$6)="All",ISNUMBER(SEARCH(SUBSTITUTE(SUBSTITUTE(SUBSTITUTE(TRIM('Smart Search'!$L$6),"~","~~"),"*","~*"),"?","~?"),'Project Database'!C45))),OR('Smart Search'!$L$7="",AND('Project Database'!E45&lt;&gt;"",'Project Database'!E45='Smart Search'!$L$7)),OR('Smart Search'!$L$8="",'Smart Search'!$L$8="All",TRIM('Project Database'!F45)=TRIM('Smart Search'!$L$8))),IF(BA41="","",BA41+ROW()*0.0000000001),"")</f>
        <v/>
      </c>
      <c r="BI41" s="5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5">
        <f>IF('Project Database'!A45="","",N('Project Database'!AC45))</f>
        <v/>
      </c>
      <c r="BK41" s="5">
        <f>IF('Project Database'!A45="","",N('Project Database'!AD45))</f>
        <v/>
      </c>
      <c r="BL41" s="5">
        <f>IF('Project Database'!A45="","",N('Project Database'!AE45))</f>
        <v/>
      </c>
      <c r="BM41" s="5">
        <f>IF('Project Database'!A45="","",N('Project Database'!AF45))</f>
        <v/>
      </c>
      <c r="BN41" s="5">
        <f>IF('Project Database'!A45="","",N('Project Database'!AG45))</f>
        <v/>
      </c>
      <c r="BO41" s="5">
        <f>IF('Project Database'!A45="","",N('Project Database'!AH45))</f>
        <v/>
      </c>
      <c r="BP41" s="5">
        <f>IF('Project Database'!A45="","",N('Project Database'!AI45))</f>
        <v/>
      </c>
      <c r="BQ41" s="5">
        <f>IF('Project Database'!A45="","",N('Project Database'!AJ45))</f>
        <v/>
      </c>
      <c r="BR41" s="5">
        <f>IF('Project Database'!A45="","",N('Project Database'!AK45))</f>
        <v/>
      </c>
      <c r="BS41" s="5">
        <f>IF('Project Database'!A45="","",N('Project Database'!AL45))</f>
        <v/>
      </c>
      <c r="BT41" s="5">
        <f>IF('Project Database'!A45="","",N('Project Database'!AM45))</f>
        <v/>
      </c>
      <c r="BU41" s="5">
        <f>IF('Project Database'!A45="","",N('Project Database'!AN45))</f>
        <v/>
      </c>
      <c r="BV41" s="5">
        <f>IF('Project Database'!A45="","",N('Project Database'!AO45))</f>
        <v/>
      </c>
      <c r="BW41" s="5">
        <f>IF('Project Database'!A45="","",N('Project Database'!AP45))</f>
        <v/>
      </c>
      <c r="BX41" s="5">
        <f>IF(A41="","",SUM(BJ41:BW41))</f>
        <v/>
      </c>
      <c r="BY41" s="5">
        <f>IF(A41="","",IFERROR(IF(ISNUMBER(U41),U41,VALUE(SUBSTITUTE(SUBSTITUTE(SUBSTITUTE(UPPER(TRIM(U41)),"M",""),",","")," ",""))),0))</f>
        <v/>
      </c>
    </row>
    <row r="42" ht="15" customHeight="1" s="74">
      <c r="A42" s="66">
        <f>'Project Database'!A46</f>
        <v/>
      </c>
      <c r="B42" s="66">
        <f>'Project Database'!B46</f>
        <v/>
      </c>
      <c r="C42" s="66">
        <f>'Project Database'!G46</f>
        <v/>
      </c>
      <c r="D42" s="66">
        <f>'Project Database'!H46</f>
        <v/>
      </c>
      <c r="E42" s="66">
        <f>'Project Database'!I46</f>
        <v/>
      </c>
      <c r="F42" s="66">
        <f>'Project Database'!J46</f>
        <v/>
      </c>
      <c r="G42" s="66">
        <f>'Project Database'!K46</f>
        <v/>
      </c>
      <c r="H42" s="66">
        <f>'Project Database'!L46</f>
        <v/>
      </c>
      <c r="I42" s="66">
        <f>'Project Database'!M46</f>
        <v/>
      </c>
      <c r="J42" s="66">
        <f>'Project Database'!N46</f>
        <v/>
      </c>
      <c r="K42" s="66">
        <f>'Project Database'!O46</f>
        <v/>
      </c>
      <c r="L42" s="66">
        <f>'Project Database'!P46</f>
        <v/>
      </c>
      <c r="M42" s="66">
        <f>'Project Database'!Q46</f>
        <v/>
      </c>
      <c r="N42" s="66">
        <f>'Project Database'!R46</f>
        <v/>
      </c>
      <c r="O42" s="66">
        <f>'Project Database'!S46</f>
        <v/>
      </c>
      <c r="P42" s="66">
        <f>'Project Database'!T46</f>
        <v/>
      </c>
      <c r="Q42" s="66">
        <f>'Project Database'!U46</f>
        <v/>
      </c>
      <c r="R42" s="66">
        <f>'Project Database'!V46</f>
        <v/>
      </c>
      <c r="S42" s="66">
        <f>'Project Database'!W46</f>
        <v/>
      </c>
      <c r="T42" s="66">
        <f>'Project Database'!X46</f>
        <v/>
      </c>
      <c r="U42" s="67">
        <f>'Project Database'!Y46</f>
        <v/>
      </c>
      <c r="V42" s="66">
        <f>IF('Smart Search'!B13=1,IFERROR(1/'Smart Search'!H13,0),0)</f>
        <v/>
      </c>
      <c r="W42" s="66">
        <f>IF('Smart Search'!B13=1,IFERROR(1/'Smart Search'!H13,0),0)</f>
        <v/>
      </c>
      <c r="X42" s="66">
        <f>IF('Smart Search'!C13=1,IFERROR(1/'Smart Search'!H13,0),0)</f>
        <v/>
      </c>
      <c r="Y42" s="66">
        <f>IF('Smart Search'!C13=1,IFERROR(1/'Smart Search'!H13,0),0)</f>
        <v/>
      </c>
      <c r="Z42" s="66">
        <f>IF('Smart Search'!D13=1,IFERROR(1/'Smart Search'!H13,0),0)</f>
        <v/>
      </c>
      <c r="AA42" s="66">
        <f>IF('Smart Search'!D13=1,IFERROR(1/'Smart Search'!H13,0),0)</f>
        <v/>
      </c>
      <c r="AB42" s="66">
        <f>IF('Smart Search'!E13=1,IFERROR(1/'Smart Search'!H13,0),0)</f>
        <v/>
      </c>
      <c r="AC42" s="66">
        <f>IF('Smart Search'!E13=1,IFERROR(1/'Smart Search'!H13,0),0)</f>
        <v/>
      </c>
      <c r="AD42" s="66">
        <f>IF('Smart Search'!F13=1,IFERROR(1/'Smart Search'!H13,0),0)</f>
        <v/>
      </c>
      <c r="AE42" s="66">
        <f>IF('Smart Search'!F13=1,IFERROR(1/'Smart Search'!H13,0),0)</f>
        <v/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66">
        <f>AF42*V42</f>
        <v/>
      </c>
      <c r="AQ42" s="66">
        <f>AG42*W42</f>
        <v/>
      </c>
      <c r="AR42" s="66">
        <f>AH42*X42</f>
        <v/>
      </c>
      <c r="AS42" s="66">
        <f>AI42*Y42</f>
        <v/>
      </c>
      <c r="AT42" s="66">
        <f>AJ42*Z42</f>
        <v/>
      </c>
      <c r="AU42" s="66">
        <f>AK42*AA42</f>
        <v/>
      </c>
      <c r="AV42" s="66">
        <f>AL42*AB42</f>
        <v/>
      </c>
      <c r="AW42" s="66">
        <f>AM42*AC42</f>
        <v/>
      </c>
      <c r="AX42" s="66">
        <f>AN42*AD42</f>
        <v/>
      </c>
      <c r="AY42" s="66">
        <f>AO42*AE42</f>
        <v/>
      </c>
      <c r="AZ42" s="66">
        <f>'Project Database'!Z46</f>
        <v/>
      </c>
      <c r="BA42" s="66">
        <f>IF(OR(A42="",'Smart Search'!H13=0),"",MAX(0,BE42*BF42*MAX(0,1-BG42)))</f>
        <v/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66">
        <f>IF('Smart Search'!G13=1,IFERROR(1/'Smart Search'!H13,0),0)</f>
        <v/>
      </c>
      <c r="BD42" s="66">
        <f>BB42*BC42</f>
        <v/>
      </c>
      <c r="BE42" s="66">
        <f>AP42+AQ42+AR42+AS42+AT42+AU42+AV42+AW42+AX42+AY42+BD42</f>
        <v/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5">
        <f>IF(AND('Project Database'!A46&lt;&gt;"",OR('Smart Search'!$L$5="",'Smart Search'!$L$5="All",TRIM('Project Database'!D46)=TRIM('Smart Search'!$L$5)),OR(TRIM('Smart Search'!$L$6)="",TRIM('Smart Search'!$L$6)="All",ISNUMBER(SEARCH(SUBSTITUTE(SUBSTITUTE(SUBSTITUTE(TRIM('Smart Search'!$L$6),"~","~~"),"*","~*"),"?","~?"),'Project Database'!C46))),OR('Smart Search'!$L$7="",AND('Project Database'!E46&lt;&gt;"",'Project Database'!E46='Smart Search'!$L$7)),OR('Smart Search'!$L$8="",'Smart Search'!$L$8="All",TRIM('Project Database'!F46)=TRIM('Smart Search'!$L$8))),IF(BA42="","",BA42+ROW()*0.0000000001),"")</f>
        <v/>
      </c>
      <c r="BI42" s="5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>
        <f>IF('Project Database'!A46="","",N('Project Database'!AC46))</f>
        <v/>
      </c>
      <c r="BK42" s="5">
        <f>IF('Project Database'!A46="","",N('Project Database'!AD46))</f>
        <v/>
      </c>
      <c r="BL42" s="5">
        <f>IF('Project Database'!A46="","",N('Project Database'!AE46))</f>
        <v/>
      </c>
      <c r="BM42" s="5">
        <f>IF('Project Database'!A46="","",N('Project Database'!AF46))</f>
        <v/>
      </c>
      <c r="BN42" s="5">
        <f>IF('Project Database'!A46="","",N('Project Database'!AG46))</f>
        <v/>
      </c>
      <c r="BO42" s="5">
        <f>IF('Project Database'!A46="","",N('Project Database'!AH46))</f>
        <v/>
      </c>
      <c r="BP42" s="5">
        <f>IF('Project Database'!A46="","",N('Project Database'!AI46))</f>
        <v/>
      </c>
      <c r="BQ42" s="5">
        <f>IF('Project Database'!A46="","",N('Project Database'!AJ46))</f>
        <v/>
      </c>
      <c r="BR42" s="5">
        <f>IF('Project Database'!A46="","",N('Project Database'!AK46))</f>
        <v/>
      </c>
      <c r="BS42" s="5">
        <f>IF('Project Database'!A46="","",N('Project Database'!AL46))</f>
        <v/>
      </c>
      <c r="BT42" s="5">
        <f>IF('Project Database'!A46="","",N('Project Database'!AM46))</f>
        <v/>
      </c>
      <c r="BU42" s="5">
        <f>IF('Project Database'!A46="","",N('Project Database'!AN46))</f>
        <v/>
      </c>
      <c r="BV42" s="5">
        <f>IF('Project Database'!A46="","",N('Project Database'!AO46))</f>
        <v/>
      </c>
      <c r="BW42" s="5">
        <f>IF('Project Database'!A46="","",N('Project Database'!AP46))</f>
        <v/>
      </c>
      <c r="BX42" s="5">
        <f>IF(A42="","",SUM(BJ42:BW42))</f>
        <v/>
      </c>
      <c r="BY42" s="5">
        <f>IF(A42="","",IFERROR(IF(ISNUMBER(U42),U42,VALUE(SUBSTITUTE(SUBSTITUTE(SUBSTITUTE(UPPER(TRIM(U42)),"M",""),",","")," ",""))),0))</f>
        <v/>
      </c>
    </row>
    <row r="43" ht="15" customHeight="1" s="74">
      <c r="A43" s="66">
        <f>'Project Database'!A47</f>
        <v/>
      </c>
      <c r="B43" s="66">
        <f>'Project Database'!B47</f>
        <v/>
      </c>
      <c r="C43" s="66">
        <f>'Project Database'!G47</f>
        <v/>
      </c>
      <c r="D43" s="66">
        <f>'Project Database'!H47</f>
        <v/>
      </c>
      <c r="E43" s="66">
        <f>'Project Database'!I47</f>
        <v/>
      </c>
      <c r="F43" s="66">
        <f>'Project Database'!J47</f>
        <v/>
      </c>
      <c r="G43" s="66">
        <f>'Project Database'!K47</f>
        <v/>
      </c>
      <c r="H43" s="66">
        <f>'Project Database'!L47</f>
        <v/>
      </c>
      <c r="I43" s="66">
        <f>'Project Database'!M47</f>
        <v/>
      </c>
      <c r="J43" s="66">
        <f>'Project Database'!N47</f>
        <v/>
      </c>
      <c r="K43" s="66">
        <f>'Project Database'!O47</f>
        <v/>
      </c>
      <c r="L43" s="66">
        <f>'Project Database'!P47</f>
        <v/>
      </c>
      <c r="M43" s="66">
        <f>'Project Database'!Q47</f>
        <v/>
      </c>
      <c r="N43" s="66">
        <f>'Project Database'!R47</f>
        <v/>
      </c>
      <c r="O43" s="66">
        <f>'Project Database'!S47</f>
        <v/>
      </c>
      <c r="P43" s="66">
        <f>'Project Database'!T47</f>
        <v/>
      </c>
      <c r="Q43" s="66">
        <f>'Project Database'!U47</f>
        <v/>
      </c>
      <c r="R43" s="66">
        <f>'Project Database'!V47</f>
        <v/>
      </c>
      <c r="S43" s="66">
        <f>'Project Database'!W47</f>
        <v/>
      </c>
      <c r="T43" s="66">
        <f>'Project Database'!X47</f>
        <v/>
      </c>
      <c r="U43" s="67">
        <f>'Project Database'!Y47</f>
        <v/>
      </c>
      <c r="V43" s="66">
        <f>IF('Smart Search'!B13=1,IFERROR(1/'Smart Search'!H13,0),0)</f>
        <v/>
      </c>
      <c r="W43" s="66">
        <f>IF('Smart Search'!B13=1,IFERROR(1/'Smart Search'!H13,0),0)</f>
        <v/>
      </c>
      <c r="X43" s="66">
        <f>IF('Smart Search'!C13=1,IFERROR(1/'Smart Search'!H13,0),0)</f>
        <v/>
      </c>
      <c r="Y43" s="66">
        <f>IF('Smart Search'!C13=1,IFERROR(1/'Smart Search'!H13,0),0)</f>
        <v/>
      </c>
      <c r="Z43" s="66">
        <f>IF('Smart Search'!D13=1,IFERROR(1/'Smart Search'!H13,0),0)</f>
        <v/>
      </c>
      <c r="AA43" s="66">
        <f>IF('Smart Search'!D13=1,IFERROR(1/'Smart Search'!H13,0),0)</f>
        <v/>
      </c>
      <c r="AB43" s="66">
        <f>IF('Smart Search'!E13=1,IFERROR(1/'Smart Search'!H13,0),0)</f>
        <v/>
      </c>
      <c r="AC43" s="66">
        <f>IF('Smart Search'!E13=1,IFERROR(1/'Smart Search'!H13,0),0)</f>
        <v/>
      </c>
      <c r="AD43" s="66">
        <f>IF('Smart Search'!F13=1,IFERROR(1/'Smart Search'!H13,0),0)</f>
        <v/>
      </c>
      <c r="AE43" s="66">
        <f>IF('Smart Search'!F13=1,IFERROR(1/'Smart Search'!H13,0),0)</f>
        <v/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66">
        <f>AF43*V43</f>
        <v/>
      </c>
      <c r="AQ43" s="66">
        <f>AG43*W43</f>
        <v/>
      </c>
      <c r="AR43" s="66">
        <f>AH43*X43</f>
        <v/>
      </c>
      <c r="AS43" s="66">
        <f>AI43*Y43</f>
        <v/>
      </c>
      <c r="AT43" s="66">
        <f>AJ43*Z43</f>
        <v/>
      </c>
      <c r="AU43" s="66">
        <f>AK43*AA43</f>
        <v/>
      </c>
      <c r="AV43" s="66">
        <f>AL43*AB43</f>
        <v/>
      </c>
      <c r="AW43" s="66">
        <f>AM43*AC43</f>
        <v/>
      </c>
      <c r="AX43" s="66">
        <f>AN43*AD43</f>
        <v/>
      </c>
      <c r="AY43" s="66">
        <f>AO43*AE43</f>
        <v/>
      </c>
      <c r="AZ43" s="66">
        <f>'Project Database'!Z47</f>
        <v/>
      </c>
      <c r="BA43" s="66">
        <f>IF(OR(A43="",'Smart Search'!H13=0),"",MAX(0,BE43*BF43*MAX(0,1-BG43)))</f>
        <v/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66">
        <f>IF('Smart Search'!G13=1,IFERROR(1/'Smart Search'!H13,0),0)</f>
        <v/>
      </c>
      <c r="BD43" s="66">
        <f>BB43*BC43</f>
        <v/>
      </c>
      <c r="BE43" s="66">
        <f>AP43+AQ43+AR43+AS43+AT43+AU43+AV43+AW43+AX43+AY43+BD43</f>
        <v/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5">
        <f>IF(AND('Project Database'!A47&lt;&gt;"",OR('Smart Search'!$L$5="",'Smart Search'!$L$5="All",TRIM('Project Database'!D47)=TRIM('Smart Search'!$L$5)),OR(TRIM('Smart Search'!$L$6)="",TRIM('Smart Search'!$L$6)="All",ISNUMBER(SEARCH(SUBSTITUTE(SUBSTITUTE(SUBSTITUTE(TRIM('Smart Search'!$L$6),"~","~~"),"*","~*"),"?","~?"),'Project Database'!C47))),OR('Smart Search'!$L$7="",AND('Project Database'!E47&lt;&gt;"",'Project Database'!E47='Smart Search'!$L$7)),OR('Smart Search'!$L$8="",'Smart Search'!$L$8="All",TRIM('Project Database'!F47)=TRIM('Smart Search'!$L$8))),IF(BA43="","",BA43+ROW()*0.0000000001),"")</f>
        <v/>
      </c>
      <c r="BI43" s="5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>
        <f>IF('Project Database'!A47="","",N('Project Database'!AC47))</f>
        <v/>
      </c>
      <c r="BK43" s="5">
        <f>IF('Project Database'!A47="","",N('Project Database'!AD47))</f>
        <v/>
      </c>
      <c r="BL43" s="5">
        <f>IF('Project Database'!A47="","",N('Project Database'!AE47))</f>
        <v/>
      </c>
      <c r="BM43" s="5">
        <f>IF('Project Database'!A47="","",N('Project Database'!AF47))</f>
        <v/>
      </c>
      <c r="BN43" s="5">
        <f>IF('Project Database'!A47="","",N('Project Database'!AG47))</f>
        <v/>
      </c>
      <c r="BO43" s="5">
        <f>IF('Project Database'!A47="","",N('Project Database'!AH47))</f>
        <v/>
      </c>
      <c r="BP43" s="5">
        <f>IF('Project Database'!A47="","",N('Project Database'!AI47))</f>
        <v/>
      </c>
      <c r="BQ43" s="5">
        <f>IF('Project Database'!A47="","",N('Project Database'!AJ47))</f>
        <v/>
      </c>
      <c r="BR43" s="5">
        <f>IF('Project Database'!A47="","",N('Project Database'!AK47))</f>
        <v/>
      </c>
      <c r="BS43" s="5">
        <f>IF('Project Database'!A47="","",N('Project Database'!AL47))</f>
        <v/>
      </c>
      <c r="BT43" s="5">
        <f>IF('Project Database'!A47="","",N('Project Database'!AM47))</f>
        <v/>
      </c>
      <c r="BU43" s="5">
        <f>IF('Project Database'!A47="","",N('Project Database'!AN47))</f>
        <v/>
      </c>
      <c r="BV43" s="5">
        <f>IF('Project Database'!A47="","",N('Project Database'!AO47))</f>
        <v/>
      </c>
      <c r="BW43" s="5">
        <f>IF('Project Database'!A47="","",N('Project Database'!AP47))</f>
        <v/>
      </c>
      <c r="BX43" s="5">
        <f>IF(A43="","",SUM(BJ43:BW43))</f>
        <v/>
      </c>
      <c r="BY43" s="5">
        <f>IF(A43="","",IFERROR(IF(ISNUMBER(U43),U43,VALUE(SUBSTITUTE(SUBSTITUTE(SUBSTITUTE(UPPER(TRIM(U43)),"M",""),",","")," ",""))),0))</f>
        <v/>
      </c>
    </row>
    <row r="44" ht="15" customHeight="1" s="74">
      <c r="A44" s="66">
        <f>'Project Database'!A48</f>
        <v/>
      </c>
      <c r="B44" s="66">
        <f>'Project Database'!B48</f>
        <v/>
      </c>
      <c r="C44" s="66">
        <f>'Project Database'!G48</f>
        <v/>
      </c>
      <c r="D44" s="66">
        <f>'Project Database'!H48</f>
        <v/>
      </c>
      <c r="E44" s="66">
        <f>'Project Database'!I48</f>
        <v/>
      </c>
      <c r="F44" s="66">
        <f>'Project Database'!J48</f>
        <v/>
      </c>
      <c r="G44" s="66">
        <f>'Project Database'!K48</f>
        <v/>
      </c>
      <c r="H44" s="66">
        <f>'Project Database'!L48</f>
        <v/>
      </c>
      <c r="I44" s="66">
        <f>'Project Database'!M48</f>
        <v/>
      </c>
      <c r="J44" s="66">
        <f>'Project Database'!N48</f>
        <v/>
      </c>
      <c r="K44" s="66">
        <f>'Project Database'!O48</f>
        <v/>
      </c>
      <c r="L44" s="66">
        <f>'Project Database'!P48</f>
        <v/>
      </c>
      <c r="M44" s="66">
        <f>'Project Database'!Q48</f>
        <v/>
      </c>
      <c r="N44" s="66">
        <f>'Project Database'!R48</f>
        <v/>
      </c>
      <c r="O44" s="66">
        <f>'Project Database'!S48</f>
        <v/>
      </c>
      <c r="P44" s="66">
        <f>'Project Database'!T48</f>
        <v/>
      </c>
      <c r="Q44" s="66">
        <f>'Project Database'!U48</f>
        <v/>
      </c>
      <c r="R44" s="66">
        <f>'Project Database'!V48</f>
        <v/>
      </c>
      <c r="S44" s="66">
        <f>'Project Database'!W48</f>
        <v/>
      </c>
      <c r="T44" s="66">
        <f>'Project Database'!X48</f>
        <v/>
      </c>
      <c r="U44" s="67">
        <f>'Project Database'!Y48</f>
        <v/>
      </c>
      <c r="V44" s="66">
        <f>IF('Smart Search'!B13=1,IFERROR(1/'Smart Search'!H13,0),0)</f>
        <v/>
      </c>
      <c r="W44" s="66">
        <f>IF('Smart Search'!B13=1,IFERROR(1/'Smart Search'!H13,0),0)</f>
        <v/>
      </c>
      <c r="X44" s="66">
        <f>IF('Smart Search'!C13=1,IFERROR(1/'Smart Search'!H13,0),0)</f>
        <v/>
      </c>
      <c r="Y44" s="66">
        <f>IF('Smart Search'!C13=1,IFERROR(1/'Smart Search'!H13,0),0)</f>
        <v/>
      </c>
      <c r="Z44" s="66">
        <f>IF('Smart Search'!D13=1,IFERROR(1/'Smart Search'!H13,0),0)</f>
        <v/>
      </c>
      <c r="AA44" s="66">
        <f>IF('Smart Search'!D13=1,IFERROR(1/'Smart Search'!H13,0),0)</f>
        <v/>
      </c>
      <c r="AB44" s="66">
        <f>IF('Smart Search'!E13=1,IFERROR(1/'Smart Search'!H13,0),0)</f>
        <v/>
      </c>
      <c r="AC44" s="66">
        <f>IF('Smart Search'!E13=1,IFERROR(1/'Smart Search'!H13,0),0)</f>
        <v/>
      </c>
      <c r="AD44" s="66">
        <f>IF('Smart Search'!F13=1,IFERROR(1/'Smart Search'!H13,0),0)</f>
        <v/>
      </c>
      <c r="AE44" s="66">
        <f>IF('Smart Search'!F13=1,IFERROR(1/'Smart Search'!H13,0),0)</f>
        <v/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66">
        <f>AF44*V44</f>
        <v/>
      </c>
      <c r="AQ44" s="66">
        <f>AG44*W44</f>
        <v/>
      </c>
      <c r="AR44" s="66">
        <f>AH44*X44</f>
        <v/>
      </c>
      <c r="AS44" s="66">
        <f>AI44*Y44</f>
        <v/>
      </c>
      <c r="AT44" s="66">
        <f>AJ44*Z44</f>
        <v/>
      </c>
      <c r="AU44" s="66">
        <f>AK44*AA44</f>
        <v/>
      </c>
      <c r="AV44" s="66">
        <f>AL44*AB44</f>
        <v/>
      </c>
      <c r="AW44" s="66">
        <f>AM44*AC44</f>
        <v/>
      </c>
      <c r="AX44" s="66">
        <f>AN44*AD44</f>
        <v/>
      </c>
      <c r="AY44" s="66">
        <f>AO44*AE44</f>
        <v/>
      </c>
      <c r="AZ44" s="66">
        <f>'Project Database'!Z48</f>
        <v/>
      </c>
      <c r="BA44" s="66">
        <f>IF(OR(A44="",'Smart Search'!H13=0),"",MAX(0,BE44*BF44*MAX(0,1-BG44)))</f>
        <v/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66">
        <f>IF('Smart Search'!G13=1,IFERROR(1/'Smart Search'!H13,0),0)</f>
        <v/>
      </c>
      <c r="BD44" s="66">
        <f>BB44*BC44</f>
        <v/>
      </c>
      <c r="BE44" s="66">
        <f>AP44+AQ44+AR44+AS44+AT44+AU44+AV44+AW44+AX44+AY44+BD44</f>
        <v/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5">
        <f>IF(AND('Project Database'!A48&lt;&gt;"",OR('Smart Search'!$L$5="",'Smart Search'!$L$5="All",TRIM('Project Database'!D48)=TRIM('Smart Search'!$L$5)),OR(TRIM('Smart Search'!$L$6)="",TRIM('Smart Search'!$L$6)="All",ISNUMBER(SEARCH(SUBSTITUTE(SUBSTITUTE(SUBSTITUTE(TRIM('Smart Search'!$L$6),"~","~~"),"*","~*"),"?","~?"),'Project Database'!C48))),OR('Smart Search'!$L$7="",AND('Project Database'!E48&lt;&gt;"",'Project Database'!E48='Smart Search'!$L$7)),OR('Smart Search'!$L$8="",'Smart Search'!$L$8="All",TRIM('Project Database'!F48)=TRIM('Smart Search'!$L$8))),IF(BA44="","",BA44+ROW()*0.0000000001),"")</f>
        <v/>
      </c>
      <c r="BI44" s="5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>
        <f>IF('Project Database'!A48="","",N('Project Database'!AC48))</f>
        <v/>
      </c>
      <c r="BK44" s="5">
        <f>IF('Project Database'!A48="","",N('Project Database'!AD48))</f>
        <v/>
      </c>
      <c r="BL44" s="5">
        <f>IF('Project Database'!A48="","",N('Project Database'!AE48))</f>
        <v/>
      </c>
      <c r="BM44" s="5">
        <f>IF('Project Database'!A48="","",N('Project Database'!AF48))</f>
        <v/>
      </c>
      <c r="BN44" s="5">
        <f>IF('Project Database'!A48="","",N('Project Database'!AG48))</f>
        <v/>
      </c>
      <c r="BO44" s="5">
        <f>IF('Project Database'!A48="","",N('Project Database'!AH48))</f>
        <v/>
      </c>
      <c r="BP44" s="5">
        <f>IF('Project Database'!A48="","",N('Project Database'!AI48))</f>
        <v/>
      </c>
      <c r="BQ44" s="5">
        <f>IF('Project Database'!A48="","",N('Project Database'!AJ48))</f>
        <v/>
      </c>
      <c r="BR44" s="5">
        <f>IF('Project Database'!A48="","",N('Project Database'!AK48))</f>
        <v/>
      </c>
      <c r="BS44" s="5">
        <f>IF('Project Database'!A48="","",N('Project Database'!AL48))</f>
        <v/>
      </c>
      <c r="BT44" s="5">
        <f>IF('Project Database'!A48="","",N('Project Database'!AM48))</f>
        <v/>
      </c>
      <c r="BU44" s="5">
        <f>IF('Project Database'!A48="","",N('Project Database'!AN48))</f>
        <v/>
      </c>
      <c r="BV44" s="5">
        <f>IF('Project Database'!A48="","",N('Project Database'!AO48))</f>
        <v/>
      </c>
      <c r="BW44" s="5">
        <f>IF('Project Database'!A48="","",N('Project Database'!AP48))</f>
        <v/>
      </c>
      <c r="BX44" s="5">
        <f>IF(A44="","",SUM(BJ44:BW44))</f>
        <v/>
      </c>
      <c r="BY44" s="5">
        <f>IF(A44="","",IFERROR(IF(ISNUMBER(U44),U44,VALUE(SUBSTITUTE(SUBSTITUTE(SUBSTITUTE(UPPER(TRIM(U44)),"M",""),",","")," ",""))),0))</f>
        <v/>
      </c>
    </row>
    <row r="45" ht="15" customHeight="1" s="74">
      <c r="A45" s="66">
        <f>'Project Database'!A49</f>
        <v/>
      </c>
      <c r="B45" s="66">
        <f>'Project Database'!B49</f>
        <v/>
      </c>
      <c r="C45" s="66">
        <f>'Project Database'!G49</f>
        <v/>
      </c>
      <c r="D45" s="66">
        <f>'Project Database'!H49</f>
        <v/>
      </c>
      <c r="E45" s="66">
        <f>'Project Database'!I49</f>
        <v/>
      </c>
      <c r="F45" s="66">
        <f>'Project Database'!J49</f>
        <v/>
      </c>
      <c r="G45" s="66">
        <f>'Project Database'!K49</f>
        <v/>
      </c>
      <c r="H45" s="66">
        <f>'Project Database'!L49</f>
        <v/>
      </c>
      <c r="I45" s="66">
        <f>'Project Database'!M49</f>
        <v/>
      </c>
      <c r="J45" s="66">
        <f>'Project Database'!N49</f>
        <v/>
      </c>
      <c r="K45" s="66">
        <f>'Project Database'!O49</f>
        <v/>
      </c>
      <c r="L45" s="66">
        <f>'Project Database'!P49</f>
        <v/>
      </c>
      <c r="M45" s="66">
        <f>'Project Database'!Q49</f>
        <v/>
      </c>
      <c r="N45" s="66">
        <f>'Project Database'!R49</f>
        <v/>
      </c>
      <c r="O45" s="66">
        <f>'Project Database'!S49</f>
        <v/>
      </c>
      <c r="P45" s="66">
        <f>'Project Database'!T49</f>
        <v/>
      </c>
      <c r="Q45" s="66">
        <f>'Project Database'!U49</f>
        <v/>
      </c>
      <c r="R45" s="66">
        <f>'Project Database'!V49</f>
        <v/>
      </c>
      <c r="S45" s="66">
        <f>'Project Database'!W49</f>
        <v/>
      </c>
      <c r="T45" s="66">
        <f>'Project Database'!X49</f>
        <v/>
      </c>
      <c r="U45" s="67">
        <f>'Project Database'!Y49</f>
        <v/>
      </c>
      <c r="V45" s="66">
        <f>IF('Smart Search'!B13=1,IFERROR(1/'Smart Search'!H13,0),0)</f>
        <v/>
      </c>
      <c r="W45" s="66">
        <f>IF('Smart Search'!B13=1,IFERROR(1/'Smart Search'!H13,0),0)</f>
        <v/>
      </c>
      <c r="X45" s="66">
        <f>IF('Smart Search'!C13=1,IFERROR(1/'Smart Search'!H13,0),0)</f>
        <v/>
      </c>
      <c r="Y45" s="66">
        <f>IF('Smart Search'!C13=1,IFERROR(1/'Smart Search'!H13,0),0)</f>
        <v/>
      </c>
      <c r="Z45" s="66">
        <f>IF('Smart Search'!D13=1,IFERROR(1/'Smart Search'!H13,0),0)</f>
        <v/>
      </c>
      <c r="AA45" s="66">
        <f>IF('Smart Search'!D13=1,IFERROR(1/'Smart Search'!H13,0),0)</f>
        <v/>
      </c>
      <c r="AB45" s="66">
        <f>IF('Smart Search'!E13=1,IFERROR(1/'Smart Search'!H13,0),0)</f>
        <v/>
      </c>
      <c r="AC45" s="66">
        <f>IF('Smart Search'!E13=1,IFERROR(1/'Smart Search'!H13,0),0)</f>
        <v/>
      </c>
      <c r="AD45" s="66">
        <f>IF('Smart Search'!F13=1,IFERROR(1/'Smart Search'!H13,0),0)</f>
        <v/>
      </c>
      <c r="AE45" s="66">
        <f>IF('Smart Search'!F13=1,IFERROR(1/'Smart Search'!H13,0),0)</f>
        <v/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66">
        <f>AF45*V45</f>
        <v/>
      </c>
      <c r="AQ45" s="66">
        <f>AG45*W45</f>
        <v/>
      </c>
      <c r="AR45" s="66">
        <f>AH45*X45</f>
        <v/>
      </c>
      <c r="AS45" s="66">
        <f>AI45*Y45</f>
        <v/>
      </c>
      <c r="AT45" s="66">
        <f>AJ45*Z45</f>
        <v/>
      </c>
      <c r="AU45" s="66">
        <f>AK45*AA45</f>
        <v/>
      </c>
      <c r="AV45" s="66">
        <f>AL45*AB45</f>
        <v/>
      </c>
      <c r="AW45" s="66">
        <f>AM45*AC45</f>
        <v/>
      </c>
      <c r="AX45" s="66">
        <f>AN45*AD45</f>
        <v/>
      </c>
      <c r="AY45" s="66">
        <f>AO45*AE45</f>
        <v/>
      </c>
      <c r="AZ45" s="66">
        <f>'Project Database'!Z49</f>
        <v/>
      </c>
      <c r="BA45" s="66">
        <f>IF(OR(A45="",'Smart Search'!H13=0),"",MAX(0,BE45*BF45*MAX(0,1-BG45)))</f>
        <v/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66">
        <f>IF('Smart Search'!G13=1,IFERROR(1/'Smart Search'!H13,0),0)</f>
        <v/>
      </c>
      <c r="BD45" s="66">
        <f>BB45*BC45</f>
        <v/>
      </c>
      <c r="BE45" s="66">
        <f>AP45+AQ45+AR45+AS45+AT45+AU45+AV45+AW45+AX45+AY45+BD45</f>
        <v/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5">
        <f>IF(AND('Project Database'!A49&lt;&gt;"",OR('Smart Search'!$L$5="",'Smart Search'!$L$5="All",TRIM('Project Database'!D49)=TRIM('Smart Search'!$L$5)),OR(TRIM('Smart Search'!$L$6)="",TRIM('Smart Search'!$L$6)="All",ISNUMBER(SEARCH(SUBSTITUTE(SUBSTITUTE(SUBSTITUTE(TRIM('Smart Search'!$L$6),"~","~~"),"*","~*"),"?","~?"),'Project Database'!C49))),OR('Smart Search'!$L$7="",AND('Project Database'!E49&lt;&gt;"",'Project Database'!E49='Smart Search'!$L$7)),OR('Smart Search'!$L$8="",'Smart Search'!$L$8="All",TRIM('Project Database'!F49)=TRIM('Smart Search'!$L$8))),IF(BA45="","",BA45+ROW()*0.0000000001),"")</f>
        <v/>
      </c>
      <c r="BI45" s="5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>
        <f>IF('Project Database'!A49="","",N('Project Database'!AC49))</f>
        <v/>
      </c>
      <c r="BK45" s="5">
        <f>IF('Project Database'!A49="","",N('Project Database'!AD49))</f>
        <v/>
      </c>
      <c r="BL45" s="5">
        <f>IF('Project Database'!A49="","",N('Project Database'!AE49))</f>
        <v/>
      </c>
      <c r="BM45" s="5">
        <f>IF('Project Database'!A49="","",N('Project Database'!AF49))</f>
        <v/>
      </c>
      <c r="BN45" s="5">
        <f>IF('Project Database'!A49="","",N('Project Database'!AG49))</f>
        <v/>
      </c>
      <c r="BO45" s="5">
        <f>IF('Project Database'!A49="","",N('Project Database'!AH49))</f>
        <v/>
      </c>
      <c r="BP45" s="5">
        <f>IF('Project Database'!A49="","",N('Project Database'!AI49))</f>
        <v/>
      </c>
      <c r="BQ45" s="5">
        <f>IF('Project Database'!A49="","",N('Project Database'!AJ49))</f>
        <v/>
      </c>
      <c r="BR45" s="5">
        <f>IF('Project Database'!A49="","",N('Project Database'!AK49))</f>
        <v/>
      </c>
      <c r="BS45" s="5">
        <f>IF('Project Database'!A49="","",N('Project Database'!AL49))</f>
        <v/>
      </c>
      <c r="BT45" s="5">
        <f>IF('Project Database'!A49="","",N('Project Database'!AM49))</f>
        <v/>
      </c>
      <c r="BU45" s="5">
        <f>IF('Project Database'!A49="","",N('Project Database'!AN49))</f>
        <v/>
      </c>
      <c r="BV45" s="5">
        <f>IF('Project Database'!A49="","",N('Project Database'!AO49))</f>
        <v/>
      </c>
      <c r="BW45" s="5">
        <f>IF('Project Database'!A49="","",N('Project Database'!AP49))</f>
        <v/>
      </c>
      <c r="BX45" s="5">
        <f>IF(A45="","",SUM(BJ45:BW45))</f>
        <v/>
      </c>
      <c r="BY45" s="5">
        <f>IF(A45="","",IFERROR(IF(ISNUMBER(U45),U45,VALUE(SUBSTITUTE(SUBSTITUTE(SUBSTITUTE(UPPER(TRIM(U45)),"M",""),",","")," ",""))),0))</f>
        <v/>
      </c>
    </row>
    <row r="46" ht="15" customHeight="1" s="74">
      <c r="A46" s="66">
        <f>'Project Database'!A50</f>
        <v/>
      </c>
      <c r="B46" s="66">
        <f>'Project Database'!B50</f>
        <v/>
      </c>
      <c r="C46" s="66">
        <f>'Project Database'!G50</f>
        <v/>
      </c>
      <c r="D46" s="66">
        <f>'Project Database'!H50</f>
        <v/>
      </c>
      <c r="E46" s="66">
        <f>'Project Database'!I50</f>
        <v/>
      </c>
      <c r="F46" s="66">
        <f>'Project Database'!J50</f>
        <v/>
      </c>
      <c r="G46" s="66">
        <f>'Project Database'!K50</f>
        <v/>
      </c>
      <c r="H46" s="66">
        <f>'Project Database'!L50</f>
        <v/>
      </c>
      <c r="I46" s="66">
        <f>'Project Database'!M50</f>
        <v/>
      </c>
      <c r="J46" s="66">
        <f>'Project Database'!N50</f>
        <v/>
      </c>
      <c r="K46" s="66">
        <f>'Project Database'!O50</f>
        <v/>
      </c>
      <c r="L46" s="66">
        <f>'Project Database'!P50</f>
        <v/>
      </c>
      <c r="M46" s="66">
        <f>'Project Database'!Q50</f>
        <v/>
      </c>
      <c r="N46" s="66">
        <f>'Project Database'!R50</f>
        <v/>
      </c>
      <c r="O46" s="66">
        <f>'Project Database'!S50</f>
        <v/>
      </c>
      <c r="P46" s="66">
        <f>'Project Database'!T50</f>
        <v/>
      </c>
      <c r="Q46" s="66">
        <f>'Project Database'!U50</f>
        <v/>
      </c>
      <c r="R46" s="66">
        <f>'Project Database'!V50</f>
        <v/>
      </c>
      <c r="S46" s="66">
        <f>'Project Database'!W50</f>
        <v/>
      </c>
      <c r="T46" s="66">
        <f>'Project Database'!X50</f>
        <v/>
      </c>
      <c r="U46" s="67">
        <f>'Project Database'!Y50</f>
        <v/>
      </c>
      <c r="V46" s="66">
        <f>IF('Smart Search'!B13=1,IFERROR(1/'Smart Search'!H13,0),0)</f>
        <v/>
      </c>
      <c r="W46" s="66">
        <f>IF('Smart Search'!B13=1,IFERROR(1/'Smart Search'!H13,0),0)</f>
        <v/>
      </c>
      <c r="X46" s="66">
        <f>IF('Smart Search'!C13=1,IFERROR(1/'Smart Search'!H13,0),0)</f>
        <v/>
      </c>
      <c r="Y46" s="66">
        <f>IF('Smart Search'!C13=1,IFERROR(1/'Smart Search'!H13,0),0)</f>
        <v/>
      </c>
      <c r="Z46" s="66">
        <f>IF('Smart Search'!D13=1,IFERROR(1/'Smart Search'!H13,0),0)</f>
        <v/>
      </c>
      <c r="AA46" s="66">
        <f>IF('Smart Search'!D13=1,IFERROR(1/'Smart Search'!H13,0),0)</f>
        <v/>
      </c>
      <c r="AB46" s="66">
        <f>IF('Smart Search'!E13=1,IFERROR(1/'Smart Search'!H13,0),0)</f>
        <v/>
      </c>
      <c r="AC46" s="66">
        <f>IF('Smart Search'!E13=1,IFERROR(1/'Smart Search'!H13,0),0)</f>
        <v/>
      </c>
      <c r="AD46" s="66">
        <f>IF('Smart Search'!F13=1,IFERROR(1/'Smart Search'!H13,0),0)</f>
        <v/>
      </c>
      <c r="AE46" s="66">
        <f>IF('Smart Search'!F13=1,IFERROR(1/'Smart Search'!H13,0),0)</f>
        <v/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66">
        <f>AF46*V46</f>
        <v/>
      </c>
      <c r="AQ46" s="66">
        <f>AG46*W46</f>
        <v/>
      </c>
      <c r="AR46" s="66">
        <f>AH46*X46</f>
        <v/>
      </c>
      <c r="AS46" s="66">
        <f>AI46*Y46</f>
        <v/>
      </c>
      <c r="AT46" s="66">
        <f>AJ46*Z46</f>
        <v/>
      </c>
      <c r="AU46" s="66">
        <f>AK46*AA46</f>
        <v/>
      </c>
      <c r="AV46" s="66">
        <f>AL46*AB46</f>
        <v/>
      </c>
      <c r="AW46" s="66">
        <f>AM46*AC46</f>
        <v/>
      </c>
      <c r="AX46" s="66">
        <f>AN46*AD46</f>
        <v/>
      </c>
      <c r="AY46" s="66">
        <f>AO46*AE46</f>
        <v/>
      </c>
      <c r="AZ46" s="66">
        <f>'Project Database'!Z50</f>
        <v/>
      </c>
      <c r="BA46" s="66">
        <f>IF(OR(A46="",'Smart Search'!H13=0),"",MAX(0,BE46*BF46*MAX(0,1-BG46)))</f>
        <v/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66">
        <f>IF('Smart Search'!G13=1,IFERROR(1/'Smart Search'!H13,0),0)</f>
        <v/>
      </c>
      <c r="BD46" s="66">
        <f>BB46*BC46</f>
        <v/>
      </c>
      <c r="BE46" s="66">
        <f>AP46+AQ46+AR46+AS46+AT46+AU46+AV46+AW46+AX46+AY46+BD46</f>
        <v/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5">
        <f>IF(AND('Project Database'!A50&lt;&gt;"",OR('Smart Search'!$L$5="",'Smart Search'!$L$5="All",TRIM('Project Database'!D50)=TRIM('Smart Search'!$L$5)),OR(TRIM('Smart Search'!$L$6)="",TRIM('Smart Search'!$L$6)="All",ISNUMBER(SEARCH(SUBSTITUTE(SUBSTITUTE(SUBSTITUTE(TRIM('Smart Search'!$L$6),"~","~~"),"*","~*"),"?","~?"),'Project Database'!C50))),OR('Smart Search'!$L$7="",AND('Project Database'!E50&lt;&gt;"",'Project Database'!E50='Smart Search'!$L$7)),OR('Smart Search'!$L$8="",'Smart Search'!$L$8="All",TRIM('Project Database'!F50)=TRIM('Smart Search'!$L$8))),IF(BA46="","",BA46+ROW()*0.0000000001),"")</f>
        <v/>
      </c>
      <c r="BI46" s="5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>
        <f>IF('Project Database'!A50="","",N('Project Database'!AC50))</f>
        <v/>
      </c>
      <c r="BK46" s="5">
        <f>IF('Project Database'!A50="","",N('Project Database'!AD50))</f>
        <v/>
      </c>
      <c r="BL46" s="5">
        <f>IF('Project Database'!A50="","",N('Project Database'!AE50))</f>
        <v/>
      </c>
      <c r="BM46" s="5">
        <f>IF('Project Database'!A50="","",N('Project Database'!AF50))</f>
        <v/>
      </c>
      <c r="BN46" s="5">
        <f>IF('Project Database'!A50="","",N('Project Database'!AG50))</f>
        <v/>
      </c>
      <c r="BO46" s="5">
        <f>IF('Project Database'!A50="","",N('Project Database'!AH50))</f>
        <v/>
      </c>
      <c r="BP46" s="5">
        <f>IF('Project Database'!A50="","",N('Project Database'!AI50))</f>
        <v/>
      </c>
      <c r="BQ46" s="5">
        <f>IF('Project Database'!A50="","",N('Project Database'!AJ50))</f>
        <v/>
      </c>
      <c r="BR46" s="5">
        <f>IF('Project Database'!A50="","",N('Project Database'!AK50))</f>
        <v/>
      </c>
      <c r="BS46" s="5">
        <f>IF('Project Database'!A50="","",N('Project Database'!AL50))</f>
        <v/>
      </c>
      <c r="BT46" s="5">
        <f>IF('Project Database'!A50="","",N('Project Database'!AM50))</f>
        <v/>
      </c>
      <c r="BU46" s="5">
        <f>IF('Project Database'!A50="","",N('Project Database'!AN50))</f>
        <v/>
      </c>
      <c r="BV46" s="5">
        <f>IF('Project Database'!A50="","",N('Project Database'!AO50))</f>
        <v/>
      </c>
      <c r="BW46" s="5">
        <f>IF('Project Database'!A50="","",N('Project Database'!AP50))</f>
        <v/>
      </c>
      <c r="BX46" s="5">
        <f>IF(A46="","",SUM(BJ46:BW46))</f>
        <v/>
      </c>
      <c r="BY46" s="5">
        <f>IF(A46="","",IFERROR(IF(ISNUMBER(U46),U46,VALUE(SUBSTITUTE(SUBSTITUTE(SUBSTITUTE(UPPER(TRIM(U46)),"M",""),",","")," ",""))),0))</f>
        <v/>
      </c>
    </row>
    <row r="47" ht="15" customHeight="1" s="74">
      <c r="A47" s="66">
        <f>'Project Database'!A51</f>
        <v/>
      </c>
      <c r="B47" s="66">
        <f>'Project Database'!B51</f>
        <v/>
      </c>
      <c r="C47" s="66">
        <f>'Project Database'!G51</f>
        <v/>
      </c>
      <c r="D47" s="66">
        <f>'Project Database'!H51</f>
        <v/>
      </c>
      <c r="E47" s="66">
        <f>'Project Database'!I51</f>
        <v/>
      </c>
      <c r="F47" s="66">
        <f>'Project Database'!J51</f>
        <v/>
      </c>
      <c r="G47" s="66">
        <f>'Project Database'!K51</f>
        <v/>
      </c>
      <c r="H47" s="66">
        <f>'Project Database'!L51</f>
        <v/>
      </c>
      <c r="I47" s="66">
        <f>'Project Database'!M51</f>
        <v/>
      </c>
      <c r="J47" s="66">
        <f>'Project Database'!N51</f>
        <v/>
      </c>
      <c r="K47" s="66">
        <f>'Project Database'!O51</f>
        <v/>
      </c>
      <c r="L47" s="66">
        <f>'Project Database'!P51</f>
        <v/>
      </c>
      <c r="M47" s="66">
        <f>'Project Database'!Q51</f>
        <v/>
      </c>
      <c r="N47" s="66">
        <f>'Project Database'!R51</f>
        <v/>
      </c>
      <c r="O47" s="66">
        <f>'Project Database'!S51</f>
        <v/>
      </c>
      <c r="P47" s="66">
        <f>'Project Database'!T51</f>
        <v/>
      </c>
      <c r="Q47" s="66">
        <f>'Project Database'!U51</f>
        <v/>
      </c>
      <c r="R47" s="66">
        <f>'Project Database'!V51</f>
        <v/>
      </c>
      <c r="S47" s="66">
        <f>'Project Database'!W51</f>
        <v/>
      </c>
      <c r="T47" s="66">
        <f>'Project Database'!X51</f>
        <v/>
      </c>
      <c r="U47" s="67">
        <f>'Project Database'!Y51</f>
        <v/>
      </c>
      <c r="V47" s="66">
        <f>IF('Smart Search'!B13=1,IFERROR(1/'Smart Search'!H13,0),0)</f>
        <v/>
      </c>
      <c r="W47" s="66">
        <f>IF('Smart Search'!B13=1,IFERROR(1/'Smart Search'!H13,0),0)</f>
        <v/>
      </c>
      <c r="X47" s="66">
        <f>IF('Smart Search'!C13=1,IFERROR(1/'Smart Search'!H13,0),0)</f>
        <v/>
      </c>
      <c r="Y47" s="66">
        <f>IF('Smart Search'!C13=1,IFERROR(1/'Smart Search'!H13,0),0)</f>
        <v/>
      </c>
      <c r="Z47" s="66">
        <f>IF('Smart Search'!D13=1,IFERROR(1/'Smart Search'!H13,0),0)</f>
        <v/>
      </c>
      <c r="AA47" s="66">
        <f>IF('Smart Search'!D13=1,IFERROR(1/'Smart Search'!H13,0),0)</f>
        <v/>
      </c>
      <c r="AB47" s="66">
        <f>IF('Smart Search'!E13=1,IFERROR(1/'Smart Search'!H13,0),0)</f>
        <v/>
      </c>
      <c r="AC47" s="66">
        <f>IF('Smart Search'!E13=1,IFERROR(1/'Smart Search'!H13,0),0)</f>
        <v/>
      </c>
      <c r="AD47" s="66">
        <f>IF('Smart Search'!F13=1,IFERROR(1/'Smart Search'!H13,0),0)</f>
        <v/>
      </c>
      <c r="AE47" s="66">
        <f>IF('Smart Search'!F13=1,IFERROR(1/'Smart Search'!H13,0),0)</f>
        <v/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66">
        <f>AF47*V47</f>
        <v/>
      </c>
      <c r="AQ47" s="66">
        <f>AG47*W47</f>
        <v/>
      </c>
      <c r="AR47" s="66">
        <f>AH47*X47</f>
        <v/>
      </c>
      <c r="AS47" s="66">
        <f>AI47*Y47</f>
        <v/>
      </c>
      <c r="AT47" s="66">
        <f>AJ47*Z47</f>
        <v/>
      </c>
      <c r="AU47" s="66">
        <f>AK47*AA47</f>
        <v/>
      </c>
      <c r="AV47" s="66">
        <f>AL47*AB47</f>
        <v/>
      </c>
      <c r="AW47" s="66">
        <f>AM47*AC47</f>
        <v/>
      </c>
      <c r="AX47" s="66">
        <f>AN47*AD47</f>
        <v/>
      </c>
      <c r="AY47" s="66">
        <f>AO47*AE47</f>
        <v/>
      </c>
      <c r="AZ47" s="66">
        <f>'Project Database'!Z51</f>
        <v/>
      </c>
      <c r="BA47" s="66">
        <f>IF(OR(A47="",'Smart Search'!H13=0),"",MAX(0,BE47*BF47*MAX(0,1-BG47)))</f>
        <v/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66">
        <f>IF('Smart Search'!G13=1,IFERROR(1/'Smart Search'!H13,0),0)</f>
        <v/>
      </c>
      <c r="BD47" s="66">
        <f>BB47*BC47</f>
        <v/>
      </c>
      <c r="BE47" s="66">
        <f>AP47+AQ47+AR47+AS47+AT47+AU47+AV47+AW47+AX47+AY47+BD47</f>
        <v/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5">
        <f>IF(AND('Project Database'!A51&lt;&gt;"",OR('Smart Search'!$L$5="",'Smart Search'!$L$5="All",TRIM('Project Database'!D51)=TRIM('Smart Search'!$L$5)),OR(TRIM('Smart Search'!$L$6)="",TRIM('Smart Search'!$L$6)="All",ISNUMBER(SEARCH(SUBSTITUTE(SUBSTITUTE(SUBSTITUTE(TRIM('Smart Search'!$L$6),"~","~~"),"*","~*"),"?","~?"),'Project Database'!C51))),OR('Smart Search'!$L$7="",AND('Project Database'!E51&lt;&gt;"",'Project Database'!E51='Smart Search'!$L$7)),OR('Smart Search'!$L$8="",'Smart Search'!$L$8="All",TRIM('Project Database'!F51)=TRIM('Smart Search'!$L$8))),IF(BA47="","",BA47+ROW()*0.0000000001),"")</f>
        <v/>
      </c>
      <c r="BI47" s="5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>
        <f>IF('Project Database'!A51="","",N('Project Database'!AC51))</f>
        <v/>
      </c>
      <c r="BK47" s="5">
        <f>IF('Project Database'!A51="","",N('Project Database'!AD51))</f>
        <v/>
      </c>
      <c r="BL47" s="5">
        <f>IF('Project Database'!A51="","",N('Project Database'!AE51))</f>
        <v/>
      </c>
      <c r="BM47" s="5">
        <f>IF('Project Database'!A51="","",N('Project Database'!AF51))</f>
        <v/>
      </c>
      <c r="BN47" s="5">
        <f>IF('Project Database'!A51="","",N('Project Database'!AG51))</f>
        <v/>
      </c>
      <c r="BO47" s="5">
        <f>IF('Project Database'!A51="","",N('Project Database'!AH51))</f>
        <v/>
      </c>
      <c r="BP47" s="5">
        <f>IF('Project Database'!A51="","",N('Project Database'!AI51))</f>
        <v/>
      </c>
      <c r="BQ47" s="5">
        <f>IF('Project Database'!A51="","",N('Project Database'!AJ51))</f>
        <v/>
      </c>
      <c r="BR47" s="5">
        <f>IF('Project Database'!A51="","",N('Project Database'!AK51))</f>
        <v/>
      </c>
      <c r="BS47" s="5">
        <f>IF('Project Database'!A51="","",N('Project Database'!AL51))</f>
        <v/>
      </c>
      <c r="BT47" s="5">
        <f>IF('Project Database'!A51="","",N('Project Database'!AM51))</f>
        <v/>
      </c>
      <c r="BU47" s="5">
        <f>IF('Project Database'!A51="","",N('Project Database'!AN51))</f>
        <v/>
      </c>
      <c r="BV47" s="5">
        <f>IF('Project Database'!A51="","",N('Project Database'!AO51))</f>
        <v/>
      </c>
      <c r="BW47" s="5">
        <f>IF('Project Database'!A51="","",N('Project Database'!AP51))</f>
        <v/>
      </c>
      <c r="BX47" s="5">
        <f>IF(A47="","",SUM(BJ47:BW47))</f>
        <v/>
      </c>
      <c r="BY47" s="5">
        <f>IF(A47="","",IFERROR(IF(ISNUMBER(U47),U47,VALUE(SUBSTITUTE(SUBSTITUTE(SUBSTITUTE(UPPER(TRIM(U47)),"M",""),",","")," ",""))),0))</f>
        <v/>
      </c>
    </row>
    <row r="48" ht="15" customHeight="1" s="74">
      <c r="A48" s="66">
        <f>'Project Database'!A52</f>
        <v/>
      </c>
      <c r="B48" s="66">
        <f>'Project Database'!B52</f>
        <v/>
      </c>
      <c r="C48" s="66">
        <f>'Project Database'!G52</f>
        <v/>
      </c>
      <c r="D48" s="66">
        <f>'Project Database'!H52</f>
        <v/>
      </c>
      <c r="E48" s="66">
        <f>'Project Database'!I52</f>
        <v/>
      </c>
      <c r="F48" s="66">
        <f>'Project Database'!J52</f>
        <v/>
      </c>
      <c r="G48" s="66">
        <f>'Project Database'!K52</f>
        <v/>
      </c>
      <c r="H48" s="66">
        <f>'Project Database'!L52</f>
        <v/>
      </c>
      <c r="I48" s="66">
        <f>'Project Database'!M52</f>
        <v/>
      </c>
      <c r="J48" s="66">
        <f>'Project Database'!N52</f>
        <v/>
      </c>
      <c r="K48" s="66">
        <f>'Project Database'!O52</f>
        <v/>
      </c>
      <c r="L48" s="66">
        <f>'Project Database'!P52</f>
        <v/>
      </c>
      <c r="M48" s="66">
        <f>'Project Database'!Q52</f>
        <v/>
      </c>
      <c r="N48" s="66">
        <f>'Project Database'!R52</f>
        <v/>
      </c>
      <c r="O48" s="66">
        <f>'Project Database'!S52</f>
        <v/>
      </c>
      <c r="P48" s="66">
        <f>'Project Database'!T52</f>
        <v/>
      </c>
      <c r="Q48" s="66">
        <f>'Project Database'!U52</f>
        <v/>
      </c>
      <c r="R48" s="66">
        <f>'Project Database'!V52</f>
        <v/>
      </c>
      <c r="S48" s="66">
        <f>'Project Database'!W52</f>
        <v/>
      </c>
      <c r="T48" s="66">
        <f>'Project Database'!X52</f>
        <v/>
      </c>
      <c r="U48" s="67">
        <f>'Project Database'!Y52</f>
        <v/>
      </c>
      <c r="V48" s="66">
        <f>IF('Smart Search'!B13=1,IFERROR(1/'Smart Search'!H13,0),0)</f>
        <v/>
      </c>
      <c r="W48" s="66">
        <f>IF('Smart Search'!B13=1,IFERROR(1/'Smart Search'!H13,0),0)</f>
        <v/>
      </c>
      <c r="X48" s="66">
        <f>IF('Smart Search'!C13=1,IFERROR(1/'Smart Search'!H13,0),0)</f>
        <v/>
      </c>
      <c r="Y48" s="66">
        <f>IF('Smart Search'!C13=1,IFERROR(1/'Smart Search'!H13,0),0)</f>
        <v/>
      </c>
      <c r="Z48" s="66">
        <f>IF('Smart Search'!D13=1,IFERROR(1/'Smart Search'!H13,0),0)</f>
        <v/>
      </c>
      <c r="AA48" s="66">
        <f>IF('Smart Search'!D13=1,IFERROR(1/'Smart Search'!H13,0),0)</f>
        <v/>
      </c>
      <c r="AB48" s="66">
        <f>IF('Smart Search'!E13=1,IFERROR(1/'Smart Search'!H13,0),0)</f>
        <v/>
      </c>
      <c r="AC48" s="66">
        <f>IF('Smart Search'!E13=1,IFERROR(1/'Smart Search'!H13,0),0)</f>
        <v/>
      </c>
      <c r="AD48" s="66">
        <f>IF('Smart Search'!F13=1,IFERROR(1/'Smart Search'!H13,0),0)</f>
        <v/>
      </c>
      <c r="AE48" s="66">
        <f>IF('Smart Search'!F13=1,IFERROR(1/'Smart Search'!H13,0),0)</f>
        <v/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66">
        <f>AF48*V48</f>
        <v/>
      </c>
      <c r="AQ48" s="66">
        <f>AG48*W48</f>
        <v/>
      </c>
      <c r="AR48" s="66">
        <f>AH48*X48</f>
        <v/>
      </c>
      <c r="AS48" s="66">
        <f>AI48*Y48</f>
        <v/>
      </c>
      <c r="AT48" s="66">
        <f>AJ48*Z48</f>
        <v/>
      </c>
      <c r="AU48" s="66">
        <f>AK48*AA48</f>
        <v/>
      </c>
      <c r="AV48" s="66">
        <f>AL48*AB48</f>
        <v/>
      </c>
      <c r="AW48" s="66">
        <f>AM48*AC48</f>
        <v/>
      </c>
      <c r="AX48" s="66">
        <f>AN48*AD48</f>
        <v/>
      </c>
      <c r="AY48" s="66">
        <f>AO48*AE48</f>
        <v/>
      </c>
      <c r="AZ48" s="66">
        <f>'Project Database'!Z52</f>
        <v/>
      </c>
      <c r="BA48" s="66">
        <f>IF(OR(A48="",'Smart Search'!H13=0),"",MAX(0,BE48*BF48*MAX(0,1-BG48)))</f>
        <v/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66">
        <f>IF('Smart Search'!G13=1,IFERROR(1/'Smart Search'!H13,0),0)</f>
        <v/>
      </c>
      <c r="BD48" s="66">
        <f>BB48*BC48</f>
        <v/>
      </c>
      <c r="BE48" s="66">
        <f>AP48+AQ48+AR48+AS48+AT48+AU48+AV48+AW48+AX48+AY48+BD48</f>
        <v/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5">
        <f>IF(AND('Project Database'!A52&lt;&gt;"",OR('Smart Search'!$L$5="",'Smart Search'!$L$5="All",TRIM('Project Database'!D52)=TRIM('Smart Search'!$L$5)),OR(TRIM('Smart Search'!$L$6)="",TRIM('Smart Search'!$L$6)="All",ISNUMBER(SEARCH(SUBSTITUTE(SUBSTITUTE(SUBSTITUTE(TRIM('Smart Search'!$L$6),"~","~~"),"*","~*"),"?","~?"),'Project Database'!C52))),OR('Smart Search'!$L$7="",AND('Project Database'!E52&lt;&gt;"",'Project Database'!E52='Smart Search'!$L$7)),OR('Smart Search'!$L$8="",'Smart Search'!$L$8="All",TRIM('Project Database'!F52)=TRIM('Smart Search'!$L$8))),IF(BA48="","",BA48+ROW()*0.0000000001),"")</f>
        <v/>
      </c>
      <c r="BI48" s="5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>
        <f>IF('Project Database'!A52="","",N('Project Database'!AC52))</f>
        <v/>
      </c>
      <c r="BK48" s="5">
        <f>IF('Project Database'!A52="","",N('Project Database'!AD52))</f>
        <v/>
      </c>
      <c r="BL48" s="5">
        <f>IF('Project Database'!A52="","",N('Project Database'!AE52))</f>
        <v/>
      </c>
      <c r="BM48" s="5">
        <f>IF('Project Database'!A52="","",N('Project Database'!AF52))</f>
        <v/>
      </c>
      <c r="BN48" s="5">
        <f>IF('Project Database'!A52="","",N('Project Database'!AG52))</f>
        <v/>
      </c>
      <c r="BO48" s="5">
        <f>IF('Project Database'!A52="","",N('Project Database'!AH52))</f>
        <v/>
      </c>
      <c r="BP48" s="5">
        <f>IF('Project Database'!A52="","",N('Project Database'!AI52))</f>
        <v/>
      </c>
      <c r="BQ48" s="5">
        <f>IF('Project Database'!A52="","",N('Project Database'!AJ52))</f>
        <v/>
      </c>
      <c r="BR48" s="5">
        <f>IF('Project Database'!A52="","",N('Project Database'!AK52))</f>
        <v/>
      </c>
      <c r="BS48" s="5">
        <f>IF('Project Database'!A52="","",N('Project Database'!AL52))</f>
        <v/>
      </c>
      <c r="BT48" s="5">
        <f>IF('Project Database'!A52="","",N('Project Database'!AM52))</f>
        <v/>
      </c>
      <c r="BU48" s="5">
        <f>IF('Project Database'!A52="","",N('Project Database'!AN52))</f>
        <v/>
      </c>
      <c r="BV48" s="5">
        <f>IF('Project Database'!A52="","",N('Project Database'!AO52))</f>
        <v/>
      </c>
      <c r="BW48" s="5">
        <f>IF('Project Database'!A52="","",N('Project Database'!AP52))</f>
        <v/>
      </c>
      <c r="BX48" s="5">
        <f>IF(A48="","",SUM(BJ48:BW48))</f>
        <v/>
      </c>
      <c r="BY48" s="5">
        <f>IF(A48="","",IFERROR(IF(ISNUMBER(U48),U48,VALUE(SUBSTITUTE(SUBSTITUTE(SUBSTITUTE(UPPER(TRIM(U48)),"M",""),",","")," ",""))),0))</f>
        <v/>
      </c>
    </row>
    <row r="49" ht="15" customHeight="1" s="74">
      <c r="A49" s="66">
        <f>'Project Database'!A53</f>
        <v/>
      </c>
      <c r="B49" s="66">
        <f>'Project Database'!B53</f>
        <v/>
      </c>
      <c r="C49" s="66">
        <f>'Project Database'!G53</f>
        <v/>
      </c>
      <c r="D49" s="66">
        <f>'Project Database'!H53</f>
        <v/>
      </c>
      <c r="E49" s="66">
        <f>'Project Database'!I53</f>
        <v/>
      </c>
      <c r="F49" s="66">
        <f>'Project Database'!J53</f>
        <v/>
      </c>
      <c r="G49" s="66">
        <f>'Project Database'!K53</f>
        <v/>
      </c>
      <c r="H49" s="66">
        <f>'Project Database'!L53</f>
        <v/>
      </c>
      <c r="I49" s="66">
        <f>'Project Database'!M53</f>
        <v/>
      </c>
      <c r="J49" s="66">
        <f>'Project Database'!N53</f>
        <v/>
      </c>
      <c r="K49" s="66">
        <f>'Project Database'!O53</f>
        <v/>
      </c>
      <c r="L49" s="66">
        <f>'Project Database'!P53</f>
        <v/>
      </c>
      <c r="M49" s="66">
        <f>'Project Database'!Q53</f>
        <v/>
      </c>
      <c r="N49" s="66">
        <f>'Project Database'!R53</f>
        <v/>
      </c>
      <c r="O49" s="66">
        <f>'Project Database'!S53</f>
        <v/>
      </c>
      <c r="P49" s="66">
        <f>'Project Database'!T53</f>
        <v/>
      </c>
      <c r="Q49" s="66">
        <f>'Project Database'!U53</f>
        <v/>
      </c>
      <c r="R49" s="66">
        <f>'Project Database'!V53</f>
        <v/>
      </c>
      <c r="S49" s="66">
        <f>'Project Database'!W53</f>
        <v/>
      </c>
      <c r="T49" s="66">
        <f>'Project Database'!X53</f>
        <v/>
      </c>
      <c r="U49" s="67">
        <f>'Project Database'!Y53</f>
        <v/>
      </c>
      <c r="V49" s="66">
        <f>IF('Smart Search'!B13=1,IFERROR(1/'Smart Search'!H13,0),0)</f>
        <v/>
      </c>
      <c r="W49" s="66">
        <f>IF('Smart Search'!B13=1,IFERROR(1/'Smart Search'!H13,0),0)</f>
        <v/>
      </c>
      <c r="X49" s="66">
        <f>IF('Smart Search'!C13=1,IFERROR(1/'Smart Search'!H13,0),0)</f>
        <v/>
      </c>
      <c r="Y49" s="66">
        <f>IF('Smart Search'!C13=1,IFERROR(1/'Smart Search'!H13,0),0)</f>
        <v/>
      </c>
      <c r="Z49" s="66">
        <f>IF('Smart Search'!D13=1,IFERROR(1/'Smart Search'!H13,0),0)</f>
        <v/>
      </c>
      <c r="AA49" s="66">
        <f>IF('Smart Search'!D13=1,IFERROR(1/'Smart Search'!H13,0),0)</f>
        <v/>
      </c>
      <c r="AB49" s="66">
        <f>IF('Smart Search'!E13=1,IFERROR(1/'Smart Search'!H13,0),0)</f>
        <v/>
      </c>
      <c r="AC49" s="66">
        <f>IF('Smart Search'!E13=1,IFERROR(1/'Smart Search'!H13,0),0)</f>
        <v/>
      </c>
      <c r="AD49" s="66">
        <f>IF('Smart Search'!F13=1,IFERROR(1/'Smart Search'!H13,0),0)</f>
        <v/>
      </c>
      <c r="AE49" s="66">
        <f>IF('Smart Search'!F13=1,IFERROR(1/'Smart Search'!H13,0),0)</f>
        <v/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66">
        <f>AF49*V49</f>
        <v/>
      </c>
      <c r="AQ49" s="66">
        <f>AG49*W49</f>
        <v/>
      </c>
      <c r="AR49" s="66">
        <f>AH49*X49</f>
        <v/>
      </c>
      <c r="AS49" s="66">
        <f>AI49*Y49</f>
        <v/>
      </c>
      <c r="AT49" s="66">
        <f>AJ49*Z49</f>
        <v/>
      </c>
      <c r="AU49" s="66">
        <f>AK49*AA49</f>
        <v/>
      </c>
      <c r="AV49" s="66">
        <f>AL49*AB49</f>
        <v/>
      </c>
      <c r="AW49" s="66">
        <f>AM49*AC49</f>
        <v/>
      </c>
      <c r="AX49" s="66">
        <f>AN49*AD49</f>
        <v/>
      </c>
      <c r="AY49" s="66">
        <f>AO49*AE49</f>
        <v/>
      </c>
      <c r="AZ49" s="66">
        <f>'Project Database'!Z53</f>
        <v/>
      </c>
      <c r="BA49" s="66">
        <f>IF(OR(A49="",'Smart Search'!H13=0),"",MAX(0,BE49*BF49*MAX(0,1-BG49)))</f>
        <v/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66">
        <f>IF('Smart Search'!G13=1,IFERROR(1/'Smart Search'!H13,0),0)</f>
        <v/>
      </c>
      <c r="BD49" s="66">
        <f>BB49*BC49</f>
        <v/>
      </c>
      <c r="BE49" s="66">
        <f>AP49+AQ49+AR49+AS49+AT49+AU49+AV49+AW49+AX49+AY49+BD49</f>
        <v/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5">
        <f>IF(AND('Project Database'!A53&lt;&gt;"",OR('Smart Search'!$L$5="",'Smart Search'!$L$5="All",TRIM('Project Database'!D53)=TRIM('Smart Search'!$L$5)),OR(TRIM('Smart Search'!$L$6)="",TRIM('Smart Search'!$L$6)="All",ISNUMBER(SEARCH(SUBSTITUTE(SUBSTITUTE(SUBSTITUTE(TRIM('Smart Search'!$L$6),"~","~~"),"*","~*"),"?","~?"),'Project Database'!C53))),OR('Smart Search'!$L$7="",AND('Project Database'!E53&lt;&gt;"",'Project Database'!E53='Smart Search'!$L$7)),OR('Smart Search'!$L$8="",'Smart Search'!$L$8="All",TRIM('Project Database'!F53)=TRIM('Smart Search'!$L$8))),IF(BA49="","",BA49+ROW()*0.0000000001),"")</f>
        <v/>
      </c>
      <c r="BI49" s="5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>
        <f>IF('Project Database'!A53="","",N('Project Database'!AC53))</f>
        <v/>
      </c>
      <c r="BK49" s="5">
        <f>IF('Project Database'!A53="","",N('Project Database'!AD53))</f>
        <v/>
      </c>
      <c r="BL49" s="5">
        <f>IF('Project Database'!A53="","",N('Project Database'!AE53))</f>
        <v/>
      </c>
      <c r="BM49" s="5">
        <f>IF('Project Database'!A53="","",N('Project Database'!AF53))</f>
        <v/>
      </c>
      <c r="BN49" s="5">
        <f>IF('Project Database'!A53="","",N('Project Database'!AG53))</f>
        <v/>
      </c>
      <c r="BO49" s="5">
        <f>IF('Project Database'!A53="","",N('Project Database'!AH53))</f>
        <v/>
      </c>
      <c r="BP49" s="5">
        <f>IF('Project Database'!A53="","",N('Project Database'!AI53))</f>
        <v/>
      </c>
      <c r="BQ49" s="5">
        <f>IF('Project Database'!A53="","",N('Project Database'!AJ53))</f>
        <v/>
      </c>
      <c r="BR49" s="5">
        <f>IF('Project Database'!A53="","",N('Project Database'!AK53))</f>
        <v/>
      </c>
      <c r="BS49" s="5">
        <f>IF('Project Database'!A53="","",N('Project Database'!AL53))</f>
        <v/>
      </c>
      <c r="BT49" s="5">
        <f>IF('Project Database'!A53="","",N('Project Database'!AM53))</f>
        <v/>
      </c>
      <c r="BU49" s="5">
        <f>IF('Project Database'!A53="","",N('Project Database'!AN53))</f>
        <v/>
      </c>
      <c r="BV49" s="5">
        <f>IF('Project Database'!A53="","",N('Project Database'!AO53))</f>
        <v/>
      </c>
      <c r="BW49" s="5">
        <f>IF('Project Database'!A53="","",N('Project Database'!AP53))</f>
        <v/>
      </c>
      <c r="BX49" s="5">
        <f>IF(A49="","",SUM(BJ49:BW49))</f>
        <v/>
      </c>
      <c r="BY49" s="5">
        <f>IF(A49="","",IFERROR(IF(ISNUMBER(U49),U49,VALUE(SUBSTITUTE(SUBSTITUTE(SUBSTITUTE(UPPER(TRIM(U49)),"M",""),",","")," ",""))),0))</f>
        <v/>
      </c>
    </row>
    <row r="50" ht="15" customHeight="1" s="74">
      <c r="A50" s="66">
        <f>'Project Database'!A54</f>
        <v/>
      </c>
      <c r="B50" s="66">
        <f>'Project Database'!B54</f>
        <v/>
      </c>
      <c r="C50" s="66">
        <f>'Project Database'!G54</f>
        <v/>
      </c>
      <c r="D50" s="66">
        <f>'Project Database'!H54</f>
        <v/>
      </c>
      <c r="E50" s="66">
        <f>'Project Database'!I54</f>
        <v/>
      </c>
      <c r="F50" s="66">
        <f>'Project Database'!J54</f>
        <v/>
      </c>
      <c r="G50" s="66">
        <f>'Project Database'!K54</f>
        <v/>
      </c>
      <c r="H50" s="66">
        <f>'Project Database'!L54</f>
        <v/>
      </c>
      <c r="I50" s="66">
        <f>'Project Database'!M54</f>
        <v/>
      </c>
      <c r="J50" s="66">
        <f>'Project Database'!N54</f>
        <v/>
      </c>
      <c r="K50" s="66">
        <f>'Project Database'!O54</f>
        <v/>
      </c>
      <c r="L50" s="66">
        <f>'Project Database'!P54</f>
        <v/>
      </c>
      <c r="M50" s="66">
        <f>'Project Database'!Q54</f>
        <v/>
      </c>
      <c r="N50" s="66">
        <f>'Project Database'!R54</f>
        <v/>
      </c>
      <c r="O50" s="66">
        <f>'Project Database'!S54</f>
        <v/>
      </c>
      <c r="P50" s="66">
        <f>'Project Database'!T54</f>
        <v/>
      </c>
      <c r="Q50" s="66">
        <f>'Project Database'!U54</f>
        <v/>
      </c>
      <c r="R50" s="66">
        <f>'Project Database'!V54</f>
        <v/>
      </c>
      <c r="S50" s="66">
        <f>'Project Database'!W54</f>
        <v/>
      </c>
      <c r="T50" s="66">
        <f>'Project Database'!X54</f>
        <v/>
      </c>
      <c r="U50" s="67">
        <f>'Project Database'!Y54</f>
        <v/>
      </c>
      <c r="V50" s="66">
        <f>IF('Smart Search'!B13=1,IFERROR(1/'Smart Search'!H13,0),0)</f>
        <v/>
      </c>
      <c r="W50" s="66">
        <f>IF('Smart Search'!B13=1,IFERROR(1/'Smart Search'!H13,0),0)</f>
        <v/>
      </c>
      <c r="X50" s="66">
        <f>IF('Smart Search'!C13=1,IFERROR(1/'Smart Search'!H13,0),0)</f>
        <v/>
      </c>
      <c r="Y50" s="66">
        <f>IF('Smart Search'!C13=1,IFERROR(1/'Smart Search'!H13,0),0)</f>
        <v/>
      </c>
      <c r="Z50" s="66">
        <f>IF('Smart Search'!D13=1,IFERROR(1/'Smart Search'!H13,0),0)</f>
        <v/>
      </c>
      <c r="AA50" s="66">
        <f>IF('Smart Search'!D13=1,IFERROR(1/'Smart Search'!H13,0),0)</f>
        <v/>
      </c>
      <c r="AB50" s="66">
        <f>IF('Smart Search'!E13=1,IFERROR(1/'Smart Search'!H13,0),0)</f>
        <v/>
      </c>
      <c r="AC50" s="66">
        <f>IF('Smart Search'!E13=1,IFERROR(1/'Smart Search'!H13,0),0)</f>
        <v/>
      </c>
      <c r="AD50" s="66">
        <f>IF('Smart Search'!F13=1,IFERROR(1/'Smart Search'!H13,0),0)</f>
        <v/>
      </c>
      <c r="AE50" s="66">
        <f>IF('Smart Search'!F13=1,IFERROR(1/'Smart Search'!H13,0),0)</f>
        <v/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66">
        <f>AF50*V50</f>
        <v/>
      </c>
      <c r="AQ50" s="66">
        <f>AG50*W50</f>
        <v/>
      </c>
      <c r="AR50" s="66">
        <f>AH50*X50</f>
        <v/>
      </c>
      <c r="AS50" s="66">
        <f>AI50*Y50</f>
        <v/>
      </c>
      <c r="AT50" s="66">
        <f>AJ50*Z50</f>
        <v/>
      </c>
      <c r="AU50" s="66">
        <f>AK50*AA50</f>
        <v/>
      </c>
      <c r="AV50" s="66">
        <f>AL50*AB50</f>
        <v/>
      </c>
      <c r="AW50" s="66">
        <f>AM50*AC50</f>
        <v/>
      </c>
      <c r="AX50" s="66">
        <f>AN50*AD50</f>
        <v/>
      </c>
      <c r="AY50" s="66">
        <f>AO50*AE50</f>
        <v/>
      </c>
      <c r="AZ50" s="66">
        <f>'Project Database'!Z54</f>
        <v/>
      </c>
      <c r="BA50" s="66">
        <f>IF(OR(A50="",'Smart Search'!H13=0),"",MAX(0,BE50*BF50*MAX(0,1-BG50)))</f>
        <v/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66">
        <f>IF('Smart Search'!G13=1,IFERROR(1/'Smart Search'!H13,0),0)</f>
        <v/>
      </c>
      <c r="BD50" s="66">
        <f>BB50*BC50</f>
        <v/>
      </c>
      <c r="BE50" s="66">
        <f>AP50+AQ50+AR50+AS50+AT50+AU50+AV50+AW50+AX50+AY50+BD50</f>
        <v/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5">
        <f>IF(AND('Project Database'!A54&lt;&gt;"",OR('Smart Search'!$L$5="",'Smart Search'!$L$5="All",TRIM('Project Database'!D54)=TRIM('Smart Search'!$L$5)),OR(TRIM('Smart Search'!$L$6)="",TRIM('Smart Search'!$L$6)="All",ISNUMBER(SEARCH(SUBSTITUTE(SUBSTITUTE(SUBSTITUTE(TRIM('Smart Search'!$L$6),"~","~~"),"*","~*"),"?","~?"),'Project Database'!C54))),OR('Smart Search'!$L$7="",AND('Project Database'!E54&lt;&gt;"",'Project Database'!E54='Smart Search'!$L$7)),OR('Smart Search'!$L$8="",'Smart Search'!$L$8="All",TRIM('Project Database'!F54)=TRIM('Smart Search'!$L$8))),IF(BA50="","",BA50+ROW()*0.0000000001),"")</f>
        <v/>
      </c>
      <c r="BI50" s="5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>
        <f>IF('Project Database'!A54="","",N('Project Database'!AC54))</f>
        <v/>
      </c>
      <c r="BK50" s="5">
        <f>IF('Project Database'!A54="","",N('Project Database'!AD54))</f>
        <v/>
      </c>
      <c r="BL50" s="5">
        <f>IF('Project Database'!A54="","",N('Project Database'!AE54))</f>
        <v/>
      </c>
      <c r="BM50" s="5">
        <f>IF('Project Database'!A54="","",N('Project Database'!AF54))</f>
        <v/>
      </c>
      <c r="BN50" s="5">
        <f>IF('Project Database'!A54="","",N('Project Database'!AG54))</f>
        <v/>
      </c>
      <c r="BO50" s="5">
        <f>IF('Project Database'!A54="","",N('Project Database'!AH54))</f>
        <v/>
      </c>
      <c r="BP50" s="5">
        <f>IF('Project Database'!A54="","",N('Project Database'!AI54))</f>
        <v/>
      </c>
      <c r="BQ50" s="5">
        <f>IF('Project Database'!A54="","",N('Project Database'!AJ54))</f>
        <v/>
      </c>
      <c r="BR50" s="5">
        <f>IF('Project Database'!A54="","",N('Project Database'!AK54))</f>
        <v/>
      </c>
      <c r="BS50" s="5">
        <f>IF('Project Database'!A54="","",N('Project Database'!AL54))</f>
        <v/>
      </c>
      <c r="BT50" s="5">
        <f>IF('Project Database'!A54="","",N('Project Database'!AM54))</f>
        <v/>
      </c>
      <c r="BU50" s="5">
        <f>IF('Project Database'!A54="","",N('Project Database'!AN54))</f>
        <v/>
      </c>
      <c r="BV50" s="5">
        <f>IF('Project Database'!A54="","",N('Project Database'!AO54))</f>
        <v/>
      </c>
      <c r="BW50" s="5">
        <f>IF('Project Database'!A54="","",N('Project Database'!AP54))</f>
        <v/>
      </c>
      <c r="BX50" s="5">
        <f>IF(A50="","",SUM(BJ50:BW50))</f>
        <v/>
      </c>
      <c r="BY50" s="5">
        <f>IF(A50="","",IFERROR(IF(ISNUMBER(U50),U50,VALUE(SUBSTITUTE(SUBSTITUTE(SUBSTITUTE(UPPER(TRIM(U50)),"M",""),",","")," ",""))),0))</f>
        <v/>
      </c>
    </row>
    <row r="51" ht="15" customHeight="1" s="74">
      <c r="A51" s="66">
        <f>'Project Database'!A55</f>
        <v/>
      </c>
      <c r="B51" s="66">
        <f>'Project Database'!B55</f>
        <v/>
      </c>
      <c r="C51" s="66">
        <f>'Project Database'!G55</f>
        <v/>
      </c>
      <c r="D51" s="66">
        <f>'Project Database'!H55</f>
        <v/>
      </c>
      <c r="E51" s="66">
        <f>'Project Database'!I55</f>
        <v/>
      </c>
      <c r="F51" s="66">
        <f>'Project Database'!J55</f>
        <v/>
      </c>
      <c r="G51" s="66">
        <f>'Project Database'!K55</f>
        <v/>
      </c>
      <c r="H51" s="66">
        <f>'Project Database'!L55</f>
        <v/>
      </c>
      <c r="I51" s="66">
        <f>'Project Database'!M55</f>
        <v/>
      </c>
      <c r="J51" s="66">
        <f>'Project Database'!N55</f>
        <v/>
      </c>
      <c r="K51" s="66">
        <f>'Project Database'!O55</f>
        <v/>
      </c>
      <c r="L51" s="66">
        <f>'Project Database'!P55</f>
        <v/>
      </c>
      <c r="M51" s="66">
        <f>'Project Database'!Q55</f>
        <v/>
      </c>
      <c r="N51" s="66">
        <f>'Project Database'!R55</f>
        <v/>
      </c>
      <c r="O51" s="66">
        <f>'Project Database'!S55</f>
        <v/>
      </c>
      <c r="P51" s="66">
        <f>'Project Database'!T55</f>
        <v/>
      </c>
      <c r="Q51" s="66">
        <f>'Project Database'!U55</f>
        <v/>
      </c>
      <c r="R51" s="66">
        <f>'Project Database'!V55</f>
        <v/>
      </c>
      <c r="S51" s="66">
        <f>'Project Database'!W55</f>
        <v/>
      </c>
      <c r="T51" s="66">
        <f>'Project Database'!X55</f>
        <v/>
      </c>
      <c r="U51" s="67">
        <f>'Project Database'!Y55</f>
        <v/>
      </c>
      <c r="V51" s="66">
        <f>IF('Smart Search'!B13=1,IFERROR(1/'Smart Search'!H13,0),0)</f>
        <v/>
      </c>
      <c r="W51" s="66">
        <f>IF('Smart Search'!B13=1,IFERROR(1/'Smart Search'!H13,0),0)</f>
        <v/>
      </c>
      <c r="X51" s="66">
        <f>IF('Smart Search'!C13=1,IFERROR(1/'Smart Search'!H13,0),0)</f>
        <v/>
      </c>
      <c r="Y51" s="66">
        <f>IF('Smart Search'!C13=1,IFERROR(1/'Smart Search'!H13,0),0)</f>
        <v/>
      </c>
      <c r="Z51" s="66">
        <f>IF('Smart Search'!D13=1,IFERROR(1/'Smart Search'!H13,0),0)</f>
        <v/>
      </c>
      <c r="AA51" s="66">
        <f>IF('Smart Search'!D13=1,IFERROR(1/'Smart Search'!H13,0),0)</f>
        <v/>
      </c>
      <c r="AB51" s="66">
        <f>IF('Smart Search'!E13=1,IFERROR(1/'Smart Search'!H13,0),0)</f>
        <v/>
      </c>
      <c r="AC51" s="66">
        <f>IF('Smart Search'!E13=1,IFERROR(1/'Smart Search'!H13,0),0)</f>
        <v/>
      </c>
      <c r="AD51" s="66">
        <f>IF('Smart Search'!F13=1,IFERROR(1/'Smart Search'!H13,0),0)</f>
        <v/>
      </c>
      <c r="AE51" s="66">
        <f>IF('Smart Search'!F13=1,IFERROR(1/'Smart Search'!H13,0),0)</f>
        <v/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66">
        <f>AF51*V51</f>
        <v/>
      </c>
      <c r="AQ51" s="66">
        <f>AG51*W51</f>
        <v/>
      </c>
      <c r="AR51" s="66">
        <f>AH51*X51</f>
        <v/>
      </c>
      <c r="AS51" s="66">
        <f>AI51*Y51</f>
        <v/>
      </c>
      <c r="AT51" s="66">
        <f>AJ51*Z51</f>
        <v/>
      </c>
      <c r="AU51" s="66">
        <f>AK51*AA51</f>
        <v/>
      </c>
      <c r="AV51" s="66">
        <f>AL51*AB51</f>
        <v/>
      </c>
      <c r="AW51" s="66">
        <f>AM51*AC51</f>
        <v/>
      </c>
      <c r="AX51" s="66">
        <f>AN51*AD51</f>
        <v/>
      </c>
      <c r="AY51" s="66">
        <f>AO51*AE51</f>
        <v/>
      </c>
      <c r="AZ51" s="66">
        <f>'Project Database'!Z55</f>
        <v/>
      </c>
      <c r="BA51" s="66">
        <f>IF(OR(A51="",'Smart Search'!H13=0),"",MAX(0,BE51*BF51*MAX(0,1-BG51)))</f>
        <v/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66">
        <f>IF('Smart Search'!G13=1,IFERROR(1/'Smart Search'!H13,0),0)</f>
        <v/>
      </c>
      <c r="BD51" s="66">
        <f>BB51*BC51</f>
        <v/>
      </c>
      <c r="BE51" s="66">
        <f>AP51+AQ51+AR51+AS51+AT51+AU51+AV51+AW51+AX51+AY51+BD51</f>
        <v/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5">
        <f>IF(AND('Project Database'!A55&lt;&gt;"",OR('Smart Search'!$L$5="",'Smart Search'!$L$5="All",TRIM('Project Database'!D55)=TRIM('Smart Search'!$L$5)),OR(TRIM('Smart Search'!$L$6)="",TRIM('Smart Search'!$L$6)="All",ISNUMBER(SEARCH(SUBSTITUTE(SUBSTITUTE(SUBSTITUTE(TRIM('Smart Search'!$L$6),"~","~~"),"*","~*"),"?","~?"),'Project Database'!C55))),OR('Smart Search'!$L$7="",AND('Project Database'!E55&lt;&gt;"",'Project Database'!E55='Smart Search'!$L$7)),OR('Smart Search'!$L$8="",'Smart Search'!$L$8="All",TRIM('Project Database'!F55)=TRIM('Smart Search'!$L$8))),IF(BA51="","",BA51+ROW()*0.0000000001),"")</f>
        <v/>
      </c>
      <c r="BI51" s="5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>
        <f>IF('Project Database'!A55="","",N('Project Database'!AC55))</f>
        <v/>
      </c>
      <c r="BK51" s="5">
        <f>IF('Project Database'!A55="","",N('Project Database'!AD55))</f>
        <v/>
      </c>
      <c r="BL51" s="5">
        <f>IF('Project Database'!A55="","",N('Project Database'!AE55))</f>
        <v/>
      </c>
      <c r="BM51" s="5">
        <f>IF('Project Database'!A55="","",N('Project Database'!AF55))</f>
        <v/>
      </c>
      <c r="BN51" s="5">
        <f>IF('Project Database'!A55="","",N('Project Database'!AG55))</f>
        <v/>
      </c>
      <c r="BO51" s="5">
        <f>IF('Project Database'!A55="","",N('Project Database'!AH55))</f>
        <v/>
      </c>
      <c r="BP51" s="5">
        <f>IF('Project Database'!A55="","",N('Project Database'!AI55))</f>
        <v/>
      </c>
      <c r="BQ51" s="5">
        <f>IF('Project Database'!A55="","",N('Project Database'!AJ55))</f>
        <v/>
      </c>
      <c r="BR51" s="5">
        <f>IF('Project Database'!A55="","",N('Project Database'!AK55))</f>
        <v/>
      </c>
      <c r="BS51" s="5">
        <f>IF('Project Database'!A55="","",N('Project Database'!AL55))</f>
        <v/>
      </c>
      <c r="BT51" s="5">
        <f>IF('Project Database'!A55="","",N('Project Database'!AM55))</f>
        <v/>
      </c>
      <c r="BU51" s="5">
        <f>IF('Project Database'!A55="","",N('Project Database'!AN55))</f>
        <v/>
      </c>
      <c r="BV51" s="5">
        <f>IF('Project Database'!A55="","",N('Project Database'!AO55))</f>
        <v/>
      </c>
      <c r="BW51" s="5">
        <f>IF('Project Database'!A55="","",N('Project Database'!AP55))</f>
        <v/>
      </c>
      <c r="BX51" s="5">
        <f>IF(A51="","",SUM(BJ51:BW51))</f>
        <v/>
      </c>
      <c r="BY51" s="5">
        <f>IF(A51="","",IFERROR(IF(ISNUMBER(U51),U51,VALUE(SUBSTITUTE(SUBSTITUTE(SUBSTITUTE(UPPER(TRIM(U51)),"M",""),",","")," ",""))),0))</f>
        <v/>
      </c>
    </row>
    <row r="52" ht="15" customHeight="1" s="74">
      <c r="A52" s="66">
        <f>'Project Database'!A56</f>
        <v/>
      </c>
      <c r="B52" s="66">
        <f>'Project Database'!B56</f>
        <v/>
      </c>
      <c r="C52" s="66">
        <f>'Project Database'!G56</f>
        <v/>
      </c>
      <c r="D52" s="66">
        <f>'Project Database'!H56</f>
        <v/>
      </c>
      <c r="E52" s="66">
        <f>'Project Database'!I56</f>
        <v/>
      </c>
      <c r="F52" s="66">
        <f>'Project Database'!J56</f>
        <v/>
      </c>
      <c r="G52" s="66">
        <f>'Project Database'!K56</f>
        <v/>
      </c>
      <c r="H52" s="66">
        <f>'Project Database'!L56</f>
        <v/>
      </c>
      <c r="I52" s="66">
        <f>'Project Database'!M56</f>
        <v/>
      </c>
      <c r="J52" s="66">
        <f>'Project Database'!N56</f>
        <v/>
      </c>
      <c r="K52" s="66">
        <f>'Project Database'!O56</f>
        <v/>
      </c>
      <c r="L52" s="66">
        <f>'Project Database'!P56</f>
        <v/>
      </c>
      <c r="M52" s="66">
        <f>'Project Database'!Q56</f>
        <v/>
      </c>
      <c r="N52" s="66">
        <f>'Project Database'!R56</f>
        <v/>
      </c>
      <c r="O52" s="66">
        <f>'Project Database'!S56</f>
        <v/>
      </c>
      <c r="P52" s="66">
        <f>'Project Database'!T56</f>
        <v/>
      </c>
      <c r="Q52" s="66">
        <f>'Project Database'!U56</f>
        <v/>
      </c>
      <c r="R52" s="66">
        <f>'Project Database'!V56</f>
        <v/>
      </c>
      <c r="S52" s="66">
        <f>'Project Database'!W56</f>
        <v/>
      </c>
      <c r="T52" s="66">
        <f>'Project Database'!X56</f>
        <v/>
      </c>
      <c r="U52" s="67">
        <f>'Project Database'!Y56</f>
        <v/>
      </c>
      <c r="V52" s="66">
        <f>IF('Smart Search'!B13=1,IFERROR(1/'Smart Search'!H13,0),0)</f>
        <v/>
      </c>
      <c r="W52" s="66">
        <f>IF('Smart Search'!B13=1,IFERROR(1/'Smart Search'!H13,0),0)</f>
        <v/>
      </c>
      <c r="X52" s="66">
        <f>IF('Smart Search'!C13=1,IFERROR(1/'Smart Search'!H13,0),0)</f>
        <v/>
      </c>
      <c r="Y52" s="66">
        <f>IF('Smart Search'!C13=1,IFERROR(1/'Smart Search'!H13,0),0)</f>
        <v/>
      </c>
      <c r="Z52" s="66">
        <f>IF('Smart Search'!D13=1,IFERROR(1/'Smart Search'!H13,0),0)</f>
        <v/>
      </c>
      <c r="AA52" s="66">
        <f>IF('Smart Search'!D13=1,IFERROR(1/'Smart Search'!H13,0),0)</f>
        <v/>
      </c>
      <c r="AB52" s="66">
        <f>IF('Smart Search'!E13=1,IFERROR(1/'Smart Search'!H13,0),0)</f>
        <v/>
      </c>
      <c r="AC52" s="66">
        <f>IF('Smart Search'!E13=1,IFERROR(1/'Smart Search'!H13,0),0)</f>
        <v/>
      </c>
      <c r="AD52" s="66">
        <f>IF('Smart Search'!F13=1,IFERROR(1/'Smart Search'!H13,0),0)</f>
        <v/>
      </c>
      <c r="AE52" s="66">
        <f>IF('Smart Search'!F13=1,IFERROR(1/'Smart Search'!H13,0),0)</f>
        <v/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66">
        <f>AF52*V52</f>
        <v/>
      </c>
      <c r="AQ52" s="66">
        <f>AG52*W52</f>
        <v/>
      </c>
      <c r="AR52" s="66">
        <f>AH52*X52</f>
        <v/>
      </c>
      <c r="AS52" s="66">
        <f>AI52*Y52</f>
        <v/>
      </c>
      <c r="AT52" s="66">
        <f>AJ52*Z52</f>
        <v/>
      </c>
      <c r="AU52" s="66">
        <f>AK52*AA52</f>
        <v/>
      </c>
      <c r="AV52" s="66">
        <f>AL52*AB52</f>
        <v/>
      </c>
      <c r="AW52" s="66">
        <f>AM52*AC52</f>
        <v/>
      </c>
      <c r="AX52" s="66">
        <f>AN52*AD52</f>
        <v/>
      </c>
      <c r="AY52" s="66">
        <f>AO52*AE52</f>
        <v/>
      </c>
      <c r="AZ52" s="66">
        <f>'Project Database'!Z56</f>
        <v/>
      </c>
      <c r="BA52" s="66">
        <f>IF(OR(A52="",'Smart Search'!H13=0),"",MAX(0,BE52*BF52*MAX(0,1-BG52)))</f>
        <v/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66">
        <f>IF('Smart Search'!G13=1,IFERROR(1/'Smart Search'!H13,0),0)</f>
        <v/>
      </c>
      <c r="BD52" s="66">
        <f>BB52*BC52</f>
        <v/>
      </c>
      <c r="BE52" s="66">
        <f>AP52+AQ52+AR52+AS52+AT52+AU52+AV52+AW52+AX52+AY52+BD52</f>
        <v/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5">
        <f>IF(AND('Project Database'!A56&lt;&gt;"",OR('Smart Search'!$L$5="",'Smart Search'!$L$5="All",TRIM('Project Database'!D56)=TRIM('Smart Search'!$L$5)),OR(TRIM('Smart Search'!$L$6)="",TRIM('Smart Search'!$L$6)="All",ISNUMBER(SEARCH(SUBSTITUTE(SUBSTITUTE(SUBSTITUTE(TRIM('Smart Search'!$L$6),"~","~~"),"*","~*"),"?","~?"),'Project Database'!C56))),OR('Smart Search'!$L$7="",AND('Project Database'!E56&lt;&gt;"",'Project Database'!E56='Smart Search'!$L$7)),OR('Smart Search'!$L$8="",'Smart Search'!$L$8="All",TRIM('Project Database'!F56)=TRIM('Smart Search'!$L$8))),IF(BA52="","",BA52+ROW()*0.0000000001),"")</f>
        <v/>
      </c>
      <c r="BI52" s="5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>
        <f>IF('Project Database'!A56="","",N('Project Database'!AC56))</f>
        <v/>
      </c>
      <c r="BK52" s="5">
        <f>IF('Project Database'!A56="","",N('Project Database'!AD56))</f>
        <v/>
      </c>
      <c r="BL52" s="5">
        <f>IF('Project Database'!A56="","",N('Project Database'!AE56))</f>
        <v/>
      </c>
      <c r="BM52" s="5">
        <f>IF('Project Database'!A56="","",N('Project Database'!AF56))</f>
        <v/>
      </c>
      <c r="BN52" s="5">
        <f>IF('Project Database'!A56="","",N('Project Database'!AG56))</f>
        <v/>
      </c>
      <c r="BO52" s="5">
        <f>IF('Project Database'!A56="","",N('Project Database'!AH56))</f>
        <v/>
      </c>
      <c r="BP52" s="5">
        <f>IF('Project Database'!A56="","",N('Project Database'!AI56))</f>
        <v/>
      </c>
      <c r="BQ52" s="5">
        <f>IF('Project Database'!A56="","",N('Project Database'!AJ56))</f>
        <v/>
      </c>
      <c r="BR52" s="5">
        <f>IF('Project Database'!A56="","",N('Project Database'!AK56))</f>
        <v/>
      </c>
      <c r="BS52" s="5">
        <f>IF('Project Database'!A56="","",N('Project Database'!AL56))</f>
        <v/>
      </c>
      <c r="BT52" s="5">
        <f>IF('Project Database'!A56="","",N('Project Database'!AM56))</f>
        <v/>
      </c>
      <c r="BU52" s="5">
        <f>IF('Project Database'!A56="","",N('Project Database'!AN56))</f>
        <v/>
      </c>
      <c r="BV52" s="5">
        <f>IF('Project Database'!A56="","",N('Project Database'!AO56))</f>
        <v/>
      </c>
      <c r="BW52" s="5">
        <f>IF('Project Database'!A56="","",N('Project Database'!AP56))</f>
        <v/>
      </c>
      <c r="BX52" s="5">
        <f>IF(A52="","",SUM(BJ52:BW52))</f>
        <v/>
      </c>
      <c r="BY52" s="5">
        <f>IF(A52="","",IFERROR(IF(ISNUMBER(U52),U52,VALUE(SUBSTITUTE(SUBSTITUTE(SUBSTITUTE(UPPER(TRIM(U52)),"M",""),",","")," ",""))),0))</f>
        <v/>
      </c>
    </row>
    <row r="53" ht="15" customHeight="1" s="74">
      <c r="A53" s="66">
        <f>'Project Database'!A57</f>
        <v/>
      </c>
      <c r="B53" s="66">
        <f>'Project Database'!B57</f>
        <v/>
      </c>
      <c r="C53" s="66">
        <f>'Project Database'!G57</f>
        <v/>
      </c>
      <c r="D53" s="66">
        <f>'Project Database'!H57</f>
        <v/>
      </c>
      <c r="E53" s="66">
        <f>'Project Database'!I57</f>
        <v/>
      </c>
      <c r="F53" s="66">
        <f>'Project Database'!J57</f>
        <v/>
      </c>
      <c r="G53" s="66">
        <f>'Project Database'!K57</f>
        <v/>
      </c>
      <c r="H53" s="66">
        <f>'Project Database'!L57</f>
        <v/>
      </c>
      <c r="I53" s="66">
        <f>'Project Database'!M57</f>
        <v/>
      </c>
      <c r="J53" s="66">
        <f>'Project Database'!N57</f>
        <v/>
      </c>
      <c r="K53" s="66">
        <f>'Project Database'!O57</f>
        <v/>
      </c>
      <c r="L53" s="66">
        <f>'Project Database'!P57</f>
        <v/>
      </c>
      <c r="M53" s="66">
        <f>'Project Database'!Q57</f>
        <v/>
      </c>
      <c r="N53" s="66">
        <f>'Project Database'!R57</f>
        <v/>
      </c>
      <c r="O53" s="66">
        <f>'Project Database'!S57</f>
        <v/>
      </c>
      <c r="P53" s="66">
        <f>'Project Database'!T57</f>
        <v/>
      </c>
      <c r="Q53" s="66">
        <f>'Project Database'!U57</f>
        <v/>
      </c>
      <c r="R53" s="66">
        <f>'Project Database'!V57</f>
        <v/>
      </c>
      <c r="S53" s="66">
        <f>'Project Database'!W57</f>
        <v/>
      </c>
      <c r="T53" s="66">
        <f>'Project Database'!X57</f>
        <v/>
      </c>
      <c r="U53" s="67">
        <f>'Project Database'!Y57</f>
        <v/>
      </c>
      <c r="V53" s="66">
        <f>IF('Smart Search'!B13=1,IFERROR(1/'Smart Search'!H13,0),0)</f>
        <v/>
      </c>
      <c r="W53" s="66">
        <f>IF('Smart Search'!B13=1,IFERROR(1/'Smart Search'!H13,0),0)</f>
        <v/>
      </c>
      <c r="X53" s="66">
        <f>IF('Smart Search'!C13=1,IFERROR(1/'Smart Search'!H13,0),0)</f>
        <v/>
      </c>
      <c r="Y53" s="66">
        <f>IF('Smart Search'!C13=1,IFERROR(1/'Smart Search'!H13,0),0)</f>
        <v/>
      </c>
      <c r="Z53" s="66">
        <f>IF('Smart Search'!D13=1,IFERROR(1/'Smart Search'!H13,0),0)</f>
        <v/>
      </c>
      <c r="AA53" s="66">
        <f>IF('Smart Search'!D13=1,IFERROR(1/'Smart Search'!H13,0),0)</f>
        <v/>
      </c>
      <c r="AB53" s="66">
        <f>IF('Smart Search'!E13=1,IFERROR(1/'Smart Search'!H13,0),0)</f>
        <v/>
      </c>
      <c r="AC53" s="66">
        <f>IF('Smart Search'!E13=1,IFERROR(1/'Smart Search'!H13,0),0)</f>
        <v/>
      </c>
      <c r="AD53" s="66">
        <f>IF('Smart Search'!F13=1,IFERROR(1/'Smart Search'!H13,0),0)</f>
        <v/>
      </c>
      <c r="AE53" s="66">
        <f>IF('Smart Search'!F13=1,IFERROR(1/'Smart Search'!H13,0),0)</f>
        <v/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66">
        <f>AF53*V53</f>
        <v/>
      </c>
      <c r="AQ53" s="66">
        <f>AG53*W53</f>
        <v/>
      </c>
      <c r="AR53" s="66">
        <f>AH53*X53</f>
        <v/>
      </c>
      <c r="AS53" s="66">
        <f>AI53*Y53</f>
        <v/>
      </c>
      <c r="AT53" s="66">
        <f>AJ53*Z53</f>
        <v/>
      </c>
      <c r="AU53" s="66">
        <f>AK53*AA53</f>
        <v/>
      </c>
      <c r="AV53" s="66">
        <f>AL53*AB53</f>
        <v/>
      </c>
      <c r="AW53" s="66">
        <f>AM53*AC53</f>
        <v/>
      </c>
      <c r="AX53" s="66">
        <f>AN53*AD53</f>
        <v/>
      </c>
      <c r="AY53" s="66">
        <f>AO53*AE53</f>
        <v/>
      </c>
      <c r="AZ53" s="66">
        <f>'Project Database'!Z57</f>
        <v/>
      </c>
      <c r="BA53" s="66">
        <f>IF(OR(A53="",'Smart Search'!H13=0),"",MAX(0,BE53*BF53*MAX(0,1-BG53)))</f>
        <v/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66">
        <f>IF('Smart Search'!G13=1,IFERROR(1/'Smart Search'!H13,0),0)</f>
        <v/>
      </c>
      <c r="BD53" s="66">
        <f>BB53*BC53</f>
        <v/>
      </c>
      <c r="BE53" s="66">
        <f>AP53+AQ53+AR53+AS53+AT53+AU53+AV53+AW53+AX53+AY53+BD53</f>
        <v/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5">
        <f>IF(AND('Project Database'!A57&lt;&gt;"",OR('Smart Search'!$L$5="",'Smart Search'!$L$5="All",TRIM('Project Database'!D57)=TRIM('Smart Search'!$L$5)),OR(TRIM('Smart Search'!$L$6)="",TRIM('Smart Search'!$L$6)="All",ISNUMBER(SEARCH(SUBSTITUTE(SUBSTITUTE(SUBSTITUTE(TRIM('Smart Search'!$L$6),"~","~~"),"*","~*"),"?","~?"),'Project Database'!C57))),OR('Smart Search'!$L$7="",AND('Project Database'!E57&lt;&gt;"",'Project Database'!E57='Smart Search'!$L$7)),OR('Smart Search'!$L$8="",'Smart Search'!$L$8="All",TRIM('Project Database'!F57)=TRIM('Smart Search'!$L$8))),IF(BA53="","",BA53+ROW()*0.0000000001),"")</f>
        <v/>
      </c>
      <c r="BI53" s="5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>
        <f>IF('Project Database'!A57="","",N('Project Database'!AC57))</f>
        <v/>
      </c>
      <c r="BK53" s="5">
        <f>IF('Project Database'!A57="","",N('Project Database'!AD57))</f>
        <v/>
      </c>
      <c r="BL53" s="5">
        <f>IF('Project Database'!A57="","",N('Project Database'!AE57))</f>
        <v/>
      </c>
      <c r="BM53" s="5">
        <f>IF('Project Database'!A57="","",N('Project Database'!AF57))</f>
        <v/>
      </c>
      <c r="BN53" s="5">
        <f>IF('Project Database'!A57="","",N('Project Database'!AG57))</f>
        <v/>
      </c>
      <c r="BO53" s="5">
        <f>IF('Project Database'!A57="","",N('Project Database'!AH57))</f>
        <v/>
      </c>
      <c r="BP53" s="5">
        <f>IF('Project Database'!A57="","",N('Project Database'!AI57))</f>
        <v/>
      </c>
      <c r="BQ53" s="5">
        <f>IF('Project Database'!A57="","",N('Project Database'!AJ57))</f>
        <v/>
      </c>
      <c r="BR53" s="5">
        <f>IF('Project Database'!A57="","",N('Project Database'!AK57))</f>
        <v/>
      </c>
      <c r="BS53" s="5">
        <f>IF('Project Database'!A57="","",N('Project Database'!AL57))</f>
        <v/>
      </c>
      <c r="BT53" s="5">
        <f>IF('Project Database'!A57="","",N('Project Database'!AM57))</f>
        <v/>
      </c>
      <c r="BU53" s="5">
        <f>IF('Project Database'!A57="","",N('Project Database'!AN57))</f>
        <v/>
      </c>
      <c r="BV53" s="5">
        <f>IF('Project Database'!A57="","",N('Project Database'!AO57))</f>
        <v/>
      </c>
      <c r="BW53" s="5">
        <f>IF('Project Database'!A57="","",N('Project Database'!AP57))</f>
        <v/>
      </c>
      <c r="BX53" s="5">
        <f>IF(A53="","",SUM(BJ53:BW53))</f>
        <v/>
      </c>
      <c r="BY53" s="5">
        <f>IF(A53="","",IFERROR(IF(ISNUMBER(U53),U53,VALUE(SUBSTITUTE(SUBSTITUTE(SUBSTITUTE(UPPER(TRIM(U53)),"M",""),",","")," ",""))),0))</f>
        <v/>
      </c>
    </row>
    <row r="54" ht="15" customHeight="1" s="74">
      <c r="A54" s="66">
        <f>'Project Database'!A58</f>
        <v/>
      </c>
      <c r="B54" s="66">
        <f>'Project Database'!B58</f>
        <v/>
      </c>
      <c r="C54" s="66">
        <f>'Project Database'!G58</f>
        <v/>
      </c>
      <c r="D54" s="66">
        <f>'Project Database'!H58</f>
        <v/>
      </c>
      <c r="E54" s="66">
        <f>'Project Database'!I58</f>
        <v/>
      </c>
      <c r="F54" s="66">
        <f>'Project Database'!J58</f>
        <v/>
      </c>
      <c r="G54" s="66">
        <f>'Project Database'!K58</f>
        <v/>
      </c>
      <c r="H54" s="66">
        <f>'Project Database'!L58</f>
        <v/>
      </c>
      <c r="I54" s="66">
        <f>'Project Database'!M58</f>
        <v/>
      </c>
      <c r="J54" s="66">
        <f>'Project Database'!N58</f>
        <v/>
      </c>
      <c r="K54" s="66">
        <f>'Project Database'!O58</f>
        <v/>
      </c>
      <c r="L54" s="66">
        <f>'Project Database'!P58</f>
        <v/>
      </c>
      <c r="M54" s="66">
        <f>'Project Database'!Q58</f>
        <v/>
      </c>
      <c r="N54" s="66">
        <f>'Project Database'!R58</f>
        <v/>
      </c>
      <c r="O54" s="66">
        <f>'Project Database'!S58</f>
        <v/>
      </c>
      <c r="P54" s="66">
        <f>'Project Database'!T58</f>
        <v/>
      </c>
      <c r="Q54" s="66">
        <f>'Project Database'!U58</f>
        <v/>
      </c>
      <c r="R54" s="66">
        <f>'Project Database'!V58</f>
        <v/>
      </c>
      <c r="S54" s="66">
        <f>'Project Database'!W58</f>
        <v/>
      </c>
      <c r="T54" s="66">
        <f>'Project Database'!X58</f>
        <v/>
      </c>
      <c r="U54" s="67">
        <f>'Project Database'!Y58</f>
        <v/>
      </c>
      <c r="V54" s="66">
        <f>IF('Smart Search'!B13=1,IFERROR(1/'Smart Search'!H13,0),0)</f>
        <v/>
      </c>
      <c r="W54" s="66">
        <f>IF('Smart Search'!B13=1,IFERROR(1/'Smart Search'!H13,0),0)</f>
        <v/>
      </c>
      <c r="X54" s="66">
        <f>IF('Smart Search'!C13=1,IFERROR(1/'Smart Search'!H13,0),0)</f>
        <v/>
      </c>
      <c r="Y54" s="66">
        <f>IF('Smart Search'!C13=1,IFERROR(1/'Smart Search'!H13,0),0)</f>
        <v/>
      </c>
      <c r="Z54" s="66">
        <f>IF('Smart Search'!D13=1,IFERROR(1/'Smart Search'!H13,0),0)</f>
        <v/>
      </c>
      <c r="AA54" s="66">
        <f>IF('Smart Search'!D13=1,IFERROR(1/'Smart Search'!H13,0),0)</f>
        <v/>
      </c>
      <c r="AB54" s="66">
        <f>IF('Smart Search'!E13=1,IFERROR(1/'Smart Search'!H13,0),0)</f>
        <v/>
      </c>
      <c r="AC54" s="66">
        <f>IF('Smart Search'!E13=1,IFERROR(1/'Smart Search'!H13,0),0)</f>
        <v/>
      </c>
      <c r="AD54" s="66">
        <f>IF('Smart Search'!F13=1,IFERROR(1/'Smart Search'!H13,0),0)</f>
        <v/>
      </c>
      <c r="AE54" s="66">
        <f>IF('Smart Search'!F13=1,IFERROR(1/'Smart Search'!H13,0),0)</f>
        <v/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66">
        <f>AF54*V54</f>
        <v/>
      </c>
      <c r="AQ54" s="66">
        <f>AG54*W54</f>
        <v/>
      </c>
      <c r="AR54" s="66">
        <f>AH54*X54</f>
        <v/>
      </c>
      <c r="AS54" s="66">
        <f>AI54*Y54</f>
        <v/>
      </c>
      <c r="AT54" s="66">
        <f>AJ54*Z54</f>
        <v/>
      </c>
      <c r="AU54" s="66">
        <f>AK54*AA54</f>
        <v/>
      </c>
      <c r="AV54" s="66">
        <f>AL54*AB54</f>
        <v/>
      </c>
      <c r="AW54" s="66">
        <f>AM54*AC54</f>
        <v/>
      </c>
      <c r="AX54" s="66">
        <f>AN54*AD54</f>
        <v/>
      </c>
      <c r="AY54" s="66">
        <f>AO54*AE54</f>
        <v/>
      </c>
      <c r="AZ54" s="66">
        <f>'Project Database'!Z58</f>
        <v/>
      </c>
      <c r="BA54" s="66">
        <f>IF(OR(A54="",'Smart Search'!H13=0),"",MAX(0,BE54*BF54*MAX(0,1-BG54)))</f>
        <v/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66">
        <f>IF('Smart Search'!G13=1,IFERROR(1/'Smart Search'!H13,0),0)</f>
        <v/>
      </c>
      <c r="BD54" s="66">
        <f>BB54*BC54</f>
        <v/>
      </c>
      <c r="BE54" s="66">
        <f>AP54+AQ54+AR54+AS54+AT54+AU54+AV54+AW54+AX54+AY54+BD54</f>
        <v/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5">
        <f>IF(AND('Project Database'!A58&lt;&gt;"",OR('Smart Search'!$L$5="",'Smart Search'!$L$5="All",TRIM('Project Database'!D58)=TRIM('Smart Search'!$L$5)),OR(TRIM('Smart Search'!$L$6)="",TRIM('Smart Search'!$L$6)="All",ISNUMBER(SEARCH(SUBSTITUTE(SUBSTITUTE(SUBSTITUTE(TRIM('Smart Search'!$L$6),"~","~~"),"*","~*"),"?","~?"),'Project Database'!C58))),OR('Smart Search'!$L$7="",AND('Project Database'!E58&lt;&gt;"",'Project Database'!E58='Smart Search'!$L$7)),OR('Smart Search'!$L$8="",'Smart Search'!$L$8="All",TRIM('Project Database'!F58)=TRIM('Smart Search'!$L$8))),IF(BA54="","",BA54+ROW()*0.0000000001),"")</f>
        <v/>
      </c>
      <c r="BI54" s="5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>
        <f>IF('Project Database'!A58="","",N('Project Database'!AC58))</f>
        <v/>
      </c>
      <c r="BK54" s="5">
        <f>IF('Project Database'!A58="","",N('Project Database'!AD58))</f>
        <v/>
      </c>
      <c r="BL54" s="5">
        <f>IF('Project Database'!A58="","",N('Project Database'!AE58))</f>
        <v/>
      </c>
      <c r="BM54" s="5">
        <f>IF('Project Database'!A58="","",N('Project Database'!AF58))</f>
        <v/>
      </c>
      <c r="BN54" s="5">
        <f>IF('Project Database'!A58="","",N('Project Database'!AG58))</f>
        <v/>
      </c>
      <c r="BO54" s="5">
        <f>IF('Project Database'!A58="","",N('Project Database'!AH58))</f>
        <v/>
      </c>
      <c r="BP54" s="5">
        <f>IF('Project Database'!A58="","",N('Project Database'!AI58))</f>
        <v/>
      </c>
      <c r="BQ54" s="5">
        <f>IF('Project Database'!A58="","",N('Project Database'!AJ58))</f>
        <v/>
      </c>
      <c r="BR54" s="5">
        <f>IF('Project Database'!A58="","",N('Project Database'!AK58))</f>
        <v/>
      </c>
      <c r="BS54" s="5">
        <f>IF('Project Database'!A58="","",N('Project Database'!AL58))</f>
        <v/>
      </c>
      <c r="BT54" s="5">
        <f>IF('Project Database'!A58="","",N('Project Database'!AM58))</f>
        <v/>
      </c>
      <c r="BU54" s="5">
        <f>IF('Project Database'!A58="","",N('Project Database'!AN58))</f>
        <v/>
      </c>
      <c r="BV54" s="5">
        <f>IF('Project Database'!A58="","",N('Project Database'!AO58))</f>
        <v/>
      </c>
      <c r="BW54" s="5">
        <f>IF('Project Database'!A58="","",N('Project Database'!AP58))</f>
        <v/>
      </c>
      <c r="BX54" s="5">
        <f>IF(A54="","",SUM(BJ54:BW54))</f>
        <v/>
      </c>
      <c r="BY54" s="5">
        <f>IF(A54="","",IFERROR(IF(ISNUMBER(U54),U54,VALUE(SUBSTITUTE(SUBSTITUTE(SUBSTITUTE(UPPER(TRIM(U54)),"M",""),",","")," ",""))),0))</f>
        <v/>
      </c>
    </row>
    <row r="55" ht="15" customHeight="1" s="74">
      <c r="A55" s="66">
        <f>'Project Database'!A59</f>
        <v/>
      </c>
      <c r="B55" s="66">
        <f>'Project Database'!B59</f>
        <v/>
      </c>
      <c r="C55" s="66">
        <f>'Project Database'!G59</f>
        <v/>
      </c>
      <c r="D55" s="66">
        <f>'Project Database'!H59</f>
        <v/>
      </c>
      <c r="E55" s="66">
        <f>'Project Database'!I59</f>
        <v/>
      </c>
      <c r="F55" s="66">
        <f>'Project Database'!J59</f>
        <v/>
      </c>
      <c r="G55" s="66">
        <f>'Project Database'!K59</f>
        <v/>
      </c>
      <c r="H55" s="66">
        <f>'Project Database'!L59</f>
        <v/>
      </c>
      <c r="I55" s="66">
        <f>'Project Database'!M59</f>
        <v/>
      </c>
      <c r="J55" s="66">
        <f>'Project Database'!N59</f>
        <v/>
      </c>
      <c r="K55" s="66">
        <f>'Project Database'!O59</f>
        <v/>
      </c>
      <c r="L55" s="66">
        <f>'Project Database'!P59</f>
        <v/>
      </c>
      <c r="M55" s="66">
        <f>'Project Database'!Q59</f>
        <v/>
      </c>
      <c r="N55" s="66">
        <f>'Project Database'!R59</f>
        <v/>
      </c>
      <c r="O55" s="66">
        <f>'Project Database'!S59</f>
        <v/>
      </c>
      <c r="P55" s="66">
        <f>'Project Database'!T59</f>
        <v/>
      </c>
      <c r="Q55" s="66">
        <f>'Project Database'!U59</f>
        <v/>
      </c>
      <c r="R55" s="66">
        <f>'Project Database'!V59</f>
        <v/>
      </c>
      <c r="S55" s="66">
        <f>'Project Database'!W59</f>
        <v/>
      </c>
      <c r="T55" s="66">
        <f>'Project Database'!X59</f>
        <v/>
      </c>
      <c r="U55" s="67">
        <f>'Project Database'!Y59</f>
        <v/>
      </c>
      <c r="V55" s="66">
        <f>IF('Smart Search'!B13=1,IFERROR(1/'Smart Search'!H13,0),0)</f>
        <v/>
      </c>
      <c r="W55" s="66">
        <f>IF('Smart Search'!B13=1,IFERROR(1/'Smart Search'!H13,0),0)</f>
        <v/>
      </c>
      <c r="X55" s="66">
        <f>IF('Smart Search'!C13=1,IFERROR(1/'Smart Search'!H13,0),0)</f>
        <v/>
      </c>
      <c r="Y55" s="66">
        <f>IF('Smart Search'!C13=1,IFERROR(1/'Smart Search'!H13,0),0)</f>
        <v/>
      </c>
      <c r="Z55" s="66">
        <f>IF('Smart Search'!D13=1,IFERROR(1/'Smart Search'!H13,0),0)</f>
        <v/>
      </c>
      <c r="AA55" s="66">
        <f>IF('Smart Search'!D13=1,IFERROR(1/'Smart Search'!H13,0),0)</f>
        <v/>
      </c>
      <c r="AB55" s="66">
        <f>IF('Smart Search'!E13=1,IFERROR(1/'Smart Search'!H13,0),0)</f>
        <v/>
      </c>
      <c r="AC55" s="66">
        <f>IF('Smart Search'!E13=1,IFERROR(1/'Smart Search'!H13,0),0)</f>
        <v/>
      </c>
      <c r="AD55" s="66">
        <f>IF('Smart Search'!F13=1,IFERROR(1/'Smart Search'!H13,0),0)</f>
        <v/>
      </c>
      <c r="AE55" s="66">
        <f>IF('Smart Search'!F13=1,IFERROR(1/'Smart Search'!H13,0),0)</f>
        <v/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66">
        <f>AF55*V55</f>
        <v/>
      </c>
      <c r="AQ55" s="66">
        <f>AG55*W55</f>
        <v/>
      </c>
      <c r="AR55" s="66">
        <f>AH55*X55</f>
        <v/>
      </c>
      <c r="AS55" s="66">
        <f>AI55*Y55</f>
        <v/>
      </c>
      <c r="AT55" s="66">
        <f>AJ55*Z55</f>
        <v/>
      </c>
      <c r="AU55" s="66">
        <f>AK55*AA55</f>
        <v/>
      </c>
      <c r="AV55" s="66">
        <f>AL55*AB55</f>
        <v/>
      </c>
      <c r="AW55" s="66">
        <f>AM55*AC55</f>
        <v/>
      </c>
      <c r="AX55" s="66">
        <f>AN55*AD55</f>
        <v/>
      </c>
      <c r="AY55" s="66">
        <f>AO55*AE55</f>
        <v/>
      </c>
      <c r="AZ55" s="66">
        <f>'Project Database'!Z59</f>
        <v/>
      </c>
      <c r="BA55" s="66">
        <f>IF(OR(A55="",'Smart Search'!H13=0),"",MAX(0,BE55*BF55*MAX(0,1-BG55)))</f>
        <v/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66">
        <f>IF('Smart Search'!G13=1,IFERROR(1/'Smart Search'!H13,0),0)</f>
        <v/>
      </c>
      <c r="BD55" s="66">
        <f>BB55*BC55</f>
        <v/>
      </c>
      <c r="BE55" s="66">
        <f>AP55+AQ55+AR55+AS55+AT55+AU55+AV55+AW55+AX55+AY55+BD55</f>
        <v/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5">
        <f>IF(AND('Project Database'!A59&lt;&gt;"",OR('Smart Search'!$L$5="",'Smart Search'!$L$5="All",TRIM('Project Database'!D59)=TRIM('Smart Search'!$L$5)),OR(TRIM('Smart Search'!$L$6)="",TRIM('Smart Search'!$L$6)="All",ISNUMBER(SEARCH(SUBSTITUTE(SUBSTITUTE(SUBSTITUTE(TRIM('Smart Search'!$L$6),"~","~~"),"*","~*"),"?","~?"),'Project Database'!C59))),OR('Smart Search'!$L$7="",AND('Project Database'!E59&lt;&gt;"",'Project Database'!E59='Smart Search'!$L$7)),OR('Smart Search'!$L$8="",'Smart Search'!$L$8="All",TRIM('Project Database'!F59)=TRIM('Smart Search'!$L$8))),IF(BA55="","",BA55+ROW()*0.0000000001),"")</f>
        <v/>
      </c>
      <c r="BI55" s="5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>
        <f>IF('Project Database'!A59="","",N('Project Database'!AC59))</f>
        <v/>
      </c>
      <c r="BK55" s="5">
        <f>IF('Project Database'!A59="","",N('Project Database'!AD59))</f>
        <v/>
      </c>
      <c r="BL55" s="5">
        <f>IF('Project Database'!A59="","",N('Project Database'!AE59))</f>
        <v/>
      </c>
      <c r="BM55" s="5">
        <f>IF('Project Database'!A59="","",N('Project Database'!AF59))</f>
        <v/>
      </c>
      <c r="BN55" s="5">
        <f>IF('Project Database'!A59="","",N('Project Database'!AG59))</f>
        <v/>
      </c>
      <c r="BO55" s="5">
        <f>IF('Project Database'!A59="","",N('Project Database'!AH59))</f>
        <v/>
      </c>
      <c r="BP55" s="5">
        <f>IF('Project Database'!A59="","",N('Project Database'!AI59))</f>
        <v/>
      </c>
      <c r="BQ55" s="5">
        <f>IF('Project Database'!A59="","",N('Project Database'!AJ59))</f>
        <v/>
      </c>
      <c r="BR55" s="5">
        <f>IF('Project Database'!A59="","",N('Project Database'!AK59))</f>
        <v/>
      </c>
      <c r="BS55" s="5">
        <f>IF('Project Database'!A59="","",N('Project Database'!AL59))</f>
        <v/>
      </c>
      <c r="BT55" s="5">
        <f>IF('Project Database'!A59="","",N('Project Database'!AM59))</f>
        <v/>
      </c>
      <c r="BU55" s="5">
        <f>IF('Project Database'!A59="","",N('Project Database'!AN59))</f>
        <v/>
      </c>
      <c r="BV55" s="5">
        <f>IF('Project Database'!A59="","",N('Project Database'!AO59))</f>
        <v/>
      </c>
      <c r="BW55" s="5">
        <f>IF('Project Database'!A59="","",N('Project Database'!AP59))</f>
        <v/>
      </c>
      <c r="BX55" s="5">
        <f>IF(A55="","",SUM(BJ55:BW55))</f>
        <v/>
      </c>
      <c r="BY55" s="5">
        <f>IF(A55="","",IFERROR(IF(ISNUMBER(U55),U55,VALUE(SUBSTITUTE(SUBSTITUTE(SUBSTITUTE(UPPER(TRIM(U55)),"M",""),",","")," ",""))),0))</f>
        <v/>
      </c>
    </row>
    <row r="56" ht="15" customHeight="1" s="74">
      <c r="A56" s="66">
        <f>'Project Database'!A60</f>
        <v/>
      </c>
      <c r="B56" s="66">
        <f>'Project Database'!B60</f>
        <v/>
      </c>
      <c r="C56" s="66">
        <f>'Project Database'!G60</f>
        <v/>
      </c>
      <c r="D56" s="66">
        <f>'Project Database'!H60</f>
        <v/>
      </c>
      <c r="E56" s="66">
        <f>'Project Database'!I60</f>
        <v/>
      </c>
      <c r="F56" s="66">
        <f>'Project Database'!J60</f>
        <v/>
      </c>
      <c r="G56" s="66">
        <f>'Project Database'!K60</f>
        <v/>
      </c>
      <c r="H56" s="66">
        <f>'Project Database'!L60</f>
        <v/>
      </c>
      <c r="I56" s="66">
        <f>'Project Database'!M60</f>
        <v/>
      </c>
      <c r="J56" s="66">
        <f>'Project Database'!N60</f>
        <v/>
      </c>
      <c r="K56" s="66">
        <f>'Project Database'!O60</f>
        <v/>
      </c>
      <c r="L56" s="66">
        <f>'Project Database'!P60</f>
        <v/>
      </c>
      <c r="M56" s="66">
        <f>'Project Database'!Q60</f>
        <v/>
      </c>
      <c r="N56" s="66">
        <f>'Project Database'!R60</f>
        <v/>
      </c>
      <c r="O56" s="66">
        <f>'Project Database'!S60</f>
        <v/>
      </c>
      <c r="P56" s="66">
        <f>'Project Database'!T60</f>
        <v/>
      </c>
      <c r="Q56" s="66">
        <f>'Project Database'!U60</f>
        <v/>
      </c>
      <c r="R56" s="66">
        <f>'Project Database'!V60</f>
        <v/>
      </c>
      <c r="S56" s="66">
        <f>'Project Database'!W60</f>
        <v/>
      </c>
      <c r="T56" s="66">
        <f>'Project Database'!X60</f>
        <v/>
      </c>
      <c r="U56" s="67">
        <f>'Project Database'!Y60</f>
        <v/>
      </c>
      <c r="V56" s="66">
        <f>IF('Smart Search'!B13=1,IFERROR(1/'Smart Search'!H13,0),0)</f>
        <v/>
      </c>
      <c r="W56" s="66">
        <f>IF('Smart Search'!B13=1,IFERROR(1/'Smart Search'!H13,0),0)</f>
        <v/>
      </c>
      <c r="X56" s="66">
        <f>IF('Smart Search'!C13=1,IFERROR(1/'Smart Search'!H13,0),0)</f>
        <v/>
      </c>
      <c r="Y56" s="66">
        <f>IF('Smart Search'!C13=1,IFERROR(1/'Smart Search'!H13,0),0)</f>
        <v/>
      </c>
      <c r="Z56" s="66">
        <f>IF('Smart Search'!D13=1,IFERROR(1/'Smart Search'!H13,0),0)</f>
        <v/>
      </c>
      <c r="AA56" s="66">
        <f>IF('Smart Search'!D13=1,IFERROR(1/'Smart Search'!H13,0),0)</f>
        <v/>
      </c>
      <c r="AB56" s="66">
        <f>IF('Smart Search'!E13=1,IFERROR(1/'Smart Search'!H13,0),0)</f>
        <v/>
      </c>
      <c r="AC56" s="66">
        <f>IF('Smart Search'!E13=1,IFERROR(1/'Smart Search'!H13,0),0)</f>
        <v/>
      </c>
      <c r="AD56" s="66">
        <f>IF('Smart Search'!F13=1,IFERROR(1/'Smart Search'!H13,0),0)</f>
        <v/>
      </c>
      <c r="AE56" s="66">
        <f>IF('Smart Search'!F13=1,IFERROR(1/'Smart Search'!H13,0),0)</f>
        <v/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66">
        <f>AF56*V56</f>
        <v/>
      </c>
      <c r="AQ56" s="66">
        <f>AG56*W56</f>
        <v/>
      </c>
      <c r="AR56" s="66">
        <f>AH56*X56</f>
        <v/>
      </c>
      <c r="AS56" s="66">
        <f>AI56*Y56</f>
        <v/>
      </c>
      <c r="AT56" s="66">
        <f>AJ56*Z56</f>
        <v/>
      </c>
      <c r="AU56" s="66">
        <f>AK56*AA56</f>
        <v/>
      </c>
      <c r="AV56" s="66">
        <f>AL56*AB56</f>
        <v/>
      </c>
      <c r="AW56" s="66">
        <f>AM56*AC56</f>
        <v/>
      </c>
      <c r="AX56" s="66">
        <f>AN56*AD56</f>
        <v/>
      </c>
      <c r="AY56" s="66">
        <f>AO56*AE56</f>
        <v/>
      </c>
      <c r="AZ56" s="66">
        <f>'Project Database'!Z60</f>
        <v/>
      </c>
      <c r="BA56" s="66">
        <f>IF(OR(A56="",'Smart Search'!H13=0),"",MAX(0,BE56*BF56*MAX(0,1-BG56)))</f>
        <v/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66">
        <f>IF('Smart Search'!G13=1,IFERROR(1/'Smart Search'!H13,0),0)</f>
        <v/>
      </c>
      <c r="BD56" s="66">
        <f>BB56*BC56</f>
        <v/>
      </c>
      <c r="BE56" s="66">
        <f>AP56+AQ56+AR56+AS56+AT56+AU56+AV56+AW56+AX56+AY56+BD56</f>
        <v/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5">
        <f>IF(AND('Project Database'!A60&lt;&gt;"",OR('Smart Search'!$L$5="",'Smart Search'!$L$5="All",TRIM('Project Database'!D60)=TRIM('Smart Search'!$L$5)),OR(TRIM('Smart Search'!$L$6)="",TRIM('Smart Search'!$L$6)="All",ISNUMBER(SEARCH(SUBSTITUTE(SUBSTITUTE(SUBSTITUTE(TRIM('Smart Search'!$L$6),"~","~~"),"*","~*"),"?","~?"),'Project Database'!C60))),OR('Smart Search'!$L$7="",AND('Project Database'!E60&lt;&gt;"",'Project Database'!E60='Smart Search'!$L$7)),OR('Smart Search'!$L$8="",'Smart Search'!$L$8="All",TRIM('Project Database'!F60)=TRIM('Smart Search'!$L$8))),IF(BA56="","",BA56+ROW()*0.0000000001),"")</f>
        <v/>
      </c>
      <c r="BI56" s="5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>
        <f>IF('Project Database'!A60="","",N('Project Database'!AC60))</f>
        <v/>
      </c>
      <c r="BK56" s="5">
        <f>IF('Project Database'!A60="","",N('Project Database'!AD60))</f>
        <v/>
      </c>
      <c r="BL56" s="5">
        <f>IF('Project Database'!A60="","",N('Project Database'!AE60))</f>
        <v/>
      </c>
      <c r="BM56" s="5">
        <f>IF('Project Database'!A60="","",N('Project Database'!AF60))</f>
        <v/>
      </c>
      <c r="BN56" s="5">
        <f>IF('Project Database'!A60="","",N('Project Database'!AG60))</f>
        <v/>
      </c>
      <c r="BO56" s="5">
        <f>IF('Project Database'!A60="","",N('Project Database'!AH60))</f>
        <v/>
      </c>
      <c r="BP56" s="5">
        <f>IF('Project Database'!A60="","",N('Project Database'!AI60))</f>
        <v/>
      </c>
      <c r="BQ56" s="5">
        <f>IF('Project Database'!A60="","",N('Project Database'!AJ60))</f>
        <v/>
      </c>
      <c r="BR56" s="5">
        <f>IF('Project Database'!A60="","",N('Project Database'!AK60))</f>
        <v/>
      </c>
      <c r="BS56" s="5">
        <f>IF('Project Database'!A60="","",N('Project Database'!AL60))</f>
        <v/>
      </c>
      <c r="BT56" s="5">
        <f>IF('Project Database'!A60="","",N('Project Database'!AM60))</f>
        <v/>
      </c>
      <c r="BU56" s="5">
        <f>IF('Project Database'!A60="","",N('Project Database'!AN60))</f>
        <v/>
      </c>
      <c r="BV56" s="5">
        <f>IF('Project Database'!A60="","",N('Project Database'!AO60))</f>
        <v/>
      </c>
      <c r="BW56" s="5">
        <f>IF('Project Database'!A60="","",N('Project Database'!AP60))</f>
        <v/>
      </c>
      <c r="BX56" s="5">
        <f>IF(A56="","",SUM(BJ56:BW56))</f>
        <v/>
      </c>
      <c r="BY56" s="5">
        <f>IF(A56="","",IFERROR(IF(ISNUMBER(U56),U56,VALUE(SUBSTITUTE(SUBSTITUTE(SUBSTITUTE(UPPER(TRIM(U56)),"M",""),",","")," ",""))),0))</f>
        <v/>
      </c>
    </row>
    <row r="57" ht="15" customHeight="1" s="74">
      <c r="A57" s="66">
        <f>'Project Database'!A61</f>
        <v/>
      </c>
      <c r="B57" s="66">
        <f>'Project Database'!B61</f>
        <v/>
      </c>
      <c r="C57" s="66">
        <f>'Project Database'!G61</f>
        <v/>
      </c>
      <c r="D57" s="66">
        <f>'Project Database'!H61</f>
        <v/>
      </c>
      <c r="E57" s="66">
        <f>'Project Database'!I61</f>
        <v/>
      </c>
      <c r="F57" s="66">
        <f>'Project Database'!J61</f>
        <v/>
      </c>
      <c r="G57" s="66">
        <f>'Project Database'!K61</f>
        <v/>
      </c>
      <c r="H57" s="66">
        <f>'Project Database'!L61</f>
        <v/>
      </c>
      <c r="I57" s="66">
        <f>'Project Database'!M61</f>
        <v/>
      </c>
      <c r="J57" s="66">
        <f>'Project Database'!N61</f>
        <v/>
      </c>
      <c r="K57" s="66">
        <f>'Project Database'!O61</f>
        <v/>
      </c>
      <c r="L57" s="66">
        <f>'Project Database'!P61</f>
        <v/>
      </c>
      <c r="M57" s="66">
        <f>'Project Database'!Q61</f>
        <v/>
      </c>
      <c r="N57" s="66">
        <f>'Project Database'!R61</f>
        <v/>
      </c>
      <c r="O57" s="66">
        <f>'Project Database'!S61</f>
        <v/>
      </c>
      <c r="P57" s="66">
        <f>'Project Database'!T61</f>
        <v/>
      </c>
      <c r="Q57" s="66">
        <f>'Project Database'!U61</f>
        <v/>
      </c>
      <c r="R57" s="66">
        <f>'Project Database'!V61</f>
        <v/>
      </c>
      <c r="S57" s="66">
        <f>'Project Database'!W61</f>
        <v/>
      </c>
      <c r="T57" s="66">
        <f>'Project Database'!X61</f>
        <v/>
      </c>
      <c r="U57" s="67">
        <f>'Project Database'!Y61</f>
        <v/>
      </c>
      <c r="V57" s="66">
        <f>IF('Smart Search'!B13=1,IFERROR(1/'Smart Search'!H13,0),0)</f>
        <v/>
      </c>
      <c r="W57" s="66">
        <f>IF('Smart Search'!B13=1,IFERROR(1/'Smart Search'!H13,0),0)</f>
        <v/>
      </c>
      <c r="X57" s="66">
        <f>IF('Smart Search'!C13=1,IFERROR(1/'Smart Search'!H13,0),0)</f>
        <v/>
      </c>
      <c r="Y57" s="66">
        <f>IF('Smart Search'!C13=1,IFERROR(1/'Smart Search'!H13,0),0)</f>
        <v/>
      </c>
      <c r="Z57" s="66">
        <f>IF('Smart Search'!D13=1,IFERROR(1/'Smart Search'!H13,0),0)</f>
        <v/>
      </c>
      <c r="AA57" s="66">
        <f>IF('Smart Search'!D13=1,IFERROR(1/'Smart Search'!H13,0),0)</f>
        <v/>
      </c>
      <c r="AB57" s="66">
        <f>IF('Smart Search'!E13=1,IFERROR(1/'Smart Search'!H13,0),0)</f>
        <v/>
      </c>
      <c r="AC57" s="66">
        <f>IF('Smart Search'!E13=1,IFERROR(1/'Smart Search'!H13,0),0)</f>
        <v/>
      </c>
      <c r="AD57" s="66">
        <f>IF('Smart Search'!F13=1,IFERROR(1/'Smart Search'!H13,0),0)</f>
        <v/>
      </c>
      <c r="AE57" s="66">
        <f>IF('Smart Search'!F13=1,IFERROR(1/'Smart Search'!H13,0),0)</f>
        <v/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66">
        <f>AF57*V57</f>
        <v/>
      </c>
      <c r="AQ57" s="66">
        <f>AG57*W57</f>
        <v/>
      </c>
      <c r="AR57" s="66">
        <f>AH57*X57</f>
        <v/>
      </c>
      <c r="AS57" s="66">
        <f>AI57*Y57</f>
        <v/>
      </c>
      <c r="AT57" s="66">
        <f>AJ57*Z57</f>
        <v/>
      </c>
      <c r="AU57" s="66">
        <f>AK57*AA57</f>
        <v/>
      </c>
      <c r="AV57" s="66">
        <f>AL57*AB57</f>
        <v/>
      </c>
      <c r="AW57" s="66">
        <f>AM57*AC57</f>
        <v/>
      </c>
      <c r="AX57" s="66">
        <f>AN57*AD57</f>
        <v/>
      </c>
      <c r="AY57" s="66">
        <f>AO57*AE57</f>
        <v/>
      </c>
      <c r="AZ57" s="66">
        <f>'Project Database'!Z61</f>
        <v/>
      </c>
      <c r="BA57" s="66">
        <f>IF(OR(A57="",'Smart Search'!H13=0),"",MAX(0,BE57*BF57*MAX(0,1-BG57)))</f>
        <v/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66">
        <f>IF('Smart Search'!G13=1,IFERROR(1/'Smart Search'!H13,0),0)</f>
        <v/>
      </c>
      <c r="BD57" s="66">
        <f>BB57*BC57</f>
        <v/>
      </c>
      <c r="BE57" s="66">
        <f>AP57+AQ57+AR57+AS57+AT57+AU57+AV57+AW57+AX57+AY57+BD57</f>
        <v/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5">
        <f>IF(AND('Project Database'!A61&lt;&gt;"",OR('Smart Search'!$L$5="",'Smart Search'!$L$5="All",TRIM('Project Database'!D61)=TRIM('Smart Search'!$L$5)),OR(TRIM('Smart Search'!$L$6)="",TRIM('Smart Search'!$L$6)="All",ISNUMBER(SEARCH(SUBSTITUTE(SUBSTITUTE(SUBSTITUTE(TRIM('Smart Search'!$L$6),"~","~~"),"*","~*"),"?","~?"),'Project Database'!C61))),OR('Smart Search'!$L$7="",AND('Project Database'!E61&lt;&gt;"",'Project Database'!E61='Smart Search'!$L$7)),OR('Smart Search'!$L$8="",'Smart Search'!$L$8="All",TRIM('Project Database'!F61)=TRIM('Smart Search'!$L$8))),IF(BA57="","",BA57+ROW()*0.0000000001),"")</f>
        <v/>
      </c>
      <c r="BI57" s="5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>
        <f>IF('Project Database'!A61="","",N('Project Database'!AC61))</f>
        <v/>
      </c>
      <c r="BK57" s="5">
        <f>IF('Project Database'!A61="","",N('Project Database'!AD61))</f>
        <v/>
      </c>
      <c r="BL57" s="5">
        <f>IF('Project Database'!A61="","",N('Project Database'!AE61))</f>
        <v/>
      </c>
      <c r="BM57" s="5">
        <f>IF('Project Database'!A61="","",N('Project Database'!AF61))</f>
        <v/>
      </c>
      <c r="BN57" s="5">
        <f>IF('Project Database'!A61="","",N('Project Database'!AG61))</f>
        <v/>
      </c>
      <c r="BO57" s="5">
        <f>IF('Project Database'!A61="","",N('Project Database'!AH61))</f>
        <v/>
      </c>
      <c r="BP57" s="5">
        <f>IF('Project Database'!A61="","",N('Project Database'!AI61))</f>
        <v/>
      </c>
      <c r="BQ57" s="5">
        <f>IF('Project Database'!A61="","",N('Project Database'!AJ61))</f>
        <v/>
      </c>
      <c r="BR57" s="5">
        <f>IF('Project Database'!A61="","",N('Project Database'!AK61))</f>
        <v/>
      </c>
      <c r="BS57" s="5">
        <f>IF('Project Database'!A61="","",N('Project Database'!AL61))</f>
        <v/>
      </c>
      <c r="BT57" s="5">
        <f>IF('Project Database'!A61="","",N('Project Database'!AM61))</f>
        <v/>
      </c>
      <c r="BU57" s="5">
        <f>IF('Project Database'!A61="","",N('Project Database'!AN61))</f>
        <v/>
      </c>
      <c r="BV57" s="5">
        <f>IF('Project Database'!A61="","",N('Project Database'!AO61))</f>
        <v/>
      </c>
      <c r="BW57" s="5">
        <f>IF('Project Database'!A61="","",N('Project Database'!AP61))</f>
        <v/>
      </c>
      <c r="BX57" s="5">
        <f>IF(A57="","",SUM(BJ57:BW57))</f>
        <v/>
      </c>
      <c r="BY57" s="5">
        <f>IF(A57="","",IFERROR(IF(ISNUMBER(U57),U57,VALUE(SUBSTITUTE(SUBSTITUTE(SUBSTITUTE(UPPER(TRIM(U57)),"M",""),",","")," ",""))),0))</f>
        <v/>
      </c>
    </row>
    <row r="58" ht="15" customHeight="1" s="74">
      <c r="A58" s="66">
        <f>'Project Database'!A62</f>
        <v/>
      </c>
      <c r="B58" s="66">
        <f>'Project Database'!B62</f>
        <v/>
      </c>
      <c r="C58" s="66">
        <f>'Project Database'!G62</f>
        <v/>
      </c>
      <c r="D58" s="66">
        <f>'Project Database'!H62</f>
        <v/>
      </c>
      <c r="E58" s="66">
        <f>'Project Database'!I62</f>
        <v/>
      </c>
      <c r="F58" s="66">
        <f>'Project Database'!J62</f>
        <v/>
      </c>
      <c r="G58" s="66">
        <f>'Project Database'!K62</f>
        <v/>
      </c>
      <c r="H58" s="66">
        <f>'Project Database'!L62</f>
        <v/>
      </c>
      <c r="I58" s="66">
        <f>'Project Database'!M62</f>
        <v/>
      </c>
      <c r="J58" s="66">
        <f>'Project Database'!N62</f>
        <v/>
      </c>
      <c r="K58" s="66">
        <f>'Project Database'!O62</f>
        <v/>
      </c>
      <c r="L58" s="66">
        <f>'Project Database'!P62</f>
        <v/>
      </c>
      <c r="M58" s="66">
        <f>'Project Database'!Q62</f>
        <v/>
      </c>
      <c r="N58" s="66">
        <f>'Project Database'!R62</f>
        <v/>
      </c>
      <c r="O58" s="66">
        <f>'Project Database'!S62</f>
        <v/>
      </c>
      <c r="P58" s="66">
        <f>'Project Database'!T62</f>
        <v/>
      </c>
      <c r="Q58" s="66">
        <f>'Project Database'!U62</f>
        <v/>
      </c>
      <c r="R58" s="66">
        <f>'Project Database'!V62</f>
        <v/>
      </c>
      <c r="S58" s="66">
        <f>'Project Database'!W62</f>
        <v/>
      </c>
      <c r="T58" s="66">
        <f>'Project Database'!X62</f>
        <v/>
      </c>
      <c r="U58" s="67">
        <f>'Project Database'!Y62</f>
        <v/>
      </c>
      <c r="V58" s="66">
        <f>IF('Smart Search'!B13=1,IFERROR(1/'Smart Search'!H13,0),0)</f>
        <v/>
      </c>
      <c r="W58" s="66">
        <f>IF('Smart Search'!B13=1,IFERROR(1/'Smart Search'!H13,0),0)</f>
        <v/>
      </c>
      <c r="X58" s="66">
        <f>IF('Smart Search'!C13=1,IFERROR(1/'Smart Search'!H13,0),0)</f>
        <v/>
      </c>
      <c r="Y58" s="66">
        <f>IF('Smart Search'!C13=1,IFERROR(1/'Smart Search'!H13,0),0)</f>
        <v/>
      </c>
      <c r="Z58" s="66">
        <f>IF('Smart Search'!D13=1,IFERROR(1/'Smart Search'!H13,0),0)</f>
        <v/>
      </c>
      <c r="AA58" s="66">
        <f>IF('Smart Search'!D13=1,IFERROR(1/'Smart Search'!H13,0),0)</f>
        <v/>
      </c>
      <c r="AB58" s="66">
        <f>IF('Smart Search'!E13=1,IFERROR(1/'Smart Search'!H13,0),0)</f>
        <v/>
      </c>
      <c r="AC58" s="66">
        <f>IF('Smart Search'!E13=1,IFERROR(1/'Smart Search'!H13,0),0)</f>
        <v/>
      </c>
      <c r="AD58" s="66">
        <f>IF('Smart Search'!F13=1,IFERROR(1/'Smart Search'!H13,0),0)</f>
        <v/>
      </c>
      <c r="AE58" s="66">
        <f>IF('Smart Search'!F13=1,IFERROR(1/'Smart Search'!H13,0),0)</f>
        <v/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66">
        <f>AF58*V58</f>
        <v/>
      </c>
      <c r="AQ58" s="66">
        <f>AG58*W58</f>
        <v/>
      </c>
      <c r="AR58" s="66">
        <f>AH58*X58</f>
        <v/>
      </c>
      <c r="AS58" s="66">
        <f>AI58*Y58</f>
        <v/>
      </c>
      <c r="AT58" s="66">
        <f>AJ58*Z58</f>
        <v/>
      </c>
      <c r="AU58" s="66">
        <f>AK58*AA58</f>
        <v/>
      </c>
      <c r="AV58" s="66">
        <f>AL58*AB58</f>
        <v/>
      </c>
      <c r="AW58" s="66">
        <f>AM58*AC58</f>
        <v/>
      </c>
      <c r="AX58" s="66">
        <f>AN58*AD58</f>
        <v/>
      </c>
      <c r="AY58" s="66">
        <f>AO58*AE58</f>
        <v/>
      </c>
      <c r="AZ58" s="66">
        <f>'Project Database'!Z62</f>
        <v/>
      </c>
      <c r="BA58" s="66">
        <f>IF(OR(A58="",'Smart Search'!H13=0),"",MAX(0,BE58*BF58*MAX(0,1-BG58)))</f>
        <v/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66">
        <f>IF('Smart Search'!G13=1,IFERROR(1/'Smart Search'!H13,0),0)</f>
        <v/>
      </c>
      <c r="BD58" s="66">
        <f>BB58*BC58</f>
        <v/>
      </c>
      <c r="BE58" s="66">
        <f>AP58+AQ58+AR58+AS58+AT58+AU58+AV58+AW58+AX58+AY58+BD58</f>
        <v/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5">
        <f>IF(AND('Project Database'!A62&lt;&gt;"",OR('Smart Search'!$L$5="",'Smart Search'!$L$5="All",TRIM('Project Database'!D62)=TRIM('Smart Search'!$L$5)),OR(TRIM('Smart Search'!$L$6)="",TRIM('Smart Search'!$L$6)="All",ISNUMBER(SEARCH(SUBSTITUTE(SUBSTITUTE(SUBSTITUTE(TRIM('Smart Search'!$L$6),"~","~~"),"*","~*"),"?","~?"),'Project Database'!C62))),OR('Smart Search'!$L$7="",AND('Project Database'!E62&lt;&gt;"",'Project Database'!E62='Smart Search'!$L$7)),OR('Smart Search'!$L$8="",'Smart Search'!$L$8="All",TRIM('Project Database'!F62)=TRIM('Smart Search'!$L$8))),IF(BA58="","",BA58+ROW()*0.0000000001),"")</f>
        <v/>
      </c>
      <c r="BI58" s="5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>
        <f>IF('Project Database'!A62="","",N('Project Database'!AC62))</f>
        <v/>
      </c>
      <c r="BK58" s="5">
        <f>IF('Project Database'!A62="","",N('Project Database'!AD62))</f>
        <v/>
      </c>
      <c r="BL58" s="5">
        <f>IF('Project Database'!A62="","",N('Project Database'!AE62))</f>
        <v/>
      </c>
      <c r="BM58" s="5">
        <f>IF('Project Database'!A62="","",N('Project Database'!AF62))</f>
        <v/>
      </c>
      <c r="BN58" s="5">
        <f>IF('Project Database'!A62="","",N('Project Database'!AG62))</f>
        <v/>
      </c>
      <c r="BO58" s="5">
        <f>IF('Project Database'!A62="","",N('Project Database'!AH62))</f>
        <v/>
      </c>
      <c r="BP58" s="5">
        <f>IF('Project Database'!A62="","",N('Project Database'!AI62))</f>
        <v/>
      </c>
      <c r="BQ58" s="5">
        <f>IF('Project Database'!A62="","",N('Project Database'!AJ62))</f>
        <v/>
      </c>
      <c r="BR58" s="5">
        <f>IF('Project Database'!A62="","",N('Project Database'!AK62))</f>
        <v/>
      </c>
      <c r="BS58" s="5">
        <f>IF('Project Database'!A62="","",N('Project Database'!AL62))</f>
        <v/>
      </c>
      <c r="BT58" s="5">
        <f>IF('Project Database'!A62="","",N('Project Database'!AM62))</f>
        <v/>
      </c>
      <c r="BU58" s="5">
        <f>IF('Project Database'!A62="","",N('Project Database'!AN62))</f>
        <v/>
      </c>
      <c r="BV58" s="5">
        <f>IF('Project Database'!A62="","",N('Project Database'!AO62))</f>
        <v/>
      </c>
      <c r="BW58" s="5">
        <f>IF('Project Database'!A62="","",N('Project Database'!AP62))</f>
        <v/>
      </c>
      <c r="BX58" s="5">
        <f>IF(A58="","",SUM(BJ58:BW58))</f>
        <v/>
      </c>
      <c r="BY58" s="5">
        <f>IF(A58="","",IFERROR(IF(ISNUMBER(U58),U58,VALUE(SUBSTITUTE(SUBSTITUTE(SUBSTITUTE(UPPER(TRIM(U58)),"M",""),",","")," ",""))),0))</f>
        <v/>
      </c>
    </row>
    <row r="59" ht="15" customHeight="1" s="74">
      <c r="A59" s="66">
        <f>'Project Database'!A63</f>
        <v/>
      </c>
      <c r="B59" s="66">
        <f>'Project Database'!B63</f>
        <v/>
      </c>
      <c r="C59" s="66">
        <f>'Project Database'!G63</f>
        <v/>
      </c>
      <c r="D59" s="66">
        <f>'Project Database'!H63</f>
        <v/>
      </c>
      <c r="E59" s="66">
        <f>'Project Database'!I63</f>
        <v/>
      </c>
      <c r="F59" s="66">
        <f>'Project Database'!J63</f>
        <v/>
      </c>
      <c r="G59" s="66">
        <f>'Project Database'!K63</f>
        <v/>
      </c>
      <c r="H59" s="66">
        <f>'Project Database'!L63</f>
        <v/>
      </c>
      <c r="I59" s="66">
        <f>'Project Database'!M63</f>
        <v/>
      </c>
      <c r="J59" s="66">
        <f>'Project Database'!N63</f>
        <v/>
      </c>
      <c r="K59" s="66">
        <f>'Project Database'!O63</f>
        <v/>
      </c>
      <c r="L59" s="66">
        <f>'Project Database'!P63</f>
        <v/>
      </c>
      <c r="M59" s="66">
        <f>'Project Database'!Q63</f>
        <v/>
      </c>
      <c r="N59" s="66">
        <f>'Project Database'!R63</f>
        <v/>
      </c>
      <c r="O59" s="66">
        <f>'Project Database'!S63</f>
        <v/>
      </c>
      <c r="P59" s="66">
        <f>'Project Database'!T63</f>
        <v/>
      </c>
      <c r="Q59" s="66">
        <f>'Project Database'!U63</f>
        <v/>
      </c>
      <c r="R59" s="66">
        <f>'Project Database'!V63</f>
        <v/>
      </c>
      <c r="S59" s="66">
        <f>'Project Database'!W63</f>
        <v/>
      </c>
      <c r="T59" s="66">
        <f>'Project Database'!X63</f>
        <v/>
      </c>
      <c r="U59" s="67">
        <f>'Project Database'!Y63</f>
        <v/>
      </c>
      <c r="V59" s="66">
        <f>IF('Smart Search'!B13=1,IFERROR(1/'Smart Search'!H13,0),0)</f>
        <v/>
      </c>
      <c r="W59" s="66">
        <f>IF('Smart Search'!B13=1,IFERROR(1/'Smart Search'!H13,0),0)</f>
        <v/>
      </c>
      <c r="X59" s="66">
        <f>IF('Smart Search'!C13=1,IFERROR(1/'Smart Search'!H13,0),0)</f>
        <v/>
      </c>
      <c r="Y59" s="66">
        <f>IF('Smart Search'!C13=1,IFERROR(1/'Smart Search'!H13,0),0)</f>
        <v/>
      </c>
      <c r="Z59" s="66">
        <f>IF('Smart Search'!D13=1,IFERROR(1/'Smart Search'!H13,0),0)</f>
        <v/>
      </c>
      <c r="AA59" s="66">
        <f>IF('Smart Search'!D13=1,IFERROR(1/'Smart Search'!H13,0),0)</f>
        <v/>
      </c>
      <c r="AB59" s="66">
        <f>IF('Smart Search'!E13=1,IFERROR(1/'Smart Search'!H13,0),0)</f>
        <v/>
      </c>
      <c r="AC59" s="66">
        <f>IF('Smart Search'!E13=1,IFERROR(1/'Smart Search'!H13,0),0)</f>
        <v/>
      </c>
      <c r="AD59" s="66">
        <f>IF('Smart Search'!F13=1,IFERROR(1/'Smart Search'!H13,0),0)</f>
        <v/>
      </c>
      <c r="AE59" s="66">
        <f>IF('Smart Search'!F13=1,IFERROR(1/'Smart Search'!H13,0),0)</f>
        <v/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66">
        <f>AF59*V59</f>
        <v/>
      </c>
      <c r="AQ59" s="66">
        <f>AG59*W59</f>
        <v/>
      </c>
      <c r="AR59" s="66">
        <f>AH59*X59</f>
        <v/>
      </c>
      <c r="AS59" s="66">
        <f>AI59*Y59</f>
        <v/>
      </c>
      <c r="AT59" s="66">
        <f>AJ59*Z59</f>
        <v/>
      </c>
      <c r="AU59" s="66">
        <f>AK59*AA59</f>
        <v/>
      </c>
      <c r="AV59" s="66">
        <f>AL59*AB59</f>
        <v/>
      </c>
      <c r="AW59" s="66">
        <f>AM59*AC59</f>
        <v/>
      </c>
      <c r="AX59" s="66">
        <f>AN59*AD59</f>
        <v/>
      </c>
      <c r="AY59" s="66">
        <f>AO59*AE59</f>
        <v/>
      </c>
      <c r="AZ59" s="66">
        <f>'Project Database'!Z63</f>
        <v/>
      </c>
      <c r="BA59" s="66">
        <f>IF(OR(A59="",'Smart Search'!H13=0),"",MAX(0,BE59*BF59*MAX(0,1-BG59)))</f>
        <v/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66">
        <f>IF('Smart Search'!G13=1,IFERROR(1/'Smart Search'!H13,0),0)</f>
        <v/>
      </c>
      <c r="BD59" s="66">
        <f>BB59*BC59</f>
        <v/>
      </c>
      <c r="BE59" s="66">
        <f>AP59+AQ59+AR59+AS59+AT59+AU59+AV59+AW59+AX59+AY59+BD59</f>
        <v/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5">
        <f>IF(AND('Project Database'!A63&lt;&gt;"",OR('Smart Search'!$L$5="",'Smart Search'!$L$5="All",TRIM('Project Database'!D63)=TRIM('Smart Search'!$L$5)),OR(TRIM('Smart Search'!$L$6)="",TRIM('Smart Search'!$L$6)="All",ISNUMBER(SEARCH(SUBSTITUTE(SUBSTITUTE(SUBSTITUTE(TRIM('Smart Search'!$L$6),"~","~~"),"*","~*"),"?","~?"),'Project Database'!C63))),OR('Smart Search'!$L$7="",AND('Project Database'!E63&lt;&gt;"",'Project Database'!E63='Smart Search'!$L$7)),OR('Smart Search'!$L$8="",'Smart Search'!$L$8="All",TRIM('Project Database'!F63)=TRIM('Smart Search'!$L$8))),IF(BA59="","",BA59+ROW()*0.0000000001),"")</f>
        <v/>
      </c>
      <c r="BI59" s="5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>
        <f>IF('Project Database'!A63="","",N('Project Database'!AC63))</f>
        <v/>
      </c>
      <c r="BK59" s="5">
        <f>IF('Project Database'!A63="","",N('Project Database'!AD63))</f>
        <v/>
      </c>
      <c r="BL59" s="5">
        <f>IF('Project Database'!A63="","",N('Project Database'!AE63))</f>
        <v/>
      </c>
      <c r="BM59" s="5">
        <f>IF('Project Database'!A63="","",N('Project Database'!AF63))</f>
        <v/>
      </c>
      <c r="BN59" s="5">
        <f>IF('Project Database'!A63="","",N('Project Database'!AG63))</f>
        <v/>
      </c>
      <c r="BO59" s="5">
        <f>IF('Project Database'!A63="","",N('Project Database'!AH63))</f>
        <v/>
      </c>
      <c r="BP59" s="5">
        <f>IF('Project Database'!A63="","",N('Project Database'!AI63))</f>
        <v/>
      </c>
      <c r="BQ59" s="5">
        <f>IF('Project Database'!A63="","",N('Project Database'!AJ63))</f>
        <v/>
      </c>
      <c r="BR59" s="5">
        <f>IF('Project Database'!A63="","",N('Project Database'!AK63))</f>
        <v/>
      </c>
      <c r="BS59" s="5">
        <f>IF('Project Database'!A63="","",N('Project Database'!AL63))</f>
        <v/>
      </c>
      <c r="BT59" s="5">
        <f>IF('Project Database'!A63="","",N('Project Database'!AM63))</f>
        <v/>
      </c>
      <c r="BU59" s="5">
        <f>IF('Project Database'!A63="","",N('Project Database'!AN63))</f>
        <v/>
      </c>
      <c r="BV59" s="5">
        <f>IF('Project Database'!A63="","",N('Project Database'!AO63))</f>
        <v/>
      </c>
      <c r="BW59" s="5">
        <f>IF('Project Database'!A63="","",N('Project Database'!AP63))</f>
        <v/>
      </c>
      <c r="BX59" s="5">
        <f>IF(A59="","",SUM(BJ59:BW59))</f>
        <v/>
      </c>
      <c r="BY59" s="5">
        <f>IF(A59="","",IFERROR(IF(ISNUMBER(U59),U59,VALUE(SUBSTITUTE(SUBSTITUTE(SUBSTITUTE(UPPER(TRIM(U59)),"M",""),",","")," ",""))),0))</f>
        <v/>
      </c>
    </row>
    <row r="60" ht="15" customHeight="1" s="74">
      <c r="A60" s="66">
        <f>'Project Database'!A64</f>
        <v/>
      </c>
      <c r="B60" s="66">
        <f>'Project Database'!B64</f>
        <v/>
      </c>
      <c r="C60" s="66">
        <f>'Project Database'!G64</f>
        <v/>
      </c>
      <c r="D60" s="66">
        <f>'Project Database'!H64</f>
        <v/>
      </c>
      <c r="E60" s="66">
        <f>'Project Database'!I64</f>
        <v/>
      </c>
      <c r="F60" s="66">
        <f>'Project Database'!J64</f>
        <v/>
      </c>
      <c r="G60" s="66">
        <f>'Project Database'!K64</f>
        <v/>
      </c>
      <c r="H60" s="66">
        <f>'Project Database'!L64</f>
        <v/>
      </c>
      <c r="I60" s="66">
        <f>'Project Database'!M64</f>
        <v/>
      </c>
      <c r="J60" s="66">
        <f>'Project Database'!N64</f>
        <v/>
      </c>
      <c r="K60" s="66">
        <f>'Project Database'!O64</f>
        <v/>
      </c>
      <c r="L60" s="66">
        <f>'Project Database'!P64</f>
        <v/>
      </c>
      <c r="M60" s="66">
        <f>'Project Database'!Q64</f>
        <v/>
      </c>
      <c r="N60" s="66">
        <f>'Project Database'!R64</f>
        <v/>
      </c>
      <c r="O60" s="66">
        <f>'Project Database'!S64</f>
        <v/>
      </c>
      <c r="P60" s="66">
        <f>'Project Database'!T64</f>
        <v/>
      </c>
      <c r="Q60" s="66">
        <f>'Project Database'!U64</f>
        <v/>
      </c>
      <c r="R60" s="66">
        <f>'Project Database'!V64</f>
        <v/>
      </c>
      <c r="S60" s="66">
        <f>'Project Database'!W64</f>
        <v/>
      </c>
      <c r="T60" s="66">
        <f>'Project Database'!X64</f>
        <v/>
      </c>
      <c r="U60" s="67">
        <f>'Project Database'!Y64</f>
        <v/>
      </c>
      <c r="V60" s="66">
        <f>IF('Smart Search'!B13=1,IFERROR(1/'Smart Search'!H13,0),0)</f>
        <v/>
      </c>
      <c r="W60" s="66">
        <f>IF('Smart Search'!B13=1,IFERROR(1/'Smart Search'!H13,0),0)</f>
        <v/>
      </c>
      <c r="X60" s="66">
        <f>IF('Smart Search'!C13=1,IFERROR(1/'Smart Search'!H13,0),0)</f>
        <v/>
      </c>
      <c r="Y60" s="66">
        <f>IF('Smart Search'!C13=1,IFERROR(1/'Smart Search'!H13,0),0)</f>
        <v/>
      </c>
      <c r="Z60" s="66">
        <f>IF('Smart Search'!D13=1,IFERROR(1/'Smart Search'!H13,0),0)</f>
        <v/>
      </c>
      <c r="AA60" s="66">
        <f>IF('Smart Search'!D13=1,IFERROR(1/'Smart Search'!H13,0),0)</f>
        <v/>
      </c>
      <c r="AB60" s="66">
        <f>IF('Smart Search'!E13=1,IFERROR(1/'Smart Search'!H13,0),0)</f>
        <v/>
      </c>
      <c r="AC60" s="66">
        <f>IF('Smart Search'!E13=1,IFERROR(1/'Smart Search'!H13,0),0)</f>
        <v/>
      </c>
      <c r="AD60" s="66">
        <f>IF('Smart Search'!F13=1,IFERROR(1/'Smart Search'!H13,0),0)</f>
        <v/>
      </c>
      <c r="AE60" s="66">
        <f>IF('Smart Search'!F13=1,IFERROR(1/'Smart Search'!H13,0),0)</f>
        <v/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66">
        <f>AF60*V60</f>
        <v/>
      </c>
      <c r="AQ60" s="66">
        <f>AG60*W60</f>
        <v/>
      </c>
      <c r="AR60" s="66">
        <f>AH60*X60</f>
        <v/>
      </c>
      <c r="AS60" s="66">
        <f>AI60*Y60</f>
        <v/>
      </c>
      <c r="AT60" s="66">
        <f>AJ60*Z60</f>
        <v/>
      </c>
      <c r="AU60" s="66">
        <f>AK60*AA60</f>
        <v/>
      </c>
      <c r="AV60" s="66">
        <f>AL60*AB60</f>
        <v/>
      </c>
      <c r="AW60" s="66">
        <f>AM60*AC60</f>
        <v/>
      </c>
      <c r="AX60" s="66">
        <f>AN60*AD60</f>
        <v/>
      </c>
      <c r="AY60" s="66">
        <f>AO60*AE60</f>
        <v/>
      </c>
      <c r="AZ60" s="66">
        <f>'Project Database'!Z64</f>
        <v/>
      </c>
      <c r="BA60" s="66">
        <f>IF(OR(A60="",'Smart Search'!H13=0),"",MAX(0,BE60*BF60*MAX(0,1-BG60)))</f>
        <v/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66">
        <f>IF('Smart Search'!G13=1,IFERROR(1/'Smart Search'!H13,0),0)</f>
        <v/>
      </c>
      <c r="BD60" s="66">
        <f>BB60*BC60</f>
        <v/>
      </c>
      <c r="BE60" s="66">
        <f>AP60+AQ60+AR60+AS60+AT60+AU60+AV60+AW60+AX60+AY60+BD60</f>
        <v/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5">
        <f>IF(AND('Project Database'!A64&lt;&gt;"",OR('Smart Search'!$L$5="",'Smart Search'!$L$5="All",TRIM('Project Database'!D64)=TRIM('Smart Search'!$L$5)),OR(TRIM('Smart Search'!$L$6)="",TRIM('Smart Search'!$L$6)="All",ISNUMBER(SEARCH(SUBSTITUTE(SUBSTITUTE(SUBSTITUTE(TRIM('Smart Search'!$L$6),"~","~~"),"*","~*"),"?","~?"),'Project Database'!C64))),OR('Smart Search'!$L$7="",AND('Project Database'!E64&lt;&gt;"",'Project Database'!E64='Smart Search'!$L$7)),OR('Smart Search'!$L$8="",'Smart Search'!$L$8="All",TRIM('Project Database'!F64)=TRIM('Smart Search'!$L$8))),IF(BA60="","",BA60+ROW()*0.0000000001),"")</f>
        <v/>
      </c>
      <c r="BI60" s="5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>
        <f>IF('Project Database'!A64="","",N('Project Database'!AC64))</f>
        <v/>
      </c>
      <c r="BK60" s="5">
        <f>IF('Project Database'!A64="","",N('Project Database'!AD64))</f>
        <v/>
      </c>
      <c r="BL60" s="5">
        <f>IF('Project Database'!A64="","",N('Project Database'!AE64))</f>
        <v/>
      </c>
      <c r="BM60" s="5">
        <f>IF('Project Database'!A64="","",N('Project Database'!AF64))</f>
        <v/>
      </c>
      <c r="BN60" s="5">
        <f>IF('Project Database'!A64="","",N('Project Database'!AG64))</f>
        <v/>
      </c>
      <c r="BO60" s="5">
        <f>IF('Project Database'!A64="","",N('Project Database'!AH64))</f>
        <v/>
      </c>
      <c r="BP60" s="5">
        <f>IF('Project Database'!A64="","",N('Project Database'!AI64))</f>
        <v/>
      </c>
      <c r="BQ60" s="5">
        <f>IF('Project Database'!A64="","",N('Project Database'!AJ64))</f>
        <v/>
      </c>
      <c r="BR60" s="5">
        <f>IF('Project Database'!A64="","",N('Project Database'!AK64))</f>
        <v/>
      </c>
      <c r="BS60" s="5">
        <f>IF('Project Database'!A64="","",N('Project Database'!AL64))</f>
        <v/>
      </c>
      <c r="BT60" s="5">
        <f>IF('Project Database'!A64="","",N('Project Database'!AM64))</f>
        <v/>
      </c>
      <c r="BU60" s="5">
        <f>IF('Project Database'!A64="","",N('Project Database'!AN64))</f>
        <v/>
      </c>
      <c r="BV60" s="5">
        <f>IF('Project Database'!A64="","",N('Project Database'!AO64))</f>
        <v/>
      </c>
      <c r="BW60" s="5">
        <f>IF('Project Database'!A64="","",N('Project Database'!AP64))</f>
        <v/>
      </c>
      <c r="BX60" s="5">
        <f>IF(A60="","",SUM(BJ60:BW60))</f>
        <v/>
      </c>
      <c r="BY60" s="5">
        <f>IF(A60="","",IFERROR(IF(ISNUMBER(U60),U60,VALUE(SUBSTITUTE(SUBSTITUTE(SUBSTITUTE(UPPER(TRIM(U60)),"M",""),",","")," ",""))),0))</f>
        <v/>
      </c>
    </row>
    <row r="61" ht="15" customHeight="1" s="74">
      <c r="A61" s="66">
        <f>'Project Database'!A65</f>
        <v/>
      </c>
      <c r="B61" s="66">
        <f>'Project Database'!B65</f>
        <v/>
      </c>
      <c r="C61" s="66">
        <f>'Project Database'!G65</f>
        <v/>
      </c>
      <c r="D61" s="66">
        <f>'Project Database'!H65</f>
        <v/>
      </c>
      <c r="E61" s="66">
        <f>'Project Database'!I65</f>
        <v/>
      </c>
      <c r="F61" s="66">
        <f>'Project Database'!J65</f>
        <v/>
      </c>
      <c r="G61" s="66">
        <f>'Project Database'!K65</f>
        <v/>
      </c>
      <c r="H61" s="66">
        <f>'Project Database'!L65</f>
        <v/>
      </c>
      <c r="I61" s="66">
        <f>'Project Database'!M65</f>
        <v/>
      </c>
      <c r="J61" s="66">
        <f>'Project Database'!N65</f>
        <v/>
      </c>
      <c r="K61" s="66">
        <f>'Project Database'!O65</f>
        <v/>
      </c>
      <c r="L61" s="66">
        <f>'Project Database'!P65</f>
        <v/>
      </c>
      <c r="M61" s="66">
        <f>'Project Database'!Q65</f>
        <v/>
      </c>
      <c r="N61" s="66">
        <f>'Project Database'!R65</f>
        <v/>
      </c>
      <c r="O61" s="66">
        <f>'Project Database'!S65</f>
        <v/>
      </c>
      <c r="P61" s="66">
        <f>'Project Database'!T65</f>
        <v/>
      </c>
      <c r="Q61" s="66">
        <f>'Project Database'!U65</f>
        <v/>
      </c>
      <c r="R61" s="66">
        <f>'Project Database'!V65</f>
        <v/>
      </c>
      <c r="S61" s="66">
        <f>'Project Database'!W65</f>
        <v/>
      </c>
      <c r="T61" s="66">
        <f>'Project Database'!X65</f>
        <v/>
      </c>
      <c r="U61" s="67">
        <f>'Project Database'!Y65</f>
        <v/>
      </c>
      <c r="V61" s="66">
        <f>IF('Smart Search'!B13=1,IFERROR(1/'Smart Search'!H13,0),0)</f>
        <v/>
      </c>
      <c r="W61" s="66">
        <f>IF('Smart Search'!B13=1,IFERROR(1/'Smart Search'!H13,0),0)</f>
        <v/>
      </c>
      <c r="X61" s="66">
        <f>IF('Smart Search'!C13=1,IFERROR(1/'Smart Search'!H13,0),0)</f>
        <v/>
      </c>
      <c r="Y61" s="66">
        <f>IF('Smart Search'!C13=1,IFERROR(1/'Smart Search'!H13,0),0)</f>
        <v/>
      </c>
      <c r="Z61" s="66">
        <f>IF('Smart Search'!D13=1,IFERROR(1/'Smart Search'!H13,0),0)</f>
        <v/>
      </c>
      <c r="AA61" s="66">
        <f>IF('Smart Search'!D13=1,IFERROR(1/'Smart Search'!H13,0),0)</f>
        <v/>
      </c>
      <c r="AB61" s="66">
        <f>IF('Smart Search'!E13=1,IFERROR(1/'Smart Search'!H13,0),0)</f>
        <v/>
      </c>
      <c r="AC61" s="66">
        <f>IF('Smart Search'!E13=1,IFERROR(1/'Smart Search'!H13,0),0)</f>
        <v/>
      </c>
      <c r="AD61" s="66">
        <f>IF('Smart Search'!F13=1,IFERROR(1/'Smart Search'!H13,0),0)</f>
        <v/>
      </c>
      <c r="AE61" s="66">
        <f>IF('Smart Search'!F13=1,IFERROR(1/'Smart Search'!H13,0),0)</f>
        <v/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66">
        <f>AF61*V61</f>
        <v/>
      </c>
      <c r="AQ61" s="66">
        <f>AG61*W61</f>
        <v/>
      </c>
      <c r="AR61" s="66">
        <f>AH61*X61</f>
        <v/>
      </c>
      <c r="AS61" s="66">
        <f>AI61*Y61</f>
        <v/>
      </c>
      <c r="AT61" s="66">
        <f>AJ61*Z61</f>
        <v/>
      </c>
      <c r="AU61" s="66">
        <f>AK61*AA61</f>
        <v/>
      </c>
      <c r="AV61" s="66">
        <f>AL61*AB61</f>
        <v/>
      </c>
      <c r="AW61" s="66">
        <f>AM61*AC61</f>
        <v/>
      </c>
      <c r="AX61" s="66">
        <f>AN61*AD61</f>
        <v/>
      </c>
      <c r="AY61" s="66">
        <f>AO61*AE61</f>
        <v/>
      </c>
      <c r="AZ61" s="66">
        <f>'Project Database'!Z65</f>
        <v/>
      </c>
      <c r="BA61" s="66">
        <f>IF(OR(A61="",'Smart Search'!H13=0),"",MAX(0,BE61*BF61*MAX(0,1-BG61)))</f>
        <v/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66">
        <f>IF('Smart Search'!G13=1,IFERROR(1/'Smart Search'!H13,0),0)</f>
        <v/>
      </c>
      <c r="BD61" s="66">
        <f>BB61*BC61</f>
        <v/>
      </c>
      <c r="BE61" s="66">
        <f>AP61+AQ61+AR61+AS61+AT61+AU61+AV61+AW61+AX61+AY61+BD61</f>
        <v/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5">
        <f>IF(AND('Project Database'!A65&lt;&gt;"",OR('Smart Search'!$L$5="",'Smart Search'!$L$5="All",TRIM('Project Database'!D65)=TRIM('Smart Search'!$L$5)),OR(TRIM('Smart Search'!$L$6)="",TRIM('Smart Search'!$L$6)="All",ISNUMBER(SEARCH(SUBSTITUTE(SUBSTITUTE(SUBSTITUTE(TRIM('Smart Search'!$L$6),"~","~~"),"*","~*"),"?","~?"),'Project Database'!C65))),OR('Smart Search'!$L$7="",AND('Project Database'!E65&lt;&gt;"",'Project Database'!E65='Smart Search'!$L$7)),OR('Smart Search'!$L$8="",'Smart Search'!$L$8="All",TRIM('Project Database'!F65)=TRIM('Smart Search'!$L$8))),IF(BA61="","",BA61+ROW()*0.0000000001),"")</f>
        <v/>
      </c>
      <c r="BI61" s="5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>
        <f>IF('Project Database'!A65="","",N('Project Database'!AC65))</f>
        <v/>
      </c>
      <c r="BK61" s="5">
        <f>IF('Project Database'!A65="","",N('Project Database'!AD65))</f>
        <v/>
      </c>
      <c r="BL61" s="5">
        <f>IF('Project Database'!A65="","",N('Project Database'!AE65))</f>
        <v/>
      </c>
      <c r="BM61" s="5">
        <f>IF('Project Database'!A65="","",N('Project Database'!AF65))</f>
        <v/>
      </c>
      <c r="BN61" s="5">
        <f>IF('Project Database'!A65="","",N('Project Database'!AG65))</f>
        <v/>
      </c>
      <c r="BO61" s="5">
        <f>IF('Project Database'!A65="","",N('Project Database'!AH65))</f>
        <v/>
      </c>
      <c r="BP61" s="5">
        <f>IF('Project Database'!A65="","",N('Project Database'!AI65))</f>
        <v/>
      </c>
      <c r="BQ61" s="5">
        <f>IF('Project Database'!A65="","",N('Project Database'!AJ65))</f>
        <v/>
      </c>
      <c r="BR61" s="5">
        <f>IF('Project Database'!A65="","",N('Project Database'!AK65))</f>
        <v/>
      </c>
      <c r="BS61" s="5">
        <f>IF('Project Database'!A65="","",N('Project Database'!AL65))</f>
        <v/>
      </c>
      <c r="BT61" s="5">
        <f>IF('Project Database'!A65="","",N('Project Database'!AM65))</f>
        <v/>
      </c>
      <c r="BU61" s="5">
        <f>IF('Project Database'!A65="","",N('Project Database'!AN65))</f>
        <v/>
      </c>
      <c r="BV61" s="5">
        <f>IF('Project Database'!A65="","",N('Project Database'!AO65))</f>
        <v/>
      </c>
      <c r="BW61" s="5">
        <f>IF('Project Database'!A65="","",N('Project Database'!AP65))</f>
        <v/>
      </c>
      <c r="BX61" s="5">
        <f>IF(A61="","",SUM(BJ61:BW61))</f>
        <v/>
      </c>
      <c r="BY61" s="5">
        <f>IF(A61="","",IFERROR(IF(ISNUMBER(U61),U61,VALUE(SUBSTITUTE(SUBSTITUTE(SUBSTITUTE(UPPER(TRIM(U61)),"M",""),",","")," ",""))),0))</f>
        <v/>
      </c>
    </row>
    <row r="62" ht="15" customHeight="1" s="74">
      <c r="A62" s="66">
        <f>'Project Database'!A66</f>
        <v/>
      </c>
      <c r="B62" s="66">
        <f>'Project Database'!B66</f>
        <v/>
      </c>
      <c r="C62" s="66">
        <f>'Project Database'!G66</f>
        <v/>
      </c>
      <c r="D62" s="66">
        <f>'Project Database'!H66</f>
        <v/>
      </c>
      <c r="E62" s="66">
        <f>'Project Database'!I66</f>
        <v/>
      </c>
      <c r="F62" s="66">
        <f>'Project Database'!J66</f>
        <v/>
      </c>
      <c r="G62" s="66">
        <f>'Project Database'!K66</f>
        <v/>
      </c>
      <c r="H62" s="66">
        <f>'Project Database'!L66</f>
        <v/>
      </c>
      <c r="I62" s="66">
        <f>'Project Database'!M66</f>
        <v/>
      </c>
      <c r="J62" s="66">
        <f>'Project Database'!N66</f>
        <v/>
      </c>
      <c r="K62" s="66">
        <f>'Project Database'!O66</f>
        <v/>
      </c>
      <c r="L62" s="66">
        <f>'Project Database'!P66</f>
        <v/>
      </c>
      <c r="M62" s="66">
        <f>'Project Database'!Q66</f>
        <v/>
      </c>
      <c r="N62" s="66">
        <f>'Project Database'!R66</f>
        <v/>
      </c>
      <c r="O62" s="66">
        <f>'Project Database'!S66</f>
        <v/>
      </c>
      <c r="P62" s="66">
        <f>'Project Database'!T66</f>
        <v/>
      </c>
      <c r="Q62" s="66">
        <f>'Project Database'!U66</f>
        <v/>
      </c>
      <c r="R62" s="66">
        <f>'Project Database'!V66</f>
        <v/>
      </c>
      <c r="S62" s="66">
        <f>'Project Database'!W66</f>
        <v/>
      </c>
      <c r="T62" s="66">
        <f>'Project Database'!X66</f>
        <v/>
      </c>
      <c r="U62" s="67">
        <f>'Project Database'!Y66</f>
        <v/>
      </c>
      <c r="V62" s="66">
        <f>IF('Smart Search'!B13=1,IFERROR(1/'Smart Search'!H13,0),0)</f>
        <v/>
      </c>
      <c r="W62" s="66">
        <f>IF('Smart Search'!B13=1,IFERROR(1/'Smart Search'!H13,0),0)</f>
        <v/>
      </c>
      <c r="X62" s="66">
        <f>IF('Smart Search'!C13=1,IFERROR(1/'Smart Search'!H13,0),0)</f>
        <v/>
      </c>
      <c r="Y62" s="66">
        <f>IF('Smart Search'!C13=1,IFERROR(1/'Smart Search'!H13,0),0)</f>
        <v/>
      </c>
      <c r="Z62" s="66">
        <f>IF('Smart Search'!D13=1,IFERROR(1/'Smart Search'!H13,0),0)</f>
        <v/>
      </c>
      <c r="AA62" s="66">
        <f>IF('Smart Search'!D13=1,IFERROR(1/'Smart Search'!H13,0),0)</f>
        <v/>
      </c>
      <c r="AB62" s="66">
        <f>IF('Smart Search'!E13=1,IFERROR(1/'Smart Search'!H13,0),0)</f>
        <v/>
      </c>
      <c r="AC62" s="66">
        <f>IF('Smart Search'!E13=1,IFERROR(1/'Smart Search'!H13,0),0)</f>
        <v/>
      </c>
      <c r="AD62" s="66">
        <f>IF('Smart Search'!F13=1,IFERROR(1/'Smart Search'!H13,0),0)</f>
        <v/>
      </c>
      <c r="AE62" s="66">
        <f>IF('Smart Search'!F13=1,IFERROR(1/'Smart Search'!H13,0),0)</f>
        <v/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66">
        <f>AF62*V62</f>
        <v/>
      </c>
      <c r="AQ62" s="66">
        <f>AG62*W62</f>
        <v/>
      </c>
      <c r="AR62" s="66">
        <f>AH62*X62</f>
        <v/>
      </c>
      <c r="AS62" s="66">
        <f>AI62*Y62</f>
        <v/>
      </c>
      <c r="AT62" s="66">
        <f>AJ62*Z62</f>
        <v/>
      </c>
      <c r="AU62" s="66">
        <f>AK62*AA62</f>
        <v/>
      </c>
      <c r="AV62" s="66">
        <f>AL62*AB62</f>
        <v/>
      </c>
      <c r="AW62" s="66">
        <f>AM62*AC62</f>
        <v/>
      </c>
      <c r="AX62" s="66">
        <f>AN62*AD62</f>
        <v/>
      </c>
      <c r="AY62" s="66">
        <f>AO62*AE62</f>
        <v/>
      </c>
      <c r="AZ62" s="66">
        <f>'Project Database'!Z66</f>
        <v/>
      </c>
      <c r="BA62" s="66">
        <f>IF(OR(A62="",'Smart Search'!H13=0),"",MAX(0,BE62*BF62*MAX(0,1-BG62)))</f>
        <v/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66">
        <f>IF('Smart Search'!G13=1,IFERROR(1/'Smart Search'!H13,0),0)</f>
        <v/>
      </c>
      <c r="BD62" s="66">
        <f>BB62*BC62</f>
        <v/>
      </c>
      <c r="BE62" s="66">
        <f>AP62+AQ62+AR62+AS62+AT62+AU62+AV62+AW62+AX62+AY62+BD62</f>
        <v/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5">
        <f>IF(AND('Project Database'!A66&lt;&gt;"",OR('Smart Search'!$L$5="",'Smart Search'!$L$5="All",TRIM('Project Database'!D66)=TRIM('Smart Search'!$L$5)),OR(TRIM('Smart Search'!$L$6)="",TRIM('Smart Search'!$L$6)="All",ISNUMBER(SEARCH(SUBSTITUTE(SUBSTITUTE(SUBSTITUTE(TRIM('Smart Search'!$L$6),"~","~~"),"*","~*"),"?","~?"),'Project Database'!C66))),OR('Smart Search'!$L$7="",AND('Project Database'!E66&lt;&gt;"",'Project Database'!E66='Smart Search'!$L$7)),OR('Smart Search'!$L$8="",'Smart Search'!$L$8="All",TRIM('Project Database'!F66)=TRIM('Smart Search'!$L$8))),IF(BA62="","",BA62+ROW()*0.0000000001),"")</f>
        <v/>
      </c>
      <c r="BI62" s="5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>
        <f>IF('Project Database'!A66="","",N('Project Database'!AC66))</f>
        <v/>
      </c>
      <c r="BK62" s="5">
        <f>IF('Project Database'!A66="","",N('Project Database'!AD66))</f>
        <v/>
      </c>
      <c r="BL62" s="5">
        <f>IF('Project Database'!A66="","",N('Project Database'!AE66))</f>
        <v/>
      </c>
      <c r="BM62" s="5">
        <f>IF('Project Database'!A66="","",N('Project Database'!AF66))</f>
        <v/>
      </c>
      <c r="BN62" s="5">
        <f>IF('Project Database'!A66="","",N('Project Database'!AG66))</f>
        <v/>
      </c>
      <c r="BO62" s="5">
        <f>IF('Project Database'!A66="","",N('Project Database'!AH66))</f>
        <v/>
      </c>
      <c r="BP62" s="5">
        <f>IF('Project Database'!A66="","",N('Project Database'!AI66))</f>
        <v/>
      </c>
      <c r="BQ62" s="5">
        <f>IF('Project Database'!A66="","",N('Project Database'!AJ66))</f>
        <v/>
      </c>
      <c r="BR62" s="5">
        <f>IF('Project Database'!A66="","",N('Project Database'!AK66))</f>
        <v/>
      </c>
      <c r="BS62" s="5">
        <f>IF('Project Database'!A66="","",N('Project Database'!AL66))</f>
        <v/>
      </c>
      <c r="BT62" s="5">
        <f>IF('Project Database'!A66="","",N('Project Database'!AM66))</f>
        <v/>
      </c>
      <c r="BU62" s="5">
        <f>IF('Project Database'!A66="","",N('Project Database'!AN66))</f>
        <v/>
      </c>
      <c r="BV62" s="5">
        <f>IF('Project Database'!A66="","",N('Project Database'!AO66))</f>
        <v/>
      </c>
      <c r="BW62" s="5">
        <f>IF('Project Database'!A66="","",N('Project Database'!AP66))</f>
        <v/>
      </c>
      <c r="BX62" s="5">
        <f>IF(A62="","",SUM(BJ62:BW62))</f>
        <v/>
      </c>
      <c r="BY62" s="5">
        <f>IF(A62="","",IFERROR(IF(ISNUMBER(U62),U62,VALUE(SUBSTITUTE(SUBSTITUTE(SUBSTITUTE(UPPER(TRIM(U62)),"M",""),",","")," ",""))),0))</f>
        <v/>
      </c>
    </row>
    <row r="63" ht="15" customHeight="1" s="74">
      <c r="A63" s="66">
        <f>'Project Database'!A67</f>
        <v/>
      </c>
      <c r="B63" s="66">
        <f>'Project Database'!B67</f>
        <v/>
      </c>
      <c r="C63" s="66">
        <f>'Project Database'!G67</f>
        <v/>
      </c>
      <c r="D63" s="66">
        <f>'Project Database'!H67</f>
        <v/>
      </c>
      <c r="E63" s="66">
        <f>'Project Database'!I67</f>
        <v/>
      </c>
      <c r="F63" s="66">
        <f>'Project Database'!J67</f>
        <v/>
      </c>
      <c r="G63" s="66">
        <f>'Project Database'!K67</f>
        <v/>
      </c>
      <c r="H63" s="66">
        <f>'Project Database'!L67</f>
        <v/>
      </c>
      <c r="I63" s="66">
        <f>'Project Database'!M67</f>
        <v/>
      </c>
      <c r="J63" s="66">
        <f>'Project Database'!N67</f>
        <v/>
      </c>
      <c r="K63" s="66">
        <f>'Project Database'!O67</f>
        <v/>
      </c>
      <c r="L63" s="66">
        <f>'Project Database'!P67</f>
        <v/>
      </c>
      <c r="M63" s="66">
        <f>'Project Database'!Q67</f>
        <v/>
      </c>
      <c r="N63" s="66">
        <f>'Project Database'!R67</f>
        <v/>
      </c>
      <c r="O63" s="66">
        <f>'Project Database'!S67</f>
        <v/>
      </c>
      <c r="P63" s="66">
        <f>'Project Database'!T67</f>
        <v/>
      </c>
      <c r="Q63" s="66">
        <f>'Project Database'!U67</f>
        <v/>
      </c>
      <c r="R63" s="66">
        <f>'Project Database'!V67</f>
        <v/>
      </c>
      <c r="S63" s="66">
        <f>'Project Database'!W67</f>
        <v/>
      </c>
      <c r="T63" s="66">
        <f>'Project Database'!X67</f>
        <v/>
      </c>
      <c r="U63" s="67">
        <f>'Project Database'!Y67</f>
        <v/>
      </c>
      <c r="V63" s="66">
        <f>IF('Smart Search'!B13=1,IFERROR(1/'Smart Search'!H13,0),0)</f>
        <v/>
      </c>
      <c r="W63" s="66">
        <f>IF('Smart Search'!B13=1,IFERROR(1/'Smart Search'!H13,0),0)</f>
        <v/>
      </c>
      <c r="X63" s="66">
        <f>IF('Smart Search'!C13=1,IFERROR(1/'Smart Search'!H13,0),0)</f>
        <v/>
      </c>
      <c r="Y63" s="66">
        <f>IF('Smart Search'!C13=1,IFERROR(1/'Smart Search'!H13,0),0)</f>
        <v/>
      </c>
      <c r="Z63" s="66">
        <f>IF('Smart Search'!D13=1,IFERROR(1/'Smart Search'!H13,0),0)</f>
        <v/>
      </c>
      <c r="AA63" s="66">
        <f>IF('Smart Search'!D13=1,IFERROR(1/'Smart Search'!H13,0),0)</f>
        <v/>
      </c>
      <c r="AB63" s="66">
        <f>IF('Smart Search'!E13=1,IFERROR(1/'Smart Search'!H13,0),0)</f>
        <v/>
      </c>
      <c r="AC63" s="66">
        <f>IF('Smart Search'!E13=1,IFERROR(1/'Smart Search'!H13,0),0)</f>
        <v/>
      </c>
      <c r="AD63" s="66">
        <f>IF('Smart Search'!F13=1,IFERROR(1/'Smart Search'!H13,0),0)</f>
        <v/>
      </c>
      <c r="AE63" s="66">
        <f>IF('Smart Search'!F13=1,IFERROR(1/'Smart Search'!H13,0),0)</f>
        <v/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66">
        <f>AF63*V63</f>
        <v/>
      </c>
      <c r="AQ63" s="66">
        <f>AG63*W63</f>
        <v/>
      </c>
      <c r="AR63" s="66">
        <f>AH63*X63</f>
        <v/>
      </c>
      <c r="AS63" s="66">
        <f>AI63*Y63</f>
        <v/>
      </c>
      <c r="AT63" s="66">
        <f>AJ63*Z63</f>
        <v/>
      </c>
      <c r="AU63" s="66">
        <f>AK63*AA63</f>
        <v/>
      </c>
      <c r="AV63" s="66">
        <f>AL63*AB63</f>
        <v/>
      </c>
      <c r="AW63" s="66">
        <f>AM63*AC63</f>
        <v/>
      </c>
      <c r="AX63" s="66">
        <f>AN63*AD63</f>
        <v/>
      </c>
      <c r="AY63" s="66">
        <f>AO63*AE63</f>
        <v/>
      </c>
      <c r="AZ63" s="66">
        <f>'Project Database'!Z67</f>
        <v/>
      </c>
      <c r="BA63" s="66">
        <f>IF(OR(A63="",'Smart Search'!H13=0),"",MAX(0,BE63*BF63*MAX(0,1-BG63)))</f>
        <v/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66">
        <f>IF('Smart Search'!G13=1,IFERROR(1/'Smart Search'!H13,0),0)</f>
        <v/>
      </c>
      <c r="BD63" s="66">
        <f>BB63*BC63</f>
        <v/>
      </c>
      <c r="BE63" s="66">
        <f>AP63+AQ63+AR63+AS63+AT63+AU63+AV63+AW63+AX63+AY63+BD63</f>
        <v/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5">
        <f>IF(AND('Project Database'!A67&lt;&gt;"",OR('Smart Search'!$L$5="",'Smart Search'!$L$5="All",TRIM('Project Database'!D67)=TRIM('Smart Search'!$L$5)),OR(TRIM('Smart Search'!$L$6)="",TRIM('Smart Search'!$L$6)="All",ISNUMBER(SEARCH(SUBSTITUTE(SUBSTITUTE(SUBSTITUTE(TRIM('Smart Search'!$L$6),"~","~~"),"*","~*"),"?","~?"),'Project Database'!C67))),OR('Smart Search'!$L$7="",AND('Project Database'!E67&lt;&gt;"",'Project Database'!E67='Smart Search'!$L$7)),OR('Smart Search'!$L$8="",'Smart Search'!$L$8="All",TRIM('Project Database'!F67)=TRIM('Smart Search'!$L$8))),IF(BA63="","",BA63+ROW()*0.0000000001),"")</f>
        <v/>
      </c>
      <c r="BI63" s="5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>
        <f>IF('Project Database'!A67="","",N('Project Database'!AC67))</f>
        <v/>
      </c>
      <c r="BK63" s="5">
        <f>IF('Project Database'!A67="","",N('Project Database'!AD67))</f>
        <v/>
      </c>
      <c r="BL63" s="5">
        <f>IF('Project Database'!A67="","",N('Project Database'!AE67))</f>
        <v/>
      </c>
      <c r="BM63" s="5">
        <f>IF('Project Database'!A67="","",N('Project Database'!AF67))</f>
        <v/>
      </c>
      <c r="BN63" s="5">
        <f>IF('Project Database'!A67="","",N('Project Database'!AG67))</f>
        <v/>
      </c>
      <c r="BO63" s="5">
        <f>IF('Project Database'!A67="","",N('Project Database'!AH67))</f>
        <v/>
      </c>
      <c r="BP63" s="5">
        <f>IF('Project Database'!A67="","",N('Project Database'!AI67))</f>
        <v/>
      </c>
      <c r="BQ63" s="5">
        <f>IF('Project Database'!A67="","",N('Project Database'!AJ67))</f>
        <v/>
      </c>
      <c r="BR63" s="5">
        <f>IF('Project Database'!A67="","",N('Project Database'!AK67))</f>
        <v/>
      </c>
      <c r="BS63" s="5">
        <f>IF('Project Database'!A67="","",N('Project Database'!AL67))</f>
        <v/>
      </c>
      <c r="BT63" s="5">
        <f>IF('Project Database'!A67="","",N('Project Database'!AM67))</f>
        <v/>
      </c>
      <c r="BU63" s="5">
        <f>IF('Project Database'!A67="","",N('Project Database'!AN67))</f>
        <v/>
      </c>
      <c r="BV63" s="5">
        <f>IF('Project Database'!A67="","",N('Project Database'!AO67))</f>
        <v/>
      </c>
      <c r="BW63" s="5">
        <f>IF('Project Database'!A67="","",N('Project Database'!AP67))</f>
        <v/>
      </c>
      <c r="BX63" s="5">
        <f>IF(A63="","",SUM(BJ63:BW63))</f>
        <v/>
      </c>
      <c r="BY63" s="5">
        <f>IF(A63="","",IFERROR(IF(ISNUMBER(U63),U63,VALUE(SUBSTITUTE(SUBSTITUTE(SUBSTITUTE(UPPER(TRIM(U63)),"M",""),",","")," ",""))),0))</f>
        <v/>
      </c>
    </row>
    <row r="64" ht="15" customHeight="1" s="74">
      <c r="A64" s="66">
        <f>'Project Database'!A68</f>
        <v/>
      </c>
      <c r="B64" s="66">
        <f>'Project Database'!B68</f>
        <v/>
      </c>
      <c r="C64" s="66">
        <f>'Project Database'!G68</f>
        <v/>
      </c>
      <c r="D64" s="66">
        <f>'Project Database'!H68</f>
        <v/>
      </c>
      <c r="E64" s="66">
        <f>'Project Database'!I68</f>
        <v/>
      </c>
      <c r="F64" s="66">
        <f>'Project Database'!J68</f>
        <v/>
      </c>
      <c r="G64" s="66">
        <f>'Project Database'!K68</f>
        <v/>
      </c>
      <c r="H64" s="66">
        <f>'Project Database'!L68</f>
        <v/>
      </c>
      <c r="I64" s="66">
        <f>'Project Database'!M68</f>
        <v/>
      </c>
      <c r="J64" s="66">
        <f>'Project Database'!N68</f>
        <v/>
      </c>
      <c r="K64" s="66">
        <f>'Project Database'!O68</f>
        <v/>
      </c>
      <c r="L64" s="66">
        <f>'Project Database'!P68</f>
        <v/>
      </c>
      <c r="M64" s="66">
        <f>'Project Database'!Q68</f>
        <v/>
      </c>
      <c r="N64" s="66">
        <f>'Project Database'!R68</f>
        <v/>
      </c>
      <c r="O64" s="66">
        <f>'Project Database'!S68</f>
        <v/>
      </c>
      <c r="P64" s="66">
        <f>'Project Database'!T68</f>
        <v/>
      </c>
      <c r="Q64" s="66">
        <f>'Project Database'!U68</f>
        <v/>
      </c>
      <c r="R64" s="66">
        <f>'Project Database'!V68</f>
        <v/>
      </c>
      <c r="S64" s="66">
        <f>'Project Database'!W68</f>
        <v/>
      </c>
      <c r="T64" s="66">
        <f>'Project Database'!X68</f>
        <v/>
      </c>
      <c r="U64" s="67">
        <f>'Project Database'!Y68</f>
        <v/>
      </c>
      <c r="V64" s="66">
        <f>IF('Smart Search'!B13=1,IFERROR(1/'Smart Search'!H13,0),0)</f>
        <v/>
      </c>
      <c r="W64" s="66">
        <f>IF('Smart Search'!B13=1,IFERROR(1/'Smart Search'!H13,0),0)</f>
        <v/>
      </c>
      <c r="X64" s="66">
        <f>IF('Smart Search'!C13=1,IFERROR(1/'Smart Search'!H13,0),0)</f>
        <v/>
      </c>
      <c r="Y64" s="66">
        <f>IF('Smart Search'!C13=1,IFERROR(1/'Smart Search'!H13,0),0)</f>
        <v/>
      </c>
      <c r="Z64" s="66">
        <f>IF('Smart Search'!D13=1,IFERROR(1/'Smart Search'!H13,0),0)</f>
        <v/>
      </c>
      <c r="AA64" s="66">
        <f>IF('Smart Search'!D13=1,IFERROR(1/'Smart Search'!H13,0),0)</f>
        <v/>
      </c>
      <c r="AB64" s="66">
        <f>IF('Smart Search'!E13=1,IFERROR(1/'Smart Search'!H13,0),0)</f>
        <v/>
      </c>
      <c r="AC64" s="66">
        <f>IF('Smart Search'!E13=1,IFERROR(1/'Smart Search'!H13,0),0)</f>
        <v/>
      </c>
      <c r="AD64" s="66">
        <f>IF('Smart Search'!F13=1,IFERROR(1/'Smart Search'!H13,0),0)</f>
        <v/>
      </c>
      <c r="AE64" s="66">
        <f>IF('Smart Search'!F13=1,IFERROR(1/'Smart Search'!H13,0),0)</f>
        <v/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66">
        <f>AF64*V64</f>
        <v/>
      </c>
      <c r="AQ64" s="66">
        <f>AG64*W64</f>
        <v/>
      </c>
      <c r="AR64" s="66">
        <f>AH64*X64</f>
        <v/>
      </c>
      <c r="AS64" s="66">
        <f>AI64*Y64</f>
        <v/>
      </c>
      <c r="AT64" s="66">
        <f>AJ64*Z64</f>
        <v/>
      </c>
      <c r="AU64" s="66">
        <f>AK64*AA64</f>
        <v/>
      </c>
      <c r="AV64" s="66">
        <f>AL64*AB64</f>
        <v/>
      </c>
      <c r="AW64" s="66">
        <f>AM64*AC64</f>
        <v/>
      </c>
      <c r="AX64" s="66">
        <f>AN64*AD64</f>
        <v/>
      </c>
      <c r="AY64" s="66">
        <f>AO64*AE64</f>
        <v/>
      </c>
      <c r="AZ64" s="66">
        <f>'Project Database'!Z68</f>
        <v/>
      </c>
      <c r="BA64" s="66">
        <f>IF(OR(A64="",'Smart Search'!H13=0),"",MAX(0,BE64*BF64*MAX(0,1-BG64)))</f>
        <v/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66">
        <f>IF('Smart Search'!G13=1,IFERROR(1/'Smart Search'!H13,0),0)</f>
        <v/>
      </c>
      <c r="BD64" s="66">
        <f>BB64*BC64</f>
        <v/>
      </c>
      <c r="BE64" s="66">
        <f>AP64+AQ64+AR64+AS64+AT64+AU64+AV64+AW64+AX64+AY64+BD64</f>
        <v/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5">
        <f>IF(AND('Project Database'!A68&lt;&gt;"",OR('Smart Search'!$L$5="",'Smart Search'!$L$5="All",TRIM('Project Database'!D68)=TRIM('Smart Search'!$L$5)),OR(TRIM('Smart Search'!$L$6)="",TRIM('Smart Search'!$L$6)="All",ISNUMBER(SEARCH(SUBSTITUTE(SUBSTITUTE(SUBSTITUTE(TRIM('Smart Search'!$L$6),"~","~~"),"*","~*"),"?","~?"),'Project Database'!C68))),OR('Smart Search'!$L$7="",AND('Project Database'!E68&lt;&gt;"",'Project Database'!E68='Smart Search'!$L$7)),OR('Smart Search'!$L$8="",'Smart Search'!$L$8="All",TRIM('Project Database'!F68)=TRIM('Smart Search'!$L$8))),IF(BA64="","",BA64+ROW()*0.0000000001),"")</f>
        <v/>
      </c>
      <c r="BI64" s="5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>
        <f>IF('Project Database'!A68="","",N('Project Database'!AC68))</f>
        <v/>
      </c>
      <c r="BK64" s="5">
        <f>IF('Project Database'!A68="","",N('Project Database'!AD68))</f>
        <v/>
      </c>
      <c r="BL64" s="5">
        <f>IF('Project Database'!A68="","",N('Project Database'!AE68))</f>
        <v/>
      </c>
      <c r="BM64" s="5">
        <f>IF('Project Database'!A68="","",N('Project Database'!AF68))</f>
        <v/>
      </c>
      <c r="BN64" s="5">
        <f>IF('Project Database'!A68="","",N('Project Database'!AG68))</f>
        <v/>
      </c>
      <c r="BO64" s="5">
        <f>IF('Project Database'!A68="","",N('Project Database'!AH68))</f>
        <v/>
      </c>
      <c r="BP64" s="5">
        <f>IF('Project Database'!A68="","",N('Project Database'!AI68))</f>
        <v/>
      </c>
      <c r="BQ64" s="5">
        <f>IF('Project Database'!A68="","",N('Project Database'!AJ68))</f>
        <v/>
      </c>
      <c r="BR64" s="5">
        <f>IF('Project Database'!A68="","",N('Project Database'!AK68))</f>
        <v/>
      </c>
      <c r="BS64" s="5">
        <f>IF('Project Database'!A68="","",N('Project Database'!AL68))</f>
        <v/>
      </c>
      <c r="BT64" s="5">
        <f>IF('Project Database'!A68="","",N('Project Database'!AM68))</f>
        <v/>
      </c>
      <c r="BU64" s="5">
        <f>IF('Project Database'!A68="","",N('Project Database'!AN68))</f>
        <v/>
      </c>
      <c r="BV64" s="5">
        <f>IF('Project Database'!A68="","",N('Project Database'!AO68))</f>
        <v/>
      </c>
      <c r="BW64" s="5">
        <f>IF('Project Database'!A68="","",N('Project Database'!AP68))</f>
        <v/>
      </c>
      <c r="BX64" s="5">
        <f>IF(A64="","",SUM(BJ64:BW64))</f>
        <v/>
      </c>
      <c r="BY64" s="5">
        <f>IF(A64="","",IFERROR(IF(ISNUMBER(U64),U64,VALUE(SUBSTITUTE(SUBSTITUTE(SUBSTITUTE(UPPER(TRIM(U64)),"M",""),",","")," ",""))),0))</f>
        <v/>
      </c>
    </row>
    <row r="65" ht="15" customHeight="1" s="74">
      <c r="A65" s="66">
        <f>'Project Database'!A69</f>
        <v/>
      </c>
      <c r="B65" s="66">
        <f>'Project Database'!B69</f>
        <v/>
      </c>
      <c r="C65" s="66">
        <f>'Project Database'!G69</f>
        <v/>
      </c>
      <c r="D65" s="66">
        <f>'Project Database'!H69</f>
        <v/>
      </c>
      <c r="E65" s="66">
        <f>'Project Database'!I69</f>
        <v/>
      </c>
      <c r="F65" s="66">
        <f>'Project Database'!J69</f>
        <v/>
      </c>
      <c r="G65" s="66">
        <f>'Project Database'!K69</f>
        <v/>
      </c>
      <c r="H65" s="66">
        <f>'Project Database'!L69</f>
        <v/>
      </c>
      <c r="I65" s="66">
        <f>'Project Database'!M69</f>
        <v/>
      </c>
      <c r="J65" s="66">
        <f>'Project Database'!N69</f>
        <v/>
      </c>
      <c r="K65" s="66">
        <f>'Project Database'!O69</f>
        <v/>
      </c>
      <c r="L65" s="66">
        <f>'Project Database'!P69</f>
        <v/>
      </c>
      <c r="M65" s="66">
        <f>'Project Database'!Q69</f>
        <v/>
      </c>
      <c r="N65" s="66">
        <f>'Project Database'!R69</f>
        <v/>
      </c>
      <c r="O65" s="66">
        <f>'Project Database'!S69</f>
        <v/>
      </c>
      <c r="P65" s="66">
        <f>'Project Database'!T69</f>
        <v/>
      </c>
      <c r="Q65" s="66">
        <f>'Project Database'!U69</f>
        <v/>
      </c>
      <c r="R65" s="66">
        <f>'Project Database'!V69</f>
        <v/>
      </c>
      <c r="S65" s="66">
        <f>'Project Database'!W69</f>
        <v/>
      </c>
      <c r="T65" s="66">
        <f>'Project Database'!X69</f>
        <v/>
      </c>
      <c r="U65" s="67">
        <f>'Project Database'!Y69</f>
        <v/>
      </c>
      <c r="V65" s="66">
        <f>IF('Smart Search'!B13=1,IFERROR(1/'Smart Search'!H13,0),0)</f>
        <v/>
      </c>
      <c r="W65" s="66">
        <f>IF('Smart Search'!B13=1,IFERROR(1/'Smart Search'!H13,0),0)</f>
        <v/>
      </c>
      <c r="X65" s="66">
        <f>IF('Smart Search'!C13=1,IFERROR(1/'Smart Search'!H13,0),0)</f>
        <v/>
      </c>
      <c r="Y65" s="66">
        <f>IF('Smart Search'!C13=1,IFERROR(1/'Smart Search'!H13,0),0)</f>
        <v/>
      </c>
      <c r="Z65" s="66">
        <f>IF('Smart Search'!D13=1,IFERROR(1/'Smart Search'!H13,0),0)</f>
        <v/>
      </c>
      <c r="AA65" s="66">
        <f>IF('Smart Search'!D13=1,IFERROR(1/'Smart Search'!H13,0),0)</f>
        <v/>
      </c>
      <c r="AB65" s="66">
        <f>IF('Smart Search'!E13=1,IFERROR(1/'Smart Search'!H13,0),0)</f>
        <v/>
      </c>
      <c r="AC65" s="66">
        <f>IF('Smart Search'!E13=1,IFERROR(1/'Smart Search'!H13,0),0)</f>
        <v/>
      </c>
      <c r="AD65" s="66">
        <f>IF('Smart Search'!F13=1,IFERROR(1/'Smart Search'!H13,0),0)</f>
        <v/>
      </c>
      <c r="AE65" s="66">
        <f>IF('Smart Search'!F13=1,IFERROR(1/'Smart Search'!H13,0),0)</f>
        <v/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66">
        <f>AF65*V65</f>
        <v/>
      </c>
      <c r="AQ65" s="66">
        <f>AG65*W65</f>
        <v/>
      </c>
      <c r="AR65" s="66">
        <f>AH65*X65</f>
        <v/>
      </c>
      <c r="AS65" s="66">
        <f>AI65*Y65</f>
        <v/>
      </c>
      <c r="AT65" s="66">
        <f>AJ65*Z65</f>
        <v/>
      </c>
      <c r="AU65" s="66">
        <f>AK65*AA65</f>
        <v/>
      </c>
      <c r="AV65" s="66">
        <f>AL65*AB65</f>
        <v/>
      </c>
      <c r="AW65" s="66">
        <f>AM65*AC65</f>
        <v/>
      </c>
      <c r="AX65" s="66">
        <f>AN65*AD65</f>
        <v/>
      </c>
      <c r="AY65" s="66">
        <f>AO65*AE65</f>
        <v/>
      </c>
      <c r="AZ65" s="66">
        <f>'Project Database'!Z69</f>
        <v/>
      </c>
      <c r="BA65" s="66">
        <f>IF(OR(A65="",'Smart Search'!H13=0),"",MAX(0,BE65*BF65*MAX(0,1-BG65)))</f>
        <v/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66">
        <f>IF('Smart Search'!G13=1,IFERROR(1/'Smart Search'!H13,0),0)</f>
        <v/>
      </c>
      <c r="BD65" s="66">
        <f>BB65*BC65</f>
        <v/>
      </c>
      <c r="BE65" s="66">
        <f>AP65+AQ65+AR65+AS65+AT65+AU65+AV65+AW65+AX65+AY65+BD65</f>
        <v/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5">
        <f>IF(AND('Project Database'!A69&lt;&gt;"",OR('Smart Search'!$L$5="",'Smart Search'!$L$5="All",TRIM('Project Database'!D69)=TRIM('Smart Search'!$L$5)),OR(TRIM('Smart Search'!$L$6)="",TRIM('Smart Search'!$L$6)="All",ISNUMBER(SEARCH(SUBSTITUTE(SUBSTITUTE(SUBSTITUTE(TRIM('Smart Search'!$L$6),"~","~~"),"*","~*"),"?","~?"),'Project Database'!C69))),OR('Smart Search'!$L$7="",AND('Project Database'!E69&lt;&gt;"",'Project Database'!E69='Smart Search'!$L$7)),OR('Smart Search'!$L$8="",'Smart Search'!$L$8="All",TRIM('Project Database'!F69)=TRIM('Smart Search'!$L$8))),IF(BA65="","",BA65+ROW()*0.0000000001),"")</f>
        <v/>
      </c>
      <c r="BI65" s="5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>
        <f>IF('Project Database'!A69="","",N('Project Database'!AC69))</f>
        <v/>
      </c>
      <c r="BK65" s="5">
        <f>IF('Project Database'!A69="","",N('Project Database'!AD69))</f>
        <v/>
      </c>
      <c r="BL65" s="5">
        <f>IF('Project Database'!A69="","",N('Project Database'!AE69))</f>
        <v/>
      </c>
      <c r="BM65" s="5">
        <f>IF('Project Database'!A69="","",N('Project Database'!AF69))</f>
        <v/>
      </c>
      <c r="BN65" s="5">
        <f>IF('Project Database'!A69="","",N('Project Database'!AG69))</f>
        <v/>
      </c>
      <c r="BO65" s="5">
        <f>IF('Project Database'!A69="","",N('Project Database'!AH69))</f>
        <v/>
      </c>
      <c r="BP65" s="5">
        <f>IF('Project Database'!A69="","",N('Project Database'!AI69))</f>
        <v/>
      </c>
      <c r="BQ65" s="5">
        <f>IF('Project Database'!A69="","",N('Project Database'!AJ69))</f>
        <v/>
      </c>
      <c r="BR65" s="5">
        <f>IF('Project Database'!A69="","",N('Project Database'!AK69))</f>
        <v/>
      </c>
      <c r="BS65" s="5">
        <f>IF('Project Database'!A69="","",N('Project Database'!AL69))</f>
        <v/>
      </c>
      <c r="BT65" s="5">
        <f>IF('Project Database'!A69="","",N('Project Database'!AM69))</f>
        <v/>
      </c>
      <c r="BU65" s="5">
        <f>IF('Project Database'!A69="","",N('Project Database'!AN69))</f>
        <v/>
      </c>
      <c r="BV65" s="5">
        <f>IF('Project Database'!A69="","",N('Project Database'!AO69))</f>
        <v/>
      </c>
      <c r="BW65" s="5">
        <f>IF('Project Database'!A69="","",N('Project Database'!AP69))</f>
        <v/>
      </c>
      <c r="BX65" s="5">
        <f>IF(A65="","",SUM(BJ65:BW65))</f>
        <v/>
      </c>
      <c r="BY65" s="5">
        <f>IF(A65="","",IFERROR(IF(ISNUMBER(U65),U65,VALUE(SUBSTITUTE(SUBSTITUTE(SUBSTITUTE(UPPER(TRIM(U65)),"M",""),",","")," ",""))),0))</f>
        <v/>
      </c>
    </row>
    <row r="66" ht="15" customHeight="1" s="74">
      <c r="A66" s="66">
        <f>'Project Database'!A70</f>
        <v/>
      </c>
      <c r="B66" s="66">
        <f>'Project Database'!B70</f>
        <v/>
      </c>
      <c r="C66" s="66">
        <f>'Project Database'!G70</f>
        <v/>
      </c>
      <c r="D66" s="66">
        <f>'Project Database'!H70</f>
        <v/>
      </c>
      <c r="E66" s="66">
        <f>'Project Database'!I70</f>
        <v/>
      </c>
      <c r="F66" s="66">
        <f>'Project Database'!J70</f>
        <v/>
      </c>
      <c r="G66" s="66">
        <f>'Project Database'!K70</f>
        <v/>
      </c>
      <c r="H66" s="66">
        <f>'Project Database'!L70</f>
        <v/>
      </c>
      <c r="I66" s="66">
        <f>'Project Database'!M70</f>
        <v/>
      </c>
      <c r="J66" s="66">
        <f>'Project Database'!N70</f>
        <v/>
      </c>
      <c r="K66" s="66">
        <f>'Project Database'!O70</f>
        <v/>
      </c>
      <c r="L66" s="66">
        <f>'Project Database'!P70</f>
        <v/>
      </c>
      <c r="M66" s="66">
        <f>'Project Database'!Q70</f>
        <v/>
      </c>
      <c r="N66" s="66">
        <f>'Project Database'!R70</f>
        <v/>
      </c>
      <c r="O66" s="66">
        <f>'Project Database'!S70</f>
        <v/>
      </c>
      <c r="P66" s="66">
        <f>'Project Database'!T70</f>
        <v/>
      </c>
      <c r="Q66" s="66">
        <f>'Project Database'!U70</f>
        <v/>
      </c>
      <c r="R66" s="66">
        <f>'Project Database'!V70</f>
        <v/>
      </c>
      <c r="S66" s="66">
        <f>'Project Database'!W70</f>
        <v/>
      </c>
      <c r="T66" s="66">
        <f>'Project Database'!X70</f>
        <v/>
      </c>
      <c r="U66" s="67">
        <f>'Project Database'!Y70</f>
        <v/>
      </c>
      <c r="V66" s="66">
        <f>IF('Smart Search'!B13=1,IFERROR(1/'Smart Search'!H13,0),0)</f>
        <v/>
      </c>
      <c r="W66" s="66">
        <f>IF('Smart Search'!B13=1,IFERROR(1/'Smart Search'!H13,0),0)</f>
        <v/>
      </c>
      <c r="X66" s="66">
        <f>IF('Smart Search'!C13=1,IFERROR(1/'Smart Search'!H13,0),0)</f>
        <v/>
      </c>
      <c r="Y66" s="66">
        <f>IF('Smart Search'!C13=1,IFERROR(1/'Smart Search'!H13,0),0)</f>
        <v/>
      </c>
      <c r="Z66" s="66">
        <f>IF('Smart Search'!D13=1,IFERROR(1/'Smart Search'!H13,0),0)</f>
        <v/>
      </c>
      <c r="AA66" s="66">
        <f>IF('Smart Search'!D13=1,IFERROR(1/'Smart Search'!H13,0),0)</f>
        <v/>
      </c>
      <c r="AB66" s="66">
        <f>IF('Smart Search'!E13=1,IFERROR(1/'Smart Search'!H13,0),0)</f>
        <v/>
      </c>
      <c r="AC66" s="66">
        <f>IF('Smart Search'!E13=1,IFERROR(1/'Smart Search'!H13,0),0)</f>
        <v/>
      </c>
      <c r="AD66" s="66">
        <f>IF('Smart Search'!F13=1,IFERROR(1/'Smart Search'!H13,0),0)</f>
        <v/>
      </c>
      <c r="AE66" s="66">
        <f>IF('Smart Search'!F13=1,IFERROR(1/'Smart Search'!H13,0),0)</f>
        <v/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66">
        <f>AF66*V66</f>
        <v/>
      </c>
      <c r="AQ66" s="66">
        <f>AG66*W66</f>
        <v/>
      </c>
      <c r="AR66" s="66">
        <f>AH66*X66</f>
        <v/>
      </c>
      <c r="AS66" s="66">
        <f>AI66*Y66</f>
        <v/>
      </c>
      <c r="AT66" s="66">
        <f>AJ66*Z66</f>
        <v/>
      </c>
      <c r="AU66" s="66">
        <f>AK66*AA66</f>
        <v/>
      </c>
      <c r="AV66" s="66">
        <f>AL66*AB66</f>
        <v/>
      </c>
      <c r="AW66" s="66">
        <f>AM66*AC66</f>
        <v/>
      </c>
      <c r="AX66" s="66">
        <f>AN66*AD66</f>
        <v/>
      </c>
      <c r="AY66" s="66">
        <f>AO66*AE66</f>
        <v/>
      </c>
      <c r="AZ66" s="66">
        <f>'Project Database'!Z70</f>
        <v/>
      </c>
      <c r="BA66" s="66">
        <f>IF(OR(A66="",'Smart Search'!H13=0),"",MAX(0,BE66*BF66*MAX(0,1-BG66)))</f>
        <v/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66">
        <f>IF('Smart Search'!G13=1,IFERROR(1/'Smart Search'!H13,0),0)</f>
        <v/>
      </c>
      <c r="BD66" s="66">
        <f>BB66*BC66</f>
        <v/>
      </c>
      <c r="BE66" s="66">
        <f>AP66+AQ66+AR66+AS66+AT66+AU66+AV66+AW66+AX66+AY66+BD66</f>
        <v/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5">
        <f>IF(AND('Project Database'!A70&lt;&gt;"",OR('Smart Search'!$L$5="",'Smart Search'!$L$5="All",TRIM('Project Database'!D70)=TRIM('Smart Search'!$L$5)),OR(TRIM('Smart Search'!$L$6)="",TRIM('Smart Search'!$L$6)="All",ISNUMBER(SEARCH(SUBSTITUTE(SUBSTITUTE(SUBSTITUTE(TRIM('Smart Search'!$L$6),"~","~~"),"*","~*"),"?","~?"),'Project Database'!C70))),OR('Smart Search'!$L$7="",AND('Project Database'!E70&lt;&gt;"",'Project Database'!E70='Smart Search'!$L$7)),OR('Smart Search'!$L$8="",'Smart Search'!$L$8="All",TRIM('Project Database'!F70)=TRIM('Smart Search'!$L$8))),IF(BA66="","",BA66+ROW()*0.0000000001),"")</f>
        <v/>
      </c>
      <c r="BI66" s="5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>
        <f>IF('Project Database'!A70="","",N('Project Database'!AC70))</f>
        <v/>
      </c>
      <c r="BK66" s="5">
        <f>IF('Project Database'!A70="","",N('Project Database'!AD70))</f>
        <v/>
      </c>
      <c r="BL66" s="5">
        <f>IF('Project Database'!A70="","",N('Project Database'!AE70))</f>
        <v/>
      </c>
      <c r="BM66" s="5">
        <f>IF('Project Database'!A70="","",N('Project Database'!AF70))</f>
        <v/>
      </c>
      <c r="BN66" s="5">
        <f>IF('Project Database'!A70="","",N('Project Database'!AG70))</f>
        <v/>
      </c>
      <c r="BO66" s="5">
        <f>IF('Project Database'!A70="","",N('Project Database'!AH70))</f>
        <v/>
      </c>
      <c r="BP66" s="5">
        <f>IF('Project Database'!A70="","",N('Project Database'!AI70))</f>
        <v/>
      </c>
      <c r="BQ66" s="5">
        <f>IF('Project Database'!A70="","",N('Project Database'!AJ70))</f>
        <v/>
      </c>
      <c r="BR66" s="5">
        <f>IF('Project Database'!A70="","",N('Project Database'!AK70))</f>
        <v/>
      </c>
      <c r="BS66" s="5">
        <f>IF('Project Database'!A70="","",N('Project Database'!AL70))</f>
        <v/>
      </c>
      <c r="BT66" s="5">
        <f>IF('Project Database'!A70="","",N('Project Database'!AM70))</f>
        <v/>
      </c>
      <c r="BU66" s="5">
        <f>IF('Project Database'!A70="","",N('Project Database'!AN70))</f>
        <v/>
      </c>
      <c r="BV66" s="5">
        <f>IF('Project Database'!A70="","",N('Project Database'!AO70))</f>
        <v/>
      </c>
      <c r="BW66" s="5">
        <f>IF('Project Database'!A70="","",N('Project Database'!AP70))</f>
        <v/>
      </c>
      <c r="BX66" s="5">
        <f>IF(A66="","",SUM(BJ66:BW66))</f>
        <v/>
      </c>
      <c r="BY66" s="5">
        <f>IF(A66="","",IFERROR(IF(ISNUMBER(U66),U66,VALUE(SUBSTITUTE(SUBSTITUTE(SUBSTITUTE(UPPER(TRIM(U66)),"M",""),",","")," ",""))),0))</f>
        <v/>
      </c>
    </row>
    <row r="67" ht="15" customHeight="1" s="74">
      <c r="A67" s="66">
        <f>'Project Database'!A71</f>
        <v/>
      </c>
      <c r="B67" s="66">
        <f>'Project Database'!B71</f>
        <v/>
      </c>
      <c r="C67" s="66">
        <f>'Project Database'!G71</f>
        <v/>
      </c>
      <c r="D67" s="66">
        <f>'Project Database'!H71</f>
        <v/>
      </c>
      <c r="E67" s="66">
        <f>'Project Database'!I71</f>
        <v/>
      </c>
      <c r="F67" s="66">
        <f>'Project Database'!J71</f>
        <v/>
      </c>
      <c r="G67" s="66">
        <f>'Project Database'!K71</f>
        <v/>
      </c>
      <c r="H67" s="66">
        <f>'Project Database'!L71</f>
        <v/>
      </c>
      <c r="I67" s="66">
        <f>'Project Database'!M71</f>
        <v/>
      </c>
      <c r="J67" s="66">
        <f>'Project Database'!N71</f>
        <v/>
      </c>
      <c r="K67" s="66">
        <f>'Project Database'!O71</f>
        <v/>
      </c>
      <c r="L67" s="66">
        <f>'Project Database'!P71</f>
        <v/>
      </c>
      <c r="M67" s="66">
        <f>'Project Database'!Q71</f>
        <v/>
      </c>
      <c r="N67" s="66">
        <f>'Project Database'!R71</f>
        <v/>
      </c>
      <c r="O67" s="66">
        <f>'Project Database'!S71</f>
        <v/>
      </c>
      <c r="P67" s="66">
        <f>'Project Database'!T71</f>
        <v/>
      </c>
      <c r="Q67" s="66">
        <f>'Project Database'!U71</f>
        <v/>
      </c>
      <c r="R67" s="66">
        <f>'Project Database'!V71</f>
        <v/>
      </c>
      <c r="S67" s="66">
        <f>'Project Database'!W71</f>
        <v/>
      </c>
      <c r="T67" s="66">
        <f>'Project Database'!X71</f>
        <v/>
      </c>
      <c r="U67" s="67">
        <f>'Project Database'!Y71</f>
        <v/>
      </c>
      <c r="V67" s="66">
        <f>IF('Smart Search'!B13=1,IFERROR(1/'Smart Search'!H13,0),0)</f>
        <v/>
      </c>
      <c r="W67" s="66">
        <f>IF('Smart Search'!B13=1,IFERROR(1/'Smart Search'!H13,0),0)</f>
        <v/>
      </c>
      <c r="X67" s="66">
        <f>IF('Smart Search'!C13=1,IFERROR(1/'Smart Search'!H13,0),0)</f>
        <v/>
      </c>
      <c r="Y67" s="66">
        <f>IF('Smart Search'!C13=1,IFERROR(1/'Smart Search'!H13,0),0)</f>
        <v/>
      </c>
      <c r="Z67" s="66">
        <f>IF('Smart Search'!D13=1,IFERROR(1/'Smart Search'!H13,0),0)</f>
        <v/>
      </c>
      <c r="AA67" s="66">
        <f>IF('Smart Search'!D13=1,IFERROR(1/'Smart Search'!H13,0),0)</f>
        <v/>
      </c>
      <c r="AB67" s="66">
        <f>IF('Smart Search'!E13=1,IFERROR(1/'Smart Search'!H13,0),0)</f>
        <v/>
      </c>
      <c r="AC67" s="66">
        <f>IF('Smart Search'!E13=1,IFERROR(1/'Smart Search'!H13,0),0)</f>
        <v/>
      </c>
      <c r="AD67" s="66">
        <f>IF('Smart Search'!F13=1,IFERROR(1/'Smart Search'!H13,0),0)</f>
        <v/>
      </c>
      <c r="AE67" s="66">
        <f>IF('Smart Search'!F13=1,IFERROR(1/'Smart Search'!H13,0),0)</f>
        <v/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66">
        <f>AF67*V67</f>
        <v/>
      </c>
      <c r="AQ67" s="66">
        <f>AG67*W67</f>
        <v/>
      </c>
      <c r="AR67" s="66">
        <f>AH67*X67</f>
        <v/>
      </c>
      <c r="AS67" s="66">
        <f>AI67*Y67</f>
        <v/>
      </c>
      <c r="AT67" s="66">
        <f>AJ67*Z67</f>
        <v/>
      </c>
      <c r="AU67" s="66">
        <f>AK67*AA67</f>
        <v/>
      </c>
      <c r="AV67" s="66">
        <f>AL67*AB67</f>
        <v/>
      </c>
      <c r="AW67" s="66">
        <f>AM67*AC67</f>
        <v/>
      </c>
      <c r="AX67" s="66">
        <f>AN67*AD67</f>
        <v/>
      </c>
      <c r="AY67" s="66">
        <f>AO67*AE67</f>
        <v/>
      </c>
      <c r="AZ67" s="66">
        <f>'Project Database'!Z71</f>
        <v/>
      </c>
      <c r="BA67" s="66">
        <f>IF(OR(A67="",'Smart Search'!H13=0),"",MAX(0,BE67*BF67*MAX(0,1-BG67)))</f>
        <v/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66">
        <f>IF('Smart Search'!G13=1,IFERROR(1/'Smart Search'!H13,0),0)</f>
        <v/>
      </c>
      <c r="BD67" s="66">
        <f>BB67*BC67</f>
        <v/>
      </c>
      <c r="BE67" s="66">
        <f>AP67+AQ67+AR67+AS67+AT67+AU67+AV67+AW67+AX67+AY67+BD67</f>
        <v/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5">
        <f>IF(AND('Project Database'!A71&lt;&gt;"",OR('Smart Search'!$L$5="",'Smart Search'!$L$5="All",TRIM('Project Database'!D71)=TRIM('Smart Search'!$L$5)),OR(TRIM('Smart Search'!$L$6)="",TRIM('Smart Search'!$L$6)="All",ISNUMBER(SEARCH(SUBSTITUTE(SUBSTITUTE(SUBSTITUTE(TRIM('Smart Search'!$L$6),"~","~~"),"*","~*"),"?","~?"),'Project Database'!C71))),OR('Smart Search'!$L$7="",AND('Project Database'!E71&lt;&gt;"",'Project Database'!E71='Smart Search'!$L$7)),OR('Smart Search'!$L$8="",'Smart Search'!$L$8="All",TRIM('Project Database'!F71)=TRIM('Smart Search'!$L$8))),IF(BA67="","",BA67+ROW()*0.0000000001),"")</f>
        <v/>
      </c>
      <c r="BI67" s="5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>
        <f>IF('Project Database'!A71="","",N('Project Database'!AC71))</f>
        <v/>
      </c>
      <c r="BK67" s="5">
        <f>IF('Project Database'!A71="","",N('Project Database'!AD71))</f>
        <v/>
      </c>
      <c r="BL67" s="5">
        <f>IF('Project Database'!A71="","",N('Project Database'!AE71))</f>
        <v/>
      </c>
      <c r="BM67" s="5">
        <f>IF('Project Database'!A71="","",N('Project Database'!AF71))</f>
        <v/>
      </c>
      <c r="BN67" s="5">
        <f>IF('Project Database'!A71="","",N('Project Database'!AG71))</f>
        <v/>
      </c>
      <c r="BO67" s="5">
        <f>IF('Project Database'!A71="","",N('Project Database'!AH71))</f>
        <v/>
      </c>
      <c r="BP67" s="5">
        <f>IF('Project Database'!A71="","",N('Project Database'!AI71))</f>
        <v/>
      </c>
      <c r="BQ67" s="5">
        <f>IF('Project Database'!A71="","",N('Project Database'!AJ71))</f>
        <v/>
      </c>
      <c r="BR67" s="5">
        <f>IF('Project Database'!A71="","",N('Project Database'!AK71))</f>
        <v/>
      </c>
      <c r="BS67" s="5">
        <f>IF('Project Database'!A71="","",N('Project Database'!AL71))</f>
        <v/>
      </c>
      <c r="BT67" s="5">
        <f>IF('Project Database'!A71="","",N('Project Database'!AM71))</f>
        <v/>
      </c>
      <c r="BU67" s="5">
        <f>IF('Project Database'!A71="","",N('Project Database'!AN71))</f>
        <v/>
      </c>
      <c r="BV67" s="5">
        <f>IF('Project Database'!A71="","",N('Project Database'!AO71))</f>
        <v/>
      </c>
      <c r="BW67" s="5">
        <f>IF('Project Database'!A71="","",N('Project Database'!AP71))</f>
        <v/>
      </c>
      <c r="BX67" s="5">
        <f>IF(A67="","",SUM(BJ67:BW67))</f>
        <v/>
      </c>
      <c r="BY67" s="5">
        <f>IF(A67="","",IFERROR(IF(ISNUMBER(U67),U67,VALUE(SUBSTITUTE(SUBSTITUTE(SUBSTITUTE(UPPER(TRIM(U67)),"M",""),",","")," ",""))),0))</f>
        <v/>
      </c>
    </row>
    <row r="68" ht="15" customHeight="1" s="74">
      <c r="A68" s="66">
        <f>'Project Database'!A72</f>
        <v/>
      </c>
      <c r="B68" s="66">
        <f>'Project Database'!B72</f>
        <v/>
      </c>
      <c r="C68" s="66">
        <f>'Project Database'!G72</f>
        <v/>
      </c>
      <c r="D68" s="66">
        <f>'Project Database'!H72</f>
        <v/>
      </c>
      <c r="E68" s="66">
        <f>'Project Database'!I72</f>
        <v/>
      </c>
      <c r="F68" s="66">
        <f>'Project Database'!J72</f>
        <v/>
      </c>
      <c r="G68" s="66">
        <f>'Project Database'!K72</f>
        <v/>
      </c>
      <c r="H68" s="66">
        <f>'Project Database'!L72</f>
        <v/>
      </c>
      <c r="I68" s="66">
        <f>'Project Database'!M72</f>
        <v/>
      </c>
      <c r="J68" s="66">
        <f>'Project Database'!N72</f>
        <v/>
      </c>
      <c r="K68" s="66">
        <f>'Project Database'!O72</f>
        <v/>
      </c>
      <c r="L68" s="66">
        <f>'Project Database'!P72</f>
        <v/>
      </c>
      <c r="M68" s="66">
        <f>'Project Database'!Q72</f>
        <v/>
      </c>
      <c r="N68" s="66">
        <f>'Project Database'!R72</f>
        <v/>
      </c>
      <c r="O68" s="66">
        <f>'Project Database'!S72</f>
        <v/>
      </c>
      <c r="P68" s="66">
        <f>'Project Database'!T72</f>
        <v/>
      </c>
      <c r="Q68" s="66">
        <f>'Project Database'!U72</f>
        <v/>
      </c>
      <c r="R68" s="66">
        <f>'Project Database'!V72</f>
        <v/>
      </c>
      <c r="S68" s="66">
        <f>'Project Database'!W72</f>
        <v/>
      </c>
      <c r="T68" s="66">
        <f>'Project Database'!X72</f>
        <v/>
      </c>
      <c r="U68" s="67">
        <f>'Project Database'!Y72</f>
        <v/>
      </c>
      <c r="V68" s="66">
        <f>IF('Smart Search'!B13=1,IFERROR(1/'Smart Search'!H13,0),0)</f>
        <v/>
      </c>
      <c r="W68" s="66">
        <f>IF('Smart Search'!B13=1,IFERROR(1/'Smart Search'!H13,0),0)</f>
        <v/>
      </c>
      <c r="X68" s="66">
        <f>IF('Smart Search'!C13=1,IFERROR(1/'Smart Search'!H13,0),0)</f>
        <v/>
      </c>
      <c r="Y68" s="66">
        <f>IF('Smart Search'!C13=1,IFERROR(1/'Smart Search'!H13,0),0)</f>
        <v/>
      </c>
      <c r="Z68" s="66">
        <f>IF('Smart Search'!D13=1,IFERROR(1/'Smart Search'!H13,0),0)</f>
        <v/>
      </c>
      <c r="AA68" s="66">
        <f>IF('Smart Search'!D13=1,IFERROR(1/'Smart Search'!H13,0),0)</f>
        <v/>
      </c>
      <c r="AB68" s="66">
        <f>IF('Smart Search'!E13=1,IFERROR(1/'Smart Search'!H13,0),0)</f>
        <v/>
      </c>
      <c r="AC68" s="66">
        <f>IF('Smart Search'!E13=1,IFERROR(1/'Smart Search'!H13,0),0)</f>
        <v/>
      </c>
      <c r="AD68" s="66">
        <f>IF('Smart Search'!F13=1,IFERROR(1/'Smart Search'!H13,0),0)</f>
        <v/>
      </c>
      <c r="AE68" s="66">
        <f>IF('Smart Search'!F13=1,IFERROR(1/'Smart Search'!H13,0),0)</f>
        <v/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66">
        <f>AF68*V68</f>
        <v/>
      </c>
      <c r="AQ68" s="66">
        <f>AG68*W68</f>
        <v/>
      </c>
      <c r="AR68" s="66">
        <f>AH68*X68</f>
        <v/>
      </c>
      <c r="AS68" s="66">
        <f>AI68*Y68</f>
        <v/>
      </c>
      <c r="AT68" s="66">
        <f>AJ68*Z68</f>
        <v/>
      </c>
      <c r="AU68" s="66">
        <f>AK68*AA68</f>
        <v/>
      </c>
      <c r="AV68" s="66">
        <f>AL68*AB68</f>
        <v/>
      </c>
      <c r="AW68" s="66">
        <f>AM68*AC68</f>
        <v/>
      </c>
      <c r="AX68" s="66">
        <f>AN68*AD68</f>
        <v/>
      </c>
      <c r="AY68" s="66">
        <f>AO68*AE68</f>
        <v/>
      </c>
      <c r="AZ68" s="66">
        <f>'Project Database'!Z72</f>
        <v/>
      </c>
      <c r="BA68" s="66">
        <f>IF(OR(A68="",'Smart Search'!H13=0),"",MAX(0,BE68*BF68*MAX(0,1-BG68)))</f>
        <v/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66">
        <f>IF('Smart Search'!G13=1,IFERROR(1/'Smart Search'!H13,0),0)</f>
        <v/>
      </c>
      <c r="BD68" s="66">
        <f>BB68*BC68</f>
        <v/>
      </c>
      <c r="BE68" s="66">
        <f>AP68+AQ68+AR68+AS68+AT68+AU68+AV68+AW68+AX68+AY68+BD68</f>
        <v/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5">
        <f>IF(AND('Project Database'!A72&lt;&gt;"",OR('Smart Search'!$L$5="",'Smart Search'!$L$5="All",TRIM('Project Database'!D72)=TRIM('Smart Search'!$L$5)),OR(TRIM('Smart Search'!$L$6)="",TRIM('Smart Search'!$L$6)="All",ISNUMBER(SEARCH(SUBSTITUTE(SUBSTITUTE(SUBSTITUTE(TRIM('Smart Search'!$L$6),"~","~~"),"*","~*"),"?","~?"),'Project Database'!C72))),OR('Smart Search'!$L$7="",AND('Project Database'!E72&lt;&gt;"",'Project Database'!E72='Smart Search'!$L$7)),OR('Smart Search'!$L$8="",'Smart Search'!$L$8="All",TRIM('Project Database'!F72)=TRIM('Smart Search'!$L$8))),IF(BA68="","",BA68+ROW()*0.0000000001),"")</f>
        <v/>
      </c>
      <c r="BI68" s="5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>
        <f>IF('Project Database'!A72="","",N('Project Database'!AC72))</f>
        <v/>
      </c>
      <c r="BK68" s="5">
        <f>IF('Project Database'!A72="","",N('Project Database'!AD72))</f>
        <v/>
      </c>
      <c r="BL68" s="5">
        <f>IF('Project Database'!A72="","",N('Project Database'!AE72))</f>
        <v/>
      </c>
      <c r="BM68" s="5">
        <f>IF('Project Database'!A72="","",N('Project Database'!AF72))</f>
        <v/>
      </c>
      <c r="BN68" s="5">
        <f>IF('Project Database'!A72="","",N('Project Database'!AG72))</f>
        <v/>
      </c>
      <c r="BO68" s="5">
        <f>IF('Project Database'!A72="","",N('Project Database'!AH72))</f>
        <v/>
      </c>
      <c r="BP68" s="5">
        <f>IF('Project Database'!A72="","",N('Project Database'!AI72))</f>
        <v/>
      </c>
      <c r="BQ68" s="5">
        <f>IF('Project Database'!A72="","",N('Project Database'!AJ72))</f>
        <v/>
      </c>
      <c r="BR68" s="5">
        <f>IF('Project Database'!A72="","",N('Project Database'!AK72))</f>
        <v/>
      </c>
      <c r="BS68" s="5">
        <f>IF('Project Database'!A72="","",N('Project Database'!AL72))</f>
        <v/>
      </c>
      <c r="BT68" s="5">
        <f>IF('Project Database'!A72="","",N('Project Database'!AM72))</f>
        <v/>
      </c>
      <c r="BU68" s="5">
        <f>IF('Project Database'!A72="","",N('Project Database'!AN72))</f>
        <v/>
      </c>
      <c r="BV68" s="5">
        <f>IF('Project Database'!A72="","",N('Project Database'!AO72))</f>
        <v/>
      </c>
      <c r="BW68" s="5">
        <f>IF('Project Database'!A72="","",N('Project Database'!AP72))</f>
        <v/>
      </c>
      <c r="BX68" s="5">
        <f>IF(A68="","",SUM(BJ68:BW68))</f>
        <v/>
      </c>
      <c r="BY68" s="5">
        <f>IF(A68="","",IFERROR(IF(ISNUMBER(U68),U68,VALUE(SUBSTITUTE(SUBSTITUTE(SUBSTITUTE(UPPER(TRIM(U68)),"M",""),",","")," ",""))),0))</f>
        <v/>
      </c>
    </row>
    <row r="69" ht="15" customHeight="1" s="74">
      <c r="A69" s="66">
        <f>'Project Database'!A73</f>
        <v/>
      </c>
      <c r="B69" s="66">
        <f>'Project Database'!B73</f>
        <v/>
      </c>
      <c r="C69" s="66">
        <f>'Project Database'!G73</f>
        <v/>
      </c>
      <c r="D69" s="66">
        <f>'Project Database'!H73</f>
        <v/>
      </c>
      <c r="E69" s="66">
        <f>'Project Database'!I73</f>
        <v/>
      </c>
      <c r="F69" s="66">
        <f>'Project Database'!J73</f>
        <v/>
      </c>
      <c r="G69" s="66">
        <f>'Project Database'!K73</f>
        <v/>
      </c>
      <c r="H69" s="66">
        <f>'Project Database'!L73</f>
        <v/>
      </c>
      <c r="I69" s="66">
        <f>'Project Database'!M73</f>
        <v/>
      </c>
      <c r="J69" s="66">
        <f>'Project Database'!N73</f>
        <v/>
      </c>
      <c r="K69" s="66">
        <f>'Project Database'!O73</f>
        <v/>
      </c>
      <c r="L69" s="66">
        <f>'Project Database'!P73</f>
        <v/>
      </c>
      <c r="M69" s="66">
        <f>'Project Database'!Q73</f>
        <v/>
      </c>
      <c r="N69" s="66">
        <f>'Project Database'!R73</f>
        <v/>
      </c>
      <c r="O69" s="66">
        <f>'Project Database'!S73</f>
        <v/>
      </c>
      <c r="P69" s="66">
        <f>'Project Database'!T73</f>
        <v/>
      </c>
      <c r="Q69" s="66">
        <f>'Project Database'!U73</f>
        <v/>
      </c>
      <c r="R69" s="66">
        <f>'Project Database'!V73</f>
        <v/>
      </c>
      <c r="S69" s="66">
        <f>'Project Database'!W73</f>
        <v/>
      </c>
      <c r="T69" s="66">
        <f>'Project Database'!X73</f>
        <v/>
      </c>
      <c r="U69" s="67">
        <f>'Project Database'!Y73</f>
        <v/>
      </c>
      <c r="V69" s="66">
        <f>IF('Smart Search'!B13=1,IFERROR(1/'Smart Search'!H13,0),0)</f>
        <v/>
      </c>
      <c r="W69" s="66">
        <f>IF('Smart Search'!B13=1,IFERROR(1/'Smart Search'!H13,0),0)</f>
        <v/>
      </c>
      <c r="X69" s="66">
        <f>IF('Smart Search'!C13=1,IFERROR(1/'Smart Search'!H13,0),0)</f>
        <v/>
      </c>
      <c r="Y69" s="66">
        <f>IF('Smart Search'!C13=1,IFERROR(1/'Smart Search'!H13,0),0)</f>
        <v/>
      </c>
      <c r="Z69" s="66">
        <f>IF('Smart Search'!D13=1,IFERROR(1/'Smart Search'!H13,0),0)</f>
        <v/>
      </c>
      <c r="AA69" s="66">
        <f>IF('Smart Search'!D13=1,IFERROR(1/'Smart Search'!H13,0),0)</f>
        <v/>
      </c>
      <c r="AB69" s="66">
        <f>IF('Smart Search'!E13=1,IFERROR(1/'Smart Search'!H13,0),0)</f>
        <v/>
      </c>
      <c r="AC69" s="66">
        <f>IF('Smart Search'!E13=1,IFERROR(1/'Smart Search'!H13,0),0)</f>
        <v/>
      </c>
      <c r="AD69" s="66">
        <f>IF('Smart Search'!F13=1,IFERROR(1/'Smart Search'!H13,0),0)</f>
        <v/>
      </c>
      <c r="AE69" s="66">
        <f>IF('Smart Search'!F13=1,IFERROR(1/'Smart Search'!H13,0),0)</f>
        <v/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66">
        <f>AF69*V69</f>
        <v/>
      </c>
      <c r="AQ69" s="66">
        <f>AG69*W69</f>
        <v/>
      </c>
      <c r="AR69" s="66">
        <f>AH69*X69</f>
        <v/>
      </c>
      <c r="AS69" s="66">
        <f>AI69*Y69</f>
        <v/>
      </c>
      <c r="AT69" s="66">
        <f>AJ69*Z69</f>
        <v/>
      </c>
      <c r="AU69" s="66">
        <f>AK69*AA69</f>
        <v/>
      </c>
      <c r="AV69" s="66">
        <f>AL69*AB69</f>
        <v/>
      </c>
      <c r="AW69" s="66">
        <f>AM69*AC69</f>
        <v/>
      </c>
      <c r="AX69" s="66">
        <f>AN69*AD69</f>
        <v/>
      </c>
      <c r="AY69" s="66">
        <f>AO69*AE69</f>
        <v/>
      </c>
      <c r="AZ69" s="66">
        <f>'Project Database'!Z73</f>
        <v/>
      </c>
      <c r="BA69" s="66">
        <f>IF(OR(A69="",'Smart Search'!H13=0),"",MAX(0,BE69*BF69*MAX(0,1-BG69)))</f>
        <v/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66">
        <f>IF('Smart Search'!G13=1,IFERROR(1/'Smart Search'!H13,0),0)</f>
        <v/>
      </c>
      <c r="BD69" s="66">
        <f>BB69*BC69</f>
        <v/>
      </c>
      <c r="BE69" s="66">
        <f>AP69+AQ69+AR69+AS69+AT69+AU69+AV69+AW69+AX69+AY69+BD69</f>
        <v/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5">
        <f>IF(AND('Project Database'!A73&lt;&gt;"",OR('Smart Search'!$L$5="",'Smart Search'!$L$5="All",TRIM('Project Database'!D73)=TRIM('Smart Search'!$L$5)),OR(TRIM('Smart Search'!$L$6)="",TRIM('Smart Search'!$L$6)="All",ISNUMBER(SEARCH(SUBSTITUTE(SUBSTITUTE(SUBSTITUTE(TRIM('Smart Search'!$L$6),"~","~~"),"*","~*"),"?","~?"),'Project Database'!C73))),OR('Smart Search'!$L$7="",AND('Project Database'!E73&lt;&gt;"",'Project Database'!E73='Smart Search'!$L$7)),OR('Smart Search'!$L$8="",'Smart Search'!$L$8="All",TRIM('Project Database'!F73)=TRIM('Smart Search'!$L$8))),IF(BA69="","",BA69+ROW()*0.0000000001),"")</f>
        <v/>
      </c>
      <c r="BI69" s="5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>
        <f>IF('Project Database'!A73="","",N('Project Database'!AC73))</f>
        <v/>
      </c>
      <c r="BK69" s="5">
        <f>IF('Project Database'!A73="","",N('Project Database'!AD73))</f>
        <v/>
      </c>
      <c r="BL69" s="5">
        <f>IF('Project Database'!A73="","",N('Project Database'!AE73))</f>
        <v/>
      </c>
      <c r="BM69" s="5">
        <f>IF('Project Database'!A73="","",N('Project Database'!AF73))</f>
        <v/>
      </c>
      <c r="BN69" s="5">
        <f>IF('Project Database'!A73="","",N('Project Database'!AG73))</f>
        <v/>
      </c>
      <c r="BO69" s="5">
        <f>IF('Project Database'!A73="","",N('Project Database'!AH73))</f>
        <v/>
      </c>
      <c r="BP69" s="5">
        <f>IF('Project Database'!A73="","",N('Project Database'!AI73))</f>
        <v/>
      </c>
      <c r="BQ69" s="5">
        <f>IF('Project Database'!A73="","",N('Project Database'!AJ73))</f>
        <v/>
      </c>
      <c r="BR69" s="5">
        <f>IF('Project Database'!A73="","",N('Project Database'!AK73))</f>
        <v/>
      </c>
      <c r="BS69" s="5">
        <f>IF('Project Database'!A73="","",N('Project Database'!AL73))</f>
        <v/>
      </c>
      <c r="BT69" s="5">
        <f>IF('Project Database'!A73="","",N('Project Database'!AM73))</f>
        <v/>
      </c>
      <c r="BU69" s="5">
        <f>IF('Project Database'!A73="","",N('Project Database'!AN73))</f>
        <v/>
      </c>
      <c r="BV69" s="5">
        <f>IF('Project Database'!A73="","",N('Project Database'!AO73))</f>
        <v/>
      </c>
      <c r="BW69" s="5">
        <f>IF('Project Database'!A73="","",N('Project Database'!AP73))</f>
        <v/>
      </c>
      <c r="BX69" s="5">
        <f>IF(A69="","",SUM(BJ69:BW69))</f>
        <v/>
      </c>
      <c r="BY69" s="5">
        <f>IF(A69="","",IFERROR(IF(ISNUMBER(U69),U69,VALUE(SUBSTITUTE(SUBSTITUTE(SUBSTITUTE(UPPER(TRIM(U69)),"M",""),",","")," ",""))),0))</f>
        <v/>
      </c>
    </row>
    <row r="70" ht="15" customHeight="1" s="74">
      <c r="A70" s="66">
        <f>'Project Database'!A74</f>
        <v/>
      </c>
      <c r="B70" s="66">
        <f>'Project Database'!B74</f>
        <v/>
      </c>
      <c r="C70" s="66">
        <f>'Project Database'!G74</f>
        <v/>
      </c>
      <c r="D70" s="66">
        <f>'Project Database'!H74</f>
        <v/>
      </c>
      <c r="E70" s="66">
        <f>'Project Database'!I74</f>
        <v/>
      </c>
      <c r="F70" s="66">
        <f>'Project Database'!J74</f>
        <v/>
      </c>
      <c r="G70" s="66">
        <f>'Project Database'!K74</f>
        <v/>
      </c>
      <c r="H70" s="66">
        <f>'Project Database'!L74</f>
        <v/>
      </c>
      <c r="I70" s="66">
        <f>'Project Database'!M74</f>
        <v/>
      </c>
      <c r="J70" s="66">
        <f>'Project Database'!N74</f>
        <v/>
      </c>
      <c r="K70" s="66">
        <f>'Project Database'!O74</f>
        <v/>
      </c>
      <c r="L70" s="66">
        <f>'Project Database'!P74</f>
        <v/>
      </c>
      <c r="M70" s="66">
        <f>'Project Database'!Q74</f>
        <v/>
      </c>
      <c r="N70" s="66">
        <f>'Project Database'!R74</f>
        <v/>
      </c>
      <c r="O70" s="66">
        <f>'Project Database'!S74</f>
        <v/>
      </c>
      <c r="P70" s="66">
        <f>'Project Database'!T74</f>
        <v/>
      </c>
      <c r="Q70" s="66">
        <f>'Project Database'!U74</f>
        <v/>
      </c>
      <c r="R70" s="66">
        <f>'Project Database'!V74</f>
        <v/>
      </c>
      <c r="S70" s="66">
        <f>'Project Database'!W74</f>
        <v/>
      </c>
      <c r="T70" s="66">
        <f>'Project Database'!X74</f>
        <v/>
      </c>
      <c r="U70" s="67">
        <f>'Project Database'!Y74</f>
        <v/>
      </c>
      <c r="V70" s="66">
        <f>IF('Smart Search'!B13=1,IFERROR(1/'Smart Search'!H13,0),0)</f>
        <v/>
      </c>
      <c r="W70" s="66">
        <f>IF('Smart Search'!B13=1,IFERROR(1/'Smart Search'!H13,0),0)</f>
        <v/>
      </c>
      <c r="X70" s="66">
        <f>IF('Smart Search'!C13=1,IFERROR(1/'Smart Search'!H13,0),0)</f>
        <v/>
      </c>
      <c r="Y70" s="66">
        <f>IF('Smart Search'!C13=1,IFERROR(1/'Smart Search'!H13,0),0)</f>
        <v/>
      </c>
      <c r="Z70" s="66">
        <f>IF('Smart Search'!D13=1,IFERROR(1/'Smart Search'!H13,0),0)</f>
        <v/>
      </c>
      <c r="AA70" s="66">
        <f>IF('Smart Search'!D13=1,IFERROR(1/'Smart Search'!H13,0),0)</f>
        <v/>
      </c>
      <c r="AB70" s="66">
        <f>IF('Smart Search'!E13=1,IFERROR(1/'Smart Search'!H13,0),0)</f>
        <v/>
      </c>
      <c r="AC70" s="66">
        <f>IF('Smart Search'!E13=1,IFERROR(1/'Smart Search'!H13,0),0)</f>
        <v/>
      </c>
      <c r="AD70" s="66">
        <f>IF('Smart Search'!F13=1,IFERROR(1/'Smart Search'!H13,0),0)</f>
        <v/>
      </c>
      <c r="AE70" s="66">
        <f>IF('Smart Search'!F13=1,IFERROR(1/'Smart Search'!H13,0),0)</f>
        <v/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66">
        <f>AF70*V70</f>
        <v/>
      </c>
      <c r="AQ70" s="66">
        <f>AG70*W70</f>
        <v/>
      </c>
      <c r="AR70" s="66">
        <f>AH70*X70</f>
        <v/>
      </c>
      <c r="AS70" s="66">
        <f>AI70*Y70</f>
        <v/>
      </c>
      <c r="AT70" s="66">
        <f>AJ70*Z70</f>
        <v/>
      </c>
      <c r="AU70" s="66">
        <f>AK70*AA70</f>
        <v/>
      </c>
      <c r="AV70" s="66">
        <f>AL70*AB70</f>
        <v/>
      </c>
      <c r="AW70" s="66">
        <f>AM70*AC70</f>
        <v/>
      </c>
      <c r="AX70" s="66">
        <f>AN70*AD70</f>
        <v/>
      </c>
      <c r="AY70" s="66">
        <f>AO70*AE70</f>
        <v/>
      </c>
      <c r="AZ70" s="66">
        <f>'Project Database'!Z74</f>
        <v/>
      </c>
      <c r="BA70" s="66">
        <f>IF(OR(A70="",'Smart Search'!H13=0),"",MAX(0,BE70*BF70*MAX(0,1-BG70)))</f>
        <v/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66">
        <f>IF('Smart Search'!G13=1,IFERROR(1/'Smart Search'!H13,0),0)</f>
        <v/>
      </c>
      <c r="BD70" s="66">
        <f>BB70*BC70</f>
        <v/>
      </c>
      <c r="BE70" s="66">
        <f>AP70+AQ70+AR70+AS70+AT70+AU70+AV70+AW70+AX70+AY70+BD70</f>
        <v/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5">
        <f>IF(AND('Project Database'!A74&lt;&gt;"",OR('Smart Search'!$L$5="",'Smart Search'!$L$5="All",TRIM('Project Database'!D74)=TRIM('Smart Search'!$L$5)),OR(TRIM('Smart Search'!$L$6)="",TRIM('Smart Search'!$L$6)="All",ISNUMBER(SEARCH(SUBSTITUTE(SUBSTITUTE(SUBSTITUTE(TRIM('Smart Search'!$L$6),"~","~~"),"*","~*"),"?","~?"),'Project Database'!C74))),OR('Smart Search'!$L$7="",AND('Project Database'!E74&lt;&gt;"",'Project Database'!E74='Smart Search'!$L$7)),OR('Smart Search'!$L$8="",'Smart Search'!$L$8="All",TRIM('Project Database'!F74)=TRIM('Smart Search'!$L$8))),IF(BA70="","",BA70+ROW()*0.0000000001),"")</f>
        <v/>
      </c>
      <c r="BI70" s="5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>
        <f>IF('Project Database'!A74="","",N('Project Database'!AC74))</f>
        <v/>
      </c>
      <c r="BK70" s="5">
        <f>IF('Project Database'!A74="","",N('Project Database'!AD74))</f>
        <v/>
      </c>
      <c r="BL70" s="5">
        <f>IF('Project Database'!A74="","",N('Project Database'!AE74))</f>
        <v/>
      </c>
      <c r="BM70" s="5">
        <f>IF('Project Database'!A74="","",N('Project Database'!AF74))</f>
        <v/>
      </c>
      <c r="BN70" s="5">
        <f>IF('Project Database'!A74="","",N('Project Database'!AG74))</f>
        <v/>
      </c>
      <c r="BO70" s="5">
        <f>IF('Project Database'!A74="","",N('Project Database'!AH74))</f>
        <v/>
      </c>
      <c r="BP70" s="5">
        <f>IF('Project Database'!A74="","",N('Project Database'!AI74))</f>
        <v/>
      </c>
      <c r="BQ70" s="5">
        <f>IF('Project Database'!A74="","",N('Project Database'!AJ74))</f>
        <v/>
      </c>
      <c r="BR70" s="5">
        <f>IF('Project Database'!A74="","",N('Project Database'!AK74))</f>
        <v/>
      </c>
      <c r="BS70" s="5">
        <f>IF('Project Database'!A74="","",N('Project Database'!AL74))</f>
        <v/>
      </c>
      <c r="BT70" s="5">
        <f>IF('Project Database'!A74="","",N('Project Database'!AM74))</f>
        <v/>
      </c>
      <c r="BU70" s="5">
        <f>IF('Project Database'!A74="","",N('Project Database'!AN74))</f>
        <v/>
      </c>
      <c r="BV70" s="5">
        <f>IF('Project Database'!A74="","",N('Project Database'!AO74))</f>
        <v/>
      </c>
      <c r="BW70" s="5">
        <f>IF('Project Database'!A74="","",N('Project Database'!AP74))</f>
        <v/>
      </c>
      <c r="BX70" s="5">
        <f>IF(A70="","",SUM(BJ70:BW70))</f>
        <v/>
      </c>
      <c r="BY70" s="5">
        <f>IF(A70="","",IFERROR(IF(ISNUMBER(U70),U70,VALUE(SUBSTITUTE(SUBSTITUTE(SUBSTITUTE(UPPER(TRIM(U70)),"M",""),",","")," ",""))),0))</f>
        <v/>
      </c>
    </row>
    <row r="71" ht="15" customHeight="1" s="74">
      <c r="A71" s="66">
        <f>'Project Database'!A75</f>
        <v/>
      </c>
      <c r="B71" s="66">
        <f>'Project Database'!B75</f>
        <v/>
      </c>
      <c r="C71" s="66">
        <f>'Project Database'!G75</f>
        <v/>
      </c>
      <c r="D71" s="66">
        <f>'Project Database'!H75</f>
        <v/>
      </c>
      <c r="E71" s="66">
        <f>'Project Database'!I75</f>
        <v/>
      </c>
      <c r="F71" s="66">
        <f>'Project Database'!J75</f>
        <v/>
      </c>
      <c r="G71" s="66">
        <f>'Project Database'!K75</f>
        <v/>
      </c>
      <c r="H71" s="66">
        <f>'Project Database'!L75</f>
        <v/>
      </c>
      <c r="I71" s="66">
        <f>'Project Database'!M75</f>
        <v/>
      </c>
      <c r="J71" s="66">
        <f>'Project Database'!N75</f>
        <v/>
      </c>
      <c r="K71" s="66">
        <f>'Project Database'!O75</f>
        <v/>
      </c>
      <c r="L71" s="66">
        <f>'Project Database'!P75</f>
        <v/>
      </c>
      <c r="M71" s="66">
        <f>'Project Database'!Q75</f>
        <v/>
      </c>
      <c r="N71" s="66">
        <f>'Project Database'!R75</f>
        <v/>
      </c>
      <c r="O71" s="66">
        <f>'Project Database'!S75</f>
        <v/>
      </c>
      <c r="P71" s="66">
        <f>'Project Database'!T75</f>
        <v/>
      </c>
      <c r="Q71" s="66">
        <f>'Project Database'!U75</f>
        <v/>
      </c>
      <c r="R71" s="66">
        <f>'Project Database'!V75</f>
        <v/>
      </c>
      <c r="S71" s="66">
        <f>'Project Database'!W75</f>
        <v/>
      </c>
      <c r="T71" s="66">
        <f>'Project Database'!X75</f>
        <v/>
      </c>
      <c r="U71" s="67">
        <f>'Project Database'!Y75</f>
        <v/>
      </c>
      <c r="V71" s="66">
        <f>IF('Smart Search'!B13=1,IFERROR(1/'Smart Search'!H13,0),0)</f>
        <v/>
      </c>
      <c r="W71" s="66">
        <f>IF('Smart Search'!B13=1,IFERROR(1/'Smart Search'!H13,0),0)</f>
        <v/>
      </c>
      <c r="X71" s="66">
        <f>IF('Smart Search'!C13=1,IFERROR(1/'Smart Search'!H13,0),0)</f>
        <v/>
      </c>
      <c r="Y71" s="66">
        <f>IF('Smart Search'!C13=1,IFERROR(1/'Smart Search'!H13,0),0)</f>
        <v/>
      </c>
      <c r="Z71" s="66">
        <f>IF('Smart Search'!D13=1,IFERROR(1/'Smart Search'!H13,0),0)</f>
        <v/>
      </c>
      <c r="AA71" s="66">
        <f>IF('Smart Search'!D13=1,IFERROR(1/'Smart Search'!H13,0),0)</f>
        <v/>
      </c>
      <c r="AB71" s="66">
        <f>IF('Smart Search'!E13=1,IFERROR(1/'Smart Search'!H13,0),0)</f>
        <v/>
      </c>
      <c r="AC71" s="66">
        <f>IF('Smart Search'!E13=1,IFERROR(1/'Smart Search'!H13,0),0)</f>
        <v/>
      </c>
      <c r="AD71" s="66">
        <f>IF('Smart Search'!F13=1,IFERROR(1/'Smart Search'!H13,0),0)</f>
        <v/>
      </c>
      <c r="AE71" s="66">
        <f>IF('Smart Search'!F13=1,IFERROR(1/'Smart Search'!H13,0),0)</f>
        <v/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66">
        <f>AF71*V71</f>
        <v/>
      </c>
      <c r="AQ71" s="66">
        <f>AG71*W71</f>
        <v/>
      </c>
      <c r="AR71" s="66">
        <f>AH71*X71</f>
        <v/>
      </c>
      <c r="AS71" s="66">
        <f>AI71*Y71</f>
        <v/>
      </c>
      <c r="AT71" s="66">
        <f>AJ71*Z71</f>
        <v/>
      </c>
      <c r="AU71" s="66">
        <f>AK71*AA71</f>
        <v/>
      </c>
      <c r="AV71" s="66">
        <f>AL71*AB71</f>
        <v/>
      </c>
      <c r="AW71" s="66">
        <f>AM71*AC71</f>
        <v/>
      </c>
      <c r="AX71" s="66">
        <f>AN71*AD71</f>
        <v/>
      </c>
      <c r="AY71" s="66">
        <f>AO71*AE71</f>
        <v/>
      </c>
      <c r="AZ71" s="66">
        <f>'Project Database'!Z75</f>
        <v/>
      </c>
      <c r="BA71" s="66">
        <f>IF(OR(A71="",'Smart Search'!H13=0),"",MAX(0,BE71*BF71*MAX(0,1-BG71)))</f>
        <v/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66">
        <f>IF('Smart Search'!G13=1,IFERROR(1/'Smart Search'!H13,0),0)</f>
        <v/>
      </c>
      <c r="BD71" s="66">
        <f>BB71*BC71</f>
        <v/>
      </c>
      <c r="BE71" s="66">
        <f>AP71+AQ71+AR71+AS71+AT71+AU71+AV71+AW71+AX71+AY71+BD71</f>
        <v/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5">
        <f>IF(AND('Project Database'!A75&lt;&gt;"",OR('Smart Search'!$L$5="",'Smart Search'!$L$5="All",TRIM('Project Database'!D75)=TRIM('Smart Search'!$L$5)),OR(TRIM('Smart Search'!$L$6)="",TRIM('Smart Search'!$L$6)="All",ISNUMBER(SEARCH(SUBSTITUTE(SUBSTITUTE(SUBSTITUTE(TRIM('Smart Search'!$L$6),"~","~~"),"*","~*"),"?","~?"),'Project Database'!C75))),OR('Smart Search'!$L$7="",AND('Project Database'!E75&lt;&gt;"",'Project Database'!E75='Smart Search'!$L$7)),OR('Smart Search'!$L$8="",'Smart Search'!$L$8="All",TRIM('Project Database'!F75)=TRIM('Smart Search'!$L$8))),IF(BA71="","",BA71+ROW()*0.0000000001),"")</f>
        <v/>
      </c>
      <c r="BI71" s="5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>
        <f>IF('Project Database'!A75="","",N('Project Database'!AC75))</f>
        <v/>
      </c>
      <c r="BK71" s="5">
        <f>IF('Project Database'!A75="","",N('Project Database'!AD75))</f>
        <v/>
      </c>
      <c r="BL71" s="5">
        <f>IF('Project Database'!A75="","",N('Project Database'!AE75))</f>
        <v/>
      </c>
      <c r="BM71" s="5">
        <f>IF('Project Database'!A75="","",N('Project Database'!AF75))</f>
        <v/>
      </c>
      <c r="BN71" s="5">
        <f>IF('Project Database'!A75="","",N('Project Database'!AG75))</f>
        <v/>
      </c>
      <c r="BO71" s="5">
        <f>IF('Project Database'!A75="","",N('Project Database'!AH75))</f>
        <v/>
      </c>
      <c r="BP71" s="5">
        <f>IF('Project Database'!A75="","",N('Project Database'!AI75))</f>
        <v/>
      </c>
      <c r="BQ71" s="5">
        <f>IF('Project Database'!A75="","",N('Project Database'!AJ75))</f>
        <v/>
      </c>
      <c r="BR71" s="5">
        <f>IF('Project Database'!A75="","",N('Project Database'!AK75))</f>
        <v/>
      </c>
      <c r="BS71" s="5">
        <f>IF('Project Database'!A75="","",N('Project Database'!AL75))</f>
        <v/>
      </c>
      <c r="BT71" s="5">
        <f>IF('Project Database'!A75="","",N('Project Database'!AM75))</f>
        <v/>
      </c>
      <c r="BU71" s="5">
        <f>IF('Project Database'!A75="","",N('Project Database'!AN75))</f>
        <v/>
      </c>
      <c r="BV71" s="5">
        <f>IF('Project Database'!A75="","",N('Project Database'!AO75))</f>
        <v/>
      </c>
      <c r="BW71" s="5">
        <f>IF('Project Database'!A75="","",N('Project Database'!AP75))</f>
        <v/>
      </c>
      <c r="BX71" s="5">
        <f>IF(A71="","",SUM(BJ71:BW71))</f>
        <v/>
      </c>
      <c r="BY71" s="5">
        <f>IF(A71="","",IFERROR(IF(ISNUMBER(U71),U71,VALUE(SUBSTITUTE(SUBSTITUTE(SUBSTITUTE(UPPER(TRIM(U71)),"M",""),",","")," ",""))),0))</f>
        <v/>
      </c>
    </row>
    <row r="72" ht="15" customHeight="1" s="74">
      <c r="A72" s="66">
        <f>'Project Database'!A76</f>
        <v/>
      </c>
      <c r="B72" s="66">
        <f>'Project Database'!B76</f>
        <v/>
      </c>
      <c r="C72" s="66">
        <f>'Project Database'!G76</f>
        <v/>
      </c>
      <c r="D72" s="66">
        <f>'Project Database'!H76</f>
        <v/>
      </c>
      <c r="E72" s="66">
        <f>'Project Database'!I76</f>
        <v/>
      </c>
      <c r="F72" s="66">
        <f>'Project Database'!J76</f>
        <v/>
      </c>
      <c r="G72" s="66">
        <f>'Project Database'!K76</f>
        <v/>
      </c>
      <c r="H72" s="66">
        <f>'Project Database'!L76</f>
        <v/>
      </c>
      <c r="I72" s="66">
        <f>'Project Database'!M76</f>
        <v/>
      </c>
      <c r="J72" s="66">
        <f>'Project Database'!N76</f>
        <v/>
      </c>
      <c r="K72" s="66">
        <f>'Project Database'!O76</f>
        <v/>
      </c>
      <c r="L72" s="66">
        <f>'Project Database'!P76</f>
        <v/>
      </c>
      <c r="M72" s="66">
        <f>'Project Database'!Q76</f>
        <v/>
      </c>
      <c r="N72" s="66">
        <f>'Project Database'!R76</f>
        <v/>
      </c>
      <c r="O72" s="66">
        <f>'Project Database'!S76</f>
        <v/>
      </c>
      <c r="P72" s="66">
        <f>'Project Database'!T76</f>
        <v/>
      </c>
      <c r="Q72" s="66">
        <f>'Project Database'!U76</f>
        <v/>
      </c>
      <c r="R72" s="66">
        <f>'Project Database'!V76</f>
        <v/>
      </c>
      <c r="S72" s="66">
        <f>'Project Database'!W76</f>
        <v/>
      </c>
      <c r="T72" s="66">
        <f>'Project Database'!X76</f>
        <v/>
      </c>
      <c r="U72" s="67">
        <f>'Project Database'!Y76</f>
        <v/>
      </c>
      <c r="V72" s="66">
        <f>IF('Smart Search'!B13=1,IFERROR(1/'Smart Search'!H13,0),0)</f>
        <v/>
      </c>
      <c r="W72" s="66">
        <f>IF('Smart Search'!B13=1,IFERROR(1/'Smart Search'!H13,0),0)</f>
        <v/>
      </c>
      <c r="X72" s="66">
        <f>IF('Smart Search'!C13=1,IFERROR(1/'Smart Search'!H13,0),0)</f>
        <v/>
      </c>
      <c r="Y72" s="66">
        <f>IF('Smart Search'!C13=1,IFERROR(1/'Smart Search'!H13,0),0)</f>
        <v/>
      </c>
      <c r="Z72" s="66">
        <f>IF('Smart Search'!D13=1,IFERROR(1/'Smart Search'!H13,0),0)</f>
        <v/>
      </c>
      <c r="AA72" s="66">
        <f>IF('Smart Search'!D13=1,IFERROR(1/'Smart Search'!H13,0),0)</f>
        <v/>
      </c>
      <c r="AB72" s="66">
        <f>IF('Smart Search'!E13=1,IFERROR(1/'Smart Search'!H13,0),0)</f>
        <v/>
      </c>
      <c r="AC72" s="66">
        <f>IF('Smart Search'!E13=1,IFERROR(1/'Smart Search'!H13,0),0)</f>
        <v/>
      </c>
      <c r="AD72" s="66">
        <f>IF('Smart Search'!F13=1,IFERROR(1/'Smart Search'!H13,0),0)</f>
        <v/>
      </c>
      <c r="AE72" s="66">
        <f>IF('Smart Search'!F13=1,IFERROR(1/'Smart Search'!H13,0),0)</f>
        <v/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66">
        <f>AF72*V72</f>
        <v/>
      </c>
      <c r="AQ72" s="66">
        <f>AG72*W72</f>
        <v/>
      </c>
      <c r="AR72" s="66">
        <f>AH72*X72</f>
        <v/>
      </c>
      <c r="AS72" s="66">
        <f>AI72*Y72</f>
        <v/>
      </c>
      <c r="AT72" s="66">
        <f>AJ72*Z72</f>
        <v/>
      </c>
      <c r="AU72" s="66">
        <f>AK72*AA72</f>
        <v/>
      </c>
      <c r="AV72" s="66">
        <f>AL72*AB72</f>
        <v/>
      </c>
      <c r="AW72" s="66">
        <f>AM72*AC72</f>
        <v/>
      </c>
      <c r="AX72" s="66">
        <f>AN72*AD72</f>
        <v/>
      </c>
      <c r="AY72" s="66">
        <f>AO72*AE72</f>
        <v/>
      </c>
      <c r="AZ72" s="66">
        <f>'Project Database'!Z76</f>
        <v/>
      </c>
      <c r="BA72" s="66">
        <f>IF(OR(A72="",'Smart Search'!H13=0),"",MAX(0,BE72*BF72*MAX(0,1-BG72)))</f>
        <v/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66">
        <f>IF('Smart Search'!G13=1,IFERROR(1/'Smart Search'!H13,0),0)</f>
        <v/>
      </c>
      <c r="BD72" s="66">
        <f>BB72*BC72</f>
        <v/>
      </c>
      <c r="BE72" s="66">
        <f>AP72+AQ72+AR72+AS72+AT72+AU72+AV72+AW72+AX72+AY72+BD72</f>
        <v/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5">
        <f>IF(AND('Project Database'!A76&lt;&gt;"",OR('Smart Search'!$L$5="",'Smart Search'!$L$5="All",TRIM('Project Database'!D76)=TRIM('Smart Search'!$L$5)),OR(TRIM('Smart Search'!$L$6)="",TRIM('Smart Search'!$L$6)="All",ISNUMBER(SEARCH(SUBSTITUTE(SUBSTITUTE(SUBSTITUTE(TRIM('Smart Search'!$L$6),"~","~~"),"*","~*"),"?","~?"),'Project Database'!C76))),OR('Smart Search'!$L$7="",AND('Project Database'!E76&lt;&gt;"",'Project Database'!E76='Smart Search'!$L$7)),OR('Smart Search'!$L$8="",'Smart Search'!$L$8="All",TRIM('Project Database'!F76)=TRIM('Smart Search'!$L$8))),IF(BA72="","",BA72+ROW()*0.0000000001),"")</f>
        <v/>
      </c>
      <c r="BI72" s="5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>
        <f>IF('Project Database'!A76="","",N('Project Database'!AC76))</f>
        <v/>
      </c>
      <c r="BK72" s="5">
        <f>IF('Project Database'!A76="","",N('Project Database'!AD76))</f>
        <v/>
      </c>
      <c r="BL72" s="5">
        <f>IF('Project Database'!A76="","",N('Project Database'!AE76))</f>
        <v/>
      </c>
      <c r="BM72" s="5">
        <f>IF('Project Database'!A76="","",N('Project Database'!AF76))</f>
        <v/>
      </c>
      <c r="BN72" s="5">
        <f>IF('Project Database'!A76="","",N('Project Database'!AG76))</f>
        <v/>
      </c>
      <c r="BO72" s="5">
        <f>IF('Project Database'!A76="","",N('Project Database'!AH76))</f>
        <v/>
      </c>
      <c r="BP72" s="5">
        <f>IF('Project Database'!A76="","",N('Project Database'!AI76))</f>
        <v/>
      </c>
      <c r="BQ72" s="5">
        <f>IF('Project Database'!A76="","",N('Project Database'!AJ76))</f>
        <v/>
      </c>
      <c r="BR72" s="5">
        <f>IF('Project Database'!A76="","",N('Project Database'!AK76))</f>
        <v/>
      </c>
      <c r="BS72" s="5">
        <f>IF('Project Database'!A76="","",N('Project Database'!AL76))</f>
        <v/>
      </c>
      <c r="BT72" s="5">
        <f>IF('Project Database'!A76="","",N('Project Database'!AM76))</f>
        <v/>
      </c>
      <c r="BU72" s="5">
        <f>IF('Project Database'!A76="","",N('Project Database'!AN76))</f>
        <v/>
      </c>
      <c r="BV72" s="5">
        <f>IF('Project Database'!A76="","",N('Project Database'!AO76))</f>
        <v/>
      </c>
      <c r="BW72" s="5">
        <f>IF('Project Database'!A76="","",N('Project Database'!AP76))</f>
        <v/>
      </c>
      <c r="BX72" s="5">
        <f>IF(A72="","",SUM(BJ72:BW72))</f>
        <v/>
      </c>
      <c r="BY72" s="5">
        <f>IF(A72="","",IFERROR(IF(ISNUMBER(U72),U72,VALUE(SUBSTITUTE(SUBSTITUTE(SUBSTITUTE(UPPER(TRIM(U72)),"M",""),",","")," ",""))),0))</f>
        <v/>
      </c>
    </row>
    <row r="73" ht="15" customHeight="1" s="74">
      <c r="A73" s="66">
        <f>'Project Database'!A77</f>
        <v/>
      </c>
      <c r="B73" s="66">
        <f>'Project Database'!B77</f>
        <v/>
      </c>
      <c r="C73" s="66">
        <f>'Project Database'!G77</f>
        <v/>
      </c>
      <c r="D73" s="66">
        <f>'Project Database'!H77</f>
        <v/>
      </c>
      <c r="E73" s="66">
        <f>'Project Database'!I77</f>
        <v/>
      </c>
      <c r="F73" s="66">
        <f>'Project Database'!J77</f>
        <v/>
      </c>
      <c r="G73" s="66">
        <f>'Project Database'!K77</f>
        <v/>
      </c>
      <c r="H73" s="66">
        <f>'Project Database'!L77</f>
        <v/>
      </c>
      <c r="I73" s="66">
        <f>'Project Database'!M77</f>
        <v/>
      </c>
      <c r="J73" s="66">
        <f>'Project Database'!N77</f>
        <v/>
      </c>
      <c r="K73" s="66">
        <f>'Project Database'!O77</f>
        <v/>
      </c>
      <c r="L73" s="66">
        <f>'Project Database'!P77</f>
        <v/>
      </c>
      <c r="M73" s="66">
        <f>'Project Database'!Q77</f>
        <v/>
      </c>
      <c r="N73" s="66">
        <f>'Project Database'!R77</f>
        <v/>
      </c>
      <c r="O73" s="66">
        <f>'Project Database'!S77</f>
        <v/>
      </c>
      <c r="P73" s="66">
        <f>'Project Database'!T77</f>
        <v/>
      </c>
      <c r="Q73" s="66">
        <f>'Project Database'!U77</f>
        <v/>
      </c>
      <c r="R73" s="66">
        <f>'Project Database'!V77</f>
        <v/>
      </c>
      <c r="S73" s="66">
        <f>'Project Database'!W77</f>
        <v/>
      </c>
      <c r="T73" s="66">
        <f>'Project Database'!X77</f>
        <v/>
      </c>
      <c r="U73" s="67">
        <f>'Project Database'!Y77</f>
        <v/>
      </c>
      <c r="V73" s="66">
        <f>IF('Smart Search'!B13=1,IFERROR(1/'Smart Search'!H13,0),0)</f>
        <v/>
      </c>
      <c r="W73" s="66">
        <f>IF('Smart Search'!B13=1,IFERROR(1/'Smart Search'!H13,0),0)</f>
        <v/>
      </c>
      <c r="X73" s="66">
        <f>IF('Smart Search'!C13=1,IFERROR(1/'Smart Search'!H13,0),0)</f>
        <v/>
      </c>
      <c r="Y73" s="66">
        <f>IF('Smart Search'!C13=1,IFERROR(1/'Smart Search'!H13,0),0)</f>
        <v/>
      </c>
      <c r="Z73" s="66">
        <f>IF('Smart Search'!D13=1,IFERROR(1/'Smart Search'!H13,0),0)</f>
        <v/>
      </c>
      <c r="AA73" s="66">
        <f>IF('Smart Search'!D13=1,IFERROR(1/'Smart Search'!H13,0),0)</f>
        <v/>
      </c>
      <c r="AB73" s="66">
        <f>IF('Smart Search'!E13=1,IFERROR(1/'Smart Search'!H13,0),0)</f>
        <v/>
      </c>
      <c r="AC73" s="66">
        <f>IF('Smart Search'!E13=1,IFERROR(1/'Smart Search'!H13,0),0)</f>
        <v/>
      </c>
      <c r="AD73" s="66">
        <f>IF('Smart Search'!F13=1,IFERROR(1/'Smart Search'!H13,0),0)</f>
        <v/>
      </c>
      <c r="AE73" s="66">
        <f>IF('Smart Search'!F13=1,IFERROR(1/'Smart Search'!H13,0),0)</f>
        <v/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66">
        <f>AF73*V73</f>
        <v/>
      </c>
      <c r="AQ73" s="66">
        <f>AG73*W73</f>
        <v/>
      </c>
      <c r="AR73" s="66">
        <f>AH73*X73</f>
        <v/>
      </c>
      <c r="AS73" s="66">
        <f>AI73*Y73</f>
        <v/>
      </c>
      <c r="AT73" s="66">
        <f>AJ73*Z73</f>
        <v/>
      </c>
      <c r="AU73" s="66">
        <f>AK73*AA73</f>
        <v/>
      </c>
      <c r="AV73" s="66">
        <f>AL73*AB73</f>
        <v/>
      </c>
      <c r="AW73" s="66">
        <f>AM73*AC73</f>
        <v/>
      </c>
      <c r="AX73" s="66">
        <f>AN73*AD73</f>
        <v/>
      </c>
      <c r="AY73" s="66">
        <f>AO73*AE73</f>
        <v/>
      </c>
      <c r="AZ73" s="66">
        <f>'Project Database'!Z77</f>
        <v/>
      </c>
      <c r="BA73" s="66">
        <f>IF(OR(A73="",'Smart Search'!H13=0),"",MAX(0,BE73*BF73*MAX(0,1-BG73)))</f>
        <v/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66">
        <f>IF('Smart Search'!G13=1,IFERROR(1/'Smart Search'!H13,0),0)</f>
        <v/>
      </c>
      <c r="BD73" s="66">
        <f>BB73*BC73</f>
        <v/>
      </c>
      <c r="BE73" s="66">
        <f>AP73+AQ73+AR73+AS73+AT73+AU73+AV73+AW73+AX73+AY73+BD73</f>
        <v/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5">
        <f>IF(AND('Project Database'!A77&lt;&gt;"",OR('Smart Search'!$L$5="",'Smart Search'!$L$5="All",TRIM('Project Database'!D77)=TRIM('Smart Search'!$L$5)),OR(TRIM('Smart Search'!$L$6)="",TRIM('Smart Search'!$L$6)="All",ISNUMBER(SEARCH(SUBSTITUTE(SUBSTITUTE(SUBSTITUTE(TRIM('Smart Search'!$L$6),"~","~~"),"*","~*"),"?","~?"),'Project Database'!C77))),OR('Smart Search'!$L$7="",AND('Project Database'!E77&lt;&gt;"",'Project Database'!E77='Smart Search'!$L$7)),OR('Smart Search'!$L$8="",'Smart Search'!$L$8="All",TRIM('Project Database'!F77)=TRIM('Smart Search'!$L$8))),IF(BA73="","",BA73+ROW()*0.0000000001),"")</f>
        <v/>
      </c>
      <c r="BI73" s="5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>
        <f>IF('Project Database'!A77="","",N('Project Database'!AC77))</f>
        <v/>
      </c>
      <c r="BK73" s="5">
        <f>IF('Project Database'!A77="","",N('Project Database'!AD77))</f>
        <v/>
      </c>
      <c r="BL73" s="5">
        <f>IF('Project Database'!A77="","",N('Project Database'!AE77))</f>
        <v/>
      </c>
      <c r="BM73" s="5">
        <f>IF('Project Database'!A77="","",N('Project Database'!AF77))</f>
        <v/>
      </c>
      <c r="BN73" s="5">
        <f>IF('Project Database'!A77="","",N('Project Database'!AG77))</f>
        <v/>
      </c>
      <c r="BO73" s="5">
        <f>IF('Project Database'!A77="","",N('Project Database'!AH77))</f>
        <v/>
      </c>
      <c r="BP73" s="5">
        <f>IF('Project Database'!A77="","",N('Project Database'!AI77))</f>
        <v/>
      </c>
      <c r="BQ73" s="5">
        <f>IF('Project Database'!A77="","",N('Project Database'!AJ77))</f>
        <v/>
      </c>
      <c r="BR73" s="5">
        <f>IF('Project Database'!A77="","",N('Project Database'!AK77))</f>
        <v/>
      </c>
      <c r="BS73" s="5">
        <f>IF('Project Database'!A77="","",N('Project Database'!AL77))</f>
        <v/>
      </c>
      <c r="BT73" s="5">
        <f>IF('Project Database'!A77="","",N('Project Database'!AM77))</f>
        <v/>
      </c>
      <c r="BU73" s="5">
        <f>IF('Project Database'!A77="","",N('Project Database'!AN77))</f>
        <v/>
      </c>
      <c r="BV73" s="5">
        <f>IF('Project Database'!A77="","",N('Project Database'!AO77))</f>
        <v/>
      </c>
      <c r="BW73" s="5">
        <f>IF('Project Database'!A77="","",N('Project Database'!AP77))</f>
        <v/>
      </c>
      <c r="BX73" s="5">
        <f>IF(A73="","",SUM(BJ73:BW73))</f>
        <v/>
      </c>
      <c r="BY73" s="5">
        <f>IF(A73="","",IFERROR(IF(ISNUMBER(U73),U73,VALUE(SUBSTITUTE(SUBSTITUTE(SUBSTITUTE(UPPER(TRIM(U73)),"M",""),",","")," ",""))),0))</f>
        <v/>
      </c>
    </row>
    <row r="74" ht="15" customHeight="1" s="74">
      <c r="A74" s="66">
        <f>'Project Database'!A78</f>
        <v/>
      </c>
      <c r="B74" s="66">
        <f>'Project Database'!B78</f>
        <v/>
      </c>
      <c r="C74" s="66">
        <f>'Project Database'!G78</f>
        <v/>
      </c>
      <c r="D74" s="66">
        <f>'Project Database'!H78</f>
        <v/>
      </c>
      <c r="E74" s="66">
        <f>'Project Database'!I78</f>
        <v/>
      </c>
      <c r="F74" s="66">
        <f>'Project Database'!J78</f>
        <v/>
      </c>
      <c r="G74" s="66">
        <f>'Project Database'!K78</f>
        <v/>
      </c>
      <c r="H74" s="66">
        <f>'Project Database'!L78</f>
        <v/>
      </c>
      <c r="I74" s="66">
        <f>'Project Database'!M78</f>
        <v/>
      </c>
      <c r="J74" s="66">
        <f>'Project Database'!N78</f>
        <v/>
      </c>
      <c r="K74" s="66">
        <f>'Project Database'!O78</f>
        <v/>
      </c>
      <c r="L74" s="66">
        <f>'Project Database'!P78</f>
        <v/>
      </c>
      <c r="M74" s="66">
        <f>'Project Database'!Q78</f>
        <v/>
      </c>
      <c r="N74" s="66">
        <f>'Project Database'!R78</f>
        <v/>
      </c>
      <c r="O74" s="66">
        <f>'Project Database'!S78</f>
        <v/>
      </c>
      <c r="P74" s="66">
        <f>'Project Database'!T78</f>
        <v/>
      </c>
      <c r="Q74" s="66">
        <f>'Project Database'!U78</f>
        <v/>
      </c>
      <c r="R74" s="66">
        <f>'Project Database'!V78</f>
        <v/>
      </c>
      <c r="S74" s="66">
        <f>'Project Database'!W78</f>
        <v/>
      </c>
      <c r="T74" s="66">
        <f>'Project Database'!X78</f>
        <v/>
      </c>
      <c r="U74" s="67">
        <f>'Project Database'!Y78</f>
        <v/>
      </c>
      <c r="V74" s="66">
        <f>IF('Smart Search'!B13=1,IFERROR(1/'Smart Search'!H13,0),0)</f>
        <v/>
      </c>
      <c r="W74" s="66">
        <f>IF('Smart Search'!B13=1,IFERROR(1/'Smart Search'!H13,0),0)</f>
        <v/>
      </c>
      <c r="X74" s="66">
        <f>IF('Smart Search'!C13=1,IFERROR(1/'Smart Search'!H13,0),0)</f>
        <v/>
      </c>
      <c r="Y74" s="66">
        <f>IF('Smart Search'!C13=1,IFERROR(1/'Smart Search'!H13,0),0)</f>
        <v/>
      </c>
      <c r="Z74" s="66">
        <f>IF('Smart Search'!D13=1,IFERROR(1/'Smart Search'!H13,0),0)</f>
        <v/>
      </c>
      <c r="AA74" s="66">
        <f>IF('Smart Search'!D13=1,IFERROR(1/'Smart Search'!H13,0),0)</f>
        <v/>
      </c>
      <c r="AB74" s="66">
        <f>IF('Smart Search'!E13=1,IFERROR(1/'Smart Search'!H13,0),0)</f>
        <v/>
      </c>
      <c r="AC74" s="66">
        <f>IF('Smart Search'!E13=1,IFERROR(1/'Smart Search'!H13,0),0)</f>
        <v/>
      </c>
      <c r="AD74" s="66">
        <f>IF('Smart Search'!F13=1,IFERROR(1/'Smart Search'!H13,0),0)</f>
        <v/>
      </c>
      <c r="AE74" s="66">
        <f>IF('Smart Search'!F13=1,IFERROR(1/'Smart Search'!H13,0),0)</f>
        <v/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66">
        <f>AF74*V74</f>
        <v/>
      </c>
      <c r="AQ74" s="66">
        <f>AG74*W74</f>
        <v/>
      </c>
      <c r="AR74" s="66">
        <f>AH74*X74</f>
        <v/>
      </c>
      <c r="AS74" s="66">
        <f>AI74*Y74</f>
        <v/>
      </c>
      <c r="AT74" s="66">
        <f>AJ74*Z74</f>
        <v/>
      </c>
      <c r="AU74" s="66">
        <f>AK74*AA74</f>
        <v/>
      </c>
      <c r="AV74" s="66">
        <f>AL74*AB74</f>
        <v/>
      </c>
      <c r="AW74" s="66">
        <f>AM74*AC74</f>
        <v/>
      </c>
      <c r="AX74" s="66">
        <f>AN74*AD74</f>
        <v/>
      </c>
      <c r="AY74" s="66">
        <f>AO74*AE74</f>
        <v/>
      </c>
      <c r="AZ74" s="66">
        <f>'Project Database'!Z78</f>
        <v/>
      </c>
      <c r="BA74" s="66">
        <f>IF(OR(A74="",'Smart Search'!H13=0),"",MAX(0,BE74*BF74*MAX(0,1-BG74)))</f>
        <v/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66">
        <f>IF('Smart Search'!G13=1,IFERROR(1/'Smart Search'!H13,0),0)</f>
        <v/>
      </c>
      <c r="BD74" s="66">
        <f>BB74*BC74</f>
        <v/>
      </c>
      <c r="BE74" s="66">
        <f>AP74+AQ74+AR74+AS74+AT74+AU74+AV74+AW74+AX74+AY74+BD74</f>
        <v/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5">
        <f>IF(AND('Project Database'!A78&lt;&gt;"",OR('Smart Search'!$L$5="",'Smart Search'!$L$5="All",TRIM('Project Database'!D78)=TRIM('Smart Search'!$L$5)),OR(TRIM('Smart Search'!$L$6)="",TRIM('Smart Search'!$L$6)="All",ISNUMBER(SEARCH(SUBSTITUTE(SUBSTITUTE(SUBSTITUTE(TRIM('Smart Search'!$L$6),"~","~~"),"*","~*"),"?","~?"),'Project Database'!C78))),OR('Smart Search'!$L$7="",AND('Project Database'!E78&lt;&gt;"",'Project Database'!E78='Smart Search'!$L$7)),OR('Smart Search'!$L$8="",'Smart Search'!$L$8="All",TRIM('Project Database'!F78)=TRIM('Smart Search'!$L$8))),IF(BA74="","",BA74+ROW()*0.0000000001),"")</f>
        <v/>
      </c>
      <c r="BI74" s="5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>
        <f>IF('Project Database'!A78="","",N('Project Database'!AC78))</f>
        <v/>
      </c>
      <c r="BK74" s="5">
        <f>IF('Project Database'!A78="","",N('Project Database'!AD78))</f>
        <v/>
      </c>
      <c r="BL74" s="5">
        <f>IF('Project Database'!A78="","",N('Project Database'!AE78))</f>
        <v/>
      </c>
      <c r="BM74" s="5">
        <f>IF('Project Database'!A78="","",N('Project Database'!AF78))</f>
        <v/>
      </c>
      <c r="BN74" s="5">
        <f>IF('Project Database'!A78="","",N('Project Database'!AG78))</f>
        <v/>
      </c>
      <c r="BO74" s="5">
        <f>IF('Project Database'!A78="","",N('Project Database'!AH78))</f>
        <v/>
      </c>
      <c r="BP74" s="5">
        <f>IF('Project Database'!A78="","",N('Project Database'!AI78))</f>
        <v/>
      </c>
      <c r="BQ74" s="5">
        <f>IF('Project Database'!A78="","",N('Project Database'!AJ78))</f>
        <v/>
      </c>
      <c r="BR74" s="5">
        <f>IF('Project Database'!A78="","",N('Project Database'!AK78))</f>
        <v/>
      </c>
      <c r="BS74" s="5">
        <f>IF('Project Database'!A78="","",N('Project Database'!AL78))</f>
        <v/>
      </c>
      <c r="BT74" s="5">
        <f>IF('Project Database'!A78="","",N('Project Database'!AM78))</f>
        <v/>
      </c>
      <c r="BU74" s="5">
        <f>IF('Project Database'!A78="","",N('Project Database'!AN78))</f>
        <v/>
      </c>
      <c r="BV74" s="5">
        <f>IF('Project Database'!A78="","",N('Project Database'!AO78))</f>
        <v/>
      </c>
      <c r="BW74" s="5">
        <f>IF('Project Database'!A78="","",N('Project Database'!AP78))</f>
        <v/>
      </c>
      <c r="BX74" s="5">
        <f>IF(A74="","",SUM(BJ74:BW74))</f>
        <v/>
      </c>
      <c r="BY74" s="5">
        <f>IF(A74="","",IFERROR(IF(ISNUMBER(U74),U74,VALUE(SUBSTITUTE(SUBSTITUTE(SUBSTITUTE(UPPER(TRIM(U74)),"M",""),",","")," ",""))),0))</f>
        <v/>
      </c>
    </row>
    <row r="75" ht="15" customHeight="1" s="74">
      <c r="A75" s="66">
        <f>'Project Database'!A79</f>
        <v/>
      </c>
      <c r="B75" s="66">
        <f>'Project Database'!B79</f>
        <v/>
      </c>
      <c r="C75" s="66">
        <f>'Project Database'!G79</f>
        <v/>
      </c>
      <c r="D75" s="66">
        <f>'Project Database'!H79</f>
        <v/>
      </c>
      <c r="E75" s="66">
        <f>'Project Database'!I79</f>
        <v/>
      </c>
      <c r="F75" s="66">
        <f>'Project Database'!J79</f>
        <v/>
      </c>
      <c r="G75" s="66">
        <f>'Project Database'!K79</f>
        <v/>
      </c>
      <c r="H75" s="66">
        <f>'Project Database'!L79</f>
        <v/>
      </c>
      <c r="I75" s="66">
        <f>'Project Database'!M79</f>
        <v/>
      </c>
      <c r="J75" s="66">
        <f>'Project Database'!N79</f>
        <v/>
      </c>
      <c r="K75" s="66">
        <f>'Project Database'!O79</f>
        <v/>
      </c>
      <c r="L75" s="66">
        <f>'Project Database'!P79</f>
        <v/>
      </c>
      <c r="M75" s="66">
        <f>'Project Database'!Q79</f>
        <v/>
      </c>
      <c r="N75" s="66">
        <f>'Project Database'!R79</f>
        <v/>
      </c>
      <c r="O75" s="66">
        <f>'Project Database'!S79</f>
        <v/>
      </c>
      <c r="P75" s="66">
        <f>'Project Database'!T79</f>
        <v/>
      </c>
      <c r="Q75" s="66">
        <f>'Project Database'!U79</f>
        <v/>
      </c>
      <c r="R75" s="66">
        <f>'Project Database'!V79</f>
        <v/>
      </c>
      <c r="S75" s="66">
        <f>'Project Database'!W79</f>
        <v/>
      </c>
      <c r="T75" s="66">
        <f>'Project Database'!X79</f>
        <v/>
      </c>
      <c r="U75" s="67">
        <f>'Project Database'!Y79</f>
        <v/>
      </c>
      <c r="V75" s="66">
        <f>IF('Smart Search'!B13=1,IFERROR(1/'Smart Search'!H13,0),0)</f>
        <v/>
      </c>
      <c r="W75" s="66">
        <f>IF('Smart Search'!B13=1,IFERROR(1/'Smart Search'!H13,0),0)</f>
        <v/>
      </c>
      <c r="X75" s="66">
        <f>IF('Smart Search'!C13=1,IFERROR(1/'Smart Search'!H13,0),0)</f>
        <v/>
      </c>
      <c r="Y75" s="66">
        <f>IF('Smart Search'!C13=1,IFERROR(1/'Smart Search'!H13,0),0)</f>
        <v/>
      </c>
      <c r="Z75" s="66">
        <f>IF('Smart Search'!D13=1,IFERROR(1/'Smart Search'!H13,0),0)</f>
        <v/>
      </c>
      <c r="AA75" s="66">
        <f>IF('Smart Search'!D13=1,IFERROR(1/'Smart Search'!H13,0),0)</f>
        <v/>
      </c>
      <c r="AB75" s="66">
        <f>IF('Smart Search'!E13=1,IFERROR(1/'Smart Search'!H13,0),0)</f>
        <v/>
      </c>
      <c r="AC75" s="66">
        <f>IF('Smart Search'!E13=1,IFERROR(1/'Smart Search'!H13,0),0)</f>
        <v/>
      </c>
      <c r="AD75" s="66">
        <f>IF('Smart Search'!F13=1,IFERROR(1/'Smart Search'!H13,0),0)</f>
        <v/>
      </c>
      <c r="AE75" s="66">
        <f>IF('Smart Search'!F13=1,IFERROR(1/'Smart Search'!H13,0),0)</f>
        <v/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66">
        <f>AF75*V75</f>
        <v/>
      </c>
      <c r="AQ75" s="66">
        <f>AG75*W75</f>
        <v/>
      </c>
      <c r="AR75" s="66">
        <f>AH75*X75</f>
        <v/>
      </c>
      <c r="AS75" s="66">
        <f>AI75*Y75</f>
        <v/>
      </c>
      <c r="AT75" s="66">
        <f>AJ75*Z75</f>
        <v/>
      </c>
      <c r="AU75" s="66">
        <f>AK75*AA75</f>
        <v/>
      </c>
      <c r="AV75" s="66">
        <f>AL75*AB75</f>
        <v/>
      </c>
      <c r="AW75" s="66">
        <f>AM75*AC75</f>
        <v/>
      </c>
      <c r="AX75" s="66">
        <f>AN75*AD75</f>
        <v/>
      </c>
      <c r="AY75" s="66">
        <f>AO75*AE75</f>
        <v/>
      </c>
      <c r="AZ75" s="66">
        <f>'Project Database'!Z79</f>
        <v/>
      </c>
      <c r="BA75" s="66">
        <f>IF(OR(A75="",'Smart Search'!H13=0),"",MAX(0,BE75*BF75*MAX(0,1-BG75)))</f>
        <v/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66">
        <f>IF('Smart Search'!G13=1,IFERROR(1/'Smart Search'!H13,0),0)</f>
        <v/>
      </c>
      <c r="BD75" s="66">
        <f>BB75*BC75</f>
        <v/>
      </c>
      <c r="BE75" s="66">
        <f>AP75+AQ75+AR75+AS75+AT75+AU75+AV75+AW75+AX75+AY75+BD75</f>
        <v/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5">
        <f>IF(AND('Project Database'!A79&lt;&gt;"",OR('Smart Search'!$L$5="",'Smart Search'!$L$5="All",TRIM('Project Database'!D79)=TRIM('Smart Search'!$L$5)),OR(TRIM('Smart Search'!$L$6)="",TRIM('Smart Search'!$L$6)="All",ISNUMBER(SEARCH(SUBSTITUTE(SUBSTITUTE(SUBSTITUTE(TRIM('Smart Search'!$L$6),"~","~~"),"*","~*"),"?","~?"),'Project Database'!C79))),OR('Smart Search'!$L$7="",AND('Project Database'!E79&lt;&gt;"",'Project Database'!E79='Smart Search'!$L$7)),OR('Smart Search'!$L$8="",'Smart Search'!$L$8="All",TRIM('Project Database'!F79)=TRIM('Smart Search'!$L$8))),IF(BA75="","",BA75+ROW()*0.0000000001),"")</f>
        <v/>
      </c>
      <c r="BI75" s="5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>
        <f>IF('Project Database'!A79="","",N('Project Database'!AC79))</f>
        <v/>
      </c>
      <c r="BK75" s="5">
        <f>IF('Project Database'!A79="","",N('Project Database'!AD79))</f>
        <v/>
      </c>
      <c r="BL75" s="5">
        <f>IF('Project Database'!A79="","",N('Project Database'!AE79))</f>
        <v/>
      </c>
      <c r="BM75" s="5">
        <f>IF('Project Database'!A79="","",N('Project Database'!AF79))</f>
        <v/>
      </c>
      <c r="BN75" s="5">
        <f>IF('Project Database'!A79="","",N('Project Database'!AG79))</f>
        <v/>
      </c>
      <c r="BO75" s="5">
        <f>IF('Project Database'!A79="","",N('Project Database'!AH79))</f>
        <v/>
      </c>
      <c r="BP75" s="5">
        <f>IF('Project Database'!A79="","",N('Project Database'!AI79))</f>
        <v/>
      </c>
      <c r="BQ75" s="5">
        <f>IF('Project Database'!A79="","",N('Project Database'!AJ79))</f>
        <v/>
      </c>
      <c r="BR75" s="5">
        <f>IF('Project Database'!A79="","",N('Project Database'!AK79))</f>
        <v/>
      </c>
      <c r="BS75" s="5">
        <f>IF('Project Database'!A79="","",N('Project Database'!AL79))</f>
        <v/>
      </c>
      <c r="BT75" s="5">
        <f>IF('Project Database'!A79="","",N('Project Database'!AM79))</f>
        <v/>
      </c>
      <c r="BU75" s="5">
        <f>IF('Project Database'!A79="","",N('Project Database'!AN79))</f>
        <v/>
      </c>
      <c r="BV75" s="5">
        <f>IF('Project Database'!A79="","",N('Project Database'!AO79))</f>
        <v/>
      </c>
      <c r="BW75" s="5">
        <f>IF('Project Database'!A79="","",N('Project Database'!AP79))</f>
        <v/>
      </c>
      <c r="BX75" s="5">
        <f>IF(A75="","",SUM(BJ75:BW75))</f>
        <v/>
      </c>
      <c r="BY75" s="5">
        <f>IF(A75="","",IFERROR(IF(ISNUMBER(U75),U75,VALUE(SUBSTITUTE(SUBSTITUTE(SUBSTITUTE(UPPER(TRIM(U75)),"M",""),",","")," ",""))),0))</f>
        <v/>
      </c>
    </row>
    <row r="76" ht="15" customHeight="1" s="74">
      <c r="A76" s="66">
        <f>'Project Database'!A80</f>
        <v/>
      </c>
      <c r="B76" s="66">
        <f>'Project Database'!B80</f>
        <v/>
      </c>
      <c r="C76" s="66">
        <f>'Project Database'!G80</f>
        <v/>
      </c>
      <c r="D76" s="66">
        <f>'Project Database'!H80</f>
        <v/>
      </c>
      <c r="E76" s="66">
        <f>'Project Database'!I80</f>
        <v/>
      </c>
      <c r="F76" s="66">
        <f>'Project Database'!J80</f>
        <v/>
      </c>
      <c r="G76" s="66">
        <f>'Project Database'!K80</f>
        <v/>
      </c>
      <c r="H76" s="66">
        <f>'Project Database'!L80</f>
        <v/>
      </c>
      <c r="I76" s="66">
        <f>'Project Database'!M80</f>
        <v/>
      </c>
      <c r="J76" s="66">
        <f>'Project Database'!N80</f>
        <v/>
      </c>
      <c r="K76" s="66">
        <f>'Project Database'!O80</f>
        <v/>
      </c>
      <c r="L76" s="66">
        <f>'Project Database'!P80</f>
        <v/>
      </c>
      <c r="M76" s="66">
        <f>'Project Database'!Q80</f>
        <v/>
      </c>
      <c r="N76" s="66">
        <f>'Project Database'!R80</f>
        <v/>
      </c>
      <c r="O76" s="66">
        <f>'Project Database'!S80</f>
        <v/>
      </c>
      <c r="P76" s="66">
        <f>'Project Database'!T80</f>
        <v/>
      </c>
      <c r="Q76" s="66">
        <f>'Project Database'!U80</f>
        <v/>
      </c>
      <c r="R76" s="66">
        <f>'Project Database'!V80</f>
        <v/>
      </c>
      <c r="S76" s="66">
        <f>'Project Database'!W80</f>
        <v/>
      </c>
      <c r="T76" s="66">
        <f>'Project Database'!X80</f>
        <v/>
      </c>
      <c r="U76" s="67">
        <f>'Project Database'!Y80</f>
        <v/>
      </c>
      <c r="V76" s="66">
        <f>IF('Smart Search'!B13=1,IFERROR(1/'Smart Search'!H13,0),0)</f>
        <v/>
      </c>
      <c r="W76" s="66">
        <f>IF('Smart Search'!B13=1,IFERROR(1/'Smart Search'!H13,0),0)</f>
        <v/>
      </c>
      <c r="X76" s="66">
        <f>IF('Smart Search'!C13=1,IFERROR(1/'Smart Search'!H13,0),0)</f>
        <v/>
      </c>
      <c r="Y76" s="66">
        <f>IF('Smart Search'!C13=1,IFERROR(1/'Smart Search'!H13,0),0)</f>
        <v/>
      </c>
      <c r="Z76" s="66">
        <f>IF('Smart Search'!D13=1,IFERROR(1/'Smart Search'!H13,0),0)</f>
        <v/>
      </c>
      <c r="AA76" s="66">
        <f>IF('Smart Search'!D13=1,IFERROR(1/'Smart Search'!H13,0),0)</f>
        <v/>
      </c>
      <c r="AB76" s="66">
        <f>IF('Smart Search'!E13=1,IFERROR(1/'Smart Search'!H13,0),0)</f>
        <v/>
      </c>
      <c r="AC76" s="66">
        <f>IF('Smart Search'!E13=1,IFERROR(1/'Smart Search'!H13,0),0)</f>
        <v/>
      </c>
      <c r="AD76" s="66">
        <f>IF('Smart Search'!F13=1,IFERROR(1/'Smart Search'!H13,0),0)</f>
        <v/>
      </c>
      <c r="AE76" s="66">
        <f>IF('Smart Search'!F13=1,IFERROR(1/'Smart Search'!H13,0),0)</f>
        <v/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66">
        <f>AF76*V76</f>
        <v/>
      </c>
      <c r="AQ76" s="66">
        <f>AG76*W76</f>
        <v/>
      </c>
      <c r="AR76" s="66">
        <f>AH76*X76</f>
        <v/>
      </c>
      <c r="AS76" s="66">
        <f>AI76*Y76</f>
        <v/>
      </c>
      <c r="AT76" s="66">
        <f>AJ76*Z76</f>
        <v/>
      </c>
      <c r="AU76" s="66">
        <f>AK76*AA76</f>
        <v/>
      </c>
      <c r="AV76" s="66">
        <f>AL76*AB76</f>
        <v/>
      </c>
      <c r="AW76" s="66">
        <f>AM76*AC76</f>
        <v/>
      </c>
      <c r="AX76" s="66">
        <f>AN76*AD76</f>
        <v/>
      </c>
      <c r="AY76" s="66">
        <f>AO76*AE76</f>
        <v/>
      </c>
      <c r="AZ76" s="66">
        <f>'Project Database'!Z80</f>
        <v/>
      </c>
      <c r="BA76" s="66">
        <f>IF(OR(A76="",'Smart Search'!H13=0),"",MAX(0,BE76*BF76*MAX(0,1-BG76)))</f>
        <v/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66">
        <f>IF('Smart Search'!G13=1,IFERROR(1/'Smart Search'!H13,0),0)</f>
        <v/>
      </c>
      <c r="BD76" s="66">
        <f>BB76*BC76</f>
        <v/>
      </c>
      <c r="BE76" s="66">
        <f>AP76+AQ76+AR76+AS76+AT76+AU76+AV76+AW76+AX76+AY76+BD76</f>
        <v/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5">
        <f>IF(AND('Project Database'!A80&lt;&gt;"",OR('Smart Search'!$L$5="",'Smart Search'!$L$5="All",TRIM('Project Database'!D80)=TRIM('Smart Search'!$L$5)),OR(TRIM('Smart Search'!$L$6)="",TRIM('Smart Search'!$L$6)="All",ISNUMBER(SEARCH(SUBSTITUTE(SUBSTITUTE(SUBSTITUTE(TRIM('Smart Search'!$L$6),"~","~~"),"*","~*"),"?","~?"),'Project Database'!C80))),OR('Smart Search'!$L$7="",AND('Project Database'!E80&lt;&gt;"",'Project Database'!E80='Smart Search'!$L$7)),OR('Smart Search'!$L$8="",'Smart Search'!$L$8="All",TRIM('Project Database'!F80)=TRIM('Smart Search'!$L$8))),IF(BA76="","",BA76+ROW()*0.0000000001),"")</f>
        <v/>
      </c>
      <c r="BI76" s="5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>
        <f>IF('Project Database'!A80="","",N('Project Database'!AC80))</f>
        <v/>
      </c>
      <c r="BK76" s="5">
        <f>IF('Project Database'!A80="","",N('Project Database'!AD80))</f>
        <v/>
      </c>
      <c r="BL76" s="5">
        <f>IF('Project Database'!A80="","",N('Project Database'!AE80))</f>
        <v/>
      </c>
      <c r="BM76" s="5">
        <f>IF('Project Database'!A80="","",N('Project Database'!AF80))</f>
        <v/>
      </c>
      <c r="BN76" s="5">
        <f>IF('Project Database'!A80="","",N('Project Database'!AG80))</f>
        <v/>
      </c>
      <c r="BO76" s="5">
        <f>IF('Project Database'!A80="","",N('Project Database'!AH80))</f>
        <v/>
      </c>
      <c r="BP76" s="5">
        <f>IF('Project Database'!A80="","",N('Project Database'!AI80))</f>
        <v/>
      </c>
      <c r="BQ76" s="5">
        <f>IF('Project Database'!A80="","",N('Project Database'!AJ80))</f>
        <v/>
      </c>
      <c r="BR76" s="5">
        <f>IF('Project Database'!A80="","",N('Project Database'!AK80))</f>
        <v/>
      </c>
      <c r="BS76" s="5">
        <f>IF('Project Database'!A80="","",N('Project Database'!AL80))</f>
        <v/>
      </c>
      <c r="BT76" s="5">
        <f>IF('Project Database'!A80="","",N('Project Database'!AM80))</f>
        <v/>
      </c>
      <c r="BU76" s="5">
        <f>IF('Project Database'!A80="","",N('Project Database'!AN80))</f>
        <v/>
      </c>
      <c r="BV76" s="5">
        <f>IF('Project Database'!A80="","",N('Project Database'!AO80))</f>
        <v/>
      </c>
      <c r="BW76" s="5">
        <f>IF('Project Database'!A80="","",N('Project Database'!AP80))</f>
        <v/>
      </c>
      <c r="BX76" s="5">
        <f>IF(A76="","",SUM(BJ76:BW76))</f>
        <v/>
      </c>
      <c r="BY76" s="5">
        <f>IF(A76="","",IFERROR(IF(ISNUMBER(U76),U76,VALUE(SUBSTITUTE(SUBSTITUTE(SUBSTITUTE(UPPER(TRIM(U76)),"M",""),",","")," ",""))),0))</f>
        <v/>
      </c>
    </row>
    <row r="77" ht="15" customHeight="1" s="74">
      <c r="A77" s="66">
        <f>'Project Database'!A81</f>
        <v/>
      </c>
      <c r="B77" s="66">
        <f>'Project Database'!B81</f>
        <v/>
      </c>
      <c r="C77" s="66">
        <f>'Project Database'!G81</f>
        <v/>
      </c>
      <c r="D77" s="66">
        <f>'Project Database'!H81</f>
        <v/>
      </c>
      <c r="E77" s="66">
        <f>'Project Database'!I81</f>
        <v/>
      </c>
      <c r="F77" s="66">
        <f>'Project Database'!J81</f>
        <v/>
      </c>
      <c r="G77" s="66">
        <f>'Project Database'!K81</f>
        <v/>
      </c>
      <c r="H77" s="66">
        <f>'Project Database'!L81</f>
        <v/>
      </c>
      <c r="I77" s="66">
        <f>'Project Database'!M81</f>
        <v/>
      </c>
      <c r="J77" s="66">
        <f>'Project Database'!N81</f>
        <v/>
      </c>
      <c r="K77" s="66">
        <f>'Project Database'!O81</f>
        <v/>
      </c>
      <c r="L77" s="66">
        <f>'Project Database'!P81</f>
        <v/>
      </c>
      <c r="M77" s="66">
        <f>'Project Database'!Q81</f>
        <v/>
      </c>
      <c r="N77" s="66">
        <f>'Project Database'!R81</f>
        <v/>
      </c>
      <c r="O77" s="66">
        <f>'Project Database'!S81</f>
        <v/>
      </c>
      <c r="P77" s="66">
        <f>'Project Database'!T81</f>
        <v/>
      </c>
      <c r="Q77" s="66">
        <f>'Project Database'!U81</f>
        <v/>
      </c>
      <c r="R77" s="66">
        <f>'Project Database'!V81</f>
        <v/>
      </c>
      <c r="S77" s="66">
        <f>'Project Database'!W81</f>
        <v/>
      </c>
      <c r="T77" s="66">
        <f>'Project Database'!X81</f>
        <v/>
      </c>
      <c r="U77" s="67">
        <f>'Project Database'!Y81</f>
        <v/>
      </c>
      <c r="V77" s="66">
        <f>IF('Smart Search'!B13=1,IFERROR(1/'Smart Search'!H13,0),0)</f>
        <v/>
      </c>
      <c r="W77" s="66">
        <f>IF('Smart Search'!B13=1,IFERROR(1/'Smart Search'!H13,0),0)</f>
        <v/>
      </c>
      <c r="X77" s="66">
        <f>IF('Smart Search'!C13=1,IFERROR(1/'Smart Search'!H13,0),0)</f>
        <v/>
      </c>
      <c r="Y77" s="66">
        <f>IF('Smart Search'!C13=1,IFERROR(1/'Smart Search'!H13,0),0)</f>
        <v/>
      </c>
      <c r="Z77" s="66">
        <f>IF('Smart Search'!D13=1,IFERROR(1/'Smart Search'!H13,0),0)</f>
        <v/>
      </c>
      <c r="AA77" s="66">
        <f>IF('Smart Search'!D13=1,IFERROR(1/'Smart Search'!H13,0),0)</f>
        <v/>
      </c>
      <c r="AB77" s="66">
        <f>IF('Smart Search'!E13=1,IFERROR(1/'Smart Search'!H13,0),0)</f>
        <v/>
      </c>
      <c r="AC77" s="66">
        <f>IF('Smart Search'!E13=1,IFERROR(1/'Smart Search'!H13,0),0)</f>
        <v/>
      </c>
      <c r="AD77" s="66">
        <f>IF('Smart Search'!F13=1,IFERROR(1/'Smart Search'!H13,0),0)</f>
        <v/>
      </c>
      <c r="AE77" s="66">
        <f>IF('Smart Search'!F13=1,IFERROR(1/'Smart Search'!H13,0),0)</f>
        <v/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66">
        <f>AF77*V77</f>
        <v/>
      </c>
      <c r="AQ77" s="66">
        <f>AG77*W77</f>
        <v/>
      </c>
      <c r="AR77" s="66">
        <f>AH77*X77</f>
        <v/>
      </c>
      <c r="AS77" s="66">
        <f>AI77*Y77</f>
        <v/>
      </c>
      <c r="AT77" s="66">
        <f>AJ77*Z77</f>
        <v/>
      </c>
      <c r="AU77" s="66">
        <f>AK77*AA77</f>
        <v/>
      </c>
      <c r="AV77" s="66">
        <f>AL77*AB77</f>
        <v/>
      </c>
      <c r="AW77" s="66">
        <f>AM77*AC77</f>
        <v/>
      </c>
      <c r="AX77" s="66">
        <f>AN77*AD77</f>
        <v/>
      </c>
      <c r="AY77" s="66">
        <f>AO77*AE77</f>
        <v/>
      </c>
      <c r="AZ77" s="66">
        <f>'Project Database'!Z81</f>
        <v/>
      </c>
      <c r="BA77" s="66">
        <f>IF(OR(A77="",'Smart Search'!H13=0),"",MAX(0,BE77*BF77*MAX(0,1-BG77)))</f>
        <v/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66">
        <f>IF('Smart Search'!G13=1,IFERROR(1/'Smart Search'!H13,0),0)</f>
        <v/>
      </c>
      <c r="BD77" s="66">
        <f>BB77*BC77</f>
        <v/>
      </c>
      <c r="BE77" s="66">
        <f>AP77+AQ77+AR77+AS77+AT77+AU77+AV77+AW77+AX77+AY77+BD77</f>
        <v/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5">
        <f>IF(AND('Project Database'!A81&lt;&gt;"",OR('Smart Search'!$L$5="",'Smart Search'!$L$5="All",TRIM('Project Database'!D81)=TRIM('Smart Search'!$L$5)),OR(TRIM('Smart Search'!$L$6)="",TRIM('Smart Search'!$L$6)="All",ISNUMBER(SEARCH(SUBSTITUTE(SUBSTITUTE(SUBSTITUTE(TRIM('Smart Search'!$L$6),"~","~~"),"*","~*"),"?","~?"),'Project Database'!C81))),OR('Smart Search'!$L$7="",AND('Project Database'!E81&lt;&gt;"",'Project Database'!E81='Smart Search'!$L$7)),OR('Smart Search'!$L$8="",'Smart Search'!$L$8="All",TRIM('Project Database'!F81)=TRIM('Smart Search'!$L$8))),IF(BA77="","",BA77+ROW()*0.0000000001),"")</f>
        <v/>
      </c>
      <c r="BI77" s="5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>
        <f>IF('Project Database'!A81="","",N('Project Database'!AC81))</f>
        <v/>
      </c>
      <c r="BK77" s="5">
        <f>IF('Project Database'!A81="","",N('Project Database'!AD81))</f>
        <v/>
      </c>
      <c r="BL77" s="5">
        <f>IF('Project Database'!A81="","",N('Project Database'!AE81))</f>
        <v/>
      </c>
      <c r="BM77" s="5">
        <f>IF('Project Database'!A81="","",N('Project Database'!AF81))</f>
        <v/>
      </c>
      <c r="BN77" s="5">
        <f>IF('Project Database'!A81="","",N('Project Database'!AG81))</f>
        <v/>
      </c>
      <c r="BO77" s="5">
        <f>IF('Project Database'!A81="","",N('Project Database'!AH81))</f>
        <v/>
      </c>
      <c r="BP77" s="5">
        <f>IF('Project Database'!A81="","",N('Project Database'!AI81))</f>
        <v/>
      </c>
      <c r="BQ77" s="5">
        <f>IF('Project Database'!A81="","",N('Project Database'!AJ81))</f>
        <v/>
      </c>
      <c r="BR77" s="5">
        <f>IF('Project Database'!A81="","",N('Project Database'!AK81))</f>
        <v/>
      </c>
      <c r="BS77" s="5">
        <f>IF('Project Database'!A81="","",N('Project Database'!AL81))</f>
        <v/>
      </c>
      <c r="BT77" s="5">
        <f>IF('Project Database'!A81="","",N('Project Database'!AM81))</f>
        <v/>
      </c>
      <c r="BU77" s="5">
        <f>IF('Project Database'!A81="","",N('Project Database'!AN81))</f>
        <v/>
      </c>
      <c r="BV77" s="5">
        <f>IF('Project Database'!A81="","",N('Project Database'!AO81))</f>
        <v/>
      </c>
      <c r="BW77" s="5">
        <f>IF('Project Database'!A81="","",N('Project Database'!AP81))</f>
        <v/>
      </c>
      <c r="BX77" s="5">
        <f>IF(A77="","",SUM(BJ77:BW77))</f>
        <v/>
      </c>
      <c r="BY77" s="5">
        <f>IF(A77="","",IFERROR(IF(ISNUMBER(U77),U77,VALUE(SUBSTITUTE(SUBSTITUTE(SUBSTITUTE(UPPER(TRIM(U77)),"M",""),",","")," ",""))),0))</f>
        <v/>
      </c>
    </row>
    <row r="78" ht="15" customHeight="1" s="74">
      <c r="A78" s="66">
        <f>'Project Database'!A82</f>
        <v/>
      </c>
      <c r="B78" s="66">
        <f>'Project Database'!B82</f>
        <v/>
      </c>
      <c r="C78" s="66">
        <f>'Project Database'!G82</f>
        <v/>
      </c>
      <c r="D78" s="66">
        <f>'Project Database'!H82</f>
        <v/>
      </c>
      <c r="E78" s="66">
        <f>'Project Database'!I82</f>
        <v/>
      </c>
      <c r="F78" s="66">
        <f>'Project Database'!J82</f>
        <v/>
      </c>
      <c r="G78" s="66">
        <f>'Project Database'!K82</f>
        <v/>
      </c>
      <c r="H78" s="66">
        <f>'Project Database'!L82</f>
        <v/>
      </c>
      <c r="I78" s="66">
        <f>'Project Database'!M82</f>
        <v/>
      </c>
      <c r="J78" s="66">
        <f>'Project Database'!N82</f>
        <v/>
      </c>
      <c r="K78" s="66">
        <f>'Project Database'!O82</f>
        <v/>
      </c>
      <c r="L78" s="66">
        <f>'Project Database'!P82</f>
        <v/>
      </c>
      <c r="M78" s="66">
        <f>'Project Database'!Q82</f>
        <v/>
      </c>
      <c r="N78" s="66">
        <f>'Project Database'!R82</f>
        <v/>
      </c>
      <c r="O78" s="66">
        <f>'Project Database'!S82</f>
        <v/>
      </c>
      <c r="P78" s="66">
        <f>'Project Database'!T82</f>
        <v/>
      </c>
      <c r="Q78" s="66">
        <f>'Project Database'!U82</f>
        <v/>
      </c>
      <c r="R78" s="66">
        <f>'Project Database'!V82</f>
        <v/>
      </c>
      <c r="S78" s="66">
        <f>'Project Database'!W82</f>
        <v/>
      </c>
      <c r="T78" s="66">
        <f>'Project Database'!X82</f>
        <v/>
      </c>
      <c r="U78" s="67">
        <f>'Project Database'!Y82</f>
        <v/>
      </c>
      <c r="V78" s="66">
        <f>IF('Smart Search'!B13=1,IFERROR(1/'Smart Search'!H13,0),0)</f>
        <v/>
      </c>
      <c r="W78" s="66">
        <f>IF('Smart Search'!B13=1,IFERROR(1/'Smart Search'!H13,0),0)</f>
        <v/>
      </c>
      <c r="X78" s="66">
        <f>IF('Smart Search'!C13=1,IFERROR(1/'Smart Search'!H13,0),0)</f>
        <v/>
      </c>
      <c r="Y78" s="66">
        <f>IF('Smart Search'!C13=1,IFERROR(1/'Smart Search'!H13,0),0)</f>
        <v/>
      </c>
      <c r="Z78" s="66">
        <f>IF('Smart Search'!D13=1,IFERROR(1/'Smart Search'!H13,0),0)</f>
        <v/>
      </c>
      <c r="AA78" s="66">
        <f>IF('Smart Search'!D13=1,IFERROR(1/'Smart Search'!H13,0),0)</f>
        <v/>
      </c>
      <c r="AB78" s="66">
        <f>IF('Smart Search'!E13=1,IFERROR(1/'Smart Search'!H13,0),0)</f>
        <v/>
      </c>
      <c r="AC78" s="66">
        <f>IF('Smart Search'!E13=1,IFERROR(1/'Smart Search'!H13,0),0)</f>
        <v/>
      </c>
      <c r="AD78" s="66">
        <f>IF('Smart Search'!F13=1,IFERROR(1/'Smart Search'!H13,0),0)</f>
        <v/>
      </c>
      <c r="AE78" s="66">
        <f>IF('Smart Search'!F13=1,IFERROR(1/'Smart Search'!H13,0),0)</f>
        <v/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66">
        <f>AF78*V78</f>
        <v/>
      </c>
      <c r="AQ78" s="66">
        <f>AG78*W78</f>
        <v/>
      </c>
      <c r="AR78" s="66">
        <f>AH78*X78</f>
        <v/>
      </c>
      <c r="AS78" s="66">
        <f>AI78*Y78</f>
        <v/>
      </c>
      <c r="AT78" s="66">
        <f>AJ78*Z78</f>
        <v/>
      </c>
      <c r="AU78" s="66">
        <f>AK78*AA78</f>
        <v/>
      </c>
      <c r="AV78" s="66">
        <f>AL78*AB78</f>
        <v/>
      </c>
      <c r="AW78" s="66">
        <f>AM78*AC78</f>
        <v/>
      </c>
      <c r="AX78" s="66">
        <f>AN78*AD78</f>
        <v/>
      </c>
      <c r="AY78" s="66">
        <f>AO78*AE78</f>
        <v/>
      </c>
      <c r="AZ78" s="66">
        <f>'Project Database'!Z82</f>
        <v/>
      </c>
      <c r="BA78" s="66">
        <f>IF(OR(A78="",'Smart Search'!H13=0),"",MAX(0,BE78*BF78*MAX(0,1-BG78)))</f>
        <v/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66">
        <f>IF('Smart Search'!G13=1,IFERROR(1/'Smart Search'!H13,0),0)</f>
        <v/>
      </c>
      <c r="BD78" s="66">
        <f>BB78*BC78</f>
        <v/>
      </c>
      <c r="BE78" s="66">
        <f>AP78+AQ78+AR78+AS78+AT78+AU78+AV78+AW78+AX78+AY78+BD78</f>
        <v/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5">
        <f>IF(AND('Project Database'!A82&lt;&gt;"",OR('Smart Search'!$L$5="",'Smart Search'!$L$5="All",TRIM('Project Database'!D82)=TRIM('Smart Search'!$L$5)),OR(TRIM('Smart Search'!$L$6)="",TRIM('Smart Search'!$L$6)="All",ISNUMBER(SEARCH(SUBSTITUTE(SUBSTITUTE(SUBSTITUTE(TRIM('Smart Search'!$L$6),"~","~~"),"*","~*"),"?","~?"),'Project Database'!C82))),OR('Smart Search'!$L$7="",AND('Project Database'!E82&lt;&gt;"",'Project Database'!E82='Smart Search'!$L$7)),OR('Smart Search'!$L$8="",'Smart Search'!$L$8="All",TRIM('Project Database'!F82)=TRIM('Smart Search'!$L$8))),IF(BA78="","",BA78+ROW()*0.0000000001),"")</f>
        <v/>
      </c>
      <c r="BI78" s="5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>
        <f>IF('Project Database'!A82="","",N('Project Database'!AC82))</f>
        <v/>
      </c>
      <c r="BK78" s="5">
        <f>IF('Project Database'!A82="","",N('Project Database'!AD82))</f>
        <v/>
      </c>
      <c r="BL78" s="5">
        <f>IF('Project Database'!A82="","",N('Project Database'!AE82))</f>
        <v/>
      </c>
      <c r="BM78" s="5">
        <f>IF('Project Database'!A82="","",N('Project Database'!AF82))</f>
        <v/>
      </c>
      <c r="BN78" s="5">
        <f>IF('Project Database'!A82="","",N('Project Database'!AG82))</f>
        <v/>
      </c>
      <c r="BO78" s="5">
        <f>IF('Project Database'!A82="","",N('Project Database'!AH82))</f>
        <v/>
      </c>
      <c r="BP78" s="5">
        <f>IF('Project Database'!A82="","",N('Project Database'!AI82))</f>
        <v/>
      </c>
      <c r="BQ78" s="5">
        <f>IF('Project Database'!A82="","",N('Project Database'!AJ82))</f>
        <v/>
      </c>
      <c r="BR78" s="5">
        <f>IF('Project Database'!A82="","",N('Project Database'!AK82))</f>
        <v/>
      </c>
      <c r="BS78" s="5">
        <f>IF('Project Database'!A82="","",N('Project Database'!AL82))</f>
        <v/>
      </c>
      <c r="BT78" s="5">
        <f>IF('Project Database'!A82="","",N('Project Database'!AM82))</f>
        <v/>
      </c>
      <c r="BU78" s="5">
        <f>IF('Project Database'!A82="","",N('Project Database'!AN82))</f>
        <v/>
      </c>
      <c r="BV78" s="5">
        <f>IF('Project Database'!A82="","",N('Project Database'!AO82))</f>
        <v/>
      </c>
      <c r="BW78" s="5">
        <f>IF('Project Database'!A82="","",N('Project Database'!AP82))</f>
        <v/>
      </c>
      <c r="BX78" s="5">
        <f>IF(A78="","",SUM(BJ78:BW78))</f>
        <v/>
      </c>
      <c r="BY78" s="5">
        <f>IF(A78="","",IFERROR(IF(ISNUMBER(U78),U78,VALUE(SUBSTITUTE(SUBSTITUTE(SUBSTITUTE(UPPER(TRIM(U78)),"M",""),",","")," ",""))),0))</f>
        <v/>
      </c>
    </row>
    <row r="79" ht="15" customHeight="1" s="74">
      <c r="A79" s="66">
        <f>'Project Database'!A83</f>
        <v/>
      </c>
      <c r="B79" s="66">
        <f>'Project Database'!B83</f>
        <v/>
      </c>
      <c r="C79" s="66">
        <f>'Project Database'!G83</f>
        <v/>
      </c>
      <c r="D79" s="66">
        <f>'Project Database'!H83</f>
        <v/>
      </c>
      <c r="E79" s="66">
        <f>'Project Database'!I83</f>
        <v/>
      </c>
      <c r="F79" s="66">
        <f>'Project Database'!J83</f>
        <v/>
      </c>
      <c r="G79" s="66">
        <f>'Project Database'!K83</f>
        <v/>
      </c>
      <c r="H79" s="66">
        <f>'Project Database'!L83</f>
        <v/>
      </c>
      <c r="I79" s="66">
        <f>'Project Database'!M83</f>
        <v/>
      </c>
      <c r="J79" s="66">
        <f>'Project Database'!N83</f>
        <v/>
      </c>
      <c r="K79" s="66">
        <f>'Project Database'!O83</f>
        <v/>
      </c>
      <c r="L79" s="66">
        <f>'Project Database'!P83</f>
        <v/>
      </c>
      <c r="M79" s="66">
        <f>'Project Database'!Q83</f>
        <v/>
      </c>
      <c r="N79" s="66">
        <f>'Project Database'!R83</f>
        <v/>
      </c>
      <c r="O79" s="66">
        <f>'Project Database'!S83</f>
        <v/>
      </c>
      <c r="P79" s="66">
        <f>'Project Database'!T83</f>
        <v/>
      </c>
      <c r="Q79" s="66">
        <f>'Project Database'!U83</f>
        <v/>
      </c>
      <c r="R79" s="66">
        <f>'Project Database'!V83</f>
        <v/>
      </c>
      <c r="S79" s="66">
        <f>'Project Database'!W83</f>
        <v/>
      </c>
      <c r="T79" s="66">
        <f>'Project Database'!X83</f>
        <v/>
      </c>
      <c r="U79" s="67">
        <f>'Project Database'!Y83</f>
        <v/>
      </c>
      <c r="V79" s="66">
        <f>IF('Smart Search'!B13=1,IFERROR(1/'Smart Search'!H13,0),0)</f>
        <v/>
      </c>
      <c r="W79" s="66">
        <f>IF('Smart Search'!B13=1,IFERROR(1/'Smart Search'!H13,0),0)</f>
        <v/>
      </c>
      <c r="X79" s="66">
        <f>IF('Smart Search'!C13=1,IFERROR(1/'Smart Search'!H13,0),0)</f>
        <v/>
      </c>
      <c r="Y79" s="66">
        <f>IF('Smart Search'!C13=1,IFERROR(1/'Smart Search'!H13,0),0)</f>
        <v/>
      </c>
      <c r="Z79" s="66">
        <f>IF('Smart Search'!D13=1,IFERROR(1/'Smart Search'!H13,0),0)</f>
        <v/>
      </c>
      <c r="AA79" s="66">
        <f>IF('Smart Search'!D13=1,IFERROR(1/'Smart Search'!H13,0),0)</f>
        <v/>
      </c>
      <c r="AB79" s="66">
        <f>IF('Smart Search'!E13=1,IFERROR(1/'Smart Search'!H13,0),0)</f>
        <v/>
      </c>
      <c r="AC79" s="66">
        <f>IF('Smart Search'!E13=1,IFERROR(1/'Smart Search'!H13,0),0)</f>
        <v/>
      </c>
      <c r="AD79" s="66">
        <f>IF('Smart Search'!F13=1,IFERROR(1/'Smart Search'!H13,0),0)</f>
        <v/>
      </c>
      <c r="AE79" s="66">
        <f>IF('Smart Search'!F13=1,IFERROR(1/'Smart Search'!H13,0),0)</f>
        <v/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66">
        <f>AF79*V79</f>
        <v/>
      </c>
      <c r="AQ79" s="66">
        <f>AG79*W79</f>
        <v/>
      </c>
      <c r="AR79" s="66">
        <f>AH79*X79</f>
        <v/>
      </c>
      <c r="AS79" s="66">
        <f>AI79*Y79</f>
        <v/>
      </c>
      <c r="AT79" s="66">
        <f>AJ79*Z79</f>
        <v/>
      </c>
      <c r="AU79" s="66">
        <f>AK79*AA79</f>
        <v/>
      </c>
      <c r="AV79" s="66">
        <f>AL79*AB79</f>
        <v/>
      </c>
      <c r="AW79" s="66">
        <f>AM79*AC79</f>
        <v/>
      </c>
      <c r="AX79" s="66">
        <f>AN79*AD79</f>
        <v/>
      </c>
      <c r="AY79" s="66">
        <f>AO79*AE79</f>
        <v/>
      </c>
      <c r="AZ79" s="66">
        <f>'Project Database'!Z83</f>
        <v/>
      </c>
      <c r="BA79" s="66">
        <f>IF(OR(A79="",'Smart Search'!H13=0),"",MAX(0,BE79*BF79*MAX(0,1-BG79)))</f>
        <v/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66">
        <f>IF('Smart Search'!G13=1,IFERROR(1/'Smart Search'!H13,0),0)</f>
        <v/>
      </c>
      <c r="BD79" s="66">
        <f>BB79*BC79</f>
        <v/>
      </c>
      <c r="BE79" s="66">
        <f>AP79+AQ79+AR79+AS79+AT79+AU79+AV79+AW79+AX79+AY79+BD79</f>
        <v/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5">
        <f>IF(AND('Project Database'!A83&lt;&gt;"",OR('Smart Search'!$L$5="",'Smart Search'!$L$5="All",TRIM('Project Database'!D83)=TRIM('Smart Search'!$L$5)),OR(TRIM('Smart Search'!$L$6)="",TRIM('Smart Search'!$L$6)="All",ISNUMBER(SEARCH(SUBSTITUTE(SUBSTITUTE(SUBSTITUTE(TRIM('Smart Search'!$L$6),"~","~~"),"*","~*"),"?","~?"),'Project Database'!C83))),OR('Smart Search'!$L$7="",AND('Project Database'!E83&lt;&gt;"",'Project Database'!E83='Smart Search'!$L$7)),OR('Smart Search'!$L$8="",'Smart Search'!$L$8="All",TRIM('Project Database'!F83)=TRIM('Smart Search'!$L$8))),IF(BA79="","",BA79+ROW()*0.0000000001),"")</f>
        <v/>
      </c>
      <c r="BI79" s="5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>
        <f>IF('Project Database'!A83="","",N('Project Database'!AC83))</f>
        <v/>
      </c>
      <c r="BK79" s="5">
        <f>IF('Project Database'!A83="","",N('Project Database'!AD83))</f>
        <v/>
      </c>
      <c r="BL79" s="5">
        <f>IF('Project Database'!A83="","",N('Project Database'!AE83))</f>
        <v/>
      </c>
      <c r="BM79" s="5">
        <f>IF('Project Database'!A83="","",N('Project Database'!AF83))</f>
        <v/>
      </c>
      <c r="BN79" s="5">
        <f>IF('Project Database'!A83="","",N('Project Database'!AG83))</f>
        <v/>
      </c>
      <c r="BO79" s="5">
        <f>IF('Project Database'!A83="","",N('Project Database'!AH83))</f>
        <v/>
      </c>
      <c r="BP79" s="5">
        <f>IF('Project Database'!A83="","",N('Project Database'!AI83))</f>
        <v/>
      </c>
      <c r="BQ79" s="5">
        <f>IF('Project Database'!A83="","",N('Project Database'!AJ83))</f>
        <v/>
      </c>
      <c r="BR79" s="5">
        <f>IF('Project Database'!A83="","",N('Project Database'!AK83))</f>
        <v/>
      </c>
      <c r="BS79" s="5">
        <f>IF('Project Database'!A83="","",N('Project Database'!AL83))</f>
        <v/>
      </c>
      <c r="BT79" s="5">
        <f>IF('Project Database'!A83="","",N('Project Database'!AM83))</f>
        <v/>
      </c>
      <c r="BU79" s="5">
        <f>IF('Project Database'!A83="","",N('Project Database'!AN83))</f>
        <v/>
      </c>
      <c r="BV79" s="5">
        <f>IF('Project Database'!A83="","",N('Project Database'!AO83))</f>
        <v/>
      </c>
      <c r="BW79" s="5">
        <f>IF('Project Database'!A83="","",N('Project Database'!AP83))</f>
        <v/>
      </c>
      <c r="BX79" s="5">
        <f>IF(A79="","",SUM(BJ79:BW79))</f>
        <v/>
      </c>
      <c r="BY79" s="5">
        <f>IF(A79="","",IFERROR(IF(ISNUMBER(U79),U79,VALUE(SUBSTITUTE(SUBSTITUTE(SUBSTITUTE(UPPER(TRIM(U79)),"M",""),",","")," ",""))),0))</f>
        <v/>
      </c>
    </row>
    <row r="80" ht="15" customHeight="1" s="74">
      <c r="A80" s="66">
        <f>'Project Database'!A84</f>
        <v/>
      </c>
      <c r="B80" s="66">
        <f>'Project Database'!B84</f>
        <v/>
      </c>
      <c r="C80" s="66">
        <f>'Project Database'!G84</f>
        <v/>
      </c>
      <c r="D80" s="66">
        <f>'Project Database'!H84</f>
        <v/>
      </c>
      <c r="E80" s="66">
        <f>'Project Database'!I84</f>
        <v/>
      </c>
      <c r="F80" s="66">
        <f>'Project Database'!J84</f>
        <v/>
      </c>
      <c r="G80" s="66">
        <f>'Project Database'!K84</f>
        <v/>
      </c>
      <c r="H80" s="66">
        <f>'Project Database'!L84</f>
        <v/>
      </c>
      <c r="I80" s="66">
        <f>'Project Database'!M84</f>
        <v/>
      </c>
      <c r="J80" s="66">
        <f>'Project Database'!N84</f>
        <v/>
      </c>
      <c r="K80" s="66">
        <f>'Project Database'!O84</f>
        <v/>
      </c>
      <c r="L80" s="66">
        <f>'Project Database'!P84</f>
        <v/>
      </c>
      <c r="M80" s="66">
        <f>'Project Database'!Q84</f>
        <v/>
      </c>
      <c r="N80" s="66">
        <f>'Project Database'!R84</f>
        <v/>
      </c>
      <c r="O80" s="66">
        <f>'Project Database'!S84</f>
        <v/>
      </c>
      <c r="P80" s="66">
        <f>'Project Database'!T84</f>
        <v/>
      </c>
      <c r="Q80" s="66">
        <f>'Project Database'!U84</f>
        <v/>
      </c>
      <c r="R80" s="66">
        <f>'Project Database'!V84</f>
        <v/>
      </c>
      <c r="S80" s="66">
        <f>'Project Database'!W84</f>
        <v/>
      </c>
      <c r="T80" s="66">
        <f>'Project Database'!X84</f>
        <v/>
      </c>
      <c r="U80" s="67">
        <f>'Project Database'!Y84</f>
        <v/>
      </c>
      <c r="V80" s="66">
        <f>IF('Smart Search'!B13=1,IFERROR(1/'Smart Search'!H13,0),0)</f>
        <v/>
      </c>
      <c r="W80" s="66">
        <f>IF('Smart Search'!B13=1,IFERROR(1/'Smart Search'!H13,0),0)</f>
        <v/>
      </c>
      <c r="X80" s="66">
        <f>IF('Smart Search'!C13=1,IFERROR(1/'Smart Search'!H13,0),0)</f>
        <v/>
      </c>
      <c r="Y80" s="66">
        <f>IF('Smart Search'!C13=1,IFERROR(1/'Smart Search'!H13,0),0)</f>
        <v/>
      </c>
      <c r="Z80" s="66">
        <f>IF('Smart Search'!D13=1,IFERROR(1/'Smart Search'!H13,0),0)</f>
        <v/>
      </c>
      <c r="AA80" s="66">
        <f>IF('Smart Search'!D13=1,IFERROR(1/'Smart Search'!H13,0),0)</f>
        <v/>
      </c>
      <c r="AB80" s="66">
        <f>IF('Smart Search'!E13=1,IFERROR(1/'Smart Search'!H13,0),0)</f>
        <v/>
      </c>
      <c r="AC80" s="66">
        <f>IF('Smart Search'!E13=1,IFERROR(1/'Smart Search'!H13,0),0)</f>
        <v/>
      </c>
      <c r="AD80" s="66">
        <f>IF('Smart Search'!F13=1,IFERROR(1/'Smart Search'!H13,0),0)</f>
        <v/>
      </c>
      <c r="AE80" s="66">
        <f>IF('Smart Search'!F13=1,IFERROR(1/'Smart Search'!H13,0),0)</f>
        <v/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66">
        <f>AF80*V80</f>
        <v/>
      </c>
      <c r="AQ80" s="66">
        <f>AG80*W80</f>
        <v/>
      </c>
      <c r="AR80" s="66">
        <f>AH80*X80</f>
        <v/>
      </c>
      <c r="AS80" s="66">
        <f>AI80*Y80</f>
        <v/>
      </c>
      <c r="AT80" s="66">
        <f>AJ80*Z80</f>
        <v/>
      </c>
      <c r="AU80" s="66">
        <f>AK80*AA80</f>
        <v/>
      </c>
      <c r="AV80" s="66">
        <f>AL80*AB80</f>
        <v/>
      </c>
      <c r="AW80" s="66">
        <f>AM80*AC80</f>
        <v/>
      </c>
      <c r="AX80" s="66">
        <f>AN80*AD80</f>
        <v/>
      </c>
      <c r="AY80" s="66">
        <f>AO80*AE80</f>
        <v/>
      </c>
      <c r="AZ80" s="66">
        <f>'Project Database'!Z84</f>
        <v/>
      </c>
      <c r="BA80" s="66">
        <f>IF(OR(A80="",'Smart Search'!H13=0),"",MAX(0,BE80*BF80*MAX(0,1-BG80)))</f>
        <v/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66">
        <f>IF('Smart Search'!G13=1,IFERROR(1/'Smart Search'!H13,0),0)</f>
        <v/>
      </c>
      <c r="BD80" s="66">
        <f>BB80*BC80</f>
        <v/>
      </c>
      <c r="BE80" s="66">
        <f>AP80+AQ80+AR80+AS80+AT80+AU80+AV80+AW80+AX80+AY80+BD80</f>
        <v/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5">
        <f>IF(AND('Project Database'!A84&lt;&gt;"",OR('Smart Search'!$L$5="",'Smart Search'!$L$5="All",TRIM('Project Database'!D84)=TRIM('Smart Search'!$L$5)),OR(TRIM('Smart Search'!$L$6)="",TRIM('Smart Search'!$L$6)="All",ISNUMBER(SEARCH(SUBSTITUTE(SUBSTITUTE(SUBSTITUTE(TRIM('Smart Search'!$L$6),"~","~~"),"*","~*"),"?","~?"),'Project Database'!C84))),OR('Smart Search'!$L$7="",AND('Project Database'!E84&lt;&gt;"",'Project Database'!E84='Smart Search'!$L$7)),OR('Smart Search'!$L$8="",'Smart Search'!$L$8="All",TRIM('Project Database'!F84)=TRIM('Smart Search'!$L$8))),IF(BA80="","",BA80+ROW()*0.0000000001),"")</f>
        <v/>
      </c>
      <c r="BI80" s="5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>
        <f>IF('Project Database'!A84="","",N('Project Database'!AC84))</f>
        <v/>
      </c>
      <c r="BK80" s="5">
        <f>IF('Project Database'!A84="","",N('Project Database'!AD84))</f>
        <v/>
      </c>
      <c r="BL80" s="5">
        <f>IF('Project Database'!A84="","",N('Project Database'!AE84))</f>
        <v/>
      </c>
      <c r="BM80" s="5">
        <f>IF('Project Database'!A84="","",N('Project Database'!AF84))</f>
        <v/>
      </c>
      <c r="BN80" s="5">
        <f>IF('Project Database'!A84="","",N('Project Database'!AG84))</f>
        <v/>
      </c>
      <c r="BO80" s="5">
        <f>IF('Project Database'!A84="","",N('Project Database'!AH84))</f>
        <v/>
      </c>
      <c r="BP80" s="5">
        <f>IF('Project Database'!A84="","",N('Project Database'!AI84))</f>
        <v/>
      </c>
      <c r="BQ80" s="5">
        <f>IF('Project Database'!A84="","",N('Project Database'!AJ84))</f>
        <v/>
      </c>
      <c r="BR80" s="5">
        <f>IF('Project Database'!A84="","",N('Project Database'!AK84))</f>
        <v/>
      </c>
      <c r="BS80" s="5">
        <f>IF('Project Database'!A84="","",N('Project Database'!AL84))</f>
        <v/>
      </c>
      <c r="BT80" s="5">
        <f>IF('Project Database'!A84="","",N('Project Database'!AM84))</f>
        <v/>
      </c>
      <c r="BU80" s="5">
        <f>IF('Project Database'!A84="","",N('Project Database'!AN84))</f>
        <v/>
      </c>
      <c r="BV80" s="5">
        <f>IF('Project Database'!A84="","",N('Project Database'!AO84))</f>
        <v/>
      </c>
      <c r="BW80" s="5">
        <f>IF('Project Database'!A84="","",N('Project Database'!AP84))</f>
        <v/>
      </c>
      <c r="BX80" s="5">
        <f>IF(A80="","",SUM(BJ80:BW80))</f>
        <v/>
      </c>
      <c r="BY80" s="5">
        <f>IF(A80="","",IFERROR(IF(ISNUMBER(U80),U80,VALUE(SUBSTITUTE(SUBSTITUTE(SUBSTITUTE(UPPER(TRIM(U80)),"M",""),",","")," ",""))),0))</f>
        <v/>
      </c>
    </row>
    <row r="81" ht="15" customHeight="1" s="74">
      <c r="A81" s="66">
        <f>'Project Database'!A85</f>
        <v/>
      </c>
      <c r="B81" s="66">
        <f>'Project Database'!B85</f>
        <v/>
      </c>
      <c r="C81" s="66">
        <f>'Project Database'!G85</f>
        <v/>
      </c>
      <c r="D81" s="66">
        <f>'Project Database'!H85</f>
        <v/>
      </c>
      <c r="E81" s="66">
        <f>'Project Database'!I85</f>
        <v/>
      </c>
      <c r="F81" s="66">
        <f>'Project Database'!J85</f>
        <v/>
      </c>
      <c r="G81" s="66">
        <f>'Project Database'!K85</f>
        <v/>
      </c>
      <c r="H81" s="66">
        <f>'Project Database'!L85</f>
        <v/>
      </c>
      <c r="I81" s="66">
        <f>'Project Database'!M85</f>
        <v/>
      </c>
      <c r="J81" s="66">
        <f>'Project Database'!N85</f>
        <v/>
      </c>
      <c r="K81" s="66">
        <f>'Project Database'!O85</f>
        <v/>
      </c>
      <c r="L81" s="66">
        <f>'Project Database'!P85</f>
        <v/>
      </c>
      <c r="M81" s="66">
        <f>'Project Database'!Q85</f>
        <v/>
      </c>
      <c r="N81" s="66">
        <f>'Project Database'!R85</f>
        <v/>
      </c>
      <c r="O81" s="66">
        <f>'Project Database'!S85</f>
        <v/>
      </c>
      <c r="P81" s="66">
        <f>'Project Database'!T85</f>
        <v/>
      </c>
      <c r="Q81" s="66">
        <f>'Project Database'!U85</f>
        <v/>
      </c>
      <c r="R81" s="66">
        <f>'Project Database'!V85</f>
        <v/>
      </c>
      <c r="S81" s="66">
        <f>'Project Database'!W85</f>
        <v/>
      </c>
      <c r="T81" s="66">
        <f>'Project Database'!X85</f>
        <v/>
      </c>
      <c r="U81" s="67">
        <f>'Project Database'!Y85</f>
        <v/>
      </c>
      <c r="V81" s="66">
        <f>IF('Smart Search'!B13=1,IFERROR(1/'Smart Search'!H13,0),0)</f>
        <v/>
      </c>
      <c r="W81" s="66">
        <f>IF('Smart Search'!B13=1,IFERROR(1/'Smart Search'!H13,0),0)</f>
        <v/>
      </c>
      <c r="X81" s="66">
        <f>IF('Smart Search'!C13=1,IFERROR(1/'Smart Search'!H13,0),0)</f>
        <v/>
      </c>
      <c r="Y81" s="66">
        <f>IF('Smart Search'!C13=1,IFERROR(1/'Smart Search'!H13,0),0)</f>
        <v/>
      </c>
      <c r="Z81" s="66">
        <f>IF('Smart Search'!D13=1,IFERROR(1/'Smart Search'!H13,0),0)</f>
        <v/>
      </c>
      <c r="AA81" s="66">
        <f>IF('Smart Search'!D13=1,IFERROR(1/'Smart Search'!H13,0),0)</f>
        <v/>
      </c>
      <c r="AB81" s="66">
        <f>IF('Smart Search'!E13=1,IFERROR(1/'Smart Search'!H13,0),0)</f>
        <v/>
      </c>
      <c r="AC81" s="66">
        <f>IF('Smart Search'!E13=1,IFERROR(1/'Smart Search'!H13,0),0)</f>
        <v/>
      </c>
      <c r="AD81" s="66">
        <f>IF('Smart Search'!F13=1,IFERROR(1/'Smart Search'!H13,0),0)</f>
        <v/>
      </c>
      <c r="AE81" s="66">
        <f>IF('Smart Search'!F13=1,IFERROR(1/'Smart Search'!H13,0),0)</f>
        <v/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66">
        <f>AF81*V81</f>
        <v/>
      </c>
      <c r="AQ81" s="66">
        <f>AG81*W81</f>
        <v/>
      </c>
      <c r="AR81" s="66">
        <f>AH81*X81</f>
        <v/>
      </c>
      <c r="AS81" s="66">
        <f>AI81*Y81</f>
        <v/>
      </c>
      <c r="AT81" s="66">
        <f>AJ81*Z81</f>
        <v/>
      </c>
      <c r="AU81" s="66">
        <f>AK81*AA81</f>
        <v/>
      </c>
      <c r="AV81" s="66">
        <f>AL81*AB81</f>
        <v/>
      </c>
      <c r="AW81" s="66">
        <f>AM81*AC81</f>
        <v/>
      </c>
      <c r="AX81" s="66">
        <f>AN81*AD81</f>
        <v/>
      </c>
      <c r="AY81" s="66">
        <f>AO81*AE81</f>
        <v/>
      </c>
      <c r="AZ81" s="66">
        <f>'Project Database'!Z85</f>
        <v/>
      </c>
      <c r="BA81" s="66">
        <f>IF(OR(A81="",'Smart Search'!H13=0),"",MAX(0,BE81*BF81*MAX(0,1-BG81)))</f>
        <v/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66">
        <f>IF('Smart Search'!G13=1,IFERROR(1/'Smart Search'!H13,0),0)</f>
        <v/>
      </c>
      <c r="BD81" s="66">
        <f>BB81*BC81</f>
        <v/>
      </c>
      <c r="BE81" s="66">
        <f>AP81+AQ81+AR81+AS81+AT81+AU81+AV81+AW81+AX81+AY81+BD81</f>
        <v/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5">
        <f>IF(AND('Project Database'!A85&lt;&gt;"",OR('Smart Search'!$L$5="",'Smart Search'!$L$5="All",TRIM('Project Database'!D85)=TRIM('Smart Search'!$L$5)),OR(TRIM('Smart Search'!$L$6)="",TRIM('Smart Search'!$L$6)="All",ISNUMBER(SEARCH(SUBSTITUTE(SUBSTITUTE(SUBSTITUTE(TRIM('Smart Search'!$L$6),"~","~~"),"*","~*"),"?","~?"),'Project Database'!C85))),OR('Smart Search'!$L$7="",AND('Project Database'!E85&lt;&gt;"",'Project Database'!E85='Smart Search'!$L$7)),OR('Smart Search'!$L$8="",'Smart Search'!$L$8="All",TRIM('Project Database'!F85)=TRIM('Smart Search'!$L$8))),IF(BA81="","",BA81+ROW()*0.0000000001),"")</f>
        <v/>
      </c>
      <c r="BI81" s="5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>
        <f>IF('Project Database'!A85="","",N('Project Database'!AC85))</f>
        <v/>
      </c>
      <c r="BK81" s="5">
        <f>IF('Project Database'!A85="","",N('Project Database'!AD85))</f>
        <v/>
      </c>
      <c r="BL81" s="5">
        <f>IF('Project Database'!A85="","",N('Project Database'!AE85))</f>
        <v/>
      </c>
      <c r="BM81" s="5">
        <f>IF('Project Database'!A85="","",N('Project Database'!AF85))</f>
        <v/>
      </c>
      <c r="BN81" s="5">
        <f>IF('Project Database'!A85="","",N('Project Database'!AG85))</f>
        <v/>
      </c>
      <c r="BO81" s="5">
        <f>IF('Project Database'!A85="","",N('Project Database'!AH85))</f>
        <v/>
      </c>
      <c r="BP81" s="5">
        <f>IF('Project Database'!A85="","",N('Project Database'!AI85))</f>
        <v/>
      </c>
      <c r="BQ81" s="5">
        <f>IF('Project Database'!A85="","",N('Project Database'!AJ85))</f>
        <v/>
      </c>
      <c r="BR81" s="5">
        <f>IF('Project Database'!A85="","",N('Project Database'!AK85))</f>
        <v/>
      </c>
      <c r="BS81" s="5">
        <f>IF('Project Database'!A85="","",N('Project Database'!AL85))</f>
        <v/>
      </c>
      <c r="BT81" s="5">
        <f>IF('Project Database'!A85="","",N('Project Database'!AM85))</f>
        <v/>
      </c>
      <c r="BU81" s="5">
        <f>IF('Project Database'!A85="","",N('Project Database'!AN85))</f>
        <v/>
      </c>
      <c r="BV81" s="5">
        <f>IF('Project Database'!A85="","",N('Project Database'!AO85))</f>
        <v/>
      </c>
      <c r="BW81" s="5">
        <f>IF('Project Database'!A85="","",N('Project Database'!AP85))</f>
        <v/>
      </c>
      <c r="BX81" s="5">
        <f>IF(A81="","",SUM(BJ81:BW81))</f>
        <v/>
      </c>
      <c r="BY81" s="5">
        <f>IF(A81="","",IFERROR(IF(ISNUMBER(U81),U81,VALUE(SUBSTITUTE(SUBSTITUTE(SUBSTITUTE(UPPER(TRIM(U81)),"M",""),",","")," ",""))),0))</f>
        <v/>
      </c>
    </row>
    <row r="82" ht="15" customHeight="1" s="74">
      <c r="A82" s="66">
        <f>'Project Database'!A86</f>
        <v/>
      </c>
      <c r="B82" s="66">
        <f>'Project Database'!B86</f>
        <v/>
      </c>
      <c r="C82" s="66">
        <f>'Project Database'!G86</f>
        <v/>
      </c>
      <c r="D82" s="66">
        <f>'Project Database'!H86</f>
        <v/>
      </c>
      <c r="E82" s="66">
        <f>'Project Database'!I86</f>
        <v/>
      </c>
      <c r="F82" s="66">
        <f>'Project Database'!J86</f>
        <v/>
      </c>
      <c r="G82" s="66">
        <f>'Project Database'!K86</f>
        <v/>
      </c>
      <c r="H82" s="66">
        <f>'Project Database'!L86</f>
        <v/>
      </c>
      <c r="I82" s="66">
        <f>'Project Database'!M86</f>
        <v/>
      </c>
      <c r="J82" s="66">
        <f>'Project Database'!N86</f>
        <v/>
      </c>
      <c r="K82" s="66">
        <f>'Project Database'!O86</f>
        <v/>
      </c>
      <c r="L82" s="66">
        <f>'Project Database'!P86</f>
        <v/>
      </c>
      <c r="M82" s="66">
        <f>'Project Database'!Q86</f>
        <v/>
      </c>
      <c r="N82" s="66">
        <f>'Project Database'!R86</f>
        <v/>
      </c>
      <c r="O82" s="66">
        <f>'Project Database'!S86</f>
        <v/>
      </c>
      <c r="P82" s="66">
        <f>'Project Database'!T86</f>
        <v/>
      </c>
      <c r="Q82" s="66">
        <f>'Project Database'!U86</f>
        <v/>
      </c>
      <c r="R82" s="66">
        <f>'Project Database'!V86</f>
        <v/>
      </c>
      <c r="S82" s="66">
        <f>'Project Database'!W86</f>
        <v/>
      </c>
      <c r="T82" s="66">
        <f>'Project Database'!X86</f>
        <v/>
      </c>
      <c r="U82" s="67">
        <f>'Project Database'!Y86</f>
        <v/>
      </c>
      <c r="V82" s="66">
        <f>IF('Smart Search'!B13=1,IFERROR(1/'Smart Search'!H13,0),0)</f>
        <v/>
      </c>
      <c r="W82" s="66">
        <f>IF('Smart Search'!B13=1,IFERROR(1/'Smart Search'!H13,0),0)</f>
        <v/>
      </c>
      <c r="X82" s="66">
        <f>IF('Smart Search'!C13=1,IFERROR(1/'Smart Search'!H13,0),0)</f>
        <v/>
      </c>
      <c r="Y82" s="66">
        <f>IF('Smart Search'!C13=1,IFERROR(1/'Smart Search'!H13,0),0)</f>
        <v/>
      </c>
      <c r="Z82" s="66">
        <f>IF('Smart Search'!D13=1,IFERROR(1/'Smart Search'!H13,0),0)</f>
        <v/>
      </c>
      <c r="AA82" s="66">
        <f>IF('Smart Search'!D13=1,IFERROR(1/'Smart Search'!H13,0),0)</f>
        <v/>
      </c>
      <c r="AB82" s="66">
        <f>IF('Smart Search'!E13=1,IFERROR(1/'Smart Search'!H13,0),0)</f>
        <v/>
      </c>
      <c r="AC82" s="66">
        <f>IF('Smart Search'!E13=1,IFERROR(1/'Smart Search'!H13,0),0)</f>
        <v/>
      </c>
      <c r="AD82" s="66">
        <f>IF('Smart Search'!F13=1,IFERROR(1/'Smart Search'!H13,0),0)</f>
        <v/>
      </c>
      <c r="AE82" s="66">
        <f>IF('Smart Search'!F13=1,IFERROR(1/'Smart Search'!H13,0),0)</f>
        <v/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66">
        <f>AF82*V82</f>
        <v/>
      </c>
      <c r="AQ82" s="66">
        <f>AG82*W82</f>
        <v/>
      </c>
      <c r="AR82" s="66">
        <f>AH82*X82</f>
        <v/>
      </c>
      <c r="AS82" s="66">
        <f>AI82*Y82</f>
        <v/>
      </c>
      <c r="AT82" s="66">
        <f>AJ82*Z82</f>
        <v/>
      </c>
      <c r="AU82" s="66">
        <f>AK82*AA82</f>
        <v/>
      </c>
      <c r="AV82" s="66">
        <f>AL82*AB82</f>
        <v/>
      </c>
      <c r="AW82" s="66">
        <f>AM82*AC82</f>
        <v/>
      </c>
      <c r="AX82" s="66">
        <f>AN82*AD82</f>
        <v/>
      </c>
      <c r="AY82" s="66">
        <f>AO82*AE82</f>
        <v/>
      </c>
      <c r="AZ82" s="66">
        <f>'Project Database'!Z86</f>
        <v/>
      </c>
      <c r="BA82" s="66">
        <f>IF(OR(A82="",'Smart Search'!H13=0),"",MAX(0,BE82*BF82*MAX(0,1-BG82)))</f>
        <v/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66">
        <f>IF('Smart Search'!G13=1,IFERROR(1/'Smart Search'!H13,0),0)</f>
        <v/>
      </c>
      <c r="BD82" s="66">
        <f>BB82*BC82</f>
        <v/>
      </c>
      <c r="BE82" s="66">
        <f>AP82+AQ82+AR82+AS82+AT82+AU82+AV82+AW82+AX82+AY82+BD82</f>
        <v/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5">
        <f>IF(AND('Project Database'!A86&lt;&gt;"",OR('Smart Search'!$L$5="",'Smart Search'!$L$5="All",TRIM('Project Database'!D86)=TRIM('Smart Search'!$L$5)),OR(TRIM('Smart Search'!$L$6)="",TRIM('Smart Search'!$L$6)="All",ISNUMBER(SEARCH(SUBSTITUTE(SUBSTITUTE(SUBSTITUTE(TRIM('Smart Search'!$L$6),"~","~~"),"*","~*"),"?","~?"),'Project Database'!C86))),OR('Smart Search'!$L$7="",AND('Project Database'!E86&lt;&gt;"",'Project Database'!E86='Smart Search'!$L$7)),OR('Smart Search'!$L$8="",'Smart Search'!$L$8="All",TRIM('Project Database'!F86)=TRIM('Smart Search'!$L$8))),IF(BA82="","",BA82+ROW()*0.0000000001),"")</f>
        <v/>
      </c>
      <c r="BI82" s="5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>
        <f>IF('Project Database'!A86="","",N('Project Database'!AC86))</f>
        <v/>
      </c>
      <c r="BK82" s="5">
        <f>IF('Project Database'!A86="","",N('Project Database'!AD86))</f>
        <v/>
      </c>
      <c r="BL82" s="5">
        <f>IF('Project Database'!A86="","",N('Project Database'!AE86))</f>
        <v/>
      </c>
      <c r="BM82" s="5">
        <f>IF('Project Database'!A86="","",N('Project Database'!AF86))</f>
        <v/>
      </c>
      <c r="BN82" s="5">
        <f>IF('Project Database'!A86="","",N('Project Database'!AG86))</f>
        <v/>
      </c>
      <c r="BO82" s="5">
        <f>IF('Project Database'!A86="","",N('Project Database'!AH86))</f>
        <v/>
      </c>
      <c r="BP82" s="5">
        <f>IF('Project Database'!A86="","",N('Project Database'!AI86))</f>
        <v/>
      </c>
      <c r="BQ82" s="5">
        <f>IF('Project Database'!A86="","",N('Project Database'!AJ86))</f>
        <v/>
      </c>
      <c r="BR82" s="5">
        <f>IF('Project Database'!A86="","",N('Project Database'!AK86))</f>
        <v/>
      </c>
      <c r="BS82" s="5">
        <f>IF('Project Database'!A86="","",N('Project Database'!AL86))</f>
        <v/>
      </c>
      <c r="BT82" s="5">
        <f>IF('Project Database'!A86="","",N('Project Database'!AM86))</f>
        <v/>
      </c>
      <c r="BU82" s="5">
        <f>IF('Project Database'!A86="","",N('Project Database'!AN86))</f>
        <v/>
      </c>
      <c r="BV82" s="5">
        <f>IF('Project Database'!A86="","",N('Project Database'!AO86))</f>
        <v/>
      </c>
      <c r="BW82" s="5">
        <f>IF('Project Database'!A86="","",N('Project Database'!AP86))</f>
        <v/>
      </c>
      <c r="BX82" s="5">
        <f>IF(A82="","",SUM(BJ82:BW82))</f>
        <v/>
      </c>
      <c r="BY82" s="5">
        <f>IF(A82="","",IFERROR(IF(ISNUMBER(U82),U82,VALUE(SUBSTITUTE(SUBSTITUTE(SUBSTITUTE(UPPER(TRIM(U82)),"M",""),",","")," ",""))),0))</f>
        <v/>
      </c>
    </row>
    <row r="83" ht="15" customHeight="1" s="74">
      <c r="A83" s="66">
        <f>'Project Database'!A87</f>
        <v/>
      </c>
      <c r="B83" s="66">
        <f>'Project Database'!B87</f>
        <v/>
      </c>
      <c r="C83" s="66">
        <f>'Project Database'!G87</f>
        <v/>
      </c>
      <c r="D83" s="66">
        <f>'Project Database'!H87</f>
        <v/>
      </c>
      <c r="E83" s="66">
        <f>'Project Database'!I87</f>
        <v/>
      </c>
      <c r="F83" s="66">
        <f>'Project Database'!J87</f>
        <v/>
      </c>
      <c r="G83" s="66">
        <f>'Project Database'!K87</f>
        <v/>
      </c>
      <c r="H83" s="66">
        <f>'Project Database'!L87</f>
        <v/>
      </c>
      <c r="I83" s="66">
        <f>'Project Database'!M87</f>
        <v/>
      </c>
      <c r="J83" s="66">
        <f>'Project Database'!N87</f>
        <v/>
      </c>
      <c r="K83" s="66">
        <f>'Project Database'!O87</f>
        <v/>
      </c>
      <c r="L83" s="66">
        <f>'Project Database'!P87</f>
        <v/>
      </c>
      <c r="M83" s="66">
        <f>'Project Database'!Q87</f>
        <v/>
      </c>
      <c r="N83" s="66">
        <f>'Project Database'!R87</f>
        <v/>
      </c>
      <c r="O83" s="66">
        <f>'Project Database'!S87</f>
        <v/>
      </c>
      <c r="P83" s="66">
        <f>'Project Database'!T87</f>
        <v/>
      </c>
      <c r="Q83" s="66">
        <f>'Project Database'!U87</f>
        <v/>
      </c>
      <c r="R83" s="66">
        <f>'Project Database'!V87</f>
        <v/>
      </c>
      <c r="S83" s="66">
        <f>'Project Database'!W87</f>
        <v/>
      </c>
      <c r="T83" s="66">
        <f>'Project Database'!X87</f>
        <v/>
      </c>
      <c r="U83" s="67">
        <f>'Project Database'!Y87</f>
        <v/>
      </c>
      <c r="V83" s="66">
        <f>IF('Smart Search'!B13=1,IFERROR(1/'Smart Search'!H13,0),0)</f>
        <v/>
      </c>
      <c r="W83" s="66">
        <f>IF('Smart Search'!B13=1,IFERROR(1/'Smart Search'!H13,0),0)</f>
        <v/>
      </c>
      <c r="X83" s="66">
        <f>IF('Smart Search'!C13=1,IFERROR(1/'Smart Search'!H13,0),0)</f>
        <v/>
      </c>
      <c r="Y83" s="66">
        <f>IF('Smart Search'!C13=1,IFERROR(1/'Smart Search'!H13,0),0)</f>
        <v/>
      </c>
      <c r="Z83" s="66">
        <f>IF('Smart Search'!D13=1,IFERROR(1/'Smart Search'!H13,0),0)</f>
        <v/>
      </c>
      <c r="AA83" s="66">
        <f>IF('Smart Search'!D13=1,IFERROR(1/'Smart Search'!H13,0),0)</f>
        <v/>
      </c>
      <c r="AB83" s="66">
        <f>IF('Smart Search'!E13=1,IFERROR(1/'Smart Search'!H13,0),0)</f>
        <v/>
      </c>
      <c r="AC83" s="66">
        <f>IF('Smart Search'!E13=1,IFERROR(1/'Smart Search'!H13,0),0)</f>
        <v/>
      </c>
      <c r="AD83" s="66">
        <f>IF('Smart Search'!F13=1,IFERROR(1/'Smart Search'!H13,0),0)</f>
        <v/>
      </c>
      <c r="AE83" s="66">
        <f>IF('Smart Search'!F13=1,IFERROR(1/'Smart Search'!H13,0),0)</f>
        <v/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66">
        <f>AF83*V83</f>
        <v/>
      </c>
      <c r="AQ83" s="66">
        <f>AG83*W83</f>
        <v/>
      </c>
      <c r="AR83" s="66">
        <f>AH83*X83</f>
        <v/>
      </c>
      <c r="AS83" s="66">
        <f>AI83*Y83</f>
        <v/>
      </c>
      <c r="AT83" s="66">
        <f>AJ83*Z83</f>
        <v/>
      </c>
      <c r="AU83" s="66">
        <f>AK83*AA83</f>
        <v/>
      </c>
      <c r="AV83" s="66">
        <f>AL83*AB83</f>
        <v/>
      </c>
      <c r="AW83" s="66">
        <f>AM83*AC83</f>
        <v/>
      </c>
      <c r="AX83" s="66">
        <f>AN83*AD83</f>
        <v/>
      </c>
      <c r="AY83" s="66">
        <f>AO83*AE83</f>
        <v/>
      </c>
      <c r="AZ83" s="66">
        <f>'Project Database'!Z87</f>
        <v/>
      </c>
      <c r="BA83" s="66">
        <f>IF(OR(A83="",'Smart Search'!H13=0),"",MAX(0,BE83*BF83*MAX(0,1-BG83)))</f>
        <v/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66">
        <f>IF('Smart Search'!G13=1,IFERROR(1/'Smart Search'!H13,0),0)</f>
        <v/>
      </c>
      <c r="BD83" s="66">
        <f>BB83*BC83</f>
        <v/>
      </c>
      <c r="BE83" s="66">
        <f>AP83+AQ83+AR83+AS83+AT83+AU83+AV83+AW83+AX83+AY83+BD83</f>
        <v/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5">
        <f>IF(AND('Project Database'!A87&lt;&gt;"",OR('Smart Search'!$L$5="",'Smart Search'!$L$5="All",TRIM('Project Database'!D87)=TRIM('Smart Search'!$L$5)),OR(TRIM('Smart Search'!$L$6)="",TRIM('Smart Search'!$L$6)="All",ISNUMBER(SEARCH(SUBSTITUTE(SUBSTITUTE(SUBSTITUTE(TRIM('Smart Search'!$L$6),"~","~~"),"*","~*"),"?","~?"),'Project Database'!C87))),OR('Smart Search'!$L$7="",AND('Project Database'!E87&lt;&gt;"",'Project Database'!E87='Smart Search'!$L$7)),OR('Smart Search'!$L$8="",'Smart Search'!$L$8="All",TRIM('Project Database'!F87)=TRIM('Smart Search'!$L$8))),IF(BA83="","",BA83+ROW()*0.0000000001),"")</f>
        <v/>
      </c>
      <c r="BI83" s="5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>
        <f>IF('Project Database'!A87="","",N('Project Database'!AC87))</f>
        <v/>
      </c>
      <c r="BK83" s="5">
        <f>IF('Project Database'!A87="","",N('Project Database'!AD87))</f>
        <v/>
      </c>
      <c r="BL83" s="5">
        <f>IF('Project Database'!A87="","",N('Project Database'!AE87))</f>
        <v/>
      </c>
      <c r="BM83" s="5">
        <f>IF('Project Database'!A87="","",N('Project Database'!AF87))</f>
        <v/>
      </c>
      <c r="BN83" s="5">
        <f>IF('Project Database'!A87="","",N('Project Database'!AG87))</f>
        <v/>
      </c>
      <c r="BO83" s="5">
        <f>IF('Project Database'!A87="","",N('Project Database'!AH87))</f>
        <v/>
      </c>
      <c r="BP83" s="5">
        <f>IF('Project Database'!A87="","",N('Project Database'!AI87))</f>
        <v/>
      </c>
      <c r="BQ83" s="5">
        <f>IF('Project Database'!A87="","",N('Project Database'!AJ87))</f>
        <v/>
      </c>
      <c r="BR83" s="5">
        <f>IF('Project Database'!A87="","",N('Project Database'!AK87))</f>
        <v/>
      </c>
      <c r="BS83" s="5">
        <f>IF('Project Database'!A87="","",N('Project Database'!AL87))</f>
        <v/>
      </c>
      <c r="BT83" s="5">
        <f>IF('Project Database'!A87="","",N('Project Database'!AM87))</f>
        <v/>
      </c>
      <c r="BU83" s="5">
        <f>IF('Project Database'!A87="","",N('Project Database'!AN87))</f>
        <v/>
      </c>
      <c r="BV83" s="5">
        <f>IF('Project Database'!A87="","",N('Project Database'!AO87))</f>
        <v/>
      </c>
      <c r="BW83" s="5">
        <f>IF('Project Database'!A87="","",N('Project Database'!AP87))</f>
        <v/>
      </c>
      <c r="BX83" s="5">
        <f>IF(A83="","",SUM(BJ83:BW83))</f>
        <v/>
      </c>
      <c r="BY83" s="5">
        <f>IF(A83="","",IFERROR(IF(ISNUMBER(U83),U83,VALUE(SUBSTITUTE(SUBSTITUTE(SUBSTITUTE(UPPER(TRIM(U83)),"M",""),",","")," ",""))),0))</f>
        <v/>
      </c>
    </row>
    <row r="84" ht="15" customHeight="1" s="74">
      <c r="A84" s="66">
        <f>'Project Database'!A88</f>
        <v/>
      </c>
      <c r="B84" s="66">
        <f>'Project Database'!B88</f>
        <v/>
      </c>
      <c r="C84" s="66">
        <f>'Project Database'!G88</f>
        <v/>
      </c>
      <c r="D84" s="66">
        <f>'Project Database'!H88</f>
        <v/>
      </c>
      <c r="E84" s="66">
        <f>'Project Database'!I88</f>
        <v/>
      </c>
      <c r="F84" s="66">
        <f>'Project Database'!J88</f>
        <v/>
      </c>
      <c r="G84" s="66">
        <f>'Project Database'!K88</f>
        <v/>
      </c>
      <c r="H84" s="66">
        <f>'Project Database'!L88</f>
        <v/>
      </c>
      <c r="I84" s="66">
        <f>'Project Database'!M88</f>
        <v/>
      </c>
      <c r="J84" s="66">
        <f>'Project Database'!N88</f>
        <v/>
      </c>
      <c r="K84" s="66">
        <f>'Project Database'!O88</f>
        <v/>
      </c>
      <c r="L84" s="66">
        <f>'Project Database'!P88</f>
        <v/>
      </c>
      <c r="M84" s="66">
        <f>'Project Database'!Q88</f>
        <v/>
      </c>
      <c r="N84" s="66">
        <f>'Project Database'!R88</f>
        <v/>
      </c>
      <c r="O84" s="66">
        <f>'Project Database'!S88</f>
        <v/>
      </c>
      <c r="P84" s="66">
        <f>'Project Database'!T88</f>
        <v/>
      </c>
      <c r="Q84" s="66">
        <f>'Project Database'!U88</f>
        <v/>
      </c>
      <c r="R84" s="66">
        <f>'Project Database'!V88</f>
        <v/>
      </c>
      <c r="S84" s="66">
        <f>'Project Database'!W88</f>
        <v/>
      </c>
      <c r="T84" s="66">
        <f>'Project Database'!X88</f>
        <v/>
      </c>
      <c r="U84" s="67">
        <f>'Project Database'!Y88</f>
        <v/>
      </c>
      <c r="V84" s="66">
        <f>IF('Smart Search'!B13=1,IFERROR(1/'Smart Search'!H13,0),0)</f>
        <v/>
      </c>
      <c r="W84" s="66">
        <f>IF('Smart Search'!B13=1,IFERROR(1/'Smart Search'!H13,0),0)</f>
        <v/>
      </c>
      <c r="X84" s="66">
        <f>IF('Smart Search'!C13=1,IFERROR(1/'Smart Search'!H13,0),0)</f>
        <v/>
      </c>
      <c r="Y84" s="66">
        <f>IF('Smart Search'!C13=1,IFERROR(1/'Smart Search'!H13,0),0)</f>
        <v/>
      </c>
      <c r="Z84" s="66">
        <f>IF('Smart Search'!D13=1,IFERROR(1/'Smart Search'!H13,0),0)</f>
        <v/>
      </c>
      <c r="AA84" s="66">
        <f>IF('Smart Search'!D13=1,IFERROR(1/'Smart Search'!H13,0),0)</f>
        <v/>
      </c>
      <c r="AB84" s="66">
        <f>IF('Smart Search'!E13=1,IFERROR(1/'Smart Search'!H13,0),0)</f>
        <v/>
      </c>
      <c r="AC84" s="66">
        <f>IF('Smart Search'!E13=1,IFERROR(1/'Smart Search'!H13,0),0)</f>
        <v/>
      </c>
      <c r="AD84" s="66">
        <f>IF('Smart Search'!F13=1,IFERROR(1/'Smart Search'!H13,0),0)</f>
        <v/>
      </c>
      <c r="AE84" s="66">
        <f>IF('Smart Search'!F13=1,IFERROR(1/'Smart Search'!H13,0),0)</f>
        <v/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66">
        <f>AF84*V84</f>
        <v/>
      </c>
      <c r="AQ84" s="66">
        <f>AG84*W84</f>
        <v/>
      </c>
      <c r="AR84" s="66">
        <f>AH84*X84</f>
        <v/>
      </c>
      <c r="AS84" s="66">
        <f>AI84*Y84</f>
        <v/>
      </c>
      <c r="AT84" s="66">
        <f>AJ84*Z84</f>
        <v/>
      </c>
      <c r="AU84" s="66">
        <f>AK84*AA84</f>
        <v/>
      </c>
      <c r="AV84" s="66">
        <f>AL84*AB84</f>
        <v/>
      </c>
      <c r="AW84" s="66">
        <f>AM84*AC84</f>
        <v/>
      </c>
      <c r="AX84" s="66">
        <f>AN84*AD84</f>
        <v/>
      </c>
      <c r="AY84" s="66">
        <f>AO84*AE84</f>
        <v/>
      </c>
      <c r="AZ84" s="66">
        <f>'Project Database'!Z88</f>
        <v/>
      </c>
      <c r="BA84" s="66">
        <f>IF(OR(A84="",'Smart Search'!H13=0),"",MAX(0,BE84*BF84*MAX(0,1-BG84)))</f>
        <v/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66">
        <f>IF('Smart Search'!G13=1,IFERROR(1/'Smart Search'!H13,0),0)</f>
        <v/>
      </c>
      <c r="BD84" s="66">
        <f>BB84*BC84</f>
        <v/>
      </c>
      <c r="BE84" s="66">
        <f>AP84+AQ84+AR84+AS84+AT84+AU84+AV84+AW84+AX84+AY84+BD84</f>
        <v/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5">
        <f>IF(AND('Project Database'!A88&lt;&gt;"",OR('Smart Search'!$L$5="",'Smart Search'!$L$5="All",TRIM('Project Database'!D88)=TRIM('Smart Search'!$L$5)),OR(TRIM('Smart Search'!$L$6)="",TRIM('Smart Search'!$L$6)="All",ISNUMBER(SEARCH(SUBSTITUTE(SUBSTITUTE(SUBSTITUTE(TRIM('Smart Search'!$L$6),"~","~~"),"*","~*"),"?","~?"),'Project Database'!C88))),OR('Smart Search'!$L$7="",AND('Project Database'!E88&lt;&gt;"",'Project Database'!E88='Smart Search'!$L$7)),OR('Smart Search'!$L$8="",'Smart Search'!$L$8="All",TRIM('Project Database'!F88)=TRIM('Smart Search'!$L$8))),IF(BA84="","",BA84+ROW()*0.0000000001),"")</f>
        <v/>
      </c>
      <c r="BI84" s="5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>
        <f>IF('Project Database'!A88="","",N('Project Database'!AC88))</f>
        <v/>
      </c>
      <c r="BK84" s="5">
        <f>IF('Project Database'!A88="","",N('Project Database'!AD88))</f>
        <v/>
      </c>
      <c r="BL84" s="5">
        <f>IF('Project Database'!A88="","",N('Project Database'!AE88))</f>
        <v/>
      </c>
      <c r="BM84" s="5">
        <f>IF('Project Database'!A88="","",N('Project Database'!AF88))</f>
        <v/>
      </c>
      <c r="BN84" s="5">
        <f>IF('Project Database'!A88="","",N('Project Database'!AG88))</f>
        <v/>
      </c>
      <c r="BO84" s="5">
        <f>IF('Project Database'!A88="","",N('Project Database'!AH88))</f>
        <v/>
      </c>
      <c r="BP84" s="5">
        <f>IF('Project Database'!A88="","",N('Project Database'!AI88))</f>
        <v/>
      </c>
      <c r="BQ84" s="5">
        <f>IF('Project Database'!A88="","",N('Project Database'!AJ88))</f>
        <v/>
      </c>
      <c r="BR84" s="5">
        <f>IF('Project Database'!A88="","",N('Project Database'!AK88))</f>
        <v/>
      </c>
      <c r="BS84" s="5">
        <f>IF('Project Database'!A88="","",N('Project Database'!AL88))</f>
        <v/>
      </c>
      <c r="BT84" s="5">
        <f>IF('Project Database'!A88="","",N('Project Database'!AM88))</f>
        <v/>
      </c>
      <c r="BU84" s="5">
        <f>IF('Project Database'!A88="","",N('Project Database'!AN88))</f>
        <v/>
      </c>
      <c r="BV84" s="5">
        <f>IF('Project Database'!A88="","",N('Project Database'!AO88))</f>
        <v/>
      </c>
      <c r="BW84" s="5">
        <f>IF('Project Database'!A88="","",N('Project Database'!AP88))</f>
        <v/>
      </c>
      <c r="BX84" s="5">
        <f>IF(A84="","",SUM(BJ84:BW84))</f>
        <v/>
      </c>
      <c r="BY84" s="5">
        <f>IF(A84="","",IFERROR(IF(ISNUMBER(U84),U84,VALUE(SUBSTITUTE(SUBSTITUTE(SUBSTITUTE(UPPER(TRIM(U84)),"M",""),",","")," ",""))),0))</f>
        <v/>
      </c>
    </row>
    <row r="85" ht="15" customHeight="1" s="74">
      <c r="A85" s="66">
        <f>'Project Database'!A89</f>
        <v/>
      </c>
      <c r="B85" s="66">
        <f>'Project Database'!B89</f>
        <v/>
      </c>
      <c r="C85" s="66">
        <f>'Project Database'!G89</f>
        <v/>
      </c>
      <c r="D85" s="66">
        <f>'Project Database'!H89</f>
        <v/>
      </c>
      <c r="E85" s="66">
        <f>'Project Database'!I89</f>
        <v/>
      </c>
      <c r="F85" s="66">
        <f>'Project Database'!J89</f>
        <v/>
      </c>
      <c r="G85" s="66">
        <f>'Project Database'!K89</f>
        <v/>
      </c>
      <c r="H85" s="66">
        <f>'Project Database'!L89</f>
        <v/>
      </c>
      <c r="I85" s="66">
        <f>'Project Database'!M89</f>
        <v/>
      </c>
      <c r="J85" s="66">
        <f>'Project Database'!N89</f>
        <v/>
      </c>
      <c r="K85" s="66">
        <f>'Project Database'!O89</f>
        <v/>
      </c>
      <c r="L85" s="66">
        <f>'Project Database'!P89</f>
        <v/>
      </c>
      <c r="M85" s="66">
        <f>'Project Database'!Q89</f>
        <v/>
      </c>
      <c r="N85" s="66">
        <f>'Project Database'!R89</f>
        <v/>
      </c>
      <c r="O85" s="66">
        <f>'Project Database'!S89</f>
        <v/>
      </c>
      <c r="P85" s="66">
        <f>'Project Database'!T89</f>
        <v/>
      </c>
      <c r="Q85" s="66">
        <f>'Project Database'!U89</f>
        <v/>
      </c>
      <c r="R85" s="66">
        <f>'Project Database'!V89</f>
        <v/>
      </c>
      <c r="S85" s="66">
        <f>'Project Database'!W89</f>
        <v/>
      </c>
      <c r="T85" s="66">
        <f>'Project Database'!X89</f>
        <v/>
      </c>
      <c r="U85" s="67">
        <f>'Project Database'!Y89</f>
        <v/>
      </c>
      <c r="V85" s="66">
        <f>IF('Smart Search'!B13=1,IFERROR(1/'Smart Search'!H13,0),0)</f>
        <v/>
      </c>
      <c r="W85" s="66">
        <f>IF('Smart Search'!B13=1,IFERROR(1/'Smart Search'!H13,0),0)</f>
        <v/>
      </c>
      <c r="X85" s="66">
        <f>IF('Smart Search'!C13=1,IFERROR(1/'Smart Search'!H13,0),0)</f>
        <v/>
      </c>
      <c r="Y85" s="66">
        <f>IF('Smart Search'!C13=1,IFERROR(1/'Smart Search'!H13,0),0)</f>
        <v/>
      </c>
      <c r="Z85" s="66">
        <f>IF('Smart Search'!D13=1,IFERROR(1/'Smart Search'!H13,0),0)</f>
        <v/>
      </c>
      <c r="AA85" s="66">
        <f>IF('Smart Search'!D13=1,IFERROR(1/'Smart Search'!H13,0),0)</f>
        <v/>
      </c>
      <c r="AB85" s="66">
        <f>IF('Smart Search'!E13=1,IFERROR(1/'Smart Search'!H13,0),0)</f>
        <v/>
      </c>
      <c r="AC85" s="66">
        <f>IF('Smart Search'!E13=1,IFERROR(1/'Smart Search'!H13,0),0)</f>
        <v/>
      </c>
      <c r="AD85" s="66">
        <f>IF('Smart Search'!F13=1,IFERROR(1/'Smart Search'!H13,0),0)</f>
        <v/>
      </c>
      <c r="AE85" s="66">
        <f>IF('Smart Search'!F13=1,IFERROR(1/'Smart Search'!H13,0),0)</f>
        <v/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66">
        <f>AF85*V85</f>
        <v/>
      </c>
      <c r="AQ85" s="66">
        <f>AG85*W85</f>
        <v/>
      </c>
      <c r="AR85" s="66">
        <f>AH85*X85</f>
        <v/>
      </c>
      <c r="AS85" s="66">
        <f>AI85*Y85</f>
        <v/>
      </c>
      <c r="AT85" s="66">
        <f>AJ85*Z85</f>
        <v/>
      </c>
      <c r="AU85" s="66">
        <f>AK85*AA85</f>
        <v/>
      </c>
      <c r="AV85" s="66">
        <f>AL85*AB85</f>
        <v/>
      </c>
      <c r="AW85" s="66">
        <f>AM85*AC85</f>
        <v/>
      </c>
      <c r="AX85" s="66">
        <f>AN85*AD85</f>
        <v/>
      </c>
      <c r="AY85" s="66">
        <f>AO85*AE85</f>
        <v/>
      </c>
      <c r="AZ85" s="66">
        <f>'Project Database'!Z89</f>
        <v/>
      </c>
      <c r="BA85" s="66">
        <f>IF(OR(A85="",'Smart Search'!H13=0),"",MAX(0,BE85*BF85*MAX(0,1-BG85)))</f>
        <v/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66">
        <f>IF('Smart Search'!G13=1,IFERROR(1/'Smart Search'!H13,0),0)</f>
        <v/>
      </c>
      <c r="BD85" s="66">
        <f>BB85*BC85</f>
        <v/>
      </c>
      <c r="BE85" s="66">
        <f>AP85+AQ85+AR85+AS85+AT85+AU85+AV85+AW85+AX85+AY85+BD85</f>
        <v/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5">
        <f>IF(AND('Project Database'!A89&lt;&gt;"",OR('Smart Search'!$L$5="",'Smart Search'!$L$5="All",TRIM('Project Database'!D89)=TRIM('Smart Search'!$L$5)),OR(TRIM('Smart Search'!$L$6)="",TRIM('Smart Search'!$L$6)="All",ISNUMBER(SEARCH(SUBSTITUTE(SUBSTITUTE(SUBSTITUTE(TRIM('Smart Search'!$L$6),"~","~~"),"*","~*"),"?","~?"),'Project Database'!C89))),OR('Smart Search'!$L$7="",AND('Project Database'!E89&lt;&gt;"",'Project Database'!E89='Smart Search'!$L$7)),OR('Smart Search'!$L$8="",'Smart Search'!$L$8="All",TRIM('Project Database'!F89)=TRIM('Smart Search'!$L$8))),IF(BA85="","",BA85+ROW()*0.0000000001),"")</f>
        <v/>
      </c>
      <c r="BI85" s="5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>
        <f>IF('Project Database'!A89="","",N('Project Database'!AC89))</f>
        <v/>
      </c>
      <c r="BK85" s="5">
        <f>IF('Project Database'!A89="","",N('Project Database'!AD89))</f>
        <v/>
      </c>
      <c r="BL85" s="5">
        <f>IF('Project Database'!A89="","",N('Project Database'!AE89))</f>
        <v/>
      </c>
      <c r="BM85" s="5">
        <f>IF('Project Database'!A89="","",N('Project Database'!AF89))</f>
        <v/>
      </c>
      <c r="BN85" s="5">
        <f>IF('Project Database'!A89="","",N('Project Database'!AG89))</f>
        <v/>
      </c>
      <c r="BO85" s="5">
        <f>IF('Project Database'!A89="","",N('Project Database'!AH89))</f>
        <v/>
      </c>
      <c r="BP85" s="5">
        <f>IF('Project Database'!A89="","",N('Project Database'!AI89))</f>
        <v/>
      </c>
      <c r="BQ85" s="5">
        <f>IF('Project Database'!A89="","",N('Project Database'!AJ89))</f>
        <v/>
      </c>
      <c r="BR85" s="5">
        <f>IF('Project Database'!A89="","",N('Project Database'!AK89))</f>
        <v/>
      </c>
      <c r="BS85" s="5">
        <f>IF('Project Database'!A89="","",N('Project Database'!AL89))</f>
        <v/>
      </c>
      <c r="BT85" s="5">
        <f>IF('Project Database'!A89="","",N('Project Database'!AM89))</f>
        <v/>
      </c>
      <c r="BU85" s="5">
        <f>IF('Project Database'!A89="","",N('Project Database'!AN89))</f>
        <v/>
      </c>
      <c r="BV85" s="5">
        <f>IF('Project Database'!A89="","",N('Project Database'!AO89))</f>
        <v/>
      </c>
      <c r="BW85" s="5">
        <f>IF('Project Database'!A89="","",N('Project Database'!AP89))</f>
        <v/>
      </c>
      <c r="BX85" s="5">
        <f>IF(A85="","",SUM(BJ85:BW85))</f>
        <v/>
      </c>
      <c r="BY85" s="5">
        <f>IF(A85="","",IFERROR(IF(ISNUMBER(U85),U85,VALUE(SUBSTITUTE(SUBSTITUTE(SUBSTITUTE(UPPER(TRIM(U85)),"M",""),",","")," ",""))),0))</f>
        <v/>
      </c>
    </row>
    <row r="86" ht="15" customHeight="1" s="74">
      <c r="A86" s="66">
        <f>'Project Database'!A90</f>
        <v/>
      </c>
      <c r="B86" s="66">
        <f>'Project Database'!B90</f>
        <v/>
      </c>
      <c r="C86" s="66">
        <f>'Project Database'!G90</f>
        <v/>
      </c>
      <c r="D86" s="66">
        <f>'Project Database'!H90</f>
        <v/>
      </c>
      <c r="E86" s="66">
        <f>'Project Database'!I90</f>
        <v/>
      </c>
      <c r="F86" s="66">
        <f>'Project Database'!J90</f>
        <v/>
      </c>
      <c r="G86" s="66">
        <f>'Project Database'!K90</f>
        <v/>
      </c>
      <c r="H86" s="66">
        <f>'Project Database'!L90</f>
        <v/>
      </c>
      <c r="I86" s="66">
        <f>'Project Database'!M90</f>
        <v/>
      </c>
      <c r="J86" s="66">
        <f>'Project Database'!N90</f>
        <v/>
      </c>
      <c r="K86" s="66">
        <f>'Project Database'!O90</f>
        <v/>
      </c>
      <c r="L86" s="66">
        <f>'Project Database'!P90</f>
        <v/>
      </c>
      <c r="M86" s="66">
        <f>'Project Database'!Q90</f>
        <v/>
      </c>
      <c r="N86" s="66">
        <f>'Project Database'!R90</f>
        <v/>
      </c>
      <c r="O86" s="66">
        <f>'Project Database'!S90</f>
        <v/>
      </c>
      <c r="P86" s="66">
        <f>'Project Database'!T90</f>
        <v/>
      </c>
      <c r="Q86" s="66">
        <f>'Project Database'!U90</f>
        <v/>
      </c>
      <c r="R86" s="66">
        <f>'Project Database'!V90</f>
        <v/>
      </c>
      <c r="S86" s="66">
        <f>'Project Database'!W90</f>
        <v/>
      </c>
      <c r="T86" s="66">
        <f>'Project Database'!X90</f>
        <v/>
      </c>
      <c r="U86" s="67">
        <f>'Project Database'!Y90</f>
        <v/>
      </c>
      <c r="V86" s="66">
        <f>IF('Smart Search'!B13=1,IFERROR(1/'Smart Search'!H13,0),0)</f>
        <v/>
      </c>
      <c r="W86" s="66">
        <f>IF('Smart Search'!B13=1,IFERROR(1/'Smart Search'!H13,0),0)</f>
        <v/>
      </c>
      <c r="X86" s="66">
        <f>IF('Smart Search'!C13=1,IFERROR(1/'Smart Search'!H13,0),0)</f>
        <v/>
      </c>
      <c r="Y86" s="66">
        <f>IF('Smart Search'!C13=1,IFERROR(1/'Smart Search'!H13,0),0)</f>
        <v/>
      </c>
      <c r="Z86" s="66">
        <f>IF('Smart Search'!D13=1,IFERROR(1/'Smart Search'!H13,0),0)</f>
        <v/>
      </c>
      <c r="AA86" s="66">
        <f>IF('Smart Search'!D13=1,IFERROR(1/'Smart Search'!H13,0),0)</f>
        <v/>
      </c>
      <c r="AB86" s="66">
        <f>IF('Smart Search'!E13=1,IFERROR(1/'Smart Search'!H13,0),0)</f>
        <v/>
      </c>
      <c r="AC86" s="66">
        <f>IF('Smart Search'!E13=1,IFERROR(1/'Smart Search'!H13,0),0)</f>
        <v/>
      </c>
      <c r="AD86" s="66">
        <f>IF('Smart Search'!F13=1,IFERROR(1/'Smart Search'!H13,0),0)</f>
        <v/>
      </c>
      <c r="AE86" s="66">
        <f>IF('Smart Search'!F13=1,IFERROR(1/'Smart Search'!H13,0),0)</f>
        <v/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66">
        <f>AF86*V86</f>
        <v/>
      </c>
      <c r="AQ86" s="66">
        <f>AG86*W86</f>
        <v/>
      </c>
      <c r="AR86" s="66">
        <f>AH86*X86</f>
        <v/>
      </c>
      <c r="AS86" s="66">
        <f>AI86*Y86</f>
        <v/>
      </c>
      <c r="AT86" s="66">
        <f>AJ86*Z86</f>
        <v/>
      </c>
      <c r="AU86" s="66">
        <f>AK86*AA86</f>
        <v/>
      </c>
      <c r="AV86" s="66">
        <f>AL86*AB86</f>
        <v/>
      </c>
      <c r="AW86" s="66">
        <f>AM86*AC86</f>
        <v/>
      </c>
      <c r="AX86" s="66">
        <f>AN86*AD86</f>
        <v/>
      </c>
      <c r="AY86" s="66">
        <f>AO86*AE86</f>
        <v/>
      </c>
      <c r="AZ86" s="66">
        <f>'Project Database'!Z90</f>
        <v/>
      </c>
      <c r="BA86" s="66">
        <f>IF(OR(A86="",'Smart Search'!H13=0),"",MAX(0,BE86*BF86*MAX(0,1-BG86)))</f>
        <v/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66">
        <f>IF('Smart Search'!G13=1,IFERROR(1/'Smart Search'!H13,0),0)</f>
        <v/>
      </c>
      <c r="BD86" s="66">
        <f>BB86*BC86</f>
        <v/>
      </c>
      <c r="BE86" s="66">
        <f>AP86+AQ86+AR86+AS86+AT86+AU86+AV86+AW86+AX86+AY86+BD86</f>
        <v/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5">
        <f>IF(AND('Project Database'!A90&lt;&gt;"",OR('Smart Search'!$L$5="",'Smart Search'!$L$5="All",TRIM('Project Database'!D90)=TRIM('Smart Search'!$L$5)),OR(TRIM('Smart Search'!$L$6)="",TRIM('Smart Search'!$L$6)="All",ISNUMBER(SEARCH(SUBSTITUTE(SUBSTITUTE(SUBSTITUTE(TRIM('Smart Search'!$L$6),"~","~~"),"*","~*"),"?","~?"),'Project Database'!C90))),OR('Smart Search'!$L$7="",AND('Project Database'!E90&lt;&gt;"",'Project Database'!E90='Smart Search'!$L$7)),OR('Smart Search'!$L$8="",'Smart Search'!$L$8="All",TRIM('Project Database'!F90)=TRIM('Smart Search'!$L$8))),IF(BA86="","",BA86+ROW()*0.0000000001),"")</f>
        <v/>
      </c>
      <c r="BI86" s="5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>
        <f>IF('Project Database'!A90="","",N('Project Database'!AC90))</f>
        <v/>
      </c>
      <c r="BK86" s="5">
        <f>IF('Project Database'!A90="","",N('Project Database'!AD90))</f>
        <v/>
      </c>
      <c r="BL86" s="5">
        <f>IF('Project Database'!A90="","",N('Project Database'!AE90))</f>
        <v/>
      </c>
      <c r="BM86" s="5">
        <f>IF('Project Database'!A90="","",N('Project Database'!AF90))</f>
        <v/>
      </c>
      <c r="BN86" s="5">
        <f>IF('Project Database'!A90="","",N('Project Database'!AG90))</f>
        <v/>
      </c>
      <c r="BO86" s="5">
        <f>IF('Project Database'!A90="","",N('Project Database'!AH90))</f>
        <v/>
      </c>
      <c r="BP86" s="5">
        <f>IF('Project Database'!A90="","",N('Project Database'!AI90))</f>
        <v/>
      </c>
      <c r="BQ86" s="5">
        <f>IF('Project Database'!A90="","",N('Project Database'!AJ90))</f>
        <v/>
      </c>
      <c r="BR86" s="5">
        <f>IF('Project Database'!A90="","",N('Project Database'!AK90))</f>
        <v/>
      </c>
      <c r="BS86" s="5">
        <f>IF('Project Database'!A90="","",N('Project Database'!AL90))</f>
        <v/>
      </c>
      <c r="BT86" s="5">
        <f>IF('Project Database'!A90="","",N('Project Database'!AM90))</f>
        <v/>
      </c>
      <c r="BU86" s="5">
        <f>IF('Project Database'!A90="","",N('Project Database'!AN90))</f>
        <v/>
      </c>
      <c r="BV86" s="5">
        <f>IF('Project Database'!A90="","",N('Project Database'!AO90))</f>
        <v/>
      </c>
      <c r="BW86" s="5">
        <f>IF('Project Database'!A90="","",N('Project Database'!AP90))</f>
        <v/>
      </c>
      <c r="BX86" s="5">
        <f>IF(A86="","",SUM(BJ86:BW86))</f>
        <v/>
      </c>
      <c r="BY86" s="5">
        <f>IF(A86="","",IFERROR(IF(ISNUMBER(U86),U86,VALUE(SUBSTITUTE(SUBSTITUTE(SUBSTITUTE(UPPER(TRIM(U86)),"M",""),",","")," ",""))),0))</f>
        <v/>
      </c>
    </row>
    <row r="87" ht="15" customHeight="1" s="74">
      <c r="A87" s="66">
        <f>'Project Database'!A91</f>
        <v/>
      </c>
      <c r="B87" s="66">
        <f>'Project Database'!B91</f>
        <v/>
      </c>
      <c r="C87" s="66">
        <f>'Project Database'!G91</f>
        <v/>
      </c>
      <c r="D87" s="66">
        <f>'Project Database'!H91</f>
        <v/>
      </c>
      <c r="E87" s="66">
        <f>'Project Database'!I91</f>
        <v/>
      </c>
      <c r="F87" s="66">
        <f>'Project Database'!J91</f>
        <v/>
      </c>
      <c r="G87" s="66">
        <f>'Project Database'!K91</f>
        <v/>
      </c>
      <c r="H87" s="66">
        <f>'Project Database'!L91</f>
        <v/>
      </c>
      <c r="I87" s="66">
        <f>'Project Database'!M91</f>
        <v/>
      </c>
      <c r="J87" s="66">
        <f>'Project Database'!N91</f>
        <v/>
      </c>
      <c r="K87" s="66">
        <f>'Project Database'!O91</f>
        <v/>
      </c>
      <c r="L87" s="66">
        <f>'Project Database'!P91</f>
        <v/>
      </c>
      <c r="M87" s="66">
        <f>'Project Database'!Q91</f>
        <v/>
      </c>
      <c r="N87" s="66">
        <f>'Project Database'!R91</f>
        <v/>
      </c>
      <c r="O87" s="66">
        <f>'Project Database'!S91</f>
        <v/>
      </c>
      <c r="P87" s="66">
        <f>'Project Database'!T91</f>
        <v/>
      </c>
      <c r="Q87" s="66">
        <f>'Project Database'!U91</f>
        <v/>
      </c>
      <c r="R87" s="66">
        <f>'Project Database'!V91</f>
        <v/>
      </c>
      <c r="S87" s="66">
        <f>'Project Database'!W91</f>
        <v/>
      </c>
      <c r="T87" s="66">
        <f>'Project Database'!X91</f>
        <v/>
      </c>
      <c r="U87" s="67">
        <f>'Project Database'!Y91</f>
        <v/>
      </c>
      <c r="V87" s="66">
        <f>IF('Smart Search'!B13=1,IFERROR(1/'Smart Search'!H13,0),0)</f>
        <v/>
      </c>
      <c r="W87" s="66">
        <f>IF('Smart Search'!B13=1,IFERROR(1/'Smart Search'!H13,0),0)</f>
        <v/>
      </c>
      <c r="X87" s="66">
        <f>IF('Smart Search'!C13=1,IFERROR(1/'Smart Search'!H13,0),0)</f>
        <v/>
      </c>
      <c r="Y87" s="66">
        <f>IF('Smart Search'!C13=1,IFERROR(1/'Smart Search'!H13,0),0)</f>
        <v/>
      </c>
      <c r="Z87" s="66">
        <f>IF('Smart Search'!D13=1,IFERROR(1/'Smart Search'!H13,0),0)</f>
        <v/>
      </c>
      <c r="AA87" s="66">
        <f>IF('Smart Search'!D13=1,IFERROR(1/'Smart Search'!H13,0),0)</f>
        <v/>
      </c>
      <c r="AB87" s="66">
        <f>IF('Smart Search'!E13=1,IFERROR(1/'Smart Search'!H13,0),0)</f>
        <v/>
      </c>
      <c r="AC87" s="66">
        <f>IF('Smart Search'!E13=1,IFERROR(1/'Smart Search'!H13,0),0)</f>
        <v/>
      </c>
      <c r="AD87" s="66">
        <f>IF('Smart Search'!F13=1,IFERROR(1/'Smart Search'!H13,0),0)</f>
        <v/>
      </c>
      <c r="AE87" s="66">
        <f>IF('Smart Search'!F13=1,IFERROR(1/'Smart Search'!H13,0),0)</f>
        <v/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66">
        <f>AF87*V87</f>
        <v/>
      </c>
      <c r="AQ87" s="66">
        <f>AG87*W87</f>
        <v/>
      </c>
      <c r="AR87" s="66">
        <f>AH87*X87</f>
        <v/>
      </c>
      <c r="AS87" s="66">
        <f>AI87*Y87</f>
        <v/>
      </c>
      <c r="AT87" s="66">
        <f>AJ87*Z87</f>
        <v/>
      </c>
      <c r="AU87" s="66">
        <f>AK87*AA87</f>
        <v/>
      </c>
      <c r="AV87" s="66">
        <f>AL87*AB87</f>
        <v/>
      </c>
      <c r="AW87" s="66">
        <f>AM87*AC87</f>
        <v/>
      </c>
      <c r="AX87" s="66">
        <f>AN87*AD87</f>
        <v/>
      </c>
      <c r="AY87" s="66">
        <f>AO87*AE87</f>
        <v/>
      </c>
      <c r="AZ87" s="66">
        <f>'Project Database'!Z91</f>
        <v/>
      </c>
      <c r="BA87" s="66">
        <f>IF(OR(A87="",'Smart Search'!H13=0),"",MAX(0,BE87*BF87*MAX(0,1-BG87)))</f>
        <v/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66">
        <f>IF('Smart Search'!G13=1,IFERROR(1/'Smart Search'!H13,0),0)</f>
        <v/>
      </c>
      <c r="BD87" s="66">
        <f>BB87*BC87</f>
        <v/>
      </c>
      <c r="BE87" s="66">
        <f>AP87+AQ87+AR87+AS87+AT87+AU87+AV87+AW87+AX87+AY87+BD87</f>
        <v/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5">
        <f>IF(AND('Project Database'!A91&lt;&gt;"",OR('Smart Search'!$L$5="",'Smart Search'!$L$5="All",TRIM('Project Database'!D91)=TRIM('Smart Search'!$L$5)),OR(TRIM('Smart Search'!$L$6)="",TRIM('Smart Search'!$L$6)="All",ISNUMBER(SEARCH(SUBSTITUTE(SUBSTITUTE(SUBSTITUTE(TRIM('Smart Search'!$L$6),"~","~~"),"*","~*"),"?","~?"),'Project Database'!C91))),OR('Smart Search'!$L$7="",AND('Project Database'!E91&lt;&gt;"",'Project Database'!E91='Smart Search'!$L$7)),OR('Smart Search'!$L$8="",'Smart Search'!$L$8="All",TRIM('Project Database'!F91)=TRIM('Smart Search'!$L$8))),IF(BA87="","",BA87+ROW()*0.0000000001),"")</f>
        <v/>
      </c>
      <c r="BI87" s="5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>
        <f>IF('Project Database'!A91="","",N('Project Database'!AC91))</f>
        <v/>
      </c>
      <c r="BK87" s="5">
        <f>IF('Project Database'!A91="","",N('Project Database'!AD91))</f>
        <v/>
      </c>
      <c r="BL87" s="5">
        <f>IF('Project Database'!A91="","",N('Project Database'!AE91))</f>
        <v/>
      </c>
      <c r="BM87" s="5">
        <f>IF('Project Database'!A91="","",N('Project Database'!AF91))</f>
        <v/>
      </c>
      <c r="BN87" s="5">
        <f>IF('Project Database'!A91="","",N('Project Database'!AG91))</f>
        <v/>
      </c>
      <c r="BO87" s="5">
        <f>IF('Project Database'!A91="","",N('Project Database'!AH91))</f>
        <v/>
      </c>
      <c r="BP87" s="5">
        <f>IF('Project Database'!A91="","",N('Project Database'!AI91))</f>
        <v/>
      </c>
      <c r="BQ87" s="5">
        <f>IF('Project Database'!A91="","",N('Project Database'!AJ91))</f>
        <v/>
      </c>
      <c r="BR87" s="5">
        <f>IF('Project Database'!A91="","",N('Project Database'!AK91))</f>
        <v/>
      </c>
      <c r="BS87" s="5">
        <f>IF('Project Database'!A91="","",N('Project Database'!AL91))</f>
        <v/>
      </c>
      <c r="BT87" s="5">
        <f>IF('Project Database'!A91="","",N('Project Database'!AM91))</f>
        <v/>
      </c>
      <c r="BU87" s="5">
        <f>IF('Project Database'!A91="","",N('Project Database'!AN91))</f>
        <v/>
      </c>
      <c r="BV87" s="5">
        <f>IF('Project Database'!A91="","",N('Project Database'!AO91))</f>
        <v/>
      </c>
      <c r="BW87" s="5">
        <f>IF('Project Database'!A91="","",N('Project Database'!AP91))</f>
        <v/>
      </c>
      <c r="BX87" s="5">
        <f>IF(A87="","",SUM(BJ87:BW87))</f>
        <v/>
      </c>
      <c r="BY87" s="5">
        <f>IF(A87="","",IFERROR(IF(ISNUMBER(U87),U87,VALUE(SUBSTITUTE(SUBSTITUTE(SUBSTITUTE(UPPER(TRIM(U87)),"M",""),",","")," ",""))),0))</f>
        <v/>
      </c>
    </row>
    <row r="88" ht="15" customHeight="1" s="74">
      <c r="A88" s="66">
        <f>'Project Database'!A92</f>
        <v/>
      </c>
      <c r="B88" s="66">
        <f>'Project Database'!B92</f>
        <v/>
      </c>
      <c r="C88" s="66">
        <f>'Project Database'!G92</f>
        <v/>
      </c>
      <c r="D88" s="66">
        <f>'Project Database'!H92</f>
        <v/>
      </c>
      <c r="E88" s="66">
        <f>'Project Database'!I92</f>
        <v/>
      </c>
      <c r="F88" s="66">
        <f>'Project Database'!J92</f>
        <v/>
      </c>
      <c r="G88" s="66">
        <f>'Project Database'!K92</f>
        <v/>
      </c>
      <c r="H88" s="66">
        <f>'Project Database'!L92</f>
        <v/>
      </c>
      <c r="I88" s="66">
        <f>'Project Database'!M92</f>
        <v/>
      </c>
      <c r="J88" s="66">
        <f>'Project Database'!N92</f>
        <v/>
      </c>
      <c r="K88" s="66">
        <f>'Project Database'!O92</f>
        <v/>
      </c>
      <c r="L88" s="66">
        <f>'Project Database'!P92</f>
        <v/>
      </c>
      <c r="M88" s="66">
        <f>'Project Database'!Q92</f>
        <v/>
      </c>
      <c r="N88" s="66">
        <f>'Project Database'!R92</f>
        <v/>
      </c>
      <c r="O88" s="66">
        <f>'Project Database'!S92</f>
        <v/>
      </c>
      <c r="P88" s="66">
        <f>'Project Database'!T92</f>
        <v/>
      </c>
      <c r="Q88" s="66">
        <f>'Project Database'!U92</f>
        <v/>
      </c>
      <c r="R88" s="66">
        <f>'Project Database'!V92</f>
        <v/>
      </c>
      <c r="S88" s="66">
        <f>'Project Database'!W92</f>
        <v/>
      </c>
      <c r="T88" s="66">
        <f>'Project Database'!X92</f>
        <v/>
      </c>
      <c r="U88" s="67">
        <f>'Project Database'!Y92</f>
        <v/>
      </c>
      <c r="V88" s="66">
        <f>IF('Smart Search'!B13=1,IFERROR(1/'Smart Search'!H13,0),0)</f>
        <v/>
      </c>
      <c r="W88" s="66">
        <f>IF('Smart Search'!B13=1,IFERROR(1/'Smart Search'!H13,0),0)</f>
        <v/>
      </c>
      <c r="X88" s="66">
        <f>IF('Smart Search'!C13=1,IFERROR(1/'Smart Search'!H13,0),0)</f>
        <v/>
      </c>
      <c r="Y88" s="66">
        <f>IF('Smart Search'!C13=1,IFERROR(1/'Smart Search'!H13,0),0)</f>
        <v/>
      </c>
      <c r="Z88" s="66">
        <f>IF('Smart Search'!D13=1,IFERROR(1/'Smart Search'!H13,0),0)</f>
        <v/>
      </c>
      <c r="AA88" s="66">
        <f>IF('Smart Search'!D13=1,IFERROR(1/'Smart Search'!H13,0),0)</f>
        <v/>
      </c>
      <c r="AB88" s="66">
        <f>IF('Smart Search'!E13=1,IFERROR(1/'Smart Search'!H13,0),0)</f>
        <v/>
      </c>
      <c r="AC88" s="66">
        <f>IF('Smart Search'!E13=1,IFERROR(1/'Smart Search'!H13,0),0)</f>
        <v/>
      </c>
      <c r="AD88" s="66">
        <f>IF('Smart Search'!F13=1,IFERROR(1/'Smart Search'!H13,0),0)</f>
        <v/>
      </c>
      <c r="AE88" s="66">
        <f>IF('Smart Search'!F13=1,IFERROR(1/'Smart Search'!H13,0),0)</f>
        <v/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66">
        <f>AF88*V88</f>
        <v/>
      </c>
      <c r="AQ88" s="66">
        <f>AG88*W88</f>
        <v/>
      </c>
      <c r="AR88" s="66">
        <f>AH88*X88</f>
        <v/>
      </c>
      <c r="AS88" s="66">
        <f>AI88*Y88</f>
        <v/>
      </c>
      <c r="AT88" s="66">
        <f>AJ88*Z88</f>
        <v/>
      </c>
      <c r="AU88" s="66">
        <f>AK88*AA88</f>
        <v/>
      </c>
      <c r="AV88" s="66">
        <f>AL88*AB88</f>
        <v/>
      </c>
      <c r="AW88" s="66">
        <f>AM88*AC88</f>
        <v/>
      </c>
      <c r="AX88" s="66">
        <f>AN88*AD88</f>
        <v/>
      </c>
      <c r="AY88" s="66">
        <f>AO88*AE88</f>
        <v/>
      </c>
      <c r="AZ88" s="66">
        <f>'Project Database'!Z92</f>
        <v/>
      </c>
      <c r="BA88" s="66">
        <f>IF(OR(A88="",'Smart Search'!H13=0),"",MAX(0,BE88*BF88*MAX(0,1-BG88)))</f>
        <v/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66">
        <f>IF('Smart Search'!G13=1,IFERROR(1/'Smart Search'!H13,0),0)</f>
        <v/>
      </c>
      <c r="BD88" s="66">
        <f>BB88*BC88</f>
        <v/>
      </c>
      <c r="BE88" s="66">
        <f>AP88+AQ88+AR88+AS88+AT88+AU88+AV88+AW88+AX88+AY88+BD88</f>
        <v/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5">
        <f>IF(AND('Project Database'!A92&lt;&gt;"",OR('Smart Search'!$L$5="",'Smart Search'!$L$5="All",TRIM('Project Database'!D92)=TRIM('Smart Search'!$L$5)),OR(TRIM('Smart Search'!$L$6)="",TRIM('Smart Search'!$L$6)="All",ISNUMBER(SEARCH(SUBSTITUTE(SUBSTITUTE(SUBSTITUTE(TRIM('Smart Search'!$L$6),"~","~~"),"*","~*"),"?","~?"),'Project Database'!C92))),OR('Smart Search'!$L$7="",AND('Project Database'!E92&lt;&gt;"",'Project Database'!E92='Smart Search'!$L$7)),OR('Smart Search'!$L$8="",'Smart Search'!$L$8="All",TRIM('Project Database'!F92)=TRIM('Smart Search'!$L$8))),IF(BA88="","",BA88+ROW()*0.0000000001),"")</f>
        <v/>
      </c>
      <c r="BI88" s="5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>
        <f>IF('Project Database'!A92="","",N('Project Database'!AC92))</f>
        <v/>
      </c>
      <c r="BK88" s="5">
        <f>IF('Project Database'!A92="","",N('Project Database'!AD92))</f>
        <v/>
      </c>
      <c r="BL88" s="5">
        <f>IF('Project Database'!A92="","",N('Project Database'!AE92))</f>
        <v/>
      </c>
      <c r="BM88" s="5">
        <f>IF('Project Database'!A92="","",N('Project Database'!AF92))</f>
        <v/>
      </c>
      <c r="BN88" s="5">
        <f>IF('Project Database'!A92="","",N('Project Database'!AG92))</f>
        <v/>
      </c>
      <c r="BO88" s="5">
        <f>IF('Project Database'!A92="","",N('Project Database'!AH92))</f>
        <v/>
      </c>
      <c r="BP88" s="5">
        <f>IF('Project Database'!A92="","",N('Project Database'!AI92))</f>
        <v/>
      </c>
      <c r="BQ88" s="5">
        <f>IF('Project Database'!A92="","",N('Project Database'!AJ92))</f>
        <v/>
      </c>
      <c r="BR88" s="5">
        <f>IF('Project Database'!A92="","",N('Project Database'!AK92))</f>
        <v/>
      </c>
      <c r="BS88" s="5">
        <f>IF('Project Database'!A92="","",N('Project Database'!AL92))</f>
        <v/>
      </c>
      <c r="BT88" s="5">
        <f>IF('Project Database'!A92="","",N('Project Database'!AM92))</f>
        <v/>
      </c>
      <c r="BU88" s="5">
        <f>IF('Project Database'!A92="","",N('Project Database'!AN92))</f>
        <v/>
      </c>
      <c r="BV88" s="5">
        <f>IF('Project Database'!A92="","",N('Project Database'!AO92))</f>
        <v/>
      </c>
      <c r="BW88" s="5">
        <f>IF('Project Database'!A92="","",N('Project Database'!AP92))</f>
        <v/>
      </c>
      <c r="BX88" s="5">
        <f>IF(A88="","",SUM(BJ88:BW88))</f>
        <v/>
      </c>
      <c r="BY88" s="5">
        <f>IF(A88="","",IFERROR(IF(ISNUMBER(U88),U88,VALUE(SUBSTITUTE(SUBSTITUTE(SUBSTITUTE(UPPER(TRIM(U88)),"M",""),",","")," ",""))),0))</f>
        <v/>
      </c>
    </row>
    <row r="89" ht="15" customHeight="1" s="74">
      <c r="A89" s="66">
        <f>'Project Database'!A93</f>
        <v/>
      </c>
      <c r="B89" s="66">
        <f>'Project Database'!B93</f>
        <v/>
      </c>
      <c r="C89" s="66">
        <f>'Project Database'!G93</f>
        <v/>
      </c>
      <c r="D89" s="66">
        <f>'Project Database'!H93</f>
        <v/>
      </c>
      <c r="E89" s="66">
        <f>'Project Database'!I93</f>
        <v/>
      </c>
      <c r="F89" s="66">
        <f>'Project Database'!J93</f>
        <v/>
      </c>
      <c r="G89" s="66">
        <f>'Project Database'!K93</f>
        <v/>
      </c>
      <c r="H89" s="66">
        <f>'Project Database'!L93</f>
        <v/>
      </c>
      <c r="I89" s="66">
        <f>'Project Database'!M93</f>
        <v/>
      </c>
      <c r="J89" s="66">
        <f>'Project Database'!N93</f>
        <v/>
      </c>
      <c r="K89" s="66">
        <f>'Project Database'!O93</f>
        <v/>
      </c>
      <c r="L89" s="66">
        <f>'Project Database'!P93</f>
        <v/>
      </c>
      <c r="M89" s="66">
        <f>'Project Database'!Q93</f>
        <v/>
      </c>
      <c r="N89" s="66">
        <f>'Project Database'!R93</f>
        <v/>
      </c>
      <c r="O89" s="66">
        <f>'Project Database'!S93</f>
        <v/>
      </c>
      <c r="P89" s="66">
        <f>'Project Database'!T93</f>
        <v/>
      </c>
      <c r="Q89" s="66">
        <f>'Project Database'!U93</f>
        <v/>
      </c>
      <c r="R89" s="66">
        <f>'Project Database'!V93</f>
        <v/>
      </c>
      <c r="S89" s="66">
        <f>'Project Database'!W93</f>
        <v/>
      </c>
      <c r="T89" s="66">
        <f>'Project Database'!X93</f>
        <v/>
      </c>
      <c r="U89" s="67">
        <f>'Project Database'!Y93</f>
        <v/>
      </c>
      <c r="V89" s="66">
        <f>IF('Smart Search'!B13=1,IFERROR(1/'Smart Search'!H13,0),0)</f>
        <v/>
      </c>
      <c r="W89" s="66">
        <f>IF('Smart Search'!B13=1,IFERROR(1/'Smart Search'!H13,0),0)</f>
        <v/>
      </c>
      <c r="X89" s="66">
        <f>IF('Smart Search'!C13=1,IFERROR(1/'Smart Search'!H13,0),0)</f>
        <v/>
      </c>
      <c r="Y89" s="66">
        <f>IF('Smart Search'!C13=1,IFERROR(1/'Smart Search'!H13,0),0)</f>
        <v/>
      </c>
      <c r="Z89" s="66">
        <f>IF('Smart Search'!D13=1,IFERROR(1/'Smart Search'!H13,0),0)</f>
        <v/>
      </c>
      <c r="AA89" s="66">
        <f>IF('Smart Search'!D13=1,IFERROR(1/'Smart Search'!H13,0),0)</f>
        <v/>
      </c>
      <c r="AB89" s="66">
        <f>IF('Smart Search'!E13=1,IFERROR(1/'Smart Search'!H13,0),0)</f>
        <v/>
      </c>
      <c r="AC89" s="66">
        <f>IF('Smart Search'!E13=1,IFERROR(1/'Smart Search'!H13,0),0)</f>
        <v/>
      </c>
      <c r="AD89" s="66">
        <f>IF('Smart Search'!F13=1,IFERROR(1/'Smart Search'!H13,0),0)</f>
        <v/>
      </c>
      <c r="AE89" s="66">
        <f>IF('Smart Search'!F13=1,IFERROR(1/'Smart Search'!H13,0),0)</f>
        <v/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66">
        <f>AF89*V89</f>
        <v/>
      </c>
      <c r="AQ89" s="66">
        <f>AG89*W89</f>
        <v/>
      </c>
      <c r="AR89" s="66">
        <f>AH89*X89</f>
        <v/>
      </c>
      <c r="AS89" s="66">
        <f>AI89*Y89</f>
        <v/>
      </c>
      <c r="AT89" s="66">
        <f>AJ89*Z89</f>
        <v/>
      </c>
      <c r="AU89" s="66">
        <f>AK89*AA89</f>
        <v/>
      </c>
      <c r="AV89" s="66">
        <f>AL89*AB89</f>
        <v/>
      </c>
      <c r="AW89" s="66">
        <f>AM89*AC89</f>
        <v/>
      </c>
      <c r="AX89" s="66">
        <f>AN89*AD89</f>
        <v/>
      </c>
      <c r="AY89" s="66">
        <f>AO89*AE89</f>
        <v/>
      </c>
      <c r="AZ89" s="66">
        <f>'Project Database'!Z93</f>
        <v/>
      </c>
      <c r="BA89" s="66">
        <f>IF(OR(A89="",'Smart Search'!H13=0),"",MAX(0,BE89*BF89*MAX(0,1-BG89)))</f>
        <v/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66">
        <f>IF('Smart Search'!G13=1,IFERROR(1/'Smart Search'!H13,0),0)</f>
        <v/>
      </c>
      <c r="BD89" s="66">
        <f>BB89*BC89</f>
        <v/>
      </c>
      <c r="BE89" s="66">
        <f>AP89+AQ89+AR89+AS89+AT89+AU89+AV89+AW89+AX89+AY89+BD89</f>
        <v/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5">
        <f>IF(AND('Project Database'!A93&lt;&gt;"",OR('Smart Search'!$L$5="",'Smart Search'!$L$5="All",TRIM('Project Database'!D93)=TRIM('Smart Search'!$L$5)),OR(TRIM('Smart Search'!$L$6)="",TRIM('Smart Search'!$L$6)="All",ISNUMBER(SEARCH(SUBSTITUTE(SUBSTITUTE(SUBSTITUTE(TRIM('Smart Search'!$L$6),"~","~~"),"*","~*"),"?","~?"),'Project Database'!C93))),OR('Smart Search'!$L$7="",AND('Project Database'!E93&lt;&gt;"",'Project Database'!E93='Smart Search'!$L$7)),OR('Smart Search'!$L$8="",'Smart Search'!$L$8="All",TRIM('Project Database'!F93)=TRIM('Smart Search'!$L$8))),IF(BA89="","",BA89+ROW()*0.0000000001),"")</f>
        <v/>
      </c>
      <c r="BI89" s="5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>
        <f>IF('Project Database'!A93="","",N('Project Database'!AC93))</f>
        <v/>
      </c>
      <c r="BK89" s="5">
        <f>IF('Project Database'!A93="","",N('Project Database'!AD93))</f>
        <v/>
      </c>
      <c r="BL89" s="5">
        <f>IF('Project Database'!A93="","",N('Project Database'!AE93))</f>
        <v/>
      </c>
      <c r="BM89" s="5">
        <f>IF('Project Database'!A93="","",N('Project Database'!AF93))</f>
        <v/>
      </c>
      <c r="BN89" s="5">
        <f>IF('Project Database'!A93="","",N('Project Database'!AG93))</f>
        <v/>
      </c>
      <c r="BO89" s="5">
        <f>IF('Project Database'!A93="","",N('Project Database'!AH93))</f>
        <v/>
      </c>
      <c r="BP89" s="5">
        <f>IF('Project Database'!A93="","",N('Project Database'!AI93))</f>
        <v/>
      </c>
      <c r="BQ89" s="5">
        <f>IF('Project Database'!A93="","",N('Project Database'!AJ93))</f>
        <v/>
      </c>
      <c r="BR89" s="5">
        <f>IF('Project Database'!A93="","",N('Project Database'!AK93))</f>
        <v/>
      </c>
      <c r="BS89" s="5">
        <f>IF('Project Database'!A93="","",N('Project Database'!AL93))</f>
        <v/>
      </c>
      <c r="BT89" s="5">
        <f>IF('Project Database'!A93="","",N('Project Database'!AM93))</f>
        <v/>
      </c>
      <c r="BU89" s="5">
        <f>IF('Project Database'!A93="","",N('Project Database'!AN93))</f>
        <v/>
      </c>
      <c r="BV89" s="5">
        <f>IF('Project Database'!A93="","",N('Project Database'!AO93))</f>
        <v/>
      </c>
      <c r="BW89" s="5">
        <f>IF('Project Database'!A93="","",N('Project Database'!AP93))</f>
        <v/>
      </c>
      <c r="BX89" s="5">
        <f>IF(A89="","",SUM(BJ89:BW89))</f>
        <v/>
      </c>
      <c r="BY89" s="5">
        <f>IF(A89="","",IFERROR(IF(ISNUMBER(U89),U89,VALUE(SUBSTITUTE(SUBSTITUTE(SUBSTITUTE(UPPER(TRIM(U89)),"M",""),",","")," ",""))),0))</f>
        <v/>
      </c>
    </row>
    <row r="90" ht="15" customHeight="1" s="74">
      <c r="A90" s="66">
        <f>'Project Database'!A94</f>
        <v/>
      </c>
      <c r="B90" s="66">
        <f>'Project Database'!B94</f>
        <v/>
      </c>
      <c r="C90" s="66">
        <f>'Project Database'!G94</f>
        <v/>
      </c>
      <c r="D90" s="66">
        <f>'Project Database'!H94</f>
        <v/>
      </c>
      <c r="E90" s="66">
        <f>'Project Database'!I94</f>
        <v/>
      </c>
      <c r="F90" s="66">
        <f>'Project Database'!J94</f>
        <v/>
      </c>
      <c r="G90" s="66">
        <f>'Project Database'!K94</f>
        <v/>
      </c>
      <c r="H90" s="66">
        <f>'Project Database'!L94</f>
        <v/>
      </c>
      <c r="I90" s="66">
        <f>'Project Database'!M94</f>
        <v/>
      </c>
      <c r="J90" s="66">
        <f>'Project Database'!N94</f>
        <v/>
      </c>
      <c r="K90" s="66">
        <f>'Project Database'!O94</f>
        <v/>
      </c>
      <c r="L90" s="66">
        <f>'Project Database'!P94</f>
        <v/>
      </c>
      <c r="M90" s="66">
        <f>'Project Database'!Q94</f>
        <v/>
      </c>
      <c r="N90" s="66">
        <f>'Project Database'!R94</f>
        <v/>
      </c>
      <c r="O90" s="66">
        <f>'Project Database'!S94</f>
        <v/>
      </c>
      <c r="P90" s="66">
        <f>'Project Database'!T94</f>
        <v/>
      </c>
      <c r="Q90" s="66">
        <f>'Project Database'!U94</f>
        <v/>
      </c>
      <c r="R90" s="66">
        <f>'Project Database'!V94</f>
        <v/>
      </c>
      <c r="S90" s="66">
        <f>'Project Database'!W94</f>
        <v/>
      </c>
      <c r="T90" s="66">
        <f>'Project Database'!X94</f>
        <v/>
      </c>
      <c r="U90" s="67">
        <f>'Project Database'!Y94</f>
        <v/>
      </c>
      <c r="V90" s="66">
        <f>IF('Smart Search'!B13=1,IFERROR(1/'Smart Search'!H13,0),0)</f>
        <v/>
      </c>
      <c r="W90" s="66">
        <f>IF('Smart Search'!B13=1,IFERROR(1/'Smart Search'!H13,0),0)</f>
        <v/>
      </c>
      <c r="X90" s="66">
        <f>IF('Smart Search'!C13=1,IFERROR(1/'Smart Search'!H13,0),0)</f>
        <v/>
      </c>
      <c r="Y90" s="66">
        <f>IF('Smart Search'!C13=1,IFERROR(1/'Smart Search'!H13,0),0)</f>
        <v/>
      </c>
      <c r="Z90" s="66">
        <f>IF('Smart Search'!D13=1,IFERROR(1/'Smart Search'!H13,0),0)</f>
        <v/>
      </c>
      <c r="AA90" s="66">
        <f>IF('Smart Search'!D13=1,IFERROR(1/'Smart Search'!H13,0),0)</f>
        <v/>
      </c>
      <c r="AB90" s="66">
        <f>IF('Smart Search'!E13=1,IFERROR(1/'Smart Search'!H13,0),0)</f>
        <v/>
      </c>
      <c r="AC90" s="66">
        <f>IF('Smart Search'!E13=1,IFERROR(1/'Smart Search'!H13,0),0)</f>
        <v/>
      </c>
      <c r="AD90" s="66">
        <f>IF('Smart Search'!F13=1,IFERROR(1/'Smart Search'!H13,0),0)</f>
        <v/>
      </c>
      <c r="AE90" s="66">
        <f>IF('Smart Search'!F13=1,IFERROR(1/'Smart Search'!H13,0),0)</f>
        <v/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66">
        <f>AF90*V90</f>
        <v/>
      </c>
      <c r="AQ90" s="66">
        <f>AG90*W90</f>
        <v/>
      </c>
      <c r="AR90" s="66">
        <f>AH90*X90</f>
        <v/>
      </c>
      <c r="AS90" s="66">
        <f>AI90*Y90</f>
        <v/>
      </c>
      <c r="AT90" s="66">
        <f>AJ90*Z90</f>
        <v/>
      </c>
      <c r="AU90" s="66">
        <f>AK90*AA90</f>
        <v/>
      </c>
      <c r="AV90" s="66">
        <f>AL90*AB90</f>
        <v/>
      </c>
      <c r="AW90" s="66">
        <f>AM90*AC90</f>
        <v/>
      </c>
      <c r="AX90" s="66">
        <f>AN90*AD90</f>
        <v/>
      </c>
      <c r="AY90" s="66">
        <f>AO90*AE90</f>
        <v/>
      </c>
      <c r="AZ90" s="66">
        <f>'Project Database'!Z94</f>
        <v/>
      </c>
      <c r="BA90" s="66">
        <f>IF(OR(A90="",'Smart Search'!H13=0),"",MAX(0,BE90*BF90*MAX(0,1-BG90)))</f>
        <v/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66">
        <f>IF('Smart Search'!G13=1,IFERROR(1/'Smart Search'!H13,0),0)</f>
        <v/>
      </c>
      <c r="BD90" s="66">
        <f>BB90*BC90</f>
        <v/>
      </c>
      <c r="BE90" s="66">
        <f>AP90+AQ90+AR90+AS90+AT90+AU90+AV90+AW90+AX90+AY90+BD90</f>
        <v/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5">
        <f>IF(AND('Project Database'!A94&lt;&gt;"",OR('Smart Search'!$L$5="",'Smart Search'!$L$5="All",TRIM('Project Database'!D94)=TRIM('Smart Search'!$L$5)),OR(TRIM('Smart Search'!$L$6)="",TRIM('Smart Search'!$L$6)="All",ISNUMBER(SEARCH(SUBSTITUTE(SUBSTITUTE(SUBSTITUTE(TRIM('Smart Search'!$L$6),"~","~~"),"*","~*"),"?","~?"),'Project Database'!C94))),OR('Smart Search'!$L$7="",AND('Project Database'!E94&lt;&gt;"",'Project Database'!E94='Smart Search'!$L$7)),OR('Smart Search'!$L$8="",'Smart Search'!$L$8="All",TRIM('Project Database'!F94)=TRIM('Smart Search'!$L$8))),IF(BA90="","",BA90+ROW()*0.0000000001),"")</f>
        <v/>
      </c>
      <c r="BI90" s="5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>
        <f>IF('Project Database'!A94="","",N('Project Database'!AC94))</f>
        <v/>
      </c>
      <c r="BK90" s="5">
        <f>IF('Project Database'!A94="","",N('Project Database'!AD94))</f>
        <v/>
      </c>
      <c r="BL90" s="5">
        <f>IF('Project Database'!A94="","",N('Project Database'!AE94))</f>
        <v/>
      </c>
      <c r="BM90" s="5">
        <f>IF('Project Database'!A94="","",N('Project Database'!AF94))</f>
        <v/>
      </c>
      <c r="BN90" s="5">
        <f>IF('Project Database'!A94="","",N('Project Database'!AG94))</f>
        <v/>
      </c>
      <c r="BO90" s="5">
        <f>IF('Project Database'!A94="","",N('Project Database'!AH94))</f>
        <v/>
      </c>
      <c r="BP90" s="5">
        <f>IF('Project Database'!A94="","",N('Project Database'!AI94))</f>
        <v/>
      </c>
      <c r="BQ90" s="5">
        <f>IF('Project Database'!A94="","",N('Project Database'!AJ94))</f>
        <v/>
      </c>
      <c r="BR90" s="5">
        <f>IF('Project Database'!A94="","",N('Project Database'!AK94))</f>
        <v/>
      </c>
      <c r="BS90" s="5">
        <f>IF('Project Database'!A94="","",N('Project Database'!AL94))</f>
        <v/>
      </c>
      <c r="BT90" s="5">
        <f>IF('Project Database'!A94="","",N('Project Database'!AM94))</f>
        <v/>
      </c>
      <c r="BU90" s="5">
        <f>IF('Project Database'!A94="","",N('Project Database'!AN94))</f>
        <v/>
      </c>
      <c r="BV90" s="5">
        <f>IF('Project Database'!A94="","",N('Project Database'!AO94))</f>
        <v/>
      </c>
      <c r="BW90" s="5">
        <f>IF('Project Database'!A94="","",N('Project Database'!AP94))</f>
        <v/>
      </c>
      <c r="BX90" s="5">
        <f>IF(A90="","",SUM(BJ90:BW90))</f>
        <v/>
      </c>
      <c r="BY90" s="5">
        <f>IF(A90="","",IFERROR(IF(ISNUMBER(U90),U90,VALUE(SUBSTITUTE(SUBSTITUTE(SUBSTITUTE(UPPER(TRIM(U90)),"M",""),",","")," ",""))),0))</f>
        <v/>
      </c>
    </row>
    <row r="91" ht="15" customHeight="1" s="74">
      <c r="A91" s="66">
        <f>'Project Database'!A95</f>
        <v/>
      </c>
      <c r="B91" s="66">
        <f>'Project Database'!B95</f>
        <v/>
      </c>
      <c r="C91" s="66">
        <f>'Project Database'!G95</f>
        <v/>
      </c>
      <c r="D91" s="66">
        <f>'Project Database'!H95</f>
        <v/>
      </c>
      <c r="E91" s="66">
        <f>'Project Database'!I95</f>
        <v/>
      </c>
      <c r="F91" s="66">
        <f>'Project Database'!J95</f>
        <v/>
      </c>
      <c r="G91" s="66">
        <f>'Project Database'!K95</f>
        <v/>
      </c>
      <c r="H91" s="66">
        <f>'Project Database'!L95</f>
        <v/>
      </c>
      <c r="I91" s="66">
        <f>'Project Database'!M95</f>
        <v/>
      </c>
      <c r="J91" s="66">
        <f>'Project Database'!N95</f>
        <v/>
      </c>
      <c r="K91" s="66">
        <f>'Project Database'!O95</f>
        <v/>
      </c>
      <c r="L91" s="66">
        <f>'Project Database'!P95</f>
        <v/>
      </c>
      <c r="M91" s="66">
        <f>'Project Database'!Q95</f>
        <v/>
      </c>
      <c r="N91" s="66">
        <f>'Project Database'!R95</f>
        <v/>
      </c>
      <c r="O91" s="66">
        <f>'Project Database'!S95</f>
        <v/>
      </c>
      <c r="P91" s="66">
        <f>'Project Database'!T95</f>
        <v/>
      </c>
      <c r="Q91" s="66">
        <f>'Project Database'!U95</f>
        <v/>
      </c>
      <c r="R91" s="66">
        <f>'Project Database'!V95</f>
        <v/>
      </c>
      <c r="S91" s="66">
        <f>'Project Database'!W95</f>
        <v/>
      </c>
      <c r="T91" s="66">
        <f>'Project Database'!X95</f>
        <v/>
      </c>
      <c r="U91" s="67">
        <f>'Project Database'!Y95</f>
        <v/>
      </c>
      <c r="V91" s="66">
        <f>IF('Smart Search'!B13=1,IFERROR(1/'Smart Search'!H13,0),0)</f>
        <v/>
      </c>
      <c r="W91" s="66">
        <f>IF('Smart Search'!B13=1,IFERROR(1/'Smart Search'!H13,0),0)</f>
        <v/>
      </c>
      <c r="X91" s="66">
        <f>IF('Smart Search'!C13=1,IFERROR(1/'Smart Search'!H13,0),0)</f>
        <v/>
      </c>
      <c r="Y91" s="66">
        <f>IF('Smart Search'!C13=1,IFERROR(1/'Smart Search'!H13,0),0)</f>
        <v/>
      </c>
      <c r="Z91" s="66">
        <f>IF('Smart Search'!D13=1,IFERROR(1/'Smart Search'!H13,0),0)</f>
        <v/>
      </c>
      <c r="AA91" s="66">
        <f>IF('Smart Search'!D13=1,IFERROR(1/'Smart Search'!H13,0),0)</f>
        <v/>
      </c>
      <c r="AB91" s="66">
        <f>IF('Smart Search'!E13=1,IFERROR(1/'Smart Search'!H13,0),0)</f>
        <v/>
      </c>
      <c r="AC91" s="66">
        <f>IF('Smart Search'!E13=1,IFERROR(1/'Smart Search'!H13,0),0)</f>
        <v/>
      </c>
      <c r="AD91" s="66">
        <f>IF('Smart Search'!F13=1,IFERROR(1/'Smart Search'!H13,0),0)</f>
        <v/>
      </c>
      <c r="AE91" s="66">
        <f>IF('Smart Search'!F13=1,IFERROR(1/'Smart Search'!H13,0),0)</f>
        <v/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66">
        <f>AF91*V91</f>
        <v/>
      </c>
      <c r="AQ91" s="66">
        <f>AG91*W91</f>
        <v/>
      </c>
      <c r="AR91" s="66">
        <f>AH91*X91</f>
        <v/>
      </c>
      <c r="AS91" s="66">
        <f>AI91*Y91</f>
        <v/>
      </c>
      <c r="AT91" s="66">
        <f>AJ91*Z91</f>
        <v/>
      </c>
      <c r="AU91" s="66">
        <f>AK91*AA91</f>
        <v/>
      </c>
      <c r="AV91" s="66">
        <f>AL91*AB91</f>
        <v/>
      </c>
      <c r="AW91" s="66">
        <f>AM91*AC91</f>
        <v/>
      </c>
      <c r="AX91" s="66">
        <f>AN91*AD91</f>
        <v/>
      </c>
      <c r="AY91" s="66">
        <f>AO91*AE91</f>
        <v/>
      </c>
      <c r="AZ91" s="66">
        <f>'Project Database'!Z95</f>
        <v/>
      </c>
      <c r="BA91" s="66">
        <f>IF(OR(A91="",'Smart Search'!H13=0),"",MAX(0,BE91*BF91*MAX(0,1-BG91)))</f>
        <v/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66">
        <f>IF('Smart Search'!G13=1,IFERROR(1/'Smart Search'!H13,0),0)</f>
        <v/>
      </c>
      <c r="BD91" s="66">
        <f>BB91*BC91</f>
        <v/>
      </c>
      <c r="BE91" s="66">
        <f>AP91+AQ91+AR91+AS91+AT91+AU91+AV91+AW91+AX91+AY91+BD91</f>
        <v/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5">
        <f>IF(AND('Project Database'!A95&lt;&gt;"",OR('Smart Search'!$L$5="",'Smart Search'!$L$5="All",TRIM('Project Database'!D95)=TRIM('Smart Search'!$L$5)),OR(TRIM('Smart Search'!$L$6)="",TRIM('Smart Search'!$L$6)="All",ISNUMBER(SEARCH(SUBSTITUTE(SUBSTITUTE(SUBSTITUTE(TRIM('Smart Search'!$L$6),"~","~~"),"*","~*"),"?","~?"),'Project Database'!C95))),OR('Smart Search'!$L$7="",AND('Project Database'!E95&lt;&gt;"",'Project Database'!E95='Smart Search'!$L$7)),OR('Smart Search'!$L$8="",'Smart Search'!$L$8="All",TRIM('Project Database'!F95)=TRIM('Smart Search'!$L$8))),IF(BA91="","",BA91+ROW()*0.0000000001),"")</f>
        <v/>
      </c>
      <c r="BI91" s="5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>
        <f>IF('Project Database'!A95="","",N('Project Database'!AC95))</f>
        <v/>
      </c>
      <c r="BK91" s="5">
        <f>IF('Project Database'!A95="","",N('Project Database'!AD95))</f>
        <v/>
      </c>
      <c r="BL91" s="5">
        <f>IF('Project Database'!A95="","",N('Project Database'!AE95))</f>
        <v/>
      </c>
      <c r="BM91" s="5">
        <f>IF('Project Database'!A95="","",N('Project Database'!AF95))</f>
        <v/>
      </c>
      <c r="BN91" s="5">
        <f>IF('Project Database'!A95="","",N('Project Database'!AG95))</f>
        <v/>
      </c>
      <c r="BO91" s="5">
        <f>IF('Project Database'!A95="","",N('Project Database'!AH95))</f>
        <v/>
      </c>
      <c r="BP91" s="5">
        <f>IF('Project Database'!A95="","",N('Project Database'!AI95))</f>
        <v/>
      </c>
      <c r="BQ91" s="5">
        <f>IF('Project Database'!A95="","",N('Project Database'!AJ95))</f>
        <v/>
      </c>
      <c r="BR91" s="5">
        <f>IF('Project Database'!A95="","",N('Project Database'!AK95))</f>
        <v/>
      </c>
      <c r="BS91" s="5">
        <f>IF('Project Database'!A95="","",N('Project Database'!AL95))</f>
        <v/>
      </c>
      <c r="BT91" s="5">
        <f>IF('Project Database'!A95="","",N('Project Database'!AM95))</f>
        <v/>
      </c>
      <c r="BU91" s="5">
        <f>IF('Project Database'!A95="","",N('Project Database'!AN95))</f>
        <v/>
      </c>
      <c r="BV91" s="5">
        <f>IF('Project Database'!A95="","",N('Project Database'!AO95))</f>
        <v/>
      </c>
      <c r="BW91" s="5">
        <f>IF('Project Database'!A95="","",N('Project Database'!AP95))</f>
        <v/>
      </c>
      <c r="BX91" s="5">
        <f>IF(A91="","",SUM(BJ91:BW91))</f>
        <v/>
      </c>
      <c r="BY91" s="5">
        <f>IF(A91="","",IFERROR(IF(ISNUMBER(U91),U91,VALUE(SUBSTITUTE(SUBSTITUTE(SUBSTITUTE(UPPER(TRIM(U91)),"M",""),",","")," ",""))),0))</f>
        <v/>
      </c>
    </row>
    <row r="92" ht="15" customHeight="1" s="74">
      <c r="A92" s="66">
        <f>'Project Database'!A96</f>
        <v/>
      </c>
      <c r="B92" s="66">
        <f>'Project Database'!B96</f>
        <v/>
      </c>
      <c r="C92" s="66">
        <f>'Project Database'!G96</f>
        <v/>
      </c>
      <c r="D92" s="66">
        <f>'Project Database'!H96</f>
        <v/>
      </c>
      <c r="E92" s="66">
        <f>'Project Database'!I96</f>
        <v/>
      </c>
      <c r="F92" s="66">
        <f>'Project Database'!J96</f>
        <v/>
      </c>
      <c r="G92" s="66">
        <f>'Project Database'!K96</f>
        <v/>
      </c>
      <c r="H92" s="66">
        <f>'Project Database'!L96</f>
        <v/>
      </c>
      <c r="I92" s="66">
        <f>'Project Database'!M96</f>
        <v/>
      </c>
      <c r="J92" s="66">
        <f>'Project Database'!N96</f>
        <v/>
      </c>
      <c r="K92" s="66">
        <f>'Project Database'!O96</f>
        <v/>
      </c>
      <c r="L92" s="66">
        <f>'Project Database'!P96</f>
        <v/>
      </c>
      <c r="M92" s="66">
        <f>'Project Database'!Q96</f>
        <v/>
      </c>
      <c r="N92" s="66">
        <f>'Project Database'!R96</f>
        <v/>
      </c>
      <c r="O92" s="66">
        <f>'Project Database'!S96</f>
        <v/>
      </c>
      <c r="P92" s="66">
        <f>'Project Database'!T96</f>
        <v/>
      </c>
      <c r="Q92" s="66">
        <f>'Project Database'!U96</f>
        <v/>
      </c>
      <c r="R92" s="66">
        <f>'Project Database'!V96</f>
        <v/>
      </c>
      <c r="S92" s="66">
        <f>'Project Database'!W96</f>
        <v/>
      </c>
      <c r="T92" s="66">
        <f>'Project Database'!X96</f>
        <v/>
      </c>
      <c r="U92" s="67">
        <f>'Project Database'!Y96</f>
        <v/>
      </c>
      <c r="V92" s="66">
        <f>IF('Smart Search'!B13=1,IFERROR(1/'Smart Search'!H13,0),0)</f>
        <v/>
      </c>
      <c r="W92" s="66">
        <f>IF('Smart Search'!B13=1,IFERROR(1/'Smart Search'!H13,0),0)</f>
        <v/>
      </c>
      <c r="X92" s="66">
        <f>IF('Smart Search'!C13=1,IFERROR(1/'Smart Search'!H13,0),0)</f>
        <v/>
      </c>
      <c r="Y92" s="66">
        <f>IF('Smart Search'!C13=1,IFERROR(1/'Smart Search'!H13,0),0)</f>
        <v/>
      </c>
      <c r="Z92" s="66">
        <f>IF('Smart Search'!D13=1,IFERROR(1/'Smart Search'!H13,0),0)</f>
        <v/>
      </c>
      <c r="AA92" s="66">
        <f>IF('Smart Search'!D13=1,IFERROR(1/'Smart Search'!H13,0),0)</f>
        <v/>
      </c>
      <c r="AB92" s="66">
        <f>IF('Smart Search'!E13=1,IFERROR(1/'Smart Search'!H13,0),0)</f>
        <v/>
      </c>
      <c r="AC92" s="66">
        <f>IF('Smart Search'!E13=1,IFERROR(1/'Smart Search'!H13,0),0)</f>
        <v/>
      </c>
      <c r="AD92" s="66">
        <f>IF('Smart Search'!F13=1,IFERROR(1/'Smart Search'!H13,0),0)</f>
        <v/>
      </c>
      <c r="AE92" s="66">
        <f>IF('Smart Search'!F13=1,IFERROR(1/'Smart Search'!H13,0),0)</f>
        <v/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66">
        <f>AF92*V92</f>
        <v/>
      </c>
      <c r="AQ92" s="66">
        <f>AG92*W92</f>
        <v/>
      </c>
      <c r="AR92" s="66">
        <f>AH92*X92</f>
        <v/>
      </c>
      <c r="AS92" s="66">
        <f>AI92*Y92</f>
        <v/>
      </c>
      <c r="AT92" s="66">
        <f>AJ92*Z92</f>
        <v/>
      </c>
      <c r="AU92" s="66">
        <f>AK92*AA92</f>
        <v/>
      </c>
      <c r="AV92" s="66">
        <f>AL92*AB92</f>
        <v/>
      </c>
      <c r="AW92" s="66">
        <f>AM92*AC92</f>
        <v/>
      </c>
      <c r="AX92" s="66">
        <f>AN92*AD92</f>
        <v/>
      </c>
      <c r="AY92" s="66">
        <f>AO92*AE92</f>
        <v/>
      </c>
      <c r="AZ92" s="66">
        <f>'Project Database'!Z96</f>
        <v/>
      </c>
      <c r="BA92" s="66">
        <f>IF(OR(A92="",'Smart Search'!H13=0),"",MAX(0,BE92*BF92*MAX(0,1-BG92)))</f>
        <v/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66">
        <f>IF('Smart Search'!G13=1,IFERROR(1/'Smart Search'!H13,0),0)</f>
        <v/>
      </c>
      <c r="BD92" s="66">
        <f>BB92*BC92</f>
        <v/>
      </c>
      <c r="BE92" s="66">
        <f>AP92+AQ92+AR92+AS92+AT92+AU92+AV92+AW92+AX92+AY92+BD92</f>
        <v/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5">
        <f>IF(AND('Project Database'!A96&lt;&gt;"",OR('Smart Search'!$L$5="",'Smart Search'!$L$5="All",TRIM('Project Database'!D96)=TRIM('Smart Search'!$L$5)),OR(TRIM('Smart Search'!$L$6)="",TRIM('Smart Search'!$L$6)="All",ISNUMBER(SEARCH(SUBSTITUTE(SUBSTITUTE(SUBSTITUTE(TRIM('Smart Search'!$L$6),"~","~~"),"*","~*"),"?","~?"),'Project Database'!C96))),OR('Smart Search'!$L$7="",AND('Project Database'!E96&lt;&gt;"",'Project Database'!E96='Smart Search'!$L$7)),OR('Smart Search'!$L$8="",'Smart Search'!$L$8="All",TRIM('Project Database'!F96)=TRIM('Smart Search'!$L$8))),IF(BA92="","",BA92+ROW()*0.0000000001),"")</f>
        <v/>
      </c>
      <c r="BI92" s="5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>
        <f>IF('Project Database'!A96="","",N('Project Database'!AC96))</f>
        <v/>
      </c>
      <c r="BK92" s="5">
        <f>IF('Project Database'!A96="","",N('Project Database'!AD96))</f>
        <v/>
      </c>
      <c r="BL92" s="5">
        <f>IF('Project Database'!A96="","",N('Project Database'!AE96))</f>
        <v/>
      </c>
      <c r="BM92" s="5">
        <f>IF('Project Database'!A96="","",N('Project Database'!AF96))</f>
        <v/>
      </c>
      <c r="BN92" s="5">
        <f>IF('Project Database'!A96="","",N('Project Database'!AG96))</f>
        <v/>
      </c>
      <c r="BO92" s="5">
        <f>IF('Project Database'!A96="","",N('Project Database'!AH96))</f>
        <v/>
      </c>
      <c r="BP92" s="5">
        <f>IF('Project Database'!A96="","",N('Project Database'!AI96))</f>
        <v/>
      </c>
      <c r="BQ92" s="5">
        <f>IF('Project Database'!A96="","",N('Project Database'!AJ96))</f>
        <v/>
      </c>
      <c r="BR92" s="5">
        <f>IF('Project Database'!A96="","",N('Project Database'!AK96))</f>
        <v/>
      </c>
      <c r="BS92" s="5">
        <f>IF('Project Database'!A96="","",N('Project Database'!AL96))</f>
        <v/>
      </c>
      <c r="BT92" s="5">
        <f>IF('Project Database'!A96="","",N('Project Database'!AM96))</f>
        <v/>
      </c>
      <c r="BU92" s="5">
        <f>IF('Project Database'!A96="","",N('Project Database'!AN96))</f>
        <v/>
      </c>
      <c r="BV92" s="5">
        <f>IF('Project Database'!A96="","",N('Project Database'!AO96))</f>
        <v/>
      </c>
      <c r="BW92" s="5">
        <f>IF('Project Database'!A96="","",N('Project Database'!AP96))</f>
        <v/>
      </c>
      <c r="BX92" s="5">
        <f>IF(A92="","",SUM(BJ92:BW92))</f>
        <v/>
      </c>
      <c r="BY92" s="5">
        <f>IF(A92="","",IFERROR(IF(ISNUMBER(U92),U92,VALUE(SUBSTITUTE(SUBSTITUTE(SUBSTITUTE(UPPER(TRIM(U92)),"M",""),",","")," ",""))),0))</f>
        <v/>
      </c>
    </row>
    <row r="93" ht="15" customHeight="1" s="74">
      <c r="A93" s="66">
        <f>'Project Database'!A97</f>
        <v/>
      </c>
      <c r="B93" s="66">
        <f>'Project Database'!B97</f>
        <v/>
      </c>
      <c r="C93" s="66">
        <f>'Project Database'!G97</f>
        <v/>
      </c>
      <c r="D93" s="66">
        <f>'Project Database'!H97</f>
        <v/>
      </c>
      <c r="E93" s="66">
        <f>'Project Database'!I97</f>
        <v/>
      </c>
      <c r="F93" s="66">
        <f>'Project Database'!J97</f>
        <v/>
      </c>
      <c r="G93" s="66">
        <f>'Project Database'!K97</f>
        <v/>
      </c>
      <c r="H93" s="66">
        <f>'Project Database'!L97</f>
        <v/>
      </c>
      <c r="I93" s="66">
        <f>'Project Database'!M97</f>
        <v/>
      </c>
      <c r="J93" s="66">
        <f>'Project Database'!N97</f>
        <v/>
      </c>
      <c r="K93" s="66">
        <f>'Project Database'!O97</f>
        <v/>
      </c>
      <c r="L93" s="66">
        <f>'Project Database'!P97</f>
        <v/>
      </c>
      <c r="M93" s="66">
        <f>'Project Database'!Q97</f>
        <v/>
      </c>
      <c r="N93" s="66">
        <f>'Project Database'!R97</f>
        <v/>
      </c>
      <c r="O93" s="66">
        <f>'Project Database'!S97</f>
        <v/>
      </c>
      <c r="P93" s="66">
        <f>'Project Database'!T97</f>
        <v/>
      </c>
      <c r="Q93" s="66">
        <f>'Project Database'!U97</f>
        <v/>
      </c>
      <c r="R93" s="66">
        <f>'Project Database'!V97</f>
        <v/>
      </c>
      <c r="S93" s="66">
        <f>'Project Database'!W97</f>
        <v/>
      </c>
      <c r="T93" s="66">
        <f>'Project Database'!X97</f>
        <v/>
      </c>
      <c r="U93" s="67">
        <f>'Project Database'!Y97</f>
        <v/>
      </c>
      <c r="V93" s="66">
        <f>IF('Smart Search'!B13=1,IFERROR(1/'Smart Search'!H13,0),0)</f>
        <v/>
      </c>
      <c r="W93" s="66">
        <f>IF('Smart Search'!B13=1,IFERROR(1/'Smart Search'!H13,0),0)</f>
        <v/>
      </c>
      <c r="X93" s="66">
        <f>IF('Smart Search'!C13=1,IFERROR(1/'Smart Search'!H13,0),0)</f>
        <v/>
      </c>
      <c r="Y93" s="66">
        <f>IF('Smart Search'!C13=1,IFERROR(1/'Smart Search'!H13,0),0)</f>
        <v/>
      </c>
      <c r="Z93" s="66">
        <f>IF('Smart Search'!D13=1,IFERROR(1/'Smart Search'!H13,0),0)</f>
        <v/>
      </c>
      <c r="AA93" s="66">
        <f>IF('Smart Search'!D13=1,IFERROR(1/'Smart Search'!H13,0),0)</f>
        <v/>
      </c>
      <c r="AB93" s="66">
        <f>IF('Smart Search'!E13=1,IFERROR(1/'Smart Search'!H13,0),0)</f>
        <v/>
      </c>
      <c r="AC93" s="66">
        <f>IF('Smart Search'!E13=1,IFERROR(1/'Smart Search'!H13,0),0)</f>
        <v/>
      </c>
      <c r="AD93" s="66">
        <f>IF('Smart Search'!F13=1,IFERROR(1/'Smart Search'!H13,0),0)</f>
        <v/>
      </c>
      <c r="AE93" s="66">
        <f>IF('Smart Search'!F13=1,IFERROR(1/'Smart Search'!H13,0),0)</f>
        <v/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66">
        <f>AF93*V93</f>
        <v/>
      </c>
      <c r="AQ93" s="66">
        <f>AG93*W93</f>
        <v/>
      </c>
      <c r="AR93" s="66">
        <f>AH93*X93</f>
        <v/>
      </c>
      <c r="AS93" s="66">
        <f>AI93*Y93</f>
        <v/>
      </c>
      <c r="AT93" s="66">
        <f>AJ93*Z93</f>
        <v/>
      </c>
      <c r="AU93" s="66">
        <f>AK93*AA93</f>
        <v/>
      </c>
      <c r="AV93" s="66">
        <f>AL93*AB93</f>
        <v/>
      </c>
      <c r="AW93" s="66">
        <f>AM93*AC93</f>
        <v/>
      </c>
      <c r="AX93" s="66">
        <f>AN93*AD93</f>
        <v/>
      </c>
      <c r="AY93" s="66">
        <f>AO93*AE93</f>
        <v/>
      </c>
      <c r="AZ93" s="66">
        <f>'Project Database'!Z97</f>
        <v/>
      </c>
      <c r="BA93" s="66">
        <f>IF(OR(A93="",'Smart Search'!H13=0),"",MAX(0,BE93*BF93*MAX(0,1-BG93)))</f>
        <v/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66">
        <f>IF('Smart Search'!G13=1,IFERROR(1/'Smart Search'!H13,0),0)</f>
        <v/>
      </c>
      <c r="BD93" s="66">
        <f>BB93*BC93</f>
        <v/>
      </c>
      <c r="BE93" s="66">
        <f>AP93+AQ93+AR93+AS93+AT93+AU93+AV93+AW93+AX93+AY93+BD93</f>
        <v/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5">
        <f>IF(AND('Project Database'!A97&lt;&gt;"",OR('Smart Search'!$L$5="",'Smart Search'!$L$5="All",TRIM('Project Database'!D97)=TRIM('Smart Search'!$L$5)),OR(TRIM('Smart Search'!$L$6)="",TRIM('Smart Search'!$L$6)="All",ISNUMBER(SEARCH(SUBSTITUTE(SUBSTITUTE(SUBSTITUTE(TRIM('Smart Search'!$L$6),"~","~~"),"*","~*"),"?","~?"),'Project Database'!C97))),OR('Smart Search'!$L$7="",AND('Project Database'!E97&lt;&gt;"",'Project Database'!E97='Smart Search'!$L$7)),OR('Smart Search'!$L$8="",'Smart Search'!$L$8="All",TRIM('Project Database'!F97)=TRIM('Smart Search'!$L$8))),IF(BA93="","",BA93+ROW()*0.0000000001),"")</f>
        <v/>
      </c>
      <c r="BI93" s="5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>
        <f>IF('Project Database'!A97="","",N('Project Database'!AC97))</f>
        <v/>
      </c>
      <c r="BK93" s="5">
        <f>IF('Project Database'!A97="","",N('Project Database'!AD97))</f>
        <v/>
      </c>
      <c r="BL93" s="5">
        <f>IF('Project Database'!A97="","",N('Project Database'!AE97))</f>
        <v/>
      </c>
      <c r="BM93" s="5">
        <f>IF('Project Database'!A97="","",N('Project Database'!AF97))</f>
        <v/>
      </c>
      <c r="BN93" s="5">
        <f>IF('Project Database'!A97="","",N('Project Database'!AG97))</f>
        <v/>
      </c>
      <c r="BO93" s="5">
        <f>IF('Project Database'!A97="","",N('Project Database'!AH97))</f>
        <v/>
      </c>
      <c r="BP93" s="5">
        <f>IF('Project Database'!A97="","",N('Project Database'!AI97))</f>
        <v/>
      </c>
      <c r="BQ93" s="5">
        <f>IF('Project Database'!A97="","",N('Project Database'!AJ97))</f>
        <v/>
      </c>
      <c r="BR93" s="5">
        <f>IF('Project Database'!A97="","",N('Project Database'!AK97))</f>
        <v/>
      </c>
      <c r="BS93" s="5">
        <f>IF('Project Database'!A97="","",N('Project Database'!AL97))</f>
        <v/>
      </c>
      <c r="BT93" s="5">
        <f>IF('Project Database'!A97="","",N('Project Database'!AM97))</f>
        <v/>
      </c>
      <c r="BU93" s="5">
        <f>IF('Project Database'!A97="","",N('Project Database'!AN97))</f>
        <v/>
      </c>
      <c r="BV93" s="5">
        <f>IF('Project Database'!A97="","",N('Project Database'!AO97))</f>
        <v/>
      </c>
      <c r="BW93" s="5">
        <f>IF('Project Database'!A97="","",N('Project Database'!AP97))</f>
        <v/>
      </c>
      <c r="BX93" s="5">
        <f>IF(A93="","",SUM(BJ93:BW93))</f>
        <v/>
      </c>
      <c r="BY93" s="5">
        <f>IF(A93="","",IFERROR(IF(ISNUMBER(U93),U93,VALUE(SUBSTITUTE(SUBSTITUTE(SUBSTITUTE(UPPER(TRIM(U93)),"M",""),",","")," ",""))),0))</f>
        <v/>
      </c>
    </row>
    <row r="94" ht="15" customHeight="1" s="74">
      <c r="A94" s="66">
        <f>'Project Database'!A98</f>
        <v/>
      </c>
      <c r="B94" s="66">
        <f>'Project Database'!B98</f>
        <v/>
      </c>
      <c r="C94" s="66">
        <f>'Project Database'!G98</f>
        <v/>
      </c>
      <c r="D94" s="66">
        <f>'Project Database'!H98</f>
        <v/>
      </c>
      <c r="E94" s="66">
        <f>'Project Database'!I98</f>
        <v/>
      </c>
      <c r="F94" s="66">
        <f>'Project Database'!J98</f>
        <v/>
      </c>
      <c r="G94" s="66">
        <f>'Project Database'!K98</f>
        <v/>
      </c>
      <c r="H94" s="66">
        <f>'Project Database'!L98</f>
        <v/>
      </c>
      <c r="I94" s="66">
        <f>'Project Database'!M98</f>
        <v/>
      </c>
      <c r="J94" s="66">
        <f>'Project Database'!N98</f>
        <v/>
      </c>
      <c r="K94" s="66">
        <f>'Project Database'!O98</f>
        <v/>
      </c>
      <c r="L94" s="66">
        <f>'Project Database'!P98</f>
        <v/>
      </c>
      <c r="M94" s="66">
        <f>'Project Database'!Q98</f>
        <v/>
      </c>
      <c r="N94" s="66">
        <f>'Project Database'!R98</f>
        <v/>
      </c>
      <c r="O94" s="66">
        <f>'Project Database'!S98</f>
        <v/>
      </c>
      <c r="P94" s="66">
        <f>'Project Database'!T98</f>
        <v/>
      </c>
      <c r="Q94" s="66">
        <f>'Project Database'!U98</f>
        <v/>
      </c>
      <c r="R94" s="66">
        <f>'Project Database'!V98</f>
        <v/>
      </c>
      <c r="S94" s="66">
        <f>'Project Database'!W98</f>
        <v/>
      </c>
      <c r="T94" s="66">
        <f>'Project Database'!X98</f>
        <v/>
      </c>
      <c r="U94" s="67">
        <f>'Project Database'!Y98</f>
        <v/>
      </c>
      <c r="V94" s="66">
        <f>IF('Smart Search'!B13=1,IFERROR(1/'Smart Search'!H13,0),0)</f>
        <v/>
      </c>
      <c r="W94" s="66">
        <f>IF('Smart Search'!B13=1,IFERROR(1/'Smart Search'!H13,0),0)</f>
        <v/>
      </c>
      <c r="X94" s="66">
        <f>IF('Smart Search'!C13=1,IFERROR(1/'Smart Search'!H13,0),0)</f>
        <v/>
      </c>
      <c r="Y94" s="66">
        <f>IF('Smart Search'!C13=1,IFERROR(1/'Smart Search'!H13,0),0)</f>
        <v/>
      </c>
      <c r="Z94" s="66">
        <f>IF('Smart Search'!D13=1,IFERROR(1/'Smart Search'!H13,0),0)</f>
        <v/>
      </c>
      <c r="AA94" s="66">
        <f>IF('Smart Search'!D13=1,IFERROR(1/'Smart Search'!H13,0),0)</f>
        <v/>
      </c>
      <c r="AB94" s="66">
        <f>IF('Smart Search'!E13=1,IFERROR(1/'Smart Search'!H13,0),0)</f>
        <v/>
      </c>
      <c r="AC94" s="66">
        <f>IF('Smart Search'!E13=1,IFERROR(1/'Smart Search'!H13,0),0)</f>
        <v/>
      </c>
      <c r="AD94" s="66">
        <f>IF('Smart Search'!F13=1,IFERROR(1/'Smart Search'!H13,0),0)</f>
        <v/>
      </c>
      <c r="AE94" s="66">
        <f>IF('Smart Search'!F13=1,IFERROR(1/'Smart Search'!H13,0),0)</f>
        <v/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66">
        <f>AF94*V94</f>
        <v/>
      </c>
      <c r="AQ94" s="66">
        <f>AG94*W94</f>
        <v/>
      </c>
      <c r="AR94" s="66">
        <f>AH94*X94</f>
        <v/>
      </c>
      <c r="AS94" s="66">
        <f>AI94*Y94</f>
        <v/>
      </c>
      <c r="AT94" s="66">
        <f>AJ94*Z94</f>
        <v/>
      </c>
      <c r="AU94" s="66">
        <f>AK94*AA94</f>
        <v/>
      </c>
      <c r="AV94" s="66">
        <f>AL94*AB94</f>
        <v/>
      </c>
      <c r="AW94" s="66">
        <f>AM94*AC94</f>
        <v/>
      </c>
      <c r="AX94" s="66">
        <f>AN94*AD94</f>
        <v/>
      </c>
      <c r="AY94" s="66">
        <f>AO94*AE94</f>
        <v/>
      </c>
      <c r="AZ94" s="66">
        <f>'Project Database'!Z98</f>
        <v/>
      </c>
      <c r="BA94" s="66">
        <f>IF(OR(A94="",'Smart Search'!H13=0),"",MAX(0,BE94*BF94*MAX(0,1-BG94)))</f>
        <v/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66">
        <f>IF('Smart Search'!G13=1,IFERROR(1/'Smart Search'!H13,0),0)</f>
        <v/>
      </c>
      <c r="BD94" s="66">
        <f>BB94*BC94</f>
        <v/>
      </c>
      <c r="BE94" s="66">
        <f>AP94+AQ94+AR94+AS94+AT94+AU94+AV94+AW94+AX94+AY94+BD94</f>
        <v/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5">
        <f>IF(AND('Project Database'!A98&lt;&gt;"",OR('Smart Search'!$L$5="",'Smart Search'!$L$5="All",TRIM('Project Database'!D98)=TRIM('Smart Search'!$L$5)),OR(TRIM('Smart Search'!$L$6)="",TRIM('Smart Search'!$L$6)="All",ISNUMBER(SEARCH(SUBSTITUTE(SUBSTITUTE(SUBSTITUTE(TRIM('Smart Search'!$L$6),"~","~~"),"*","~*"),"?","~?"),'Project Database'!C98))),OR('Smart Search'!$L$7="",AND('Project Database'!E98&lt;&gt;"",'Project Database'!E98='Smart Search'!$L$7)),OR('Smart Search'!$L$8="",'Smart Search'!$L$8="All",TRIM('Project Database'!F98)=TRIM('Smart Search'!$L$8))),IF(BA94="","",BA94+ROW()*0.0000000001),"")</f>
        <v/>
      </c>
      <c r="BI94" s="5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>
        <f>IF('Project Database'!A98="","",N('Project Database'!AC98))</f>
        <v/>
      </c>
      <c r="BK94" s="5">
        <f>IF('Project Database'!A98="","",N('Project Database'!AD98))</f>
        <v/>
      </c>
      <c r="BL94" s="5">
        <f>IF('Project Database'!A98="","",N('Project Database'!AE98))</f>
        <v/>
      </c>
      <c r="BM94" s="5">
        <f>IF('Project Database'!A98="","",N('Project Database'!AF98))</f>
        <v/>
      </c>
      <c r="BN94" s="5">
        <f>IF('Project Database'!A98="","",N('Project Database'!AG98))</f>
        <v/>
      </c>
      <c r="BO94" s="5">
        <f>IF('Project Database'!A98="","",N('Project Database'!AH98))</f>
        <v/>
      </c>
      <c r="BP94" s="5">
        <f>IF('Project Database'!A98="","",N('Project Database'!AI98))</f>
        <v/>
      </c>
      <c r="BQ94" s="5">
        <f>IF('Project Database'!A98="","",N('Project Database'!AJ98))</f>
        <v/>
      </c>
      <c r="BR94" s="5">
        <f>IF('Project Database'!A98="","",N('Project Database'!AK98))</f>
        <v/>
      </c>
      <c r="BS94" s="5">
        <f>IF('Project Database'!A98="","",N('Project Database'!AL98))</f>
        <v/>
      </c>
      <c r="BT94" s="5">
        <f>IF('Project Database'!A98="","",N('Project Database'!AM98))</f>
        <v/>
      </c>
      <c r="BU94" s="5">
        <f>IF('Project Database'!A98="","",N('Project Database'!AN98))</f>
        <v/>
      </c>
      <c r="BV94" s="5">
        <f>IF('Project Database'!A98="","",N('Project Database'!AO98))</f>
        <v/>
      </c>
      <c r="BW94" s="5">
        <f>IF('Project Database'!A98="","",N('Project Database'!AP98))</f>
        <v/>
      </c>
      <c r="BX94" s="5">
        <f>IF(A94="","",SUM(BJ94:BW94))</f>
        <v/>
      </c>
      <c r="BY94" s="5">
        <f>IF(A94="","",IFERROR(IF(ISNUMBER(U94),U94,VALUE(SUBSTITUTE(SUBSTITUTE(SUBSTITUTE(UPPER(TRIM(U94)),"M",""),",","")," ",""))),0))</f>
        <v/>
      </c>
    </row>
    <row r="95" ht="15" customHeight="1" s="74">
      <c r="A95" s="66">
        <f>'Project Database'!A99</f>
        <v/>
      </c>
      <c r="B95" s="66">
        <f>'Project Database'!B99</f>
        <v/>
      </c>
      <c r="C95" s="66">
        <f>'Project Database'!G99</f>
        <v/>
      </c>
      <c r="D95" s="66">
        <f>'Project Database'!H99</f>
        <v/>
      </c>
      <c r="E95" s="66">
        <f>'Project Database'!I99</f>
        <v/>
      </c>
      <c r="F95" s="66">
        <f>'Project Database'!J99</f>
        <v/>
      </c>
      <c r="G95" s="66">
        <f>'Project Database'!K99</f>
        <v/>
      </c>
      <c r="H95" s="66">
        <f>'Project Database'!L99</f>
        <v/>
      </c>
      <c r="I95" s="66">
        <f>'Project Database'!M99</f>
        <v/>
      </c>
      <c r="J95" s="66">
        <f>'Project Database'!N99</f>
        <v/>
      </c>
      <c r="K95" s="66">
        <f>'Project Database'!O99</f>
        <v/>
      </c>
      <c r="L95" s="66">
        <f>'Project Database'!P99</f>
        <v/>
      </c>
      <c r="M95" s="66">
        <f>'Project Database'!Q99</f>
        <v/>
      </c>
      <c r="N95" s="66">
        <f>'Project Database'!R99</f>
        <v/>
      </c>
      <c r="O95" s="66">
        <f>'Project Database'!S99</f>
        <v/>
      </c>
      <c r="P95" s="66">
        <f>'Project Database'!T99</f>
        <v/>
      </c>
      <c r="Q95" s="66">
        <f>'Project Database'!U99</f>
        <v/>
      </c>
      <c r="R95" s="66">
        <f>'Project Database'!V99</f>
        <v/>
      </c>
      <c r="S95" s="66">
        <f>'Project Database'!W99</f>
        <v/>
      </c>
      <c r="T95" s="66">
        <f>'Project Database'!X99</f>
        <v/>
      </c>
      <c r="U95" s="67">
        <f>'Project Database'!Y99</f>
        <v/>
      </c>
      <c r="V95" s="66">
        <f>IF('Smart Search'!B13=1,IFERROR(1/'Smart Search'!H13,0),0)</f>
        <v/>
      </c>
      <c r="W95" s="66">
        <f>IF('Smart Search'!B13=1,IFERROR(1/'Smart Search'!H13,0),0)</f>
        <v/>
      </c>
      <c r="X95" s="66">
        <f>IF('Smart Search'!C13=1,IFERROR(1/'Smart Search'!H13,0),0)</f>
        <v/>
      </c>
      <c r="Y95" s="66">
        <f>IF('Smart Search'!C13=1,IFERROR(1/'Smart Search'!H13,0),0)</f>
        <v/>
      </c>
      <c r="Z95" s="66">
        <f>IF('Smart Search'!D13=1,IFERROR(1/'Smart Search'!H13,0),0)</f>
        <v/>
      </c>
      <c r="AA95" s="66">
        <f>IF('Smart Search'!D13=1,IFERROR(1/'Smart Search'!H13,0),0)</f>
        <v/>
      </c>
      <c r="AB95" s="66">
        <f>IF('Smart Search'!E13=1,IFERROR(1/'Smart Search'!H13,0),0)</f>
        <v/>
      </c>
      <c r="AC95" s="66">
        <f>IF('Smart Search'!E13=1,IFERROR(1/'Smart Search'!H13,0),0)</f>
        <v/>
      </c>
      <c r="AD95" s="66">
        <f>IF('Smart Search'!F13=1,IFERROR(1/'Smart Search'!H13,0),0)</f>
        <v/>
      </c>
      <c r="AE95" s="66">
        <f>IF('Smart Search'!F13=1,IFERROR(1/'Smart Search'!H13,0),0)</f>
        <v/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66">
        <f>AF95*V95</f>
        <v/>
      </c>
      <c r="AQ95" s="66">
        <f>AG95*W95</f>
        <v/>
      </c>
      <c r="AR95" s="66">
        <f>AH95*X95</f>
        <v/>
      </c>
      <c r="AS95" s="66">
        <f>AI95*Y95</f>
        <v/>
      </c>
      <c r="AT95" s="66">
        <f>AJ95*Z95</f>
        <v/>
      </c>
      <c r="AU95" s="66">
        <f>AK95*AA95</f>
        <v/>
      </c>
      <c r="AV95" s="66">
        <f>AL95*AB95</f>
        <v/>
      </c>
      <c r="AW95" s="66">
        <f>AM95*AC95</f>
        <v/>
      </c>
      <c r="AX95" s="66">
        <f>AN95*AD95</f>
        <v/>
      </c>
      <c r="AY95" s="66">
        <f>AO95*AE95</f>
        <v/>
      </c>
      <c r="AZ95" s="66">
        <f>'Project Database'!Z99</f>
        <v/>
      </c>
      <c r="BA95" s="66">
        <f>IF(OR(A95="",'Smart Search'!H13=0),"",MAX(0,BE95*BF95*MAX(0,1-BG95)))</f>
        <v/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66">
        <f>IF('Smart Search'!G13=1,IFERROR(1/'Smart Search'!H13,0),0)</f>
        <v/>
      </c>
      <c r="BD95" s="66">
        <f>BB95*BC95</f>
        <v/>
      </c>
      <c r="BE95" s="66">
        <f>AP95+AQ95+AR95+AS95+AT95+AU95+AV95+AW95+AX95+AY95+BD95</f>
        <v/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5">
        <f>IF(AND('Project Database'!A99&lt;&gt;"",OR('Smart Search'!$L$5="",'Smart Search'!$L$5="All",TRIM('Project Database'!D99)=TRIM('Smart Search'!$L$5)),OR(TRIM('Smart Search'!$L$6)="",TRIM('Smart Search'!$L$6)="All",ISNUMBER(SEARCH(SUBSTITUTE(SUBSTITUTE(SUBSTITUTE(TRIM('Smart Search'!$L$6),"~","~~"),"*","~*"),"?","~?"),'Project Database'!C99))),OR('Smart Search'!$L$7="",AND('Project Database'!E99&lt;&gt;"",'Project Database'!E99='Smart Search'!$L$7)),OR('Smart Search'!$L$8="",'Smart Search'!$L$8="All",TRIM('Project Database'!F99)=TRIM('Smart Search'!$L$8))),IF(BA95="","",BA95+ROW()*0.0000000001),"")</f>
        <v/>
      </c>
      <c r="BI95" s="5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>
        <f>IF('Project Database'!A99="","",N('Project Database'!AC99))</f>
        <v/>
      </c>
      <c r="BK95" s="5">
        <f>IF('Project Database'!A99="","",N('Project Database'!AD99))</f>
        <v/>
      </c>
      <c r="BL95" s="5">
        <f>IF('Project Database'!A99="","",N('Project Database'!AE99))</f>
        <v/>
      </c>
      <c r="BM95" s="5">
        <f>IF('Project Database'!A99="","",N('Project Database'!AF99))</f>
        <v/>
      </c>
      <c r="BN95" s="5">
        <f>IF('Project Database'!A99="","",N('Project Database'!AG99))</f>
        <v/>
      </c>
      <c r="BO95" s="5">
        <f>IF('Project Database'!A99="","",N('Project Database'!AH99))</f>
        <v/>
      </c>
      <c r="BP95" s="5">
        <f>IF('Project Database'!A99="","",N('Project Database'!AI99))</f>
        <v/>
      </c>
      <c r="BQ95" s="5">
        <f>IF('Project Database'!A99="","",N('Project Database'!AJ99))</f>
        <v/>
      </c>
      <c r="BR95" s="5">
        <f>IF('Project Database'!A99="","",N('Project Database'!AK99))</f>
        <v/>
      </c>
      <c r="BS95" s="5">
        <f>IF('Project Database'!A99="","",N('Project Database'!AL99))</f>
        <v/>
      </c>
      <c r="BT95" s="5">
        <f>IF('Project Database'!A99="","",N('Project Database'!AM99))</f>
        <v/>
      </c>
      <c r="BU95" s="5">
        <f>IF('Project Database'!A99="","",N('Project Database'!AN99))</f>
        <v/>
      </c>
      <c r="BV95" s="5">
        <f>IF('Project Database'!A99="","",N('Project Database'!AO99))</f>
        <v/>
      </c>
      <c r="BW95" s="5">
        <f>IF('Project Database'!A99="","",N('Project Database'!AP99))</f>
        <v/>
      </c>
      <c r="BX95" s="5">
        <f>IF(A95="","",SUM(BJ95:BW95))</f>
        <v/>
      </c>
      <c r="BY95" s="5">
        <f>IF(A95="","",IFERROR(IF(ISNUMBER(U95),U95,VALUE(SUBSTITUTE(SUBSTITUTE(SUBSTITUTE(UPPER(TRIM(U95)),"M",""),",","")," ",""))),0))</f>
        <v/>
      </c>
    </row>
    <row r="96" ht="15" customHeight="1" s="74">
      <c r="A96" s="66">
        <f>'Project Database'!A100</f>
        <v/>
      </c>
      <c r="B96" s="66">
        <f>'Project Database'!B100</f>
        <v/>
      </c>
      <c r="C96" s="66">
        <f>'Project Database'!G100</f>
        <v/>
      </c>
      <c r="D96" s="66">
        <f>'Project Database'!H100</f>
        <v/>
      </c>
      <c r="E96" s="66">
        <f>'Project Database'!I100</f>
        <v/>
      </c>
      <c r="F96" s="66">
        <f>'Project Database'!J100</f>
        <v/>
      </c>
      <c r="G96" s="66">
        <f>'Project Database'!K100</f>
        <v/>
      </c>
      <c r="H96" s="66">
        <f>'Project Database'!L100</f>
        <v/>
      </c>
      <c r="I96" s="66">
        <f>'Project Database'!M100</f>
        <v/>
      </c>
      <c r="J96" s="66">
        <f>'Project Database'!N100</f>
        <v/>
      </c>
      <c r="K96" s="66">
        <f>'Project Database'!O100</f>
        <v/>
      </c>
      <c r="L96" s="66">
        <f>'Project Database'!P100</f>
        <v/>
      </c>
      <c r="M96" s="66">
        <f>'Project Database'!Q100</f>
        <v/>
      </c>
      <c r="N96" s="66">
        <f>'Project Database'!R100</f>
        <v/>
      </c>
      <c r="O96" s="66">
        <f>'Project Database'!S100</f>
        <v/>
      </c>
      <c r="P96" s="66">
        <f>'Project Database'!T100</f>
        <v/>
      </c>
      <c r="Q96" s="66">
        <f>'Project Database'!U100</f>
        <v/>
      </c>
      <c r="R96" s="66">
        <f>'Project Database'!V100</f>
        <v/>
      </c>
      <c r="S96" s="66">
        <f>'Project Database'!W100</f>
        <v/>
      </c>
      <c r="T96" s="66">
        <f>'Project Database'!X100</f>
        <v/>
      </c>
      <c r="U96" s="67">
        <f>'Project Database'!Y100</f>
        <v/>
      </c>
      <c r="V96" s="66">
        <f>IF('Smart Search'!B13=1,IFERROR(1/'Smart Search'!H13,0),0)</f>
        <v/>
      </c>
      <c r="W96" s="66">
        <f>IF('Smart Search'!B13=1,IFERROR(1/'Smart Search'!H13,0),0)</f>
        <v/>
      </c>
      <c r="X96" s="66">
        <f>IF('Smart Search'!C13=1,IFERROR(1/'Smart Search'!H13,0),0)</f>
        <v/>
      </c>
      <c r="Y96" s="66">
        <f>IF('Smart Search'!C13=1,IFERROR(1/'Smart Search'!H13,0),0)</f>
        <v/>
      </c>
      <c r="Z96" s="66">
        <f>IF('Smart Search'!D13=1,IFERROR(1/'Smart Search'!H13,0),0)</f>
        <v/>
      </c>
      <c r="AA96" s="66">
        <f>IF('Smart Search'!D13=1,IFERROR(1/'Smart Search'!H13,0),0)</f>
        <v/>
      </c>
      <c r="AB96" s="66">
        <f>IF('Smart Search'!E13=1,IFERROR(1/'Smart Search'!H13,0),0)</f>
        <v/>
      </c>
      <c r="AC96" s="66">
        <f>IF('Smart Search'!E13=1,IFERROR(1/'Smart Search'!H13,0),0)</f>
        <v/>
      </c>
      <c r="AD96" s="66">
        <f>IF('Smart Search'!F13=1,IFERROR(1/'Smart Search'!H13,0),0)</f>
        <v/>
      </c>
      <c r="AE96" s="66">
        <f>IF('Smart Search'!F13=1,IFERROR(1/'Smart Search'!H13,0),0)</f>
        <v/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66">
        <f>AF96*V96</f>
        <v/>
      </c>
      <c r="AQ96" s="66">
        <f>AG96*W96</f>
        <v/>
      </c>
      <c r="AR96" s="66">
        <f>AH96*X96</f>
        <v/>
      </c>
      <c r="AS96" s="66">
        <f>AI96*Y96</f>
        <v/>
      </c>
      <c r="AT96" s="66">
        <f>AJ96*Z96</f>
        <v/>
      </c>
      <c r="AU96" s="66">
        <f>AK96*AA96</f>
        <v/>
      </c>
      <c r="AV96" s="66">
        <f>AL96*AB96</f>
        <v/>
      </c>
      <c r="AW96" s="66">
        <f>AM96*AC96</f>
        <v/>
      </c>
      <c r="AX96" s="66">
        <f>AN96*AD96</f>
        <v/>
      </c>
      <c r="AY96" s="66">
        <f>AO96*AE96</f>
        <v/>
      </c>
      <c r="AZ96" s="66">
        <f>'Project Database'!Z100</f>
        <v/>
      </c>
      <c r="BA96" s="66">
        <f>IF(OR(A96="",'Smart Search'!H13=0),"",MAX(0,BE96*BF96*MAX(0,1-BG96)))</f>
        <v/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66">
        <f>IF('Smart Search'!G13=1,IFERROR(1/'Smart Search'!H13,0),0)</f>
        <v/>
      </c>
      <c r="BD96" s="66">
        <f>BB96*BC96</f>
        <v/>
      </c>
      <c r="BE96" s="66">
        <f>AP96+AQ96+AR96+AS96+AT96+AU96+AV96+AW96+AX96+AY96+BD96</f>
        <v/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5">
        <f>IF(AND('Project Database'!A100&lt;&gt;"",OR('Smart Search'!$L$5="",'Smart Search'!$L$5="All",TRIM('Project Database'!D100)=TRIM('Smart Search'!$L$5)),OR(TRIM('Smart Search'!$L$6)="",TRIM('Smart Search'!$L$6)="All",ISNUMBER(SEARCH(SUBSTITUTE(SUBSTITUTE(SUBSTITUTE(TRIM('Smart Search'!$L$6),"~","~~"),"*","~*"),"?","~?"),'Project Database'!C100))),OR('Smart Search'!$L$7="",AND('Project Database'!E100&lt;&gt;"",'Project Database'!E100='Smart Search'!$L$7)),OR('Smart Search'!$L$8="",'Smart Search'!$L$8="All",TRIM('Project Database'!F100)=TRIM('Smart Search'!$L$8))),IF(BA96="","",BA96+ROW()*0.0000000001),"")</f>
        <v/>
      </c>
      <c r="BI96" s="5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>
        <f>IF('Project Database'!A100="","",N('Project Database'!AC100))</f>
        <v/>
      </c>
      <c r="BK96" s="5">
        <f>IF('Project Database'!A100="","",N('Project Database'!AD100))</f>
        <v/>
      </c>
      <c r="BL96" s="5">
        <f>IF('Project Database'!A100="","",N('Project Database'!AE100))</f>
        <v/>
      </c>
      <c r="BM96" s="5">
        <f>IF('Project Database'!A100="","",N('Project Database'!AF100))</f>
        <v/>
      </c>
      <c r="BN96" s="5">
        <f>IF('Project Database'!A100="","",N('Project Database'!AG100))</f>
        <v/>
      </c>
      <c r="BO96" s="5">
        <f>IF('Project Database'!A100="","",N('Project Database'!AH100))</f>
        <v/>
      </c>
      <c r="BP96" s="5">
        <f>IF('Project Database'!A100="","",N('Project Database'!AI100))</f>
        <v/>
      </c>
      <c r="BQ96" s="5">
        <f>IF('Project Database'!A100="","",N('Project Database'!AJ100))</f>
        <v/>
      </c>
      <c r="BR96" s="5">
        <f>IF('Project Database'!A100="","",N('Project Database'!AK100))</f>
        <v/>
      </c>
      <c r="BS96" s="5">
        <f>IF('Project Database'!A100="","",N('Project Database'!AL100))</f>
        <v/>
      </c>
      <c r="BT96" s="5">
        <f>IF('Project Database'!A100="","",N('Project Database'!AM100))</f>
        <v/>
      </c>
      <c r="BU96" s="5">
        <f>IF('Project Database'!A100="","",N('Project Database'!AN100))</f>
        <v/>
      </c>
      <c r="BV96" s="5">
        <f>IF('Project Database'!A100="","",N('Project Database'!AO100))</f>
        <v/>
      </c>
      <c r="BW96" s="5">
        <f>IF('Project Database'!A100="","",N('Project Database'!AP100))</f>
        <v/>
      </c>
      <c r="BX96" s="5">
        <f>IF(A96="","",SUM(BJ96:BW96))</f>
        <v/>
      </c>
      <c r="BY96" s="5">
        <f>IF(A96="","",IFERROR(IF(ISNUMBER(U96),U96,VALUE(SUBSTITUTE(SUBSTITUTE(SUBSTITUTE(UPPER(TRIM(U96)),"M",""),",","")," ",""))),0))</f>
        <v/>
      </c>
    </row>
    <row r="97" ht="15" customHeight="1" s="74">
      <c r="A97" s="66">
        <f>'Project Database'!A101</f>
        <v/>
      </c>
      <c r="B97" s="66">
        <f>'Project Database'!B101</f>
        <v/>
      </c>
      <c r="C97" s="66">
        <f>'Project Database'!G101</f>
        <v/>
      </c>
      <c r="D97" s="66">
        <f>'Project Database'!H101</f>
        <v/>
      </c>
      <c r="E97" s="66">
        <f>'Project Database'!I101</f>
        <v/>
      </c>
      <c r="F97" s="66">
        <f>'Project Database'!J101</f>
        <v/>
      </c>
      <c r="G97" s="66">
        <f>'Project Database'!K101</f>
        <v/>
      </c>
      <c r="H97" s="66">
        <f>'Project Database'!L101</f>
        <v/>
      </c>
      <c r="I97" s="66">
        <f>'Project Database'!M101</f>
        <v/>
      </c>
      <c r="J97" s="66">
        <f>'Project Database'!N101</f>
        <v/>
      </c>
      <c r="K97" s="66">
        <f>'Project Database'!O101</f>
        <v/>
      </c>
      <c r="L97" s="66">
        <f>'Project Database'!P101</f>
        <v/>
      </c>
      <c r="M97" s="66">
        <f>'Project Database'!Q101</f>
        <v/>
      </c>
      <c r="N97" s="66">
        <f>'Project Database'!R101</f>
        <v/>
      </c>
      <c r="O97" s="66">
        <f>'Project Database'!S101</f>
        <v/>
      </c>
      <c r="P97" s="66">
        <f>'Project Database'!T101</f>
        <v/>
      </c>
      <c r="Q97" s="66">
        <f>'Project Database'!U101</f>
        <v/>
      </c>
      <c r="R97" s="66">
        <f>'Project Database'!V101</f>
        <v/>
      </c>
      <c r="S97" s="66">
        <f>'Project Database'!W101</f>
        <v/>
      </c>
      <c r="T97" s="66">
        <f>'Project Database'!X101</f>
        <v/>
      </c>
      <c r="U97" s="67">
        <f>'Project Database'!Y101</f>
        <v/>
      </c>
      <c r="V97" s="66">
        <f>IF('Smart Search'!B13=1,IFERROR(1/'Smart Search'!H13,0),0)</f>
        <v/>
      </c>
      <c r="W97" s="66">
        <f>IF('Smart Search'!B13=1,IFERROR(1/'Smart Search'!H13,0),0)</f>
        <v/>
      </c>
      <c r="X97" s="66">
        <f>IF('Smart Search'!C13=1,IFERROR(1/'Smart Search'!H13,0),0)</f>
        <v/>
      </c>
      <c r="Y97" s="66">
        <f>IF('Smart Search'!C13=1,IFERROR(1/'Smart Search'!H13,0),0)</f>
        <v/>
      </c>
      <c r="Z97" s="66">
        <f>IF('Smart Search'!D13=1,IFERROR(1/'Smart Search'!H13,0),0)</f>
        <v/>
      </c>
      <c r="AA97" s="66">
        <f>IF('Smart Search'!D13=1,IFERROR(1/'Smart Search'!H13,0),0)</f>
        <v/>
      </c>
      <c r="AB97" s="66">
        <f>IF('Smart Search'!E13=1,IFERROR(1/'Smart Search'!H13,0),0)</f>
        <v/>
      </c>
      <c r="AC97" s="66">
        <f>IF('Smart Search'!E13=1,IFERROR(1/'Smart Search'!H13,0),0)</f>
        <v/>
      </c>
      <c r="AD97" s="66">
        <f>IF('Smart Search'!F13=1,IFERROR(1/'Smart Search'!H13,0),0)</f>
        <v/>
      </c>
      <c r="AE97" s="66">
        <f>IF('Smart Search'!F13=1,IFERROR(1/'Smart Search'!H13,0),0)</f>
        <v/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66">
        <f>AF97*V97</f>
        <v/>
      </c>
      <c r="AQ97" s="66">
        <f>AG97*W97</f>
        <v/>
      </c>
      <c r="AR97" s="66">
        <f>AH97*X97</f>
        <v/>
      </c>
      <c r="AS97" s="66">
        <f>AI97*Y97</f>
        <v/>
      </c>
      <c r="AT97" s="66">
        <f>AJ97*Z97</f>
        <v/>
      </c>
      <c r="AU97" s="66">
        <f>AK97*AA97</f>
        <v/>
      </c>
      <c r="AV97" s="66">
        <f>AL97*AB97</f>
        <v/>
      </c>
      <c r="AW97" s="66">
        <f>AM97*AC97</f>
        <v/>
      </c>
      <c r="AX97" s="66">
        <f>AN97*AD97</f>
        <v/>
      </c>
      <c r="AY97" s="66">
        <f>AO97*AE97</f>
        <v/>
      </c>
      <c r="AZ97" s="66">
        <f>'Project Database'!Z101</f>
        <v/>
      </c>
      <c r="BA97" s="66">
        <f>IF(OR(A97="",'Smart Search'!H13=0),"",MAX(0,BE97*BF97*MAX(0,1-BG97)))</f>
        <v/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66">
        <f>IF('Smart Search'!G13=1,IFERROR(1/'Smart Search'!H13,0),0)</f>
        <v/>
      </c>
      <c r="BD97" s="66">
        <f>BB97*BC97</f>
        <v/>
      </c>
      <c r="BE97" s="66">
        <f>AP97+AQ97+AR97+AS97+AT97+AU97+AV97+AW97+AX97+AY97+BD97</f>
        <v/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5">
        <f>IF(AND('Project Database'!A101&lt;&gt;"",OR('Smart Search'!$L$5="",'Smart Search'!$L$5="All",TRIM('Project Database'!D101)=TRIM('Smart Search'!$L$5)),OR(TRIM('Smart Search'!$L$6)="",TRIM('Smart Search'!$L$6)="All",ISNUMBER(SEARCH(SUBSTITUTE(SUBSTITUTE(SUBSTITUTE(TRIM('Smart Search'!$L$6),"~","~~"),"*","~*"),"?","~?"),'Project Database'!C101))),OR('Smart Search'!$L$7="",AND('Project Database'!E101&lt;&gt;"",'Project Database'!E101='Smart Search'!$L$7)),OR('Smart Search'!$L$8="",'Smart Search'!$L$8="All",TRIM('Project Database'!F101)=TRIM('Smart Search'!$L$8))),IF(BA97="","",BA97+ROW()*0.0000000001),"")</f>
        <v/>
      </c>
      <c r="BI97" s="5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>
        <f>IF('Project Database'!A101="","",N('Project Database'!AC101))</f>
        <v/>
      </c>
      <c r="BK97" s="5">
        <f>IF('Project Database'!A101="","",N('Project Database'!AD101))</f>
        <v/>
      </c>
      <c r="BL97" s="5">
        <f>IF('Project Database'!A101="","",N('Project Database'!AE101))</f>
        <v/>
      </c>
      <c r="BM97" s="5">
        <f>IF('Project Database'!A101="","",N('Project Database'!AF101))</f>
        <v/>
      </c>
      <c r="BN97" s="5">
        <f>IF('Project Database'!A101="","",N('Project Database'!AG101))</f>
        <v/>
      </c>
      <c r="BO97" s="5">
        <f>IF('Project Database'!A101="","",N('Project Database'!AH101))</f>
        <v/>
      </c>
      <c r="BP97" s="5">
        <f>IF('Project Database'!A101="","",N('Project Database'!AI101))</f>
        <v/>
      </c>
      <c r="BQ97" s="5">
        <f>IF('Project Database'!A101="","",N('Project Database'!AJ101))</f>
        <v/>
      </c>
      <c r="BR97" s="5">
        <f>IF('Project Database'!A101="","",N('Project Database'!AK101))</f>
        <v/>
      </c>
      <c r="BS97" s="5">
        <f>IF('Project Database'!A101="","",N('Project Database'!AL101))</f>
        <v/>
      </c>
      <c r="BT97" s="5">
        <f>IF('Project Database'!A101="","",N('Project Database'!AM101))</f>
        <v/>
      </c>
      <c r="BU97" s="5">
        <f>IF('Project Database'!A101="","",N('Project Database'!AN101))</f>
        <v/>
      </c>
      <c r="BV97" s="5">
        <f>IF('Project Database'!A101="","",N('Project Database'!AO101))</f>
        <v/>
      </c>
      <c r="BW97" s="5">
        <f>IF('Project Database'!A101="","",N('Project Database'!AP101))</f>
        <v/>
      </c>
      <c r="BX97" s="5">
        <f>IF(A97="","",SUM(BJ97:BW97))</f>
        <v/>
      </c>
      <c r="BY97" s="5">
        <f>IF(A97="","",IFERROR(IF(ISNUMBER(U97),U97,VALUE(SUBSTITUTE(SUBSTITUTE(SUBSTITUTE(UPPER(TRIM(U97)),"M",""),",","")," ",""))),0))</f>
        <v/>
      </c>
    </row>
    <row r="98" ht="15" customHeight="1" s="74">
      <c r="A98" s="66">
        <f>'Project Database'!A102</f>
        <v/>
      </c>
      <c r="B98" s="66">
        <f>'Project Database'!B102</f>
        <v/>
      </c>
      <c r="C98" s="66">
        <f>'Project Database'!G102</f>
        <v/>
      </c>
      <c r="D98" s="66">
        <f>'Project Database'!H102</f>
        <v/>
      </c>
      <c r="E98" s="66">
        <f>'Project Database'!I102</f>
        <v/>
      </c>
      <c r="F98" s="66">
        <f>'Project Database'!J102</f>
        <v/>
      </c>
      <c r="G98" s="66">
        <f>'Project Database'!K102</f>
        <v/>
      </c>
      <c r="H98" s="66">
        <f>'Project Database'!L102</f>
        <v/>
      </c>
      <c r="I98" s="66">
        <f>'Project Database'!M102</f>
        <v/>
      </c>
      <c r="J98" s="66">
        <f>'Project Database'!N102</f>
        <v/>
      </c>
      <c r="K98" s="66">
        <f>'Project Database'!O102</f>
        <v/>
      </c>
      <c r="L98" s="66">
        <f>'Project Database'!P102</f>
        <v/>
      </c>
      <c r="M98" s="66">
        <f>'Project Database'!Q102</f>
        <v/>
      </c>
      <c r="N98" s="66">
        <f>'Project Database'!R102</f>
        <v/>
      </c>
      <c r="O98" s="66">
        <f>'Project Database'!S102</f>
        <v/>
      </c>
      <c r="P98" s="66">
        <f>'Project Database'!T102</f>
        <v/>
      </c>
      <c r="Q98" s="66">
        <f>'Project Database'!U102</f>
        <v/>
      </c>
      <c r="R98" s="66">
        <f>'Project Database'!V102</f>
        <v/>
      </c>
      <c r="S98" s="66">
        <f>'Project Database'!W102</f>
        <v/>
      </c>
      <c r="T98" s="66">
        <f>'Project Database'!X102</f>
        <v/>
      </c>
      <c r="U98" s="67">
        <f>'Project Database'!Y102</f>
        <v/>
      </c>
      <c r="V98" s="66">
        <f>IF('Smart Search'!B13=1,IFERROR(1/'Smart Search'!H13,0),0)</f>
        <v/>
      </c>
      <c r="W98" s="66">
        <f>IF('Smart Search'!B13=1,IFERROR(1/'Smart Search'!H13,0),0)</f>
        <v/>
      </c>
      <c r="X98" s="66">
        <f>IF('Smart Search'!C13=1,IFERROR(1/'Smart Search'!H13,0),0)</f>
        <v/>
      </c>
      <c r="Y98" s="66">
        <f>IF('Smart Search'!C13=1,IFERROR(1/'Smart Search'!H13,0),0)</f>
        <v/>
      </c>
      <c r="Z98" s="66">
        <f>IF('Smart Search'!D13=1,IFERROR(1/'Smart Search'!H13,0),0)</f>
        <v/>
      </c>
      <c r="AA98" s="66">
        <f>IF('Smart Search'!D13=1,IFERROR(1/'Smart Search'!H13,0),0)</f>
        <v/>
      </c>
      <c r="AB98" s="66">
        <f>IF('Smart Search'!E13=1,IFERROR(1/'Smart Search'!H13,0),0)</f>
        <v/>
      </c>
      <c r="AC98" s="66">
        <f>IF('Smart Search'!E13=1,IFERROR(1/'Smart Search'!H13,0),0)</f>
        <v/>
      </c>
      <c r="AD98" s="66">
        <f>IF('Smart Search'!F13=1,IFERROR(1/'Smart Search'!H13,0),0)</f>
        <v/>
      </c>
      <c r="AE98" s="66">
        <f>IF('Smart Search'!F13=1,IFERROR(1/'Smart Search'!H13,0),0)</f>
        <v/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66">
        <f>AF98*V98</f>
        <v/>
      </c>
      <c r="AQ98" s="66">
        <f>AG98*W98</f>
        <v/>
      </c>
      <c r="AR98" s="66">
        <f>AH98*X98</f>
        <v/>
      </c>
      <c r="AS98" s="66">
        <f>AI98*Y98</f>
        <v/>
      </c>
      <c r="AT98" s="66">
        <f>AJ98*Z98</f>
        <v/>
      </c>
      <c r="AU98" s="66">
        <f>AK98*AA98</f>
        <v/>
      </c>
      <c r="AV98" s="66">
        <f>AL98*AB98</f>
        <v/>
      </c>
      <c r="AW98" s="66">
        <f>AM98*AC98</f>
        <v/>
      </c>
      <c r="AX98" s="66">
        <f>AN98*AD98</f>
        <v/>
      </c>
      <c r="AY98" s="66">
        <f>AO98*AE98</f>
        <v/>
      </c>
      <c r="AZ98" s="66">
        <f>'Project Database'!Z102</f>
        <v/>
      </c>
      <c r="BA98" s="66">
        <f>IF(OR(A98="",'Smart Search'!H13=0),"",MAX(0,BE98*BF98*MAX(0,1-BG98)))</f>
        <v/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66">
        <f>IF('Smart Search'!G13=1,IFERROR(1/'Smart Search'!H13,0),0)</f>
        <v/>
      </c>
      <c r="BD98" s="66">
        <f>BB98*BC98</f>
        <v/>
      </c>
      <c r="BE98" s="66">
        <f>AP98+AQ98+AR98+AS98+AT98+AU98+AV98+AW98+AX98+AY98+BD98</f>
        <v/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5">
        <f>IF(AND('Project Database'!A102&lt;&gt;"",OR('Smart Search'!$L$5="",'Smart Search'!$L$5="All",TRIM('Project Database'!D102)=TRIM('Smart Search'!$L$5)),OR(TRIM('Smart Search'!$L$6)="",TRIM('Smart Search'!$L$6)="All",ISNUMBER(SEARCH(SUBSTITUTE(SUBSTITUTE(SUBSTITUTE(TRIM('Smart Search'!$L$6),"~","~~"),"*","~*"),"?","~?"),'Project Database'!C102))),OR('Smart Search'!$L$7="",AND('Project Database'!E102&lt;&gt;"",'Project Database'!E102='Smart Search'!$L$7)),OR('Smart Search'!$L$8="",'Smart Search'!$L$8="All",TRIM('Project Database'!F102)=TRIM('Smart Search'!$L$8))),IF(BA98="","",BA98+ROW()*0.0000000001),"")</f>
        <v/>
      </c>
      <c r="BI98" s="5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>
        <f>IF('Project Database'!A102="","",N('Project Database'!AC102))</f>
        <v/>
      </c>
      <c r="BK98" s="5">
        <f>IF('Project Database'!A102="","",N('Project Database'!AD102))</f>
        <v/>
      </c>
      <c r="BL98" s="5">
        <f>IF('Project Database'!A102="","",N('Project Database'!AE102))</f>
        <v/>
      </c>
      <c r="BM98" s="5">
        <f>IF('Project Database'!A102="","",N('Project Database'!AF102))</f>
        <v/>
      </c>
      <c r="BN98" s="5">
        <f>IF('Project Database'!A102="","",N('Project Database'!AG102))</f>
        <v/>
      </c>
      <c r="BO98" s="5">
        <f>IF('Project Database'!A102="","",N('Project Database'!AH102))</f>
        <v/>
      </c>
      <c r="BP98" s="5">
        <f>IF('Project Database'!A102="","",N('Project Database'!AI102))</f>
        <v/>
      </c>
      <c r="BQ98" s="5">
        <f>IF('Project Database'!A102="","",N('Project Database'!AJ102))</f>
        <v/>
      </c>
      <c r="BR98" s="5">
        <f>IF('Project Database'!A102="","",N('Project Database'!AK102))</f>
        <v/>
      </c>
      <c r="BS98" s="5">
        <f>IF('Project Database'!A102="","",N('Project Database'!AL102))</f>
        <v/>
      </c>
      <c r="BT98" s="5">
        <f>IF('Project Database'!A102="","",N('Project Database'!AM102))</f>
        <v/>
      </c>
      <c r="BU98" s="5">
        <f>IF('Project Database'!A102="","",N('Project Database'!AN102))</f>
        <v/>
      </c>
      <c r="BV98" s="5">
        <f>IF('Project Database'!A102="","",N('Project Database'!AO102))</f>
        <v/>
      </c>
      <c r="BW98" s="5">
        <f>IF('Project Database'!A102="","",N('Project Database'!AP102))</f>
        <v/>
      </c>
      <c r="BX98" s="5">
        <f>IF(A98="","",SUM(BJ98:BW98))</f>
        <v/>
      </c>
      <c r="BY98" s="5">
        <f>IF(A98="","",IFERROR(IF(ISNUMBER(U98),U98,VALUE(SUBSTITUTE(SUBSTITUTE(SUBSTITUTE(UPPER(TRIM(U98)),"M",""),",","")," ",""))),0))</f>
        <v/>
      </c>
    </row>
    <row r="99" ht="15" customHeight="1" s="74">
      <c r="A99" s="66">
        <f>'Project Database'!A103</f>
        <v/>
      </c>
      <c r="B99" s="66">
        <f>'Project Database'!B103</f>
        <v/>
      </c>
      <c r="C99" s="66">
        <f>'Project Database'!G103</f>
        <v/>
      </c>
      <c r="D99" s="66">
        <f>'Project Database'!H103</f>
        <v/>
      </c>
      <c r="E99" s="66">
        <f>'Project Database'!I103</f>
        <v/>
      </c>
      <c r="F99" s="66">
        <f>'Project Database'!J103</f>
        <v/>
      </c>
      <c r="G99" s="66">
        <f>'Project Database'!K103</f>
        <v/>
      </c>
      <c r="H99" s="66">
        <f>'Project Database'!L103</f>
        <v/>
      </c>
      <c r="I99" s="66">
        <f>'Project Database'!M103</f>
        <v/>
      </c>
      <c r="J99" s="66">
        <f>'Project Database'!N103</f>
        <v/>
      </c>
      <c r="K99" s="66">
        <f>'Project Database'!O103</f>
        <v/>
      </c>
      <c r="L99" s="66">
        <f>'Project Database'!P103</f>
        <v/>
      </c>
      <c r="M99" s="66">
        <f>'Project Database'!Q103</f>
        <v/>
      </c>
      <c r="N99" s="66">
        <f>'Project Database'!R103</f>
        <v/>
      </c>
      <c r="O99" s="66">
        <f>'Project Database'!S103</f>
        <v/>
      </c>
      <c r="P99" s="66">
        <f>'Project Database'!T103</f>
        <v/>
      </c>
      <c r="Q99" s="66">
        <f>'Project Database'!U103</f>
        <v/>
      </c>
      <c r="R99" s="66">
        <f>'Project Database'!V103</f>
        <v/>
      </c>
      <c r="S99" s="66">
        <f>'Project Database'!W103</f>
        <v/>
      </c>
      <c r="T99" s="66">
        <f>'Project Database'!X103</f>
        <v/>
      </c>
      <c r="U99" s="67">
        <f>'Project Database'!Y103</f>
        <v/>
      </c>
      <c r="V99" s="66">
        <f>IF('Smart Search'!B13=1,IFERROR(1/'Smart Search'!H13,0),0)</f>
        <v/>
      </c>
      <c r="W99" s="66">
        <f>IF('Smart Search'!B13=1,IFERROR(1/'Smart Search'!H13,0),0)</f>
        <v/>
      </c>
      <c r="X99" s="66">
        <f>IF('Smart Search'!C13=1,IFERROR(1/'Smart Search'!H13,0),0)</f>
        <v/>
      </c>
      <c r="Y99" s="66">
        <f>IF('Smart Search'!C13=1,IFERROR(1/'Smart Search'!H13,0),0)</f>
        <v/>
      </c>
      <c r="Z99" s="66">
        <f>IF('Smart Search'!D13=1,IFERROR(1/'Smart Search'!H13,0),0)</f>
        <v/>
      </c>
      <c r="AA99" s="66">
        <f>IF('Smart Search'!D13=1,IFERROR(1/'Smart Search'!H13,0),0)</f>
        <v/>
      </c>
      <c r="AB99" s="66">
        <f>IF('Smart Search'!E13=1,IFERROR(1/'Smart Search'!H13,0),0)</f>
        <v/>
      </c>
      <c r="AC99" s="66">
        <f>IF('Smart Search'!E13=1,IFERROR(1/'Smart Search'!H13,0),0)</f>
        <v/>
      </c>
      <c r="AD99" s="66">
        <f>IF('Smart Search'!F13=1,IFERROR(1/'Smart Search'!H13,0),0)</f>
        <v/>
      </c>
      <c r="AE99" s="66">
        <f>IF('Smart Search'!F13=1,IFERROR(1/'Smart Search'!H13,0),0)</f>
        <v/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66">
        <f>AF99*V99</f>
        <v/>
      </c>
      <c r="AQ99" s="66">
        <f>AG99*W99</f>
        <v/>
      </c>
      <c r="AR99" s="66">
        <f>AH99*X99</f>
        <v/>
      </c>
      <c r="AS99" s="66">
        <f>AI99*Y99</f>
        <v/>
      </c>
      <c r="AT99" s="66">
        <f>AJ99*Z99</f>
        <v/>
      </c>
      <c r="AU99" s="66">
        <f>AK99*AA99</f>
        <v/>
      </c>
      <c r="AV99" s="66">
        <f>AL99*AB99</f>
        <v/>
      </c>
      <c r="AW99" s="66">
        <f>AM99*AC99</f>
        <v/>
      </c>
      <c r="AX99" s="66">
        <f>AN99*AD99</f>
        <v/>
      </c>
      <c r="AY99" s="66">
        <f>AO99*AE99</f>
        <v/>
      </c>
      <c r="AZ99" s="66">
        <f>'Project Database'!Z103</f>
        <v/>
      </c>
      <c r="BA99" s="66">
        <f>IF(OR(A99="",'Smart Search'!H13=0),"",MAX(0,BE99*BF99*MAX(0,1-BG99)))</f>
        <v/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66">
        <f>IF('Smart Search'!G13=1,IFERROR(1/'Smart Search'!H13,0),0)</f>
        <v/>
      </c>
      <c r="BD99" s="66">
        <f>BB99*BC99</f>
        <v/>
      </c>
      <c r="BE99" s="66">
        <f>AP99+AQ99+AR99+AS99+AT99+AU99+AV99+AW99+AX99+AY99+BD99</f>
        <v/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5">
        <f>IF(AND('Project Database'!A103&lt;&gt;"",OR('Smart Search'!$L$5="",'Smart Search'!$L$5="All",TRIM('Project Database'!D103)=TRIM('Smart Search'!$L$5)),OR(TRIM('Smart Search'!$L$6)="",TRIM('Smart Search'!$L$6)="All",ISNUMBER(SEARCH(SUBSTITUTE(SUBSTITUTE(SUBSTITUTE(TRIM('Smart Search'!$L$6),"~","~~"),"*","~*"),"?","~?"),'Project Database'!C103))),OR('Smart Search'!$L$7="",AND('Project Database'!E103&lt;&gt;"",'Project Database'!E103='Smart Search'!$L$7)),OR('Smart Search'!$L$8="",'Smart Search'!$L$8="All",TRIM('Project Database'!F103)=TRIM('Smart Search'!$L$8))),IF(BA99="","",BA99+ROW()*0.0000000001),"")</f>
        <v/>
      </c>
      <c r="BI99" s="5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>
        <f>IF('Project Database'!A103="","",N('Project Database'!AC103))</f>
        <v/>
      </c>
      <c r="BK99" s="5">
        <f>IF('Project Database'!A103="","",N('Project Database'!AD103))</f>
        <v/>
      </c>
      <c r="BL99" s="5">
        <f>IF('Project Database'!A103="","",N('Project Database'!AE103))</f>
        <v/>
      </c>
      <c r="BM99" s="5">
        <f>IF('Project Database'!A103="","",N('Project Database'!AF103))</f>
        <v/>
      </c>
      <c r="BN99" s="5">
        <f>IF('Project Database'!A103="","",N('Project Database'!AG103))</f>
        <v/>
      </c>
      <c r="BO99" s="5">
        <f>IF('Project Database'!A103="","",N('Project Database'!AH103))</f>
        <v/>
      </c>
      <c r="BP99" s="5">
        <f>IF('Project Database'!A103="","",N('Project Database'!AI103))</f>
        <v/>
      </c>
      <c r="BQ99" s="5">
        <f>IF('Project Database'!A103="","",N('Project Database'!AJ103))</f>
        <v/>
      </c>
      <c r="BR99" s="5">
        <f>IF('Project Database'!A103="","",N('Project Database'!AK103))</f>
        <v/>
      </c>
      <c r="BS99" s="5">
        <f>IF('Project Database'!A103="","",N('Project Database'!AL103))</f>
        <v/>
      </c>
      <c r="BT99" s="5">
        <f>IF('Project Database'!A103="","",N('Project Database'!AM103))</f>
        <v/>
      </c>
      <c r="BU99" s="5">
        <f>IF('Project Database'!A103="","",N('Project Database'!AN103))</f>
        <v/>
      </c>
      <c r="BV99" s="5">
        <f>IF('Project Database'!A103="","",N('Project Database'!AO103))</f>
        <v/>
      </c>
      <c r="BW99" s="5">
        <f>IF('Project Database'!A103="","",N('Project Database'!AP103))</f>
        <v/>
      </c>
      <c r="BX99" s="5">
        <f>IF(A99="","",SUM(BJ99:BW99))</f>
        <v/>
      </c>
      <c r="BY99" s="5">
        <f>IF(A99="","",IFERROR(IF(ISNUMBER(U99),U99,VALUE(SUBSTITUTE(SUBSTITUTE(SUBSTITUTE(UPPER(TRIM(U99)),"M",""),",","")," ",""))),0))</f>
        <v/>
      </c>
    </row>
    <row r="100" ht="15" customHeight="1" s="74">
      <c r="A100" s="66">
        <f>'Project Database'!A104</f>
        <v/>
      </c>
      <c r="B100" s="66">
        <f>'Project Database'!B104</f>
        <v/>
      </c>
      <c r="C100" s="66">
        <f>'Project Database'!G104</f>
        <v/>
      </c>
      <c r="D100" s="66">
        <f>'Project Database'!H104</f>
        <v/>
      </c>
      <c r="E100" s="66">
        <f>'Project Database'!I104</f>
        <v/>
      </c>
      <c r="F100" s="66">
        <f>'Project Database'!J104</f>
        <v/>
      </c>
      <c r="G100" s="66">
        <f>'Project Database'!K104</f>
        <v/>
      </c>
      <c r="H100" s="66">
        <f>'Project Database'!L104</f>
        <v/>
      </c>
      <c r="I100" s="66">
        <f>'Project Database'!M104</f>
        <v/>
      </c>
      <c r="J100" s="66">
        <f>'Project Database'!N104</f>
        <v/>
      </c>
      <c r="K100" s="66">
        <f>'Project Database'!O104</f>
        <v/>
      </c>
      <c r="L100" s="66">
        <f>'Project Database'!P104</f>
        <v/>
      </c>
      <c r="M100" s="66">
        <f>'Project Database'!Q104</f>
        <v/>
      </c>
      <c r="N100" s="66">
        <f>'Project Database'!R104</f>
        <v/>
      </c>
      <c r="O100" s="66">
        <f>'Project Database'!S104</f>
        <v/>
      </c>
      <c r="P100" s="66">
        <f>'Project Database'!T104</f>
        <v/>
      </c>
      <c r="Q100" s="66">
        <f>'Project Database'!U104</f>
        <v/>
      </c>
      <c r="R100" s="66">
        <f>'Project Database'!V104</f>
        <v/>
      </c>
      <c r="S100" s="66">
        <f>'Project Database'!W104</f>
        <v/>
      </c>
      <c r="T100" s="66">
        <f>'Project Database'!X104</f>
        <v/>
      </c>
      <c r="U100" s="67">
        <f>'Project Database'!Y104</f>
        <v/>
      </c>
      <c r="V100" s="66">
        <f>IF('Smart Search'!B13=1,IFERROR(1/'Smart Search'!H13,0),0)</f>
        <v/>
      </c>
      <c r="W100" s="66">
        <f>IF('Smart Search'!B13=1,IFERROR(1/'Smart Search'!H13,0),0)</f>
        <v/>
      </c>
      <c r="X100" s="66">
        <f>IF('Smart Search'!C13=1,IFERROR(1/'Smart Search'!H13,0),0)</f>
        <v/>
      </c>
      <c r="Y100" s="66">
        <f>IF('Smart Search'!C13=1,IFERROR(1/'Smart Search'!H13,0),0)</f>
        <v/>
      </c>
      <c r="Z100" s="66">
        <f>IF('Smart Search'!D13=1,IFERROR(1/'Smart Search'!H13,0),0)</f>
        <v/>
      </c>
      <c r="AA100" s="66">
        <f>IF('Smart Search'!D13=1,IFERROR(1/'Smart Search'!H13,0),0)</f>
        <v/>
      </c>
      <c r="AB100" s="66">
        <f>IF('Smart Search'!E13=1,IFERROR(1/'Smart Search'!H13,0),0)</f>
        <v/>
      </c>
      <c r="AC100" s="66">
        <f>IF('Smart Search'!E13=1,IFERROR(1/'Smart Search'!H13,0),0)</f>
        <v/>
      </c>
      <c r="AD100" s="66">
        <f>IF('Smart Search'!F13=1,IFERROR(1/'Smart Search'!H13,0),0)</f>
        <v/>
      </c>
      <c r="AE100" s="66">
        <f>IF('Smart Search'!F13=1,IFERROR(1/'Smart Search'!H13,0),0)</f>
        <v/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66">
        <f>AF100*V100</f>
        <v/>
      </c>
      <c r="AQ100" s="66">
        <f>AG100*W100</f>
        <v/>
      </c>
      <c r="AR100" s="66">
        <f>AH100*X100</f>
        <v/>
      </c>
      <c r="AS100" s="66">
        <f>AI100*Y100</f>
        <v/>
      </c>
      <c r="AT100" s="66">
        <f>AJ100*Z100</f>
        <v/>
      </c>
      <c r="AU100" s="66">
        <f>AK100*AA100</f>
        <v/>
      </c>
      <c r="AV100" s="66">
        <f>AL100*AB100</f>
        <v/>
      </c>
      <c r="AW100" s="66">
        <f>AM100*AC100</f>
        <v/>
      </c>
      <c r="AX100" s="66">
        <f>AN100*AD100</f>
        <v/>
      </c>
      <c r="AY100" s="66">
        <f>AO100*AE100</f>
        <v/>
      </c>
      <c r="AZ100" s="66">
        <f>'Project Database'!Z104</f>
        <v/>
      </c>
      <c r="BA100" s="66">
        <f>IF(OR(A100="",'Smart Search'!H13=0),"",MAX(0,BE100*BF100*MAX(0,1-BG100)))</f>
        <v/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66">
        <f>IF('Smart Search'!G13=1,IFERROR(1/'Smart Search'!H13,0),0)</f>
        <v/>
      </c>
      <c r="BD100" s="66">
        <f>BB100*BC100</f>
        <v/>
      </c>
      <c r="BE100" s="66">
        <f>AP100+AQ100+AR100+AS100+AT100+AU100+AV100+AW100+AX100+AY100+BD100</f>
        <v/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5">
        <f>IF(AND('Project Database'!A104&lt;&gt;"",OR('Smart Search'!$L$5="",'Smart Search'!$L$5="All",TRIM('Project Database'!D104)=TRIM('Smart Search'!$L$5)),OR(TRIM('Smart Search'!$L$6)="",TRIM('Smart Search'!$L$6)="All",ISNUMBER(SEARCH(SUBSTITUTE(SUBSTITUTE(SUBSTITUTE(TRIM('Smart Search'!$L$6),"~","~~"),"*","~*"),"?","~?"),'Project Database'!C104))),OR('Smart Search'!$L$7="",AND('Project Database'!E104&lt;&gt;"",'Project Database'!E104='Smart Search'!$L$7)),OR('Smart Search'!$L$8="",'Smart Search'!$L$8="All",TRIM('Project Database'!F104)=TRIM('Smart Search'!$L$8))),IF(BA100="","",BA100+ROW()*0.0000000001),"")</f>
        <v/>
      </c>
      <c r="BI100" s="5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>
        <f>IF('Project Database'!A104="","",N('Project Database'!AC104))</f>
        <v/>
      </c>
      <c r="BK100" s="5">
        <f>IF('Project Database'!A104="","",N('Project Database'!AD104))</f>
        <v/>
      </c>
      <c r="BL100" s="5">
        <f>IF('Project Database'!A104="","",N('Project Database'!AE104))</f>
        <v/>
      </c>
      <c r="BM100" s="5">
        <f>IF('Project Database'!A104="","",N('Project Database'!AF104))</f>
        <v/>
      </c>
      <c r="BN100" s="5">
        <f>IF('Project Database'!A104="","",N('Project Database'!AG104))</f>
        <v/>
      </c>
      <c r="BO100" s="5">
        <f>IF('Project Database'!A104="","",N('Project Database'!AH104))</f>
        <v/>
      </c>
      <c r="BP100" s="5">
        <f>IF('Project Database'!A104="","",N('Project Database'!AI104))</f>
        <v/>
      </c>
      <c r="BQ100" s="5">
        <f>IF('Project Database'!A104="","",N('Project Database'!AJ104))</f>
        <v/>
      </c>
      <c r="BR100" s="5">
        <f>IF('Project Database'!A104="","",N('Project Database'!AK104))</f>
        <v/>
      </c>
      <c r="BS100" s="5">
        <f>IF('Project Database'!A104="","",N('Project Database'!AL104))</f>
        <v/>
      </c>
      <c r="BT100" s="5">
        <f>IF('Project Database'!A104="","",N('Project Database'!AM104))</f>
        <v/>
      </c>
      <c r="BU100" s="5">
        <f>IF('Project Database'!A104="","",N('Project Database'!AN104))</f>
        <v/>
      </c>
      <c r="BV100" s="5">
        <f>IF('Project Database'!A104="","",N('Project Database'!AO104))</f>
        <v/>
      </c>
      <c r="BW100" s="5">
        <f>IF('Project Database'!A104="","",N('Project Database'!AP104))</f>
        <v/>
      </c>
      <c r="BX100" s="5">
        <f>IF(A100="","",SUM(BJ100:BW100))</f>
        <v/>
      </c>
      <c r="BY100" s="5">
        <f>IF(A100="","",IFERROR(IF(ISNUMBER(U100),U100,VALUE(SUBSTITUTE(SUBSTITUTE(SUBSTITUTE(UPPER(TRIM(U100)),"M",""),",","")," ",""))),0))</f>
        <v/>
      </c>
    </row>
    <row r="101" ht="15" customHeight="1" s="74">
      <c r="A101" s="66">
        <f>'Project Database'!A105</f>
        <v/>
      </c>
      <c r="B101" s="66">
        <f>'Project Database'!B105</f>
        <v/>
      </c>
      <c r="C101" s="66">
        <f>'Project Database'!G105</f>
        <v/>
      </c>
      <c r="D101" s="66">
        <f>'Project Database'!H105</f>
        <v/>
      </c>
      <c r="E101" s="66">
        <f>'Project Database'!I105</f>
        <v/>
      </c>
      <c r="F101" s="66">
        <f>'Project Database'!J105</f>
        <v/>
      </c>
      <c r="G101" s="66">
        <f>'Project Database'!K105</f>
        <v/>
      </c>
      <c r="H101" s="66">
        <f>'Project Database'!L105</f>
        <v/>
      </c>
      <c r="I101" s="66">
        <f>'Project Database'!M105</f>
        <v/>
      </c>
      <c r="J101" s="66">
        <f>'Project Database'!N105</f>
        <v/>
      </c>
      <c r="K101" s="66">
        <f>'Project Database'!O105</f>
        <v/>
      </c>
      <c r="L101" s="66">
        <f>'Project Database'!P105</f>
        <v/>
      </c>
      <c r="M101" s="66">
        <f>'Project Database'!Q105</f>
        <v/>
      </c>
      <c r="N101" s="66">
        <f>'Project Database'!R105</f>
        <v/>
      </c>
      <c r="O101" s="66">
        <f>'Project Database'!S105</f>
        <v/>
      </c>
      <c r="P101" s="66">
        <f>'Project Database'!T105</f>
        <v/>
      </c>
      <c r="Q101" s="66">
        <f>'Project Database'!U105</f>
        <v/>
      </c>
      <c r="R101" s="66">
        <f>'Project Database'!V105</f>
        <v/>
      </c>
      <c r="S101" s="66">
        <f>'Project Database'!W105</f>
        <v/>
      </c>
      <c r="T101" s="66">
        <f>'Project Database'!X105</f>
        <v/>
      </c>
      <c r="U101" s="67">
        <f>'Project Database'!Y105</f>
        <v/>
      </c>
      <c r="V101" s="66">
        <f>IF('Smart Search'!B13=1,IFERROR(1/'Smart Search'!H13,0),0)</f>
        <v/>
      </c>
      <c r="W101" s="66">
        <f>IF('Smart Search'!B13=1,IFERROR(1/'Smart Search'!H13,0),0)</f>
        <v/>
      </c>
      <c r="X101" s="66">
        <f>IF('Smart Search'!C13=1,IFERROR(1/'Smart Search'!H13,0),0)</f>
        <v/>
      </c>
      <c r="Y101" s="66">
        <f>IF('Smart Search'!C13=1,IFERROR(1/'Smart Search'!H13,0),0)</f>
        <v/>
      </c>
      <c r="Z101" s="66">
        <f>IF('Smart Search'!D13=1,IFERROR(1/'Smart Search'!H13,0),0)</f>
        <v/>
      </c>
      <c r="AA101" s="66">
        <f>IF('Smart Search'!D13=1,IFERROR(1/'Smart Search'!H13,0),0)</f>
        <v/>
      </c>
      <c r="AB101" s="66">
        <f>IF('Smart Search'!E13=1,IFERROR(1/'Smart Search'!H13,0),0)</f>
        <v/>
      </c>
      <c r="AC101" s="66">
        <f>IF('Smart Search'!E13=1,IFERROR(1/'Smart Search'!H13,0),0)</f>
        <v/>
      </c>
      <c r="AD101" s="66">
        <f>IF('Smart Search'!F13=1,IFERROR(1/'Smart Search'!H13,0),0)</f>
        <v/>
      </c>
      <c r="AE101" s="66">
        <f>IF('Smart Search'!F13=1,IFERROR(1/'Smart Search'!H13,0),0)</f>
        <v/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66">
        <f>AF101*V101</f>
        <v/>
      </c>
      <c r="AQ101" s="66">
        <f>AG101*W101</f>
        <v/>
      </c>
      <c r="AR101" s="66">
        <f>AH101*X101</f>
        <v/>
      </c>
      <c r="AS101" s="66">
        <f>AI101*Y101</f>
        <v/>
      </c>
      <c r="AT101" s="66">
        <f>AJ101*Z101</f>
        <v/>
      </c>
      <c r="AU101" s="66">
        <f>AK101*AA101</f>
        <v/>
      </c>
      <c r="AV101" s="66">
        <f>AL101*AB101</f>
        <v/>
      </c>
      <c r="AW101" s="66">
        <f>AM101*AC101</f>
        <v/>
      </c>
      <c r="AX101" s="66">
        <f>AN101*AD101</f>
        <v/>
      </c>
      <c r="AY101" s="66">
        <f>AO101*AE101</f>
        <v/>
      </c>
      <c r="AZ101" s="66">
        <f>'Project Database'!Z105</f>
        <v/>
      </c>
      <c r="BA101" s="66">
        <f>IF(OR(A101="",'Smart Search'!H13=0),"",MAX(0,BE101*BF101*MAX(0,1-BG101)))</f>
        <v/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66">
        <f>IF('Smart Search'!G13=1,IFERROR(1/'Smart Search'!H13,0),0)</f>
        <v/>
      </c>
      <c r="BD101" s="66">
        <f>BB101*BC101</f>
        <v/>
      </c>
      <c r="BE101" s="66">
        <f>AP101+AQ101+AR101+AS101+AT101+AU101+AV101+AW101+AX101+AY101+BD101</f>
        <v/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5">
        <f>IF(AND('Project Database'!A105&lt;&gt;"",OR('Smart Search'!$L$5="",'Smart Search'!$L$5="All",TRIM('Project Database'!D105)=TRIM('Smart Search'!$L$5)),OR(TRIM('Smart Search'!$L$6)="",TRIM('Smart Search'!$L$6)="All",ISNUMBER(SEARCH(SUBSTITUTE(SUBSTITUTE(SUBSTITUTE(TRIM('Smart Search'!$L$6),"~","~~"),"*","~*"),"?","~?"),'Project Database'!C105))),OR('Smart Search'!$L$7="",AND('Project Database'!E105&lt;&gt;"",'Project Database'!E105='Smart Search'!$L$7)),OR('Smart Search'!$L$8="",'Smart Search'!$L$8="All",TRIM('Project Database'!F105)=TRIM('Smart Search'!$L$8))),IF(BA101="","",BA101+ROW()*0.0000000001),"")</f>
        <v/>
      </c>
      <c r="BI101" s="5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>
        <f>IF('Project Database'!A105="","",N('Project Database'!AC105))</f>
        <v/>
      </c>
      <c r="BK101" s="5">
        <f>IF('Project Database'!A105="","",N('Project Database'!AD105))</f>
        <v/>
      </c>
      <c r="BL101" s="5">
        <f>IF('Project Database'!A105="","",N('Project Database'!AE105))</f>
        <v/>
      </c>
      <c r="BM101" s="5">
        <f>IF('Project Database'!A105="","",N('Project Database'!AF105))</f>
        <v/>
      </c>
      <c r="BN101" s="5">
        <f>IF('Project Database'!A105="","",N('Project Database'!AG105))</f>
        <v/>
      </c>
      <c r="BO101" s="5">
        <f>IF('Project Database'!A105="","",N('Project Database'!AH105))</f>
        <v/>
      </c>
      <c r="BP101" s="5">
        <f>IF('Project Database'!A105="","",N('Project Database'!AI105))</f>
        <v/>
      </c>
      <c r="BQ101" s="5">
        <f>IF('Project Database'!A105="","",N('Project Database'!AJ105))</f>
        <v/>
      </c>
      <c r="BR101" s="5">
        <f>IF('Project Database'!A105="","",N('Project Database'!AK105))</f>
        <v/>
      </c>
      <c r="BS101" s="5">
        <f>IF('Project Database'!A105="","",N('Project Database'!AL105))</f>
        <v/>
      </c>
      <c r="BT101" s="5">
        <f>IF('Project Database'!A105="","",N('Project Database'!AM105))</f>
        <v/>
      </c>
      <c r="BU101" s="5">
        <f>IF('Project Database'!A105="","",N('Project Database'!AN105))</f>
        <v/>
      </c>
      <c r="BV101" s="5">
        <f>IF('Project Database'!A105="","",N('Project Database'!AO105))</f>
        <v/>
      </c>
      <c r="BW101" s="5">
        <f>IF('Project Database'!A105="","",N('Project Database'!AP105))</f>
        <v/>
      </c>
      <c r="BX101" s="5">
        <f>IF(A101="","",SUM(BJ101:BW101))</f>
        <v/>
      </c>
      <c r="BY101" s="5">
        <f>IF(A101="","",IFERROR(IF(ISNUMBER(U101),U101,VALUE(SUBSTITUTE(SUBSTITUTE(SUBSTITUTE(UPPER(TRIM(U101)),"M",""),",","")," ",""))),0))</f>
        <v/>
      </c>
    </row>
    <row r="102" ht="15" customHeight="1" s="74">
      <c r="A102" s="66">
        <f>'Project Database'!A106</f>
        <v/>
      </c>
      <c r="B102" s="66">
        <f>'Project Database'!B106</f>
        <v/>
      </c>
      <c r="C102" s="66">
        <f>'Project Database'!G106</f>
        <v/>
      </c>
      <c r="D102" s="66">
        <f>'Project Database'!H106</f>
        <v/>
      </c>
      <c r="E102" s="66">
        <f>'Project Database'!I106</f>
        <v/>
      </c>
      <c r="F102" s="66">
        <f>'Project Database'!J106</f>
        <v/>
      </c>
      <c r="G102" s="66">
        <f>'Project Database'!K106</f>
        <v/>
      </c>
      <c r="H102" s="66">
        <f>'Project Database'!L106</f>
        <v/>
      </c>
      <c r="I102" s="66">
        <f>'Project Database'!M106</f>
        <v/>
      </c>
      <c r="J102" s="66">
        <f>'Project Database'!N106</f>
        <v/>
      </c>
      <c r="K102" s="66">
        <f>'Project Database'!O106</f>
        <v/>
      </c>
      <c r="L102" s="66">
        <f>'Project Database'!P106</f>
        <v/>
      </c>
      <c r="M102" s="66">
        <f>'Project Database'!Q106</f>
        <v/>
      </c>
      <c r="N102" s="66">
        <f>'Project Database'!R106</f>
        <v/>
      </c>
      <c r="O102" s="66">
        <f>'Project Database'!S106</f>
        <v/>
      </c>
      <c r="P102" s="66">
        <f>'Project Database'!T106</f>
        <v/>
      </c>
      <c r="Q102" s="66">
        <f>'Project Database'!U106</f>
        <v/>
      </c>
      <c r="R102" s="66">
        <f>'Project Database'!V106</f>
        <v/>
      </c>
      <c r="S102" s="66">
        <f>'Project Database'!W106</f>
        <v/>
      </c>
      <c r="T102" s="66">
        <f>'Project Database'!X106</f>
        <v/>
      </c>
      <c r="U102" s="67">
        <f>'Project Database'!Y106</f>
        <v/>
      </c>
      <c r="V102" s="66">
        <f>IF('Smart Search'!B13=1,IFERROR(1/'Smart Search'!H13,0),0)</f>
        <v/>
      </c>
      <c r="W102" s="66">
        <f>IF('Smart Search'!B13=1,IFERROR(1/'Smart Search'!H13,0),0)</f>
        <v/>
      </c>
      <c r="X102" s="66">
        <f>IF('Smart Search'!C13=1,IFERROR(1/'Smart Search'!H13,0),0)</f>
        <v/>
      </c>
      <c r="Y102" s="66">
        <f>IF('Smart Search'!C13=1,IFERROR(1/'Smart Search'!H13,0),0)</f>
        <v/>
      </c>
      <c r="Z102" s="66">
        <f>IF('Smart Search'!D13=1,IFERROR(1/'Smart Search'!H13,0),0)</f>
        <v/>
      </c>
      <c r="AA102" s="66">
        <f>IF('Smart Search'!D13=1,IFERROR(1/'Smart Search'!H13,0),0)</f>
        <v/>
      </c>
      <c r="AB102" s="66">
        <f>IF('Smart Search'!E13=1,IFERROR(1/'Smart Search'!H13,0),0)</f>
        <v/>
      </c>
      <c r="AC102" s="66">
        <f>IF('Smart Search'!E13=1,IFERROR(1/'Smart Search'!H13,0),0)</f>
        <v/>
      </c>
      <c r="AD102" s="66">
        <f>IF('Smart Search'!F13=1,IFERROR(1/'Smart Search'!H13,0),0)</f>
        <v/>
      </c>
      <c r="AE102" s="66">
        <f>IF('Smart Search'!F13=1,IFERROR(1/'Smart Search'!H13,0),0)</f>
        <v/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66">
        <f>AF102*V102</f>
        <v/>
      </c>
      <c r="AQ102" s="66">
        <f>AG102*W102</f>
        <v/>
      </c>
      <c r="AR102" s="66">
        <f>AH102*X102</f>
        <v/>
      </c>
      <c r="AS102" s="66">
        <f>AI102*Y102</f>
        <v/>
      </c>
      <c r="AT102" s="66">
        <f>AJ102*Z102</f>
        <v/>
      </c>
      <c r="AU102" s="66">
        <f>AK102*AA102</f>
        <v/>
      </c>
      <c r="AV102" s="66">
        <f>AL102*AB102</f>
        <v/>
      </c>
      <c r="AW102" s="66">
        <f>AM102*AC102</f>
        <v/>
      </c>
      <c r="AX102" s="66">
        <f>AN102*AD102</f>
        <v/>
      </c>
      <c r="AY102" s="66">
        <f>AO102*AE102</f>
        <v/>
      </c>
      <c r="AZ102" s="66">
        <f>'Project Database'!Z106</f>
        <v/>
      </c>
      <c r="BA102" s="66">
        <f>IF(OR(A102="",'Smart Search'!H13=0),"",MAX(0,BE102*BF102*MAX(0,1-BG102)))</f>
        <v/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66">
        <f>IF('Smart Search'!G13=1,IFERROR(1/'Smart Search'!H13,0),0)</f>
        <v/>
      </c>
      <c r="BD102" s="66">
        <f>BB102*BC102</f>
        <v/>
      </c>
      <c r="BE102" s="66">
        <f>AP102+AQ102+AR102+AS102+AT102+AU102+AV102+AW102+AX102+AY102+BD102</f>
        <v/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5">
        <f>IF(AND('Project Database'!A106&lt;&gt;"",OR('Smart Search'!$L$5="",'Smart Search'!$L$5="All",TRIM('Project Database'!D106)=TRIM('Smart Search'!$L$5)),OR(TRIM('Smart Search'!$L$6)="",TRIM('Smart Search'!$L$6)="All",ISNUMBER(SEARCH(SUBSTITUTE(SUBSTITUTE(SUBSTITUTE(TRIM('Smart Search'!$L$6),"~","~~"),"*","~*"),"?","~?"),'Project Database'!C106))),OR('Smart Search'!$L$7="",AND('Project Database'!E106&lt;&gt;"",'Project Database'!E106='Smart Search'!$L$7)),OR('Smart Search'!$L$8="",'Smart Search'!$L$8="All",TRIM('Project Database'!F106)=TRIM('Smart Search'!$L$8))),IF(BA102="","",BA102+ROW()*0.0000000001),"")</f>
        <v/>
      </c>
      <c r="BI102" s="5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>
        <f>IF('Project Database'!A106="","",N('Project Database'!AC106))</f>
        <v/>
      </c>
      <c r="BK102" s="5">
        <f>IF('Project Database'!A106="","",N('Project Database'!AD106))</f>
        <v/>
      </c>
      <c r="BL102" s="5">
        <f>IF('Project Database'!A106="","",N('Project Database'!AE106))</f>
        <v/>
      </c>
      <c r="BM102" s="5">
        <f>IF('Project Database'!A106="","",N('Project Database'!AF106))</f>
        <v/>
      </c>
      <c r="BN102" s="5">
        <f>IF('Project Database'!A106="","",N('Project Database'!AG106))</f>
        <v/>
      </c>
      <c r="BO102" s="5">
        <f>IF('Project Database'!A106="","",N('Project Database'!AH106))</f>
        <v/>
      </c>
      <c r="BP102" s="5">
        <f>IF('Project Database'!A106="","",N('Project Database'!AI106))</f>
        <v/>
      </c>
      <c r="BQ102" s="5">
        <f>IF('Project Database'!A106="","",N('Project Database'!AJ106))</f>
        <v/>
      </c>
      <c r="BR102" s="5">
        <f>IF('Project Database'!A106="","",N('Project Database'!AK106))</f>
        <v/>
      </c>
      <c r="BS102" s="5">
        <f>IF('Project Database'!A106="","",N('Project Database'!AL106))</f>
        <v/>
      </c>
      <c r="BT102" s="5">
        <f>IF('Project Database'!A106="","",N('Project Database'!AM106))</f>
        <v/>
      </c>
      <c r="BU102" s="5">
        <f>IF('Project Database'!A106="","",N('Project Database'!AN106))</f>
        <v/>
      </c>
      <c r="BV102" s="5">
        <f>IF('Project Database'!A106="","",N('Project Database'!AO106))</f>
        <v/>
      </c>
      <c r="BW102" s="5">
        <f>IF('Project Database'!A106="","",N('Project Database'!AP106))</f>
        <v/>
      </c>
      <c r="BX102" s="5">
        <f>IF(A102="","",SUM(BJ102:BW102))</f>
        <v/>
      </c>
      <c r="BY102" s="5">
        <f>IF(A102="","",IFERROR(IF(ISNUMBER(U102),U102,VALUE(SUBSTITUTE(SUBSTITUTE(SUBSTITUTE(UPPER(TRIM(U102)),"M",""),",","")," ",""))),0))</f>
        <v/>
      </c>
    </row>
    <row r="103" ht="15" customHeight="1" s="74">
      <c r="A103" s="66">
        <f>'Project Database'!A107</f>
        <v/>
      </c>
      <c r="B103" s="66">
        <f>'Project Database'!B107</f>
        <v/>
      </c>
      <c r="C103" s="66">
        <f>'Project Database'!G107</f>
        <v/>
      </c>
      <c r="D103" s="66">
        <f>'Project Database'!H107</f>
        <v/>
      </c>
      <c r="E103" s="66">
        <f>'Project Database'!I107</f>
        <v/>
      </c>
      <c r="F103" s="66">
        <f>'Project Database'!J107</f>
        <v/>
      </c>
      <c r="G103" s="66">
        <f>'Project Database'!K107</f>
        <v/>
      </c>
      <c r="H103" s="66">
        <f>'Project Database'!L107</f>
        <v/>
      </c>
      <c r="I103" s="66">
        <f>'Project Database'!M107</f>
        <v/>
      </c>
      <c r="J103" s="66">
        <f>'Project Database'!N107</f>
        <v/>
      </c>
      <c r="K103" s="66">
        <f>'Project Database'!O107</f>
        <v/>
      </c>
      <c r="L103" s="66">
        <f>'Project Database'!P107</f>
        <v/>
      </c>
      <c r="M103" s="66">
        <f>'Project Database'!Q107</f>
        <v/>
      </c>
      <c r="N103" s="66">
        <f>'Project Database'!R107</f>
        <v/>
      </c>
      <c r="O103" s="66">
        <f>'Project Database'!S107</f>
        <v/>
      </c>
      <c r="P103" s="66">
        <f>'Project Database'!T107</f>
        <v/>
      </c>
      <c r="Q103" s="66">
        <f>'Project Database'!U107</f>
        <v/>
      </c>
      <c r="R103" s="66">
        <f>'Project Database'!V107</f>
        <v/>
      </c>
      <c r="S103" s="66">
        <f>'Project Database'!W107</f>
        <v/>
      </c>
      <c r="T103" s="66">
        <f>'Project Database'!X107</f>
        <v/>
      </c>
      <c r="U103" s="67">
        <f>'Project Database'!Y107</f>
        <v/>
      </c>
      <c r="V103" s="66">
        <f>IF('Smart Search'!B13=1,IFERROR(1/'Smart Search'!H13,0),0)</f>
        <v/>
      </c>
      <c r="W103" s="66">
        <f>IF('Smart Search'!B13=1,IFERROR(1/'Smart Search'!H13,0),0)</f>
        <v/>
      </c>
      <c r="X103" s="66">
        <f>IF('Smart Search'!C13=1,IFERROR(1/'Smart Search'!H13,0),0)</f>
        <v/>
      </c>
      <c r="Y103" s="66">
        <f>IF('Smart Search'!C13=1,IFERROR(1/'Smart Search'!H13,0),0)</f>
        <v/>
      </c>
      <c r="Z103" s="66">
        <f>IF('Smart Search'!D13=1,IFERROR(1/'Smart Search'!H13,0),0)</f>
        <v/>
      </c>
      <c r="AA103" s="66">
        <f>IF('Smart Search'!D13=1,IFERROR(1/'Smart Search'!H13,0),0)</f>
        <v/>
      </c>
      <c r="AB103" s="66">
        <f>IF('Smart Search'!E13=1,IFERROR(1/'Smart Search'!H13,0),0)</f>
        <v/>
      </c>
      <c r="AC103" s="66">
        <f>IF('Smart Search'!E13=1,IFERROR(1/'Smart Search'!H13,0),0)</f>
        <v/>
      </c>
      <c r="AD103" s="66">
        <f>IF('Smart Search'!F13=1,IFERROR(1/'Smart Search'!H13,0),0)</f>
        <v/>
      </c>
      <c r="AE103" s="66">
        <f>IF('Smart Search'!F13=1,IFERROR(1/'Smart Search'!H13,0),0)</f>
        <v/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66">
        <f>AF103*V103</f>
        <v/>
      </c>
      <c r="AQ103" s="66">
        <f>AG103*W103</f>
        <v/>
      </c>
      <c r="AR103" s="66">
        <f>AH103*X103</f>
        <v/>
      </c>
      <c r="AS103" s="66">
        <f>AI103*Y103</f>
        <v/>
      </c>
      <c r="AT103" s="66">
        <f>AJ103*Z103</f>
        <v/>
      </c>
      <c r="AU103" s="66">
        <f>AK103*AA103</f>
        <v/>
      </c>
      <c r="AV103" s="66">
        <f>AL103*AB103</f>
        <v/>
      </c>
      <c r="AW103" s="66">
        <f>AM103*AC103</f>
        <v/>
      </c>
      <c r="AX103" s="66">
        <f>AN103*AD103</f>
        <v/>
      </c>
      <c r="AY103" s="66">
        <f>AO103*AE103</f>
        <v/>
      </c>
      <c r="AZ103" s="66">
        <f>'Project Database'!Z107</f>
        <v/>
      </c>
      <c r="BA103" s="66">
        <f>IF(OR(A103="",'Smart Search'!H13=0),"",MAX(0,BE103*BF103*MAX(0,1-BG103)))</f>
        <v/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66">
        <f>IF('Smart Search'!G13=1,IFERROR(1/'Smart Search'!H13,0),0)</f>
        <v/>
      </c>
      <c r="BD103" s="66">
        <f>BB103*BC103</f>
        <v/>
      </c>
      <c r="BE103" s="66">
        <f>AP103+AQ103+AR103+AS103+AT103+AU103+AV103+AW103+AX103+AY103+BD103</f>
        <v/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5">
        <f>IF(AND('Project Database'!A107&lt;&gt;"",OR('Smart Search'!$L$5="",'Smart Search'!$L$5="All",TRIM('Project Database'!D107)=TRIM('Smart Search'!$L$5)),OR(TRIM('Smart Search'!$L$6)="",TRIM('Smart Search'!$L$6)="All",ISNUMBER(SEARCH(SUBSTITUTE(SUBSTITUTE(SUBSTITUTE(TRIM('Smart Search'!$L$6),"~","~~"),"*","~*"),"?","~?"),'Project Database'!C107))),OR('Smart Search'!$L$7="",AND('Project Database'!E107&lt;&gt;"",'Project Database'!E107='Smart Search'!$L$7)),OR('Smart Search'!$L$8="",'Smart Search'!$L$8="All",TRIM('Project Database'!F107)=TRIM('Smart Search'!$L$8))),IF(BA103="","",BA103+ROW()*0.0000000001),"")</f>
        <v/>
      </c>
      <c r="BI103" s="5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>
        <f>IF('Project Database'!A107="","",N('Project Database'!AC107))</f>
        <v/>
      </c>
      <c r="BK103" s="5">
        <f>IF('Project Database'!A107="","",N('Project Database'!AD107))</f>
        <v/>
      </c>
      <c r="BL103" s="5">
        <f>IF('Project Database'!A107="","",N('Project Database'!AE107))</f>
        <v/>
      </c>
      <c r="BM103" s="5">
        <f>IF('Project Database'!A107="","",N('Project Database'!AF107))</f>
        <v/>
      </c>
      <c r="BN103" s="5">
        <f>IF('Project Database'!A107="","",N('Project Database'!AG107))</f>
        <v/>
      </c>
      <c r="BO103" s="5">
        <f>IF('Project Database'!A107="","",N('Project Database'!AH107))</f>
        <v/>
      </c>
      <c r="BP103" s="5">
        <f>IF('Project Database'!A107="","",N('Project Database'!AI107))</f>
        <v/>
      </c>
      <c r="BQ103" s="5">
        <f>IF('Project Database'!A107="","",N('Project Database'!AJ107))</f>
        <v/>
      </c>
      <c r="BR103" s="5">
        <f>IF('Project Database'!A107="","",N('Project Database'!AK107))</f>
        <v/>
      </c>
      <c r="BS103" s="5">
        <f>IF('Project Database'!A107="","",N('Project Database'!AL107))</f>
        <v/>
      </c>
      <c r="BT103" s="5">
        <f>IF('Project Database'!A107="","",N('Project Database'!AM107))</f>
        <v/>
      </c>
      <c r="BU103" s="5">
        <f>IF('Project Database'!A107="","",N('Project Database'!AN107))</f>
        <v/>
      </c>
      <c r="BV103" s="5">
        <f>IF('Project Database'!A107="","",N('Project Database'!AO107))</f>
        <v/>
      </c>
      <c r="BW103" s="5">
        <f>IF('Project Database'!A107="","",N('Project Database'!AP107))</f>
        <v/>
      </c>
      <c r="BX103" s="5">
        <f>IF(A103="","",SUM(BJ103:BW103))</f>
        <v/>
      </c>
      <c r="BY103" s="5">
        <f>IF(A103="","",IFERROR(IF(ISNUMBER(U103),U103,VALUE(SUBSTITUTE(SUBSTITUTE(SUBSTITUTE(UPPER(TRIM(U103)),"M",""),",","")," ",""))),0))</f>
        <v/>
      </c>
    </row>
    <row r="104" ht="15" customHeight="1" s="74">
      <c r="A104" s="66">
        <f>'Project Database'!A108</f>
        <v/>
      </c>
      <c r="B104" s="66">
        <f>'Project Database'!B108</f>
        <v/>
      </c>
      <c r="C104" s="66">
        <f>'Project Database'!G108</f>
        <v/>
      </c>
      <c r="D104" s="66">
        <f>'Project Database'!H108</f>
        <v/>
      </c>
      <c r="E104" s="66">
        <f>'Project Database'!I108</f>
        <v/>
      </c>
      <c r="F104" s="66">
        <f>'Project Database'!J108</f>
        <v/>
      </c>
      <c r="G104" s="66">
        <f>'Project Database'!K108</f>
        <v/>
      </c>
      <c r="H104" s="66">
        <f>'Project Database'!L108</f>
        <v/>
      </c>
      <c r="I104" s="66">
        <f>'Project Database'!M108</f>
        <v/>
      </c>
      <c r="J104" s="66">
        <f>'Project Database'!N108</f>
        <v/>
      </c>
      <c r="K104" s="66">
        <f>'Project Database'!O108</f>
        <v/>
      </c>
      <c r="L104" s="66">
        <f>'Project Database'!P108</f>
        <v/>
      </c>
      <c r="M104" s="66">
        <f>'Project Database'!Q108</f>
        <v/>
      </c>
      <c r="N104" s="66">
        <f>'Project Database'!R108</f>
        <v/>
      </c>
      <c r="O104" s="66">
        <f>'Project Database'!S108</f>
        <v/>
      </c>
      <c r="P104" s="66">
        <f>'Project Database'!T108</f>
        <v/>
      </c>
      <c r="Q104" s="66">
        <f>'Project Database'!U108</f>
        <v/>
      </c>
      <c r="R104" s="66">
        <f>'Project Database'!V108</f>
        <v/>
      </c>
      <c r="S104" s="66">
        <f>'Project Database'!W108</f>
        <v/>
      </c>
      <c r="T104" s="66">
        <f>'Project Database'!X108</f>
        <v/>
      </c>
      <c r="U104" s="67">
        <f>'Project Database'!Y108</f>
        <v/>
      </c>
      <c r="V104" s="66">
        <f>IF('Smart Search'!B13=1,IFERROR(1/'Smart Search'!H13,0),0)</f>
        <v/>
      </c>
      <c r="W104" s="66">
        <f>IF('Smart Search'!B13=1,IFERROR(1/'Smart Search'!H13,0),0)</f>
        <v/>
      </c>
      <c r="X104" s="66">
        <f>IF('Smart Search'!C13=1,IFERROR(1/'Smart Search'!H13,0),0)</f>
        <v/>
      </c>
      <c r="Y104" s="66">
        <f>IF('Smart Search'!C13=1,IFERROR(1/'Smart Search'!H13,0),0)</f>
        <v/>
      </c>
      <c r="Z104" s="66">
        <f>IF('Smart Search'!D13=1,IFERROR(1/'Smart Search'!H13,0),0)</f>
        <v/>
      </c>
      <c r="AA104" s="66">
        <f>IF('Smart Search'!D13=1,IFERROR(1/'Smart Search'!H13,0),0)</f>
        <v/>
      </c>
      <c r="AB104" s="66">
        <f>IF('Smart Search'!E13=1,IFERROR(1/'Smart Search'!H13,0),0)</f>
        <v/>
      </c>
      <c r="AC104" s="66">
        <f>IF('Smart Search'!E13=1,IFERROR(1/'Smart Search'!H13,0),0)</f>
        <v/>
      </c>
      <c r="AD104" s="66">
        <f>IF('Smart Search'!F13=1,IFERROR(1/'Smart Search'!H13,0),0)</f>
        <v/>
      </c>
      <c r="AE104" s="66">
        <f>IF('Smart Search'!F13=1,IFERROR(1/'Smart Search'!H13,0),0)</f>
        <v/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66">
        <f>AF104*V104</f>
        <v/>
      </c>
      <c r="AQ104" s="66">
        <f>AG104*W104</f>
        <v/>
      </c>
      <c r="AR104" s="66">
        <f>AH104*X104</f>
        <v/>
      </c>
      <c r="AS104" s="66">
        <f>AI104*Y104</f>
        <v/>
      </c>
      <c r="AT104" s="66">
        <f>AJ104*Z104</f>
        <v/>
      </c>
      <c r="AU104" s="66">
        <f>AK104*AA104</f>
        <v/>
      </c>
      <c r="AV104" s="66">
        <f>AL104*AB104</f>
        <v/>
      </c>
      <c r="AW104" s="66">
        <f>AM104*AC104</f>
        <v/>
      </c>
      <c r="AX104" s="66">
        <f>AN104*AD104</f>
        <v/>
      </c>
      <c r="AY104" s="66">
        <f>AO104*AE104</f>
        <v/>
      </c>
      <c r="AZ104" s="66">
        <f>'Project Database'!Z108</f>
        <v/>
      </c>
      <c r="BA104" s="66">
        <f>IF(OR(A104="",'Smart Search'!H13=0),"",MAX(0,BE104*BF104*MAX(0,1-BG104)))</f>
        <v/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66">
        <f>IF('Smart Search'!G13=1,IFERROR(1/'Smart Search'!H13,0),0)</f>
        <v/>
      </c>
      <c r="BD104" s="66">
        <f>BB104*BC104</f>
        <v/>
      </c>
      <c r="BE104" s="66">
        <f>AP104+AQ104+AR104+AS104+AT104+AU104+AV104+AW104+AX104+AY104+BD104</f>
        <v/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5">
        <f>IF(AND('Project Database'!A108&lt;&gt;"",OR('Smart Search'!$L$5="",'Smart Search'!$L$5="All",TRIM('Project Database'!D108)=TRIM('Smart Search'!$L$5)),OR(TRIM('Smart Search'!$L$6)="",TRIM('Smart Search'!$L$6)="All",ISNUMBER(SEARCH(SUBSTITUTE(SUBSTITUTE(SUBSTITUTE(TRIM('Smart Search'!$L$6),"~","~~"),"*","~*"),"?","~?"),'Project Database'!C108))),OR('Smart Search'!$L$7="",AND('Project Database'!E108&lt;&gt;"",'Project Database'!E108='Smart Search'!$L$7)),OR('Smart Search'!$L$8="",'Smart Search'!$L$8="All",TRIM('Project Database'!F108)=TRIM('Smart Search'!$L$8))),IF(BA104="","",BA104+ROW()*0.0000000001),"")</f>
        <v/>
      </c>
      <c r="BI104" s="5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>
        <f>IF('Project Database'!A108="","",N('Project Database'!AC108))</f>
        <v/>
      </c>
      <c r="BK104" s="5">
        <f>IF('Project Database'!A108="","",N('Project Database'!AD108))</f>
        <v/>
      </c>
      <c r="BL104" s="5">
        <f>IF('Project Database'!A108="","",N('Project Database'!AE108))</f>
        <v/>
      </c>
      <c r="BM104" s="5">
        <f>IF('Project Database'!A108="","",N('Project Database'!AF108))</f>
        <v/>
      </c>
      <c r="BN104" s="5">
        <f>IF('Project Database'!A108="","",N('Project Database'!AG108))</f>
        <v/>
      </c>
      <c r="BO104" s="5">
        <f>IF('Project Database'!A108="","",N('Project Database'!AH108))</f>
        <v/>
      </c>
      <c r="BP104" s="5">
        <f>IF('Project Database'!A108="","",N('Project Database'!AI108))</f>
        <v/>
      </c>
      <c r="BQ104" s="5">
        <f>IF('Project Database'!A108="","",N('Project Database'!AJ108))</f>
        <v/>
      </c>
      <c r="BR104" s="5">
        <f>IF('Project Database'!A108="","",N('Project Database'!AK108))</f>
        <v/>
      </c>
      <c r="BS104" s="5">
        <f>IF('Project Database'!A108="","",N('Project Database'!AL108))</f>
        <v/>
      </c>
      <c r="BT104" s="5">
        <f>IF('Project Database'!A108="","",N('Project Database'!AM108))</f>
        <v/>
      </c>
      <c r="BU104" s="5">
        <f>IF('Project Database'!A108="","",N('Project Database'!AN108))</f>
        <v/>
      </c>
      <c r="BV104" s="5">
        <f>IF('Project Database'!A108="","",N('Project Database'!AO108))</f>
        <v/>
      </c>
      <c r="BW104" s="5">
        <f>IF('Project Database'!A108="","",N('Project Database'!AP108))</f>
        <v/>
      </c>
      <c r="BX104" s="5">
        <f>IF(A104="","",SUM(BJ104:BW104))</f>
        <v/>
      </c>
      <c r="BY104" s="5">
        <f>IF(A104="","",IFERROR(IF(ISNUMBER(U104),U104,VALUE(SUBSTITUTE(SUBSTITUTE(SUBSTITUTE(UPPER(TRIM(U104)),"M",""),",","")," ",""))),0))</f>
        <v/>
      </c>
    </row>
    <row r="105" ht="15" customHeight="1" s="74">
      <c r="A105" s="66">
        <f>'Project Database'!A109</f>
        <v/>
      </c>
      <c r="B105" s="66">
        <f>'Project Database'!B109</f>
        <v/>
      </c>
      <c r="C105" s="66">
        <f>'Project Database'!G109</f>
        <v/>
      </c>
      <c r="D105" s="66">
        <f>'Project Database'!H109</f>
        <v/>
      </c>
      <c r="E105" s="66">
        <f>'Project Database'!I109</f>
        <v/>
      </c>
      <c r="F105" s="66">
        <f>'Project Database'!J109</f>
        <v/>
      </c>
      <c r="G105" s="66">
        <f>'Project Database'!K109</f>
        <v/>
      </c>
      <c r="H105" s="66">
        <f>'Project Database'!L109</f>
        <v/>
      </c>
      <c r="I105" s="66">
        <f>'Project Database'!M109</f>
        <v/>
      </c>
      <c r="J105" s="66">
        <f>'Project Database'!N109</f>
        <v/>
      </c>
      <c r="K105" s="66">
        <f>'Project Database'!O109</f>
        <v/>
      </c>
      <c r="L105" s="66">
        <f>'Project Database'!P109</f>
        <v/>
      </c>
      <c r="M105" s="66">
        <f>'Project Database'!Q109</f>
        <v/>
      </c>
      <c r="N105" s="66">
        <f>'Project Database'!R109</f>
        <v/>
      </c>
      <c r="O105" s="66">
        <f>'Project Database'!S109</f>
        <v/>
      </c>
      <c r="P105" s="66">
        <f>'Project Database'!T109</f>
        <v/>
      </c>
      <c r="Q105" s="66">
        <f>'Project Database'!U109</f>
        <v/>
      </c>
      <c r="R105" s="66">
        <f>'Project Database'!V109</f>
        <v/>
      </c>
      <c r="S105" s="66">
        <f>'Project Database'!W109</f>
        <v/>
      </c>
      <c r="T105" s="66">
        <f>'Project Database'!X109</f>
        <v/>
      </c>
      <c r="U105" s="67">
        <f>'Project Database'!Y109</f>
        <v/>
      </c>
      <c r="V105" s="66">
        <f>IF('Smart Search'!B13=1,IFERROR(1/'Smart Search'!H13,0),0)</f>
        <v/>
      </c>
      <c r="W105" s="66">
        <f>IF('Smart Search'!B13=1,IFERROR(1/'Smart Search'!H13,0),0)</f>
        <v/>
      </c>
      <c r="X105" s="66">
        <f>IF('Smart Search'!C13=1,IFERROR(1/'Smart Search'!H13,0),0)</f>
        <v/>
      </c>
      <c r="Y105" s="66">
        <f>IF('Smart Search'!C13=1,IFERROR(1/'Smart Search'!H13,0),0)</f>
        <v/>
      </c>
      <c r="Z105" s="66">
        <f>IF('Smart Search'!D13=1,IFERROR(1/'Smart Search'!H13,0),0)</f>
        <v/>
      </c>
      <c r="AA105" s="66">
        <f>IF('Smart Search'!D13=1,IFERROR(1/'Smart Search'!H13,0),0)</f>
        <v/>
      </c>
      <c r="AB105" s="66">
        <f>IF('Smart Search'!E13=1,IFERROR(1/'Smart Search'!H13,0),0)</f>
        <v/>
      </c>
      <c r="AC105" s="66">
        <f>IF('Smart Search'!E13=1,IFERROR(1/'Smart Search'!H13,0),0)</f>
        <v/>
      </c>
      <c r="AD105" s="66">
        <f>IF('Smart Search'!F13=1,IFERROR(1/'Smart Search'!H13,0),0)</f>
        <v/>
      </c>
      <c r="AE105" s="66">
        <f>IF('Smart Search'!F13=1,IFERROR(1/'Smart Search'!H13,0),0)</f>
        <v/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66">
        <f>AF105*V105</f>
        <v/>
      </c>
      <c r="AQ105" s="66">
        <f>AG105*W105</f>
        <v/>
      </c>
      <c r="AR105" s="66">
        <f>AH105*X105</f>
        <v/>
      </c>
      <c r="AS105" s="66">
        <f>AI105*Y105</f>
        <v/>
      </c>
      <c r="AT105" s="66">
        <f>AJ105*Z105</f>
        <v/>
      </c>
      <c r="AU105" s="66">
        <f>AK105*AA105</f>
        <v/>
      </c>
      <c r="AV105" s="66">
        <f>AL105*AB105</f>
        <v/>
      </c>
      <c r="AW105" s="66">
        <f>AM105*AC105</f>
        <v/>
      </c>
      <c r="AX105" s="66">
        <f>AN105*AD105</f>
        <v/>
      </c>
      <c r="AY105" s="66">
        <f>AO105*AE105</f>
        <v/>
      </c>
      <c r="AZ105" s="66">
        <f>'Project Database'!Z109</f>
        <v/>
      </c>
      <c r="BA105" s="66">
        <f>IF(OR(A105="",'Smart Search'!H13=0),"",MAX(0,BE105*BF105*MAX(0,1-BG105)))</f>
        <v/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66">
        <f>IF('Smart Search'!G13=1,IFERROR(1/'Smart Search'!H13,0),0)</f>
        <v/>
      </c>
      <c r="BD105" s="66">
        <f>BB105*BC105</f>
        <v/>
      </c>
      <c r="BE105" s="66">
        <f>AP105+AQ105+AR105+AS105+AT105+AU105+AV105+AW105+AX105+AY105+BD105</f>
        <v/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5">
        <f>IF(AND('Project Database'!A109&lt;&gt;"",OR('Smart Search'!$L$5="",'Smart Search'!$L$5="All",TRIM('Project Database'!D109)=TRIM('Smart Search'!$L$5)),OR(TRIM('Smart Search'!$L$6)="",TRIM('Smart Search'!$L$6)="All",ISNUMBER(SEARCH(SUBSTITUTE(SUBSTITUTE(SUBSTITUTE(TRIM('Smart Search'!$L$6),"~","~~"),"*","~*"),"?","~?"),'Project Database'!C109))),OR('Smart Search'!$L$7="",AND('Project Database'!E109&lt;&gt;"",'Project Database'!E109='Smart Search'!$L$7)),OR('Smart Search'!$L$8="",'Smart Search'!$L$8="All",TRIM('Project Database'!F109)=TRIM('Smart Search'!$L$8))),IF(BA105="","",BA105+ROW()*0.0000000001),"")</f>
        <v/>
      </c>
      <c r="BI105" s="5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>
        <f>IF('Project Database'!A109="","",N('Project Database'!AC109))</f>
        <v/>
      </c>
      <c r="BK105" s="5">
        <f>IF('Project Database'!A109="","",N('Project Database'!AD109))</f>
        <v/>
      </c>
      <c r="BL105" s="5">
        <f>IF('Project Database'!A109="","",N('Project Database'!AE109))</f>
        <v/>
      </c>
      <c r="BM105" s="5">
        <f>IF('Project Database'!A109="","",N('Project Database'!AF109))</f>
        <v/>
      </c>
      <c r="BN105" s="5">
        <f>IF('Project Database'!A109="","",N('Project Database'!AG109))</f>
        <v/>
      </c>
      <c r="BO105" s="5">
        <f>IF('Project Database'!A109="","",N('Project Database'!AH109))</f>
        <v/>
      </c>
      <c r="BP105" s="5">
        <f>IF('Project Database'!A109="","",N('Project Database'!AI109))</f>
        <v/>
      </c>
      <c r="BQ105" s="5">
        <f>IF('Project Database'!A109="","",N('Project Database'!AJ109))</f>
        <v/>
      </c>
      <c r="BR105" s="5">
        <f>IF('Project Database'!A109="","",N('Project Database'!AK109))</f>
        <v/>
      </c>
      <c r="BS105" s="5">
        <f>IF('Project Database'!A109="","",N('Project Database'!AL109))</f>
        <v/>
      </c>
      <c r="BT105" s="5">
        <f>IF('Project Database'!A109="","",N('Project Database'!AM109))</f>
        <v/>
      </c>
      <c r="BU105" s="5">
        <f>IF('Project Database'!A109="","",N('Project Database'!AN109))</f>
        <v/>
      </c>
      <c r="BV105" s="5">
        <f>IF('Project Database'!A109="","",N('Project Database'!AO109))</f>
        <v/>
      </c>
      <c r="BW105" s="5">
        <f>IF('Project Database'!A109="","",N('Project Database'!AP109))</f>
        <v/>
      </c>
      <c r="BX105" s="5">
        <f>IF(A105="","",SUM(BJ105:BW105))</f>
        <v/>
      </c>
      <c r="BY105" s="5">
        <f>IF(A105="","",IFERROR(IF(ISNUMBER(U105),U105,VALUE(SUBSTITUTE(SUBSTITUTE(SUBSTITUTE(UPPER(TRIM(U105)),"M",""),",","")," ",""))),0))</f>
        <v/>
      </c>
    </row>
    <row r="106" ht="15" customHeight="1" s="74">
      <c r="A106" s="66">
        <f>'Project Database'!A110</f>
        <v/>
      </c>
      <c r="B106" s="66">
        <f>'Project Database'!B110</f>
        <v/>
      </c>
      <c r="C106" s="66">
        <f>'Project Database'!G110</f>
        <v/>
      </c>
      <c r="D106" s="66">
        <f>'Project Database'!H110</f>
        <v/>
      </c>
      <c r="E106" s="66">
        <f>'Project Database'!I110</f>
        <v/>
      </c>
      <c r="F106" s="66">
        <f>'Project Database'!J110</f>
        <v/>
      </c>
      <c r="G106" s="66">
        <f>'Project Database'!K110</f>
        <v/>
      </c>
      <c r="H106" s="66">
        <f>'Project Database'!L110</f>
        <v/>
      </c>
      <c r="I106" s="66">
        <f>'Project Database'!M110</f>
        <v/>
      </c>
      <c r="J106" s="66">
        <f>'Project Database'!N110</f>
        <v/>
      </c>
      <c r="K106" s="66">
        <f>'Project Database'!O110</f>
        <v/>
      </c>
      <c r="L106" s="66">
        <f>'Project Database'!P110</f>
        <v/>
      </c>
      <c r="M106" s="66">
        <f>'Project Database'!Q110</f>
        <v/>
      </c>
      <c r="N106" s="66">
        <f>'Project Database'!R110</f>
        <v/>
      </c>
      <c r="O106" s="66">
        <f>'Project Database'!S110</f>
        <v/>
      </c>
      <c r="P106" s="66">
        <f>'Project Database'!T110</f>
        <v/>
      </c>
      <c r="Q106" s="66">
        <f>'Project Database'!U110</f>
        <v/>
      </c>
      <c r="R106" s="66">
        <f>'Project Database'!V110</f>
        <v/>
      </c>
      <c r="S106" s="66">
        <f>'Project Database'!W110</f>
        <v/>
      </c>
      <c r="T106" s="66">
        <f>'Project Database'!X110</f>
        <v/>
      </c>
      <c r="U106" s="67">
        <f>'Project Database'!Y110</f>
        <v/>
      </c>
      <c r="V106" s="66">
        <f>IF('Smart Search'!B13=1,IFERROR(1/'Smart Search'!H13,0),0)</f>
        <v/>
      </c>
      <c r="W106" s="66">
        <f>IF('Smart Search'!B13=1,IFERROR(1/'Smart Search'!H13,0),0)</f>
        <v/>
      </c>
      <c r="X106" s="66">
        <f>IF('Smart Search'!C13=1,IFERROR(1/'Smart Search'!H13,0),0)</f>
        <v/>
      </c>
      <c r="Y106" s="66">
        <f>IF('Smart Search'!C13=1,IFERROR(1/'Smart Search'!H13,0),0)</f>
        <v/>
      </c>
      <c r="Z106" s="66">
        <f>IF('Smart Search'!D13=1,IFERROR(1/'Smart Search'!H13,0),0)</f>
        <v/>
      </c>
      <c r="AA106" s="66">
        <f>IF('Smart Search'!D13=1,IFERROR(1/'Smart Search'!H13,0),0)</f>
        <v/>
      </c>
      <c r="AB106" s="66">
        <f>IF('Smart Search'!E13=1,IFERROR(1/'Smart Search'!H13,0),0)</f>
        <v/>
      </c>
      <c r="AC106" s="66">
        <f>IF('Smart Search'!E13=1,IFERROR(1/'Smart Search'!H13,0),0)</f>
        <v/>
      </c>
      <c r="AD106" s="66">
        <f>IF('Smart Search'!F13=1,IFERROR(1/'Smart Search'!H13,0),0)</f>
        <v/>
      </c>
      <c r="AE106" s="66">
        <f>IF('Smart Search'!F13=1,IFERROR(1/'Smart Search'!H13,0),0)</f>
        <v/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66">
        <f>AF106*V106</f>
        <v/>
      </c>
      <c r="AQ106" s="66">
        <f>AG106*W106</f>
        <v/>
      </c>
      <c r="AR106" s="66">
        <f>AH106*X106</f>
        <v/>
      </c>
      <c r="AS106" s="66">
        <f>AI106*Y106</f>
        <v/>
      </c>
      <c r="AT106" s="66">
        <f>AJ106*Z106</f>
        <v/>
      </c>
      <c r="AU106" s="66">
        <f>AK106*AA106</f>
        <v/>
      </c>
      <c r="AV106" s="66">
        <f>AL106*AB106</f>
        <v/>
      </c>
      <c r="AW106" s="66">
        <f>AM106*AC106</f>
        <v/>
      </c>
      <c r="AX106" s="66">
        <f>AN106*AD106</f>
        <v/>
      </c>
      <c r="AY106" s="66">
        <f>AO106*AE106</f>
        <v/>
      </c>
      <c r="AZ106" s="66">
        <f>'Project Database'!Z110</f>
        <v/>
      </c>
      <c r="BA106" s="66">
        <f>IF(OR(A106="",'Smart Search'!H13=0),"",MAX(0,BE106*BF106*MAX(0,1-BG106)))</f>
        <v/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66">
        <f>IF('Smart Search'!G13=1,IFERROR(1/'Smart Search'!H13,0),0)</f>
        <v/>
      </c>
      <c r="BD106" s="66">
        <f>BB106*BC106</f>
        <v/>
      </c>
      <c r="BE106" s="66">
        <f>AP106+AQ106+AR106+AS106+AT106+AU106+AV106+AW106+AX106+AY106+BD106</f>
        <v/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5">
        <f>IF(AND('Project Database'!A110&lt;&gt;"",OR('Smart Search'!$L$5="",'Smart Search'!$L$5="All",TRIM('Project Database'!D110)=TRIM('Smart Search'!$L$5)),OR(TRIM('Smart Search'!$L$6)="",TRIM('Smart Search'!$L$6)="All",ISNUMBER(SEARCH(SUBSTITUTE(SUBSTITUTE(SUBSTITUTE(TRIM('Smart Search'!$L$6),"~","~~"),"*","~*"),"?","~?"),'Project Database'!C110))),OR('Smart Search'!$L$7="",AND('Project Database'!E110&lt;&gt;"",'Project Database'!E110='Smart Search'!$L$7)),OR('Smart Search'!$L$8="",'Smart Search'!$L$8="All",TRIM('Project Database'!F110)=TRIM('Smart Search'!$L$8))),IF(BA106="","",BA106+ROW()*0.0000000001),"")</f>
        <v/>
      </c>
      <c r="BI106" s="5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>
        <f>IF('Project Database'!A110="","",N('Project Database'!AC110))</f>
        <v/>
      </c>
      <c r="BK106" s="5">
        <f>IF('Project Database'!A110="","",N('Project Database'!AD110))</f>
        <v/>
      </c>
      <c r="BL106" s="5">
        <f>IF('Project Database'!A110="","",N('Project Database'!AE110))</f>
        <v/>
      </c>
      <c r="BM106" s="5">
        <f>IF('Project Database'!A110="","",N('Project Database'!AF110))</f>
        <v/>
      </c>
      <c r="BN106" s="5">
        <f>IF('Project Database'!A110="","",N('Project Database'!AG110))</f>
        <v/>
      </c>
      <c r="BO106" s="5">
        <f>IF('Project Database'!A110="","",N('Project Database'!AH110))</f>
        <v/>
      </c>
      <c r="BP106" s="5">
        <f>IF('Project Database'!A110="","",N('Project Database'!AI110))</f>
        <v/>
      </c>
      <c r="BQ106" s="5">
        <f>IF('Project Database'!A110="","",N('Project Database'!AJ110))</f>
        <v/>
      </c>
      <c r="BR106" s="5">
        <f>IF('Project Database'!A110="","",N('Project Database'!AK110))</f>
        <v/>
      </c>
      <c r="BS106" s="5">
        <f>IF('Project Database'!A110="","",N('Project Database'!AL110))</f>
        <v/>
      </c>
      <c r="BT106" s="5">
        <f>IF('Project Database'!A110="","",N('Project Database'!AM110))</f>
        <v/>
      </c>
      <c r="BU106" s="5">
        <f>IF('Project Database'!A110="","",N('Project Database'!AN110))</f>
        <v/>
      </c>
      <c r="BV106" s="5">
        <f>IF('Project Database'!A110="","",N('Project Database'!AO110))</f>
        <v/>
      </c>
      <c r="BW106" s="5">
        <f>IF('Project Database'!A110="","",N('Project Database'!AP110))</f>
        <v/>
      </c>
      <c r="BX106" s="5">
        <f>IF(A106="","",SUM(BJ106:BW106))</f>
        <v/>
      </c>
      <c r="BY106" s="5">
        <f>IF(A106="","",IFERROR(IF(ISNUMBER(U106),U106,VALUE(SUBSTITUTE(SUBSTITUTE(SUBSTITUTE(UPPER(TRIM(U106)),"M",""),",","")," ",""))),0))</f>
        <v/>
      </c>
    </row>
    <row r="107" ht="15" customHeight="1" s="74">
      <c r="A107" s="66">
        <f>'Project Database'!A111</f>
        <v/>
      </c>
      <c r="B107" s="66">
        <f>'Project Database'!B111</f>
        <v/>
      </c>
      <c r="C107" s="66">
        <f>'Project Database'!G111</f>
        <v/>
      </c>
      <c r="D107" s="66">
        <f>'Project Database'!H111</f>
        <v/>
      </c>
      <c r="E107" s="66">
        <f>'Project Database'!I111</f>
        <v/>
      </c>
      <c r="F107" s="66">
        <f>'Project Database'!J111</f>
        <v/>
      </c>
      <c r="G107" s="66">
        <f>'Project Database'!K111</f>
        <v/>
      </c>
      <c r="H107" s="66">
        <f>'Project Database'!L111</f>
        <v/>
      </c>
      <c r="I107" s="66">
        <f>'Project Database'!M111</f>
        <v/>
      </c>
      <c r="J107" s="66">
        <f>'Project Database'!N111</f>
        <v/>
      </c>
      <c r="K107" s="66">
        <f>'Project Database'!O111</f>
        <v/>
      </c>
      <c r="L107" s="66">
        <f>'Project Database'!P111</f>
        <v/>
      </c>
      <c r="M107" s="66">
        <f>'Project Database'!Q111</f>
        <v/>
      </c>
      <c r="N107" s="66">
        <f>'Project Database'!R111</f>
        <v/>
      </c>
      <c r="O107" s="66">
        <f>'Project Database'!S111</f>
        <v/>
      </c>
      <c r="P107" s="66">
        <f>'Project Database'!T111</f>
        <v/>
      </c>
      <c r="Q107" s="66">
        <f>'Project Database'!U111</f>
        <v/>
      </c>
      <c r="R107" s="66">
        <f>'Project Database'!V111</f>
        <v/>
      </c>
      <c r="S107" s="66">
        <f>'Project Database'!W111</f>
        <v/>
      </c>
      <c r="T107" s="66">
        <f>'Project Database'!X111</f>
        <v/>
      </c>
      <c r="U107" s="67">
        <f>'Project Database'!Y111</f>
        <v/>
      </c>
      <c r="V107" s="66">
        <f>IF('Smart Search'!B13=1,IFERROR(1/'Smart Search'!H13,0),0)</f>
        <v/>
      </c>
      <c r="W107" s="66">
        <f>IF('Smart Search'!B13=1,IFERROR(1/'Smart Search'!H13,0),0)</f>
        <v/>
      </c>
      <c r="X107" s="66">
        <f>IF('Smart Search'!C13=1,IFERROR(1/'Smart Search'!H13,0),0)</f>
        <v/>
      </c>
      <c r="Y107" s="66">
        <f>IF('Smart Search'!C13=1,IFERROR(1/'Smart Search'!H13,0),0)</f>
        <v/>
      </c>
      <c r="Z107" s="66">
        <f>IF('Smart Search'!D13=1,IFERROR(1/'Smart Search'!H13,0),0)</f>
        <v/>
      </c>
      <c r="AA107" s="66">
        <f>IF('Smart Search'!D13=1,IFERROR(1/'Smart Search'!H13,0),0)</f>
        <v/>
      </c>
      <c r="AB107" s="66">
        <f>IF('Smart Search'!E13=1,IFERROR(1/'Smart Search'!H13,0),0)</f>
        <v/>
      </c>
      <c r="AC107" s="66">
        <f>IF('Smart Search'!E13=1,IFERROR(1/'Smart Search'!H13,0),0)</f>
        <v/>
      </c>
      <c r="AD107" s="66">
        <f>IF('Smart Search'!F13=1,IFERROR(1/'Smart Search'!H13,0),0)</f>
        <v/>
      </c>
      <c r="AE107" s="66">
        <f>IF('Smart Search'!F13=1,IFERROR(1/'Smart Search'!H13,0),0)</f>
        <v/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66">
        <f>AF107*V107</f>
        <v/>
      </c>
      <c r="AQ107" s="66">
        <f>AG107*W107</f>
        <v/>
      </c>
      <c r="AR107" s="66">
        <f>AH107*X107</f>
        <v/>
      </c>
      <c r="AS107" s="66">
        <f>AI107*Y107</f>
        <v/>
      </c>
      <c r="AT107" s="66">
        <f>AJ107*Z107</f>
        <v/>
      </c>
      <c r="AU107" s="66">
        <f>AK107*AA107</f>
        <v/>
      </c>
      <c r="AV107" s="66">
        <f>AL107*AB107</f>
        <v/>
      </c>
      <c r="AW107" s="66">
        <f>AM107*AC107</f>
        <v/>
      </c>
      <c r="AX107" s="66">
        <f>AN107*AD107</f>
        <v/>
      </c>
      <c r="AY107" s="66">
        <f>AO107*AE107</f>
        <v/>
      </c>
      <c r="AZ107" s="66">
        <f>'Project Database'!Z111</f>
        <v/>
      </c>
      <c r="BA107" s="66">
        <f>IF(OR(A107="",'Smart Search'!H13=0),"",MAX(0,BE107*BF107*MAX(0,1-BG107)))</f>
        <v/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66">
        <f>IF('Smart Search'!G13=1,IFERROR(1/'Smart Search'!H13,0),0)</f>
        <v/>
      </c>
      <c r="BD107" s="66">
        <f>BB107*BC107</f>
        <v/>
      </c>
      <c r="BE107" s="66">
        <f>AP107+AQ107+AR107+AS107+AT107+AU107+AV107+AW107+AX107+AY107+BD107</f>
        <v/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5">
        <f>IF(AND('Project Database'!A111&lt;&gt;"",OR('Smart Search'!$L$5="",'Smart Search'!$L$5="All",TRIM('Project Database'!D111)=TRIM('Smart Search'!$L$5)),OR(TRIM('Smart Search'!$L$6)="",TRIM('Smart Search'!$L$6)="All",ISNUMBER(SEARCH(SUBSTITUTE(SUBSTITUTE(SUBSTITUTE(TRIM('Smart Search'!$L$6),"~","~~"),"*","~*"),"?","~?"),'Project Database'!C111))),OR('Smart Search'!$L$7="",AND('Project Database'!E111&lt;&gt;"",'Project Database'!E111='Smart Search'!$L$7)),OR('Smart Search'!$L$8="",'Smart Search'!$L$8="All",TRIM('Project Database'!F111)=TRIM('Smart Search'!$L$8))),IF(BA107="","",BA107+ROW()*0.0000000001),"")</f>
        <v/>
      </c>
      <c r="BI107" s="5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>
        <f>IF('Project Database'!A111="","",N('Project Database'!AC111))</f>
        <v/>
      </c>
      <c r="BK107" s="5">
        <f>IF('Project Database'!A111="","",N('Project Database'!AD111))</f>
        <v/>
      </c>
      <c r="BL107" s="5">
        <f>IF('Project Database'!A111="","",N('Project Database'!AE111))</f>
        <v/>
      </c>
      <c r="BM107" s="5">
        <f>IF('Project Database'!A111="","",N('Project Database'!AF111))</f>
        <v/>
      </c>
      <c r="BN107" s="5">
        <f>IF('Project Database'!A111="","",N('Project Database'!AG111))</f>
        <v/>
      </c>
      <c r="BO107" s="5">
        <f>IF('Project Database'!A111="","",N('Project Database'!AH111))</f>
        <v/>
      </c>
      <c r="BP107" s="5">
        <f>IF('Project Database'!A111="","",N('Project Database'!AI111))</f>
        <v/>
      </c>
      <c r="BQ107" s="5">
        <f>IF('Project Database'!A111="","",N('Project Database'!AJ111))</f>
        <v/>
      </c>
      <c r="BR107" s="5">
        <f>IF('Project Database'!A111="","",N('Project Database'!AK111))</f>
        <v/>
      </c>
      <c r="BS107" s="5">
        <f>IF('Project Database'!A111="","",N('Project Database'!AL111))</f>
        <v/>
      </c>
      <c r="BT107" s="5">
        <f>IF('Project Database'!A111="","",N('Project Database'!AM111))</f>
        <v/>
      </c>
      <c r="BU107" s="5">
        <f>IF('Project Database'!A111="","",N('Project Database'!AN111))</f>
        <v/>
      </c>
      <c r="BV107" s="5">
        <f>IF('Project Database'!A111="","",N('Project Database'!AO111))</f>
        <v/>
      </c>
      <c r="BW107" s="5">
        <f>IF('Project Database'!A111="","",N('Project Database'!AP111))</f>
        <v/>
      </c>
      <c r="BX107" s="5">
        <f>IF(A107="","",SUM(BJ107:BW107))</f>
        <v/>
      </c>
      <c r="BY107" s="5">
        <f>IF(A107="","",IFERROR(IF(ISNUMBER(U107),U107,VALUE(SUBSTITUTE(SUBSTITUTE(SUBSTITUTE(UPPER(TRIM(U107)),"M",""),",","")," ",""))),0))</f>
        <v/>
      </c>
    </row>
    <row r="108" ht="15" customHeight="1" s="74">
      <c r="A108" s="66">
        <f>'Project Database'!A112</f>
        <v/>
      </c>
      <c r="B108" s="66">
        <f>'Project Database'!B112</f>
        <v/>
      </c>
      <c r="C108" s="66">
        <f>'Project Database'!G112</f>
        <v/>
      </c>
      <c r="D108" s="66">
        <f>'Project Database'!H112</f>
        <v/>
      </c>
      <c r="E108" s="66">
        <f>'Project Database'!I112</f>
        <v/>
      </c>
      <c r="F108" s="66">
        <f>'Project Database'!J112</f>
        <v/>
      </c>
      <c r="G108" s="66">
        <f>'Project Database'!K112</f>
        <v/>
      </c>
      <c r="H108" s="66">
        <f>'Project Database'!L112</f>
        <v/>
      </c>
      <c r="I108" s="66">
        <f>'Project Database'!M112</f>
        <v/>
      </c>
      <c r="J108" s="66">
        <f>'Project Database'!N112</f>
        <v/>
      </c>
      <c r="K108" s="66">
        <f>'Project Database'!O112</f>
        <v/>
      </c>
      <c r="L108" s="66">
        <f>'Project Database'!P112</f>
        <v/>
      </c>
      <c r="M108" s="66">
        <f>'Project Database'!Q112</f>
        <v/>
      </c>
      <c r="N108" s="66">
        <f>'Project Database'!R112</f>
        <v/>
      </c>
      <c r="O108" s="66">
        <f>'Project Database'!S112</f>
        <v/>
      </c>
      <c r="P108" s="66">
        <f>'Project Database'!T112</f>
        <v/>
      </c>
      <c r="Q108" s="66">
        <f>'Project Database'!U112</f>
        <v/>
      </c>
      <c r="R108" s="66">
        <f>'Project Database'!V112</f>
        <v/>
      </c>
      <c r="S108" s="66">
        <f>'Project Database'!W112</f>
        <v/>
      </c>
      <c r="T108" s="66">
        <f>'Project Database'!X112</f>
        <v/>
      </c>
      <c r="U108" s="67">
        <f>'Project Database'!Y112</f>
        <v/>
      </c>
      <c r="V108" s="66">
        <f>IF('Smart Search'!B13=1,IFERROR(1/'Smart Search'!H13,0),0)</f>
        <v/>
      </c>
      <c r="W108" s="66">
        <f>IF('Smart Search'!B13=1,IFERROR(1/'Smart Search'!H13,0),0)</f>
        <v/>
      </c>
      <c r="X108" s="66">
        <f>IF('Smart Search'!C13=1,IFERROR(1/'Smart Search'!H13,0),0)</f>
        <v/>
      </c>
      <c r="Y108" s="66">
        <f>IF('Smart Search'!C13=1,IFERROR(1/'Smart Search'!H13,0),0)</f>
        <v/>
      </c>
      <c r="Z108" s="66">
        <f>IF('Smart Search'!D13=1,IFERROR(1/'Smart Search'!H13,0),0)</f>
        <v/>
      </c>
      <c r="AA108" s="66">
        <f>IF('Smart Search'!D13=1,IFERROR(1/'Smart Search'!H13,0),0)</f>
        <v/>
      </c>
      <c r="AB108" s="66">
        <f>IF('Smart Search'!E13=1,IFERROR(1/'Smart Search'!H13,0),0)</f>
        <v/>
      </c>
      <c r="AC108" s="66">
        <f>IF('Smart Search'!E13=1,IFERROR(1/'Smart Search'!H13,0),0)</f>
        <v/>
      </c>
      <c r="AD108" s="66">
        <f>IF('Smart Search'!F13=1,IFERROR(1/'Smart Search'!H13,0),0)</f>
        <v/>
      </c>
      <c r="AE108" s="66">
        <f>IF('Smart Search'!F13=1,IFERROR(1/'Smart Search'!H13,0),0)</f>
        <v/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66">
        <f>AF108*V108</f>
        <v/>
      </c>
      <c r="AQ108" s="66">
        <f>AG108*W108</f>
        <v/>
      </c>
      <c r="AR108" s="66">
        <f>AH108*X108</f>
        <v/>
      </c>
      <c r="AS108" s="66">
        <f>AI108*Y108</f>
        <v/>
      </c>
      <c r="AT108" s="66">
        <f>AJ108*Z108</f>
        <v/>
      </c>
      <c r="AU108" s="66">
        <f>AK108*AA108</f>
        <v/>
      </c>
      <c r="AV108" s="66">
        <f>AL108*AB108</f>
        <v/>
      </c>
      <c r="AW108" s="66">
        <f>AM108*AC108</f>
        <v/>
      </c>
      <c r="AX108" s="66">
        <f>AN108*AD108</f>
        <v/>
      </c>
      <c r="AY108" s="66">
        <f>AO108*AE108</f>
        <v/>
      </c>
      <c r="AZ108" s="66">
        <f>'Project Database'!Z112</f>
        <v/>
      </c>
      <c r="BA108" s="66">
        <f>IF(OR(A108="",'Smart Search'!H13=0),"",MAX(0,BE108*BF108*MAX(0,1-BG108)))</f>
        <v/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66">
        <f>IF('Smart Search'!G13=1,IFERROR(1/'Smart Search'!H13,0),0)</f>
        <v/>
      </c>
      <c r="BD108" s="66">
        <f>BB108*BC108</f>
        <v/>
      </c>
      <c r="BE108" s="66">
        <f>AP108+AQ108+AR108+AS108+AT108+AU108+AV108+AW108+AX108+AY108+BD108</f>
        <v/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5">
        <f>IF(AND('Project Database'!A112&lt;&gt;"",OR('Smart Search'!$L$5="",'Smart Search'!$L$5="All",TRIM('Project Database'!D112)=TRIM('Smart Search'!$L$5)),OR(TRIM('Smart Search'!$L$6)="",TRIM('Smart Search'!$L$6)="All",ISNUMBER(SEARCH(SUBSTITUTE(SUBSTITUTE(SUBSTITUTE(TRIM('Smart Search'!$L$6),"~","~~"),"*","~*"),"?","~?"),'Project Database'!C112))),OR('Smart Search'!$L$7="",AND('Project Database'!E112&lt;&gt;"",'Project Database'!E112='Smart Search'!$L$7)),OR('Smart Search'!$L$8="",'Smart Search'!$L$8="All",TRIM('Project Database'!F112)=TRIM('Smart Search'!$L$8))),IF(BA108="","",BA108+ROW()*0.0000000001),"")</f>
        <v/>
      </c>
      <c r="BI108" s="5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>
        <f>IF('Project Database'!A112="","",N('Project Database'!AC112))</f>
        <v/>
      </c>
      <c r="BK108" s="5">
        <f>IF('Project Database'!A112="","",N('Project Database'!AD112))</f>
        <v/>
      </c>
      <c r="BL108" s="5">
        <f>IF('Project Database'!A112="","",N('Project Database'!AE112))</f>
        <v/>
      </c>
      <c r="BM108" s="5">
        <f>IF('Project Database'!A112="","",N('Project Database'!AF112))</f>
        <v/>
      </c>
      <c r="BN108" s="5">
        <f>IF('Project Database'!A112="","",N('Project Database'!AG112))</f>
        <v/>
      </c>
      <c r="BO108" s="5">
        <f>IF('Project Database'!A112="","",N('Project Database'!AH112))</f>
        <v/>
      </c>
      <c r="BP108" s="5">
        <f>IF('Project Database'!A112="","",N('Project Database'!AI112))</f>
        <v/>
      </c>
      <c r="BQ108" s="5">
        <f>IF('Project Database'!A112="","",N('Project Database'!AJ112))</f>
        <v/>
      </c>
      <c r="BR108" s="5">
        <f>IF('Project Database'!A112="","",N('Project Database'!AK112))</f>
        <v/>
      </c>
      <c r="BS108" s="5">
        <f>IF('Project Database'!A112="","",N('Project Database'!AL112))</f>
        <v/>
      </c>
      <c r="BT108" s="5">
        <f>IF('Project Database'!A112="","",N('Project Database'!AM112))</f>
        <v/>
      </c>
      <c r="BU108" s="5">
        <f>IF('Project Database'!A112="","",N('Project Database'!AN112))</f>
        <v/>
      </c>
      <c r="BV108" s="5">
        <f>IF('Project Database'!A112="","",N('Project Database'!AO112))</f>
        <v/>
      </c>
      <c r="BW108" s="5">
        <f>IF('Project Database'!A112="","",N('Project Database'!AP112))</f>
        <v/>
      </c>
      <c r="BX108" s="5">
        <f>IF(A108="","",SUM(BJ108:BW108))</f>
        <v/>
      </c>
      <c r="BY108" s="5">
        <f>IF(A108="","",IFERROR(IF(ISNUMBER(U108),U108,VALUE(SUBSTITUTE(SUBSTITUTE(SUBSTITUTE(UPPER(TRIM(U108)),"M",""),",","")," ",""))),0))</f>
        <v/>
      </c>
    </row>
    <row r="109" ht="15" customHeight="1" s="74">
      <c r="A109" s="66">
        <f>'Project Database'!A113</f>
        <v/>
      </c>
      <c r="B109" s="66">
        <f>'Project Database'!B113</f>
        <v/>
      </c>
      <c r="C109" s="66">
        <f>'Project Database'!G113</f>
        <v/>
      </c>
      <c r="D109" s="66">
        <f>'Project Database'!H113</f>
        <v/>
      </c>
      <c r="E109" s="66">
        <f>'Project Database'!I113</f>
        <v/>
      </c>
      <c r="F109" s="66">
        <f>'Project Database'!J113</f>
        <v/>
      </c>
      <c r="G109" s="66">
        <f>'Project Database'!K113</f>
        <v/>
      </c>
      <c r="H109" s="66">
        <f>'Project Database'!L113</f>
        <v/>
      </c>
      <c r="I109" s="66">
        <f>'Project Database'!M113</f>
        <v/>
      </c>
      <c r="J109" s="66">
        <f>'Project Database'!N113</f>
        <v/>
      </c>
      <c r="K109" s="66">
        <f>'Project Database'!O113</f>
        <v/>
      </c>
      <c r="L109" s="66">
        <f>'Project Database'!P113</f>
        <v/>
      </c>
      <c r="M109" s="66">
        <f>'Project Database'!Q113</f>
        <v/>
      </c>
      <c r="N109" s="66">
        <f>'Project Database'!R113</f>
        <v/>
      </c>
      <c r="O109" s="66">
        <f>'Project Database'!S113</f>
        <v/>
      </c>
      <c r="P109" s="66">
        <f>'Project Database'!T113</f>
        <v/>
      </c>
      <c r="Q109" s="66">
        <f>'Project Database'!U113</f>
        <v/>
      </c>
      <c r="R109" s="66">
        <f>'Project Database'!V113</f>
        <v/>
      </c>
      <c r="S109" s="66">
        <f>'Project Database'!W113</f>
        <v/>
      </c>
      <c r="T109" s="66">
        <f>'Project Database'!X113</f>
        <v/>
      </c>
      <c r="U109" s="67">
        <f>'Project Database'!Y113</f>
        <v/>
      </c>
      <c r="V109" s="66">
        <f>IF('Smart Search'!B13=1,IFERROR(1/'Smart Search'!H13,0),0)</f>
        <v/>
      </c>
      <c r="W109" s="66">
        <f>IF('Smart Search'!B13=1,IFERROR(1/'Smart Search'!H13,0),0)</f>
        <v/>
      </c>
      <c r="X109" s="66">
        <f>IF('Smart Search'!C13=1,IFERROR(1/'Smart Search'!H13,0),0)</f>
        <v/>
      </c>
      <c r="Y109" s="66">
        <f>IF('Smart Search'!C13=1,IFERROR(1/'Smart Search'!H13,0),0)</f>
        <v/>
      </c>
      <c r="Z109" s="66">
        <f>IF('Smart Search'!D13=1,IFERROR(1/'Smart Search'!H13,0),0)</f>
        <v/>
      </c>
      <c r="AA109" s="66">
        <f>IF('Smart Search'!D13=1,IFERROR(1/'Smart Search'!H13,0),0)</f>
        <v/>
      </c>
      <c r="AB109" s="66">
        <f>IF('Smart Search'!E13=1,IFERROR(1/'Smart Search'!H13,0),0)</f>
        <v/>
      </c>
      <c r="AC109" s="66">
        <f>IF('Smart Search'!E13=1,IFERROR(1/'Smart Search'!H13,0),0)</f>
        <v/>
      </c>
      <c r="AD109" s="66">
        <f>IF('Smart Search'!F13=1,IFERROR(1/'Smart Search'!H13,0),0)</f>
        <v/>
      </c>
      <c r="AE109" s="66">
        <f>IF('Smart Search'!F13=1,IFERROR(1/'Smart Search'!H13,0),0)</f>
        <v/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66">
        <f>AF109*V109</f>
        <v/>
      </c>
      <c r="AQ109" s="66">
        <f>AG109*W109</f>
        <v/>
      </c>
      <c r="AR109" s="66">
        <f>AH109*X109</f>
        <v/>
      </c>
      <c r="AS109" s="66">
        <f>AI109*Y109</f>
        <v/>
      </c>
      <c r="AT109" s="66">
        <f>AJ109*Z109</f>
        <v/>
      </c>
      <c r="AU109" s="66">
        <f>AK109*AA109</f>
        <v/>
      </c>
      <c r="AV109" s="66">
        <f>AL109*AB109</f>
        <v/>
      </c>
      <c r="AW109" s="66">
        <f>AM109*AC109</f>
        <v/>
      </c>
      <c r="AX109" s="66">
        <f>AN109*AD109</f>
        <v/>
      </c>
      <c r="AY109" s="66">
        <f>AO109*AE109</f>
        <v/>
      </c>
      <c r="AZ109" s="66">
        <f>'Project Database'!Z113</f>
        <v/>
      </c>
      <c r="BA109" s="66">
        <f>IF(OR(A109="",'Smart Search'!H13=0),"",MAX(0,BE109*BF109*MAX(0,1-BG109)))</f>
        <v/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66">
        <f>IF('Smart Search'!G13=1,IFERROR(1/'Smart Search'!H13,0),0)</f>
        <v/>
      </c>
      <c r="BD109" s="66">
        <f>BB109*BC109</f>
        <v/>
      </c>
      <c r="BE109" s="66">
        <f>AP109+AQ109+AR109+AS109+AT109+AU109+AV109+AW109+AX109+AY109+BD109</f>
        <v/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5">
        <f>IF(AND('Project Database'!A113&lt;&gt;"",OR('Smart Search'!$L$5="",'Smart Search'!$L$5="All",TRIM('Project Database'!D113)=TRIM('Smart Search'!$L$5)),OR(TRIM('Smart Search'!$L$6)="",TRIM('Smart Search'!$L$6)="All",ISNUMBER(SEARCH(SUBSTITUTE(SUBSTITUTE(SUBSTITUTE(TRIM('Smart Search'!$L$6),"~","~~"),"*","~*"),"?","~?"),'Project Database'!C113))),OR('Smart Search'!$L$7="",AND('Project Database'!E113&lt;&gt;"",'Project Database'!E113='Smart Search'!$L$7)),OR('Smart Search'!$L$8="",'Smart Search'!$L$8="All",TRIM('Project Database'!F113)=TRIM('Smart Search'!$L$8))),IF(BA109="","",BA109+ROW()*0.0000000001),"")</f>
        <v/>
      </c>
      <c r="BI109" s="5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>
        <f>IF('Project Database'!A113="","",N('Project Database'!AC113))</f>
        <v/>
      </c>
      <c r="BK109" s="5">
        <f>IF('Project Database'!A113="","",N('Project Database'!AD113))</f>
        <v/>
      </c>
      <c r="BL109" s="5">
        <f>IF('Project Database'!A113="","",N('Project Database'!AE113))</f>
        <v/>
      </c>
      <c r="BM109" s="5">
        <f>IF('Project Database'!A113="","",N('Project Database'!AF113))</f>
        <v/>
      </c>
      <c r="BN109" s="5">
        <f>IF('Project Database'!A113="","",N('Project Database'!AG113))</f>
        <v/>
      </c>
      <c r="BO109" s="5">
        <f>IF('Project Database'!A113="","",N('Project Database'!AH113))</f>
        <v/>
      </c>
      <c r="BP109" s="5">
        <f>IF('Project Database'!A113="","",N('Project Database'!AI113))</f>
        <v/>
      </c>
      <c r="BQ109" s="5">
        <f>IF('Project Database'!A113="","",N('Project Database'!AJ113))</f>
        <v/>
      </c>
      <c r="BR109" s="5">
        <f>IF('Project Database'!A113="","",N('Project Database'!AK113))</f>
        <v/>
      </c>
      <c r="BS109" s="5">
        <f>IF('Project Database'!A113="","",N('Project Database'!AL113))</f>
        <v/>
      </c>
      <c r="BT109" s="5">
        <f>IF('Project Database'!A113="","",N('Project Database'!AM113))</f>
        <v/>
      </c>
      <c r="BU109" s="5">
        <f>IF('Project Database'!A113="","",N('Project Database'!AN113))</f>
        <v/>
      </c>
      <c r="BV109" s="5">
        <f>IF('Project Database'!A113="","",N('Project Database'!AO113))</f>
        <v/>
      </c>
      <c r="BW109" s="5">
        <f>IF('Project Database'!A113="","",N('Project Database'!AP113))</f>
        <v/>
      </c>
      <c r="BX109" s="5">
        <f>IF(A109="","",SUM(BJ109:BW109))</f>
        <v/>
      </c>
      <c r="BY109" s="5">
        <f>IF(A109="","",IFERROR(IF(ISNUMBER(U109),U109,VALUE(SUBSTITUTE(SUBSTITUTE(SUBSTITUTE(UPPER(TRIM(U109)),"M",""),",","")," ",""))),0))</f>
        <v/>
      </c>
    </row>
    <row r="110" ht="15" customHeight="1" s="74">
      <c r="A110" s="66">
        <f>'Project Database'!A114</f>
        <v/>
      </c>
      <c r="B110" s="66">
        <f>'Project Database'!B114</f>
        <v/>
      </c>
      <c r="C110" s="66">
        <f>'Project Database'!G114</f>
        <v/>
      </c>
      <c r="D110" s="66">
        <f>'Project Database'!H114</f>
        <v/>
      </c>
      <c r="E110" s="66">
        <f>'Project Database'!I114</f>
        <v/>
      </c>
      <c r="F110" s="66">
        <f>'Project Database'!J114</f>
        <v/>
      </c>
      <c r="G110" s="66">
        <f>'Project Database'!K114</f>
        <v/>
      </c>
      <c r="H110" s="66">
        <f>'Project Database'!L114</f>
        <v/>
      </c>
      <c r="I110" s="66">
        <f>'Project Database'!M114</f>
        <v/>
      </c>
      <c r="J110" s="66">
        <f>'Project Database'!N114</f>
        <v/>
      </c>
      <c r="K110" s="66">
        <f>'Project Database'!O114</f>
        <v/>
      </c>
      <c r="L110" s="66">
        <f>'Project Database'!P114</f>
        <v/>
      </c>
      <c r="M110" s="66">
        <f>'Project Database'!Q114</f>
        <v/>
      </c>
      <c r="N110" s="66">
        <f>'Project Database'!R114</f>
        <v/>
      </c>
      <c r="O110" s="66">
        <f>'Project Database'!S114</f>
        <v/>
      </c>
      <c r="P110" s="66">
        <f>'Project Database'!T114</f>
        <v/>
      </c>
      <c r="Q110" s="66">
        <f>'Project Database'!U114</f>
        <v/>
      </c>
      <c r="R110" s="66">
        <f>'Project Database'!V114</f>
        <v/>
      </c>
      <c r="S110" s="66">
        <f>'Project Database'!W114</f>
        <v/>
      </c>
      <c r="T110" s="66">
        <f>'Project Database'!X114</f>
        <v/>
      </c>
      <c r="U110" s="67">
        <f>'Project Database'!Y114</f>
        <v/>
      </c>
      <c r="V110" s="66">
        <f>IF('Smart Search'!B13=1,IFERROR(1/'Smart Search'!H13,0),0)</f>
        <v/>
      </c>
      <c r="W110" s="66">
        <f>IF('Smart Search'!B13=1,IFERROR(1/'Smart Search'!H13,0),0)</f>
        <v/>
      </c>
      <c r="X110" s="66">
        <f>IF('Smart Search'!C13=1,IFERROR(1/'Smart Search'!H13,0),0)</f>
        <v/>
      </c>
      <c r="Y110" s="66">
        <f>IF('Smart Search'!C13=1,IFERROR(1/'Smart Search'!H13,0),0)</f>
        <v/>
      </c>
      <c r="Z110" s="66">
        <f>IF('Smart Search'!D13=1,IFERROR(1/'Smart Search'!H13,0),0)</f>
        <v/>
      </c>
      <c r="AA110" s="66">
        <f>IF('Smart Search'!D13=1,IFERROR(1/'Smart Search'!H13,0),0)</f>
        <v/>
      </c>
      <c r="AB110" s="66">
        <f>IF('Smart Search'!E13=1,IFERROR(1/'Smart Search'!H13,0),0)</f>
        <v/>
      </c>
      <c r="AC110" s="66">
        <f>IF('Smart Search'!E13=1,IFERROR(1/'Smart Search'!H13,0),0)</f>
        <v/>
      </c>
      <c r="AD110" s="66">
        <f>IF('Smart Search'!F13=1,IFERROR(1/'Smart Search'!H13,0),0)</f>
        <v/>
      </c>
      <c r="AE110" s="66">
        <f>IF('Smart Search'!F13=1,IFERROR(1/'Smart Search'!H13,0),0)</f>
        <v/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66">
        <f>AF110*V110</f>
        <v/>
      </c>
      <c r="AQ110" s="66">
        <f>AG110*W110</f>
        <v/>
      </c>
      <c r="AR110" s="66">
        <f>AH110*X110</f>
        <v/>
      </c>
      <c r="AS110" s="66">
        <f>AI110*Y110</f>
        <v/>
      </c>
      <c r="AT110" s="66">
        <f>AJ110*Z110</f>
        <v/>
      </c>
      <c r="AU110" s="66">
        <f>AK110*AA110</f>
        <v/>
      </c>
      <c r="AV110" s="66">
        <f>AL110*AB110</f>
        <v/>
      </c>
      <c r="AW110" s="66">
        <f>AM110*AC110</f>
        <v/>
      </c>
      <c r="AX110" s="66">
        <f>AN110*AD110</f>
        <v/>
      </c>
      <c r="AY110" s="66">
        <f>AO110*AE110</f>
        <v/>
      </c>
      <c r="AZ110" s="66">
        <f>'Project Database'!Z114</f>
        <v/>
      </c>
      <c r="BA110" s="66">
        <f>IF(OR(A110="",'Smart Search'!H13=0),"",MAX(0,BE110*BF110*MAX(0,1-BG110)))</f>
        <v/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66">
        <f>IF('Smart Search'!G13=1,IFERROR(1/'Smart Search'!H13,0),0)</f>
        <v/>
      </c>
      <c r="BD110" s="66">
        <f>BB110*BC110</f>
        <v/>
      </c>
      <c r="BE110" s="66">
        <f>AP110+AQ110+AR110+AS110+AT110+AU110+AV110+AW110+AX110+AY110+BD110</f>
        <v/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5">
        <f>IF(AND('Project Database'!A114&lt;&gt;"",OR('Smart Search'!$L$5="",'Smart Search'!$L$5="All",TRIM('Project Database'!D114)=TRIM('Smart Search'!$L$5)),OR(TRIM('Smart Search'!$L$6)="",TRIM('Smart Search'!$L$6)="All",ISNUMBER(SEARCH(SUBSTITUTE(SUBSTITUTE(SUBSTITUTE(TRIM('Smart Search'!$L$6),"~","~~"),"*","~*"),"?","~?"),'Project Database'!C114))),OR('Smart Search'!$L$7="",AND('Project Database'!E114&lt;&gt;"",'Project Database'!E114='Smart Search'!$L$7)),OR('Smart Search'!$L$8="",'Smart Search'!$L$8="All",TRIM('Project Database'!F114)=TRIM('Smart Search'!$L$8))),IF(BA110="","",BA110+ROW()*0.0000000001),"")</f>
        <v/>
      </c>
      <c r="BI110" s="5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>
        <f>IF('Project Database'!A114="","",N('Project Database'!AC114))</f>
        <v/>
      </c>
      <c r="BK110" s="5">
        <f>IF('Project Database'!A114="","",N('Project Database'!AD114))</f>
        <v/>
      </c>
      <c r="BL110" s="5">
        <f>IF('Project Database'!A114="","",N('Project Database'!AE114))</f>
        <v/>
      </c>
      <c r="BM110" s="5">
        <f>IF('Project Database'!A114="","",N('Project Database'!AF114))</f>
        <v/>
      </c>
      <c r="BN110" s="5">
        <f>IF('Project Database'!A114="","",N('Project Database'!AG114))</f>
        <v/>
      </c>
      <c r="BO110" s="5">
        <f>IF('Project Database'!A114="","",N('Project Database'!AH114))</f>
        <v/>
      </c>
      <c r="BP110" s="5">
        <f>IF('Project Database'!A114="","",N('Project Database'!AI114))</f>
        <v/>
      </c>
      <c r="BQ110" s="5">
        <f>IF('Project Database'!A114="","",N('Project Database'!AJ114))</f>
        <v/>
      </c>
      <c r="BR110" s="5">
        <f>IF('Project Database'!A114="","",N('Project Database'!AK114))</f>
        <v/>
      </c>
      <c r="BS110" s="5">
        <f>IF('Project Database'!A114="","",N('Project Database'!AL114))</f>
        <v/>
      </c>
      <c r="BT110" s="5">
        <f>IF('Project Database'!A114="","",N('Project Database'!AM114))</f>
        <v/>
      </c>
      <c r="BU110" s="5">
        <f>IF('Project Database'!A114="","",N('Project Database'!AN114))</f>
        <v/>
      </c>
      <c r="BV110" s="5">
        <f>IF('Project Database'!A114="","",N('Project Database'!AO114))</f>
        <v/>
      </c>
      <c r="BW110" s="5">
        <f>IF('Project Database'!A114="","",N('Project Database'!AP114))</f>
        <v/>
      </c>
      <c r="BX110" s="5">
        <f>IF(A110="","",SUM(BJ110:BW110))</f>
        <v/>
      </c>
      <c r="BY110" s="5">
        <f>IF(A110="","",IFERROR(IF(ISNUMBER(U110),U110,VALUE(SUBSTITUTE(SUBSTITUTE(SUBSTITUTE(UPPER(TRIM(U110)),"M",""),",","")," ",""))),0))</f>
        <v/>
      </c>
    </row>
    <row r="111" ht="15" customHeight="1" s="74">
      <c r="A111" s="66">
        <f>'Project Database'!A115</f>
        <v/>
      </c>
      <c r="B111" s="66">
        <f>'Project Database'!B115</f>
        <v/>
      </c>
      <c r="C111" s="66">
        <f>'Project Database'!G115</f>
        <v/>
      </c>
      <c r="D111" s="66">
        <f>'Project Database'!H115</f>
        <v/>
      </c>
      <c r="E111" s="66">
        <f>'Project Database'!I115</f>
        <v/>
      </c>
      <c r="F111" s="66">
        <f>'Project Database'!J115</f>
        <v/>
      </c>
      <c r="G111" s="66">
        <f>'Project Database'!K115</f>
        <v/>
      </c>
      <c r="H111" s="66">
        <f>'Project Database'!L115</f>
        <v/>
      </c>
      <c r="I111" s="66">
        <f>'Project Database'!M115</f>
        <v/>
      </c>
      <c r="J111" s="66">
        <f>'Project Database'!N115</f>
        <v/>
      </c>
      <c r="K111" s="66">
        <f>'Project Database'!O115</f>
        <v/>
      </c>
      <c r="L111" s="66">
        <f>'Project Database'!P115</f>
        <v/>
      </c>
      <c r="M111" s="66">
        <f>'Project Database'!Q115</f>
        <v/>
      </c>
      <c r="N111" s="66">
        <f>'Project Database'!R115</f>
        <v/>
      </c>
      <c r="O111" s="66">
        <f>'Project Database'!S115</f>
        <v/>
      </c>
      <c r="P111" s="66">
        <f>'Project Database'!T115</f>
        <v/>
      </c>
      <c r="Q111" s="66">
        <f>'Project Database'!U115</f>
        <v/>
      </c>
      <c r="R111" s="66">
        <f>'Project Database'!V115</f>
        <v/>
      </c>
      <c r="S111" s="66">
        <f>'Project Database'!W115</f>
        <v/>
      </c>
      <c r="T111" s="66">
        <f>'Project Database'!X115</f>
        <v/>
      </c>
      <c r="U111" s="67">
        <f>'Project Database'!Y115</f>
        <v/>
      </c>
      <c r="V111" s="66">
        <f>IF('Smart Search'!B13=1,IFERROR(1/'Smart Search'!H13,0),0)</f>
        <v/>
      </c>
      <c r="W111" s="66">
        <f>IF('Smart Search'!B13=1,IFERROR(1/'Smart Search'!H13,0),0)</f>
        <v/>
      </c>
      <c r="X111" s="66">
        <f>IF('Smart Search'!C13=1,IFERROR(1/'Smart Search'!H13,0),0)</f>
        <v/>
      </c>
      <c r="Y111" s="66">
        <f>IF('Smart Search'!C13=1,IFERROR(1/'Smart Search'!H13,0),0)</f>
        <v/>
      </c>
      <c r="Z111" s="66">
        <f>IF('Smart Search'!D13=1,IFERROR(1/'Smart Search'!H13,0),0)</f>
        <v/>
      </c>
      <c r="AA111" s="66">
        <f>IF('Smart Search'!D13=1,IFERROR(1/'Smart Search'!H13,0),0)</f>
        <v/>
      </c>
      <c r="AB111" s="66">
        <f>IF('Smart Search'!E13=1,IFERROR(1/'Smart Search'!H13,0),0)</f>
        <v/>
      </c>
      <c r="AC111" s="66">
        <f>IF('Smart Search'!E13=1,IFERROR(1/'Smart Search'!H13,0),0)</f>
        <v/>
      </c>
      <c r="AD111" s="66">
        <f>IF('Smart Search'!F13=1,IFERROR(1/'Smart Search'!H13,0),0)</f>
        <v/>
      </c>
      <c r="AE111" s="66">
        <f>IF('Smart Search'!F13=1,IFERROR(1/'Smart Search'!H13,0),0)</f>
        <v/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66">
        <f>AF111*V111</f>
        <v/>
      </c>
      <c r="AQ111" s="66">
        <f>AG111*W111</f>
        <v/>
      </c>
      <c r="AR111" s="66">
        <f>AH111*X111</f>
        <v/>
      </c>
      <c r="AS111" s="66">
        <f>AI111*Y111</f>
        <v/>
      </c>
      <c r="AT111" s="66">
        <f>AJ111*Z111</f>
        <v/>
      </c>
      <c r="AU111" s="66">
        <f>AK111*AA111</f>
        <v/>
      </c>
      <c r="AV111" s="66">
        <f>AL111*AB111</f>
        <v/>
      </c>
      <c r="AW111" s="66">
        <f>AM111*AC111</f>
        <v/>
      </c>
      <c r="AX111" s="66">
        <f>AN111*AD111</f>
        <v/>
      </c>
      <c r="AY111" s="66">
        <f>AO111*AE111</f>
        <v/>
      </c>
      <c r="AZ111" s="66">
        <f>'Project Database'!Z115</f>
        <v/>
      </c>
      <c r="BA111" s="66">
        <f>IF(OR(A111="",'Smart Search'!H13=0),"",MAX(0,BE111*BF111*MAX(0,1-BG111)))</f>
        <v/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66">
        <f>IF('Smart Search'!G13=1,IFERROR(1/'Smart Search'!H13,0),0)</f>
        <v/>
      </c>
      <c r="BD111" s="66">
        <f>BB111*BC111</f>
        <v/>
      </c>
      <c r="BE111" s="66">
        <f>AP111+AQ111+AR111+AS111+AT111+AU111+AV111+AW111+AX111+AY111+BD111</f>
        <v/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5">
        <f>IF(AND('Project Database'!A115&lt;&gt;"",OR('Smart Search'!$L$5="",'Smart Search'!$L$5="All",TRIM('Project Database'!D115)=TRIM('Smart Search'!$L$5)),OR(TRIM('Smart Search'!$L$6)="",TRIM('Smart Search'!$L$6)="All",ISNUMBER(SEARCH(SUBSTITUTE(SUBSTITUTE(SUBSTITUTE(TRIM('Smart Search'!$L$6),"~","~~"),"*","~*"),"?","~?"),'Project Database'!C115))),OR('Smart Search'!$L$7="",AND('Project Database'!E115&lt;&gt;"",'Project Database'!E115='Smart Search'!$L$7)),OR('Smart Search'!$L$8="",'Smart Search'!$L$8="All",TRIM('Project Database'!F115)=TRIM('Smart Search'!$L$8))),IF(BA111="","",BA111+ROW()*0.0000000001),"")</f>
        <v/>
      </c>
      <c r="BI111" s="5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>
        <f>IF('Project Database'!A115="","",N('Project Database'!AC115))</f>
        <v/>
      </c>
      <c r="BK111" s="5">
        <f>IF('Project Database'!A115="","",N('Project Database'!AD115))</f>
        <v/>
      </c>
      <c r="BL111" s="5">
        <f>IF('Project Database'!A115="","",N('Project Database'!AE115))</f>
        <v/>
      </c>
      <c r="BM111" s="5">
        <f>IF('Project Database'!A115="","",N('Project Database'!AF115))</f>
        <v/>
      </c>
      <c r="BN111" s="5">
        <f>IF('Project Database'!A115="","",N('Project Database'!AG115))</f>
        <v/>
      </c>
      <c r="BO111" s="5">
        <f>IF('Project Database'!A115="","",N('Project Database'!AH115))</f>
        <v/>
      </c>
      <c r="BP111" s="5">
        <f>IF('Project Database'!A115="","",N('Project Database'!AI115))</f>
        <v/>
      </c>
      <c r="BQ111" s="5">
        <f>IF('Project Database'!A115="","",N('Project Database'!AJ115))</f>
        <v/>
      </c>
      <c r="BR111" s="5">
        <f>IF('Project Database'!A115="","",N('Project Database'!AK115))</f>
        <v/>
      </c>
      <c r="BS111" s="5">
        <f>IF('Project Database'!A115="","",N('Project Database'!AL115))</f>
        <v/>
      </c>
      <c r="BT111" s="5">
        <f>IF('Project Database'!A115="","",N('Project Database'!AM115))</f>
        <v/>
      </c>
      <c r="BU111" s="5">
        <f>IF('Project Database'!A115="","",N('Project Database'!AN115))</f>
        <v/>
      </c>
      <c r="BV111" s="5">
        <f>IF('Project Database'!A115="","",N('Project Database'!AO115))</f>
        <v/>
      </c>
      <c r="BW111" s="5">
        <f>IF('Project Database'!A115="","",N('Project Database'!AP115))</f>
        <v/>
      </c>
      <c r="BX111" s="5">
        <f>IF(A111="","",SUM(BJ111:BW111))</f>
        <v/>
      </c>
      <c r="BY111" s="5">
        <f>IF(A111="","",IFERROR(IF(ISNUMBER(U111),U111,VALUE(SUBSTITUTE(SUBSTITUTE(SUBSTITUTE(UPPER(TRIM(U111)),"M",""),",","")," ",""))),0))</f>
        <v/>
      </c>
    </row>
    <row r="112" ht="15" customHeight="1" s="74">
      <c r="A112" s="66">
        <f>'Project Database'!A116</f>
        <v/>
      </c>
      <c r="B112" s="66">
        <f>'Project Database'!B116</f>
        <v/>
      </c>
      <c r="C112" s="66">
        <f>'Project Database'!G116</f>
        <v/>
      </c>
      <c r="D112" s="66">
        <f>'Project Database'!H116</f>
        <v/>
      </c>
      <c r="E112" s="66">
        <f>'Project Database'!I116</f>
        <v/>
      </c>
      <c r="F112" s="66">
        <f>'Project Database'!J116</f>
        <v/>
      </c>
      <c r="G112" s="66">
        <f>'Project Database'!K116</f>
        <v/>
      </c>
      <c r="H112" s="66">
        <f>'Project Database'!L116</f>
        <v/>
      </c>
      <c r="I112" s="66">
        <f>'Project Database'!M116</f>
        <v/>
      </c>
      <c r="J112" s="66">
        <f>'Project Database'!N116</f>
        <v/>
      </c>
      <c r="K112" s="66">
        <f>'Project Database'!O116</f>
        <v/>
      </c>
      <c r="L112" s="66">
        <f>'Project Database'!P116</f>
        <v/>
      </c>
      <c r="M112" s="66">
        <f>'Project Database'!Q116</f>
        <v/>
      </c>
      <c r="N112" s="66">
        <f>'Project Database'!R116</f>
        <v/>
      </c>
      <c r="O112" s="66">
        <f>'Project Database'!S116</f>
        <v/>
      </c>
      <c r="P112" s="66">
        <f>'Project Database'!T116</f>
        <v/>
      </c>
      <c r="Q112" s="66">
        <f>'Project Database'!U116</f>
        <v/>
      </c>
      <c r="R112" s="66">
        <f>'Project Database'!V116</f>
        <v/>
      </c>
      <c r="S112" s="66">
        <f>'Project Database'!W116</f>
        <v/>
      </c>
      <c r="T112" s="66">
        <f>'Project Database'!X116</f>
        <v/>
      </c>
      <c r="U112" s="67">
        <f>'Project Database'!Y116</f>
        <v/>
      </c>
      <c r="V112" s="66">
        <f>IF('Smart Search'!B13=1,IFERROR(1/'Smart Search'!H13,0),0)</f>
        <v/>
      </c>
      <c r="W112" s="66">
        <f>IF('Smart Search'!B13=1,IFERROR(1/'Smart Search'!H13,0),0)</f>
        <v/>
      </c>
      <c r="X112" s="66">
        <f>IF('Smart Search'!C13=1,IFERROR(1/'Smart Search'!H13,0),0)</f>
        <v/>
      </c>
      <c r="Y112" s="66">
        <f>IF('Smart Search'!C13=1,IFERROR(1/'Smart Search'!H13,0),0)</f>
        <v/>
      </c>
      <c r="Z112" s="66">
        <f>IF('Smart Search'!D13=1,IFERROR(1/'Smart Search'!H13,0),0)</f>
        <v/>
      </c>
      <c r="AA112" s="66">
        <f>IF('Smart Search'!D13=1,IFERROR(1/'Smart Search'!H13,0),0)</f>
        <v/>
      </c>
      <c r="AB112" s="66">
        <f>IF('Smart Search'!E13=1,IFERROR(1/'Smart Search'!H13,0),0)</f>
        <v/>
      </c>
      <c r="AC112" s="66">
        <f>IF('Smart Search'!E13=1,IFERROR(1/'Smart Search'!H13,0),0)</f>
        <v/>
      </c>
      <c r="AD112" s="66">
        <f>IF('Smart Search'!F13=1,IFERROR(1/'Smart Search'!H13,0),0)</f>
        <v/>
      </c>
      <c r="AE112" s="66">
        <f>IF('Smart Search'!F13=1,IFERROR(1/'Smart Search'!H13,0),0)</f>
        <v/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66">
        <f>AF112*V112</f>
        <v/>
      </c>
      <c r="AQ112" s="66">
        <f>AG112*W112</f>
        <v/>
      </c>
      <c r="AR112" s="66">
        <f>AH112*X112</f>
        <v/>
      </c>
      <c r="AS112" s="66">
        <f>AI112*Y112</f>
        <v/>
      </c>
      <c r="AT112" s="66">
        <f>AJ112*Z112</f>
        <v/>
      </c>
      <c r="AU112" s="66">
        <f>AK112*AA112</f>
        <v/>
      </c>
      <c r="AV112" s="66">
        <f>AL112*AB112</f>
        <v/>
      </c>
      <c r="AW112" s="66">
        <f>AM112*AC112</f>
        <v/>
      </c>
      <c r="AX112" s="66">
        <f>AN112*AD112</f>
        <v/>
      </c>
      <c r="AY112" s="66">
        <f>AO112*AE112</f>
        <v/>
      </c>
      <c r="AZ112" s="66">
        <f>'Project Database'!Z116</f>
        <v/>
      </c>
      <c r="BA112" s="66">
        <f>IF(OR(A112="",'Smart Search'!H13=0),"",MAX(0,BE112*BF112*MAX(0,1-BG112)))</f>
        <v/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66">
        <f>IF('Smart Search'!G13=1,IFERROR(1/'Smart Search'!H13,0),0)</f>
        <v/>
      </c>
      <c r="BD112" s="66">
        <f>BB112*BC112</f>
        <v/>
      </c>
      <c r="BE112" s="66">
        <f>AP112+AQ112+AR112+AS112+AT112+AU112+AV112+AW112+AX112+AY112+BD112</f>
        <v/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5">
        <f>IF(AND('Project Database'!A116&lt;&gt;"",OR('Smart Search'!$L$5="",'Smart Search'!$L$5="All",TRIM('Project Database'!D116)=TRIM('Smart Search'!$L$5)),OR(TRIM('Smart Search'!$L$6)="",TRIM('Smart Search'!$L$6)="All",ISNUMBER(SEARCH(SUBSTITUTE(SUBSTITUTE(SUBSTITUTE(TRIM('Smart Search'!$L$6),"~","~~"),"*","~*"),"?","~?"),'Project Database'!C116))),OR('Smart Search'!$L$7="",AND('Project Database'!E116&lt;&gt;"",'Project Database'!E116='Smart Search'!$L$7)),OR('Smart Search'!$L$8="",'Smart Search'!$L$8="All",TRIM('Project Database'!F116)=TRIM('Smart Search'!$L$8))),IF(BA112="","",BA112+ROW()*0.0000000001),"")</f>
        <v/>
      </c>
      <c r="BI112" s="5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>
        <f>IF('Project Database'!A116="","",N('Project Database'!AC116))</f>
        <v/>
      </c>
      <c r="BK112" s="5">
        <f>IF('Project Database'!A116="","",N('Project Database'!AD116))</f>
        <v/>
      </c>
      <c r="BL112" s="5">
        <f>IF('Project Database'!A116="","",N('Project Database'!AE116))</f>
        <v/>
      </c>
      <c r="BM112" s="5">
        <f>IF('Project Database'!A116="","",N('Project Database'!AF116))</f>
        <v/>
      </c>
      <c r="BN112" s="5">
        <f>IF('Project Database'!A116="","",N('Project Database'!AG116))</f>
        <v/>
      </c>
      <c r="BO112" s="5">
        <f>IF('Project Database'!A116="","",N('Project Database'!AH116))</f>
        <v/>
      </c>
      <c r="BP112" s="5">
        <f>IF('Project Database'!A116="","",N('Project Database'!AI116))</f>
        <v/>
      </c>
      <c r="BQ112" s="5">
        <f>IF('Project Database'!A116="","",N('Project Database'!AJ116))</f>
        <v/>
      </c>
      <c r="BR112" s="5">
        <f>IF('Project Database'!A116="","",N('Project Database'!AK116))</f>
        <v/>
      </c>
      <c r="BS112" s="5">
        <f>IF('Project Database'!A116="","",N('Project Database'!AL116))</f>
        <v/>
      </c>
      <c r="BT112" s="5">
        <f>IF('Project Database'!A116="","",N('Project Database'!AM116))</f>
        <v/>
      </c>
      <c r="BU112" s="5">
        <f>IF('Project Database'!A116="","",N('Project Database'!AN116))</f>
        <v/>
      </c>
      <c r="BV112" s="5">
        <f>IF('Project Database'!A116="","",N('Project Database'!AO116))</f>
        <v/>
      </c>
      <c r="BW112" s="5">
        <f>IF('Project Database'!A116="","",N('Project Database'!AP116))</f>
        <v/>
      </c>
      <c r="BX112" s="5">
        <f>IF(A112="","",SUM(BJ112:BW112))</f>
        <v/>
      </c>
      <c r="BY112" s="5">
        <f>IF(A112="","",IFERROR(IF(ISNUMBER(U112),U112,VALUE(SUBSTITUTE(SUBSTITUTE(SUBSTITUTE(UPPER(TRIM(U112)),"M",""),",","")," ",""))),0))</f>
        <v/>
      </c>
    </row>
    <row r="113" ht="15" customHeight="1" s="74">
      <c r="A113" s="66">
        <f>'Project Database'!A117</f>
        <v/>
      </c>
      <c r="B113" s="66">
        <f>'Project Database'!B117</f>
        <v/>
      </c>
      <c r="C113" s="66">
        <f>'Project Database'!G117</f>
        <v/>
      </c>
      <c r="D113" s="66">
        <f>'Project Database'!H117</f>
        <v/>
      </c>
      <c r="E113" s="66">
        <f>'Project Database'!I117</f>
        <v/>
      </c>
      <c r="F113" s="66">
        <f>'Project Database'!J117</f>
        <v/>
      </c>
      <c r="G113" s="66">
        <f>'Project Database'!K117</f>
        <v/>
      </c>
      <c r="H113" s="66">
        <f>'Project Database'!L117</f>
        <v/>
      </c>
      <c r="I113" s="66">
        <f>'Project Database'!M117</f>
        <v/>
      </c>
      <c r="J113" s="66">
        <f>'Project Database'!N117</f>
        <v/>
      </c>
      <c r="K113" s="66">
        <f>'Project Database'!O117</f>
        <v/>
      </c>
      <c r="L113" s="66">
        <f>'Project Database'!P117</f>
        <v/>
      </c>
      <c r="M113" s="66">
        <f>'Project Database'!Q117</f>
        <v/>
      </c>
      <c r="N113" s="66">
        <f>'Project Database'!R117</f>
        <v/>
      </c>
      <c r="O113" s="66">
        <f>'Project Database'!S117</f>
        <v/>
      </c>
      <c r="P113" s="66">
        <f>'Project Database'!T117</f>
        <v/>
      </c>
      <c r="Q113" s="66">
        <f>'Project Database'!U117</f>
        <v/>
      </c>
      <c r="R113" s="66">
        <f>'Project Database'!V117</f>
        <v/>
      </c>
      <c r="S113" s="66">
        <f>'Project Database'!W117</f>
        <v/>
      </c>
      <c r="T113" s="66">
        <f>'Project Database'!X117</f>
        <v/>
      </c>
      <c r="U113" s="67">
        <f>'Project Database'!Y117</f>
        <v/>
      </c>
      <c r="V113" s="66">
        <f>IF('Smart Search'!B13=1,IFERROR(1/'Smart Search'!H13,0),0)</f>
        <v/>
      </c>
      <c r="W113" s="66">
        <f>IF('Smart Search'!B13=1,IFERROR(1/'Smart Search'!H13,0),0)</f>
        <v/>
      </c>
      <c r="X113" s="66">
        <f>IF('Smart Search'!C13=1,IFERROR(1/'Smart Search'!H13,0),0)</f>
        <v/>
      </c>
      <c r="Y113" s="66">
        <f>IF('Smart Search'!C13=1,IFERROR(1/'Smart Search'!H13,0),0)</f>
        <v/>
      </c>
      <c r="Z113" s="66">
        <f>IF('Smart Search'!D13=1,IFERROR(1/'Smart Search'!H13,0),0)</f>
        <v/>
      </c>
      <c r="AA113" s="66">
        <f>IF('Smart Search'!D13=1,IFERROR(1/'Smart Search'!H13,0),0)</f>
        <v/>
      </c>
      <c r="AB113" s="66">
        <f>IF('Smart Search'!E13=1,IFERROR(1/'Smart Search'!H13,0),0)</f>
        <v/>
      </c>
      <c r="AC113" s="66">
        <f>IF('Smart Search'!E13=1,IFERROR(1/'Smart Search'!H13,0),0)</f>
        <v/>
      </c>
      <c r="AD113" s="66">
        <f>IF('Smart Search'!F13=1,IFERROR(1/'Smart Search'!H13,0),0)</f>
        <v/>
      </c>
      <c r="AE113" s="66">
        <f>IF('Smart Search'!F13=1,IFERROR(1/'Smart Search'!H13,0),0)</f>
        <v/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66">
        <f>AF113*V113</f>
        <v/>
      </c>
      <c r="AQ113" s="66">
        <f>AG113*W113</f>
        <v/>
      </c>
      <c r="AR113" s="66">
        <f>AH113*X113</f>
        <v/>
      </c>
      <c r="AS113" s="66">
        <f>AI113*Y113</f>
        <v/>
      </c>
      <c r="AT113" s="66">
        <f>AJ113*Z113</f>
        <v/>
      </c>
      <c r="AU113" s="66">
        <f>AK113*AA113</f>
        <v/>
      </c>
      <c r="AV113" s="66">
        <f>AL113*AB113</f>
        <v/>
      </c>
      <c r="AW113" s="66">
        <f>AM113*AC113</f>
        <v/>
      </c>
      <c r="AX113" s="66">
        <f>AN113*AD113</f>
        <v/>
      </c>
      <c r="AY113" s="66">
        <f>AO113*AE113</f>
        <v/>
      </c>
      <c r="AZ113" s="66">
        <f>'Project Database'!Z117</f>
        <v/>
      </c>
      <c r="BA113" s="66">
        <f>IF(OR(A113="",'Smart Search'!H13=0),"",MAX(0,BE113*BF113*MAX(0,1-BG113)))</f>
        <v/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66">
        <f>IF('Smart Search'!G13=1,IFERROR(1/'Smart Search'!H13,0),0)</f>
        <v/>
      </c>
      <c r="BD113" s="66">
        <f>BB113*BC113</f>
        <v/>
      </c>
      <c r="BE113" s="66">
        <f>AP113+AQ113+AR113+AS113+AT113+AU113+AV113+AW113+AX113+AY113+BD113</f>
        <v/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5">
        <f>IF(AND('Project Database'!A117&lt;&gt;"",OR('Smart Search'!$L$5="",'Smart Search'!$L$5="All",TRIM('Project Database'!D117)=TRIM('Smart Search'!$L$5)),OR(TRIM('Smart Search'!$L$6)="",TRIM('Smart Search'!$L$6)="All",ISNUMBER(SEARCH(SUBSTITUTE(SUBSTITUTE(SUBSTITUTE(TRIM('Smart Search'!$L$6),"~","~~"),"*","~*"),"?","~?"),'Project Database'!C117))),OR('Smart Search'!$L$7="",AND('Project Database'!E117&lt;&gt;"",'Project Database'!E117='Smart Search'!$L$7)),OR('Smart Search'!$L$8="",'Smart Search'!$L$8="All",TRIM('Project Database'!F117)=TRIM('Smart Search'!$L$8))),IF(BA113="","",BA113+ROW()*0.0000000001),"")</f>
        <v/>
      </c>
      <c r="BI113" s="5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>
        <f>IF('Project Database'!A117="","",N('Project Database'!AC117))</f>
        <v/>
      </c>
      <c r="BK113" s="5">
        <f>IF('Project Database'!A117="","",N('Project Database'!AD117))</f>
        <v/>
      </c>
      <c r="BL113" s="5">
        <f>IF('Project Database'!A117="","",N('Project Database'!AE117))</f>
        <v/>
      </c>
      <c r="BM113" s="5">
        <f>IF('Project Database'!A117="","",N('Project Database'!AF117))</f>
        <v/>
      </c>
      <c r="BN113" s="5">
        <f>IF('Project Database'!A117="","",N('Project Database'!AG117))</f>
        <v/>
      </c>
      <c r="BO113" s="5">
        <f>IF('Project Database'!A117="","",N('Project Database'!AH117))</f>
        <v/>
      </c>
      <c r="BP113" s="5">
        <f>IF('Project Database'!A117="","",N('Project Database'!AI117))</f>
        <v/>
      </c>
      <c r="BQ113" s="5">
        <f>IF('Project Database'!A117="","",N('Project Database'!AJ117))</f>
        <v/>
      </c>
      <c r="BR113" s="5">
        <f>IF('Project Database'!A117="","",N('Project Database'!AK117))</f>
        <v/>
      </c>
      <c r="BS113" s="5">
        <f>IF('Project Database'!A117="","",N('Project Database'!AL117))</f>
        <v/>
      </c>
      <c r="BT113" s="5">
        <f>IF('Project Database'!A117="","",N('Project Database'!AM117))</f>
        <v/>
      </c>
      <c r="BU113" s="5">
        <f>IF('Project Database'!A117="","",N('Project Database'!AN117))</f>
        <v/>
      </c>
      <c r="BV113" s="5">
        <f>IF('Project Database'!A117="","",N('Project Database'!AO117))</f>
        <v/>
      </c>
      <c r="BW113" s="5">
        <f>IF('Project Database'!A117="","",N('Project Database'!AP117))</f>
        <v/>
      </c>
      <c r="BX113" s="5">
        <f>IF(A113="","",SUM(BJ113:BW113))</f>
        <v/>
      </c>
      <c r="BY113" s="5">
        <f>IF(A113="","",IFERROR(IF(ISNUMBER(U113),U113,VALUE(SUBSTITUTE(SUBSTITUTE(SUBSTITUTE(UPPER(TRIM(U113)),"M",""),",","")," ",""))),0))</f>
        <v/>
      </c>
    </row>
    <row r="114" ht="15" customHeight="1" s="74">
      <c r="A114" s="66">
        <f>'Project Database'!A118</f>
        <v/>
      </c>
      <c r="B114" s="66">
        <f>'Project Database'!B118</f>
        <v/>
      </c>
      <c r="C114" s="66">
        <f>'Project Database'!G118</f>
        <v/>
      </c>
      <c r="D114" s="66">
        <f>'Project Database'!H118</f>
        <v/>
      </c>
      <c r="E114" s="66">
        <f>'Project Database'!I118</f>
        <v/>
      </c>
      <c r="F114" s="66">
        <f>'Project Database'!J118</f>
        <v/>
      </c>
      <c r="G114" s="66">
        <f>'Project Database'!K118</f>
        <v/>
      </c>
      <c r="H114" s="66">
        <f>'Project Database'!L118</f>
        <v/>
      </c>
      <c r="I114" s="66">
        <f>'Project Database'!M118</f>
        <v/>
      </c>
      <c r="J114" s="66">
        <f>'Project Database'!N118</f>
        <v/>
      </c>
      <c r="K114" s="66">
        <f>'Project Database'!O118</f>
        <v/>
      </c>
      <c r="L114" s="66">
        <f>'Project Database'!P118</f>
        <v/>
      </c>
      <c r="M114" s="66">
        <f>'Project Database'!Q118</f>
        <v/>
      </c>
      <c r="N114" s="66">
        <f>'Project Database'!R118</f>
        <v/>
      </c>
      <c r="O114" s="66">
        <f>'Project Database'!S118</f>
        <v/>
      </c>
      <c r="P114" s="66">
        <f>'Project Database'!T118</f>
        <v/>
      </c>
      <c r="Q114" s="66">
        <f>'Project Database'!U118</f>
        <v/>
      </c>
      <c r="R114" s="66">
        <f>'Project Database'!V118</f>
        <v/>
      </c>
      <c r="S114" s="66">
        <f>'Project Database'!W118</f>
        <v/>
      </c>
      <c r="T114" s="66">
        <f>'Project Database'!X118</f>
        <v/>
      </c>
      <c r="U114" s="67">
        <f>'Project Database'!Y118</f>
        <v/>
      </c>
      <c r="V114" s="66">
        <f>IF('Smart Search'!B13=1,IFERROR(1/'Smart Search'!H13,0),0)</f>
        <v/>
      </c>
      <c r="W114" s="66">
        <f>IF('Smart Search'!B13=1,IFERROR(1/'Smart Search'!H13,0),0)</f>
        <v/>
      </c>
      <c r="X114" s="66">
        <f>IF('Smart Search'!C13=1,IFERROR(1/'Smart Search'!H13,0),0)</f>
        <v/>
      </c>
      <c r="Y114" s="66">
        <f>IF('Smart Search'!C13=1,IFERROR(1/'Smart Search'!H13,0),0)</f>
        <v/>
      </c>
      <c r="Z114" s="66">
        <f>IF('Smart Search'!D13=1,IFERROR(1/'Smart Search'!H13,0),0)</f>
        <v/>
      </c>
      <c r="AA114" s="66">
        <f>IF('Smart Search'!D13=1,IFERROR(1/'Smart Search'!H13,0),0)</f>
        <v/>
      </c>
      <c r="AB114" s="66">
        <f>IF('Smart Search'!E13=1,IFERROR(1/'Smart Search'!H13,0),0)</f>
        <v/>
      </c>
      <c r="AC114" s="66">
        <f>IF('Smart Search'!E13=1,IFERROR(1/'Smart Search'!H13,0),0)</f>
        <v/>
      </c>
      <c r="AD114" s="66">
        <f>IF('Smart Search'!F13=1,IFERROR(1/'Smart Search'!H13,0),0)</f>
        <v/>
      </c>
      <c r="AE114" s="66">
        <f>IF('Smart Search'!F13=1,IFERROR(1/'Smart Search'!H13,0),0)</f>
        <v/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66">
        <f>AF114*V114</f>
        <v/>
      </c>
      <c r="AQ114" s="66">
        <f>AG114*W114</f>
        <v/>
      </c>
      <c r="AR114" s="66">
        <f>AH114*X114</f>
        <v/>
      </c>
      <c r="AS114" s="66">
        <f>AI114*Y114</f>
        <v/>
      </c>
      <c r="AT114" s="66">
        <f>AJ114*Z114</f>
        <v/>
      </c>
      <c r="AU114" s="66">
        <f>AK114*AA114</f>
        <v/>
      </c>
      <c r="AV114" s="66">
        <f>AL114*AB114</f>
        <v/>
      </c>
      <c r="AW114" s="66">
        <f>AM114*AC114</f>
        <v/>
      </c>
      <c r="AX114" s="66">
        <f>AN114*AD114</f>
        <v/>
      </c>
      <c r="AY114" s="66">
        <f>AO114*AE114</f>
        <v/>
      </c>
      <c r="AZ114" s="66">
        <f>'Project Database'!Z118</f>
        <v/>
      </c>
      <c r="BA114" s="66">
        <f>IF(OR(A114="",'Smart Search'!H13=0),"",MAX(0,BE114*BF114*MAX(0,1-BG114)))</f>
        <v/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66">
        <f>IF('Smart Search'!G13=1,IFERROR(1/'Smart Search'!H13,0),0)</f>
        <v/>
      </c>
      <c r="BD114" s="66">
        <f>BB114*BC114</f>
        <v/>
      </c>
      <c r="BE114" s="66">
        <f>AP114+AQ114+AR114+AS114+AT114+AU114+AV114+AW114+AX114+AY114+BD114</f>
        <v/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5">
        <f>IF(AND('Project Database'!A118&lt;&gt;"",OR('Smart Search'!$L$5="",'Smart Search'!$L$5="All",TRIM('Project Database'!D118)=TRIM('Smart Search'!$L$5)),OR(TRIM('Smart Search'!$L$6)="",TRIM('Smart Search'!$L$6)="All",ISNUMBER(SEARCH(SUBSTITUTE(SUBSTITUTE(SUBSTITUTE(TRIM('Smart Search'!$L$6),"~","~~"),"*","~*"),"?","~?"),'Project Database'!C118))),OR('Smart Search'!$L$7="",AND('Project Database'!E118&lt;&gt;"",'Project Database'!E118='Smart Search'!$L$7)),OR('Smart Search'!$L$8="",'Smart Search'!$L$8="All",TRIM('Project Database'!F118)=TRIM('Smart Search'!$L$8))),IF(BA114="","",BA114+ROW()*0.0000000001),"")</f>
        <v/>
      </c>
      <c r="BI114" s="5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>
        <f>IF('Project Database'!A118="","",N('Project Database'!AC118))</f>
        <v/>
      </c>
      <c r="BK114" s="5">
        <f>IF('Project Database'!A118="","",N('Project Database'!AD118))</f>
        <v/>
      </c>
      <c r="BL114" s="5">
        <f>IF('Project Database'!A118="","",N('Project Database'!AE118))</f>
        <v/>
      </c>
      <c r="BM114" s="5">
        <f>IF('Project Database'!A118="","",N('Project Database'!AF118))</f>
        <v/>
      </c>
      <c r="BN114" s="5">
        <f>IF('Project Database'!A118="","",N('Project Database'!AG118))</f>
        <v/>
      </c>
      <c r="BO114" s="5">
        <f>IF('Project Database'!A118="","",N('Project Database'!AH118))</f>
        <v/>
      </c>
      <c r="BP114" s="5">
        <f>IF('Project Database'!A118="","",N('Project Database'!AI118))</f>
        <v/>
      </c>
      <c r="BQ114" s="5">
        <f>IF('Project Database'!A118="","",N('Project Database'!AJ118))</f>
        <v/>
      </c>
      <c r="BR114" s="5">
        <f>IF('Project Database'!A118="","",N('Project Database'!AK118))</f>
        <v/>
      </c>
      <c r="BS114" s="5">
        <f>IF('Project Database'!A118="","",N('Project Database'!AL118))</f>
        <v/>
      </c>
      <c r="BT114" s="5">
        <f>IF('Project Database'!A118="","",N('Project Database'!AM118))</f>
        <v/>
      </c>
      <c r="BU114" s="5">
        <f>IF('Project Database'!A118="","",N('Project Database'!AN118))</f>
        <v/>
      </c>
      <c r="BV114" s="5">
        <f>IF('Project Database'!A118="","",N('Project Database'!AO118))</f>
        <v/>
      </c>
      <c r="BW114" s="5">
        <f>IF('Project Database'!A118="","",N('Project Database'!AP118))</f>
        <v/>
      </c>
      <c r="BX114" s="5">
        <f>IF(A114="","",SUM(BJ114:BW114))</f>
        <v/>
      </c>
      <c r="BY114" s="5">
        <f>IF(A114="","",IFERROR(IF(ISNUMBER(U114),U114,VALUE(SUBSTITUTE(SUBSTITUTE(SUBSTITUTE(UPPER(TRIM(U114)),"M",""),",","")," ",""))),0))</f>
        <v/>
      </c>
    </row>
    <row r="115" ht="15" customHeight="1" s="74">
      <c r="A115" s="66">
        <f>'Project Database'!A119</f>
        <v/>
      </c>
      <c r="B115" s="66">
        <f>'Project Database'!B119</f>
        <v/>
      </c>
      <c r="C115" s="66">
        <f>'Project Database'!G119</f>
        <v/>
      </c>
      <c r="D115" s="66">
        <f>'Project Database'!H119</f>
        <v/>
      </c>
      <c r="E115" s="66">
        <f>'Project Database'!I119</f>
        <v/>
      </c>
      <c r="F115" s="66">
        <f>'Project Database'!J119</f>
        <v/>
      </c>
      <c r="G115" s="66">
        <f>'Project Database'!K119</f>
        <v/>
      </c>
      <c r="H115" s="66">
        <f>'Project Database'!L119</f>
        <v/>
      </c>
      <c r="I115" s="66">
        <f>'Project Database'!M119</f>
        <v/>
      </c>
      <c r="J115" s="66">
        <f>'Project Database'!N119</f>
        <v/>
      </c>
      <c r="K115" s="66">
        <f>'Project Database'!O119</f>
        <v/>
      </c>
      <c r="L115" s="66">
        <f>'Project Database'!P119</f>
        <v/>
      </c>
      <c r="M115" s="66">
        <f>'Project Database'!Q119</f>
        <v/>
      </c>
      <c r="N115" s="66">
        <f>'Project Database'!R119</f>
        <v/>
      </c>
      <c r="O115" s="66">
        <f>'Project Database'!S119</f>
        <v/>
      </c>
      <c r="P115" s="66">
        <f>'Project Database'!T119</f>
        <v/>
      </c>
      <c r="Q115" s="66">
        <f>'Project Database'!U119</f>
        <v/>
      </c>
      <c r="R115" s="66">
        <f>'Project Database'!V119</f>
        <v/>
      </c>
      <c r="S115" s="66">
        <f>'Project Database'!W119</f>
        <v/>
      </c>
      <c r="T115" s="66">
        <f>'Project Database'!X119</f>
        <v/>
      </c>
      <c r="U115" s="67">
        <f>'Project Database'!Y119</f>
        <v/>
      </c>
      <c r="V115" s="66">
        <f>IF('Smart Search'!B13=1,IFERROR(1/'Smart Search'!H13,0),0)</f>
        <v/>
      </c>
      <c r="W115" s="66">
        <f>IF('Smart Search'!B13=1,IFERROR(1/'Smart Search'!H13,0),0)</f>
        <v/>
      </c>
      <c r="X115" s="66">
        <f>IF('Smart Search'!C13=1,IFERROR(1/'Smart Search'!H13,0),0)</f>
        <v/>
      </c>
      <c r="Y115" s="66">
        <f>IF('Smart Search'!C13=1,IFERROR(1/'Smart Search'!H13,0),0)</f>
        <v/>
      </c>
      <c r="Z115" s="66">
        <f>IF('Smart Search'!D13=1,IFERROR(1/'Smart Search'!H13,0),0)</f>
        <v/>
      </c>
      <c r="AA115" s="66">
        <f>IF('Smart Search'!D13=1,IFERROR(1/'Smart Search'!H13,0),0)</f>
        <v/>
      </c>
      <c r="AB115" s="66">
        <f>IF('Smart Search'!E13=1,IFERROR(1/'Smart Search'!H13,0),0)</f>
        <v/>
      </c>
      <c r="AC115" s="66">
        <f>IF('Smart Search'!E13=1,IFERROR(1/'Smart Search'!H13,0),0)</f>
        <v/>
      </c>
      <c r="AD115" s="66">
        <f>IF('Smart Search'!F13=1,IFERROR(1/'Smart Search'!H13,0),0)</f>
        <v/>
      </c>
      <c r="AE115" s="66">
        <f>IF('Smart Search'!F13=1,IFERROR(1/'Smart Search'!H13,0),0)</f>
        <v/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66">
        <f>AF115*V115</f>
        <v/>
      </c>
      <c r="AQ115" s="66">
        <f>AG115*W115</f>
        <v/>
      </c>
      <c r="AR115" s="66">
        <f>AH115*X115</f>
        <v/>
      </c>
      <c r="AS115" s="66">
        <f>AI115*Y115</f>
        <v/>
      </c>
      <c r="AT115" s="66">
        <f>AJ115*Z115</f>
        <v/>
      </c>
      <c r="AU115" s="66">
        <f>AK115*AA115</f>
        <v/>
      </c>
      <c r="AV115" s="66">
        <f>AL115*AB115</f>
        <v/>
      </c>
      <c r="AW115" s="66">
        <f>AM115*AC115</f>
        <v/>
      </c>
      <c r="AX115" s="66">
        <f>AN115*AD115</f>
        <v/>
      </c>
      <c r="AY115" s="66">
        <f>AO115*AE115</f>
        <v/>
      </c>
      <c r="AZ115" s="66">
        <f>'Project Database'!Z119</f>
        <v/>
      </c>
      <c r="BA115" s="66">
        <f>IF(OR(A115="",'Smart Search'!H13=0),"",MAX(0,BE115*BF115*MAX(0,1-BG115)))</f>
        <v/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66">
        <f>IF('Smart Search'!G13=1,IFERROR(1/'Smart Search'!H13,0),0)</f>
        <v/>
      </c>
      <c r="BD115" s="66">
        <f>BB115*BC115</f>
        <v/>
      </c>
      <c r="BE115" s="66">
        <f>AP115+AQ115+AR115+AS115+AT115+AU115+AV115+AW115+AX115+AY115+BD115</f>
        <v/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5">
        <f>IF(AND('Project Database'!A119&lt;&gt;"",OR('Smart Search'!$L$5="",'Smart Search'!$L$5="All",TRIM('Project Database'!D119)=TRIM('Smart Search'!$L$5)),OR(TRIM('Smart Search'!$L$6)="",TRIM('Smart Search'!$L$6)="All",ISNUMBER(SEARCH(SUBSTITUTE(SUBSTITUTE(SUBSTITUTE(TRIM('Smart Search'!$L$6),"~","~~"),"*","~*"),"?","~?"),'Project Database'!C119))),OR('Smart Search'!$L$7="",AND('Project Database'!E119&lt;&gt;"",'Project Database'!E119='Smart Search'!$L$7)),OR('Smart Search'!$L$8="",'Smart Search'!$L$8="All",TRIM('Project Database'!F119)=TRIM('Smart Search'!$L$8))),IF(BA115="","",BA115+ROW()*0.0000000001),"")</f>
        <v/>
      </c>
      <c r="BI115" s="5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>
        <f>IF('Project Database'!A119="","",N('Project Database'!AC119))</f>
        <v/>
      </c>
      <c r="BK115" s="5">
        <f>IF('Project Database'!A119="","",N('Project Database'!AD119))</f>
        <v/>
      </c>
      <c r="BL115" s="5">
        <f>IF('Project Database'!A119="","",N('Project Database'!AE119))</f>
        <v/>
      </c>
      <c r="BM115" s="5">
        <f>IF('Project Database'!A119="","",N('Project Database'!AF119))</f>
        <v/>
      </c>
      <c r="BN115" s="5">
        <f>IF('Project Database'!A119="","",N('Project Database'!AG119))</f>
        <v/>
      </c>
      <c r="BO115" s="5">
        <f>IF('Project Database'!A119="","",N('Project Database'!AH119))</f>
        <v/>
      </c>
      <c r="BP115" s="5">
        <f>IF('Project Database'!A119="","",N('Project Database'!AI119))</f>
        <v/>
      </c>
      <c r="BQ115" s="5">
        <f>IF('Project Database'!A119="","",N('Project Database'!AJ119))</f>
        <v/>
      </c>
      <c r="BR115" s="5">
        <f>IF('Project Database'!A119="","",N('Project Database'!AK119))</f>
        <v/>
      </c>
      <c r="BS115" s="5">
        <f>IF('Project Database'!A119="","",N('Project Database'!AL119))</f>
        <v/>
      </c>
      <c r="BT115" s="5">
        <f>IF('Project Database'!A119="","",N('Project Database'!AM119))</f>
        <v/>
      </c>
      <c r="BU115" s="5">
        <f>IF('Project Database'!A119="","",N('Project Database'!AN119))</f>
        <v/>
      </c>
      <c r="BV115" s="5">
        <f>IF('Project Database'!A119="","",N('Project Database'!AO119))</f>
        <v/>
      </c>
      <c r="BW115" s="5">
        <f>IF('Project Database'!A119="","",N('Project Database'!AP119))</f>
        <v/>
      </c>
      <c r="BX115" s="5">
        <f>IF(A115="","",SUM(BJ115:BW115))</f>
        <v/>
      </c>
      <c r="BY115" s="5">
        <f>IF(A115="","",IFERROR(IF(ISNUMBER(U115),U115,VALUE(SUBSTITUTE(SUBSTITUTE(SUBSTITUTE(UPPER(TRIM(U115)),"M",""),",","")," ",""))),0))</f>
        <v/>
      </c>
    </row>
    <row r="116" ht="15" customHeight="1" s="74">
      <c r="A116" s="66">
        <f>'Project Database'!A120</f>
        <v/>
      </c>
      <c r="B116" s="66">
        <f>'Project Database'!B120</f>
        <v/>
      </c>
      <c r="C116" s="66">
        <f>'Project Database'!G120</f>
        <v/>
      </c>
      <c r="D116" s="66">
        <f>'Project Database'!H120</f>
        <v/>
      </c>
      <c r="E116" s="66">
        <f>'Project Database'!I120</f>
        <v/>
      </c>
      <c r="F116" s="66">
        <f>'Project Database'!J120</f>
        <v/>
      </c>
      <c r="G116" s="66">
        <f>'Project Database'!K120</f>
        <v/>
      </c>
      <c r="H116" s="66">
        <f>'Project Database'!L120</f>
        <v/>
      </c>
      <c r="I116" s="66">
        <f>'Project Database'!M120</f>
        <v/>
      </c>
      <c r="J116" s="66">
        <f>'Project Database'!N120</f>
        <v/>
      </c>
      <c r="K116" s="66">
        <f>'Project Database'!O120</f>
        <v/>
      </c>
      <c r="L116" s="66">
        <f>'Project Database'!P120</f>
        <v/>
      </c>
      <c r="M116" s="66">
        <f>'Project Database'!Q120</f>
        <v/>
      </c>
      <c r="N116" s="66">
        <f>'Project Database'!R120</f>
        <v/>
      </c>
      <c r="O116" s="66">
        <f>'Project Database'!S120</f>
        <v/>
      </c>
      <c r="P116" s="66">
        <f>'Project Database'!T120</f>
        <v/>
      </c>
      <c r="Q116" s="66">
        <f>'Project Database'!U120</f>
        <v/>
      </c>
      <c r="R116" s="66">
        <f>'Project Database'!V120</f>
        <v/>
      </c>
      <c r="S116" s="66">
        <f>'Project Database'!W120</f>
        <v/>
      </c>
      <c r="T116" s="66">
        <f>'Project Database'!X120</f>
        <v/>
      </c>
      <c r="U116" s="67">
        <f>'Project Database'!Y120</f>
        <v/>
      </c>
      <c r="V116" s="66">
        <f>IF('Smart Search'!B13=1,IFERROR(1/'Smart Search'!H13,0),0)</f>
        <v/>
      </c>
      <c r="W116" s="66">
        <f>IF('Smart Search'!B13=1,IFERROR(1/'Smart Search'!H13,0),0)</f>
        <v/>
      </c>
      <c r="X116" s="66">
        <f>IF('Smart Search'!C13=1,IFERROR(1/'Smart Search'!H13,0),0)</f>
        <v/>
      </c>
      <c r="Y116" s="66">
        <f>IF('Smart Search'!C13=1,IFERROR(1/'Smart Search'!H13,0),0)</f>
        <v/>
      </c>
      <c r="Z116" s="66">
        <f>IF('Smart Search'!D13=1,IFERROR(1/'Smart Search'!H13,0),0)</f>
        <v/>
      </c>
      <c r="AA116" s="66">
        <f>IF('Smart Search'!D13=1,IFERROR(1/'Smart Search'!H13,0),0)</f>
        <v/>
      </c>
      <c r="AB116" s="66">
        <f>IF('Smart Search'!E13=1,IFERROR(1/'Smart Search'!H13,0),0)</f>
        <v/>
      </c>
      <c r="AC116" s="66">
        <f>IF('Smart Search'!E13=1,IFERROR(1/'Smart Search'!H13,0),0)</f>
        <v/>
      </c>
      <c r="AD116" s="66">
        <f>IF('Smart Search'!F13=1,IFERROR(1/'Smart Search'!H13,0),0)</f>
        <v/>
      </c>
      <c r="AE116" s="66">
        <f>IF('Smart Search'!F13=1,IFERROR(1/'Smart Search'!H13,0),0)</f>
        <v/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66">
        <f>AF116*V116</f>
        <v/>
      </c>
      <c r="AQ116" s="66">
        <f>AG116*W116</f>
        <v/>
      </c>
      <c r="AR116" s="66">
        <f>AH116*X116</f>
        <v/>
      </c>
      <c r="AS116" s="66">
        <f>AI116*Y116</f>
        <v/>
      </c>
      <c r="AT116" s="66">
        <f>AJ116*Z116</f>
        <v/>
      </c>
      <c r="AU116" s="66">
        <f>AK116*AA116</f>
        <v/>
      </c>
      <c r="AV116" s="66">
        <f>AL116*AB116</f>
        <v/>
      </c>
      <c r="AW116" s="66">
        <f>AM116*AC116</f>
        <v/>
      </c>
      <c r="AX116" s="66">
        <f>AN116*AD116</f>
        <v/>
      </c>
      <c r="AY116" s="66">
        <f>AO116*AE116</f>
        <v/>
      </c>
      <c r="AZ116" s="66">
        <f>'Project Database'!Z120</f>
        <v/>
      </c>
      <c r="BA116" s="66">
        <f>IF(OR(A116="",'Smart Search'!H13=0),"",MAX(0,BE116*BF116*MAX(0,1-BG116)))</f>
        <v/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66">
        <f>IF('Smart Search'!G13=1,IFERROR(1/'Smart Search'!H13,0),0)</f>
        <v/>
      </c>
      <c r="BD116" s="66">
        <f>BB116*BC116</f>
        <v/>
      </c>
      <c r="BE116" s="66">
        <f>AP116+AQ116+AR116+AS116+AT116+AU116+AV116+AW116+AX116+AY116+BD116</f>
        <v/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5">
        <f>IF(AND('Project Database'!A120&lt;&gt;"",OR('Smart Search'!$L$5="",'Smart Search'!$L$5="All",TRIM('Project Database'!D120)=TRIM('Smart Search'!$L$5)),OR(TRIM('Smart Search'!$L$6)="",TRIM('Smart Search'!$L$6)="All",ISNUMBER(SEARCH(SUBSTITUTE(SUBSTITUTE(SUBSTITUTE(TRIM('Smart Search'!$L$6),"~","~~"),"*","~*"),"?","~?"),'Project Database'!C120))),OR('Smart Search'!$L$7="",AND('Project Database'!E120&lt;&gt;"",'Project Database'!E120='Smart Search'!$L$7)),OR('Smart Search'!$L$8="",'Smart Search'!$L$8="All",TRIM('Project Database'!F120)=TRIM('Smart Search'!$L$8))),IF(BA116="","",BA116+ROW()*0.0000000001),"")</f>
        <v/>
      </c>
      <c r="BI116" s="5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>
        <f>IF('Project Database'!A120="","",N('Project Database'!AC120))</f>
        <v/>
      </c>
      <c r="BK116" s="5">
        <f>IF('Project Database'!A120="","",N('Project Database'!AD120))</f>
        <v/>
      </c>
      <c r="BL116" s="5">
        <f>IF('Project Database'!A120="","",N('Project Database'!AE120))</f>
        <v/>
      </c>
      <c r="BM116" s="5">
        <f>IF('Project Database'!A120="","",N('Project Database'!AF120))</f>
        <v/>
      </c>
      <c r="BN116" s="5">
        <f>IF('Project Database'!A120="","",N('Project Database'!AG120))</f>
        <v/>
      </c>
      <c r="BO116" s="5">
        <f>IF('Project Database'!A120="","",N('Project Database'!AH120))</f>
        <v/>
      </c>
      <c r="BP116" s="5">
        <f>IF('Project Database'!A120="","",N('Project Database'!AI120))</f>
        <v/>
      </c>
      <c r="BQ116" s="5">
        <f>IF('Project Database'!A120="","",N('Project Database'!AJ120))</f>
        <v/>
      </c>
      <c r="BR116" s="5">
        <f>IF('Project Database'!A120="","",N('Project Database'!AK120))</f>
        <v/>
      </c>
      <c r="BS116" s="5">
        <f>IF('Project Database'!A120="","",N('Project Database'!AL120))</f>
        <v/>
      </c>
      <c r="BT116" s="5">
        <f>IF('Project Database'!A120="","",N('Project Database'!AM120))</f>
        <v/>
      </c>
      <c r="BU116" s="5">
        <f>IF('Project Database'!A120="","",N('Project Database'!AN120))</f>
        <v/>
      </c>
      <c r="BV116" s="5">
        <f>IF('Project Database'!A120="","",N('Project Database'!AO120))</f>
        <v/>
      </c>
      <c r="BW116" s="5">
        <f>IF('Project Database'!A120="","",N('Project Database'!AP120))</f>
        <v/>
      </c>
      <c r="BX116" s="5">
        <f>IF(A116="","",SUM(BJ116:BW116))</f>
        <v/>
      </c>
      <c r="BY116" s="5">
        <f>IF(A116="","",IFERROR(IF(ISNUMBER(U116),U116,VALUE(SUBSTITUTE(SUBSTITUTE(SUBSTITUTE(UPPER(TRIM(U116)),"M",""),",","")," ",""))),0))</f>
        <v/>
      </c>
    </row>
    <row r="117" ht="15" customHeight="1" s="74">
      <c r="A117" s="66">
        <f>'Project Database'!A121</f>
        <v/>
      </c>
      <c r="B117" s="66">
        <f>'Project Database'!B121</f>
        <v/>
      </c>
      <c r="C117" s="66">
        <f>'Project Database'!G121</f>
        <v/>
      </c>
      <c r="D117" s="66">
        <f>'Project Database'!H121</f>
        <v/>
      </c>
      <c r="E117" s="66">
        <f>'Project Database'!I121</f>
        <v/>
      </c>
      <c r="F117" s="66">
        <f>'Project Database'!J121</f>
        <v/>
      </c>
      <c r="G117" s="66">
        <f>'Project Database'!K121</f>
        <v/>
      </c>
      <c r="H117" s="66">
        <f>'Project Database'!L121</f>
        <v/>
      </c>
      <c r="I117" s="66">
        <f>'Project Database'!M121</f>
        <v/>
      </c>
      <c r="J117" s="66">
        <f>'Project Database'!N121</f>
        <v/>
      </c>
      <c r="K117" s="66">
        <f>'Project Database'!O121</f>
        <v/>
      </c>
      <c r="L117" s="66">
        <f>'Project Database'!P121</f>
        <v/>
      </c>
      <c r="M117" s="66">
        <f>'Project Database'!Q121</f>
        <v/>
      </c>
      <c r="N117" s="66">
        <f>'Project Database'!R121</f>
        <v/>
      </c>
      <c r="O117" s="66">
        <f>'Project Database'!S121</f>
        <v/>
      </c>
      <c r="P117" s="66">
        <f>'Project Database'!T121</f>
        <v/>
      </c>
      <c r="Q117" s="66">
        <f>'Project Database'!U121</f>
        <v/>
      </c>
      <c r="R117" s="66">
        <f>'Project Database'!V121</f>
        <v/>
      </c>
      <c r="S117" s="66">
        <f>'Project Database'!W121</f>
        <v/>
      </c>
      <c r="T117" s="66">
        <f>'Project Database'!X121</f>
        <v/>
      </c>
      <c r="U117" s="67">
        <f>'Project Database'!Y121</f>
        <v/>
      </c>
      <c r="V117" s="66">
        <f>IF('Smart Search'!B13=1,IFERROR(1/'Smart Search'!H13,0),0)</f>
        <v/>
      </c>
      <c r="W117" s="66">
        <f>IF('Smart Search'!B13=1,IFERROR(1/'Smart Search'!H13,0),0)</f>
        <v/>
      </c>
      <c r="X117" s="66">
        <f>IF('Smart Search'!C13=1,IFERROR(1/'Smart Search'!H13,0),0)</f>
        <v/>
      </c>
      <c r="Y117" s="66">
        <f>IF('Smart Search'!C13=1,IFERROR(1/'Smart Search'!H13,0),0)</f>
        <v/>
      </c>
      <c r="Z117" s="66">
        <f>IF('Smart Search'!D13=1,IFERROR(1/'Smart Search'!H13,0),0)</f>
        <v/>
      </c>
      <c r="AA117" s="66">
        <f>IF('Smart Search'!D13=1,IFERROR(1/'Smart Search'!H13,0),0)</f>
        <v/>
      </c>
      <c r="AB117" s="66">
        <f>IF('Smart Search'!E13=1,IFERROR(1/'Smart Search'!H13,0),0)</f>
        <v/>
      </c>
      <c r="AC117" s="66">
        <f>IF('Smart Search'!E13=1,IFERROR(1/'Smart Search'!H13,0),0)</f>
        <v/>
      </c>
      <c r="AD117" s="66">
        <f>IF('Smart Search'!F13=1,IFERROR(1/'Smart Search'!H13,0),0)</f>
        <v/>
      </c>
      <c r="AE117" s="66">
        <f>IF('Smart Search'!F13=1,IFERROR(1/'Smart Search'!H13,0),0)</f>
        <v/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66">
        <f>AF117*V117</f>
        <v/>
      </c>
      <c r="AQ117" s="66">
        <f>AG117*W117</f>
        <v/>
      </c>
      <c r="AR117" s="66">
        <f>AH117*X117</f>
        <v/>
      </c>
      <c r="AS117" s="66">
        <f>AI117*Y117</f>
        <v/>
      </c>
      <c r="AT117" s="66">
        <f>AJ117*Z117</f>
        <v/>
      </c>
      <c r="AU117" s="66">
        <f>AK117*AA117</f>
        <v/>
      </c>
      <c r="AV117" s="66">
        <f>AL117*AB117</f>
        <v/>
      </c>
      <c r="AW117" s="66">
        <f>AM117*AC117</f>
        <v/>
      </c>
      <c r="AX117" s="66">
        <f>AN117*AD117</f>
        <v/>
      </c>
      <c r="AY117" s="66">
        <f>AO117*AE117</f>
        <v/>
      </c>
      <c r="AZ117" s="66">
        <f>'Project Database'!Z121</f>
        <v/>
      </c>
      <c r="BA117" s="66">
        <f>IF(OR(A117="",'Smart Search'!H13=0),"",MAX(0,BE117*BF117*MAX(0,1-BG117)))</f>
        <v/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66">
        <f>IF('Smart Search'!G13=1,IFERROR(1/'Smart Search'!H13,0),0)</f>
        <v/>
      </c>
      <c r="BD117" s="66">
        <f>BB117*BC117</f>
        <v/>
      </c>
      <c r="BE117" s="66">
        <f>AP117+AQ117+AR117+AS117+AT117+AU117+AV117+AW117+AX117+AY117+BD117</f>
        <v/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5">
        <f>IF(AND('Project Database'!A121&lt;&gt;"",OR('Smart Search'!$L$5="",'Smart Search'!$L$5="All",TRIM('Project Database'!D121)=TRIM('Smart Search'!$L$5)),OR(TRIM('Smart Search'!$L$6)="",TRIM('Smart Search'!$L$6)="All",ISNUMBER(SEARCH(SUBSTITUTE(SUBSTITUTE(SUBSTITUTE(TRIM('Smart Search'!$L$6),"~","~~"),"*","~*"),"?","~?"),'Project Database'!C121))),OR('Smart Search'!$L$7="",AND('Project Database'!E121&lt;&gt;"",'Project Database'!E121='Smart Search'!$L$7)),OR('Smart Search'!$L$8="",'Smart Search'!$L$8="All",TRIM('Project Database'!F121)=TRIM('Smart Search'!$L$8))),IF(BA117="","",BA117+ROW()*0.0000000001),"")</f>
        <v/>
      </c>
      <c r="BI117" s="5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>
        <f>IF('Project Database'!A121="","",N('Project Database'!AC121))</f>
        <v/>
      </c>
      <c r="BK117" s="5">
        <f>IF('Project Database'!A121="","",N('Project Database'!AD121))</f>
        <v/>
      </c>
      <c r="BL117" s="5">
        <f>IF('Project Database'!A121="","",N('Project Database'!AE121))</f>
        <v/>
      </c>
      <c r="BM117" s="5">
        <f>IF('Project Database'!A121="","",N('Project Database'!AF121))</f>
        <v/>
      </c>
      <c r="BN117" s="5">
        <f>IF('Project Database'!A121="","",N('Project Database'!AG121))</f>
        <v/>
      </c>
      <c r="BO117" s="5">
        <f>IF('Project Database'!A121="","",N('Project Database'!AH121))</f>
        <v/>
      </c>
      <c r="BP117" s="5">
        <f>IF('Project Database'!A121="","",N('Project Database'!AI121))</f>
        <v/>
      </c>
      <c r="BQ117" s="5">
        <f>IF('Project Database'!A121="","",N('Project Database'!AJ121))</f>
        <v/>
      </c>
      <c r="BR117" s="5">
        <f>IF('Project Database'!A121="","",N('Project Database'!AK121))</f>
        <v/>
      </c>
      <c r="BS117" s="5">
        <f>IF('Project Database'!A121="","",N('Project Database'!AL121))</f>
        <v/>
      </c>
      <c r="BT117" s="5">
        <f>IF('Project Database'!A121="","",N('Project Database'!AM121))</f>
        <v/>
      </c>
      <c r="BU117" s="5">
        <f>IF('Project Database'!A121="","",N('Project Database'!AN121))</f>
        <v/>
      </c>
      <c r="BV117" s="5">
        <f>IF('Project Database'!A121="","",N('Project Database'!AO121))</f>
        <v/>
      </c>
      <c r="BW117" s="5">
        <f>IF('Project Database'!A121="","",N('Project Database'!AP121))</f>
        <v/>
      </c>
      <c r="BX117" s="5">
        <f>IF(A117="","",SUM(BJ117:BW117))</f>
        <v/>
      </c>
      <c r="BY117" s="5">
        <f>IF(A117="","",IFERROR(IF(ISNUMBER(U117),U117,VALUE(SUBSTITUTE(SUBSTITUTE(SUBSTITUTE(UPPER(TRIM(U117)),"M",""),",","")," ",""))),0))</f>
        <v/>
      </c>
    </row>
    <row r="118" ht="15" customHeight="1" s="74">
      <c r="A118" s="66">
        <f>'Project Database'!A122</f>
        <v/>
      </c>
      <c r="B118" s="66">
        <f>'Project Database'!B122</f>
        <v/>
      </c>
      <c r="C118" s="66">
        <f>'Project Database'!G122</f>
        <v/>
      </c>
      <c r="D118" s="66">
        <f>'Project Database'!H122</f>
        <v/>
      </c>
      <c r="E118" s="66">
        <f>'Project Database'!I122</f>
        <v/>
      </c>
      <c r="F118" s="66">
        <f>'Project Database'!J122</f>
        <v/>
      </c>
      <c r="G118" s="66">
        <f>'Project Database'!K122</f>
        <v/>
      </c>
      <c r="H118" s="66">
        <f>'Project Database'!L122</f>
        <v/>
      </c>
      <c r="I118" s="66">
        <f>'Project Database'!M122</f>
        <v/>
      </c>
      <c r="J118" s="66">
        <f>'Project Database'!N122</f>
        <v/>
      </c>
      <c r="K118" s="66">
        <f>'Project Database'!O122</f>
        <v/>
      </c>
      <c r="L118" s="66">
        <f>'Project Database'!P122</f>
        <v/>
      </c>
      <c r="M118" s="66">
        <f>'Project Database'!Q122</f>
        <v/>
      </c>
      <c r="N118" s="66">
        <f>'Project Database'!R122</f>
        <v/>
      </c>
      <c r="O118" s="66">
        <f>'Project Database'!S122</f>
        <v/>
      </c>
      <c r="P118" s="66">
        <f>'Project Database'!T122</f>
        <v/>
      </c>
      <c r="Q118" s="66">
        <f>'Project Database'!U122</f>
        <v/>
      </c>
      <c r="R118" s="66">
        <f>'Project Database'!V122</f>
        <v/>
      </c>
      <c r="S118" s="66">
        <f>'Project Database'!W122</f>
        <v/>
      </c>
      <c r="T118" s="66">
        <f>'Project Database'!X122</f>
        <v/>
      </c>
      <c r="U118" s="67">
        <f>'Project Database'!Y122</f>
        <v/>
      </c>
      <c r="V118" s="66">
        <f>IF('Smart Search'!B13=1,IFERROR(1/'Smart Search'!H13,0),0)</f>
        <v/>
      </c>
      <c r="W118" s="66">
        <f>IF('Smart Search'!B13=1,IFERROR(1/'Smart Search'!H13,0),0)</f>
        <v/>
      </c>
      <c r="X118" s="66">
        <f>IF('Smart Search'!C13=1,IFERROR(1/'Smart Search'!H13,0),0)</f>
        <v/>
      </c>
      <c r="Y118" s="66">
        <f>IF('Smart Search'!C13=1,IFERROR(1/'Smart Search'!H13,0),0)</f>
        <v/>
      </c>
      <c r="Z118" s="66">
        <f>IF('Smart Search'!D13=1,IFERROR(1/'Smart Search'!H13,0),0)</f>
        <v/>
      </c>
      <c r="AA118" s="66">
        <f>IF('Smart Search'!D13=1,IFERROR(1/'Smart Search'!H13,0),0)</f>
        <v/>
      </c>
      <c r="AB118" s="66">
        <f>IF('Smart Search'!E13=1,IFERROR(1/'Smart Search'!H13,0),0)</f>
        <v/>
      </c>
      <c r="AC118" s="66">
        <f>IF('Smart Search'!E13=1,IFERROR(1/'Smart Search'!H13,0),0)</f>
        <v/>
      </c>
      <c r="AD118" s="66">
        <f>IF('Smart Search'!F13=1,IFERROR(1/'Smart Search'!H13,0),0)</f>
        <v/>
      </c>
      <c r="AE118" s="66">
        <f>IF('Smart Search'!F13=1,IFERROR(1/'Smart Search'!H13,0),0)</f>
        <v/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66">
        <f>AF118*V118</f>
        <v/>
      </c>
      <c r="AQ118" s="66">
        <f>AG118*W118</f>
        <v/>
      </c>
      <c r="AR118" s="66">
        <f>AH118*X118</f>
        <v/>
      </c>
      <c r="AS118" s="66">
        <f>AI118*Y118</f>
        <v/>
      </c>
      <c r="AT118" s="66">
        <f>AJ118*Z118</f>
        <v/>
      </c>
      <c r="AU118" s="66">
        <f>AK118*AA118</f>
        <v/>
      </c>
      <c r="AV118" s="66">
        <f>AL118*AB118</f>
        <v/>
      </c>
      <c r="AW118" s="66">
        <f>AM118*AC118</f>
        <v/>
      </c>
      <c r="AX118" s="66">
        <f>AN118*AD118</f>
        <v/>
      </c>
      <c r="AY118" s="66">
        <f>AO118*AE118</f>
        <v/>
      </c>
      <c r="AZ118" s="66">
        <f>'Project Database'!Z122</f>
        <v/>
      </c>
      <c r="BA118" s="66">
        <f>IF(OR(A118="",'Smart Search'!H13=0),"",MAX(0,BE118*BF118*MAX(0,1-BG118)))</f>
        <v/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66">
        <f>IF('Smart Search'!G13=1,IFERROR(1/'Smart Search'!H13,0),0)</f>
        <v/>
      </c>
      <c r="BD118" s="66">
        <f>BB118*BC118</f>
        <v/>
      </c>
      <c r="BE118" s="66">
        <f>AP118+AQ118+AR118+AS118+AT118+AU118+AV118+AW118+AX118+AY118+BD118</f>
        <v/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5">
        <f>IF(AND('Project Database'!A122&lt;&gt;"",OR('Smart Search'!$L$5="",'Smart Search'!$L$5="All",TRIM('Project Database'!D122)=TRIM('Smart Search'!$L$5)),OR(TRIM('Smart Search'!$L$6)="",TRIM('Smart Search'!$L$6)="All",ISNUMBER(SEARCH(SUBSTITUTE(SUBSTITUTE(SUBSTITUTE(TRIM('Smart Search'!$L$6),"~","~~"),"*","~*"),"?","~?"),'Project Database'!C122))),OR('Smart Search'!$L$7="",AND('Project Database'!E122&lt;&gt;"",'Project Database'!E122='Smart Search'!$L$7)),OR('Smart Search'!$L$8="",'Smart Search'!$L$8="All",TRIM('Project Database'!F122)=TRIM('Smart Search'!$L$8))),IF(BA118="","",BA118+ROW()*0.0000000001),"")</f>
        <v/>
      </c>
      <c r="BI118" s="5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>
        <f>IF('Project Database'!A122="","",N('Project Database'!AC122))</f>
        <v/>
      </c>
      <c r="BK118" s="5">
        <f>IF('Project Database'!A122="","",N('Project Database'!AD122))</f>
        <v/>
      </c>
      <c r="BL118" s="5">
        <f>IF('Project Database'!A122="","",N('Project Database'!AE122))</f>
        <v/>
      </c>
      <c r="BM118" s="5">
        <f>IF('Project Database'!A122="","",N('Project Database'!AF122))</f>
        <v/>
      </c>
      <c r="BN118" s="5">
        <f>IF('Project Database'!A122="","",N('Project Database'!AG122))</f>
        <v/>
      </c>
      <c r="BO118" s="5">
        <f>IF('Project Database'!A122="","",N('Project Database'!AH122))</f>
        <v/>
      </c>
      <c r="BP118" s="5">
        <f>IF('Project Database'!A122="","",N('Project Database'!AI122))</f>
        <v/>
      </c>
      <c r="BQ118" s="5">
        <f>IF('Project Database'!A122="","",N('Project Database'!AJ122))</f>
        <v/>
      </c>
      <c r="BR118" s="5">
        <f>IF('Project Database'!A122="","",N('Project Database'!AK122))</f>
        <v/>
      </c>
      <c r="BS118" s="5">
        <f>IF('Project Database'!A122="","",N('Project Database'!AL122))</f>
        <v/>
      </c>
      <c r="BT118" s="5">
        <f>IF('Project Database'!A122="","",N('Project Database'!AM122))</f>
        <v/>
      </c>
      <c r="BU118" s="5">
        <f>IF('Project Database'!A122="","",N('Project Database'!AN122))</f>
        <v/>
      </c>
      <c r="BV118" s="5">
        <f>IF('Project Database'!A122="","",N('Project Database'!AO122))</f>
        <v/>
      </c>
      <c r="BW118" s="5">
        <f>IF('Project Database'!A122="","",N('Project Database'!AP122))</f>
        <v/>
      </c>
      <c r="BX118" s="5">
        <f>IF(A118="","",SUM(BJ118:BW118))</f>
        <v/>
      </c>
      <c r="BY118" s="5">
        <f>IF(A118="","",IFERROR(IF(ISNUMBER(U118),U118,VALUE(SUBSTITUTE(SUBSTITUTE(SUBSTITUTE(UPPER(TRIM(U118)),"M",""),",","")," ",""))),0))</f>
        <v/>
      </c>
    </row>
    <row r="119" ht="15" customHeight="1" s="74">
      <c r="A119" s="66">
        <f>'Project Database'!A123</f>
        <v/>
      </c>
      <c r="B119" s="66">
        <f>'Project Database'!B123</f>
        <v/>
      </c>
      <c r="C119" s="66">
        <f>'Project Database'!G123</f>
        <v/>
      </c>
      <c r="D119" s="66">
        <f>'Project Database'!H123</f>
        <v/>
      </c>
      <c r="E119" s="66">
        <f>'Project Database'!I123</f>
        <v/>
      </c>
      <c r="F119" s="66">
        <f>'Project Database'!J123</f>
        <v/>
      </c>
      <c r="G119" s="66">
        <f>'Project Database'!K123</f>
        <v/>
      </c>
      <c r="H119" s="66">
        <f>'Project Database'!L123</f>
        <v/>
      </c>
      <c r="I119" s="66">
        <f>'Project Database'!M123</f>
        <v/>
      </c>
      <c r="J119" s="66">
        <f>'Project Database'!N123</f>
        <v/>
      </c>
      <c r="K119" s="66">
        <f>'Project Database'!O123</f>
        <v/>
      </c>
      <c r="L119" s="66">
        <f>'Project Database'!P123</f>
        <v/>
      </c>
      <c r="M119" s="66">
        <f>'Project Database'!Q123</f>
        <v/>
      </c>
      <c r="N119" s="66">
        <f>'Project Database'!R123</f>
        <v/>
      </c>
      <c r="O119" s="66">
        <f>'Project Database'!S123</f>
        <v/>
      </c>
      <c r="P119" s="66">
        <f>'Project Database'!T123</f>
        <v/>
      </c>
      <c r="Q119" s="66">
        <f>'Project Database'!U123</f>
        <v/>
      </c>
      <c r="R119" s="66">
        <f>'Project Database'!V123</f>
        <v/>
      </c>
      <c r="S119" s="66">
        <f>'Project Database'!W123</f>
        <v/>
      </c>
      <c r="T119" s="66">
        <f>'Project Database'!X123</f>
        <v/>
      </c>
      <c r="U119" s="67">
        <f>'Project Database'!Y123</f>
        <v/>
      </c>
      <c r="V119" s="66">
        <f>IF('Smart Search'!B13=1,IFERROR(1/'Smart Search'!H13,0),0)</f>
        <v/>
      </c>
      <c r="W119" s="66">
        <f>IF('Smart Search'!B13=1,IFERROR(1/'Smart Search'!H13,0),0)</f>
        <v/>
      </c>
      <c r="X119" s="66">
        <f>IF('Smart Search'!C13=1,IFERROR(1/'Smart Search'!H13,0),0)</f>
        <v/>
      </c>
      <c r="Y119" s="66">
        <f>IF('Smart Search'!C13=1,IFERROR(1/'Smart Search'!H13,0),0)</f>
        <v/>
      </c>
      <c r="Z119" s="66">
        <f>IF('Smart Search'!D13=1,IFERROR(1/'Smart Search'!H13,0),0)</f>
        <v/>
      </c>
      <c r="AA119" s="66">
        <f>IF('Smart Search'!D13=1,IFERROR(1/'Smart Search'!H13,0),0)</f>
        <v/>
      </c>
      <c r="AB119" s="66">
        <f>IF('Smart Search'!E13=1,IFERROR(1/'Smart Search'!H13,0),0)</f>
        <v/>
      </c>
      <c r="AC119" s="66">
        <f>IF('Smart Search'!E13=1,IFERROR(1/'Smart Search'!H13,0),0)</f>
        <v/>
      </c>
      <c r="AD119" s="66">
        <f>IF('Smart Search'!F13=1,IFERROR(1/'Smart Search'!H13,0),0)</f>
        <v/>
      </c>
      <c r="AE119" s="66">
        <f>IF('Smart Search'!F13=1,IFERROR(1/'Smart Search'!H13,0),0)</f>
        <v/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66">
        <f>AF119*V119</f>
        <v/>
      </c>
      <c r="AQ119" s="66">
        <f>AG119*W119</f>
        <v/>
      </c>
      <c r="AR119" s="66">
        <f>AH119*X119</f>
        <v/>
      </c>
      <c r="AS119" s="66">
        <f>AI119*Y119</f>
        <v/>
      </c>
      <c r="AT119" s="66">
        <f>AJ119*Z119</f>
        <v/>
      </c>
      <c r="AU119" s="66">
        <f>AK119*AA119</f>
        <v/>
      </c>
      <c r="AV119" s="66">
        <f>AL119*AB119</f>
        <v/>
      </c>
      <c r="AW119" s="66">
        <f>AM119*AC119</f>
        <v/>
      </c>
      <c r="AX119" s="66">
        <f>AN119*AD119</f>
        <v/>
      </c>
      <c r="AY119" s="66">
        <f>AO119*AE119</f>
        <v/>
      </c>
      <c r="AZ119" s="66">
        <f>'Project Database'!Z123</f>
        <v/>
      </c>
      <c r="BA119" s="66">
        <f>IF(OR(A119="",'Smart Search'!H13=0),"",MAX(0,BE119*BF119*MAX(0,1-BG119)))</f>
        <v/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66">
        <f>IF('Smart Search'!G13=1,IFERROR(1/'Smart Search'!H13,0),0)</f>
        <v/>
      </c>
      <c r="BD119" s="66">
        <f>BB119*BC119</f>
        <v/>
      </c>
      <c r="BE119" s="66">
        <f>AP119+AQ119+AR119+AS119+AT119+AU119+AV119+AW119+AX119+AY119+BD119</f>
        <v/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5">
        <f>IF(AND('Project Database'!A123&lt;&gt;"",OR('Smart Search'!$L$5="",'Smart Search'!$L$5="All",TRIM('Project Database'!D123)=TRIM('Smart Search'!$L$5)),OR(TRIM('Smart Search'!$L$6)="",TRIM('Smart Search'!$L$6)="All",ISNUMBER(SEARCH(SUBSTITUTE(SUBSTITUTE(SUBSTITUTE(TRIM('Smart Search'!$L$6),"~","~~"),"*","~*"),"?","~?"),'Project Database'!C123))),OR('Smart Search'!$L$7="",AND('Project Database'!E123&lt;&gt;"",'Project Database'!E123='Smart Search'!$L$7)),OR('Smart Search'!$L$8="",'Smart Search'!$L$8="All",TRIM('Project Database'!F123)=TRIM('Smart Search'!$L$8))),IF(BA119="","",BA119+ROW()*0.0000000001),"")</f>
        <v/>
      </c>
      <c r="BI119" s="5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>
        <f>IF('Project Database'!A123="","",N('Project Database'!AC123))</f>
        <v/>
      </c>
      <c r="BK119" s="5">
        <f>IF('Project Database'!A123="","",N('Project Database'!AD123))</f>
        <v/>
      </c>
      <c r="BL119" s="5">
        <f>IF('Project Database'!A123="","",N('Project Database'!AE123))</f>
        <v/>
      </c>
      <c r="BM119" s="5">
        <f>IF('Project Database'!A123="","",N('Project Database'!AF123))</f>
        <v/>
      </c>
      <c r="BN119" s="5">
        <f>IF('Project Database'!A123="","",N('Project Database'!AG123))</f>
        <v/>
      </c>
      <c r="BO119" s="5">
        <f>IF('Project Database'!A123="","",N('Project Database'!AH123))</f>
        <v/>
      </c>
      <c r="BP119" s="5">
        <f>IF('Project Database'!A123="","",N('Project Database'!AI123))</f>
        <v/>
      </c>
      <c r="BQ119" s="5">
        <f>IF('Project Database'!A123="","",N('Project Database'!AJ123))</f>
        <v/>
      </c>
      <c r="BR119" s="5">
        <f>IF('Project Database'!A123="","",N('Project Database'!AK123))</f>
        <v/>
      </c>
      <c r="BS119" s="5">
        <f>IF('Project Database'!A123="","",N('Project Database'!AL123))</f>
        <v/>
      </c>
      <c r="BT119" s="5">
        <f>IF('Project Database'!A123="","",N('Project Database'!AM123))</f>
        <v/>
      </c>
      <c r="BU119" s="5">
        <f>IF('Project Database'!A123="","",N('Project Database'!AN123))</f>
        <v/>
      </c>
      <c r="BV119" s="5">
        <f>IF('Project Database'!A123="","",N('Project Database'!AO123))</f>
        <v/>
      </c>
      <c r="BW119" s="5">
        <f>IF('Project Database'!A123="","",N('Project Database'!AP123))</f>
        <v/>
      </c>
      <c r="BX119" s="5">
        <f>IF(A119="","",SUM(BJ119:BW119))</f>
        <v/>
      </c>
      <c r="BY119" s="5">
        <f>IF(A119="","",IFERROR(IF(ISNUMBER(U119),U119,VALUE(SUBSTITUTE(SUBSTITUTE(SUBSTITUTE(UPPER(TRIM(U119)),"M",""),",","")," ",""))),0))</f>
        <v/>
      </c>
    </row>
    <row r="120" ht="15" customHeight="1" s="74">
      <c r="A120" s="66">
        <f>'Project Database'!A124</f>
        <v/>
      </c>
      <c r="B120" s="66">
        <f>'Project Database'!B124</f>
        <v/>
      </c>
      <c r="C120" s="66">
        <f>'Project Database'!G124</f>
        <v/>
      </c>
      <c r="D120" s="66">
        <f>'Project Database'!H124</f>
        <v/>
      </c>
      <c r="E120" s="66">
        <f>'Project Database'!I124</f>
        <v/>
      </c>
      <c r="F120" s="66">
        <f>'Project Database'!J124</f>
        <v/>
      </c>
      <c r="G120" s="66">
        <f>'Project Database'!K124</f>
        <v/>
      </c>
      <c r="H120" s="66">
        <f>'Project Database'!L124</f>
        <v/>
      </c>
      <c r="I120" s="66">
        <f>'Project Database'!M124</f>
        <v/>
      </c>
      <c r="J120" s="66">
        <f>'Project Database'!N124</f>
        <v/>
      </c>
      <c r="K120" s="66">
        <f>'Project Database'!O124</f>
        <v/>
      </c>
      <c r="L120" s="66">
        <f>'Project Database'!P124</f>
        <v/>
      </c>
      <c r="M120" s="66">
        <f>'Project Database'!Q124</f>
        <v/>
      </c>
      <c r="N120" s="66">
        <f>'Project Database'!R124</f>
        <v/>
      </c>
      <c r="O120" s="66">
        <f>'Project Database'!S124</f>
        <v/>
      </c>
      <c r="P120" s="66">
        <f>'Project Database'!T124</f>
        <v/>
      </c>
      <c r="Q120" s="66">
        <f>'Project Database'!U124</f>
        <v/>
      </c>
      <c r="R120" s="66">
        <f>'Project Database'!V124</f>
        <v/>
      </c>
      <c r="S120" s="66">
        <f>'Project Database'!W124</f>
        <v/>
      </c>
      <c r="T120" s="66">
        <f>'Project Database'!X124</f>
        <v/>
      </c>
      <c r="U120" s="67">
        <f>'Project Database'!Y124</f>
        <v/>
      </c>
      <c r="V120" s="66">
        <f>IF('Smart Search'!B13=1,IFERROR(1/'Smart Search'!H13,0),0)</f>
        <v/>
      </c>
      <c r="W120" s="66">
        <f>IF('Smart Search'!B13=1,IFERROR(1/'Smart Search'!H13,0),0)</f>
        <v/>
      </c>
      <c r="X120" s="66">
        <f>IF('Smart Search'!C13=1,IFERROR(1/'Smart Search'!H13,0),0)</f>
        <v/>
      </c>
      <c r="Y120" s="66">
        <f>IF('Smart Search'!C13=1,IFERROR(1/'Smart Search'!H13,0),0)</f>
        <v/>
      </c>
      <c r="Z120" s="66">
        <f>IF('Smart Search'!D13=1,IFERROR(1/'Smart Search'!H13,0),0)</f>
        <v/>
      </c>
      <c r="AA120" s="66">
        <f>IF('Smart Search'!D13=1,IFERROR(1/'Smart Search'!H13,0),0)</f>
        <v/>
      </c>
      <c r="AB120" s="66">
        <f>IF('Smart Search'!E13=1,IFERROR(1/'Smart Search'!H13,0),0)</f>
        <v/>
      </c>
      <c r="AC120" s="66">
        <f>IF('Smart Search'!E13=1,IFERROR(1/'Smart Search'!H13,0),0)</f>
        <v/>
      </c>
      <c r="AD120" s="66">
        <f>IF('Smart Search'!F13=1,IFERROR(1/'Smart Search'!H13,0),0)</f>
        <v/>
      </c>
      <c r="AE120" s="66">
        <f>IF('Smart Search'!F13=1,IFERROR(1/'Smart Search'!H13,0),0)</f>
        <v/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66">
        <f>AF120*V120</f>
        <v/>
      </c>
      <c r="AQ120" s="66">
        <f>AG120*W120</f>
        <v/>
      </c>
      <c r="AR120" s="66">
        <f>AH120*X120</f>
        <v/>
      </c>
      <c r="AS120" s="66">
        <f>AI120*Y120</f>
        <v/>
      </c>
      <c r="AT120" s="66">
        <f>AJ120*Z120</f>
        <v/>
      </c>
      <c r="AU120" s="66">
        <f>AK120*AA120</f>
        <v/>
      </c>
      <c r="AV120" s="66">
        <f>AL120*AB120</f>
        <v/>
      </c>
      <c r="AW120" s="66">
        <f>AM120*AC120</f>
        <v/>
      </c>
      <c r="AX120" s="66">
        <f>AN120*AD120</f>
        <v/>
      </c>
      <c r="AY120" s="66">
        <f>AO120*AE120</f>
        <v/>
      </c>
      <c r="AZ120" s="66">
        <f>'Project Database'!Z124</f>
        <v/>
      </c>
      <c r="BA120" s="66">
        <f>IF(OR(A120="",'Smart Search'!H13=0),"",MAX(0,BE120*BF120*MAX(0,1-BG120)))</f>
        <v/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66">
        <f>IF('Smart Search'!G13=1,IFERROR(1/'Smart Search'!H13,0),0)</f>
        <v/>
      </c>
      <c r="BD120" s="66">
        <f>BB120*BC120</f>
        <v/>
      </c>
      <c r="BE120" s="66">
        <f>AP120+AQ120+AR120+AS120+AT120+AU120+AV120+AW120+AX120+AY120+BD120</f>
        <v/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5">
        <f>IF(AND('Project Database'!A124&lt;&gt;"",OR('Smart Search'!$L$5="",'Smart Search'!$L$5="All",TRIM('Project Database'!D124)=TRIM('Smart Search'!$L$5)),OR(TRIM('Smart Search'!$L$6)="",TRIM('Smart Search'!$L$6)="All",ISNUMBER(SEARCH(SUBSTITUTE(SUBSTITUTE(SUBSTITUTE(TRIM('Smart Search'!$L$6),"~","~~"),"*","~*"),"?","~?"),'Project Database'!C124))),OR('Smart Search'!$L$7="",AND('Project Database'!E124&lt;&gt;"",'Project Database'!E124='Smart Search'!$L$7)),OR('Smart Search'!$L$8="",'Smart Search'!$L$8="All",TRIM('Project Database'!F124)=TRIM('Smart Search'!$L$8))),IF(BA120="","",BA120+ROW()*0.0000000001),"")</f>
        <v/>
      </c>
      <c r="BI120" s="5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>
        <f>IF('Project Database'!A124="","",N('Project Database'!AC124))</f>
        <v/>
      </c>
      <c r="BK120" s="5">
        <f>IF('Project Database'!A124="","",N('Project Database'!AD124))</f>
        <v/>
      </c>
      <c r="BL120" s="5">
        <f>IF('Project Database'!A124="","",N('Project Database'!AE124))</f>
        <v/>
      </c>
      <c r="BM120" s="5">
        <f>IF('Project Database'!A124="","",N('Project Database'!AF124))</f>
        <v/>
      </c>
      <c r="BN120" s="5">
        <f>IF('Project Database'!A124="","",N('Project Database'!AG124))</f>
        <v/>
      </c>
      <c r="BO120" s="5">
        <f>IF('Project Database'!A124="","",N('Project Database'!AH124))</f>
        <v/>
      </c>
      <c r="BP120" s="5">
        <f>IF('Project Database'!A124="","",N('Project Database'!AI124))</f>
        <v/>
      </c>
      <c r="BQ120" s="5">
        <f>IF('Project Database'!A124="","",N('Project Database'!AJ124))</f>
        <v/>
      </c>
      <c r="BR120" s="5">
        <f>IF('Project Database'!A124="","",N('Project Database'!AK124))</f>
        <v/>
      </c>
      <c r="BS120" s="5">
        <f>IF('Project Database'!A124="","",N('Project Database'!AL124))</f>
        <v/>
      </c>
      <c r="BT120" s="5">
        <f>IF('Project Database'!A124="","",N('Project Database'!AM124))</f>
        <v/>
      </c>
      <c r="BU120" s="5">
        <f>IF('Project Database'!A124="","",N('Project Database'!AN124))</f>
        <v/>
      </c>
      <c r="BV120" s="5">
        <f>IF('Project Database'!A124="","",N('Project Database'!AO124))</f>
        <v/>
      </c>
      <c r="BW120" s="5">
        <f>IF('Project Database'!A124="","",N('Project Database'!AP124))</f>
        <v/>
      </c>
      <c r="BX120" s="5">
        <f>IF(A120="","",SUM(BJ120:BW120))</f>
        <v/>
      </c>
      <c r="BY120" s="5">
        <f>IF(A120="","",IFERROR(IF(ISNUMBER(U120),U120,VALUE(SUBSTITUTE(SUBSTITUTE(SUBSTITUTE(UPPER(TRIM(U120)),"M",""),",","")," ",""))),0))</f>
        <v/>
      </c>
    </row>
    <row r="121" ht="15" customHeight="1" s="74">
      <c r="A121" s="66">
        <f>'Project Database'!A125</f>
        <v/>
      </c>
      <c r="B121" s="66">
        <f>'Project Database'!B125</f>
        <v/>
      </c>
      <c r="C121" s="66">
        <f>'Project Database'!G125</f>
        <v/>
      </c>
      <c r="D121" s="66">
        <f>'Project Database'!H125</f>
        <v/>
      </c>
      <c r="E121" s="66">
        <f>'Project Database'!I125</f>
        <v/>
      </c>
      <c r="F121" s="66">
        <f>'Project Database'!J125</f>
        <v/>
      </c>
      <c r="G121" s="66">
        <f>'Project Database'!K125</f>
        <v/>
      </c>
      <c r="H121" s="66">
        <f>'Project Database'!L125</f>
        <v/>
      </c>
      <c r="I121" s="66">
        <f>'Project Database'!M125</f>
        <v/>
      </c>
      <c r="J121" s="66">
        <f>'Project Database'!N125</f>
        <v/>
      </c>
      <c r="K121" s="66">
        <f>'Project Database'!O125</f>
        <v/>
      </c>
      <c r="L121" s="66">
        <f>'Project Database'!P125</f>
        <v/>
      </c>
      <c r="M121" s="66">
        <f>'Project Database'!Q125</f>
        <v/>
      </c>
      <c r="N121" s="66">
        <f>'Project Database'!R125</f>
        <v/>
      </c>
      <c r="O121" s="66">
        <f>'Project Database'!S125</f>
        <v/>
      </c>
      <c r="P121" s="66">
        <f>'Project Database'!T125</f>
        <v/>
      </c>
      <c r="Q121" s="66">
        <f>'Project Database'!U125</f>
        <v/>
      </c>
      <c r="R121" s="66">
        <f>'Project Database'!V125</f>
        <v/>
      </c>
      <c r="S121" s="66">
        <f>'Project Database'!W125</f>
        <v/>
      </c>
      <c r="T121" s="66">
        <f>'Project Database'!X125</f>
        <v/>
      </c>
      <c r="U121" s="67">
        <f>'Project Database'!Y125</f>
        <v/>
      </c>
      <c r="V121" s="66">
        <f>IF('Smart Search'!B13=1,IFERROR(1/'Smart Search'!H13,0),0)</f>
        <v/>
      </c>
      <c r="W121" s="66">
        <f>IF('Smart Search'!B13=1,IFERROR(1/'Smart Search'!H13,0),0)</f>
        <v/>
      </c>
      <c r="X121" s="66">
        <f>IF('Smart Search'!C13=1,IFERROR(1/'Smart Search'!H13,0),0)</f>
        <v/>
      </c>
      <c r="Y121" s="66">
        <f>IF('Smart Search'!C13=1,IFERROR(1/'Smart Search'!H13,0),0)</f>
        <v/>
      </c>
      <c r="Z121" s="66">
        <f>IF('Smart Search'!D13=1,IFERROR(1/'Smart Search'!H13,0),0)</f>
        <v/>
      </c>
      <c r="AA121" s="66">
        <f>IF('Smart Search'!D13=1,IFERROR(1/'Smart Search'!H13,0),0)</f>
        <v/>
      </c>
      <c r="AB121" s="66">
        <f>IF('Smart Search'!E13=1,IFERROR(1/'Smart Search'!H13,0),0)</f>
        <v/>
      </c>
      <c r="AC121" s="66">
        <f>IF('Smart Search'!E13=1,IFERROR(1/'Smart Search'!H13,0),0)</f>
        <v/>
      </c>
      <c r="AD121" s="66">
        <f>IF('Smart Search'!F13=1,IFERROR(1/'Smart Search'!H13,0),0)</f>
        <v/>
      </c>
      <c r="AE121" s="66">
        <f>IF('Smart Search'!F13=1,IFERROR(1/'Smart Search'!H13,0),0)</f>
        <v/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66">
        <f>AF121*V121</f>
        <v/>
      </c>
      <c r="AQ121" s="66">
        <f>AG121*W121</f>
        <v/>
      </c>
      <c r="AR121" s="66">
        <f>AH121*X121</f>
        <v/>
      </c>
      <c r="AS121" s="66">
        <f>AI121*Y121</f>
        <v/>
      </c>
      <c r="AT121" s="66">
        <f>AJ121*Z121</f>
        <v/>
      </c>
      <c r="AU121" s="66">
        <f>AK121*AA121</f>
        <v/>
      </c>
      <c r="AV121" s="66">
        <f>AL121*AB121</f>
        <v/>
      </c>
      <c r="AW121" s="66">
        <f>AM121*AC121</f>
        <v/>
      </c>
      <c r="AX121" s="66">
        <f>AN121*AD121</f>
        <v/>
      </c>
      <c r="AY121" s="66">
        <f>AO121*AE121</f>
        <v/>
      </c>
      <c r="AZ121" s="66">
        <f>'Project Database'!Z125</f>
        <v/>
      </c>
      <c r="BA121" s="66">
        <f>IF(OR(A121="",'Smart Search'!H13=0),"",MAX(0,BE121*BF121*MAX(0,1-BG121)))</f>
        <v/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66">
        <f>IF('Smart Search'!G13=1,IFERROR(1/'Smart Search'!H13,0),0)</f>
        <v/>
      </c>
      <c r="BD121" s="66">
        <f>BB121*BC121</f>
        <v/>
      </c>
      <c r="BE121" s="66">
        <f>AP121+AQ121+AR121+AS121+AT121+AU121+AV121+AW121+AX121+AY121+BD121</f>
        <v/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5">
        <f>IF(AND('Project Database'!A125&lt;&gt;"",OR('Smart Search'!$L$5="",'Smart Search'!$L$5="All",TRIM('Project Database'!D125)=TRIM('Smart Search'!$L$5)),OR(TRIM('Smart Search'!$L$6)="",TRIM('Smart Search'!$L$6)="All",ISNUMBER(SEARCH(SUBSTITUTE(SUBSTITUTE(SUBSTITUTE(TRIM('Smart Search'!$L$6),"~","~~"),"*","~*"),"?","~?"),'Project Database'!C125))),OR('Smart Search'!$L$7="",AND('Project Database'!E125&lt;&gt;"",'Project Database'!E125='Smart Search'!$L$7)),OR('Smart Search'!$L$8="",'Smart Search'!$L$8="All",TRIM('Project Database'!F125)=TRIM('Smart Search'!$L$8))),IF(BA121="","",BA121+ROW()*0.0000000001),"")</f>
        <v/>
      </c>
      <c r="BI121" s="5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>
        <f>IF('Project Database'!A125="","",N('Project Database'!AC125))</f>
        <v/>
      </c>
      <c r="BK121" s="5">
        <f>IF('Project Database'!A125="","",N('Project Database'!AD125))</f>
        <v/>
      </c>
      <c r="BL121" s="5">
        <f>IF('Project Database'!A125="","",N('Project Database'!AE125))</f>
        <v/>
      </c>
      <c r="BM121" s="5">
        <f>IF('Project Database'!A125="","",N('Project Database'!AF125))</f>
        <v/>
      </c>
      <c r="BN121" s="5">
        <f>IF('Project Database'!A125="","",N('Project Database'!AG125))</f>
        <v/>
      </c>
      <c r="BO121" s="5">
        <f>IF('Project Database'!A125="","",N('Project Database'!AH125))</f>
        <v/>
      </c>
      <c r="BP121" s="5">
        <f>IF('Project Database'!A125="","",N('Project Database'!AI125))</f>
        <v/>
      </c>
      <c r="BQ121" s="5">
        <f>IF('Project Database'!A125="","",N('Project Database'!AJ125))</f>
        <v/>
      </c>
      <c r="BR121" s="5">
        <f>IF('Project Database'!A125="","",N('Project Database'!AK125))</f>
        <v/>
      </c>
      <c r="BS121" s="5">
        <f>IF('Project Database'!A125="","",N('Project Database'!AL125))</f>
        <v/>
      </c>
      <c r="BT121" s="5">
        <f>IF('Project Database'!A125="","",N('Project Database'!AM125))</f>
        <v/>
      </c>
      <c r="BU121" s="5">
        <f>IF('Project Database'!A125="","",N('Project Database'!AN125))</f>
        <v/>
      </c>
      <c r="BV121" s="5">
        <f>IF('Project Database'!A125="","",N('Project Database'!AO125))</f>
        <v/>
      </c>
      <c r="BW121" s="5">
        <f>IF('Project Database'!A125="","",N('Project Database'!AP125))</f>
        <v/>
      </c>
      <c r="BX121" s="5">
        <f>IF(A121="","",SUM(BJ121:BW121))</f>
        <v/>
      </c>
      <c r="BY121" s="5">
        <f>IF(A121="","",IFERROR(IF(ISNUMBER(U121),U121,VALUE(SUBSTITUTE(SUBSTITUTE(SUBSTITUTE(UPPER(TRIM(U121)),"M",""),",","")," ",""))),0))</f>
        <v/>
      </c>
    </row>
    <row r="122" ht="15" customHeight="1" s="74">
      <c r="A122" s="66">
        <f>'Project Database'!A126</f>
        <v/>
      </c>
      <c r="B122" s="66">
        <f>'Project Database'!B126</f>
        <v/>
      </c>
      <c r="C122" s="66">
        <f>'Project Database'!G126</f>
        <v/>
      </c>
      <c r="D122" s="66">
        <f>'Project Database'!H126</f>
        <v/>
      </c>
      <c r="E122" s="66">
        <f>'Project Database'!I126</f>
        <v/>
      </c>
      <c r="F122" s="66">
        <f>'Project Database'!J126</f>
        <v/>
      </c>
      <c r="G122" s="66">
        <f>'Project Database'!K126</f>
        <v/>
      </c>
      <c r="H122" s="66">
        <f>'Project Database'!L126</f>
        <v/>
      </c>
      <c r="I122" s="66">
        <f>'Project Database'!M126</f>
        <v/>
      </c>
      <c r="J122" s="66">
        <f>'Project Database'!N126</f>
        <v/>
      </c>
      <c r="K122" s="66">
        <f>'Project Database'!O126</f>
        <v/>
      </c>
      <c r="L122" s="66">
        <f>'Project Database'!P126</f>
        <v/>
      </c>
      <c r="M122" s="66">
        <f>'Project Database'!Q126</f>
        <v/>
      </c>
      <c r="N122" s="66">
        <f>'Project Database'!R126</f>
        <v/>
      </c>
      <c r="O122" s="66">
        <f>'Project Database'!S126</f>
        <v/>
      </c>
      <c r="P122" s="66">
        <f>'Project Database'!T126</f>
        <v/>
      </c>
      <c r="Q122" s="66">
        <f>'Project Database'!U126</f>
        <v/>
      </c>
      <c r="R122" s="66">
        <f>'Project Database'!V126</f>
        <v/>
      </c>
      <c r="S122" s="66">
        <f>'Project Database'!W126</f>
        <v/>
      </c>
      <c r="T122" s="66">
        <f>'Project Database'!X126</f>
        <v/>
      </c>
      <c r="U122" s="67">
        <f>'Project Database'!Y126</f>
        <v/>
      </c>
      <c r="V122" s="66">
        <f>IF('Smart Search'!B13=1,IFERROR(1/'Smart Search'!H13,0),0)</f>
        <v/>
      </c>
      <c r="W122" s="66">
        <f>IF('Smart Search'!B13=1,IFERROR(1/'Smart Search'!H13,0),0)</f>
        <v/>
      </c>
      <c r="X122" s="66">
        <f>IF('Smart Search'!C13=1,IFERROR(1/'Smart Search'!H13,0),0)</f>
        <v/>
      </c>
      <c r="Y122" s="66">
        <f>IF('Smart Search'!C13=1,IFERROR(1/'Smart Search'!H13,0),0)</f>
        <v/>
      </c>
      <c r="Z122" s="66">
        <f>IF('Smart Search'!D13=1,IFERROR(1/'Smart Search'!H13,0),0)</f>
        <v/>
      </c>
      <c r="AA122" s="66">
        <f>IF('Smart Search'!D13=1,IFERROR(1/'Smart Search'!H13,0),0)</f>
        <v/>
      </c>
      <c r="AB122" s="66">
        <f>IF('Smart Search'!E13=1,IFERROR(1/'Smart Search'!H13,0),0)</f>
        <v/>
      </c>
      <c r="AC122" s="66">
        <f>IF('Smart Search'!E13=1,IFERROR(1/'Smart Search'!H13,0),0)</f>
        <v/>
      </c>
      <c r="AD122" s="66">
        <f>IF('Smart Search'!F13=1,IFERROR(1/'Smart Search'!H13,0),0)</f>
        <v/>
      </c>
      <c r="AE122" s="66">
        <f>IF('Smart Search'!F13=1,IFERROR(1/'Smart Search'!H13,0),0)</f>
        <v/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66">
        <f>AF122*V122</f>
        <v/>
      </c>
      <c r="AQ122" s="66">
        <f>AG122*W122</f>
        <v/>
      </c>
      <c r="AR122" s="66">
        <f>AH122*X122</f>
        <v/>
      </c>
      <c r="AS122" s="66">
        <f>AI122*Y122</f>
        <v/>
      </c>
      <c r="AT122" s="66">
        <f>AJ122*Z122</f>
        <v/>
      </c>
      <c r="AU122" s="66">
        <f>AK122*AA122</f>
        <v/>
      </c>
      <c r="AV122" s="66">
        <f>AL122*AB122</f>
        <v/>
      </c>
      <c r="AW122" s="66">
        <f>AM122*AC122</f>
        <v/>
      </c>
      <c r="AX122" s="66">
        <f>AN122*AD122</f>
        <v/>
      </c>
      <c r="AY122" s="66">
        <f>AO122*AE122</f>
        <v/>
      </c>
      <c r="AZ122" s="66">
        <f>'Project Database'!Z126</f>
        <v/>
      </c>
      <c r="BA122" s="66">
        <f>IF(OR(A122="",'Smart Search'!H13=0),"",MAX(0,BE122*BF122*MAX(0,1-BG122)))</f>
        <v/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66">
        <f>IF('Smart Search'!G13=1,IFERROR(1/'Smart Search'!H13,0),0)</f>
        <v/>
      </c>
      <c r="BD122" s="66">
        <f>BB122*BC122</f>
        <v/>
      </c>
      <c r="BE122" s="66">
        <f>AP122+AQ122+AR122+AS122+AT122+AU122+AV122+AW122+AX122+AY122+BD122</f>
        <v/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5">
        <f>IF(AND('Project Database'!A126&lt;&gt;"",OR('Smart Search'!$L$5="",'Smart Search'!$L$5="All",TRIM('Project Database'!D126)=TRIM('Smart Search'!$L$5)),OR(TRIM('Smart Search'!$L$6)="",TRIM('Smart Search'!$L$6)="All",ISNUMBER(SEARCH(SUBSTITUTE(SUBSTITUTE(SUBSTITUTE(TRIM('Smart Search'!$L$6),"~","~~"),"*","~*"),"?","~?"),'Project Database'!C126))),OR('Smart Search'!$L$7="",AND('Project Database'!E126&lt;&gt;"",'Project Database'!E126='Smart Search'!$L$7)),OR('Smart Search'!$L$8="",'Smart Search'!$L$8="All",TRIM('Project Database'!F126)=TRIM('Smart Search'!$L$8))),IF(BA122="","",BA122+ROW()*0.0000000001),"")</f>
        <v/>
      </c>
      <c r="BI122" s="5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>
        <f>IF('Project Database'!A126="","",N('Project Database'!AC126))</f>
        <v/>
      </c>
      <c r="BK122" s="5">
        <f>IF('Project Database'!A126="","",N('Project Database'!AD126))</f>
        <v/>
      </c>
      <c r="BL122" s="5">
        <f>IF('Project Database'!A126="","",N('Project Database'!AE126))</f>
        <v/>
      </c>
      <c r="BM122" s="5">
        <f>IF('Project Database'!A126="","",N('Project Database'!AF126))</f>
        <v/>
      </c>
      <c r="BN122" s="5">
        <f>IF('Project Database'!A126="","",N('Project Database'!AG126))</f>
        <v/>
      </c>
      <c r="BO122" s="5">
        <f>IF('Project Database'!A126="","",N('Project Database'!AH126))</f>
        <v/>
      </c>
      <c r="BP122" s="5">
        <f>IF('Project Database'!A126="","",N('Project Database'!AI126))</f>
        <v/>
      </c>
      <c r="BQ122" s="5">
        <f>IF('Project Database'!A126="","",N('Project Database'!AJ126))</f>
        <v/>
      </c>
      <c r="BR122" s="5">
        <f>IF('Project Database'!A126="","",N('Project Database'!AK126))</f>
        <v/>
      </c>
      <c r="BS122" s="5">
        <f>IF('Project Database'!A126="","",N('Project Database'!AL126))</f>
        <v/>
      </c>
      <c r="BT122" s="5">
        <f>IF('Project Database'!A126="","",N('Project Database'!AM126))</f>
        <v/>
      </c>
      <c r="BU122" s="5">
        <f>IF('Project Database'!A126="","",N('Project Database'!AN126))</f>
        <v/>
      </c>
      <c r="BV122" s="5">
        <f>IF('Project Database'!A126="","",N('Project Database'!AO126))</f>
        <v/>
      </c>
      <c r="BW122" s="5">
        <f>IF('Project Database'!A126="","",N('Project Database'!AP126))</f>
        <v/>
      </c>
      <c r="BX122" s="5">
        <f>IF(A122="","",SUM(BJ122:BW122))</f>
        <v/>
      </c>
      <c r="BY122" s="5">
        <f>IF(A122="","",IFERROR(IF(ISNUMBER(U122),U122,VALUE(SUBSTITUTE(SUBSTITUTE(SUBSTITUTE(UPPER(TRIM(U122)),"M",""),",","")," ",""))),0))</f>
        <v/>
      </c>
    </row>
    <row r="123" ht="15" customHeight="1" s="74">
      <c r="A123" s="66">
        <f>'Project Database'!A127</f>
        <v/>
      </c>
      <c r="B123" s="66">
        <f>'Project Database'!B127</f>
        <v/>
      </c>
      <c r="C123" s="66">
        <f>'Project Database'!G127</f>
        <v/>
      </c>
      <c r="D123" s="66">
        <f>'Project Database'!H127</f>
        <v/>
      </c>
      <c r="E123" s="66">
        <f>'Project Database'!I127</f>
        <v/>
      </c>
      <c r="F123" s="66">
        <f>'Project Database'!J127</f>
        <v/>
      </c>
      <c r="G123" s="66">
        <f>'Project Database'!K127</f>
        <v/>
      </c>
      <c r="H123" s="66">
        <f>'Project Database'!L127</f>
        <v/>
      </c>
      <c r="I123" s="66">
        <f>'Project Database'!M127</f>
        <v/>
      </c>
      <c r="J123" s="66">
        <f>'Project Database'!N127</f>
        <v/>
      </c>
      <c r="K123" s="66">
        <f>'Project Database'!O127</f>
        <v/>
      </c>
      <c r="L123" s="66">
        <f>'Project Database'!P127</f>
        <v/>
      </c>
      <c r="M123" s="66">
        <f>'Project Database'!Q127</f>
        <v/>
      </c>
      <c r="N123" s="66">
        <f>'Project Database'!R127</f>
        <v/>
      </c>
      <c r="O123" s="66">
        <f>'Project Database'!S127</f>
        <v/>
      </c>
      <c r="P123" s="66">
        <f>'Project Database'!T127</f>
        <v/>
      </c>
      <c r="Q123" s="66">
        <f>'Project Database'!U127</f>
        <v/>
      </c>
      <c r="R123" s="66">
        <f>'Project Database'!V127</f>
        <v/>
      </c>
      <c r="S123" s="66">
        <f>'Project Database'!W127</f>
        <v/>
      </c>
      <c r="T123" s="66">
        <f>'Project Database'!X127</f>
        <v/>
      </c>
      <c r="U123" s="67">
        <f>'Project Database'!Y127</f>
        <v/>
      </c>
      <c r="V123" s="66">
        <f>IF('Smart Search'!B13=1,IFERROR(1/'Smart Search'!H13,0),0)</f>
        <v/>
      </c>
      <c r="W123" s="66">
        <f>IF('Smart Search'!B13=1,IFERROR(1/'Smart Search'!H13,0),0)</f>
        <v/>
      </c>
      <c r="X123" s="66">
        <f>IF('Smart Search'!C13=1,IFERROR(1/'Smart Search'!H13,0),0)</f>
        <v/>
      </c>
      <c r="Y123" s="66">
        <f>IF('Smart Search'!C13=1,IFERROR(1/'Smart Search'!H13,0),0)</f>
        <v/>
      </c>
      <c r="Z123" s="66">
        <f>IF('Smart Search'!D13=1,IFERROR(1/'Smart Search'!H13,0),0)</f>
        <v/>
      </c>
      <c r="AA123" s="66">
        <f>IF('Smart Search'!D13=1,IFERROR(1/'Smart Search'!H13,0),0)</f>
        <v/>
      </c>
      <c r="AB123" s="66">
        <f>IF('Smart Search'!E13=1,IFERROR(1/'Smart Search'!H13,0),0)</f>
        <v/>
      </c>
      <c r="AC123" s="66">
        <f>IF('Smart Search'!E13=1,IFERROR(1/'Smart Search'!H13,0),0)</f>
        <v/>
      </c>
      <c r="AD123" s="66">
        <f>IF('Smart Search'!F13=1,IFERROR(1/'Smart Search'!H13,0),0)</f>
        <v/>
      </c>
      <c r="AE123" s="66">
        <f>IF('Smart Search'!F13=1,IFERROR(1/'Smart Search'!H13,0),0)</f>
        <v/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66">
        <f>AF123*V123</f>
        <v/>
      </c>
      <c r="AQ123" s="66">
        <f>AG123*W123</f>
        <v/>
      </c>
      <c r="AR123" s="66">
        <f>AH123*X123</f>
        <v/>
      </c>
      <c r="AS123" s="66">
        <f>AI123*Y123</f>
        <v/>
      </c>
      <c r="AT123" s="66">
        <f>AJ123*Z123</f>
        <v/>
      </c>
      <c r="AU123" s="66">
        <f>AK123*AA123</f>
        <v/>
      </c>
      <c r="AV123" s="66">
        <f>AL123*AB123</f>
        <v/>
      </c>
      <c r="AW123" s="66">
        <f>AM123*AC123</f>
        <v/>
      </c>
      <c r="AX123" s="66">
        <f>AN123*AD123</f>
        <v/>
      </c>
      <c r="AY123" s="66">
        <f>AO123*AE123</f>
        <v/>
      </c>
      <c r="AZ123" s="66">
        <f>'Project Database'!Z127</f>
        <v/>
      </c>
      <c r="BA123" s="66">
        <f>IF(OR(A123="",'Smart Search'!H13=0),"",MAX(0,BE123*BF123*MAX(0,1-BG123)))</f>
        <v/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66">
        <f>IF('Smart Search'!G13=1,IFERROR(1/'Smart Search'!H13,0),0)</f>
        <v/>
      </c>
      <c r="BD123" s="66">
        <f>BB123*BC123</f>
        <v/>
      </c>
      <c r="BE123" s="66">
        <f>AP123+AQ123+AR123+AS123+AT123+AU123+AV123+AW123+AX123+AY123+BD123</f>
        <v/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5">
        <f>IF(AND('Project Database'!A127&lt;&gt;"",OR('Smart Search'!$L$5="",'Smart Search'!$L$5="All",TRIM('Project Database'!D127)=TRIM('Smart Search'!$L$5)),OR(TRIM('Smart Search'!$L$6)="",TRIM('Smart Search'!$L$6)="All",ISNUMBER(SEARCH(SUBSTITUTE(SUBSTITUTE(SUBSTITUTE(TRIM('Smart Search'!$L$6),"~","~~"),"*","~*"),"?","~?"),'Project Database'!C127))),OR('Smart Search'!$L$7="",AND('Project Database'!E127&lt;&gt;"",'Project Database'!E127='Smart Search'!$L$7)),OR('Smart Search'!$L$8="",'Smart Search'!$L$8="All",TRIM('Project Database'!F127)=TRIM('Smart Search'!$L$8))),IF(BA123="","",BA123+ROW()*0.0000000001),"")</f>
        <v/>
      </c>
      <c r="BI123" s="5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>
        <f>IF('Project Database'!A127="","",N('Project Database'!AC127))</f>
        <v/>
      </c>
      <c r="BK123" s="5">
        <f>IF('Project Database'!A127="","",N('Project Database'!AD127))</f>
        <v/>
      </c>
      <c r="BL123" s="5">
        <f>IF('Project Database'!A127="","",N('Project Database'!AE127))</f>
        <v/>
      </c>
      <c r="BM123" s="5">
        <f>IF('Project Database'!A127="","",N('Project Database'!AF127))</f>
        <v/>
      </c>
      <c r="BN123" s="5">
        <f>IF('Project Database'!A127="","",N('Project Database'!AG127))</f>
        <v/>
      </c>
      <c r="BO123" s="5">
        <f>IF('Project Database'!A127="","",N('Project Database'!AH127))</f>
        <v/>
      </c>
      <c r="BP123" s="5">
        <f>IF('Project Database'!A127="","",N('Project Database'!AI127))</f>
        <v/>
      </c>
      <c r="BQ123" s="5">
        <f>IF('Project Database'!A127="","",N('Project Database'!AJ127))</f>
        <v/>
      </c>
      <c r="BR123" s="5">
        <f>IF('Project Database'!A127="","",N('Project Database'!AK127))</f>
        <v/>
      </c>
      <c r="BS123" s="5">
        <f>IF('Project Database'!A127="","",N('Project Database'!AL127))</f>
        <v/>
      </c>
      <c r="BT123" s="5">
        <f>IF('Project Database'!A127="","",N('Project Database'!AM127))</f>
        <v/>
      </c>
      <c r="BU123" s="5">
        <f>IF('Project Database'!A127="","",N('Project Database'!AN127))</f>
        <v/>
      </c>
      <c r="BV123" s="5">
        <f>IF('Project Database'!A127="","",N('Project Database'!AO127))</f>
        <v/>
      </c>
      <c r="BW123" s="5">
        <f>IF('Project Database'!A127="","",N('Project Database'!AP127))</f>
        <v/>
      </c>
      <c r="BX123" s="5">
        <f>IF(A123="","",SUM(BJ123:BW123))</f>
        <v/>
      </c>
      <c r="BY123" s="5">
        <f>IF(A123="","",IFERROR(IF(ISNUMBER(U123),U123,VALUE(SUBSTITUTE(SUBSTITUTE(SUBSTITUTE(UPPER(TRIM(U123)),"M",""),",","")," ",""))),0))</f>
        <v/>
      </c>
    </row>
    <row r="124" ht="15" customHeight="1" s="74">
      <c r="A124" s="66">
        <f>'Project Database'!A128</f>
        <v/>
      </c>
      <c r="B124" s="66">
        <f>'Project Database'!B128</f>
        <v/>
      </c>
      <c r="C124" s="66">
        <f>'Project Database'!G128</f>
        <v/>
      </c>
      <c r="D124" s="66">
        <f>'Project Database'!H128</f>
        <v/>
      </c>
      <c r="E124" s="66">
        <f>'Project Database'!I128</f>
        <v/>
      </c>
      <c r="F124" s="66">
        <f>'Project Database'!J128</f>
        <v/>
      </c>
      <c r="G124" s="66">
        <f>'Project Database'!K128</f>
        <v/>
      </c>
      <c r="H124" s="66">
        <f>'Project Database'!L128</f>
        <v/>
      </c>
      <c r="I124" s="66">
        <f>'Project Database'!M128</f>
        <v/>
      </c>
      <c r="J124" s="66">
        <f>'Project Database'!N128</f>
        <v/>
      </c>
      <c r="K124" s="66">
        <f>'Project Database'!O128</f>
        <v/>
      </c>
      <c r="L124" s="66">
        <f>'Project Database'!P128</f>
        <v/>
      </c>
      <c r="M124" s="66">
        <f>'Project Database'!Q128</f>
        <v/>
      </c>
      <c r="N124" s="66">
        <f>'Project Database'!R128</f>
        <v/>
      </c>
      <c r="O124" s="66">
        <f>'Project Database'!S128</f>
        <v/>
      </c>
      <c r="P124" s="66">
        <f>'Project Database'!T128</f>
        <v/>
      </c>
      <c r="Q124" s="66">
        <f>'Project Database'!U128</f>
        <v/>
      </c>
      <c r="R124" s="66">
        <f>'Project Database'!V128</f>
        <v/>
      </c>
      <c r="S124" s="66">
        <f>'Project Database'!W128</f>
        <v/>
      </c>
      <c r="T124" s="66">
        <f>'Project Database'!X128</f>
        <v/>
      </c>
      <c r="U124" s="67">
        <f>'Project Database'!Y128</f>
        <v/>
      </c>
      <c r="V124" s="66">
        <f>IF('Smart Search'!B13=1,IFERROR(1/'Smart Search'!H13,0),0)</f>
        <v/>
      </c>
      <c r="W124" s="66">
        <f>IF('Smart Search'!B13=1,IFERROR(1/'Smart Search'!H13,0),0)</f>
        <v/>
      </c>
      <c r="X124" s="66">
        <f>IF('Smart Search'!C13=1,IFERROR(1/'Smart Search'!H13,0),0)</f>
        <v/>
      </c>
      <c r="Y124" s="66">
        <f>IF('Smart Search'!C13=1,IFERROR(1/'Smart Search'!H13,0),0)</f>
        <v/>
      </c>
      <c r="Z124" s="66">
        <f>IF('Smart Search'!D13=1,IFERROR(1/'Smart Search'!H13,0),0)</f>
        <v/>
      </c>
      <c r="AA124" s="66">
        <f>IF('Smart Search'!D13=1,IFERROR(1/'Smart Search'!H13,0),0)</f>
        <v/>
      </c>
      <c r="AB124" s="66">
        <f>IF('Smart Search'!E13=1,IFERROR(1/'Smart Search'!H13,0),0)</f>
        <v/>
      </c>
      <c r="AC124" s="66">
        <f>IF('Smart Search'!E13=1,IFERROR(1/'Smart Search'!H13,0),0)</f>
        <v/>
      </c>
      <c r="AD124" s="66">
        <f>IF('Smart Search'!F13=1,IFERROR(1/'Smart Search'!H13,0),0)</f>
        <v/>
      </c>
      <c r="AE124" s="66">
        <f>IF('Smart Search'!F13=1,IFERROR(1/'Smart Search'!H13,0),0)</f>
        <v/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66">
        <f>AF124*V124</f>
        <v/>
      </c>
      <c r="AQ124" s="66">
        <f>AG124*W124</f>
        <v/>
      </c>
      <c r="AR124" s="66">
        <f>AH124*X124</f>
        <v/>
      </c>
      <c r="AS124" s="66">
        <f>AI124*Y124</f>
        <v/>
      </c>
      <c r="AT124" s="66">
        <f>AJ124*Z124</f>
        <v/>
      </c>
      <c r="AU124" s="66">
        <f>AK124*AA124</f>
        <v/>
      </c>
      <c r="AV124" s="66">
        <f>AL124*AB124</f>
        <v/>
      </c>
      <c r="AW124" s="66">
        <f>AM124*AC124</f>
        <v/>
      </c>
      <c r="AX124" s="66">
        <f>AN124*AD124</f>
        <v/>
      </c>
      <c r="AY124" s="66">
        <f>AO124*AE124</f>
        <v/>
      </c>
      <c r="AZ124" s="66">
        <f>'Project Database'!Z128</f>
        <v/>
      </c>
      <c r="BA124" s="66">
        <f>IF(OR(A124="",'Smart Search'!H13=0),"",MAX(0,BE124*BF124*MAX(0,1-BG124)))</f>
        <v/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66">
        <f>IF('Smart Search'!G13=1,IFERROR(1/'Smart Search'!H13,0),0)</f>
        <v/>
      </c>
      <c r="BD124" s="66">
        <f>BB124*BC124</f>
        <v/>
      </c>
      <c r="BE124" s="66">
        <f>AP124+AQ124+AR124+AS124+AT124+AU124+AV124+AW124+AX124+AY124+BD124</f>
        <v/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5">
        <f>IF(AND('Project Database'!A128&lt;&gt;"",OR('Smart Search'!$L$5="",'Smart Search'!$L$5="All",TRIM('Project Database'!D128)=TRIM('Smart Search'!$L$5)),OR(TRIM('Smart Search'!$L$6)="",TRIM('Smart Search'!$L$6)="All",ISNUMBER(SEARCH(SUBSTITUTE(SUBSTITUTE(SUBSTITUTE(TRIM('Smart Search'!$L$6),"~","~~"),"*","~*"),"?","~?"),'Project Database'!C128))),OR('Smart Search'!$L$7="",AND('Project Database'!E128&lt;&gt;"",'Project Database'!E128='Smart Search'!$L$7)),OR('Smart Search'!$L$8="",'Smart Search'!$L$8="All",TRIM('Project Database'!F128)=TRIM('Smart Search'!$L$8))),IF(BA124="","",BA124+ROW()*0.0000000001),"")</f>
        <v/>
      </c>
      <c r="BI124" s="5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>
        <f>IF('Project Database'!A128="","",N('Project Database'!AC128))</f>
        <v/>
      </c>
      <c r="BK124" s="5">
        <f>IF('Project Database'!A128="","",N('Project Database'!AD128))</f>
        <v/>
      </c>
      <c r="BL124" s="5">
        <f>IF('Project Database'!A128="","",N('Project Database'!AE128))</f>
        <v/>
      </c>
      <c r="BM124" s="5">
        <f>IF('Project Database'!A128="","",N('Project Database'!AF128))</f>
        <v/>
      </c>
      <c r="BN124" s="5">
        <f>IF('Project Database'!A128="","",N('Project Database'!AG128))</f>
        <v/>
      </c>
      <c r="BO124" s="5">
        <f>IF('Project Database'!A128="","",N('Project Database'!AH128))</f>
        <v/>
      </c>
      <c r="BP124" s="5">
        <f>IF('Project Database'!A128="","",N('Project Database'!AI128))</f>
        <v/>
      </c>
      <c r="BQ124" s="5">
        <f>IF('Project Database'!A128="","",N('Project Database'!AJ128))</f>
        <v/>
      </c>
      <c r="BR124" s="5">
        <f>IF('Project Database'!A128="","",N('Project Database'!AK128))</f>
        <v/>
      </c>
      <c r="BS124" s="5">
        <f>IF('Project Database'!A128="","",N('Project Database'!AL128))</f>
        <v/>
      </c>
      <c r="BT124" s="5">
        <f>IF('Project Database'!A128="","",N('Project Database'!AM128))</f>
        <v/>
      </c>
      <c r="BU124" s="5">
        <f>IF('Project Database'!A128="","",N('Project Database'!AN128))</f>
        <v/>
      </c>
      <c r="BV124" s="5">
        <f>IF('Project Database'!A128="","",N('Project Database'!AO128))</f>
        <v/>
      </c>
      <c r="BW124" s="5">
        <f>IF('Project Database'!A128="","",N('Project Database'!AP128))</f>
        <v/>
      </c>
      <c r="BX124" s="5">
        <f>IF(A124="","",SUM(BJ124:BW124))</f>
        <v/>
      </c>
      <c r="BY124" s="5">
        <f>IF(A124="","",IFERROR(IF(ISNUMBER(U124),U124,VALUE(SUBSTITUTE(SUBSTITUTE(SUBSTITUTE(UPPER(TRIM(U124)),"M",""),",","")," ",""))),0))</f>
        <v/>
      </c>
    </row>
    <row r="125" ht="15" customHeight="1" s="74">
      <c r="A125" s="66">
        <f>'Project Database'!A129</f>
        <v/>
      </c>
      <c r="B125" s="66">
        <f>'Project Database'!B129</f>
        <v/>
      </c>
      <c r="C125" s="66">
        <f>'Project Database'!G129</f>
        <v/>
      </c>
      <c r="D125" s="66">
        <f>'Project Database'!H129</f>
        <v/>
      </c>
      <c r="E125" s="66">
        <f>'Project Database'!I129</f>
        <v/>
      </c>
      <c r="F125" s="66">
        <f>'Project Database'!J129</f>
        <v/>
      </c>
      <c r="G125" s="66">
        <f>'Project Database'!K129</f>
        <v/>
      </c>
      <c r="H125" s="66">
        <f>'Project Database'!L129</f>
        <v/>
      </c>
      <c r="I125" s="66">
        <f>'Project Database'!M129</f>
        <v/>
      </c>
      <c r="J125" s="66">
        <f>'Project Database'!N129</f>
        <v/>
      </c>
      <c r="K125" s="66">
        <f>'Project Database'!O129</f>
        <v/>
      </c>
      <c r="L125" s="66">
        <f>'Project Database'!P129</f>
        <v/>
      </c>
      <c r="M125" s="66">
        <f>'Project Database'!Q129</f>
        <v/>
      </c>
      <c r="N125" s="66">
        <f>'Project Database'!R129</f>
        <v/>
      </c>
      <c r="O125" s="66">
        <f>'Project Database'!S129</f>
        <v/>
      </c>
      <c r="P125" s="66">
        <f>'Project Database'!T129</f>
        <v/>
      </c>
      <c r="Q125" s="66">
        <f>'Project Database'!U129</f>
        <v/>
      </c>
      <c r="R125" s="66">
        <f>'Project Database'!V129</f>
        <v/>
      </c>
      <c r="S125" s="66">
        <f>'Project Database'!W129</f>
        <v/>
      </c>
      <c r="T125" s="66">
        <f>'Project Database'!X129</f>
        <v/>
      </c>
      <c r="U125" s="67">
        <f>'Project Database'!Y129</f>
        <v/>
      </c>
      <c r="V125" s="66">
        <f>IF('Smart Search'!B13=1,IFERROR(1/'Smart Search'!H13,0),0)</f>
        <v/>
      </c>
      <c r="W125" s="66">
        <f>IF('Smart Search'!B13=1,IFERROR(1/'Smart Search'!H13,0),0)</f>
        <v/>
      </c>
      <c r="X125" s="66">
        <f>IF('Smart Search'!C13=1,IFERROR(1/'Smart Search'!H13,0),0)</f>
        <v/>
      </c>
      <c r="Y125" s="66">
        <f>IF('Smart Search'!C13=1,IFERROR(1/'Smart Search'!H13,0),0)</f>
        <v/>
      </c>
      <c r="Z125" s="66">
        <f>IF('Smart Search'!D13=1,IFERROR(1/'Smart Search'!H13,0),0)</f>
        <v/>
      </c>
      <c r="AA125" s="66">
        <f>IF('Smart Search'!D13=1,IFERROR(1/'Smart Search'!H13,0),0)</f>
        <v/>
      </c>
      <c r="AB125" s="66">
        <f>IF('Smart Search'!E13=1,IFERROR(1/'Smart Search'!H13,0),0)</f>
        <v/>
      </c>
      <c r="AC125" s="66">
        <f>IF('Smart Search'!E13=1,IFERROR(1/'Smart Search'!H13,0),0)</f>
        <v/>
      </c>
      <c r="AD125" s="66">
        <f>IF('Smart Search'!F13=1,IFERROR(1/'Smart Search'!H13,0),0)</f>
        <v/>
      </c>
      <c r="AE125" s="66">
        <f>IF('Smart Search'!F13=1,IFERROR(1/'Smart Search'!H13,0),0)</f>
        <v/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66">
        <f>AF125*V125</f>
        <v/>
      </c>
      <c r="AQ125" s="66">
        <f>AG125*W125</f>
        <v/>
      </c>
      <c r="AR125" s="66">
        <f>AH125*X125</f>
        <v/>
      </c>
      <c r="AS125" s="66">
        <f>AI125*Y125</f>
        <v/>
      </c>
      <c r="AT125" s="66">
        <f>AJ125*Z125</f>
        <v/>
      </c>
      <c r="AU125" s="66">
        <f>AK125*AA125</f>
        <v/>
      </c>
      <c r="AV125" s="66">
        <f>AL125*AB125</f>
        <v/>
      </c>
      <c r="AW125" s="66">
        <f>AM125*AC125</f>
        <v/>
      </c>
      <c r="AX125" s="66">
        <f>AN125*AD125</f>
        <v/>
      </c>
      <c r="AY125" s="66">
        <f>AO125*AE125</f>
        <v/>
      </c>
      <c r="AZ125" s="66">
        <f>'Project Database'!Z129</f>
        <v/>
      </c>
      <c r="BA125" s="66">
        <f>IF(OR(A125="",'Smart Search'!H13=0),"",MAX(0,BE125*BF125*MAX(0,1-BG125)))</f>
        <v/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66">
        <f>IF('Smart Search'!G13=1,IFERROR(1/'Smart Search'!H13,0),0)</f>
        <v/>
      </c>
      <c r="BD125" s="66">
        <f>BB125*BC125</f>
        <v/>
      </c>
      <c r="BE125" s="66">
        <f>AP125+AQ125+AR125+AS125+AT125+AU125+AV125+AW125+AX125+AY125+BD125</f>
        <v/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5">
        <f>IF(AND('Project Database'!A129&lt;&gt;"",OR('Smart Search'!$L$5="",'Smart Search'!$L$5="All",TRIM('Project Database'!D129)=TRIM('Smart Search'!$L$5)),OR(TRIM('Smart Search'!$L$6)="",TRIM('Smart Search'!$L$6)="All",ISNUMBER(SEARCH(SUBSTITUTE(SUBSTITUTE(SUBSTITUTE(TRIM('Smart Search'!$L$6),"~","~~"),"*","~*"),"?","~?"),'Project Database'!C129))),OR('Smart Search'!$L$7="",AND('Project Database'!E129&lt;&gt;"",'Project Database'!E129='Smart Search'!$L$7)),OR('Smart Search'!$L$8="",'Smart Search'!$L$8="All",TRIM('Project Database'!F129)=TRIM('Smart Search'!$L$8))),IF(BA125="","",BA125+ROW()*0.0000000001),"")</f>
        <v/>
      </c>
      <c r="BI125" s="5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>
        <f>IF('Project Database'!A129="","",N('Project Database'!AC129))</f>
        <v/>
      </c>
      <c r="BK125" s="5">
        <f>IF('Project Database'!A129="","",N('Project Database'!AD129))</f>
        <v/>
      </c>
      <c r="BL125" s="5">
        <f>IF('Project Database'!A129="","",N('Project Database'!AE129))</f>
        <v/>
      </c>
      <c r="BM125" s="5">
        <f>IF('Project Database'!A129="","",N('Project Database'!AF129))</f>
        <v/>
      </c>
      <c r="BN125" s="5">
        <f>IF('Project Database'!A129="","",N('Project Database'!AG129))</f>
        <v/>
      </c>
      <c r="BO125" s="5">
        <f>IF('Project Database'!A129="","",N('Project Database'!AH129))</f>
        <v/>
      </c>
      <c r="BP125" s="5">
        <f>IF('Project Database'!A129="","",N('Project Database'!AI129))</f>
        <v/>
      </c>
      <c r="BQ125" s="5">
        <f>IF('Project Database'!A129="","",N('Project Database'!AJ129))</f>
        <v/>
      </c>
      <c r="BR125" s="5">
        <f>IF('Project Database'!A129="","",N('Project Database'!AK129))</f>
        <v/>
      </c>
      <c r="BS125" s="5">
        <f>IF('Project Database'!A129="","",N('Project Database'!AL129))</f>
        <v/>
      </c>
      <c r="BT125" s="5">
        <f>IF('Project Database'!A129="","",N('Project Database'!AM129))</f>
        <v/>
      </c>
      <c r="BU125" s="5">
        <f>IF('Project Database'!A129="","",N('Project Database'!AN129))</f>
        <v/>
      </c>
      <c r="BV125" s="5">
        <f>IF('Project Database'!A129="","",N('Project Database'!AO129))</f>
        <v/>
      </c>
      <c r="BW125" s="5">
        <f>IF('Project Database'!A129="","",N('Project Database'!AP129))</f>
        <v/>
      </c>
      <c r="BX125" s="5">
        <f>IF(A125="","",SUM(BJ125:BW125))</f>
        <v/>
      </c>
      <c r="BY125" s="5">
        <f>IF(A125="","",IFERROR(IF(ISNUMBER(U125),U125,VALUE(SUBSTITUTE(SUBSTITUTE(SUBSTITUTE(UPPER(TRIM(U125)),"M",""),",","")," ",""))),0))</f>
        <v/>
      </c>
    </row>
    <row r="126" ht="15" customHeight="1" s="74">
      <c r="A126" s="66">
        <f>'Project Database'!A130</f>
        <v/>
      </c>
      <c r="B126" s="66">
        <f>'Project Database'!B130</f>
        <v/>
      </c>
      <c r="C126" s="66">
        <f>'Project Database'!G130</f>
        <v/>
      </c>
      <c r="D126" s="66">
        <f>'Project Database'!H130</f>
        <v/>
      </c>
      <c r="E126" s="66">
        <f>'Project Database'!I130</f>
        <v/>
      </c>
      <c r="F126" s="66">
        <f>'Project Database'!J130</f>
        <v/>
      </c>
      <c r="G126" s="66">
        <f>'Project Database'!K130</f>
        <v/>
      </c>
      <c r="H126" s="66">
        <f>'Project Database'!L130</f>
        <v/>
      </c>
      <c r="I126" s="66">
        <f>'Project Database'!M130</f>
        <v/>
      </c>
      <c r="J126" s="66">
        <f>'Project Database'!N130</f>
        <v/>
      </c>
      <c r="K126" s="66">
        <f>'Project Database'!O130</f>
        <v/>
      </c>
      <c r="L126" s="66">
        <f>'Project Database'!P130</f>
        <v/>
      </c>
      <c r="M126" s="66">
        <f>'Project Database'!Q130</f>
        <v/>
      </c>
      <c r="N126" s="66">
        <f>'Project Database'!R130</f>
        <v/>
      </c>
      <c r="O126" s="66">
        <f>'Project Database'!S130</f>
        <v/>
      </c>
      <c r="P126" s="66">
        <f>'Project Database'!T130</f>
        <v/>
      </c>
      <c r="Q126" s="66">
        <f>'Project Database'!U130</f>
        <v/>
      </c>
      <c r="R126" s="66">
        <f>'Project Database'!V130</f>
        <v/>
      </c>
      <c r="S126" s="66">
        <f>'Project Database'!W130</f>
        <v/>
      </c>
      <c r="T126" s="66">
        <f>'Project Database'!X130</f>
        <v/>
      </c>
      <c r="U126" s="67">
        <f>'Project Database'!Y130</f>
        <v/>
      </c>
      <c r="V126" s="66">
        <f>IF('Smart Search'!B13=1,IFERROR(1/'Smart Search'!H13,0),0)</f>
        <v/>
      </c>
      <c r="W126" s="66">
        <f>IF('Smart Search'!B13=1,IFERROR(1/'Smart Search'!H13,0),0)</f>
        <v/>
      </c>
      <c r="X126" s="66">
        <f>IF('Smart Search'!C13=1,IFERROR(1/'Smart Search'!H13,0),0)</f>
        <v/>
      </c>
      <c r="Y126" s="66">
        <f>IF('Smart Search'!C13=1,IFERROR(1/'Smart Search'!H13,0),0)</f>
        <v/>
      </c>
      <c r="Z126" s="66">
        <f>IF('Smart Search'!D13=1,IFERROR(1/'Smart Search'!H13,0),0)</f>
        <v/>
      </c>
      <c r="AA126" s="66">
        <f>IF('Smart Search'!D13=1,IFERROR(1/'Smart Search'!H13,0),0)</f>
        <v/>
      </c>
      <c r="AB126" s="66">
        <f>IF('Smart Search'!E13=1,IFERROR(1/'Smart Search'!H13,0),0)</f>
        <v/>
      </c>
      <c r="AC126" s="66">
        <f>IF('Smart Search'!E13=1,IFERROR(1/'Smart Search'!H13,0),0)</f>
        <v/>
      </c>
      <c r="AD126" s="66">
        <f>IF('Smart Search'!F13=1,IFERROR(1/'Smart Search'!H13,0),0)</f>
        <v/>
      </c>
      <c r="AE126" s="66">
        <f>IF('Smart Search'!F13=1,IFERROR(1/'Smart Search'!H13,0),0)</f>
        <v/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66">
        <f>AF126*V126</f>
        <v/>
      </c>
      <c r="AQ126" s="66">
        <f>AG126*W126</f>
        <v/>
      </c>
      <c r="AR126" s="66">
        <f>AH126*X126</f>
        <v/>
      </c>
      <c r="AS126" s="66">
        <f>AI126*Y126</f>
        <v/>
      </c>
      <c r="AT126" s="66">
        <f>AJ126*Z126</f>
        <v/>
      </c>
      <c r="AU126" s="66">
        <f>AK126*AA126</f>
        <v/>
      </c>
      <c r="AV126" s="66">
        <f>AL126*AB126</f>
        <v/>
      </c>
      <c r="AW126" s="66">
        <f>AM126*AC126</f>
        <v/>
      </c>
      <c r="AX126" s="66">
        <f>AN126*AD126</f>
        <v/>
      </c>
      <c r="AY126" s="66">
        <f>AO126*AE126</f>
        <v/>
      </c>
      <c r="AZ126" s="66">
        <f>'Project Database'!Z130</f>
        <v/>
      </c>
      <c r="BA126" s="66">
        <f>IF(OR(A126="",'Smart Search'!H13=0),"",MAX(0,BE126*BF126*MAX(0,1-BG126)))</f>
        <v/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66">
        <f>IF('Smart Search'!G13=1,IFERROR(1/'Smart Search'!H13,0),0)</f>
        <v/>
      </c>
      <c r="BD126" s="66">
        <f>BB126*BC126</f>
        <v/>
      </c>
      <c r="BE126" s="66">
        <f>AP126+AQ126+AR126+AS126+AT126+AU126+AV126+AW126+AX126+AY126+BD126</f>
        <v/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5">
        <f>IF(AND('Project Database'!A130&lt;&gt;"",OR('Smart Search'!$L$5="",'Smart Search'!$L$5="All",TRIM('Project Database'!D130)=TRIM('Smart Search'!$L$5)),OR(TRIM('Smart Search'!$L$6)="",TRIM('Smart Search'!$L$6)="All",ISNUMBER(SEARCH(SUBSTITUTE(SUBSTITUTE(SUBSTITUTE(TRIM('Smart Search'!$L$6),"~","~~"),"*","~*"),"?","~?"),'Project Database'!C130))),OR('Smart Search'!$L$7="",AND('Project Database'!E130&lt;&gt;"",'Project Database'!E130='Smart Search'!$L$7)),OR('Smart Search'!$L$8="",'Smart Search'!$L$8="All",TRIM('Project Database'!F130)=TRIM('Smart Search'!$L$8))),IF(BA126="","",BA126+ROW()*0.0000000001),"")</f>
        <v/>
      </c>
      <c r="BI126" s="5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>
        <f>IF('Project Database'!A130="","",N('Project Database'!AC130))</f>
        <v/>
      </c>
      <c r="BK126" s="5">
        <f>IF('Project Database'!A130="","",N('Project Database'!AD130))</f>
        <v/>
      </c>
      <c r="BL126" s="5">
        <f>IF('Project Database'!A130="","",N('Project Database'!AE130))</f>
        <v/>
      </c>
      <c r="BM126" s="5">
        <f>IF('Project Database'!A130="","",N('Project Database'!AF130))</f>
        <v/>
      </c>
      <c r="BN126" s="5">
        <f>IF('Project Database'!A130="","",N('Project Database'!AG130))</f>
        <v/>
      </c>
      <c r="BO126" s="5">
        <f>IF('Project Database'!A130="","",N('Project Database'!AH130))</f>
        <v/>
      </c>
      <c r="BP126" s="5">
        <f>IF('Project Database'!A130="","",N('Project Database'!AI130))</f>
        <v/>
      </c>
      <c r="BQ126" s="5">
        <f>IF('Project Database'!A130="","",N('Project Database'!AJ130))</f>
        <v/>
      </c>
      <c r="BR126" s="5">
        <f>IF('Project Database'!A130="","",N('Project Database'!AK130))</f>
        <v/>
      </c>
      <c r="BS126" s="5">
        <f>IF('Project Database'!A130="","",N('Project Database'!AL130))</f>
        <v/>
      </c>
      <c r="BT126" s="5">
        <f>IF('Project Database'!A130="","",N('Project Database'!AM130))</f>
        <v/>
      </c>
      <c r="BU126" s="5">
        <f>IF('Project Database'!A130="","",N('Project Database'!AN130))</f>
        <v/>
      </c>
      <c r="BV126" s="5">
        <f>IF('Project Database'!A130="","",N('Project Database'!AO130))</f>
        <v/>
      </c>
      <c r="BW126" s="5">
        <f>IF('Project Database'!A130="","",N('Project Database'!AP130))</f>
        <v/>
      </c>
      <c r="BX126" s="5">
        <f>IF(A126="","",SUM(BJ126:BW126))</f>
        <v/>
      </c>
      <c r="BY126" s="5">
        <f>IF(A126="","",IFERROR(IF(ISNUMBER(U126),U126,VALUE(SUBSTITUTE(SUBSTITUTE(SUBSTITUTE(UPPER(TRIM(U126)),"M",""),",","")," ",""))),0))</f>
        <v/>
      </c>
    </row>
    <row r="127" ht="15" customHeight="1" s="74">
      <c r="A127" s="66">
        <f>'Project Database'!A131</f>
        <v/>
      </c>
      <c r="B127" s="66">
        <f>'Project Database'!B131</f>
        <v/>
      </c>
      <c r="C127" s="66">
        <f>'Project Database'!G131</f>
        <v/>
      </c>
      <c r="D127" s="66">
        <f>'Project Database'!H131</f>
        <v/>
      </c>
      <c r="E127" s="66">
        <f>'Project Database'!I131</f>
        <v/>
      </c>
      <c r="F127" s="66">
        <f>'Project Database'!J131</f>
        <v/>
      </c>
      <c r="G127" s="66">
        <f>'Project Database'!K131</f>
        <v/>
      </c>
      <c r="H127" s="66">
        <f>'Project Database'!L131</f>
        <v/>
      </c>
      <c r="I127" s="66">
        <f>'Project Database'!M131</f>
        <v/>
      </c>
      <c r="J127" s="66">
        <f>'Project Database'!N131</f>
        <v/>
      </c>
      <c r="K127" s="66">
        <f>'Project Database'!O131</f>
        <v/>
      </c>
      <c r="L127" s="66">
        <f>'Project Database'!P131</f>
        <v/>
      </c>
      <c r="M127" s="66">
        <f>'Project Database'!Q131</f>
        <v/>
      </c>
      <c r="N127" s="66">
        <f>'Project Database'!R131</f>
        <v/>
      </c>
      <c r="O127" s="66">
        <f>'Project Database'!S131</f>
        <v/>
      </c>
      <c r="P127" s="66">
        <f>'Project Database'!T131</f>
        <v/>
      </c>
      <c r="Q127" s="66">
        <f>'Project Database'!U131</f>
        <v/>
      </c>
      <c r="R127" s="66">
        <f>'Project Database'!V131</f>
        <v/>
      </c>
      <c r="S127" s="66">
        <f>'Project Database'!W131</f>
        <v/>
      </c>
      <c r="T127" s="66">
        <f>'Project Database'!X131</f>
        <v/>
      </c>
      <c r="U127" s="67">
        <f>'Project Database'!Y131</f>
        <v/>
      </c>
      <c r="V127" s="66">
        <f>IF('Smart Search'!B13=1,IFERROR(1/'Smart Search'!H13,0),0)</f>
        <v/>
      </c>
      <c r="W127" s="66">
        <f>IF('Smart Search'!B13=1,IFERROR(1/'Smart Search'!H13,0),0)</f>
        <v/>
      </c>
      <c r="X127" s="66">
        <f>IF('Smart Search'!C13=1,IFERROR(1/'Smart Search'!H13,0),0)</f>
        <v/>
      </c>
      <c r="Y127" s="66">
        <f>IF('Smart Search'!C13=1,IFERROR(1/'Smart Search'!H13,0),0)</f>
        <v/>
      </c>
      <c r="Z127" s="66">
        <f>IF('Smart Search'!D13=1,IFERROR(1/'Smart Search'!H13,0),0)</f>
        <v/>
      </c>
      <c r="AA127" s="66">
        <f>IF('Smart Search'!D13=1,IFERROR(1/'Smart Search'!H13,0),0)</f>
        <v/>
      </c>
      <c r="AB127" s="66">
        <f>IF('Smart Search'!E13=1,IFERROR(1/'Smart Search'!H13,0),0)</f>
        <v/>
      </c>
      <c r="AC127" s="66">
        <f>IF('Smart Search'!E13=1,IFERROR(1/'Smart Search'!H13,0),0)</f>
        <v/>
      </c>
      <c r="AD127" s="66">
        <f>IF('Smart Search'!F13=1,IFERROR(1/'Smart Search'!H13,0),0)</f>
        <v/>
      </c>
      <c r="AE127" s="66">
        <f>IF('Smart Search'!F13=1,IFERROR(1/'Smart Search'!H13,0),0)</f>
        <v/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66">
        <f>AF127*V127</f>
        <v/>
      </c>
      <c r="AQ127" s="66">
        <f>AG127*W127</f>
        <v/>
      </c>
      <c r="AR127" s="66">
        <f>AH127*X127</f>
        <v/>
      </c>
      <c r="AS127" s="66">
        <f>AI127*Y127</f>
        <v/>
      </c>
      <c r="AT127" s="66">
        <f>AJ127*Z127</f>
        <v/>
      </c>
      <c r="AU127" s="66">
        <f>AK127*AA127</f>
        <v/>
      </c>
      <c r="AV127" s="66">
        <f>AL127*AB127</f>
        <v/>
      </c>
      <c r="AW127" s="66">
        <f>AM127*AC127</f>
        <v/>
      </c>
      <c r="AX127" s="66">
        <f>AN127*AD127</f>
        <v/>
      </c>
      <c r="AY127" s="66">
        <f>AO127*AE127</f>
        <v/>
      </c>
      <c r="AZ127" s="66">
        <f>'Project Database'!Z131</f>
        <v/>
      </c>
      <c r="BA127" s="66">
        <f>IF(OR(A127="",'Smart Search'!H13=0),"",MAX(0,BE127*BF127*MAX(0,1-BG127)))</f>
        <v/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66">
        <f>IF('Smart Search'!G13=1,IFERROR(1/'Smart Search'!H13,0),0)</f>
        <v/>
      </c>
      <c r="BD127" s="66">
        <f>BB127*BC127</f>
        <v/>
      </c>
      <c r="BE127" s="66">
        <f>AP127+AQ127+AR127+AS127+AT127+AU127+AV127+AW127+AX127+AY127+BD127</f>
        <v/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5">
        <f>IF(AND('Project Database'!A131&lt;&gt;"",OR('Smart Search'!$L$5="",'Smart Search'!$L$5="All",TRIM('Project Database'!D131)=TRIM('Smart Search'!$L$5)),OR(TRIM('Smart Search'!$L$6)="",TRIM('Smart Search'!$L$6)="All",ISNUMBER(SEARCH(SUBSTITUTE(SUBSTITUTE(SUBSTITUTE(TRIM('Smart Search'!$L$6),"~","~~"),"*","~*"),"?","~?"),'Project Database'!C131))),OR('Smart Search'!$L$7="",AND('Project Database'!E131&lt;&gt;"",'Project Database'!E131='Smart Search'!$L$7)),OR('Smart Search'!$L$8="",'Smart Search'!$L$8="All",TRIM('Project Database'!F131)=TRIM('Smart Search'!$L$8))),IF(BA127="","",BA127+ROW()*0.0000000001),"")</f>
        <v/>
      </c>
      <c r="BI127" s="5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>
        <f>IF('Project Database'!A131="","",N('Project Database'!AC131))</f>
        <v/>
      </c>
      <c r="BK127" s="5">
        <f>IF('Project Database'!A131="","",N('Project Database'!AD131))</f>
        <v/>
      </c>
      <c r="BL127" s="5">
        <f>IF('Project Database'!A131="","",N('Project Database'!AE131))</f>
        <v/>
      </c>
      <c r="BM127" s="5">
        <f>IF('Project Database'!A131="","",N('Project Database'!AF131))</f>
        <v/>
      </c>
      <c r="BN127" s="5">
        <f>IF('Project Database'!A131="","",N('Project Database'!AG131))</f>
        <v/>
      </c>
      <c r="BO127" s="5">
        <f>IF('Project Database'!A131="","",N('Project Database'!AH131))</f>
        <v/>
      </c>
      <c r="BP127" s="5">
        <f>IF('Project Database'!A131="","",N('Project Database'!AI131))</f>
        <v/>
      </c>
      <c r="BQ127" s="5">
        <f>IF('Project Database'!A131="","",N('Project Database'!AJ131))</f>
        <v/>
      </c>
      <c r="BR127" s="5">
        <f>IF('Project Database'!A131="","",N('Project Database'!AK131))</f>
        <v/>
      </c>
      <c r="BS127" s="5">
        <f>IF('Project Database'!A131="","",N('Project Database'!AL131))</f>
        <v/>
      </c>
      <c r="BT127" s="5">
        <f>IF('Project Database'!A131="","",N('Project Database'!AM131))</f>
        <v/>
      </c>
      <c r="BU127" s="5">
        <f>IF('Project Database'!A131="","",N('Project Database'!AN131))</f>
        <v/>
      </c>
      <c r="BV127" s="5">
        <f>IF('Project Database'!A131="","",N('Project Database'!AO131))</f>
        <v/>
      </c>
      <c r="BW127" s="5">
        <f>IF('Project Database'!A131="","",N('Project Database'!AP131))</f>
        <v/>
      </c>
      <c r="BX127" s="5">
        <f>IF(A127="","",SUM(BJ127:BW127))</f>
        <v/>
      </c>
      <c r="BY127" s="5">
        <f>IF(A127="","",IFERROR(IF(ISNUMBER(U127),U127,VALUE(SUBSTITUTE(SUBSTITUTE(SUBSTITUTE(UPPER(TRIM(U127)),"M",""),",","")," ",""))),0))</f>
        <v/>
      </c>
    </row>
    <row r="128" ht="15" customHeight="1" s="74">
      <c r="A128" s="66">
        <f>'Project Database'!A132</f>
        <v/>
      </c>
      <c r="B128" s="66">
        <f>'Project Database'!B132</f>
        <v/>
      </c>
      <c r="C128" s="66">
        <f>'Project Database'!G132</f>
        <v/>
      </c>
      <c r="D128" s="66">
        <f>'Project Database'!H132</f>
        <v/>
      </c>
      <c r="E128" s="66">
        <f>'Project Database'!I132</f>
        <v/>
      </c>
      <c r="F128" s="66">
        <f>'Project Database'!J132</f>
        <v/>
      </c>
      <c r="G128" s="66">
        <f>'Project Database'!K132</f>
        <v/>
      </c>
      <c r="H128" s="66">
        <f>'Project Database'!L132</f>
        <v/>
      </c>
      <c r="I128" s="66">
        <f>'Project Database'!M132</f>
        <v/>
      </c>
      <c r="J128" s="66">
        <f>'Project Database'!N132</f>
        <v/>
      </c>
      <c r="K128" s="66">
        <f>'Project Database'!O132</f>
        <v/>
      </c>
      <c r="L128" s="66">
        <f>'Project Database'!P132</f>
        <v/>
      </c>
      <c r="M128" s="66">
        <f>'Project Database'!Q132</f>
        <v/>
      </c>
      <c r="N128" s="66">
        <f>'Project Database'!R132</f>
        <v/>
      </c>
      <c r="O128" s="66">
        <f>'Project Database'!S132</f>
        <v/>
      </c>
      <c r="P128" s="66">
        <f>'Project Database'!T132</f>
        <v/>
      </c>
      <c r="Q128" s="66">
        <f>'Project Database'!U132</f>
        <v/>
      </c>
      <c r="R128" s="66">
        <f>'Project Database'!V132</f>
        <v/>
      </c>
      <c r="S128" s="66">
        <f>'Project Database'!W132</f>
        <v/>
      </c>
      <c r="T128" s="66">
        <f>'Project Database'!X132</f>
        <v/>
      </c>
      <c r="U128" s="67">
        <f>'Project Database'!Y132</f>
        <v/>
      </c>
      <c r="V128" s="66">
        <f>IF('Smart Search'!B13=1,IFERROR(1/'Smart Search'!H13,0),0)</f>
        <v/>
      </c>
      <c r="W128" s="66">
        <f>IF('Smart Search'!B13=1,IFERROR(1/'Smart Search'!H13,0),0)</f>
        <v/>
      </c>
      <c r="X128" s="66">
        <f>IF('Smart Search'!C13=1,IFERROR(1/'Smart Search'!H13,0),0)</f>
        <v/>
      </c>
      <c r="Y128" s="66">
        <f>IF('Smart Search'!C13=1,IFERROR(1/'Smart Search'!H13,0),0)</f>
        <v/>
      </c>
      <c r="Z128" s="66">
        <f>IF('Smart Search'!D13=1,IFERROR(1/'Smart Search'!H13,0),0)</f>
        <v/>
      </c>
      <c r="AA128" s="66">
        <f>IF('Smart Search'!D13=1,IFERROR(1/'Smart Search'!H13,0),0)</f>
        <v/>
      </c>
      <c r="AB128" s="66">
        <f>IF('Smart Search'!E13=1,IFERROR(1/'Smart Search'!H13,0),0)</f>
        <v/>
      </c>
      <c r="AC128" s="66">
        <f>IF('Smart Search'!E13=1,IFERROR(1/'Smart Search'!H13,0),0)</f>
        <v/>
      </c>
      <c r="AD128" s="66">
        <f>IF('Smart Search'!F13=1,IFERROR(1/'Smart Search'!H13,0),0)</f>
        <v/>
      </c>
      <c r="AE128" s="66">
        <f>IF('Smart Search'!F13=1,IFERROR(1/'Smart Search'!H13,0),0)</f>
        <v/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66">
        <f>AF128*V128</f>
        <v/>
      </c>
      <c r="AQ128" s="66">
        <f>AG128*W128</f>
        <v/>
      </c>
      <c r="AR128" s="66">
        <f>AH128*X128</f>
        <v/>
      </c>
      <c r="AS128" s="66">
        <f>AI128*Y128</f>
        <v/>
      </c>
      <c r="AT128" s="66">
        <f>AJ128*Z128</f>
        <v/>
      </c>
      <c r="AU128" s="66">
        <f>AK128*AA128</f>
        <v/>
      </c>
      <c r="AV128" s="66">
        <f>AL128*AB128</f>
        <v/>
      </c>
      <c r="AW128" s="66">
        <f>AM128*AC128</f>
        <v/>
      </c>
      <c r="AX128" s="66">
        <f>AN128*AD128</f>
        <v/>
      </c>
      <c r="AY128" s="66">
        <f>AO128*AE128</f>
        <v/>
      </c>
      <c r="AZ128" s="66">
        <f>'Project Database'!Z132</f>
        <v/>
      </c>
      <c r="BA128" s="66">
        <f>IF(OR(A128="",'Smart Search'!H13=0),"",MAX(0,BE128*BF128*MAX(0,1-BG128)))</f>
        <v/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66">
        <f>IF('Smart Search'!G13=1,IFERROR(1/'Smart Search'!H13,0),0)</f>
        <v/>
      </c>
      <c r="BD128" s="66">
        <f>BB128*BC128</f>
        <v/>
      </c>
      <c r="BE128" s="66">
        <f>AP128+AQ128+AR128+AS128+AT128+AU128+AV128+AW128+AX128+AY128+BD128</f>
        <v/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5">
        <f>IF(AND('Project Database'!A132&lt;&gt;"",OR('Smart Search'!$L$5="",'Smart Search'!$L$5="All",TRIM('Project Database'!D132)=TRIM('Smart Search'!$L$5)),OR(TRIM('Smart Search'!$L$6)="",TRIM('Smart Search'!$L$6)="All",ISNUMBER(SEARCH(SUBSTITUTE(SUBSTITUTE(SUBSTITUTE(TRIM('Smart Search'!$L$6),"~","~~"),"*","~*"),"?","~?"),'Project Database'!C132))),OR('Smart Search'!$L$7="",AND('Project Database'!E132&lt;&gt;"",'Project Database'!E132='Smart Search'!$L$7)),OR('Smart Search'!$L$8="",'Smart Search'!$L$8="All",TRIM('Project Database'!F132)=TRIM('Smart Search'!$L$8))),IF(BA128="","",BA128+ROW()*0.0000000001),"")</f>
        <v/>
      </c>
      <c r="BI128" s="5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>
        <f>IF('Project Database'!A132="","",N('Project Database'!AC132))</f>
        <v/>
      </c>
      <c r="BK128" s="5">
        <f>IF('Project Database'!A132="","",N('Project Database'!AD132))</f>
        <v/>
      </c>
      <c r="BL128" s="5">
        <f>IF('Project Database'!A132="","",N('Project Database'!AE132))</f>
        <v/>
      </c>
      <c r="BM128" s="5">
        <f>IF('Project Database'!A132="","",N('Project Database'!AF132))</f>
        <v/>
      </c>
      <c r="BN128" s="5">
        <f>IF('Project Database'!A132="","",N('Project Database'!AG132))</f>
        <v/>
      </c>
      <c r="BO128" s="5">
        <f>IF('Project Database'!A132="","",N('Project Database'!AH132))</f>
        <v/>
      </c>
      <c r="BP128" s="5">
        <f>IF('Project Database'!A132="","",N('Project Database'!AI132))</f>
        <v/>
      </c>
      <c r="BQ128" s="5">
        <f>IF('Project Database'!A132="","",N('Project Database'!AJ132))</f>
        <v/>
      </c>
      <c r="BR128" s="5">
        <f>IF('Project Database'!A132="","",N('Project Database'!AK132))</f>
        <v/>
      </c>
      <c r="BS128" s="5">
        <f>IF('Project Database'!A132="","",N('Project Database'!AL132))</f>
        <v/>
      </c>
      <c r="BT128" s="5">
        <f>IF('Project Database'!A132="","",N('Project Database'!AM132))</f>
        <v/>
      </c>
      <c r="BU128" s="5">
        <f>IF('Project Database'!A132="","",N('Project Database'!AN132))</f>
        <v/>
      </c>
      <c r="BV128" s="5">
        <f>IF('Project Database'!A132="","",N('Project Database'!AO132))</f>
        <v/>
      </c>
      <c r="BW128" s="5">
        <f>IF('Project Database'!A132="","",N('Project Database'!AP132))</f>
        <v/>
      </c>
      <c r="BX128" s="5">
        <f>IF(A128="","",SUM(BJ128:BW128))</f>
        <v/>
      </c>
      <c r="BY128" s="5">
        <f>IF(A128="","",IFERROR(IF(ISNUMBER(U128),U128,VALUE(SUBSTITUTE(SUBSTITUTE(SUBSTITUTE(UPPER(TRIM(U128)),"M",""),",","")," ",""))),0))</f>
        <v/>
      </c>
    </row>
    <row r="129" ht="15" customHeight="1" s="74">
      <c r="A129" s="66">
        <f>'Project Database'!A133</f>
        <v/>
      </c>
      <c r="B129" s="66">
        <f>'Project Database'!B133</f>
        <v/>
      </c>
      <c r="C129" s="66">
        <f>'Project Database'!G133</f>
        <v/>
      </c>
      <c r="D129" s="66">
        <f>'Project Database'!H133</f>
        <v/>
      </c>
      <c r="E129" s="66">
        <f>'Project Database'!I133</f>
        <v/>
      </c>
      <c r="F129" s="66">
        <f>'Project Database'!J133</f>
        <v/>
      </c>
      <c r="G129" s="66">
        <f>'Project Database'!K133</f>
        <v/>
      </c>
      <c r="H129" s="66">
        <f>'Project Database'!L133</f>
        <v/>
      </c>
      <c r="I129" s="66">
        <f>'Project Database'!M133</f>
        <v/>
      </c>
      <c r="J129" s="66">
        <f>'Project Database'!N133</f>
        <v/>
      </c>
      <c r="K129" s="66">
        <f>'Project Database'!O133</f>
        <v/>
      </c>
      <c r="L129" s="66">
        <f>'Project Database'!P133</f>
        <v/>
      </c>
      <c r="M129" s="66">
        <f>'Project Database'!Q133</f>
        <v/>
      </c>
      <c r="N129" s="66">
        <f>'Project Database'!R133</f>
        <v/>
      </c>
      <c r="O129" s="66">
        <f>'Project Database'!S133</f>
        <v/>
      </c>
      <c r="P129" s="66">
        <f>'Project Database'!T133</f>
        <v/>
      </c>
      <c r="Q129" s="66">
        <f>'Project Database'!U133</f>
        <v/>
      </c>
      <c r="R129" s="66">
        <f>'Project Database'!V133</f>
        <v/>
      </c>
      <c r="S129" s="66">
        <f>'Project Database'!W133</f>
        <v/>
      </c>
      <c r="T129" s="66">
        <f>'Project Database'!X133</f>
        <v/>
      </c>
      <c r="U129" s="67">
        <f>'Project Database'!Y133</f>
        <v/>
      </c>
      <c r="V129" s="66">
        <f>IF('Smart Search'!B13=1,IFERROR(1/'Smart Search'!H13,0),0)</f>
        <v/>
      </c>
      <c r="W129" s="66">
        <f>IF('Smart Search'!B13=1,IFERROR(1/'Smart Search'!H13,0),0)</f>
        <v/>
      </c>
      <c r="X129" s="66">
        <f>IF('Smart Search'!C13=1,IFERROR(1/'Smart Search'!H13,0),0)</f>
        <v/>
      </c>
      <c r="Y129" s="66">
        <f>IF('Smart Search'!C13=1,IFERROR(1/'Smart Search'!H13,0),0)</f>
        <v/>
      </c>
      <c r="Z129" s="66">
        <f>IF('Smart Search'!D13=1,IFERROR(1/'Smart Search'!H13,0),0)</f>
        <v/>
      </c>
      <c r="AA129" s="66">
        <f>IF('Smart Search'!D13=1,IFERROR(1/'Smart Search'!H13,0),0)</f>
        <v/>
      </c>
      <c r="AB129" s="66">
        <f>IF('Smart Search'!E13=1,IFERROR(1/'Smart Search'!H13,0),0)</f>
        <v/>
      </c>
      <c r="AC129" s="66">
        <f>IF('Smart Search'!E13=1,IFERROR(1/'Smart Search'!H13,0),0)</f>
        <v/>
      </c>
      <c r="AD129" s="66">
        <f>IF('Smart Search'!F13=1,IFERROR(1/'Smart Search'!H13,0),0)</f>
        <v/>
      </c>
      <c r="AE129" s="66">
        <f>IF('Smart Search'!F13=1,IFERROR(1/'Smart Search'!H13,0),0)</f>
        <v/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66">
        <f>AF129*V129</f>
        <v/>
      </c>
      <c r="AQ129" s="66">
        <f>AG129*W129</f>
        <v/>
      </c>
      <c r="AR129" s="66">
        <f>AH129*X129</f>
        <v/>
      </c>
      <c r="AS129" s="66">
        <f>AI129*Y129</f>
        <v/>
      </c>
      <c r="AT129" s="66">
        <f>AJ129*Z129</f>
        <v/>
      </c>
      <c r="AU129" s="66">
        <f>AK129*AA129</f>
        <v/>
      </c>
      <c r="AV129" s="66">
        <f>AL129*AB129</f>
        <v/>
      </c>
      <c r="AW129" s="66">
        <f>AM129*AC129</f>
        <v/>
      </c>
      <c r="AX129" s="66">
        <f>AN129*AD129</f>
        <v/>
      </c>
      <c r="AY129" s="66">
        <f>AO129*AE129</f>
        <v/>
      </c>
      <c r="AZ129" s="66">
        <f>'Project Database'!Z133</f>
        <v/>
      </c>
      <c r="BA129" s="66">
        <f>IF(OR(A129="",'Smart Search'!H13=0),"",MAX(0,BE129*BF129*MAX(0,1-BG129)))</f>
        <v/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66">
        <f>IF('Smart Search'!G13=1,IFERROR(1/'Smart Search'!H13,0),0)</f>
        <v/>
      </c>
      <c r="BD129" s="66">
        <f>BB129*BC129</f>
        <v/>
      </c>
      <c r="BE129" s="66">
        <f>AP129+AQ129+AR129+AS129+AT129+AU129+AV129+AW129+AX129+AY129+BD129</f>
        <v/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5">
        <f>IF(AND('Project Database'!A133&lt;&gt;"",OR('Smart Search'!$L$5="",'Smart Search'!$L$5="All",TRIM('Project Database'!D133)=TRIM('Smart Search'!$L$5)),OR(TRIM('Smart Search'!$L$6)="",TRIM('Smart Search'!$L$6)="All",ISNUMBER(SEARCH(SUBSTITUTE(SUBSTITUTE(SUBSTITUTE(TRIM('Smart Search'!$L$6),"~","~~"),"*","~*"),"?","~?"),'Project Database'!C133))),OR('Smart Search'!$L$7="",AND('Project Database'!E133&lt;&gt;"",'Project Database'!E133='Smart Search'!$L$7)),OR('Smart Search'!$L$8="",'Smart Search'!$L$8="All",TRIM('Project Database'!F133)=TRIM('Smart Search'!$L$8))),IF(BA129="","",BA129+ROW()*0.0000000001),"")</f>
        <v/>
      </c>
      <c r="BI129" s="5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>
        <f>IF('Project Database'!A133="","",N('Project Database'!AC133))</f>
        <v/>
      </c>
      <c r="BK129" s="5">
        <f>IF('Project Database'!A133="","",N('Project Database'!AD133))</f>
        <v/>
      </c>
      <c r="BL129" s="5">
        <f>IF('Project Database'!A133="","",N('Project Database'!AE133))</f>
        <v/>
      </c>
      <c r="BM129" s="5">
        <f>IF('Project Database'!A133="","",N('Project Database'!AF133))</f>
        <v/>
      </c>
      <c r="BN129" s="5">
        <f>IF('Project Database'!A133="","",N('Project Database'!AG133))</f>
        <v/>
      </c>
      <c r="BO129" s="5">
        <f>IF('Project Database'!A133="","",N('Project Database'!AH133))</f>
        <v/>
      </c>
      <c r="BP129" s="5">
        <f>IF('Project Database'!A133="","",N('Project Database'!AI133))</f>
        <v/>
      </c>
      <c r="BQ129" s="5">
        <f>IF('Project Database'!A133="","",N('Project Database'!AJ133))</f>
        <v/>
      </c>
      <c r="BR129" s="5">
        <f>IF('Project Database'!A133="","",N('Project Database'!AK133))</f>
        <v/>
      </c>
      <c r="BS129" s="5">
        <f>IF('Project Database'!A133="","",N('Project Database'!AL133))</f>
        <v/>
      </c>
      <c r="BT129" s="5">
        <f>IF('Project Database'!A133="","",N('Project Database'!AM133))</f>
        <v/>
      </c>
      <c r="BU129" s="5">
        <f>IF('Project Database'!A133="","",N('Project Database'!AN133))</f>
        <v/>
      </c>
      <c r="BV129" s="5">
        <f>IF('Project Database'!A133="","",N('Project Database'!AO133))</f>
        <v/>
      </c>
      <c r="BW129" s="5">
        <f>IF('Project Database'!A133="","",N('Project Database'!AP133))</f>
        <v/>
      </c>
      <c r="BX129" s="5">
        <f>IF(A129="","",SUM(BJ129:BW129))</f>
        <v/>
      </c>
      <c r="BY129" s="5">
        <f>IF(A129="","",IFERROR(IF(ISNUMBER(U129),U129,VALUE(SUBSTITUTE(SUBSTITUTE(SUBSTITUTE(UPPER(TRIM(U129)),"M",""),",","")," ",""))),0))</f>
        <v/>
      </c>
    </row>
    <row r="130" ht="15" customHeight="1" s="74">
      <c r="A130" s="66">
        <f>'Project Database'!A134</f>
        <v/>
      </c>
      <c r="B130" s="66">
        <f>'Project Database'!B134</f>
        <v/>
      </c>
      <c r="C130" s="66">
        <f>'Project Database'!G134</f>
        <v/>
      </c>
      <c r="D130" s="66">
        <f>'Project Database'!H134</f>
        <v/>
      </c>
      <c r="E130" s="66">
        <f>'Project Database'!I134</f>
        <v/>
      </c>
      <c r="F130" s="66">
        <f>'Project Database'!J134</f>
        <v/>
      </c>
      <c r="G130" s="66">
        <f>'Project Database'!K134</f>
        <v/>
      </c>
      <c r="H130" s="66">
        <f>'Project Database'!L134</f>
        <v/>
      </c>
      <c r="I130" s="66">
        <f>'Project Database'!M134</f>
        <v/>
      </c>
      <c r="J130" s="66">
        <f>'Project Database'!N134</f>
        <v/>
      </c>
      <c r="K130" s="66">
        <f>'Project Database'!O134</f>
        <v/>
      </c>
      <c r="L130" s="66">
        <f>'Project Database'!P134</f>
        <v/>
      </c>
      <c r="M130" s="66">
        <f>'Project Database'!Q134</f>
        <v/>
      </c>
      <c r="N130" s="66">
        <f>'Project Database'!R134</f>
        <v/>
      </c>
      <c r="O130" s="66">
        <f>'Project Database'!S134</f>
        <v/>
      </c>
      <c r="P130" s="66">
        <f>'Project Database'!T134</f>
        <v/>
      </c>
      <c r="Q130" s="66">
        <f>'Project Database'!U134</f>
        <v/>
      </c>
      <c r="R130" s="66">
        <f>'Project Database'!V134</f>
        <v/>
      </c>
      <c r="S130" s="66">
        <f>'Project Database'!W134</f>
        <v/>
      </c>
      <c r="T130" s="66">
        <f>'Project Database'!X134</f>
        <v/>
      </c>
      <c r="U130" s="67">
        <f>'Project Database'!Y134</f>
        <v/>
      </c>
      <c r="V130" s="66">
        <f>IF('Smart Search'!B13=1,IFERROR(1/'Smart Search'!H13,0),0)</f>
        <v/>
      </c>
      <c r="W130" s="66">
        <f>IF('Smart Search'!B13=1,IFERROR(1/'Smart Search'!H13,0),0)</f>
        <v/>
      </c>
      <c r="X130" s="66">
        <f>IF('Smart Search'!C13=1,IFERROR(1/'Smart Search'!H13,0),0)</f>
        <v/>
      </c>
      <c r="Y130" s="66">
        <f>IF('Smart Search'!C13=1,IFERROR(1/'Smart Search'!H13,0),0)</f>
        <v/>
      </c>
      <c r="Z130" s="66">
        <f>IF('Smart Search'!D13=1,IFERROR(1/'Smart Search'!H13,0),0)</f>
        <v/>
      </c>
      <c r="AA130" s="66">
        <f>IF('Smart Search'!D13=1,IFERROR(1/'Smart Search'!H13,0),0)</f>
        <v/>
      </c>
      <c r="AB130" s="66">
        <f>IF('Smart Search'!E13=1,IFERROR(1/'Smart Search'!H13,0),0)</f>
        <v/>
      </c>
      <c r="AC130" s="66">
        <f>IF('Smart Search'!E13=1,IFERROR(1/'Smart Search'!H13,0),0)</f>
        <v/>
      </c>
      <c r="AD130" s="66">
        <f>IF('Smart Search'!F13=1,IFERROR(1/'Smart Search'!H13,0),0)</f>
        <v/>
      </c>
      <c r="AE130" s="66">
        <f>IF('Smart Search'!F13=1,IFERROR(1/'Smart Search'!H13,0),0)</f>
        <v/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66">
        <f>AF130*V130</f>
        <v/>
      </c>
      <c r="AQ130" s="66">
        <f>AG130*W130</f>
        <v/>
      </c>
      <c r="AR130" s="66">
        <f>AH130*X130</f>
        <v/>
      </c>
      <c r="AS130" s="66">
        <f>AI130*Y130</f>
        <v/>
      </c>
      <c r="AT130" s="66">
        <f>AJ130*Z130</f>
        <v/>
      </c>
      <c r="AU130" s="66">
        <f>AK130*AA130</f>
        <v/>
      </c>
      <c r="AV130" s="66">
        <f>AL130*AB130</f>
        <v/>
      </c>
      <c r="AW130" s="66">
        <f>AM130*AC130</f>
        <v/>
      </c>
      <c r="AX130" s="66">
        <f>AN130*AD130</f>
        <v/>
      </c>
      <c r="AY130" s="66">
        <f>AO130*AE130</f>
        <v/>
      </c>
      <c r="AZ130" s="66">
        <f>'Project Database'!Z134</f>
        <v/>
      </c>
      <c r="BA130" s="66">
        <f>IF(OR(A130="",'Smart Search'!H13=0),"",MAX(0,BE130*BF130*MAX(0,1-BG130)))</f>
        <v/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66">
        <f>IF('Smart Search'!G13=1,IFERROR(1/'Smart Search'!H13,0),0)</f>
        <v/>
      </c>
      <c r="BD130" s="66">
        <f>BB130*BC130</f>
        <v/>
      </c>
      <c r="BE130" s="66">
        <f>AP130+AQ130+AR130+AS130+AT130+AU130+AV130+AW130+AX130+AY130+BD130</f>
        <v/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5">
        <f>IF(AND('Project Database'!A134&lt;&gt;"",OR('Smart Search'!$L$5="",'Smart Search'!$L$5="All",TRIM('Project Database'!D134)=TRIM('Smart Search'!$L$5)),OR(TRIM('Smart Search'!$L$6)="",TRIM('Smart Search'!$L$6)="All",ISNUMBER(SEARCH(SUBSTITUTE(SUBSTITUTE(SUBSTITUTE(TRIM('Smart Search'!$L$6),"~","~~"),"*","~*"),"?","~?"),'Project Database'!C134))),OR('Smart Search'!$L$7="",AND('Project Database'!E134&lt;&gt;"",'Project Database'!E134='Smart Search'!$L$7)),OR('Smart Search'!$L$8="",'Smart Search'!$L$8="All",TRIM('Project Database'!F134)=TRIM('Smart Search'!$L$8))),IF(BA130="","",BA130+ROW()*0.0000000001),"")</f>
        <v/>
      </c>
      <c r="BI130" s="5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>
        <f>IF('Project Database'!A134="","",N('Project Database'!AC134))</f>
        <v/>
      </c>
      <c r="BK130" s="5">
        <f>IF('Project Database'!A134="","",N('Project Database'!AD134))</f>
        <v/>
      </c>
      <c r="BL130" s="5">
        <f>IF('Project Database'!A134="","",N('Project Database'!AE134))</f>
        <v/>
      </c>
      <c r="BM130" s="5">
        <f>IF('Project Database'!A134="","",N('Project Database'!AF134))</f>
        <v/>
      </c>
      <c r="BN130" s="5">
        <f>IF('Project Database'!A134="","",N('Project Database'!AG134))</f>
        <v/>
      </c>
      <c r="BO130" s="5">
        <f>IF('Project Database'!A134="","",N('Project Database'!AH134))</f>
        <v/>
      </c>
      <c r="BP130" s="5">
        <f>IF('Project Database'!A134="","",N('Project Database'!AI134))</f>
        <v/>
      </c>
      <c r="BQ130" s="5">
        <f>IF('Project Database'!A134="","",N('Project Database'!AJ134))</f>
        <v/>
      </c>
      <c r="BR130" s="5">
        <f>IF('Project Database'!A134="","",N('Project Database'!AK134))</f>
        <v/>
      </c>
      <c r="BS130" s="5">
        <f>IF('Project Database'!A134="","",N('Project Database'!AL134))</f>
        <v/>
      </c>
      <c r="BT130" s="5">
        <f>IF('Project Database'!A134="","",N('Project Database'!AM134))</f>
        <v/>
      </c>
      <c r="BU130" s="5">
        <f>IF('Project Database'!A134="","",N('Project Database'!AN134))</f>
        <v/>
      </c>
      <c r="BV130" s="5">
        <f>IF('Project Database'!A134="","",N('Project Database'!AO134))</f>
        <v/>
      </c>
      <c r="BW130" s="5">
        <f>IF('Project Database'!A134="","",N('Project Database'!AP134))</f>
        <v/>
      </c>
      <c r="BX130" s="5">
        <f>IF(A130="","",SUM(BJ130:BW130))</f>
        <v/>
      </c>
      <c r="BY130" s="5">
        <f>IF(A130="","",IFERROR(IF(ISNUMBER(U130),U130,VALUE(SUBSTITUTE(SUBSTITUTE(SUBSTITUTE(UPPER(TRIM(U130)),"M",""),",","")," ",""))),0))</f>
        <v/>
      </c>
    </row>
    <row r="131" ht="15" customHeight="1" s="74">
      <c r="A131" s="66">
        <f>'Project Database'!A135</f>
        <v/>
      </c>
      <c r="B131" s="66">
        <f>'Project Database'!B135</f>
        <v/>
      </c>
      <c r="C131" s="66">
        <f>'Project Database'!G135</f>
        <v/>
      </c>
      <c r="D131" s="66">
        <f>'Project Database'!H135</f>
        <v/>
      </c>
      <c r="E131" s="66">
        <f>'Project Database'!I135</f>
        <v/>
      </c>
      <c r="F131" s="66">
        <f>'Project Database'!J135</f>
        <v/>
      </c>
      <c r="G131" s="66">
        <f>'Project Database'!K135</f>
        <v/>
      </c>
      <c r="H131" s="66">
        <f>'Project Database'!L135</f>
        <v/>
      </c>
      <c r="I131" s="66">
        <f>'Project Database'!M135</f>
        <v/>
      </c>
      <c r="J131" s="66">
        <f>'Project Database'!N135</f>
        <v/>
      </c>
      <c r="K131" s="66">
        <f>'Project Database'!O135</f>
        <v/>
      </c>
      <c r="L131" s="66">
        <f>'Project Database'!P135</f>
        <v/>
      </c>
      <c r="M131" s="66">
        <f>'Project Database'!Q135</f>
        <v/>
      </c>
      <c r="N131" s="66">
        <f>'Project Database'!R135</f>
        <v/>
      </c>
      <c r="O131" s="66">
        <f>'Project Database'!S135</f>
        <v/>
      </c>
      <c r="P131" s="66">
        <f>'Project Database'!T135</f>
        <v/>
      </c>
      <c r="Q131" s="66">
        <f>'Project Database'!U135</f>
        <v/>
      </c>
      <c r="R131" s="66">
        <f>'Project Database'!V135</f>
        <v/>
      </c>
      <c r="S131" s="66">
        <f>'Project Database'!W135</f>
        <v/>
      </c>
      <c r="T131" s="66">
        <f>'Project Database'!X135</f>
        <v/>
      </c>
      <c r="U131" s="67">
        <f>'Project Database'!Y135</f>
        <v/>
      </c>
      <c r="V131" s="66">
        <f>IF('Smart Search'!B13=1,IFERROR(1/'Smart Search'!H13,0),0)</f>
        <v/>
      </c>
      <c r="W131" s="66">
        <f>IF('Smart Search'!B13=1,IFERROR(1/'Smart Search'!H13,0),0)</f>
        <v/>
      </c>
      <c r="X131" s="66">
        <f>IF('Smart Search'!C13=1,IFERROR(1/'Smart Search'!H13,0),0)</f>
        <v/>
      </c>
      <c r="Y131" s="66">
        <f>IF('Smart Search'!C13=1,IFERROR(1/'Smart Search'!H13,0),0)</f>
        <v/>
      </c>
      <c r="Z131" s="66">
        <f>IF('Smart Search'!D13=1,IFERROR(1/'Smart Search'!H13,0),0)</f>
        <v/>
      </c>
      <c r="AA131" s="66">
        <f>IF('Smart Search'!D13=1,IFERROR(1/'Smart Search'!H13,0),0)</f>
        <v/>
      </c>
      <c r="AB131" s="66">
        <f>IF('Smart Search'!E13=1,IFERROR(1/'Smart Search'!H13,0),0)</f>
        <v/>
      </c>
      <c r="AC131" s="66">
        <f>IF('Smart Search'!E13=1,IFERROR(1/'Smart Search'!H13,0),0)</f>
        <v/>
      </c>
      <c r="AD131" s="66">
        <f>IF('Smart Search'!F13=1,IFERROR(1/'Smart Search'!H13,0),0)</f>
        <v/>
      </c>
      <c r="AE131" s="66">
        <f>IF('Smart Search'!F13=1,IFERROR(1/'Smart Search'!H13,0),0)</f>
        <v/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66">
        <f>AF131*V131</f>
        <v/>
      </c>
      <c r="AQ131" s="66">
        <f>AG131*W131</f>
        <v/>
      </c>
      <c r="AR131" s="66">
        <f>AH131*X131</f>
        <v/>
      </c>
      <c r="AS131" s="66">
        <f>AI131*Y131</f>
        <v/>
      </c>
      <c r="AT131" s="66">
        <f>AJ131*Z131</f>
        <v/>
      </c>
      <c r="AU131" s="66">
        <f>AK131*AA131</f>
        <v/>
      </c>
      <c r="AV131" s="66">
        <f>AL131*AB131</f>
        <v/>
      </c>
      <c r="AW131" s="66">
        <f>AM131*AC131</f>
        <v/>
      </c>
      <c r="AX131" s="66">
        <f>AN131*AD131</f>
        <v/>
      </c>
      <c r="AY131" s="66">
        <f>AO131*AE131</f>
        <v/>
      </c>
      <c r="AZ131" s="66">
        <f>'Project Database'!Z135</f>
        <v/>
      </c>
      <c r="BA131" s="66">
        <f>IF(OR(A131="",'Smart Search'!H13=0),"",MAX(0,BE131*BF131*MAX(0,1-BG131)))</f>
        <v/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66">
        <f>IF('Smart Search'!G13=1,IFERROR(1/'Smart Search'!H13,0),0)</f>
        <v/>
      </c>
      <c r="BD131" s="66">
        <f>BB131*BC131</f>
        <v/>
      </c>
      <c r="BE131" s="66">
        <f>AP131+AQ131+AR131+AS131+AT131+AU131+AV131+AW131+AX131+AY131+BD131</f>
        <v/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5">
        <f>IF(AND('Project Database'!A135&lt;&gt;"",OR('Smart Search'!$L$5="",'Smart Search'!$L$5="All",TRIM('Project Database'!D135)=TRIM('Smart Search'!$L$5)),OR(TRIM('Smart Search'!$L$6)="",TRIM('Smart Search'!$L$6)="All",ISNUMBER(SEARCH(SUBSTITUTE(SUBSTITUTE(SUBSTITUTE(TRIM('Smart Search'!$L$6),"~","~~"),"*","~*"),"?","~?"),'Project Database'!C135))),OR('Smart Search'!$L$7="",AND('Project Database'!E135&lt;&gt;"",'Project Database'!E135='Smart Search'!$L$7)),OR('Smart Search'!$L$8="",'Smart Search'!$L$8="All",TRIM('Project Database'!F135)=TRIM('Smart Search'!$L$8))),IF(BA131="","",BA131+ROW()*0.0000000001),"")</f>
        <v/>
      </c>
      <c r="BI131" s="5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>
        <f>IF('Project Database'!A135="","",N('Project Database'!AC135))</f>
        <v/>
      </c>
      <c r="BK131" s="5">
        <f>IF('Project Database'!A135="","",N('Project Database'!AD135))</f>
        <v/>
      </c>
      <c r="BL131" s="5">
        <f>IF('Project Database'!A135="","",N('Project Database'!AE135))</f>
        <v/>
      </c>
      <c r="BM131" s="5">
        <f>IF('Project Database'!A135="","",N('Project Database'!AF135))</f>
        <v/>
      </c>
      <c r="BN131" s="5">
        <f>IF('Project Database'!A135="","",N('Project Database'!AG135))</f>
        <v/>
      </c>
      <c r="BO131" s="5">
        <f>IF('Project Database'!A135="","",N('Project Database'!AH135))</f>
        <v/>
      </c>
      <c r="BP131" s="5">
        <f>IF('Project Database'!A135="","",N('Project Database'!AI135))</f>
        <v/>
      </c>
      <c r="BQ131" s="5">
        <f>IF('Project Database'!A135="","",N('Project Database'!AJ135))</f>
        <v/>
      </c>
      <c r="BR131" s="5">
        <f>IF('Project Database'!A135="","",N('Project Database'!AK135))</f>
        <v/>
      </c>
      <c r="BS131" s="5">
        <f>IF('Project Database'!A135="","",N('Project Database'!AL135))</f>
        <v/>
      </c>
      <c r="BT131" s="5">
        <f>IF('Project Database'!A135="","",N('Project Database'!AM135))</f>
        <v/>
      </c>
      <c r="BU131" s="5">
        <f>IF('Project Database'!A135="","",N('Project Database'!AN135))</f>
        <v/>
      </c>
      <c r="BV131" s="5">
        <f>IF('Project Database'!A135="","",N('Project Database'!AO135))</f>
        <v/>
      </c>
      <c r="BW131" s="5">
        <f>IF('Project Database'!A135="","",N('Project Database'!AP135))</f>
        <v/>
      </c>
      <c r="BX131" s="5">
        <f>IF(A131="","",SUM(BJ131:BW131))</f>
        <v/>
      </c>
      <c r="BY131" s="5">
        <f>IF(A131="","",IFERROR(IF(ISNUMBER(U131),U131,VALUE(SUBSTITUTE(SUBSTITUTE(SUBSTITUTE(UPPER(TRIM(U131)),"M",""),",","")," ",""))),0))</f>
        <v/>
      </c>
    </row>
    <row r="132" ht="15" customHeight="1" s="74">
      <c r="A132" s="66">
        <f>'Project Database'!A136</f>
        <v/>
      </c>
      <c r="B132" s="66">
        <f>'Project Database'!B136</f>
        <v/>
      </c>
      <c r="C132" s="66">
        <f>'Project Database'!G136</f>
        <v/>
      </c>
      <c r="D132" s="66">
        <f>'Project Database'!H136</f>
        <v/>
      </c>
      <c r="E132" s="66">
        <f>'Project Database'!I136</f>
        <v/>
      </c>
      <c r="F132" s="66">
        <f>'Project Database'!J136</f>
        <v/>
      </c>
      <c r="G132" s="66">
        <f>'Project Database'!K136</f>
        <v/>
      </c>
      <c r="H132" s="66">
        <f>'Project Database'!L136</f>
        <v/>
      </c>
      <c r="I132" s="66">
        <f>'Project Database'!M136</f>
        <v/>
      </c>
      <c r="J132" s="66">
        <f>'Project Database'!N136</f>
        <v/>
      </c>
      <c r="K132" s="66">
        <f>'Project Database'!O136</f>
        <v/>
      </c>
      <c r="L132" s="66">
        <f>'Project Database'!P136</f>
        <v/>
      </c>
      <c r="M132" s="66">
        <f>'Project Database'!Q136</f>
        <v/>
      </c>
      <c r="N132" s="66">
        <f>'Project Database'!R136</f>
        <v/>
      </c>
      <c r="O132" s="66">
        <f>'Project Database'!S136</f>
        <v/>
      </c>
      <c r="P132" s="66">
        <f>'Project Database'!T136</f>
        <v/>
      </c>
      <c r="Q132" s="66">
        <f>'Project Database'!U136</f>
        <v/>
      </c>
      <c r="R132" s="66">
        <f>'Project Database'!V136</f>
        <v/>
      </c>
      <c r="S132" s="66">
        <f>'Project Database'!W136</f>
        <v/>
      </c>
      <c r="T132" s="66">
        <f>'Project Database'!X136</f>
        <v/>
      </c>
      <c r="U132" s="67">
        <f>'Project Database'!Y136</f>
        <v/>
      </c>
      <c r="V132" s="66">
        <f>IF('Smart Search'!B13=1,IFERROR(1/'Smart Search'!H13,0),0)</f>
        <v/>
      </c>
      <c r="W132" s="66">
        <f>IF('Smart Search'!B13=1,IFERROR(1/'Smart Search'!H13,0),0)</f>
        <v/>
      </c>
      <c r="X132" s="66">
        <f>IF('Smart Search'!C13=1,IFERROR(1/'Smart Search'!H13,0),0)</f>
        <v/>
      </c>
      <c r="Y132" s="66">
        <f>IF('Smart Search'!C13=1,IFERROR(1/'Smart Search'!H13,0),0)</f>
        <v/>
      </c>
      <c r="Z132" s="66">
        <f>IF('Smart Search'!D13=1,IFERROR(1/'Smart Search'!H13,0),0)</f>
        <v/>
      </c>
      <c r="AA132" s="66">
        <f>IF('Smart Search'!D13=1,IFERROR(1/'Smart Search'!H13,0),0)</f>
        <v/>
      </c>
      <c r="AB132" s="66">
        <f>IF('Smart Search'!E13=1,IFERROR(1/'Smart Search'!H13,0),0)</f>
        <v/>
      </c>
      <c r="AC132" s="66">
        <f>IF('Smart Search'!E13=1,IFERROR(1/'Smart Search'!H13,0),0)</f>
        <v/>
      </c>
      <c r="AD132" s="66">
        <f>IF('Smart Search'!F13=1,IFERROR(1/'Smart Search'!H13,0),0)</f>
        <v/>
      </c>
      <c r="AE132" s="66">
        <f>IF('Smart Search'!F13=1,IFERROR(1/'Smart Search'!H13,0),0)</f>
        <v/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66">
        <f>AF132*V132</f>
        <v/>
      </c>
      <c r="AQ132" s="66">
        <f>AG132*W132</f>
        <v/>
      </c>
      <c r="AR132" s="66">
        <f>AH132*X132</f>
        <v/>
      </c>
      <c r="AS132" s="66">
        <f>AI132*Y132</f>
        <v/>
      </c>
      <c r="AT132" s="66">
        <f>AJ132*Z132</f>
        <v/>
      </c>
      <c r="AU132" s="66">
        <f>AK132*AA132</f>
        <v/>
      </c>
      <c r="AV132" s="66">
        <f>AL132*AB132</f>
        <v/>
      </c>
      <c r="AW132" s="66">
        <f>AM132*AC132</f>
        <v/>
      </c>
      <c r="AX132" s="66">
        <f>AN132*AD132</f>
        <v/>
      </c>
      <c r="AY132" s="66">
        <f>AO132*AE132</f>
        <v/>
      </c>
      <c r="AZ132" s="66">
        <f>'Project Database'!Z136</f>
        <v/>
      </c>
      <c r="BA132" s="66">
        <f>IF(OR(A132="",'Smart Search'!H13=0),"",MAX(0,BE132*BF132*MAX(0,1-BG132)))</f>
        <v/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66">
        <f>IF('Smart Search'!G13=1,IFERROR(1/'Smart Search'!H13,0),0)</f>
        <v/>
      </c>
      <c r="BD132" s="66">
        <f>BB132*BC132</f>
        <v/>
      </c>
      <c r="BE132" s="66">
        <f>AP132+AQ132+AR132+AS132+AT132+AU132+AV132+AW132+AX132+AY132+BD132</f>
        <v/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5">
        <f>IF(AND('Project Database'!A136&lt;&gt;"",OR('Smart Search'!$L$5="",'Smart Search'!$L$5="All",TRIM('Project Database'!D136)=TRIM('Smart Search'!$L$5)),OR(TRIM('Smart Search'!$L$6)="",TRIM('Smart Search'!$L$6)="All",ISNUMBER(SEARCH(SUBSTITUTE(SUBSTITUTE(SUBSTITUTE(TRIM('Smart Search'!$L$6),"~","~~"),"*","~*"),"?","~?"),'Project Database'!C136))),OR('Smart Search'!$L$7="",AND('Project Database'!E136&lt;&gt;"",'Project Database'!E136='Smart Search'!$L$7)),OR('Smart Search'!$L$8="",'Smart Search'!$L$8="All",TRIM('Project Database'!F136)=TRIM('Smart Search'!$L$8))),IF(BA132="","",BA132+ROW()*0.0000000001),"")</f>
        <v/>
      </c>
      <c r="BI132" s="5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>
        <f>IF('Project Database'!A136="","",N('Project Database'!AC136))</f>
        <v/>
      </c>
      <c r="BK132" s="5">
        <f>IF('Project Database'!A136="","",N('Project Database'!AD136))</f>
        <v/>
      </c>
      <c r="BL132" s="5">
        <f>IF('Project Database'!A136="","",N('Project Database'!AE136))</f>
        <v/>
      </c>
      <c r="BM132" s="5">
        <f>IF('Project Database'!A136="","",N('Project Database'!AF136))</f>
        <v/>
      </c>
      <c r="BN132" s="5">
        <f>IF('Project Database'!A136="","",N('Project Database'!AG136))</f>
        <v/>
      </c>
      <c r="BO132" s="5">
        <f>IF('Project Database'!A136="","",N('Project Database'!AH136))</f>
        <v/>
      </c>
      <c r="BP132" s="5">
        <f>IF('Project Database'!A136="","",N('Project Database'!AI136))</f>
        <v/>
      </c>
      <c r="BQ132" s="5">
        <f>IF('Project Database'!A136="","",N('Project Database'!AJ136))</f>
        <v/>
      </c>
      <c r="BR132" s="5">
        <f>IF('Project Database'!A136="","",N('Project Database'!AK136))</f>
        <v/>
      </c>
      <c r="BS132" s="5">
        <f>IF('Project Database'!A136="","",N('Project Database'!AL136))</f>
        <v/>
      </c>
      <c r="BT132" s="5">
        <f>IF('Project Database'!A136="","",N('Project Database'!AM136))</f>
        <v/>
      </c>
      <c r="BU132" s="5">
        <f>IF('Project Database'!A136="","",N('Project Database'!AN136))</f>
        <v/>
      </c>
      <c r="BV132" s="5">
        <f>IF('Project Database'!A136="","",N('Project Database'!AO136))</f>
        <v/>
      </c>
      <c r="BW132" s="5">
        <f>IF('Project Database'!A136="","",N('Project Database'!AP136))</f>
        <v/>
      </c>
      <c r="BX132" s="5">
        <f>IF(A132="","",SUM(BJ132:BW132))</f>
        <v/>
      </c>
      <c r="BY132" s="5">
        <f>IF(A132="","",IFERROR(IF(ISNUMBER(U132),U132,VALUE(SUBSTITUTE(SUBSTITUTE(SUBSTITUTE(UPPER(TRIM(U132)),"M",""),",","")," ",""))),0))</f>
        <v/>
      </c>
    </row>
    <row r="133" ht="15" customHeight="1" s="74">
      <c r="A133" s="66">
        <f>'Project Database'!A137</f>
        <v/>
      </c>
      <c r="B133" s="66">
        <f>'Project Database'!B137</f>
        <v/>
      </c>
      <c r="C133" s="66">
        <f>'Project Database'!G137</f>
        <v/>
      </c>
      <c r="D133" s="66">
        <f>'Project Database'!H137</f>
        <v/>
      </c>
      <c r="E133" s="66">
        <f>'Project Database'!I137</f>
        <v/>
      </c>
      <c r="F133" s="66">
        <f>'Project Database'!J137</f>
        <v/>
      </c>
      <c r="G133" s="66">
        <f>'Project Database'!K137</f>
        <v/>
      </c>
      <c r="H133" s="66">
        <f>'Project Database'!L137</f>
        <v/>
      </c>
      <c r="I133" s="66">
        <f>'Project Database'!M137</f>
        <v/>
      </c>
      <c r="J133" s="66">
        <f>'Project Database'!N137</f>
        <v/>
      </c>
      <c r="K133" s="66">
        <f>'Project Database'!O137</f>
        <v/>
      </c>
      <c r="L133" s="66">
        <f>'Project Database'!P137</f>
        <v/>
      </c>
      <c r="M133" s="66">
        <f>'Project Database'!Q137</f>
        <v/>
      </c>
      <c r="N133" s="66">
        <f>'Project Database'!R137</f>
        <v/>
      </c>
      <c r="O133" s="66">
        <f>'Project Database'!S137</f>
        <v/>
      </c>
      <c r="P133" s="66">
        <f>'Project Database'!T137</f>
        <v/>
      </c>
      <c r="Q133" s="66">
        <f>'Project Database'!U137</f>
        <v/>
      </c>
      <c r="R133" s="66">
        <f>'Project Database'!V137</f>
        <v/>
      </c>
      <c r="S133" s="66">
        <f>'Project Database'!W137</f>
        <v/>
      </c>
      <c r="T133" s="66">
        <f>'Project Database'!X137</f>
        <v/>
      </c>
      <c r="U133" s="67">
        <f>'Project Database'!Y137</f>
        <v/>
      </c>
      <c r="V133" s="66">
        <f>IF('Smart Search'!B13=1,IFERROR(1/'Smart Search'!H13,0),0)</f>
        <v/>
      </c>
      <c r="W133" s="66">
        <f>IF('Smart Search'!B13=1,IFERROR(1/'Smart Search'!H13,0),0)</f>
        <v/>
      </c>
      <c r="X133" s="66">
        <f>IF('Smart Search'!C13=1,IFERROR(1/'Smart Search'!H13,0),0)</f>
        <v/>
      </c>
      <c r="Y133" s="66">
        <f>IF('Smart Search'!C13=1,IFERROR(1/'Smart Search'!H13,0),0)</f>
        <v/>
      </c>
      <c r="Z133" s="66">
        <f>IF('Smart Search'!D13=1,IFERROR(1/'Smart Search'!H13,0),0)</f>
        <v/>
      </c>
      <c r="AA133" s="66">
        <f>IF('Smart Search'!D13=1,IFERROR(1/'Smart Search'!H13,0),0)</f>
        <v/>
      </c>
      <c r="AB133" s="66">
        <f>IF('Smart Search'!E13=1,IFERROR(1/'Smart Search'!H13,0),0)</f>
        <v/>
      </c>
      <c r="AC133" s="66">
        <f>IF('Smart Search'!E13=1,IFERROR(1/'Smart Search'!H13,0),0)</f>
        <v/>
      </c>
      <c r="AD133" s="66">
        <f>IF('Smart Search'!F13=1,IFERROR(1/'Smart Search'!H13,0),0)</f>
        <v/>
      </c>
      <c r="AE133" s="66">
        <f>IF('Smart Search'!F13=1,IFERROR(1/'Smart Search'!H13,0),0)</f>
        <v/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66">
        <f>AF133*V133</f>
        <v/>
      </c>
      <c r="AQ133" s="66">
        <f>AG133*W133</f>
        <v/>
      </c>
      <c r="AR133" s="66">
        <f>AH133*X133</f>
        <v/>
      </c>
      <c r="AS133" s="66">
        <f>AI133*Y133</f>
        <v/>
      </c>
      <c r="AT133" s="66">
        <f>AJ133*Z133</f>
        <v/>
      </c>
      <c r="AU133" s="66">
        <f>AK133*AA133</f>
        <v/>
      </c>
      <c r="AV133" s="66">
        <f>AL133*AB133</f>
        <v/>
      </c>
      <c r="AW133" s="66">
        <f>AM133*AC133</f>
        <v/>
      </c>
      <c r="AX133" s="66">
        <f>AN133*AD133</f>
        <v/>
      </c>
      <c r="AY133" s="66">
        <f>AO133*AE133</f>
        <v/>
      </c>
      <c r="AZ133" s="66">
        <f>'Project Database'!Z137</f>
        <v/>
      </c>
      <c r="BA133" s="66">
        <f>IF(OR(A133="",'Smart Search'!H13=0),"",MAX(0,BE133*BF133*MAX(0,1-BG133)))</f>
        <v/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66">
        <f>IF('Smart Search'!G13=1,IFERROR(1/'Smart Search'!H13,0),0)</f>
        <v/>
      </c>
      <c r="BD133" s="66">
        <f>BB133*BC133</f>
        <v/>
      </c>
      <c r="BE133" s="66">
        <f>AP133+AQ133+AR133+AS133+AT133+AU133+AV133+AW133+AX133+AY133+BD133</f>
        <v/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5">
        <f>IF(AND('Project Database'!A137&lt;&gt;"",OR('Smart Search'!$L$5="",'Smart Search'!$L$5="All",TRIM('Project Database'!D137)=TRIM('Smart Search'!$L$5)),OR(TRIM('Smart Search'!$L$6)="",TRIM('Smart Search'!$L$6)="All",ISNUMBER(SEARCH(SUBSTITUTE(SUBSTITUTE(SUBSTITUTE(TRIM('Smart Search'!$L$6),"~","~~"),"*","~*"),"?","~?"),'Project Database'!C137))),OR('Smart Search'!$L$7="",AND('Project Database'!E137&lt;&gt;"",'Project Database'!E137='Smart Search'!$L$7)),OR('Smart Search'!$L$8="",'Smart Search'!$L$8="All",TRIM('Project Database'!F137)=TRIM('Smart Search'!$L$8))),IF(BA133="","",BA133+ROW()*0.0000000001),"")</f>
        <v/>
      </c>
      <c r="BI133" s="5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>
        <f>IF('Project Database'!A137="","",N('Project Database'!AC137))</f>
        <v/>
      </c>
      <c r="BK133" s="5">
        <f>IF('Project Database'!A137="","",N('Project Database'!AD137))</f>
        <v/>
      </c>
      <c r="BL133" s="5">
        <f>IF('Project Database'!A137="","",N('Project Database'!AE137))</f>
        <v/>
      </c>
      <c r="BM133" s="5">
        <f>IF('Project Database'!A137="","",N('Project Database'!AF137))</f>
        <v/>
      </c>
      <c r="BN133" s="5">
        <f>IF('Project Database'!A137="","",N('Project Database'!AG137))</f>
        <v/>
      </c>
      <c r="BO133" s="5">
        <f>IF('Project Database'!A137="","",N('Project Database'!AH137))</f>
        <v/>
      </c>
      <c r="BP133" s="5">
        <f>IF('Project Database'!A137="","",N('Project Database'!AI137))</f>
        <v/>
      </c>
      <c r="BQ133" s="5">
        <f>IF('Project Database'!A137="","",N('Project Database'!AJ137))</f>
        <v/>
      </c>
      <c r="BR133" s="5">
        <f>IF('Project Database'!A137="","",N('Project Database'!AK137))</f>
        <v/>
      </c>
      <c r="BS133" s="5">
        <f>IF('Project Database'!A137="","",N('Project Database'!AL137))</f>
        <v/>
      </c>
      <c r="BT133" s="5">
        <f>IF('Project Database'!A137="","",N('Project Database'!AM137))</f>
        <v/>
      </c>
      <c r="BU133" s="5">
        <f>IF('Project Database'!A137="","",N('Project Database'!AN137))</f>
        <v/>
      </c>
      <c r="BV133" s="5">
        <f>IF('Project Database'!A137="","",N('Project Database'!AO137))</f>
        <v/>
      </c>
      <c r="BW133" s="5">
        <f>IF('Project Database'!A137="","",N('Project Database'!AP137))</f>
        <v/>
      </c>
      <c r="BX133" s="5">
        <f>IF(A133="","",SUM(BJ133:BW133))</f>
        <v/>
      </c>
      <c r="BY133" s="5">
        <f>IF(A133="","",IFERROR(IF(ISNUMBER(U133),U133,VALUE(SUBSTITUTE(SUBSTITUTE(SUBSTITUTE(UPPER(TRIM(U133)),"M",""),",","")," ",""))),0))</f>
        <v/>
      </c>
    </row>
    <row r="134" ht="15" customHeight="1" s="74">
      <c r="A134" s="66">
        <f>'Project Database'!A138</f>
        <v/>
      </c>
      <c r="B134" s="66">
        <f>'Project Database'!B138</f>
        <v/>
      </c>
      <c r="C134" s="66">
        <f>'Project Database'!G138</f>
        <v/>
      </c>
      <c r="D134" s="66">
        <f>'Project Database'!H138</f>
        <v/>
      </c>
      <c r="E134" s="66">
        <f>'Project Database'!I138</f>
        <v/>
      </c>
      <c r="F134" s="66">
        <f>'Project Database'!J138</f>
        <v/>
      </c>
      <c r="G134" s="66">
        <f>'Project Database'!K138</f>
        <v/>
      </c>
      <c r="H134" s="66">
        <f>'Project Database'!L138</f>
        <v/>
      </c>
      <c r="I134" s="66">
        <f>'Project Database'!M138</f>
        <v/>
      </c>
      <c r="J134" s="66">
        <f>'Project Database'!N138</f>
        <v/>
      </c>
      <c r="K134" s="66">
        <f>'Project Database'!O138</f>
        <v/>
      </c>
      <c r="L134" s="66">
        <f>'Project Database'!P138</f>
        <v/>
      </c>
      <c r="M134" s="66">
        <f>'Project Database'!Q138</f>
        <v/>
      </c>
      <c r="N134" s="66">
        <f>'Project Database'!R138</f>
        <v/>
      </c>
      <c r="O134" s="66">
        <f>'Project Database'!S138</f>
        <v/>
      </c>
      <c r="P134" s="66">
        <f>'Project Database'!T138</f>
        <v/>
      </c>
      <c r="Q134" s="66">
        <f>'Project Database'!U138</f>
        <v/>
      </c>
      <c r="R134" s="66">
        <f>'Project Database'!V138</f>
        <v/>
      </c>
      <c r="S134" s="66">
        <f>'Project Database'!W138</f>
        <v/>
      </c>
      <c r="T134" s="66">
        <f>'Project Database'!X138</f>
        <v/>
      </c>
      <c r="U134" s="67">
        <f>'Project Database'!Y138</f>
        <v/>
      </c>
      <c r="V134" s="66">
        <f>IF('Smart Search'!B13=1,IFERROR(1/'Smart Search'!H13,0),0)</f>
        <v/>
      </c>
      <c r="W134" s="66">
        <f>IF('Smart Search'!B13=1,IFERROR(1/'Smart Search'!H13,0),0)</f>
        <v/>
      </c>
      <c r="X134" s="66">
        <f>IF('Smart Search'!C13=1,IFERROR(1/'Smart Search'!H13,0),0)</f>
        <v/>
      </c>
      <c r="Y134" s="66">
        <f>IF('Smart Search'!C13=1,IFERROR(1/'Smart Search'!H13,0),0)</f>
        <v/>
      </c>
      <c r="Z134" s="66">
        <f>IF('Smart Search'!D13=1,IFERROR(1/'Smart Search'!H13,0),0)</f>
        <v/>
      </c>
      <c r="AA134" s="66">
        <f>IF('Smart Search'!D13=1,IFERROR(1/'Smart Search'!H13,0),0)</f>
        <v/>
      </c>
      <c r="AB134" s="66">
        <f>IF('Smart Search'!E13=1,IFERROR(1/'Smart Search'!H13,0),0)</f>
        <v/>
      </c>
      <c r="AC134" s="66">
        <f>IF('Smart Search'!E13=1,IFERROR(1/'Smart Search'!H13,0),0)</f>
        <v/>
      </c>
      <c r="AD134" s="66">
        <f>IF('Smart Search'!F13=1,IFERROR(1/'Smart Search'!H13,0),0)</f>
        <v/>
      </c>
      <c r="AE134" s="66">
        <f>IF('Smart Search'!F13=1,IFERROR(1/'Smart Search'!H13,0),0)</f>
        <v/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66">
        <f>AF134*V134</f>
        <v/>
      </c>
      <c r="AQ134" s="66">
        <f>AG134*W134</f>
        <v/>
      </c>
      <c r="AR134" s="66">
        <f>AH134*X134</f>
        <v/>
      </c>
      <c r="AS134" s="66">
        <f>AI134*Y134</f>
        <v/>
      </c>
      <c r="AT134" s="66">
        <f>AJ134*Z134</f>
        <v/>
      </c>
      <c r="AU134" s="66">
        <f>AK134*AA134</f>
        <v/>
      </c>
      <c r="AV134" s="66">
        <f>AL134*AB134</f>
        <v/>
      </c>
      <c r="AW134" s="66">
        <f>AM134*AC134</f>
        <v/>
      </c>
      <c r="AX134" s="66">
        <f>AN134*AD134</f>
        <v/>
      </c>
      <c r="AY134" s="66">
        <f>AO134*AE134</f>
        <v/>
      </c>
      <c r="AZ134" s="66">
        <f>'Project Database'!Z138</f>
        <v/>
      </c>
      <c r="BA134" s="66">
        <f>IF(OR(A134="",'Smart Search'!H13=0),"",MAX(0,BE134*BF134*MAX(0,1-BG134)))</f>
        <v/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66">
        <f>IF('Smart Search'!G13=1,IFERROR(1/'Smart Search'!H13,0),0)</f>
        <v/>
      </c>
      <c r="BD134" s="66">
        <f>BB134*BC134</f>
        <v/>
      </c>
      <c r="BE134" s="66">
        <f>AP134+AQ134+AR134+AS134+AT134+AU134+AV134+AW134+AX134+AY134+BD134</f>
        <v/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5">
        <f>IF(AND('Project Database'!A138&lt;&gt;"",OR('Smart Search'!$L$5="",'Smart Search'!$L$5="All",TRIM('Project Database'!D138)=TRIM('Smart Search'!$L$5)),OR(TRIM('Smart Search'!$L$6)="",TRIM('Smart Search'!$L$6)="All",ISNUMBER(SEARCH(SUBSTITUTE(SUBSTITUTE(SUBSTITUTE(TRIM('Smart Search'!$L$6),"~","~~"),"*","~*"),"?","~?"),'Project Database'!C138))),OR('Smart Search'!$L$7="",AND('Project Database'!E138&lt;&gt;"",'Project Database'!E138='Smart Search'!$L$7)),OR('Smart Search'!$L$8="",'Smart Search'!$L$8="All",TRIM('Project Database'!F138)=TRIM('Smart Search'!$L$8))),IF(BA134="","",BA134+ROW()*0.0000000001),"")</f>
        <v/>
      </c>
      <c r="BI134" s="5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>
        <f>IF('Project Database'!A138="","",N('Project Database'!AC138))</f>
        <v/>
      </c>
      <c r="BK134" s="5">
        <f>IF('Project Database'!A138="","",N('Project Database'!AD138))</f>
        <v/>
      </c>
      <c r="BL134" s="5">
        <f>IF('Project Database'!A138="","",N('Project Database'!AE138))</f>
        <v/>
      </c>
      <c r="BM134" s="5">
        <f>IF('Project Database'!A138="","",N('Project Database'!AF138))</f>
        <v/>
      </c>
      <c r="BN134" s="5">
        <f>IF('Project Database'!A138="","",N('Project Database'!AG138))</f>
        <v/>
      </c>
      <c r="BO134" s="5">
        <f>IF('Project Database'!A138="","",N('Project Database'!AH138))</f>
        <v/>
      </c>
      <c r="BP134" s="5">
        <f>IF('Project Database'!A138="","",N('Project Database'!AI138))</f>
        <v/>
      </c>
      <c r="BQ134" s="5">
        <f>IF('Project Database'!A138="","",N('Project Database'!AJ138))</f>
        <v/>
      </c>
      <c r="BR134" s="5">
        <f>IF('Project Database'!A138="","",N('Project Database'!AK138))</f>
        <v/>
      </c>
      <c r="BS134" s="5">
        <f>IF('Project Database'!A138="","",N('Project Database'!AL138))</f>
        <v/>
      </c>
      <c r="BT134" s="5">
        <f>IF('Project Database'!A138="","",N('Project Database'!AM138))</f>
        <v/>
      </c>
      <c r="BU134" s="5">
        <f>IF('Project Database'!A138="","",N('Project Database'!AN138))</f>
        <v/>
      </c>
      <c r="BV134" s="5">
        <f>IF('Project Database'!A138="","",N('Project Database'!AO138))</f>
        <v/>
      </c>
      <c r="BW134" s="5">
        <f>IF('Project Database'!A138="","",N('Project Database'!AP138))</f>
        <v/>
      </c>
      <c r="BX134" s="5">
        <f>IF(A134="","",SUM(BJ134:BW134))</f>
        <v/>
      </c>
      <c r="BY134" s="5">
        <f>IF(A134="","",IFERROR(IF(ISNUMBER(U134),U134,VALUE(SUBSTITUTE(SUBSTITUTE(SUBSTITUTE(UPPER(TRIM(U134)),"M",""),",","")," ",""))),0))</f>
        <v/>
      </c>
    </row>
    <row r="135" ht="15" customHeight="1" s="74">
      <c r="A135" s="66">
        <f>'Project Database'!A139</f>
        <v/>
      </c>
      <c r="B135" s="66">
        <f>'Project Database'!B139</f>
        <v/>
      </c>
      <c r="C135" s="66">
        <f>'Project Database'!G139</f>
        <v/>
      </c>
      <c r="D135" s="66">
        <f>'Project Database'!H139</f>
        <v/>
      </c>
      <c r="E135" s="66">
        <f>'Project Database'!I139</f>
        <v/>
      </c>
      <c r="F135" s="66">
        <f>'Project Database'!J139</f>
        <v/>
      </c>
      <c r="G135" s="66">
        <f>'Project Database'!K139</f>
        <v/>
      </c>
      <c r="H135" s="66">
        <f>'Project Database'!L139</f>
        <v/>
      </c>
      <c r="I135" s="66">
        <f>'Project Database'!M139</f>
        <v/>
      </c>
      <c r="J135" s="66">
        <f>'Project Database'!N139</f>
        <v/>
      </c>
      <c r="K135" s="66">
        <f>'Project Database'!O139</f>
        <v/>
      </c>
      <c r="L135" s="66">
        <f>'Project Database'!P139</f>
        <v/>
      </c>
      <c r="M135" s="66">
        <f>'Project Database'!Q139</f>
        <v/>
      </c>
      <c r="N135" s="66">
        <f>'Project Database'!R139</f>
        <v/>
      </c>
      <c r="O135" s="66">
        <f>'Project Database'!S139</f>
        <v/>
      </c>
      <c r="P135" s="66">
        <f>'Project Database'!T139</f>
        <v/>
      </c>
      <c r="Q135" s="66">
        <f>'Project Database'!U139</f>
        <v/>
      </c>
      <c r="R135" s="66">
        <f>'Project Database'!V139</f>
        <v/>
      </c>
      <c r="S135" s="66">
        <f>'Project Database'!W139</f>
        <v/>
      </c>
      <c r="T135" s="66">
        <f>'Project Database'!X139</f>
        <v/>
      </c>
      <c r="U135" s="67">
        <f>'Project Database'!Y139</f>
        <v/>
      </c>
      <c r="V135" s="66">
        <f>IF('Smart Search'!B13=1,IFERROR(1/'Smart Search'!H13,0),0)</f>
        <v/>
      </c>
      <c r="W135" s="66">
        <f>IF('Smart Search'!B13=1,IFERROR(1/'Smart Search'!H13,0),0)</f>
        <v/>
      </c>
      <c r="X135" s="66">
        <f>IF('Smart Search'!C13=1,IFERROR(1/'Smart Search'!H13,0),0)</f>
        <v/>
      </c>
      <c r="Y135" s="66">
        <f>IF('Smart Search'!C13=1,IFERROR(1/'Smart Search'!H13,0),0)</f>
        <v/>
      </c>
      <c r="Z135" s="66">
        <f>IF('Smart Search'!D13=1,IFERROR(1/'Smart Search'!H13,0),0)</f>
        <v/>
      </c>
      <c r="AA135" s="66">
        <f>IF('Smart Search'!D13=1,IFERROR(1/'Smart Search'!H13,0),0)</f>
        <v/>
      </c>
      <c r="AB135" s="66">
        <f>IF('Smart Search'!E13=1,IFERROR(1/'Smart Search'!H13,0),0)</f>
        <v/>
      </c>
      <c r="AC135" s="66">
        <f>IF('Smart Search'!E13=1,IFERROR(1/'Smart Search'!H13,0),0)</f>
        <v/>
      </c>
      <c r="AD135" s="66">
        <f>IF('Smart Search'!F13=1,IFERROR(1/'Smart Search'!H13,0),0)</f>
        <v/>
      </c>
      <c r="AE135" s="66">
        <f>IF('Smart Search'!F13=1,IFERROR(1/'Smart Search'!H13,0),0)</f>
        <v/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66">
        <f>AF135*V135</f>
        <v/>
      </c>
      <c r="AQ135" s="66">
        <f>AG135*W135</f>
        <v/>
      </c>
      <c r="AR135" s="66">
        <f>AH135*X135</f>
        <v/>
      </c>
      <c r="AS135" s="66">
        <f>AI135*Y135</f>
        <v/>
      </c>
      <c r="AT135" s="66">
        <f>AJ135*Z135</f>
        <v/>
      </c>
      <c r="AU135" s="66">
        <f>AK135*AA135</f>
        <v/>
      </c>
      <c r="AV135" s="66">
        <f>AL135*AB135</f>
        <v/>
      </c>
      <c r="AW135" s="66">
        <f>AM135*AC135</f>
        <v/>
      </c>
      <c r="AX135" s="66">
        <f>AN135*AD135</f>
        <v/>
      </c>
      <c r="AY135" s="66">
        <f>AO135*AE135</f>
        <v/>
      </c>
      <c r="AZ135" s="66">
        <f>'Project Database'!Z139</f>
        <v/>
      </c>
      <c r="BA135" s="66">
        <f>IF(OR(A135="",'Smart Search'!H13=0),"",MAX(0,BE135*BF135*MAX(0,1-BG135)))</f>
        <v/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66">
        <f>IF('Smart Search'!G13=1,IFERROR(1/'Smart Search'!H13,0),0)</f>
        <v/>
      </c>
      <c r="BD135" s="66">
        <f>BB135*BC135</f>
        <v/>
      </c>
      <c r="BE135" s="66">
        <f>AP135+AQ135+AR135+AS135+AT135+AU135+AV135+AW135+AX135+AY135+BD135</f>
        <v/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5">
        <f>IF(AND('Project Database'!A139&lt;&gt;"",OR('Smart Search'!$L$5="",'Smart Search'!$L$5="All",TRIM('Project Database'!D139)=TRIM('Smart Search'!$L$5)),OR(TRIM('Smart Search'!$L$6)="",TRIM('Smart Search'!$L$6)="All",ISNUMBER(SEARCH(SUBSTITUTE(SUBSTITUTE(SUBSTITUTE(TRIM('Smart Search'!$L$6),"~","~~"),"*","~*"),"?","~?"),'Project Database'!C139))),OR('Smart Search'!$L$7="",AND('Project Database'!E139&lt;&gt;"",'Project Database'!E139='Smart Search'!$L$7)),OR('Smart Search'!$L$8="",'Smart Search'!$L$8="All",TRIM('Project Database'!F139)=TRIM('Smart Search'!$L$8))),IF(BA135="","",BA135+ROW()*0.0000000001),"")</f>
        <v/>
      </c>
      <c r="BI135" s="5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>
        <f>IF('Project Database'!A139="","",N('Project Database'!AC139))</f>
        <v/>
      </c>
      <c r="BK135" s="5">
        <f>IF('Project Database'!A139="","",N('Project Database'!AD139))</f>
        <v/>
      </c>
      <c r="BL135" s="5">
        <f>IF('Project Database'!A139="","",N('Project Database'!AE139))</f>
        <v/>
      </c>
      <c r="BM135" s="5">
        <f>IF('Project Database'!A139="","",N('Project Database'!AF139))</f>
        <v/>
      </c>
      <c r="BN135" s="5">
        <f>IF('Project Database'!A139="","",N('Project Database'!AG139))</f>
        <v/>
      </c>
      <c r="BO135" s="5">
        <f>IF('Project Database'!A139="","",N('Project Database'!AH139))</f>
        <v/>
      </c>
      <c r="BP135" s="5">
        <f>IF('Project Database'!A139="","",N('Project Database'!AI139))</f>
        <v/>
      </c>
      <c r="BQ135" s="5">
        <f>IF('Project Database'!A139="","",N('Project Database'!AJ139))</f>
        <v/>
      </c>
      <c r="BR135" s="5">
        <f>IF('Project Database'!A139="","",N('Project Database'!AK139))</f>
        <v/>
      </c>
      <c r="BS135" s="5">
        <f>IF('Project Database'!A139="","",N('Project Database'!AL139))</f>
        <v/>
      </c>
      <c r="BT135" s="5">
        <f>IF('Project Database'!A139="","",N('Project Database'!AM139))</f>
        <v/>
      </c>
      <c r="BU135" s="5">
        <f>IF('Project Database'!A139="","",N('Project Database'!AN139))</f>
        <v/>
      </c>
      <c r="BV135" s="5">
        <f>IF('Project Database'!A139="","",N('Project Database'!AO139))</f>
        <v/>
      </c>
      <c r="BW135" s="5">
        <f>IF('Project Database'!A139="","",N('Project Database'!AP139))</f>
        <v/>
      </c>
      <c r="BX135" s="5">
        <f>IF(A135="","",SUM(BJ135:BW135))</f>
        <v/>
      </c>
      <c r="BY135" s="5">
        <f>IF(A135="","",IFERROR(IF(ISNUMBER(U135),U135,VALUE(SUBSTITUTE(SUBSTITUTE(SUBSTITUTE(UPPER(TRIM(U135)),"M",""),",","")," ",""))),0))</f>
        <v/>
      </c>
    </row>
    <row r="136" ht="15" customHeight="1" s="74">
      <c r="A136" s="66">
        <f>'Project Database'!A140</f>
        <v/>
      </c>
      <c r="B136" s="66">
        <f>'Project Database'!B140</f>
        <v/>
      </c>
      <c r="C136" s="66">
        <f>'Project Database'!G140</f>
        <v/>
      </c>
      <c r="D136" s="66">
        <f>'Project Database'!H140</f>
        <v/>
      </c>
      <c r="E136" s="66">
        <f>'Project Database'!I140</f>
        <v/>
      </c>
      <c r="F136" s="66">
        <f>'Project Database'!J140</f>
        <v/>
      </c>
      <c r="G136" s="66">
        <f>'Project Database'!K140</f>
        <v/>
      </c>
      <c r="H136" s="66">
        <f>'Project Database'!L140</f>
        <v/>
      </c>
      <c r="I136" s="66">
        <f>'Project Database'!M140</f>
        <v/>
      </c>
      <c r="J136" s="66">
        <f>'Project Database'!N140</f>
        <v/>
      </c>
      <c r="K136" s="66">
        <f>'Project Database'!O140</f>
        <v/>
      </c>
      <c r="L136" s="66">
        <f>'Project Database'!P140</f>
        <v/>
      </c>
      <c r="M136" s="66">
        <f>'Project Database'!Q140</f>
        <v/>
      </c>
      <c r="N136" s="66">
        <f>'Project Database'!R140</f>
        <v/>
      </c>
      <c r="O136" s="66">
        <f>'Project Database'!S140</f>
        <v/>
      </c>
      <c r="P136" s="66">
        <f>'Project Database'!T140</f>
        <v/>
      </c>
      <c r="Q136" s="66">
        <f>'Project Database'!U140</f>
        <v/>
      </c>
      <c r="R136" s="66">
        <f>'Project Database'!V140</f>
        <v/>
      </c>
      <c r="S136" s="66">
        <f>'Project Database'!W140</f>
        <v/>
      </c>
      <c r="T136" s="66">
        <f>'Project Database'!X140</f>
        <v/>
      </c>
      <c r="U136" s="67">
        <f>'Project Database'!Y140</f>
        <v/>
      </c>
      <c r="V136" s="66">
        <f>IF('Smart Search'!B13=1,IFERROR(1/'Smart Search'!H13,0),0)</f>
        <v/>
      </c>
      <c r="W136" s="66">
        <f>IF('Smart Search'!B13=1,IFERROR(1/'Smart Search'!H13,0),0)</f>
        <v/>
      </c>
      <c r="X136" s="66">
        <f>IF('Smart Search'!C13=1,IFERROR(1/'Smart Search'!H13,0),0)</f>
        <v/>
      </c>
      <c r="Y136" s="66">
        <f>IF('Smart Search'!C13=1,IFERROR(1/'Smart Search'!H13,0),0)</f>
        <v/>
      </c>
      <c r="Z136" s="66">
        <f>IF('Smart Search'!D13=1,IFERROR(1/'Smart Search'!H13,0),0)</f>
        <v/>
      </c>
      <c r="AA136" s="66">
        <f>IF('Smart Search'!D13=1,IFERROR(1/'Smart Search'!H13,0),0)</f>
        <v/>
      </c>
      <c r="AB136" s="66">
        <f>IF('Smart Search'!E13=1,IFERROR(1/'Smart Search'!H13,0),0)</f>
        <v/>
      </c>
      <c r="AC136" s="66">
        <f>IF('Smart Search'!E13=1,IFERROR(1/'Smart Search'!H13,0),0)</f>
        <v/>
      </c>
      <c r="AD136" s="66">
        <f>IF('Smart Search'!F13=1,IFERROR(1/'Smart Search'!H13,0),0)</f>
        <v/>
      </c>
      <c r="AE136" s="66">
        <f>IF('Smart Search'!F13=1,IFERROR(1/'Smart Search'!H13,0),0)</f>
        <v/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66">
        <f>AF136*V136</f>
        <v/>
      </c>
      <c r="AQ136" s="66">
        <f>AG136*W136</f>
        <v/>
      </c>
      <c r="AR136" s="66">
        <f>AH136*X136</f>
        <v/>
      </c>
      <c r="AS136" s="66">
        <f>AI136*Y136</f>
        <v/>
      </c>
      <c r="AT136" s="66">
        <f>AJ136*Z136</f>
        <v/>
      </c>
      <c r="AU136" s="66">
        <f>AK136*AA136</f>
        <v/>
      </c>
      <c r="AV136" s="66">
        <f>AL136*AB136</f>
        <v/>
      </c>
      <c r="AW136" s="66">
        <f>AM136*AC136</f>
        <v/>
      </c>
      <c r="AX136" s="66">
        <f>AN136*AD136</f>
        <v/>
      </c>
      <c r="AY136" s="66">
        <f>AO136*AE136</f>
        <v/>
      </c>
      <c r="AZ136" s="66">
        <f>'Project Database'!Z140</f>
        <v/>
      </c>
      <c r="BA136" s="66">
        <f>IF(OR(A136="",'Smart Search'!H13=0),"",MAX(0,BE136*BF136*MAX(0,1-BG136)))</f>
        <v/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66">
        <f>IF('Smart Search'!G13=1,IFERROR(1/'Smart Search'!H13,0),0)</f>
        <v/>
      </c>
      <c r="BD136" s="66">
        <f>BB136*BC136</f>
        <v/>
      </c>
      <c r="BE136" s="66">
        <f>AP136+AQ136+AR136+AS136+AT136+AU136+AV136+AW136+AX136+AY136+BD136</f>
        <v/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5">
        <f>IF(AND('Project Database'!A140&lt;&gt;"",OR('Smart Search'!$L$5="",'Smart Search'!$L$5="All",TRIM('Project Database'!D140)=TRIM('Smart Search'!$L$5)),OR(TRIM('Smart Search'!$L$6)="",TRIM('Smart Search'!$L$6)="All",ISNUMBER(SEARCH(SUBSTITUTE(SUBSTITUTE(SUBSTITUTE(TRIM('Smart Search'!$L$6),"~","~~"),"*","~*"),"?","~?"),'Project Database'!C140))),OR('Smart Search'!$L$7="",AND('Project Database'!E140&lt;&gt;"",'Project Database'!E140='Smart Search'!$L$7)),OR('Smart Search'!$L$8="",'Smart Search'!$L$8="All",TRIM('Project Database'!F140)=TRIM('Smart Search'!$L$8))),IF(BA136="","",BA136+ROW()*0.0000000001),"")</f>
        <v/>
      </c>
      <c r="BI136" s="5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>
        <f>IF('Project Database'!A140="","",N('Project Database'!AC140))</f>
        <v/>
      </c>
      <c r="BK136" s="5">
        <f>IF('Project Database'!A140="","",N('Project Database'!AD140))</f>
        <v/>
      </c>
      <c r="BL136" s="5">
        <f>IF('Project Database'!A140="","",N('Project Database'!AE140))</f>
        <v/>
      </c>
      <c r="BM136" s="5">
        <f>IF('Project Database'!A140="","",N('Project Database'!AF140))</f>
        <v/>
      </c>
      <c r="BN136" s="5">
        <f>IF('Project Database'!A140="","",N('Project Database'!AG140))</f>
        <v/>
      </c>
      <c r="BO136" s="5">
        <f>IF('Project Database'!A140="","",N('Project Database'!AH140))</f>
        <v/>
      </c>
      <c r="BP136" s="5">
        <f>IF('Project Database'!A140="","",N('Project Database'!AI140))</f>
        <v/>
      </c>
      <c r="BQ136" s="5">
        <f>IF('Project Database'!A140="","",N('Project Database'!AJ140))</f>
        <v/>
      </c>
      <c r="BR136" s="5">
        <f>IF('Project Database'!A140="","",N('Project Database'!AK140))</f>
        <v/>
      </c>
      <c r="BS136" s="5">
        <f>IF('Project Database'!A140="","",N('Project Database'!AL140))</f>
        <v/>
      </c>
      <c r="BT136" s="5">
        <f>IF('Project Database'!A140="","",N('Project Database'!AM140))</f>
        <v/>
      </c>
      <c r="BU136" s="5">
        <f>IF('Project Database'!A140="","",N('Project Database'!AN140))</f>
        <v/>
      </c>
      <c r="BV136" s="5">
        <f>IF('Project Database'!A140="","",N('Project Database'!AO140))</f>
        <v/>
      </c>
      <c r="BW136" s="5">
        <f>IF('Project Database'!A140="","",N('Project Database'!AP140))</f>
        <v/>
      </c>
      <c r="BX136" s="5">
        <f>IF(A136="","",SUM(BJ136:BW136))</f>
        <v/>
      </c>
      <c r="BY136" s="5">
        <f>IF(A136="","",IFERROR(IF(ISNUMBER(U136),U136,VALUE(SUBSTITUTE(SUBSTITUTE(SUBSTITUTE(UPPER(TRIM(U136)),"M",""),",","")," ",""))),0))</f>
        <v/>
      </c>
    </row>
    <row r="137" ht="15" customHeight="1" s="74">
      <c r="A137" s="66">
        <f>'Project Database'!A141</f>
        <v/>
      </c>
      <c r="B137" s="66">
        <f>'Project Database'!B141</f>
        <v/>
      </c>
      <c r="C137" s="66">
        <f>'Project Database'!G141</f>
        <v/>
      </c>
      <c r="D137" s="66">
        <f>'Project Database'!H141</f>
        <v/>
      </c>
      <c r="E137" s="66">
        <f>'Project Database'!I141</f>
        <v/>
      </c>
      <c r="F137" s="66">
        <f>'Project Database'!J141</f>
        <v/>
      </c>
      <c r="G137" s="66">
        <f>'Project Database'!K141</f>
        <v/>
      </c>
      <c r="H137" s="66">
        <f>'Project Database'!L141</f>
        <v/>
      </c>
      <c r="I137" s="66">
        <f>'Project Database'!M141</f>
        <v/>
      </c>
      <c r="J137" s="66">
        <f>'Project Database'!N141</f>
        <v/>
      </c>
      <c r="K137" s="66">
        <f>'Project Database'!O141</f>
        <v/>
      </c>
      <c r="L137" s="66">
        <f>'Project Database'!P141</f>
        <v/>
      </c>
      <c r="M137" s="66">
        <f>'Project Database'!Q141</f>
        <v/>
      </c>
      <c r="N137" s="66">
        <f>'Project Database'!R141</f>
        <v/>
      </c>
      <c r="O137" s="66">
        <f>'Project Database'!S141</f>
        <v/>
      </c>
      <c r="P137" s="66">
        <f>'Project Database'!T141</f>
        <v/>
      </c>
      <c r="Q137" s="66">
        <f>'Project Database'!U141</f>
        <v/>
      </c>
      <c r="R137" s="66">
        <f>'Project Database'!V141</f>
        <v/>
      </c>
      <c r="S137" s="66">
        <f>'Project Database'!W141</f>
        <v/>
      </c>
      <c r="T137" s="66">
        <f>'Project Database'!X141</f>
        <v/>
      </c>
      <c r="U137" s="67">
        <f>'Project Database'!Y141</f>
        <v/>
      </c>
      <c r="V137" s="66">
        <f>IF('Smart Search'!B13=1,IFERROR(1/'Smart Search'!H13,0),0)</f>
        <v/>
      </c>
      <c r="W137" s="66">
        <f>IF('Smart Search'!B13=1,IFERROR(1/'Smart Search'!H13,0),0)</f>
        <v/>
      </c>
      <c r="X137" s="66">
        <f>IF('Smart Search'!C13=1,IFERROR(1/'Smart Search'!H13,0),0)</f>
        <v/>
      </c>
      <c r="Y137" s="66">
        <f>IF('Smart Search'!C13=1,IFERROR(1/'Smart Search'!H13,0),0)</f>
        <v/>
      </c>
      <c r="Z137" s="66">
        <f>IF('Smart Search'!D13=1,IFERROR(1/'Smart Search'!H13,0),0)</f>
        <v/>
      </c>
      <c r="AA137" s="66">
        <f>IF('Smart Search'!D13=1,IFERROR(1/'Smart Search'!H13,0),0)</f>
        <v/>
      </c>
      <c r="AB137" s="66">
        <f>IF('Smart Search'!E13=1,IFERROR(1/'Smart Search'!H13,0),0)</f>
        <v/>
      </c>
      <c r="AC137" s="66">
        <f>IF('Smart Search'!E13=1,IFERROR(1/'Smart Search'!H13,0),0)</f>
        <v/>
      </c>
      <c r="AD137" s="66">
        <f>IF('Smart Search'!F13=1,IFERROR(1/'Smart Search'!H13,0),0)</f>
        <v/>
      </c>
      <c r="AE137" s="66">
        <f>IF('Smart Search'!F13=1,IFERROR(1/'Smart Search'!H13,0),0)</f>
        <v/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66">
        <f>AF137*V137</f>
        <v/>
      </c>
      <c r="AQ137" s="66">
        <f>AG137*W137</f>
        <v/>
      </c>
      <c r="AR137" s="66">
        <f>AH137*X137</f>
        <v/>
      </c>
      <c r="AS137" s="66">
        <f>AI137*Y137</f>
        <v/>
      </c>
      <c r="AT137" s="66">
        <f>AJ137*Z137</f>
        <v/>
      </c>
      <c r="AU137" s="66">
        <f>AK137*AA137</f>
        <v/>
      </c>
      <c r="AV137" s="66">
        <f>AL137*AB137</f>
        <v/>
      </c>
      <c r="AW137" s="66">
        <f>AM137*AC137</f>
        <v/>
      </c>
      <c r="AX137" s="66">
        <f>AN137*AD137</f>
        <v/>
      </c>
      <c r="AY137" s="66">
        <f>AO137*AE137</f>
        <v/>
      </c>
      <c r="AZ137" s="66">
        <f>'Project Database'!Z141</f>
        <v/>
      </c>
      <c r="BA137" s="66">
        <f>IF(OR(A137="",'Smart Search'!H13=0),"",MAX(0,BE137*BF137*MAX(0,1-BG137)))</f>
        <v/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66">
        <f>IF('Smart Search'!G13=1,IFERROR(1/'Smart Search'!H13,0),0)</f>
        <v/>
      </c>
      <c r="BD137" s="66">
        <f>BB137*BC137</f>
        <v/>
      </c>
      <c r="BE137" s="66">
        <f>AP137+AQ137+AR137+AS137+AT137+AU137+AV137+AW137+AX137+AY137+BD137</f>
        <v/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5">
        <f>IF(AND('Project Database'!A141&lt;&gt;"",OR('Smart Search'!$L$5="",'Smart Search'!$L$5="All",TRIM('Project Database'!D141)=TRIM('Smart Search'!$L$5)),OR(TRIM('Smart Search'!$L$6)="",TRIM('Smart Search'!$L$6)="All",ISNUMBER(SEARCH(SUBSTITUTE(SUBSTITUTE(SUBSTITUTE(TRIM('Smart Search'!$L$6),"~","~~"),"*","~*"),"?","~?"),'Project Database'!C141))),OR('Smart Search'!$L$7="",AND('Project Database'!E141&lt;&gt;"",'Project Database'!E141='Smart Search'!$L$7)),OR('Smart Search'!$L$8="",'Smart Search'!$L$8="All",TRIM('Project Database'!F141)=TRIM('Smart Search'!$L$8))),IF(BA137="","",BA137+ROW()*0.0000000001),"")</f>
        <v/>
      </c>
      <c r="BI137" s="5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>
        <f>IF('Project Database'!A141="","",N('Project Database'!AC141))</f>
        <v/>
      </c>
      <c r="BK137" s="5">
        <f>IF('Project Database'!A141="","",N('Project Database'!AD141))</f>
        <v/>
      </c>
      <c r="BL137" s="5">
        <f>IF('Project Database'!A141="","",N('Project Database'!AE141))</f>
        <v/>
      </c>
      <c r="BM137" s="5">
        <f>IF('Project Database'!A141="","",N('Project Database'!AF141))</f>
        <v/>
      </c>
      <c r="BN137" s="5">
        <f>IF('Project Database'!A141="","",N('Project Database'!AG141))</f>
        <v/>
      </c>
      <c r="BO137" s="5">
        <f>IF('Project Database'!A141="","",N('Project Database'!AH141))</f>
        <v/>
      </c>
      <c r="BP137" s="5">
        <f>IF('Project Database'!A141="","",N('Project Database'!AI141))</f>
        <v/>
      </c>
      <c r="BQ137" s="5">
        <f>IF('Project Database'!A141="","",N('Project Database'!AJ141))</f>
        <v/>
      </c>
      <c r="BR137" s="5">
        <f>IF('Project Database'!A141="","",N('Project Database'!AK141))</f>
        <v/>
      </c>
      <c r="BS137" s="5">
        <f>IF('Project Database'!A141="","",N('Project Database'!AL141))</f>
        <v/>
      </c>
      <c r="BT137" s="5">
        <f>IF('Project Database'!A141="","",N('Project Database'!AM141))</f>
        <v/>
      </c>
      <c r="BU137" s="5">
        <f>IF('Project Database'!A141="","",N('Project Database'!AN141))</f>
        <v/>
      </c>
      <c r="BV137" s="5">
        <f>IF('Project Database'!A141="","",N('Project Database'!AO141))</f>
        <v/>
      </c>
      <c r="BW137" s="5">
        <f>IF('Project Database'!A141="","",N('Project Database'!AP141))</f>
        <v/>
      </c>
      <c r="BX137" s="5">
        <f>IF(A137="","",SUM(BJ137:BW137))</f>
        <v/>
      </c>
      <c r="BY137" s="5">
        <f>IF(A137="","",IFERROR(IF(ISNUMBER(U137),U137,VALUE(SUBSTITUTE(SUBSTITUTE(SUBSTITUTE(UPPER(TRIM(U137)),"M",""),",","")," ",""))),0))</f>
        <v/>
      </c>
    </row>
    <row r="138" ht="15" customHeight="1" s="74">
      <c r="A138" s="66">
        <f>'Project Database'!A142</f>
        <v/>
      </c>
      <c r="B138" s="66">
        <f>'Project Database'!B142</f>
        <v/>
      </c>
      <c r="C138" s="66">
        <f>'Project Database'!G142</f>
        <v/>
      </c>
      <c r="D138" s="66">
        <f>'Project Database'!H142</f>
        <v/>
      </c>
      <c r="E138" s="66">
        <f>'Project Database'!I142</f>
        <v/>
      </c>
      <c r="F138" s="66">
        <f>'Project Database'!J142</f>
        <v/>
      </c>
      <c r="G138" s="66">
        <f>'Project Database'!K142</f>
        <v/>
      </c>
      <c r="H138" s="66">
        <f>'Project Database'!L142</f>
        <v/>
      </c>
      <c r="I138" s="66">
        <f>'Project Database'!M142</f>
        <v/>
      </c>
      <c r="J138" s="66">
        <f>'Project Database'!N142</f>
        <v/>
      </c>
      <c r="K138" s="66">
        <f>'Project Database'!O142</f>
        <v/>
      </c>
      <c r="L138" s="66">
        <f>'Project Database'!P142</f>
        <v/>
      </c>
      <c r="M138" s="66">
        <f>'Project Database'!Q142</f>
        <v/>
      </c>
      <c r="N138" s="66">
        <f>'Project Database'!R142</f>
        <v/>
      </c>
      <c r="O138" s="66">
        <f>'Project Database'!S142</f>
        <v/>
      </c>
      <c r="P138" s="66">
        <f>'Project Database'!T142</f>
        <v/>
      </c>
      <c r="Q138" s="66">
        <f>'Project Database'!U142</f>
        <v/>
      </c>
      <c r="R138" s="66">
        <f>'Project Database'!V142</f>
        <v/>
      </c>
      <c r="S138" s="66">
        <f>'Project Database'!W142</f>
        <v/>
      </c>
      <c r="T138" s="66">
        <f>'Project Database'!X142</f>
        <v/>
      </c>
      <c r="U138" s="67">
        <f>'Project Database'!Y142</f>
        <v/>
      </c>
      <c r="V138" s="66">
        <f>IF('Smart Search'!B13=1,IFERROR(1/'Smart Search'!H13,0),0)</f>
        <v/>
      </c>
      <c r="W138" s="66">
        <f>IF('Smart Search'!B13=1,IFERROR(1/'Smart Search'!H13,0),0)</f>
        <v/>
      </c>
      <c r="X138" s="66">
        <f>IF('Smart Search'!C13=1,IFERROR(1/'Smart Search'!H13,0),0)</f>
        <v/>
      </c>
      <c r="Y138" s="66">
        <f>IF('Smart Search'!C13=1,IFERROR(1/'Smart Search'!H13,0),0)</f>
        <v/>
      </c>
      <c r="Z138" s="66">
        <f>IF('Smart Search'!D13=1,IFERROR(1/'Smart Search'!H13,0),0)</f>
        <v/>
      </c>
      <c r="AA138" s="66">
        <f>IF('Smart Search'!D13=1,IFERROR(1/'Smart Search'!H13,0),0)</f>
        <v/>
      </c>
      <c r="AB138" s="66">
        <f>IF('Smart Search'!E13=1,IFERROR(1/'Smart Search'!H13,0),0)</f>
        <v/>
      </c>
      <c r="AC138" s="66">
        <f>IF('Smart Search'!E13=1,IFERROR(1/'Smart Search'!H13,0),0)</f>
        <v/>
      </c>
      <c r="AD138" s="66">
        <f>IF('Smart Search'!F13=1,IFERROR(1/'Smart Search'!H13,0),0)</f>
        <v/>
      </c>
      <c r="AE138" s="66">
        <f>IF('Smart Search'!F13=1,IFERROR(1/'Smart Search'!H13,0),0)</f>
        <v/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66">
        <f>AF138*V138</f>
        <v/>
      </c>
      <c r="AQ138" s="66">
        <f>AG138*W138</f>
        <v/>
      </c>
      <c r="AR138" s="66">
        <f>AH138*X138</f>
        <v/>
      </c>
      <c r="AS138" s="66">
        <f>AI138*Y138</f>
        <v/>
      </c>
      <c r="AT138" s="66">
        <f>AJ138*Z138</f>
        <v/>
      </c>
      <c r="AU138" s="66">
        <f>AK138*AA138</f>
        <v/>
      </c>
      <c r="AV138" s="66">
        <f>AL138*AB138</f>
        <v/>
      </c>
      <c r="AW138" s="66">
        <f>AM138*AC138</f>
        <v/>
      </c>
      <c r="AX138" s="66">
        <f>AN138*AD138</f>
        <v/>
      </c>
      <c r="AY138" s="66">
        <f>AO138*AE138</f>
        <v/>
      </c>
      <c r="AZ138" s="66">
        <f>'Project Database'!Z142</f>
        <v/>
      </c>
      <c r="BA138" s="66">
        <f>IF(OR(A138="",'Smart Search'!H13=0),"",MAX(0,BE138*BF138*MAX(0,1-BG138)))</f>
        <v/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66">
        <f>IF('Smart Search'!G13=1,IFERROR(1/'Smart Search'!H13,0),0)</f>
        <v/>
      </c>
      <c r="BD138" s="66">
        <f>BB138*BC138</f>
        <v/>
      </c>
      <c r="BE138" s="66">
        <f>AP138+AQ138+AR138+AS138+AT138+AU138+AV138+AW138+AX138+AY138+BD138</f>
        <v/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5">
        <f>IF(AND('Project Database'!A142&lt;&gt;"",OR('Smart Search'!$L$5="",'Smart Search'!$L$5="All",TRIM('Project Database'!D142)=TRIM('Smart Search'!$L$5)),OR(TRIM('Smart Search'!$L$6)="",TRIM('Smart Search'!$L$6)="All",ISNUMBER(SEARCH(SUBSTITUTE(SUBSTITUTE(SUBSTITUTE(TRIM('Smart Search'!$L$6),"~","~~"),"*","~*"),"?","~?"),'Project Database'!C142))),OR('Smart Search'!$L$7="",AND('Project Database'!E142&lt;&gt;"",'Project Database'!E142='Smart Search'!$L$7)),OR('Smart Search'!$L$8="",'Smart Search'!$L$8="All",TRIM('Project Database'!F142)=TRIM('Smart Search'!$L$8))),IF(BA138="","",BA138+ROW()*0.0000000001),"")</f>
        <v/>
      </c>
      <c r="BI138" s="5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>
        <f>IF('Project Database'!A142="","",N('Project Database'!AC142))</f>
        <v/>
      </c>
      <c r="BK138" s="5">
        <f>IF('Project Database'!A142="","",N('Project Database'!AD142))</f>
        <v/>
      </c>
      <c r="BL138" s="5">
        <f>IF('Project Database'!A142="","",N('Project Database'!AE142))</f>
        <v/>
      </c>
      <c r="BM138" s="5">
        <f>IF('Project Database'!A142="","",N('Project Database'!AF142))</f>
        <v/>
      </c>
      <c r="BN138" s="5">
        <f>IF('Project Database'!A142="","",N('Project Database'!AG142))</f>
        <v/>
      </c>
      <c r="BO138" s="5">
        <f>IF('Project Database'!A142="","",N('Project Database'!AH142))</f>
        <v/>
      </c>
      <c r="BP138" s="5">
        <f>IF('Project Database'!A142="","",N('Project Database'!AI142))</f>
        <v/>
      </c>
      <c r="BQ138" s="5">
        <f>IF('Project Database'!A142="","",N('Project Database'!AJ142))</f>
        <v/>
      </c>
      <c r="BR138" s="5">
        <f>IF('Project Database'!A142="","",N('Project Database'!AK142))</f>
        <v/>
      </c>
      <c r="BS138" s="5">
        <f>IF('Project Database'!A142="","",N('Project Database'!AL142))</f>
        <v/>
      </c>
      <c r="BT138" s="5">
        <f>IF('Project Database'!A142="","",N('Project Database'!AM142))</f>
        <v/>
      </c>
      <c r="BU138" s="5">
        <f>IF('Project Database'!A142="","",N('Project Database'!AN142))</f>
        <v/>
      </c>
      <c r="BV138" s="5">
        <f>IF('Project Database'!A142="","",N('Project Database'!AO142))</f>
        <v/>
      </c>
      <c r="BW138" s="5">
        <f>IF('Project Database'!A142="","",N('Project Database'!AP142))</f>
        <v/>
      </c>
      <c r="BX138" s="5">
        <f>IF(A138="","",SUM(BJ138:BW138))</f>
        <v/>
      </c>
      <c r="BY138" s="5">
        <f>IF(A138="","",IFERROR(IF(ISNUMBER(U138),U138,VALUE(SUBSTITUTE(SUBSTITUTE(SUBSTITUTE(UPPER(TRIM(U138)),"M",""),",","")," ",""))),0))</f>
        <v/>
      </c>
    </row>
    <row r="139" ht="15" customHeight="1" s="74">
      <c r="A139" s="66">
        <f>'Project Database'!A143</f>
        <v/>
      </c>
      <c r="B139" s="66">
        <f>'Project Database'!B143</f>
        <v/>
      </c>
      <c r="C139" s="66">
        <f>'Project Database'!G143</f>
        <v/>
      </c>
      <c r="D139" s="66">
        <f>'Project Database'!H143</f>
        <v/>
      </c>
      <c r="E139" s="66">
        <f>'Project Database'!I143</f>
        <v/>
      </c>
      <c r="F139" s="66">
        <f>'Project Database'!J143</f>
        <v/>
      </c>
      <c r="G139" s="66">
        <f>'Project Database'!K143</f>
        <v/>
      </c>
      <c r="H139" s="66">
        <f>'Project Database'!L143</f>
        <v/>
      </c>
      <c r="I139" s="66">
        <f>'Project Database'!M143</f>
        <v/>
      </c>
      <c r="J139" s="66">
        <f>'Project Database'!N143</f>
        <v/>
      </c>
      <c r="K139" s="66">
        <f>'Project Database'!O143</f>
        <v/>
      </c>
      <c r="L139" s="66">
        <f>'Project Database'!P143</f>
        <v/>
      </c>
      <c r="M139" s="66">
        <f>'Project Database'!Q143</f>
        <v/>
      </c>
      <c r="N139" s="66">
        <f>'Project Database'!R143</f>
        <v/>
      </c>
      <c r="O139" s="66">
        <f>'Project Database'!S143</f>
        <v/>
      </c>
      <c r="P139" s="66">
        <f>'Project Database'!T143</f>
        <v/>
      </c>
      <c r="Q139" s="66">
        <f>'Project Database'!U143</f>
        <v/>
      </c>
      <c r="R139" s="66">
        <f>'Project Database'!V143</f>
        <v/>
      </c>
      <c r="S139" s="66">
        <f>'Project Database'!W143</f>
        <v/>
      </c>
      <c r="T139" s="66">
        <f>'Project Database'!X143</f>
        <v/>
      </c>
      <c r="U139" s="67">
        <f>'Project Database'!Y143</f>
        <v/>
      </c>
      <c r="V139" s="66">
        <f>IF('Smart Search'!B13=1,IFERROR(1/'Smart Search'!H13,0),0)</f>
        <v/>
      </c>
      <c r="W139" s="66">
        <f>IF('Smart Search'!B13=1,IFERROR(1/'Smart Search'!H13,0),0)</f>
        <v/>
      </c>
      <c r="X139" s="66">
        <f>IF('Smart Search'!C13=1,IFERROR(1/'Smart Search'!H13,0),0)</f>
        <v/>
      </c>
      <c r="Y139" s="66">
        <f>IF('Smart Search'!C13=1,IFERROR(1/'Smart Search'!H13,0),0)</f>
        <v/>
      </c>
      <c r="Z139" s="66">
        <f>IF('Smart Search'!D13=1,IFERROR(1/'Smart Search'!H13,0),0)</f>
        <v/>
      </c>
      <c r="AA139" s="66">
        <f>IF('Smart Search'!D13=1,IFERROR(1/'Smart Search'!H13,0),0)</f>
        <v/>
      </c>
      <c r="AB139" s="66">
        <f>IF('Smart Search'!E13=1,IFERROR(1/'Smart Search'!H13,0),0)</f>
        <v/>
      </c>
      <c r="AC139" s="66">
        <f>IF('Smart Search'!E13=1,IFERROR(1/'Smart Search'!H13,0),0)</f>
        <v/>
      </c>
      <c r="AD139" s="66">
        <f>IF('Smart Search'!F13=1,IFERROR(1/'Smart Search'!H13,0),0)</f>
        <v/>
      </c>
      <c r="AE139" s="66">
        <f>IF('Smart Search'!F13=1,IFERROR(1/'Smart Search'!H13,0),0)</f>
        <v/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66">
        <f>AF139*V139</f>
        <v/>
      </c>
      <c r="AQ139" s="66">
        <f>AG139*W139</f>
        <v/>
      </c>
      <c r="AR139" s="66">
        <f>AH139*X139</f>
        <v/>
      </c>
      <c r="AS139" s="66">
        <f>AI139*Y139</f>
        <v/>
      </c>
      <c r="AT139" s="66">
        <f>AJ139*Z139</f>
        <v/>
      </c>
      <c r="AU139" s="66">
        <f>AK139*AA139</f>
        <v/>
      </c>
      <c r="AV139" s="66">
        <f>AL139*AB139</f>
        <v/>
      </c>
      <c r="AW139" s="66">
        <f>AM139*AC139</f>
        <v/>
      </c>
      <c r="AX139" s="66">
        <f>AN139*AD139</f>
        <v/>
      </c>
      <c r="AY139" s="66">
        <f>AO139*AE139</f>
        <v/>
      </c>
      <c r="AZ139" s="66">
        <f>'Project Database'!Z143</f>
        <v/>
      </c>
      <c r="BA139" s="66">
        <f>IF(OR(A139="",'Smart Search'!H13=0),"",MAX(0,BE139*BF139*MAX(0,1-BG139)))</f>
        <v/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66">
        <f>IF('Smart Search'!G13=1,IFERROR(1/'Smart Search'!H13,0),0)</f>
        <v/>
      </c>
      <c r="BD139" s="66">
        <f>BB139*BC139</f>
        <v/>
      </c>
      <c r="BE139" s="66">
        <f>AP139+AQ139+AR139+AS139+AT139+AU139+AV139+AW139+AX139+AY139+BD139</f>
        <v/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5">
        <f>IF(AND('Project Database'!A143&lt;&gt;"",OR('Smart Search'!$L$5="",'Smart Search'!$L$5="All",TRIM('Project Database'!D143)=TRIM('Smart Search'!$L$5)),OR(TRIM('Smart Search'!$L$6)="",TRIM('Smart Search'!$L$6)="All",ISNUMBER(SEARCH(SUBSTITUTE(SUBSTITUTE(SUBSTITUTE(TRIM('Smart Search'!$L$6),"~","~~"),"*","~*"),"?","~?"),'Project Database'!C143))),OR('Smart Search'!$L$7="",AND('Project Database'!E143&lt;&gt;"",'Project Database'!E143='Smart Search'!$L$7)),OR('Smart Search'!$L$8="",'Smart Search'!$L$8="All",TRIM('Project Database'!F143)=TRIM('Smart Search'!$L$8))),IF(BA139="","",BA139+ROW()*0.0000000001),"")</f>
        <v/>
      </c>
      <c r="BI139" s="5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>
        <f>IF('Project Database'!A143="","",N('Project Database'!AC143))</f>
        <v/>
      </c>
      <c r="BK139" s="5">
        <f>IF('Project Database'!A143="","",N('Project Database'!AD143))</f>
        <v/>
      </c>
      <c r="BL139" s="5">
        <f>IF('Project Database'!A143="","",N('Project Database'!AE143))</f>
        <v/>
      </c>
      <c r="BM139" s="5">
        <f>IF('Project Database'!A143="","",N('Project Database'!AF143))</f>
        <v/>
      </c>
      <c r="BN139" s="5">
        <f>IF('Project Database'!A143="","",N('Project Database'!AG143))</f>
        <v/>
      </c>
      <c r="BO139" s="5">
        <f>IF('Project Database'!A143="","",N('Project Database'!AH143))</f>
        <v/>
      </c>
      <c r="BP139" s="5">
        <f>IF('Project Database'!A143="","",N('Project Database'!AI143))</f>
        <v/>
      </c>
      <c r="BQ139" s="5">
        <f>IF('Project Database'!A143="","",N('Project Database'!AJ143))</f>
        <v/>
      </c>
      <c r="BR139" s="5">
        <f>IF('Project Database'!A143="","",N('Project Database'!AK143))</f>
        <v/>
      </c>
      <c r="BS139" s="5">
        <f>IF('Project Database'!A143="","",N('Project Database'!AL143))</f>
        <v/>
      </c>
      <c r="BT139" s="5">
        <f>IF('Project Database'!A143="","",N('Project Database'!AM143))</f>
        <v/>
      </c>
      <c r="BU139" s="5">
        <f>IF('Project Database'!A143="","",N('Project Database'!AN143))</f>
        <v/>
      </c>
      <c r="BV139" s="5">
        <f>IF('Project Database'!A143="","",N('Project Database'!AO143))</f>
        <v/>
      </c>
      <c r="BW139" s="5">
        <f>IF('Project Database'!A143="","",N('Project Database'!AP143))</f>
        <v/>
      </c>
      <c r="BX139" s="5">
        <f>IF(A139="","",SUM(BJ139:BW139))</f>
        <v/>
      </c>
      <c r="BY139" s="5">
        <f>IF(A139="","",IFERROR(IF(ISNUMBER(U139),U139,VALUE(SUBSTITUTE(SUBSTITUTE(SUBSTITUTE(UPPER(TRIM(U139)),"M",""),",","")," ",""))),0))</f>
        <v/>
      </c>
    </row>
    <row r="140" ht="15" customHeight="1" s="74">
      <c r="A140" s="66">
        <f>'Project Database'!A144</f>
        <v/>
      </c>
      <c r="B140" s="66">
        <f>'Project Database'!B144</f>
        <v/>
      </c>
      <c r="C140" s="66">
        <f>'Project Database'!G144</f>
        <v/>
      </c>
      <c r="D140" s="66">
        <f>'Project Database'!H144</f>
        <v/>
      </c>
      <c r="E140" s="66">
        <f>'Project Database'!I144</f>
        <v/>
      </c>
      <c r="F140" s="66">
        <f>'Project Database'!J144</f>
        <v/>
      </c>
      <c r="G140" s="66">
        <f>'Project Database'!K144</f>
        <v/>
      </c>
      <c r="H140" s="66">
        <f>'Project Database'!L144</f>
        <v/>
      </c>
      <c r="I140" s="66">
        <f>'Project Database'!M144</f>
        <v/>
      </c>
      <c r="J140" s="66">
        <f>'Project Database'!N144</f>
        <v/>
      </c>
      <c r="K140" s="66">
        <f>'Project Database'!O144</f>
        <v/>
      </c>
      <c r="L140" s="66">
        <f>'Project Database'!P144</f>
        <v/>
      </c>
      <c r="M140" s="66">
        <f>'Project Database'!Q144</f>
        <v/>
      </c>
      <c r="N140" s="66">
        <f>'Project Database'!R144</f>
        <v/>
      </c>
      <c r="O140" s="66">
        <f>'Project Database'!S144</f>
        <v/>
      </c>
      <c r="P140" s="66">
        <f>'Project Database'!T144</f>
        <v/>
      </c>
      <c r="Q140" s="66">
        <f>'Project Database'!U144</f>
        <v/>
      </c>
      <c r="R140" s="66">
        <f>'Project Database'!V144</f>
        <v/>
      </c>
      <c r="S140" s="66">
        <f>'Project Database'!W144</f>
        <v/>
      </c>
      <c r="T140" s="66">
        <f>'Project Database'!X144</f>
        <v/>
      </c>
      <c r="U140" s="67">
        <f>'Project Database'!Y144</f>
        <v/>
      </c>
      <c r="V140" s="66">
        <f>IF('Smart Search'!B13=1,IFERROR(1/'Smart Search'!H13,0),0)</f>
        <v/>
      </c>
      <c r="W140" s="66">
        <f>IF('Smart Search'!B13=1,IFERROR(1/'Smart Search'!H13,0),0)</f>
        <v/>
      </c>
      <c r="X140" s="66">
        <f>IF('Smart Search'!C13=1,IFERROR(1/'Smart Search'!H13,0),0)</f>
        <v/>
      </c>
      <c r="Y140" s="66">
        <f>IF('Smart Search'!C13=1,IFERROR(1/'Smart Search'!H13,0),0)</f>
        <v/>
      </c>
      <c r="Z140" s="66">
        <f>IF('Smart Search'!D13=1,IFERROR(1/'Smart Search'!H13,0),0)</f>
        <v/>
      </c>
      <c r="AA140" s="66">
        <f>IF('Smart Search'!D13=1,IFERROR(1/'Smart Search'!H13,0),0)</f>
        <v/>
      </c>
      <c r="AB140" s="66">
        <f>IF('Smart Search'!E13=1,IFERROR(1/'Smart Search'!H13,0),0)</f>
        <v/>
      </c>
      <c r="AC140" s="66">
        <f>IF('Smart Search'!E13=1,IFERROR(1/'Smart Search'!H13,0),0)</f>
        <v/>
      </c>
      <c r="AD140" s="66">
        <f>IF('Smart Search'!F13=1,IFERROR(1/'Smart Search'!H13,0),0)</f>
        <v/>
      </c>
      <c r="AE140" s="66">
        <f>IF('Smart Search'!F13=1,IFERROR(1/'Smart Search'!H13,0),0)</f>
        <v/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66">
        <f>AF140*V140</f>
        <v/>
      </c>
      <c r="AQ140" s="66">
        <f>AG140*W140</f>
        <v/>
      </c>
      <c r="AR140" s="66">
        <f>AH140*X140</f>
        <v/>
      </c>
      <c r="AS140" s="66">
        <f>AI140*Y140</f>
        <v/>
      </c>
      <c r="AT140" s="66">
        <f>AJ140*Z140</f>
        <v/>
      </c>
      <c r="AU140" s="66">
        <f>AK140*AA140</f>
        <v/>
      </c>
      <c r="AV140" s="66">
        <f>AL140*AB140</f>
        <v/>
      </c>
      <c r="AW140" s="66">
        <f>AM140*AC140</f>
        <v/>
      </c>
      <c r="AX140" s="66">
        <f>AN140*AD140</f>
        <v/>
      </c>
      <c r="AY140" s="66">
        <f>AO140*AE140</f>
        <v/>
      </c>
      <c r="AZ140" s="66">
        <f>'Project Database'!Z144</f>
        <v/>
      </c>
      <c r="BA140" s="66">
        <f>IF(OR(A140="",'Smart Search'!H13=0),"",MAX(0,BE140*BF140*MAX(0,1-BG140)))</f>
        <v/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66">
        <f>IF('Smart Search'!G13=1,IFERROR(1/'Smart Search'!H13,0),0)</f>
        <v/>
      </c>
      <c r="BD140" s="66">
        <f>BB140*BC140</f>
        <v/>
      </c>
      <c r="BE140" s="66">
        <f>AP140+AQ140+AR140+AS140+AT140+AU140+AV140+AW140+AX140+AY140+BD140</f>
        <v/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5">
        <f>IF(AND('Project Database'!A144&lt;&gt;"",OR('Smart Search'!$L$5="",'Smart Search'!$L$5="All",TRIM('Project Database'!D144)=TRIM('Smart Search'!$L$5)),OR(TRIM('Smart Search'!$L$6)="",TRIM('Smart Search'!$L$6)="All",ISNUMBER(SEARCH(SUBSTITUTE(SUBSTITUTE(SUBSTITUTE(TRIM('Smart Search'!$L$6),"~","~~"),"*","~*"),"?","~?"),'Project Database'!C144))),OR('Smart Search'!$L$7="",AND('Project Database'!E144&lt;&gt;"",'Project Database'!E144='Smart Search'!$L$7)),OR('Smart Search'!$L$8="",'Smart Search'!$L$8="All",TRIM('Project Database'!F144)=TRIM('Smart Search'!$L$8))),IF(BA140="","",BA140+ROW()*0.0000000001),"")</f>
        <v/>
      </c>
      <c r="BI140" s="5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>
        <f>IF('Project Database'!A144="","",N('Project Database'!AC144))</f>
        <v/>
      </c>
      <c r="BK140" s="5">
        <f>IF('Project Database'!A144="","",N('Project Database'!AD144))</f>
        <v/>
      </c>
      <c r="BL140" s="5">
        <f>IF('Project Database'!A144="","",N('Project Database'!AE144))</f>
        <v/>
      </c>
      <c r="BM140" s="5">
        <f>IF('Project Database'!A144="","",N('Project Database'!AF144))</f>
        <v/>
      </c>
      <c r="BN140" s="5">
        <f>IF('Project Database'!A144="","",N('Project Database'!AG144))</f>
        <v/>
      </c>
      <c r="BO140" s="5">
        <f>IF('Project Database'!A144="","",N('Project Database'!AH144))</f>
        <v/>
      </c>
      <c r="BP140" s="5">
        <f>IF('Project Database'!A144="","",N('Project Database'!AI144))</f>
        <v/>
      </c>
      <c r="BQ140" s="5">
        <f>IF('Project Database'!A144="","",N('Project Database'!AJ144))</f>
        <v/>
      </c>
      <c r="BR140" s="5">
        <f>IF('Project Database'!A144="","",N('Project Database'!AK144))</f>
        <v/>
      </c>
      <c r="BS140" s="5">
        <f>IF('Project Database'!A144="","",N('Project Database'!AL144))</f>
        <v/>
      </c>
      <c r="BT140" s="5">
        <f>IF('Project Database'!A144="","",N('Project Database'!AM144))</f>
        <v/>
      </c>
      <c r="BU140" s="5">
        <f>IF('Project Database'!A144="","",N('Project Database'!AN144))</f>
        <v/>
      </c>
      <c r="BV140" s="5">
        <f>IF('Project Database'!A144="","",N('Project Database'!AO144))</f>
        <v/>
      </c>
      <c r="BW140" s="5">
        <f>IF('Project Database'!A144="","",N('Project Database'!AP144))</f>
        <v/>
      </c>
      <c r="BX140" s="5">
        <f>IF(A140="","",SUM(BJ140:BW140))</f>
        <v/>
      </c>
      <c r="BY140" s="5">
        <f>IF(A140="","",IFERROR(IF(ISNUMBER(U140),U140,VALUE(SUBSTITUTE(SUBSTITUTE(SUBSTITUTE(UPPER(TRIM(U140)),"M",""),",","")," ",""))),0))</f>
        <v/>
      </c>
    </row>
    <row r="141" ht="15" customHeight="1" s="74">
      <c r="A141" s="66">
        <f>'Project Database'!A145</f>
        <v/>
      </c>
      <c r="B141" s="66">
        <f>'Project Database'!B145</f>
        <v/>
      </c>
      <c r="C141" s="66">
        <f>'Project Database'!G145</f>
        <v/>
      </c>
      <c r="D141" s="66">
        <f>'Project Database'!H145</f>
        <v/>
      </c>
      <c r="E141" s="66">
        <f>'Project Database'!I145</f>
        <v/>
      </c>
      <c r="F141" s="66">
        <f>'Project Database'!J145</f>
        <v/>
      </c>
      <c r="G141" s="66">
        <f>'Project Database'!K145</f>
        <v/>
      </c>
      <c r="H141" s="66">
        <f>'Project Database'!L145</f>
        <v/>
      </c>
      <c r="I141" s="66">
        <f>'Project Database'!M145</f>
        <v/>
      </c>
      <c r="J141" s="66">
        <f>'Project Database'!N145</f>
        <v/>
      </c>
      <c r="K141" s="66">
        <f>'Project Database'!O145</f>
        <v/>
      </c>
      <c r="L141" s="66">
        <f>'Project Database'!P145</f>
        <v/>
      </c>
      <c r="M141" s="66">
        <f>'Project Database'!Q145</f>
        <v/>
      </c>
      <c r="N141" s="66">
        <f>'Project Database'!R145</f>
        <v/>
      </c>
      <c r="O141" s="66">
        <f>'Project Database'!S145</f>
        <v/>
      </c>
      <c r="P141" s="66">
        <f>'Project Database'!T145</f>
        <v/>
      </c>
      <c r="Q141" s="66">
        <f>'Project Database'!U145</f>
        <v/>
      </c>
      <c r="R141" s="66">
        <f>'Project Database'!V145</f>
        <v/>
      </c>
      <c r="S141" s="66">
        <f>'Project Database'!W145</f>
        <v/>
      </c>
      <c r="T141" s="66">
        <f>'Project Database'!X145</f>
        <v/>
      </c>
      <c r="U141" s="67">
        <f>'Project Database'!Y145</f>
        <v/>
      </c>
      <c r="V141" s="66">
        <f>IF('Smart Search'!B13=1,IFERROR(1/'Smart Search'!H13,0),0)</f>
        <v/>
      </c>
      <c r="W141" s="66">
        <f>IF('Smart Search'!B13=1,IFERROR(1/'Smart Search'!H13,0),0)</f>
        <v/>
      </c>
      <c r="X141" s="66">
        <f>IF('Smart Search'!C13=1,IFERROR(1/'Smart Search'!H13,0),0)</f>
        <v/>
      </c>
      <c r="Y141" s="66">
        <f>IF('Smart Search'!C13=1,IFERROR(1/'Smart Search'!H13,0),0)</f>
        <v/>
      </c>
      <c r="Z141" s="66">
        <f>IF('Smart Search'!D13=1,IFERROR(1/'Smart Search'!H13,0),0)</f>
        <v/>
      </c>
      <c r="AA141" s="66">
        <f>IF('Smart Search'!D13=1,IFERROR(1/'Smart Search'!H13,0),0)</f>
        <v/>
      </c>
      <c r="AB141" s="66">
        <f>IF('Smart Search'!E13=1,IFERROR(1/'Smart Search'!H13,0),0)</f>
        <v/>
      </c>
      <c r="AC141" s="66">
        <f>IF('Smart Search'!E13=1,IFERROR(1/'Smart Search'!H13,0),0)</f>
        <v/>
      </c>
      <c r="AD141" s="66">
        <f>IF('Smart Search'!F13=1,IFERROR(1/'Smart Search'!H13,0),0)</f>
        <v/>
      </c>
      <c r="AE141" s="66">
        <f>IF('Smart Search'!F13=1,IFERROR(1/'Smart Search'!H13,0),0)</f>
        <v/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66">
        <f>AF141*V141</f>
        <v/>
      </c>
      <c r="AQ141" s="66">
        <f>AG141*W141</f>
        <v/>
      </c>
      <c r="AR141" s="66">
        <f>AH141*X141</f>
        <v/>
      </c>
      <c r="AS141" s="66">
        <f>AI141*Y141</f>
        <v/>
      </c>
      <c r="AT141" s="66">
        <f>AJ141*Z141</f>
        <v/>
      </c>
      <c r="AU141" s="66">
        <f>AK141*AA141</f>
        <v/>
      </c>
      <c r="AV141" s="66">
        <f>AL141*AB141</f>
        <v/>
      </c>
      <c r="AW141" s="66">
        <f>AM141*AC141</f>
        <v/>
      </c>
      <c r="AX141" s="66">
        <f>AN141*AD141</f>
        <v/>
      </c>
      <c r="AY141" s="66">
        <f>AO141*AE141</f>
        <v/>
      </c>
      <c r="AZ141" s="66">
        <f>'Project Database'!Z145</f>
        <v/>
      </c>
      <c r="BA141" s="66">
        <f>IF(OR(A141="",'Smart Search'!H13=0),"",MAX(0,BE141*BF141*MAX(0,1-BG141)))</f>
        <v/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66">
        <f>IF('Smart Search'!G13=1,IFERROR(1/'Smart Search'!H13,0),0)</f>
        <v/>
      </c>
      <c r="BD141" s="66">
        <f>BB141*BC141</f>
        <v/>
      </c>
      <c r="BE141" s="66">
        <f>AP141+AQ141+AR141+AS141+AT141+AU141+AV141+AW141+AX141+AY141+BD141</f>
        <v/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5">
        <f>IF(AND('Project Database'!A145&lt;&gt;"",OR('Smart Search'!$L$5="",'Smart Search'!$L$5="All",TRIM('Project Database'!D145)=TRIM('Smart Search'!$L$5)),OR(TRIM('Smart Search'!$L$6)="",TRIM('Smart Search'!$L$6)="All",ISNUMBER(SEARCH(SUBSTITUTE(SUBSTITUTE(SUBSTITUTE(TRIM('Smart Search'!$L$6),"~","~~"),"*","~*"),"?","~?"),'Project Database'!C145))),OR('Smart Search'!$L$7="",AND('Project Database'!E145&lt;&gt;"",'Project Database'!E145='Smart Search'!$L$7)),OR('Smart Search'!$L$8="",'Smart Search'!$L$8="All",TRIM('Project Database'!F145)=TRIM('Smart Search'!$L$8))),IF(BA141="","",BA141+ROW()*0.0000000001),"")</f>
        <v/>
      </c>
      <c r="BI141" s="5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>
        <f>IF('Project Database'!A145="","",N('Project Database'!AC145))</f>
        <v/>
      </c>
      <c r="BK141" s="5">
        <f>IF('Project Database'!A145="","",N('Project Database'!AD145))</f>
        <v/>
      </c>
      <c r="BL141" s="5">
        <f>IF('Project Database'!A145="","",N('Project Database'!AE145))</f>
        <v/>
      </c>
      <c r="BM141" s="5">
        <f>IF('Project Database'!A145="","",N('Project Database'!AF145))</f>
        <v/>
      </c>
      <c r="BN141" s="5">
        <f>IF('Project Database'!A145="","",N('Project Database'!AG145))</f>
        <v/>
      </c>
      <c r="BO141" s="5">
        <f>IF('Project Database'!A145="","",N('Project Database'!AH145))</f>
        <v/>
      </c>
      <c r="BP141" s="5">
        <f>IF('Project Database'!A145="","",N('Project Database'!AI145))</f>
        <v/>
      </c>
      <c r="BQ141" s="5">
        <f>IF('Project Database'!A145="","",N('Project Database'!AJ145))</f>
        <v/>
      </c>
      <c r="BR141" s="5">
        <f>IF('Project Database'!A145="","",N('Project Database'!AK145))</f>
        <v/>
      </c>
      <c r="BS141" s="5">
        <f>IF('Project Database'!A145="","",N('Project Database'!AL145))</f>
        <v/>
      </c>
      <c r="BT141" s="5">
        <f>IF('Project Database'!A145="","",N('Project Database'!AM145))</f>
        <v/>
      </c>
      <c r="BU141" s="5">
        <f>IF('Project Database'!A145="","",N('Project Database'!AN145))</f>
        <v/>
      </c>
      <c r="BV141" s="5">
        <f>IF('Project Database'!A145="","",N('Project Database'!AO145))</f>
        <v/>
      </c>
      <c r="BW141" s="5">
        <f>IF('Project Database'!A145="","",N('Project Database'!AP145))</f>
        <v/>
      </c>
      <c r="BX141" s="5">
        <f>IF(A141="","",SUM(BJ141:BW141))</f>
        <v/>
      </c>
      <c r="BY141" s="5">
        <f>IF(A141="","",IFERROR(IF(ISNUMBER(U141),U141,VALUE(SUBSTITUTE(SUBSTITUTE(SUBSTITUTE(UPPER(TRIM(U141)),"M",""),",","")," ",""))),0))</f>
        <v/>
      </c>
    </row>
    <row r="142" ht="15" customHeight="1" s="74">
      <c r="A142" s="66">
        <f>'Project Database'!A146</f>
        <v/>
      </c>
      <c r="B142" s="66">
        <f>'Project Database'!B146</f>
        <v/>
      </c>
      <c r="C142" s="66">
        <f>'Project Database'!G146</f>
        <v/>
      </c>
      <c r="D142" s="66">
        <f>'Project Database'!H146</f>
        <v/>
      </c>
      <c r="E142" s="66">
        <f>'Project Database'!I146</f>
        <v/>
      </c>
      <c r="F142" s="66">
        <f>'Project Database'!J146</f>
        <v/>
      </c>
      <c r="G142" s="66">
        <f>'Project Database'!K146</f>
        <v/>
      </c>
      <c r="H142" s="66">
        <f>'Project Database'!L146</f>
        <v/>
      </c>
      <c r="I142" s="66">
        <f>'Project Database'!M146</f>
        <v/>
      </c>
      <c r="J142" s="66">
        <f>'Project Database'!N146</f>
        <v/>
      </c>
      <c r="K142" s="66">
        <f>'Project Database'!O146</f>
        <v/>
      </c>
      <c r="L142" s="66">
        <f>'Project Database'!P146</f>
        <v/>
      </c>
      <c r="M142" s="66">
        <f>'Project Database'!Q146</f>
        <v/>
      </c>
      <c r="N142" s="66">
        <f>'Project Database'!R146</f>
        <v/>
      </c>
      <c r="O142" s="66">
        <f>'Project Database'!S146</f>
        <v/>
      </c>
      <c r="P142" s="66">
        <f>'Project Database'!T146</f>
        <v/>
      </c>
      <c r="Q142" s="66">
        <f>'Project Database'!U146</f>
        <v/>
      </c>
      <c r="R142" s="66">
        <f>'Project Database'!V146</f>
        <v/>
      </c>
      <c r="S142" s="66">
        <f>'Project Database'!W146</f>
        <v/>
      </c>
      <c r="T142" s="66">
        <f>'Project Database'!X146</f>
        <v/>
      </c>
      <c r="U142" s="67">
        <f>'Project Database'!Y146</f>
        <v/>
      </c>
      <c r="V142" s="66">
        <f>IF('Smart Search'!B13=1,IFERROR(1/'Smart Search'!H13,0),0)</f>
        <v/>
      </c>
      <c r="W142" s="66">
        <f>IF('Smart Search'!B13=1,IFERROR(1/'Smart Search'!H13,0),0)</f>
        <v/>
      </c>
      <c r="X142" s="66">
        <f>IF('Smart Search'!C13=1,IFERROR(1/'Smart Search'!H13,0),0)</f>
        <v/>
      </c>
      <c r="Y142" s="66">
        <f>IF('Smart Search'!C13=1,IFERROR(1/'Smart Search'!H13,0),0)</f>
        <v/>
      </c>
      <c r="Z142" s="66">
        <f>IF('Smart Search'!D13=1,IFERROR(1/'Smart Search'!H13,0),0)</f>
        <v/>
      </c>
      <c r="AA142" s="66">
        <f>IF('Smart Search'!D13=1,IFERROR(1/'Smart Search'!H13,0),0)</f>
        <v/>
      </c>
      <c r="AB142" s="66">
        <f>IF('Smart Search'!E13=1,IFERROR(1/'Smart Search'!H13,0),0)</f>
        <v/>
      </c>
      <c r="AC142" s="66">
        <f>IF('Smart Search'!E13=1,IFERROR(1/'Smart Search'!H13,0),0)</f>
        <v/>
      </c>
      <c r="AD142" s="66">
        <f>IF('Smart Search'!F13=1,IFERROR(1/'Smart Search'!H13,0),0)</f>
        <v/>
      </c>
      <c r="AE142" s="66">
        <f>IF('Smart Search'!F13=1,IFERROR(1/'Smart Search'!H13,0),0)</f>
        <v/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66">
        <f>AF142*V142</f>
        <v/>
      </c>
      <c r="AQ142" s="66">
        <f>AG142*W142</f>
        <v/>
      </c>
      <c r="AR142" s="66">
        <f>AH142*X142</f>
        <v/>
      </c>
      <c r="AS142" s="66">
        <f>AI142*Y142</f>
        <v/>
      </c>
      <c r="AT142" s="66">
        <f>AJ142*Z142</f>
        <v/>
      </c>
      <c r="AU142" s="66">
        <f>AK142*AA142</f>
        <v/>
      </c>
      <c r="AV142" s="66">
        <f>AL142*AB142</f>
        <v/>
      </c>
      <c r="AW142" s="66">
        <f>AM142*AC142</f>
        <v/>
      </c>
      <c r="AX142" s="66">
        <f>AN142*AD142</f>
        <v/>
      </c>
      <c r="AY142" s="66">
        <f>AO142*AE142</f>
        <v/>
      </c>
      <c r="AZ142" s="66">
        <f>'Project Database'!Z146</f>
        <v/>
      </c>
      <c r="BA142" s="66">
        <f>IF(OR(A142="",'Smart Search'!H13=0),"",MAX(0,BE142*BF142*MAX(0,1-BG142)))</f>
        <v/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66">
        <f>IF('Smart Search'!G13=1,IFERROR(1/'Smart Search'!H13,0),0)</f>
        <v/>
      </c>
      <c r="BD142" s="66">
        <f>BB142*BC142</f>
        <v/>
      </c>
      <c r="BE142" s="66">
        <f>AP142+AQ142+AR142+AS142+AT142+AU142+AV142+AW142+AX142+AY142+BD142</f>
        <v/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5">
        <f>IF(AND('Project Database'!A146&lt;&gt;"",OR('Smart Search'!$L$5="",'Smart Search'!$L$5="All",TRIM('Project Database'!D146)=TRIM('Smart Search'!$L$5)),OR(TRIM('Smart Search'!$L$6)="",TRIM('Smart Search'!$L$6)="All",ISNUMBER(SEARCH(SUBSTITUTE(SUBSTITUTE(SUBSTITUTE(TRIM('Smart Search'!$L$6),"~","~~"),"*","~*"),"?","~?"),'Project Database'!C146))),OR('Smart Search'!$L$7="",AND('Project Database'!E146&lt;&gt;"",'Project Database'!E146='Smart Search'!$L$7)),OR('Smart Search'!$L$8="",'Smart Search'!$L$8="All",TRIM('Project Database'!F146)=TRIM('Smart Search'!$L$8))),IF(BA142="","",BA142+ROW()*0.0000000001),"")</f>
        <v/>
      </c>
      <c r="BI142" s="5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>
        <f>IF('Project Database'!A146="","",N('Project Database'!AC146))</f>
        <v/>
      </c>
      <c r="BK142" s="5">
        <f>IF('Project Database'!A146="","",N('Project Database'!AD146))</f>
        <v/>
      </c>
      <c r="BL142" s="5">
        <f>IF('Project Database'!A146="","",N('Project Database'!AE146))</f>
        <v/>
      </c>
      <c r="BM142" s="5">
        <f>IF('Project Database'!A146="","",N('Project Database'!AF146))</f>
        <v/>
      </c>
      <c r="BN142" s="5">
        <f>IF('Project Database'!A146="","",N('Project Database'!AG146))</f>
        <v/>
      </c>
      <c r="BO142" s="5">
        <f>IF('Project Database'!A146="","",N('Project Database'!AH146))</f>
        <v/>
      </c>
      <c r="BP142" s="5">
        <f>IF('Project Database'!A146="","",N('Project Database'!AI146))</f>
        <v/>
      </c>
      <c r="BQ142" s="5">
        <f>IF('Project Database'!A146="","",N('Project Database'!AJ146))</f>
        <v/>
      </c>
      <c r="BR142" s="5">
        <f>IF('Project Database'!A146="","",N('Project Database'!AK146))</f>
        <v/>
      </c>
      <c r="BS142" s="5">
        <f>IF('Project Database'!A146="","",N('Project Database'!AL146))</f>
        <v/>
      </c>
      <c r="BT142" s="5">
        <f>IF('Project Database'!A146="","",N('Project Database'!AM146))</f>
        <v/>
      </c>
      <c r="BU142" s="5">
        <f>IF('Project Database'!A146="","",N('Project Database'!AN146))</f>
        <v/>
      </c>
      <c r="BV142" s="5">
        <f>IF('Project Database'!A146="","",N('Project Database'!AO146))</f>
        <v/>
      </c>
      <c r="BW142" s="5">
        <f>IF('Project Database'!A146="","",N('Project Database'!AP146))</f>
        <v/>
      </c>
      <c r="BX142" s="5">
        <f>IF(A142="","",SUM(BJ142:BW142))</f>
        <v/>
      </c>
      <c r="BY142" s="5">
        <f>IF(A142="","",IFERROR(IF(ISNUMBER(U142),U142,VALUE(SUBSTITUTE(SUBSTITUTE(SUBSTITUTE(UPPER(TRIM(U142)),"M",""),",","")," ",""))),0))</f>
        <v/>
      </c>
    </row>
    <row r="143" ht="15" customHeight="1" s="74">
      <c r="A143" s="66">
        <f>'Project Database'!A147</f>
        <v/>
      </c>
      <c r="B143" s="66">
        <f>'Project Database'!B147</f>
        <v/>
      </c>
      <c r="C143" s="66">
        <f>'Project Database'!G147</f>
        <v/>
      </c>
      <c r="D143" s="66">
        <f>'Project Database'!H147</f>
        <v/>
      </c>
      <c r="E143" s="66">
        <f>'Project Database'!I147</f>
        <v/>
      </c>
      <c r="F143" s="66">
        <f>'Project Database'!J147</f>
        <v/>
      </c>
      <c r="G143" s="66">
        <f>'Project Database'!K147</f>
        <v/>
      </c>
      <c r="H143" s="66">
        <f>'Project Database'!L147</f>
        <v/>
      </c>
      <c r="I143" s="66">
        <f>'Project Database'!M147</f>
        <v/>
      </c>
      <c r="J143" s="66">
        <f>'Project Database'!N147</f>
        <v/>
      </c>
      <c r="K143" s="66">
        <f>'Project Database'!O147</f>
        <v/>
      </c>
      <c r="L143" s="66">
        <f>'Project Database'!P147</f>
        <v/>
      </c>
      <c r="M143" s="66">
        <f>'Project Database'!Q147</f>
        <v/>
      </c>
      <c r="N143" s="66">
        <f>'Project Database'!R147</f>
        <v/>
      </c>
      <c r="O143" s="66">
        <f>'Project Database'!S147</f>
        <v/>
      </c>
      <c r="P143" s="66">
        <f>'Project Database'!T147</f>
        <v/>
      </c>
      <c r="Q143" s="66">
        <f>'Project Database'!U147</f>
        <v/>
      </c>
      <c r="R143" s="66">
        <f>'Project Database'!V147</f>
        <v/>
      </c>
      <c r="S143" s="66">
        <f>'Project Database'!W147</f>
        <v/>
      </c>
      <c r="T143" s="66">
        <f>'Project Database'!X147</f>
        <v/>
      </c>
      <c r="U143" s="67">
        <f>'Project Database'!Y147</f>
        <v/>
      </c>
      <c r="V143" s="66">
        <f>IF('Smart Search'!B13=1,IFERROR(1/'Smart Search'!H13,0),0)</f>
        <v/>
      </c>
      <c r="W143" s="66">
        <f>IF('Smart Search'!B13=1,IFERROR(1/'Smart Search'!H13,0),0)</f>
        <v/>
      </c>
      <c r="X143" s="66">
        <f>IF('Smart Search'!C13=1,IFERROR(1/'Smart Search'!H13,0),0)</f>
        <v/>
      </c>
      <c r="Y143" s="66">
        <f>IF('Smart Search'!C13=1,IFERROR(1/'Smart Search'!H13,0),0)</f>
        <v/>
      </c>
      <c r="Z143" s="66">
        <f>IF('Smart Search'!D13=1,IFERROR(1/'Smart Search'!H13,0),0)</f>
        <v/>
      </c>
      <c r="AA143" s="66">
        <f>IF('Smart Search'!D13=1,IFERROR(1/'Smart Search'!H13,0),0)</f>
        <v/>
      </c>
      <c r="AB143" s="66">
        <f>IF('Smart Search'!E13=1,IFERROR(1/'Smart Search'!H13,0),0)</f>
        <v/>
      </c>
      <c r="AC143" s="66">
        <f>IF('Smart Search'!E13=1,IFERROR(1/'Smart Search'!H13,0),0)</f>
        <v/>
      </c>
      <c r="AD143" s="66">
        <f>IF('Smart Search'!F13=1,IFERROR(1/'Smart Search'!H13,0),0)</f>
        <v/>
      </c>
      <c r="AE143" s="66">
        <f>IF('Smart Search'!F13=1,IFERROR(1/'Smart Search'!H13,0),0)</f>
        <v/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66">
        <f>AF143*V143</f>
        <v/>
      </c>
      <c r="AQ143" s="66">
        <f>AG143*W143</f>
        <v/>
      </c>
      <c r="AR143" s="66">
        <f>AH143*X143</f>
        <v/>
      </c>
      <c r="AS143" s="66">
        <f>AI143*Y143</f>
        <v/>
      </c>
      <c r="AT143" s="66">
        <f>AJ143*Z143</f>
        <v/>
      </c>
      <c r="AU143" s="66">
        <f>AK143*AA143</f>
        <v/>
      </c>
      <c r="AV143" s="66">
        <f>AL143*AB143</f>
        <v/>
      </c>
      <c r="AW143" s="66">
        <f>AM143*AC143</f>
        <v/>
      </c>
      <c r="AX143" s="66">
        <f>AN143*AD143</f>
        <v/>
      </c>
      <c r="AY143" s="66">
        <f>AO143*AE143</f>
        <v/>
      </c>
      <c r="AZ143" s="66">
        <f>'Project Database'!Z147</f>
        <v/>
      </c>
      <c r="BA143" s="66">
        <f>IF(OR(A143="",'Smart Search'!H13=0),"",MAX(0,BE143*BF143*MAX(0,1-BG143)))</f>
        <v/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66">
        <f>IF('Smart Search'!G13=1,IFERROR(1/'Smart Search'!H13,0),0)</f>
        <v/>
      </c>
      <c r="BD143" s="66">
        <f>BB143*BC143</f>
        <v/>
      </c>
      <c r="BE143" s="66">
        <f>AP143+AQ143+AR143+AS143+AT143+AU143+AV143+AW143+AX143+AY143+BD143</f>
        <v/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5">
        <f>IF(AND('Project Database'!A147&lt;&gt;"",OR('Smart Search'!$L$5="",'Smart Search'!$L$5="All",TRIM('Project Database'!D147)=TRIM('Smart Search'!$L$5)),OR(TRIM('Smart Search'!$L$6)="",TRIM('Smart Search'!$L$6)="All",ISNUMBER(SEARCH(SUBSTITUTE(SUBSTITUTE(SUBSTITUTE(TRIM('Smart Search'!$L$6),"~","~~"),"*","~*"),"?","~?"),'Project Database'!C147))),OR('Smart Search'!$L$7="",AND('Project Database'!E147&lt;&gt;"",'Project Database'!E147='Smart Search'!$L$7)),OR('Smart Search'!$L$8="",'Smart Search'!$L$8="All",TRIM('Project Database'!F147)=TRIM('Smart Search'!$L$8))),IF(BA143="","",BA143+ROW()*0.0000000001),"")</f>
        <v/>
      </c>
      <c r="BI143" s="5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>
        <f>IF('Project Database'!A147="","",N('Project Database'!AC147))</f>
        <v/>
      </c>
      <c r="BK143" s="5">
        <f>IF('Project Database'!A147="","",N('Project Database'!AD147))</f>
        <v/>
      </c>
      <c r="BL143" s="5">
        <f>IF('Project Database'!A147="","",N('Project Database'!AE147))</f>
        <v/>
      </c>
      <c r="BM143" s="5">
        <f>IF('Project Database'!A147="","",N('Project Database'!AF147))</f>
        <v/>
      </c>
      <c r="BN143" s="5">
        <f>IF('Project Database'!A147="","",N('Project Database'!AG147))</f>
        <v/>
      </c>
      <c r="BO143" s="5">
        <f>IF('Project Database'!A147="","",N('Project Database'!AH147))</f>
        <v/>
      </c>
      <c r="BP143" s="5">
        <f>IF('Project Database'!A147="","",N('Project Database'!AI147))</f>
        <v/>
      </c>
      <c r="BQ143" s="5">
        <f>IF('Project Database'!A147="","",N('Project Database'!AJ147))</f>
        <v/>
      </c>
      <c r="BR143" s="5">
        <f>IF('Project Database'!A147="","",N('Project Database'!AK147))</f>
        <v/>
      </c>
      <c r="BS143" s="5">
        <f>IF('Project Database'!A147="","",N('Project Database'!AL147))</f>
        <v/>
      </c>
      <c r="BT143" s="5">
        <f>IF('Project Database'!A147="","",N('Project Database'!AM147))</f>
        <v/>
      </c>
      <c r="BU143" s="5">
        <f>IF('Project Database'!A147="","",N('Project Database'!AN147))</f>
        <v/>
      </c>
      <c r="BV143" s="5">
        <f>IF('Project Database'!A147="","",N('Project Database'!AO147))</f>
        <v/>
      </c>
      <c r="BW143" s="5">
        <f>IF('Project Database'!A147="","",N('Project Database'!AP147))</f>
        <v/>
      </c>
      <c r="BX143" s="5">
        <f>IF(A143="","",SUM(BJ143:BW143))</f>
        <v/>
      </c>
      <c r="BY143" s="5">
        <f>IF(A143="","",IFERROR(IF(ISNUMBER(U143),U143,VALUE(SUBSTITUTE(SUBSTITUTE(SUBSTITUTE(UPPER(TRIM(U143)),"M",""),",","")," ",""))),0))</f>
        <v/>
      </c>
    </row>
    <row r="144" ht="15" customHeight="1" s="74">
      <c r="A144" s="66">
        <f>'Project Database'!A148</f>
        <v/>
      </c>
      <c r="B144" s="66">
        <f>'Project Database'!B148</f>
        <v/>
      </c>
      <c r="C144" s="66">
        <f>'Project Database'!G148</f>
        <v/>
      </c>
      <c r="D144" s="66">
        <f>'Project Database'!H148</f>
        <v/>
      </c>
      <c r="E144" s="66">
        <f>'Project Database'!I148</f>
        <v/>
      </c>
      <c r="F144" s="66">
        <f>'Project Database'!J148</f>
        <v/>
      </c>
      <c r="G144" s="66">
        <f>'Project Database'!K148</f>
        <v/>
      </c>
      <c r="H144" s="66">
        <f>'Project Database'!L148</f>
        <v/>
      </c>
      <c r="I144" s="66">
        <f>'Project Database'!M148</f>
        <v/>
      </c>
      <c r="J144" s="66">
        <f>'Project Database'!N148</f>
        <v/>
      </c>
      <c r="K144" s="66">
        <f>'Project Database'!O148</f>
        <v/>
      </c>
      <c r="L144" s="66">
        <f>'Project Database'!P148</f>
        <v/>
      </c>
      <c r="M144" s="66">
        <f>'Project Database'!Q148</f>
        <v/>
      </c>
      <c r="N144" s="66">
        <f>'Project Database'!R148</f>
        <v/>
      </c>
      <c r="O144" s="66">
        <f>'Project Database'!S148</f>
        <v/>
      </c>
      <c r="P144" s="66">
        <f>'Project Database'!T148</f>
        <v/>
      </c>
      <c r="Q144" s="66">
        <f>'Project Database'!U148</f>
        <v/>
      </c>
      <c r="R144" s="66">
        <f>'Project Database'!V148</f>
        <v/>
      </c>
      <c r="S144" s="66">
        <f>'Project Database'!W148</f>
        <v/>
      </c>
      <c r="T144" s="66">
        <f>'Project Database'!X148</f>
        <v/>
      </c>
      <c r="U144" s="67">
        <f>'Project Database'!Y148</f>
        <v/>
      </c>
      <c r="V144" s="66">
        <f>IF('Smart Search'!B13=1,IFERROR(1/'Smart Search'!H13,0),0)</f>
        <v/>
      </c>
      <c r="W144" s="66">
        <f>IF('Smart Search'!B13=1,IFERROR(1/'Smart Search'!H13,0),0)</f>
        <v/>
      </c>
      <c r="X144" s="66">
        <f>IF('Smart Search'!C13=1,IFERROR(1/'Smart Search'!H13,0),0)</f>
        <v/>
      </c>
      <c r="Y144" s="66">
        <f>IF('Smart Search'!C13=1,IFERROR(1/'Smart Search'!H13,0),0)</f>
        <v/>
      </c>
      <c r="Z144" s="66">
        <f>IF('Smart Search'!D13=1,IFERROR(1/'Smart Search'!H13,0),0)</f>
        <v/>
      </c>
      <c r="AA144" s="66">
        <f>IF('Smart Search'!D13=1,IFERROR(1/'Smart Search'!H13,0),0)</f>
        <v/>
      </c>
      <c r="AB144" s="66">
        <f>IF('Smart Search'!E13=1,IFERROR(1/'Smart Search'!H13,0),0)</f>
        <v/>
      </c>
      <c r="AC144" s="66">
        <f>IF('Smart Search'!E13=1,IFERROR(1/'Smart Search'!H13,0),0)</f>
        <v/>
      </c>
      <c r="AD144" s="66">
        <f>IF('Smart Search'!F13=1,IFERROR(1/'Smart Search'!H13,0),0)</f>
        <v/>
      </c>
      <c r="AE144" s="66">
        <f>IF('Smart Search'!F13=1,IFERROR(1/'Smart Search'!H13,0),0)</f>
        <v/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66">
        <f>AF144*V144</f>
        <v/>
      </c>
      <c r="AQ144" s="66">
        <f>AG144*W144</f>
        <v/>
      </c>
      <c r="AR144" s="66">
        <f>AH144*X144</f>
        <v/>
      </c>
      <c r="AS144" s="66">
        <f>AI144*Y144</f>
        <v/>
      </c>
      <c r="AT144" s="66">
        <f>AJ144*Z144</f>
        <v/>
      </c>
      <c r="AU144" s="66">
        <f>AK144*AA144</f>
        <v/>
      </c>
      <c r="AV144" s="66">
        <f>AL144*AB144</f>
        <v/>
      </c>
      <c r="AW144" s="66">
        <f>AM144*AC144</f>
        <v/>
      </c>
      <c r="AX144" s="66">
        <f>AN144*AD144</f>
        <v/>
      </c>
      <c r="AY144" s="66">
        <f>AO144*AE144</f>
        <v/>
      </c>
      <c r="AZ144" s="66">
        <f>'Project Database'!Z148</f>
        <v/>
      </c>
      <c r="BA144" s="66">
        <f>IF(OR(A144="",'Smart Search'!H13=0),"",MAX(0,BE144*BF144*MAX(0,1-BG144)))</f>
        <v/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66">
        <f>IF('Smart Search'!G13=1,IFERROR(1/'Smart Search'!H13,0),0)</f>
        <v/>
      </c>
      <c r="BD144" s="66">
        <f>BB144*BC144</f>
        <v/>
      </c>
      <c r="BE144" s="66">
        <f>AP144+AQ144+AR144+AS144+AT144+AU144+AV144+AW144+AX144+AY144+BD144</f>
        <v/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5">
        <f>IF(AND('Project Database'!A148&lt;&gt;"",OR('Smart Search'!$L$5="",'Smart Search'!$L$5="All",TRIM('Project Database'!D148)=TRIM('Smart Search'!$L$5)),OR(TRIM('Smart Search'!$L$6)="",TRIM('Smart Search'!$L$6)="All",ISNUMBER(SEARCH(SUBSTITUTE(SUBSTITUTE(SUBSTITUTE(TRIM('Smart Search'!$L$6),"~","~~"),"*","~*"),"?","~?"),'Project Database'!C148))),OR('Smart Search'!$L$7="",AND('Project Database'!E148&lt;&gt;"",'Project Database'!E148='Smart Search'!$L$7)),OR('Smart Search'!$L$8="",'Smart Search'!$L$8="All",TRIM('Project Database'!F148)=TRIM('Smart Search'!$L$8))),IF(BA144="","",BA144+ROW()*0.0000000001),"")</f>
        <v/>
      </c>
      <c r="BI144" s="5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>
        <f>IF('Project Database'!A148="","",N('Project Database'!AC148))</f>
        <v/>
      </c>
      <c r="BK144" s="5">
        <f>IF('Project Database'!A148="","",N('Project Database'!AD148))</f>
        <v/>
      </c>
      <c r="BL144" s="5">
        <f>IF('Project Database'!A148="","",N('Project Database'!AE148))</f>
        <v/>
      </c>
      <c r="BM144" s="5">
        <f>IF('Project Database'!A148="","",N('Project Database'!AF148))</f>
        <v/>
      </c>
      <c r="BN144" s="5">
        <f>IF('Project Database'!A148="","",N('Project Database'!AG148))</f>
        <v/>
      </c>
      <c r="BO144" s="5">
        <f>IF('Project Database'!A148="","",N('Project Database'!AH148))</f>
        <v/>
      </c>
      <c r="BP144" s="5">
        <f>IF('Project Database'!A148="","",N('Project Database'!AI148))</f>
        <v/>
      </c>
      <c r="BQ144" s="5">
        <f>IF('Project Database'!A148="","",N('Project Database'!AJ148))</f>
        <v/>
      </c>
      <c r="BR144" s="5">
        <f>IF('Project Database'!A148="","",N('Project Database'!AK148))</f>
        <v/>
      </c>
      <c r="BS144" s="5">
        <f>IF('Project Database'!A148="","",N('Project Database'!AL148))</f>
        <v/>
      </c>
      <c r="BT144" s="5">
        <f>IF('Project Database'!A148="","",N('Project Database'!AM148))</f>
        <v/>
      </c>
      <c r="BU144" s="5">
        <f>IF('Project Database'!A148="","",N('Project Database'!AN148))</f>
        <v/>
      </c>
      <c r="BV144" s="5">
        <f>IF('Project Database'!A148="","",N('Project Database'!AO148))</f>
        <v/>
      </c>
      <c r="BW144" s="5">
        <f>IF('Project Database'!A148="","",N('Project Database'!AP148))</f>
        <v/>
      </c>
      <c r="BX144" s="5">
        <f>IF(A144="","",SUM(BJ144:BW144))</f>
        <v/>
      </c>
      <c r="BY144" s="5">
        <f>IF(A144="","",IFERROR(IF(ISNUMBER(U144),U144,VALUE(SUBSTITUTE(SUBSTITUTE(SUBSTITUTE(UPPER(TRIM(U144)),"M",""),",","")," ",""))),0))</f>
        <v/>
      </c>
    </row>
    <row r="145" ht="15" customHeight="1" s="74">
      <c r="A145" s="66">
        <f>'Project Database'!A149</f>
        <v/>
      </c>
      <c r="B145" s="66">
        <f>'Project Database'!B149</f>
        <v/>
      </c>
      <c r="C145" s="66">
        <f>'Project Database'!G149</f>
        <v/>
      </c>
      <c r="D145" s="66">
        <f>'Project Database'!H149</f>
        <v/>
      </c>
      <c r="E145" s="66">
        <f>'Project Database'!I149</f>
        <v/>
      </c>
      <c r="F145" s="66">
        <f>'Project Database'!J149</f>
        <v/>
      </c>
      <c r="G145" s="66">
        <f>'Project Database'!K149</f>
        <v/>
      </c>
      <c r="H145" s="66">
        <f>'Project Database'!L149</f>
        <v/>
      </c>
      <c r="I145" s="66">
        <f>'Project Database'!M149</f>
        <v/>
      </c>
      <c r="J145" s="66">
        <f>'Project Database'!N149</f>
        <v/>
      </c>
      <c r="K145" s="66">
        <f>'Project Database'!O149</f>
        <v/>
      </c>
      <c r="L145" s="66">
        <f>'Project Database'!P149</f>
        <v/>
      </c>
      <c r="M145" s="66">
        <f>'Project Database'!Q149</f>
        <v/>
      </c>
      <c r="N145" s="66">
        <f>'Project Database'!R149</f>
        <v/>
      </c>
      <c r="O145" s="66">
        <f>'Project Database'!S149</f>
        <v/>
      </c>
      <c r="P145" s="66">
        <f>'Project Database'!T149</f>
        <v/>
      </c>
      <c r="Q145" s="66">
        <f>'Project Database'!U149</f>
        <v/>
      </c>
      <c r="R145" s="66">
        <f>'Project Database'!V149</f>
        <v/>
      </c>
      <c r="S145" s="66">
        <f>'Project Database'!W149</f>
        <v/>
      </c>
      <c r="T145" s="66">
        <f>'Project Database'!X149</f>
        <v/>
      </c>
      <c r="U145" s="67">
        <f>'Project Database'!Y149</f>
        <v/>
      </c>
      <c r="V145" s="66">
        <f>IF('Smart Search'!B13=1,IFERROR(1/'Smart Search'!H13,0),0)</f>
        <v/>
      </c>
      <c r="W145" s="66">
        <f>IF('Smart Search'!B13=1,IFERROR(1/'Smart Search'!H13,0),0)</f>
        <v/>
      </c>
      <c r="X145" s="66">
        <f>IF('Smart Search'!C13=1,IFERROR(1/'Smart Search'!H13,0),0)</f>
        <v/>
      </c>
      <c r="Y145" s="66">
        <f>IF('Smart Search'!C13=1,IFERROR(1/'Smart Search'!H13,0),0)</f>
        <v/>
      </c>
      <c r="Z145" s="66">
        <f>IF('Smart Search'!D13=1,IFERROR(1/'Smart Search'!H13,0),0)</f>
        <v/>
      </c>
      <c r="AA145" s="66">
        <f>IF('Smart Search'!D13=1,IFERROR(1/'Smart Search'!H13,0),0)</f>
        <v/>
      </c>
      <c r="AB145" s="66">
        <f>IF('Smart Search'!E13=1,IFERROR(1/'Smart Search'!H13,0),0)</f>
        <v/>
      </c>
      <c r="AC145" s="66">
        <f>IF('Smart Search'!E13=1,IFERROR(1/'Smart Search'!H13,0),0)</f>
        <v/>
      </c>
      <c r="AD145" s="66">
        <f>IF('Smart Search'!F13=1,IFERROR(1/'Smart Search'!H13,0),0)</f>
        <v/>
      </c>
      <c r="AE145" s="66">
        <f>IF('Smart Search'!F13=1,IFERROR(1/'Smart Search'!H13,0),0)</f>
        <v/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66">
        <f>AF145*V145</f>
        <v/>
      </c>
      <c r="AQ145" s="66">
        <f>AG145*W145</f>
        <v/>
      </c>
      <c r="AR145" s="66">
        <f>AH145*X145</f>
        <v/>
      </c>
      <c r="AS145" s="66">
        <f>AI145*Y145</f>
        <v/>
      </c>
      <c r="AT145" s="66">
        <f>AJ145*Z145</f>
        <v/>
      </c>
      <c r="AU145" s="66">
        <f>AK145*AA145</f>
        <v/>
      </c>
      <c r="AV145" s="66">
        <f>AL145*AB145</f>
        <v/>
      </c>
      <c r="AW145" s="66">
        <f>AM145*AC145</f>
        <v/>
      </c>
      <c r="AX145" s="66">
        <f>AN145*AD145</f>
        <v/>
      </c>
      <c r="AY145" s="66">
        <f>AO145*AE145</f>
        <v/>
      </c>
      <c r="AZ145" s="66">
        <f>'Project Database'!Z149</f>
        <v/>
      </c>
      <c r="BA145" s="66">
        <f>IF(OR(A145="",'Smart Search'!H13=0),"",MAX(0,BE145*BF145*MAX(0,1-BG145)))</f>
        <v/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66">
        <f>IF('Smart Search'!G13=1,IFERROR(1/'Smart Search'!H13,0),0)</f>
        <v/>
      </c>
      <c r="BD145" s="66">
        <f>BB145*BC145</f>
        <v/>
      </c>
      <c r="BE145" s="66">
        <f>AP145+AQ145+AR145+AS145+AT145+AU145+AV145+AW145+AX145+AY145+BD145</f>
        <v/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5">
        <f>IF(AND('Project Database'!A149&lt;&gt;"",OR('Smart Search'!$L$5="",'Smart Search'!$L$5="All",TRIM('Project Database'!D149)=TRIM('Smart Search'!$L$5)),OR(TRIM('Smart Search'!$L$6)="",TRIM('Smart Search'!$L$6)="All",ISNUMBER(SEARCH(SUBSTITUTE(SUBSTITUTE(SUBSTITUTE(TRIM('Smart Search'!$L$6),"~","~~"),"*","~*"),"?","~?"),'Project Database'!C149))),OR('Smart Search'!$L$7="",AND('Project Database'!E149&lt;&gt;"",'Project Database'!E149='Smart Search'!$L$7)),OR('Smart Search'!$L$8="",'Smart Search'!$L$8="All",TRIM('Project Database'!F149)=TRIM('Smart Search'!$L$8))),IF(BA145="","",BA145+ROW()*0.0000000001),"")</f>
        <v/>
      </c>
      <c r="BI145" s="5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>
        <f>IF('Project Database'!A149="","",N('Project Database'!AC149))</f>
        <v/>
      </c>
      <c r="BK145" s="5">
        <f>IF('Project Database'!A149="","",N('Project Database'!AD149))</f>
        <v/>
      </c>
      <c r="BL145" s="5">
        <f>IF('Project Database'!A149="","",N('Project Database'!AE149))</f>
        <v/>
      </c>
      <c r="BM145" s="5">
        <f>IF('Project Database'!A149="","",N('Project Database'!AF149))</f>
        <v/>
      </c>
      <c r="BN145" s="5">
        <f>IF('Project Database'!A149="","",N('Project Database'!AG149))</f>
        <v/>
      </c>
      <c r="BO145" s="5">
        <f>IF('Project Database'!A149="","",N('Project Database'!AH149))</f>
        <v/>
      </c>
      <c r="BP145" s="5">
        <f>IF('Project Database'!A149="","",N('Project Database'!AI149))</f>
        <v/>
      </c>
      <c r="BQ145" s="5">
        <f>IF('Project Database'!A149="","",N('Project Database'!AJ149))</f>
        <v/>
      </c>
      <c r="BR145" s="5">
        <f>IF('Project Database'!A149="","",N('Project Database'!AK149))</f>
        <v/>
      </c>
      <c r="BS145" s="5">
        <f>IF('Project Database'!A149="","",N('Project Database'!AL149))</f>
        <v/>
      </c>
      <c r="BT145" s="5">
        <f>IF('Project Database'!A149="","",N('Project Database'!AM149))</f>
        <v/>
      </c>
      <c r="BU145" s="5">
        <f>IF('Project Database'!A149="","",N('Project Database'!AN149))</f>
        <v/>
      </c>
      <c r="BV145" s="5">
        <f>IF('Project Database'!A149="","",N('Project Database'!AO149))</f>
        <v/>
      </c>
      <c r="BW145" s="5">
        <f>IF('Project Database'!A149="","",N('Project Database'!AP149))</f>
        <v/>
      </c>
      <c r="BX145" s="5">
        <f>IF(A145="","",SUM(BJ145:BW145))</f>
        <v/>
      </c>
      <c r="BY145" s="5">
        <f>IF(A145="","",IFERROR(IF(ISNUMBER(U145),U145,VALUE(SUBSTITUTE(SUBSTITUTE(SUBSTITUTE(UPPER(TRIM(U145)),"M",""),",","")," ",""))),0))</f>
        <v/>
      </c>
    </row>
    <row r="146" ht="15" customHeight="1" s="74">
      <c r="A146" s="66">
        <f>'Project Database'!A150</f>
        <v/>
      </c>
      <c r="B146" s="66">
        <f>'Project Database'!B150</f>
        <v/>
      </c>
      <c r="C146" s="66">
        <f>'Project Database'!G150</f>
        <v/>
      </c>
      <c r="D146" s="66">
        <f>'Project Database'!H150</f>
        <v/>
      </c>
      <c r="E146" s="66">
        <f>'Project Database'!I150</f>
        <v/>
      </c>
      <c r="F146" s="66">
        <f>'Project Database'!J150</f>
        <v/>
      </c>
      <c r="G146" s="66">
        <f>'Project Database'!K150</f>
        <v/>
      </c>
      <c r="H146" s="66">
        <f>'Project Database'!L150</f>
        <v/>
      </c>
      <c r="I146" s="66">
        <f>'Project Database'!M150</f>
        <v/>
      </c>
      <c r="J146" s="66">
        <f>'Project Database'!N150</f>
        <v/>
      </c>
      <c r="K146" s="66">
        <f>'Project Database'!O150</f>
        <v/>
      </c>
      <c r="L146" s="66">
        <f>'Project Database'!P150</f>
        <v/>
      </c>
      <c r="M146" s="66">
        <f>'Project Database'!Q150</f>
        <v/>
      </c>
      <c r="N146" s="66">
        <f>'Project Database'!R150</f>
        <v/>
      </c>
      <c r="O146" s="66">
        <f>'Project Database'!S150</f>
        <v/>
      </c>
      <c r="P146" s="66">
        <f>'Project Database'!T150</f>
        <v/>
      </c>
      <c r="Q146" s="66">
        <f>'Project Database'!U150</f>
        <v/>
      </c>
      <c r="R146" s="66">
        <f>'Project Database'!V150</f>
        <v/>
      </c>
      <c r="S146" s="66">
        <f>'Project Database'!W150</f>
        <v/>
      </c>
      <c r="T146" s="66">
        <f>'Project Database'!X150</f>
        <v/>
      </c>
      <c r="U146" s="67">
        <f>'Project Database'!Y150</f>
        <v/>
      </c>
      <c r="V146" s="66">
        <f>IF('Smart Search'!B13=1,IFERROR(1/'Smart Search'!H13,0),0)</f>
        <v/>
      </c>
      <c r="W146" s="66">
        <f>IF('Smart Search'!B13=1,IFERROR(1/'Smart Search'!H13,0),0)</f>
        <v/>
      </c>
      <c r="X146" s="66">
        <f>IF('Smart Search'!C13=1,IFERROR(1/'Smart Search'!H13,0),0)</f>
        <v/>
      </c>
      <c r="Y146" s="66">
        <f>IF('Smart Search'!C13=1,IFERROR(1/'Smart Search'!H13,0),0)</f>
        <v/>
      </c>
      <c r="Z146" s="66">
        <f>IF('Smart Search'!D13=1,IFERROR(1/'Smart Search'!H13,0),0)</f>
        <v/>
      </c>
      <c r="AA146" s="66">
        <f>IF('Smart Search'!D13=1,IFERROR(1/'Smart Search'!H13,0),0)</f>
        <v/>
      </c>
      <c r="AB146" s="66">
        <f>IF('Smart Search'!E13=1,IFERROR(1/'Smart Search'!H13,0),0)</f>
        <v/>
      </c>
      <c r="AC146" s="66">
        <f>IF('Smart Search'!E13=1,IFERROR(1/'Smart Search'!H13,0),0)</f>
        <v/>
      </c>
      <c r="AD146" s="66">
        <f>IF('Smart Search'!F13=1,IFERROR(1/'Smart Search'!H13,0),0)</f>
        <v/>
      </c>
      <c r="AE146" s="66">
        <f>IF('Smart Search'!F13=1,IFERROR(1/'Smart Search'!H13,0),0)</f>
        <v/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66">
        <f>AF146*V146</f>
        <v/>
      </c>
      <c r="AQ146" s="66">
        <f>AG146*W146</f>
        <v/>
      </c>
      <c r="AR146" s="66">
        <f>AH146*X146</f>
        <v/>
      </c>
      <c r="AS146" s="66">
        <f>AI146*Y146</f>
        <v/>
      </c>
      <c r="AT146" s="66">
        <f>AJ146*Z146</f>
        <v/>
      </c>
      <c r="AU146" s="66">
        <f>AK146*AA146</f>
        <v/>
      </c>
      <c r="AV146" s="66">
        <f>AL146*AB146</f>
        <v/>
      </c>
      <c r="AW146" s="66">
        <f>AM146*AC146</f>
        <v/>
      </c>
      <c r="AX146" s="66">
        <f>AN146*AD146</f>
        <v/>
      </c>
      <c r="AY146" s="66">
        <f>AO146*AE146</f>
        <v/>
      </c>
      <c r="AZ146" s="66">
        <f>'Project Database'!Z150</f>
        <v/>
      </c>
      <c r="BA146" s="66">
        <f>IF(OR(A146="",'Smart Search'!H13=0),"",MAX(0,BE146*BF146*MAX(0,1-BG146)))</f>
        <v/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66">
        <f>IF('Smart Search'!G13=1,IFERROR(1/'Smart Search'!H13,0),0)</f>
        <v/>
      </c>
      <c r="BD146" s="66">
        <f>BB146*BC146</f>
        <v/>
      </c>
      <c r="BE146" s="66">
        <f>AP146+AQ146+AR146+AS146+AT146+AU146+AV146+AW146+AX146+AY146+BD146</f>
        <v/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5">
        <f>IF(AND('Project Database'!A150&lt;&gt;"",OR('Smart Search'!$L$5="",'Smart Search'!$L$5="All",TRIM('Project Database'!D150)=TRIM('Smart Search'!$L$5)),OR(TRIM('Smart Search'!$L$6)="",TRIM('Smart Search'!$L$6)="All",ISNUMBER(SEARCH(SUBSTITUTE(SUBSTITUTE(SUBSTITUTE(TRIM('Smart Search'!$L$6),"~","~~"),"*","~*"),"?","~?"),'Project Database'!C150))),OR('Smart Search'!$L$7="",AND('Project Database'!E150&lt;&gt;"",'Project Database'!E150='Smart Search'!$L$7)),OR('Smart Search'!$L$8="",'Smart Search'!$L$8="All",TRIM('Project Database'!F150)=TRIM('Smart Search'!$L$8))),IF(BA146="","",BA146+ROW()*0.0000000001),"")</f>
        <v/>
      </c>
      <c r="BI146" s="5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>
        <f>IF('Project Database'!A150="","",N('Project Database'!AC150))</f>
        <v/>
      </c>
      <c r="BK146" s="5">
        <f>IF('Project Database'!A150="","",N('Project Database'!AD150))</f>
        <v/>
      </c>
      <c r="BL146" s="5">
        <f>IF('Project Database'!A150="","",N('Project Database'!AE150))</f>
        <v/>
      </c>
      <c r="BM146" s="5">
        <f>IF('Project Database'!A150="","",N('Project Database'!AF150))</f>
        <v/>
      </c>
      <c r="BN146" s="5">
        <f>IF('Project Database'!A150="","",N('Project Database'!AG150))</f>
        <v/>
      </c>
      <c r="BO146" s="5">
        <f>IF('Project Database'!A150="","",N('Project Database'!AH150))</f>
        <v/>
      </c>
      <c r="BP146" s="5">
        <f>IF('Project Database'!A150="","",N('Project Database'!AI150))</f>
        <v/>
      </c>
      <c r="BQ146" s="5">
        <f>IF('Project Database'!A150="","",N('Project Database'!AJ150))</f>
        <v/>
      </c>
      <c r="BR146" s="5">
        <f>IF('Project Database'!A150="","",N('Project Database'!AK150))</f>
        <v/>
      </c>
      <c r="BS146" s="5">
        <f>IF('Project Database'!A150="","",N('Project Database'!AL150))</f>
        <v/>
      </c>
      <c r="BT146" s="5">
        <f>IF('Project Database'!A150="","",N('Project Database'!AM150))</f>
        <v/>
      </c>
      <c r="BU146" s="5">
        <f>IF('Project Database'!A150="","",N('Project Database'!AN150))</f>
        <v/>
      </c>
      <c r="BV146" s="5">
        <f>IF('Project Database'!A150="","",N('Project Database'!AO150))</f>
        <v/>
      </c>
      <c r="BW146" s="5">
        <f>IF('Project Database'!A150="","",N('Project Database'!AP150))</f>
        <v/>
      </c>
      <c r="BX146" s="5">
        <f>IF(A146="","",SUM(BJ146:BW146))</f>
        <v/>
      </c>
      <c r="BY146" s="5">
        <f>IF(A146="","",IFERROR(IF(ISNUMBER(U146),U146,VALUE(SUBSTITUTE(SUBSTITUTE(SUBSTITUTE(UPPER(TRIM(U146)),"M",""),",","")," ",""))),0))</f>
        <v/>
      </c>
    </row>
    <row r="147" ht="15" customHeight="1" s="74">
      <c r="A147" s="66">
        <f>'Project Database'!A151</f>
        <v/>
      </c>
      <c r="B147" s="66">
        <f>'Project Database'!B151</f>
        <v/>
      </c>
      <c r="C147" s="66">
        <f>'Project Database'!G151</f>
        <v/>
      </c>
      <c r="D147" s="66">
        <f>'Project Database'!H151</f>
        <v/>
      </c>
      <c r="E147" s="66">
        <f>'Project Database'!I151</f>
        <v/>
      </c>
      <c r="F147" s="66">
        <f>'Project Database'!J151</f>
        <v/>
      </c>
      <c r="G147" s="66">
        <f>'Project Database'!K151</f>
        <v/>
      </c>
      <c r="H147" s="66">
        <f>'Project Database'!L151</f>
        <v/>
      </c>
      <c r="I147" s="66">
        <f>'Project Database'!M151</f>
        <v/>
      </c>
      <c r="J147" s="66">
        <f>'Project Database'!N151</f>
        <v/>
      </c>
      <c r="K147" s="66">
        <f>'Project Database'!O151</f>
        <v/>
      </c>
      <c r="L147" s="66">
        <f>'Project Database'!P151</f>
        <v/>
      </c>
      <c r="M147" s="66">
        <f>'Project Database'!Q151</f>
        <v/>
      </c>
      <c r="N147" s="66">
        <f>'Project Database'!R151</f>
        <v/>
      </c>
      <c r="O147" s="66">
        <f>'Project Database'!S151</f>
        <v/>
      </c>
      <c r="P147" s="66">
        <f>'Project Database'!T151</f>
        <v/>
      </c>
      <c r="Q147" s="66">
        <f>'Project Database'!U151</f>
        <v/>
      </c>
      <c r="R147" s="66">
        <f>'Project Database'!V151</f>
        <v/>
      </c>
      <c r="S147" s="66">
        <f>'Project Database'!W151</f>
        <v/>
      </c>
      <c r="T147" s="66">
        <f>'Project Database'!X151</f>
        <v/>
      </c>
      <c r="U147" s="67">
        <f>'Project Database'!Y151</f>
        <v/>
      </c>
      <c r="V147" s="66">
        <f>IF('Smart Search'!B13=1,IFERROR(1/'Smart Search'!H13,0),0)</f>
        <v/>
      </c>
      <c r="W147" s="66">
        <f>IF('Smart Search'!B13=1,IFERROR(1/'Smart Search'!H13,0),0)</f>
        <v/>
      </c>
      <c r="X147" s="66">
        <f>IF('Smart Search'!C13=1,IFERROR(1/'Smart Search'!H13,0),0)</f>
        <v/>
      </c>
      <c r="Y147" s="66">
        <f>IF('Smart Search'!C13=1,IFERROR(1/'Smart Search'!H13,0),0)</f>
        <v/>
      </c>
      <c r="Z147" s="66">
        <f>IF('Smart Search'!D13=1,IFERROR(1/'Smart Search'!H13,0),0)</f>
        <v/>
      </c>
      <c r="AA147" s="66">
        <f>IF('Smart Search'!D13=1,IFERROR(1/'Smart Search'!H13,0),0)</f>
        <v/>
      </c>
      <c r="AB147" s="66">
        <f>IF('Smart Search'!E13=1,IFERROR(1/'Smart Search'!H13,0),0)</f>
        <v/>
      </c>
      <c r="AC147" s="66">
        <f>IF('Smart Search'!E13=1,IFERROR(1/'Smart Search'!H13,0),0)</f>
        <v/>
      </c>
      <c r="AD147" s="66">
        <f>IF('Smart Search'!F13=1,IFERROR(1/'Smart Search'!H13,0),0)</f>
        <v/>
      </c>
      <c r="AE147" s="66">
        <f>IF('Smart Search'!F13=1,IFERROR(1/'Smart Search'!H13,0),0)</f>
        <v/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66">
        <f>AF147*V147</f>
        <v/>
      </c>
      <c r="AQ147" s="66">
        <f>AG147*W147</f>
        <v/>
      </c>
      <c r="AR147" s="66">
        <f>AH147*X147</f>
        <v/>
      </c>
      <c r="AS147" s="66">
        <f>AI147*Y147</f>
        <v/>
      </c>
      <c r="AT147" s="66">
        <f>AJ147*Z147</f>
        <v/>
      </c>
      <c r="AU147" s="66">
        <f>AK147*AA147</f>
        <v/>
      </c>
      <c r="AV147" s="66">
        <f>AL147*AB147</f>
        <v/>
      </c>
      <c r="AW147" s="66">
        <f>AM147*AC147</f>
        <v/>
      </c>
      <c r="AX147" s="66">
        <f>AN147*AD147</f>
        <v/>
      </c>
      <c r="AY147" s="66">
        <f>AO147*AE147</f>
        <v/>
      </c>
      <c r="AZ147" s="66">
        <f>'Project Database'!Z151</f>
        <v/>
      </c>
      <c r="BA147" s="66">
        <f>IF(OR(A147="",'Smart Search'!H13=0),"",MAX(0,BE147*BF147*MAX(0,1-BG147)))</f>
        <v/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66">
        <f>IF('Smart Search'!G13=1,IFERROR(1/'Smart Search'!H13,0),0)</f>
        <v/>
      </c>
      <c r="BD147" s="66">
        <f>BB147*BC147</f>
        <v/>
      </c>
      <c r="BE147" s="66">
        <f>AP147+AQ147+AR147+AS147+AT147+AU147+AV147+AW147+AX147+AY147+BD147</f>
        <v/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5">
        <f>IF(AND('Project Database'!A151&lt;&gt;"",OR('Smart Search'!$L$5="",'Smart Search'!$L$5="All",TRIM('Project Database'!D151)=TRIM('Smart Search'!$L$5)),OR(TRIM('Smart Search'!$L$6)="",TRIM('Smart Search'!$L$6)="All",ISNUMBER(SEARCH(SUBSTITUTE(SUBSTITUTE(SUBSTITUTE(TRIM('Smart Search'!$L$6),"~","~~"),"*","~*"),"?","~?"),'Project Database'!C151))),OR('Smart Search'!$L$7="",AND('Project Database'!E151&lt;&gt;"",'Project Database'!E151='Smart Search'!$L$7)),OR('Smart Search'!$L$8="",'Smart Search'!$L$8="All",TRIM('Project Database'!F151)=TRIM('Smart Search'!$L$8))),IF(BA147="","",BA147+ROW()*0.0000000001),"")</f>
        <v/>
      </c>
      <c r="BI147" s="5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>
        <f>IF('Project Database'!A151="","",N('Project Database'!AC151))</f>
        <v/>
      </c>
      <c r="BK147" s="5">
        <f>IF('Project Database'!A151="","",N('Project Database'!AD151))</f>
        <v/>
      </c>
      <c r="BL147" s="5">
        <f>IF('Project Database'!A151="","",N('Project Database'!AE151))</f>
        <v/>
      </c>
      <c r="BM147" s="5">
        <f>IF('Project Database'!A151="","",N('Project Database'!AF151))</f>
        <v/>
      </c>
      <c r="BN147" s="5">
        <f>IF('Project Database'!A151="","",N('Project Database'!AG151))</f>
        <v/>
      </c>
      <c r="BO147" s="5">
        <f>IF('Project Database'!A151="","",N('Project Database'!AH151))</f>
        <v/>
      </c>
      <c r="BP147" s="5">
        <f>IF('Project Database'!A151="","",N('Project Database'!AI151))</f>
        <v/>
      </c>
      <c r="BQ147" s="5">
        <f>IF('Project Database'!A151="","",N('Project Database'!AJ151))</f>
        <v/>
      </c>
      <c r="BR147" s="5">
        <f>IF('Project Database'!A151="","",N('Project Database'!AK151))</f>
        <v/>
      </c>
      <c r="BS147" s="5">
        <f>IF('Project Database'!A151="","",N('Project Database'!AL151))</f>
        <v/>
      </c>
      <c r="BT147" s="5">
        <f>IF('Project Database'!A151="","",N('Project Database'!AM151))</f>
        <v/>
      </c>
      <c r="BU147" s="5">
        <f>IF('Project Database'!A151="","",N('Project Database'!AN151))</f>
        <v/>
      </c>
      <c r="BV147" s="5">
        <f>IF('Project Database'!A151="","",N('Project Database'!AO151))</f>
        <v/>
      </c>
      <c r="BW147" s="5">
        <f>IF('Project Database'!A151="","",N('Project Database'!AP151))</f>
        <v/>
      </c>
      <c r="BX147" s="5">
        <f>IF(A147="","",SUM(BJ147:BW147))</f>
        <v/>
      </c>
      <c r="BY147" s="5">
        <f>IF(A147="","",IFERROR(IF(ISNUMBER(U147),U147,VALUE(SUBSTITUTE(SUBSTITUTE(SUBSTITUTE(UPPER(TRIM(U147)),"M",""),",","")," ",""))),0))</f>
        <v/>
      </c>
    </row>
    <row r="148" ht="15" customHeight="1" s="74">
      <c r="A148" s="66">
        <f>'Project Database'!A152</f>
        <v/>
      </c>
      <c r="B148" s="66">
        <f>'Project Database'!B152</f>
        <v/>
      </c>
      <c r="C148" s="66">
        <f>'Project Database'!G152</f>
        <v/>
      </c>
      <c r="D148" s="66">
        <f>'Project Database'!H152</f>
        <v/>
      </c>
      <c r="E148" s="66">
        <f>'Project Database'!I152</f>
        <v/>
      </c>
      <c r="F148" s="66">
        <f>'Project Database'!J152</f>
        <v/>
      </c>
      <c r="G148" s="66">
        <f>'Project Database'!K152</f>
        <v/>
      </c>
      <c r="H148" s="66">
        <f>'Project Database'!L152</f>
        <v/>
      </c>
      <c r="I148" s="66">
        <f>'Project Database'!M152</f>
        <v/>
      </c>
      <c r="J148" s="66">
        <f>'Project Database'!N152</f>
        <v/>
      </c>
      <c r="K148" s="66">
        <f>'Project Database'!O152</f>
        <v/>
      </c>
      <c r="L148" s="66">
        <f>'Project Database'!P152</f>
        <v/>
      </c>
      <c r="M148" s="66">
        <f>'Project Database'!Q152</f>
        <v/>
      </c>
      <c r="N148" s="66">
        <f>'Project Database'!R152</f>
        <v/>
      </c>
      <c r="O148" s="66">
        <f>'Project Database'!S152</f>
        <v/>
      </c>
      <c r="P148" s="66">
        <f>'Project Database'!T152</f>
        <v/>
      </c>
      <c r="Q148" s="66">
        <f>'Project Database'!U152</f>
        <v/>
      </c>
      <c r="R148" s="66">
        <f>'Project Database'!V152</f>
        <v/>
      </c>
      <c r="S148" s="66">
        <f>'Project Database'!W152</f>
        <v/>
      </c>
      <c r="T148" s="66">
        <f>'Project Database'!X152</f>
        <v/>
      </c>
      <c r="U148" s="67">
        <f>'Project Database'!Y152</f>
        <v/>
      </c>
      <c r="V148" s="66">
        <f>IF('Smart Search'!B13=1,IFERROR(1/'Smart Search'!H13,0),0)</f>
        <v/>
      </c>
      <c r="W148" s="66">
        <f>IF('Smart Search'!B13=1,IFERROR(1/'Smart Search'!H13,0),0)</f>
        <v/>
      </c>
      <c r="X148" s="66">
        <f>IF('Smart Search'!C13=1,IFERROR(1/'Smart Search'!H13,0),0)</f>
        <v/>
      </c>
      <c r="Y148" s="66">
        <f>IF('Smart Search'!C13=1,IFERROR(1/'Smart Search'!H13,0),0)</f>
        <v/>
      </c>
      <c r="Z148" s="66">
        <f>IF('Smart Search'!D13=1,IFERROR(1/'Smart Search'!H13,0),0)</f>
        <v/>
      </c>
      <c r="AA148" s="66">
        <f>IF('Smart Search'!D13=1,IFERROR(1/'Smart Search'!H13,0),0)</f>
        <v/>
      </c>
      <c r="AB148" s="66">
        <f>IF('Smart Search'!E13=1,IFERROR(1/'Smart Search'!H13,0),0)</f>
        <v/>
      </c>
      <c r="AC148" s="66">
        <f>IF('Smart Search'!E13=1,IFERROR(1/'Smart Search'!H13,0),0)</f>
        <v/>
      </c>
      <c r="AD148" s="66">
        <f>IF('Smart Search'!F13=1,IFERROR(1/'Smart Search'!H13,0),0)</f>
        <v/>
      </c>
      <c r="AE148" s="66">
        <f>IF('Smart Search'!F13=1,IFERROR(1/'Smart Search'!H13,0),0)</f>
        <v/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66">
        <f>AF148*V148</f>
        <v/>
      </c>
      <c r="AQ148" s="66">
        <f>AG148*W148</f>
        <v/>
      </c>
      <c r="AR148" s="66">
        <f>AH148*X148</f>
        <v/>
      </c>
      <c r="AS148" s="66">
        <f>AI148*Y148</f>
        <v/>
      </c>
      <c r="AT148" s="66">
        <f>AJ148*Z148</f>
        <v/>
      </c>
      <c r="AU148" s="66">
        <f>AK148*AA148</f>
        <v/>
      </c>
      <c r="AV148" s="66">
        <f>AL148*AB148</f>
        <v/>
      </c>
      <c r="AW148" s="66">
        <f>AM148*AC148</f>
        <v/>
      </c>
      <c r="AX148" s="66">
        <f>AN148*AD148</f>
        <v/>
      </c>
      <c r="AY148" s="66">
        <f>AO148*AE148</f>
        <v/>
      </c>
      <c r="AZ148" s="66">
        <f>'Project Database'!Z152</f>
        <v/>
      </c>
      <c r="BA148" s="66">
        <f>IF(OR(A148="",'Smart Search'!H13=0),"",MAX(0,BE148*BF148*MAX(0,1-BG148)))</f>
        <v/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66">
        <f>IF('Smart Search'!G13=1,IFERROR(1/'Smart Search'!H13,0),0)</f>
        <v/>
      </c>
      <c r="BD148" s="66">
        <f>BB148*BC148</f>
        <v/>
      </c>
      <c r="BE148" s="66">
        <f>AP148+AQ148+AR148+AS148+AT148+AU148+AV148+AW148+AX148+AY148+BD148</f>
        <v/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5">
        <f>IF(AND('Project Database'!A152&lt;&gt;"",OR('Smart Search'!$L$5="",'Smart Search'!$L$5="All",TRIM('Project Database'!D152)=TRIM('Smart Search'!$L$5)),OR(TRIM('Smart Search'!$L$6)="",TRIM('Smart Search'!$L$6)="All",ISNUMBER(SEARCH(SUBSTITUTE(SUBSTITUTE(SUBSTITUTE(TRIM('Smart Search'!$L$6),"~","~~"),"*","~*"),"?","~?"),'Project Database'!C152))),OR('Smart Search'!$L$7="",AND('Project Database'!E152&lt;&gt;"",'Project Database'!E152='Smart Search'!$L$7)),OR('Smart Search'!$L$8="",'Smart Search'!$L$8="All",TRIM('Project Database'!F152)=TRIM('Smart Search'!$L$8))),IF(BA148="","",BA148+ROW()*0.0000000001),"")</f>
        <v/>
      </c>
      <c r="BI148" s="5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>
        <f>IF('Project Database'!A152="","",N('Project Database'!AC152))</f>
        <v/>
      </c>
      <c r="BK148" s="5">
        <f>IF('Project Database'!A152="","",N('Project Database'!AD152))</f>
        <v/>
      </c>
      <c r="BL148" s="5">
        <f>IF('Project Database'!A152="","",N('Project Database'!AE152))</f>
        <v/>
      </c>
      <c r="BM148" s="5">
        <f>IF('Project Database'!A152="","",N('Project Database'!AF152))</f>
        <v/>
      </c>
      <c r="BN148" s="5">
        <f>IF('Project Database'!A152="","",N('Project Database'!AG152))</f>
        <v/>
      </c>
      <c r="BO148" s="5">
        <f>IF('Project Database'!A152="","",N('Project Database'!AH152))</f>
        <v/>
      </c>
      <c r="BP148" s="5">
        <f>IF('Project Database'!A152="","",N('Project Database'!AI152))</f>
        <v/>
      </c>
      <c r="BQ148" s="5">
        <f>IF('Project Database'!A152="","",N('Project Database'!AJ152))</f>
        <v/>
      </c>
      <c r="BR148" s="5">
        <f>IF('Project Database'!A152="","",N('Project Database'!AK152))</f>
        <v/>
      </c>
      <c r="BS148" s="5">
        <f>IF('Project Database'!A152="","",N('Project Database'!AL152))</f>
        <v/>
      </c>
      <c r="BT148" s="5">
        <f>IF('Project Database'!A152="","",N('Project Database'!AM152))</f>
        <v/>
      </c>
      <c r="BU148" s="5">
        <f>IF('Project Database'!A152="","",N('Project Database'!AN152))</f>
        <v/>
      </c>
      <c r="BV148" s="5">
        <f>IF('Project Database'!A152="","",N('Project Database'!AO152))</f>
        <v/>
      </c>
      <c r="BW148" s="5">
        <f>IF('Project Database'!A152="","",N('Project Database'!AP152))</f>
        <v/>
      </c>
      <c r="BX148" s="5">
        <f>IF(A148="","",SUM(BJ148:BW148))</f>
        <v/>
      </c>
      <c r="BY148" s="5">
        <f>IF(A148="","",IFERROR(IF(ISNUMBER(U148),U148,VALUE(SUBSTITUTE(SUBSTITUTE(SUBSTITUTE(UPPER(TRIM(U148)),"M",""),",","")," ",""))),0))</f>
        <v/>
      </c>
    </row>
    <row r="149" ht="15" customHeight="1" s="74">
      <c r="A149" s="66">
        <f>'Project Database'!A153</f>
        <v/>
      </c>
      <c r="B149" s="66">
        <f>'Project Database'!B153</f>
        <v/>
      </c>
      <c r="C149" s="66">
        <f>'Project Database'!G153</f>
        <v/>
      </c>
      <c r="D149" s="66">
        <f>'Project Database'!H153</f>
        <v/>
      </c>
      <c r="E149" s="66">
        <f>'Project Database'!I153</f>
        <v/>
      </c>
      <c r="F149" s="66">
        <f>'Project Database'!J153</f>
        <v/>
      </c>
      <c r="G149" s="66">
        <f>'Project Database'!K153</f>
        <v/>
      </c>
      <c r="H149" s="66">
        <f>'Project Database'!L153</f>
        <v/>
      </c>
      <c r="I149" s="66">
        <f>'Project Database'!M153</f>
        <v/>
      </c>
      <c r="J149" s="66">
        <f>'Project Database'!N153</f>
        <v/>
      </c>
      <c r="K149" s="66">
        <f>'Project Database'!O153</f>
        <v/>
      </c>
      <c r="L149" s="66">
        <f>'Project Database'!P153</f>
        <v/>
      </c>
      <c r="M149" s="66">
        <f>'Project Database'!Q153</f>
        <v/>
      </c>
      <c r="N149" s="66">
        <f>'Project Database'!R153</f>
        <v/>
      </c>
      <c r="O149" s="66">
        <f>'Project Database'!S153</f>
        <v/>
      </c>
      <c r="P149" s="66">
        <f>'Project Database'!T153</f>
        <v/>
      </c>
      <c r="Q149" s="66">
        <f>'Project Database'!U153</f>
        <v/>
      </c>
      <c r="R149" s="66">
        <f>'Project Database'!V153</f>
        <v/>
      </c>
      <c r="S149" s="66">
        <f>'Project Database'!W153</f>
        <v/>
      </c>
      <c r="T149" s="66">
        <f>'Project Database'!X153</f>
        <v/>
      </c>
      <c r="U149" s="67">
        <f>'Project Database'!Y153</f>
        <v/>
      </c>
      <c r="V149" s="66">
        <f>IF('Smart Search'!B13=1,IFERROR(1/'Smart Search'!H13,0),0)</f>
        <v/>
      </c>
      <c r="W149" s="66">
        <f>IF('Smart Search'!B13=1,IFERROR(1/'Smart Search'!H13,0),0)</f>
        <v/>
      </c>
      <c r="X149" s="66">
        <f>IF('Smart Search'!C13=1,IFERROR(1/'Smart Search'!H13,0),0)</f>
        <v/>
      </c>
      <c r="Y149" s="66">
        <f>IF('Smart Search'!C13=1,IFERROR(1/'Smart Search'!H13,0),0)</f>
        <v/>
      </c>
      <c r="Z149" s="66">
        <f>IF('Smart Search'!D13=1,IFERROR(1/'Smart Search'!H13,0),0)</f>
        <v/>
      </c>
      <c r="AA149" s="66">
        <f>IF('Smart Search'!D13=1,IFERROR(1/'Smart Search'!H13,0),0)</f>
        <v/>
      </c>
      <c r="AB149" s="66">
        <f>IF('Smart Search'!E13=1,IFERROR(1/'Smart Search'!H13,0),0)</f>
        <v/>
      </c>
      <c r="AC149" s="66">
        <f>IF('Smart Search'!E13=1,IFERROR(1/'Smart Search'!H13,0),0)</f>
        <v/>
      </c>
      <c r="AD149" s="66">
        <f>IF('Smart Search'!F13=1,IFERROR(1/'Smart Search'!H13,0),0)</f>
        <v/>
      </c>
      <c r="AE149" s="66">
        <f>IF('Smart Search'!F13=1,IFERROR(1/'Smart Search'!H13,0),0)</f>
        <v/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66">
        <f>AF149*V149</f>
        <v/>
      </c>
      <c r="AQ149" s="66">
        <f>AG149*W149</f>
        <v/>
      </c>
      <c r="AR149" s="66">
        <f>AH149*X149</f>
        <v/>
      </c>
      <c r="AS149" s="66">
        <f>AI149*Y149</f>
        <v/>
      </c>
      <c r="AT149" s="66">
        <f>AJ149*Z149</f>
        <v/>
      </c>
      <c r="AU149" s="66">
        <f>AK149*AA149</f>
        <v/>
      </c>
      <c r="AV149" s="66">
        <f>AL149*AB149</f>
        <v/>
      </c>
      <c r="AW149" s="66">
        <f>AM149*AC149</f>
        <v/>
      </c>
      <c r="AX149" s="66">
        <f>AN149*AD149</f>
        <v/>
      </c>
      <c r="AY149" s="66">
        <f>AO149*AE149</f>
        <v/>
      </c>
      <c r="AZ149" s="66">
        <f>'Project Database'!Z153</f>
        <v/>
      </c>
      <c r="BA149" s="66">
        <f>IF(OR(A149="",'Smart Search'!H13=0),"",MAX(0,BE149*BF149*MAX(0,1-BG149)))</f>
        <v/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66">
        <f>IF('Smart Search'!G13=1,IFERROR(1/'Smart Search'!H13,0),0)</f>
        <v/>
      </c>
      <c r="BD149" s="66">
        <f>BB149*BC149</f>
        <v/>
      </c>
      <c r="BE149" s="66">
        <f>AP149+AQ149+AR149+AS149+AT149+AU149+AV149+AW149+AX149+AY149+BD149</f>
        <v/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5">
        <f>IF(AND('Project Database'!A153&lt;&gt;"",OR('Smart Search'!$L$5="",'Smart Search'!$L$5="All",TRIM('Project Database'!D153)=TRIM('Smart Search'!$L$5)),OR(TRIM('Smart Search'!$L$6)="",TRIM('Smart Search'!$L$6)="All",ISNUMBER(SEARCH(SUBSTITUTE(SUBSTITUTE(SUBSTITUTE(TRIM('Smart Search'!$L$6),"~","~~"),"*","~*"),"?","~?"),'Project Database'!C153))),OR('Smart Search'!$L$7="",AND('Project Database'!E153&lt;&gt;"",'Project Database'!E153='Smart Search'!$L$7)),OR('Smart Search'!$L$8="",'Smart Search'!$L$8="All",TRIM('Project Database'!F153)=TRIM('Smart Search'!$L$8))),IF(BA149="","",BA149+ROW()*0.0000000001),"")</f>
        <v/>
      </c>
      <c r="BI149" s="5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>
        <f>IF('Project Database'!A153="","",N('Project Database'!AC153))</f>
        <v/>
      </c>
      <c r="BK149" s="5">
        <f>IF('Project Database'!A153="","",N('Project Database'!AD153))</f>
        <v/>
      </c>
      <c r="BL149" s="5">
        <f>IF('Project Database'!A153="","",N('Project Database'!AE153))</f>
        <v/>
      </c>
      <c r="BM149" s="5">
        <f>IF('Project Database'!A153="","",N('Project Database'!AF153))</f>
        <v/>
      </c>
      <c r="BN149" s="5">
        <f>IF('Project Database'!A153="","",N('Project Database'!AG153))</f>
        <v/>
      </c>
      <c r="BO149" s="5">
        <f>IF('Project Database'!A153="","",N('Project Database'!AH153))</f>
        <v/>
      </c>
      <c r="BP149" s="5">
        <f>IF('Project Database'!A153="","",N('Project Database'!AI153))</f>
        <v/>
      </c>
      <c r="BQ149" s="5">
        <f>IF('Project Database'!A153="","",N('Project Database'!AJ153))</f>
        <v/>
      </c>
      <c r="BR149" s="5">
        <f>IF('Project Database'!A153="","",N('Project Database'!AK153))</f>
        <v/>
      </c>
      <c r="BS149" s="5">
        <f>IF('Project Database'!A153="","",N('Project Database'!AL153))</f>
        <v/>
      </c>
      <c r="BT149" s="5">
        <f>IF('Project Database'!A153="","",N('Project Database'!AM153))</f>
        <v/>
      </c>
      <c r="BU149" s="5">
        <f>IF('Project Database'!A153="","",N('Project Database'!AN153))</f>
        <v/>
      </c>
      <c r="BV149" s="5">
        <f>IF('Project Database'!A153="","",N('Project Database'!AO153))</f>
        <v/>
      </c>
      <c r="BW149" s="5">
        <f>IF('Project Database'!A153="","",N('Project Database'!AP153))</f>
        <v/>
      </c>
      <c r="BX149" s="5">
        <f>IF(A149="","",SUM(BJ149:BW149))</f>
        <v/>
      </c>
      <c r="BY149" s="5">
        <f>IF(A149="","",IFERROR(IF(ISNUMBER(U149),U149,VALUE(SUBSTITUTE(SUBSTITUTE(SUBSTITUTE(UPPER(TRIM(U149)),"M",""),",","")," ",""))),0))</f>
        <v/>
      </c>
    </row>
    <row r="150" ht="15" customHeight="1" s="74">
      <c r="A150" s="66">
        <f>'Project Database'!A154</f>
        <v/>
      </c>
      <c r="B150" s="66">
        <f>'Project Database'!B154</f>
        <v/>
      </c>
      <c r="C150" s="66">
        <f>'Project Database'!G154</f>
        <v/>
      </c>
      <c r="D150" s="66">
        <f>'Project Database'!H154</f>
        <v/>
      </c>
      <c r="E150" s="66">
        <f>'Project Database'!I154</f>
        <v/>
      </c>
      <c r="F150" s="66">
        <f>'Project Database'!J154</f>
        <v/>
      </c>
      <c r="G150" s="66">
        <f>'Project Database'!K154</f>
        <v/>
      </c>
      <c r="H150" s="66">
        <f>'Project Database'!L154</f>
        <v/>
      </c>
      <c r="I150" s="66">
        <f>'Project Database'!M154</f>
        <v/>
      </c>
      <c r="J150" s="66">
        <f>'Project Database'!N154</f>
        <v/>
      </c>
      <c r="K150" s="66">
        <f>'Project Database'!O154</f>
        <v/>
      </c>
      <c r="L150" s="66">
        <f>'Project Database'!P154</f>
        <v/>
      </c>
      <c r="M150" s="66">
        <f>'Project Database'!Q154</f>
        <v/>
      </c>
      <c r="N150" s="66">
        <f>'Project Database'!R154</f>
        <v/>
      </c>
      <c r="O150" s="66">
        <f>'Project Database'!S154</f>
        <v/>
      </c>
      <c r="P150" s="66">
        <f>'Project Database'!T154</f>
        <v/>
      </c>
      <c r="Q150" s="66">
        <f>'Project Database'!U154</f>
        <v/>
      </c>
      <c r="R150" s="66">
        <f>'Project Database'!V154</f>
        <v/>
      </c>
      <c r="S150" s="66">
        <f>'Project Database'!W154</f>
        <v/>
      </c>
      <c r="T150" s="66">
        <f>'Project Database'!X154</f>
        <v/>
      </c>
      <c r="U150" s="67">
        <f>'Project Database'!Y154</f>
        <v/>
      </c>
      <c r="V150" s="66">
        <f>IF('Smart Search'!B13=1,IFERROR(1/'Smart Search'!H13,0),0)</f>
        <v/>
      </c>
      <c r="W150" s="66">
        <f>IF('Smart Search'!B13=1,IFERROR(1/'Smart Search'!H13,0),0)</f>
        <v/>
      </c>
      <c r="X150" s="66">
        <f>IF('Smart Search'!C13=1,IFERROR(1/'Smart Search'!H13,0),0)</f>
        <v/>
      </c>
      <c r="Y150" s="66">
        <f>IF('Smart Search'!C13=1,IFERROR(1/'Smart Search'!H13,0),0)</f>
        <v/>
      </c>
      <c r="Z150" s="66">
        <f>IF('Smart Search'!D13=1,IFERROR(1/'Smart Search'!H13,0),0)</f>
        <v/>
      </c>
      <c r="AA150" s="66">
        <f>IF('Smart Search'!D13=1,IFERROR(1/'Smart Search'!H13,0),0)</f>
        <v/>
      </c>
      <c r="AB150" s="66">
        <f>IF('Smart Search'!E13=1,IFERROR(1/'Smart Search'!H13,0),0)</f>
        <v/>
      </c>
      <c r="AC150" s="66">
        <f>IF('Smart Search'!E13=1,IFERROR(1/'Smart Search'!H13,0),0)</f>
        <v/>
      </c>
      <c r="AD150" s="66">
        <f>IF('Smart Search'!F13=1,IFERROR(1/'Smart Search'!H13,0),0)</f>
        <v/>
      </c>
      <c r="AE150" s="66">
        <f>IF('Smart Search'!F13=1,IFERROR(1/'Smart Search'!H13,0),0)</f>
        <v/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66">
        <f>AF150*V150</f>
        <v/>
      </c>
      <c r="AQ150" s="66">
        <f>AG150*W150</f>
        <v/>
      </c>
      <c r="AR150" s="66">
        <f>AH150*X150</f>
        <v/>
      </c>
      <c r="AS150" s="66">
        <f>AI150*Y150</f>
        <v/>
      </c>
      <c r="AT150" s="66">
        <f>AJ150*Z150</f>
        <v/>
      </c>
      <c r="AU150" s="66">
        <f>AK150*AA150</f>
        <v/>
      </c>
      <c r="AV150" s="66">
        <f>AL150*AB150</f>
        <v/>
      </c>
      <c r="AW150" s="66">
        <f>AM150*AC150</f>
        <v/>
      </c>
      <c r="AX150" s="66">
        <f>AN150*AD150</f>
        <v/>
      </c>
      <c r="AY150" s="66">
        <f>AO150*AE150</f>
        <v/>
      </c>
      <c r="AZ150" s="66">
        <f>'Project Database'!Z154</f>
        <v/>
      </c>
      <c r="BA150" s="66">
        <f>IF(OR(A150="",'Smart Search'!H13=0),"",MAX(0,BE150*BF150*MAX(0,1-BG150)))</f>
        <v/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66">
        <f>IF('Smart Search'!G13=1,IFERROR(1/'Smart Search'!H13,0),0)</f>
        <v/>
      </c>
      <c r="BD150" s="66">
        <f>BB150*BC150</f>
        <v/>
      </c>
      <c r="BE150" s="66">
        <f>AP150+AQ150+AR150+AS150+AT150+AU150+AV150+AW150+AX150+AY150+BD150</f>
        <v/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5">
        <f>IF(AND('Project Database'!A154&lt;&gt;"",OR('Smart Search'!$L$5="",'Smart Search'!$L$5="All",TRIM('Project Database'!D154)=TRIM('Smart Search'!$L$5)),OR(TRIM('Smart Search'!$L$6)="",TRIM('Smart Search'!$L$6)="All",ISNUMBER(SEARCH(SUBSTITUTE(SUBSTITUTE(SUBSTITUTE(TRIM('Smart Search'!$L$6),"~","~~"),"*","~*"),"?","~?"),'Project Database'!C154))),OR('Smart Search'!$L$7="",AND('Project Database'!E154&lt;&gt;"",'Project Database'!E154='Smart Search'!$L$7)),OR('Smart Search'!$L$8="",'Smart Search'!$L$8="All",TRIM('Project Database'!F154)=TRIM('Smart Search'!$L$8))),IF(BA150="","",BA150+ROW()*0.0000000001),"")</f>
        <v/>
      </c>
      <c r="BI150" s="5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>
        <f>IF('Project Database'!A154="","",N('Project Database'!AC154))</f>
        <v/>
      </c>
      <c r="BK150" s="5">
        <f>IF('Project Database'!A154="","",N('Project Database'!AD154))</f>
        <v/>
      </c>
      <c r="BL150" s="5">
        <f>IF('Project Database'!A154="","",N('Project Database'!AE154))</f>
        <v/>
      </c>
      <c r="BM150" s="5">
        <f>IF('Project Database'!A154="","",N('Project Database'!AF154))</f>
        <v/>
      </c>
      <c r="BN150" s="5">
        <f>IF('Project Database'!A154="","",N('Project Database'!AG154))</f>
        <v/>
      </c>
      <c r="BO150" s="5">
        <f>IF('Project Database'!A154="","",N('Project Database'!AH154))</f>
        <v/>
      </c>
      <c r="BP150" s="5">
        <f>IF('Project Database'!A154="","",N('Project Database'!AI154))</f>
        <v/>
      </c>
      <c r="BQ150" s="5">
        <f>IF('Project Database'!A154="","",N('Project Database'!AJ154))</f>
        <v/>
      </c>
      <c r="BR150" s="5">
        <f>IF('Project Database'!A154="","",N('Project Database'!AK154))</f>
        <v/>
      </c>
      <c r="BS150" s="5">
        <f>IF('Project Database'!A154="","",N('Project Database'!AL154))</f>
        <v/>
      </c>
      <c r="BT150" s="5">
        <f>IF('Project Database'!A154="","",N('Project Database'!AM154))</f>
        <v/>
      </c>
      <c r="BU150" s="5">
        <f>IF('Project Database'!A154="","",N('Project Database'!AN154))</f>
        <v/>
      </c>
      <c r="BV150" s="5">
        <f>IF('Project Database'!A154="","",N('Project Database'!AO154))</f>
        <v/>
      </c>
      <c r="BW150" s="5">
        <f>IF('Project Database'!A154="","",N('Project Database'!AP154))</f>
        <v/>
      </c>
      <c r="BX150" s="5">
        <f>IF(A150="","",SUM(BJ150:BW150))</f>
        <v/>
      </c>
      <c r="BY150" s="5">
        <f>IF(A150="","",IFERROR(IF(ISNUMBER(U150),U150,VALUE(SUBSTITUTE(SUBSTITUTE(SUBSTITUTE(UPPER(TRIM(U150)),"M",""),",","")," ",""))),0))</f>
        <v/>
      </c>
    </row>
    <row r="151" ht="15" customHeight="1" s="74">
      <c r="A151" s="66">
        <f>'Project Database'!A155</f>
        <v/>
      </c>
      <c r="B151" s="66">
        <f>'Project Database'!B155</f>
        <v/>
      </c>
      <c r="C151" s="66">
        <f>'Project Database'!G155</f>
        <v/>
      </c>
      <c r="D151" s="66">
        <f>'Project Database'!H155</f>
        <v/>
      </c>
      <c r="E151" s="66">
        <f>'Project Database'!I155</f>
        <v/>
      </c>
      <c r="F151" s="66">
        <f>'Project Database'!J155</f>
        <v/>
      </c>
      <c r="G151" s="66">
        <f>'Project Database'!K155</f>
        <v/>
      </c>
      <c r="H151" s="66">
        <f>'Project Database'!L155</f>
        <v/>
      </c>
      <c r="I151" s="66">
        <f>'Project Database'!M155</f>
        <v/>
      </c>
      <c r="J151" s="66">
        <f>'Project Database'!N155</f>
        <v/>
      </c>
      <c r="K151" s="66">
        <f>'Project Database'!O155</f>
        <v/>
      </c>
      <c r="L151" s="66">
        <f>'Project Database'!P155</f>
        <v/>
      </c>
      <c r="M151" s="66">
        <f>'Project Database'!Q155</f>
        <v/>
      </c>
      <c r="N151" s="66">
        <f>'Project Database'!R155</f>
        <v/>
      </c>
      <c r="O151" s="66">
        <f>'Project Database'!S155</f>
        <v/>
      </c>
      <c r="P151" s="66">
        <f>'Project Database'!T155</f>
        <v/>
      </c>
      <c r="Q151" s="66">
        <f>'Project Database'!U155</f>
        <v/>
      </c>
      <c r="R151" s="66">
        <f>'Project Database'!V155</f>
        <v/>
      </c>
      <c r="S151" s="66">
        <f>'Project Database'!W155</f>
        <v/>
      </c>
      <c r="T151" s="66">
        <f>'Project Database'!X155</f>
        <v/>
      </c>
      <c r="U151" s="67">
        <f>'Project Database'!Y155</f>
        <v/>
      </c>
      <c r="V151" s="66">
        <f>IF('Smart Search'!B13=1,IFERROR(1/'Smart Search'!H13,0),0)</f>
        <v/>
      </c>
      <c r="W151" s="66">
        <f>IF('Smart Search'!B13=1,IFERROR(1/'Smart Search'!H13,0),0)</f>
        <v/>
      </c>
      <c r="X151" s="66">
        <f>IF('Smart Search'!C13=1,IFERROR(1/'Smart Search'!H13,0),0)</f>
        <v/>
      </c>
      <c r="Y151" s="66">
        <f>IF('Smart Search'!C13=1,IFERROR(1/'Smart Search'!H13,0),0)</f>
        <v/>
      </c>
      <c r="Z151" s="66">
        <f>IF('Smart Search'!D13=1,IFERROR(1/'Smart Search'!H13,0),0)</f>
        <v/>
      </c>
      <c r="AA151" s="66">
        <f>IF('Smart Search'!D13=1,IFERROR(1/'Smart Search'!H13,0),0)</f>
        <v/>
      </c>
      <c r="AB151" s="66">
        <f>IF('Smart Search'!E13=1,IFERROR(1/'Smart Search'!H13,0),0)</f>
        <v/>
      </c>
      <c r="AC151" s="66">
        <f>IF('Smart Search'!E13=1,IFERROR(1/'Smart Search'!H13,0),0)</f>
        <v/>
      </c>
      <c r="AD151" s="66">
        <f>IF('Smart Search'!F13=1,IFERROR(1/'Smart Search'!H13,0),0)</f>
        <v/>
      </c>
      <c r="AE151" s="66">
        <f>IF('Smart Search'!F13=1,IFERROR(1/'Smart Search'!H13,0),0)</f>
        <v/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66">
        <f>AF151*V151</f>
        <v/>
      </c>
      <c r="AQ151" s="66">
        <f>AG151*W151</f>
        <v/>
      </c>
      <c r="AR151" s="66">
        <f>AH151*X151</f>
        <v/>
      </c>
      <c r="AS151" s="66">
        <f>AI151*Y151</f>
        <v/>
      </c>
      <c r="AT151" s="66">
        <f>AJ151*Z151</f>
        <v/>
      </c>
      <c r="AU151" s="66">
        <f>AK151*AA151</f>
        <v/>
      </c>
      <c r="AV151" s="66">
        <f>AL151*AB151</f>
        <v/>
      </c>
      <c r="AW151" s="66">
        <f>AM151*AC151</f>
        <v/>
      </c>
      <c r="AX151" s="66">
        <f>AN151*AD151</f>
        <v/>
      </c>
      <c r="AY151" s="66">
        <f>AO151*AE151</f>
        <v/>
      </c>
      <c r="AZ151" s="66">
        <f>'Project Database'!Z155</f>
        <v/>
      </c>
      <c r="BA151" s="66">
        <f>IF(OR(A151="",'Smart Search'!H13=0),"",MAX(0,BE151*BF151*MAX(0,1-BG151)))</f>
        <v/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66">
        <f>IF('Smart Search'!G13=1,IFERROR(1/'Smart Search'!H13,0),0)</f>
        <v/>
      </c>
      <c r="BD151" s="66">
        <f>BB151*BC151</f>
        <v/>
      </c>
      <c r="BE151" s="66">
        <f>AP151+AQ151+AR151+AS151+AT151+AU151+AV151+AW151+AX151+AY151+BD151</f>
        <v/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5">
        <f>IF(AND('Project Database'!A155&lt;&gt;"",OR('Smart Search'!$L$5="",'Smart Search'!$L$5="All",TRIM('Project Database'!D155)=TRIM('Smart Search'!$L$5)),OR(TRIM('Smart Search'!$L$6)="",TRIM('Smart Search'!$L$6)="All",ISNUMBER(SEARCH(SUBSTITUTE(SUBSTITUTE(SUBSTITUTE(TRIM('Smart Search'!$L$6),"~","~~"),"*","~*"),"?","~?"),'Project Database'!C155))),OR('Smart Search'!$L$7="",AND('Project Database'!E155&lt;&gt;"",'Project Database'!E155='Smart Search'!$L$7)),OR('Smart Search'!$L$8="",'Smart Search'!$L$8="All",TRIM('Project Database'!F155)=TRIM('Smart Search'!$L$8))),IF(BA151="","",BA151+ROW()*0.0000000001),"")</f>
        <v/>
      </c>
      <c r="BI151" s="5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>
        <f>IF('Project Database'!A155="","",N('Project Database'!AC155))</f>
        <v/>
      </c>
      <c r="BK151" s="5">
        <f>IF('Project Database'!A155="","",N('Project Database'!AD155))</f>
        <v/>
      </c>
      <c r="BL151" s="5">
        <f>IF('Project Database'!A155="","",N('Project Database'!AE155))</f>
        <v/>
      </c>
      <c r="BM151" s="5">
        <f>IF('Project Database'!A155="","",N('Project Database'!AF155))</f>
        <v/>
      </c>
      <c r="BN151" s="5">
        <f>IF('Project Database'!A155="","",N('Project Database'!AG155))</f>
        <v/>
      </c>
      <c r="BO151" s="5">
        <f>IF('Project Database'!A155="","",N('Project Database'!AH155))</f>
        <v/>
      </c>
      <c r="BP151" s="5">
        <f>IF('Project Database'!A155="","",N('Project Database'!AI155))</f>
        <v/>
      </c>
      <c r="BQ151" s="5">
        <f>IF('Project Database'!A155="","",N('Project Database'!AJ155))</f>
        <v/>
      </c>
      <c r="BR151" s="5">
        <f>IF('Project Database'!A155="","",N('Project Database'!AK155))</f>
        <v/>
      </c>
      <c r="BS151" s="5">
        <f>IF('Project Database'!A155="","",N('Project Database'!AL155))</f>
        <v/>
      </c>
      <c r="BT151" s="5">
        <f>IF('Project Database'!A155="","",N('Project Database'!AM155))</f>
        <v/>
      </c>
      <c r="BU151" s="5">
        <f>IF('Project Database'!A155="","",N('Project Database'!AN155))</f>
        <v/>
      </c>
      <c r="BV151" s="5">
        <f>IF('Project Database'!A155="","",N('Project Database'!AO155))</f>
        <v/>
      </c>
      <c r="BW151" s="5">
        <f>IF('Project Database'!A155="","",N('Project Database'!AP155))</f>
        <v/>
      </c>
      <c r="BX151" s="5">
        <f>IF(A151="","",SUM(BJ151:BW151))</f>
        <v/>
      </c>
      <c r="BY151" s="5">
        <f>IF(A151="","",IFERROR(IF(ISNUMBER(U151),U151,VALUE(SUBSTITUTE(SUBSTITUTE(SUBSTITUTE(UPPER(TRIM(U151)),"M",""),",","")," ",""))),0))</f>
        <v/>
      </c>
    </row>
    <row r="152" ht="15" customHeight="1" s="74">
      <c r="A152" s="66">
        <f>'Project Database'!A156</f>
        <v/>
      </c>
      <c r="B152" s="66">
        <f>'Project Database'!B156</f>
        <v/>
      </c>
      <c r="C152" s="66">
        <f>'Project Database'!G156</f>
        <v/>
      </c>
      <c r="D152" s="66">
        <f>'Project Database'!H156</f>
        <v/>
      </c>
      <c r="E152" s="66">
        <f>'Project Database'!I156</f>
        <v/>
      </c>
      <c r="F152" s="66">
        <f>'Project Database'!J156</f>
        <v/>
      </c>
      <c r="G152" s="66">
        <f>'Project Database'!K156</f>
        <v/>
      </c>
      <c r="H152" s="66">
        <f>'Project Database'!L156</f>
        <v/>
      </c>
      <c r="I152" s="66">
        <f>'Project Database'!M156</f>
        <v/>
      </c>
      <c r="J152" s="66">
        <f>'Project Database'!N156</f>
        <v/>
      </c>
      <c r="K152" s="66">
        <f>'Project Database'!O156</f>
        <v/>
      </c>
      <c r="L152" s="66">
        <f>'Project Database'!P156</f>
        <v/>
      </c>
      <c r="M152" s="66">
        <f>'Project Database'!Q156</f>
        <v/>
      </c>
      <c r="N152" s="66">
        <f>'Project Database'!R156</f>
        <v/>
      </c>
      <c r="O152" s="66">
        <f>'Project Database'!S156</f>
        <v/>
      </c>
      <c r="P152" s="66">
        <f>'Project Database'!T156</f>
        <v/>
      </c>
      <c r="Q152" s="66">
        <f>'Project Database'!U156</f>
        <v/>
      </c>
      <c r="R152" s="66">
        <f>'Project Database'!V156</f>
        <v/>
      </c>
      <c r="S152" s="66">
        <f>'Project Database'!W156</f>
        <v/>
      </c>
      <c r="T152" s="66">
        <f>'Project Database'!X156</f>
        <v/>
      </c>
      <c r="U152" s="67">
        <f>'Project Database'!Y156</f>
        <v/>
      </c>
      <c r="V152" s="66">
        <f>IF('Smart Search'!B13=1,IFERROR(1/'Smart Search'!H13,0),0)</f>
        <v/>
      </c>
      <c r="W152" s="66">
        <f>IF('Smart Search'!B13=1,IFERROR(1/'Smart Search'!H13,0),0)</f>
        <v/>
      </c>
      <c r="X152" s="66">
        <f>IF('Smart Search'!C13=1,IFERROR(1/'Smart Search'!H13,0),0)</f>
        <v/>
      </c>
      <c r="Y152" s="66">
        <f>IF('Smart Search'!C13=1,IFERROR(1/'Smart Search'!H13,0),0)</f>
        <v/>
      </c>
      <c r="Z152" s="66">
        <f>IF('Smart Search'!D13=1,IFERROR(1/'Smart Search'!H13,0),0)</f>
        <v/>
      </c>
      <c r="AA152" s="66">
        <f>IF('Smart Search'!D13=1,IFERROR(1/'Smart Search'!H13,0),0)</f>
        <v/>
      </c>
      <c r="AB152" s="66">
        <f>IF('Smart Search'!E13=1,IFERROR(1/'Smart Search'!H13,0),0)</f>
        <v/>
      </c>
      <c r="AC152" s="66">
        <f>IF('Smart Search'!E13=1,IFERROR(1/'Smart Search'!H13,0),0)</f>
        <v/>
      </c>
      <c r="AD152" s="66">
        <f>IF('Smart Search'!F13=1,IFERROR(1/'Smart Search'!H13,0),0)</f>
        <v/>
      </c>
      <c r="AE152" s="66">
        <f>IF('Smart Search'!F13=1,IFERROR(1/'Smart Search'!H13,0),0)</f>
        <v/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66">
        <f>AF152*V152</f>
        <v/>
      </c>
      <c r="AQ152" s="66">
        <f>AG152*W152</f>
        <v/>
      </c>
      <c r="AR152" s="66">
        <f>AH152*X152</f>
        <v/>
      </c>
      <c r="AS152" s="66">
        <f>AI152*Y152</f>
        <v/>
      </c>
      <c r="AT152" s="66">
        <f>AJ152*Z152</f>
        <v/>
      </c>
      <c r="AU152" s="66">
        <f>AK152*AA152</f>
        <v/>
      </c>
      <c r="AV152" s="66">
        <f>AL152*AB152</f>
        <v/>
      </c>
      <c r="AW152" s="66">
        <f>AM152*AC152</f>
        <v/>
      </c>
      <c r="AX152" s="66">
        <f>AN152*AD152</f>
        <v/>
      </c>
      <c r="AY152" s="66">
        <f>AO152*AE152</f>
        <v/>
      </c>
      <c r="AZ152" s="66">
        <f>'Project Database'!Z156</f>
        <v/>
      </c>
      <c r="BA152" s="66">
        <f>IF(OR(A152="",'Smart Search'!H13=0),"",MAX(0,BE152*BF152*MAX(0,1-BG152)))</f>
        <v/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66">
        <f>IF('Smart Search'!G13=1,IFERROR(1/'Smart Search'!H13,0),0)</f>
        <v/>
      </c>
      <c r="BD152" s="66">
        <f>BB152*BC152</f>
        <v/>
      </c>
      <c r="BE152" s="66">
        <f>AP152+AQ152+AR152+AS152+AT152+AU152+AV152+AW152+AX152+AY152+BD152</f>
        <v/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5">
        <f>IF(AND('Project Database'!A156&lt;&gt;"",OR('Smart Search'!$L$5="",'Smart Search'!$L$5="All",TRIM('Project Database'!D156)=TRIM('Smart Search'!$L$5)),OR(TRIM('Smart Search'!$L$6)="",TRIM('Smart Search'!$L$6)="All",ISNUMBER(SEARCH(SUBSTITUTE(SUBSTITUTE(SUBSTITUTE(TRIM('Smart Search'!$L$6),"~","~~"),"*","~*"),"?","~?"),'Project Database'!C156))),OR('Smart Search'!$L$7="",AND('Project Database'!E156&lt;&gt;"",'Project Database'!E156='Smart Search'!$L$7)),OR('Smart Search'!$L$8="",'Smart Search'!$L$8="All",TRIM('Project Database'!F156)=TRIM('Smart Search'!$L$8))),IF(BA152="","",BA152+ROW()*0.0000000001),"")</f>
        <v/>
      </c>
      <c r="BI152" s="5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>
        <f>IF('Project Database'!A156="","",N('Project Database'!AC156))</f>
        <v/>
      </c>
      <c r="BK152" s="5">
        <f>IF('Project Database'!A156="","",N('Project Database'!AD156))</f>
        <v/>
      </c>
      <c r="BL152" s="5">
        <f>IF('Project Database'!A156="","",N('Project Database'!AE156))</f>
        <v/>
      </c>
      <c r="BM152" s="5">
        <f>IF('Project Database'!A156="","",N('Project Database'!AF156))</f>
        <v/>
      </c>
      <c r="BN152" s="5">
        <f>IF('Project Database'!A156="","",N('Project Database'!AG156))</f>
        <v/>
      </c>
      <c r="BO152" s="5">
        <f>IF('Project Database'!A156="","",N('Project Database'!AH156))</f>
        <v/>
      </c>
      <c r="BP152" s="5">
        <f>IF('Project Database'!A156="","",N('Project Database'!AI156))</f>
        <v/>
      </c>
      <c r="BQ152" s="5">
        <f>IF('Project Database'!A156="","",N('Project Database'!AJ156))</f>
        <v/>
      </c>
      <c r="BR152" s="5">
        <f>IF('Project Database'!A156="","",N('Project Database'!AK156))</f>
        <v/>
      </c>
      <c r="BS152" s="5">
        <f>IF('Project Database'!A156="","",N('Project Database'!AL156))</f>
        <v/>
      </c>
      <c r="BT152" s="5">
        <f>IF('Project Database'!A156="","",N('Project Database'!AM156))</f>
        <v/>
      </c>
      <c r="BU152" s="5">
        <f>IF('Project Database'!A156="","",N('Project Database'!AN156))</f>
        <v/>
      </c>
      <c r="BV152" s="5">
        <f>IF('Project Database'!A156="","",N('Project Database'!AO156))</f>
        <v/>
      </c>
      <c r="BW152" s="5">
        <f>IF('Project Database'!A156="","",N('Project Database'!AP156))</f>
        <v/>
      </c>
      <c r="BX152" s="5">
        <f>IF(A152="","",SUM(BJ152:BW152))</f>
        <v/>
      </c>
      <c r="BY152" s="5">
        <f>IF(A152="","",IFERROR(IF(ISNUMBER(U152),U152,VALUE(SUBSTITUTE(SUBSTITUTE(SUBSTITUTE(UPPER(TRIM(U152)),"M",""),",","")," ",""))),0))</f>
        <v/>
      </c>
    </row>
    <row r="153" ht="15" customHeight="1" s="74">
      <c r="A153" s="66">
        <f>'Project Database'!A157</f>
        <v/>
      </c>
      <c r="B153" s="66">
        <f>'Project Database'!B157</f>
        <v/>
      </c>
      <c r="C153" s="66">
        <f>'Project Database'!G157</f>
        <v/>
      </c>
      <c r="D153" s="66">
        <f>'Project Database'!H157</f>
        <v/>
      </c>
      <c r="E153" s="66">
        <f>'Project Database'!I157</f>
        <v/>
      </c>
      <c r="F153" s="66">
        <f>'Project Database'!J157</f>
        <v/>
      </c>
      <c r="G153" s="66">
        <f>'Project Database'!K157</f>
        <v/>
      </c>
      <c r="H153" s="66">
        <f>'Project Database'!L157</f>
        <v/>
      </c>
      <c r="I153" s="66">
        <f>'Project Database'!M157</f>
        <v/>
      </c>
      <c r="J153" s="66">
        <f>'Project Database'!N157</f>
        <v/>
      </c>
      <c r="K153" s="66">
        <f>'Project Database'!O157</f>
        <v/>
      </c>
      <c r="L153" s="66">
        <f>'Project Database'!P157</f>
        <v/>
      </c>
      <c r="M153" s="66">
        <f>'Project Database'!Q157</f>
        <v/>
      </c>
      <c r="N153" s="66">
        <f>'Project Database'!R157</f>
        <v/>
      </c>
      <c r="O153" s="66">
        <f>'Project Database'!S157</f>
        <v/>
      </c>
      <c r="P153" s="66">
        <f>'Project Database'!T157</f>
        <v/>
      </c>
      <c r="Q153" s="66">
        <f>'Project Database'!U157</f>
        <v/>
      </c>
      <c r="R153" s="66">
        <f>'Project Database'!V157</f>
        <v/>
      </c>
      <c r="S153" s="66">
        <f>'Project Database'!W157</f>
        <v/>
      </c>
      <c r="T153" s="66">
        <f>'Project Database'!X157</f>
        <v/>
      </c>
      <c r="U153" s="67">
        <f>'Project Database'!Y157</f>
        <v/>
      </c>
      <c r="V153" s="66">
        <f>IF('Smart Search'!B13=1,IFERROR(1/'Smart Search'!H13,0),0)</f>
        <v/>
      </c>
      <c r="W153" s="66">
        <f>IF('Smart Search'!B13=1,IFERROR(1/'Smart Search'!H13,0),0)</f>
        <v/>
      </c>
      <c r="X153" s="66">
        <f>IF('Smart Search'!C13=1,IFERROR(1/'Smart Search'!H13,0),0)</f>
        <v/>
      </c>
      <c r="Y153" s="66">
        <f>IF('Smart Search'!C13=1,IFERROR(1/'Smart Search'!H13,0),0)</f>
        <v/>
      </c>
      <c r="Z153" s="66">
        <f>IF('Smart Search'!D13=1,IFERROR(1/'Smart Search'!H13,0),0)</f>
        <v/>
      </c>
      <c r="AA153" s="66">
        <f>IF('Smart Search'!D13=1,IFERROR(1/'Smart Search'!H13,0),0)</f>
        <v/>
      </c>
      <c r="AB153" s="66">
        <f>IF('Smart Search'!E13=1,IFERROR(1/'Smart Search'!H13,0),0)</f>
        <v/>
      </c>
      <c r="AC153" s="66">
        <f>IF('Smart Search'!E13=1,IFERROR(1/'Smart Search'!H13,0),0)</f>
        <v/>
      </c>
      <c r="AD153" s="66">
        <f>IF('Smart Search'!F13=1,IFERROR(1/'Smart Search'!H13,0),0)</f>
        <v/>
      </c>
      <c r="AE153" s="66">
        <f>IF('Smart Search'!F13=1,IFERROR(1/'Smart Search'!H13,0),0)</f>
        <v/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66">
        <f>AF153*V153</f>
        <v/>
      </c>
      <c r="AQ153" s="66">
        <f>AG153*W153</f>
        <v/>
      </c>
      <c r="AR153" s="66">
        <f>AH153*X153</f>
        <v/>
      </c>
      <c r="AS153" s="66">
        <f>AI153*Y153</f>
        <v/>
      </c>
      <c r="AT153" s="66">
        <f>AJ153*Z153</f>
        <v/>
      </c>
      <c r="AU153" s="66">
        <f>AK153*AA153</f>
        <v/>
      </c>
      <c r="AV153" s="66">
        <f>AL153*AB153</f>
        <v/>
      </c>
      <c r="AW153" s="66">
        <f>AM153*AC153</f>
        <v/>
      </c>
      <c r="AX153" s="66">
        <f>AN153*AD153</f>
        <v/>
      </c>
      <c r="AY153" s="66">
        <f>AO153*AE153</f>
        <v/>
      </c>
      <c r="AZ153" s="66">
        <f>'Project Database'!Z157</f>
        <v/>
      </c>
      <c r="BA153" s="66">
        <f>IF(OR(A153="",'Smart Search'!H13=0),"",MAX(0,BE153*BF153*MAX(0,1-BG153)))</f>
        <v/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66">
        <f>IF('Smart Search'!G13=1,IFERROR(1/'Smart Search'!H13,0),0)</f>
        <v/>
      </c>
      <c r="BD153" s="66">
        <f>BB153*BC153</f>
        <v/>
      </c>
      <c r="BE153" s="66">
        <f>AP153+AQ153+AR153+AS153+AT153+AU153+AV153+AW153+AX153+AY153+BD153</f>
        <v/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5">
        <f>IF(AND('Project Database'!A157&lt;&gt;"",OR('Smart Search'!$L$5="",'Smart Search'!$L$5="All",TRIM('Project Database'!D157)=TRIM('Smart Search'!$L$5)),OR(TRIM('Smart Search'!$L$6)="",TRIM('Smart Search'!$L$6)="All",ISNUMBER(SEARCH(SUBSTITUTE(SUBSTITUTE(SUBSTITUTE(TRIM('Smart Search'!$L$6),"~","~~"),"*","~*"),"?","~?"),'Project Database'!C157))),OR('Smart Search'!$L$7="",AND('Project Database'!E157&lt;&gt;"",'Project Database'!E157='Smart Search'!$L$7)),OR('Smart Search'!$L$8="",'Smart Search'!$L$8="All",TRIM('Project Database'!F157)=TRIM('Smart Search'!$L$8))),IF(BA153="","",BA153+ROW()*0.0000000001),"")</f>
        <v/>
      </c>
      <c r="BI153" s="5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>
        <f>IF('Project Database'!A157="","",N('Project Database'!AC157))</f>
        <v/>
      </c>
      <c r="BK153" s="5">
        <f>IF('Project Database'!A157="","",N('Project Database'!AD157))</f>
        <v/>
      </c>
      <c r="BL153" s="5">
        <f>IF('Project Database'!A157="","",N('Project Database'!AE157))</f>
        <v/>
      </c>
      <c r="BM153" s="5">
        <f>IF('Project Database'!A157="","",N('Project Database'!AF157))</f>
        <v/>
      </c>
      <c r="BN153" s="5">
        <f>IF('Project Database'!A157="","",N('Project Database'!AG157))</f>
        <v/>
      </c>
      <c r="BO153" s="5">
        <f>IF('Project Database'!A157="","",N('Project Database'!AH157))</f>
        <v/>
      </c>
      <c r="BP153" s="5">
        <f>IF('Project Database'!A157="","",N('Project Database'!AI157))</f>
        <v/>
      </c>
      <c r="BQ153" s="5">
        <f>IF('Project Database'!A157="","",N('Project Database'!AJ157))</f>
        <v/>
      </c>
      <c r="BR153" s="5">
        <f>IF('Project Database'!A157="","",N('Project Database'!AK157))</f>
        <v/>
      </c>
      <c r="BS153" s="5">
        <f>IF('Project Database'!A157="","",N('Project Database'!AL157))</f>
        <v/>
      </c>
      <c r="BT153" s="5">
        <f>IF('Project Database'!A157="","",N('Project Database'!AM157))</f>
        <v/>
      </c>
      <c r="BU153" s="5">
        <f>IF('Project Database'!A157="","",N('Project Database'!AN157))</f>
        <v/>
      </c>
      <c r="BV153" s="5">
        <f>IF('Project Database'!A157="","",N('Project Database'!AO157))</f>
        <v/>
      </c>
      <c r="BW153" s="5">
        <f>IF('Project Database'!A157="","",N('Project Database'!AP157))</f>
        <v/>
      </c>
      <c r="BX153" s="5">
        <f>IF(A153="","",SUM(BJ153:BW153))</f>
        <v/>
      </c>
      <c r="BY153" s="5">
        <f>IF(A153="","",IFERROR(IF(ISNUMBER(U153),U153,VALUE(SUBSTITUTE(SUBSTITUTE(SUBSTITUTE(UPPER(TRIM(U153)),"M",""),",","")," ",""))),0))</f>
        <v/>
      </c>
    </row>
    <row r="154" ht="15" customHeight="1" s="74">
      <c r="A154" s="66">
        <f>'Project Database'!A158</f>
        <v/>
      </c>
      <c r="B154" s="66">
        <f>'Project Database'!B158</f>
        <v/>
      </c>
      <c r="C154" s="66">
        <f>'Project Database'!G158</f>
        <v/>
      </c>
      <c r="D154" s="66">
        <f>'Project Database'!H158</f>
        <v/>
      </c>
      <c r="E154" s="66">
        <f>'Project Database'!I158</f>
        <v/>
      </c>
      <c r="F154" s="66">
        <f>'Project Database'!J158</f>
        <v/>
      </c>
      <c r="G154" s="66">
        <f>'Project Database'!K158</f>
        <v/>
      </c>
      <c r="H154" s="66">
        <f>'Project Database'!L158</f>
        <v/>
      </c>
      <c r="I154" s="66">
        <f>'Project Database'!M158</f>
        <v/>
      </c>
      <c r="J154" s="66">
        <f>'Project Database'!N158</f>
        <v/>
      </c>
      <c r="K154" s="66">
        <f>'Project Database'!O158</f>
        <v/>
      </c>
      <c r="L154" s="66">
        <f>'Project Database'!P158</f>
        <v/>
      </c>
      <c r="M154" s="66">
        <f>'Project Database'!Q158</f>
        <v/>
      </c>
      <c r="N154" s="66">
        <f>'Project Database'!R158</f>
        <v/>
      </c>
      <c r="O154" s="66">
        <f>'Project Database'!S158</f>
        <v/>
      </c>
      <c r="P154" s="66">
        <f>'Project Database'!T158</f>
        <v/>
      </c>
      <c r="Q154" s="66">
        <f>'Project Database'!U158</f>
        <v/>
      </c>
      <c r="R154" s="66">
        <f>'Project Database'!V158</f>
        <v/>
      </c>
      <c r="S154" s="66">
        <f>'Project Database'!W158</f>
        <v/>
      </c>
      <c r="T154" s="66">
        <f>'Project Database'!X158</f>
        <v/>
      </c>
      <c r="U154" s="67">
        <f>'Project Database'!Y158</f>
        <v/>
      </c>
      <c r="V154" s="66">
        <f>IF('Smart Search'!B13=1,IFERROR(1/'Smart Search'!H13,0),0)</f>
        <v/>
      </c>
      <c r="W154" s="66">
        <f>IF('Smart Search'!B13=1,IFERROR(1/'Smart Search'!H13,0),0)</f>
        <v/>
      </c>
      <c r="X154" s="66">
        <f>IF('Smart Search'!C13=1,IFERROR(1/'Smart Search'!H13,0),0)</f>
        <v/>
      </c>
      <c r="Y154" s="66">
        <f>IF('Smart Search'!C13=1,IFERROR(1/'Smart Search'!H13,0),0)</f>
        <v/>
      </c>
      <c r="Z154" s="66">
        <f>IF('Smart Search'!D13=1,IFERROR(1/'Smart Search'!H13,0),0)</f>
        <v/>
      </c>
      <c r="AA154" s="66">
        <f>IF('Smart Search'!D13=1,IFERROR(1/'Smart Search'!H13,0),0)</f>
        <v/>
      </c>
      <c r="AB154" s="66">
        <f>IF('Smart Search'!E13=1,IFERROR(1/'Smart Search'!H13,0),0)</f>
        <v/>
      </c>
      <c r="AC154" s="66">
        <f>IF('Smart Search'!E13=1,IFERROR(1/'Smart Search'!H13,0),0)</f>
        <v/>
      </c>
      <c r="AD154" s="66">
        <f>IF('Smart Search'!F13=1,IFERROR(1/'Smart Search'!H13,0),0)</f>
        <v/>
      </c>
      <c r="AE154" s="66">
        <f>IF('Smart Search'!F13=1,IFERROR(1/'Smart Search'!H13,0),0)</f>
        <v/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66">
        <f>AF154*V154</f>
        <v/>
      </c>
      <c r="AQ154" s="66">
        <f>AG154*W154</f>
        <v/>
      </c>
      <c r="AR154" s="66">
        <f>AH154*X154</f>
        <v/>
      </c>
      <c r="AS154" s="66">
        <f>AI154*Y154</f>
        <v/>
      </c>
      <c r="AT154" s="66">
        <f>AJ154*Z154</f>
        <v/>
      </c>
      <c r="AU154" s="66">
        <f>AK154*AA154</f>
        <v/>
      </c>
      <c r="AV154" s="66">
        <f>AL154*AB154</f>
        <v/>
      </c>
      <c r="AW154" s="66">
        <f>AM154*AC154</f>
        <v/>
      </c>
      <c r="AX154" s="66">
        <f>AN154*AD154</f>
        <v/>
      </c>
      <c r="AY154" s="66">
        <f>AO154*AE154</f>
        <v/>
      </c>
      <c r="AZ154" s="66">
        <f>'Project Database'!Z158</f>
        <v/>
      </c>
      <c r="BA154" s="66">
        <f>IF(OR(A154="",'Smart Search'!H13=0),"",MAX(0,BE154*BF154*MAX(0,1-BG154)))</f>
        <v/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66">
        <f>IF('Smart Search'!G13=1,IFERROR(1/'Smart Search'!H13,0),0)</f>
        <v/>
      </c>
      <c r="BD154" s="66">
        <f>BB154*BC154</f>
        <v/>
      </c>
      <c r="BE154" s="66">
        <f>AP154+AQ154+AR154+AS154+AT154+AU154+AV154+AW154+AX154+AY154+BD154</f>
        <v/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5">
        <f>IF(AND('Project Database'!A158&lt;&gt;"",OR('Smart Search'!$L$5="",'Smart Search'!$L$5="All",TRIM('Project Database'!D158)=TRIM('Smart Search'!$L$5)),OR(TRIM('Smart Search'!$L$6)="",TRIM('Smart Search'!$L$6)="All",ISNUMBER(SEARCH(SUBSTITUTE(SUBSTITUTE(SUBSTITUTE(TRIM('Smart Search'!$L$6),"~","~~"),"*","~*"),"?","~?"),'Project Database'!C158))),OR('Smart Search'!$L$7="",AND('Project Database'!E158&lt;&gt;"",'Project Database'!E158='Smart Search'!$L$7)),OR('Smart Search'!$L$8="",'Smart Search'!$L$8="All",TRIM('Project Database'!F158)=TRIM('Smart Search'!$L$8))),IF(BA154="","",BA154+ROW()*0.0000000001),"")</f>
        <v/>
      </c>
      <c r="BI154" s="5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>
        <f>IF('Project Database'!A158="","",N('Project Database'!AC158))</f>
        <v/>
      </c>
      <c r="BK154" s="5">
        <f>IF('Project Database'!A158="","",N('Project Database'!AD158))</f>
        <v/>
      </c>
      <c r="BL154" s="5">
        <f>IF('Project Database'!A158="","",N('Project Database'!AE158))</f>
        <v/>
      </c>
      <c r="BM154" s="5">
        <f>IF('Project Database'!A158="","",N('Project Database'!AF158))</f>
        <v/>
      </c>
      <c r="BN154" s="5">
        <f>IF('Project Database'!A158="","",N('Project Database'!AG158))</f>
        <v/>
      </c>
      <c r="BO154" s="5">
        <f>IF('Project Database'!A158="","",N('Project Database'!AH158))</f>
        <v/>
      </c>
      <c r="BP154" s="5">
        <f>IF('Project Database'!A158="","",N('Project Database'!AI158))</f>
        <v/>
      </c>
      <c r="BQ154" s="5">
        <f>IF('Project Database'!A158="","",N('Project Database'!AJ158))</f>
        <v/>
      </c>
      <c r="BR154" s="5">
        <f>IF('Project Database'!A158="","",N('Project Database'!AK158))</f>
        <v/>
      </c>
      <c r="BS154" s="5">
        <f>IF('Project Database'!A158="","",N('Project Database'!AL158))</f>
        <v/>
      </c>
      <c r="BT154" s="5">
        <f>IF('Project Database'!A158="","",N('Project Database'!AM158))</f>
        <v/>
      </c>
      <c r="BU154" s="5">
        <f>IF('Project Database'!A158="","",N('Project Database'!AN158))</f>
        <v/>
      </c>
      <c r="BV154" s="5">
        <f>IF('Project Database'!A158="","",N('Project Database'!AO158))</f>
        <v/>
      </c>
      <c r="BW154" s="5">
        <f>IF('Project Database'!A158="","",N('Project Database'!AP158))</f>
        <v/>
      </c>
      <c r="BX154" s="5">
        <f>IF(A154="","",SUM(BJ154:BW154))</f>
        <v/>
      </c>
      <c r="BY154" s="5">
        <f>IF(A154="","",IFERROR(IF(ISNUMBER(U154),U154,VALUE(SUBSTITUTE(SUBSTITUTE(SUBSTITUTE(UPPER(TRIM(U154)),"M",""),",","")," ",""))),0))</f>
        <v/>
      </c>
    </row>
    <row r="155" ht="15" customHeight="1" s="74">
      <c r="A155" s="66">
        <f>'Project Database'!A159</f>
        <v/>
      </c>
      <c r="B155" s="66">
        <f>'Project Database'!B159</f>
        <v/>
      </c>
      <c r="C155" s="66">
        <f>'Project Database'!G159</f>
        <v/>
      </c>
      <c r="D155" s="66">
        <f>'Project Database'!H159</f>
        <v/>
      </c>
      <c r="E155" s="66">
        <f>'Project Database'!I159</f>
        <v/>
      </c>
      <c r="F155" s="66">
        <f>'Project Database'!J159</f>
        <v/>
      </c>
      <c r="G155" s="66">
        <f>'Project Database'!K159</f>
        <v/>
      </c>
      <c r="H155" s="66">
        <f>'Project Database'!L159</f>
        <v/>
      </c>
      <c r="I155" s="66">
        <f>'Project Database'!M159</f>
        <v/>
      </c>
      <c r="J155" s="66">
        <f>'Project Database'!N159</f>
        <v/>
      </c>
      <c r="K155" s="66">
        <f>'Project Database'!O159</f>
        <v/>
      </c>
      <c r="L155" s="66">
        <f>'Project Database'!P159</f>
        <v/>
      </c>
      <c r="M155" s="66">
        <f>'Project Database'!Q159</f>
        <v/>
      </c>
      <c r="N155" s="66">
        <f>'Project Database'!R159</f>
        <v/>
      </c>
      <c r="O155" s="66">
        <f>'Project Database'!S159</f>
        <v/>
      </c>
      <c r="P155" s="66">
        <f>'Project Database'!T159</f>
        <v/>
      </c>
      <c r="Q155" s="66">
        <f>'Project Database'!U159</f>
        <v/>
      </c>
      <c r="R155" s="66">
        <f>'Project Database'!V159</f>
        <v/>
      </c>
      <c r="S155" s="66">
        <f>'Project Database'!W159</f>
        <v/>
      </c>
      <c r="T155" s="66">
        <f>'Project Database'!X159</f>
        <v/>
      </c>
      <c r="U155" s="67">
        <f>'Project Database'!Y159</f>
        <v/>
      </c>
      <c r="V155" s="66">
        <f>IF('Smart Search'!B13=1,IFERROR(1/'Smart Search'!H13,0),0)</f>
        <v/>
      </c>
      <c r="W155" s="66">
        <f>IF('Smart Search'!B13=1,IFERROR(1/'Smart Search'!H13,0),0)</f>
        <v/>
      </c>
      <c r="X155" s="66">
        <f>IF('Smart Search'!C13=1,IFERROR(1/'Smart Search'!H13,0),0)</f>
        <v/>
      </c>
      <c r="Y155" s="66">
        <f>IF('Smart Search'!C13=1,IFERROR(1/'Smart Search'!H13,0),0)</f>
        <v/>
      </c>
      <c r="Z155" s="66">
        <f>IF('Smart Search'!D13=1,IFERROR(1/'Smart Search'!H13,0),0)</f>
        <v/>
      </c>
      <c r="AA155" s="66">
        <f>IF('Smart Search'!D13=1,IFERROR(1/'Smart Search'!H13,0),0)</f>
        <v/>
      </c>
      <c r="AB155" s="66">
        <f>IF('Smart Search'!E13=1,IFERROR(1/'Smart Search'!H13,0),0)</f>
        <v/>
      </c>
      <c r="AC155" s="66">
        <f>IF('Smart Search'!E13=1,IFERROR(1/'Smart Search'!H13,0),0)</f>
        <v/>
      </c>
      <c r="AD155" s="66">
        <f>IF('Smart Search'!F13=1,IFERROR(1/'Smart Search'!H13,0),0)</f>
        <v/>
      </c>
      <c r="AE155" s="66">
        <f>IF('Smart Search'!F13=1,IFERROR(1/'Smart Search'!H13,0),0)</f>
        <v/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66">
        <f>AF155*V155</f>
        <v/>
      </c>
      <c r="AQ155" s="66">
        <f>AG155*W155</f>
        <v/>
      </c>
      <c r="AR155" s="66">
        <f>AH155*X155</f>
        <v/>
      </c>
      <c r="AS155" s="66">
        <f>AI155*Y155</f>
        <v/>
      </c>
      <c r="AT155" s="66">
        <f>AJ155*Z155</f>
        <v/>
      </c>
      <c r="AU155" s="66">
        <f>AK155*AA155</f>
        <v/>
      </c>
      <c r="AV155" s="66">
        <f>AL155*AB155</f>
        <v/>
      </c>
      <c r="AW155" s="66">
        <f>AM155*AC155</f>
        <v/>
      </c>
      <c r="AX155" s="66">
        <f>AN155*AD155</f>
        <v/>
      </c>
      <c r="AY155" s="66">
        <f>AO155*AE155</f>
        <v/>
      </c>
      <c r="AZ155" s="66">
        <f>'Project Database'!Z159</f>
        <v/>
      </c>
      <c r="BA155" s="66">
        <f>IF(OR(A155="",'Smart Search'!H13=0),"",MAX(0,BE155*BF155*MAX(0,1-BG155)))</f>
        <v/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66">
        <f>IF('Smart Search'!G13=1,IFERROR(1/'Smart Search'!H13,0),0)</f>
        <v/>
      </c>
      <c r="BD155" s="66">
        <f>BB155*BC155</f>
        <v/>
      </c>
      <c r="BE155" s="66">
        <f>AP155+AQ155+AR155+AS155+AT155+AU155+AV155+AW155+AX155+AY155+BD155</f>
        <v/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5">
        <f>IF(AND('Project Database'!A159&lt;&gt;"",OR('Smart Search'!$L$5="",'Smart Search'!$L$5="All",TRIM('Project Database'!D159)=TRIM('Smart Search'!$L$5)),OR(TRIM('Smart Search'!$L$6)="",TRIM('Smart Search'!$L$6)="All",ISNUMBER(SEARCH(SUBSTITUTE(SUBSTITUTE(SUBSTITUTE(TRIM('Smart Search'!$L$6),"~","~~"),"*","~*"),"?","~?"),'Project Database'!C159))),OR('Smart Search'!$L$7="",AND('Project Database'!E159&lt;&gt;"",'Project Database'!E159='Smart Search'!$L$7)),OR('Smart Search'!$L$8="",'Smart Search'!$L$8="All",TRIM('Project Database'!F159)=TRIM('Smart Search'!$L$8))),IF(BA155="","",BA155+ROW()*0.0000000001),"")</f>
        <v/>
      </c>
      <c r="BI155" s="5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>
        <f>IF('Project Database'!A159="","",N('Project Database'!AC159))</f>
        <v/>
      </c>
      <c r="BK155" s="5">
        <f>IF('Project Database'!A159="","",N('Project Database'!AD159))</f>
        <v/>
      </c>
      <c r="BL155" s="5">
        <f>IF('Project Database'!A159="","",N('Project Database'!AE159))</f>
        <v/>
      </c>
      <c r="BM155" s="5">
        <f>IF('Project Database'!A159="","",N('Project Database'!AF159))</f>
        <v/>
      </c>
      <c r="BN155" s="5">
        <f>IF('Project Database'!A159="","",N('Project Database'!AG159))</f>
        <v/>
      </c>
      <c r="BO155" s="5">
        <f>IF('Project Database'!A159="","",N('Project Database'!AH159))</f>
        <v/>
      </c>
      <c r="BP155" s="5">
        <f>IF('Project Database'!A159="","",N('Project Database'!AI159))</f>
        <v/>
      </c>
      <c r="BQ155" s="5">
        <f>IF('Project Database'!A159="","",N('Project Database'!AJ159))</f>
        <v/>
      </c>
      <c r="BR155" s="5">
        <f>IF('Project Database'!A159="","",N('Project Database'!AK159))</f>
        <v/>
      </c>
      <c r="BS155" s="5">
        <f>IF('Project Database'!A159="","",N('Project Database'!AL159))</f>
        <v/>
      </c>
      <c r="BT155" s="5">
        <f>IF('Project Database'!A159="","",N('Project Database'!AM159))</f>
        <v/>
      </c>
      <c r="BU155" s="5">
        <f>IF('Project Database'!A159="","",N('Project Database'!AN159))</f>
        <v/>
      </c>
      <c r="BV155" s="5">
        <f>IF('Project Database'!A159="","",N('Project Database'!AO159))</f>
        <v/>
      </c>
      <c r="BW155" s="5">
        <f>IF('Project Database'!A159="","",N('Project Database'!AP159))</f>
        <v/>
      </c>
      <c r="BX155" s="5">
        <f>IF(A155="","",SUM(BJ155:BW155))</f>
        <v/>
      </c>
      <c r="BY155" s="5">
        <f>IF(A155="","",IFERROR(IF(ISNUMBER(U155),U155,VALUE(SUBSTITUTE(SUBSTITUTE(SUBSTITUTE(UPPER(TRIM(U155)),"M",""),",","")," ",""))),0))</f>
        <v/>
      </c>
    </row>
    <row r="156" ht="15" customHeight="1" s="74">
      <c r="A156" s="66">
        <f>'Project Database'!A160</f>
        <v/>
      </c>
      <c r="B156" s="66">
        <f>'Project Database'!B160</f>
        <v/>
      </c>
      <c r="C156" s="66">
        <f>'Project Database'!G160</f>
        <v/>
      </c>
      <c r="D156" s="66">
        <f>'Project Database'!H160</f>
        <v/>
      </c>
      <c r="E156" s="66">
        <f>'Project Database'!I160</f>
        <v/>
      </c>
      <c r="F156" s="66">
        <f>'Project Database'!J160</f>
        <v/>
      </c>
      <c r="G156" s="66">
        <f>'Project Database'!K160</f>
        <v/>
      </c>
      <c r="H156" s="66">
        <f>'Project Database'!L160</f>
        <v/>
      </c>
      <c r="I156" s="66">
        <f>'Project Database'!M160</f>
        <v/>
      </c>
      <c r="J156" s="66">
        <f>'Project Database'!N160</f>
        <v/>
      </c>
      <c r="K156" s="66">
        <f>'Project Database'!O160</f>
        <v/>
      </c>
      <c r="L156" s="66">
        <f>'Project Database'!P160</f>
        <v/>
      </c>
      <c r="M156" s="66">
        <f>'Project Database'!Q160</f>
        <v/>
      </c>
      <c r="N156" s="66">
        <f>'Project Database'!R160</f>
        <v/>
      </c>
      <c r="O156" s="66">
        <f>'Project Database'!S160</f>
        <v/>
      </c>
      <c r="P156" s="66">
        <f>'Project Database'!T160</f>
        <v/>
      </c>
      <c r="Q156" s="66">
        <f>'Project Database'!U160</f>
        <v/>
      </c>
      <c r="R156" s="66">
        <f>'Project Database'!V160</f>
        <v/>
      </c>
      <c r="S156" s="66">
        <f>'Project Database'!W160</f>
        <v/>
      </c>
      <c r="T156" s="66">
        <f>'Project Database'!X160</f>
        <v/>
      </c>
      <c r="U156" s="67">
        <f>'Project Database'!Y160</f>
        <v/>
      </c>
      <c r="V156" s="66">
        <f>IF('Smart Search'!B13=1,IFERROR(1/'Smart Search'!H13,0),0)</f>
        <v/>
      </c>
      <c r="W156" s="66">
        <f>IF('Smart Search'!B13=1,IFERROR(1/'Smart Search'!H13,0),0)</f>
        <v/>
      </c>
      <c r="X156" s="66">
        <f>IF('Smart Search'!C13=1,IFERROR(1/'Smart Search'!H13,0),0)</f>
        <v/>
      </c>
      <c r="Y156" s="66">
        <f>IF('Smart Search'!C13=1,IFERROR(1/'Smart Search'!H13,0),0)</f>
        <v/>
      </c>
      <c r="Z156" s="66">
        <f>IF('Smart Search'!D13=1,IFERROR(1/'Smart Search'!H13,0),0)</f>
        <v/>
      </c>
      <c r="AA156" s="66">
        <f>IF('Smart Search'!D13=1,IFERROR(1/'Smart Search'!H13,0),0)</f>
        <v/>
      </c>
      <c r="AB156" s="66">
        <f>IF('Smart Search'!E13=1,IFERROR(1/'Smart Search'!H13,0),0)</f>
        <v/>
      </c>
      <c r="AC156" s="66">
        <f>IF('Smart Search'!E13=1,IFERROR(1/'Smart Search'!H13,0),0)</f>
        <v/>
      </c>
      <c r="AD156" s="66">
        <f>IF('Smart Search'!F13=1,IFERROR(1/'Smart Search'!H13,0),0)</f>
        <v/>
      </c>
      <c r="AE156" s="66">
        <f>IF('Smart Search'!F13=1,IFERROR(1/'Smart Search'!H13,0),0)</f>
        <v/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66">
        <f>AF156*V156</f>
        <v/>
      </c>
      <c r="AQ156" s="66">
        <f>AG156*W156</f>
        <v/>
      </c>
      <c r="AR156" s="66">
        <f>AH156*X156</f>
        <v/>
      </c>
      <c r="AS156" s="66">
        <f>AI156*Y156</f>
        <v/>
      </c>
      <c r="AT156" s="66">
        <f>AJ156*Z156</f>
        <v/>
      </c>
      <c r="AU156" s="66">
        <f>AK156*AA156</f>
        <v/>
      </c>
      <c r="AV156" s="66">
        <f>AL156*AB156</f>
        <v/>
      </c>
      <c r="AW156" s="66">
        <f>AM156*AC156</f>
        <v/>
      </c>
      <c r="AX156" s="66">
        <f>AN156*AD156</f>
        <v/>
      </c>
      <c r="AY156" s="66">
        <f>AO156*AE156</f>
        <v/>
      </c>
      <c r="AZ156" s="66">
        <f>'Project Database'!Z160</f>
        <v/>
      </c>
      <c r="BA156" s="66">
        <f>IF(OR(A156="",'Smart Search'!H13=0),"",MAX(0,BE156*BF156*MAX(0,1-BG156)))</f>
        <v/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66">
        <f>IF('Smart Search'!G13=1,IFERROR(1/'Smart Search'!H13,0),0)</f>
        <v/>
      </c>
      <c r="BD156" s="66">
        <f>BB156*BC156</f>
        <v/>
      </c>
      <c r="BE156" s="66">
        <f>AP156+AQ156+AR156+AS156+AT156+AU156+AV156+AW156+AX156+AY156+BD156</f>
        <v/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5">
        <f>IF(AND('Project Database'!A160&lt;&gt;"",OR('Smart Search'!$L$5="",'Smart Search'!$L$5="All",TRIM('Project Database'!D160)=TRIM('Smart Search'!$L$5)),OR(TRIM('Smart Search'!$L$6)="",TRIM('Smart Search'!$L$6)="All",ISNUMBER(SEARCH(SUBSTITUTE(SUBSTITUTE(SUBSTITUTE(TRIM('Smart Search'!$L$6),"~","~~"),"*","~*"),"?","~?"),'Project Database'!C160))),OR('Smart Search'!$L$7="",AND('Project Database'!E160&lt;&gt;"",'Project Database'!E160='Smart Search'!$L$7)),OR('Smart Search'!$L$8="",'Smart Search'!$L$8="All",TRIM('Project Database'!F160)=TRIM('Smart Search'!$L$8))),IF(BA156="","",BA156+ROW()*0.0000000001),"")</f>
        <v/>
      </c>
      <c r="BI156" s="5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>
        <f>IF('Project Database'!A160="","",N('Project Database'!AC160))</f>
        <v/>
      </c>
      <c r="BK156" s="5">
        <f>IF('Project Database'!A160="","",N('Project Database'!AD160))</f>
        <v/>
      </c>
      <c r="BL156" s="5">
        <f>IF('Project Database'!A160="","",N('Project Database'!AE160))</f>
        <v/>
      </c>
      <c r="BM156" s="5">
        <f>IF('Project Database'!A160="","",N('Project Database'!AF160))</f>
        <v/>
      </c>
      <c r="BN156" s="5">
        <f>IF('Project Database'!A160="","",N('Project Database'!AG160))</f>
        <v/>
      </c>
      <c r="BO156" s="5">
        <f>IF('Project Database'!A160="","",N('Project Database'!AH160))</f>
        <v/>
      </c>
      <c r="BP156" s="5">
        <f>IF('Project Database'!A160="","",N('Project Database'!AI160))</f>
        <v/>
      </c>
      <c r="BQ156" s="5">
        <f>IF('Project Database'!A160="","",N('Project Database'!AJ160))</f>
        <v/>
      </c>
      <c r="BR156" s="5">
        <f>IF('Project Database'!A160="","",N('Project Database'!AK160))</f>
        <v/>
      </c>
      <c r="BS156" s="5">
        <f>IF('Project Database'!A160="","",N('Project Database'!AL160))</f>
        <v/>
      </c>
      <c r="BT156" s="5">
        <f>IF('Project Database'!A160="","",N('Project Database'!AM160))</f>
        <v/>
      </c>
      <c r="BU156" s="5">
        <f>IF('Project Database'!A160="","",N('Project Database'!AN160))</f>
        <v/>
      </c>
      <c r="BV156" s="5">
        <f>IF('Project Database'!A160="","",N('Project Database'!AO160))</f>
        <v/>
      </c>
      <c r="BW156" s="5">
        <f>IF('Project Database'!A160="","",N('Project Database'!AP160))</f>
        <v/>
      </c>
      <c r="BX156" s="5">
        <f>IF(A156="","",SUM(BJ156:BW156))</f>
        <v/>
      </c>
      <c r="BY156" s="5">
        <f>IF(A156="","",IFERROR(IF(ISNUMBER(U156),U156,VALUE(SUBSTITUTE(SUBSTITUTE(SUBSTITUTE(UPPER(TRIM(U156)),"M",""),",","")," ",""))),0))</f>
        <v/>
      </c>
    </row>
    <row r="157" ht="15" customHeight="1" s="74">
      <c r="A157" s="66">
        <f>'Project Database'!A161</f>
        <v/>
      </c>
      <c r="B157" s="66">
        <f>'Project Database'!B161</f>
        <v/>
      </c>
      <c r="C157" s="66">
        <f>'Project Database'!G161</f>
        <v/>
      </c>
      <c r="D157" s="66">
        <f>'Project Database'!H161</f>
        <v/>
      </c>
      <c r="E157" s="66">
        <f>'Project Database'!I161</f>
        <v/>
      </c>
      <c r="F157" s="66">
        <f>'Project Database'!J161</f>
        <v/>
      </c>
      <c r="G157" s="66">
        <f>'Project Database'!K161</f>
        <v/>
      </c>
      <c r="H157" s="66">
        <f>'Project Database'!L161</f>
        <v/>
      </c>
      <c r="I157" s="66">
        <f>'Project Database'!M161</f>
        <v/>
      </c>
      <c r="J157" s="66">
        <f>'Project Database'!N161</f>
        <v/>
      </c>
      <c r="K157" s="66">
        <f>'Project Database'!O161</f>
        <v/>
      </c>
      <c r="L157" s="66">
        <f>'Project Database'!P161</f>
        <v/>
      </c>
      <c r="M157" s="66">
        <f>'Project Database'!Q161</f>
        <v/>
      </c>
      <c r="N157" s="66">
        <f>'Project Database'!R161</f>
        <v/>
      </c>
      <c r="O157" s="66">
        <f>'Project Database'!S161</f>
        <v/>
      </c>
      <c r="P157" s="66">
        <f>'Project Database'!T161</f>
        <v/>
      </c>
      <c r="Q157" s="66">
        <f>'Project Database'!U161</f>
        <v/>
      </c>
      <c r="R157" s="66">
        <f>'Project Database'!V161</f>
        <v/>
      </c>
      <c r="S157" s="66">
        <f>'Project Database'!W161</f>
        <v/>
      </c>
      <c r="T157" s="66">
        <f>'Project Database'!X161</f>
        <v/>
      </c>
      <c r="U157" s="67">
        <f>'Project Database'!Y161</f>
        <v/>
      </c>
      <c r="V157" s="66">
        <f>IF('Smart Search'!B13=1,IFERROR(1/'Smart Search'!H13,0),0)</f>
        <v/>
      </c>
      <c r="W157" s="66">
        <f>IF('Smart Search'!B13=1,IFERROR(1/'Smart Search'!H13,0),0)</f>
        <v/>
      </c>
      <c r="X157" s="66">
        <f>IF('Smart Search'!C13=1,IFERROR(1/'Smart Search'!H13,0),0)</f>
        <v/>
      </c>
      <c r="Y157" s="66">
        <f>IF('Smart Search'!C13=1,IFERROR(1/'Smart Search'!H13,0),0)</f>
        <v/>
      </c>
      <c r="Z157" s="66">
        <f>IF('Smart Search'!D13=1,IFERROR(1/'Smart Search'!H13,0),0)</f>
        <v/>
      </c>
      <c r="AA157" s="66">
        <f>IF('Smart Search'!D13=1,IFERROR(1/'Smart Search'!H13,0),0)</f>
        <v/>
      </c>
      <c r="AB157" s="66">
        <f>IF('Smart Search'!E13=1,IFERROR(1/'Smart Search'!H13,0),0)</f>
        <v/>
      </c>
      <c r="AC157" s="66">
        <f>IF('Smart Search'!E13=1,IFERROR(1/'Smart Search'!H13,0),0)</f>
        <v/>
      </c>
      <c r="AD157" s="66">
        <f>IF('Smart Search'!F13=1,IFERROR(1/'Smart Search'!H13,0),0)</f>
        <v/>
      </c>
      <c r="AE157" s="66">
        <f>IF('Smart Search'!F13=1,IFERROR(1/'Smart Search'!H13,0),0)</f>
        <v/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66">
        <f>AF157*V157</f>
        <v/>
      </c>
      <c r="AQ157" s="66">
        <f>AG157*W157</f>
        <v/>
      </c>
      <c r="AR157" s="66">
        <f>AH157*X157</f>
        <v/>
      </c>
      <c r="AS157" s="66">
        <f>AI157*Y157</f>
        <v/>
      </c>
      <c r="AT157" s="66">
        <f>AJ157*Z157</f>
        <v/>
      </c>
      <c r="AU157" s="66">
        <f>AK157*AA157</f>
        <v/>
      </c>
      <c r="AV157" s="66">
        <f>AL157*AB157</f>
        <v/>
      </c>
      <c r="AW157" s="66">
        <f>AM157*AC157</f>
        <v/>
      </c>
      <c r="AX157" s="66">
        <f>AN157*AD157</f>
        <v/>
      </c>
      <c r="AY157" s="66">
        <f>AO157*AE157</f>
        <v/>
      </c>
      <c r="AZ157" s="66">
        <f>'Project Database'!Z161</f>
        <v/>
      </c>
      <c r="BA157" s="66">
        <f>IF(OR(A157="",'Smart Search'!H13=0),"",MAX(0,BE157*BF157*MAX(0,1-BG157)))</f>
        <v/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66">
        <f>IF('Smart Search'!G13=1,IFERROR(1/'Smart Search'!H13,0),0)</f>
        <v/>
      </c>
      <c r="BD157" s="66">
        <f>BB157*BC157</f>
        <v/>
      </c>
      <c r="BE157" s="66">
        <f>AP157+AQ157+AR157+AS157+AT157+AU157+AV157+AW157+AX157+AY157+BD157</f>
        <v/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5">
        <f>IF(AND('Project Database'!A161&lt;&gt;"",OR('Smart Search'!$L$5="",'Smart Search'!$L$5="All",TRIM('Project Database'!D161)=TRIM('Smart Search'!$L$5)),OR(TRIM('Smart Search'!$L$6)="",TRIM('Smart Search'!$L$6)="All",ISNUMBER(SEARCH(SUBSTITUTE(SUBSTITUTE(SUBSTITUTE(TRIM('Smart Search'!$L$6),"~","~~"),"*","~*"),"?","~?"),'Project Database'!C161))),OR('Smart Search'!$L$7="",AND('Project Database'!E161&lt;&gt;"",'Project Database'!E161='Smart Search'!$L$7)),OR('Smart Search'!$L$8="",'Smart Search'!$L$8="All",TRIM('Project Database'!F161)=TRIM('Smart Search'!$L$8))),IF(BA157="","",BA157+ROW()*0.0000000001),"")</f>
        <v/>
      </c>
      <c r="BI157" s="5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>
        <f>IF('Project Database'!A161="","",N('Project Database'!AC161))</f>
        <v/>
      </c>
      <c r="BK157" s="5">
        <f>IF('Project Database'!A161="","",N('Project Database'!AD161))</f>
        <v/>
      </c>
      <c r="BL157" s="5">
        <f>IF('Project Database'!A161="","",N('Project Database'!AE161))</f>
        <v/>
      </c>
      <c r="BM157" s="5">
        <f>IF('Project Database'!A161="","",N('Project Database'!AF161))</f>
        <v/>
      </c>
      <c r="BN157" s="5">
        <f>IF('Project Database'!A161="","",N('Project Database'!AG161))</f>
        <v/>
      </c>
      <c r="BO157" s="5">
        <f>IF('Project Database'!A161="","",N('Project Database'!AH161))</f>
        <v/>
      </c>
      <c r="BP157" s="5">
        <f>IF('Project Database'!A161="","",N('Project Database'!AI161))</f>
        <v/>
      </c>
      <c r="BQ157" s="5">
        <f>IF('Project Database'!A161="","",N('Project Database'!AJ161))</f>
        <v/>
      </c>
      <c r="BR157" s="5">
        <f>IF('Project Database'!A161="","",N('Project Database'!AK161))</f>
        <v/>
      </c>
      <c r="BS157" s="5">
        <f>IF('Project Database'!A161="","",N('Project Database'!AL161))</f>
        <v/>
      </c>
      <c r="BT157" s="5">
        <f>IF('Project Database'!A161="","",N('Project Database'!AM161))</f>
        <v/>
      </c>
      <c r="BU157" s="5">
        <f>IF('Project Database'!A161="","",N('Project Database'!AN161))</f>
        <v/>
      </c>
      <c r="BV157" s="5">
        <f>IF('Project Database'!A161="","",N('Project Database'!AO161))</f>
        <v/>
      </c>
      <c r="BW157" s="5">
        <f>IF('Project Database'!A161="","",N('Project Database'!AP161))</f>
        <v/>
      </c>
      <c r="BX157" s="5">
        <f>IF(A157="","",SUM(BJ157:BW157))</f>
        <v/>
      </c>
      <c r="BY157" s="5">
        <f>IF(A157="","",IFERROR(IF(ISNUMBER(U157),U157,VALUE(SUBSTITUTE(SUBSTITUTE(SUBSTITUTE(UPPER(TRIM(U157)),"M",""),",","")," ",""))),0))</f>
        <v/>
      </c>
    </row>
    <row r="158" ht="15" customHeight="1" s="74">
      <c r="A158" s="66">
        <f>'Project Database'!A162</f>
        <v/>
      </c>
      <c r="B158" s="66">
        <f>'Project Database'!B162</f>
        <v/>
      </c>
      <c r="C158" s="66">
        <f>'Project Database'!G162</f>
        <v/>
      </c>
      <c r="D158" s="66">
        <f>'Project Database'!H162</f>
        <v/>
      </c>
      <c r="E158" s="66">
        <f>'Project Database'!I162</f>
        <v/>
      </c>
      <c r="F158" s="66">
        <f>'Project Database'!J162</f>
        <v/>
      </c>
      <c r="G158" s="66">
        <f>'Project Database'!K162</f>
        <v/>
      </c>
      <c r="H158" s="66">
        <f>'Project Database'!L162</f>
        <v/>
      </c>
      <c r="I158" s="66">
        <f>'Project Database'!M162</f>
        <v/>
      </c>
      <c r="J158" s="66">
        <f>'Project Database'!N162</f>
        <v/>
      </c>
      <c r="K158" s="66">
        <f>'Project Database'!O162</f>
        <v/>
      </c>
      <c r="L158" s="66">
        <f>'Project Database'!P162</f>
        <v/>
      </c>
      <c r="M158" s="66">
        <f>'Project Database'!Q162</f>
        <v/>
      </c>
      <c r="N158" s="66">
        <f>'Project Database'!R162</f>
        <v/>
      </c>
      <c r="O158" s="66">
        <f>'Project Database'!S162</f>
        <v/>
      </c>
      <c r="P158" s="66">
        <f>'Project Database'!T162</f>
        <v/>
      </c>
      <c r="Q158" s="66">
        <f>'Project Database'!U162</f>
        <v/>
      </c>
      <c r="R158" s="66">
        <f>'Project Database'!V162</f>
        <v/>
      </c>
      <c r="S158" s="66">
        <f>'Project Database'!W162</f>
        <v/>
      </c>
      <c r="T158" s="66">
        <f>'Project Database'!X162</f>
        <v/>
      </c>
      <c r="U158" s="67">
        <f>'Project Database'!Y162</f>
        <v/>
      </c>
      <c r="V158" s="66">
        <f>IF('Smart Search'!B13=1,IFERROR(1/'Smart Search'!H13,0),0)</f>
        <v/>
      </c>
      <c r="W158" s="66">
        <f>IF('Smart Search'!B13=1,IFERROR(1/'Smart Search'!H13,0),0)</f>
        <v/>
      </c>
      <c r="X158" s="66">
        <f>IF('Smart Search'!C13=1,IFERROR(1/'Smart Search'!H13,0),0)</f>
        <v/>
      </c>
      <c r="Y158" s="66">
        <f>IF('Smart Search'!C13=1,IFERROR(1/'Smart Search'!H13,0),0)</f>
        <v/>
      </c>
      <c r="Z158" s="66">
        <f>IF('Smart Search'!D13=1,IFERROR(1/'Smart Search'!H13,0),0)</f>
        <v/>
      </c>
      <c r="AA158" s="66">
        <f>IF('Smart Search'!D13=1,IFERROR(1/'Smart Search'!H13,0),0)</f>
        <v/>
      </c>
      <c r="AB158" s="66">
        <f>IF('Smart Search'!E13=1,IFERROR(1/'Smart Search'!H13,0),0)</f>
        <v/>
      </c>
      <c r="AC158" s="66">
        <f>IF('Smart Search'!E13=1,IFERROR(1/'Smart Search'!H13,0),0)</f>
        <v/>
      </c>
      <c r="AD158" s="66">
        <f>IF('Smart Search'!F13=1,IFERROR(1/'Smart Search'!H13,0),0)</f>
        <v/>
      </c>
      <c r="AE158" s="66">
        <f>IF('Smart Search'!F13=1,IFERROR(1/'Smart Search'!H13,0),0)</f>
        <v/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66">
        <f>AF158*V158</f>
        <v/>
      </c>
      <c r="AQ158" s="66">
        <f>AG158*W158</f>
        <v/>
      </c>
      <c r="AR158" s="66">
        <f>AH158*X158</f>
        <v/>
      </c>
      <c r="AS158" s="66">
        <f>AI158*Y158</f>
        <v/>
      </c>
      <c r="AT158" s="66">
        <f>AJ158*Z158</f>
        <v/>
      </c>
      <c r="AU158" s="66">
        <f>AK158*AA158</f>
        <v/>
      </c>
      <c r="AV158" s="66">
        <f>AL158*AB158</f>
        <v/>
      </c>
      <c r="AW158" s="66">
        <f>AM158*AC158</f>
        <v/>
      </c>
      <c r="AX158" s="66">
        <f>AN158*AD158</f>
        <v/>
      </c>
      <c r="AY158" s="66">
        <f>AO158*AE158</f>
        <v/>
      </c>
      <c r="AZ158" s="66">
        <f>'Project Database'!Z162</f>
        <v/>
      </c>
      <c r="BA158" s="66">
        <f>IF(OR(A158="",'Smart Search'!H13=0),"",MAX(0,BE158*BF158*MAX(0,1-BG158)))</f>
        <v/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66">
        <f>IF('Smart Search'!G13=1,IFERROR(1/'Smart Search'!H13,0),0)</f>
        <v/>
      </c>
      <c r="BD158" s="66">
        <f>BB158*BC158</f>
        <v/>
      </c>
      <c r="BE158" s="66">
        <f>AP158+AQ158+AR158+AS158+AT158+AU158+AV158+AW158+AX158+AY158+BD158</f>
        <v/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5">
        <f>IF(AND('Project Database'!A162&lt;&gt;"",OR('Smart Search'!$L$5="",'Smart Search'!$L$5="All",TRIM('Project Database'!D162)=TRIM('Smart Search'!$L$5)),OR(TRIM('Smart Search'!$L$6)="",TRIM('Smart Search'!$L$6)="All",ISNUMBER(SEARCH(SUBSTITUTE(SUBSTITUTE(SUBSTITUTE(TRIM('Smart Search'!$L$6),"~","~~"),"*","~*"),"?","~?"),'Project Database'!C162))),OR('Smart Search'!$L$7="",AND('Project Database'!E162&lt;&gt;"",'Project Database'!E162='Smart Search'!$L$7)),OR('Smart Search'!$L$8="",'Smart Search'!$L$8="All",TRIM('Project Database'!F162)=TRIM('Smart Search'!$L$8))),IF(BA158="","",BA158+ROW()*0.0000000001),"")</f>
        <v/>
      </c>
      <c r="BI158" s="5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>
        <f>IF('Project Database'!A162="","",N('Project Database'!AC162))</f>
        <v/>
      </c>
      <c r="BK158" s="5">
        <f>IF('Project Database'!A162="","",N('Project Database'!AD162))</f>
        <v/>
      </c>
      <c r="BL158" s="5">
        <f>IF('Project Database'!A162="","",N('Project Database'!AE162))</f>
        <v/>
      </c>
      <c r="BM158" s="5">
        <f>IF('Project Database'!A162="","",N('Project Database'!AF162))</f>
        <v/>
      </c>
      <c r="BN158" s="5">
        <f>IF('Project Database'!A162="","",N('Project Database'!AG162))</f>
        <v/>
      </c>
      <c r="BO158" s="5">
        <f>IF('Project Database'!A162="","",N('Project Database'!AH162))</f>
        <v/>
      </c>
      <c r="BP158" s="5">
        <f>IF('Project Database'!A162="","",N('Project Database'!AI162))</f>
        <v/>
      </c>
      <c r="BQ158" s="5">
        <f>IF('Project Database'!A162="","",N('Project Database'!AJ162))</f>
        <v/>
      </c>
      <c r="BR158" s="5">
        <f>IF('Project Database'!A162="","",N('Project Database'!AK162))</f>
        <v/>
      </c>
      <c r="BS158" s="5">
        <f>IF('Project Database'!A162="","",N('Project Database'!AL162))</f>
        <v/>
      </c>
      <c r="BT158" s="5">
        <f>IF('Project Database'!A162="","",N('Project Database'!AM162))</f>
        <v/>
      </c>
      <c r="BU158" s="5">
        <f>IF('Project Database'!A162="","",N('Project Database'!AN162))</f>
        <v/>
      </c>
      <c r="BV158" s="5">
        <f>IF('Project Database'!A162="","",N('Project Database'!AO162))</f>
        <v/>
      </c>
      <c r="BW158" s="5">
        <f>IF('Project Database'!A162="","",N('Project Database'!AP162))</f>
        <v/>
      </c>
      <c r="BX158" s="5">
        <f>IF(A158="","",SUM(BJ158:BW158))</f>
        <v/>
      </c>
      <c r="BY158" s="5">
        <f>IF(A158="","",IFERROR(IF(ISNUMBER(U158),U158,VALUE(SUBSTITUTE(SUBSTITUTE(SUBSTITUTE(UPPER(TRIM(U158)),"M",""),",","")," ",""))),0))</f>
        <v/>
      </c>
    </row>
    <row r="159" ht="15" customHeight="1" s="74">
      <c r="A159" s="66">
        <f>'Project Database'!A163</f>
        <v/>
      </c>
      <c r="B159" s="66">
        <f>'Project Database'!B163</f>
        <v/>
      </c>
      <c r="C159" s="66">
        <f>'Project Database'!G163</f>
        <v/>
      </c>
      <c r="D159" s="66">
        <f>'Project Database'!H163</f>
        <v/>
      </c>
      <c r="E159" s="66">
        <f>'Project Database'!I163</f>
        <v/>
      </c>
      <c r="F159" s="66">
        <f>'Project Database'!J163</f>
        <v/>
      </c>
      <c r="G159" s="66">
        <f>'Project Database'!K163</f>
        <v/>
      </c>
      <c r="H159" s="66">
        <f>'Project Database'!L163</f>
        <v/>
      </c>
      <c r="I159" s="66">
        <f>'Project Database'!M163</f>
        <v/>
      </c>
      <c r="J159" s="66">
        <f>'Project Database'!N163</f>
        <v/>
      </c>
      <c r="K159" s="66">
        <f>'Project Database'!O163</f>
        <v/>
      </c>
      <c r="L159" s="66">
        <f>'Project Database'!P163</f>
        <v/>
      </c>
      <c r="M159" s="66">
        <f>'Project Database'!Q163</f>
        <v/>
      </c>
      <c r="N159" s="66">
        <f>'Project Database'!R163</f>
        <v/>
      </c>
      <c r="O159" s="66">
        <f>'Project Database'!S163</f>
        <v/>
      </c>
      <c r="P159" s="66">
        <f>'Project Database'!T163</f>
        <v/>
      </c>
      <c r="Q159" s="66">
        <f>'Project Database'!U163</f>
        <v/>
      </c>
      <c r="R159" s="66">
        <f>'Project Database'!V163</f>
        <v/>
      </c>
      <c r="S159" s="66">
        <f>'Project Database'!W163</f>
        <v/>
      </c>
      <c r="T159" s="66">
        <f>'Project Database'!X163</f>
        <v/>
      </c>
      <c r="U159" s="67">
        <f>'Project Database'!Y163</f>
        <v/>
      </c>
      <c r="V159" s="66">
        <f>IF('Smart Search'!B13=1,IFERROR(1/'Smart Search'!H13,0),0)</f>
        <v/>
      </c>
      <c r="W159" s="66">
        <f>IF('Smart Search'!B13=1,IFERROR(1/'Smart Search'!H13,0),0)</f>
        <v/>
      </c>
      <c r="X159" s="66">
        <f>IF('Smart Search'!C13=1,IFERROR(1/'Smart Search'!H13,0),0)</f>
        <v/>
      </c>
      <c r="Y159" s="66">
        <f>IF('Smart Search'!C13=1,IFERROR(1/'Smart Search'!H13,0),0)</f>
        <v/>
      </c>
      <c r="Z159" s="66">
        <f>IF('Smart Search'!D13=1,IFERROR(1/'Smart Search'!H13,0),0)</f>
        <v/>
      </c>
      <c r="AA159" s="66">
        <f>IF('Smart Search'!D13=1,IFERROR(1/'Smart Search'!H13,0),0)</f>
        <v/>
      </c>
      <c r="AB159" s="66">
        <f>IF('Smart Search'!E13=1,IFERROR(1/'Smart Search'!H13,0),0)</f>
        <v/>
      </c>
      <c r="AC159" s="66">
        <f>IF('Smart Search'!E13=1,IFERROR(1/'Smart Search'!H13,0),0)</f>
        <v/>
      </c>
      <c r="AD159" s="66">
        <f>IF('Smart Search'!F13=1,IFERROR(1/'Smart Search'!H13,0),0)</f>
        <v/>
      </c>
      <c r="AE159" s="66">
        <f>IF('Smart Search'!F13=1,IFERROR(1/'Smart Search'!H13,0),0)</f>
        <v/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66">
        <f>AF159*V159</f>
        <v/>
      </c>
      <c r="AQ159" s="66">
        <f>AG159*W159</f>
        <v/>
      </c>
      <c r="AR159" s="66">
        <f>AH159*X159</f>
        <v/>
      </c>
      <c r="AS159" s="66">
        <f>AI159*Y159</f>
        <v/>
      </c>
      <c r="AT159" s="66">
        <f>AJ159*Z159</f>
        <v/>
      </c>
      <c r="AU159" s="66">
        <f>AK159*AA159</f>
        <v/>
      </c>
      <c r="AV159" s="66">
        <f>AL159*AB159</f>
        <v/>
      </c>
      <c r="AW159" s="66">
        <f>AM159*AC159</f>
        <v/>
      </c>
      <c r="AX159" s="66">
        <f>AN159*AD159</f>
        <v/>
      </c>
      <c r="AY159" s="66">
        <f>AO159*AE159</f>
        <v/>
      </c>
      <c r="AZ159" s="66">
        <f>'Project Database'!Z163</f>
        <v/>
      </c>
      <c r="BA159" s="66">
        <f>IF(OR(A159="",'Smart Search'!H13=0),"",MAX(0,BE159*BF159*MAX(0,1-BG159)))</f>
        <v/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66">
        <f>IF('Smart Search'!G13=1,IFERROR(1/'Smart Search'!H13,0),0)</f>
        <v/>
      </c>
      <c r="BD159" s="66">
        <f>BB159*BC159</f>
        <v/>
      </c>
      <c r="BE159" s="66">
        <f>AP159+AQ159+AR159+AS159+AT159+AU159+AV159+AW159+AX159+AY159+BD159</f>
        <v/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5">
        <f>IF(AND('Project Database'!A163&lt;&gt;"",OR('Smart Search'!$L$5="",'Smart Search'!$L$5="All",TRIM('Project Database'!D163)=TRIM('Smart Search'!$L$5)),OR(TRIM('Smart Search'!$L$6)="",TRIM('Smart Search'!$L$6)="All",ISNUMBER(SEARCH(SUBSTITUTE(SUBSTITUTE(SUBSTITUTE(TRIM('Smart Search'!$L$6),"~","~~"),"*","~*"),"?","~?"),'Project Database'!C163))),OR('Smart Search'!$L$7="",AND('Project Database'!E163&lt;&gt;"",'Project Database'!E163='Smart Search'!$L$7)),OR('Smart Search'!$L$8="",'Smart Search'!$L$8="All",TRIM('Project Database'!F163)=TRIM('Smart Search'!$L$8))),IF(BA159="","",BA159+ROW()*0.0000000001),"")</f>
        <v/>
      </c>
      <c r="BI159" s="5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>
        <f>IF('Project Database'!A163="","",N('Project Database'!AC163))</f>
        <v/>
      </c>
      <c r="BK159" s="5">
        <f>IF('Project Database'!A163="","",N('Project Database'!AD163))</f>
        <v/>
      </c>
      <c r="BL159" s="5">
        <f>IF('Project Database'!A163="","",N('Project Database'!AE163))</f>
        <v/>
      </c>
      <c r="BM159" s="5">
        <f>IF('Project Database'!A163="","",N('Project Database'!AF163))</f>
        <v/>
      </c>
      <c r="BN159" s="5">
        <f>IF('Project Database'!A163="","",N('Project Database'!AG163))</f>
        <v/>
      </c>
      <c r="BO159" s="5">
        <f>IF('Project Database'!A163="","",N('Project Database'!AH163))</f>
        <v/>
      </c>
      <c r="BP159" s="5">
        <f>IF('Project Database'!A163="","",N('Project Database'!AI163))</f>
        <v/>
      </c>
      <c r="BQ159" s="5">
        <f>IF('Project Database'!A163="","",N('Project Database'!AJ163))</f>
        <v/>
      </c>
      <c r="BR159" s="5">
        <f>IF('Project Database'!A163="","",N('Project Database'!AK163))</f>
        <v/>
      </c>
      <c r="BS159" s="5">
        <f>IF('Project Database'!A163="","",N('Project Database'!AL163))</f>
        <v/>
      </c>
      <c r="BT159" s="5">
        <f>IF('Project Database'!A163="","",N('Project Database'!AM163))</f>
        <v/>
      </c>
      <c r="BU159" s="5">
        <f>IF('Project Database'!A163="","",N('Project Database'!AN163))</f>
        <v/>
      </c>
      <c r="BV159" s="5">
        <f>IF('Project Database'!A163="","",N('Project Database'!AO163))</f>
        <v/>
      </c>
      <c r="BW159" s="5">
        <f>IF('Project Database'!A163="","",N('Project Database'!AP163))</f>
        <v/>
      </c>
      <c r="BX159" s="5">
        <f>IF(A159="","",SUM(BJ159:BW159))</f>
        <v/>
      </c>
      <c r="BY159" s="5">
        <f>IF(A159="","",IFERROR(IF(ISNUMBER(U159),U159,VALUE(SUBSTITUTE(SUBSTITUTE(SUBSTITUTE(UPPER(TRIM(U159)),"M",""),",","")," ",""))),0))</f>
        <v/>
      </c>
    </row>
    <row r="160" ht="15" customHeight="1" s="74">
      <c r="A160" s="66">
        <f>'Project Database'!A164</f>
        <v/>
      </c>
      <c r="B160" s="66">
        <f>'Project Database'!B164</f>
        <v/>
      </c>
      <c r="C160" s="66">
        <f>'Project Database'!G164</f>
        <v/>
      </c>
      <c r="D160" s="66">
        <f>'Project Database'!H164</f>
        <v/>
      </c>
      <c r="E160" s="66">
        <f>'Project Database'!I164</f>
        <v/>
      </c>
      <c r="F160" s="66">
        <f>'Project Database'!J164</f>
        <v/>
      </c>
      <c r="G160" s="66">
        <f>'Project Database'!K164</f>
        <v/>
      </c>
      <c r="H160" s="66">
        <f>'Project Database'!L164</f>
        <v/>
      </c>
      <c r="I160" s="66">
        <f>'Project Database'!M164</f>
        <v/>
      </c>
      <c r="J160" s="66">
        <f>'Project Database'!N164</f>
        <v/>
      </c>
      <c r="K160" s="66">
        <f>'Project Database'!O164</f>
        <v/>
      </c>
      <c r="L160" s="66">
        <f>'Project Database'!P164</f>
        <v/>
      </c>
      <c r="M160" s="66">
        <f>'Project Database'!Q164</f>
        <v/>
      </c>
      <c r="N160" s="66">
        <f>'Project Database'!R164</f>
        <v/>
      </c>
      <c r="O160" s="66">
        <f>'Project Database'!S164</f>
        <v/>
      </c>
      <c r="P160" s="66">
        <f>'Project Database'!T164</f>
        <v/>
      </c>
      <c r="Q160" s="66">
        <f>'Project Database'!U164</f>
        <v/>
      </c>
      <c r="R160" s="66">
        <f>'Project Database'!V164</f>
        <v/>
      </c>
      <c r="S160" s="66">
        <f>'Project Database'!W164</f>
        <v/>
      </c>
      <c r="T160" s="66">
        <f>'Project Database'!X164</f>
        <v/>
      </c>
      <c r="U160" s="67">
        <f>'Project Database'!Y164</f>
        <v/>
      </c>
      <c r="V160" s="66">
        <f>IF('Smart Search'!B13=1,IFERROR(1/'Smart Search'!H13,0),0)</f>
        <v/>
      </c>
      <c r="W160" s="66">
        <f>IF('Smart Search'!B13=1,IFERROR(1/'Smart Search'!H13,0),0)</f>
        <v/>
      </c>
      <c r="X160" s="66">
        <f>IF('Smart Search'!C13=1,IFERROR(1/'Smart Search'!H13,0),0)</f>
        <v/>
      </c>
      <c r="Y160" s="66">
        <f>IF('Smart Search'!C13=1,IFERROR(1/'Smart Search'!H13,0),0)</f>
        <v/>
      </c>
      <c r="Z160" s="66">
        <f>IF('Smart Search'!D13=1,IFERROR(1/'Smart Search'!H13,0),0)</f>
        <v/>
      </c>
      <c r="AA160" s="66">
        <f>IF('Smart Search'!D13=1,IFERROR(1/'Smart Search'!H13,0),0)</f>
        <v/>
      </c>
      <c r="AB160" s="66">
        <f>IF('Smart Search'!E13=1,IFERROR(1/'Smart Search'!H13,0),0)</f>
        <v/>
      </c>
      <c r="AC160" s="66">
        <f>IF('Smart Search'!E13=1,IFERROR(1/'Smart Search'!H13,0),0)</f>
        <v/>
      </c>
      <c r="AD160" s="66">
        <f>IF('Smart Search'!F13=1,IFERROR(1/'Smart Search'!H13,0),0)</f>
        <v/>
      </c>
      <c r="AE160" s="66">
        <f>IF('Smart Search'!F13=1,IFERROR(1/'Smart Search'!H13,0),0)</f>
        <v/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66">
        <f>AF160*V160</f>
        <v/>
      </c>
      <c r="AQ160" s="66">
        <f>AG160*W160</f>
        <v/>
      </c>
      <c r="AR160" s="66">
        <f>AH160*X160</f>
        <v/>
      </c>
      <c r="AS160" s="66">
        <f>AI160*Y160</f>
        <v/>
      </c>
      <c r="AT160" s="66">
        <f>AJ160*Z160</f>
        <v/>
      </c>
      <c r="AU160" s="66">
        <f>AK160*AA160</f>
        <v/>
      </c>
      <c r="AV160" s="66">
        <f>AL160*AB160</f>
        <v/>
      </c>
      <c r="AW160" s="66">
        <f>AM160*AC160</f>
        <v/>
      </c>
      <c r="AX160" s="66">
        <f>AN160*AD160</f>
        <v/>
      </c>
      <c r="AY160" s="66">
        <f>AO160*AE160</f>
        <v/>
      </c>
      <c r="AZ160" s="66">
        <f>'Project Database'!Z164</f>
        <v/>
      </c>
      <c r="BA160" s="66">
        <f>IF(OR(A160="",'Smart Search'!H13=0),"",MAX(0,BE160*BF160*MAX(0,1-BG160)))</f>
        <v/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66">
        <f>IF('Smart Search'!G13=1,IFERROR(1/'Smart Search'!H13,0),0)</f>
        <v/>
      </c>
      <c r="BD160" s="66">
        <f>BB160*BC160</f>
        <v/>
      </c>
      <c r="BE160" s="66">
        <f>AP160+AQ160+AR160+AS160+AT160+AU160+AV160+AW160+AX160+AY160+BD160</f>
        <v/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5">
        <f>IF(AND('Project Database'!A164&lt;&gt;"",OR('Smart Search'!$L$5="",'Smart Search'!$L$5="All",TRIM('Project Database'!D164)=TRIM('Smart Search'!$L$5)),OR(TRIM('Smart Search'!$L$6)="",TRIM('Smart Search'!$L$6)="All",ISNUMBER(SEARCH(SUBSTITUTE(SUBSTITUTE(SUBSTITUTE(TRIM('Smart Search'!$L$6),"~","~~"),"*","~*"),"?","~?"),'Project Database'!C164))),OR('Smart Search'!$L$7="",AND('Project Database'!E164&lt;&gt;"",'Project Database'!E164='Smart Search'!$L$7)),OR('Smart Search'!$L$8="",'Smart Search'!$L$8="All",TRIM('Project Database'!F164)=TRIM('Smart Search'!$L$8))),IF(BA160="","",BA160+ROW()*0.0000000001),"")</f>
        <v/>
      </c>
      <c r="BI160" s="5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>
        <f>IF('Project Database'!A164="","",N('Project Database'!AC164))</f>
        <v/>
      </c>
      <c r="BK160" s="5">
        <f>IF('Project Database'!A164="","",N('Project Database'!AD164))</f>
        <v/>
      </c>
      <c r="BL160" s="5">
        <f>IF('Project Database'!A164="","",N('Project Database'!AE164))</f>
        <v/>
      </c>
      <c r="BM160" s="5">
        <f>IF('Project Database'!A164="","",N('Project Database'!AF164))</f>
        <v/>
      </c>
      <c r="BN160" s="5">
        <f>IF('Project Database'!A164="","",N('Project Database'!AG164))</f>
        <v/>
      </c>
      <c r="BO160" s="5">
        <f>IF('Project Database'!A164="","",N('Project Database'!AH164))</f>
        <v/>
      </c>
      <c r="BP160" s="5">
        <f>IF('Project Database'!A164="","",N('Project Database'!AI164))</f>
        <v/>
      </c>
      <c r="BQ160" s="5">
        <f>IF('Project Database'!A164="","",N('Project Database'!AJ164))</f>
        <v/>
      </c>
      <c r="BR160" s="5">
        <f>IF('Project Database'!A164="","",N('Project Database'!AK164))</f>
        <v/>
      </c>
      <c r="BS160" s="5">
        <f>IF('Project Database'!A164="","",N('Project Database'!AL164))</f>
        <v/>
      </c>
      <c r="BT160" s="5">
        <f>IF('Project Database'!A164="","",N('Project Database'!AM164))</f>
        <v/>
      </c>
      <c r="BU160" s="5">
        <f>IF('Project Database'!A164="","",N('Project Database'!AN164))</f>
        <v/>
      </c>
      <c r="BV160" s="5">
        <f>IF('Project Database'!A164="","",N('Project Database'!AO164))</f>
        <v/>
      </c>
      <c r="BW160" s="5">
        <f>IF('Project Database'!A164="","",N('Project Database'!AP164))</f>
        <v/>
      </c>
      <c r="BX160" s="5">
        <f>IF(A160="","",SUM(BJ160:BW160))</f>
        <v/>
      </c>
      <c r="BY160" s="5">
        <f>IF(A160="","",IFERROR(IF(ISNUMBER(U160),U160,VALUE(SUBSTITUTE(SUBSTITUTE(SUBSTITUTE(UPPER(TRIM(U160)),"M",""),",","")," ",""))),0))</f>
        <v/>
      </c>
    </row>
    <row r="161" ht="15" customHeight="1" s="74">
      <c r="A161" s="66">
        <f>'Project Database'!A165</f>
        <v/>
      </c>
      <c r="B161" s="66">
        <f>'Project Database'!B165</f>
        <v/>
      </c>
      <c r="C161" s="66">
        <f>'Project Database'!G165</f>
        <v/>
      </c>
      <c r="D161" s="66">
        <f>'Project Database'!H165</f>
        <v/>
      </c>
      <c r="E161" s="66">
        <f>'Project Database'!I165</f>
        <v/>
      </c>
      <c r="F161" s="66">
        <f>'Project Database'!J165</f>
        <v/>
      </c>
      <c r="G161" s="66">
        <f>'Project Database'!K165</f>
        <v/>
      </c>
      <c r="H161" s="66">
        <f>'Project Database'!L165</f>
        <v/>
      </c>
      <c r="I161" s="66">
        <f>'Project Database'!M165</f>
        <v/>
      </c>
      <c r="J161" s="66">
        <f>'Project Database'!N165</f>
        <v/>
      </c>
      <c r="K161" s="66">
        <f>'Project Database'!O165</f>
        <v/>
      </c>
      <c r="L161" s="66">
        <f>'Project Database'!P165</f>
        <v/>
      </c>
      <c r="M161" s="66">
        <f>'Project Database'!Q165</f>
        <v/>
      </c>
      <c r="N161" s="66">
        <f>'Project Database'!R165</f>
        <v/>
      </c>
      <c r="O161" s="66">
        <f>'Project Database'!S165</f>
        <v/>
      </c>
      <c r="P161" s="66">
        <f>'Project Database'!T165</f>
        <v/>
      </c>
      <c r="Q161" s="66">
        <f>'Project Database'!U165</f>
        <v/>
      </c>
      <c r="R161" s="66">
        <f>'Project Database'!V165</f>
        <v/>
      </c>
      <c r="S161" s="66">
        <f>'Project Database'!W165</f>
        <v/>
      </c>
      <c r="T161" s="66">
        <f>'Project Database'!X165</f>
        <v/>
      </c>
      <c r="U161" s="67">
        <f>'Project Database'!Y165</f>
        <v/>
      </c>
      <c r="V161" s="66">
        <f>IF('Smart Search'!B13=1,IFERROR(1/'Smart Search'!H13,0),0)</f>
        <v/>
      </c>
      <c r="W161" s="66">
        <f>IF('Smart Search'!B13=1,IFERROR(1/'Smart Search'!H13,0),0)</f>
        <v/>
      </c>
      <c r="X161" s="66">
        <f>IF('Smart Search'!C13=1,IFERROR(1/'Smart Search'!H13,0),0)</f>
        <v/>
      </c>
      <c r="Y161" s="66">
        <f>IF('Smart Search'!C13=1,IFERROR(1/'Smart Search'!H13,0),0)</f>
        <v/>
      </c>
      <c r="Z161" s="66">
        <f>IF('Smart Search'!D13=1,IFERROR(1/'Smart Search'!H13,0),0)</f>
        <v/>
      </c>
      <c r="AA161" s="66">
        <f>IF('Smart Search'!D13=1,IFERROR(1/'Smart Search'!H13,0),0)</f>
        <v/>
      </c>
      <c r="AB161" s="66">
        <f>IF('Smart Search'!E13=1,IFERROR(1/'Smart Search'!H13,0),0)</f>
        <v/>
      </c>
      <c r="AC161" s="66">
        <f>IF('Smart Search'!E13=1,IFERROR(1/'Smart Search'!H13,0),0)</f>
        <v/>
      </c>
      <c r="AD161" s="66">
        <f>IF('Smart Search'!F13=1,IFERROR(1/'Smart Search'!H13,0),0)</f>
        <v/>
      </c>
      <c r="AE161" s="66">
        <f>IF('Smart Search'!F13=1,IFERROR(1/'Smart Search'!H13,0),0)</f>
        <v/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66">
        <f>AF161*V161</f>
        <v/>
      </c>
      <c r="AQ161" s="66">
        <f>AG161*W161</f>
        <v/>
      </c>
      <c r="AR161" s="66">
        <f>AH161*X161</f>
        <v/>
      </c>
      <c r="AS161" s="66">
        <f>AI161*Y161</f>
        <v/>
      </c>
      <c r="AT161" s="66">
        <f>AJ161*Z161</f>
        <v/>
      </c>
      <c r="AU161" s="66">
        <f>AK161*AA161</f>
        <v/>
      </c>
      <c r="AV161" s="66">
        <f>AL161*AB161</f>
        <v/>
      </c>
      <c r="AW161" s="66">
        <f>AM161*AC161</f>
        <v/>
      </c>
      <c r="AX161" s="66">
        <f>AN161*AD161</f>
        <v/>
      </c>
      <c r="AY161" s="66">
        <f>AO161*AE161</f>
        <v/>
      </c>
      <c r="AZ161" s="66">
        <f>'Project Database'!Z165</f>
        <v/>
      </c>
      <c r="BA161" s="66">
        <f>IF(OR(A161="",'Smart Search'!H13=0),"",MAX(0,BE161*BF161*MAX(0,1-BG161)))</f>
        <v/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66">
        <f>IF('Smart Search'!G13=1,IFERROR(1/'Smart Search'!H13,0),0)</f>
        <v/>
      </c>
      <c r="BD161" s="66">
        <f>BB161*BC161</f>
        <v/>
      </c>
      <c r="BE161" s="66">
        <f>AP161+AQ161+AR161+AS161+AT161+AU161+AV161+AW161+AX161+AY161+BD161</f>
        <v/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5">
        <f>IF(AND('Project Database'!A165&lt;&gt;"",OR('Smart Search'!$L$5="",'Smart Search'!$L$5="All",TRIM('Project Database'!D165)=TRIM('Smart Search'!$L$5)),OR(TRIM('Smart Search'!$L$6)="",TRIM('Smart Search'!$L$6)="All",ISNUMBER(SEARCH(SUBSTITUTE(SUBSTITUTE(SUBSTITUTE(TRIM('Smart Search'!$L$6),"~","~~"),"*","~*"),"?","~?"),'Project Database'!C165))),OR('Smart Search'!$L$7="",AND('Project Database'!E165&lt;&gt;"",'Project Database'!E165='Smart Search'!$L$7)),OR('Smart Search'!$L$8="",'Smart Search'!$L$8="All",TRIM('Project Database'!F165)=TRIM('Smart Search'!$L$8))),IF(BA161="","",BA161+ROW()*0.0000000001),"")</f>
        <v/>
      </c>
      <c r="BI161" s="5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>
        <f>IF('Project Database'!A165="","",N('Project Database'!AC165))</f>
        <v/>
      </c>
      <c r="BK161" s="5">
        <f>IF('Project Database'!A165="","",N('Project Database'!AD165))</f>
        <v/>
      </c>
      <c r="BL161" s="5">
        <f>IF('Project Database'!A165="","",N('Project Database'!AE165))</f>
        <v/>
      </c>
      <c r="BM161" s="5">
        <f>IF('Project Database'!A165="","",N('Project Database'!AF165))</f>
        <v/>
      </c>
      <c r="BN161" s="5">
        <f>IF('Project Database'!A165="","",N('Project Database'!AG165))</f>
        <v/>
      </c>
      <c r="BO161" s="5">
        <f>IF('Project Database'!A165="","",N('Project Database'!AH165))</f>
        <v/>
      </c>
      <c r="BP161" s="5">
        <f>IF('Project Database'!A165="","",N('Project Database'!AI165))</f>
        <v/>
      </c>
      <c r="BQ161" s="5">
        <f>IF('Project Database'!A165="","",N('Project Database'!AJ165))</f>
        <v/>
      </c>
      <c r="BR161" s="5">
        <f>IF('Project Database'!A165="","",N('Project Database'!AK165))</f>
        <v/>
      </c>
      <c r="BS161" s="5">
        <f>IF('Project Database'!A165="","",N('Project Database'!AL165))</f>
        <v/>
      </c>
      <c r="BT161" s="5">
        <f>IF('Project Database'!A165="","",N('Project Database'!AM165))</f>
        <v/>
      </c>
      <c r="BU161" s="5">
        <f>IF('Project Database'!A165="","",N('Project Database'!AN165))</f>
        <v/>
      </c>
      <c r="BV161" s="5">
        <f>IF('Project Database'!A165="","",N('Project Database'!AO165))</f>
        <v/>
      </c>
      <c r="BW161" s="5">
        <f>IF('Project Database'!A165="","",N('Project Database'!AP165))</f>
        <v/>
      </c>
      <c r="BX161" s="5">
        <f>IF(A161="","",SUM(BJ161:BW161))</f>
        <v/>
      </c>
      <c r="BY161" s="5">
        <f>IF(A161="","",IFERROR(IF(ISNUMBER(U161),U161,VALUE(SUBSTITUTE(SUBSTITUTE(SUBSTITUTE(UPPER(TRIM(U161)),"M",""),",","")," ",""))),0))</f>
        <v/>
      </c>
    </row>
    <row r="162" ht="15" customHeight="1" s="74">
      <c r="A162" s="66">
        <f>'Project Database'!A166</f>
        <v/>
      </c>
      <c r="B162" s="66">
        <f>'Project Database'!B166</f>
        <v/>
      </c>
      <c r="C162" s="66">
        <f>'Project Database'!G166</f>
        <v/>
      </c>
      <c r="D162" s="66">
        <f>'Project Database'!H166</f>
        <v/>
      </c>
      <c r="E162" s="66">
        <f>'Project Database'!I166</f>
        <v/>
      </c>
      <c r="F162" s="66">
        <f>'Project Database'!J166</f>
        <v/>
      </c>
      <c r="G162" s="66">
        <f>'Project Database'!K166</f>
        <v/>
      </c>
      <c r="H162" s="66">
        <f>'Project Database'!L166</f>
        <v/>
      </c>
      <c r="I162" s="66">
        <f>'Project Database'!M166</f>
        <v/>
      </c>
      <c r="J162" s="66">
        <f>'Project Database'!N166</f>
        <v/>
      </c>
      <c r="K162" s="66">
        <f>'Project Database'!O166</f>
        <v/>
      </c>
      <c r="L162" s="66">
        <f>'Project Database'!P166</f>
        <v/>
      </c>
      <c r="M162" s="66">
        <f>'Project Database'!Q166</f>
        <v/>
      </c>
      <c r="N162" s="66">
        <f>'Project Database'!R166</f>
        <v/>
      </c>
      <c r="O162" s="66">
        <f>'Project Database'!S166</f>
        <v/>
      </c>
      <c r="P162" s="66">
        <f>'Project Database'!T166</f>
        <v/>
      </c>
      <c r="Q162" s="66">
        <f>'Project Database'!U166</f>
        <v/>
      </c>
      <c r="R162" s="66">
        <f>'Project Database'!V166</f>
        <v/>
      </c>
      <c r="S162" s="66">
        <f>'Project Database'!W166</f>
        <v/>
      </c>
      <c r="T162" s="66">
        <f>'Project Database'!X166</f>
        <v/>
      </c>
      <c r="U162" s="67">
        <f>'Project Database'!Y166</f>
        <v/>
      </c>
      <c r="V162" s="66">
        <f>IF('Smart Search'!B13=1,IFERROR(1/'Smart Search'!H13,0),0)</f>
        <v/>
      </c>
      <c r="W162" s="66">
        <f>IF('Smart Search'!B13=1,IFERROR(1/'Smart Search'!H13,0),0)</f>
        <v/>
      </c>
      <c r="X162" s="66">
        <f>IF('Smart Search'!C13=1,IFERROR(1/'Smart Search'!H13,0),0)</f>
        <v/>
      </c>
      <c r="Y162" s="66">
        <f>IF('Smart Search'!C13=1,IFERROR(1/'Smart Search'!H13,0),0)</f>
        <v/>
      </c>
      <c r="Z162" s="66">
        <f>IF('Smart Search'!D13=1,IFERROR(1/'Smart Search'!H13,0),0)</f>
        <v/>
      </c>
      <c r="AA162" s="66">
        <f>IF('Smart Search'!D13=1,IFERROR(1/'Smart Search'!H13,0),0)</f>
        <v/>
      </c>
      <c r="AB162" s="66">
        <f>IF('Smart Search'!E13=1,IFERROR(1/'Smart Search'!H13,0),0)</f>
        <v/>
      </c>
      <c r="AC162" s="66">
        <f>IF('Smart Search'!E13=1,IFERROR(1/'Smart Search'!H13,0),0)</f>
        <v/>
      </c>
      <c r="AD162" s="66">
        <f>IF('Smart Search'!F13=1,IFERROR(1/'Smart Search'!H13,0),0)</f>
        <v/>
      </c>
      <c r="AE162" s="66">
        <f>IF('Smart Search'!F13=1,IFERROR(1/'Smart Search'!H13,0),0)</f>
        <v/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66">
        <f>AF162*V162</f>
        <v/>
      </c>
      <c r="AQ162" s="66">
        <f>AG162*W162</f>
        <v/>
      </c>
      <c r="AR162" s="66">
        <f>AH162*X162</f>
        <v/>
      </c>
      <c r="AS162" s="66">
        <f>AI162*Y162</f>
        <v/>
      </c>
      <c r="AT162" s="66">
        <f>AJ162*Z162</f>
        <v/>
      </c>
      <c r="AU162" s="66">
        <f>AK162*AA162</f>
        <v/>
      </c>
      <c r="AV162" s="66">
        <f>AL162*AB162</f>
        <v/>
      </c>
      <c r="AW162" s="66">
        <f>AM162*AC162</f>
        <v/>
      </c>
      <c r="AX162" s="66">
        <f>AN162*AD162</f>
        <v/>
      </c>
      <c r="AY162" s="66">
        <f>AO162*AE162</f>
        <v/>
      </c>
      <c r="AZ162" s="66">
        <f>'Project Database'!Z166</f>
        <v/>
      </c>
      <c r="BA162" s="66">
        <f>IF(OR(A162="",'Smart Search'!H13=0),"",MAX(0,BE162*BF162*MAX(0,1-BG162)))</f>
        <v/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66">
        <f>IF('Smart Search'!G13=1,IFERROR(1/'Smart Search'!H13,0),0)</f>
        <v/>
      </c>
      <c r="BD162" s="66">
        <f>BB162*BC162</f>
        <v/>
      </c>
      <c r="BE162" s="66">
        <f>AP162+AQ162+AR162+AS162+AT162+AU162+AV162+AW162+AX162+AY162+BD162</f>
        <v/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5">
        <f>IF(AND('Project Database'!A166&lt;&gt;"",OR('Smart Search'!$L$5="",'Smart Search'!$L$5="All",TRIM('Project Database'!D166)=TRIM('Smart Search'!$L$5)),OR(TRIM('Smart Search'!$L$6)="",TRIM('Smart Search'!$L$6)="All",ISNUMBER(SEARCH(SUBSTITUTE(SUBSTITUTE(SUBSTITUTE(TRIM('Smart Search'!$L$6),"~","~~"),"*","~*"),"?","~?"),'Project Database'!C166))),OR('Smart Search'!$L$7="",AND('Project Database'!E166&lt;&gt;"",'Project Database'!E166='Smart Search'!$L$7)),OR('Smart Search'!$L$8="",'Smart Search'!$L$8="All",TRIM('Project Database'!F166)=TRIM('Smart Search'!$L$8))),IF(BA162="","",BA162+ROW()*0.0000000001),"")</f>
        <v/>
      </c>
      <c r="BI162" s="5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>
        <f>IF('Project Database'!A166="","",N('Project Database'!AC166))</f>
        <v/>
      </c>
      <c r="BK162" s="5">
        <f>IF('Project Database'!A166="","",N('Project Database'!AD166))</f>
        <v/>
      </c>
      <c r="BL162" s="5">
        <f>IF('Project Database'!A166="","",N('Project Database'!AE166))</f>
        <v/>
      </c>
      <c r="BM162" s="5">
        <f>IF('Project Database'!A166="","",N('Project Database'!AF166))</f>
        <v/>
      </c>
      <c r="BN162" s="5">
        <f>IF('Project Database'!A166="","",N('Project Database'!AG166))</f>
        <v/>
      </c>
      <c r="BO162" s="5">
        <f>IF('Project Database'!A166="","",N('Project Database'!AH166))</f>
        <v/>
      </c>
      <c r="BP162" s="5">
        <f>IF('Project Database'!A166="","",N('Project Database'!AI166))</f>
        <v/>
      </c>
      <c r="BQ162" s="5">
        <f>IF('Project Database'!A166="","",N('Project Database'!AJ166))</f>
        <v/>
      </c>
      <c r="BR162" s="5">
        <f>IF('Project Database'!A166="","",N('Project Database'!AK166))</f>
        <v/>
      </c>
      <c r="BS162" s="5">
        <f>IF('Project Database'!A166="","",N('Project Database'!AL166))</f>
        <v/>
      </c>
      <c r="BT162" s="5">
        <f>IF('Project Database'!A166="","",N('Project Database'!AM166))</f>
        <v/>
      </c>
      <c r="BU162" s="5">
        <f>IF('Project Database'!A166="","",N('Project Database'!AN166))</f>
        <v/>
      </c>
      <c r="BV162" s="5">
        <f>IF('Project Database'!A166="","",N('Project Database'!AO166))</f>
        <v/>
      </c>
      <c r="BW162" s="5">
        <f>IF('Project Database'!A166="","",N('Project Database'!AP166))</f>
        <v/>
      </c>
      <c r="BX162" s="5">
        <f>IF(A162="","",SUM(BJ162:BW162))</f>
        <v/>
      </c>
      <c r="BY162" s="5">
        <f>IF(A162="","",IFERROR(IF(ISNUMBER(U162),U162,VALUE(SUBSTITUTE(SUBSTITUTE(SUBSTITUTE(UPPER(TRIM(U162)),"M",""),",","")," ",""))),0))</f>
        <v/>
      </c>
    </row>
    <row r="163" ht="15" customHeight="1" s="74">
      <c r="A163" s="66">
        <f>'Project Database'!A167</f>
        <v/>
      </c>
      <c r="B163" s="66">
        <f>'Project Database'!B167</f>
        <v/>
      </c>
      <c r="C163" s="66">
        <f>'Project Database'!G167</f>
        <v/>
      </c>
      <c r="D163" s="66">
        <f>'Project Database'!H167</f>
        <v/>
      </c>
      <c r="E163" s="66">
        <f>'Project Database'!I167</f>
        <v/>
      </c>
      <c r="F163" s="66">
        <f>'Project Database'!J167</f>
        <v/>
      </c>
      <c r="G163" s="66">
        <f>'Project Database'!K167</f>
        <v/>
      </c>
      <c r="H163" s="66">
        <f>'Project Database'!L167</f>
        <v/>
      </c>
      <c r="I163" s="66">
        <f>'Project Database'!M167</f>
        <v/>
      </c>
      <c r="J163" s="66">
        <f>'Project Database'!N167</f>
        <v/>
      </c>
      <c r="K163" s="66">
        <f>'Project Database'!O167</f>
        <v/>
      </c>
      <c r="L163" s="66">
        <f>'Project Database'!P167</f>
        <v/>
      </c>
      <c r="M163" s="66">
        <f>'Project Database'!Q167</f>
        <v/>
      </c>
      <c r="N163" s="66">
        <f>'Project Database'!R167</f>
        <v/>
      </c>
      <c r="O163" s="66">
        <f>'Project Database'!S167</f>
        <v/>
      </c>
      <c r="P163" s="66">
        <f>'Project Database'!T167</f>
        <v/>
      </c>
      <c r="Q163" s="66">
        <f>'Project Database'!U167</f>
        <v/>
      </c>
      <c r="R163" s="66">
        <f>'Project Database'!V167</f>
        <v/>
      </c>
      <c r="S163" s="66">
        <f>'Project Database'!W167</f>
        <v/>
      </c>
      <c r="T163" s="66">
        <f>'Project Database'!X167</f>
        <v/>
      </c>
      <c r="U163" s="67">
        <f>'Project Database'!Y167</f>
        <v/>
      </c>
      <c r="V163" s="66">
        <f>IF('Smart Search'!B13=1,IFERROR(1/'Smart Search'!H13,0),0)</f>
        <v/>
      </c>
      <c r="W163" s="66">
        <f>IF('Smart Search'!B13=1,IFERROR(1/'Smart Search'!H13,0),0)</f>
        <v/>
      </c>
      <c r="X163" s="66">
        <f>IF('Smart Search'!C13=1,IFERROR(1/'Smart Search'!H13,0),0)</f>
        <v/>
      </c>
      <c r="Y163" s="66">
        <f>IF('Smart Search'!C13=1,IFERROR(1/'Smart Search'!H13,0),0)</f>
        <v/>
      </c>
      <c r="Z163" s="66">
        <f>IF('Smart Search'!D13=1,IFERROR(1/'Smart Search'!H13,0),0)</f>
        <v/>
      </c>
      <c r="AA163" s="66">
        <f>IF('Smart Search'!D13=1,IFERROR(1/'Smart Search'!H13,0),0)</f>
        <v/>
      </c>
      <c r="AB163" s="66">
        <f>IF('Smart Search'!E13=1,IFERROR(1/'Smart Search'!H13,0),0)</f>
        <v/>
      </c>
      <c r="AC163" s="66">
        <f>IF('Smart Search'!E13=1,IFERROR(1/'Smart Search'!H13,0),0)</f>
        <v/>
      </c>
      <c r="AD163" s="66">
        <f>IF('Smart Search'!F13=1,IFERROR(1/'Smart Search'!H13,0),0)</f>
        <v/>
      </c>
      <c r="AE163" s="66">
        <f>IF('Smart Search'!F13=1,IFERROR(1/'Smart Search'!H13,0),0)</f>
        <v/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66">
        <f>AF163*V163</f>
        <v/>
      </c>
      <c r="AQ163" s="66">
        <f>AG163*W163</f>
        <v/>
      </c>
      <c r="AR163" s="66">
        <f>AH163*X163</f>
        <v/>
      </c>
      <c r="AS163" s="66">
        <f>AI163*Y163</f>
        <v/>
      </c>
      <c r="AT163" s="66">
        <f>AJ163*Z163</f>
        <v/>
      </c>
      <c r="AU163" s="66">
        <f>AK163*AA163</f>
        <v/>
      </c>
      <c r="AV163" s="66">
        <f>AL163*AB163</f>
        <v/>
      </c>
      <c r="AW163" s="66">
        <f>AM163*AC163</f>
        <v/>
      </c>
      <c r="AX163" s="66">
        <f>AN163*AD163</f>
        <v/>
      </c>
      <c r="AY163" s="66">
        <f>AO163*AE163</f>
        <v/>
      </c>
      <c r="AZ163" s="66">
        <f>'Project Database'!Z167</f>
        <v/>
      </c>
      <c r="BA163" s="66">
        <f>IF(OR(A163="",'Smart Search'!H13=0),"",MAX(0,BE163*BF163*MAX(0,1-BG163)))</f>
        <v/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66">
        <f>IF('Smart Search'!G13=1,IFERROR(1/'Smart Search'!H13,0),0)</f>
        <v/>
      </c>
      <c r="BD163" s="66">
        <f>BB163*BC163</f>
        <v/>
      </c>
      <c r="BE163" s="66">
        <f>AP163+AQ163+AR163+AS163+AT163+AU163+AV163+AW163+AX163+AY163+BD163</f>
        <v/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5">
        <f>IF(AND('Project Database'!A167&lt;&gt;"",OR('Smart Search'!$L$5="",'Smart Search'!$L$5="All",TRIM('Project Database'!D167)=TRIM('Smart Search'!$L$5)),OR(TRIM('Smart Search'!$L$6)="",TRIM('Smart Search'!$L$6)="All",ISNUMBER(SEARCH(SUBSTITUTE(SUBSTITUTE(SUBSTITUTE(TRIM('Smart Search'!$L$6),"~","~~"),"*","~*"),"?","~?"),'Project Database'!C167))),OR('Smart Search'!$L$7="",AND('Project Database'!E167&lt;&gt;"",'Project Database'!E167='Smart Search'!$L$7)),OR('Smart Search'!$L$8="",'Smart Search'!$L$8="All",TRIM('Project Database'!F167)=TRIM('Smart Search'!$L$8))),IF(BA163="","",BA163+ROW()*0.0000000001),"")</f>
        <v/>
      </c>
      <c r="BI163" s="5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>
        <f>IF('Project Database'!A167="","",N('Project Database'!AC167))</f>
        <v/>
      </c>
      <c r="BK163" s="5">
        <f>IF('Project Database'!A167="","",N('Project Database'!AD167))</f>
        <v/>
      </c>
      <c r="BL163" s="5">
        <f>IF('Project Database'!A167="","",N('Project Database'!AE167))</f>
        <v/>
      </c>
      <c r="BM163" s="5">
        <f>IF('Project Database'!A167="","",N('Project Database'!AF167))</f>
        <v/>
      </c>
      <c r="BN163" s="5">
        <f>IF('Project Database'!A167="","",N('Project Database'!AG167))</f>
        <v/>
      </c>
      <c r="BO163" s="5">
        <f>IF('Project Database'!A167="","",N('Project Database'!AH167))</f>
        <v/>
      </c>
      <c r="BP163" s="5">
        <f>IF('Project Database'!A167="","",N('Project Database'!AI167))</f>
        <v/>
      </c>
      <c r="BQ163" s="5">
        <f>IF('Project Database'!A167="","",N('Project Database'!AJ167))</f>
        <v/>
      </c>
      <c r="BR163" s="5">
        <f>IF('Project Database'!A167="","",N('Project Database'!AK167))</f>
        <v/>
      </c>
      <c r="BS163" s="5">
        <f>IF('Project Database'!A167="","",N('Project Database'!AL167))</f>
        <v/>
      </c>
      <c r="BT163" s="5">
        <f>IF('Project Database'!A167="","",N('Project Database'!AM167))</f>
        <v/>
      </c>
      <c r="BU163" s="5">
        <f>IF('Project Database'!A167="","",N('Project Database'!AN167))</f>
        <v/>
      </c>
      <c r="BV163" s="5">
        <f>IF('Project Database'!A167="","",N('Project Database'!AO167))</f>
        <v/>
      </c>
      <c r="BW163" s="5">
        <f>IF('Project Database'!A167="","",N('Project Database'!AP167))</f>
        <v/>
      </c>
      <c r="BX163" s="5">
        <f>IF(A163="","",SUM(BJ163:BW163))</f>
        <v/>
      </c>
      <c r="BY163" s="5">
        <f>IF(A163="","",IFERROR(IF(ISNUMBER(U163),U163,VALUE(SUBSTITUTE(SUBSTITUTE(SUBSTITUTE(UPPER(TRIM(U163)),"M",""),",","")," ",""))),0))</f>
        <v/>
      </c>
    </row>
    <row r="164" ht="15" customHeight="1" s="74">
      <c r="A164" s="66">
        <f>'Project Database'!A168</f>
        <v/>
      </c>
      <c r="B164" s="66">
        <f>'Project Database'!B168</f>
        <v/>
      </c>
      <c r="C164" s="66">
        <f>'Project Database'!G168</f>
        <v/>
      </c>
      <c r="D164" s="66">
        <f>'Project Database'!H168</f>
        <v/>
      </c>
      <c r="E164" s="66">
        <f>'Project Database'!I168</f>
        <v/>
      </c>
      <c r="F164" s="66">
        <f>'Project Database'!J168</f>
        <v/>
      </c>
      <c r="G164" s="66">
        <f>'Project Database'!K168</f>
        <v/>
      </c>
      <c r="H164" s="66">
        <f>'Project Database'!L168</f>
        <v/>
      </c>
      <c r="I164" s="66">
        <f>'Project Database'!M168</f>
        <v/>
      </c>
      <c r="J164" s="66">
        <f>'Project Database'!N168</f>
        <v/>
      </c>
      <c r="K164" s="66">
        <f>'Project Database'!O168</f>
        <v/>
      </c>
      <c r="L164" s="66">
        <f>'Project Database'!P168</f>
        <v/>
      </c>
      <c r="M164" s="66">
        <f>'Project Database'!Q168</f>
        <v/>
      </c>
      <c r="N164" s="66">
        <f>'Project Database'!R168</f>
        <v/>
      </c>
      <c r="O164" s="66">
        <f>'Project Database'!S168</f>
        <v/>
      </c>
      <c r="P164" s="66">
        <f>'Project Database'!T168</f>
        <v/>
      </c>
      <c r="Q164" s="66">
        <f>'Project Database'!U168</f>
        <v/>
      </c>
      <c r="R164" s="66">
        <f>'Project Database'!V168</f>
        <v/>
      </c>
      <c r="S164" s="66">
        <f>'Project Database'!W168</f>
        <v/>
      </c>
      <c r="T164" s="66">
        <f>'Project Database'!X168</f>
        <v/>
      </c>
      <c r="U164" s="67">
        <f>'Project Database'!Y168</f>
        <v/>
      </c>
      <c r="V164" s="66">
        <f>IF('Smart Search'!B13=1,IFERROR(1/'Smart Search'!H13,0),0)</f>
        <v/>
      </c>
      <c r="W164" s="66">
        <f>IF('Smart Search'!B13=1,IFERROR(1/'Smart Search'!H13,0),0)</f>
        <v/>
      </c>
      <c r="X164" s="66">
        <f>IF('Smart Search'!C13=1,IFERROR(1/'Smart Search'!H13,0),0)</f>
        <v/>
      </c>
      <c r="Y164" s="66">
        <f>IF('Smart Search'!C13=1,IFERROR(1/'Smart Search'!H13,0),0)</f>
        <v/>
      </c>
      <c r="Z164" s="66">
        <f>IF('Smart Search'!D13=1,IFERROR(1/'Smart Search'!H13,0),0)</f>
        <v/>
      </c>
      <c r="AA164" s="66">
        <f>IF('Smart Search'!D13=1,IFERROR(1/'Smart Search'!H13,0),0)</f>
        <v/>
      </c>
      <c r="AB164" s="66">
        <f>IF('Smart Search'!E13=1,IFERROR(1/'Smart Search'!H13,0),0)</f>
        <v/>
      </c>
      <c r="AC164" s="66">
        <f>IF('Smart Search'!E13=1,IFERROR(1/'Smart Search'!H13,0),0)</f>
        <v/>
      </c>
      <c r="AD164" s="66">
        <f>IF('Smart Search'!F13=1,IFERROR(1/'Smart Search'!H13,0),0)</f>
        <v/>
      </c>
      <c r="AE164" s="66">
        <f>IF('Smart Search'!F13=1,IFERROR(1/'Smart Search'!H13,0),0)</f>
        <v/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66">
        <f>AF164*V164</f>
        <v/>
      </c>
      <c r="AQ164" s="66">
        <f>AG164*W164</f>
        <v/>
      </c>
      <c r="AR164" s="66">
        <f>AH164*X164</f>
        <v/>
      </c>
      <c r="AS164" s="66">
        <f>AI164*Y164</f>
        <v/>
      </c>
      <c r="AT164" s="66">
        <f>AJ164*Z164</f>
        <v/>
      </c>
      <c r="AU164" s="66">
        <f>AK164*AA164</f>
        <v/>
      </c>
      <c r="AV164" s="66">
        <f>AL164*AB164</f>
        <v/>
      </c>
      <c r="AW164" s="66">
        <f>AM164*AC164</f>
        <v/>
      </c>
      <c r="AX164" s="66">
        <f>AN164*AD164</f>
        <v/>
      </c>
      <c r="AY164" s="66">
        <f>AO164*AE164</f>
        <v/>
      </c>
      <c r="AZ164" s="66">
        <f>'Project Database'!Z168</f>
        <v/>
      </c>
      <c r="BA164" s="66">
        <f>IF(OR(A164="",'Smart Search'!H13=0),"",MAX(0,BE164*BF164*MAX(0,1-BG164)))</f>
        <v/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66">
        <f>IF('Smart Search'!G13=1,IFERROR(1/'Smart Search'!H13,0),0)</f>
        <v/>
      </c>
      <c r="BD164" s="66">
        <f>BB164*BC164</f>
        <v/>
      </c>
      <c r="BE164" s="66">
        <f>AP164+AQ164+AR164+AS164+AT164+AU164+AV164+AW164+AX164+AY164+BD164</f>
        <v/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5">
        <f>IF(AND('Project Database'!A168&lt;&gt;"",OR('Smart Search'!$L$5="",'Smart Search'!$L$5="All",TRIM('Project Database'!D168)=TRIM('Smart Search'!$L$5)),OR(TRIM('Smart Search'!$L$6)="",TRIM('Smart Search'!$L$6)="All",ISNUMBER(SEARCH(SUBSTITUTE(SUBSTITUTE(SUBSTITUTE(TRIM('Smart Search'!$L$6),"~","~~"),"*","~*"),"?","~?"),'Project Database'!C168))),OR('Smart Search'!$L$7="",AND('Project Database'!E168&lt;&gt;"",'Project Database'!E168='Smart Search'!$L$7)),OR('Smart Search'!$L$8="",'Smart Search'!$L$8="All",TRIM('Project Database'!F168)=TRIM('Smart Search'!$L$8))),IF(BA164="","",BA164+ROW()*0.0000000001),"")</f>
        <v/>
      </c>
      <c r="BI164" s="5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>
        <f>IF('Project Database'!A168="","",N('Project Database'!AC168))</f>
        <v/>
      </c>
      <c r="BK164" s="5">
        <f>IF('Project Database'!A168="","",N('Project Database'!AD168))</f>
        <v/>
      </c>
      <c r="BL164" s="5">
        <f>IF('Project Database'!A168="","",N('Project Database'!AE168))</f>
        <v/>
      </c>
      <c r="BM164" s="5">
        <f>IF('Project Database'!A168="","",N('Project Database'!AF168))</f>
        <v/>
      </c>
      <c r="BN164" s="5">
        <f>IF('Project Database'!A168="","",N('Project Database'!AG168))</f>
        <v/>
      </c>
      <c r="BO164" s="5">
        <f>IF('Project Database'!A168="","",N('Project Database'!AH168))</f>
        <v/>
      </c>
      <c r="BP164" s="5">
        <f>IF('Project Database'!A168="","",N('Project Database'!AI168))</f>
        <v/>
      </c>
      <c r="BQ164" s="5">
        <f>IF('Project Database'!A168="","",N('Project Database'!AJ168))</f>
        <v/>
      </c>
      <c r="BR164" s="5">
        <f>IF('Project Database'!A168="","",N('Project Database'!AK168))</f>
        <v/>
      </c>
      <c r="BS164" s="5">
        <f>IF('Project Database'!A168="","",N('Project Database'!AL168))</f>
        <v/>
      </c>
      <c r="BT164" s="5">
        <f>IF('Project Database'!A168="","",N('Project Database'!AM168))</f>
        <v/>
      </c>
      <c r="BU164" s="5">
        <f>IF('Project Database'!A168="","",N('Project Database'!AN168))</f>
        <v/>
      </c>
      <c r="BV164" s="5">
        <f>IF('Project Database'!A168="","",N('Project Database'!AO168))</f>
        <v/>
      </c>
      <c r="BW164" s="5">
        <f>IF('Project Database'!A168="","",N('Project Database'!AP168))</f>
        <v/>
      </c>
      <c r="BX164" s="5">
        <f>IF(A164="","",SUM(BJ164:BW164))</f>
        <v/>
      </c>
      <c r="BY164" s="5">
        <f>IF(A164="","",IFERROR(IF(ISNUMBER(U164),U164,VALUE(SUBSTITUTE(SUBSTITUTE(SUBSTITUTE(UPPER(TRIM(U164)),"M",""),",","")," ",""))),0))</f>
        <v/>
      </c>
    </row>
    <row r="165" ht="15" customHeight="1" s="74">
      <c r="A165" s="66">
        <f>'Project Database'!A169</f>
        <v/>
      </c>
      <c r="B165" s="66">
        <f>'Project Database'!B169</f>
        <v/>
      </c>
      <c r="C165" s="66">
        <f>'Project Database'!G169</f>
        <v/>
      </c>
      <c r="D165" s="66">
        <f>'Project Database'!H169</f>
        <v/>
      </c>
      <c r="E165" s="66">
        <f>'Project Database'!I169</f>
        <v/>
      </c>
      <c r="F165" s="66">
        <f>'Project Database'!J169</f>
        <v/>
      </c>
      <c r="G165" s="66">
        <f>'Project Database'!K169</f>
        <v/>
      </c>
      <c r="H165" s="66">
        <f>'Project Database'!L169</f>
        <v/>
      </c>
      <c r="I165" s="66">
        <f>'Project Database'!M169</f>
        <v/>
      </c>
      <c r="J165" s="66">
        <f>'Project Database'!N169</f>
        <v/>
      </c>
      <c r="K165" s="66">
        <f>'Project Database'!O169</f>
        <v/>
      </c>
      <c r="L165" s="66">
        <f>'Project Database'!P169</f>
        <v/>
      </c>
      <c r="M165" s="66">
        <f>'Project Database'!Q169</f>
        <v/>
      </c>
      <c r="N165" s="66">
        <f>'Project Database'!R169</f>
        <v/>
      </c>
      <c r="O165" s="66">
        <f>'Project Database'!S169</f>
        <v/>
      </c>
      <c r="P165" s="66">
        <f>'Project Database'!T169</f>
        <v/>
      </c>
      <c r="Q165" s="66">
        <f>'Project Database'!U169</f>
        <v/>
      </c>
      <c r="R165" s="66">
        <f>'Project Database'!V169</f>
        <v/>
      </c>
      <c r="S165" s="66">
        <f>'Project Database'!W169</f>
        <v/>
      </c>
      <c r="T165" s="66">
        <f>'Project Database'!X169</f>
        <v/>
      </c>
      <c r="U165" s="67">
        <f>'Project Database'!Y169</f>
        <v/>
      </c>
      <c r="V165" s="66">
        <f>IF('Smart Search'!B13=1,IFERROR(1/'Smart Search'!H13,0),0)</f>
        <v/>
      </c>
      <c r="W165" s="66">
        <f>IF('Smart Search'!B13=1,IFERROR(1/'Smart Search'!H13,0),0)</f>
        <v/>
      </c>
      <c r="X165" s="66">
        <f>IF('Smart Search'!C13=1,IFERROR(1/'Smart Search'!H13,0),0)</f>
        <v/>
      </c>
      <c r="Y165" s="66">
        <f>IF('Smart Search'!C13=1,IFERROR(1/'Smart Search'!H13,0),0)</f>
        <v/>
      </c>
      <c r="Z165" s="66">
        <f>IF('Smart Search'!D13=1,IFERROR(1/'Smart Search'!H13,0),0)</f>
        <v/>
      </c>
      <c r="AA165" s="66">
        <f>IF('Smart Search'!D13=1,IFERROR(1/'Smart Search'!H13,0),0)</f>
        <v/>
      </c>
      <c r="AB165" s="66">
        <f>IF('Smart Search'!E13=1,IFERROR(1/'Smart Search'!H13,0),0)</f>
        <v/>
      </c>
      <c r="AC165" s="66">
        <f>IF('Smart Search'!E13=1,IFERROR(1/'Smart Search'!H13,0),0)</f>
        <v/>
      </c>
      <c r="AD165" s="66">
        <f>IF('Smart Search'!F13=1,IFERROR(1/'Smart Search'!H13,0),0)</f>
        <v/>
      </c>
      <c r="AE165" s="66">
        <f>IF('Smart Search'!F13=1,IFERROR(1/'Smart Search'!H13,0),0)</f>
        <v/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66">
        <f>AF165*V165</f>
        <v/>
      </c>
      <c r="AQ165" s="66">
        <f>AG165*W165</f>
        <v/>
      </c>
      <c r="AR165" s="66">
        <f>AH165*X165</f>
        <v/>
      </c>
      <c r="AS165" s="66">
        <f>AI165*Y165</f>
        <v/>
      </c>
      <c r="AT165" s="66">
        <f>AJ165*Z165</f>
        <v/>
      </c>
      <c r="AU165" s="66">
        <f>AK165*AA165</f>
        <v/>
      </c>
      <c r="AV165" s="66">
        <f>AL165*AB165</f>
        <v/>
      </c>
      <c r="AW165" s="66">
        <f>AM165*AC165</f>
        <v/>
      </c>
      <c r="AX165" s="66">
        <f>AN165*AD165</f>
        <v/>
      </c>
      <c r="AY165" s="66">
        <f>AO165*AE165</f>
        <v/>
      </c>
      <c r="AZ165" s="66">
        <f>'Project Database'!Z169</f>
        <v/>
      </c>
      <c r="BA165" s="66">
        <f>IF(OR(A165="",'Smart Search'!H13=0),"",MAX(0,BE165*BF165*MAX(0,1-BG165)))</f>
        <v/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66">
        <f>IF('Smart Search'!G13=1,IFERROR(1/'Smart Search'!H13,0),0)</f>
        <v/>
      </c>
      <c r="BD165" s="66">
        <f>BB165*BC165</f>
        <v/>
      </c>
      <c r="BE165" s="66">
        <f>AP165+AQ165+AR165+AS165+AT165+AU165+AV165+AW165+AX165+AY165+BD165</f>
        <v/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5">
        <f>IF(AND('Project Database'!A169&lt;&gt;"",OR('Smart Search'!$L$5="",'Smart Search'!$L$5="All",TRIM('Project Database'!D169)=TRIM('Smart Search'!$L$5)),OR(TRIM('Smart Search'!$L$6)="",TRIM('Smart Search'!$L$6)="All",ISNUMBER(SEARCH(SUBSTITUTE(SUBSTITUTE(SUBSTITUTE(TRIM('Smart Search'!$L$6),"~","~~"),"*","~*"),"?","~?"),'Project Database'!C169))),OR('Smart Search'!$L$7="",AND('Project Database'!E169&lt;&gt;"",'Project Database'!E169='Smart Search'!$L$7)),OR('Smart Search'!$L$8="",'Smart Search'!$L$8="All",TRIM('Project Database'!F169)=TRIM('Smart Search'!$L$8))),IF(BA165="","",BA165+ROW()*0.0000000001),"")</f>
        <v/>
      </c>
      <c r="BI165" s="5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>
        <f>IF('Project Database'!A169="","",N('Project Database'!AC169))</f>
        <v/>
      </c>
      <c r="BK165" s="5">
        <f>IF('Project Database'!A169="","",N('Project Database'!AD169))</f>
        <v/>
      </c>
      <c r="BL165" s="5">
        <f>IF('Project Database'!A169="","",N('Project Database'!AE169))</f>
        <v/>
      </c>
      <c r="BM165" s="5">
        <f>IF('Project Database'!A169="","",N('Project Database'!AF169))</f>
        <v/>
      </c>
      <c r="BN165" s="5">
        <f>IF('Project Database'!A169="","",N('Project Database'!AG169))</f>
        <v/>
      </c>
      <c r="BO165" s="5">
        <f>IF('Project Database'!A169="","",N('Project Database'!AH169))</f>
        <v/>
      </c>
      <c r="BP165" s="5">
        <f>IF('Project Database'!A169="","",N('Project Database'!AI169))</f>
        <v/>
      </c>
      <c r="BQ165" s="5">
        <f>IF('Project Database'!A169="","",N('Project Database'!AJ169))</f>
        <v/>
      </c>
      <c r="BR165" s="5">
        <f>IF('Project Database'!A169="","",N('Project Database'!AK169))</f>
        <v/>
      </c>
      <c r="BS165" s="5">
        <f>IF('Project Database'!A169="","",N('Project Database'!AL169))</f>
        <v/>
      </c>
      <c r="BT165" s="5">
        <f>IF('Project Database'!A169="","",N('Project Database'!AM169))</f>
        <v/>
      </c>
      <c r="BU165" s="5">
        <f>IF('Project Database'!A169="","",N('Project Database'!AN169))</f>
        <v/>
      </c>
      <c r="BV165" s="5">
        <f>IF('Project Database'!A169="","",N('Project Database'!AO169))</f>
        <v/>
      </c>
      <c r="BW165" s="5">
        <f>IF('Project Database'!A169="","",N('Project Database'!AP169))</f>
        <v/>
      </c>
      <c r="BX165" s="5">
        <f>IF(A165="","",SUM(BJ165:BW165))</f>
        <v/>
      </c>
      <c r="BY165" s="5">
        <f>IF(A165="","",IFERROR(IF(ISNUMBER(U165),U165,VALUE(SUBSTITUTE(SUBSTITUTE(SUBSTITUTE(UPPER(TRIM(U165)),"M",""),",","")," ",""))),0))</f>
        <v/>
      </c>
    </row>
    <row r="166" ht="15" customHeight="1" s="74">
      <c r="A166" s="66">
        <f>'Project Database'!A170</f>
        <v/>
      </c>
      <c r="B166" s="66">
        <f>'Project Database'!B170</f>
        <v/>
      </c>
      <c r="C166" s="66">
        <f>'Project Database'!G170</f>
        <v/>
      </c>
      <c r="D166" s="66">
        <f>'Project Database'!H170</f>
        <v/>
      </c>
      <c r="E166" s="66">
        <f>'Project Database'!I170</f>
        <v/>
      </c>
      <c r="F166" s="66">
        <f>'Project Database'!J170</f>
        <v/>
      </c>
      <c r="G166" s="66">
        <f>'Project Database'!K170</f>
        <v/>
      </c>
      <c r="H166" s="66">
        <f>'Project Database'!L170</f>
        <v/>
      </c>
      <c r="I166" s="66">
        <f>'Project Database'!M170</f>
        <v/>
      </c>
      <c r="J166" s="66">
        <f>'Project Database'!N170</f>
        <v/>
      </c>
      <c r="K166" s="66">
        <f>'Project Database'!O170</f>
        <v/>
      </c>
      <c r="L166" s="66">
        <f>'Project Database'!P170</f>
        <v/>
      </c>
      <c r="M166" s="66">
        <f>'Project Database'!Q170</f>
        <v/>
      </c>
      <c r="N166" s="66">
        <f>'Project Database'!R170</f>
        <v/>
      </c>
      <c r="O166" s="66">
        <f>'Project Database'!S170</f>
        <v/>
      </c>
      <c r="P166" s="66">
        <f>'Project Database'!T170</f>
        <v/>
      </c>
      <c r="Q166" s="66">
        <f>'Project Database'!U170</f>
        <v/>
      </c>
      <c r="R166" s="66">
        <f>'Project Database'!V170</f>
        <v/>
      </c>
      <c r="S166" s="66">
        <f>'Project Database'!W170</f>
        <v/>
      </c>
      <c r="T166" s="66">
        <f>'Project Database'!X170</f>
        <v/>
      </c>
      <c r="U166" s="67">
        <f>'Project Database'!Y170</f>
        <v/>
      </c>
      <c r="V166" s="66">
        <f>IF('Smart Search'!B13=1,IFERROR(1/'Smart Search'!H13,0),0)</f>
        <v/>
      </c>
      <c r="W166" s="66">
        <f>IF('Smart Search'!B13=1,IFERROR(1/'Smart Search'!H13,0),0)</f>
        <v/>
      </c>
      <c r="X166" s="66">
        <f>IF('Smart Search'!C13=1,IFERROR(1/'Smart Search'!H13,0),0)</f>
        <v/>
      </c>
      <c r="Y166" s="66">
        <f>IF('Smart Search'!C13=1,IFERROR(1/'Smart Search'!H13,0),0)</f>
        <v/>
      </c>
      <c r="Z166" s="66">
        <f>IF('Smart Search'!D13=1,IFERROR(1/'Smart Search'!H13,0),0)</f>
        <v/>
      </c>
      <c r="AA166" s="66">
        <f>IF('Smart Search'!D13=1,IFERROR(1/'Smart Search'!H13,0),0)</f>
        <v/>
      </c>
      <c r="AB166" s="66">
        <f>IF('Smart Search'!E13=1,IFERROR(1/'Smart Search'!H13,0),0)</f>
        <v/>
      </c>
      <c r="AC166" s="66">
        <f>IF('Smart Search'!E13=1,IFERROR(1/'Smart Search'!H13,0),0)</f>
        <v/>
      </c>
      <c r="AD166" s="66">
        <f>IF('Smart Search'!F13=1,IFERROR(1/'Smart Search'!H13,0),0)</f>
        <v/>
      </c>
      <c r="AE166" s="66">
        <f>IF('Smart Search'!F13=1,IFERROR(1/'Smart Search'!H13,0),0)</f>
        <v/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66">
        <f>AF166*V166</f>
        <v/>
      </c>
      <c r="AQ166" s="66">
        <f>AG166*W166</f>
        <v/>
      </c>
      <c r="AR166" s="66">
        <f>AH166*X166</f>
        <v/>
      </c>
      <c r="AS166" s="66">
        <f>AI166*Y166</f>
        <v/>
      </c>
      <c r="AT166" s="66">
        <f>AJ166*Z166</f>
        <v/>
      </c>
      <c r="AU166" s="66">
        <f>AK166*AA166</f>
        <v/>
      </c>
      <c r="AV166" s="66">
        <f>AL166*AB166</f>
        <v/>
      </c>
      <c r="AW166" s="66">
        <f>AM166*AC166</f>
        <v/>
      </c>
      <c r="AX166" s="66">
        <f>AN166*AD166</f>
        <v/>
      </c>
      <c r="AY166" s="66">
        <f>AO166*AE166</f>
        <v/>
      </c>
      <c r="AZ166" s="66">
        <f>'Project Database'!Z170</f>
        <v/>
      </c>
      <c r="BA166" s="66">
        <f>IF(OR(A166="",'Smart Search'!H13=0),"",MAX(0,BE166*BF166*MAX(0,1-BG166)))</f>
        <v/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66">
        <f>IF('Smart Search'!G13=1,IFERROR(1/'Smart Search'!H13,0),0)</f>
        <v/>
      </c>
      <c r="BD166" s="66">
        <f>BB166*BC166</f>
        <v/>
      </c>
      <c r="BE166" s="66">
        <f>AP166+AQ166+AR166+AS166+AT166+AU166+AV166+AW166+AX166+AY166+BD166</f>
        <v/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5">
        <f>IF(AND('Project Database'!A170&lt;&gt;"",OR('Smart Search'!$L$5="",'Smart Search'!$L$5="All",TRIM('Project Database'!D170)=TRIM('Smart Search'!$L$5)),OR(TRIM('Smart Search'!$L$6)="",TRIM('Smart Search'!$L$6)="All",ISNUMBER(SEARCH(SUBSTITUTE(SUBSTITUTE(SUBSTITUTE(TRIM('Smart Search'!$L$6),"~","~~"),"*","~*"),"?","~?"),'Project Database'!C170))),OR('Smart Search'!$L$7="",AND('Project Database'!E170&lt;&gt;"",'Project Database'!E170='Smart Search'!$L$7)),OR('Smart Search'!$L$8="",'Smart Search'!$L$8="All",TRIM('Project Database'!F170)=TRIM('Smart Search'!$L$8))),IF(BA166="","",BA166+ROW()*0.0000000001),"")</f>
        <v/>
      </c>
      <c r="BI166" s="5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>
        <f>IF('Project Database'!A170="","",N('Project Database'!AC170))</f>
        <v/>
      </c>
      <c r="BK166" s="5">
        <f>IF('Project Database'!A170="","",N('Project Database'!AD170))</f>
        <v/>
      </c>
      <c r="BL166" s="5">
        <f>IF('Project Database'!A170="","",N('Project Database'!AE170))</f>
        <v/>
      </c>
      <c r="BM166" s="5">
        <f>IF('Project Database'!A170="","",N('Project Database'!AF170))</f>
        <v/>
      </c>
      <c r="BN166" s="5">
        <f>IF('Project Database'!A170="","",N('Project Database'!AG170))</f>
        <v/>
      </c>
      <c r="BO166" s="5">
        <f>IF('Project Database'!A170="","",N('Project Database'!AH170))</f>
        <v/>
      </c>
      <c r="BP166" s="5">
        <f>IF('Project Database'!A170="","",N('Project Database'!AI170))</f>
        <v/>
      </c>
      <c r="BQ166" s="5">
        <f>IF('Project Database'!A170="","",N('Project Database'!AJ170))</f>
        <v/>
      </c>
      <c r="BR166" s="5">
        <f>IF('Project Database'!A170="","",N('Project Database'!AK170))</f>
        <v/>
      </c>
      <c r="BS166" s="5">
        <f>IF('Project Database'!A170="","",N('Project Database'!AL170))</f>
        <v/>
      </c>
      <c r="BT166" s="5">
        <f>IF('Project Database'!A170="","",N('Project Database'!AM170))</f>
        <v/>
      </c>
      <c r="BU166" s="5">
        <f>IF('Project Database'!A170="","",N('Project Database'!AN170))</f>
        <v/>
      </c>
      <c r="BV166" s="5">
        <f>IF('Project Database'!A170="","",N('Project Database'!AO170))</f>
        <v/>
      </c>
      <c r="BW166" s="5">
        <f>IF('Project Database'!A170="","",N('Project Database'!AP170))</f>
        <v/>
      </c>
      <c r="BX166" s="5">
        <f>IF(A166="","",SUM(BJ166:BW166))</f>
        <v/>
      </c>
      <c r="BY166" s="5">
        <f>IF(A166="","",IFERROR(IF(ISNUMBER(U166),U166,VALUE(SUBSTITUTE(SUBSTITUTE(SUBSTITUTE(UPPER(TRIM(U166)),"M",""),",","")," ",""))),0))</f>
        <v/>
      </c>
    </row>
    <row r="167" ht="15" customHeight="1" s="74">
      <c r="A167" s="66">
        <f>'Project Database'!A171</f>
        <v/>
      </c>
      <c r="B167" s="66">
        <f>'Project Database'!B171</f>
        <v/>
      </c>
      <c r="C167" s="66">
        <f>'Project Database'!G171</f>
        <v/>
      </c>
      <c r="D167" s="66">
        <f>'Project Database'!H171</f>
        <v/>
      </c>
      <c r="E167" s="66">
        <f>'Project Database'!I171</f>
        <v/>
      </c>
      <c r="F167" s="66">
        <f>'Project Database'!J171</f>
        <v/>
      </c>
      <c r="G167" s="66">
        <f>'Project Database'!K171</f>
        <v/>
      </c>
      <c r="H167" s="66">
        <f>'Project Database'!L171</f>
        <v/>
      </c>
      <c r="I167" s="66">
        <f>'Project Database'!M171</f>
        <v/>
      </c>
      <c r="J167" s="66">
        <f>'Project Database'!N171</f>
        <v/>
      </c>
      <c r="K167" s="66">
        <f>'Project Database'!O171</f>
        <v/>
      </c>
      <c r="L167" s="66">
        <f>'Project Database'!P171</f>
        <v/>
      </c>
      <c r="M167" s="66">
        <f>'Project Database'!Q171</f>
        <v/>
      </c>
      <c r="N167" s="66">
        <f>'Project Database'!R171</f>
        <v/>
      </c>
      <c r="O167" s="66">
        <f>'Project Database'!S171</f>
        <v/>
      </c>
      <c r="P167" s="66">
        <f>'Project Database'!T171</f>
        <v/>
      </c>
      <c r="Q167" s="66">
        <f>'Project Database'!U171</f>
        <v/>
      </c>
      <c r="R167" s="66">
        <f>'Project Database'!V171</f>
        <v/>
      </c>
      <c r="S167" s="66">
        <f>'Project Database'!W171</f>
        <v/>
      </c>
      <c r="T167" s="66">
        <f>'Project Database'!X171</f>
        <v/>
      </c>
      <c r="U167" s="67">
        <f>'Project Database'!Y171</f>
        <v/>
      </c>
      <c r="V167" s="66">
        <f>IF('Smart Search'!B13=1,IFERROR(1/'Smart Search'!H13,0),0)</f>
        <v/>
      </c>
      <c r="W167" s="66">
        <f>IF('Smart Search'!B13=1,IFERROR(1/'Smart Search'!H13,0),0)</f>
        <v/>
      </c>
      <c r="X167" s="66">
        <f>IF('Smart Search'!C13=1,IFERROR(1/'Smart Search'!H13,0),0)</f>
        <v/>
      </c>
      <c r="Y167" s="66">
        <f>IF('Smart Search'!C13=1,IFERROR(1/'Smart Search'!H13,0),0)</f>
        <v/>
      </c>
      <c r="Z167" s="66">
        <f>IF('Smart Search'!D13=1,IFERROR(1/'Smart Search'!H13,0),0)</f>
        <v/>
      </c>
      <c r="AA167" s="66">
        <f>IF('Smart Search'!D13=1,IFERROR(1/'Smart Search'!H13,0),0)</f>
        <v/>
      </c>
      <c r="AB167" s="66">
        <f>IF('Smart Search'!E13=1,IFERROR(1/'Smart Search'!H13,0),0)</f>
        <v/>
      </c>
      <c r="AC167" s="66">
        <f>IF('Smart Search'!E13=1,IFERROR(1/'Smart Search'!H13,0),0)</f>
        <v/>
      </c>
      <c r="AD167" s="66">
        <f>IF('Smart Search'!F13=1,IFERROR(1/'Smart Search'!H13,0),0)</f>
        <v/>
      </c>
      <c r="AE167" s="66">
        <f>IF('Smart Search'!F13=1,IFERROR(1/'Smart Search'!H13,0),0)</f>
        <v/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66">
        <f>AF167*V167</f>
        <v/>
      </c>
      <c r="AQ167" s="66">
        <f>AG167*W167</f>
        <v/>
      </c>
      <c r="AR167" s="66">
        <f>AH167*X167</f>
        <v/>
      </c>
      <c r="AS167" s="66">
        <f>AI167*Y167</f>
        <v/>
      </c>
      <c r="AT167" s="66">
        <f>AJ167*Z167</f>
        <v/>
      </c>
      <c r="AU167" s="66">
        <f>AK167*AA167</f>
        <v/>
      </c>
      <c r="AV167" s="66">
        <f>AL167*AB167</f>
        <v/>
      </c>
      <c r="AW167" s="66">
        <f>AM167*AC167</f>
        <v/>
      </c>
      <c r="AX167" s="66">
        <f>AN167*AD167</f>
        <v/>
      </c>
      <c r="AY167" s="66">
        <f>AO167*AE167</f>
        <v/>
      </c>
      <c r="AZ167" s="66">
        <f>'Project Database'!Z171</f>
        <v/>
      </c>
      <c r="BA167" s="66">
        <f>IF(OR(A167="",'Smart Search'!H13=0),"",MAX(0,BE167*BF167*MAX(0,1-BG167)))</f>
        <v/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66">
        <f>IF('Smart Search'!G13=1,IFERROR(1/'Smart Search'!H13,0),0)</f>
        <v/>
      </c>
      <c r="BD167" s="66">
        <f>BB167*BC167</f>
        <v/>
      </c>
      <c r="BE167" s="66">
        <f>AP167+AQ167+AR167+AS167+AT167+AU167+AV167+AW167+AX167+AY167+BD167</f>
        <v/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5">
        <f>IF(AND('Project Database'!A171&lt;&gt;"",OR('Smart Search'!$L$5="",'Smart Search'!$L$5="All",TRIM('Project Database'!D171)=TRIM('Smart Search'!$L$5)),OR(TRIM('Smart Search'!$L$6)="",TRIM('Smart Search'!$L$6)="All",ISNUMBER(SEARCH(SUBSTITUTE(SUBSTITUTE(SUBSTITUTE(TRIM('Smart Search'!$L$6),"~","~~"),"*","~*"),"?","~?"),'Project Database'!C171))),OR('Smart Search'!$L$7="",AND('Project Database'!E171&lt;&gt;"",'Project Database'!E171='Smart Search'!$L$7)),OR('Smart Search'!$L$8="",'Smart Search'!$L$8="All",TRIM('Project Database'!F171)=TRIM('Smart Search'!$L$8))),IF(BA167="","",BA167+ROW()*0.0000000001),"")</f>
        <v/>
      </c>
      <c r="BI167" s="5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>
        <f>IF('Project Database'!A171="","",N('Project Database'!AC171))</f>
        <v/>
      </c>
      <c r="BK167" s="5">
        <f>IF('Project Database'!A171="","",N('Project Database'!AD171))</f>
        <v/>
      </c>
      <c r="BL167" s="5">
        <f>IF('Project Database'!A171="","",N('Project Database'!AE171))</f>
        <v/>
      </c>
      <c r="BM167" s="5">
        <f>IF('Project Database'!A171="","",N('Project Database'!AF171))</f>
        <v/>
      </c>
      <c r="BN167" s="5">
        <f>IF('Project Database'!A171="","",N('Project Database'!AG171))</f>
        <v/>
      </c>
      <c r="BO167" s="5">
        <f>IF('Project Database'!A171="","",N('Project Database'!AH171))</f>
        <v/>
      </c>
      <c r="BP167" s="5">
        <f>IF('Project Database'!A171="","",N('Project Database'!AI171))</f>
        <v/>
      </c>
      <c r="BQ167" s="5">
        <f>IF('Project Database'!A171="","",N('Project Database'!AJ171))</f>
        <v/>
      </c>
      <c r="BR167" s="5">
        <f>IF('Project Database'!A171="","",N('Project Database'!AK171))</f>
        <v/>
      </c>
      <c r="BS167" s="5">
        <f>IF('Project Database'!A171="","",N('Project Database'!AL171))</f>
        <v/>
      </c>
      <c r="BT167" s="5">
        <f>IF('Project Database'!A171="","",N('Project Database'!AM171))</f>
        <v/>
      </c>
      <c r="BU167" s="5">
        <f>IF('Project Database'!A171="","",N('Project Database'!AN171))</f>
        <v/>
      </c>
      <c r="BV167" s="5">
        <f>IF('Project Database'!A171="","",N('Project Database'!AO171))</f>
        <v/>
      </c>
      <c r="BW167" s="5">
        <f>IF('Project Database'!A171="","",N('Project Database'!AP171))</f>
        <v/>
      </c>
      <c r="BX167" s="5">
        <f>IF(A167="","",SUM(BJ167:BW167))</f>
        <v/>
      </c>
      <c r="BY167" s="5">
        <f>IF(A167="","",IFERROR(IF(ISNUMBER(U167),U167,VALUE(SUBSTITUTE(SUBSTITUTE(SUBSTITUTE(UPPER(TRIM(U167)),"M",""),",","")," ",""))),0))</f>
        <v/>
      </c>
    </row>
    <row r="168" ht="15" customHeight="1" s="74">
      <c r="A168" s="66">
        <f>'Project Database'!A172</f>
        <v/>
      </c>
      <c r="B168" s="66">
        <f>'Project Database'!B172</f>
        <v/>
      </c>
      <c r="C168" s="66">
        <f>'Project Database'!G172</f>
        <v/>
      </c>
      <c r="D168" s="66">
        <f>'Project Database'!H172</f>
        <v/>
      </c>
      <c r="E168" s="66">
        <f>'Project Database'!I172</f>
        <v/>
      </c>
      <c r="F168" s="66">
        <f>'Project Database'!J172</f>
        <v/>
      </c>
      <c r="G168" s="66">
        <f>'Project Database'!K172</f>
        <v/>
      </c>
      <c r="H168" s="66">
        <f>'Project Database'!L172</f>
        <v/>
      </c>
      <c r="I168" s="66">
        <f>'Project Database'!M172</f>
        <v/>
      </c>
      <c r="J168" s="66">
        <f>'Project Database'!N172</f>
        <v/>
      </c>
      <c r="K168" s="66">
        <f>'Project Database'!O172</f>
        <v/>
      </c>
      <c r="L168" s="66">
        <f>'Project Database'!P172</f>
        <v/>
      </c>
      <c r="M168" s="66">
        <f>'Project Database'!Q172</f>
        <v/>
      </c>
      <c r="N168" s="66">
        <f>'Project Database'!R172</f>
        <v/>
      </c>
      <c r="O168" s="66">
        <f>'Project Database'!S172</f>
        <v/>
      </c>
      <c r="P168" s="66">
        <f>'Project Database'!T172</f>
        <v/>
      </c>
      <c r="Q168" s="66">
        <f>'Project Database'!U172</f>
        <v/>
      </c>
      <c r="R168" s="66">
        <f>'Project Database'!V172</f>
        <v/>
      </c>
      <c r="S168" s="66">
        <f>'Project Database'!W172</f>
        <v/>
      </c>
      <c r="T168" s="66">
        <f>'Project Database'!X172</f>
        <v/>
      </c>
      <c r="U168" s="67">
        <f>'Project Database'!Y172</f>
        <v/>
      </c>
      <c r="V168" s="66">
        <f>IF('Smart Search'!B13=1,IFERROR(1/'Smart Search'!H13,0),0)</f>
        <v/>
      </c>
      <c r="W168" s="66">
        <f>IF('Smart Search'!B13=1,IFERROR(1/'Smart Search'!H13,0),0)</f>
        <v/>
      </c>
      <c r="X168" s="66">
        <f>IF('Smart Search'!C13=1,IFERROR(1/'Smart Search'!H13,0),0)</f>
        <v/>
      </c>
      <c r="Y168" s="66">
        <f>IF('Smart Search'!C13=1,IFERROR(1/'Smart Search'!H13,0),0)</f>
        <v/>
      </c>
      <c r="Z168" s="66">
        <f>IF('Smart Search'!D13=1,IFERROR(1/'Smart Search'!H13,0),0)</f>
        <v/>
      </c>
      <c r="AA168" s="66">
        <f>IF('Smart Search'!D13=1,IFERROR(1/'Smart Search'!H13,0),0)</f>
        <v/>
      </c>
      <c r="AB168" s="66">
        <f>IF('Smart Search'!E13=1,IFERROR(1/'Smart Search'!H13,0),0)</f>
        <v/>
      </c>
      <c r="AC168" s="66">
        <f>IF('Smart Search'!E13=1,IFERROR(1/'Smart Search'!H13,0),0)</f>
        <v/>
      </c>
      <c r="AD168" s="66">
        <f>IF('Smart Search'!F13=1,IFERROR(1/'Smart Search'!H13,0),0)</f>
        <v/>
      </c>
      <c r="AE168" s="66">
        <f>IF('Smart Search'!F13=1,IFERROR(1/'Smart Search'!H13,0),0)</f>
        <v/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66">
        <f>AF168*V168</f>
        <v/>
      </c>
      <c r="AQ168" s="66">
        <f>AG168*W168</f>
        <v/>
      </c>
      <c r="AR168" s="66">
        <f>AH168*X168</f>
        <v/>
      </c>
      <c r="AS168" s="66">
        <f>AI168*Y168</f>
        <v/>
      </c>
      <c r="AT168" s="66">
        <f>AJ168*Z168</f>
        <v/>
      </c>
      <c r="AU168" s="66">
        <f>AK168*AA168</f>
        <v/>
      </c>
      <c r="AV168" s="66">
        <f>AL168*AB168</f>
        <v/>
      </c>
      <c r="AW168" s="66">
        <f>AM168*AC168</f>
        <v/>
      </c>
      <c r="AX168" s="66">
        <f>AN168*AD168</f>
        <v/>
      </c>
      <c r="AY168" s="66">
        <f>AO168*AE168</f>
        <v/>
      </c>
      <c r="AZ168" s="66">
        <f>'Project Database'!Z172</f>
        <v/>
      </c>
      <c r="BA168" s="66">
        <f>IF(OR(A168="",'Smart Search'!H13=0),"",MAX(0,BE168*BF168*MAX(0,1-BG168)))</f>
        <v/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66">
        <f>IF('Smart Search'!G13=1,IFERROR(1/'Smart Search'!H13,0),0)</f>
        <v/>
      </c>
      <c r="BD168" s="66">
        <f>BB168*BC168</f>
        <v/>
      </c>
      <c r="BE168" s="66">
        <f>AP168+AQ168+AR168+AS168+AT168+AU168+AV168+AW168+AX168+AY168+BD168</f>
        <v/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5">
        <f>IF(AND('Project Database'!A172&lt;&gt;"",OR('Smart Search'!$L$5="",'Smart Search'!$L$5="All",TRIM('Project Database'!D172)=TRIM('Smart Search'!$L$5)),OR(TRIM('Smart Search'!$L$6)="",TRIM('Smart Search'!$L$6)="All",ISNUMBER(SEARCH(SUBSTITUTE(SUBSTITUTE(SUBSTITUTE(TRIM('Smart Search'!$L$6),"~","~~"),"*","~*"),"?","~?"),'Project Database'!C172))),OR('Smart Search'!$L$7="",AND('Project Database'!E172&lt;&gt;"",'Project Database'!E172='Smart Search'!$L$7)),OR('Smart Search'!$L$8="",'Smart Search'!$L$8="All",TRIM('Project Database'!F172)=TRIM('Smart Search'!$L$8))),IF(BA168="","",BA168+ROW()*0.0000000001),"")</f>
        <v/>
      </c>
      <c r="BI168" s="5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>
        <f>IF('Project Database'!A172="","",N('Project Database'!AC172))</f>
        <v/>
      </c>
      <c r="BK168" s="5">
        <f>IF('Project Database'!A172="","",N('Project Database'!AD172))</f>
        <v/>
      </c>
      <c r="BL168" s="5">
        <f>IF('Project Database'!A172="","",N('Project Database'!AE172))</f>
        <v/>
      </c>
      <c r="BM168" s="5">
        <f>IF('Project Database'!A172="","",N('Project Database'!AF172))</f>
        <v/>
      </c>
      <c r="BN168" s="5">
        <f>IF('Project Database'!A172="","",N('Project Database'!AG172))</f>
        <v/>
      </c>
      <c r="BO168" s="5">
        <f>IF('Project Database'!A172="","",N('Project Database'!AH172))</f>
        <v/>
      </c>
      <c r="BP168" s="5">
        <f>IF('Project Database'!A172="","",N('Project Database'!AI172))</f>
        <v/>
      </c>
      <c r="BQ168" s="5">
        <f>IF('Project Database'!A172="","",N('Project Database'!AJ172))</f>
        <v/>
      </c>
      <c r="BR168" s="5">
        <f>IF('Project Database'!A172="","",N('Project Database'!AK172))</f>
        <v/>
      </c>
      <c r="BS168" s="5">
        <f>IF('Project Database'!A172="","",N('Project Database'!AL172))</f>
        <v/>
      </c>
      <c r="BT168" s="5">
        <f>IF('Project Database'!A172="","",N('Project Database'!AM172))</f>
        <v/>
      </c>
      <c r="BU168" s="5">
        <f>IF('Project Database'!A172="","",N('Project Database'!AN172))</f>
        <v/>
      </c>
      <c r="BV168" s="5">
        <f>IF('Project Database'!A172="","",N('Project Database'!AO172))</f>
        <v/>
      </c>
      <c r="BW168" s="5">
        <f>IF('Project Database'!A172="","",N('Project Database'!AP172))</f>
        <v/>
      </c>
      <c r="BX168" s="5">
        <f>IF(A168="","",SUM(BJ168:BW168))</f>
        <v/>
      </c>
      <c r="BY168" s="5">
        <f>IF(A168="","",IFERROR(IF(ISNUMBER(U168),U168,VALUE(SUBSTITUTE(SUBSTITUTE(SUBSTITUTE(UPPER(TRIM(U168)),"M",""),",","")," ",""))),0))</f>
        <v/>
      </c>
    </row>
    <row r="169" ht="15" customHeight="1" s="74">
      <c r="A169" s="66">
        <f>'Project Database'!A173</f>
        <v/>
      </c>
      <c r="B169" s="66">
        <f>'Project Database'!B173</f>
        <v/>
      </c>
      <c r="C169" s="66">
        <f>'Project Database'!G173</f>
        <v/>
      </c>
      <c r="D169" s="66">
        <f>'Project Database'!H173</f>
        <v/>
      </c>
      <c r="E169" s="66">
        <f>'Project Database'!I173</f>
        <v/>
      </c>
      <c r="F169" s="66">
        <f>'Project Database'!J173</f>
        <v/>
      </c>
      <c r="G169" s="66">
        <f>'Project Database'!K173</f>
        <v/>
      </c>
      <c r="H169" s="66">
        <f>'Project Database'!L173</f>
        <v/>
      </c>
      <c r="I169" s="66">
        <f>'Project Database'!M173</f>
        <v/>
      </c>
      <c r="J169" s="66">
        <f>'Project Database'!N173</f>
        <v/>
      </c>
      <c r="K169" s="66">
        <f>'Project Database'!O173</f>
        <v/>
      </c>
      <c r="L169" s="66">
        <f>'Project Database'!P173</f>
        <v/>
      </c>
      <c r="M169" s="66">
        <f>'Project Database'!Q173</f>
        <v/>
      </c>
      <c r="N169" s="66">
        <f>'Project Database'!R173</f>
        <v/>
      </c>
      <c r="O169" s="66">
        <f>'Project Database'!S173</f>
        <v/>
      </c>
      <c r="P169" s="66">
        <f>'Project Database'!T173</f>
        <v/>
      </c>
      <c r="Q169" s="66">
        <f>'Project Database'!U173</f>
        <v/>
      </c>
      <c r="R169" s="66">
        <f>'Project Database'!V173</f>
        <v/>
      </c>
      <c r="S169" s="66">
        <f>'Project Database'!W173</f>
        <v/>
      </c>
      <c r="T169" s="66">
        <f>'Project Database'!X173</f>
        <v/>
      </c>
      <c r="U169" s="67">
        <f>'Project Database'!Y173</f>
        <v/>
      </c>
      <c r="V169" s="66">
        <f>IF('Smart Search'!B13=1,IFERROR(1/'Smart Search'!H13,0),0)</f>
        <v/>
      </c>
      <c r="W169" s="66">
        <f>IF('Smart Search'!B13=1,IFERROR(1/'Smart Search'!H13,0),0)</f>
        <v/>
      </c>
      <c r="X169" s="66">
        <f>IF('Smart Search'!C13=1,IFERROR(1/'Smart Search'!H13,0),0)</f>
        <v/>
      </c>
      <c r="Y169" s="66">
        <f>IF('Smart Search'!C13=1,IFERROR(1/'Smart Search'!H13,0),0)</f>
        <v/>
      </c>
      <c r="Z169" s="66">
        <f>IF('Smart Search'!D13=1,IFERROR(1/'Smart Search'!H13,0),0)</f>
        <v/>
      </c>
      <c r="AA169" s="66">
        <f>IF('Smart Search'!D13=1,IFERROR(1/'Smart Search'!H13,0),0)</f>
        <v/>
      </c>
      <c r="AB169" s="66">
        <f>IF('Smart Search'!E13=1,IFERROR(1/'Smart Search'!H13,0),0)</f>
        <v/>
      </c>
      <c r="AC169" s="66">
        <f>IF('Smart Search'!E13=1,IFERROR(1/'Smart Search'!H13,0),0)</f>
        <v/>
      </c>
      <c r="AD169" s="66">
        <f>IF('Smart Search'!F13=1,IFERROR(1/'Smart Search'!H13,0),0)</f>
        <v/>
      </c>
      <c r="AE169" s="66">
        <f>IF('Smart Search'!F13=1,IFERROR(1/'Smart Search'!H13,0),0)</f>
        <v/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66">
        <f>AF169*V169</f>
        <v/>
      </c>
      <c r="AQ169" s="66">
        <f>AG169*W169</f>
        <v/>
      </c>
      <c r="AR169" s="66">
        <f>AH169*X169</f>
        <v/>
      </c>
      <c r="AS169" s="66">
        <f>AI169*Y169</f>
        <v/>
      </c>
      <c r="AT169" s="66">
        <f>AJ169*Z169</f>
        <v/>
      </c>
      <c r="AU169" s="66">
        <f>AK169*AA169</f>
        <v/>
      </c>
      <c r="AV169" s="66">
        <f>AL169*AB169</f>
        <v/>
      </c>
      <c r="AW169" s="66">
        <f>AM169*AC169</f>
        <v/>
      </c>
      <c r="AX169" s="66">
        <f>AN169*AD169</f>
        <v/>
      </c>
      <c r="AY169" s="66">
        <f>AO169*AE169</f>
        <v/>
      </c>
      <c r="AZ169" s="66">
        <f>'Project Database'!Z173</f>
        <v/>
      </c>
      <c r="BA169" s="66">
        <f>IF(OR(A169="",'Smart Search'!H13=0),"",MAX(0,BE169*BF169*MAX(0,1-BG169)))</f>
        <v/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66">
        <f>IF('Smart Search'!G13=1,IFERROR(1/'Smart Search'!H13,0),0)</f>
        <v/>
      </c>
      <c r="BD169" s="66">
        <f>BB169*BC169</f>
        <v/>
      </c>
      <c r="BE169" s="66">
        <f>AP169+AQ169+AR169+AS169+AT169+AU169+AV169+AW169+AX169+AY169+BD169</f>
        <v/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5">
        <f>IF(AND('Project Database'!A173&lt;&gt;"",OR('Smart Search'!$L$5="",'Smart Search'!$L$5="All",TRIM('Project Database'!D173)=TRIM('Smart Search'!$L$5)),OR(TRIM('Smart Search'!$L$6)="",TRIM('Smart Search'!$L$6)="All",ISNUMBER(SEARCH(SUBSTITUTE(SUBSTITUTE(SUBSTITUTE(TRIM('Smart Search'!$L$6),"~","~~"),"*","~*"),"?","~?"),'Project Database'!C173))),OR('Smart Search'!$L$7="",AND('Project Database'!E173&lt;&gt;"",'Project Database'!E173='Smart Search'!$L$7)),OR('Smart Search'!$L$8="",'Smart Search'!$L$8="All",TRIM('Project Database'!F173)=TRIM('Smart Search'!$L$8))),IF(BA169="","",BA169+ROW()*0.0000000001),"")</f>
        <v/>
      </c>
      <c r="BI169" s="5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>
        <f>IF('Project Database'!A173="","",N('Project Database'!AC173))</f>
        <v/>
      </c>
      <c r="BK169" s="5">
        <f>IF('Project Database'!A173="","",N('Project Database'!AD173))</f>
        <v/>
      </c>
      <c r="BL169" s="5">
        <f>IF('Project Database'!A173="","",N('Project Database'!AE173))</f>
        <v/>
      </c>
      <c r="BM169" s="5">
        <f>IF('Project Database'!A173="","",N('Project Database'!AF173))</f>
        <v/>
      </c>
      <c r="BN169" s="5">
        <f>IF('Project Database'!A173="","",N('Project Database'!AG173))</f>
        <v/>
      </c>
      <c r="BO169" s="5">
        <f>IF('Project Database'!A173="","",N('Project Database'!AH173))</f>
        <v/>
      </c>
      <c r="BP169" s="5">
        <f>IF('Project Database'!A173="","",N('Project Database'!AI173))</f>
        <v/>
      </c>
      <c r="BQ169" s="5">
        <f>IF('Project Database'!A173="","",N('Project Database'!AJ173))</f>
        <v/>
      </c>
      <c r="BR169" s="5">
        <f>IF('Project Database'!A173="","",N('Project Database'!AK173))</f>
        <v/>
      </c>
      <c r="BS169" s="5">
        <f>IF('Project Database'!A173="","",N('Project Database'!AL173))</f>
        <v/>
      </c>
      <c r="BT169" s="5">
        <f>IF('Project Database'!A173="","",N('Project Database'!AM173))</f>
        <v/>
      </c>
      <c r="BU169" s="5">
        <f>IF('Project Database'!A173="","",N('Project Database'!AN173))</f>
        <v/>
      </c>
      <c r="BV169" s="5">
        <f>IF('Project Database'!A173="","",N('Project Database'!AO173))</f>
        <v/>
      </c>
      <c r="BW169" s="5">
        <f>IF('Project Database'!A173="","",N('Project Database'!AP173))</f>
        <v/>
      </c>
      <c r="BX169" s="5">
        <f>IF(A169="","",SUM(BJ169:BW169))</f>
        <v/>
      </c>
      <c r="BY169" s="5">
        <f>IF(A169="","",IFERROR(IF(ISNUMBER(U169),U169,VALUE(SUBSTITUTE(SUBSTITUTE(SUBSTITUTE(UPPER(TRIM(U169)),"M",""),",","")," ",""))),0))</f>
        <v/>
      </c>
    </row>
    <row r="170" ht="15" customHeight="1" s="74">
      <c r="A170" s="66">
        <f>'Project Database'!A174</f>
        <v/>
      </c>
      <c r="B170" s="66">
        <f>'Project Database'!B174</f>
        <v/>
      </c>
      <c r="C170" s="66">
        <f>'Project Database'!G174</f>
        <v/>
      </c>
      <c r="D170" s="66">
        <f>'Project Database'!H174</f>
        <v/>
      </c>
      <c r="E170" s="66">
        <f>'Project Database'!I174</f>
        <v/>
      </c>
      <c r="F170" s="66">
        <f>'Project Database'!J174</f>
        <v/>
      </c>
      <c r="G170" s="66">
        <f>'Project Database'!K174</f>
        <v/>
      </c>
      <c r="H170" s="66">
        <f>'Project Database'!L174</f>
        <v/>
      </c>
      <c r="I170" s="66">
        <f>'Project Database'!M174</f>
        <v/>
      </c>
      <c r="J170" s="66">
        <f>'Project Database'!N174</f>
        <v/>
      </c>
      <c r="K170" s="66">
        <f>'Project Database'!O174</f>
        <v/>
      </c>
      <c r="L170" s="66">
        <f>'Project Database'!P174</f>
        <v/>
      </c>
      <c r="M170" s="66">
        <f>'Project Database'!Q174</f>
        <v/>
      </c>
      <c r="N170" s="66">
        <f>'Project Database'!R174</f>
        <v/>
      </c>
      <c r="O170" s="66">
        <f>'Project Database'!S174</f>
        <v/>
      </c>
      <c r="P170" s="66">
        <f>'Project Database'!T174</f>
        <v/>
      </c>
      <c r="Q170" s="66">
        <f>'Project Database'!U174</f>
        <v/>
      </c>
      <c r="R170" s="66">
        <f>'Project Database'!V174</f>
        <v/>
      </c>
      <c r="S170" s="66">
        <f>'Project Database'!W174</f>
        <v/>
      </c>
      <c r="T170" s="66">
        <f>'Project Database'!X174</f>
        <v/>
      </c>
      <c r="U170" s="67">
        <f>'Project Database'!Y174</f>
        <v/>
      </c>
      <c r="V170" s="66">
        <f>IF('Smart Search'!B13=1,IFERROR(1/'Smart Search'!H13,0),0)</f>
        <v/>
      </c>
      <c r="W170" s="66">
        <f>IF('Smart Search'!B13=1,IFERROR(1/'Smart Search'!H13,0),0)</f>
        <v/>
      </c>
      <c r="X170" s="66">
        <f>IF('Smart Search'!C13=1,IFERROR(1/'Smart Search'!H13,0),0)</f>
        <v/>
      </c>
      <c r="Y170" s="66">
        <f>IF('Smart Search'!C13=1,IFERROR(1/'Smart Search'!H13,0),0)</f>
        <v/>
      </c>
      <c r="Z170" s="66">
        <f>IF('Smart Search'!D13=1,IFERROR(1/'Smart Search'!H13,0),0)</f>
        <v/>
      </c>
      <c r="AA170" s="66">
        <f>IF('Smart Search'!D13=1,IFERROR(1/'Smart Search'!H13,0),0)</f>
        <v/>
      </c>
      <c r="AB170" s="66">
        <f>IF('Smart Search'!E13=1,IFERROR(1/'Smart Search'!H13,0),0)</f>
        <v/>
      </c>
      <c r="AC170" s="66">
        <f>IF('Smart Search'!E13=1,IFERROR(1/'Smart Search'!H13,0),0)</f>
        <v/>
      </c>
      <c r="AD170" s="66">
        <f>IF('Smart Search'!F13=1,IFERROR(1/'Smart Search'!H13,0),0)</f>
        <v/>
      </c>
      <c r="AE170" s="66">
        <f>IF('Smart Search'!F13=1,IFERROR(1/'Smart Search'!H13,0),0)</f>
        <v/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66">
        <f>AF170*V170</f>
        <v/>
      </c>
      <c r="AQ170" s="66">
        <f>AG170*W170</f>
        <v/>
      </c>
      <c r="AR170" s="66">
        <f>AH170*X170</f>
        <v/>
      </c>
      <c r="AS170" s="66">
        <f>AI170*Y170</f>
        <v/>
      </c>
      <c r="AT170" s="66">
        <f>AJ170*Z170</f>
        <v/>
      </c>
      <c r="AU170" s="66">
        <f>AK170*AA170</f>
        <v/>
      </c>
      <c r="AV170" s="66">
        <f>AL170*AB170</f>
        <v/>
      </c>
      <c r="AW170" s="66">
        <f>AM170*AC170</f>
        <v/>
      </c>
      <c r="AX170" s="66">
        <f>AN170*AD170</f>
        <v/>
      </c>
      <c r="AY170" s="66">
        <f>AO170*AE170</f>
        <v/>
      </c>
      <c r="AZ170" s="66">
        <f>'Project Database'!Z174</f>
        <v/>
      </c>
      <c r="BA170" s="66">
        <f>IF(OR(A170="",'Smart Search'!H13=0),"",MAX(0,BE170*BF170*MAX(0,1-BG170)))</f>
        <v/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66">
        <f>IF('Smart Search'!G13=1,IFERROR(1/'Smart Search'!H13,0),0)</f>
        <v/>
      </c>
      <c r="BD170" s="66">
        <f>BB170*BC170</f>
        <v/>
      </c>
      <c r="BE170" s="66">
        <f>AP170+AQ170+AR170+AS170+AT170+AU170+AV170+AW170+AX170+AY170+BD170</f>
        <v/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5">
        <f>IF(AND('Project Database'!A174&lt;&gt;"",OR('Smart Search'!$L$5="",'Smart Search'!$L$5="All",TRIM('Project Database'!D174)=TRIM('Smart Search'!$L$5)),OR(TRIM('Smart Search'!$L$6)="",TRIM('Smart Search'!$L$6)="All",ISNUMBER(SEARCH(SUBSTITUTE(SUBSTITUTE(SUBSTITUTE(TRIM('Smart Search'!$L$6),"~","~~"),"*","~*"),"?","~?"),'Project Database'!C174))),OR('Smart Search'!$L$7="",AND('Project Database'!E174&lt;&gt;"",'Project Database'!E174='Smart Search'!$L$7)),OR('Smart Search'!$L$8="",'Smart Search'!$L$8="All",TRIM('Project Database'!F174)=TRIM('Smart Search'!$L$8))),IF(BA170="","",BA170+ROW()*0.0000000001),"")</f>
        <v/>
      </c>
      <c r="BI170" s="5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>
        <f>IF('Project Database'!A174="","",N('Project Database'!AC174))</f>
        <v/>
      </c>
      <c r="BK170" s="5">
        <f>IF('Project Database'!A174="","",N('Project Database'!AD174))</f>
        <v/>
      </c>
      <c r="BL170" s="5">
        <f>IF('Project Database'!A174="","",N('Project Database'!AE174))</f>
        <v/>
      </c>
      <c r="BM170" s="5">
        <f>IF('Project Database'!A174="","",N('Project Database'!AF174))</f>
        <v/>
      </c>
      <c r="BN170" s="5">
        <f>IF('Project Database'!A174="","",N('Project Database'!AG174))</f>
        <v/>
      </c>
      <c r="BO170" s="5">
        <f>IF('Project Database'!A174="","",N('Project Database'!AH174))</f>
        <v/>
      </c>
      <c r="BP170" s="5">
        <f>IF('Project Database'!A174="","",N('Project Database'!AI174))</f>
        <v/>
      </c>
      <c r="BQ170" s="5">
        <f>IF('Project Database'!A174="","",N('Project Database'!AJ174))</f>
        <v/>
      </c>
      <c r="BR170" s="5">
        <f>IF('Project Database'!A174="","",N('Project Database'!AK174))</f>
        <v/>
      </c>
      <c r="BS170" s="5">
        <f>IF('Project Database'!A174="","",N('Project Database'!AL174))</f>
        <v/>
      </c>
      <c r="BT170" s="5">
        <f>IF('Project Database'!A174="","",N('Project Database'!AM174))</f>
        <v/>
      </c>
      <c r="BU170" s="5">
        <f>IF('Project Database'!A174="","",N('Project Database'!AN174))</f>
        <v/>
      </c>
      <c r="BV170" s="5">
        <f>IF('Project Database'!A174="","",N('Project Database'!AO174))</f>
        <v/>
      </c>
      <c r="BW170" s="5">
        <f>IF('Project Database'!A174="","",N('Project Database'!AP174))</f>
        <v/>
      </c>
      <c r="BX170" s="5">
        <f>IF(A170="","",SUM(BJ170:BW170))</f>
        <v/>
      </c>
      <c r="BY170" s="5">
        <f>IF(A170="","",IFERROR(IF(ISNUMBER(U170),U170,VALUE(SUBSTITUTE(SUBSTITUTE(SUBSTITUTE(UPPER(TRIM(U170)),"M",""),",","")," ",""))),0))</f>
        <v/>
      </c>
    </row>
    <row r="171" ht="15" customHeight="1" s="74">
      <c r="A171" s="66">
        <f>'Project Database'!A175</f>
        <v/>
      </c>
      <c r="B171" s="66">
        <f>'Project Database'!B175</f>
        <v/>
      </c>
      <c r="C171" s="66">
        <f>'Project Database'!G175</f>
        <v/>
      </c>
      <c r="D171" s="66">
        <f>'Project Database'!H175</f>
        <v/>
      </c>
      <c r="E171" s="66">
        <f>'Project Database'!I175</f>
        <v/>
      </c>
      <c r="F171" s="66">
        <f>'Project Database'!J175</f>
        <v/>
      </c>
      <c r="G171" s="66">
        <f>'Project Database'!K175</f>
        <v/>
      </c>
      <c r="H171" s="66">
        <f>'Project Database'!L175</f>
        <v/>
      </c>
      <c r="I171" s="66">
        <f>'Project Database'!M175</f>
        <v/>
      </c>
      <c r="J171" s="66">
        <f>'Project Database'!N175</f>
        <v/>
      </c>
      <c r="K171" s="66">
        <f>'Project Database'!O175</f>
        <v/>
      </c>
      <c r="L171" s="66">
        <f>'Project Database'!P175</f>
        <v/>
      </c>
      <c r="M171" s="66">
        <f>'Project Database'!Q175</f>
        <v/>
      </c>
      <c r="N171" s="66">
        <f>'Project Database'!R175</f>
        <v/>
      </c>
      <c r="O171" s="66">
        <f>'Project Database'!S175</f>
        <v/>
      </c>
      <c r="P171" s="66">
        <f>'Project Database'!T175</f>
        <v/>
      </c>
      <c r="Q171" s="66">
        <f>'Project Database'!U175</f>
        <v/>
      </c>
      <c r="R171" s="66">
        <f>'Project Database'!V175</f>
        <v/>
      </c>
      <c r="S171" s="66">
        <f>'Project Database'!W175</f>
        <v/>
      </c>
      <c r="T171" s="66">
        <f>'Project Database'!X175</f>
        <v/>
      </c>
      <c r="U171" s="67">
        <f>'Project Database'!Y175</f>
        <v/>
      </c>
      <c r="V171" s="66">
        <f>IF('Smart Search'!B13=1,IFERROR(1/'Smart Search'!H13,0),0)</f>
        <v/>
      </c>
      <c r="W171" s="66">
        <f>IF('Smart Search'!B13=1,IFERROR(1/'Smart Search'!H13,0),0)</f>
        <v/>
      </c>
      <c r="X171" s="66">
        <f>IF('Smart Search'!C13=1,IFERROR(1/'Smart Search'!H13,0),0)</f>
        <v/>
      </c>
      <c r="Y171" s="66">
        <f>IF('Smart Search'!C13=1,IFERROR(1/'Smart Search'!H13,0),0)</f>
        <v/>
      </c>
      <c r="Z171" s="66">
        <f>IF('Smart Search'!D13=1,IFERROR(1/'Smart Search'!H13,0),0)</f>
        <v/>
      </c>
      <c r="AA171" s="66">
        <f>IF('Smart Search'!D13=1,IFERROR(1/'Smart Search'!H13,0),0)</f>
        <v/>
      </c>
      <c r="AB171" s="66">
        <f>IF('Smart Search'!E13=1,IFERROR(1/'Smart Search'!H13,0),0)</f>
        <v/>
      </c>
      <c r="AC171" s="66">
        <f>IF('Smart Search'!E13=1,IFERROR(1/'Smart Search'!H13,0),0)</f>
        <v/>
      </c>
      <c r="AD171" s="66">
        <f>IF('Smart Search'!F13=1,IFERROR(1/'Smart Search'!H13,0),0)</f>
        <v/>
      </c>
      <c r="AE171" s="66">
        <f>IF('Smart Search'!F13=1,IFERROR(1/'Smart Search'!H13,0),0)</f>
        <v/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66">
        <f>AF171*V171</f>
        <v/>
      </c>
      <c r="AQ171" s="66">
        <f>AG171*W171</f>
        <v/>
      </c>
      <c r="AR171" s="66">
        <f>AH171*X171</f>
        <v/>
      </c>
      <c r="AS171" s="66">
        <f>AI171*Y171</f>
        <v/>
      </c>
      <c r="AT171" s="66">
        <f>AJ171*Z171</f>
        <v/>
      </c>
      <c r="AU171" s="66">
        <f>AK171*AA171</f>
        <v/>
      </c>
      <c r="AV171" s="66">
        <f>AL171*AB171</f>
        <v/>
      </c>
      <c r="AW171" s="66">
        <f>AM171*AC171</f>
        <v/>
      </c>
      <c r="AX171" s="66">
        <f>AN171*AD171</f>
        <v/>
      </c>
      <c r="AY171" s="66">
        <f>AO171*AE171</f>
        <v/>
      </c>
      <c r="AZ171" s="66">
        <f>'Project Database'!Z175</f>
        <v/>
      </c>
      <c r="BA171" s="66">
        <f>IF(OR(A171="",'Smart Search'!H13=0),"",MAX(0,BE171*BF171*MAX(0,1-BG171)))</f>
        <v/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66">
        <f>IF('Smart Search'!G13=1,IFERROR(1/'Smart Search'!H13,0),0)</f>
        <v/>
      </c>
      <c r="BD171" s="66">
        <f>BB171*BC171</f>
        <v/>
      </c>
      <c r="BE171" s="66">
        <f>AP171+AQ171+AR171+AS171+AT171+AU171+AV171+AW171+AX171+AY171+BD171</f>
        <v/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5">
        <f>IF(AND('Project Database'!A175&lt;&gt;"",OR('Smart Search'!$L$5="",'Smart Search'!$L$5="All",TRIM('Project Database'!D175)=TRIM('Smart Search'!$L$5)),OR(TRIM('Smart Search'!$L$6)="",TRIM('Smart Search'!$L$6)="All",ISNUMBER(SEARCH(SUBSTITUTE(SUBSTITUTE(SUBSTITUTE(TRIM('Smart Search'!$L$6),"~","~~"),"*","~*"),"?","~?"),'Project Database'!C175))),OR('Smart Search'!$L$7="",AND('Project Database'!E175&lt;&gt;"",'Project Database'!E175='Smart Search'!$L$7)),OR('Smart Search'!$L$8="",'Smart Search'!$L$8="All",TRIM('Project Database'!F175)=TRIM('Smart Search'!$L$8))),IF(BA171="","",BA171+ROW()*0.0000000001),"")</f>
        <v/>
      </c>
      <c r="BI171" s="5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>
        <f>IF('Project Database'!A175="","",N('Project Database'!AC175))</f>
        <v/>
      </c>
      <c r="BK171" s="5">
        <f>IF('Project Database'!A175="","",N('Project Database'!AD175))</f>
        <v/>
      </c>
      <c r="BL171" s="5">
        <f>IF('Project Database'!A175="","",N('Project Database'!AE175))</f>
        <v/>
      </c>
      <c r="BM171" s="5">
        <f>IF('Project Database'!A175="","",N('Project Database'!AF175))</f>
        <v/>
      </c>
      <c r="BN171" s="5">
        <f>IF('Project Database'!A175="","",N('Project Database'!AG175))</f>
        <v/>
      </c>
      <c r="BO171" s="5">
        <f>IF('Project Database'!A175="","",N('Project Database'!AH175))</f>
        <v/>
      </c>
      <c r="BP171" s="5">
        <f>IF('Project Database'!A175="","",N('Project Database'!AI175))</f>
        <v/>
      </c>
      <c r="BQ171" s="5">
        <f>IF('Project Database'!A175="","",N('Project Database'!AJ175))</f>
        <v/>
      </c>
      <c r="BR171" s="5">
        <f>IF('Project Database'!A175="","",N('Project Database'!AK175))</f>
        <v/>
      </c>
      <c r="BS171" s="5">
        <f>IF('Project Database'!A175="","",N('Project Database'!AL175))</f>
        <v/>
      </c>
      <c r="BT171" s="5">
        <f>IF('Project Database'!A175="","",N('Project Database'!AM175))</f>
        <v/>
      </c>
      <c r="BU171" s="5">
        <f>IF('Project Database'!A175="","",N('Project Database'!AN175))</f>
        <v/>
      </c>
      <c r="BV171" s="5">
        <f>IF('Project Database'!A175="","",N('Project Database'!AO175))</f>
        <v/>
      </c>
      <c r="BW171" s="5">
        <f>IF('Project Database'!A175="","",N('Project Database'!AP175))</f>
        <v/>
      </c>
      <c r="BX171" s="5">
        <f>IF(A171="","",SUM(BJ171:BW171))</f>
        <v/>
      </c>
      <c r="BY171" s="5">
        <f>IF(A171="","",IFERROR(IF(ISNUMBER(U171),U171,VALUE(SUBSTITUTE(SUBSTITUTE(SUBSTITUTE(UPPER(TRIM(U171)),"M",""),",","")," ",""))),0))</f>
        <v/>
      </c>
    </row>
    <row r="172" ht="15" customHeight="1" s="74">
      <c r="A172" s="66">
        <f>'Project Database'!A176</f>
        <v/>
      </c>
      <c r="B172" s="66">
        <f>'Project Database'!B176</f>
        <v/>
      </c>
      <c r="C172" s="66">
        <f>'Project Database'!G176</f>
        <v/>
      </c>
      <c r="D172" s="66">
        <f>'Project Database'!H176</f>
        <v/>
      </c>
      <c r="E172" s="66">
        <f>'Project Database'!I176</f>
        <v/>
      </c>
      <c r="F172" s="66">
        <f>'Project Database'!J176</f>
        <v/>
      </c>
      <c r="G172" s="66">
        <f>'Project Database'!K176</f>
        <v/>
      </c>
      <c r="H172" s="66">
        <f>'Project Database'!L176</f>
        <v/>
      </c>
      <c r="I172" s="66">
        <f>'Project Database'!M176</f>
        <v/>
      </c>
      <c r="J172" s="66">
        <f>'Project Database'!N176</f>
        <v/>
      </c>
      <c r="K172" s="66">
        <f>'Project Database'!O176</f>
        <v/>
      </c>
      <c r="L172" s="66">
        <f>'Project Database'!P176</f>
        <v/>
      </c>
      <c r="M172" s="66">
        <f>'Project Database'!Q176</f>
        <v/>
      </c>
      <c r="N172" s="66">
        <f>'Project Database'!R176</f>
        <v/>
      </c>
      <c r="O172" s="66">
        <f>'Project Database'!S176</f>
        <v/>
      </c>
      <c r="P172" s="66">
        <f>'Project Database'!T176</f>
        <v/>
      </c>
      <c r="Q172" s="66">
        <f>'Project Database'!U176</f>
        <v/>
      </c>
      <c r="R172" s="66">
        <f>'Project Database'!V176</f>
        <v/>
      </c>
      <c r="S172" s="66">
        <f>'Project Database'!W176</f>
        <v/>
      </c>
      <c r="T172" s="66">
        <f>'Project Database'!X176</f>
        <v/>
      </c>
      <c r="U172" s="67">
        <f>'Project Database'!Y176</f>
        <v/>
      </c>
      <c r="V172" s="66">
        <f>IF('Smart Search'!B13=1,IFERROR(1/'Smart Search'!H13,0),0)</f>
        <v/>
      </c>
      <c r="W172" s="66">
        <f>IF('Smart Search'!B13=1,IFERROR(1/'Smart Search'!H13,0),0)</f>
        <v/>
      </c>
      <c r="X172" s="66">
        <f>IF('Smart Search'!C13=1,IFERROR(1/'Smart Search'!H13,0),0)</f>
        <v/>
      </c>
      <c r="Y172" s="66">
        <f>IF('Smart Search'!C13=1,IFERROR(1/'Smart Search'!H13,0),0)</f>
        <v/>
      </c>
      <c r="Z172" s="66">
        <f>IF('Smart Search'!D13=1,IFERROR(1/'Smart Search'!H13,0),0)</f>
        <v/>
      </c>
      <c r="AA172" s="66">
        <f>IF('Smart Search'!D13=1,IFERROR(1/'Smart Search'!H13,0),0)</f>
        <v/>
      </c>
      <c r="AB172" s="66">
        <f>IF('Smart Search'!E13=1,IFERROR(1/'Smart Search'!H13,0),0)</f>
        <v/>
      </c>
      <c r="AC172" s="66">
        <f>IF('Smart Search'!E13=1,IFERROR(1/'Smart Search'!H13,0),0)</f>
        <v/>
      </c>
      <c r="AD172" s="66">
        <f>IF('Smart Search'!F13=1,IFERROR(1/'Smart Search'!H13,0),0)</f>
        <v/>
      </c>
      <c r="AE172" s="66">
        <f>IF('Smart Search'!F13=1,IFERROR(1/'Smart Search'!H13,0),0)</f>
        <v/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66">
        <f>AF172*V172</f>
        <v/>
      </c>
      <c r="AQ172" s="66">
        <f>AG172*W172</f>
        <v/>
      </c>
      <c r="AR172" s="66">
        <f>AH172*X172</f>
        <v/>
      </c>
      <c r="AS172" s="66">
        <f>AI172*Y172</f>
        <v/>
      </c>
      <c r="AT172" s="66">
        <f>AJ172*Z172</f>
        <v/>
      </c>
      <c r="AU172" s="66">
        <f>AK172*AA172</f>
        <v/>
      </c>
      <c r="AV172" s="66">
        <f>AL172*AB172</f>
        <v/>
      </c>
      <c r="AW172" s="66">
        <f>AM172*AC172</f>
        <v/>
      </c>
      <c r="AX172" s="66">
        <f>AN172*AD172</f>
        <v/>
      </c>
      <c r="AY172" s="66">
        <f>AO172*AE172</f>
        <v/>
      </c>
      <c r="AZ172" s="66">
        <f>'Project Database'!Z176</f>
        <v/>
      </c>
      <c r="BA172" s="66">
        <f>IF(OR(A172="",'Smart Search'!H13=0),"",MAX(0,BE172*BF172*MAX(0,1-BG172)))</f>
        <v/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66">
        <f>IF('Smart Search'!G13=1,IFERROR(1/'Smart Search'!H13,0),0)</f>
        <v/>
      </c>
      <c r="BD172" s="66">
        <f>BB172*BC172</f>
        <v/>
      </c>
      <c r="BE172" s="66">
        <f>AP172+AQ172+AR172+AS172+AT172+AU172+AV172+AW172+AX172+AY172+BD172</f>
        <v/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5">
        <f>IF(AND('Project Database'!A176&lt;&gt;"",OR('Smart Search'!$L$5="",'Smart Search'!$L$5="All",TRIM('Project Database'!D176)=TRIM('Smart Search'!$L$5)),OR(TRIM('Smart Search'!$L$6)="",TRIM('Smart Search'!$L$6)="All",ISNUMBER(SEARCH(SUBSTITUTE(SUBSTITUTE(SUBSTITUTE(TRIM('Smart Search'!$L$6),"~","~~"),"*","~*"),"?","~?"),'Project Database'!C176))),OR('Smart Search'!$L$7="",AND('Project Database'!E176&lt;&gt;"",'Project Database'!E176='Smart Search'!$L$7)),OR('Smart Search'!$L$8="",'Smart Search'!$L$8="All",TRIM('Project Database'!F176)=TRIM('Smart Search'!$L$8))),IF(BA172="","",BA172+ROW()*0.0000000001),"")</f>
        <v/>
      </c>
      <c r="BI172" s="5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>
        <f>IF('Project Database'!A176="","",N('Project Database'!AC176))</f>
        <v/>
      </c>
      <c r="BK172" s="5">
        <f>IF('Project Database'!A176="","",N('Project Database'!AD176))</f>
        <v/>
      </c>
      <c r="BL172" s="5">
        <f>IF('Project Database'!A176="","",N('Project Database'!AE176))</f>
        <v/>
      </c>
      <c r="BM172" s="5">
        <f>IF('Project Database'!A176="","",N('Project Database'!AF176))</f>
        <v/>
      </c>
      <c r="BN172" s="5">
        <f>IF('Project Database'!A176="","",N('Project Database'!AG176))</f>
        <v/>
      </c>
      <c r="BO172" s="5">
        <f>IF('Project Database'!A176="","",N('Project Database'!AH176))</f>
        <v/>
      </c>
      <c r="BP172" s="5">
        <f>IF('Project Database'!A176="","",N('Project Database'!AI176))</f>
        <v/>
      </c>
      <c r="BQ172" s="5">
        <f>IF('Project Database'!A176="","",N('Project Database'!AJ176))</f>
        <v/>
      </c>
      <c r="BR172" s="5">
        <f>IF('Project Database'!A176="","",N('Project Database'!AK176))</f>
        <v/>
      </c>
      <c r="BS172" s="5">
        <f>IF('Project Database'!A176="","",N('Project Database'!AL176))</f>
        <v/>
      </c>
      <c r="BT172" s="5">
        <f>IF('Project Database'!A176="","",N('Project Database'!AM176))</f>
        <v/>
      </c>
      <c r="BU172" s="5">
        <f>IF('Project Database'!A176="","",N('Project Database'!AN176))</f>
        <v/>
      </c>
      <c r="BV172" s="5">
        <f>IF('Project Database'!A176="","",N('Project Database'!AO176))</f>
        <v/>
      </c>
      <c r="BW172" s="5">
        <f>IF('Project Database'!A176="","",N('Project Database'!AP176))</f>
        <v/>
      </c>
      <c r="BX172" s="5">
        <f>IF(A172="","",SUM(BJ172:BW172))</f>
        <v/>
      </c>
      <c r="BY172" s="5">
        <f>IF(A172="","",IFERROR(IF(ISNUMBER(U172),U172,VALUE(SUBSTITUTE(SUBSTITUTE(SUBSTITUTE(UPPER(TRIM(U172)),"M",""),",","")," ",""))),0))</f>
        <v/>
      </c>
    </row>
    <row r="173" ht="15" customHeight="1" s="74">
      <c r="A173" s="66">
        <f>'Project Database'!A177</f>
        <v/>
      </c>
      <c r="B173" s="66">
        <f>'Project Database'!B177</f>
        <v/>
      </c>
      <c r="C173" s="66">
        <f>'Project Database'!G177</f>
        <v/>
      </c>
      <c r="D173" s="66">
        <f>'Project Database'!H177</f>
        <v/>
      </c>
      <c r="E173" s="66">
        <f>'Project Database'!I177</f>
        <v/>
      </c>
      <c r="F173" s="66">
        <f>'Project Database'!J177</f>
        <v/>
      </c>
      <c r="G173" s="66">
        <f>'Project Database'!K177</f>
        <v/>
      </c>
      <c r="H173" s="66">
        <f>'Project Database'!L177</f>
        <v/>
      </c>
      <c r="I173" s="66">
        <f>'Project Database'!M177</f>
        <v/>
      </c>
      <c r="J173" s="66">
        <f>'Project Database'!N177</f>
        <v/>
      </c>
      <c r="K173" s="66">
        <f>'Project Database'!O177</f>
        <v/>
      </c>
      <c r="L173" s="66">
        <f>'Project Database'!P177</f>
        <v/>
      </c>
      <c r="M173" s="66">
        <f>'Project Database'!Q177</f>
        <v/>
      </c>
      <c r="N173" s="66">
        <f>'Project Database'!R177</f>
        <v/>
      </c>
      <c r="O173" s="66">
        <f>'Project Database'!S177</f>
        <v/>
      </c>
      <c r="P173" s="66">
        <f>'Project Database'!T177</f>
        <v/>
      </c>
      <c r="Q173" s="66">
        <f>'Project Database'!U177</f>
        <v/>
      </c>
      <c r="R173" s="66">
        <f>'Project Database'!V177</f>
        <v/>
      </c>
      <c r="S173" s="66">
        <f>'Project Database'!W177</f>
        <v/>
      </c>
      <c r="T173" s="66">
        <f>'Project Database'!X177</f>
        <v/>
      </c>
      <c r="U173" s="67">
        <f>'Project Database'!Y177</f>
        <v/>
      </c>
      <c r="V173" s="66">
        <f>IF('Smart Search'!B13=1,IFERROR(1/'Smart Search'!H13,0),0)</f>
        <v/>
      </c>
      <c r="W173" s="66">
        <f>IF('Smart Search'!B13=1,IFERROR(1/'Smart Search'!H13,0),0)</f>
        <v/>
      </c>
      <c r="X173" s="66">
        <f>IF('Smart Search'!C13=1,IFERROR(1/'Smart Search'!H13,0),0)</f>
        <v/>
      </c>
      <c r="Y173" s="66">
        <f>IF('Smart Search'!C13=1,IFERROR(1/'Smart Search'!H13,0),0)</f>
        <v/>
      </c>
      <c r="Z173" s="66">
        <f>IF('Smart Search'!D13=1,IFERROR(1/'Smart Search'!H13,0),0)</f>
        <v/>
      </c>
      <c r="AA173" s="66">
        <f>IF('Smart Search'!D13=1,IFERROR(1/'Smart Search'!H13,0),0)</f>
        <v/>
      </c>
      <c r="AB173" s="66">
        <f>IF('Smart Search'!E13=1,IFERROR(1/'Smart Search'!H13,0),0)</f>
        <v/>
      </c>
      <c r="AC173" s="66">
        <f>IF('Smart Search'!E13=1,IFERROR(1/'Smart Search'!H13,0),0)</f>
        <v/>
      </c>
      <c r="AD173" s="66">
        <f>IF('Smart Search'!F13=1,IFERROR(1/'Smart Search'!H13,0),0)</f>
        <v/>
      </c>
      <c r="AE173" s="66">
        <f>IF('Smart Search'!F13=1,IFERROR(1/'Smart Search'!H13,0),0)</f>
        <v/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66">
        <f>AF173*V173</f>
        <v/>
      </c>
      <c r="AQ173" s="66">
        <f>AG173*W173</f>
        <v/>
      </c>
      <c r="AR173" s="66">
        <f>AH173*X173</f>
        <v/>
      </c>
      <c r="AS173" s="66">
        <f>AI173*Y173</f>
        <v/>
      </c>
      <c r="AT173" s="66">
        <f>AJ173*Z173</f>
        <v/>
      </c>
      <c r="AU173" s="66">
        <f>AK173*AA173</f>
        <v/>
      </c>
      <c r="AV173" s="66">
        <f>AL173*AB173</f>
        <v/>
      </c>
      <c r="AW173" s="66">
        <f>AM173*AC173</f>
        <v/>
      </c>
      <c r="AX173" s="66">
        <f>AN173*AD173</f>
        <v/>
      </c>
      <c r="AY173" s="66">
        <f>AO173*AE173</f>
        <v/>
      </c>
      <c r="AZ173" s="66">
        <f>'Project Database'!Z177</f>
        <v/>
      </c>
      <c r="BA173" s="66">
        <f>IF(OR(A173="",'Smart Search'!H13=0),"",MAX(0,BE173*BF173*MAX(0,1-BG173)))</f>
        <v/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66">
        <f>IF('Smart Search'!G13=1,IFERROR(1/'Smart Search'!H13,0),0)</f>
        <v/>
      </c>
      <c r="BD173" s="66">
        <f>BB173*BC173</f>
        <v/>
      </c>
      <c r="BE173" s="66">
        <f>AP173+AQ173+AR173+AS173+AT173+AU173+AV173+AW173+AX173+AY173+BD173</f>
        <v/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5">
        <f>IF(AND('Project Database'!A177&lt;&gt;"",OR('Smart Search'!$L$5="",'Smart Search'!$L$5="All",TRIM('Project Database'!D177)=TRIM('Smart Search'!$L$5)),OR(TRIM('Smart Search'!$L$6)="",TRIM('Smart Search'!$L$6)="All",ISNUMBER(SEARCH(SUBSTITUTE(SUBSTITUTE(SUBSTITUTE(TRIM('Smart Search'!$L$6),"~","~~"),"*","~*"),"?","~?"),'Project Database'!C177))),OR('Smart Search'!$L$7="",AND('Project Database'!E177&lt;&gt;"",'Project Database'!E177='Smart Search'!$L$7)),OR('Smart Search'!$L$8="",'Smart Search'!$L$8="All",TRIM('Project Database'!F177)=TRIM('Smart Search'!$L$8))),IF(BA173="","",BA173+ROW()*0.0000000001),"")</f>
        <v/>
      </c>
      <c r="BI173" s="5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>
        <f>IF('Project Database'!A177="","",N('Project Database'!AC177))</f>
        <v/>
      </c>
      <c r="BK173" s="5">
        <f>IF('Project Database'!A177="","",N('Project Database'!AD177))</f>
        <v/>
      </c>
      <c r="BL173" s="5">
        <f>IF('Project Database'!A177="","",N('Project Database'!AE177))</f>
        <v/>
      </c>
      <c r="BM173" s="5">
        <f>IF('Project Database'!A177="","",N('Project Database'!AF177))</f>
        <v/>
      </c>
      <c r="BN173" s="5">
        <f>IF('Project Database'!A177="","",N('Project Database'!AG177))</f>
        <v/>
      </c>
      <c r="BO173" s="5">
        <f>IF('Project Database'!A177="","",N('Project Database'!AH177))</f>
        <v/>
      </c>
      <c r="BP173" s="5">
        <f>IF('Project Database'!A177="","",N('Project Database'!AI177))</f>
        <v/>
      </c>
      <c r="BQ173" s="5">
        <f>IF('Project Database'!A177="","",N('Project Database'!AJ177))</f>
        <v/>
      </c>
      <c r="BR173" s="5">
        <f>IF('Project Database'!A177="","",N('Project Database'!AK177))</f>
        <v/>
      </c>
      <c r="BS173" s="5">
        <f>IF('Project Database'!A177="","",N('Project Database'!AL177))</f>
        <v/>
      </c>
      <c r="BT173" s="5">
        <f>IF('Project Database'!A177="","",N('Project Database'!AM177))</f>
        <v/>
      </c>
      <c r="BU173" s="5">
        <f>IF('Project Database'!A177="","",N('Project Database'!AN177))</f>
        <v/>
      </c>
      <c r="BV173" s="5">
        <f>IF('Project Database'!A177="","",N('Project Database'!AO177))</f>
        <v/>
      </c>
      <c r="BW173" s="5">
        <f>IF('Project Database'!A177="","",N('Project Database'!AP177))</f>
        <v/>
      </c>
      <c r="BX173" s="5">
        <f>IF(A173="","",SUM(BJ173:BW173))</f>
        <v/>
      </c>
      <c r="BY173" s="5">
        <f>IF(A173="","",IFERROR(IF(ISNUMBER(U173),U173,VALUE(SUBSTITUTE(SUBSTITUTE(SUBSTITUTE(UPPER(TRIM(U173)),"M",""),",","")," ",""))),0))</f>
        <v/>
      </c>
    </row>
    <row r="174" ht="15" customHeight="1" s="74">
      <c r="A174" s="66">
        <f>'Project Database'!A178</f>
        <v/>
      </c>
      <c r="B174" s="66">
        <f>'Project Database'!B178</f>
        <v/>
      </c>
      <c r="C174" s="66">
        <f>'Project Database'!G178</f>
        <v/>
      </c>
      <c r="D174" s="66">
        <f>'Project Database'!H178</f>
        <v/>
      </c>
      <c r="E174" s="66">
        <f>'Project Database'!I178</f>
        <v/>
      </c>
      <c r="F174" s="66">
        <f>'Project Database'!J178</f>
        <v/>
      </c>
      <c r="G174" s="66">
        <f>'Project Database'!K178</f>
        <v/>
      </c>
      <c r="H174" s="66">
        <f>'Project Database'!L178</f>
        <v/>
      </c>
      <c r="I174" s="66">
        <f>'Project Database'!M178</f>
        <v/>
      </c>
      <c r="J174" s="66">
        <f>'Project Database'!N178</f>
        <v/>
      </c>
      <c r="K174" s="66">
        <f>'Project Database'!O178</f>
        <v/>
      </c>
      <c r="L174" s="66">
        <f>'Project Database'!P178</f>
        <v/>
      </c>
      <c r="M174" s="66">
        <f>'Project Database'!Q178</f>
        <v/>
      </c>
      <c r="N174" s="66">
        <f>'Project Database'!R178</f>
        <v/>
      </c>
      <c r="O174" s="66">
        <f>'Project Database'!S178</f>
        <v/>
      </c>
      <c r="P174" s="66">
        <f>'Project Database'!T178</f>
        <v/>
      </c>
      <c r="Q174" s="66">
        <f>'Project Database'!U178</f>
        <v/>
      </c>
      <c r="R174" s="66">
        <f>'Project Database'!V178</f>
        <v/>
      </c>
      <c r="S174" s="66">
        <f>'Project Database'!W178</f>
        <v/>
      </c>
      <c r="T174" s="66">
        <f>'Project Database'!X178</f>
        <v/>
      </c>
      <c r="U174" s="67">
        <f>'Project Database'!Y178</f>
        <v/>
      </c>
      <c r="V174" s="66">
        <f>IF('Smart Search'!B13=1,IFERROR(1/'Smart Search'!H13,0),0)</f>
        <v/>
      </c>
      <c r="W174" s="66">
        <f>IF('Smart Search'!B13=1,IFERROR(1/'Smart Search'!H13,0),0)</f>
        <v/>
      </c>
      <c r="X174" s="66">
        <f>IF('Smart Search'!C13=1,IFERROR(1/'Smart Search'!H13,0),0)</f>
        <v/>
      </c>
      <c r="Y174" s="66">
        <f>IF('Smart Search'!C13=1,IFERROR(1/'Smart Search'!H13,0),0)</f>
        <v/>
      </c>
      <c r="Z174" s="66">
        <f>IF('Smart Search'!D13=1,IFERROR(1/'Smart Search'!H13,0),0)</f>
        <v/>
      </c>
      <c r="AA174" s="66">
        <f>IF('Smart Search'!D13=1,IFERROR(1/'Smart Search'!H13,0),0)</f>
        <v/>
      </c>
      <c r="AB174" s="66">
        <f>IF('Smart Search'!E13=1,IFERROR(1/'Smart Search'!H13,0),0)</f>
        <v/>
      </c>
      <c r="AC174" s="66">
        <f>IF('Smart Search'!E13=1,IFERROR(1/'Smart Search'!H13,0),0)</f>
        <v/>
      </c>
      <c r="AD174" s="66">
        <f>IF('Smart Search'!F13=1,IFERROR(1/'Smart Search'!H13,0),0)</f>
        <v/>
      </c>
      <c r="AE174" s="66">
        <f>IF('Smart Search'!F13=1,IFERROR(1/'Smart Search'!H13,0),0)</f>
        <v/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66">
        <f>AF174*V174</f>
        <v/>
      </c>
      <c r="AQ174" s="66">
        <f>AG174*W174</f>
        <v/>
      </c>
      <c r="AR174" s="66">
        <f>AH174*X174</f>
        <v/>
      </c>
      <c r="AS174" s="66">
        <f>AI174*Y174</f>
        <v/>
      </c>
      <c r="AT174" s="66">
        <f>AJ174*Z174</f>
        <v/>
      </c>
      <c r="AU174" s="66">
        <f>AK174*AA174</f>
        <v/>
      </c>
      <c r="AV174" s="66">
        <f>AL174*AB174</f>
        <v/>
      </c>
      <c r="AW174" s="66">
        <f>AM174*AC174</f>
        <v/>
      </c>
      <c r="AX174" s="66">
        <f>AN174*AD174</f>
        <v/>
      </c>
      <c r="AY174" s="66">
        <f>AO174*AE174</f>
        <v/>
      </c>
      <c r="AZ174" s="66">
        <f>'Project Database'!Z178</f>
        <v/>
      </c>
      <c r="BA174" s="66">
        <f>IF(OR(A174="",'Smart Search'!H13=0),"",MAX(0,BE174*BF174*MAX(0,1-BG174)))</f>
        <v/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66">
        <f>IF('Smart Search'!G13=1,IFERROR(1/'Smart Search'!H13,0),0)</f>
        <v/>
      </c>
      <c r="BD174" s="66">
        <f>BB174*BC174</f>
        <v/>
      </c>
      <c r="BE174" s="66">
        <f>AP174+AQ174+AR174+AS174+AT174+AU174+AV174+AW174+AX174+AY174+BD174</f>
        <v/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5">
        <f>IF(AND('Project Database'!A178&lt;&gt;"",OR('Smart Search'!$L$5="",'Smart Search'!$L$5="All",TRIM('Project Database'!D178)=TRIM('Smart Search'!$L$5)),OR(TRIM('Smart Search'!$L$6)="",TRIM('Smart Search'!$L$6)="All",ISNUMBER(SEARCH(SUBSTITUTE(SUBSTITUTE(SUBSTITUTE(TRIM('Smart Search'!$L$6),"~","~~"),"*","~*"),"?","~?"),'Project Database'!C178))),OR('Smart Search'!$L$7="",AND('Project Database'!E178&lt;&gt;"",'Project Database'!E178='Smart Search'!$L$7)),OR('Smart Search'!$L$8="",'Smart Search'!$L$8="All",TRIM('Project Database'!F178)=TRIM('Smart Search'!$L$8))),IF(BA174="","",BA174+ROW()*0.0000000001),"")</f>
        <v/>
      </c>
      <c r="BI174" s="5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>
        <f>IF('Project Database'!A178="","",N('Project Database'!AC178))</f>
        <v/>
      </c>
      <c r="BK174" s="5">
        <f>IF('Project Database'!A178="","",N('Project Database'!AD178))</f>
        <v/>
      </c>
      <c r="BL174" s="5">
        <f>IF('Project Database'!A178="","",N('Project Database'!AE178))</f>
        <v/>
      </c>
      <c r="BM174" s="5">
        <f>IF('Project Database'!A178="","",N('Project Database'!AF178))</f>
        <v/>
      </c>
      <c r="BN174" s="5">
        <f>IF('Project Database'!A178="","",N('Project Database'!AG178))</f>
        <v/>
      </c>
      <c r="BO174" s="5">
        <f>IF('Project Database'!A178="","",N('Project Database'!AH178))</f>
        <v/>
      </c>
      <c r="BP174" s="5">
        <f>IF('Project Database'!A178="","",N('Project Database'!AI178))</f>
        <v/>
      </c>
      <c r="BQ174" s="5">
        <f>IF('Project Database'!A178="","",N('Project Database'!AJ178))</f>
        <v/>
      </c>
      <c r="BR174" s="5">
        <f>IF('Project Database'!A178="","",N('Project Database'!AK178))</f>
        <v/>
      </c>
      <c r="BS174" s="5">
        <f>IF('Project Database'!A178="","",N('Project Database'!AL178))</f>
        <v/>
      </c>
      <c r="BT174" s="5">
        <f>IF('Project Database'!A178="","",N('Project Database'!AM178))</f>
        <v/>
      </c>
      <c r="BU174" s="5">
        <f>IF('Project Database'!A178="","",N('Project Database'!AN178))</f>
        <v/>
      </c>
      <c r="BV174" s="5">
        <f>IF('Project Database'!A178="","",N('Project Database'!AO178))</f>
        <v/>
      </c>
      <c r="BW174" s="5">
        <f>IF('Project Database'!A178="","",N('Project Database'!AP178))</f>
        <v/>
      </c>
      <c r="BX174" s="5">
        <f>IF(A174="","",SUM(BJ174:BW174))</f>
        <v/>
      </c>
      <c r="BY174" s="5">
        <f>IF(A174="","",IFERROR(IF(ISNUMBER(U174),U174,VALUE(SUBSTITUTE(SUBSTITUTE(SUBSTITUTE(UPPER(TRIM(U174)),"M",""),",","")," ",""))),0))</f>
        <v/>
      </c>
    </row>
    <row r="175" ht="15" customHeight="1" s="74">
      <c r="A175" s="66">
        <f>'Project Database'!A179</f>
        <v/>
      </c>
      <c r="B175" s="66">
        <f>'Project Database'!B179</f>
        <v/>
      </c>
      <c r="C175" s="66">
        <f>'Project Database'!G179</f>
        <v/>
      </c>
      <c r="D175" s="66">
        <f>'Project Database'!H179</f>
        <v/>
      </c>
      <c r="E175" s="66">
        <f>'Project Database'!I179</f>
        <v/>
      </c>
      <c r="F175" s="66">
        <f>'Project Database'!J179</f>
        <v/>
      </c>
      <c r="G175" s="66">
        <f>'Project Database'!K179</f>
        <v/>
      </c>
      <c r="H175" s="66">
        <f>'Project Database'!L179</f>
        <v/>
      </c>
      <c r="I175" s="66">
        <f>'Project Database'!M179</f>
        <v/>
      </c>
      <c r="J175" s="66">
        <f>'Project Database'!N179</f>
        <v/>
      </c>
      <c r="K175" s="66">
        <f>'Project Database'!O179</f>
        <v/>
      </c>
      <c r="L175" s="66">
        <f>'Project Database'!P179</f>
        <v/>
      </c>
      <c r="M175" s="66">
        <f>'Project Database'!Q179</f>
        <v/>
      </c>
      <c r="N175" s="66">
        <f>'Project Database'!R179</f>
        <v/>
      </c>
      <c r="O175" s="66">
        <f>'Project Database'!S179</f>
        <v/>
      </c>
      <c r="P175" s="66">
        <f>'Project Database'!T179</f>
        <v/>
      </c>
      <c r="Q175" s="66">
        <f>'Project Database'!U179</f>
        <v/>
      </c>
      <c r="R175" s="66">
        <f>'Project Database'!V179</f>
        <v/>
      </c>
      <c r="S175" s="66">
        <f>'Project Database'!W179</f>
        <v/>
      </c>
      <c r="T175" s="66">
        <f>'Project Database'!X179</f>
        <v/>
      </c>
      <c r="U175" s="67">
        <f>'Project Database'!Y179</f>
        <v/>
      </c>
      <c r="V175" s="66">
        <f>IF('Smart Search'!B13=1,IFERROR(1/'Smart Search'!H13,0),0)</f>
        <v/>
      </c>
      <c r="W175" s="66">
        <f>IF('Smart Search'!B13=1,IFERROR(1/'Smart Search'!H13,0),0)</f>
        <v/>
      </c>
      <c r="X175" s="66">
        <f>IF('Smart Search'!C13=1,IFERROR(1/'Smart Search'!H13,0),0)</f>
        <v/>
      </c>
      <c r="Y175" s="66">
        <f>IF('Smart Search'!C13=1,IFERROR(1/'Smart Search'!H13,0),0)</f>
        <v/>
      </c>
      <c r="Z175" s="66">
        <f>IF('Smart Search'!D13=1,IFERROR(1/'Smart Search'!H13,0),0)</f>
        <v/>
      </c>
      <c r="AA175" s="66">
        <f>IF('Smart Search'!D13=1,IFERROR(1/'Smart Search'!H13,0),0)</f>
        <v/>
      </c>
      <c r="AB175" s="66">
        <f>IF('Smart Search'!E13=1,IFERROR(1/'Smart Search'!H13,0),0)</f>
        <v/>
      </c>
      <c r="AC175" s="66">
        <f>IF('Smart Search'!E13=1,IFERROR(1/'Smart Search'!H13,0),0)</f>
        <v/>
      </c>
      <c r="AD175" s="66">
        <f>IF('Smart Search'!F13=1,IFERROR(1/'Smart Search'!H13,0),0)</f>
        <v/>
      </c>
      <c r="AE175" s="66">
        <f>IF('Smart Search'!F13=1,IFERROR(1/'Smart Search'!H13,0),0)</f>
        <v/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66">
        <f>AF175*V175</f>
        <v/>
      </c>
      <c r="AQ175" s="66">
        <f>AG175*W175</f>
        <v/>
      </c>
      <c r="AR175" s="66">
        <f>AH175*X175</f>
        <v/>
      </c>
      <c r="AS175" s="66">
        <f>AI175*Y175</f>
        <v/>
      </c>
      <c r="AT175" s="66">
        <f>AJ175*Z175</f>
        <v/>
      </c>
      <c r="AU175" s="66">
        <f>AK175*AA175</f>
        <v/>
      </c>
      <c r="AV175" s="66">
        <f>AL175*AB175</f>
        <v/>
      </c>
      <c r="AW175" s="66">
        <f>AM175*AC175</f>
        <v/>
      </c>
      <c r="AX175" s="66">
        <f>AN175*AD175</f>
        <v/>
      </c>
      <c r="AY175" s="66">
        <f>AO175*AE175</f>
        <v/>
      </c>
      <c r="AZ175" s="66">
        <f>'Project Database'!Z179</f>
        <v/>
      </c>
      <c r="BA175" s="66">
        <f>IF(OR(A175="",'Smart Search'!H13=0),"",MAX(0,BE175*BF175*MAX(0,1-BG175)))</f>
        <v/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66">
        <f>IF('Smart Search'!G13=1,IFERROR(1/'Smart Search'!H13,0),0)</f>
        <v/>
      </c>
      <c r="BD175" s="66">
        <f>BB175*BC175</f>
        <v/>
      </c>
      <c r="BE175" s="66">
        <f>AP175+AQ175+AR175+AS175+AT175+AU175+AV175+AW175+AX175+AY175+BD175</f>
        <v/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5">
        <f>IF(AND('Project Database'!A179&lt;&gt;"",OR('Smart Search'!$L$5="",'Smart Search'!$L$5="All",TRIM('Project Database'!D179)=TRIM('Smart Search'!$L$5)),OR(TRIM('Smart Search'!$L$6)="",TRIM('Smart Search'!$L$6)="All",ISNUMBER(SEARCH(SUBSTITUTE(SUBSTITUTE(SUBSTITUTE(TRIM('Smart Search'!$L$6),"~","~~"),"*","~*"),"?","~?"),'Project Database'!C179))),OR('Smart Search'!$L$7="",AND('Project Database'!E179&lt;&gt;"",'Project Database'!E179='Smart Search'!$L$7)),OR('Smart Search'!$L$8="",'Smart Search'!$L$8="All",TRIM('Project Database'!F179)=TRIM('Smart Search'!$L$8))),IF(BA175="","",BA175+ROW()*0.0000000001),"")</f>
        <v/>
      </c>
      <c r="BI175" s="5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>
        <f>IF('Project Database'!A179="","",N('Project Database'!AC179))</f>
        <v/>
      </c>
      <c r="BK175" s="5">
        <f>IF('Project Database'!A179="","",N('Project Database'!AD179))</f>
        <v/>
      </c>
      <c r="BL175" s="5">
        <f>IF('Project Database'!A179="","",N('Project Database'!AE179))</f>
        <v/>
      </c>
      <c r="BM175" s="5">
        <f>IF('Project Database'!A179="","",N('Project Database'!AF179))</f>
        <v/>
      </c>
      <c r="BN175" s="5">
        <f>IF('Project Database'!A179="","",N('Project Database'!AG179))</f>
        <v/>
      </c>
      <c r="BO175" s="5">
        <f>IF('Project Database'!A179="","",N('Project Database'!AH179))</f>
        <v/>
      </c>
      <c r="BP175" s="5">
        <f>IF('Project Database'!A179="","",N('Project Database'!AI179))</f>
        <v/>
      </c>
      <c r="BQ175" s="5">
        <f>IF('Project Database'!A179="","",N('Project Database'!AJ179))</f>
        <v/>
      </c>
      <c r="BR175" s="5">
        <f>IF('Project Database'!A179="","",N('Project Database'!AK179))</f>
        <v/>
      </c>
      <c r="BS175" s="5">
        <f>IF('Project Database'!A179="","",N('Project Database'!AL179))</f>
        <v/>
      </c>
      <c r="BT175" s="5">
        <f>IF('Project Database'!A179="","",N('Project Database'!AM179))</f>
        <v/>
      </c>
      <c r="BU175" s="5">
        <f>IF('Project Database'!A179="","",N('Project Database'!AN179))</f>
        <v/>
      </c>
      <c r="BV175" s="5">
        <f>IF('Project Database'!A179="","",N('Project Database'!AO179))</f>
        <v/>
      </c>
      <c r="BW175" s="5">
        <f>IF('Project Database'!A179="","",N('Project Database'!AP179))</f>
        <v/>
      </c>
      <c r="BX175" s="5">
        <f>IF(A175="","",SUM(BJ175:BW175))</f>
        <v/>
      </c>
      <c r="BY175" s="5">
        <f>IF(A175="","",IFERROR(IF(ISNUMBER(U175),U175,VALUE(SUBSTITUTE(SUBSTITUTE(SUBSTITUTE(UPPER(TRIM(U175)),"M",""),",","")," ",""))),0))</f>
        <v/>
      </c>
    </row>
    <row r="176" ht="15" customHeight="1" s="74">
      <c r="A176" s="66">
        <f>'Project Database'!A180</f>
        <v/>
      </c>
      <c r="B176" s="66">
        <f>'Project Database'!B180</f>
        <v/>
      </c>
      <c r="C176" s="66">
        <f>'Project Database'!G180</f>
        <v/>
      </c>
      <c r="D176" s="66">
        <f>'Project Database'!H180</f>
        <v/>
      </c>
      <c r="E176" s="66">
        <f>'Project Database'!I180</f>
        <v/>
      </c>
      <c r="F176" s="66">
        <f>'Project Database'!J180</f>
        <v/>
      </c>
      <c r="G176" s="66">
        <f>'Project Database'!K180</f>
        <v/>
      </c>
      <c r="H176" s="66">
        <f>'Project Database'!L180</f>
        <v/>
      </c>
      <c r="I176" s="66">
        <f>'Project Database'!M180</f>
        <v/>
      </c>
      <c r="J176" s="66">
        <f>'Project Database'!N180</f>
        <v/>
      </c>
      <c r="K176" s="66">
        <f>'Project Database'!O180</f>
        <v/>
      </c>
      <c r="L176" s="66">
        <f>'Project Database'!P180</f>
        <v/>
      </c>
      <c r="M176" s="66">
        <f>'Project Database'!Q180</f>
        <v/>
      </c>
      <c r="N176" s="66">
        <f>'Project Database'!R180</f>
        <v/>
      </c>
      <c r="O176" s="66">
        <f>'Project Database'!S180</f>
        <v/>
      </c>
      <c r="P176" s="66">
        <f>'Project Database'!T180</f>
        <v/>
      </c>
      <c r="Q176" s="66">
        <f>'Project Database'!U180</f>
        <v/>
      </c>
      <c r="R176" s="66">
        <f>'Project Database'!V180</f>
        <v/>
      </c>
      <c r="S176" s="66">
        <f>'Project Database'!W180</f>
        <v/>
      </c>
      <c r="T176" s="66">
        <f>'Project Database'!X180</f>
        <v/>
      </c>
      <c r="U176" s="67">
        <f>'Project Database'!Y180</f>
        <v/>
      </c>
      <c r="V176" s="66">
        <f>IF('Smart Search'!B13=1,IFERROR(1/'Smart Search'!H13,0),0)</f>
        <v/>
      </c>
      <c r="W176" s="66">
        <f>IF('Smart Search'!B13=1,IFERROR(1/'Smart Search'!H13,0),0)</f>
        <v/>
      </c>
      <c r="X176" s="66">
        <f>IF('Smart Search'!C13=1,IFERROR(1/'Smart Search'!H13,0),0)</f>
        <v/>
      </c>
      <c r="Y176" s="66">
        <f>IF('Smart Search'!C13=1,IFERROR(1/'Smart Search'!H13,0),0)</f>
        <v/>
      </c>
      <c r="Z176" s="66">
        <f>IF('Smart Search'!D13=1,IFERROR(1/'Smart Search'!H13,0),0)</f>
        <v/>
      </c>
      <c r="AA176" s="66">
        <f>IF('Smart Search'!D13=1,IFERROR(1/'Smart Search'!H13,0),0)</f>
        <v/>
      </c>
      <c r="AB176" s="66">
        <f>IF('Smart Search'!E13=1,IFERROR(1/'Smart Search'!H13,0),0)</f>
        <v/>
      </c>
      <c r="AC176" s="66">
        <f>IF('Smart Search'!E13=1,IFERROR(1/'Smart Search'!H13,0),0)</f>
        <v/>
      </c>
      <c r="AD176" s="66">
        <f>IF('Smart Search'!F13=1,IFERROR(1/'Smart Search'!H13,0),0)</f>
        <v/>
      </c>
      <c r="AE176" s="66">
        <f>IF('Smart Search'!F13=1,IFERROR(1/'Smart Search'!H13,0),0)</f>
        <v/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66">
        <f>AF176*V176</f>
        <v/>
      </c>
      <c r="AQ176" s="66">
        <f>AG176*W176</f>
        <v/>
      </c>
      <c r="AR176" s="66">
        <f>AH176*X176</f>
        <v/>
      </c>
      <c r="AS176" s="66">
        <f>AI176*Y176</f>
        <v/>
      </c>
      <c r="AT176" s="66">
        <f>AJ176*Z176</f>
        <v/>
      </c>
      <c r="AU176" s="66">
        <f>AK176*AA176</f>
        <v/>
      </c>
      <c r="AV176" s="66">
        <f>AL176*AB176</f>
        <v/>
      </c>
      <c r="AW176" s="66">
        <f>AM176*AC176</f>
        <v/>
      </c>
      <c r="AX176" s="66">
        <f>AN176*AD176</f>
        <v/>
      </c>
      <c r="AY176" s="66">
        <f>AO176*AE176</f>
        <v/>
      </c>
      <c r="AZ176" s="66">
        <f>'Project Database'!Z180</f>
        <v/>
      </c>
      <c r="BA176" s="66">
        <f>IF(OR(A176="",'Smart Search'!H13=0),"",MAX(0,BE176*BF176*MAX(0,1-BG176)))</f>
        <v/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66">
        <f>IF('Smart Search'!G13=1,IFERROR(1/'Smart Search'!H13,0),0)</f>
        <v/>
      </c>
      <c r="BD176" s="66">
        <f>BB176*BC176</f>
        <v/>
      </c>
      <c r="BE176" s="66">
        <f>AP176+AQ176+AR176+AS176+AT176+AU176+AV176+AW176+AX176+AY176+BD176</f>
        <v/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5">
        <f>IF(AND('Project Database'!A180&lt;&gt;"",OR('Smart Search'!$L$5="",'Smart Search'!$L$5="All",TRIM('Project Database'!D180)=TRIM('Smart Search'!$L$5)),OR(TRIM('Smart Search'!$L$6)="",TRIM('Smart Search'!$L$6)="All",ISNUMBER(SEARCH(SUBSTITUTE(SUBSTITUTE(SUBSTITUTE(TRIM('Smart Search'!$L$6),"~","~~"),"*","~*"),"?","~?"),'Project Database'!C180))),OR('Smart Search'!$L$7="",AND('Project Database'!E180&lt;&gt;"",'Project Database'!E180='Smart Search'!$L$7)),OR('Smart Search'!$L$8="",'Smart Search'!$L$8="All",TRIM('Project Database'!F180)=TRIM('Smart Search'!$L$8))),IF(BA176="","",BA176+ROW()*0.0000000001),"")</f>
        <v/>
      </c>
      <c r="BI176" s="5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>
        <f>IF('Project Database'!A180="","",N('Project Database'!AC180))</f>
        <v/>
      </c>
      <c r="BK176" s="5">
        <f>IF('Project Database'!A180="","",N('Project Database'!AD180))</f>
        <v/>
      </c>
      <c r="BL176" s="5">
        <f>IF('Project Database'!A180="","",N('Project Database'!AE180))</f>
        <v/>
      </c>
      <c r="BM176" s="5">
        <f>IF('Project Database'!A180="","",N('Project Database'!AF180))</f>
        <v/>
      </c>
      <c r="BN176" s="5">
        <f>IF('Project Database'!A180="","",N('Project Database'!AG180))</f>
        <v/>
      </c>
      <c r="BO176" s="5">
        <f>IF('Project Database'!A180="","",N('Project Database'!AH180))</f>
        <v/>
      </c>
      <c r="BP176" s="5">
        <f>IF('Project Database'!A180="","",N('Project Database'!AI180))</f>
        <v/>
      </c>
      <c r="BQ176" s="5">
        <f>IF('Project Database'!A180="","",N('Project Database'!AJ180))</f>
        <v/>
      </c>
      <c r="BR176" s="5">
        <f>IF('Project Database'!A180="","",N('Project Database'!AK180))</f>
        <v/>
      </c>
      <c r="BS176" s="5">
        <f>IF('Project Database'!A180="","",N('Project Database'!AL180))</f>
        <v/>
      </c>
      <c r="BT176" s="5">
        <f>IF('Project Database'!A180="","",N('Project Database'!AM180))</f>
        <v/>
      </c>
      <c r="BU176" s="5">
        <f>IF('Project Database'!A180="","",N('Project Database'!AN180))</f>
        <v/>
      </c>
      <c r="BV176" s="5">
        <f>IF('Project Database'!A180="","",N('Project Database'!AO180))</f>
        <v/>
      </c>
      <c r="BW176" s="5">
        <f>IF('Project Database'!A180="","",N('Project Database'!AP180))</f>
        <v/>
      </c>
      <c r="BX176" s="5">
        <f>IF(A176="","",SUM(BJ176:BW176))</f>
        <v/>
      </c>
      <c r="BY176" s="5">
        <f>IF(A176="","",IFERROR(IF(ISNUMBER(U176),U176,VALUE(SUBSTITUTE(SUBSTITUTE(SUBSTITUTE(UPPER(TRIM(U176)),"M",""),",","")," ",""))),0))</f>
        <v/>
      </c>
    </row>
    <row r="177" ht="15" customHeight="1" s="74">
      <c r="A177" s="66">
        <f>'Project Database'!A181</f>
        <v/>
      </c>
      <c r="B177" s="66">
        <f>'Project Database'!B181</f>
        <v/>
      </c>
      <c r="C177" s="66">
        <f>'Project Database'!G181</f>
        <v/>
      </c>
      <c r="D177" s="66">
        <f>'Project Database'!H181</f>
        <v/>
      </c>
      <c r="E177" s="66">
        <f>'Project Database'!I181</f>
        <v/>
      </c>
      <c r="F177" s="66">
        <f>'Project Database'!J181</f>
        <v/>
      </c>
      <c r="G177" s="66">
        <f>'Project Database'!K181</f>
        <v/>
      </c>
      <c r="H177" s="66">
        <f>'Project Database'!L181</f>
        <v/>
      </c>
      <c r="I177" s="66">
        <f>'Project Database'!M181</f>
        <v/>
      </c>
      <c r="J177" s="66">
        <f>'Project Database'!N181</f>
        <v/>
      </c>
      <c r="K177" s="66">
        <f>'Project Database'!O181</f>
        <v/>
      </c>
      <c r="L177" s="66">
        <f>'Project Database'!P181</f>
        <v/>
      </c>
      <c r="M177" s="66">
        <f>'Project Database'!Q181</f>
        <v/>
      </c>
      <c r="N177" s="66">
        <f>'Project Database'!R181</f>
        <v/>
      </c>
      <c r="O177" s="66">
        <f>'Project Database'!S181</f>
        <v/>
      </c>
      <c r="P177" s="66">
        <f>'Project Database'!T181</f>
        <v/>
      </c>
      <c r="Q177" s="66">
        <f>'Project Database'!U181</f>
        <v/>
      </c>
      <c r="R177" s="66">
        <f>'Project Database'!V181</f>
        <v/>
      </c>
      <c r="S177" s="66">
        <f>'Project Database'!W181</f>
        <v/>
      </c>
      <c r="T177" s="66">
        <f>'Project Database'!X181</f>
        <v/>
      </c>
      <c r="U177" s="67">
        <f>'Project Database'!Y181</f>
        <v/>
      </c>
      <c r="V177" s="66">
        <f>IF('Smart Search'!B13=1,IFERROR(1/'Smart Search'!H13,0),0)</f>
        <v/>
      </c>
      <c r="W177" s="66">
        <f>IF('Smart Search'!B13=1,IFERROR(1/'Smart Search'!H13,0),0)</f>
        <v/>
      </c>
      <c r="X177" s="66">
        <f>IF('Smart Search'!C13=1,IFERROR(1/'Smart Search'!H13,0),0)</f>
        <v/>
      </c>
      <c r="Y177" s="66">
        <f>IF('Smart Search'!C13=1,IFERROR(1/'Smart Search'!H13,0),0)</f>
        <v/>
      </c>
      <c r="Z177" s="66">
        <f>IF('Smart Search'!D13=1,IFERROR(1/'Smart Search'!H13,0),0)</f>
        <v/>
      </c>
      <c r="AA177" s="66">
        <f>IF('Smart Search'!D13=1,IFERROR(1/'Smart Search'!H13,0),0)</f>
        <v/>
      </c>
      <c r="AB177" s="66">
        <f>IF('Smart Search'!E13=1,IFERROR(1/'Smart Search'!H13,0),0)</f>
        <v/>
      </c>
      <c r="AC177" s="66">
        <f>IF('Smart Search'!E13=1,IFERROR(1/'Smart Search'!H13,0),0)</f>
        <v/>
      </c>
      <c r="AD177" s="66">
        <f>IF('Smart Search'!F13=1,IFERROR(1/'Smart Search'!H13,0),0)</f>
        <v/>
      </c>
      <c r="AE177" s="66">
        <f>IF('Smart Search'!F13=1,IFERROR(1/'Smart Search'!H13,0),0)</f>
        <v/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66">
        <f>AF177*V177</f>
        <v/>
      </c>
      <c r="AQ177" s="66">
        <f>AG177*W177</f>
        <v/>
      </c>
      <c r="AR177" s="66">
        <f>AH177*X177</f>
        <v/>
      </c>
      <c r="AS177" s="66">
        <f>AI177*Y177</f>
        <v/>
      </c>
      <c r="AT177" s="66">
        <f>AJ177*Z177</f>
        <v/>
      </c>
      <c r="AU177" s="66">
        <f>AK177*AA177</f>
        <v/>
      </c>
      <c r="AV177" s="66">
        <f>AL177*AB177</f>
        <v/>
      </c>
      <c r="AW177" s="66">
        <f>AM177*AC177</f>
        <v/>
      </c>
      <c r="AX177" s="66">
        <f>AN177*AD177</f>
        <v/>
      </c>
      <c r="AY177" s="66">
        <f>AO177*AE177</f>
        <v/>
      </c>
      <c r="AZ177" s="66">
        <f>'Project Database'!Z181</f>
        <v/>
      </c>
      <c r="BA177" s="66">
        <f>IF(OR(A177="",'Smart Search'!H13=0),"",MAX(0,BE177*BF177*MAX(0,1-BG177)))</f>
        <v/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66">
        <f>IF('Smart Search'!G13=1,IFERROR(1/'Smart Search'!H13,0),0)</f>
        <v/>
      </c>
      <c r="BD177" s="66">
        <f>BB177*BC177</f>
        <v/>
      </c>
      <c r="BE177" s="66">
        <f>AP177+AQ177+AR177+AS177+AT177+AU177+AV177+AW177+AX177+AY177+BD177</f>
        <v/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5">
        <f>IF(AND('Project Database'!A181&lt;&gt;"",OR('Smart Search'!$L$5="",'Smart Search'!$L$5="All",TRIM('Project Database'!D181)=TRIM('Smart Search'!$L$5)),OR(TRIM('Smart Search'!$L$6)="",TRIM('Smart Search'!$L$6)="All",ISNUMBER(SEARCH(SUBSTITUTE(SUBSTITUTE(SUBSTITUTE(TRIM('Smart Search'!$L$6),"~","~~"),"*","~*"),"?","~?"),'Project Database'!C181))),OR('Smart Search'!$L$7="",AND('Project Database'!E181&lt;&gt;"",'Project Database'!E181='Smart Search'!$L$7)),OR('Smart Search'!$L$8="",'Smart Search'!$L$8="All",TRIM('Project Database'!F181)=TRIM('Smart Search'!$L$8))),IF(BA177="","",BA177+ROW()*0.0000000001),"")</f>
        <v/>
      </c>
      <c r="BI177" s="5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>
        <f>IF('Project Database'!A181="","",N('Project Database'!AC181))</f>
        <v/>
      </c>
      <c r="BK177" s="5">
        <f>IF('Project Database'!A181="","",N('Project Database'!AD181))</f>
        <v/>
      </c>
      <c r="BL177" s="5">
        <f>IF('Project Database'!A181="","",N('Project Database'!AE181))</f>
        <v/>
      </c>
      <c r="BM177" s="5">
        <f>IF('Project Database'!A181="","",N('Project Database'!AF181))</f>
        <v/>
      </c>
      <c r="BN177" s="5">
        <f>IF('Project Database'!A181="","",N('Project Database'!AG181))</f>
        <v/>
      </c>
      <c r="BO177" s="5">
        <f>IF('Project Database'!A181="","",N('Project Database'!AH181))</f>
        <v/>
      </c>
      <c r="BP177" s="5">
        <f>IF('Project Database'!A181="","",N('Project Database'!AI181))</f>
        <v/>
      </c>
      <c r="BQ177" s="5">
        <f>IF('Project Database'!A181="","",N('Project Database'!AJ181))</f>
        <v/>
      </c>
      <c r="BR177" s="5">
        <f>IF('Project Database'!A181="","",N('Project Database'!AK181))</f>
        <v/>
      </c>
      <c r="BS177" s="5">
        <f>IF('Project Database'!A181="","",N('Project Database'!AL181))</f>
        <v/>
      </c>
      <c r="BT177" s="5">
        <f>IF('Project Database'!A181="","",N('Project Database'!AM181))</f>
        <v/>
      </c>
      <c r="BU177" s="5">
        <f>IF('Project Database'!A181="","",N('Project Database'!AN181))</f>
        <v/>
      </c>
      <c r="BV177" s="5">
        <f>IF('Project Database'!A181="","",N('Project Database'!AO181))</f>
        <v/>
      </c>
      <c r="BW177" s="5">
        <f>IF('Project Database'!A181="","",N('Project Database'!AP181))</f>
        <v/>
      </c>
      <c r="BX177" s="5">
        <f>IF(A177="","",SUM(BJ177:BW177))</f>
        <v/>
      </c>
      <c r="BY177" s="5">
        <f>IF(A177="","",IFERROR(IF(ISNUMBER(U177),U177,VALUE(SUBSTITUTE(SUBSTITUTE(SUBSTITUTE(UPPER(TRIM(U177)),"M",""),",","")," ",""))),0))</f>
        <v/>
      </c>
    </row>
    <row r="178" ht="15" customHeight="1" s="74">
      <c r="A178" s="66">
        <f>'Project Database'!A182</f>
        <v/>
      </c>
      <c r="B178" s="66">
        <f>'Project Database'!B182</f>
        <v/>
      </c>
      <c r="C178" s="66">
        <f>'Project Database'!G182</f>
        <v/>
      </c>
      <c r="D178" s="66">
        <f>'Project Database'!H182</f>
        <v/>
      </c>
      <c r="E178" s="66">
        <f>'Project Database'!I182</f>
        <v/>
      </c>
      <c r="F178" s="66">
        <f>'Project Database'!J182</f>
        <v/>
      </c>
      <c r="G178" s="66">
        <f>'Project Database'!K182</f>
        <v/>
      </c>
      <c r="H178" s="66">
        <f>'Project Database'!L182</f>
        <v/>
      </c>
      <c r="I178" s="66">
        <f>'Project Database'!M182</f>
        <v/>
      </c>
      <c r="J178" s="66">
        <f>'Project Database'!N182</f>
        <v/>
      </c>
      <c r="K178" s="66">
        <f>'Project Database'!O182</f>
        <v/>
      </c>
      <c r="L178" s="66">
        <f>'Project Database'!P182</f>
        <v/>
      </c>
      <c r="M178" s="66">
        <f>'Project Database'!Q182</f>
        <v/>
      </c>
      <c r="N178" s="66">
        <f>'Project Database'!R182</f>
        <v/>
      </c>
      <c r="O178" s="66">
        <f>'Project Database'!S182</f>
        <v/>
      </c>
      <c r="P178" s="66">
        <f>'Project Database'!T182</f>
        <v/>
      </c>
      <c r="Q178" s="66">
        <f>'Project Database'!U182</f>
        <v/>
      </c>
      <c r="R178" s="66">
        <f>'Project Database'!V182</f>
        <v/>
      </c>
      <c r="S178" s="66">
        <f>'Project Database'!W182</f>
        <v/>
      </c>
      <c r="T178" s="66">
        <f>'Project Database'!X182</f>
        <v/>
      </c>
      <c r="U178" s="67">
        <f>'Project Database'!Y182</f>
        <v/>
      </c>
      <c r="V178" s="66">
        <f>IF('Smart Search'!B13=1,IFERROR(1/'Smart Search'!H13,0),0)</f>
        <v/>
      </c>
      <c r="W178" s="66">
        <f>IF('Smart Search'!B13=1,IFERROR(1/'Smart Search'!H13,0),0)</f>
        <v/>
      </c>
      <c r="X178" s="66">
        <f>IF('Smart Search'!C13=1,IFERROR(1/'Smart Search'!H13,0),0)</f>
        <v/>
      </c>
      <c r="Y178" s="66">
        <f>IF('Smart Search'!C13=1,IFERROR(1/'Smart Search'!H13,0),0)</f>
        <v/>
      </c>
      <c r="Z178" s="66">
        <f>IF('Smart Search'!D13=1,IFERROR(1/'Smart Search'!H13,0),0)</f>
        <v/>
      </c>
      <c r="AA178" s="66">
        <f>IF('Smart Search'!D13=1,IFERROR(1/'Smart Search'!H13,0),0)</f>
        <v/>
      </c>
      <c r="AB178" s="66">
        <f>IF('Smart Search'!E13=1,IFERROR(1/'Smart Search'!H13,0),0)</f>
        <v/>
      </c>
      <c r="AC178" s="66">
        <f>IF('Smart Search'!E13=1,IFERROR(1/'Smart Search'!H13,0),0)</f>
        <v/>
      </c>
      <c r="AD178" s="66">
        <f>IF('Smart Search'!F13=1,IFERROR(1/'Smart Search'!H13,0),0)</f>
        <v/>
      </c>
      <c r="AE178" s="66">
        <f>IF('Smart Search'!F13=1,IFERROR(1/'Smart Search'!H13,0),0)</f>
        <v/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66">
        <f>AF178*V178</f>
        <v/>
      </c>
      <c r="AQ178" s="66">
        <f>AG178*W178</f>
        <v/>
      </c>
      <c r="AR178" s="66">
        <f>AH178*X178</f>
        <v/>
      </c>
      <c r="AS178" s="66">
        <f>AI178*Y178</f>
        <v/>
      </c>
      <c r="AT178" s="66">
        <f>AJ178*Z178</f>
        <v/>
      </c>
      <c r="AU178" s="66">
        <f>AK178*AA178</f>
        <v/>
      </c>
      <c r="AV178" s="66">
        <f>AL178*AB178</f>
        <v/>
      </c>
      <c r="AW178" s="66">
        <f>AM178*AC178</f>
        <v/>
      </c>
      <c r="AX178" s="66">
        <f>AN178*AD178</f>
        <v/>
      </c>
      <c r="AY178" s="66">
        <f>AO178*AE178</f>
        <v/>
      </c>
      <c r="AZ178" s="66">
        <f>'Project Database'!Z182</f>
        <v/>
      </c>
      <c r="BA178" s="66">
        <f>IF(OR(A178="",'Smart Search'!H13=0),"",MAX(0,BE178*BF178*MAX(0,1-BG178)))</f>
        <v/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66">
        <f>IF('Smart Search'!G13=1,IFERROR(1/'Smart Search'!H13,0),0)</f>
        <v/>
      </c>
      <c r="BD178" s="66">
        <f>BB178*BC178</f>
        <v/>
      </c>
      <c r="BE178" s="66">
        <f>AP178+AQ178+AR178+AS178+AT178+AU178+AV178+AW178+AX178+AY178+BD178</f>
        <v/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5">
        <f>IF(AND('Project Database'!A182&lt;&gt;"",OR('Smart Search'!$L$5="",'Smart Search'!$L$5="All",TRIM('Project Database'!D182)=TRIM('Smart Search'!$L$5)),OR(TRIM('Smart Search'!$L$6)="",TRIM('Smart Search'!$L$6)="All",ISNUMBER(SEARCH(SUBSTITUTE(SUBSTITUTE(SUBSTITUTE(TRIM('Smart Search'!$L$6),"~","~~"),"*","~*"),"?","~?"),'Project Database'!C182))),OR('Smart Search'!$L$7="",AND('Project Database'!E182&lt;&gt;"",'Project Database'!E182='Smart Search'!$L$7)),OR('Smart Search'!$L$8="",'Smart Search'!$L$8="All",TRIM('Project Database'!F182)=TRIM('Smart Search'!$L$8))),IF(BA178="","",BA178+ROW()*0.0000000001),"")</f>
        <v/>
      </c>
      <c r="BI178" s="5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>
        <f>IF('Project Database'!A182="","",N('Project Database'!AC182))</f>
        <v/>
      </c>
      <c r="BK178" s="5">
        <f>IF('Project Database'!A182="","",N('Project Database'!AD182))</f>
        <v/>
      </c>
      <c r="BL178" s="5">
        <f>IF('Project Database'!A182="","",N('Project Database'!AE182))</f>
        <v/>
      </c>
      <c r="BM178" s="5">
        <f>IF('Project Database'!A182="","",N('Project Database'!AF182))</f>
        <v/>
      </c>
      <c r="BN178" s="5">
        <f>IF('Project Database'!A182="","",N('Project Database'!AG182))</f>
        <v/>
      </c>
      <c r="BO178" s="5">
        <f>IF('Project Database'!A182="","",N('Project Database'!AH182))</f>
        <v/>
      </c>
      <c r="BP178" s="5">
        <f>IF('Project Database'!A182="","",N('Project Database'!AI182))</f>
        <v/>
      </c>
      <c r="BQ178" s="5">
        <f>IF('Project Database'!A182="","",N('Project Database'!AJ182))</f>
        <v/>
      </c>
      <c r="BR178" s="5">
        <f>IF('Project Database'!A182="","",N('Project Database'!AK182))</f>
        <v/>
      </c>
      <c r="BS178" s="5">
        <f>IF('Project Database'!A182="","",N('Project Database'!AL182))</f>
        <v/>
      </c>
      <c r="BT178" s="5">
        <f>IF('Project Database'!A182="","",N('Project Database'!AM182))</f>
        <v/>
      </c>
      <c r="BU178" s="5">
        <f>IF('Project Database'!A182="","",N('Project Database'!AN182))</f>
        <v/>
      </c>
      <c r="BV178" s="5">
        <f>IF('Project Database'!A182="","",N('Project Database'!AO182))</f>
        <v/>
      </c>
      <c r="BW178" s="5">
        <f>IF('Project Database'!A182="","",N('Project Database'!AP182))</f>
        <v/>
      </c>
      <c r="BX178" s="5">
        <f>IF(A178="","",SUM(BJ178:BW178))</f>
        <v/>
      </c>
      <c r="BY178" s="5">
        <f>IF(A178="","",IFERROR(IF(ISNUMBER(U178),U178,VALUE(SUBSTITUTE(SUBSTITUTE(SUBSTITUTE(UPPER(TRIM(U178)),"M",""),",","")," ",""))),0))</f>
        <v/>
      </c>
    </row>
    <row r="179" ht="15" customHeight="1" s="74">
      <c r="A179" s="66">
        <f>'Project Database'!A183</f>
        <v/>
      </c>
      <c r="B179" s="66">
        <f>'Project Database'!B183</f>
        <v/>
      </c>
      <c r="C179" s="66">
        <f>'Project Database'!G183</f>
        <v/>
      </c>
      <c r="D179" s="66">
        <f>'Project Database'!H183</f>
        <v/>
      </c>
      <c r="E179" s="66">
        <f>'Project Database'!I183</f>
        <v/>
      </c>
      <c r="F179" s="66">
        <f>'Project Database'!J183</f>
        <v/>
      </c>
      <c r="G179" s="66">
        <f>'Project Database'!K183</f>
        <v/>
      </c>
      <c r="H179" s="66">
        <f>'Project Database'!L183</f>
        <v/>
      </c>
      <c r="I179" s="66">
        <f>'Project Database'!M183</f>
        <v/>
      </c>
      <c r="J179" s="66">
        <f>'Project Database'!N183</f>
        <v/>
      </c>
      <c r="K179" s="66">
        <f>'Project Database'!O183</f>
        <v/>
      </c>
      <c r="L179" s="66">
        <f>'Project Database'!P183</f>
        <v/>
      </c>
      <c r="M179" s="66">
        <f>'Project Database'!Q183</f>
        <v/>
      </c>
      <c r="N179" s="66">
        <f>'Project Database'!R183</f>
        <v/>
      </c>
      <c r="O179" s="66">
        <f>'Project Database'!S183</f>
        <v/>
      </c>
      <c r="P179" s="66">
        <f>'Project Database'!T183</f>
        <v/>
      </c>
      <c r="Q179" s="66">
        <f>'Project Database'!U183</f>
        <v/>
      </c>
      <c r="R179" s="66">
        <f>'Project Database'!V183</f>
        <v/>
      </c>
      <c r="S179" s="66">
        <f>'Project Database'!W183</f>
        <v/>
      </c>
      <c r="T179" s="66">
        <f>'Project Database'!X183</f>
        <v/>
      </c>
      <c r="U179" s="67">
        <f>'Project Database'!Y183</f>
        <v/>
      </c>
      <c r="V179" s="66">
        <f>IF('Smart Search'!B13=1,IFERROR(1/'Smart Search'!H13,0),0)</f>
        <v/>
      </c>
      <c r="W179" s="66">
        <f>IF('Smart Search'!B13=1,IFERROR(1/'Smart Search'!H13,0),0)</f>
        <v/>
      </c>
      <c r="X179" s="66">
        <f>IF('Smart Search'!C13=1,IFERROR(1/'Smart Search'!H13,0),0)</f>
        <v/>
      </c>
      <c r="Y179" s="66">
        <f>IF('Smart Search'!C13=1,IFERROR(1/'Smart Search'!H13,0),0)</f>
        <v/>
      </c>
      <c r="Z179" s="66">
        <f>IF('Smart Search'!D13=1,IFERROR(1/'Smart Search'!H13,0),0)</f>
        <v/>
      </c>
      <c r="AA179" s="66">
        <f>IF('Smart Search'!D13=1,IFERROR(1/'Smart Search'!H13,0),0)</f>
        <v/>
      </c>
      <c r="AB179" s="66">
        <f>IF('Smart Search'!E13=1,IFERROR(1/'Smart Search'!H13,0),0)</f>
        <v/>
      </c>
      <c r="AC179" s="66">
        <f>IF('Smart Search'!E13=1,IFERROR(1/'Smart Search'!H13,0),0)</f>
        <v/>
      </c>
      <c r="AD179" s="66">
        <f>IF('Smart Search'!F13=1,IFERROR(1/'Smart Search'!H13,0),0)</f>
        <v/>
      </c>
      <c r="AE179" s="66">
        <f>IF('Smart Search'!F13=1,IFERROR(1/'Smart Search'!H13,0),0)</f>
        <v/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66">
        <f>AF179*V179</f>
        <v/>
      </c>
      <c r="AQ179" s="66">
        <f>AG179*W179</f>
        <v/>
      </c>
      <c r="AR179" s="66">
        <f>AH179*X179</f>
        <v/>
      </c>
      <c r="AS179" s="66">
        <f>AI179*Y179</f>
        <v/>
      </c>
      <c r="AT179" s="66">
        <f>AJ179*Z179</f>
        <v/>
      </c>
      <c r="AU179" s="66">
        <f>AK179*AA179</f>
        <v/>
      </c>
      <c r="AV179" s="66">
        <f>AL179*AB179</f>
        <v/>
      </c>
      <c r="AW179" s="66">
        <f>AM179*AC179</f>
        <v/>
      </c>
      <c r="AX179" s="66">
        <f>AN179*AD179</f>
        <v/>
      </c>
      <c r="AY179" s="66">
        <f>AO179*AE179</f>
        <v/>
      </c>
      <c r="AZ179" s="66">
        <f>'Project Database'!Z183</f>
        <v/>
      </c>
      <c r="BA179" s="66">
        <f>IF(OR(A179="",'Smart Search'!H13=0),"",MAX(0,BE179*BF179*MAX(0,1-BG179)))</f>
        <v/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66">
        <f>IF('Smart Search'!G13=1,IFERROR(1/'Smart Search'!H13,0),0)</f>
        <v/>
      </c>
      <c r="BD179" s="66">
        <f>BB179*BC179</f>
        <v/>
      </c>
      <c r="BE179" s="66">
        <f>AP179+AQ179+AR179+AS179+AT179+AU179+AV179+AW179+AX179+AY179+BD179</f>
        <v/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5">
        <f>IF(AND('Project Database'!A183&lt;&gt;"",OR('Smart Search'!$L$5="",'Smart Search'!$L$5="All",TRIM('Project Database'!D183)=TRIM('Smart Search'!$L$5)),OR(TRIM('Smart Search'!$L$6)="",TRIM('Smart Search'!$L$6)="All",ISNUMBER(SEARCH(SUBSTITUTE(SUBSTITUTE(SUBSTITUTE(TRIM('Smart Search'!$L$6),"~","~~"),"*","~*"),"?","~?"),'Project Database'!C183))),OR('Smart Search'!$L$7="",AND('Project Database'!E183&lt;&gt;"",'Project Database'!E183='Smart Search'!$L$7)),OR('Smart Search'!$L$8="",'Smart Search'!$L$8="All",TRIM('Project Database'!F183)=TRIM('Smart Search'!$L$8))),IF(BA179="","",BA179+ROW()*0.0000000001),"")</f>
        <v/>
      </c>
      <c r="BI179" s="5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>
        <f>IF('Project Database'!A183="","",N('Project Database'!AC183))</f>
        <v/>
      </c>
      <c r="BK179" s="5">
        <f>IF('Project Database'!A183="","",N('Project Database'!AD183))</f>
        <v/>
      </c>
      <c r="BL179" s="5">
        <f>IF('Project Database'!A183="","",N('Project Database'!AE183))</f>
        <v/>
      </c>
      <c r="BM179" s="5">
        <f>IF('Project Database'!A183="","",N('Project Database'!AF183))</f>
        <v/>
      </c>
      <c r="BN179" s="5">
        <f>IF('Project Database'!A183="","",N('Project Database'!AG183))</f>
        <v/>
      </c>
      <c r="BO179" s="5">
        <f>IF('Project Database'!A183="","",N('Project Database'!AH183))</f>
        <v/>
      </c>
      <c r="BP179" s="5">
        <f>IF('Project Database'!A183="","",N('Project Database'!AI183))</f>
        <v/>
      </c>
      <c r="BQ179" s="5">
        <f>IF('Project Database'!A183="","",N('Project Database'!AJ183))</f>
        <v/>
      </c>
      <c r="BR179" s="5">
        <f>IF('Project Database'!A183="","",N('Project Database'!AK183))</f>
        <v/>
      </c>
      <c r="BS179" s="5">
        <f>IF('Project Database'!A183="","",N('Project Database'!AL183))</f>
        <v/>
      </c>
      <c r="BT179" s="5">
        <f>IF('Project Database'!A183="","",N('Project Database'!AM183))</f>
        <v/>
      </c>
      <c r="BU179" s="5">
        <f>IF('Project Database'!A183="","",N('Project Database'!AN183))</f>
        <v/>
      </c>
      <c r="BV179" s="5">
        <f>IF('Project Database'!A183="","",N('Project Database'!AO183))</f>
        <v/>
      </c>
      <c r="BW179" s="5">
        <f>IF('Project Database'!A183="","",N('Project Database'!AP183))</f>
        <v/>
      </c>
      <c r="BX179" s="5">
        <f>IF(A179="","",SUM(BJ179:BW179))</f>
        <v/>
      </c>
      <c r="BY179" s="5">
        <f>IF(A179="","",IFERROR(IF(ISNUMBER(U179),U179,VALUE(SUBSTITUTE(SUBSTITUTE(SUBSTITUTE(UPPER(TRIM(U179)),"M",""),",","")," ",""))),0))</f>
        <v/>
      </c>
    </row>
    <row r="180" ht="15" customHeight="1" s="74">
      <c r="A180" s="66">
        <f>'Project Database'!A184</f>
        <v/>
      </c>
      <c r="B180" s="66">
        <f>'Project Database'!B184</f>
        <v/>
      </c>
      <c r="C180" s="66">
        <f>'Project Database'!G184</f>
        <v/>
      </c>
      <c r="D180" s="66">
        <f>'Project Database'!H184</f>
        <v/>
      </c>
      <c r="E180" s="66">
        <f>'Project Database'!I184</f>
        <v/>
      </c>
      <c r="F180" s="66">
        <f>'Project Database'!J184</f>
        <v/>
      </c>
      <c r="G180" s="66">
        <f>'Project Database'!K184</f>
        <v/>
      </c>
      <c r="H180" s="66">
        <f>'Project Database'!L184</f>
        <v/>
      </c>
      <c r="I180" s="66">
        <f>'Project Database'!M184</f>
        <v/>
      </c>
      <c r="J180" s="66">
        <f>'Project Database'!N184</f>
        <v/>
      </c>
      <c r="K180" s="66">
        <f>'Project Database'!O184</f>
        <v/>
      </c>
      <c r="L180" s="66">
        <f>'Project Database'!P184</f>
        <v/>
      </c>
      <c r="M180" s="66">
        <f>'Project Database'!Q184</f>
        <v/>
      </c>
      <c r="N180" s="66">
        <f>'Project Database'!R184</f>
        <v/>
      </c>
      <c r="O180" s="66">
        <f>'Project Database'!S184</f>
        <v/>
      </c>
      <c r="P180" s="66">
        <f>'Project Database'!T184</f>
        <v/>
      </c>
      <c r="Q180" s="66">
        <f>'Project Database'!U184</f>
        <v/>
      </c>
      <c r="R180" s="66">
        <f>'Project Database'!V184</f>
        <v/>
      </c>
      <c r="S180" s="66">
        <f>'Project Database'!W184</f>
        <v/>
      </c>
      <c r="T180" s="66">
        <f>'Project Database'!X184</f>
        <v/>
      </c>
      <c r="U180" s="67">
        <f>'Project Database'!Y184</f>
        <v/>
      </c>
      <c r="V180" s="66">
        <f>IF('Smart Search'!B13=1,IFERROR(1/'Smart Search'!H13,0),0)</f>
        <v/>
      </c>
      <c r="W180" s="66">
        <f>IF('Smart Search'!B13=1,IFERROR(1/'Smart Search'!H13,0),0)</f>
        <v/>
      </c>
      <c r="X180" s="66">
        <f>IF('Smart Search'!C13=1,IFERROR(1/'Smart Search'!H13,0),0)</f>
        <v/>
      </c>
      <c r="Y180" s="66">
        <f>IF('Smart Search'!C13=1,IFERROR(1/'Smart Search'!H13,0),0)</f>
        <v/>
      </c>
      <c r="Z180" s="66">
        <f>IF('Smart Search'!D13=1,IFERROR(1/'Smart Search'!H13,0),0)</f>
        <v/>
      </c>
      <c r="AA180" s="66">
        <f>IF('Smart Search'!D13=1,IFERROR(1/'Smart Search'!H13,0),0)</f>
        <v/>
      </c>
      <c r="AB180" s="66">
        <f>IF('Smart Search'!E13=1,IFERROR(1/'Smart Search'!H13,0),0)</f>
        <v/>
      </c>
      <c r="AC180" s="66">
        <f>IF('Smart Search'!E13=1,IFERROR(1/'Smart Search'!H13,0),0)</f>
        <v/>
      </c>
      <c r="AD180" s="66">
        <f>IF('Smart Search'!F13=1,IFERROR(1/'Smart Search'!H13,0),0)</f>
        <v/>
      </c>
      <c r="AE180" s="66">
        <f>IF('Smart Search'!F13=1,IFERROR(1/'Smart Search'!H13,0),0)</f>
        <v/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66">
        <f>AF180*V180</f>
        <v/>
      </c>
      <c r="AQ180" s="66">
        <f>AG180*W180</f>
        <v/>
      </c>
      <c r="AR180" s="66">
        <f>AH180*X180</f>
        <v/>
      </c>
      <c r="AS180" s="66">
        <f>AI180*Y180</f>
        <v/>
      </c>
      <c r="AT180" s="66">
        <f>AJ180*Z180</f>
        <v/>
      </c>
      <c r="AU180" s="66">
        <f>AK180*AA180</f>
        <v/>
      </c>
      <c r="AV180" s="66">
        <f>AL180*AB180</f>
        <v/>
      </c>
      <c r="AW180" s="66">
        <f>AM180*AC180</f>
        <v/>
      </c>
      <c r="AX180" s="66">
        <f>AN180*AD180</f>
        <v/>
      </c>
      <c r="AY180" s="66">
        <f>AO180*AE180</f>
        <v/>
      </c>
      <c r="AZ180" s="66">
        <f>'Project Database'!Z184</f>
        <v/>
      </c>
      <c r="BA180" s="66">
        <f>IF(OR(A180="",'Smart Search'!H13=0),"",MAX(0,BE180*BF180*MAX(0,1-BG180)))</f>
        <v/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66">
        <f>IF('Smart Search'!G13=1,IFERROR(1/'Smart Search'!H13,0),0)</f>
        <v/>
      </c>
      <c r="BD180" s="66">
        <f>BB180*BC180</f>
        <v/>
      </c>
      <c r="BE180" s="66">
        <f>AP180+AQ180+AR180+AS180+AT180+AU180+AV180+AW180+AX180+AY180+BD180</f>
        <v/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5">
        <f>IF(AND('Project Database'!A184&lt;&gt;"",OR('Smart Search'!$L$5="",'Smart Search'!$L$5="All",TRIM('Project Database'!D184)=TRIM('Smart Search'!$L$5)),OR(TRIM('Smart Search'!$L$6)="",TRIM('Smart Search'!$L$6)="All",ISNUMBER(SEARCH(SUBSTITUTE(SUBSTITUTE(SUBSTITUTE(TRIM('Smart Search'!$L$6),"~","~~"),"*","~*"),"?","~?"),'Project Database'!C184))),OR('Smart Search'!$L$7="",AND('Project Database'!E184&lt;&gt;"",'Project Database'!E184='Smart Search'!$L$7)),OR('Smart Search'!$L$8="",'Smart Search'!$L$8="All",TRIM('Project Database'!F184)=TRIM('Smart Search'!$L$8))),IF(BA180="","",BA180+ROW()*0.0000000001),"")</f>
        <v/>
      </c>
      <c r="BI180" s="5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>
        <f>IF('Project Database'!A184="","",N('Project Database'!AC184))</f>
        <v/>
      </c>
      <c r="BK180" s="5">
        <f>IF('Project Database'!A184="","",N('Project Database'!AD184))</f>
        <v/>
      </c>
      <c r="BL180" s="5">
        <f>IF('Project Database'!A184="","",N('Project Database'!AE184))</f>
        <v/>
      </c>
      <c r="BM180" s="5">
        <f>IF('Project Database'!A184="","",N('Project Database'!AF184))</f>
        <v/>
      </c>
      <c r="BN180" s="5">
        <f>IF('Project Database'!A184="","",N('Project Database'!AG184))</f>
        <v/>
      </c>
      <c r="BO180" s="5">
        <f>IF('Project Database'!A184="","",N('Project Database'!AH184))</f>
        <v/>
      </c>
      <c r="BP180" s="5">
        <f>IF('Project Database'!A184="","",N('Project Database'!AI184))</f>
        <v/>
      </c>
      <c r="BQ180" s="5">
        <f>IF('Project Database'!A184="","",N('Project Database'!AJ184))</f>
        <v/>
      </c>
      <c r="BR180" s="5">
        <f>IF('Project Database'!A184="","",N('Project Database'!AK184))</f>
        <v/>
      </c>
      <c r="BS180" s="5">
        <f>IF('Project Database'!A184="","",N('Project Database'!AL184))</f>
        <v/>
      </c>
      <c r="BT180" s="5">
        <f>IF('Project Database'!A184="","",N('Project Database'!AM184))</f>
        <v/>
      </c>
      <c r="BU180" s="5">
        <f>IF('Project Database'!A184="","",N('Project Database'!AN184))</f>
        <v/>
      </c>
      <c r="BV180" s="5">
        <f>IF('Project Database'!A184="","",N('Project Database'!AO184))</f>
        <v/>
      </c>
      <c r="BW180" s="5">
        <f>IF('Project Database'!A184="","",N('Project Database'!AP184))</f>
        <v/>
      </c>
      <c r="BX180" s="5">
        <f>IF(A180="","",SUM(BJ180:BW180))</f>
        <v/>
      </c>
      <c r="BY180" s="5">
        <f>IF(A180="","",IFERROR(IF(ISNUMBER(U180),U180,VALUE(SUBSTITUTE(SUBSTITUTE(SUBSTITUTE(UPPER(TRIM(U180)),"M",""),",","")," ",""))),0))</f>
        <v/>
      </c>
    </row>
    <row r="181" ht="15" customHeight="1" s="74">
      <c r="A181" s="66">
        <f>'Project Database'!A185</f>
        <v/>
      </c>
      <c r="B181" s="66">
        <f>'Project Database'!B185</f>
        <v/>
      </c>
      <c r="C181" s="66">
        <f>'Project Database'!G185</f>
        <v/>
      </c>
      <c r="D181" s="66">
        <f>'Project Database'!H185</f>
        <v/>
      </c>
      <c r="E181" s="66">
        <f>'Project Database'!I185</f>
        <v/>
      </c>
      <c r="F181" s="66">
        <f>'Project Database'!J185</f>
        <v/>
      </c>
      <c r="G181" s="66">
        <f>'Project Database'!K185</f>
        <v/>
      </c>
      <c r="H181" s="66">
        <f>'Project Database'!L185</f>
        <v/>
      </c>
      <c r="I181" s="66">
        <f>'Project Database'!M185</f>
        <v/>
      </c>
      <c r="J181" s="66">
        <f>'Project Database'!N185</f>
        <v/>
      </c>
      <c r="K181" s="66">
        <f>'Project Database'!O185</f>
        <v/>
      </c>
      <c r="L181" s="66">
        <f>'Project Database'!P185</f>
        <v/>
      </c>
      <c r="M181" s="66">
        <f>'Project Database'!Q185</f>
        <v/>
      </c>
      <c r="N181" s="66">
        <f>'Project Database'!R185</f>
        <v/>
      </c>
      <c r="O181" s="66">
        <f>'Project Database'!S185</f>
        <v/>
      </c>
      <c r="P181" s="66">
        <f>'Project Database'!T185</f>
        <v/>
      </c>
      <c r="Q181" s="66">
        <f>'Project Database'!U185</f>
        <v/>
      </c>
      <c r="R181" s="66">
        <f>'Project Database'!V185</f>
        <v/>
      </c>
      <c r="S181" s="66">
        <f>'Project Database'!W185</f>
        <v/>
      </c>
      <c r="T181" s="66">
        <f>'Project Database'!X185</f>
        <v/>
      </c>
      <c r="U181" s="67">
        <f>'Project Database'!Y185</f>
        <v/>
      </c>
      <c r="V181" s="66">
        <f>IF('Smart Search'!B13=1,IFERROR(1/'Smart Search'!H13,0),0)</f>
        <v/>
      </c>
      <c r="W181" s="66">
        <f>IF('Smart Search'!B13=1,IFERROR(1/'Smart Search'!H13,0),0)</f>
        <v/>
      </c>
      <c r="X181" s="66">
        <f>IF('Smart Search'!C13=1,IFERROR(1/'Smart Search'!H13,0),0)</f>
        <v/>
      </c>
      <c r="Y181" s="66">
        <f>IF('Smart Search'!C13=1,IFERROR(1/'Smart Search'!H13,0),0)</f>
        <v/>
      </c>
      <c r="Z181" s="66">
        <f>IF('Smart Search'!D13=1,IFERROR(1/'Smart Search'!H13,0),0)</f>
        <v/>
      </c>
      <c r="AA181" s="66">
        <f>IF('Smart Search'!D13=1,IFERROR(1/'Smart Search'!H13,0),0)</f>
        <v/>
      </c>
      <c r="AB181" s="66">
        <f>IF('Smart Search'!E13=1,IFERROR(1/'Smart Search'!H13,0),0)</f>
        <v/>
      </c>
      <c r="AC181" s="66">
        <f>IF('Smart Search'!E13=1,IFERROR(1/'Smart Search'!H13,0),0)</f>
        <v/>
      </c>
      <c r="AD181" s="66">
        <f>IF('Smart Search'!F13=1,IFERROR(1/'Smart Search'!H13,0),0)</f>
        <v/>
      </c>
      <c r="AE181" s="66">
        <f>IF('Smart Search'!F13=1,IFERROR(1/'Smart Search'!H13,0),0)</f>
        <v/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66">
        <f>AF181*V181</f>
        <v/>
      </c>
      <c r="AQ181" s="66">
        <f>AG181*W181</f>
        <v/>
      </c>
      <c r="AR181" s="66">
        <f>AH181*X181</f>
        <v/>
      </c>
      <c r="AS181" s="66">
        <f>AI181*Y181</f>
        <v/>
      </c>
      <c r="AT181" s="66">
        <f>AJ181*Z181</f>
        <v/>
      </c>
      <c r="AU181" s="66">
        <f>AK181*AA181</f>
        <v/>
      </c>
      <c r="AV181" s="66">
        <f>AL181*AB181</f>
        <v/>
      </c>
      <c r="AW181" s="66">
        <f>AM181*AC181</f>
        <v/>
      </c>
      <c r="AX181" s="66">
        <f>AN181*AD181</f>
        <v/>
      </c>
      <c r="AY181" s="66">
        <f>AO181*AE181</f>
        <v/>
      </c>
      <c r="AZ181" s="66">
        <f>'Project Database'!Z185</f>
        <v/>
      </c>
      <c r="BA181" s="66">
        <f>IF(OR(A181="",'Smart Search'!H13=0),"",MAX(0,BE181*BF181*MAX(0,1-BG181)))</f>
        <v/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66">
        <f>IF('Smart Search'!G13=1,IFERROR(1/'Smart Search'!H13,0),0)</f>
        <v/>
      </c>
      <c r="BD181" s="66">
        <f>BB181*BC181</f>
        <v/>
      </c>
      <c r="BE181" s="66">
        <f>AP181+AQ181+AR181+AS181+AT181+AU181+AV181+AW181+AX181+AY181+BD181</f>
        <v/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5">
        <f>IF(AND('Project Database'!A185&lt;&gt;"",OR('Smart Search'!$L$5="",'Smart Search'!$L$5="All",TRIM('Project Database'!D185)=TRIM('Smart Search'!$L$5)),OR(TRIM('Smart Search'!$L$6)="",TRIM('Smart Search'!$L$6)="All",ISNUMBER(SEARCH(SUBSTITUTE(SUBSTITUTE(SUBSTITUTE(TRIM('Smart Search'!$L$6),"~","~~"),"*","~*"),"?","~?"),'Project Database'!C185))),OR('Smart Search'!$L$7="",AND('Project Database'!E185&lt;&gt;"",'Project Database'!E185='Smart Search'!$L$7)),OR('Smart Search'!$L$8="",'Smart Search'!$L$8="All",TRIM('Project Database'!F185)=TRIM('Smart Search'!$L$8))),IF(BA181="","",BA181+ROW()*0.0000000001),"")</f>
        <v/>
      </c>
      <c r="BI181" s="5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>
        <f>IF('Project Database'!A185="","",N('Project Database'!AC185))</f>
        <v/>
      </c>
      <c r="BK181" s="5">
        <f>IF('Project Database'!A185="","",N('Project Database'!AD185))</f>
        <v/>
      </c>
      <c r="BL181" s="5">
        <f>IF('Project Database'!A185="","",N('Project Database'!AE185))</f>
        <v/>
      </c>
      <c r="BM181" s="5">
        <f>IF('Project Database'!A185="","",N('Project Database'!AF185))</f>
        <v/>
      </c>
      <c r="BN181" s="5">
        <f>IF('Project Database'!A185="","",N('Project Database'!AG185))</f>
        <v/>
      </c>
      <c r="BO181" s="5">
        <f>IF('Project Database'!A185="","",N('Project Database'!AH185))</f>
        <v/>
      </c>
      <c r="BP181" s="5">
        <f>IF('Project Database'!A185="","",N('Project Database'!AI185))</f>
        <v/>
      </c>
      <c r="BQ181" s="5">
        <f>IF('Project Database'!A185="","",N('Project Database'!AJ185))</f>
        <v/>
      </c>
      <c r="BR181" s="5">
        <f>IF('Project Database'!A185="","",N('Project Database'!AK185))</f>
        <v/>
      </c>
      <c r="BS181" s="5">
        <f>IF('Project Database'!A185="","",N('Project Database'!AL185))</f>
        <v/>
      </c>
      <c r="BT181" s="5">
        <f>IF('Project Database'!A185="","",N('Project Database'!AM185))</f>
        <v/>
      </c>
      <c r="BU181" s="5">
        <f>IF('Project Database'!A185="","",N('Project Database'!AN185))</f>
        <v/>
      </c>
      <c r="BV181" s="5">
        <f>IF('Project Database'!A185="","",N('Project Database'!AO185))</f>
        <v/>
      </c>
      <c r="BW181" s="5">
        <f>IF('Project Database'!A185="","",N('Project Database'!AP185))</f>
        <v/>
      </c>
      <c r="BX181" s="5">
        <f>IF(A181="","",SUM(BJ181:BW181))</f>
        <v/>
      </c>
      <c r="BY181" s="5">
        <f>IF(A181="","",IFERROR(IF(ISNUMBER(U181),U181,VALUE(SUBSTITUTE(SUBSTITUTE(SUBSTITUTE(UPPER(TRIM(U181)),"M",""),",","")," ",""))),0))</f>
        <v/>
      </c>
    </row>
    <row r="182" ht="15" customHeight="1" s="74">
      <c r="A182" s="66">
        <f>'Project Database'!A186</f>
        <v/>
      </c>
      <c r="B182" s="66">
        <f>'Project Database'!B186</f>
        <v/>
      </c>
      <c r="C182" s="66">
        <f>'Project Database'!G186</f>
        <v/>
      </c>
      <c r="D182" s="66">
        <f>'Project Database'!H186</f>
        <v/>
      </c>
      <c r="E182" s="66">
        <f>'Project Database'!I186</f>
        <v/>
      </c>
      <c r="F182" s="66">
        <f>'Project Database'!J186</f>
        <v/>
      </c>
      <c r="G182" s="66">
        <f>'Project Database'!K186</f>
        <v/>
      </c>
      <c r="H182" s="66">
        <f>'Project Database'!L186</f>
        <v/>
      </c>
      <c r="I182" s="66">
        <f>'Project Database'!M186</f>
        <v/>
      </c>
      <c r="J182" s="66">
        <f>'Project Database'!N186</f>
        <v/>
      </c>
      <c r="K182" s="66">
        <f>'Project Database'!O186</f>
        <v/>
      </c>
      <c r="L182" s="66">
        <f>'Project Database'!P186</f>
        <v/>
      </c>
      <c r="M182" s="66">
        <f>'Project Database'!Q186</f>
        <v/>
      </c>
      <c r="N182" s="66">
        <f>'Project Database'!R186</f>
        <v/>
      </c>
      <c r="O182" s="66">
        <f>'Project Database'!S186</f>
        <v/>
      </c>
      <c r="P182" s="66">
        <f>'Project Database'!T186</f>
        <v/>
      </c>
      <c r="Q182" s="66">
        <f>'Project Database'!U186</f>
        <v/>
      </c>
      <c r="R182" s="66">
        <f>'Project Database'!V186</f>
        <v/>
      </c>
      <c r="S182" s="66">
        <f>'Project Database'!W186</f>
        <v/>
      </c>
      <c r="T182" s="66">
        <f>'Project Database'!X186</f>
        <v/>
      </c>
      <c r="U182" s="67">
        <f>'Project Database'!Y186</f>
        <v/>
      </c>
      <c r="V182" s="66">
        <f>IF('Smart Search'!B13=1,IFERROR(1/'Smart Search'!H13,0),0)</f>
        <v/>
      </c>
      <c r="W182" s="66">
        <f>IF('Smart Search'!B13=1,IFERROR(1/'Smart Search'!H13,0),0)</f>
        <v/>
      </c>
      <c r="X182" s="66">
        <f>IF('Smart Search'!C13=1,IFERROR(1/'Smart Search'!H13,0),0)</f>
        <v/>
      </c>
      <c r="Y182" s="66">
        <f>IF('Smart Search'!C13=1,IFERROR(1/'Smart Search'!H13,0),0)</f>
        <v/>
      </c>
      <c r="Z182" s="66">
        <f>IF('Smart Search'!D13=1,IFERROR(1/'Smart Search'!H13,0),0)</f>
        <v/>
      </c>
      <c r="AA182" s="66">
        <f>IF('Smart Search'!D13=1,IFERROR(1/'Smart Search'!H13,0),0)</f>
        <v/>
      </c>
      <c r="AB182" s="66">
        <f>IF('Smart Search'!E13=1,IFERROR(1/'Smart Search'!H13,0),0)</f>
        <v/>
      </c>
      <c r="AC182" s="66">
        <f>IF('Smart Search'!E13=1,IFERROR(1/'Smart Search'!H13,0),0)</f>
        <v/>
      </c>
      <c r="AD182" s="66">
        <f>IF('Smart Search'!F13=1,IFERROR(1/'Smart Search'!H13,0),0)</f>
        <v/>
      </c>
      <c r="AE182" s="66">
        <f>IF('Smart Search'!F13=1,IFERROR(1/'Smart Search'!H13,0),0)</f>
        <v/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66">
        <f>AF182*V182</f>
        <v/>
      </c>
      <c r="AQ182" s="66">
        <f>AG182*W182</f>
        <v/>
      </c>
      <c r="AR182" s="66">
        <f>AH182*X182</f>
        <v/>
      </c>
      <c r="AS182" s="66">
        <f>AI182*Y182</f>
        <v/>
      </c>
      <c r="AT182" s="66">
        <f>AJ182*Z182</f>
        <v/>
      </c>
      <c r="AU182" s="66">
        <f>AK182*AA182</f>
        <v/>
      </c>
      <c r="AV182" s="66">
        <f>AL182*AB182</f>
        <v/>
      </c>
      <c r="AW182" s="66">
        <f>AM182*AC182</f>
        <v/>
      </c>
      <c r="AX182" s="66">
        <f>AN182*AD182</f>
        <v/>
      </c>
      <c r="AY182" s="66">
        <f>AO182*AE182</f>
        <v/>
      </c>
      <c r="AZ182" s="66">
        <f>'Project Database'!Z186</f>
        <v/>
      </c>
      <c r="BA182" s="66">
        <f>IF(OR(A182="",'Smart Search'!H13=0),"",MAX(0,BE182*BF182*MAX(0,1-BG182)))</f>
        <v/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66">
        <f>IF('Smart Search'!G13=1,IFERROR(1/'Smart Search'!H13,0),0)</f>
        <v/>
      </c>
      <c r="BD182" s="66">
        <f>BB182*BC182</f>
        <v/>
      </c>
      <c r="BE182" s="66">
        <f>AP182+AQ182+AR182+AS182+AT182+AU182+AV182+AW182+AX182+AY182+BD182</f>
        <v/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5">
        <f>IF(AND('Project Database'!A186&lt;&gt;"",OR('Smart Search'!$L$5="",'Smart Search'!$L$5="All",TRIM('Project Database'!D186)=TRIM('Smart Search'!$L$5)),OR(TRIM('Smart Search'!$L$6)="",TRIM('Smart Search'!$L$6)="All",ISNUMBER(SEARCH(SUBSTITUTE(SUBSTITUTE(SUBSTITUTE(TRIM('Smart Search'!$L$6),"~","~~"),"*","~*"),"?","~?"),'Project Database'!C186))),OR('Smart Search'!$L$7="",AND('Project Database'!E186&lt;&gt;"",'Project Database'!E186='Smart Search'!$L$7)),OR('Smart Search'!$L$8="",'Smart Search'!$L$8="All",TRIM('Project Database'!F186)=TRIM('Smart Search'!$L$8))),IF(BA182="","",BA182+ROW()*0.0000000001),"")</f>
        <v/>
      </c>
      <c r="BI182" s="5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>
        <f>IF('Project Database'!A186="","",N('Project Database'!AC186))</f>
        <v/>
      </c>
      <c r="BK182" s="5">
        <f>IF('Project Database'!A186="","",N('Project Database'!AD186))</f>
        <v/>
      </c>
      <c r="BL182" s="5">
        <f>IF('Project Database'!A186="","",N('Project Database'!AE186))</f>
        <v/>
      </c>
      <c r="BM182" s="5">
        <f>IF('Project Database'!A186="","",N('Project Database'!AF186))</f>
        <v/>
      </c>
      <c r="BN182" s="5">
        <f>IF('Project Database'!A186="","",N('Project Database'!AG186))</f>
        <v/>
      </c>
      <c r="BO182" s="5">
        <f>IF('Project Database'!A186="","",N('Project Database'!AH186))</f>
        <v/>
      </c>
      <c r="BP182" s="5">
        <f>IF('Project Database'!A186="","",N('Project Database'!AI186))</f>
        <v/>
      </c>
      <c r="BQ182" s="5">
        <f>IF('Project Database'!A186="","",N('Project Database'!AJ186))</f>
        <v/>
      </c>
      <c r="BR182" s="5">
        <f>IF('Project Database'!A186="","",N('Project Database'!AK186))</f>
        <v/>
      </c>
      <c r="BS182" s="5">
        <f>IF('Project Database'!A186="","",N('Project Database'!AL186))</f>
        <v/>
      </c>
      <c r="BT182" s="5">
        <f>IF('Project Database'!A186="","",N('Project Database'!AM186))</f>
        <v/>
      </c>
      <c r="BU182" s="5">
        <f>IF('Project Database'!A186="","",N('Project Database'!AN186))</f>
        <v/>
      </c>
      <c r="BV182" s="5">
        <f>IF('Project Database'!A186="","",N('Project Database'!AO186))</f>
        <v/>
      </c>
      <c r="BW182" s="5">
        <f>IF('Project Database'!A186="","",N('Project Database'!AP186))</f>
        <v/>
      </c>
      <c r="BX182" s="5">
        <f>IF(A182="","",SUM(BJ182:BW182))</f>
        <v/>
      </c>
      <c r="BY182" s="5">
        <f>IF(A182="","",IFERROR(IF(ISNUMBER(U182),U182,VALUE(SUBSTITUTE(SUBSTITUTE(SUBSTITUTE(UPPER(TRIM(U182)),"M",""),",","")," ",""))),0))</f>
        <v/>
      </c>
    </row>
    <row r="183" ht="15" customHeight="1" s="74">
      <c r="A183" s="66">
        <f>'Project Database'!A187</f>
        <v/>
      </c>
      <c r="B183" s="66">
        <f>'Project Database'!B187</f>
        <v/>
      </c>
      <c r="C183" s="66">
        <f>'Project Database'!G187</f>
        <v/>
      </c>
      <c r="D183" s="66">
        <f>'Project Database'!H187</f>
        <v/>
      </c>
      <c r="E183" s="66">
        <f>'Project Database'!I187</f>
        <v/>
      </c>
      <c r="F183" s="66">
        <f>'Project Database'!J187</f>
        <v/>
      </c>
      <c r="G183" s="66">
        <f>'Project Database'!K187</f>
        <v/>
      </c>
      <c r="H183" s="66">
        <f>'Project Database'!L187</f>
        <v/>
      </c>
      <c r="I183" s="66">
        <f>'Project Database'!M187</f>
        <v/>
      </c>
      <c r="J183" s="66">
        <f>'Project Database'!N187</f>
        <v/>
      </c>
      <c r="K183" s="66">
        <f>'Project Database'!O187</f>
        <v/>
      </c>
      <c r="L183" s="66">
        <f>'Project Database'!P187</f>
        <v/>
      </c>
      <c r="M183" s="66">
        <f>'Project Database'!Q187</f>
        <v/>
      </c>
      <c r="N183" s="66">
        <f>'Project Database'!R187</f>
        <v/>
      </c>
      <c r="O183" s="66">
        <f>'Project Database'!S187</f>
        <v/>
      </c>
      <c r="P183" s="66">
        <f>'Project Database'!T187</f>
        <v/>
      </c>
      <c r="Q183" s="66">
        <f>'Project Database'!U187</f>
        <v/>
      </c>
      <c r="R183" s="66">
        <f>'Project Database'!V187</f>
        <v/>
      </c>
      <c r="S183" s="66">
        <f>'Project Database'!W187</f>
        <v/>
      </c>
      <c r="T183" s="66">
        <f>'Project Database'!X187</f>
        <v/>
      </c>
      <c r="U183" s="67">
        <f>'Project Database'!Y187</f>
        <v/>
      </c>
      <c r="V183" s="66">
        <f>IF('Smart Search'!B13=1,IFERROR(1/'Smart Search'!H13,0),0)</f>
        <v/>
      </c>
      <c r="W183" s="66">
        <f>IF('Smart Search'!B13=1,IFERROR(1/'Smart Search'!H13,0),0)</f>
        <v/>
      </c>
      <c r="X183" s="66">
        <f>IF('Smart Search'!C13=1,IFERROR(1/'Smart Search'!H13,0),0)</f>
        <v/>
      </c>
      <c r="Y183" s="66">
        <f>IF('Smart Search'!C13=1,IFERROR(1/'Smart Search'!H13,0),0)</f>
        <v/>
      </c>
      <c r="Z183" s="66">
        <f>IF('Smart Search'!D13=1,IFERROR(1/'Smart Search'!H13,0),0)</f>
        <v/>
      </c>
      <c r="AA183" s="66">
        <f>IF('Smart Search'!D13=1,IFERROR(1/'Smart Search'!H13,0),0)</f>
        <v/>
      </c>
      <c r="AB183" s="66">
        <f>IF('Smart Search'!E13=1,IFERROR(1/'Smart Search'!H13,0),0)</f>
        <v/>
      </c>
      <c r="AC183" s="66">
        <f>IF('Smart Search'!E13=1,IFERROR(1/'Smart Search'!H13,0),0)</f>
        <v/>
      </c>
      <c r="AD183" s="66">
        <f>IF('Smart Search'!F13=1,IFERROR(1/'Smart Search'!H13,0),0)</f>
        <v/>
      </c>
      <c r="AE183" s="66">
        <f>IF('Smart Search'!F13=1,IFERROR(1/'Smart Search'!H13,0),0)</f>
        <v/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66">
        <f>AF183*V183</f>
        <v/>
      </c>
      <c r="AQ183" s="66">
        <f>AG183*W183</f>
        <v/>
      </c>
      <c r="AR183" s="66">
        <f>AH183*X183</f>
        <v/>
      </c>
      <c r="AS183" s="66">
        <f>AI183*Y183</f>
        <v/>
      </c>
      <c r="AT183" s="66">
        <f>AJ183*Z183</f>
        <v/>
      </c>
      <c r="AU183" s="66">
        <f>AK183*AA183</f>
        <v/>
      </c>
      <c r="AV183" s="66">
        <f>AL183*AB183</f>
        <v/>
      </c>
      <c r="AW183" s="66">
        <f>AM183*AC183</f>
        <v/>
      </c>
      <c r="AX183" s="66">
        <f>AN183*AD183</f>
        <v/>
      </c>
      <c r="AY183" s="66">
        <f>AO183*AE183</f>
        <v/>
      </c>
      <c r="AZ183" s="66">
        <f>'Project Database'!Z187</f>
        <v/>
      </c>
      <c r="BA183" s="66">
        <f>IF(OR(A183="",'Smart Search'!H13=0),"",MAX(0,BE183*BF183*MAX(0,1-BG183)))</f>
        <v/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66">
        <f>IF('Smart Search'!G13=1,IFERROR(1/'Smart Search'!H13,0),0)</f>
        <v/>
      </c>
      <c r="BD183" s="66">
        <f>BB183*BC183</f>
        <v/>
      </c>
      <c r="BE183" s="66">
        <f>AP183+AQ183+AR183+AS183+AT183+AU183+AV183+AW183+AX183+AY183+BD183</f>
        <v/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5">
        <f>IF(AND('Project Database'!A187&lt;&gt;"",OR('Smart Search'!$L$5="",'Smart Search'!$L$5="All",TRIM('Project Database'!D187)=TRIM('Smart Search'!$L$5)),OR(TRIM('Smart Search'!$L$6)="",TRIM('Smart Search'!$L$6)="All",ISNUMBER(SEARCH(SUBSTITUTE(SUBSTITUTE(SUBSTITUTE(TRIM('Smart Search'!$L$6),"~","~~"),"*","~*"),"?","~?"),'Project Database'!C187))),OR('Smart Search'!$L$7="",AND('Project Database'!E187&lt;&gt;"",'Project Database'!E187='Smart Search'!$L$7)),OR('Smart Search'!$L$8="",'Smart Search'!$L$8="All",TRIM('Project Database'!F187)=TRIM('Smart Search'!$L$8))),IF(BA183="","",BA183+ROW()*0.0000000001),"")</f>
        <v/>
      </c>
      <c r="BI183" s="5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>
        <f>IF('Project Database'!A187="","",N('Project Database'!AC187))</f>
        <v/>
      </c>
      <c r="BK183" s="5">
        <f>IF('Project Database'!A187="","",N('Project Database'!AD187))</f>
        <v/>
      </c>
      <c r="BL183" s="5">
        <f>IF('Project Database'!A187="","",N('Project Database'!AE187))</f>
        <v/>
      </c>
      <c r="BM183" s="5">
        <f>IF('Project Database'!A187="","",N('Project Database'!AF187))</f>
        <v/>
      </c>
      <c r="BN183" s="5">
        <f>IF('Project Database'!A187="","",N('Project Database'!AG187))</f>
        <v/>
      </c>
      <c r="BO183" s="5">
        <f>IF('Project Database'!A187="","",N('Project Database'!AH187))</f>
        <v/>
      </c>
      <c r="BP183" s="5">
        <f>IF('Project Database'!A187="","",N('Project Database'!AI187))</f>
        <v/>
      </c>
      <c r="BQ183" s="5">
        <f>IF('Project Database'!A187="","",N('Project Database'!AJ187))</f>
        <v/>
      </c>
      <c r="BR183" s="5">
        <f>IF('Project Database'!A187="","",N('Project Database'!AK187))</f>
        <v/>
      </c>
      <c r="BS183" s="5">
        <f>IF('Project Database'!A187="","",N('Project Database'!AL187))</f>
        <v/>
      </c>
      <c r="BT183" s="5">
        <f>IF('Project Database'!A187="","",N('Project Database'!AM187))</f>
        <v/>
      </c>
      <c r="BU183" s="5">
        <f>IF('Project Database'!A187="","",N('Project Database'!AN187))</f>
        <v/>
      </c>
      <c r="BV183" s="5">
        <f>IF('Project Database'!A187="","",N('Project Database'!AO187))</f>
        <v/>
      </c>
      <c r="BW183" s="5">
        <f>IF('Project Database'!A187="","",N('Project Database'!AP187))</f>
        <v/>
      </c>
      <c r="BX183" s="5">
        <f>IF(A183="","",SUM(BJ183:BW183))</f>
        <v/>
      </c>
      <c r="BY183" s="5">
        <f>IF(A183="","",IFERROR(IF(ISNUMBER(U183),U183,VALUE(SUBSTITUTE(SUBSTITUTE(SUBSTITUTE(UPPER(TRIM(U183)),"M",""),",","")," ",""))),0))</f>
        <v/>
      </c>
    </row>
    <row r="184" ht="15" customHeight="1" s="74">
      <c r="A184" s="66">
        <f>'Project Database'!A188</f>
        <v/>
      </c>
      <c r="B184" s="66">
        <f>'Project Database'!B188</f>
        <v/>
      </c>
      <c r="C184" s="66">
        <f>'Project Database'!G188</f>
        <v/>
      </c>
      <c r="D184" s="66">
        <f>'Project Database'!H188</f>
        <v/>
      </c>
      <c r="E184" s="66">
        <f>'Project Database'!I188</f>
        <v/>
      </c>
      <c r="F184" s="66">
        <f>'Project Database'!J188</f>
        <v/>
      </c>
      <c r="G184" s="66">
        <f>'Project Database'!K188</f>
        <v/>
      </c>
      <c r="H184" s="66">
        <f>'Project Database'!L188</f>
        <v/>
      </c>
      <c r="I184" s="66">
        <f>'Project Database'!M188</f>
        <v/>
      </c>
      <c r="J184" s="66">
        <f>'Project Database'!N188</f>
        <v/>
      </c>
      <c r="K184" s="66">
        <f>'Project Database'!O188</f>
        <v/>
      </c>
      <c r="L184" s="66">
        <f>'Project Database'!P188</f>
        <v/>
      </c>
      <c r="M184" s="66">
        <f>'Project Database'!Q188</f>
        <v/>
      </c>
      <c r="N184" s="66">
        <f>'Project Database'!R188</f>
        <v/>
      </c>
      <c r="O184" s="66">
        <f>'Project Database'!S188</f>
        <v/>
      </c>
      <c r="P184" s="66">
        <f>'Project Database'!T188</f>
        <v/>
      </c>
      <c r="Q184" s="66">
        <f>'Project Database'!U188</f>
        <v/>
      </c>
      <c r="R184" s="66">
        <f>'Project Database'!V188</f>
        <v/>
      </c>
      <c r="S184" s="66">
        <f>'Project Database'!W188</f>
        <v/>
      </c>
      <c r="T184" s="66">
        <f>'Project Database'!X188</f>
        <v/>
      </c>
      <c r="U184" s="67">
        <f>'Project Database'!Y188</f>
        <v/>
      </c>
      <c r="V184" s="66">
        <f>IF('Smart Search'!B13=1,IFERROR(1/'Smart Search'!H13,0),0)</f>
        <v/>
      </c>
      <c r="W184" s="66">
        <f>IF('Smart Search'!B13=1,IFERROR(1/'Smart Search'!H13,0),0)</f>
        <v/>
      </c>
      <c r="X184" s="66">
        <f>IF('Smart Search'!C13=1,IFERROR(1/'Smart Search'!H13,0),0)</f>
        <v/>
      </c>
      <c r="Y184" s="66">
        <f>IF('Smart Search'!C13=1,IFERROR(1/'Smart Search'!H13,0),0)</f>
        <v/>
      </c>
      <c r="Z184" s="66">
        <f>IF('Smart Search'!D13=1,IFERROR(1/'Smart Search'!H13,0),0)</f>
        <v/>
      </c>
      <c r="AA184" s="66">
        <f>IF('Smart Search'!D13=1,IFERROR(1/'Smart Search'!H13,0),0)</f>
        <v/>
      </c>
      <c r="AB184" s="66">
        <f>IF('Smart Search'!E13=1,IFERROR(1/'Smart Search'!H13,0),0)</f>
        <v/>
      </c>
      <c r="AC184" s="66">
        <f>IF('Smart Search'!E13=1,IFERROR(1/'Smart Search'!H13,0),0)</f>
        <v/>
      </c>
      <c r="AD184" s="66">
        <f>IF('Smart Search'!F13=1,IFERROR(1/'Smart Search'!H13,0),0)</f>
        <v/>
      </c>
      <c r="AE184" s="66">
        <f>IF('Smart Search'!F13=1,IFERROR(1/'Smart Search'!H13,0),0)</f>
        <v/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66">
        <f>AF184*V184</f>
        <v/>
      </c>
      <c r="AQ184" s="66">
        <f>AG184*W184</f>
        <v/>
      </c>
      <c r="AR184" s="66">
        <f>AH184*X184</f>
        <v/>
      </c>
      <c r="AS184" s="66">
        <f>AI184*Y184</f>
        <v/>
      </c>
      <c r="AT184" s="66">
        <f>AJ184*Z184</f>
        <v/>
      </c>
      <c r="AU184" s="66">
        <f>AK184*AA184</f>
        <v/>
      </c>
      <c r="AV184" s="66">
        <f>AL184*AB184</f>
        <v/>
      </c>
      <c r="AW184" s="66">
        <f>AM184*AC184</f>
        <v/>
      </c>
      <c r="AX184" s="66">
        <f>AN184*AD184</f>
        <v/>
      </c>
      <c r="AY184" s="66">
        <f>AO184*AE184</f>
        <v/>
      </c>
      <c r="AZ184" s="66">
        <f>'Project Database'!Z188</f>
        <v/>
      </c>
      <c r="BA184" s="66">
        <f>IF(OR(A184="",'Smart Search'!H13=0),"",MAX(0,BE184*BF184*MAX(0,1-BG184)))</f>
        <v/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66">
        <f>IF('Smart Search'!G13=1,IFERROR(1/'Smart Search'!H13,0),0)</f>
        <v/>
      </c>
      <c r="BD184" s="66">
        <f>BB184*BC184</f>
        <v/>
      </c>
      <c r="BE184" s="66">
        <f>AP184+AQ184+AR184+AS184+AT184+AU184+AV184+AW184+AX184+AY184+BD184</f>
        <v/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5">
        <f>IF(AND('Project Database'!A188&lt;&gt;"",OR('Smart Search'!$L$5="",'Smart Search'!$L$5="All",TRIM('Project Database'!D188)=TRIM('Smart Search'!$L$5)),OR(TRIM('Smart Search'!$L$6)="",TRIM('Smart Search'!$L$6)="All",ISNUMBER(SEARCH(SUBSTITUTE(SUBSTITUTE(SUBSTITUTE(TRIM('Smart Search'!$L$6),"~","~~"),"*","~*"),"?","~?"),'Project Database'!C188))),OR('Smart Search'!$L$7="",AND('Project Database'!E188&lt;&gt;"",'Project Database'!E188='Smart Search'!$L$7)),OR('Smart Search'!$L$8="",'Smart Search'!$L$8="All",TRIM('Project Database'!F188)=TRIM('Smart Search'!$L$8))),IF(BA184="","",BA184+ROW()*0.0000000001),"")</f>
        <v/>
      </c>
      <c r="BI184" s="5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>
        <f>IF('Project Database'!A188="","",N('Project Database'!AC188))</f>
        <v/>
      </c>
      <c r="BK184" s="5">
        <f>IF('Project Database'!A188="","",N('Project Database'!AD188))</f>
        <v/>
      </c>
      <c r="BL184" s="5">
        <f>IF('Project Database'!A188="","",N('Project Database'!AE188))</f>
        <v/>
      </c>
      <c r="BM184" s="5">
        <f>IF('Project Database'!A188="","",N('Project Database'!AF188))</f>
        <v/>
      </c>
      <c r="BN184" s="5">
        <f>IF('Project Database'!A188="","",N('Project Database'!AG188))</f>
        <v/>
      </c>
      <c r="BO184" s="5">
        <f>IF('Project Database'!A188="","",N('Project Database'!AH188))</f>
        <v/>
      </c>
      <c r="BP184" s="5">
        <f>IF('Project Database'!A188="","",N('Project Database'!AI188))</f>
        <v/>
      </c>
      <c r="BQ184" s="5">
        <f>IF('Project Database'!A188="","",N('Project Database'!AJ188))</f>
        <v/>
      </c>
      <c r="BR184" s="5">
        <f>IF('Project Database'!A188="","",N('Project Database'!AK188))</f>
        <v/>
      </c>
      <c r="BS184" s="5">
        <f>IF('Project Database'!A188="","",N('Project Database'!AL188))</f>
        <v/>
      </c>
      <c r="BT184" s="5">
        <f>IF('Project Database'!A188="","",N('Project Database'!AM188))</f>
        <v/>
      </c>
      <c r="BU184" s="5">
        <f>IF('Project Database'!A188="","",N('Project Database'!AN188))</f>
        <v/>
      </c>
      <c r="BV184" s="5">
        <f>IF('Project Database'!A188="","",N('Project Database'!AO188))</f>
        <v/>
      </c>
      <c r="BW184" s="5">
        <f>IF('Project Database'!A188="","",N('Project Database'!AP188))</f>
        <v/>
      </c>
      <c r="BX184" s="5">
        <f>IF(A184="","",SUM(BJ184:BW184))</f>
        <v/>
      </c>
      <c r="BY184" s="5">
        <f>IF(A184="","",IFERROR(IF(ISNUMBER(U184),U184,VALUE(SUBSTITUTE(SUBSTITUTE(SUBSTITUTE(UPPER(TRIM(U184)),"M",""),",","")," ",""))),0))</f>
        <v/>
      </c>
    </row>
    <row r="185" ht="15" customHeight="1" s="74">
      <c r="A185" s="66">
        <f>'Project Database'!A189</f>
        <v/>
      </c>
      <c r="B185" s="66">
        <f>'Project Database'!B189</f>
        <v/>
      </c>
      <c r="C185" s="66">
        <f>'Project Database'!G189</f>
        <v/>
      </c>
      <c r="D185" s="66">
        <f>'Project Database'!H189</f>
        <v/>
      </c>
      <c r="E185" s="66">
        <f>'Project Database'!I189</f>
        <v/>
      </c>
      <c r="F185" s="66">
        <f>'Project Database'!J189</f>
        <v/>
      </c>
      <c r="G185" s="66">
        <f>'Project Database'!K189</f>
        <v/>
      </c>
      <c r="H185" s="66">
        <f>'Project Database'!L189</f>
        <v/>
      </c>
      <c r="I185" s="66">
        <f>'Project Database'!M189</f>
        <v/>
      </c>
      <c r="J185" s="66">
        <f>'Project Database'!N189</f>
        <v/>
      </c>
      <c r="K185" s="66">
        <f>'Project Database'!O189</f>
        <v/>
      </c>
      <c r="L185" s="66">
        <f>'Project Database'!P189</f>
        <v/>
      </c>
      <c r="M185" s="66">
        <f>'Project Database'!Q189</f>
        <v/>
      </c>
      <c r="N185" s="66">
        <f>'Project Database'!R189</f>
        <v/>
      </c>
      <c r="O185" s="66">
        <f>'Project Database'!S189</f>
        <v/>
      </c>
      <c r="P185" s="66">
        <f>'Project Database'!T189</f>
        <v/>
      </c>
      <c r="Q185" s="66">
        <f>'Project Database'!U189</f>
        <v/>
      </c>
      <c r="R185" s="66">
        <f>'Project Database'!V189</f>
        <v/>
      </c>
      <c r="S185" s="66">
        <f>'Project Database'!W189</f>
        <v/>
      </c>
      <c r="T185" s="66">
        <f>'Project Database'!X189</f>
        <v/>
      </c>
      <c r="U185" s="67">
        <f>'Project Database'!Y189</f>
        <v/>
      </c>
      <c r="V185" s="66">
        <f>IF('Smart Search'!B13=1,IFERROR(1/'Smart Search'!H13,0),0)</f>
        <v/>
      </c>
      <c r="W185" s="66">
        <f>IF('Smart Search'!B13=1,IFERROR(1/'Smart Search'!H13,0),0)</f>
        <v/>
      </c>
      <c r="X185" s="66">
        <f>IF('Smart Search'!C13=1,IFERROR(1/'Smart Search'!H13,0),0)</f>
        <v/>
      </c>
      <c r="Y185" s="66">
        <f>IF('Smart Search'!C13=1,IFERROR(1/'Smart Search'!H13,0),0)</f>
        <v/>
      </c>
      <c r="Z185" s="66">
        <f>IF('Smart Search'!D13=1,IFERROR(1/'Smart Search'!H13,0),0)</f>
        <v/>
      </c>
      <c r="AA185" s="66">
        <f>IF('Smart Search'!D13=1,IFERROR(1/'Smart Search'!H13,0),0)</f>
        <v/>
      </c>
      <c r="AB185" s="66">
        <f>IF('Smart Search'!E13=1,IFERROR(1/'Smart Search'!H13,0),0)</f>
        <v/>
      </c>
      <c r="AC185" s="66">
        <f>IF('Smart Search'!E13=1,IFERROR(1/'Smart Search'!H13,0),0)</f>
        <v/>
      </c>
      <c r="AD185" s="66">
        <f>IF('Smart Search'!F13=1,IFERROR(1/'Smart Search'!H13,0),0)</f>
        <v/>
      </c>
      <c r="AE185" s="66">
        <f>IF('Smart Search'!F13=1,IFERROR(1/'Smart Search'!H13,0),0)</f>
        <v/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66">
        <f>AF185*V185</f>
        <v/>
      </c>
      <c r="AQ185" s="66">
        <f>AG185*W185</f>
        <v/>
      </c>
      <c r="AR185" s="66">
        <f>AH185*X185</f>
        <v/>
      </c>
      <c r="AS185" s="66">
        <f>AI185*Y185</f>
        <v/>
      </c>
      <c r="AT185" s="66">
        <f>AJ185*Z185</f>
        <v/>
      </c>
      <c r="AU185" s="66">
        <f>AK185*AA185</f>
        <v/>
      </c>
      <c r="AV185" s="66">
        <f>AL185*AB185</f>
        <v/>
      </c>
      <c r="AW185" s="66">
        <f>AM185*AC185</f>
        <v/>
      </c>
      <c r="AX185" s="66">
        <f>AN185*AD185</f>
        <v/>
      </c>
      <c r="AY185" s="66">
        <f>AO185*AE185</f>
        <v/>
      </c>
      <c r="AZ185" s="66">
        <f>'Project Database'!Z189</f>
        <v/>
      </c>
      <c r="BA185" s="66">
        <f>IF(OR(A185="",'Smart Search'!H13=0),"",MAX(0,BE185*BF185*MAX(0,1-BG185)))</f>
        <v/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66">
        <f>IF('Smart Search'!G13=1,IFERROR(1/'Smart Search'!H13,0),0)</f>
        <v/>
      </c>
      <c r="BD185" s="66">
        <f>BB185*BC185</f>
        <v/>
      </c>
      <c r="BE185" s="66">
        <f>AP185+AQ185+AR185+AS185+AT185+AU185+AV185+AW185+AX185+AY185+BD185</f>
        <v/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5">
        <f>IF(AND('Project Database'!A189&lt;&gt;"",OR('Smart Search'!$L$5="",'Smart Search'!$L$5="All",TRIM('Project Database'!D189)=TRIM('Smart Search'!$L$5)),OR(TRIM('Smart Search'!$L$6)="",TRIM('Smart Search'!$L$6)="All",ISNUMBER(SEARCH(SUBSTITUTE(SUBSTITUTE(SUBSTITUTE(TRIM('Smart Search'!$L$6),"~","~~"),"*","~*"),"?","~?"),'Project Database'!C189))),OR('Smart Search'!$L$7="",AND('Project Database'!E189&lt;&gt;"",'Project Database'!E189='Smart Search'!$L$7)),OR('Smart Search'!$L$8="",'Smart Search'!$L$8="All",TRIM('Project Database'!F189)=TRIM('Smart Search'!$L$8))),IF(BA185="","",BA185+ROW()*0.0000000001),"")</f>
        <v/>
      </c>
      <c r="BI185" s="5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>
        <f>IF('Project Database'!A189="","",N('Project Database'!AC189))</f>
        <v/>
      </c>
      <c r="BK185" s="5">
        <f>IF('Project Database'!A189="","",N('Project Database'!AD189))</f>
        <v/>
      </c>
      <c r="BL185" s="5">
        <f>IF('Project Database'!A189="","",N('Project Database'!AE189))</f>
        <v/>
      </c>
      <c r="BM185" s="5">
        <f>IF('Project Database'!A189="","",N('Project Database'!AF189))</f>
        <v/>
      </c>
      <c r="BN185" s="5">
        <f>IF('Project Database'!A189="","",N('Project Database'!AG189))</f>
        <v/>
      </c>
      <c r="BO185" s="5">
        <f>IF('Project Database'!A189="","",N('Project Database'!AH189))</f>
        <v/>
      </c>
      <c r="BP185" s="5">
        <f>IF('Project Database'!A189="","",N('Project Database'!AI189))</f>
        <v/>
      </c>
      <c r="BQ185" s="5">
        <f>IF('Project Database'!A189="","",N('Project Database'!AJ189))</f>
        <v/>
      </c>
      <c r="BR185" s="5">
        <f>IF('Project Database'!A189="","",N('Project Database'!AK189))</f>
        <v/>
      </c>
      <c r="BS185" s="5">
        <f>IF('Project Database'!A189="","",N('Project Database'!AL189))</f>
        <v/>
      </c>
      <c r="BT185" s="5">
        <f>IF('Project Database'!A189="","",N('Project Database'!AM189))</f>
        <v/>
      </c>
      <c r="BU185" s="5">
        <f>IF('Project Database'!A189="","",N('Project Database'!AN189))</f>
        <v/>
      </c>
      <c r="BV185" s="5">
        <f>IF('Project Database'!A189="","",N('Project Database'!AO189))</f>
        <v/>
      </c>
      <c r="BW185" s="5">
        <f>IF('Project Database'!A189="","",N('Project Database'!AP189))</f>
        <v/>
      </c>
      <c r="BX185" s="5">
        <f>IF(A185="","",SUM(BJ185:BW185))</f>
        <v/>
      </c>
      <c r="BY185" s="5">
        <f>IF(A185="","",IFERROR(IF(ISNUMBER(U185),U185,VALUE(SUBSTITUTE(SUBSTITUTE(SUBSTITUTE(UPPER(TRIM(U185)),"M",""),",","")," ",""))),0))</f>
        <v/>
      </c>
    </row>
    <row r="186" ht="15" customHeight="1" s="74">
      <c r="A186" s="66">
        <f>'Project Database'!A190</f>
        <v/>
      </c>
      <c r="B186" s="66">
        <f>'Project Database'!B190</f>
        <v/>
      </c>
      <c r="C186" s="66">
        <f>'Project Database'!G190</f>
        <v/>
      </c>
      <c r="D186" s="66">
        <f>'Project Database'!H190</f>
        <v/>
      </c>
      <c r="E186" s="66">
        <f>'Project Database'!I190</f>
        <v/>
      </c>
      <c r="F186" s="66">
        <f>'Project Database'!J190</f>
        <v/>
      </c>
      <c r="G186" s="66">
        <f>'Project Database'!K190</f>
        <v/>
      </c>
      <c r="H186" s="66">
        <f>'Project Database'!L190</f>
        <v/>
      </c>
      <c r="I186" s="66">
        <f>'Project Database'!M190</f>
        <v/>
      </c>
      <c r="J186" s="66">
        <f>'Project Database'!N190</f>
        <v/>
      </c>
      <c r="K186" s="66">
        <f>'Project Database'!O190</f>
        <v/>
      </c>
      <c r="L186" s="66">
        <f>'Project Database'!P190</f>
        <v/>
      </c>
      <c r="M186" s="66">
        <f>'Project Database'!Q190</f>
        <v/>
      </c>
      <c r="N186" s="66">
        <f>'Project Database'!R190</f>
        <v/>
      </c>
      <c r="O186" s="66">
        <f>'Project Database'!S190</f>
        <v/>
      </c>
      <c r="P186" s="66">
        <f>'Project Database'!T190</f>
        <v/>
      </c>
      <c r="Q186" s="66">
        <f>'Project Database'!U190</f>
        <v/>
      </c>
      <c r="R186" s="66">
        <f>'Project Database'!V190</f>
        <v/>
      </c>
      <c r="S186" s="66">
        <f>'Project Database'!W190</f>
        <v/>
      </c>
      <c r="T186" s="66">
        <f>'Project Database'!X190</f>
        <v/>
      </c>
      <c r="U186" s="67">
        <f>'Project Database'!Y190</f>
        <v/>
      </c>
      <c r="V186" s="66">
        <f>IF('Smart Search'!B13=1,IFERROR(1/'Smart Search'!H13,0),0)</f>
        <v/>
      </c>
      <c r="W186" s="66">
        <f>IF('Smart Search'!B13=1,IFERROR(1/'Smart Search'!H13,0),0)</f>
        <v/>
      </c>
      <c r="X186" s="66">
        <f>IF('Smart Search'!C13=1,IFERROR(1/'Smart Search'!H13,0),0)</f>
        <v/>
      </c>
      <c r="Y186" s="66">
        <f>IF('Smart Search'!C13=1,IFERROR(1/'Smart Search'!H13,0),0)</f>
        <v/>
      </c>
      <c r="Z186" s="66">
        <f>IF('Smart Search'!D13=1,IFERROR(1/'Smart Search'!H13,0),0)</f>
        <v/>
      </c>
      <c r="AA186" s="66">
        <f>IF('Smart Search'!D13=1,IFERROR(1/'Smart Search'!H13,0),0)</f>
        <v/>
      </c>
      <c r="AB186" s="66">
        <f>IF('Smart Search'!E13=1,IFERROR(1/'Smart Search'!H13,0),0)</f>
        <v/>
      </c>
      <c r="AC186" s="66">
        <f>IF('Smart Search'!E13=1,IFERROR(1/'Smart Search'!H13,0),0)</f>
        <v/>
      </c>
      <c r="AD186" s="66">
        <f>IF('Smart Search'!F13=1,IFERROR(1/'Smart Search'!H13,0),0)</f>
        <v/>
      </c>
      <c r="AE186" s="66">
        <f>IF('Smart Search'!F13=1,IFERROR(1/'Smart Search'!H13,0),0)</f>
        <v/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66">
        <f>AF186*V186</f>
        <v/>
      </c>
      <c r="AQ186" s="66">
        <f>AG186*W186</f>
        <v/>
      </c>
      <c r="AR186" s="66">
        <f>AH186*X186</f>
        <v/>
      </c>
      <c r="AS186" s="66">
        <f>AI186*Y186</f>
        <v/>
      </c>
      <c r="AT186" s="66">
        <f>AJ186*Z186</f>
        <v/>
      </c>
      <c r="AU186" s="66">
        <f>AK186*AA186</f>
        <v/>
      </c>
      <c r="AV186" s="66">
        <f>AL186*AB186</f>
        <v/>
      </c>
      <c r="AW186" s="66">
        <f>AM186*AC186</f>
        <v/>
      </c>
      <c r="AX186" s="66">
        <f>AN186*AD186</f>
        <v/>
      </c>
      <c r="AY186" s="66">
        <f>AO186*AE186</f>
        <v/>
      </c>
      <c r="AZ186" s="66">
        <f>'Project Database'!Z190</f>
        <v/>
      </c>
      <c r="BA186" s="66">
        <f>IF(OR(A186="",'Smart Search'!H13=0),"",MAX(0,BE186*BF186*MAX(0,1-BG186)))</f>
        <v/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66">
        <f>IF('Smart Search'!G13=1,IFERROR(1/'Smart Search'!H13,0),0)</f>
        <v/>
      </c>
      <c r="BD186" s="66">
        <f>BB186*BC186</f>
        <v/>
      </c>
      <c r="BE186" s="66">
        <f>AP186+AQ186+AR186+AS186+AT186+AU186+AV186+AW186+AX186+AY186+BD186</f>
        <v/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5">
        <f>IF(AND('Project Database'!A190&lt;&gt;"",OR('Smart Search'!$L$5="",'Smart Search'!$L$5="All",TRIM('Project Database'!D190)=TRIM('Smart Search'!$L$5)),OR(TRIM('Smart Search'!$L$6)="",TRIM('Smart Search'!$L$6)="All",ISNUMBER(SEARCH(SUBSTITUTE(SUBSTITUTE(SUBSTITUTE(TRIM('Smart Search'!$L$6),"~","~~"),"*","~*"),"?","~?"),'Project Database'!C190))),OR('Smart Search'!$L$7="",AND('Project Database'!E190&lt;&gt;"",'Project Database'!E190='Smart Search'!$L$7)),OR('Smart Search'!$L$8="",'Smart Search'!$L$8="All",TRIM('Project Database'!F190)=TRIM('Smart Search'!$L$8))),IF(BA186="","",BA186+ROW()*0.0000000001),"")</f>
        <v/>
      </c>
      <c r="BI186" s="5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>
        <f>IF('Project Database'!A190="","",N('Project Database'!AC190))</f>
        <v/>
      </c>
      <c r="BK186" s="5">
        <f>IF('Project Database'!A190="","",N('Project Database'!AD190))</f>
        <v/>
      </c>
      <c r="BL186" s="5">
        <f>IF('Project Database'!A190="","",N('Project Database'!AE190))</f>
        <v/>
      </c>
      <c r="BM186" s="5">
        <f>IF('Project Database'!A190="","",N('Project Database'!AF190))</f>
        <v/>
      </c>
      <c r="BN186" s="5">
        <f>IF('Project Database'!A190="","",N('Project Database'!AG190))</f>
        <v/>
      </c>
      <c r="BO186" s="5">
        <f>IF('Project Database'!A190="","",N('Project Database'!AH190))</f>
        <v/>
      </c>
      <c r="BP186" s="5">
        <f>IF('Project Database'!A190="","",N('Project Database'!AI190))</f>
        <v/>
      </c>
      <c r="BQ186" s="5">
        <f>IF('Project Database'!A190="","",N('Project Database'!AJ190))</f>
        <v/>
      </c>
      <c r="BR186" s="5">
        <f>IF('Project Database'!A190="","",N('Project Database'!AK190))</f>
        <v/>
      </c>
      <c r="BS186" s="5">
        <f>IF('Project Database'!A190="","",N('Project Database'!AL190))</f>
        <v/>
      </c>
      <c r="BT186" s="5">
        <f>IF('Project Database'!A190="","",N('Project Database'!AM190))</f>
        <v/>
      </c>
      <c r="BU186" s="5">
        <f>IF('Project Database'!A190="","",N('Project Database'!AN190))</f>
        <v/>
      </c>
      <c r="BV186" s="5">
        <f>IF('Project Database'!A190="","",N('Project Database'!AO190))</f>
        <v/>
      </c>
      <c r="BW186" s="5">
        <f>IF('Project Database'!A190="","",N('Project Database'!AP190))</f>
        <v/>
      </c>
      <c r="BX186" s="5">
        <f>IF(A186="","",SUM(BJ186:BW186))</f>
        <v/>
      </c>
      <c r="BY186" s="5">
        <f>IF(A186="","",IFERROR(IF(ISNUMBER(U186),U186,VALUE(SUBSTITUTE(SUBSTITUTE(SUBSTITUTE(UPPER(TRIM(U186)),"M",""),",","")," ",""))),0))</f>
        <v/>
      </c>
    </row>
    <row r="187" ht="15" customHeight="1" s="74">
      <c r="A187" s="66">
        <f>'Project Database'!A191</f>
        <v/>
      </c>
      <c r="B187" s="66">
        <f>'Project Database'!B191</f>
        <v/>
      </c>
      <c r="C187" s="66">
        <f>'Project Database'!G191</f>
        <v/>
      </c>
      <c r="D187" s="66">
        <f>'Project Database'!H191</f>
        <v/>
      </c>
      <c r="E187" s="66">
        <f>'Project Database'!I191</f>
        <v/>
      </c>
      <c r="F187" s="66">
        <f>'Project Database'!J191</f>
        <v/>
      </c>
      <c r="G187" s="66">
        <f>'Project Database'!K191</f>
        <v/>
      </c>
      <c r="H187" s="66">
        <f>'Project Database'!L191</f>
        <v/>
      </c>
      <c r="I187" s="66">
        <f>'Project Database'!M191</f>
        <v/>
      </c>
      <c r="J187" s="66">
        <f>'Project Database'!N191</f>
        <v/>
      </c>
      <c r="K187" s="66">
        <f>'Project Database'!O191</f>
        <v/>
      </c>
      <c r="L187" s="66">
        <f>'Project Database'!P191</f>
        <v/>
      </c>
      <c r="M187" s="66">
        <f>'Project Database'!Q191</f>
        <v/>
      </c>
      <c r="N187" s="66">
        <f>'Project Database'!R191</f>
        <v/>
      </c>
      <c r="O187" s="66">
        <f>'Project Database'!S191</f>
        <v/>
      </c>
      <c r="P187" s="66">
        <f>'Project Database'!T191</f>
        <v/>
      </c>
      <c r="Q187" s="66">
        <f>'Project Database'!U191</f>
        <v/>
      </c>
      <c r="R187" s="66">
        <f>'Project Database'!V191</f>
        <v/>
      </c>
      <c r="S187" s="66">
        <f>'Project Database'!W191</f>
        <v/>
      </c>
      <c r="T187" s="66">
        <f>'Project Database'!X191</f>
        <v/>
      </c>
      <c r="U187" s="67">
        <f>'Project Database'!Y191</f>
        <v/>
      </c>
      <c r="V187" s="66">
        <f>IF('Smart Search'!B13=1,IFERROR(1/'Smart Search'!H13,0),0)</f>
        <v/>
      </c>
      <c r="W187" s="66">
        <f>IF('Smart Search'!B13=1,IFERROR(1/'Smart Search'!H13,0),0)</f>
        <v/>
      </c>
      <c r="X187" s="66">
        <f>IF('Smart Search'!C13=1,IFERROR(1/'Smart Search'!H13,0),0)</f>
        <v/>
      </c>
      <c r="Y187" s="66">
        <f>IF('Smart Search'!C13=1,IFERROR(1/'Smart Search'!H13,0),0)</f>
        <v/>
      </c>
      <c r="Z187" s="66">
        <f>IF('Smart Search'!D13=1,IFERROR(1/'Smart Search'!H13,0),0)</f>
        <v/>
      </c>
      <c r="AA187" s="66">
        <f>IF('Smart Search'!D13=1,IFERROR(1/'Smart Search'!H13,0),0)</f>
        <v/>
      </c>
      <c r="AB187" s="66">
        <f>IF('Smart Search'!E13=1,IFERROR(1/'Smart Search'!H13,0),0)</f>
        <v/>
      </c>
      <c r="AC187" s="66">
        <f>IF('Smart Search'!E13=1,IFERROR(1/'Smart Search'!H13,0),0)</f>
        <v/>
      </c>
      <c r="AD187" s="66">
        <f>IF('Smart Search'!F13=1,IFERROR(1/'Smart Search'!H13,0),0)</f>
        <v/>
      </c>
      <c r="AE187" s="66">
        <f>IF('Smart Search'!F13=1,IFERROR(1/'Smart Search'!H13,0),0)</f>
        <v/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66">
        <f>AF187*V187</f>
        <v/>
      </c>
      <c r="AQ187" s="66">
        <f>AG187*W187</f>
        <v/>
      </c>
      <c r="AR187" s="66">
        <f>AH187*X187</f>
        <v/>
      </c>
      <c r="AS187" s="66">
        <f>AI187*Y187</f>
        <v/>
      </c>
      <c r="AT187" s="66">
        <f>AJ187*Z187</f>
        <v/>
      </c>
      <c r="AU187" s="66">
        <f>AK187*AA187</f>
        <v/>
      </c>
      <c r="AV187" s="66">
        <f>AL187*AB187</f>
        <v/>
      </c>
      <c r="AW187" s="66">
        <f>AM187*AC187</f>
        <v/>
      </c>
      <c r="AX187" s="66">
        <f>AN187*AD187</f>
        <v/>
      </c>
      <c r="AY187" s="66">
        <f>AO187*AE187</f>
        <v/>
      </c>
      <c r="AZ187" s="66">
        <f>'Project Database'!Z191</f>
        <v/>
      </c>
      <c r="BA187" s="66">
        <f>IF(OR(A187="",'Smart Search'!H13=0),"",MAX(0,BE187*BF187*MAX(0,1-BG187)))</f>
        <v/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66">
        <f>IF('Smart Search'!G13=1,IFERROR(1/'Smart Search'!H13,0),0)</f>
        <v/>
      </c>
      <c r="BD187" s="66">
        <f>BB187*BC187</f>
        <v/>
      </c>
      <c r="BE187" s="66">
        <f>AP187+AQ187+AR187+AS187+AT187+AU187+AV187+AW187+AX187+AY187+BD187</f>
        <v/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5">
        <f>IF(AND('Project Database'!A191&lt;&gt;"",OR('Smart Search'!$L$5="",'Smart Search'!$L$5="All",TRIM('Project Database'!D191)=TRIM('Smart Search'!$L$5)),OR(TRIM('Smart Search'!$L$6)="",TRIM('Smart Search'!$L$6)="All",ISNUMBER(SEARCH(SUBSTITUTE(SUBSTITUTE(SUBSTITUTE(TRIM('Smart Search'!$L$6),"~","~~"),"*","~*"),"?","~?"),'Project Database'!C191))),OR('Smart Search'!$L$7="",AND('Project Database'!E191&lt;&gt;"",'Project Database'!E191='Smart Search'!$L$7)),OR('Smart Search'!$L$8="",'Smart Search'!$L$8="All",TRIM('Project Database'!F191)=TRIM('Smart Search'!$L$8))),IF(BA187="","",BA187+ROW()*0.0000000001),"")</f>
        <v/>
      </c>
      <c r="BI187" s="5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>
        <f>IF('Project Database'!A191="","",N('Project Database'!AC191))</f>
        <v/>
      </c>
      <c r="BK187" s="5">
        <f>IF('Project Database'!A191="","",N('Project Database'!AD191))</f>
        <v/>
      </c>
      <c r="BL187" s="5">
        <f>IF('Project Database'!A191="","",N('Project Database'!AE191))</f>
        <v/>
      </c>
      <c r="BM187" s="5">
        <f>IF('Project Database'!A191="","",N('Project Database'!AF191))</f>
        <v/>
      </c>
      <c r="BN187" s="5">
        <f>IF('Project Database'!A191="","",N('Project Database'!AG191))</f>
        <v/>
      </c>
      <c r="BO187" s="5">
        <f>IF('Project Database'!A191="","",N('Project Database'!AH191))</f>
        <v/>
      </c>
      <c r="BP187" s="5">
        <f>IF('Project Database'!A191="","",N('Project Database'!AI191))</f>
        <v/>
      </c>
      <c r="BQ187" s="5">
        <f>IF('Project Database'!A191="","",N('Project Database'!AJ191))</f>
        <v/>
      </c>
      <c r="BR187" s="5">
        <f>IF('Project Database'!A191="","",N('Project Database'!AK191))</f>
        <v/>
      </c>
      <c r="BS187" s="5">
        <f>IF('Project Database'!A191="","",N('Project Database'!AL191))</f>
        <v/>
      </c>
      <c r="BT187" s="5">
        <f>IF('Project Database'!A191="","",N('Project Database'!AM191))</f>
        <v/>
      </c>
      <c r="BU187" s="5">
        <f>IF('Project Database'!A191="","",N('Project Database'!AN191))</f>
        <v/>
      </c>
      <c r="BV187" s="5">
        <f>IF('Project Database'!A191="","",N('Project Database'!AO191))</f>
        <v/>
      </c>
      <c r="BW187" s="5">
        <f>IF('Project Database'!A191="","",N('Project Database'!AP191))</f>
        <v/>
      </c>
      <c r="BX187" s="5">
        <f>IF(A187="","",SUM(BJ187:BW187))</f>
        <v/>
      </c>
      <c r="BY187" s="5">
        <f>IF(A187="","",IFERROR(IF(ISNUMBER(U187),U187,VALUE(SUBSTITUTE(SUBSTITUTE(SUBSTITUTE(UPPER(TRIM(U187)),"M",""),",","")," ",""))),0))</f>
        <v/>
      </c>
    </row>
    <row r="188" ht="15" customHeight="1" s="74">
      <c r="A188" s="66">
        <f>'Project Database'!A192</f>
        <v/>
      </c>
      <c r="B188" s="66">
        <f>'Project Database'!B192</f>
        <v/>
      </c>
      <c r="C188" s="66">
        <f>'Project Database'!G192</f>
        <v/>
      </c>
      <c r="D188" s="66">
        <f>'Project Database'!H192</f>
        <v/>
      </c>
      <c r="E188" s="66">
        <f>'Project Database'!I192</f>
        <v/>
      </c>
      <c r="F188" s="66">
        <f>'Project Database'!J192</f>
        <v/>
      </c>
      <c r="G188" s="66">
        <f>'Project Database'!K192</f>
        <v/>
      </c>
      <c r="H188" s="66">
        <f>'Project Database'!L192</f>
        <v/>
      </c>
      <c r="I188" s="66">
        <f>'Project Database'!M192</f>
        <v/>
      </c>
      <c r="J188" s="66">
        <f>'Project Database'!N192</f>
        <v/>
      </c>
      <c r="K188" s="66">
        <f>'Project Database'!O192</f>
        <v/>
      </c>
      <c r="L188" s="66">
        <f>'Project Database'!P192</f>
        <v/>
      </c>
      <c r="M188" s="66">
        <f>'Project Database'!Q192</f>
        <v/>
      </c>
      <c r="N188" s="66">
        <f>'Project Database'!R192</f>
        <v/>
      </c>
      <c r="O188" s="66">
        <f>'Project Database'!S192</f>
        <v/>
      </c>
      <c r="P188" s="66">
        <f>'Project Database'!T192</f>
        <v/>
      </c>
      <c r="Q188" s="66">
        <f>'Project Database'!U192</f>
        <v/>
      </c>
      <c r="R188" s="66">
        <f>'Project Database'!V192</f>
        <v/>
      </c>
      <c r="S188" s="66">
        <f>'Project Database'!W192</f>
        <v/>
      </c>
      <c r="T188" s="66">
        <f>'Project Database'!X192</f>
        <v/>
      </c>
      <c r="U188" s="67">
        <f>'Project Database'!Y192</f>
        <v/>
      </c>
      <c r="V188" s="66">
        <f>IF('Smart Search'!B13=1,IFERROR(1/'Smart Search'!H13,0),0)</f>
        <v/>
      </c>
      <c r="W188" s="66">
        <f>IF('Smart Search'!B13=1,IFERROR(1/'Smart Search'!H13,0),0)</f>
        <v/>
      </c>
      <c r="X188" s="66">
        <f>IF('Smart Search'!C13=1,IFERROR(1/'Smart Search'!H13,0),0)</f>
        <v/>
      </c>
      <c r="Y188" s="66">
        <f>IF('Smart Search'!C13=1,IFERROR(1/'Smart Search'!H13,0),0)</f>
        <v/>
      </c>
      <c r="Z188" s="66">
        <f>IF('Smart Search'!D13=1,IFERROR(1/'Smart Search'!H13,0),0)</f>
        <v/>
      </c>
      <c r="AA188" s="66">
        <f>IF('Smart Search'!D13=1,IFERROR(1/'Smart Search'!H13,0),0)</f>
        <v/>
      </c>
      <c r="AB188" s="66">
        <f>IF('Smart Search'!E13=1,IFERROR(1/'Smart Search'!H13,0),0)</f>
        <v/>
      </c>
      <c r="AC188" s="66">
        <f>IF('Smart Search'!E13=1,IFERROR(1/'Smart Search'!H13,0),0)</f>
        <v/>
      </c>
      <c r="AD188" s="66">
        <f>IF('Smart Search'!F13=1,IFERROR(1/'Smart Search'!H13,0),0)</f>
        <v/>
      </c>
      <c r="AE188" s="66">
        <f>IF('Smart Search'!F13=1,IFERROR(1/'Smart Search'!H13,0),0)</f>
        <v/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66">
        <f>AF188*V188</f>
        <v/>
      </c>
      <c r="AQ188" s="66">
        <f>AG188*W188</f>
        <v/>
      </c>
      <c r="AR188" s="66">
        <f>AH188*X188</f>
        <v/>
      </c>
      <c r="AS188" s="66">
        <f>AI188*Y188</f>
        <v/>
      </c>
      <c r="AT188" s="66">
        <f>AJ188*Z188</f>
        <v/>
      </c>
      <c r="AU188" s="66">
        <f>AK188*AA188</f>
        <v/>
      </c>
      <c r="AV188" s="66">
        <f>AL188*AB188</f>
        <v/>
      </c>
      <c r="AW188" s="66">
        <f>AM188*AC188</f>
        <v/>
      </c>
      <c r="AX188" s="66">
        <f>AN188*AD188</f>
        <v/>
      </c>
      <c r="AY188" s="66">
        <f>AO188*AE188</f>
        <v/>
      </c>
      <c r="AZ188" s="66">
        <f>'Project Database'!Z192</f>
        <v/>
      </c>
      <c r="BA188" s="66">
        <f>IF(OR(A188="",'Smart Search'!H13=0),"",MAX(0,BE188*BF188*MAX(0,1-BG188)))</f>
        <v/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66">
        <f>IF('Smart Search'!G13=1,IFERROR(1/'Smart Search'!H13,0),0)</f>
        <v/>
      </c>
      <c r="BD188" s="66">
        <f>BB188*BC188</f>
        <v/>
      </c>
      <c r="BE188" s="66">
        <f>AP188+AQ188+AR188+AS188+AT188+AU188+AV188+AW188+AX188+AY188+BD188</f>
        <v/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5">
        <f>IF(AND('Project Database'!A192&lt;&gt;"",OR('Smart Search'!$L$5="",'Smart Search'!$L$5="All",TRIM('Project Database'!D192)=TRIM('Smart Search'!$L$5)),OR(TRIM('Smart Search'!$L$6)="",TRIM('Smart Search'!$L$6)="All",ISNUMBER(SEARCH(SUBSTITUTE(SUBSTITUTE(SUBSTITUTE(TRIM('Smart Search'!$L$6),"~","~~"),"*","~*"),"?","~?"),'Project Database'!C192))),OR('Smart Search'!$L$7="",AND('Project Database'!E192&lt;&gt;"",'Project Database'!E192='Smart Search'!$L$7)),OR('Smart Search'!$L$8="",'Smart Search'!$L$8="All",TRIM('Project Database'!F192)=TRIM('Smart Search'!$L$8))),IF(BA188="","",BA188+ROW()*0.0000000001),"")</f>
        <v/>
      </c>
      <c r="BI188" s="5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>
        <f>IF('Project Database'!A192="","",N('Project Database'!AC192))</f>
        <v/>
      </c>
      <c r="BK188" s="5">
        <f>IF('Project Database'!A192="","",N('Project Database'!AD192))</f>
        <v/>
      </c>
      <c r="BL188" s="5">
        <f>IF('Project Database'!A192="","",N('Project Database'!AE192))</f>
        <v/>
      </c>
      <c r="BM188" s="5">
        <f>IF('Project Database'!A192="","",N('Project Database'!AF192))</f>
        <v/>
      </c>
      <c r="BN188" s="5">
        <f>IF('Project Database'!A192="","",N('Project Database'!AG192))</f>
        <v/>
      </c>
      <c r="BO188" s="5">
        <f>IF('Project Database'!A192="","",N('Project Database'!AH192))</f>
        <v/>
      </c>
      <c r="BP188" s="5">
        <f>IF('Project Database'!A192="","",N('Project Database'!AI192))</f>
        <v/>
      </c>
      <c r="BQ188" s="5">
        <f>IF('Project Database'!A192="","",N('Project Database'!AJ192))</f>
        <v/>
      </c>
      <c r="BR188" s="5">
        <f>IF('Project Database'!A192="","",N('Project Database'!AK192))</f>
        <v/>
      </c>
      <c r="BS188" s="5">
        <f>IF('Project Database'!A192="","",N('Project Database'!AL192))</f>
        <v/>
      </c>
      <c r="BT188" s="5">
        <f>IF('Project Database'!A192="","",N('Project Database'!AM192))</f>
        <v/>
      </c>
      <c r="BU188" s="5">
        <f>IF('Project Database'!A192="","",N('Project Database'!AN192))</f>
        <v/>
      </c>
      <c r="BV188" s="5">
        <f>IF('Project Database'!A192="","",N('Project Database'!AO192))</f>
        <v/>
      </c>
      <c r="BW188" s="5">
        <f>IF('Project Database'!A192="","",N('Project Database'!AP192))</f>
        <v/>
      </c>
      <c r="BX188" s="5">
        <f>IF(A188="","",SUM(BJ188:BW188))</f>
        <v/>
      </c>
      <c r="BY188" s="5">
        <f>IF(A188="","",IFERROR(IF(ISNUMBER(U188),U188,VALUE(SUBSTITUTE(SUBSTITUTE(SUBSTITUTE(UPPER(TRIM(U188)),"M",""),",","")," ",""))),0))</f>
        <v/>
      </c>
    </row>
    <row r="189" ht="15" customHeight="1" s="74">
      <c r="A189" s="66">
        <f>'Project Database'!A193</f>
        <v/>
      </c>
      <c r="B189" s="66">
        <f>'Project Database'!B193</f>
        <v/>
      </c>
      <c r="C189" s="66">
        <f>'Project Database'!G193</f>
        <v/>
      </c>
      <c r="D189" s="66">
        <f>'Project Database'!H193</f>
        <v/>
      </c>
      <c r="E189" s="66">
        <f>'Project Database'!I193</f>
        <v/>
      </c>
      <c r="F189" s="66">
        <f>'Project Database'!J193</f>
        <v/>
      </c>
      <c r="G189" s="66">
        <f>'Project Database'!K193</f>
        <v/>
      </c>
      <c r="H189" s="66">
        <f>'Project Database'!L193</f>
        <v/>
      </c>
      <c r="I189" s="66">
        <f>'Project Database'!M193</f>
        <v/>
      </c>
      <c r="J189" s="66">
        <f>'Project Database'!N193</f>
        <v/>
      </c>
      <c r="K189" s="66">
        <f>'Project Database'!O193</f>
        <v/>
      </c>
      <c r="L189" s="66">
        <f>'Project Database'!P193</f>
        <v/>
      </c>
      <c r="M189" s="66">
        <f>'Project Database'!Q193</f>
        <v/>
      </c>
      <c r="N189" s="66">
        <f>'Project Database'!R193</f>
        <v/>
      </c>
      <c r="O189" s="66">
        <f>'Project Database'!S193</f>
        <v/>
      </c>
      <c r="P189" s="66">
        <f>'Project Database'!T193</f>
        <v/>
      </c>
      <c r="Q189" s="66">
        <f>'Project Database'!U193</f>
        <v/>
      </c>
      <c r="R189" s="66">
        <f>'Project Database'!V193</f>
        <v/>
      </c>
      <c r="S189" s="66">
        <f>'Project Database'!W193</f>
        <v/>
      </c>
      <c r="T189" s="66">
        <f>'Project Database'!X193</f>
        <v/>
      </c>
      <c r="U189" s="67">
        <f>'Project Database'!Y193</f>
        <v/>
      </c>
      <c r="V189" s="66">
        <f>IF('Smart Search'!B13=1,IFERROR(1/'Smart Search'!H13,0),0)</f>
        <v/>
      </c>
      <c r="W189" s="66">
        <f>IF('Smart Search'!B13=1,IFERROR(1/'Smart Search'!H13,0),0)</f>
        <v/>
      </c>
      <c r="X189" s="66">
        <f>IF('Smart Search'!C13=1,IFERROR(1/'Smart Search'!H13,0),0)</f>
        <v/>
      </c>
      <c r="Y189" s="66">
        <f>IF('Smart Search'!C13=1,IFERROR(1/'Smart Search'!H13,0),0)</f>
        <v/>
      </c>
      <c r="Z189" s="66">
        <f>IF('Smart Search'!D13=1,IFERROR(1/'Smart Search'!H13,0),0)</f>
        <v/>
      </c>
      <c r="AA189" s="66">
        <f>IF('Smart Search'!D13=1,IFERROR(1/'Smart Search'!H13,0),0)</f>
        <v/>
      </c>
      <c r="AB189" s="66">
        <f>IF('Smart Search'!E13=1,IFERROR(1/'Smart Search'!H13,0),0)</f>
        <v/>
      </c>
      <c r="AC189" s="66">
        <f>IF('Smart Search'!E13=1,IFERROR(1/'Smart Search'!H13,0),0)</f>
        <v/>
      </c>
      <c r="AD189" s="66">
        <f>IF('Smart Search'!F13=1,IFERROR(1/'Smart Search'!H13,0),0)</f>
        <v/>
      </c>
      <c r="AE189" s="66">
        <f>IF('Smart Search'!F13=1,IFERROR(1/'Smart Search'!H13,0),0)</f>
        <v/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66">
        <f>AF189*V189</f>
        <v/>
      </c>
      <c r="AQ189" s="66">
        <f>AG189*W189</f>
        <v/>
      </c>
      <c r="AR189" s="66">
        <f>AH189*X189</f>
        <v/>
      </c>
      <c r="AS189" s="66">
        <f>AI189*Y189</f>
        <v/>
      </c>
      <c r="AT189" s="66">
        <f>AJ189*Z189</f>
        <v/>
      </c>
      <c r="AU189" s="66">
        <f>AK189*AA189</f>
        <v/>
      </c>
      <c r="AV189" s="66">
        <f>AL189*AB189</f>
        <v/>
      </c>
      <c r="AW189" s="66">
        <f>AM189*AC189</f>
        <v/>
      </c>
      <c r="AX189" s="66">
        <f>AN189*AD189</f>
        <v/>
      </c>
      <c r="AY189" s="66">
        <f>AO189*AE189</f>
        <v/>
      </c>
      <c r="AZ189" s="66">
        <f>'Project Database'!Z193</f>
        <v/>
      </c>
      <c r="BA189" s="66">
        <f>IF(OR(A189="",'Smart Search'!H13=0),"",MAX(0,BE189*BF189*MAX(0,1-BG189)))</f>
        <v/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66">
        <f>IF('Smart Search'!G13=1,IFERROR(1/'Smart Search'!H13,0),0)</f>
        <v/>
      </c>
      <c r="BD189" s="66">
        <f>BB189*BC189</f>
        <v/>
      </c>
      <c r="BE189" s="66">
        <f>AP189+AQ189+AR189+AS189+AT189+AU189+AV189+AW189+AX189+AY189+BD189</f>
        <v/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5">
        <f>IF(AND('Project Database'!A193&lt;&gt;"",OR('Smart Search'!$L$5="",'Smart Search'!$L$5="All",TRIM('Project Database'!D193)=TRIM('Smart Search'!$L$5)),OR(TRIM('Smart Search'!$L$6)="",TRIM('Smart Search'!$L$6)="All",ISNUMBER(SEARCH(SUBSTITUTE(SUBSTITUTE(SUBSTITUTE(TRIM('Smart Search'!$L$6),"~","~~"),"*","~*"),"?","~?"),'Project Database'!C193))),OR('Smart Search'!$L$7="",AND('Project Database'!E193&lt;&gt;"",'Project Database'!E193='Smart Search'!$L$7)),OR('Smart Search'!$L$8="",'Smart Search'!$L$8="All",TRIM('Project Database'!F193)=TRIM('Smart Search'!$L$8))),IF(BA189="","",BA189+ROW()*0.0000000001),"")</f>
        <v/>
      </c>
      <c r="BI189" s="5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>
        <f>IF('Project Database'!A193="","",N('Project Database'!AC193))</f>
        <v/>
      </c>
      <c r="BK189" s="5">
        <f>IF('Project Database'!A193="","",N('Project Database'!AD193))</f>
        <v/>
      </c>
      <c r="BL189" s="5">
        <f>IF('Project Database'!A193="","",N('Project Database'!AE193))</f>
        <v/>
      </c>
      <c r="BM189" s="5">
        <f>IF('Project Database'!A193="","",N('Project Database'!AF193))</f>
        <v/>
      </c>
      <c r="BN189" s="5">
        <f>IF('Project Database'!A193="","",N('Project Database'!AG193))</f>
        <v/>
      </c>
      <c r="BO189" s="5">
        <f>IF('Project Database'!A193="","",N('Project Database'!AH193))</f>
        <v/>
      </c>
      <c r="BP189" s="5">
        <f>IF('Project Database'!A193="","",N('Project Database'!AI193))</f>
        <v/>
      </c>
      <c r="BQ189" s="5">
        <f>IF('Project Database'!A193="","",N('Project Database'!AJ193))</f>
        <v/>
      </c>
      <c r="BR189" s="5">
        <f>IF('Project Database'!A193="","",N('Project Database'!AK193))</f>
        <v/>
      </c>
      <c r="BS189" s="5">
        <f>IF('Project Database'!A193="","",N('Project Database'!AL193))</f>
        <v/>
      </c>
      <c r="BT189" s="5">
        <f>IF('Project Database'!A193="","",N('Project Database'!AM193))</f>
        <v/>
      </c>
      <c r="BU189" s="5">
        <f>IF('Project Database'!A193="","",N('Project Database'!AN193))</f>
        <v/>
      </c>
      <c r="BV189" s="5">
        <f>IF('Project Database'!A193="","",N('Project Database'!AO193))</f>
        <v/>
      </c>
      <c r="BW189" s="5">
        <f>IF('Project Database'!A193="","",N('Project Database'!AP193))</f>
        <v/>
      </c>
      <c r="BX189" s="5">
        <f>IF(A189="","",SUM(BJ189:BW189))</f>
        <v/>
      </c>
      <c r="BY189" s="5">
        <f>IF(A189="","",IFERROR(IF(ISNUMBER(U189),U189,VALUE(SUBSTITUTE(SUBSTITUTE(SUBSTITUTE(UPPER(TRIM(U189)),"M",""),",","")," ",""))),0))</f>
        <v/>
      </c>
    </row>
    <row r="190" ht="15" customHeight="1" s="74">
      <c r="A190" s="66">
        <f>'Project Database'!A194</f>
        <v/>
      </c>
      <c r="B190" s="66">
        <f>'Project Database'!B194</f>
        <v/>
      </c>
      <c r="C190" s="66">
        <f>'Project Database'!G194</f>
        <v/>
      </c>
      <c r="D190" s="66">
        <f>'Project Database'!H194</f>
        <v/>
      </c>
      <c r="E190" s="66">
        <f>'Project Database'!I194</f>
        <v/>
      </c>
      <c r="F190" s="66">
        <f>'Project Database'!J194</f>
        <v/>
      </c>
      <c r="G190" s="66">
        <f>'Project Database'!K194</f>
        <v/>
      </c>
      <c r="H190" s="66">
        <f>'Project Database'!L194</f>
        <v/>
      </c>
      <c r="I190" s="66">
        <f>'Project Database'!M194</f>
        <v/>
      </c>
      <c r="J190" s="66">
        <f>'Project Database'!N194</f>
        <v/>
      </c>
      <c r="K190" s="66">
        <f>'Project Database'!O194</f>
        <v/>
      </c>
      <c r="L190" s="66">
        <f>'Project Database'!P194</f>
        <v/>
      </c>
      <c r="M190" s="66">
        <f>'Project Database'!Q194</f>
        <v/>
      </c>
      <c r="N190" s="66">
        <f>'Project Database'!R194</f>
        <v/>
      </c>
      <c r="O190" s="66">
        <f>'Project Database'!S194</f>
        <v/>
      </c>
      <c r="P190" s="66">
        <f>'Project Database'!T194</f>
        <v/>
      </c>
      <c r="Q190" s="66">
        <f>'Project Database'!U194</f>
        <v/>
      </c>
      <c r="R190" s="66">
        <f>'Project Database'!V194</f>
        <v/>
      </c>
      <c r="S190" s="66">
        <f>'Project Database'!W194</f>
        <v/>
      </c>
      <c r="T190" s="66">
        <f>'Project Database'!X194</f>
        <v/>
      </c>
      <c r="U190" s="67">
        <f>'Project Database'!Y194</f>
        <v/>
      </c>
      <c r="V190" s="66">
        <f>IF('Smart Search'!B13=1,IFERROR(1/'Smart Search'!H13,0),0)</f>
        <v/>
      </c>
      <c r="W190" s="66">
        <f>IF('Smart Search'!B13=1,IFERROR(1/'Smart Search'!H13,0),0)</f>
        <v/>
      </c>
      <c r="X190" s="66">
        <f>IF('Smart Search'!C13=1,IFERROR(1/'Smart Search'!H13,0),0)</f>
        <v/>
      </c>
      <c r="Y190" s="66">
        <f>IF('Smart Search'!C13=1,IFERROR(1/'Smart Search'!H13,0),0)</f>
        <v/>
      </c>
      <c r="Z190" s="66">
        <f>IF('Smart Search'!D13=1,IFERROR(1/'Smart Search'!H13,0),0)</f>
        <v/>
      </c>
      <c r="AA190" s="66">
        <f>IF('Smart Search'!D13=1,IFERROR(1/'Smart Search'!H13,0),0)</f>
        <v/>
      </c>
      <c r="AB190" s="66">
        <f>IF('Smart Search'!E13=1,IFERROR(1/'Smart Search'!H13,0),0)</f>
        <v/>
      </c>
      <c r="AC190" s="66">
        <f>IF('Smart Search'!E13=1,IFERROR(1/'Smart Search'!H13,0),0)</f>
        <v/>
      </c>
      <c r="AD190" s="66">
        <f>IF('Smart Search'!F13=1,IFERROR(1/'Smart Search'!H13,0),0)</f>
        <v/>
      </c>
      <c r="AE190" s="66">
        <f>IF('Smart Search'!F13=1,IFERROR(1/'Smart Search'!H13,0),0)</f>
        <v/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66">
        <f>AF190*V190</f>
        <v/>
      </c>
      <c r="AQ190" s="66">
        <f>AG190*W190</f>
        <v/>
      </c>
      <c r="AR190" s="66">
        <f>AH190*X190</f>
        <v/>
      </c>
      <c r="AS190" s="66">
        <f>AI190*Y190</f>
        <v/>
      </c>
      <c r="AT190" s="66">
        <f>AJ190*Z190</f>
        <v/>
      </c>
      <c r="AU190" s="66">
        <f>AK190*AA190</f>
        <v/>
      </c>
      <c r="AV190" s="66">
        <f>AL190*AB190</f>
        <v/>
      </c>
      <c r="AW190" s="66">
        <f>AM190*AC190</f>
        <v/>
      </c>
      <c r="AX190" s="66">
        <f>AN190*AD190</f>
        <v/>
      </c>
      <c r="AY190" s="66">
        <f>AO190*AE190</f>
        <v/>
      </c>
      <c r="AZ190" s="66">
        <f>'Project Database'!Z194</f>
        <v/>
      </c>
      <c r="BA190" s="66">
        <f>IF(OR(A190="",'Smart Search'!H13=0),"",MAX(0,BE190*BF190*MAX(0,1-BG190)))</f>
        <v/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66">
        <f>IF('Smart Search'!G13=1,IFERROR(1/'Smart Search'!H13,0),0)</f>
        <v/>
      </c>
      <c r="BD190" s="66">
        <f>BB190*BC190</f>
        <v/>
      </c>
      <c r="BE190" s="66">
        <f>AP190+AQ190+AR190+AS190+AT190+AU190+AV190+AW190+AX190+AY190+BD190</f>
        <v/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5">
        <f>IF(AND('Project Database'!A194&lt;&gt;"",OR('Smart Search'!$L$5="",'Smart Search'!$L$5="All",TRIM('Project Database'!D194)=TRIM('Smart Search'!$L$5)),OR(TRIM('Smart Search'!$L$6)="",TRIM('Smart Search'!$L$6)="All",ISNUMBER(SEARCH(SUBSTITUTE(SUBSTITUTE(SUBSTITUTE(TRIM('Smart Search'!$L$6),"~","~~"),"*","~*"),"?","~?"),'Project Database'!C194))),OR('Smart Search'!$L$7="",AND('Project Database'!E194&lt;&gt;"",'Project Database'!E194='Smart Search'!$L$7)),OR('Smart Search'!$L$8="",'Smart Search'!$L$8="All",TRIM('Project Database'!F194)=TRIM('Smart Search'!$L$8))),IF(BA190="","",BA190+ROW()*0.0000000001),"")</f>
        <v/>
      </c>
      <c r="BI190" s="5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>
        <f>IF('Project Database'!A194="","",N('Project Database'!AC194))</f>
        <v/>
      </c>
      <c r="BK190" s="5">
        <f>IF('Project Database'!A194="","",N('Project Database'!AD194))</f>
        <v/>
      </c>
      <c r="BL190" s="5">
        <f>IF('Project Database'!A194="","",N('Project Database'!AE194))</f>
        <v/>
      </c>
      <c r="BM190" s="5">
        <f>IF('Project Database'!A194="","",N('Project Database'!AF194))</f>
        <v/>
      </c>
      <c r="BN190" s="5">
        <f>IF('Project Database'!A194="","",N('Project Database'!AG194))</f>
        <v/>
      </c>
      <c r="BO190" s="5">
        <f>IF('Project Database'!A194="","",N('Project Database'!AH194))</f>
        <v/>
      </c>
      <c r="BP190" s="5">
        <f>IF('Project Database'!A194="","",N('Project Database'!AI194))</f>
        <v/>
      </c>
      <c r="BQ190" s="5">
        <f>IF('Project Database'!A194="","",N('Project Database'!AJ194))</f>
        <v/>
      </c>
      <c r="BR190" s="5">
        <f>IF('Project Database'!A194="","",N('Project Database'!AK194))</f>
        <v/>
      </c>
      <c r="BS190" s="5">
        <f>IF('Project Database'!A194="","",N('Project Database'!AL194))</f>
        <v/>
      </c>
      <c r="BT190" s="5">
        <f>IF('Project Database'!A194="","",N('Project Database'!AM194))</f>
        <v/>
      </c>
      <c r="BU190" s="5">
        <f>IF('Project Database'!A194="","",N('Project Database'!AN194))</f>
        <v/>
      </c>
      <c r="BV190" s="5">
        <f>IF('Project Database'!A194="","",N('Project Database'!AO194))</f>
        <v/>
      </c>
      <c r="BW190" s="5">
        <f>IF('Project Database'!A194="","",N('Project Database'!AP194))</f>
        <v/>
      </c>
      <c r="BX190" s="5">
        <f>IF(A190="","",SUM(BJ190:BW190))</f>
        <v/>
      </c>
      <c r="BY190" s="5">
        <f>IF(A190="","",IFERROR(IF(ISNUMBER(U190),U190,VALUE(SUBSTITUTE(SUBSTITUTE(SUBSTITUTE(UPPER(TRIM(U190)),"M",""),",","")," ",""))),0))</f>
        <v/>
      </c>
    </row>
    <row r="191" ht="15" customHeight="1" s="74">
      <c r="A191" s="66">
        <f>'Project Database'!A195</f>
        <v/>
      </c>
      <c r="B191" s="66">
        <f>'Project Database'!B195</f>
        <v/>
      </c>
      <c r="C191" s="66">
        <f>'Project Database'!G195</f>
        <v/>
      </c>
      <c r="D191" s="66">
        <f>'Project Database'!H195</f>
        <v/>
      </c>
      <c r="E191" s="66">
        <f>'Project Database'!I195</f>
        <v/>
      </c>
      <c r="F191" s="66">
        <f>'Project Database'!J195</f>
        <v/>
      </c>
      <c r="G191" s="66">
        <f>'Project Database'!K195</f>
        <v/>
      </c>
      <c r="H191" s="66">
        <f>'Project Database'!L195</f>
        <v/>
      </c>
      <c r="I191" s="66">
        <f>'Project Database'!M195</f>
        <v/>
      </c>
      <c r="J191" s="66">
        <f>'Project Database'!N195</f>
        <v/>
      </c>
      <c r="K191" s="66">
        <f>'Project Database'!O195</f>
        <v/>
      </c>
      <c r="L191" s="66">
        <f>'Project Database'!P195</f>
        <v/>
      </c>
      <c r="M191" s="66">
        <f>'Project Database'!Q195</f>
        <v/>
      </c>
      <c r="N191" s="66">
        <f>'Project Database'!R195</f>
        <v/>
      </c>
      <c r="O191" s="66">
        <f>'Project Database'!S195</f>
        <v/>
      </c>
      <c r="P191" s="66">
        <f>'Project Database'!T195</f>
        <v/>
      </c>
      <c r="Q191" s="66">
        <f>'Project Database'!U195</f>
        <v/>
      </c>
      <c r="R191" s="66">
        <f>'Project Database'!V195</f>
        <v/>
      </c>
      <c r="S191" s="66">
        <f>'Project Database'!W195</f>
        <v/>
      </c>
      <c r="T191" s="66">
        <f>'Project Database'!X195</f>
        <v/>
      </c>
      <c r="U191" s="67">
        <f>'Project Database'!Y195</f>
        <v/>
      </c>
      <c r="V191" s="66">
        <f>IF('Smart Search'!B13=1,IFERROR(1/'Smart Search'!H13,0),0)</f>
        <v/>
      </c>
      <c r="W191" s="66">
        <f>IF('Smart Search'!B13=1,IFERROR(1/'Smart Search'!H13,0),0)</f>
        <v/>
      </c>
      <c r="X191" s="66">
        <f>IF('Smart Search'!C13=1,IFERROR(1/'Smart Search'!H13,0),0)</f>
        <v/>
      </c>
      <c r="Y191" s="66">
        <f>IF('Smart Search'!C13=1,IFERROR(1/'Smart Search'!H13,0),0)</f>
        <v/>
      </c>
      <c r="Z191" s="66">
        <f>IF('Smart Search'!D13=1,IFERROR(1/'Smart Search'!H13,0),0)</f>
        <v/>
      </c>
      <c r="AA191" s="66">
        <f>IF('Smart Search'!D13=1,IFERROR(1/'Smart Search'!H13,0),0)</f>
        <v/>
      </c>
      <c r="AB191" s="66">
        <f>IF('Smart Search'!E13=1,IFERROR(1/'Smart Search'!H13,0),0)</f>
        <v/>
      </c>
      <c r="AC191" s="66">
        <f>IF('Smart Search'!E13=1,IFERROR(1/'Smart Search'!H13,0),0)</f>
        <v/>
      </c>
      <c r="AD191" s="66">
        <f>IF('Smart Search'!F13=1,IFERROR(1/'Smart Search'!H13,0),0)</f>
        <v/>
      </c>
      <c r="AE191" s="66">
        <f>IF('Smart Search'!F13=1,IFERROR(1/'Smart Search'!H13,0),0)</f>
        <v/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66">
        <f>AF191*V191</f>
        <v/>
      </c>
      <c r="AQ191" s="66">
        <f>AG191*W191</f>
        <v/>
      </c>
      <c r="AR191" s="66">
        <f>AH191*X191</f>
        <v/>
      </c>
      <c r="AS191" s="66">
        <f>AI191*Y191</f>
        <v/>
      </c>
      <c r="AT191" s="66">
        <f>AJ191*Z191</f>
        <v/>
      </c>
      <c r="AU191" s="66">
        <f>AK191*AA191</f>
        <v/>
      </c>
      <c r="AV191" s="66">
        <f>AL191*AB191</f>
        <v/>
      </c>
      <c r="AW191" s="66">
        <f>AM191*AC191</f>
        <v/>
      </c>
      <c r="AX191" s="66">
        <f>AN191*AD191</f>
        <v/>
      </c>
      <c r="AY191" s="66">
        <f>AO191*AE191</f>
        <v/>
      </c>
      <c r="AZ191" s="66">
        <f>'Project Database'!Z195</f>
        <v/>
      </c>
      <c r="BA191" s="66">
        <f>IF(OR(A191="",'Smart Search'!H13=0),"",MAX(0,BE191*BF191*MAX(0,1-BG191)))</f>
        <v/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66">
        <f>IF('Smart Search'!G13=1,IFERROR(1/'Smart Search'!H13,0),0)</f>
        <v/>
      </c>
      <c r="BD191" s="66">
        <f>BB191*BC191</f>
        <v/>
      </c>
      <c r="BE191" s="66">
        <f>AP191+AQ191+AR191+AS191+AT191+AU191+AV191+AW191+AX191+AY191+BD191</f>
        <v/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5">
        <f>IF(AND('Project Database'!A195&lt;&gt;"",OR('Smart Search'!$L$5="",'Smart Search'!$L$5="All",TRIM('Project Database'!D195)=TRIM('Smart Search'!$L$5)),OR(TRIM('Smart Search'!$L$6)="",TRIM('Smart Search'!$L$6)="All",ISNUMBER(SEARCH(SUBSTITUTE(SUBSTITUTE(SUBSTITUTE(TRIM('Smart Search'!$L$6),"~","~~"),"*","~*"),"?","~?"),'Project Database'!C195))),OR('Smart Search'!$L$7="",AND('Project Database'!E195&lt;&gt;"",'Project Database'!E195='Smart Search'!$L$7)),OR('Smart Search'!$L$8="",'Smart Search'!$L$8="All",TRIM('Project Database'!F195)=TRIM('Smart Search'!$L$8))),IF(BA191="","",BA191+ROW()*0.0000000001),"")</f>
        <v/>
      </c>
      <c r="BI191" s="5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>
        <f>IF('Project Database'!A195="","",N('Project Database'!AC195))</f>
        <v/>
      </c>
      <c r="BK191" s="5">
        <f>IF('Project Database'!A195="","",N('Project Database'!AD195))</f>
        <v/>
      </c>
      <c r="BL191" s="5">
        <f>IF('Project Database'!A195="","",N('Project Database'!AE195))</f>
        <v/>
      </c>
      <c r="BM191" s="5">
        <f>IF('Project Database'!A195="","",N('Project Database'!AF195))</f>
        <v/>
      </c>
      <c r="BN191" s="5">
        <f>IF('Project Database'!A195="","",N('Project Database'!AG195))</f>
        <v/>
      </c>
      <c r="BO191" s="5">
        <f>IF('Project Database'!A195="","",N('Project Database'!AH195))</f>
        <v/>
      </c>
      <c r="BP191" s="5">
        <f>IF('Project Database'!A195="","",N('Project Database'!AI195))</f>
        <v/>
      </c>
      <c r="BQ191" s="5">
        <f>IF('Project Database'!A195="","",N('Project Database'!AJ195))</f>
        <v/>
      </c>
      <c r="BR191" s="5">
        <f>IF('Project Database'!A195="","",N('Project Database'!AK195))</f>
        <v/>
      </c>
      <c r="BS191" s="5">
        <f>IF('Project Database'!A195="","",N('Project Database'!AL195))</f>
        <v/>
      </c>
      <c r="BT191" s="5">
        <f>IF('Project Database'!A195="","",N('Project Database'!AM195))</f>
        <v/>
      </c>
      <c r="BU191" s="5">
        <f>IF('Project Database'!A195="","",N('Project Database'!AN195))</f>
        <v/>
      </c>
      <c r="BV191" s="5">
        <f>IF('Project Database'!A195="","",N('Project Database'!AO195))</f>
        <v/>
      </c>
      <c r="BW191" s="5">
        <f>IF('Project Database'!A195="","",N('Project Database'!AP195))</f>
        <v/>
      </c>
      <c r="BX191" s="5">
        <f>IF(A191="","",SUM(BJ191:BW191))</f>
        <v/>
      </c>
      <c r="BY191" s="5">
        <f>IF(A191="","",IFERROR(IF(ISNUMBER(U191),U191,VALUE(SUBSTITUTE(SUBSTITUTE(SUBSTITUTE(UPPER(TRIM(U191)),"M",""),",","")," ",""))),0))</f>
        <v/>
      </c>
    </row>
    <row r="192" ht="15" customHeight="1" s="74">
      <c r="A192" s="66">
        <f>'Project Database'!A196</f>
        <v/>
      </c>
      <c r="B192" s="66">
        <f>'Project Database'!B196</f>
        <v/>
      </c>
      <c r="C192" s="66">
        <f>'Project Database'!G196</f>
        <v/>
      </c>
      <c r="D192" s="66">
        <f>'Project Database'!H196</f>
        <v/>
      </c>
      <c r="E192" s="66">
        <f>'Project Database'!I196</f>
        <v/>
      </c>
      <c r="F192" s="66">
        <f>'Project Database'!J196</f>
        <v/>
      </c>
      <c r="G192" s="66">
        <f>'Project Database'!K196</f>
        <v/>
      </c>
      <c r="H192" s="66">
        <f>'Project Database'!L196</f>
        <v/>
      </c>
      <c r="I192" s="66">
        <f>'Project Database'!M196</f>
        <v/>
      </c>
      <c r="J192" s="66">
        <f>'Project Database'!N196</f>
        <v/>
      </c>
      <c r="K192" s="66">
        <f>'Project Database'!O196</f>
        <v/>
      </c>
      <c r="L192" s="66">
        <f>'Project Database'!P196</f>
        <v/>
      </c>
      <c r="M192" s="66">
        <f>'Project Database'!Q196</f>
        <v/>
      </c>
      <c r="N192" s="66">
        <f>'Project Database'!R196</f>
        <v/>
      </c>
      <c r="O192" s="66">
        <f>'Project Database'!S196</f>
        <v/>
      </c>
      <c r="P192" s="66">
        <f>'Project Database'!T196</f>
        <v/>
      </c>
      <c r="Q192" s="66">
        <f>'Project Database'!U196</f>
        <v/>
      </c>
      <c r="R192" s="66">
        <f>'Project Database'!V196</f>
        <v/>
      </c>
      <c r="S192" s="66">
        <f>'Project Database'!W196</f>
        <v/>
      </c>
      <c r="T192" s="66">
        <f>'Project Database'!X196</f>
        <v/>
      </c>
      <c r="U192" s="67">
        <f>'Project Database'!Y196</f>
        <v/>
      </c>
      <c r="V192" s="66">
        <f>IF('Smart Search'!B13=1,IFERROR(1/'Smart Search'!H13,0),0)</f>
        <v/>
      </c>
      <c r="W192" s="66">
        <f>IF('Smart Search'!B13=1,IFERROR(1/'Smart Search'!H13,0),0)</f>
        <v/>
      </c>
      <c r="X192" s="66">
        <f>IF('Smart Search'!C13=1,IFERROR(1/'Smart Search'!H13,0),0)</f>
        <v/>
      </c>
      <c r="Y192" s="66">
        <f>IF('Smart Search'!C13=1,IFERROR(1/'Smart Search'!H13,0),0)</f>
        <v/>
      </c>
      <c r="Z192" s="66">
        <f>IF('Smart Search'!D13=1,IFERROR(1/'Smart Search'!H13,0),0)</f>
        <v/>
      </c>
      <c r="AA192" s="66">
        <f>IF('Smart Search'!D13=1,IFERROR(1/'Smart Search'!H13,0),0)</f>
        <v/>
      </c>
      <c r="AB192" s="66">
        <f>IF('Smart Search'!E13=1,IFERROR(1/'Smart Search'!H13,0),0)</f>
        <v/>
      </c>
      <c r="AC192" s="66">
        <f>IF('Smart Search'!E13=1,IFERROR(1/'Smart Search'!H13,0),0)</f>
        <v/>
      </c>
      <c r="AD192" s="66">
        <f>IF('Smart Search'!F13=1,IFERROR(1/'Smart Search'!H13,0),0)</f>
        <v/>
      </c>
      <c r="AE192" s="66">
        <f>IF('Smart Search'!F13=1,IFERROR(1/'Smart Search'!H13,0),0)</f>
        <v/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66">
        <f>AF192*V192</f>
        <v/>
      </c>
      <c r="AQ192" s="66">
        <f>AG192*W192</f>
        <v/>
      </c>
      <c r="AR192" s="66">
        <f>AH192*X192</f>
        <v/>
      </c>
      <c r="AS192" s="66">
        <f>AI192*Y192</f>
        <v/>
      </c>
      <c r="AT192" s="66">
        <f>AJ192*Z192</f>
        <v/>
      </c>
      <c r="AU192" s="66">
        <f>AK192*AA192</f>
        <v/>
      </c>
      <c r="AV192" s="66">
        <f>AL192*AB192</f>
        <v/>
      </c>
      <c r="AW192" s="66">
        <f>AM192*AC192</f>
        <v/>
      </c>
      <c r="AX192" s="66">
        <f>AN192*AD192</f>
        <v/>
      </c>
      <c r="AY192" s="66">
        <f>AO192*AE192</f>
        <v/>
      </c>
      <c r="AZ192" s="66">
        <f>'Project Database'!Z196</f>
        <v/>
      </c>
      <c r="BA192" s="66">
        <f>IF(OR(A192="",'Smart Search'!H13=0),"",MAX(0,BE192*BF192*MAX(0,1-BG192)))</f>
        <v/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66">
        <f>IF('Smart Search'!G13=1,IFERROR(1/'Smart Search'!H13,0),0)</f>
        <v/>
      </c>
      <c r="BD192" s="66">
        <f>BB192*BC192</f>
        <v/>
      </c>
      <c r="BE192" s="66">
        <f>AP192+AQ192+AR192+AS192+AT192+AU192+AV192+AW192+AX192+AY192+BD192</f>
        <v/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5">
        <f>IF(AND('Project Database'!A196&lt;&gt;"",OR('Smart Search'!$L$5="",'Smart Search'!$L$5="All",TRIM('Project Database'!D196)=TRIM('Smart Search'!$L$5)),OR(TRIM('Smart Search'!$L$6)="",TRIM('Smart Search'!$L$6)="All",ISNUMBER(SEARCH(SUBSTITUTE(SUBSTITUTE(SUBSTITUTE(TRIM('Smart Search'!$L$6),"~","~~"),"*","~*"),"?","~?"),'Project Database'!C196))),OR('Smart Search'!$L$7="",AND('Project Database'!E196&lt;&gt;"",'Project Database'!E196='Smart Search'!$L$7)),OR('Smart Search'!$L$8="",'Smart Search'!$L$8="All",TRIM('Project Database'!F196)=TRIM('Smart Search'!$L$8))),IF(BA192="","",BA192+ROW()*0.0000000001),"")</f>
        <v/>
      </c>
      <c r="BI192" s="5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>
        <f>IF('Project Database'!A196="","",N('Project Database'!AC196))</f>
        <v/>
      </c>
      <c r="BK192" s="5">
        <f>IF('Project Database'!A196="","",N('Project Database'!AD196))</f>
        <v/>
      </c>
      <c r="BL192" s="5">
        <f>IF('Project Database'!A196="","",N('Project Database'!AE196))</f>
        <v/>
      </c>
      <c r="BM192" s="5">
        <f>IF('Project Database'!A196="","",N('Project Database'!AF196))</f>
        <v/>
      </c>
      <c r="BN192" s="5">
        <f>IF('Project Database'!A196="","",N('Project Database'!AG196))</f>
        <v/>
      </c>
      <c r="BO192" s="5">
        <f>IF('Project Database'!A196="","",N('Project Database'!AH196))</f>
        <v/>
      </c>
      <c r="BP192" s="5">
        <f>IF('Project Database'!A196="","",N('Project Database'!AI196))</f>
        <v/>
      </c>
      <c r="BQ192" s="5">
        <f>IF('Project Database'!A196="","",N('Project Database'!AJ196))</f>
        <v/>
      </c>
      <c r="BR192" s="5">
        <f>IF('Project Database'!A196="","",N('Project Database'!AK196))</f>
        <v/>
      </c>
      <c r="BS192" s="5">
        <f>IF('Project Database'!A196="","",N('Project Database'!AL196))</f>
        <v/>
      </c>
      <c r="BT192" s="5">
        <f>IF('Project Database'!A196="","",N('Project Database'!AM196))</f>
        <v/>
      </c>
      <c r="BU192" s="5">
        <f>IF('Project Database'!A196="","",N('Project Database'!AN196))</f>
        <v/>
      </c>
      <c r="BV192" s="5">
        <f>IF('Project Database'!A196="","",N('Project Database'!AO196))</f>
        <v/>
      </c>
      <c r="BW192" s="5">
        <f>IF('Project Database'!A196="","",N('Project Database'!AP196))</f>
        <v/>
      </c>
      <c r="BX192" s="5">
        <f>IF(A192="","",SUM(BJ192:BW192))</f>
        <v/>
      </c>
      <c r="BY192" s="5">
        <f>IF(A192="","",IFERROR(IF(ISNUMBER(U192),U192,VALUE(SUBSTITUTE(SUBSTITUTE(SUBSTITUTE(UPPER(TRIM(U192)),"M",""),",","")," ",""))),0))</f>
        <v/>
      </c>
    </row>
    <row r="193" ht="15" customHeight="1" s="74">
      <c r="A193" s="66">
        <f>'Project Database'!A197</f>
        <v/>
      </c>
      <c r="B193" s="66">
        <f>'Project Database'!B197</f>
        <v/>
      </c>
      <c r="C193" s="66">
        <f>'Project Database'!G197</f>
        <v/>
      </c>
      <c r="D193" s="66">
        <f>'Project Database'!H197</f>
        <v/>
      </c>
      <c r="E193" s="66">
        <f>'Project Database'!I197</f>
        <v/>
      </c>
      <c r="F193" s="66">
        <f>'Project Database'!J197</f>
        <v/>
      </c>
      <c r="G193" s="66">
        <f>'Project Database'!K197</f>
        <v/>
      </c>
      <c r="H193" s="66">
        <f>'Project Database'!L197</f>
        <v/>
      </c>
      <c r="I193" s="66">
        <f>'Project Database'!M197</f>
        <v/>
      </c>
      <c r="J193" s="66">
        <f>'Project Database'!N197</f>
        <v/>
      </c>
      <c r="K193" s="66">
        <f>'Project Database'!O197</f>
        <v/>
      </c>
      <c r="L193" s="66">
        <f>'Project Database'!P197</f>
        <v/>
      </c>
      <c r="M193" s="66">
        <f>'Project Database'!Q197</f>
        <v/>
      </c>
      <c r="N193" s="66">
        <f>'Project Database'!R197</f>
        <v/>
      </c>
      <c r="O193" s="66">
        <f>'Project Database'!S197</f>
        <v/>
      </c>
      <c r="P193" s="66">
        <f>'Project Database'!T197</f>
        <v/>
      </c>
      <c r="Q193" s="66">
        <f>'Project Database'!U197</f>
        <v/>
      </c>
      <c r="R193" s="66">
        <f>'Project Database'!V197</f>
        <v/>
      </c>
      <c r="S193" s="66">
        <f>'Project Database'!W197</f>
        <v/>
      </c>
      <c r="T193" s="66">
        <f>'Project Database'!X197</f>
        <v/>
      </c>
      <c r="U193" s="67">
        <f>'Project Database'!Y197</f>
        <v/>
      </c>
      <c r="V193" s="66">
        <f>IF('Smart Search'!B13=1,IFERROR(1/'Smart Search'!H13,0),0)</f>
        <v/>
      </c>
      <c r="W193" s="66">
        <f>IF('Smart Search'!B13=1,IFERROR(1/'Smart Search'!H13,0),0)</f>
        <v/>
      </c>
      <c r="X193" s="66">
        <f>IF('Smart Search'!C13=1,IFERROR(1/'Smart Search'!H13,0),0)</f>
        <v/>
      </c>
      <c r="Y193" s="66">
        <f>IF('Smart Search'!C13=1,IFERROR(1/'Smart Search'!H13,0),0)</f>
        <v/>
      </c>
      <c r="Z193" s="66">
        <f>IF('Smart Search'!D13=1,IFERROR(1/'Smart Search'!H13,0),0)</f>
        <v/>
      </c>
      <c r="AA193" s="66">
        <f>IF('Smart Search'!D13=1,IFERROR(1/'Smart Search'!H13,0),0)</f>
        <v/>
      </c>
      <c r="AB193" s="66">
        <f>IF('Smart Search'!E13=1,IFERROR(1/'Smart Search'!H13,0),0)</f>
        <v/>
      </c>
      <c r="AC193" s="66">
        <f>IF('Smart Search'!E13=1,IFERROR(1/'Smart Search'!H13,0),0)</f>
        <v/>
      </c>
      <c r="AD193" s="66">
        <f>IF('Smart Search'!F13=1,IFERROR(1/'Smart Search'!H13,0),0)</f>
        <v/>
      </c>
      <c r="AE193" s="66">
        <f>IF('Smart Search'!F13=1,IFERROR(1/'Smart Search'!H13,0),0)</f>
        <v/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66">
        <f>AF193*V193</f>
        <v/>
      </c>
      <c r="AQ193" s="66">
        <f>AG193*W193</f>
        <v/>
      </c>
      <c r="AR193" s="66">
        <f>AH193*X193</f>
        <v/>
      </c>
      <c r="AS193" s="66">
        <f>AI193*Y193</f>
        <v/>
      </c>
      <c r="AT193" s="66">
        <f>AJ193*Z193</f>
        <v/>
      </c>
      <c r="AU193" s="66">
        <f>AK193*AA193</f>
        <v/>
      </c>
      <c r="AV193" s="66">
        <f>AL193*AB193</f>
        <v/>
      </c>
      <c r="AW193" s="66">
        <f>AM193*AC193</f>
        <v/>
      </c>
      <c r="AX193" s="66">
        <f>AN193*AD193</f>
        <v/>
      </c>
      <c r="AY193" s="66">
        <f>AO193*AE193</f>
        <v/>
      </c>
      <c r="AZ193" s="66">
        <f>'Project Database'!Z197</f>
        <v/>
      </c>
      <c r="BA193" s="66">
        <f>IF(OR(A193="",'Smart Search'!H13=0),"",MAX(0,BE193*BF193*MAX(0,1-BG193)))</f>
        <v/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66">
        <f>IF('Smart Search'!G13=1,IFERROR(1/'Smart Search'!H13,0),0)</f>
        <v/>
      </c>
      <c r="BD193" s="66">
        <f>BB193*BC193</f>
        <v/>
      </c>
      <c r="BE193" s="66">
        <f>AP193+AQ193+AR193+AS193+AT193+AU193+AV193+AW193+AX193+AY193+BD193</f>
        <v/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5">
        <f>IF(AND('Project Database'!A197&lt;&gt;"",OR('Smart Search'!$L$5="",'Smart Search'!$L$5="All",TRIM('Project Database'!D197)=TRIM('Smart Search'!$L$5)),OR(TRIM('Smart Search'!$L$6)="",TRIM('Smart Search'!$L$6)="All",ISNUMBER(SEARCH(SUBSTITUTE(SUBSTITUTE(SUBSTITUTE(TRIM('Smart Search'!$L$6),"~","~~"),"*","~*"),"?","~?"),'Project Database'!C197))),OR('Smart Search'!$L$7="",AND('Project Database'!E197&lt;&gt;"",'Project Database'!E197='Smart Search'!$L$7)),OR('Smart Search'!$L$8="",'Smart Search'!$L$8="All",TRIM('Project Database'!F197)=TRIM('Smart Search'!$L$8))),IF(BA193="","",BA193+ROW()*0.0000000001),"")</f>
        <v/>
      </c>
      <c r="BI193" s="5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>
        <f>IF('Project Database'!A197="","",N('Project Database'!AC197))</f>
        <v/>
      </c>
      <c r="BK193" s="5">
        <f>IF('Project Database'!A197="","",N('Project Database'!AD197))</f>
        <v/>
      </c>
      <c r="BL193" s="5">
        <f>IF('Project Database'!A197="","",N('Project Database'!AE197))</f>
        <v/>
      </c>
      <c r="BM193" s="5">
        <f>IF('Project Database'!A197="","",N('Project Database'!AF197))</f>
        <v/>
      </c>
      <c r="BN193" s="5">
        <f>IF('Project Database'!A197="","",N('Project Database'!AG197))</f>
        <v/>
      </c>
      <c r="BO193" s="5">
        <f>IF('Project Database'!A197="","",N('Project Database'!AH197))</f>
        <v/>
      </c>
      <c r="BP193" s="5">
        <f>IF('Project Database'!A197="","",N('Project Database'!AI197))</f>
        <v/>
      </c>
      <c r="BQ193" s="5">
        <f>IF('Project Database'!A197="","",N('Project Database'!AJ197))</f>
        <v/>
      </c>
      <c r="BR193" s="5">
        <f>IF('Project Database'!A197="","",N('Project Database'!AK197))</f>
        <v/>
      </c>
      <c r="BS193" s="5">
        <f>IF('Project Database'!A197="","",N('Project Database'!AL197))</f>
        <v/>
      </c>
      <c r="BT193" s="5">
        <f>IF('Project Database'!A197="","",N('Project Database'!AM197))</f>
        <v/>
      </c>
      <c r="BU193" s="5">
        <f>IF('Project Database'!A197="","",N('Project Database'!AN197))</f>
        <v/>
      </c>
      <c r="BV193" s="5">
        <f>IF('Project Database'!A197="","",N('Project Database'!AO197))</f>
        <v/>
      </c>
      <c r="BW193" s="5">
        <f>IF('Project Database'!A197="","",N('Project Database'!AP197))</f>
        <v/>
      </c>
      <c r="BX193" s="5">
        <f>IF(A193="","",SUM(BJ193:BW193))</f>
        <v/>
      </c>
      <c r="BY193" s="5">
        <f>IF(A193="","",IFERROR(IF(ISNUMBER(U193),U193,VALUE(SUBSTITUTE(SUBSTITUTE(SUBSTITUTE(UPPER(TRIM(U193)),"M",""),",","")," ",""))),0))</f>
        <v/>
      </c>
    </row>
    <row r="194" ht="15" customHeight="1" s="74">
      <c r="A194" s="66">
        <f>'Project Database'!A198</f>
        <v/>
      </c>
      <c r="B194" s="66">
        <f>'Project Database'!B198</f>
        <v/>
      </c>
      <c r="C194" s="66">
        <f>'Project Database'!G198</f>
        <v/>
      </c>
      <c r="D194" s="66">
        <f>'Project Database'!H198</f>
        <v/>
      </c>
      <c r="E194" s="66">
        <f>'Project Database'!I198</f>
        <v/>
      </c>
      <c r="F194" s="66">
        <f>'Project Database'!J198</f>
        <v/>
      </c>
      <c r="G194" s="66">
        <f>'Project Database'!K198</f>
        <v/>
      </c>
      <c r="H194" s="66">
        <f>'Project Database'!L198</f>
        <v/>
      </c>
      <c r="I194" s="66">
        <f>'Project Database'!M198</f>
        <v/>
      </c>
      <c r="J194" s="66">
        <f>'Project Database'!N198</f>
        <v/>
      </c>
      <c r="K194" s="66">
        <f>'Project Database'!O198</f>
        <v/>
      </c>
      <c r="L194" s="66">
        <f>'Project Database'!P198</f>
        <v/>
      </c>
      <c r="M194" s="66">
        <f>'Project Database'!Q198</f>
        <v/>
      </c>
      <c r="N194" s="66">
        <f>'Project Database'!R198</f>
        <v/>
      </c>
      <c r="O194" s="66">
        <f>'Project Database'!S198</f>
        <v/>
      </c>
      <c r="P194" s="66">
        <f>'Project Database'!T198</f>
        <v/>
      </c>
      <c r="Q194" s="66">
        <f>'Project Database'!U198</f>
        <v/>
      </c>
      <c r="R194" s="66">
        <f>'Project Database'!V198</f>
        <v/>
      </c>
      <c r="S194" s="66">
        <f>'Project Database'!W198</f>
        <v/>
      </c>
      <c r="T194" s="66">
        <f>'Project Database'!X198</f>
        <v/>
      </c>
      <c r="U194" s="67">
        <f>'Project Database'!Y198</f>
        <v/>
      </c>
      <c r="V194" s="66">
        <f>IF('Smart Search'!B13=1,IFERROR(1/'Smart Search'!H13,0),0)</f>
        <v/>
      </c>
      <c r="W194" s="66">
        <f>IF('Smart Search'!B13=1,IFERROR(1/'Smart Search'!H13,0),0)</f>
        <v/>
      </c>
      <c r="X194" s="66">
        <f>IF('Smart Search'!C13=1,IFERROR(1/'Smart Search'!H13,0),0)</f>
        <v/>
      </c>
      <c r="Y194" s="66">
        <f>IF('Smart Search'!C13=1,IFERROR(1/'Smart Search'!H13,0),0)</f>
        <v/>
      </c>
      <c r="Z194" s="66">
        <f>IF('Smart Search'!D13=1,IFERROR(1/'Smart Search'!H13,0),0)</f>
        <v/>
      </c>
      <c r="AA194" s="66">
        <f>IF('Smart Search'!D13=1,IFERROR(1/'Smart Search'!H13,0),0)</f>
        <v/>
      </c>
      <c r="AB194" s="66">
        <f>IF('Smart Search'!E13=1,IFERROR(1/'Smart Search'!H13,0),0)</f>
        <v/>
      </c>
      <c r="AC194" s="66">
        <f>IF('Smart Search'!E13=1,IFERROR(1/'Smart Search'!H13,0),0)</f>
        <v/>
      </c>
      <c r="AD194" s="66">
        <f>IF('Smart Search'!F13=1,IFERROR(1/'Smart Search'!H13,0),0)</f>
        <v/>
      </c>
      <c r="AE194" s="66">
        <f>IF('Smart Search'!F13=1,IFERROR(1/'Smart Search'!H13,0),0)</f>
        <v/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66">
        <f>AF194*V194</f>
        <v/>
      </c>
      <c r="AQ194" s="66">
        <f>AG194*W194</f>
        <v/>
      </c>
      <c r="AR194" s="66">
        <f>AH194*X194</f>
        <v/>
      </c>
      <c r="AS194" s="66">
        <f>AI194*Y194</f>
        <v/>
      </c>
      <c r="AT194" s="66">
        <f>AJ194*Z194</f>
        <v/>
      </c>
      <c r="AU194" s="66">
        <f>AK194*AA194</f>
        <v/>
      </c>
      <c r="AV194" s="66">
        <f>AL194*AB194</f>
        <v/>
      </c>
      <c r="AW194" s="66">
        <f>AM194*AC194</f>
        <v/>
      </c>
      <c r="AX194" s="66">
        <f>AN194*AD194</f>
        <v/>
      </c>
      <c r="AY194" s="66">
        <f>AO194*AE194</f>
        <v/>
      </c>
      <c r="AZ194" s="66">
        <f>'Project Database'!Z198</f>
        <v/>
      </c>
      <c r="BA194" s="66">
        <f>IF(OR(A194="",'Smart Search'!H13=0),"",MAX(0,BE194*BF194*MAX(0,1-BG194)))</f>
        <v/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66">
        <f>IF('Smart Search'!G13=1,IFERROR(1/'Smart Search'!H13,0),0)</f>
        <v/>
      </c>
      <c r="BD194" s="66">
        <f>BB194*BC194</f>
        <v/>
      </c>
      <c r="BE194" s="66">
        <f>AP194+AQ194+AR194+AS194+AT194+AU194+AV194+AW194+AX194+AY194+BD194</f>
        <v/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5">
        <f>IF(AND('Project Database'!A198&lt;&gt;"",OR('Smart Search'!$L$5="",'Smart Search'!$L$5="All",TRIM('Project Database'!D198)=TRIM('Smart Search'!$L$5)),OR(TRIM('Smart Search'!$L$6)="",TRIM('Smart Search'!$L$6)="All",ISNUMBER(SEARCH(SUBSTITUTE(SUBSTITUTE(SUBSTITUTE(TRIM('Smart Search'!$L$6),"~","~~"),"*","~*"),"?","~?"),'Project Database'!C198))),OR('Smart Search'!$L$7="",AND('Project Database'!E198&lt;&gt;"",'Project Database'!E198='Smart Search'!$L$7)),OR('Smart Search'!$L$8="",'Smart Search'!$L$8="All",TRIM('Project Database'!F198)=TRIM('Smart Search'!$L$8))),IF(BA194="","",BA194+ROW()*0.0000000001),"")</f>
        <v/>
      </c>
      <c r="BI194" s="5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>
        <f>IF('Project Database'!A198="","",N('Project Database'!AC198))</f>
        <v/>
      </c>
      <c r="BK194" s="5">
        <f>IF('Project Database'!A198="","",N('Project Database'!AD198))</f>
        <v/>
      </c>
      <c r="BL194" s="5">
        <f>IF('Project Database'!A198="","",N('Project Database'!AE198))</f>
        <v/>
      </c>
      <c r="BM194" s="5">
        <f>IF('Project Database'!A198="","",N('Project Database'!AF198))</f>
        <v/>
      </c>
      <c r="BN194" s="5">
        <f>IF('Project Database'!A198="","",N('Project Database'!AG198))</f>
        <v/>
      </c>
      <c r="BO194" s="5">
        <f>IF('Project Database'!A198="","",N('Project Database'!AH198))</f>
        <v/>
      </c>
      <c r="BP194" s="5">
        <f>IF('Project Database'!A198="","",N('Project Database'!AI198))</f>
        <v/>
      </c>
      <c r="BQ194" s="5">
        <f>IF('Project Database'!A198="","",N('Project Database'!AJ198))</f>
        <v/>
      </c>
      <c r="BR194" s="5">
        <f>IF('Project Database'!A198="","",N('Project Database'!AK198))</f>
        <v/>
      </c>
      <c r="BS194" s="5">
        <f>IF('Project Database'!A198="","",N('Project Database'!AL198))</f>
        <v/>
      </c>
      <c r="BT194" s="5">
        <f>IF('Project Database'!A198="","",N('Project Database'!AM198))</f>
        <v/>
      </c>
      <c r="BU194" s="5">
        <f>IF('Project Database'!A198="","",N('Project Database'!AN198))</f>
        <v/>
      </c>
      <c r="BV194" s="5">
        <f>IF('Project Database'!A198="","",N('Project Database'!AO198))</f>
        <v/>
      </c>
      <c r="BW194" s="5">
        <f>IF('Project Database'!A198="","",N('Project Database'!AP198))</f>
        <v/>
      </c>
      <c r="BX194" s="5">
        <f>IF(A194="","",SUM(BJ194:BW194))</f>
        <v/>
      </c>
      <c r="BY194" s="5">
        <f>IF(A194="","",IFERROR(IF(ISNUMBER(U194),U194,VALUE(SUBSTITUTE(SUBSTITUTE(SUBSTITUTE(UPPER(TRIM(U194)),"M",""),",","")," ",""))),0))</f>
        <v/>
      </c>
    </row>
    <row r="195" ht="15" customHeight="1" s="74">
      <c r="A195" s="66">
        <f>'Project Database'!A199</f>
        <v/>
      </c>
      <c r="B195" s="66">
        <f>'Project Database'!B199</f>
        <v/>
      </c>
      <c r="C195" s="66">
        <f>'Project Database'!G199</f>
        <v/>
      </c>
      <c r="D195" s="66">
        <f>'Project Database'!H199</f>
        <v/>
      </c>
      <c r="E195" s="66">
        <f>'Project Database'!I199</f>
        <v/>
      </c>
      <c r="F195" s="66">
        <f>'Project Database'!J199</f>
        <v/>
      </c>
      <c r="G195" s="66">
        <f>'Project Database'!K199</f>
        <v/>
      </c>
      <c r="H195" s="66">
        <f>'Project Database'!L199</f>
        <v/>
      </c>
      <c r="I195" s="66">
        <f>'Project Database'!M199</f>
        <v/>
      </c>
      <c r="J195" s="66">
        <f>'Project Database'!N199</f>
        <v/>
      </c>
      <c r="K195" s="66">
        <f>'Project Database'!O199</f>
        <v/>
      </c>
      <c r="L195" s="66">
        <f>'Project Database'!P199</f>
        <v/>
      </c>
      <c r="M195" s="66">
        <f>'Project Database'!Q199</f>
        <v/>
      </c>
      <c r="N195" s="66">
        <f>'Project Database'!R199</f>
        <v/>
      </c>
      <c r="O195" s="66">
        <f>'Project Database'!S199</f>
        <v/>
      </c>
      <c r="P195" s="66">
        <f>'Project Database'!T199</f>
        <v/>
      </c>
      <c r="Q195" s="66">
        <f>'Project Database'!U199</f>
        <v/>
      </c>
      <c r="R195" s="66">
        <f>'Project Database'!V199</f>
        <v/>
      </c>
      <c r="S195" s="66">
        <f>'Project Database'!W199</f>
        <v/>
      </c>
      <c r="T195" s="66">
        <f>'Project Database'!X199</f>
        <v/>
      </c>
      <c r="U195" s="67">
        <f>'Project Database'!Y199</f>
        <v/>
      </c>
      <c r="V195" s="66">
        <f>IF('Smart Search'!B13=1,IFERROR(1/'Smart Search'!H13,0),0)</f>
        <v/>
      </c>
      <c r="W195" s="66">
        <f>IF('Smart Search'!B13=1,IFERROR(1/'Smart Search'!H13,0),0)</f>
        <v/>
      </c>
      <c r="X195" s="66">
        <f>IF('Smart Search'!C13=1,IFERROR(1/'Smart Search'!H13,0),0)</f>
        <v/>
      </c>
      <c r="Y195" s="66">
        <f>IF('Smart Search'!C13=1,IFERROR(1/'Smart Search'!H13,0),0)</f>
        <v/>
      </c>
      <c r="Z195" s="66">
        <f>IF('Smart Search'!D13=1,IFERROR(1/'Smart Search'!H13,0),0)</f>
        <v/>
      </c>
      <c r="AA195" s="66">
        <f>IF('Smart Search'!D13=1,IFERROR(1/'Smart Search'!H13,0),0)</f>
        <v/>
      </c>
      <c r="AB195" s="66">
        <f>IF('Smart Search'!E13=1,IFERROR(1/'Smart Search'!H13,0),0)</f>
        <v/>
      </c>
      <c r="AC195" s="66">
        <f>IF('Smart Search'!E13=1,IFERROR(1/'Smart Search'!H13,0),0)</f>
        <v/>
      </c>
      <c r="AD195" s="66">
        <f>IF('Smart Search'!F13=1,IFERROR(1/'Smart Search'!H13,0),0)</f>
        <v/>
      </c>
      <c r="AE195" s="66">
        <f>IF('Smart Search'!F13=1,IFERROR(1/'Smart Search'!H13,0),0)</f>
        <v/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66">
        <f>AF195*V195</f>
        <v/>
      </c>
      <c r="AQ195" s="66">
        <f>AG195*W195</f>
        <v/>
      </c>
      <c r="AR195" s="66">
        <f>AH195*X195</f>
        <v/>
      </c>
      <c r="AS195" s="66">
        <f>AI195*Y195</f>
        <v/>
      </c>
      <c r="AT195" s="66">
        <f>AJ195*Z195</f>
        <v/>
      </c>
      <c r="AU195" s="66">
        <f>AK195*AA195</f>
        <v/>
      </c>
      <c r="AV195" s="66">
        <f>AL195*AB195</f>
        <v/>
      </c>
      <c r="AW195" s="66">
        <f>AM195*AC195</f>
        <v/>
      </c>
      <c r="AX195" s="66">
        <f>AN195*AD195</f>
        <v/>
      </c>
      <c r="AY195" s="66">
        <f>AO195*AE195</f>
        <v/>
      </c>
      <c r="AZ195" s="66">
        <f>'Project Database'!Z199</f>
        <v/>
      </c>
      <c r="BA195" s="66">
        <f>IF(OR(A195="",'Smart Search'!H13=0),"",MAX(0,BE195*BF195*MAX(0,1-BG195)))</f>
        <v/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66">
        <f>IF('Smart Search'!G13=1,IFERROR(1/'Smart Search'!H13,0),0)</f>
        <v/>
      </c>
      <c r="BD195" s="66">
        <f>BB195*BC195</f>
        <v/>
      </c>
      <c r="BE195" s="66">
        <f>AP195+AQ195+AR195+AS195+AT195+AU195+AV195+AW195+AX195+AY195+BD195</f>
        <v/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5">
        <f>IF(AND('Project Database'!A199&lt;&gt;"",OR('Smart Search'!$L$5="",'Smart Search'!$L$5="All",TRIM('Project Database'!D199)=TRIM('Smart Search'!$L$5)),OR(TRIM('Smart Search'!$L$6)="",TRIM('Smart Search'!$L$6)="All",ISNUMBER(SEARCH(SUBSTITUTE(SUBSTITUTE(SUBSTITUTE(TRIM('Smart Search'!$L$6),"~","~~"),"*","~*"),"?","~?"),'Project Database'!C199))),OR('Smart Search'!$L$7="",AND('Project Database'!E199&lt;&gt;"",'Project Database'!E199='Smart Search'!$L$7)),OR('Smart Search'!$L$8="",'Smart Search'!$L$8="All",TRIM('Project Database'!F199)=TRIM('Smart Search'!$L$8))),IF(BA195="","",BA195+ROW()*0.0000000001),"")</f>
        <v/>
      </c>
      <c r="BI195" s="5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>
        <f>IF('Project Database'!A199="","",N('Project Database'!AC199))</f>
        <v/>
      </c>
      <c r="BK195" s="5">
        <f>IF('Project Database'!A199="","",N('Project Database'!AD199))</f>
        <v/>
      </c>
      <c r="BL195" s="5">
        <f>IF('Project Database'!A199="","",N('Project Database'!AE199))</f>
        <v/>
      </c>
      <c r="BM195" s="5">
        <f>IF('Project Database'!A199="","",N('Project Database'!AF199))</f>
        <v/>
      </c>
      <c r="BN195" s="5">
        <f>IF('Project Database'!A199="","",N('Project Database'!AG199))</f>
        <v/>
      </c>
      <c r="BO195" s="5">
        <f>IF('Project Database'!A199="","",N('Project Database'!AH199))</f>
        <v/>
      </c>
      <c r="BP195" s="5">
        <f>IF('Project Database'!A199="","",N('Project Database'!AI199))</f>
        <v/>
      </c>
      <c r="BQ195" s="5">
        <f>IF('Project Database'!A199="","",N('Project Database'!AJ199))</f>
        <v/>
      </c>
      <c r="BR195" s="5">
        <f>IF('Project Database'!A199="","",N('Project Database'!AK199))</f>
        <v/>
      </c>
      <c r="BS195" s="5">
        <f>IF('Project Database'!A199="","",N('Project Database'!AL199))</f>
        <v/>
      </c>
      <c r="BT195" s="5">
        <f>IF('Project Database'!A199="","",N('Project Database'!AM199))</f>
        <v/>
      </c>
      <c r="BU195" s="5">
        <f>IF('Project Database'!A199="","",N('Project Database'!AN199))</f>
        <v/>
      </c>
      <c r="BV195" s="5">
        <f>IF('Project Database'!A199="","",N('Project Database'!AO199))</f>
        <v/>
      </c>
      <c r="BW195" s="5">
        <f>IF('Project Database'!A199="","",N('Project Database'!AP199))</f>
        <v/>
      </c>
      <c r="BX195" s="5">
        <f>IF(A195="","",SUM(BJ195:BW195))</f>
        <v/>
      </c>
      <c r="BY195" s="5">
        <f>IF(A195="","",IFERROR(IF(ISNUMBER(U195),U195,VALUE(SUBSTITUTE(SUBSTITUTE(SUBSTITUTE(UPPER(TRIM(U195)),"M",""),",","")," ",""))),0))</f>
        <v/>
      </c>
    </row>
    <row r="196" ht="15" customHeight="1" s="74">
      <c r="A196" s="66">
        <f>'Project Database'!A200</f>
        <v/>
      </c>
      <c r="B196" s="66">
        <f>'Project Database'!B200</f>
        <v/>
      </c>
      <c r="C196" s="66">
        <f>'Project Database'!G200</f>
        <v/>
      </c>
      <c r="D196" s="66">
        <f>'Project Database'!H200</f>
        <v/>
      </c>
      <c r="E196" s="66">
        <f>'Project Database'!I200</f>
        <v/>
      </c>
      <c r="F196" s="66">
        <f>'Project Database'!J200</f>
        <v/>
      </c>
      <c r="G196" s="66">
        <f>'Project Database'!K200</f>
        <v/>
      </c>
      <c r="H196" s="66">
        <f>'Project Database'!L200</f>
        <v/>
      </c>
      <c r="I196" s="66">
        <f>'Project Database'!M200</f>
        <v/>
      </c>
      <c r="J196" s="66">
        <f>'Project Database'!N200</f>
        <v/>
      </c>
      <c r="K196" s="66">
        <f>'Project Database'!O200</f>
        <v/>
      </c>
      <c r="L196" s="66">
        <f>'Project Database'!P200</f>
        <v/>
      </c>
      <c r="M196" s="66">
        <f>'Project Database'!Q200</f>
        <v/>
      </c>
      <c r="N196" s="66">
        <f>'Project Database'!R200</f>
        <v/>
      </c>
      <c r="O196" s="66">
        <f>'Project Database'!S200</f>
        <v/>
      </c>
      <c r="P196" s="66">
        <f>'Project Database'!T200</f>
        <v/>
      </c>
      <c r="Q196" s="66">
        <f>'Project Database'!U200</f>
        <v/>
      </c>
      <c r="R196" s="66">
        <f>'Project Database'!V200</f>
        <v/>
      </c>
      <c r="S196" s="66">
        <f>'Project Database'!W200</f>
        <v/>
      </c>
      <c r="T196" s="66">
        <f>'Project Database'!X200</f>
        <v/>
      </c>
      <c r="U196" s="67">
        <f>'Project Database'!Y200</f>
        <v/>
      </c>
      <c r="V196" s="66">
        <f>IF('Smart Search'!B13=1,IFERROR(1/'Smart Search'!H13,0),0)</f>
        <v/>
      </c>
      <c r="W196" s="66">
        <f>IF('Smart Search'!B13=1,IFERROR(1/'Smart Search'!H13,0),0)</f>
        <v/>
      </c>
      <c r="X196" s="66">
        <f>IF('Smart Search'!C13=1,IFERROR(1/'Smart Search'!H13,0),0)</f>
        <v/>
      </c>
      <c r="Y196" s="66">
        <f>IF('Smart Search'!C13=1,IFERROR(1/'Smart Search'!H13,0),0)</f>
        <v/>
      </c>
      <c r="Z196" s="66">
        <f>IF('Smart Search'!D13=1,IFERROR(1/'Smart Search'!H13,0),0)</f>
        <v/>
      </c>
      <c r="AA196" s="66">
        <f>IF('Smart Search'!D13=1,IFERROR(1/'Smart Search'!H13,0),0)</f>
        <v/>
      </c>
      <c r="AB196" s="66">
        <f>IF('Smart Search'!E13=1,IFERROR(1/'Smart Search'!H13,0),0)</f>
        <v/>
      </c>
      <c r="AC196" s="66">
        <f>IF('Smart Search'!E13=1,IFERROR(1/'Smart Search'!H13,0),0)</f>
        <v/>
      </c>
      <c r="AD196" s="66">
        <f>IF('Smart Search'!F13=1,IFERROR(1/'Smart Search'!H13,0),0)</f>
        <v/>
      </c>
      <c r="AE196" s="66">
        <f>IF('Smart Search'!F13=1,IFERROR(1/'Smart Search'!H13,0),0)</f>
        <v/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66">
        <f>AF196*V196</f>
        <v/>
      </c>
      <c r="AQ196" s="66">
        <f>AG196*W196</f>
        <v/>
      </c>
      <c r="AR196" s="66">
        <f>AH196*X196</f>
        <v/>
      </c>
      <c r="AS196" s="66">
        <f>AI196*Y196</f>
        <v/>
      </c>
      <c r="AT196" s="66">
        <f>AJ196*Z196</f>
        <v/>
      </c>
      <c r="AU196" s="66">
        <f>AK196*AA196</f>
        <v/>
      </c>
      <c r="AV196" s="66">
        <f>AL196*AB196</f>
        <v/>
      </c>
      <c r="AW196" s="66">
        <f>AM196*AC196</f>
        <v/>
      </c>
      <c r="AX196" s="66">
        <f>AN196*AD196</f>
        <v/>
      </c>
      <c r="AY196" s="66">
        <f>AO196*AE196</f>
        <v/>
      </c>
      <c r="AZ196" s="66">
        <f>'Project Database'!Z200</f>
        <v/>
      </c>
      <c r="BA196" s="66">
        <f>IF(OR(A196="",'Smart Search'!H13=0),"",MAX(0,BE196*BF196*MAX(0,1-BG196)))</f>
        <v/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66">
        <f>IF('Smart Search'!G13=1,IFERROR(1/'Smart Search'!H13,0),0)</f>
        <v/>
      </c>
      <c r="BD196" s="66">
        <f>BB196*BC196</f>
        <v/>
      </c>
      <c r="BE196" s="66">
        <f>AP196+AQ196+AR196+AS196+AT196+AU196+AV196+AW196+AX196+AY196+BD196</f>
        <v/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5">
        <f>IF(AND('Project Database'!A200&lt;&gt;"",OR('Smart Search'!$L$5="",'Smart Search'!$L$5="All",TRIM('Project Database'!D200)=TRIM('Smart Search'!$L$5)),OR(TRIM('Smart Search'!$L$6)="",TRIM('Smart Search'!$L$6)="All",ISNUMBER(SEARCH(SUBSTITUTE(SUBSTITUTE(SUBSTITUTE(TRIM('Smart Search'!$L$6),"~","~~"),"*","~*"),"?","~?"),'Project Database'!C200))),OR('Smart Search'!$L$7="",AND('Project Database'!E200&lt;&gt;"",'Project Database'!E200='Smart Search'!$L$7)),OR('Smart Search'!$L$8="",'Smart Search'!$L$8="All",TRIM('Project Database'!F200)=TRIM('Smart Search'!$L$8))),IF(BA196="","",BA196+ROW()*0.0000000001),"")</f>
        <v/>
      </c>
      <c r="BI196" s="5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>
        <f>IF('Project Database'!A200="","",N('Project Database'!AC200))</f>
        <v/>
      </c>
      <c r="BK196" s="5">
        <f>IF('Project Database'!A200="","",N('Project Database'!AD200))</f>
        <v/>
      </c>
      <c r="BL196" s="5">
        <f>IF('Project Database'!A200="","",N('Project Database'!AE200))</f>
        <v/>
      </c>
      <c r="BM196" s="5">
        <f>IF('Project Database'!A200="","",N('Project Database'!AF200))</f>
        <v/>
      </c>
      <c r="BN196" s="5">
        <f>IF('Project Database'!A200="","",N('Project Database'!AG200))</f>
        <v/>
      </c>
      <c r="BO196" s="5">
        <f>IF('Project Database'!A200="","",N('Project Database'!AH200))</f>
        <v/>
      </c>
      <c r="BP196" s="5">
        <f>IF('Project Database'!A200="","",N('Project Database'!AI200))</f>
        <v/>
      </c>
      <c r="BQ196" s="5">
        <f>IF('Project Database'!A200="","",N('Project Database'!AJ200))</f>
        <v/>
      </c>
      <c r="BR196" s="5">
        <f>IF('Project Database'!A200="","",N('Project Database'!AK200))</f>
        <v/>
      </c>
      <c r="BS196" s="5">
        <f>IF('Project Database'!A200="","",N('Project Database'!AL200))</f>
        <v/>
      </c>
      <c r="BT196" s="5">
        <f>IF('Project Database'!A200="","",N('Project Database'!AM200))</f>
        <v/>
      </c>
      <c r="BU196" s="5">
        <f>IF('Project Database'!A200="","",N('Project Database'!AN200))</f>
        <v/>
      </c>
      <c r="BV196" s="5">
        <f>IF('Project Database'!A200="","",N('Project Database'!AO200))</f>
        <v/>
      </c>
      <c r="BW196" s="5">
        <f>IF('Project Database'!A200="","",N('Project Database'!AP200))</f>
        <v/>
      </c>
      <c r="BX196" s="5">
        <f>IF(A196="","",SUM(BJ196:BW196))</f>
        <v/>
      </c>
      <c r="BY196" s="5">
        <f>IF(A196="","",IFERROR(IF(ISNUMBER(U196),U196,VALUE(SUBSTITUTE(SUBSTITUTE(SUBSTITUTE(UPPER(TRIM(U196)),"M",""),",","")," ",""))),0))</f>
        <v/>
      </c>
    </row>
    <row r="197" ht="15" customHeight="1" s="74">
      <c r="A197" s="66">
        <f>'Project Database'!A201</f>
        <v/>
      </c>
      <c r="B197" s="66">
        <f>'Project Database'!B201</f>
        <v/>
      </c>
      <c r="C197" s="66">
        <f>'Project Database'!G201</f>
        <v/>
      </c>
      <c r="D197" s="66">
        <f>'Project Database'!H201</f>
        <v/>
      </c>
      <c r="E197" s="66">
        <f>'Project Database'!I201</f>
        <v/>
      </c>
      <c r="F197" s="66">
        <f>'Project Database'!J201</f>
        <v/>
      </c>
      <c r="G197" s="66">
        <f>'Project Database'!K201</f>
        <v/>
      </c>
      <c r="H197" s="66">
        <f>'Project Database'!L201</f>
        <v/>
      </c>
      <c r="I197" s="66">
        <f>'Project Database'!M201</f>
        <v/>
      </c>
      <c r="J197" s="66">
        <f>'Project Database'!N201</f>
        <v/>
      </c>
      <c r="K197" s="66">
        <f>'Project Database'!O201</f>
        <v/>
      </c>
      <c r="L197" s="66">
        <f>'Project Database'!P201</f>
        <v/>
      </c>
      <c r="M197" s="66">
        <f>'Project Database'!Q201</f>
        <v/>
      </c>
      <c r="N197" s="66">
        <f>'Project Database'!R201</f>
        <v/>
      </c>
      <c r="O197" s="66">
        <f>'Project Database'!S201</f>
        <v/>
      </c>
      <c r="P197" s="66">
        <f>'Project Database'!T201</f>
        <v/>
      </c>
      <c r="Q197" s="66">
        <f>'Project Database'!U201</f>
        <v/>
      </c>
      <c r="R197" s="66">
        <f>'Project Database'!V201</f>
        <v/>
      </c>
      <c r="S197" s="66">
        <f>'Project Database'!W201</f>
        <v/>
      </c>
      <c r="T197" s="66">
        <f>'Project Database'!X201</f>
        <v/>
      </c>
      <c r="U197" s="67">
        <f>'Project Database'!Y201</f>
        <v/>
      </c>
      <c r="V197" s="66">
        <f>IF('Smart Search'!B13=1,IFERROR(1/'Smart Search'!H13,0),0)</f>
        <v/>
      </c>
      <c r="W197" s="66">
        <f>IF('Smart Search'!B13=1,IFERROR(1/'Smart Search'!H13,0),0)</f>
        <v/>
      </c>
      <c r="X197" s="66">
        <f>IF('Smart Search'!C13=1,IFERROR(1/'Smart Search'!H13,0),0)</f>
        <v/>
      </c>
      <c r="Y197" s="66">
        <f>IF('Smart Search'!C13=1,IFERROR(1/'Smart Search'!H13,0),0)</f>
        <v/>
      </c>
      <c r="Z197" s="66">
        <f>IF('Smart Search'!D13=1,IFERROR(1/'Smart Search'!H13,0),0)</f>
        <v/>
      </c>
      <c r="AA197" s="66">
        <f>IF('Smart Search'!D13=1,IFERROR(1/'Smart Search'!H13,0),0)</f>
        <v/>
      </c>
      <c r="AB197" s="66">
        <f>IF('Smart Search'!E13=1,IFERROR(1/'Smart Search'!H13,0),0)</f>
        <v/>
      </c>
      <c r="AC197" s="66">
        <f>IF('Smart Search'!E13=1,IFERROR(1/'Smart Search'!H13,0),0)</f>
        <v/>
      </c>
      <c r="AD197" s="66">
        <f>IF('Smart Search'!F13=1,IFERROR(1/'Smart Search'!H13,0),0)</f>
        <v/>
      </c>
      <c r="AE197" s="66">
        <f>IF('Smart Search'!F13=1,IFERROR(1/'Smart Search'!H13,0),0)</f>
        <v/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66">
        <f>AF197*V197</f>
        <v/>
      </c>
      <c r="AQ197" s="66">
        <f>AG197*W197</f>
        <v/>
      </c>
      <c r="AR197" s="66">
        <f>AH197*X197</f>
        <v/>
      </c>
      <c r="AS197" s="66">
        <f>AI197*Y197</f>
        <v/>
      </c>
      <c r="AT197" s="66">
        <f>AJ197*Z197</f>
        <v/>
      </c>
      <c r="AU197" s="66">
        <f>AK197*AA197</f>
        <v/>
      </c>
      <c r="AV197" s="66">
        <f>AL197*AB197</f>
        <v/>
      </c>
      <c r="AW197" s="66">
        <f>AM197*AC197</f>
        <v/>
      </c>
      <c r="AX197" s="66">
        <f>AN197*AD197</f>
        <v/>
      </c>
      <c r="AY197" s="66">
        <f>AO197*AE197</f>
        <v/>
      </c>
      <c r="AZ197" s="66">
        <f>'Project Database'!Z201</f>
        <v/>
      </c>
      <c r="BA197" s="66">
        <f>IF(OR(A197="",'Smart Search'!H13=0),"",MAX(0,BE197*BF197*MAX(0,1-BG197)))</f>
        <v/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66">
        <f>IF('Smart Search'!G13=1,IFERROR(1/'Smart Search'!H13,0),0)</f>
        <v/>
      </c>
      <c r="BD197" s="66">
        <f>BB197*BC197</f>
        <v/>
      </c>
      <c r="BE197" s="66">
        <f>AP197+AQ197+AR197+AS197+AT197+AU197+AV197+AW197+AX197+AY197+BD197</f>
        <v/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5">
        <f>IF(AND('Project Database'!A201&lt;&gt;"",OR('Smart Search'!$L$5="",'Smart Search'!$L$5="All",TRIM('Project Database'!D201)=TRIM('Smart Search'!$L$5)),OR(TRIM('Smart Search'!$L$6)="",TRIM('Smart Search'!$L$6)="All",ISNUMBER(SEARCH(SUBSTITUTE(SUBSTITUTE(SUBSTITUTE(TRIM('Smart Search'!$L$6),"~","~~"),"*","~*"),"?","~?"),'Project Database'!C201))),OR('Smart Search'!$L$7="",AND('Project Database'!E201&lt;&gt;"",'Project Database'!E201='Smart Search'!$L$7)),OR('Smart Search'!$L$8="",'Smart Search'!$L$8="All",TRIM('Project Database'!F201)=TRIM('Smart Search'!$L$8))),IF(BA197="","",BA197+ROW()*0.0000000001),"")</f>
        <v/>
      </c>
      <c r="BI197" s="5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>
        <f>IF('Project Database'!A201="","",N('Project Database'!AC201))</f>
        <v/>
      </c>
      <c r="BK197" s="5">
        <f>IF('Project Database'!A201="","",N('Project Database'!AD201))</f>
        <v/>
      </c>
      <c r="BL197" s="5">
        <f>IF('Project Database'!A201="","",N('Project Database'!AE201))</f>
        <v/>
      </c>
      <c r="BM197" s="5">
        <f>IF('Project Database'!A201="","",N('Project Database'!AF201))</f>
        <v/>
      </c>
      <c r="BN197" s="5">
        <f>IF('Project Database'!A201="","",N('Project Database'!AG201))</f>
        <v/>
      </c>
      <c r="BO197" s="5">
        <f>IF('Project Database'!A201="","",N('Project Database'!AH201))</f>
        <v/>
      </c>
      <c r="BP197" s="5">
        <f>IF('Project Database'!A201="","",N('Project Database'!AI201))</f>
        <v/>
      </c>
      <c r="BQ197" s="5">
        <f>IF('Project Database'!A201="","",N('Project Database'!AJ201))</f>
        <v/>
      </c>
      <c r="BR197" s="5">
        <f>IF('Project Database'!A201="","",N('Project Database'!AK201))</f>
        <v/>
      </c>
      <c r="BS197" s="5">
        <f>IF('Project Database'!A201="","",N('Project Database'!AL201))</f>
        <v/>
      </c>
      <c r="BT197" s="5">
        <f>IF('Project Database'!A201="","",N('Project Database'!AM201))</f>
        <v/>
      </c>
      <c r="BU197" s="5">
        <f>IF('Project Database'!A201="","",N('Project Database'!AN201))</f>
        <v/>
      </c>
      <c r="BV197" s="5">
        <f>IF('Project Database'!A201="","",N('Project Database'!AO201))</f>
        <v/>
      </c>
      <c r="BW197" s="5">
        <f>IF('Project Database'!A201="","",N('Project Database'!AP201))</f>
        <v/>
      </c>
      <c r="BX197" s="5">
        <f>IF(A197="","",SUM(BJ197:BW197))</f>
        <v/>
      </c>
      <c r="BY197" s="5">
        <f>IF(A197="","",IFERROR(IF(ISNUMBER(U197),U197,VALUE(SUBSTITUTE(SUBSTITUTE(SUBSTITUTE(UPPER(TRIM(U197)),"M",""),",","")," ",""))),0))</f>
        <v/>
      </c>
    </row>
    <row r="198" ht="15" customHeight="1" s="74">
      <c r="A198" s="66">
        <f>'Project Database'!A202</f>
        <v/>
      </c>
      <c r="B198" s="66">
        <f>'Project Database'!B202</f>
        <v/>
      </c>
      <c r="C198" s="66">
        <f>'Project Database'!G202</f>
        <v/>
      </c>
      <c r="D198" s="66">
        <f>'Project Database'!H202</f>
        <v/>
      </c>
      <c r="E198" s="66">
        <f>'Project Database'!I202</f>
        <v/>
      </c>
      <c r="F198" s="66">
        <f>'Project Database'!J202</f>
        <v/>
      </c>
      <c r="G198" s="66">
        <f>'Project Database'!K202</f>
        <v/>
      </c>
      <c r="H198" s="66">
        <f>'Project Database'!L202</f>
        <v/>
      </c>
      <c r="I198" s="66">
        <f>'Project Database'!M202</f>
        <v/>
      </c>
      <c r="J198" s="66">
        <f>'Project Database'!N202</f>
        <v/>
      </c>
      <c r="K198" s="66">
        <f>'Project Database'!O202</f>
        <v/>
      </c>
      <c r="L198" s="66">
        <f>'Project Database'!P202</f>
        <v/>
      </c>
      <c r="M198" s="66">
        <f>'Project Database'!Q202</f>
        <v/>
      </c>
      <c r="N198" s="66">
        <f>'Project Database'!R202</f>
        <v/>
      </c>
      <c r="O198" s="66">
        <f>'Project Database'!S202</f>
        <v/>
      </c>
      <c r="P198" s="66">
        <f>'Project Database'!T202</f>
        <v/>
      </c>
      <c r="Q198" s="66">
        <f>'Project Database'!U202</f>
        <v/>
      </c>
      <c r="R198" s="66">
        <f>'Project Database'!V202</f>
        <v/>
      </c>
      <c r="S198" s="66">
        <f>'Project Database'!W202</f>
        <v/>
      </c>
      <c r="T198" s="66">
        <f>'Project Database'!X202</f>
        <v/>
      </c>
      <c r="U198" s="67">
        <f>'Project Database'!Y202</f>
        <v/>
      </c>
      <c r="V198" s="66">
        <f>IF('Smart Search'!B13=1,IFERROR(1/'Smart Search'!H13,0),0)</f>
        <v/>
      </c>
      <c r="W198" s="66">
        <f>IF('Smart Search'!B13=1,IFERROR(1/'Smart Search'!H13,0),0)</f>
        <v/>
      </c>
      <c r="X198" s="66">
        <f>IF('Smart Search'!C13=1,IFERROR(1/'Smart Search'!H13,0),0)</f>
        <v/>
      </c>
      <c r="Y198" s="66">
        <f>IF('Smart Search'!C13=1,IFERROR(1/'Smart Search'!H13,0),0)</f>
        <v/>
      </c>
      <c r="Z198" s="66">
        <f>IF('Smart Search'!D13=1,IFERROR(1/'Smart Search'!H13,0),0)</f>
        <v/>
      </c>
      <c r="AA198" s="66">
        <f>IF('Smart Search'!D13=1,IFERROR(1/'Smart Search'!H13,0),0)</f>
        <v/>
      </c>
      <c r="AB198" s="66">
        <f>IF('Smart Search'!E13=1,IFERROR(1/'Smart Search'!H13,0),0)</f>
        <v/>
      </c>
      <c r="AC198" s="66">
        <f>IF('Smart Search'!E13=1,IFERROR(1/'Smart Search'!H13,0),0)</f>
        <v/>
      </c>
      <c r="AD198" s="66">
        <f>IF('Smart Search'!F13=1,IFERROR(1/'Smart Search'!H13,0),0)</f>
        <v/>
      </c>
      <c r="AE198" s="66">
        <f>IF('Smart Search'!F13=1,IFERROR(1/'Smart Search'!H13,0),0)</f>
        <v/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66">
        <f>AF198*V198</f>
        <v/>
      </c>
      <c r="AQ198" s="66">
        <f>AG198*W198</f>
        <v/>
      </c>
      <c r="AR198" s="66">
        <f>AH198*X198</f>
        <v/>
      </c>
      <c r="AS198" s="66">
        <f>AI198*Y198</f>
        <v/>
      </c>
      <c r="AT198" s="66">
        <f>AJ198*Z198</f>
        <v/>
      </c>
      <c r="AU198" s="66">
        <f>AK198*AA198</f>
        <v/>
      </c>
      <c r="AV198" s="66">
        <f>AL198*AB198</f>
        <v/>
      </c>
      <c r="AW198" s="66">
        <f>AM198*AC198</f>
        <v/>
      </c>
      <c r="AX198" s="66">
        <f>AN198*AD198</f>
        <v/>
      </c>
      <c r="AY198" s="66">
        <f>AO198*AE198</f>
        <v/>
      </c>
      <c r="AZ198" s="66">
        <f>'Project Database'!Z202</f>
        <v/>
      </c>
      <c r="BA198" s="66">
        <f>IF(OR(A198="",'Smart Search'!H13=0),"",MAX(0,BE198*BF198*MAX(0,1-BG198)))</f>
        <v/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66">
        <f>IF('Smart Search'!G13=1,IFERROR(1/'Smart Search'!H13,0),0)</f>
        <v/>
      </c>
      <c r="BD198" s="66">
        <f>BB198*BC198</f>
        <v/>
      </c>
      <c r="BE198" s="66">
        <f>AP198+AQ198+AR198+AS198+AT198+AU198+AV198+AW198+AX198+AY198+BD198</f>
        <v/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5">
        <f>IF(AND('Project Database'!A202&lt;&gt;"",OR('Smart Search'!$L$5="",'Smart Search'!$L$5="All",TRIM('Project Database'!D202)=TRIM('Smart Search'!$L$5)),OR(TRIM('Smart Search'!$L$6)="",TRIM('Smart Search'!$L$6)="All",ISNUMBER(SEARCH(SUBSTITUTE(SUBSTITUTE(SUBSTITUTE(TRIM('Smart Search'!$L$6),"~","~~"),"*","~*"),"?","~?"),'Project Database'!C202))),OR('Smart Search'!$L$7="",AND('Project Database'!E202&lt;&gt;"",'Project Database'!E202='Smart Search'!$L$7)),OR('Smart Search'!$L$8="",'Smart Search'!$L$8="All",TRIM('Project Database'!F202)=TRIM('Smart Search'!$L$8))),IF(BA198="","",BA198+ROW()*0.0000000001),"")</f>
        <v/>
      </c>
      <c r="BI198" s="5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>
        <f>IF('Project Database'!A202="","",N('Project Database'!AC202))</f>
        <v/>
      </c>
      <c r="BK198" s="5">
        <f>IF('Project Database'!A202="","",N('Project Database'!AD202))</f>
        <v/>
      </c>
      <c r="BL198" s="5">
        <f>IF('Project Database'!A202="","",N('Project Database'!AE202))</f>
        <v/>
      </c>
      <c r="BM198" s="5">
        <f>IF('Project Database'!A202="","",N('Project Database'!AF202))</f>
        <v/>
      </c>
      <c r="BN198" s="5">
        <f>IF('Project Database'!A202="","",N('Project Database'!AG202))</f>
        <v/>
      </c>
      <c r="BO198" s="5">
        <f>IF('Project Database'!A202="","",N('Project Database'!AH202))</f>
        <v/>
      </c>
      <c r="BP198" s="5">
        <f>IF('Project Database'!A202="","",N('Project Database'!AI202))</f>
        <v/>
      </c>
      <c r="BQ198" s="5">
        <f>IF('Project Database'!A202="","",N('Project Database'!AJ202))</f>
        <v/>
      </c>
      <c r="BR198" s="5">
        <f>IF('Project Database'!A202="","",N('Project Database'!AK202))</f>
        <v/>
      </c>
      <c r="BS198" s="5">
        <f>IF('Project Database'!A202="","",N('Project Database'!AL202))</f>
        <v/>
      </c>
      <c r="BT198" s="5">
        <f>IF('Project Database'!A202="","",N('Project Database'!AM202))</f>
        <v/>
      </c>
      <c r="BU198" s="5">
        <f>IF('Project Database'!A202="","",N('Project Database'!AN202))</f>
        <v/>
      </c>
      <c r="BV198" s="5">
        <f>IF('Project Database'!A202="","",N('Project Database'!AO202))</f>
        <v/>
      </c>
      <c r="BW198" s="5">
        <f>IF('Project Database'!A202="","",N('Project Database'!AP202))</f>
        <v/>
      </c>
      <c r="BX198" s="5">
        <f>IF(A198="","",SUM(BJ198:BW198))</f>
        <v/>
      </c>
      <c r="BY198" s="5">
        <f>IF(A198="","",IFERROR(IF(ISNUMBER(U198),U198,VALUE(SUBSTITUTE(SUBSTITUTE(SUBSTITUTE(UPPER(TRIM(U198)),"M",""),",","")," ",""))),0))</f>
        <v/>
      </c>
    </row>
    <row r="199" ht="15" customHeight="1" s="74">
      <c r="A199" s="66">
        <f>'Project Database'!A203</f>
        <v/>
      </c>
      <c r="B199" s="66">
        <f>'Project Database'!B203</f>
        <v/>
      </c>
      <c r="C199" s="66">
        <f>'Project Database'!G203</f>
        <v/>
      </c>
      <c r="D199" s="66">
        <f>'Project Database'!H203</f>
        <v/>
      </c>
      <c r="E199" s="66">
        <f>'Project Database'!I203</f>
        <v/>
      </c>
      <c r="F199" s="66">
        <f>'Project Database'!J203</f>
        <v/>
      </c>
      <c r="G199" s="66">
        <f>'Project Database'!K203</f>
        <v/>
      </c>
      <c r="H199" s="66">
        <f>'Project Database'!L203</f>
        <v/>
      </c>
      <c r="I199" s="66">
        <f>'Project Database'!M203</f>
        <v/>
      </c>
      <c r="J199" s="66">
        <f>'Project Database'!N203</f>
        <v/>
      </c>
      <c r="K199" s="66">
        <f>'Project Database'!O203</f>
        <v/>
      </c>
      <c r="L199" s="66">
        <f>'Project Database'!P203</f>
        <v/>
      </c>
      <c r="M199" s="66">
        <f>'Project Database'!Q203</f>
        <v/>
      </c>
      <c r="N199" s="66">
        <f>'Project Database'!R203</f>
        <v/>
      </c>
      <c r="O199" s="66">
        <f>'Project Database'!S203</f>
        <v/>
      </c>
      <c r="P199" s="66">
        <f>'Project Database'!T203</f>
        <v/>
      </c>
      <c r="Q199" s="66">
        <f>'Project Database'!U203</f>
        <v/>
      </c>
      <c r="R199" s="66">
        <f>'Project Database'!V203</f>
        <v/>
      </c>
      <c r="S199" s="66">
        <f>'Project Database'!W203</f>
        <v/>
      </c>
      <c r="T199" s="66">
        <f>'Project Database'!X203</f>
        <v/>
      </c>
      <c r="U199" s="67">
        <f>'Project Database'!Y203</f>
        <v/>
      </c>
      <c r="V199" s="66">
        <f>IF('Smart Search'!B13=1,IFERROR(1/'Smart Search'!H13,0),0)</f>
        <v/>
      </c>
      <c r="W199" s="66">
        <f>IF('Smart Search'!B13=1,IFERROR(1/'Smart Search'!H13,0),0)</f>
        <v/>
      </c>
      <c r="X199" s="66">
        <f>IF('Smart Search'!C13=1,IFERROR(1/'Smart Search'!H13,0),0)</f>
        <v/>
      </c>
      <c r="Y199" s="66">
        <f>IF('Smart Search'!C13=1,IFERROR(1/'Smart Search'!H13,0),0)</f>
        <v/>
      </c>
      <c r="Z199" s="66">
        <f>IF('Smart Search'!D13=1,IFERROR(1/'Smart Search'!H13,0),0)</f>
        <v/>
      </c>
      <c r="AA199" s="66">
        <f>IF('Smart Search'!D13=1,IFERROR(1/'Smart Search'!H13,0),0)</f>
        <v/>
      </c>
      <c r="AB199" s="66">
        <f>IF('Smart Search'!E13=1,IFERROR(1/'Smart Search'!H13,0),0)</f>
        <v/>
      </c>
      <c r="AC199" s="66">
        <f>IF('Smart Search'!E13=1,IFERROR(1/'Smart Search'!H13,0),0)</f>
        <v/>
      </c>
      <c r="AD199" s="66">
        <f>IF('Smart Search'!F13=1,IFERROR(1/'Smart Search'!H13,0),0)</f>
        <v/>
      </c>
      <c r="AE199" s="66">
        <f>IF('Smart Search'!F13=1,IFERROR(1/'Smart Search'!H13,0),0)</f>
        <v/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66">
        <f>AF199*V199</f>
        <v/>
      </c>
      <c r="AQ199" s="66">
        <f>AG199*W199</f>
        <v/>
      </c>
      <c r="AR199" s="66">
        <f>AH199*X199</f>
        <v/>
      </c>
      <c r="AS199" s="66">
        <f>AI199*Y199</f>
        <v/>
      </c>
      <c r="AT199" s="66">
        <f>AJ199*Z199</f>
        <v/>
      </c>
      <c r="AU199" s="66">
        <f>AK199*AA199</f>
        <v/>
      </c>
      <c r="AV199" s="66">
        <f>AL199*AB199</f>
        <v/>
      </c>
      <c r="AW199" s="66">
        <f>AM199*AC199</f>
        <v/>
      </c>
      <c r="AX199" s="66">
        <f>AN199*AD199</f>
        <v/>
      </c>
      <c r="AY199" s="66">
        <f>AO199*AE199</f>
        <v/>
      </c>
      <c r="AZ199" s="66">
        <f>'Project Database'!Z203</f>
        <v/>
      </c>
      <c r="BA199" s="66">
        <f>IF(OR(A199="",'Smart Search'!H13=0),"",MAX(0,BE199*BF199*MAX(0,1-BG199)))</f>
        <v/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66">
        <f>IF('Smart Search'!G13=1,IFERROR(1/'Smart Search'!H13,0),0)</f>
        <v/>
      </c>
      <c r="BD199" s="66">
        <f>BB199*BC199</f>
        <v/>
      </c>
      <c r="BE199" s="66">
        <f>AP199+AQ199+AR199+AS199+AT199+AU199+AV199+AW199+AX199+AY199+BD199</f>
        <v/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5">
        <f>IF(AND('Project Database'!A203&lt;&gt;"",OR('Smart Search'!$L$5="",'Smart Search'!$L$5="All",TRIM('Project Database'!D203)=TRIM('Smart Search'!$L$5)),OR(TRIM('Smart Search'!$L$6)="",TRIM('Smart Search'!$L$6)="All",ISNUMBER(SEARCH(SUBSTITUTE(SUBSTITUTE(SUBSTITUTE(TRIM('Smart Search'!$L$6),"~","~~"),"*","~*"),"?","~?"),'Project Database'!C203))),OR('Smart Search'!$L$7="",AND('Project Database'!E203&lt;&gt;"",'Project Database'!E203='Smart Search'!$L$7)),OR('Smart Search'!$L$8="",'Smart Search'!$L$8="All",TRIM('Project Database'!F203)=TRIM('Smart Search'!$L$8))),IF(BA199="","",BA199+ROW()*0.0000000001),"")</f>
        <v/>
      </c>
      <c r="BI199" s="5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>
        <f>IF('Project Database'!A203="","",N('Project Database'!AC203))</f>
        <v/>
      </c>
      <c r="BK199" s="5">
        <f>IF('Project Database'!A203="","",N('Project Database'!AD203))</f>
        <v/>
      </c>
      <c r="BL199" s="5">
        <f>IF('Project Database'!A203="","",N('Project Database'!AE203))</f>
        <v/>
      </c>
      <c r="BM199" s="5">
        <f>IF('Project Database'!A203="","",N('Project Database'!AF203))</f>
        <v/>
      </c>
      <c r="BN199" s="5">
        <f>IF('Project Database'!A203="","",N('Project Database'!AG203))</f>
        <v/>
      </c>
      <c r="BO199" s="5">
        <f>IF('Project Database'!A203="","",N('Project Database'!AH203))</f>
        <v/>
      </c>
      <c r="BP199" s="5">
        <f>IF('Project Database'!A203="","",N('Project Database'!AI203))</f>
        <v/>
      </c>
      <c r="BQ199" s="5">
        <f>IF('Project Database'!A203="","",N('Project Database'!AJ203))</f>
        <v/>
      </c>
      <c r="BR199" s="5">
        <f>IF('Project Database'!A203="","",N('Project Database'!AK203))</f>
        <v/>
      </c>
      <c r="BS199" s="5">
        <f>IF('Project Database'!A203="","",N('Project Database'!AL203))</f>
        <v/>
      </c>
      <c r="BT199" s="5">
        <f>IF('Project Database'!A203="","",N('Project Database'!AM203))</f>
        <v/>
      </c>
      <c r="BU199" s="5">
        <f>IF('Project Database'!A203="","",N('Project Database'!AN203))</f>
        <v/>
      </c>
      <c r="BV199" s="5">
        <f>IF('Project Database'!A203="","",N('Project Database'!AO203))</f>
        <v/>
      </c>
      <c r="BW199" s="5">
        <f>IF('Project Database'!A203="","",N('Project Database'!AP203))</f>
        <v/>
      </c>
      <c r="BX199" s="5">
        <f>IF(A199="","",SUM(BJ199:BW199))</f>
        <v/>
      </c>
      <c r="BY199" s="5">
        <f>IF(A199="","",IFERROR(IF(ISNUMBER(U199),U199,VALUE(SUBSTITUTE(SUBSTITUTE(SUBSTITUTE(UPPER(TRIM(U199)),"M",""),",","")," ",""))),0))</f>
        <v/>
      </c>
    </row>
    <row r="200" ht="15" customHeight="1" s="74">
      <c r="A200" s="66">
        <f>'Project Database'!A204</f>
        <v/>
      </c>
      <c r="B200" s="66">
        <f>'Project Database'!B204</f>
        <v/>
      </c>
      <c r="C200" s="66">
        <f>'Project Database'!G204</f>
        <v/>
      </c>
      <c r="D200" s="66">
        <f>'Project Database'!H204</f>
        <v/>
      </c>
      <c r="E200" s="66">
        <f>'Project Database'!I204</f>
        <v/>
      </c>
      <c r="F200" s="66">
        <f>'Project Database'!J204</f>
        <v/>
      </c>
      <c r="G200" s="66">
        <f>'Project Database'!K204</f>
        <v/>
      </c>
      <c r="H200" s="66">
        <f>'Project Database'!L204</f>
        <v/>
      </c>
      <c r="I200" s="66">
        <f>'Project Database'!M204</f>
        <v/>
      </c>
      <c r="J200" s="66">
        <f>'Project Database'!N204</f>
        <v/>
      </c>
      <c r="K200" s="66">
        <f>'Project Database'!O204</f>
        <v/>
      </c>
      <c r="L200" s="66">
        <f>'Project Database'!P204</f>
        <v/>
      </c>
      <c r="M200" s="66">
        <f>'Project Database'!Q204</f>
        <v/>
      </c>
      <c r="N200" s="66">
        <f>'Project Database'!R204</f>
        <v/>
      </c>
      <c r="O200" s="66">
        <f>'Project Database'!S204</f>
        <v/>
      </c>
      <c r="P200" s="66">
        <f>'Project Database'!T204</f>
        <v/>
      </c>
      <c r="Q200" s="66">
        <f>'Project Database'!U204</f>
        <v/>
      </c>
      <c r="R200" s="66">
        <f>'Project Database'!V204</f>
        <v/>
      </c>
      <c r="S200" s="66">
        <f>'Project Database'!W204</f>
        <v/>
      </c>
      <c r="T200" s="66">
        <f>'Project Database'!X204</f>
        <v/>
      </c>
      <c r="U200" s="67">
        <f>'Project Database'!Y204</f>
        <v/>
      </c>
      <c r="V200" s="66">
        <f>IF('Smart Search'!B13=1,IFERROR(1/'Smart Search'!H13,0),0)</f>
        <v/>
      </c>
      <c r="W200" s="66">
        <f>IF('Smart Search'!B13=1,IFERROR(1/'Smart Search'!H13,0),0)</f>
        <v/>
      </c>
      <c r="X200" s="66">
        <f>IF('Smart Search'!C13=1,IFERROR(1/'Smart Search'!H13,0),0)</f>
        <v/>
      </c>
      <c r="Y200" s="66">
        <f>IF('Smart Search'!C13=1,IFERROR(1/'Smart Search'!H13,0),0)</f>
        <v/>
      </c>
      <c r="Z200" s="66">
        <f>IF('Smart Search'!D13=1,IFERROR(1/'Smart Search'!H13,0),0)</f>
        <v/>
      </c>
      <c r="AA200" s="66">
        <f>IF('Smart Search'!D13=1,IFERROR(1/'Smart Search'!H13,0),0)</f>
        <v/>
      </c>
      <c r="AB200" s="66">
        <f>IF('Smart Search'!E13=1,IFERROR(1/'Smart Search'!H13,0),0)</f>
        <v/>
      </c>
      <c r="AC200" s="66">
        <f>IF('Smart Search'!E13=1,IFERROR(1/'Smart Search'!H13,0),0)</f>
        <v/>
      </c>
      <c r="AD200" s="66">
        <f>IF('Smart Search'!F13=1,IFERROR(1/'Smart Search'!H13,0),0)</f>
        <v/>
      </c>
      <c r="AE200" s="66">
        <f>IF('Smart Search'!F13=1,IFERROR(1/'Smart Search'!H13,0),0)</f>
        <v/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66">
        <f>AF200*V200</f>
        <v/>
      </c>
      <c r="AQ200" s="66">
        <f>AG200*W200</f>
        <v/>
      </c>
      <c r="AR200" s="66">
        <f>AH200*X200</f>
        <v/>
      </c>
      <c r="AS200" s="66">
        <f>AI200*Y200</f>
        <v/>
      </c>
      <c r="AT200" s="66">
        <f>AJ200*Z200</f>
        <v/>
      </c>
      <c r="AU200" s="66">
        <f>AK200*AA200</f>
        <v/>
      </c>
      <c r="AV200" s="66">
        <f>AL200*AB200</f>
        <v/>
      </c>
      <c r="AW200" s="66">
        <f>AM200*AC200</f>
        <v/>
      </c>
      <c r="AX200" s="66">
        <f>AN200*AD200</f>
        <v/>
      </c>
      <c r="AY200" s="66">
        <f>AO200*AE200</f>
        <v/>
      </c>
      <c r="AZ200" s="66">
        <f>'Project Database'!Z204</f>
        <v/>
      </c>
      <c r="BA200" s="66">
        <f>IF(OR(A200="",'Smart Search'!H13=0),"",MAX(0,BE200*BF200*MAX(0,1-BG200)))</f>
        <v/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66">
        <f>IF('Smart Search'!G13=1,IFERROR(1/'Smart Search'!H13,0),0)</f>
        <v/>
      </c>
      <c r="BD200" s="66">
        <f>BB200*BC200</f>
        <v/>
      </c>
      <c r="BE200" s="66">
        <f>AP200+AQ200+AR200+AS200+AT200+AU200+AV200+AW200+AX200+AY200+BD200</f>
        <v/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5">
        <f>IF(AND('Project Database'!A204&lt;&gt;"",OR('Smart Search'!$L$5="",'Smart Search'!$L$5="All",TRIM('Project Database'!D204)=TRIM('Smart Search'!$L$5)),OR(TRIM('Smart Search'!$L$6)="",TRIM('Smart Search'!$L$6)="All",ISNUMBER(SEARCH(SUBSTITUTE(SUBSTITUTE(SUBSTITUTE(TRIM('Smart Search'!$L$6),"~","~~"),"*","~*"),"?","~?"),'Project Database'!C204))),OR('Smart Search'!$L$7="",AND('Project Database'!E204&lt;&gt;"",'Project Database'!E204='Smart Search'!$L$7)),OR('Smart Search'!$L$8="",'Smart Search'!$L$8="All",TRIM('Project Database'!F204)=TRIM('Smart Search'!$L$8))),IF(BA200="","",BA200+ROW()*0.0000000001),"")</f>
        <v/>
      </c>
      <c r="BI200" s="5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>
        <f>IF('Project Database'!A204="","",N('Project Database'!AC204))</f>
        <v/>
      </c>
      <c r="BK200" s="5">
        <f>IF('Project Database'!A204="","",N('Project Database'!AD204))</f>
        <v/>
      </c>
      <c r="BL200" s="5">
        <f>IF('Project Database'!A204="","",N('Project Database'!AE204))</f>
        <v/>
      </c>
      <c r="BM200" s="5">
        <f>IF('Project Database'!A204="","",N('Project Database'!AF204))</f>
        <v/>
      </c>
      <c r="BN200" s="5">
        <f>IF('Project Database'!A204="","",N('Project Database'!AG204))</f>
        <v/>
      </c>
      <c r="BO200" s="5">
        <f>IF('Project Database'!A204="","",N('Project Database'!AH204))</f>
        <v/>
      </c>
      <c r="BP200" s="5">
        <f>IF('Project Database'!A204="","",N('Project Database'!AI204))</f>
        <v/>
      </c>
      <c r="BQ200" s="5">
        <f>IF('Project Database'!A204="","",N('Project Database'!AJ204))</f>
        <v/>
      </c>
      <c r="BR200" s="5">
        <f>IF('Project Database'!A204="","",N('Project Database'!AK204))</f>
        <v/>
      </c>
      <c r="BS200" s="5">
        <f>IF('Project Database'!A204="","",N('Project Database'!AL204))</f>
        <v/>
      </c>
      <c r="BT200" s="5">
        <f>IF('Project Database'!A204="","",N('Project Database'!AM204))</f>
        <v/>
      </c>
      <c r="BU200" s="5">
        <f>IF('Project Database'!A204="","",N('Project Database'!AN204))</f>
        <v/>
      </c>
      <c r="BV200" s="5">
        <f>IF('Project Database'!A204="","",N('Project Database'!AO204))</f>
        <v/>
      </c>
      <c r="BW200" s="5">
        <f>IF('Project Database'!A204="","",N('Project Database'!AP204))</f>
        <v/>
      </c>
      <c r="BX200" s="5">
        <f>IF(A200="","",SUM(BJ200:BW200))</f>
        <v/>
      </c>
      <c r="BY200" s="5">
        <f>IF(A200="","",IFERROR(IF(ISNUMBER(U200),U200,VALUE(SUBSTITUTE(SUBSTITUTE(SUBSTITUTE(UPPER(TRIM(U200)),"M",""),",","")," ",""))),0))</f>
        <v/>
      </c>
    </row>
    <row r="201" ht="15" customHeight="1" s="74">
      <c r="A201" s="66">
        <f>'Project Database'!A205</f>
        <v/>
      </c>
      <c r="B201" s="66">
        <f>'Project Database'!B205</f>
        <v/>
      </c>
      <c r="C201" s="66">
        <f>'Project Database'!G205</f>
        <v/>
      </c>
      <c r="D201" s="66">
        <f>'Project Database'!H205</f>
        <v/>
      </c>
      <c r="E201" s="66">
        <f>'Project Database'!I205</f>
        <v/>
      </c>
      <c r="F201" s="66">
        <f>'Project Database'!J205</f>
        <v/>
      </c>
      <c r="G201" s="66">
        <f>'Project Database'!K205</f>
        <v/>
      </c>
      <c r="H201" s="66">
        <f>'Project Database'!L205</f>
        <v/>
      </c>
      <c r="I201" s="66">
        <f>'Project Database'!M205</f>
        <v/>
      </c>
      <c r="J201" s="66">
        <f>'Project Database'!N205</f>
        <v/>
      </c>
      <c r="K201" s="66">
        <f>'Project Database'!O205</f>
        <v/>
      </c>
      <c r="L201" s="66">
        <f>'Project Database'!P205</f>
        <v/>
      </c>
      <c r="M201" s="66">
        <f>'Project Database'!Q205</f>
        <v/>
      </c>
      <c r="N201" s="66">
        <f>'Project Database'!R205</f>
        <v/>
      </c>
      <c r="O201" s="66">
        <f>'Project Database'!S205</f>
        <v/>
      </c>
      <c r="P201" s="66">
        <f>'Project Database'!T205</f>
        <v/>
      </c>
      <c r="Q201" s="66">
        <f>'Project Database'!U205</f>
        <v/>
      </c>
      <c r="R201" s="66">
        <f>'Project Database'!V205</f>
        <v/>
      </c>
      <c r="S201" s="66">
        <f>'Project Database'!W205</f>
        <v/>
      </c>
      <c r="T201" s="66">
        <f>'Project Database'!X205</f>
        <v/>
      </c>
      <c r="U201" s="67">
        <f>'Project Database'!Y205</f>
        <v/>
      </c>
      <c r="V201" s="66">
        <f>IF('Smart Search'!B13=1,IFERROR(1/'Smart Search'!H13,0),0)</f>
        <v/>
      </c>
      <c r="W201" s="66">
        <f>IF('Smart Search'!B13=1,IFERROR(1/'Smart Search'!H13,0),0)</f>
        <v/>
      </c>
      <c r="X201" s="66">
        <f>IF('Smart Search'!C13=1,IFERROR(1/'Smart Search'!H13,0),0)</f>
        <v/>
      </c>
      <c r="Y201" s="66">
        <f>IF('Smart Search'!C13=1,IFERROR(1/'Smart Search'!H13,0),0)</f>
        <v/>
      </c>
      <c r="Z201" s="66">
        <f>IF('Smart Search'!D13=1,IFERROR(1/'Smart Search'!H13,0),0)</f>
        <v/>
      </c>
      <c r="AA201" s="66">
        <f>IF('Smart Search'!D13=1,IFERROR(1/'Smart Search'!H13,0),0)</f>
        <v/>
      </c>
      <c r="AB201" s="66">
        <f>IF('Smart Search'!E13=1,IFERROR(1/'Smart Search'!H13,0),0)</f>
        <v/>
      </c>
      <c r="AC201" s="66">
        <f>IF('Smart Search'!E13=1,IFERROR(1/'Smart Search'!H13,0),0)</f>
        <v/>
      </c>
      <c r="AD201" s="66">
        <f>IF('Smart Search'!F13=1,IFERROR(1/'Smart Search'!H13,0),0)</f>
        <v/>
      </c>
      <c r="AE201" s="66">
        <f>IF('Smart Search'!F13=1,IFERROR(1/'Smart Search'!H13,0),0)</f>
        <v/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66">
        <f>AF201*V201</f>
        <v/>
      </c>
      <c r="AQ201" s="66">
        <f>AG201*W201</f>
        <v/>
      </c>
      <c r="AR201" s="66">
        <f>AH201*X201</f>
        <v/>
      </c>
      <c r="AS201" s="66">
        <f>AI201*Y201</f>
        <v/>
      </c>
      <c r="AT201" s="66">
        <f>AJ201*Z201</f>
        <v/>
      </c>
      <c r="AU201" s="66">
        <f>AK201*AA201</f>
        <v/>
      </c>
      <c r="AV201" s="66">
        <f>AL201*AB201</f>
        <v/>
      </c>
      <c r="AW201" s="66">
        <f>AM201*AC201</f>
        <v/>
      </c>
      <c r="AX201" s="66">
        <f>AN201*AD201</f>
        <v/>
      </c>
      <c r="AY201" s="66">
        <f>AO201*AE201</f>
        <v/>
      </c>
      <c r="AZ201" s="66">
        <f>'Project Database'!Z205</f>
        <v/>
      </c>
      <c r="BA201" s="66">
        <f>IF(OR(A201="",'Smart Search'!H13=0),"",MAX(0,BE201*BF201*MAX(0,1-BG201)))</f>
        <v/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66">
        <f>IF('Smart Search'!G13=1,IFERROR(1/'Smart Search'!H13,0),0)</f>
        <v/>
      </c>
      <c r="BD201" s="66">
        <f>BB201*BC201</f>
        <v/>
      </c>
      <c r="BE201" s="66">
        <f>AP201+AQ201+AR201+AS201+AT201+AU201+AV201+AW201+AX201+AY201+BD201</f>
        <v/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5">
        <f>IF(AND('Project Database'!A205&lt;&gt;"",OR('Smart Search'!$L$5="",'Smart Search'!$L$5="All",TRIM('Project Database'!D205)=TRIM('Smart Search'!$L$5)),OR(TRIM('Smart Search'!$L$6)="",TRIM('Smart Search'!$L$6)="All",ISNUMBER(SEARCH(SUBSTITUTE(SUBSTITUTE(SUBSTITUTE(TRIM('Smart Search'!$L$6),"~","~~"),"*","~*"),"?","~?"),'Project Database'!C205))),OR('Smart Search'!$L$7="",AND('Project Database'!E205&lt;&gt;"",'Project Database'!E205='Smart Search'!$L$7)),OR('Smart Search'!$L$8="",'Smart Search'!$L$8="All",TRIM('Project Database'!F205)=TRIM('Smart Search'!$L$8))),IF(BA201="","",BA201+ROW()*0.0000000001),"")</f>
        <v/>
      </c>
      <c r="BI201" s="5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>
        <f>IF('Project Database'!A205="","",N('Project Database'!AC205))</f>
        <v/>
      </c>
      <c r="BK201" s="5">
        <f>IF('Project Database'!A205="","",N('Project Database'!AD205))</f>
        <v/>
      </c>
      <c r="BL201" s="5">
        <f>IF('Project Database'!A205="","",N('Project Database'!AE205))</f>
        <v/>
      </c>
      <c r="BM201" s="5">
        <f>IF('Project Database'!A205="","",N('Project Database'!AF205))</f>
        <v/>
      </c>
      <c r="BN201" s="5">
        <f>IF('Project Database'!A205="","",N('Project Database'!AG205))</f>
        <v/>
      </c>
      <c r="BO201" s="5">
        <f>IF('Project Database'!A205="","",N('Project Database'!AH205))</f>
        <v/>
      </c>
      <c r="BP201" s="5">
        <f>IF('Project Database'!A205="","",N('Project Database'!AI205))</f>
        <v/>
      </c>
      <c r="BQ201" s="5">
        <f>IF('Project Database'!A205="","",N('Project Database'!AJ205))</f>
        <v/>
      </c>
      <c r="BR201" s="5">
        <f>IF('Project Database'!A205="","",N('Project Database'!AK205))</f>
        <v/>
      </c>
      <c r="BS201" s="5">
        <f>IF('Project Database'!A205="","",N('Project Database'!AL205))</f>
        <v/>
      </c>
      <c r="BT201" s="5">
        <f>IF('Project Database'!A205="","",N('Project Database'!AM205))</f>
        <v/>
      </c>
      <c r="BU201" s="5">
        <f>IF('Project Database'!A205="","",N('Project Database'!AN205))</f>
        <v/>
      </c>
      <c r="BV201" s="5">
        <f>IF('Project Database'!A205="","",N('Project Database'!AO205))</f>
        <v/>
      </c>
      <c r="BW201" s="5">
        <f>IF('Project Database'!A205="","",N('Project Database'!AP205))</f>
        <v/>
      </c>
      <c r="BX201" s="5">
        <f>IF(A201="","",SUM(BJ201:BW201))</f>
        <v/>
      </c>
      <c r="BY201" s="5">
        <f>IF(A201="","",IFERROR(IF(ISNUMBER(U201),U201,VALUE(SUBSTITUTE(SUBSTITUTE(SUBSTITUTE(UPPER(TRIM(U201)),"M",""),",","")," ",""))),0))</f>
        <v/>
      </c>
    </row>
    <row r="202" ht="15" customHeight="1" s="74">
      <c r="A202" s="66">
        <f>'Project Database'!A206</f>
        <v/>
      </c>
      <c r="B202" s="66">
        <f>'Project Database'!B206</f>
        <v/>
      </c>
      <c r="C202" s="66">
        <f>'Project Database'!G206</f>
        <v/>
      </c>
      <c r="D202" s="66">
        <f>'Project Database'!H206</f>
        <v/>
      </c>
      <c r="E202" s="66">
        <f>'Project Database'!I206</f>
        <v/>
      </c>
      <c r="F202" s="66">
        <f>'Project Database'!J206</f>
        <v/>
      </c>
      <c r="G202" s="66">
        <f>'Project Database'!K206</f>
        <v/>
      </c>
      <c r="H202" s="66">
        <f>'Project Database'!L206</f>
        <v/>
      </c>
      <c r="I202" s="66">
        <f>'Project Database'!M206</f>
        <v/>
      </c>
      <c r="J202" s="66">
        <f>'Project Database'!N206</f>
        <v/>
      </c>
      <c r="K202" s="66">
        <f>'Project Database'!O206</f>
        <v/>
      </c>
      <c r="L202" s="66">
        <f>'Project Database'!P206</f>
        <v/>
      </c>
      <c r="M202" s="66">
        <f>'Project Database'!Q206</f>
        <v/>
      </c>
      <c r="N202" s="66">
        <f>'Project Database'!R206</f>
        <v/>
      </c>
      <c r="O202" s="66">
        <f>'Project Database'!S206</f>
        <v/>
      </c>
      <c r="P202" s="66">
        <f>'Project Database'!T206</f>
        <v/>
      </c>
      <c r="Q202" s="66">
        <f>'Project Database'!U206</f>
        <v/>
      </c>
      <c r="R202" s="66">
        <f>'Project Database'!V206</f>
        <v/>
      </c>
      <c r="S202" s="66">
        <f>'Project Database'!W206</f>
        <v/>
      </c>
      <c r="T202" s="66">
        <f>'Project Database'!X206</f>
        <v/>
      </c>
      <c r="U202" s="67">
        <f>'Project Database'!Y206</f>
        <v/>
      </c>
      <c r="V202" s="66">
        <f>IF('Smart Search'!B13=1,IFERROR(1/'Smart Search'!H13,0),0)</f>
        <v/>
      </c>
      <c r="W202" s="66">
        <f>IF('Smart Search'!B13=1,IFERROR(1/'Smart Search'!H13,0),0)</f>
        <v/>
      </c>
      <c r="X202" s="66">
        <f>IF('Smart Search'!C13=1,IFERROR(1/'Smart Search'!H13,0),0)</f>
        <v/>
      </c>
      <c r="Y202" s="66">
        <f>IF('Smart Search'!C13=1,IFERROR(1/'Smart Search'!H13,0),0)</f>
        <v/>
      </c>
      <c r="Z202" s="66">
        <f>IF('Smart Search'!D13=1,IFERROR(1/'Smart Search'!H13,0),0)</f>
        <v/>
      </c>
      <c r="AA202" s="66">
        <f>IF('Smart Search'!D13=1,IFERROR(1/'Smart Search'!H13,0),0)</f>
        <v/>
      </c>
      <c r="AB202" s="66">
        <f>IF('Smart Search'!E13=1,IFERROR(1/'Smart Search'!H13,0),0)</f>
        <v/>
      </c>
      <c r="AC202" s="66">
        <f>IF('Smart Search'!E13=1,IFERROR(1/'Smart Search'!H13,0),0)</f>
        <v/>
      </c>
      <c r="AD202" s="66">
        <f>IF('Smart Search'!F13=1,IFERROR(1/'Smart Search'!H13,0),0)</f>
        <v/>
      </c>
      <c r="AE202" s="66">
        <f>IF('Smart Search'!F13=1,IFERROR(1/'Smart Search'!H13,0),0)</f>
        <v/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66">
        <f>AF202*V202</f>
        <v/>
      </c>
      <c r="AQ202" s="66">
        <f>AG202*W202</f>
        <v/>
      </c>
      <c r="AR202" s="66">
        <f>AH202*X202</f>
        <v/>
      </c>
      <c r="AS202" s="66">
        <f>AI202*Y202</f>
        <v/>
      </c>
      <c r="AT202" s="66">
        <f>AJ202*Z202</f>
        <v/>
      </c>
      <c r="AU202" s="66">
        <f>AK202*AA202</f>
        <v/>
      </c>
      <c r="AV202" s="66">
        <f>AL202*AB202</f>
        <v/>
      </c>
      <c r="AW202" s="66">
        <f>AM202*AC202</f>
        <v/>
      </c>
      <c r="AX202" s="66">
        <f>AN202*AD202</f>
        <v/>
      </c>
      <c r="AY202" s="66">
        <f>AO202*AE202</f>
        <v/>
      </c>
      <c r="AZ202" s="66">
        <f>'Project Database'!Z206</f>
        <v/>
      </c>
      <c r="BA202" s="66">
        <f>IF(OR(A202="",'Smart Search'!H13=0),"",MAX(0,BE202*BF202*MAX(0,1-BG202)))</f>
        <v/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66">
        <f>IF('Smart Search'!G13=1,IFERROR(1/'Smart Search'!H13,0),0)</f>
        <v/>
      </c>
      <c r="BD202" s="66">
        <f>BB202*BC202</f>
        <v/>
      </c>
      <c r="BE202" s="66">
        <f>AP202+AQ202+AR202+AS202+AT202+AU202+AV202+AW202+AX202+AY202+BD202</f>
        <v/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5">
        <f>IF(AND('Project Database'!A206&lt;&gt;"",OR('Smart Search'!$L$5="",'Smart Search'!$L$5="All",TRIM('Project Database'!D206)=TRIM('Smart Search'!$L$5)),OR(TRIM('Smart Search'!$L$6)="",TRIM('Smart Search'!$L$6)="All",ISNUMBER(SEARCH(SUBSTITUTE(SUBSTITUTE(SUBSTITUTE(TRIM('Smart Search'!$L$6),"~","~~"),"*","~*"),"?","~?"),'Project Database'!C206))),OR('Smart Search'!$L$7="",AND('Project Database'!E206&lt;&gt;"",'Project Database'!E206='Smart Search'!$L$7)),OR('Smart Search'!$L$8="",'Smart Search'!$L$8="All",TRIM('Project Database'!F206)=TRIM('Smart Search'!$L$8))),IF(BA202="","",BA202+ROW()*0.0000000001),"")</f>
        <v/>
      </c>
      <c r="BI202" s="5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>
        <f>IF('Project Database'!A206="","",N('Project Database'!AC206))</f>
        <v/>
      </c>
      <c r="BK202" s="5">
        <f>IF('Project Database'!A206="","",N('Project Database'!AD206))</f>
        <v/>
      </c>
      <c r="BL202" s="5">
        <f>IF('Project Database'!A206="","",N('Project Database'!AE206))</f>
        <v/>
      </c>
      <c r="BM202" s="5">
        <f>IF('Project Database'!A206="","",N('Project Database'!AF206))</f>
        <v/>
      </c>
      <c r="BN202" s="5">
        <f>IF('Project Database'!A206="","",N('Project Database'!AG206))</f>
        <v/>
      </c>
      <c r="BO202" s="5">
        <f>IF('Project Database'!A206="","",N('Project Database'!AH206))</f>
        <v/>
      </c>
      <c r="BP202" s="5">
        <f>IF('Project Database'!A206="","",N('Project Database'!AI206))</f>
        <v/>
      </c>
      <c r="BQ202" s="5">
        <f>IF('Project Database'!A206="","",N('Project Database'!AJ206))</f>
        <v/>
      </c>
      <c r="BR202" s="5">
        <f>IF('Project Database'!A206="","",N('Project Database'!AK206))</f>
        <v/>
      </c>
      <c r="BS202" s="5">
        <f>IF('Project Database'!A206="","",N('Project Database'!AL206))</f>
        <v/>
      </c>
      <c r="BT202" s="5">
        <f>IF('Project Database'!A206="","",N('Project Database'!AM206))</f>
        <v/>
      </c>
      <c r="BU202" s="5">
        <f>IF('Project Database'!A206="","",N('Project Database'!AN206))</f>
        <v/>
      </c>
      <c r="BV202" s="5">
        <f>IF('Project Database'!A206="","",N('Project Database'!AO206))</f>
        <v/>
      </c>
      <c r="BW202" s="5">
        <f>IF('Project Database'!A206="","",N('Project Database'!AP206))</f>
        <v/>
      </c>
      <c r="BX202" s="5">
        <f>IF(A202="","",SUM(BJ202:BW202))</f>
        <v/>
      </c>
      <c r="BY202" s="5">
        <f>IF(A202="","",IFERROR(IF(ISNUMBER(U202),U202,VALUE(SUBSTITUTE(SUBSTITUTE(SUBSTITUTE(UPPER(TRIM(U202)),"M",""),",","")," ",""))),0))</f>
        <v/>
      </c>
    </row>
    <row r="203" ht="15" customHeight="1" s="74">
      <c r="A203" s="66">
        <f>'Project Database'!A207</f>
        <v/>
      </c>
      <c r="B203" s="66">
        <f>'Project Database'!B207</f>
        <v/>
      </c>
      <c r="C203" s="66">
        <f>'Project Database'!G207</f>
        <v/>
      </c>
      <c r="D203" s="66">
        <f>'Project Database'!H207</f>
        <v/>
      </c>
      <c r="E203" s="66">
        <f>'Project Database'!I207</f>
        <v/>
      </c>
      <c r="F203" s="66">
        <f>'Project Database'!J207</f>
        <v/>
      </c>
      <c r="G203" s="66">
        <f>'Project Database'!K207</f>
        <v/>
      </c>
      <c r="H203" s="66">
        <f>'Project Database'!L207</f>
        <v/>
      </c>
      <c r="I203" s="66">
        <f>'Project Database'!M207</f>
        <v/>
      </c>
      <c r="J203" s="66">
        <f>'Project Database'!N207</f>
        <v/>
      </c>
      <c r="K203" s="66">
        <f>'Project Database'!O207</f>
        <v/>
      </c>
      <c r="L203" s="66">
        <f>'Project Database'!P207</f>
        <v/>
      </c>
      <c r="M203" s="66">
        <f>'Project Database'!Q207</f>
        <v/>
      </c>
      <c r="N203" s="66">
        <f>'Project Database'!R207</f>
        <v/>
      </c>
      <c r="O203" s="66">
        <f>'Project Database'!S207</f>
        <v/>
      </c>
      <c r="P203" s="66">
        <f>'Project Database'!T207</f>
        <v/>
      </c>
      <c r="Q203" s="66">
        <f>'Project Database'!U207</f>
        <v/>
      </c>
      <c r="R203" s="66">
        <f>'Project Database'!V207</f>
        <v/>
      </c>
      <c r="S203" s="66">
        <f>'Project Database'!W207</f>
        <v/>
      </c>
      <c r="T203" s="66">
        <f>'Project Database'!X207</f>
        <v/>
      </c>
      <c r="U203" s="67">
        <f>'Project Database'!Y207</f>
        <v/>
      </c>
      <c r="V203" s="66">
        <f>IF('Smart Search'!B13=1,IFERROR(1/'Smart Search'!H13,0),0)</f>
        <v/>
      </c>
      <c r="W203" s="66">
        <f>IF('Smart Search'!B13=1,IFERROR(1/'Smart Search'!H13,0),0)</f>
        <v/>
      </c>
      <c r="X203" s="66">
        <f>IF('Smart Search'!C13=1,IFERROR(1/'Smart Search'!H13,0),0)</f>
        <v/>
      </c>
      <c r="Y203" s="66">
        <f>IF('Smart Search'!C13=1,IFERROR(1/'Smart Search'!H13,0),0)</f>
        <v/>
      </c>
      <c r="Z203" s="66">
        <f>IF('Smart Search'!D13=1,IFERROR(1/'Smart Search'!H13,0),0)</f>
        <v/>
      </c>
      <c r="AA203" s="66">
        <f>IF('Smart Search'!D13=1,IFERROR(1/'Smart Search'!H13,0),0)</f>
        <v/>
      </c>
      <c r="AB203" s="66">
        <f>IF('Smart Search'!E13=1,IFERROR(1/'Smart Search'!H13,0),0)</f>
        <v/>
      </c>
      <c r="AC203" s="66">
        <f>IF('Smart Search'!E13=1,IFERROR(1/'Smart Search'!H13,0),0)</f>
        <v/>
      </c>
      <c r="AD203" s="66">
        <f>IF('Smart Search'!F13=1,IFERROR(1/'Smart Search'!H13,0),0)</f>
        <v/>
      </c>
      <c r="AE203" s="66">
        <f>IF('Smart Search'!F13=1,IFERROR(1/'Smart Search'!H13,0),0)</f>
        <v/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66">
        <f>AF203*V203</f>
        <v/>
      </c>
      <c r="AQ203" s="66">
        <f>AG203*W203</f>
        <v/>
      </c>
      <c r="AR203" s="66">
        <f>AH203*X203</f>
        <v/>
      </c>
      <c r="AS203" s="66">
        <f>AI203*Y203</f>
        <v/>
      </c>
      <c r="AT203" s="66">
        <f>AJ203*Z203</f>
        <v/>
      </c>
      <c r="AU203" s="66">
        <f>AK203*AA203</f>
        <v/>
      </c>
      <c r="AV203" s="66">
        <f>AL203*AB203</f>
        <v/>
      </c>
      <c r="AW203" s="66">
        <f>AM203*AC203</f>
        <v/>
      </c>
      <c r="AX203" s="66">
        <f>AN203*AD203</f>
        <v/>
      </c>
      <c r="AY203" s="66">
        <f>AO203*AE203</f>
        <v/>
      </c>
      <c r="AZ203" s="66">
        <f>'Project Database'!Z207</f>
        <v/>
      </c>
      <c r="BA203" s="66">
        <f>IF(OR(A203="",'Smart Search'!H13=0),"",MAX(0,BE203*BF203*MAX(0,1-BG203)))</f>
        <v/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66">
        <f>IF('Smart Search'!G13=1,IFERROR(1/'Smart Search'!H13,0),0)</f>
        <v/>
      </c>
      <c r="BD203" s="66">
        <f>BB203*BC203</f>
        <v/>
      </c>
      <c r="BE203" s="66">
        <f>AP203+AQ203+AR203+AS203+AT203+AU203+AV203+AW203+AX203+AY203+BD203</f>
        <v/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5">
        <f>IF(AND('Project Database'!A207&lt;&gt;"",OR('Smart Search'!$L$5="",'Smart Search'!$L$5="All",TRIM('Project Database'!D207)=TRIM('Smart Search'!$L$5)),OR(TRIM('Smart Search'!$L$6)="",TRIM('Smart Search'!$L$6)="All",ISNUMBER(SEARCH(SUBSTITUTE(SUBSTITUTE(SUBSTITUTE(TRIM('Smart Search'!$L$6),"~","~~"),"*","~*"),"?","~?"),'Project Database'!C207))),OR('Smart Search'!$L$7="",AND('Project Database'!E207&lt;&gt;"",'Project Database'!E207='Smart Search'!$L$7)),OR('Smart Search'!$L$8="",'Smart Search'!$L$8="All",TRIM('Project Database'!F207)=TRIM('Smart Search'!$L$8))),IF(BA203="","",BA203+ROW()*0.0000000001),"")</f>
        <v/>
      </c>
      <c r="BI203" s="5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>
        <f>IF('Project Database'!A207="","",N('Project Database'!AC207))</f>
        <v/>
      </c>
      <c r="BK203" s="5">
        <f>IF('Project Database'!A207="","",N('Project Database'!AD207))</f>
        <v/>
      </c>
      <c r="BL203" s="5">
        <f>IF('Project Database'!A207="","",N('Project Database'!AE207))</f>
        <v/>
      </c>
      <c r="BM203" s="5">
        <f>IF('Project Database'!A207="","",N('Project Database'!AF207))</f>
        <v/>
      </c>
      <c r="BN203" s="5">
        <f>IF('Project Database'!A207="","",N('Project Database'!AG207))</f>
        <v/>
      </c>
      <c r="BO203" s="5">
        <f>IF('Project Database'!A207="","",N('Project Database'!AH207))</f>
        <v/>
      </c>
      <c r="BP203" s="5">
        <f>IF('Project Database'!A207="","",N('Project Database'!AI207))</f>
        <v/>
      </c>
      <c r="BQ203" s="5">
        <f>IF('Project Database'!A207="","",N('Project Database'!AJ207))</f>
        <v/>
      </c>
      <c r="BR203" s="5">
        <f>IF('Project Database'!A207="","",N('Project Database'!AK207))</f>
        <v/>
      </c>
      <c r="BS203" s="5">
        <f>IF('Project Database'!A207="","",N('Project Database'!AL207))</f>
        <v/>
      </c>
      <c r="BT203" s="5">
        <f>IF('Project Database'!A207="","",N('Project Database'!AM207))</f>
        <v/>
      </c>
      <c r="BU203" s="5">
        <f>IF('Project Database'!A207="","",N('Project Database'!AN207))</f>
        <v/>
      </c>
      <c r="BV203" s="5">
        <f>IF('Project Database'!A207="","",N('Project Database'!AO207))</f>
        <v/>
      </c>
      <c r="BW203" s="5">
        <f>IF('Project Database'!A207="","",N('Project Database'!AP207))</f>
        <v/>
      </c>
      <c r="BX203" s="5">
        <f>IF(A203="","",SUM(BJ203:BW203))</f>
        <v/>
      </c>
      <c r="BY203" s="5">
        <f>IF(A203="","",IFERROR(IF(ISNUMBER(U203),U203,VALUE(SUBSTITUTE(SUBSTITUTE(SUBSTITUTE(UPPER(TRIM(U203)),"M",""),",","")," ",""))),0))</f>
        <v/>
      </c>
    </row>
    <row r="204" ht="15" customHeight="1" s="74">
      <c r="A204" s="66">
        <f>'Project Database'!A208</f>
        <v/>
      </c>
      <c r="B204" s="66">
        <f>'Project Database'!B208</f>
        <v/>
      </c>
      <c r="C204" s="66">
        <f>'Project Database'!G208</f>
        <v/>
      </c>
      <c r="D204" s="66">
        <f>'Project Database'!H208</f>
        <v/>
      </c>
      <c r="E204" s="66">
        <f>'Project Database'!I208</f>
        <v/>
      </c>
      <c r="F204" s="66">
        <f>'Project Database'!J208</f>
        <v/>
      </c>
      <c r="G204" s="66">
        <f>'Project Database'!K208</f>
        <v/>
      </c>
      <c r="H204" s="66">
        <f>'Project Database'!L208</f>
        <v/>
      </c>
      <c r="I204" s="66">
        <f>'Project Database'!M208</f>
        <v/>
      </c>
      <c r="J204" s="66">
        <f>'Project Database'!N208</f>
        <v/>
      </c>
      <c r="K204" s="66">
        <f>'Project Database'!O208</f>
        <v/>
      </c>
      <c r="L204" s="66">
        <f>'Project Database'!P208</f>
        <v/>
      </c>
      <c r="M204" s="66">
        <f>'Project Database'!Q208</f>
        <v/>
      </c>
      <c r="N204" s="66">
        <f>'Project Database'!R208</f>
        <v/>
      </c>
      <c r="O204" s="66">
        <f>'Project Database'!S208</f>
        <v/>
      </c>
      <c r="P204" s="66">
        <f>'Project Database'!T208</f>
        <v/>
      </c>
      <c r="Q204" s="66">
        <f>'Project Database'!U208</f>
        <v/>
      </c>
      <c r="R204" s="66">
        <f>'Project Database'!V208</f>
        <v/>
      </c>
      <c r="S204" s="66">
        <f>'Project Database'!W208</f>
        <v/>
      </c>
      <c r="T204" s="66">
        <f>'Project Database'!X208</f>
        <v/>
      </c>
      <c r="U204" s="67">
        <f>'Project Database'!Y208</f>
        <v/>
      </c>
      <c r="V204" s="66">
        <f>IF('Smart Search'!B13=1,IFERROR(1/'Smart Search'!H13,0),0)</f>
        <v/>
      </c>
      <c r="W204" s="66">
        <f>IF('Smart Search'!B13=1,IFERROR(1/'Smart Search'!H13,0),0)</f>
        <v/>
      </c>
      <c r="X204" s="66">
        <f>IF('Smart Search'!C13=1,IFERROR(1/'Smart Search'!H13,0),0)</f>
        <v/>
      </c>
      <c r="Y204" s="66">
        <f>IF('Smart Search'!C13=1,IFERROR(1/'Smart Search'!H13,0),0)</f>
        <v/>
      </c>
      <c r="Z204" s="66">
        <f>IF('Smart Search'!D13=1,IFERROR(1/'Smart Search'!H13,0),0)</f>
        <v/>
      </c>
      <c r="AA204" s="66">
        <f>IF('Smart Search'!D13=1,IFERROR(1/'Smart Search'!H13,0),0)</f>
        <v/>
      </c>
      <c r="AB204" s="66">
        <f>IF('Smart Search'!E13=1,IFERROR(1/'Smart Search'!H13,0),0)</f>
        <v/>
      </c>
      <c r="AC204" s="66">
        <f>IF('Smart Search'!E13=1,IFERROR(1/'Smart Search'!H13,0),0)</f>
        <v/>
      </c>
      <c r="AD204" s="66">
        <f>IF('Smart Search'!F13=1,IFERROR(1/'Smart Search'!H13,0),0)</f>
        <v/>
      </c>
      <c r="AE204" s="66">
        <f>IF('Smart Search'!F13=1,IFERROR(1/'Smart Search'!H13,0),0)</f>
        <v/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66">
        <f>AF204*V204</f>
        <v/>
      </c>
      <c r="AQ204" s="66">
        <f>AG204*W204</f>
        <v/>
      </c>
      <c r="AR204" s="66">
        <f>AH204*X204</f>
        <v/>
      </c>
      <c r="AS204" s="66">
        <f>AI204*Y204</f>
        <v/>
      </c>
      <c r="AT204" s="66">
        <f>AJ204*Z204</f>
        <v/>
      </c>
      <c r="AU204" s="66">
        <f>AK204*AA204</f>
        <v/>
      </c>
      <c r="AV204" s="66">
        <f>AL204*AB204</f>
        <v/>
      </c>
      <c r="AW204" s="66">
        <f>AM204*AC204</f>
        <v/>
      </c>
      <c r="AX204" s="66">
        <f>AN204*AD204</f>
        <v/>
      </c>
      <c r="AY204" s="66">
        <f>AO204*AE204</f>
        <v/>
      </c>
      <c r="AZ204" s="66">
        <f>'Project Database'!Z208</f>
        <v/>
      </c>
      <c r="BA204" s="66">
        <f>IF(OR(A204="",'Smart Search'!H13=0),"",MAX(0,BE204*BF204*MAX(0,1-BG204)))</f>
        <v/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66">
        <f>IF('Smart Search'!G13=1,IFERROR(1/'Smart Search'!H13,0),0)</f>
        <v/>
      </c>
      <c r="BD204" s="66">
        <f>BB204*BC204</f>
        <v/>
      </c>
      <c r="BE204" s="66">
        <f>AP204+AQ204+AR204+AS204+AT204+AU204+AV204+AW204+AX204+AY204+BD204</f>
        <v/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5">
        <f>IF(AND('Project Database'!A208&lt;&gt;"",OR('Smart Search'!$L$5="",'Smart Search'!$L$5="All",TRIM('Project Database'!D208)=TRIM('Smart Search'!$L$5)),OR(TRIM('Smart Search'!$L$6)="",TRIM('Smart Search'!$L$6)="All",ISNUMBER(SEARCH(SUBSTITUTE(SUBSTITUTE(SUBSTITUTE(TRIM('Smart Search'!$L$6),"~","~~"),"*","~*"),"?","~?"),'Project Database'!C208))),OR('Smart Search'!$L$7="",AND('Project Database'!E208&lt;&gt;"",'Project Database'!E208='Smart Search'!$L$7)),OR('Smart Search'!$L$8="",'Smart Search'!$L$8="All",TRIM('Project Database'!F208)=TRIM('Smart Search'!$L$8))),IF(BA204="","",BA204+ROW()*0.0000000001),"")</f>
        <v/>
      </c>
      <c r="BI204" s="5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>
        <f>IF('Project Database'!A208="","",N('Project Database'!AC208))</f>
        <v/>
      </c>
      <c r="BK204" s="5">
        <f>IF('Project Database'!A208="","",N('Project Database'!AD208))</f>
        <v/>
      </c>
      <c r="BL204" s="5">
        <f>IF('Project Database'!A208="","",N('Project Database'!AE208))</f>
        <v/>
      </c>
      <c r="BM204" s="5">
        <f>IF('Project Database'!A208="","",N('Project Database'!AF208))</f>
        <v/>
      </c>
      <c r="BN204" s="5">
        <f>IF('Project Database'!A208="","",N('Project Database'!AG208))</f>
        <v/>
      </c>
      <c r="BO204" s="5">
        <f>IF('Project Database'!A208="","",N('Project Database'!AH208))</f>
        <v/>
      </c>
      <c r="BP204" s="5">
        <f>IF('Project Database'!A208="","",N('Project Database'!AI208))</f>
        <v/>
      </c>
      <c r="BQ204" s="5">
        <f>IF('Project Database'!A208="","",N('Project Database'!AJ208))</f>
        <v/>
      </c>
      <c r="BR204" s="5">
        <f>IF('Project Database'!A208="","",N('Project Database'!AK208))</f>
        <v/>
      </c>
      <c r="BS204" s="5">
        <f>IF('Project Database'!A208="","",N('Project Database'!AL208))</f>
        <v/>
      </c>
      <c r="BT204" s="5">
        <f>IF('Project Database'!A208="","",N('Project Database'!AM208))</f>
        <v/>
      </c>
      <c r="BU204" s="5">
        <f>IF('Project Database'!A208="","",N('Project Database'!AN208))</f>
        <v/>
      </c>
      <c r="BV204" s="5">
        <f>IF('Project Database'!A208="","",N('Project Database'!AO208))</f>
        <v/>
      </c>
      <c r="BW204" s="5">
        <f>IF('Project Database'!A208="","",N('Project Database'!AP208))</f>
        <v/>
      </c>
      <c r="BX204" s="5">
        <f>IF(A204="","",SUM(BJ204:BW204))</f>
        <v/>
      </c>
      <c r="BY204" s="5">
        <f>IF(A204="","",IFERROR(IF(ISNUMBER(U204),U204,VALUE(SUBSTITUTE(SUBSTITUTE(SUBSTITUTE(UPPER(TRIM(U204)),"M",""),",","")," ",""))),0))</f>
        <v/>
      </c>
    </row>
    <row r="205" ht="15" customHeight="1" s="74">
      <c r="A205" s="66">
        <f>'Project Database'!A209</f>
        <v/>
      </c>
      <c r="B205" s="66">
        <f>'Project Database'!B209</f>
        <v/>
      </c>
      <c r="C205" s="66">
        <f>'Project Database'!G209</f>
        <v/>
      </c>
      <c r="D205" s="66">
        <f>'Project Database'!H209</f>
        <v/>
      </c>
      <c r="E205" s="66">
        <f>'Project Database'!I209</f>
        <v/>
      </c>
      <c r="F205" s="66">
        <f>'Project Database'!J209</f>
        <v/>
      </c>
      <c r="G205" s="66">
        <f>'Project Database'!K209</f>
        <v/>
      </c>
      <c r="H205" s="66">
        <f>'Project Database'!L209</f>
        <v/>
      </c>
      <c r="I205" s="66">
        <f>'Project Database'!M209</f>
        <v/>
      </c>
      <c r="J205" s="66">
        <f>'Project Database'!N209</f>
        <v/>
      </c>
      <c r="K205" s="66">
        <f>'Project Database'!O209</f>
        <v/>
      </c>
      <c r="L205" s="66">
        <f>'Project Database'!P209</f>
        <v/>
      </c>
      <c r="M205" s="66">
        <f>'Project Database'!Q209</f>
        <v/>
      </c>
      <c r="N205" s="66">
        <f>'Project Database'!R209</f>
        <v/>
      </c>
      <c r="O205" s="66">
        <f>'Project Database'!S209</f>
        <v/>
      </c>
      <c r="P205" s="66">
        <f>'Project Database'!T209</f>
        <v/>
      </c>
      <c r="Q205" s="66">
        <f>'Project Database'!U209</f>
        <v/>
      </c>
      <c r="R205" s="66">
        <f>'Project Database'!V209</f>
        <v/>
      </c>
      <c r="S205" s="66">
        <f>'Project Database'!W209</f>
        <v/>
      </c>
      <c r="T205" s="66">
        <f>'Project Database'!X209</f>
        <v/>
      </c>
      <c r="U205" s="67">
        <f>'Project Database'!Y209</f>
        <v/>
      </c>
      <c r="V205" s="66">
        <f>IF('Smart Search'!B13=1,IFERROR(1/'Smart Search'!H13,0),0)</f>
        <v/>
      </c>
      <c r="W205" s="66">
        <f>IF('Smart Search'!B13=1,IFERROR(1/'Smart Search'!H13,0),0)</f>
        <v/>
      </c>
      <c r="X205" s="66">
        <f>IF('Smart Search'!C13=1,IFERROR(1/'Smart Search'!H13,0),0)</f>
        <v/>
      </c>
      <c r="Y205" s="66">
        <f>IF('Smart Search'!C13=1,IFERROR(1/'Smart Search'!H13,0),0)</f>
        <v/>
      </c>
      <c r="Z205" s="66">
        <f>IF('Smart Search'!D13=1,IFERROR(1/'Smart Search'!H13,0),0)</f>
        <v/>
      </c>
      <c r="AA205" s="66">
        <f>IF('Smart Search'!D13=1,IFERROR(1/'Smart Search'!H13,0),0)</f>
        <v/>
      </c>
      <c r="AB205" s="66">
        <f>IF('Smart Search'!E13=1,IFERROR(1/'Smart Search'!H13,0),0)</f>
        <v/>
      </c>
      <c r="AC205" s="66">
        <f>IF('Smart Search'!E13=1,IFERROR(1/'Smart Search'!H13,0),0)</f>
        <v/>
      </c>
      <c r="AD205" s="66">
        <f>IF('Smart Search'!F13=1,IFERROR(1/'Smart Search'!H13,0),0)</f>
        <v/>
      </c>
      <c r="AE205" s="66">
        <f>IF('Smart Search'!F13=1,IFERROR(1/'Smart Search'!H13,0),0)</f>
        <v/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66">
        <f>AF205*V205</f>
        <v/>
      </c>
      <c r="AQ205" s="66">
        <f>AG205*W205</f>
        <v/>
      </c>
      <c r="AR205" s="66">
        <f>AH205*X205</f>
        <v/>
      </c>
      <c r="AS205" s="66">
        <f>AI205*Y205</f>
        <v/>
      </c>
      <c r="AT205" s="66">
        <f>AJ205*Z205</f>
        <v/>
      </c>
      <c r="AU205" s="66">
        <f>AK205*AA205</f>
        <v/>
      </c>
      <c r="AV205" s="66">
        <f>AL205*AB205</f>
        <v/>
      </c>
      <c r="AW205" s="66">
        <f>AM205*AC205</f>
        <v/>
      </c>
      <c r="AX205" s="66">
        <f>AN205*AD205</f>
        <v/>
      </c>
      <c r="AY205" s="66">
        <f>AO205*AE205</f>
        <v/>
      </c>
      <c r="AZ205" s="66">
        <f>'Project Database'!Z209</f>
        <v/>
      </c>
      <c r="BA205" s="66">
        <f>IF(OR(A205="",'Smart Search'!H13=0),"",MAX(0,BE205*BF205*MAX(0,1-BG205)))</f>
        <v/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66">
        <f>IF('Smart Search'!G13=1,IFERROR(1/'Smart Search'!H13,0),0)</f>
        <v/>
      </c>
      <c r="BD205" s="66">
        <f>BB205*BC205</f>
        <v/>
      </c>
      <c r="BE205" s="66">
        <f>AP205+AQ205+AR205+AS205+AT205+AU205+AV205+AW205+AX205+AY205+BD205</f>
        <v/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5">
        <f>IF(AND('Project Database'!A209&lt;&gt;"",OR('Smart Search'!$L$5="",'Smart Search'!$L$5="All",TRIM('Project Database'!D209)=TRIM('Smart Search'!$L$5)),OR(TRIM('Smart Search'!$L$6)="",TRIM('Smart Search'!$L$6)="All",ISNUMBER(SEARCH(SUBSTITUTE(SUBSTITUTE(SUBSTITUTE(TRIM('Smart Search'!$L$6),"~","~~"),"*","~*"),"?","~?"),'Project Database'!C209))),OR('Smart Search'!$L$7="",AND('Project Database'!E209&lt;&gt;"",'Project Database'!E209='Smart Search'!$L$7)),OR('Smart Search'!$L$8="",'Smart Search'!$L$8="All",TRIM('Project Database'!F209)=TRIM('Smart Search'!$L$8))),IF(BA205="","",BA205+ROW()*0.0000000001),"")</f>
        <v/>
      </c>
      <c r="BI205" s="5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>
        <f>IF('Project Database'!A209="","",N('Project Database'!AC209))</f>
        <v/>
      </c>
      <c r="BK205" s="5">
        <f>IF('Project Database'!A209="","",N('Project Database'!AD209))</f>
        <v/>
      </c>
      <c r="BL205" s="5">
        <f>IF('Project Database'!A209="","",N('Project Database'!AE209))</f>
        <v/>
      </c>
      <c r="BM205" s="5">
        <f>IF('Project Database'!A209="","",N('Project Database'!AF209))</f>
        <v/>
      </c>
      <c r="BN205" s="5">
        <f>IF('Project Database'!A209="","",N('Project Database'!AG209))</f>
        <v/>
      </c>
      <c r="BO205" s="5">
        <f>IF('Project Database'!A209="","",N('Project Database'!AH209))</f>
        <v/>
      </c>
      <c r="BP205" s="5">
        <f>IF('Project Database'!A209="","",N('Project Database'!AI209))</f>
        <v/>
      </c>
      <c r="BQ205" s="5">
        <f>IF('Project Database'!A209="","",N('Project Database'!AJ209))</f>
        <v/>
      </c>
      <c r="BR205" s="5">
        <f>IF('Project Database'!A209="","",N('Project Database'!AK209))</f>
        <v/>
      </c>
      <c r="BS205" s="5">
        <f>IF('Project Database'!A209="","",N('Project Database'!AL209))</f>
        <v/>
      </c>
      <c r="BT205" s="5">
        <f>IF('Project Database'!A209="","",N('Project Database'!AM209))</f>
        <v/>
      </c>
      <c r="BU205" s="5">
        <f>IF('Project Database'!A209="","",N('Project Database'!AN209))</f>
        <v/>
      </c>
      <c r="BV205" s="5">
        <f>IF('Project Database'!A209="","",N('Project Database'!AO209))</f>
        <v/>
      </c>
      <c r="BW205" s="5">
        <f>IF('Project Database'!A209="","",N('Project Database'!AP209))</f>
        <v/>
      </c>
      <c r="BX205" s="5">
        <f>IF(A205="","",SUM(BJ205:BW205))</f>
        <v/>
      </c>
      <c r="BY205" s="5">
        <f>IF(A205="","",IFERROR(IF(ISNUMBER(U205),U205,VALUE(SUBSTITUTE(SUBSTITUTE(SUBSTITUTE(UPPER(TRIM(U205)),"M",""),",","")," ",""))),0))</f>
        <v/>
      </c>
    </row>
    <row r="206" ht="15" customHeight="1" s="74">
      <c r="A206" s="66">
        <f>'Project Database'!A210</f>
        <v/>
      </c>
      <c r="B206" s="66">
        <f>'Project Database'!B210</f>
        <v/>
      </c>
      <c r="C206" s="66">
        <f>'Project Database'!G210</f>
        <v/>
      </c>
      <c r="D206" s="66">
        <f>'Project Database'!H210</f>
        <v/>
      </c>
      <c r="E206" s="66">
        <f>'Project Database'!I210</f>
        <v/>
      </c>
      <c r="F206" s="66">
        <f>'Project Database'!J210</f>
        <v/>
      </c>
      <c r="G206" s="66">
        <f>'Project Database'!K210</f>
        <v/>
      </c>
      <c r="H206" s="66">
        <f>'Project Database'!L210</f>
        <v/>
      </c>
      <c r="I206" s="66">
        <f>'Project Database'!M210</f>
        <v/>
      </c>
      <c r="J206" s="66">
        <f>'Project Database'!N210</f>
        <v/>
      </c>
      <c r="K206" s="66">
        <f>'Project Database'!O210</f>
        <v/>
      </c>
      <c r="L206" s="66">
        <f>'Project Database'!P210</f>
        <v/>
      </c>
      <c r="M206" s="66">
        <f>'Project Database'!Q210</f>
        <v/>
      </c>
      <c r="N206" s="66">
        <f>'Project Database'!R210</f>
        <v/>
      </c>
      <c r="O206" s="66">
        <f>'Project Database'!S210</f>
        <v/>
      </c>
      <c r="P206" s="66">
        <f>'Project Database'!T210</f>
        <v/>
      </c>
      <c r="Q206" s="66">
        <f>'Project Database'!U210</f>
        <v/>
      </c>
      <c r="R206" s="66">
        <f>'Project Database'!V210</f>
        <v/>
      </c>
      <c r="S206" s="66">
        <f>'Project Database'!W210</f>
        <v/>
      </c>
      <c r="T206" s="66">
        <f>'Project Database'!X210</f>
        <v/>
      </c>
      <c r="U206" s="67">
        <f>'Project Database'!Y210</f>
        <v/>
      </c>
      <c r="V206" s="66">
        <f>IF('Smart Search'!B13=1,IFERROR(1/'Smart Search'!H13,0),0)</f>
        <v/>
      </c>
      <c r="W206" s="66">
        <f>IF('Smart Search'!B13=1,IFERROR(1/'Smart Search'!H13,0),0)</f>
        <v/>
      </c>
      <c r="X206" s="66">
        <f>IF('Smart Search'!C13=1,IFERROR(1/'Smart Search'!H13,0),0)</f>
        <v/>
      </c>
      <c r="Y206" s="66">
        <f>IF('Smart Search'!C13=1,IFERROR(1/'Smart Search'!H13,0),0)</f>
        <v/>
      </c>
      <c r="Z206" s="66">
        <f>IF('Smart Search'!D13=1,IFERROR(1/'Smart Search'!H13,0),0)</f>
        <v/>
      </c>
      <c r="AA206" s="66">
        <f>IF('Smart Search'!D13=1,IFERROR(1/'Smart Search'!H13,0),0)</f>
        <v/>
      </c>
      <c r="AB206" s="66">
        <f>IF('Smart Search'!E13=1,IFERROR(1/'Smart Search'!H13,0),0)</f>
        <v/>
      </c>
      <c r="AC206" s="66">
        <f>IF('Smart Search'!E13=1,IFERROR(1/'Smart Search'!H13,0),0)</f>
        <v/>
      </c>
      <c r="AD206" s="66">
        <f>IF('Smart Search'!F13=1,IFERROR(1/'Smart Search'!H13,0),0)</f>
        <v/>
      </c>
      <c r="AE206" s="66">
        <f>IF('Smart Search'!F13=1,IFERROR(1/'Smart Search'!H13,0),0)</f>
        <v/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66">
        <f>AF206*V206</f>
        <v/>
      </c>
      <c r="AQ206" s="66">
        <f>AG206*W206</f>
        <v/>
      </c>
      <c r="AR206" s="66">
        <f>AH206*X206</f>
        <v/>
      </c>
      <c r="AS206" s="66">
        <f>AI206*Y206</f>
        <v/>
      </c>
      <c r="AT206" s="66">
        <f>AJ206*Z206</f>
        <v/>
      </c>
      <c r="AU206" s="66">
        <f>AK206*AA206</f>
        <v/>
      </c>
      <c r="AV206" s="66">
        <f>AL206*AB206</f>
        <v/>
      </c>
      <c r="AW206" s="66">
        <f>AM206*AC206</f>
        <v/>
      </c>
      <c r="AX206" s="66">
        <f>AN206*AD206</f>
        <v/>
      </c>
      <c r="AY206" s="66">
        <f>AO206*AE206</f>
        <v/>
      </c>
      <c r="AZ206" s="66">
        <f>'Project Database'!Z210</f>
        <v/>
      </c>
      <c r="BA206" s="66">
        <f>IF(OR(A206="",'Smart Search'!H13=0),"",MAX(0,BE206*BF206*MAX(0,1-BG206)))</f>
        <v/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66">
        <f>IF('Smart Search'!G13=1,IFERROR(1/'Smart Search'!H13,0),0)</f>
        <v/>
      </c>
      <c r="BD206" s="66">
        <f>BB206*BC206</f>
        <v/>
      </c>
      <c r="BE206" s="66">
        <f>AP206+AQ206+AR206+AS206+AT206+AU206+AV206+AW206+AX206+AY206+BD206</f>
        <v/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5">
        <f>IF(AND('Project Database'!A210&lt;&gt;"",OR('Smart Search'!$L$5="",'Smart Search'!$L$5="All",TRIM('Project Database'!D210)=TRIM('Smart Search'!$L$5)),OR(TRIM('Smart Search'!$L$6)="",TRIM('Smart Search'!$L$6)="All",ISNUMBER(SEARCH(SUBSTITUTE(SUBSTITUTE(SUBSTITUTE(TRIM('Smart Search'!$L$6),"~","~~"),"*","~*"),"?","~?"),'Project Database'!C210))),OR('Smart Search'!$L$7="",AND('Project Database'!E210&lt;&gt;"",'Project Database'!E210='Smart Search'!$L$7)),OR('Smart Search'!$L$8="",'Smart Search'!$L$8="All",TRIM('Project Database'!F210)=TRIM('Smart Search'!$L$8))),IF(BA206="","",BA206+ROW()*0.0000000001),"")</f>
        <v/>
      </c>
      <c r="BI206" s="5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>
        <f>IF('Project Database'!A210="","",N('Project Database'!AC210))</f>
        <v/>
      </c>
      <c r="BK206" s="5">
        <f>IF('Project Database'!A210="","",N('Project Database'!AD210))</f>
        <v/>
      </c>
      <c r="BL206" s="5">
        <f>IF('Project Database'!A210="","",N('Project Database'!AE210))</f>
        <v/>
      </c>
      <c r="BM206" s="5">
        <f>IF('Project Database'!A210="","",N('Project Database'!AF210))</f>
        <v/>
      </c>
      <c r="BN206" s="5">
        <f>IF('Project Database'!A210="","",N('Project Database'!AG210))</f>
        <v/>
      </c>
      <c r="BO206" s="5">
        <f>IF('Project Database'!A210="","",N('Project Database'!AH210))</f>
        <v/>
      </c>
      <c r="BP206" s="5">
        <f>IF('Project Database'!A210="","",N('Project Database'!AI210))</f>
        <v/>
      </c>
      <c r="BQ206" s="5">
        <f>IF('Project Database'!A210="","",N('Project Database'!AJ210))</f>
        <v/>
      </c>
      <c r="BR206" s="5">
        <f>IF('Project Database'!A210="","",N('Project Database'!AK210))</f>
        <v/>
      </c>
      <c r="BS206" s="5">
        <f>IF('Project Database'!A210="","",N('Project Database'!AL210))</f>
        <v/>
      </c>
      <c r="BT206" s="5">
        <f>IF('Project Database'!A210="","",N('Project Database'!AM210))</f>
        <v/>
      </c>
      <c r="BU206" s="5">
        <f>IF('Project Database'!A210="","",N('Project Database'!AN210))</f>
        <v/>
      </c>
      <c r="BV206" s="5">
        <f>IF('Project Database'!A210="","",N('Project Database'!AO210))</f>
        <v/>
      </c>
      <c r="BW206" s="5">
        <f>IF('Project Database'!A210="","",N('Project Database'!AP210))</f>
        <v/>
      </c>
      <c r="BX206" s="5">
        <f>IF(A206="","",SUM(BJ206:BW206))</f>
        <v/>
      </c>
      <c r="BY206" s="5">
        <f>IF(A206="","",IFERROR(IF(ISNUMBER(U206),U206,VALUE(SUBSTITUTE(SUBSTITUTE(SUBSTITUTE(UPPER(TRIM(U206)),"M",""),",","")," ",""))),0))</f>
        <v/>
      </c>
    </row>
    <row r="207" ht="15" customHeight="1" s="74">
      <c r="A207" s="66">
        <f>'Project Database'!A211</f>
        <v/>
      </c>
      <c r="B207" s="66">
        <f>'Project Database'!B211</f>
        <v/>
      </c>
      <c r="C207" s="66">
        <f>'Project Database'!G211</f>
        <v/>
      </c>
      <c r="D207" s="66">
        <f>'Project Database'!H211</f>
        <v/>
      </c>
      <c r="E207" s="66">
        <f>'Project Database'!I211</f>
        <v/>
      </c>
      <c r="F207" s="66">
        <f>'Project Database'!J211</f>
        <v/>
      </c>
      <c r="G207" s="66">
        <f>'Project Database'!K211</f>
        <v/>
      </c>
      <c r="H207" s="66">
        <f>'Project Database'!L211</f>
        <v/>
      </c>
      <c r="I207" s="66">
        <f>'Project Database'!M211</f>
        <v/>
      </c>
      <c r="J207" s="66">
        <f>'Project Database'!N211</f>
        <v/>
      </c>
      <c r="K207" s="66">
        <f>'Project Database'!O211</f>
        <v/>
      </c>
      <c r="L207" s="66">
        <f>'Project Database'!P211</f>
        <v/>
      </c>
      <c r="M207" s="66">
        <f>'Project Database'!Q211</f>
        <v/>
      </c>
      <c r="N207" s="66">
        <f>'Project Database'!R211</f>
        <v/>
      </c>
      <c r="O207" s="66">
        <f>'Project Database'!S211</f>
        <v/>
      </c>
      <c r="P207" s="66">
        <f>'Project Database'!T211</f>
        <v/>
      </c>
      <c r="Q207" s="66">
        <f>'Project Database'!U211</f>
        <v/>
      </c>
      <c r="R207" s="66">
        <f>'Project Database'!V211</f>
        <v/>
      </c>
      <c r="S207" s="66">
        <f>'Project Database'!W211</f>
        <v/>
      </c>
      <c r="T207" s="66">
        <f>'Project Database'!X211</f>
        <v/>
      </c>
      <c r="U207" s="67">
        <f>'Project Database'!Y211</f>
        <v/>
      </c>
      <c r="V207" s="66">
        <f>IF('Smart Search'!B13=1,IFERROR(1/'Smart Search'!H13,0),0)</f>
        <v/>
      </c>
      <c r="W207" s="66">
        <f>IF('Smart Search'!B13=1,IFERROR(1/'Smart Search'!H13,0),0)</f>
        <v/>
      </c>
      <c r="X207" s="66">
        <f>IF('Smart Search'!C13=1,IFERROR(1/'Smart Search'!H13,0),0)</f>
        <v/>
      </c>
      <c r="Y207" s="66">
        <f>IF('Smart Search'!C13=1,IFERROR(1/'Smart Search'!H13,0),0)</f>
        <v/>
      </c>
      <c r="Z207" s="66">
        <f>IF('Smart Search'!D13=1,IFERROR(1/'Smart Search'!H13,0),0)</f>
        <v/>
      </c>
      <c r="AA207" s="66">
        <f>IF('Smart Search'!D13=1,IFERROR(1/'Smart Search'!H13,0),0)</f>
        <v/>
      </c>
      <c r="AB207" s="66">
        <f>IF('Smart Search'!E13=1,IFERROR(1/'Smart Search'!H13,0),0)</f>
        <v/>
      </c>
      <c r="AC207" s="66">
        <f>IF('Smart Search'!E13=1,IFERROR(1/'Smart Search'!H13,0),0)</f>
        <v/>
      </c>
      <c r="AD207" s="66">
        <f>IF('Smart Search'!F13=1,IFERROR(1/'Smart Search'!H13,0),0)</f>
        <v/>
      </c>
      <c r="AE207" s="66">
        <f>IF('Smart Search'!F13=1,IFERROR(1/'Smart Search'!H13,0),0)</f>
        <v/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66">
        <f>AF207*V207</f>
        <v/>
      </c>
      <c r="AQ207" s="66">
        <f>AG207*W207</f>
        <v/>
      </c>
      <c r="AR207" s="66">
        <f>AH207*X207</f>
        <v/>
      </c>
      <c r="AS207" s="66">
        <f>AI207*Y207</f>
        <v/>
      </c>
      <c r="AT207" s="66">
        <f>AJ207*Z207</f>
        <v/>
      </c>
      <c r="AU207" s="66">
        <f>AK207*AA207</f>
        <v/>
      </c>
      <c r="AV207" s="66">
        <f>AL207*AB207</f>
        <v/>
      </c>
      <c r="AW207" s="66">
        <f>AM207*AC207</f>
        <v/>
      </c>
      <c r="AX207" s="66">
        <f>AN207*AD207</f>
        <v/>
      </c>
      <c r="AY207" s="66">
        <f>AO207*AE207</f>
        <v/>
      </c>
      <c r="AZ207" s="66">
        <f>'Project Database'!Z211</f>
        <v/>
      </c>
      <c r="BA207" s="66">
        <f>IF(OR(A207="",'Smart Search'!H13=0),"",MAX(0,BE207*BF207*MAX(0,1-BG207)))</f>
        <v/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66">
        <f>IF('Smart Search'!G13=1,IFERROR(1/'Smart Search'!H13,0),0)</f>
        <v/>
      </c>
      <c r="BD207" s="66">
        <f>BB207*BC207</f>
        <v/>
      </c>
      <c r="BE207" s="66">
        <f>AP207+AQ207+AR207+AS207+AT207+AU207+AV207+AW207+AX207+AY207+BD207</f>
        <v/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5">
        <f>IF(AND('Project Database'!A211&lt;&gt;"",OR('Smart Search'!$L$5="",'Smart Search'!$L$5="All",TRIM('Project Database'!D211)=TRIM('Smart Search'!$L$5)),OR(TRIM('Smart Search'!$L$6)="",TRIM('Smart Search'!$L$6)="All",ISNUMBER(SEARCH(SUBSTITUTE(SUBSTITUTE(SUBSTITUTE(TRIM('Smart Search'!$L$6),"~","~~"),"*","~*"),"?","~?"),'Project Database'!C211))),OR('Smart Search'!$L$7="",AND('Project Database'!E211&lt;&gt;"",'Project Database'!E211='Smart Search'!$L$7)),OR('Smart Search'!$L$8="",'Smart Search'!$L$8="All",TRIM('Project Database'!F211)=TRIM('Smart Search'!$L$8))),IF(BA207="","",BA207+ROW()*0.0000000001),"")</f>
        <v/>
      </c>
      <c r="BI207" s="5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>
        <f>IF('Project Database'!A211="","",N('Project Database'!AC211))</f>
        <v/>
      </c>
      <c r="BK207" s="5">
        <f>IF('Project Database'!A211="","",N('Project Database'!AD211))</f>
        <v/>
      </c>
      <c r="BL207" s="5">
        <f>IF('Project Database'!A211="","",N('Project Database'!AE211))</f>
        <v/>
      </c>
      <c r="BM207" s="5">
        <f>IF('Project Database'!A211="","",N('Project Database'!AF211))</f>
        <v/>
      </c>
      <c r="BN207" s="5">
        <f>IF('Project Database'!A211="","",N('Project Database'!AG211))</f>
        <v/>
      </c>
      <c r="BO207" s="5">
        <f>IF('Project Database'!A211="","",N('Project Database'!AH211))</f>
        <v/>
      </c>
      <c r="BP207" s="5">
        <f>IF('Project Database'!A211="","",N('Project Database'!AI211))</f>
        <v/>
      </c>
      <c r="BQ207" s="5">
        <f>IF('Project Database'!A211="","",N('Project Database'!AJ211))</f>
        <v/>
      </c>
      <c r="BR207" s="5">
        <f>IF('Project Database'!A211="","",N('Project Database'!AK211))</f>
        <v/>
      </c>
      <c r="BS207" s="5">
        <f>IF('Project Database'!A211="","",N('Project Database'!AL211))</f>
        <v/>
      </c>
      <c r="BT207" s="5">
        <f>IF('Project Database'!A211="","",N('Project Database'!AM211))</f>
        <v/>
      </c>
      <c r="BU207" s="5">
        <f>IF('Project Database'!A211="","",N('Project Database'!AN211))</f>
        <v/>
      </c>
      <c r="BV207" s="5">
        <f>IF('Project Database'!A211="","",N('Project Database'!AO211))</f>
        <v/>
      </c>
      <c r="BW207" s="5">
        <f>IF('Project Database'!A211="","",N('Project Database'!AP211))</f>
        <v/>
      </c>
      <c r="BX207" s="5">
        <f>IF(A207="","",SUM(BJ207:BW207))</f>
        <v/>
      </c>
      <c r="BY207" s="5">
        <f>IF(A207="","",IFERROR(IF(ISNUMBER(U207),U207,VALUE(SUBSTITUTE(SUBSTITUTE(SUBSTITUTE(UPPER(TRIM(U207)),"M",""),",","")," ",""))),0))</f>
        <v/>
      </c>
    </row>
    <row r="208" ht="15" customHeight="1" s="74">
      <c r="A208" s="66">
        <f>'Project Database'!A212</f>
        <v/>
      </c>
      <c r="B208" s="66">
        <f>'Project Database'!B212</f>
        <v/>
      </c>
      <c r="C208" s="66">
        <f>'Project Database'!G212</f>
        <v/>
      </c>
      <c r="D208" s="66">
        <f>'Project Database'!H212</f>
        <v/>
      </c>
      <c r="E208" s="66">
        <f>'Project Database'!I212</f>
        <v/>
      </c>
      <c r="F208" s="66">
        <f>'Project Database'!J212</f>
        <v/>
      </c>
      <c r="G208" s="66">
        <f>'Project Database'!K212</f>
        <v/>
      </c>
      <c r="H208" s="66">
        <f>'Project Database'!L212</f>
        <v/>
      </c>
      <c r="I208" s="66">
        <f>'Project Database'!M212</f>
        <v/>
      </c>
      <c r="J208" s="66">
        <f>'Project Database'!N212</f>
        <v/>
      </c>
      <c r="K208" s="66">
        <f>'Project Database'!O212</f>
        <v/>
      </c>
      <c r="L208" s="66">
        <f>'Project Database'!P212</f>
        <v/>
      </c>
      <c r="M208" s="66">
        <f>'Project Database'!Q212</f>
        <v/>
      </c>
      <c r="N208" s="66">
        <f>'Project Database'!R212</f>
        <v/>
      </c>
      <c r="O208" s="66">
        <f>'Project Database'!S212</f>
        <v/>
      </c>
      <c r="P208" s="66">
        <f>'Project Database'!T212</f>
        <v/>
      </c>
      <c r="Q208" s="66">
        <f>'Project Database'!U212</f>
        <v/>
      </c>
      <c r="R208" s="66">
        <f>'Project Database'!V212</f>
        <v/>
      </c>
      <c r="S208" s="66">
        <f>'Project Database'!W212</f>
        <v/>
      </c>
      <c r="T208" s="66">
        <f>'Project Database'!X212</f>
        <v/>
      </c>
      <c r="U208" s="67">
        <f>'Project Database'!Y212</f>
        <v/>
      </c>
      <c r="V208" s="66">
        <f>IF('Smart Search'!B13=1,IFERROR(1/'Smart Search'!H13,0),0)</f>
        <v/>
      </c>
      <c r="W208" s="66">
        <f>IF('Smart Search'!B13=1,IFERROR(1/'Smart Search'!H13,0),0)</f>
        <v/>
      </c>
      <c r="X208" s="66">
        <f>IF('Smart Search'!C13=1,IFERROR(1/'Smart Search'!H13,0),0)</f>
        <v/>
      </c>
      <c r="Y208" s="66">
        <f>IF('Smart Search'!C13=1,IFERROR(1/'Smart Search'!H13,0),0)</f>
        <v/>
      </c>
      <c r="Z208" s="66">
        <f>IF('Smart Search'!D13=1,IFERROR(1/'Smart Search'!H13,0),0)</f>
        <v/>
      </c>
      <c r="AA208" s="66">
        <f>IF('Smart Search'!D13=1,IFERROR(1/'Smart Search'!H13,0),0)</f>
        <v/>
      </c>
      <c r="AB208" s="66">
        <f>IF('Smart Search'!E13=1,IFERROR(1/'Smart Search'!H13,0),0)</f>
        <v/>
      </c>
      <c r="AC208" s="66">
        <f>IF('Smart Search'!E13=1,IFERROR(1/'Smart Search'!H13,0),0)</f>
        <v/>
      </c>
      <c r="AD208" s="66">
        <f>IF('Smart Search'!F13=1,IFERROR(1/'Smart Search'!H13,0),0)</f>
        <v/>
      </c>
      <c r="AE208" s="66">
        <f>IF('Smart Search'!F13=1,IFERROR(1/'Smart Search'!H13,0),0)</f>
        <v/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66">
        <f>AF208*V208</f>
        <v/>
      </c>
      <c r="AQ208" s="66">
        <f>AG208*W208</f>
        <v/>
      </c>
      <c r="AR208" s="66">
        <f>AH208*X208</f>
        <v/>
      </c>
      <c r="AS208" s="66">
        <f>AI208*Y208</f>
        <v/>
      </c>
      <c r="AT208" s="66">
        <f>AJ208*Z208</f>
        <v/>
      </c>
      <c r="AU208" s="66">
        <f>AK208*AA208</f>
        <v/>
      </c>
      <c r="AV208" s="66">
        <f>AL208*AB208</f>
        <v/>
      </c>
      <c r="AW208" s="66">
        <f>AM208*AC208</f>
        <v/>
      </c>
      <c r="AX208" s="66">
        <f>AN208*AD208</f>
        <v/>
      </c>
      <c r="AY208" s="66">
        <f>AO208*AE208</f>
        <v/>
      </c>
      <c r="AZ208" s="66">
        <f>'Project Database'!Z212</f>
        <v/>
      </c>
      <c r="BA208" s="66">
        <f>IF(OR(A208="",'Smart Search'!H13=0),"",MAX(0,BE208*BF208*MAX(0,1-BG208)))</f>
        <v/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66">
        <f>IF('Smart Search'!G13=1,IFERROR(1/'Smart Search'!H13,0),0)</f>
        <v/>
      </c>
      <c r="BD208" s="66">
        <f>BB208*BC208</f>
        <v/>
      </c>
      <c r="BE208" s="66">
        <f>AP208+AQ208+AR208+AS208+AT208+AU208+AV208+AW208+AX208+AY208+BD208</f>
        <v/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5">
        <f>IF(AND('Project Database'!A212&lt;&gt;"",OR('Smart Search'!$L$5="",'Smart Search'!$L$5="All",TRIM('Project Database'!D212)=TRIM('Smart Search'!$L$5)),OR(TRIM('Smart Search'!$L$6)="",TRIM('Smart Search'!$L$6)="All",ISNUMBER(SEARCH(SUBSTITUTE(SUBSTITUTE(SUBSTITUTE(TRIM('Smart Search'!$L$6),"~","~~"),"*","~*"),"?","~?"),'Project Database'!C212))),OR('Smart Search'!$L$7="",AND('Project Database'!E212&lt;&gt;"",'Project Database'!E212='Smart Search'!$L$7)),OR('Smart Search'!$L$8="",'Smart Search'!$L$8="All",TRIM('Project Database'!F212)=TRIM('Smart Search'!$L$8))),IF(BA208="","",BA208+ROW()*0.0000000001),"")</f>
        <v/>
      </c>
      <c r="BI208" s="5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>
        <f>IF('Project Database'!A212="","",N('Project Database'!AC212))</f>
        <v/>
      </c>
      <c r="BK208" s="5">
        <f>IF('Project Database'!A212="","",N('Project Database'!AD212))</f>
        <v/>
      </c>
      <c r="BL208" s="5">
        <f>IF('Project Database'!A212="","",N('Project Database'!AE212))</f>
        <v/>
      </c>
      <c r="BM208" s="5">
        <f>IF('Project Database'!A212="","",N('Project Database'!AF212))</f>
        <v/>
      </c>
      <c r="BN208" s="5">
        <f>IF('Project Database'!A212="","",N('Project Database'!AG212))</f>
        <v/>
      </c>
      <c r="BO208" s="5">
        <f>IF('Project Database'!A212="","",N('Project Database'!AH212))</f>
        <v/>
      </c>
      <c r="BP208" s="5">
        <f>IF('Project Database'!A212="","",N('Project Database'!AI212))</f>
        <v/>
      </c>
      <c r="BQ208" s="5">
        <f>IF('Project Database'!A212="","",N('Project Database'!AJ212))</f>
        <v/>
      </c>
      <c r="BR208" s="5">
        <f>IF('Project Database'!A212="","",N('Project Database'!AK212))</f>
        <v/>
      </c>
      <c r="BS208" s="5">
        <f>IF('Project Database'!A212="","",N('Project Database'!AL212))</f>
        <v/>
      </c>
      <c r="BT208" s="5">
        <f>IF('Project Database'!A212="","",N('Project Database'!AM212))</f>
        <v/>
      </c>
      <c r="BU208" s="5">
        <f>IF('Project Database'!A212="","",N('Project Database'!AN212))</f>
        <v/>
      </c>
      <c r="BV208" s="5">
        <f>IF('Project Database'!A212="","",N('Project Database'!AO212))</f>
        <v/>
      </c>
      <c r="BW208" s="5">
        <f>IF('Project Database'!A212="","",N('Project Database'!AP212))</f>
        <v/>
      </c>
      <c r="BX208" s="5">
        <f>IF(A208="","",SUM(BJ208:BW208))</f>
        <v/>
      </c>
      <c r="BY208" s="5">
        <f>IF(A208="","",IFERROR(IF(ISNUMBER(U208),U208,VALUE(SUBSTITUTE(SUBSTITUTE(SUBSTITUTE(UPPER(TRIM(U208)),"M",""),",","")," ",""))),0))</f>
        <v/>
      </c>
    </row>
    <row r="209" ht="15" customHeight="1" s="74">
      <c r="A209" s="66">
        <f>'Project Database'!A213</f>
        <v/>
      </c>
      <c r="B209" s="66">
        <f>'Project Database'!B213</f>
        <v/>
      </c>
      <c r="C209" s="66">
        <f>'Project Database'!G213</f>
        <v/>
      </c>
      <c r="D209" s="66">
        <f>'Project Database'!H213</f>
        <v/>
      </c>
      <c r="E209" s="66">
        <f>'Project Database'!I213</f>
        <v/>
      </c>
      <c r="F209" s="66">
        <f>'Project Database'!J213</f>
        <v/>
      </c>
      <c r="G209" s="66">
        <f>'Project Database'!K213</f>
        <v/>
      </c>
      <c r="H209" s="66">
        <f>'Project Database'!L213</f>
        <v/>
      </c>
      <c r="I209" s="66">
        <f>'Project Database'!M213</f>
        <v/>
      </c>
      <c r="J209" s="66">
        <f>'Project Database'!N213</f>
        <v/>
      </c>
      <c r="K209" s="66">
        <f>'Project Database'!O213</f>
        <v/>
      </c>
      <c r="L209" s="66">
        <f>'Project Database'!P213</f>
        <v/>
      </c>
      <c r="M209" s="66">
        <f>'Project Database'!Q213</f>
        <v/>
      </c>
      <c r="N209" s="66">
        <f>'Project Database'!R213</f>
        <v/>
      </c>
      <c r="O209" s="66">
        <f>'Project Database'!S213</f>
        <v/>
      </c>
      <c r="P209" s="66">
        <f>'Project Database'!T213</f>
        <v/>
      </c>
      <c r="Q209" s="66">
        <f>'Project Database'!U213</f>
        <v/>
      </c>
      <c r="R209" s="66">
        <f>'Project Database'!V213</f>
        <v/>
      </c>
      <c r="S209" s="66">
        <f>'Project Database'!W213</f>
        <v/>
      </c>
      <c r="T209" s="66">
        <f>'Project Database'!X213</f>
        <v/>
      </c>
      <c r="U209" s="67">
        <f>'Project Database'!Y213</f>
        <v/>
      </c>
      <c r="V209" s="66">
        <f>IF('Smart Search'!B13=1,IFERROR(1/'Smart Search'!H13,0),0)</f>
        <v/>
      </c>
      <c r="W209" s="66">
        <f>IF('Smart Search'!B13=1,IFERROR(1/'Smart Search'!H13,0),0)</f>
        <v/>
      </c>
      <c r="X209" s="66">
        <f>IF('Smart Search'!C13=1,IFERROR(1/'Smart Search'!H13,0),0)</f>
        <v/>
      </c>
      <c r="Y209" s="66">
        <f>IF('Smart Search'!C13=1,IFERROR(1/'Smart Search'!H13,0),0)</f>
        <v/>
      </c>
      <c r="Z209" s="66">
        <f>IF('Smart Search'!D13=1,IFERROR(1/'Smart Search'!H13,0),0)</f>
        <v/>
      </c>
      <c r="AA209" s="66">
        <f>IF('Smart Search'!D13=1,IFERROR(1/'Smart Search'!H13,0),0)</f>
        <v/>
      </c>
      <c r="AB209" s="66">
        <f>IF('Smart Search'!E13=1,IFERROR(1/'Smart Search'!H13,0),0)</f>
        <v/>
      </c>
      <c r="AC209" s="66">
        <f>IF('Smart Search'!E13=1,IFERROR(1/'Smart Search'!H13,0),0)</f>
        <v/>
      </c>
      <c r="AD209" s="66">
        <f>IF('Smart Search'!F13=1,IFERROR(1/'Smart Search'!H13,0),0)</f>
        <v/>
      </c>
      <c r="AE209" s="66">
        <f>IF('Smart Search'!F13=1,IFERROR(1/'Smart Search'!H13,0),0)</f>
        <v/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66">
        <f>AF209*V209</f>
        <v/>
      </c>
      <c r="AQ209" s="66">
        <f>AG209*W209</f>
        <v/>
      </c>
      <c r="AR209" s="66">
        <f>AH209*X209</f>
        <v/>
      </c>
      <c r="AS209" s="66">
        <f>AI209*Y209</f>
        <v/>
      </c>
      <c r="AT209" s="66">
        <f>AJ209*Z209</f>
        <v/>
      </c>
      <c r="AU209" s="66">
        <f>AK209*AA209</f>
        <v/>
      </c>
      <c r="AV209" s="66">
        <f>AL209*AB209</f>
        <v/>
      </c>
      <c r="AW209" s="66">
        <f>AM209*AC209</f>
        <v/>
      </c>
      <c r="AX209" s="66">
        <f>AN209*AD209</f>
        <v/>
      </c>
      <c r="AY209" s="66">
        <f>AO209*AE209</f>
        <v/>
      </c>
      <c r="AZ209" s="66">
        <f>'Project Database'!Z213</f>
        <v/>
      </c>
      <c r="BA209" s="66">
        <f>IF(OR(A209="",'Smart Search'!H13=0),"",MAX(0,BE209*BF209*MAX(0,1-BG209)))</f>
        <v/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66">
        <f>IF('Smart Search'!G13=1,IFERROR(1/'Smart Search'!H13,0),0)</f>
        <v/>
      </c>
      <c r="BD209" s="66">
        <f>BB209*BC209</f>
        <v/>
      </c>
      <c r="BE209" s="66">
        <f>AP209+AQ209+AR209+AS209+AT209+AU209+AV209+AW209+AX209+AY209+BD209</f>
        <v/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5">
        <f>IF(AND('Project Database'!A213&lt;&gt;"",OR('Smart Search'!$L$5="",'Smart Search'!$L$5="All",TRIM('Project Database'!D213)=TRIM('Smart Search'!$L$5)),OR(TRIM('Smart Search'!$L$6)="",TRIM('Smart Search'!$L$6)="All",ISNUMBER(SEARCH(SUBSTITUTE(SUBSTITUTE(SUBSTITUTE(TRIM('Smart Search'!$L$6),"~","~~"),"*","~*"),"?","~?"),'Project Database'!C213))),OR('Smart Search'!$L$7="",AND('Project Database'!E213&lt;&gt;"",'Project Database'!E213='Smart Search'!$L$7)),OR('Smart Search'!$L$8="",'Smart Search'!$L$8="All",TRIM('Project Database'!F213)=TRIM('Smart Search'!$L$8))),IF(BA209="","",BA209+ROW()*0.0000000001),"")</f>
        <v/>
      </c>
      <c r="BI209" s="5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>
        <f>IF('Project Database'!A213="","",N('Project Database'!AC213))</f>
        <v/>
      </c>
      <c r="BK209" s="5">
        <f>IF('Project Database'!A213="","",N('Project Database'!AD213))</f>
        <v/>
      </c>
      <c r="BL209" s="5">
        <f>IF('Project Database'!A213="","",N('Project Database'!AE213))</f>
        <v/>
      </c>
      <c r="BM209" s="5">
        <f>IF('Project Database'!A213="","",N('Project Database'!AF213))</f>
        <v/>
      </c>
      <c r="BN209" s="5">
        <f>IF('Project Database'!A213="","",N('Project Database'!AG213))</f>
        <v/>
      </c>
      <c r="BO209" s="5">
        <f>IF('Project Database'!A213="","",N('Project Database'!AH213))</f>
        <v/>
      </c>
      <c r="BP209" s="5">
        <f>IF('Project Database'!A213="","",N('Project Database'!AI213))</f>
        <v/>
      </c>
      <c r="BQ209" s="5">
        <f>IF('Project Database'!A213="","",N('Project Database'!AJ213))</f>
        <v/>
      </c>
      <c r="BR209" s="5">
        <f>IF('Project Database'!A213="","",N('Project Database'!AK213))</f>
        <v/>
      </c>
      <c r="BS209" s="5">
        <f>IF('Project Database'!A213="","",N('Project Database'!AL213))</f>
        <v/>
      </c>
      <c r="BT209" s="5">
        <f>IF('Project Database'!A213="","",N('Project Database'!AM213))</f>
        <v/>
      </c>
      <c r="BU209" s="5">
        <f>IF('Project Database'!A213="","",N('Project Database'!AN213))</f>
        <v/>
      </c>
      <c r="BV209" s="5">
        <f>IF('Project Database'!A213="","",N('Project Database'!AO213))</f>
        <v/>
      </c>
      <c r="BW209" s="5">
        <f>IF('Project Database'!A213="","",N('Project Database'!AP213))</f>
        <v/>
      </c>
      <c r="BX209" s="5">
        <f>IF(A209="","",SUM(BJ209:BW209))</f>
        <v/>
      </c>
      <c r="BY209" s="5">
        <f>IF(A209="","",IFERROR(IF(ISNUMBER(U209),U209,VALUE(SUBSTITUTE(SUBSTITUTE(SUBSTITUTE(UPPER(TRIM(U209)),"M",""),",","")," ",""))),0))</f>
        <v/>
      </c>
    </row>
    <row r="210" ht="15" customHeight="1" s="74">
      <c r="A210" s="66">
        <f>'Project Database'!A214</f>
        <v/>
      </c>
      <c r="B210" s="66">
        <f>'Project Database'!B214</f>
        <v/>
      </c>
      <c r="C210" s="66">
        <f>'Project Database'!G214</f>
        <v/>
      </c>
      <c r="D210" s="66">
        <f>'Project Database'!H214</f>
        <v/>
      </c>
      <c r="E210" s="66">
        <f>'Project Database'!I214</f>
        <v/>
      </c>
      <c r="F210" s="66">
        <f>'Project Database'!J214</f>
        <v/>
      </c>
      <c r="G210" s="66">
        <f>'Project Database'!K214</f>
        <v/>
      </c>
      <c r="H210" s="66">
        <f>'Project Database'!L214</f>
        <v/>
      </c>
      <c r="I210" s="66">
        <f>'Project Database'!M214</f>
        <v/>
      </c>
      <c r="J210" s="66">
        <f>'Project Database'!N214</f>
        <v/>
      </c>
      <c r="K210" s="66">
        <f>'Project Database'!O214</f>
        <v/>
      </c>
      <c r="L210" s="66">
        <f>'Project Database'!P214</f>
        <v/>
      </c>
      <c r="M210" s="66">
        <f>'Project Database'!Q214</f>
        <v/>
      </c>
      <c r="N210" s="66">
        <f>'Project Database'!R214</f>
        <v/>
      </c>
      <c r="O210" s="66">
        <f>'Project Database'!S214</f>
        <v/>
      </c>
      <c r="P210" s="66">
        <f>'Project Database'!T214</f>
        <v/>
      </c>
      <c r="Q210" s="66">
        <f>'Project Database'!U214</f>
        <v/>
      </c>
      <c r="R210" s="66">
        <f>'Project Database'!V214</f>
        <v/>
      </c>
      <c r="S210" s="66">
        <f>'Project Database'!W214</f>
        <v/>
      </c>
      <c r="T210" s="66">
        <f>'Project Database'!X214</f>
        <v/>
      </c>
      <c r="U210" s="67">
        <f>'Project Database'!Y214</f>
        <v/>
      </c>
      <c r="V210" s="66">
        <f>IF('Smart Search'!B13=1,IFERROR(1/'Smart Search'!H13,0),0)</f>
        <v/>
      </c>
      <c r="W210" s="66">
        <f>IF('Smart Search'!B13=1,IFERROR(1/'Smart Search'!H13,0),0)</f>
        <v/>
      </c>
      <c r="X210" s="66">
        <f>IF('Smart Search'!C13=1,IFERROR(1/'Smart Search'!H13,0),0)</f>
        <v/>
      </c>
      <c r="Y210" s="66">
        <f>IF('Smart Search'!C13=1,IFERROR(1/'Smart Search'!H13,0),0)</f>
        <v/>
      </c>
      <c r="Z210" s="66">
        <f>IF('Smart Search'!D13=1,IFERROR(1/'Smart Search'!H13,0),0)</f>
        <v/>
      </c>
      <c r="AA210" s="66">
        <f>IF('Smart Search'!D13=1,IFERROR(1/'Smart Search'!H13,0),0)</f>
        <v/>
      </c>
      <c r="AB210" s="66">
        <f>IF('Smart Search'!E13=1,IFERROR(1/'Smart Search'!H13,0),0)</f>
        <v/>
      </c>
      <c r="AC210" s="66">
        <f>IF('Smart Search'!E13=1,IFERROR(1/'Smart Search'!H13,0),0)</f>
        <v/>
      </c>
      <c r="AD210" s="66">
        <f>IF('Smart Search'!F13=1,IFERROR(1/'Smart Search'!H13,0),0)</f>
        <v/>
      </c>
      <c r="AE210" s="66">
        <f>IF('Smart Search'!F13=1,IFERROR(1/'Smart Search'!H13,0),0)</f>
        <v/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66">
        <f>AF210*V210</f>
        <v/>
      </c>
      <c r="AQ210" s="66">
        <f>AG210*W210</f>
        <v/>
      </c>
      <c r="AR210" s="66">
        <f>AH210*X210</f>
        <v/>
      </c>
      <c r="AS210" s="66">
        <f>AI210*Y210</f>
        <v/>
      </c>
      <c r="AT210" s="66">
        <f>AJ210*Z210</f>
        <v/>
      </c>
      <c r="AU210" s="66">
        <f>AK210*AA210</f>
        <v/>
      </c>
      <c r="AV210" s="66">
        <f>AL210*AB210</f>
        <v/>
      </c>
      <c r="AW210" s="66">
        <f>AM210*AC210</f>
        <v/>
      </c>
      <c r="AX210" s="66">
        <f>AN210*AD210</f>
        <v/>
      </c>
      <c r="AY210" s="66">
        <f>AO210*AE210</f>
        <v/>
      </c>
      <c r="AZ210" s="66">
        <f>'Project Database'!Z214</f>
        <v/>
      </c>
      <c r="BA210" s="66">
        <f>IF(OR(A210="",'Smart Search'!H13=0),"",MAX(0,BE210*BF210*MAX(0,1-BG210)))</f>
        <v/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66">
        <f>IF('Smart Search'!G13=1,IFERROR(1/'Smart Search'!H13,0),0)</f>
        <v/>
      </c>
      <c r="BD210" s="66">
        <f>BB210*BC210</f>
        <v/>
      </c>
      <c r="BE210" s="66">
        <f>AP210+AQ210+AR210+AS210+AT210+AU210+AV210+AW210+AX210+AY210+BD210</f>
        <v/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5">
        <f>IF(AND('Project Database'!A214&lt;&gt;"",OR('Smart Search'!$L$5="",'Smart Search'!$L$5="All",TRIM('Project Database'!D214)=TRIM('Smart Search'!$L$5)),OR(TRIM('Smart Search'!$L$6)="",TRIM('Smart Search'!$L$6)="All",ISNUMBER(SEARCH(SUBSTITUTE(SUBSTITUTE(SUBSTITUTE(TRIM('Smart Search'!$L$6),"~","~~"),"*","~*"),"?","~?"),'Project Database'!C214))),OR('Smart Search'!$L$7="",AND('Project Database'!E214&lt;&gt;"",'Project Database'!E214='Smart Search'!$L$7)),OR('Smart Search'!$L$8="",'Smart Search'!$L$8="All",TRIM('Project Database'!F214)=TRIM('Smart Search'!$L$8))),IF(BA210="","",BA210+ROW()*0.0000000001),"")</f>
        <v/>
      </c>
      <c r="BI210" s="5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>
        <f>IF('Project Database'!A214="","",N('Project Database'!AC214))</f>
        <v/>
      </c>
      <c r="BK210" s="5">
        <f>IF('Project Database'!A214="","",N('Project Database'!AD214))</f>
        <v/>
      </c>
      <c r="BL210" s="5">
        <f>IF('Project Database'!A214="","",N('Project Database'!AE214))</f>
        <v/>
      </c>
      <c r="BM210" s="5">
        <f>IF('Project Database'!A214="","",N('Project Database'!AF214))</f>
        <v/>
      </c>
      <c r="BN210" s="5">
        <f>IF('Project Database'!A214="","",N('Project Database'!AG214))</f>
        <v/>
      </c>
      <c r="BO210" s="5">
        <f>IF('Project Database'!A214="","",N('Project Database'!AH214))</f>
        <v/>
      </c>
      <c r="BP210" s="5">
        <f>IF('Project Database'!A214="","",N('Project Database'!AI214))</f>
        <v/>
      </c>
      <c r="BQ210" s="5">
        <f>IF('Project Database'!A214="","",N('Project Database'!AJ214))</f>
        <v/>
      </c>
      <c r="BR210" s="5">
        <f>IF('Project Database'!A214="","",N('Project Database'!AK214))</f>
        <v/>
      </c>
      <c r="BS210" s="5">
        <f>IF('Project Database'!A214="","",N('Project Database'!AL214))</f>
        <v/>
      </c>
      <c r="BT210" s="5">
        <f>IF('Project Database'!A214="","",N('Project Database'!AM214))</f>
        <v/>
      </c>
      <c r="BU210" s="5">
        <f>IF('Project Database'!A214="","",N('Project Database'!AN214))</f>
        <v/>
      </c>
      <c r="BV210" s="5">
        <f>IF('Project Database'!A214="","",N('Project Database'!AO214))</f>
        <v/>
      </c>
      <c r="BW210" s="5">
        <f>IF('Project Database'!A214="","",N('Project Database'!AP214))</f>
        <v/>
      </c>
      <c r="BX210" s="5">
        <f>IF(A210="","",SUM(BJ210:BW210))</f>
        <v/>
      </c>
      <c r="BY210" s="5">
        <f>IF(A210="","",IFERROR(IF(ISNUMBER(U210),U210,VALUE(SUBSTITUTE(SUBSTITUTE(SUBSTITUTE(UPPER(TRIM(U210)),"M",""),",","")," ",""))),0))</f>
        <v/>
      </c>
    </row>
    <row r="211" ht="15" customHeight="1" s="74">
      <c r="A211" s="66">
        <f>'Project Database'!A215</f>
        <v/>
      </c>
      <c r="B211" s="66">
        <f>'Project Database'!B215</f>
        <v/>
      </c>
      <c r="C211" s="66">
        <f>'Project Database'!G215</f>
        <v/>
      </c>
      <c r="D211" s="66">
        <f>'Project Database'!H215</f>
        <v/>
      </c>
      <c r="E211" s="66">
        <f>'Project Database'!I215</f>
        <v/>
      </c>
      <c r="F211" s="66">
        <f>'Project Database'!J215</f>
        <v/>
      </c>
      <c r="G211" s="66">
        <f>'Project Database'!K215</f>
        <v/>
      </c>
      <c r="H211" s="66">
        <f>'Project Database'!L215</f>
        <v/>
      </c>
      <c r="I211" s="66">
        <f>'Project Database'!M215</f>
        <v/>
      </c>
      <c r="J211" s="66">
        <f>'Project Database'!N215</f>
        <v/>
      </c>
      <c r="K211" s="66">
        <f>'Project Database'!O215</f>
        <v/>
      </c>
      <c r="L211" s="66">
        <f>'Project Database'!P215</f>
        <v/>
      </c>
      <c r="M211" s="66">
        <f>'Project Database'!Q215</f>
        <v/>
      </c>
      <c r="N211" s="66">
        <f>'Project Database'!R215</f>
        <v/>
      </c>
      <c r="O211" s="66">
        <f>'Project Database'!S215</f>
        <v/>
      </c>
      <c r="P211" s="66">
        <f>'Project Database'!T215</f>
        <v/>
      </c>
      <c r="Q211" s="66">
        <f>'Project Database'!U215</f>
        <v/>
      </c>
      <c r="R211" s="66">
        <f>'Project Database'!V215</f>
        <v/>
      </c>
      <c r="S211" s="66">
        <f>'Project Database'!W215</f>
        <v/>
      </c>
      <c r="T211" s="66">
        <f>'Project Database'!X215</f>
        <v/>
      </c>
      <c r="U211" s="67">
        <f>'Project Database'!Y215</f>
        <v/>
      </c>
      <c r="V211" s="66">
        <f>IF('Smart Search'!B13=1,IFERROR(1/'Smart Search'!H13,0),0)</f>
        <v/>
      </c>
      <c r="W211" s="66">
        <f>IF('Smart Search'!B13=1,IFERROR(1/'Smart Search'!H13,0),0)</f>
        <v/>
      </c>
      <c r="X211" s="66">
        <f>IF('Smart Search'!C13=1,IFERROR(1/'Smart Search'!H13,0),0)</f>
        <v/>
      </c>
      <c r="Y211" s="66">
        <f>IF('Smart Search'!C13=1,IFERROR(1/'Smart Search'!H13,0),0)</f>
        <v/>
      </c>
      <c r="Z211" s="66">
        <f>IF('Smart Search'!D13=1,IFERROR(1/'Smart Search'!H13,0),0)</f>
        <v/>
      </c>
      <c r="AA211" s="66">
        <f>IF('Smart Search'!D13=1,IFERROR(1/'Smart Search'!H13,0),0)</f>
        <v/>
      </c>
      <c r="AB211" s="66">
        <f>IF('Smart Search'!E13=1,IFERROR(1/'Smart Search'!H13,0),0)</f>
        <v/>
      </c>
      <c r="AC211" s="66">
        <f>IF('Smart Search'!E13=1,IFERROR(1/'Smart Search'!H13,0),0)</f>
        <v/>
      </c>
      <c r="AD211" s="66">
        <f>IF('Smart Search'!F13=1,IFERROR(1/'Smart Search'!H13,0),0)</f>
        <v/>
      </c>
      <c r="AE211" s="66">
        <f>IF('Smart Search'!F13=1,IFERROR(1/'Smart Search'!H13,0),0)</f>
        <v/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66">
        <f>AF211*V211</f>
        <v/>
      </c>
      <c r="AQ211" s="66">
        <f>AG211*W211</f>
        <v/>
      </c>
      <c r="AR211" s="66">
        <f>AH211*X211</f>
        <v/>
      </c>
      <c r="AS211" s="66">
        <f>AI211*Y211</f>
        <v/>
      </c>
      <c r="AT211" s="66">
        <f>AJ211*Z211</f>
        <v/>
      </c>
      <c r="AU211" s="66">
        <f>AK211*AA211</f>
        <v/>
      </c>
      <c r="AV211" s="66">
        <f>AL211*AB211</f>
        <v/>
      </c>
      <c r="AW211" s="66">
        <f>AM211*AC211</f>
        <v/>
      </c>
      <c r="AX211" s="66">
        <f>AN211*AD211</f>
        <v/>
      </c>
      <c r="AY211" s="66">
        <f>AO211*AE211</f>
        <v/>
      </c>
      <c r="AZ211" s="66">
        <f>'Project Database'!Z215</f>
        <v/>
      </c>
      <c r="BA211" s="66">
        <f>IF(OR(A211="",'Smart Search'!H13=0),"",MAX(0,BE211*BF211*MAX(0,1-BG211)))</f>
        <v/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66">
        <f>IF('Smart Search'!G13=1,IFERROR(1/'Smart Search'!H13,0),0)</f>
        <v/>
      </c>
      <c r="BD211" s="66">
        <f>BB211*BC211</f>
        <v/>
      </c>
      <c r="BE211" s="66">
        <f>AP211+AQ211+AR211+AS211+AT211+AU211+AV211+AW211+AX211+AY211+BD211</f>
        <v/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5">
        <f>IF(AND('Project Database'!A215&lt;&gt;"",OR('Smart Search'!$L$5="",'Smart Search'!$L$5="All",TRIM('Project Database'!D215)=TRIM('Smart Search'!$L$5)),OR(TRIM('Smart Search'!$L$6)="",TRIM('Smart Search'!$L$6)="All",ISNUMBER(SEARCH(SUBSTITUTE(SUBSTITUTE(SUBSTITUTE(TRIM('Smart Search'!$L$6),"~","~~"),"*","~*"),"?","~?"),'Project Database'!C215))),OR('Smart Search'!$L$7="",AND('Project Database'!E215&lt;&gt;"",'Project Database'!E215='Smart Search'!$L$7)),OR('Smart Search'!$L$8="",'Smart Search'!$L$8="All",TRIM('Project Database'!F215)=TRIM('Smart Search'!$L$8))),IF(BA211="","",BA211+ROW()*0.0000000001),"")</f>
        <v/>
      </c>
      <c r="BI211" s="5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>
        <f>IF('Project Database'!A215="","",N('Project Database'!AC215))</f>
        <v/>
      </c>
      <c r="BK211" s="5">
        <f>IF('Project Database'!A215="","",N('Project Database'!AD215))</f>
        <v/>
      </c>
      <c r="BL211" s="5">
        <f>IF('Project Database'!A215="","",N('Project Database'!AE215))</f>
        <v/>
      </c>
      <c r="BM211" s="5">
        <f>IF('Project Database'!A215="","",N('Project Database'!AF215))</f>
        <v/>
      </c>
      <c r="BN211" s="5">
        <f>IF('Project Database'!A215="","",N('Project Database'!AG215))</f>
        <v/>
      </c>
      <c r="BO211" s="5">
        <f>IF('Project Database'!A215="","",N('Project Database'!AH215))</f>
        <v/>
      </c>
      <c r="BP211" s="5">
        <f>IF('Project Database'!A215="","",N('Project Database'!AI215))</f>
        <v/>
      </c>
      <c r="BQ211" s="5">
        <f>IF('Project Database'!A215="","",N('Project Database'!AJ215))</f>
        <v/>
      </c>
      <c r="BR211" s="5">
        <f>IF('Project Database'!A215="","",N('Project Database'!AK215))</f>
        <v/>
      </c>
      <c r="BS211" s="5">
        <f>IF('Project Database'!A215="","",N('Project Database'!AL215))</f>
        <v/>
      </c>
      <c r="BT211" s="5">
        <f>IF('Project Database'!A215="","",N('Project Database'!AM215))</f>
        <v/>
      </c>
      <c r="BU211" s="5">
        <f>IF('Project Database'!A215="","",N('Project Database'!AN215))</f>
        <v/>
      </c>
      <c r="BV211" s="5">
        <f>IF('Project Database'!A215="","",N('Project Database'!AO215))</f>
        <v/>
      </c>
      <c r="BW211" s="5">
        <f>IF('Project Database'!A215="","",N('Project Database'!AP215))</f>
        <v/>
      </c>
      <c r="BX211" s="5">
        <f>IF(A211="","",SUM(BJ211:BW211))</f>
        <v/>
      </c>
      <c r="BY211" s="5">
        <f>IF(A211="","",IFERROR(IF(ISNUMBER(U211),U211,VALUE(SUBSTITUTE(SUBSTITUTE(SUBSTITUTE(UPPER(TRIM(U211)),"M",""),",","")," ",""))),0))</f>
        <v/>
      </c>
    </row>
    <row r="212" ht="15" customHeight="1" s="74">
      <c r="A212" s="66">
        <f>'Project Database'!A216</f>
        <v/>
      </c>
      <c r="B212" s="66">
        <f>'Project Database'!B216</f>
        <v/>
      </c>
      <c r="C212" s="66">
        <f>'Project Database'!G216</f>
        <v/>
      </c>
      <c r="D212" s="66">
        <f>'Project Database'!H216</f>
        <v/>
      </c>
      <c r="E212" s="66">
        <f>'Project Database'!I216</f>
        <v/>
      </c>
      <c r="F212" s="66">
        <f>'Project Database'!J216</f>
        <v/>
      </c>
      <c r="G212" s="66">
        <f>'Project Database'!K216</f>
        <v/>
      </c>
      <c r="H212" s="66">
        <f>'Project Database'!L216</f>
        <v/>
      </c>
      <c r="I212" s="66">
        <f>'Project Database'!M216</f>
        <v/>
      </c>
      <c r="J212" s="66">
        <f>'Project Database'!N216</f>
        <v/>
      </c>
      <c r="K212" s="66">
        <f>'Project Database'!O216</f>
        <v/>
      </c>
      <c r="L212" s="66">
        <f>'Project Database'!P216</f>
        <v/>
      </c>
      <c r="M212" s="66">
        <f>'Project Database'!Q216</f>
        <v/>
      </c>
      <c r="N212" s="66">
        <f>'Project Database'!R216</f>
        <v/>
      </c>
      <c r="O212" s="66">
        <f>'Project Database'!S216</f>
        <v/>
      </c>
      <c r="P212" s="66">
        <f>'Project Database'!T216</f>
        <v/>
      </c>
      <c r="Q212" s="66">
        <f>'Project Database'!U216</f>
        <v/>
      </c>
      <c r="R212" s="66">
        <f>'Project Database'!V216</f>
        <v/>
      </c>
      <c r="S212" s="66">
        <f>'Project Database'!W216</f>
        <v/>
      </c>
      <c r="T212" s="66">
        <f>'Project Database'!X216</f>
        <v/>
      </c>
      <c r="U212" s="67">
        <f>'Project Database'!Y216</f>
        <v/>
      </c>
      <c r="V212" s="66">
        <f>IF('Smart Search'!B13=1,IFERROR(1/'Smart Search'!H13,0),0)</f>
        <v/>
      </c>
      <c r="W212" s="66">
        <f>IF('Smart Search'!B13=1,IFERROR(1/'Smart Search'!H13,0),0)</f>
        <v/>
      </c>
      <c r="X212" s="66">
        <f>IF('Smart Search'!C13=1,IFERROR(1/'Smart Search'!H13,0),0)</f>
        <v/>
      </c>
      <c r="Y212" s="66">
        <f>IF('Smart Search'!C13=1,IFERROR(1/'Smart Search'!H13,0),0)</f>
        <v/>
      </c>
      <c r="Z212" s="66">
        <f>IF('Smart Search'!D13=1,IFERROR(1/'Smart Search'!H13,0),0)</f>
        <v/>
      </c>
      <c r="AA212" s="66">
        <f>IF('Smart Search'!D13=1,IFERROR(1/'Smart Search'!H13,0),0)</f>
        <v/>
      </c>
      <c r="AB212" s="66">
        <f>IF('Smart Search'!E13=1,IFERROR(1/'Smart Search'!H13,0),0)</f>
        <v/>
      </c>
      <c r="AC212" s="66">
        <f>IF('Smart Search'!E13=1,IFERROR(1/'Smart Search'!H13,0),0)</f>
        <v/>
      </c>
      <c r="AD212" s="66">
        <f>IF('Smart Search'!F13=1,IFERROR(1/'Smart Search'!H13,0),0)</f>
        <v/>
      </c>
      <c r="AE212" s="66">
        <f>IF('Smart Search'!F13=1,IFERROR(1/'Smart Search'!H13,0),0)</f>
        <v/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66">
        <f>AF212*V212</f>
        <v/>
      </c>
      <c r="AQ212" s="66">
        <f>AG212*W212</f>
        <v/>
      </c>
      <c r="AR212" s="66">
        <f>AH212*X212</f>
        <v/>
      </c>
      <c r="AS212" s="66">
        <f>AI212*Y212</f>
        <v/>
      </c>
      <c r="AT212" s="66">
        <f>AJ212*Z212</f>
        <v/>
      </c>
      <c r="AU212" s="66">
        <f>AK212*AA212</f>
        <v/>
      </c>
      <c r="AV212" s="66">
        <f>AL212*AB212</f>
        <v/>
      </c>
      <c r="AW212" s="66">
        <f>AM212*AC212</f>
        <v/>
      </c>
      <c r="AX212" s="66">
        <f>AN212*AD212</f>
        <v/>
      </c>
      <c r="AY212" s="66">
        <f>AO212*AE212</f>
        <v/>
      </c>
      <c r="AZ212" s="66">
        <f>'Project Database'!Z216</f>
        <v/>
      </c>
      <c r="BA212" s="66">
        <f>IF(OR(A212="",'Smart Search'!H13=0),"",MAX(0,BE212*BF212*MAX(0,1-BG212)))</f>
        <v/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66">
        <f>IF('Smart Search'!G13=1,IFERROR(1/'Smart Search'!H13,0),0)</f>
        <v/>
      </c>
      <c r="BD212" s="66">
        <f>BB212*BC212</f>
        <v/>
      </c>
      <c r="BE212" s="66">
        <f>AP212+AQ212+AR212+AS212+AT212+AU212+AV212+AW212+AX212+AY212+BD212</f>
        <v/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5">
        <f>IF(AND('Project Database'!A216&lt;&gt;"",OR('Smart Search'!$L$5="",'Smart Search'!$L$5="All",TRIM('Project Database'!D216)=TRIM('Smart Search'!$L$5)),OR(TRIM('Smart Search'!$L$6)="",TRIM('Smart Search'!$L$6)="All",ISNUMBER(SEARCH(SUBSTITUTE(SUBSTITUTE(SUBSTITUTE(TRIM('Smart Search'!$L$6),"~","~~"),"*","~*"),"?","~?"),'Project Database'!C216))),OR('Smart Search'!$L$7="",AND('Project Database'!E216&lt;&gt;"",'Project Database'!E216='Smart Search'!$L$7)),OR('Smart Search'!$L$8="",'Smart Search'!$L$8="All",TRIM('Project Database'!F216)=TRIM('Smart Search'!$L$8))),IF(BA212="","",BA212+ROW()*0.0000000001),"")</f>
        <v/>
      </c>
      <c r="BI212" s="5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>
        <f>IF('Project Database'!A216="","",N('Project Database'!AC216))</f>
        <v/>
      </c>
      <c r="BK212" s="5">
        <f>IF('Project Database'!A216="","",N('Project Database'!AD216))</f>
        <v/>
      </c>
      <c r="BL212" s="5">
        <f>IF('Project Database'!A216="","",N('Project Database'!AE216))</f>
        <v/>
      </c>
      <c r="BM212" s="5">
        <f>IF('Project Database'!A216="","",N('Project Database'!AF216))</f>
        <v/>
      </c>
      <c r="BN212" s="5">
        <f>IF('Project Database'!A216="","",N('Project Database'!AG216))</f>
        <v/>
      </c>
      <c r="BO212" s="5">
        <f>IF('Project Database'!A216="","",N('Project Database'!AH216))</f>
        <v/>
      </c>
      <c r="BP212" s="5">
        <f>IF('Project Database'!A216="","",N('Project Database'!AI216))</f>
        <v/>
      </c>
      <c r="BQ212" s="5">
        <f>IF('Project Database'!A216="","",N('Project Database'!AJ216))</f>
        <v/>
      </c>
      <c r="BR212" s="5">
        <f>IF('Project Database'!A216="","",N('Project Database'!AK216))</f>
        <v/>
      </c>
      <c r="BS212" s="5">
        <f>IF('Project Database'!A216="","",N('Project Database'!AL216))</f>
        <v/>
      </c>
      <c r="BT212" s="5">
        <f>IF('Project Database'!A216="","",N('Project Database'!AM216))</f>
        <v/>
      </c>
      <c r="BU212" s="5">
        <f>IF('Project Database'!A216="","",N('Project Database'!AN216))</f>
        <v/>
      </c>
      <c r="BV212" s="5">
        <f>IF('Project Database'!A216="","",N('Project Database'!AO216))</f>
        <v/>
      </c>
      <c r="BW212" s="5">
        <f>IF('Project Database'!A216="","",N('Project Database'!AP216))</f>
        <v/>
      </c>
      <c r="BX212" s="5">
        <f>IF(A212="","",SUM(BJ212:BW212))</f>
        <v/>
      </c>
      <c r="BY212" s="5">
        <f>IF(A212="","",IFERROR(IF(ISNUMBER(U212),U212,VALUE(SUBSTITUTE(SUBSTITUTE(SUBSTITUTE(UPPER(TRIM(U212)),"M",""),",","")," ",""))),0))</f>
        <v/>
      </c>
    </row>
    <row r="213" ht="15" customHeight="1" s="74">
      <c r="A213" s="66">
        <f>'Project Database'!A217</f>
        <v/>
      </c>
      <c r="B213" s="66">
        <f>'Project Database'!B217</f>
        <v/>
      </c>
      <c r="C213" s="66">
        <f>'Project Database'!G217</f>
        <v/>
      </c>
      <c r="D213" s="66">
        <f>'Project Database'!H217</f>
        <v/>
      </c>
      <c r="E213" s="66">
        <f>'Project Database'!I217</f>
        <v/>
      </c>
      <c r="F213" s="66">
        <f>'Project Database'!J217</f>
        <v/>
      </c>
      <c r="G213" s="66">
        <f>'Project Database'!K217</f>
        <v/>
      </c>
      <c r="H213" s="66">
        <f>'Project Database'!L217</f>
        <v/>
      </c>
      <c r="I213" s="66">
        <f>'Project Database'!M217</f>
        <v/>
      </c>
      <c r="J213" s="66">
        <f>'Project Database'!N217</f>
        <v/>
      </c>
      <c r="K213" s="66">
        <f>'Project Database'!O217</f>
        <v/>
      </c>
      <c r="L213" s="66">
        <f>'Project Database'!P217</f>
        <v/>
      </c>
      <c r="M213" s="66">
        <f>'Project Database'!Q217</f>
        <v/>
      </c>
      <c r="N213" s="66">
        <f>'Project Database'!R217</f>
        <v/>
      </c>
      <c r="O213" s="66">
        <f>'Project Database'!S217</f>
        <v/>
      </c>
      <c r="P213" s="66">
        <f>'Project Database'!T217</f>
        <v/>
      </c>
      <c r="Q213" s="66">
        <f>'Project Database'!U217</f>
        <v/>
      </c>
      <c r="R213" s="66">
        <f>'Project Database'!V217</f>
        <v/>
      </c>
      <c r="S213" s="66">
        <f>'Project Database'!W217</f>
        <v/>
      </c>
      <c r="T213" s="66">
        <f>'Project Database'!X217</f>
        <v/>
      </c>
      <c r="U213" s="67">
        <f>'Project Database'!Y217</f>
        <v/>
      </c>
      <c r="V213" s="66">
        <f>IF('Smart Search'!B13=1,IFERROR(1/'Smart Search'!H13,0),0)</f>
        <v/>
      </c>
      <c r="W213" s="66">
        <f>IF('Smart Search'!B13=1,IFERROR(1/'Smart Search'!H13,0),0)</f>
        <v/>
      </c>
      <c r="X213" s="66">
        <f>IF('Smart Search'!C13=1,IFERROR(1/'Smart Search'!H13,0),0)</f>
        <v/>
      </c>
      <c r="Y213" s="66">
        <f>IF('Smart Search'!C13=1,IFERROR(1/'Smart Search'!H13,0),0)</f>
        <v/>
      </c>
      <c r="Z213" s="66">
        <f>IF('Smart Search'!D13=1,IFERROR(1/'Smart Search'!H13,0),0)</f>
        <v/>
      </c>
      <c r="AA213" s="66">
        <f>IF('Smart Search'!D13=1,IFERROR(1/'Smart Search'!H13,0),0)</f>
        <v/>
      </c>
      <c r="AB213" s="66">
        <f>IF('Smart Search'!E13=1,IFERROR(1/'Smart Search'!H13,0),0)</f>
        <v/>
      </c>
      <c r="AC213" s="66">
        <f>IF('Smart Search'!E13=1,IFERROR(1/'Smart Search'!H13,0),0)</f>
        <v/>
      </c>
      <c r="AD213" s="66">
        <f>IF('Smart Search'!F13=1,IFERROR(1/'Smart Search'!H13,0),0)</f>
        <v/>
      </c>
      <c r="AE213" s="66">
        <f>IF('Smart Search'!F13=1,IFERROR(1/'Smart Search'!H13,0),0)</f>
        <v/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66">
        <f>AF213*V213</f>
        <v/>
      </c>
      <c r="AQ213" s="66">
        <f>AG213*W213</f>
        <v/>
      </c>
      <c r="AR213" s="66">
        <f>AH213*X213</f>
        <v/>
      </c>
      <c r="AS213" s="66">
        <f>AI213*Y213</f>
        <v/>
      </c>
      <c r="AT213" s="66">
        <f>AJ213*Z213</f>
        <v/>
      </c>
      <c r="AU213" s="66">
        <f>AK213*AA213</f>
        <v/>
      </c>
      <c r="AV213" s="66">
        <f>AL213*AB213</f>
        <v/>
      </c>
      <c r="AW213" s="66">
        <f>AM213*AC213</f>
        <v/>
      </c>
      <c r="AX213" s="66">
        <f>AN213*AD213</f>
        <v/>
      </c>
      <c r="AY213" s="66">
        <f>AO213*AE213</f>
        <v/>
      </c>
      <c r="AZ213" s="66">
        <f>'Project Database'!Z217</f>
        <v/>
      </c>
      <c r="BA213" s="66">
        <f>IF(OR(A213="",'Smart Search'!H13=0),"",MAX(0,BE213*BF213*MAX(0,1-BG213)))</f>
        <v/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66">
        <f>IF('Smart Search'!G13=1,IFERROR(1/'Smart Search'!H13,0),0)</f>
        <v/>
      </c>
      <c r="BD213" s="66">
        <f>BB213*BC213</f>
        <v/>
      </c>
      <c r="BE213" s="66">
        <f>AP213+AQ213+AR213+AS213+AT213+AU213+AV213+AW213+AX213+AY213+BD213</f>
        <v/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5">
        <f>IF(AND('Project Database'!A217&lt;&gt;"",OR('Smart Search'!$L$5="",'Smart Search'!$L$5="All",TRIM('Project Database'!D217)=TRIM('Smart Search'!$L$5)),OR(TRIM('Smart Search'!$L$6)="",TRIM('Smart Search'!$L$6)="All",ISNUMBER(SEARCH(SUBSTITUTE(SUBSTITUTE(SUBSTITUTE(TRIM('Smart Search'!$L$6),"~","~~"),"*","~*"),"?","~?"),'Project Database'!C217))),OR('Smart Search'!$L$7="",AND('Project Database'!E217&lt;&gt;"",'Project Database'!E217='Smart Search'!$L$7)),OR('Smart Search'!$L$8="",'Smart Search'!$L$8="All",TRIM('Project Database'!F217)=TRIM('Smart Search'!$L$8))),IF(BA213="","",BA213+ROW()*0.0000000001),"")</f>
        <v/>
      </c>
      <c r="BI213" s="5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>
        <f>IF('Project Database'!A217="","",N('Project Database'!AC217))</f>
        <v/>
      </c>
      <c r="BK213" s="5">
        <f>IF('Project Database'!A217="","",N('Project Database'!AD217))</f>
        <v/>
      </c>
      <c r="BL213" s="5">
        <f>IF('Project Database'!A217="","",N('Project Database'!AE217))</f>
        <v/>
      </c>
      <c r="BM213" s="5">
        <f>IF('Project Database'!A217="","",N('Project Database'!AF217))</f>
        <v/>
      </c>
      <c r="BN213" s="5">
        <f>IF('Project Database'!A217="","",N('Project Database'!AG217))</f>
        <v/>
      </c>
      <c r="BO213" s="5">
        <f>IF('Project Database'!A217="","",N('Project Database'!AH217))</f>
        <v/>
      </c>
      <c r="BP213" s="5">
        <f>IF('Project Database'!A217="","",N('Project Database'!AI217))</f>
        <v/>
      </c>
      <c r="BQ213" s="5">
        <f>IF('Project Database'!A217="","",N('Project Database'!AJ217))</f>
        <v/>
      </c>
      <c r="BR213" s="5">
        <f>IF('Project Database'!A217="","",N('Project Database'!AK217))</f>
        <v/>
      </c>
      <c r="BS213" s="5">
        <f>IF('Project Database'!A217="","",N('Project Database'!AL217))</f>
        <v/>
      </c>
      <c r="BT213" s="5">
        <f>IF('Project Database'!A217="","",N('Project Database'!AM217))</f>
        <v/>
      </c>
      <c r="BU213" s="5">
        <f>IF('Project Database'!A217="","",N('Project Database'!AN217))</f>
        <v/>
      </c>
      <c r="BV213" s="5">
        <f>IF('Project Database'!A217="","",N('Project Database'!AO217))</f>
        <v/>
      </c>
      <c r="BW213" s="5">
        <f>IF('Project Database'!A217="","",N('Project Database'!AP217))</f>
        <v/>
      </c>
      <c r="BX213" s="5">
        <f>IF(A213="","",SUM(BJ213:BW213))</f>
        <v/>
      </c>
      <c r="BY213" s="5">
        <f>IF(A213="","",IFERROR(IF(ISNUMBER(U213),U213,VALUE(SUBSTITUTE(SUBSTITUTE(SUBSTITUTE(UPPER(TRIM(U213)),"M",""),",","")," ",""))),0))</f>
        <v/>
      </c>
    </row>
    <row r="214" ht="15" customHeight="1" s="74">
      <c r="A214" s="66">
        <f>'Project Database'!A218</f>
        <v/>
      </c>
      <c r="B214" s="66">
        <f>'Project Database'!B218</f>
        <v/>
      </c>
      <c r="C214" s="66">
        <f>'Project Database'!G218</f>
        <v/>
      </c>
      <c r="D214" s="66">
        <f>'Project Database'!H218</f>
        <v/>
      </c>
      <c r="E214" s="66">
        <f>'Project Database'!I218</f>
        <v/>
      </c>
      <c r="F214" s="66">
        <f>'Project Database'!J218</f>
        <v/>
      </c>
      <c r="G214" s="66">
        <f>'Project Database'!K218</f>
        <v/>
      </c>
      <c r="H214" s="66">
        <f>'Project Database'!L218</f>
        <v/>
      </c>
      <c r="I214" s="66">
        <f>'Project Database'!M218</f>
        <v/>
      </c>
      <c r="J214" s="66">
        <f>'Project Database'!N218</f>
        <v/>
      </c>
      <c r="K214" s="66">
        <f>'Project Database'!O218</f>
        <v/>
      </c>
      <c r="L214" s="66">
        <f>'Project Database'!P218</f>
        <v/>
      </c>
      <c r="M214" s="66">
        <f>'Project Database'!Q218</f>
        <v/>
      </c>
      <c r="N214" s="66">
        <f>'Project Database'!R218</f>
        <v/>
      </c>
      <c r="O214" s="66">
        <f>'Project Database'!S218</f>
        <v/>
      </c>
      <c r="P214" s="66">
        <f>'Project Database'!T218</f>
        <v/>
      </c>
      <c r="Q214" s="66">
        <f>'Project Database'!U218</f>
        <v/>
      </c>
      <c r="R214" s="66">
        <f>'Project Database'!V218</f>
        <v/>
      </c>
      <c r="S214" s="66">
        <f>'Project Database'!W218</f>
        <v/>
      </c>
      <c r="T214" s="66">
        <f>'Project Database'!X218</f>
        <v/>
      </c>
      <c r="U214" s="67">
        <f>'Project Database'!Y218</f>
        <v/>
      </c>
      <c r="V214" s="66">
        <f>IF('Smart Search'!B13=1,IFERROR(1/'Smart Search'!H13,0),0)</f>
        <v/>
      </c>
      <c r="W214" s="66">
        <f>IF('Smart Search'!B13=1,IFERROR(1/'Smart Search'!H13,0),0)</f>
        <v/>
      </c>
      <c r="X214" s="66">
        <f>IF('Smart Search'!C13=1,IFERROR(1/'Smart Search'!H13,0),0)</f>
        <v/>
      </c>
      <c r="Y214" s="66">
        <f>IF('Smart Search'!C13=1,IFERROR(1/'Smart Search'!H13,0),0)</f>
        <v/>
      </c>
      <c r="Z214" s="66">
        <f>IF('Smart Search'!D13=1,IFERROR(1/'Smart Search'!H13,0),0)</f>
        <v/>
      </c>
      <c r="AA214" s="66">
        <f>IF('Smart Search'!D13=1,IFERROR(1/'Smart Search'!H13,0),0)</f>
        <v/>
      </c>
      <c r="AB214" s="66">
        <f>IF('Smart Search'!E13=1,IFERROR(1/'Smart Search'!H13,0),0)</f>
        <v/>
      </c>
      <c r="AC214" s="66">
        <f>IF('Smart Search'!E13=1,IFERROR(1/'Smart Search'!H13,0),0)</f>
        <v/>
      </c>
      <c r="AD214" s="66">
        <f>IF('Smart Search'!F13=1,IFERROR(1/'Smart Search'!H13,0),0)</f>
        <v/>
      </c>
      <c r="AE214" s="66">
        <f>IF('Smart Search'!F13=1,IFERROR(1/'Smart Search'!H13,0),0)</f>
        <v/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66">
        <f>AF214*V214</f>
        <v/>
      </c>
      <c r="AQ214" s="66">
        <f>AG214*W214</f>
        <v/>
      </c>
      <c r="AR214" s="66">
        <f>AH214*X214</f>
        <v/>
      </c>
      <c r="AS214" s="66">
        <f>AI214*Y214</f>
        <v/>
      </c>
      <c r="AT214" s="66">
        <f>AJ214*Z214</f>
        <v/>
      </c>
      <c r="AU214" s="66">
        <f>AK214*AA214</f>
        <v/>
      </c>
      <c r="AV214" s="66">
        <f>AL214*AB214</f>
        <v/>
      </c>
      <c r="AW214" s="66">
        <f>AM214*AC214</f>
        <v/>
      </c>
      <c r="AX214" s="66">
        <f>AN214*AD214</f>
        <v/>
      </c>
      <c r="AY214" s="66">
        <f>AO214*AE214</f>
        <v/>
      </c>
      <c r="AZ214" s="66">
        <f>'Project Database'!Z218</f>
        <v/>
      </c>
      <c r="BA214" s="66">
        <f>IF(OR(A214="",'Smart Search'!H13=0),"",MAX(0,BE214*BF214*MAX(0,1-BG214)))</f>
        <v/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66">
        <f>IF('Smart Search'!G13=1,IFERROR(1/'Smart Search'!H13,0),0)</f>
        <v/>
      </c>
      <c r="BD214" s="66">
        <f>BB214*BC214</f>
        <v/>
      </c>
      <c r="BE214" s="66">
        <f>AP214+AQ214+AR214+AS214+AT214+AU214+AV214+AW214+AX214+AY214+BD214</f>
        <v/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5">
        <f>IF(AND('Project Database'!A218&lt;&gt;"",OR('Smart Search'!$L$5="",'Smart Search'!$L$5="All",TRIM('Project Database'!D218)=TRIM('Smart Search'!$L$5)),OR(TRIM('Smart Search'!$L$6)="",TRIM('Smart Search'!$L$6)="All",ISNUMBER(SEARCH(SUBSTITUTE(SUBSTITUTE(SUBSTITUTE(TRIM('Smart Search'!$L$6),"~","~~"),"*","~*"),"?","~?"),'Project Database'!C218))),OR('Smart Search'!$L$7="",AND('Project Database'!E218&lt;&gt;"",'Project Database'!E218='Smart Search'!$L$7)),OR('Smart Search'!$L$8="",'Smart Search'!$L$8="All",TRIM('Project Database'!F218)=TRIM('Smart Search'!$L$8))),IF(BA214="","",BA214+ROW()*0.0000000001),"")</f>
        <v/>
      </c>
      <c r="BI214" s="5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>
        <f>IF('Project Database'!A218="","",N('Project Database'!AC218))</f>
        <v/>
      </c>
      <c r="BK214" s="5">
        <f>IF('Project Database'!A218="","",N('Project Database'!AD218))</f>
        <v/>
      </c>
      <c r="BL214" s="5">
        <f>IF('Project Database'!A218="","",N('Project Database'!AE218))</f>
        <v/>
      </c>
      <c r="BM214" s="5">
        <f>IF('Project Database'!A218="","",N('Project Database'!AF218))</f>
        <v/>
      </c>
      <c r="BN214" s="5">
        <f>IF('Project Database'!A218="","",N('Project Database'!AG218))</f>
        <v/>
      </c>
      <c r="BO214" s="5">
        <f>IF('Project Database'!A218="","",N('Project Database'!AH218))</f>
        <v/>
      </c>
      <c r="BP214" s="5">
        <f>IF('Project Database'!A218="","",N('Project Database'!AI218))</f>
        <v/>
      </c>
      <c r="BQ214" s="5">
        <f>IF('Project Database'!A218="","",N('Project Database'!AJ218))</f>
        <v/>
      </c>
      <c r="BR214" s="5">
        <f>IF('Project Database'!A218="","",N('Project Database'!AK218))</f>
        <v/>
      </c>
      <c r="BS214" s="5">
        <f>IF('Project Database'!A218="","",N('Project Database'!AL218))</f>
        <v/>
      </c>
      <c r="BT214" s="5">
        <f>IF('Project Database'!A218="","",N('Project Database'!AM218))</f>
        <v/>
      </c>
      <c r="BU214" s="5">
        <f>IF('Project Database'!A218="","",N('Project Database'!AN218))</f>
        <v/>
      </c>
      <c r="BV214" s="5">
        <f>IF('Project Database'!A218="","",N('Project Database'!AO218))</f>
        <v/>
      </c>
      <c r="BW214" s="5">
        <f>IF('Project Database'!A218="","",N('Project Database'!AP218))</f>
        <v/>
      </c>
      <c r="BX214" s="5">
        <f>IF(A214="","",SUM(BJ214:BW214))</f>
        <v/>
      </c>
      <c r="BY214" s="5">
        <f>IF(A214="","",IFERROR(IF(ISNUMBER(U214),U214,VALUE(SUBSTITUTE(SUBSTITUTE(SUBSTITUTE(UPPER(TRIM(U214)),"M",""),",","")," ",""))),0))</f>
        <v/>
      </c>
    </row>
    <row r="215" ht="15" customHeight="1" s="74">
      <c r="A215" s="66">
        <f>'Project Database'!A219</f>
        <v/>
      </c>
      <c r="B215" s="66">
        <f>'Project Database'!B219</f>
        <v/>
      </c>
      <c r="C215" s="66">
        <f>'Project Database'!G219</f>
        <v/>
      </c>
      <c r="D215" s="66">
        <f>'Project Database'!H219</f>
        <v/>
      </c>
      <c r="E215" s="66">
        <f>'Project Database'!I219</f>
        <v/>
      </c>
      <c r="F215" s="66">
        <f>'Project Database'!J219</f>
        <v/>
      </c>
      <c r="G215" s="66">
        <f>'Project Database'!K219</f>
        <v/>
      </c>
      <c r="H215" s="66">
        <f>'Project Database'!L219</f>
        <v/>
      </c>
      <c r="I215" s="66">
        <f>'Project Database'!M219</f>
        <v/>
      </c>
      <c r="J215" s="66">
        <f>'Project Database'!N219</f>
        <v/>
      </c>
      <c r="K215" s="66">
        <f>'Project Database'!O219</f>
        <v/>
      </c>
      <c r="L215" s="66">
        <f>'Project Database'!P219</f>
        <v/>
      </c>
      <c r="M215" s="66">
        <f>'Project Database'!Q219</f>
        <v/>
      </c>
      <c r="N215" s="66">
        <f>'Project Database'!R219</f>
        <v/>
      </c>
      <c r="O215" s="66">
        <f>'Project Database'!S219</f>
        <v/>
      </c>
      <c r="P215" s="66">
        <f>'Project Database'!T219</f>
        <v/>
      </c>
      <c r="Q215" s="66">
        <f>'Project Database'!U219</f>
        <v/>
      </c>
      <c r="R215" s="66">
        <f>'Project Database'!V219</f>
        <v/>
      </c>
      <c r="S215" s="66">
        <f>'Project Database'!W219</f>
        <v/>
      </c>
      <c r="T215" s="66">
        <f>'Project Database'!X219</f>
        <v/>
      </c>
      <c r="U215" s="67">
        <f>'Project Database'!Y219</f>
        <v/>
      </c>
      <c r="V215" s="66">
        <f>IF('Smart Search'!B13=1,IFERROR(1/'Smart Search'!H13,0),0)</f>
        <v/>
      </c>
      <c r="W215" s="66">
        <f>IF('Smart Search'!B13=1,IFERROR(1/'Smart Search'!H13,0),0)</f>
        <v/>
      </c>
      <c r="X215" s="66">
        <f>IF('Smart Search'!C13=1,IFERROR(1/'Smart Search'!H13,0),0)</f>
        <v/>
      </c>
      <c r="Y215" s="66">
        <f>IF('Smart Search'!C13=1,IFERROR(1/'Smart Search'!H13,0),0)</f>
        <v/>
      </c>
      <c r="Z215" s="66">
        <f>IF('Smart Search'!D13=1,IFERROR(1/'Smart Search'!H13,0),0)</f>
        <v/>
      </c>
      <c r="AA215" s="66">
        <f>IF('Smart Search'!D13=1,IFERROR(1/'Smart Search'!H13,0),0)</f>
        <v/>
      </c>
      <c r="AB215" s="66">
        <f>IF('Smart Search'!E13=1,IFERROR(1/'Smart Search'!H13,0),0)</f>
        <v/>
      </c>
      <c r="AC215" s="66">
        <f>IF('Smart Search'!E13=1,IFERROR(1/'Smart Search'!H13,0),0)</f>
        <v/>
      </c>
      <c r="AD215" s="66">
        <f>IF('Smart Search'!F13=1,IFERROR(1/'Smart Search'!H13,0),0)</f>
        <v/>
      </c>
      <c r="AE215" s="66">
        <f>IF('Smart Search'!F13=1,IFERROR(1/'Smart Search'!H13,0),0)</f>
        <v/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66">
        <f>AF215*V215</f>
        <v/>
      </c>
      <c r="AQ215" s="66">
        <f>AG215*W215</f>
        <v/>
      </c>
      <c r="AR215" s="66">
        <f>AH215*X215</f>
        <v/>
      </c>
      <c r="AS215" s="66">
        <f>AI215*Y215</f>
        <v/>
      </c>
      <c r="AT215" s="66">
        <f>AJ215*Z215</f>
        <v/>
      </c>
      <c r="AU215" s="66">
        <f>AK215*AA215</f>
        <v/>
      </c>
      <c r="AV215" s="66">
        <f>AL215*AB215</f>
        <v/>
      </c>
      <c r="AW215" s="66">
        <f>AM215*AC215</f>
        <v/>
      </c>
      <c r="AX215" s="66">
        <f>AN215*AD215</f>
        <v/>
      </c>
      <c r="AY215" s="66">
        <f>AO215*AE215</f>
        <v/>
      </c>
      <c r="AZ215" s="66">
        <f>'Project Database'!Z219</f>
        <v/>
      </c>
      <c r="BA215" s="66">
        <f>IF(OR(A215="",'Smart Search'!H13=0),"",MAX(0,BE215*BF215*MAX(0,1-BG215)))</f>
        <v/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66">
        <f>IF('Smart Search'!G13=1,IFERROR(1/'Smart Search'!H13,0),0)</f>
        <v/>
      </c>
      <c r="BD215" s="66">
        <f>BB215*BC215</f>
        <v/>
      </c>
      <c r="BE215" s="66">
        <f>AP215+AQ215+AR215+AS215+AT215+AU215+AV215+AW215+AX215+AY215+BD215</f>
        <v/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5">
        <f>IF(AND('Project Database'!A219&lt;&gt;"",OR('Smart Search'!$L$5="",'Smart Search'!$L$5="All",TRIM('Project Database'!D219)=TRIM('Smart Search'!$L$5)),OR(TRIM('Smart Search'!$L$6)="",TRIM('Smart Search'!$L$6)="All",ISNUMBER(SEARCH(SUBSTITUTE(SUBSTITUTE(SUBSTITUTE(TRIM('Smart Search'!$L$6),"~","~~"),"*","~*"),"?","~?"),'Project Database'!C219))),OR('Smart Search'!$L$7="",AND('Project Database'!E219&lt;&gt;"",'Project Database'!E219='Smart Search'!$L$7)),OR('Smart Search'!$L$8="",'Smart Search'!$L$8="All",TRIM('Project Database'!F219)=TRIM('Smart Search'!$L$8))),IF(BA215="","",BA215+ROW()*0.0000000001),"")</f>
        <v/>
      </c>
      <c r="BI215" s="5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>
        <f>IF('Project Database'!A219="","",N('Project Database'!AC219))</f>
        <v/>
      </c>
      <c r="BK215" s="5">
        <f>IF('Project Database'!A219="","",N('Project Database'!AD219))</f>
        <v/>
      </c>
      <c r="BL215" s="5">
        <f>IF('Project Database'!A219="","",N('Project Database'!AE219))</f>
        <v/>
      </c>
      <c r="BM215" s="5">
        <f>IF('Project Database'!A219="","",N('Project Database'!AF219))</f>
        <v/>
      </c>
      <c r="BN215" s="5">
        <f>IF('Project Database'!A219="","",N('Project Database'!AG219))</f>
        <v/>
      </c>
      <c r="BO215" s="5">
        <f>IF('Project Database'!A219="","",N('Project Database'!AH219))</f>
        <v/>
      </c>
      <c r="BP215" s="5">
        <f>IF('Project Database'!A219="","",N('Project Database'!AI219))</f>
        <v/>
      </c>
      <c r="BQ215" s="5">
        <f>IF('Project Database'!A219="","",N('Project Database'!AJ219))</f>
        <v/>
      </c>
      <c r="BR215" s="5">
        <f>IF('Project Database'!A219="","",N('Project Database'!AK219))</f>
        <v/>
      </c>
      <c r="BS215" s="5">
        <f>IF('Project Database'!A219="","",N('Project Database'!AL219))</f>
        <v/>
      </c>
      <c r="BT215" s="5">
        <f>IF('Project Database'!A219="","",N('Project Database'!AM219))</f>
        <v/>
      </c>
      <c r="BU215" s="5">
        <f>IF('Project Database'!A219="","",N('Project Database'!AN219))</f>
        <v/>
      </c>
      <c r="BV215" s="5">
        <f>IF('Project Database'!A219="","",N('Project Database'!AO219))</f>
        <v/>
      </c>
      <c r="BW215" s="5">
        <f>IF('Project Database'!A219="","",N('Project Database'!AP219))</f>
        <v/>
      </c>
      <c r="BX215" s="5">
        <f>IF(A215="","",SUM(BJ215:BW215))</f>
        <v/>
      </c>
      <c r="BY215" s="5">
        <f>IF(A215="","",IFERROR(IF(ISNUMBER(U215),U215,VALUE(SUBSTITUTE(SUBSTITUTE(SUBSTITUTE(UPPER(TRIM(U215)),"M",""),",","")," ",""))),0))</f>
        <v/>
      </c>
    </row>
    <row r="216" ht="15" customHeight="1" s="74">
      <c r="A216" s="66">
        <f>'Project Database'!A220</f>
        <v/>
      </c>
      <c r="B216" s="66">
        <f>'Project Database'!B220</f>
        <v/>
      </c>
      <c r="C216" s="66">
        <f>'Project Database'!G220</f>
        <v/>
      </c>
      <c r="D216" s="66">
        <f>'Project Database'!H220</f>
        <v/>
      </c>
      <c r="E216" s="66">
        <f>'Project Database'!I220</f>
        <v/>
      </c>
      <c r="F216" s="66">
        <f>'Project Database'!J220</f>
        <v/>
      </c>
      <c r="G216" s="66">
        <f>'Project Database'!K220</f>
        <v/>
      </c>
      <c r="H216" s="66">
        <f>'Project Database'!L220</f>
        <v/>
      </c>
      <c r="I216" s="66">
        <f>'Project Database'!M220</f>
        <v/>
      </c>
      <c r="J216" s="66">
        <f>'Project Database'!N220</f>
        <v/>
      </c>
      <c r="K216" s="66">
        <f>'Project Database'!O220</f>
        <v/>
      </c>
      <c r="L216" s="66">
        <f>'Project Database'!P220</f>
        <v/>
      </c>
      <c r="M216" s="66">
        <f>'Project Database'!Q220</f>
        <v/>
      </c>
      <c r="N216" s="66">
        <f>'Project Database'!R220</f>
        <v/>
      </c>
      <c r="O216" s="66">
        <f>'Project Database'!S220</f>
        <v/>
      </c>
      <c r="P216" s="66">
        <f>'Project Database'!T220</f>
        <v/>
      </c>
      <c r="Q216" s="66">
        <f>'Project Database'!U220</f>
        <v/>
      </c>
      <c r="R216" s="66">
        <f>'Project Database'!V220</f>
        <v/>
      </c>
      <c r="S216" s="66">
        <f>'Project Database'!W220</f>
        <v/>
      </c>
      <c r="T216" s="66">
        <f>'Project Database'!X220</f>
        <v/>
      </c>
      <c r="U216" s="67">
        <f>'Project Database'!Y220</f>
        <v/>
      </c>
      <c r="V216" s="66">
        <f>IF('Smart Search'!B13=1,IFERROR(1/'Smart Search'!H13,0),0)</f>
        <v/>
      </c>
      <c r="W216" s="66">
        <f>IF('Smart Search'!B13=1,IFERROR(1/'Smart Search'!H13,0),0)</f>
        <v/>
      </c>
      <c r="X216" s="66">
        <f>IF('Smart Search'!C13=1,IFERROR(1/'Smart Search'!H13,0),0)</f>
        <v/>
      </c>
      <c r="Y216" s="66">
        <f>IF('Smart Search'!C13=1,IFERROR(1/'Smart Search'!H13,0),0)</f>
        <v/>
      </c>
      <c r="Z216" s="66">
        <f>IF('Smart Search'!D13=1,IFERROR(1/'Smart Search'!H13,0),0)</f>
        <v/>
      </c>
      <c r="AA216" s="66">
        <f>IF('Smart Search'!D13=1,IFERROR(1/'Smart Search'!H13,0),0)</f>
        <v/>
      </c>
      <c r="AB216" s="66">
        <f>IF('Smart Search'!E13=1,IFERROR(1/'Smart Search'!H13,0),0)</f>
        <v/>
      </c>
      <c r="AC216" s="66">
        <f>IF('Smart Search'!E13=1,IFERROR(1/'Smart Search'!H13,0),0)</f>
        <v/>
      </c>
      <c r="AD216" s="66">
        <f>IF('Smart Search'!F13=1,IFERROR(1/'Smart Search'!H13,0),0)</f>
        <v/>
      </c>
      <c r="AE216" s="66">
        <f>IF('Smart Search'!F13=1,IFERROR(1/'Smart Search'!H13,0),0)</f>
        <v/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66">
        <f>AF216*V216</f>
        <v/>
      </c>
      <c r="AQ216" s="66">
        <f>AG216*W216</f>
        <v/>
      </c>
      <c r="AR216" s="66">
        <f>AH216*X216</f>
        <v/>
      </c>
      <c r="AS216" s="66">
        <f>AI216*Y216</f>
        <v/>
      </c>
      <c r="AT216" s="66">
        <f>AJ216*Z216</f>
        <v/>
      </c>
      <c r="AU216" s="66">
        <f>AK216*AA216</f>
        <v/>
      </c>
      <c r="AV216" s="66">
        <f>AL216*AB216</f>
        <v/>
      </c>
      <c r="AW216" s="66">
        <f>AM216*AC216</f>
        <v/>
      </c>
      <c r="AX216" s="66">
        <f>AN216*AD216</f>
        <v/>
      </c>
      <c r="AY216" s="66">
        <f>AO216*AE216</f>
        <v/>
      </c>
      <c r="AZ216" s="66">
        <f>'Project Database'!Z220</f>
        <v/>
      </c>
      <c r="BA216" s="66">
        <f>IF(OR(A216="",'Smart Search'!H13=0),"",MAX(0,BE216*BF216*MAX(0,1-BG216)))</f>
        <v/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66">
        <f>IF('Smart Search'!G13=1,IFERROR(1/'Smart Search'!H13,0),0)</f>
        <v/>
      </c>
      <c r="BD216" s="66">
        <f>BB216*BC216</f>
        <v/>
      </c>
      <c r="BE216" s="66">
        <f>AP216+AQ216+AR216+AS216+AT216+AU216+AV216+AW216+AX216+AY216+BD216</f>
        <v/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5">
        <f>IF(AND('Project Database'!A220&lt;&gt;"",OR('Smart Search'!$L$5="",'Smart Search'!$L$5="All",TRIM('Project Database'!D220)=TRIM('Smart Search'!$L$5)),OR(TRIM('Smart Search'!$L$6)="",TRIM('Smart Search'!$L$6)="All",ISNUMBER(SEARCH(SUBSTITUTE(SUBSTITUTE(SUBSTITUTE(TRIM('Smart Search'!$L$6),"~","~~"),"*","~*"),"?","~?"),'Project Database'!C220))),OR('Smart Search'!$L$7="",AND('Project Database'!E220&lt;&gt;"",'Project Database'!E220='Smart Search'!$L$7)),OR('Smart Search'!$L$8="",'Smart Search'!$L$8="All",TRIM('Project Database'!F220)=TRIM('Smart Search'!$L$8))),IF(BA216="","",BA216+ROW()*0.0000000001),"")</f>
        <v/>
      </c>
      <c r="BI216" s="5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>
        <f>IF('Project Database'!A220="","",N('Project Database'!AC220))</f>
        <v/>
      </c>
      <c r="BK216" s="5">
        <f>IF('Project Database'!A220="","",N('Project Database'!AD220))</f>
        <v/>
      </c>
      <c r="BL216" s="5">
        <f>IF('Project Database'!A220="","",N('Project Database'!AE220))</f>
        <v/>
      </c>
      <c r="BM216" s="5">
        <f>IF('Project Database'!A220="","",N('Project Database'!AF220))</f>
        <v/>
      </c>
      <c r="BN216" s="5">
        <f>IF('Project Database'!A220="","",N('Project Database'!AG220))</f>
        <v/>
      </c>
      <c r="BO216" s="5">
        <f>IF('Project Database'!A220="","",N('Project Database'!AH220))</f>
        <v/>
      </c>
      <c r="BP216" s="5">
        <f>IF('Project Database'!A220="","",N('Project Database'!AI220))</f>
        <v/>
      </c>
      <c r="BQ216" s="5">
        <f>IF('Project Database'!A220="","",N('Project Database'!AJ220))</f>
        <v/>
      </c>
      <c r="BR216" s="5">
        <f>IF('Project Database'!A220="","",N('Project Database'!AK220))</f>
        <v/>
      </c>
      <c r="BS216" s="5">
        <f>IF('Project Database'!A220="","",N('Project Database'!AL220))</f>
        <v/>
      </c>
      <c r="BT216" s="5">
        <f>IF('Project Database'!A220="","",N('Project Database'!AM220))</f>
        <v/>
      </c>
      <c r="BU216" s="5">
        <f>IF('Project Database'!A220="","",N('Project Database'!AN220))</f>
        <v/>
      </c>
      <c r="BV216" s="5">
        <f>IF('Project Database'!A220="","",N('Project Database'!AO220))</f>
        <v/>
      </c>
      <c r="BW216" s="5">
        <f>IF('Project Database'!A220="","",N('Project Database'!AP220))</f>
        <v/>
      </c>
      <c r="BX216" s="5">
        <f>IF(A216="","",SUM(BJ216:BW216))</f>
        <v/>
      </c>
      <c r="BY216" s="5">
        <f>IF(A216="","",IFERROR(IF(ISNUMBER(U216),U216,VALUE(SUBSTITUTE(SUBSTITUTE(SUBSTITUTE(UPPER(TRIM(U216)),"M",""),",","")," ",""))),0))</f>
        <v/>
      </c>
    </row>
    <row r="217" ht="15" customHeight="1" s="74">
      <c r="A217" s="66">
        <f>'Project Database'!A221</f>
        <v/>
      </c>
      <c r="B217" s="66">
        <f>'Project Database'!B221</f>
        <v/>
      </c>
      <c r="C217" s="66">
        <f>'Project Database'!G221</f>
        <v/>
      </c>
      <c r="D217" s="66">
        <f>'Project Database'!H221</f>
        <v/>
      </c>
      <c r="E217" s="66">
        <f>'Project Database'!I221</f>
        <v/>
      </c>
      <c r="F217" s="66">
        <f>'Project Database'!J221</f>
        <v/>
      </c>
      <c r="G217" s="66">
        <f>'Project Database'!K221</f>
        <v/>
      </c>
      <c r="H217" s="66">
        <f>'Project Database'!L221</f>
        <v/>
      </c>
      <c r="I217" s="66">
        <f>'Project Database'!M221</f>
        <v/>
      </c>
      <c r="J217" s="66">
        <f>'Project Database'!N221</f>
        <v/>
      </c>
      <c r="K217" s="66">
        <f>'Project Database'!O221</f>
        <v/>
      </c>
      <c r="L217" s="66">
        <f>'Project Database'!P221</f>
        <v/>
      </c>
      <c r="M217" s="66">
        <f>'Project Database'!Q221</f>
        <v/>
      </c>
      <c r="N217" s="66">
        <f>'Project Database'!R221</f>
        <v/>
      </c>
      <c r="O217" s="66">
        <f>'Project Database'!S221</f>
        <v/>
      </c>
      <c r="P217" s="66">
        <f>'Project Database'!T221</f>
        <v/>
      </c>
      <c r="Q217" s="66">
        <f>'Project Database'!U221</f>
        <v/>
      </c>
      <c r="R217" s="66">
        <f>'Project Database'!V221</f>
        <v/>
      </c>
      <c r="S217" s="66">
        <f>'Project Database'!W221</f>
        <v/>
      </c>
      <c r="T217" s="66">
        <f>'Project Database'!X221</f>
        <v/>
      </c>
      <c r="U217" s="67">
        <f>'Project Database'!Y221</f>
        <v/>
      </c>
      <c r="V217" s="66">
        <f>IF('Smart Search'!B13=1,IFERROR(1/'Smart Search'!H13,0),0)</f>
        <v/>
      </c>
      <c r="W217" s="66">
        <f>IF('Smart Search'!B13=1,IFERROR(1/'Smart Search'!H13,0),0)</f>
        <v/>
      </c>
      <c r="X217" s="66">
        <f>IF('Smart Search'!C13=1,IFERROR(1/'Smart Search'!H13,0),0)</f>
        <v/>
      </c>
      <c r="Y217" s="66">
        <f>IF('Smart Search'!C13=1,IFERROR(1/'Smart Search'!H13,0),0)</f>
        <v/>
      </c>
      <c r="Z217" s="66">
        <f>IF('Smart Search'!D13=1,IFERROR(1/'Smart Search'!H13,0),0)</f>
        <v/>
      </c>
      <c r="AA217" s="66">
        <f>IF('Smart Search'!D13=1,IFERROR(1/'Smart Search'!H13,0),0)</f>
        <v/>
      </c>
      <c r="AB217" s="66">
        <f>IF('Smart Search'!E13=1,IFERROR(1/'Smart Search'!H13,0),0)</f>
        <v/>
      </c>
      <c r="AC217" s="66">
        <f>IF('Smart Search'!E13=1,IFERROR(1/'Smart Search'!H13,0),0)</f>
        <v/>
      </c>
      <c r="AD217" s="66">
        <f>IF('Smart Search'!F13=1,IFERROR(1/'Smart Search'!H13,0),0)</f>
        <v/>
      </c>
      <c r="AE217" s="66">
        <f>IF('Smart Search'!F13=1,IFERROR(1/'Smart Search'!H13,0),0)</f>
        <v/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66">
        <f>AF217*V217</f>
        <v/>
      </c>
      <c r="AQ217" s="66">
        <f>AG217*W217</f>
        <v/>
      </c>
      <c r="AR217" s="66">
        <f>AH217*X217</f>
        <v/>
      </c>
      <c r="AS217" s="66">
        <f>AI217*Y217</f>
        <v/>
      </c>
      <c r="AT217" s="66">
        <f>AJ217*Z217</f>
        <v/>
      </c>
      <c r="AU217" s="66">
        <f>AK217*AA217</f>
        <v/>
      </c>
      <c r="AV217" s="66">
        <f>AL217*AB217</f>
        <v/>
      </c>
      <c r="AW217" s="66">
        <f>AM217*AC217</f>
        <v/>
      </c>
      <c r="AX217" s="66">
        <f>AN217*AD217</f>
        <v/>
      </c>
      <c r="AY217" s="66">
        <f>AO217*AE217</f>
        <v/>
      </c>
      <c r="AZ217" s="66">
        <f>'Project Database'!Z221</f>
        <v/>
      </c>
      <c r="BA217" s="66">
        <f>IF(OR(A217="",'Smart Search'!H13=0),"",MAX(0,BE217*BF217*MAX(0,1-BG217)))</f>
        <v/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66">
        <f>IF('Smart Search'!G13=1,IFERROR(1/'Smart Search'!H13,0),0)</f>
        <v/>
      </c>
      <c r="BD217" s="66">
        <f>BB217*BC217</f>
        <v/>
      </c>
      <c r="BE217" s="66">
        <f>AP217+AQ217+AR217+AS217+AT217+AU217+AV217+AW217+AX217+AY217+BD217</f>
        <v/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5">
        <f>IF(AND('Project Database'!A221&lt;&gt;"",OR('Smart Search'!$L$5="",'Smart Search'!$L$5="All",TRIM('Project Database'!D221)=TRIM('Smart Search'!$L$5)),OR(TRIM('Smart Search'!$L$6)="",TRIM('Smart Search'!$L$6)="All",ISNUMBER(SEARCH(SUBSTITUTE(SUBSTITUTE(SUBSTITUTE(TRIM('Smart Search'!$L$6),"~","~~"),"*","~*"),"?","~?"),'Project Database'!C221))),OR('Smart Search'!$L$7="",AND('Project Database'!E221&lt;&gt;"",'Project Database'!E221='Smart Search'!$L$7)),OR('Smart Search'!$L$8="",'Smart Search'!$L$8="All",TRIM('Project Database'!F221)=TRIM('Smart Search'!$L$8))),IF(BA217="","",BA217+ROW()*0.0000000001),"")</f>
        <v/>
      </c>
      <c r="BI217" s="5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>
        <f>IF('Project Database'!A221="","",N('Project Database'!AC221))</f>
        <v/>
      </c>
      <c r="BK217" s="5">
        <f>IF('Project Database'!A221="","",N('Project Database'!AD221))</f>
        <v/>
      </c>
      <c r="BL217" s="5">
        <f>IF('Project Database'!A221="","",N('Project Database'!AE221))</f>
        <v/>
      </c>
      <c r="BM217" s="5">
        <f>IF('Project Database'!A221="","",N('Project Database'!AF221))</f>
        <v/>
      </c>
      <c r="BN217" s="5">
        <f>IF('Project Database'!A221="","",N('Project Database'!AG221))</f>
        <v/>
      </c>
      <c r="BO217" s="5">
        <f>IF('Project Database'!A221="","",N('Project Database'!AH221))</f>
        <v/>
      </c>
      <c r="BP217" s="5">
        <f>IF('Project Database'!A221="","",N('Project Database'!AI221))</f>
        <v/>
      </c>
      <c r="BQ217" s="5">
        <f>IF('Project Database'!A221="","",N('Project Database'!AJ221))</f>
        <v/>
      </c>
      <c r="BR217" s="5">
        <f>IF('Project Database'!A221="","",N('Project Database'!AK221))</f>
        <v/>
      </c>
      <c r="BS217" s="5">
        <f>IF('Project Database'!A221="","",N('Project Database'!AL221))</f>
        <v/>
      </c>
      <c r="BT217" s="5">
        <f>IF('Project Database'!A221="","",N('Project Database'!AM221))</f>
        <v/>
      </c>
      <c r="BU217" s="5">
        <f>IF('Project Database'!A221="","",N('Project Database'!AN221))</f>
        <v/>
      </c>
      <c r="BV217" s="5">
        <f>IF('Project Database'!A221="","",N('Project Database'!AO221))</f>
        <v/>
      </c>
      <c r="BW217" s="5">
        <f>IF('Project Database'!A221="","",N('Project Database'!AP221))</f>
        <v/>
      </c>
      <c r="BX217" s="5">
        <f>IF(A217="","",SUM(BJ217:BW217))</f>
        <v/>
      </c>
      <c r="BY217" s="5">
        <f>IF(A217="","",IFERROR(IF(ISNUMBER(U217),U217,VALUE(SUBSTITUTE(SUBSTITUTE(SUBSTITUTE(UPPER(TRIM(U217)),"M",""),",","")," ",""))),0))</f>
        <v/>
      </c>
    </row>
    <row r="218" ht="15" customHeight="1" s="74">
      <c r="A218" s="66">
        <f>'Project Database'!A222</f>
        <v/>
      </c>
      <c r="B218" s="66">
        <f>'Project Database'!B222</f>
        <v/>
      </c>
      <c r="C218" s="66">
        <f>'Project Database'!G222</f>
        <v/>
      </c>
      <c r="D218" s="66">
        <f>'Project Database'!H222</f>
        <v/>
      </c>
      <c r="E218" s="66">
        <f>'Project Database'!I222</f>
        <v/>
      </c>
      <c r="F218" s="66">
        <f>'Project Database'!J222</f>
        <v/>
      </c>
      <c r="G218" s="66">
        <f>'Project Database'!K222</f>
        <v/>
      </c>
      <c r="H218" s="66">
        <f>'Project Database'!L222</f>
        <v/>
      </c>
      <c r="I218" s="66">
        <f>'Project Database'!M222</f>
        <v/>
      </c>
      <c r="J218" s="66">
        <f>'Project Database'!N222</f>
        <v/>
      </c>
      <c r="K218" s="66">
        <f>'Project Database'!O222</f>
        <v/>
      </c>
      <c r="L218" s="66">
        <f>'Project Database'!P222</f>
        <v/>
      </c>
      <c r="M218" s="66">
        <f>'Project Database'!Q222</f>
        <v/>
      </c>
      <c r="N218" s="66">
        <f>'Project Database'!R222</f>
        <v/>
      </c>
      <c r="O218" s="66">
        <f>'Project Database'!S222</f>
        <v/>
      </c>
      <c r="P218" s="66">
        <f>'Project Database'!T222</f>
        <v/>
      </c>
      <c r="Q218" s="66">
        <f>'Project Database'!U222</f>
        <v/>
      </c>
      <c r="R218" s="66">
        <f>'Project Database'!V222</f>
        <v/>
      </c>
      <c r="S218" s="66">
        <f>'Project Database'!W222</f>
        <v/>
      </c>
      <c r="T218" s="66">
        <f>'Project Database'!X222</f>
        <v/>
      </c>
      <c r="U218" s="67">
        <f>'Project Database'!Y222</f>
        <v/>
      </c>
      <c r="V218" s="66">
        <f>IF('Smart Search'!B13=1,IFERROR(1/'Smart Search'!H13,0),0)</f>
        <v/>
      </c>
      <c r="W218" s="66">
        <f>IF('Smart Search'!B13=1,IFERROR(1/'Smart Search'!H13,0),0)</f>
        <v/>
      </c>
      <c r="X218" s="66">
        <f>IF('Smart Search'!C13=1,IFERROR(1/'Smart Search'!H13,0),0)</f>
        <v/>
      </c>
      <c r="Y218" s="66">
        <f>IF('Smart Search'!C13=1,IFERROR(1/'Smart Search'!H13,0),0)</f>
        <v/>
      </c>
      <c r="Z218" s="66">
        <f>IF('Smart Search'!D13=1,IFERROR(1/'Smart Search'!H13,0),0)</f>
        <v/>
      </c>
      <c r="AA218" s="66">
        <f>IF('Smart Search'!D13=1,IFERROR(1/'Smart Search'!H13,0),0)</f>
        <v/>
      </c>
      <c r="AB218" s="66">
        <f>IF('Smart Search'!E13=1,IFERROR(1/'Smart Search'!H13,0),0)</f>
        <v/>
      </c>
      <c r="AC218" s="66">
        <f>IF('Smart Search'!E13=1,IFERROR(1/'Smart Search'!H13,0),0)</f>
        <v/>
      </c>
      <c r="AD218" s="66">
        <f>IF('Smart Search'!F13=1,IFERROR(1/'Smart Search'!H13,0),0)</f>
        <v/>
      </c>
      <c r="AE218" s="66">
        <f>IF('Smart Search'!F13=1,IFERROR(1/'Smart Search'!H13,0),0)</f>
        <v/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66">
        <f>AF218*V218</f>
        <v/>
      </c>
      <c r="AQ218" s="66">
        <f>AG218*W218</f>
        <v/>
      </c>
      <c r="AR218" s="66">
        <f>AH218*X218</f>
        <v/>
      </c>
      <c r="AS218" s="66">
        <f>AI218*Y218</f>
        <v/>
      </c>
      <c r="AT218" s="66">
        <f>AJ218*Z218</f>
        <v/>
      </c>
      <c r="AU218" s="66">
        <f>AK218*AA218</f>
        <v/>
      </c>
      <c r="AV218" s="66">
        <f>AL218*AB218</f>
        <v/>
      </c>
      <c r="AW218" s="66">
        <f>AM218*AC218</f>
        <v/>
      </c>
      <c r="AX218" s="66">
        <f>AN218*AD218</f>
        <v/>
      </c>
      <c r="AY218" s="66">
        <f>AO218*AE218</f>
        <v/>
      </c>
      <c r="AZ218" s="66">
        <f>'Project Database'!Z222</f>
        <v/>
      </c>
      <c r="BA218" s="66">
        <f>IF(OR(A218="",'Smart Search'!H13=0),"",MAX(0,BE218*BF218*MAX(0,1-BG218)))</f>
        <v/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66">
        <f>IF('Smart Search'!G13=1,IFERROR(1/'Smart Search'!H13,0),0)</f>
        <v/>
      </c>
      <c r="BD218" s="66">
        <f>BB218*BC218</f>
        <v/>
      </c>
      <c r="BE218" s="66">
        <f>AP218+AQ218+AR218+AS218+AT218+AU218+AV218+AW218+AX218+AY218+BD218</f>
        <v/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5">
        <f>IF(AND('Project Database'!A222&lt;&gt;"",OR('Smart Search'!$L$5="",'Smart Search'!$L$5="All",TRIM('Project Database'!D222)=TRIM('Smart Search'!$L$5)),OR(TRIM('Smart Search'!$L$6)="",TRIM('Smart Search'!$L$6)="All",ISNUMBER(SEARCH(SUBSTITUTE(SUBSTITUTE(SUBSTITUTE(TRIM('Smart Search'!$L$6),"~","~~"),"*","~*"),"?","~?"),'Project Database'!C222))),OR('Smart Search'!$L$7="",AND('Project Database'!E222&lt;&gt;"",'Project Database'!E222='Smart Search'!$L$7)),OR('Smart Search'!$L$8="",'Smart Search'!$L$8="All",TRIM('Project Database'!F222)=TRIM('Smart Search'!$L$8))),IF(BA218="","",BA218+ROW()*0.0000000001),"")</f>
        <v/>
      </c>
      <c r="BI218" s="5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>
        <f>IF('Project Database'!A222="","",N('Project Database'!AC222))</f>
        <v/>
      </c>
      <c r="BK218" s="5">
        <f>IF('Project Database'!A222="","",N('Project Database'!AD222))</f>
        <v/>
      </c>
      <c r="BL218" s="5">
        <f>IF('Project Database'!A222="","",N('Project Database'!AE222))</f>
        <v/>
      </c>
      <c r="BM218" s="5">
        <f>IF('Project Database'!A222="","",N('Project Database'!AF222))</f>
        <v/>
      </c>
      <c r="BN218" s="5">
        <f>IF('Project Database'!A222="","",N('Project Database'!AG222))</f>
        <v/>
      </c>
      <c r="BO218" s="5">
        <f>IF('Project Database'!A222="","",N('Project Database'!AH222))</f>
        <v/>
      </c>
      <c r="BP218" s="5">
        <f>IF('Project Database'!A222="","",N('Project Database'!AI222))</f>
        <v/>
      </c>
      <c r="BQ218" s="5">
        <f>IF('Project Database'!A222="","",N('Project Database'!AJ222))</f>
        <v/>
      </c>
      <c r="BR218" s="5">
        <f>IF('Project Database'!A222="","",N('Project Database'!AK222))</f>
        <v/>
      </c>
      <c r="BS218" s="5">
        <f>IF('Project Database'!A222="","",N('Project Database'!AL222))</f>
        <v/>
      </c>
      <c r="BT218" s="5">
        <f>IF('Project Database'!A222="","",N('Project Database'!AM222))</f>
        <v/>
      </c>
      <c r="BU218" s="5">
        <f>IF('Project Database'!A222="","",N('Project Database'!AN222))</f>
        <v/>
      </c>
      <c r="BV218" s="5">
        <f>IF('Project Database'!A222="","",N('Project Database'!AO222))</f>
        <v/>
      </c>
      <c r="BW218" s="5">
        <f>IF('Project Database'!A222="","",N('Project Database'!AP222))</f>
        <v/>
      </c>
      <c r="BX218" s="5">
        <f>IF(A218="","",SUM(BJ218:BW218))</f>
        <v/>
      </c>
      <c r="BY218" s="5">
        <f>IF(A218="","",IFERROR(IF(ISNUMBER(U218),U218,VALUE(SUBSTITUTE(SUBSTITUTE(SUBSTITUTE(UPPER(TRIM(U218)),"M",""),",","")," ",""))),0))</f>
        <v/>
      </c>
    </row>
    <row r="219" ht="15" customHeight="1" s="74">
      <c r="A219" s="66">
        <f>'Project Database'!A223</f>
        <v/>
      </c>
      <c r="B219" s="66">
        <f>'Project Database'!B223</f>
        <v/>
      </c>
      <c r="C219" s="66">
        <f>'Project Database'!G223</f>
        <v/>
      </c>
      <c r="D219" s="66">
        <f>'Project Database'!H223</f>
        <v/>
      </c>
      <c r="E219" s="66">
        <f>'Project Database'!I223</f>
        <v/>
      </c>
      <c r="F219" s="66">
        <f>'Project Database'!J223</f>
        <v/>
      </c>
      <c r="G219" s="66">
        <f>'Project Database'!K223</f>
        <v/>
      </c>
      <c r="H219" s="66">
        <f>'Project Database'!L223</f>
        <v/>
      </c>
      <c r="I219" s="66">
        <f>'Project Database'!M223</f>
        <v/>
      </c>
      <c r="J219" s="66">
        <f>'Project Database'!N223</f>
        <v/>
      </c>
      <c r="K219" s="66">
        <f>'Project Database'!O223</f>
        <v/>
      </c>
      <c r="L219" s="66">
        <f>'Project Database'!P223</f>
        <v/>
      </c>
      <c r="M219" s="66">
        <f>'Project Database'!Q223</f>
        <v/>
      </c>
      <c r="N219" s="66">
        <f>'Project Database'!R223</f>
        <v/>
      </c>
      <c r="O219" s="66">
        <f>'Project Database'!S223</f>
        <v/>
      </c>
      <c r="P219" s="66">
        <f>'Project Database'!T223</f>
        <v/>
      </c>
      <c r="Q219" s="66">
        <f>'Project Database'!U223</f>
        <v/>
      </c>
      <c r="R219" s="66">
        <f>'Project Database'!V223</f>
        <v/>
      </c>
      <c r="S219" s="66">
        <f>'Project Database'!W223</f>
        <v/>
      </c>
      <c r="T219" s="66">
        <f>'Project Database'!X223</f>
        <v/>
      </c>
      <c r="U219" s="67">
        <f>'Project Database'!Y223</f>
        <v/>
      </c>
      <c r="V219" s="66">
        <f>IF('Smart Search'!B13=1,IFERROR(1/'Smart Search'!H13,0),0)</f>
        <v/>
      </c>
      <c r="W219" s="66">
        <f>IF('Smart Search'!B13=1,IFERROR(1/'Smart Search'!H13,0),0)</f>
        <v/>
      </c>
      <c r="X219" s="66">
        <f>IF('Smart Search'!C13=1,IFERROR(1/'Smart Search'!H13,0),0)</f>
        <v/>
      </c>
      <c r="Y219" s="66">
        <f>IF('Smart Search'!C13=1,IFERROR(1/'Smart Search'!H13,0),0)</f>
        <v/>
      </c>
      <c r="Z219" s="66">
        <f>IF('Smart Search'!D13=1,IFERROR(1/'Smart Search'!H13,0),0)</f>
        <v/>
      </c>
      <c r="AA219" s="66">
        <f>IF('Smart Search'!D13=1,IFERROR(1/'Smart Search'!H13,0),0)</f>
        <v/>
      </c>
      <c r="AB219" s="66">
        <f>IF('Smart Search'!E13=1,IFERROR(1/'Smart Search'!H13,0),0)</f>
        <v/>
      </c>
      <c r="AC219" s="66">
        <f>IF('Smart Search'!E13=1,IFERROR(1/'Smart Search'!H13,0),0)</f>
        <v/>
      </c>
      <c r="AD219" s="66">
        <f>IF('Smart Search'!F13=1,IFERROR(1/'Smart Search'!H13,0),0)</f>
        <v/>
      </c>
      <c r="AE219" s="66">
        <f>IF('Smart Search'!F13=1,IFERROR(1/'Smart Search'!H13,0),0)</f>
        <v/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66">
        <f>AF219*V219</f>
        <v/>
      </c>
      <c r="AQ219" s="66">
        <f>AG219*W219</f>
        <v/>
      </c>
      <c r="AR219" s="66">
        <f>AH219*X219</f>
        <v/>
      </c>
      <c r="AS219" s="66">
        <f>AI219*Y219</f>
        <v/>
      </c>
      <c r="AT219" s="66">
        <f>AJ219*Z219</f>
        <v/>
      </c>
      <c r="AU219" s="66">
        <f>AK219*AA219</f>
        <v/>
      </c>
      <c r="AV219" s="66">
        <f>AL219*AB219</f>
        <v/>
      </c>
      <c r="AW219" s="66">
        <f>AM219*AC219</f>
        <v/>
      </c>
      <c r="AX219" s="66">
        <f>AN219*AD219</f>
        <v/>
      </c>
      <c r="AY219" s="66">
        <f>AO219*AE219</f>
        <v/>
      </c>
      <c r="AZ219" s="66">
        <f>'Project Database'!Z223</f>
        <v/>
      </c>
      <c r="BA219" s="66">
        <f>IF(OR(A219="",'Smart Search'!H13=0),"",MAX(0,BE219*BF219*MAX(0,1-BG219)))</f>
        <v/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66">
        <f>IF('Smart Search'!G13=1,IFERROR(1/'Smart Search'!H13,0),0)</f>
        <v/>
      </c>
      <c r="BD219" s="66">
        <f>BB219*BC219</f>
        <v/>
      </c>
      <c r="BE219" s="66">
        <f>AP219+AQ219+AR219+AS219+AT219+AU219+AV219+AW219+AX219+AY219+BD219</f>
        <v/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5">
        <f>IF(AND('Project Database'!A223&lt;&gt;"",OR('Smart Search'!$L$5="",'Smart Search'!$L$5="All",TRIM('Project Database'!D223)=TRIM('Smart Search'!$L$5)),OR(TRIM('Smart Search'!$L$6)="",TRIM('Smart Search'!$L$6)="All",ISNUMBER(SEARCH(SUBSTITUTE(SUBSTITUTE(SUBSTITUTE(TRIM('Smart Search'!$L$6),"~","~~"),"*","~*"),"?","~?"),'Project Database'!C223))),OR('Smart Search'!$L$7="",AND('Project Database'!E223&lt;&gt;"",'Project Database'!E223='Smart Search'!$L$7)),OR('Smart Search'!$L$8="",'Smart Search'!$L$8="All",TRIM('Project Database'!F223)=TRIM('Smart Search'!$L$8))),IF(BA219="","",BA219+ROW()*0.0000000001),"")</f>
        <v/>
      </c>
      <c r="BI219" s="5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>
        <f>IF('Project Database'!A223="","",N('Project Database'!AC223))</f>
        <v/>
      </c>
      <c r="BK219" s="5">
        <f>IF('Project Database'!A223="","",N('Project Database'!AD223))</f>
        <v/>
      </c>
      <c r="BL219" s="5">
        <f>IF('Project Database'!A223="","",N('Project Database'!AE223))</f>
        <v/>
      </c>
      <c r="BM219" s="5">
        <f>IF('Project Database'!A223="","",N('Project Database'!AF223))</f>
        <v/>
      </c>
      <c r="BN219" s="5">
        <f>IF('Project Database'!A223="","",N('Project Database'!AG223))</f>
        <v/>
      </c>
      <c r="BO219" s="5">
        <f>IF('Project Database'!A223="","",N('Project Database'!AH223))</f>
        <v/>
      </c>
      <c r="BP219" s="5">
        <f>IF('Project Database'!A223="","",N('Project Database'!AI223))</f>
        <v/>
      </c>
      <c r="BQ219" s="5">
        <f>IF('Project Database'!A223="","",N('Project Database'!AJ223))</f>
        <v/>
      </c>
      <c r="BR219" s="5">
        <f>IF('Project Database'!A223="","",N('Project Database'!AK223))</f>
        <v/>
      </c>
      <c r="BS219" s="5">
        <f>IF('Project Database'!A223="","",N('Project Database'!AL223))</f>
        <v/>
      </c>
      <c r="BT219" s="5">
        <f>IF('Project Database'!A223="","",N('Project Database'!AM223))</f>
        <v/>
      </c>
      <c r="BU219" s="5">
        <f>IF('Project Database'!A223="","",N('Project Database'!AN223))</f>
        <v/>
      </c>
      <c r="BV219" s="5">
        <f>IF('Project Database'!A223="","",N('Project Database'!AO223))</f>
        <v/>
      </c>
      <c r="BW219" s="5">
        <f>IF('Project Database'!A223="","",N('Project Database'!AP223))</f>
        <v/>
      </c>
      <c r="BX219" s="5">
        <f>IF(A219="","",SUM(BJ219:BW219))</f>
        <v/>
      </c>
      <c r="BY219" s="5">
        <f>IF(A219="","",IFERROR(IF(ISNUMBER(U219),U219,VALUE(SUBSTITUTE(SUBSTITUTE(SUBSTITUTE(UPPER(TRIM(U219)),"M",""),",","")," ",""))),0))</f>
        <v/>
      </c>
    </row>
    <row r="220" ht="15" customHeight="1" s="74">
      <c r="A220" s="66">
        <f>'Project Database'!A224</f>
        <v/>
      </c>
      <c r="B220" s="66">
        <f>'Project Database'!B224</f>
        <v/>
      </c>
      <c r="C220" s="66">
        <f>'Project Database'!G224</f>
        <v/>
      </c>
      <c r="D220" s="66">
        <f>'Project Database'!H224</f>
        <v/>
      </c>
      <c r="E220" s="66">
        <f>'Project Database'!I224</f>
        <v/>
      </c>
      <c r="F220" s="66">
        <f>'Project Database'!J224</f>
        <v/>
      </c>
      <c r="G220" s="66">
        <f>'Project Database'!K224</f>
        <v/>
      </c>
      <c r="H220" s="66">
        <f>'Project Database'!L224</f>
        <v/>
      </c>
      <c r="I220" s="66">
        <f>'Project Database'!M224</f>
        <v/>
      </c>
      <c r="J220" s="66">
        <f>'Project Database'!N224</f>
        <v/>
      </c>
      <c r="K220" s="66">
        <f>'Project Database'!O224</f>
        <v/>
      </c>
      <c r="L220" s="66">
        <f>'Project Database'!P224</f>
        <v/>
      </c>
      <c r="M220" s="66">
        <f>'Project Database'!Q224</f>
        <v/>
      </c>
      <c r="N220" s="66">
        <f>'Project Database'!R224</f>
        <v/>
      </c>
      <c r="O220" s="66">
        <f>'Project Database'!S224</f>
        <v/>
      </c>
      <c r="P220" s="66">
        <f>'Project Database'!T224</f>
        <v/>
      </c>
      <c r="Q220" s="66">
        <f>'Project Database'!U224</f>
        <v/>
      </c>
      <c r="R220" s="66">
        <f>'Project Database'!V224</f>
        <v/>
      </c>
      <c r="S220" s="66">
        <f>'Project Database'!W224</f>
        <v/>
      </c>
      <c r="T220" s="66">
        <f>'Project Database'!X224</f>
        <v/>
      </c>
      <c r="U220" s="67">
        <f>'Project Database'!Y224</f>
        <v/>
      </c>
      <c r="V220" s="66">
        <f>IF('Smart Search'!B13=1,IFERROR(1/'Smart Search'!H13,0),0)</f>
        <v/>
      </c>
      <c r="W220" s="66">
        <f>IF('Smart Search'!B13=1,IFERROR(1/'Smart Search'!H13,0),0)</f>
        <v/>
      </c>
      <c r="X220" s="66">
        <f>IF('Smart Search'!C13=1,IFERROR(1/'Smart Search'!H13,0),0)</f>
        <v/>
      </c>
      <c r="Y220" s="66">
        <f>IF('Smart Search'!C13=1,IFERROR(1/'Smart Search'!H13,0),0)</f>
        <v/>
      </c>
      <c r="Z220" s="66">
        <f>IF('Smart Search'!D13=1,IFERROR(1/'Smart Search'!H13,0),0)</f>
        <v/>
      </c>
      <c r="AA220" s="66">
        <f>IF('Smart Search'!D13=1,IFERROR(1/'Smart Search'!H13,0),0)</f>
        <v/>
      </c>
      <c r="AB220" s="66">
        <f>IF('Smart Search'!E13=1,IFERROR(1/'Smart Search'!H13,0),0)</f>
        <v/>
      </c>
      <c r="AC220" s="66">
        <f>IF('Smart Search'!E13=1,IFERROR(1/'Smart Search'!H13,0),0)</f>
        <v/>
      </c>
      <c r="AD220" s="66">
        <f>IF('Smart Search'!F13=1,IFERROR(1/'Smart Search'!H13,0),0)</f>
        <v/>
      </c>
      <c r="AE220" s="66">
        <f>IF('Smart Search'!F13=1,IFERROR(1/'Smart Search'!H13,0),0)</f>
        <v/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66">
        <f>AF220*V220</f>
        <v/>
      </c>
      <c r="AQ220" s="66">
        <f>AG220*W220</f>
        <v/>
      </c>
      <c r="AR220" s="66">
        <f>AH220*X220</f>
        <v/>
      </c>
      <c r="AS220" s="66">
        <f>AI220*Y220</f>
        <v/>
      </c>
      <c r="AT220" s="66">
        <f>AJ220*Z220</f>
        <v/>
      </c>
      <c r="AU220" s="66">
        <f>AK220*AA220</f>
        <v/>
      </c>
      <c r="AV220" s="66">
        <f>AL220*AB220</f>
        <v/>
      </c>
      <c r="AW220" s="66">
        <f>AM220*AC220</f>
        <v/>
      </c>
      <c r="AX220" s="66">
        <f>AN220*AD220</f>
        <v/>
      </c>
      <c r="AY220" s="66">
        <f>AO220*AE220</f>
        <v/>
      </c>
      <c r="AZ220" s="66">
        <f>'Project Database'!Z224</f>
        <v/>
      </c>
      <c r="BA220" s="66">
        <f>IF(OR(A220="",'Smart Search'!H13=0),"",MAX(0,BE220*BF220*MAX(0,1-BG220)))</f>
        <v/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66">
        <f>IF('Smart Search'!G13=1,IFERROR(1/'Smart Search'!H13,0),0)</f>
        <v/>
      </c>
      <c r="BD220" s="66">
        <f>BB220*BC220</f>
        <v/>
      </c>
      <c r="BE220" s="66">
        <f>AP220+AQ220+AR220+AS220+AT220+AU220+AV220+AW220+AX220+AY220+BD220</f>
        <v/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5">
        <f>IF(AND('Project Database'!A224&lt;&gt;"",OR('Smart Search'!$L$5="",'Smart Search'!$L$5="All",TRIM('Project Database'!D224)=TRIM('Smart Search'!$L$5)),OR(TRIM('Smart Search'!$L$6)="",TRIM('Smart Search'!$L$6)="All",ISNUMBER(SEARCH(SUBSTITUTE(SUBSTITUTE(SUBSTITUTE(TRIM('Smart Search'!$L$6),"~","~~"),"*","~*"),"?","~?"),'Project Database'!C224))),OR('Smart Search'!$L$7="",AND('Project Database'!E224&lt;&gt;"",'Project Database'!E224='Smart Search'!$L$7)),OR('Smart Search'!$L$8="",'Smart Search'!$L$8="All",TRIM('Project Database'!F224)=TRIM('Smart Search'!$L$8))),IF(BA220="","",BA220+ROW()*0.0000000001),"")</f>
        <v/>
      </c>
      <c r="BI220" s="5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>
        <f>IF('Project Database'!A224="","",N('Project Database'!AC224))</f>
        <v/>
      </c>
      <c r="BK220" s="5">
        <f>IF('Project Database'!A224="","",N('Project Database'!AD224))</f>
        <v/>
      </c>
      <c r="BL220" s="5">
        <f>IF('Project Database'!A224="","",N('Project Database'!AE224))</f>
        <v/>
      </c>
      <c r="BM220" s="5">
        <f>IF('Project Database'!A224="","",N('Project Database'!AF224))</f>
        <v/>
      </c>
      <c r="BN220" s="5">
        <f>IF('Project Database'!A224="","",N('Project Database'!AG224))</f>
        <v/>
      </c>
      <c r="BO220" s="5">
        <f>IF('Project Database'!A224="","",N('Project Database'!AH224))</f>
        <v/>
      </c>
      <c r="BP220" s="5">
        <f>IF('Project Database'!A224="","",N('Project Database'!AI224))</f>
        <v/>
      </c>
      <c r="BQ220" s="5">
        <f>IF('Project Database'!A224="","",N('Project Database'!AJ224))</f>
        <v/>
      </c>
      <c r="BR220" s="5">
        <f>IF('Project Database'!A224="","",N('Project Database'!AK224))</f>
        <v/>
      </c>
      <c r="BS220" s="5">
        <f>IF('Project Database'!A224="","",N('Project Database'!AL224))</f>
        <v/>
      </c>
      <c r="BT220" s="5">
        <f>IF('Project Database'!A224="","",N('Project Database'!AM224))</f>
        <v/>
      </c>
      <c r="BU220" s="5">
        <f>IF('Project Database'!A224="","",N('Project Database'!AN224))</f>
        <v/>
      </c>
      <c r="BV220" s="5">
        <f>IF('Project Database'!A224="","",N('Project Database'!AO224))</f>
        <v/>
      </c>
      <c r="BW220" s="5">
        <f>IF('Project Database'!A224="","",N('Project Database'!AP224))</f>
        <v/>
      </c>
      <c r="BX220" s="5">
        <f>IF(A220="","",SUM(BJ220:BW220))</f>
        <v/>
      </c>
      <c r="BY220" s="5">
        <f>IF(A220="","",IFERROR(IF(ISNUMBER(U220),U220,VALUE(SUBSTITUTE(SUBSTITUTE(SUBSTITUTE(UPPER(TRIM(U220)),"M",""),",","")," ",""))),0))</f>
        <v/>
      </c>
    </row>
    <row r="221" ht="15" customHeight="1" s="74">
      <c r="A221" s="66">
        <f>'Project Database'!A225</f>
        <v/>
      </c>
      <c r="B221" s="66">
        <f>'Project Database'!B225</f>
        <v/>
      </c>
      <c r="C221" s="66">
        <f>'Project Database'!G225</f>
        <v/>
      </c>
      <c r="D221" s="66">
        <f>'Project Database'!H225</f>
        <v/>
      </c>
      <c r="E221" s="66">
        <f>'Project Database'!I225</f>
        <v/>
      </c>
      <c r="F221" s="66">
        <f>'Project Database'!J225</f>
        <v/>
      </c>
      <c r="G221" s="66">
        <f>'Project Database'!K225</f>
        <v/>
      </c>
      <c r="H221" s="66">
        <f>'Project Database'!L225</f>
        <v/>
      </c>
      <c r="I221" s="66">
        <f>'Project Database'!M225</f>
        <v/>
      </c>
      <c r="J221" s="66">
        <f>'Project Database'!N225</f>
        <v/>
      </c>
      <c r="K221" s="66">
        <f>'Project Database'!O225</f>
        <v/>
      </c>
      <c r="L221" s="66">
        <f>'Project Database'!P225</f>
        <v/>
      </c>
      <c r="M221" s="66">
        <f>'Project Database'!Q225</f>
        <v/>
      </c>
      <c r="N221" s="66">
        <f>'Project Database'!R225</f>
        <v/>
      </c>
      <c r="O221" s="66">
        <f>'Project Database'!S225</f>
        <v/>
      </c>
      <c r="P221" s="66">
        <f>'Project Database'!T225</f>
        <v/>
      </c>
      <c r="Q221" s="66">
        <f>'Project Database'!U225</f>
        <v/>
      </c>
      <c r="R221" s="66">
        <f>'Project Database'!V225</f>
        <v/>
      </c>
      <c r="S221" s="66">
        <f>'Project Database'!W225</f>
        <v/>
      </c>
      <c r="T221" s="66">
        <f>'Project Database'!X225</f>
        <v/>
      </c>
      <c r="U221" s="67">
        <f>'Project Database'!Y225</f>
        <v/>
      </c>
      <c r="V221" s="66">
        <f>IF('Smart Search'!B13=1,IFERROR(1/'Smart Search'!H13,0),0)</f>
        <v/>
      </c>
      <c r="W221" s="66">
        <f>IF('Smart Search'!B13=1,IFERROR(1/'Smart Search'!H13,0),0)</f>
        <v/>
      </c>
      <c r="X221" s="66">
        <f>IF('Smart Search'!C13=1,IFERROR(1/'Smart Search'!H13,0),0)</f>
        <v/>
      </c>
      <c r="Y221" s="66">
        <f>IF('Smart Search'!C13=1,IFERROR(1/'Smart Search'!H13,0),0)</f>
        <v/>
      </c>
      <c r="Z221" s="66">
        <f>IF('Smart Search'!D13=1,IFERROR(1/'Smart Search'!H13,0),0)</f>
        <v/>
      </c>
      <c r="AA221" s="66">
        <f>IF('Smart Search'!D13=1,IFERROR(1/'Smart Search'!H13,0),0)</f>
        <v/>
      </c>
      <c r="AB221" s="66">
        <f>IF('Smart Search'!E13=1,IFERROR(1/'Smart Search'!H13,0),0)</f>
        <v/>
      </c>
      <c r="AC221" s="66">
        <f>IF('Smart Search'!E13=1,IFERROR(1/'Smart Search'!H13,0),0)</f>
        <v/>
      </c>
      <c r="AD221" s="66">
        <f>IF('Smart Search'!F13=1,IFERROR(1/'Smart Search'!H13,0),0)</f>
        <v/>
      </c>
      <c r="AE221" s="66">
        <f>IF('Smart Search'!F13=1,IFERROR(1/'Smart Search'!H13,0),0)</f>
        <v/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66">
        <f>AF221*V221</f>
        <v/>
      </c>
      <c r="AQ221" s="66">
        <f>AG221*W221</f>
        <v/>
      </c>
      <c r="AR221" s="66">
        <f>AH221*X221</f>
        <v/>
      </c>
      <c r="AS221" s="66">
        <f>AI221*Y221</f>
        <v/>
      </c>
      <c r="AT221" s="66">
        <f>AJ221*Z221</f>
        <v/>
      </c>
      <c r="AU221" s="66">
        <f>AK221*AA221</f>
        <v/>
      </c>
      <c r="AV221" s="66">
        <f>AL221*AB221</f>
        <v/>
      </c>
      <c r="AW221" s="66">
        <f>AM221*AC221</f>
        <v/>
      </c>
      <c r="AX221" s="66">
        <f>AN221*AD221</f>
        <v/>
      </c>
      <c r="AY221" s="66">
        <f>AO221*AE221</f>
        <v/>
      </c>
      <c r="AZ221" s="66">
        <f>'Project Database'!Z225</f>
        <v/>
      </c>
      <c r="BA221" s="66">
        <f>IF(OR(A221="",'Smart Search'!H13=0),"",MAX(0,BE221*BF221*MAX(0,1-BG221)))</f>
        <v/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66">
        <f>IF('Smart Search'!G13=1,IFERROR(1/'Smart Search'!H13,0),0)</f>
        <v/>
      </c>
      <c r="BD221" s="66">
        <f>BB221*BC221</f>
        <v/>
      </c>
      <c r="BE221" s="66">
        <f>AP221+AQ221+AR221+AS221+AT221+AU221+AV221+AW221+AX221+AY221+BD221</f>
        <v/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5">
        <f>IF(AND('Project Database'!A225&lt;&gt;"",OR('Smart Search'!$L$5="",'Smart Search'!$L$5="All",TRIM('Project Database'!D225)=TRIM('Smart Search'!$L$5)),OR(TRIM('Smart Search'!$L$6)="",TRIM('Smart Search'!$L$6)="All",ISNUMBER(SEARCH(SUBSTITUTE(SUBSTITUTE(SUBSTITUTE(TRIM('Smart Search'!$L$6),"~","~~"),"*","~*"),"?","~?"),'Project Database'!C225))),OR('Smart Search'!$L$7="",AND('Project Database'!E225&lt;&gt;"",'Project Database'!E225='Smart Search'!$L$7)),OR('Smart Search'!$L$8="",'Smart Search'!$L$8="All",TRIM('Project Database'!F225)=TRIM('Smart Search'!$L$8))),IF(BA221="","",BA221+ROW()*0.0000000001),"")</f>
        <v/>
      </c>
      <c r="BI221" s="5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>
        <f>IF('Project Database'!A225="","",N('Project Database'!AC225))</f>
        <v/>
      </c>
      <c r="BK221" s="5">
        <f>IF('Project Database'!A225="","",N('Project Database'!AD225))</f>
        <v/>
      </c>
      <c r="BL221" s="5">
        <f>IF('Project Database'!A225="","",N('Project Database'!AE225))</f>
        <v/>
      </c>
      <c r="BM221" s="5">
        <f>IF('Project Database'!A225="","",N('Project Database'!AF225))</f>
        <v/>
      </c>
      <c r="BN221" s="5">
        <f>IF('Project Database'!A225="","",N('Project Database'!AG225))</f>
        <v/>
      </c>
      <c r="BO221" s="5">
        <f>IF('Project Database'!A225="","",N('Project Database'!AH225))</f>
        <v/>
      </c>
      <c r="BP221" s="5">
        <f>IF('Project Database'!A225="","",N('Project Database'!AI225))</f>
        <v/>
      </c>
      <c r="BQ221" s="5">
        <f>IF('Project Database'!A225="","",N('Project Database'!AJ225))</f>
        <v/>
      </c>
      <c r="BR221" s="5">
        <f>IF('Project Database'!A225="","",N('Project Database'!AK225))</f>
        <v/>
      </c>
      <c r="BS221" s="5">
        <f>IF('Project Database'!A225="","",N('Project Database'!AL225))</f>
        <v/>
      </c>
      <c r="BT221" s="5">
        <f>IF('Project Database'!A225="","",N('Project Database'!AM225))</f>
        <v/>
      </c>
      <c r="BU221" s="5">
        <f>IF('Project Database'!A225="","",N('Project Database'!AN225))</f>
        <v/>
      </c>
      <c r="BV221" s="5">
        <f>IF('Project Database'!A225="","",N('Project Database'!AO225))</f>
        <v/>
      </c>
      <c r="BW221" s="5">
        <f>IF('Project Database'!A225="","",N('Project Database'!AP225))</f>
        <v/>
      </c>
      <c r="BX221" s="5">
        <f>IF(A221="","",SUM(BJ221:BW221))</f>
        <v/>
      </c>
      <c r="BY221" s="5">
        <f>IF(A221="","",IFERROR(IF(ISNUMBER(U221),U221,VALUE(SUBSTITUTE(SUBSTITUTE(SUBSTITUTE(UPPER(TRIM(U221)),"M",""),",","")," ",""))),0))</f>
        <v/>
      </c>
    </row>
    <row r="222" ht="15" customHeight="1" s="74">
      <c r="A222" s="66">
        <f>'Project Database'!A226</f>
        <v/>
      </c>
      <c r="B222" s="66">
        <f>'Project Database'!B226</f>
        <v/>
      </c>
      <c r="C222" s="66">
        <f>'Project Database'!G226</f>
        <v/>
      </c>
      <c r="D222" s="66">
        <f>'Project Database'!H226</f>
        <v/>
      </c>
      <c r="E222" s="66">
        <f>'Project Database'!I226</f>
        <v/>
      </c>
      <c r="F222" s="66">
        <f>'Project Database'!J226</f>
        <v/>
      </c>
      <c r="G222" s="66">
        <f>'Project Database'!K226</f>
        <v/>
      </c>
      <c r="H222" s="66">
        <f>'Project Database'!L226</f>
        <v/>
      </c>
      <c r="I222" s="66">
        <f>'Project Database'!M226</f>
        <v/>
      </c>
      <c r="J222" s="66">
        <f>'Project Database'!N226</f>
        <v/>
      </c>
      <c r="K222" s="66">
        <f>'Project Database'!O226</f>
        <v/>
      </c>
      <c r="L222" s="66">
        <f>'Project Database'!P226</f>
        <v/>
      </c>
      <c r="M222" s="66">
        <f>'Project Database'!Q226</f>
        <v/>
      </c>
      <c r="N222" s="66">
        <f>'Project Database'!R226</f>
        <v/>
      </c>
      <c r="O222" s="66">
        <f>'Project Database'!S226</f>
        <v/>
      </c>
      <c r="P222" s="66">
        <f>'Project Database'!T226</f>
        <v/>
      </c>
      <c r="Q222" s="66">
        <f>'Project Database'!U226</f>
        <v/>
      </c>
      <c r="R222" s="66">
        <f>'Project Database'!V226</f>
        <v/>
      </c>
      <c r="S222" s="66">
        <f>'Project Database'!W226</f>
        <v/>
      </c>
      <c r="T222" s="66">
        <f>'Project Database'!X226</f>
        <v/>
      </c>
      <c r="U222" s="67">
        <f>'Project Database'!Y226</f>
        <v/>
      </c>
      <c r="V222" s="66">
        <f>IF('Smart Search'!B13=1,IFERROR(1/'Smart Search'!H13,0),0)</f>
        <v/>
      </c>
      <c r="W222" s="66">
        <f>IF('Smart Search'!B13=1,IFERROR(1/'Smart Search'!H13,0),0)</f>
        <v/>
      </c>
      <c r="X222" s="66">
        <f>IF('Smart Search'!C13=1,IFERROR(1/'Smart Search'!H13,0),0)</f>
        <v/>
      </c>
      <c r="Y222" s="66">
        <f>IF('Smart Search'!C13=1,IFERROR(1/'Smart Search'!H13,0),0)</f>
        <v/>
      </c>
      <c r="Z222" s="66">
        <f>IF('Smart Search'!D13=1,IFERROR(1/'Smart Search'!H13,0),0)</f>
        <v/>
      </c>
      <c r="AA222" s="66">
        <f>IF('Smart Search'!D13=1,IFERROR(1/'Smart Search'!H13,0),0)</f>
        <v/>
      </c>
      <c r="AB222" s="66">
        <f>IF('Smart Search'!E13=1,IFERROR(1/'Smart Search'!H13,0),0)</f>
        <v/>
      </c>
      <c r="AC222" s="66">
        <f>IF('Smart Search'!E13=1,IFERROR(1/'Smart Search'!H13,0),0)</f>
        <v/>
      </c>
      <c r="AD222" s="66">
        <f>IF('Smart Search'!F13=1,IFERROR(1/'Smart Search'!H13,0),0)</f>
        <v/>
      </c>
      <c r="AE222" s="66">
        <f>IF('Smart Search'!F13=1,IFERROR(1/'Smart Search'!H13,0),0)</f>
        <v/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66">
        <f>AF222*V222</f>
        <v/>
      </c>
      <c r="AQ222" s="66">
        <f>AG222*W222</f>
        <v/>
      </c>
      <c r="AR222" s="66">
        <f>AH222*X222</f>
        <v/>
      </c>
      <c r="AS222" s="66">
        <f>AI222*Y222</f>
        <v/>
      </c>
      <c r="AT222" s="66">
        <f>AJ222*Z222</f>
        <v/>
      </c>
      <c r="AU222" s="66">
        <f>AK222*AA222</f>
        <v/>
      </c>
      <c r="AV222" s="66">
        <f>AL222*AB222</f>
        <v/>
      </c>
      <c r="AW222" s="66">
        <f>AM222*AC222</f>
        <v/>
      </c>
      <c r="AX222" s="66">
        <f>AN222*AD222</f>
        <v/>
      </c>
      <c r="AY222" s="66">
        <f>AO222*AE222</f>
        <v/>
      </c>
      <c r="AZ222" s="66">
        <f>'Project Database'!Z226</f>
        <v/>
      </c>
      <c r="BA222" s="66">
        <f>IF(OR(A222="",'Smart Search'!H13=0),"",MAX(0,BE222*BF222*MAX(0,1-BG222)))</f>
        <v/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66">
        <f>IF('Smart Search'!G13=1,IFERROR(1/'Smart Search'!H13,0),0)</f>
        <v/>
      </c>
      <c r="BD222" s="66">
        <f>BB222*BC222</f>
        <v/>
      </c>
      <c r="BE222" s="66">
        <f>AP222+AQ222+AR222+AS222+AT222+AU222+AV222+AW222+AX222+AY222+BD222</f>
        <v/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5">
        <f>IF(AND('Project Database'!A226&lt;&gt;"",OR('Smart Search'!$L$5="",'Smart Search'!$L$5="All",TRIM('Project Database'!D226)=TRIM('Smart Search'!$L$5)),OR(TRIM('Smart Search'!$L$6)="",TRIM('Smart Search'!$L$6)="All",ISNUMBER(SEARCH(SUBSTITUTE(SUBSTITUTE(SUBSTITUTE(TRIM('Smart Search'!$L$6),"~","~~"),"*","~*"),"?","~?"),'Project Database'!C226))),OR('Smart Search'!$L$7="",AND('Project Database'!E226&lt;&gt;"",'Project Database'!E226='Smart Search'!$L$7)),OR('Smart Search'!$L$8="",'Smart Search'!$L$8="All",TRIM('Project Database'!F226)=TRIM('Smart Search'!$L$8))),IF(BA222="","",BA222+ROW()*0.0000000001),"")</f>
        <v/>
      </c>
      <c r="BI222" s="5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>
        <f>IF('Project Database'!A226="","",N('Project Database'!AC226))</f>
        <v/>
      </c>
      <c r="BK222" s="5">
        <f>IF('Project Database'!A226="","",N('Project Database'!AD226))</f>
        <v/>
      </c>
      <c r="BL222" s="5">
        <f>IF('Project Database'!A226="","",N('Project Database'!AE226))</f>
        <v/>
      </c>
      <c r="BM222" s="5">
        <f>IF('Project Database'!A226="","",N('Project Database'!AF226))</f>
        <v/>
      </c>
      <c r="BN222" s="5">
        <f>IF('Project Database'!A226="","",N('Project Database'!AG226))</f>
        <v/>
      </c>
      <c r="BO222" s="5">
        <f>IF('Project Database'!A226="","",N('Project Database'!AH226))</f>
        <v/>
      </c>
      <c r="BP222" s="5">
        <f>IF('Project Database'!A226="","",N('Project Database'!AI226))</f>
        <v/>
      </c>
      <c r="BQ222" s="5">
        <f>IF('Project Database'!A226="","",N('Project Database'!AJ226))</f>
        <v/>
      </c>
      <c r="BR222" s="5">
        <f>IF('Project Database'!A226="","",N('Project Database'!AK226))</f>
        <v/>
      </c>
      <c r="BS222" s="5">
        <f>IF('Project Database'!A226="","",N('Project Database'!AL226))</f>
        <v/>
      </c>
      <c r="BT222" s="5">
        <f>IF('Project Database'!A226="","",N('Project Database'!AM226))</f>
        <v/>
      </c>
      <c r="BU222" s="5">
        <f>IF('Project Database'!A226="","",N('Project Database'!AN226))</f>
        <v/>
      </c>
      <c r="BV222" s="5">
        <f>IF('Project Database'!A226="","",N('Project Database'!AO226))</f>
        <v/>
      </c>
      <c r="BW222" s="5">
        <f>IF('Project Database'!A226="","",N('Project Database'!AP226))</f>
        <v/>
      </c>
      <c r="BX222" s="5">
        <f>IF(A222="","",SUM(BJ222:BW222))</f>
        <v/>
      </c>
      <c r="BY222" s="5">
        <f>IF(A222="","",IFERROR(IF(ISNUMBER(U222),U222,VALUE(SUBSTITUTE(SUBSTITUTE(SUBSTITUTE(UPPER(TRIM(U222)),"M",""),",","")," ",""))),0))</f>
        <v/>
      </c>
    </row>
    <row r="223" ht="15" customHeight="1" s="74">
      <c r="A223" s="66">
        <f>'Project Database'!A227</f>
        <v/>
      </c>
      <c r="B223" s="66">
        <f>'Project Database'!B227</f>
        <v/>
      </c>
      <c r="C223" s="66">
        <f>'Project Database'!G227</f>
        <v/>
      </c>
      <c r="D223" s="66">
        <f>'Project Database'!H227</f>
        <v/>
      </c>
      <c r="E223" s="66">
        <f>'Project Database'!I227</f>
        <v/>
      </c>
      <c r="F223" s="66">
        <f>'Project Database'!J227</f>
        <v/>
      </c>
      <c r="G223" s="66">
        <f>'Project Database'!K227</f>
        <v/>
      </c>
      <c r="H223" s="66">
        <f>'Project Database'!L227</f>
        <v/>
      </c>
      <c r="I223" s="66">
        <f>'Project Database'!M227</f>
        <v/>
      </c>
      <c r="J223" s="66">
        <f>'Project Database'!N227</f>
        <v/>
      </c>
      <c r="K223" s="66">
        <f>'Project Database'!O227</f>
        <v/>
      </c>
      <c r="L223" s="66">
        <f>'Project Database'!P227</f>
        <v/>
      </c>
      <c r="M223" s="66">
        <f>'Project Database'!Q227</f>
        <v/>
      </c>
      <c r="N223" s="66">
        <f>'Project Database'!R227</f>
        <v/>
      </c>
      <c r="O223" s="66">
        <f>'Project Database'!S227</f>
        <v/>
      </c>
      <c r="P223" s="66">
        <f>'Project Database'!T227</f>
        <v/>
      </c>
      <c r="Q223" s="66">
        <f>'Project Database'!U227</f>
        <v/>
      </c>
      <c r="R223" s="66">
        <f>'Project Database'!V227</f>
        <v/>
      </c>
      <c r="S223" s="66">
        <f>'Project Database'!W227</f>
        <v/>
      </c>
      <c r="T223" s="66">
        <f>'Project Database'!X227</f>
        <v/>
      </c>
      <c r="U223" s="67">
        <f>'Project Database'!Y227</f>
        <v/>
      </c>
      <c r="V223" s="66">
        <f>IF('Smart Search'!B13=1,IFERROR(1/'Smart Search'!H13,0),0)</f>
        <v/>
      </c>
      <c r="W223" s="66">
        <f>IF('Smart Search'!B13=1,IFERROR(1/'Smart Search'!H13,0),0)</f>
        <v/>
      </c>
      <c r="X223" s="66">
        <f>IF('Smart Search'!C13=1,IFERROR(1/'Smart Search'!H13,0),0)</f>
        <v/>
      </c>
      <c r="Y223" s="66">
        <f>IF('Smart Search'!C13=1,IFERROR(1/'Smart Search'!H13,0),0)</f>
        <v/>
      </c>
      <c r="Z223" s="66">
        <f>IF('Smart Search'!D13=1,IFERROR(1/'Smart Search'!H13,0),0)</f>
        <v/>
      </c>
      <c r="AA223" s="66">
        <f>IF('Smart Search'!D13=1,IFERROR(1/'Smart Search'!H13,0),0)</f>
        <v/>
      </c>
      <c r="AB223" s="66">
        <f>IF('Smart Search'!E13=1,IFERROR(1/'Smart Search'!H13,0),0)</f>
        <v/>
      </c>
      <c r="AC223" s="66">
        <f>IF('Smart Search'!E13=1,IFERROR(1/'Smart Search'!H13,0),0)</f>
        <v/>
      </c>
      <c r="AD223" s="66">
        <f>IF('Smart Search'!F13=1,IFERROR(1/'Smart Search'!H13,0),0)</f>
        <v/>
      </c>
      <c r="AE223" s="66">
        <f>IF('Smart Search'!F13=1,IFERROR(1/'Smart Search'!H13,0),0)</f>
        <v/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66">
        <f>AF223*V223</f>
        <v/>
      </c>
      <c r="AQ223" s="66">
        <f>AG223*W223</f>
        <v/>
      </c>
      <c r="AR223" s="66">
        <f>AH223*X223</f>
        <v/>
      </c>
      <c r="AS223" s="66">
        <f>AI223*Y223</f>
        <v/>
      </c>
      <c r="AT223" s="66">
        <f>AJ223*Z223</f>
        <v/>
      </c>
      <c r="AU223" s="66">
        <f>AK223*AA223</f>
        <v/>
      </c>
      <c r="AV223" s="66">
        <f>AL223*AB223</f>
        <v/>
      </c>
      <c r="AW223" s="66">
        <f>AM223*AC223</f>
        <v/>
      </c>
      <c r="AX223" s="66">
        <f>AN223*AD223</f>
        <v/>
      </c>
      <c r="AY223" s="66">
        <f>AO223*AE223</f>
        <v/>
      </c>
      <c r="AZ223" s="66">
        <f>'Project Database'!Z227</f>
        <v/>
      </c>
      <c r="BA223" s="66">
        <f>IF(OR(A223="",'Smart Search'!H13=0),"",MAX(0,BE223*BF223*MAX(0,1-BG223)))</f>
        <v/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66">
        <f>IF('Smart Search'!G13=1,IFERROR(1/'Smart Search'!H13,0),0)</f>
        <v/>
      </c>
      <c r="BD223" s="66">
        <f>BB223*BC223</f>
        <v/>
      </c>
      <c r="BE223" s="66">
        <f>AP223+AQ223+AR223+AS223+AT223+AU223+AV223+AW223+AX223+AY223+BD223</f>
        <v/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5">
        <f>IF(AND('Project Database'!A227&lt;&gt;"",OR('Smart Search'!$L$5="",'Smart Search'!$L$5="All",TRIM('Project Database'!D227)=TRIM('Smart Search'!$L$5)),OR(TRIM('Smart Search'!$L$6)="",TRIM('Smart Search'!$L$6)="All",ISNUMBER(SEARCH(SUBSTITUTE(SUBSTITUTE(SUBSTITUTE(TRIM('Smart Search'!$L$6),"~","~~"),"*","~*"),"?","~?"),'Project Database'!C227))),OR('Smart Search'!$L$7="",AND('Project Database'!E227&lt;&gt;"",'Project Database'!E227='Smart Search'!$L$7)),OR('Smart Search'!$L$8="",'Smart Search'!$L$8="All",TRIM('Project Database'!F227)=TRIM('Smart Search'!$L$8))),IF(BA223="","",BA223+ROW()*0.0000000001),"")</f>
        <v/>
      </c>
      <c r="BI223" s="5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>
        <f>IF('Project Database'!A227="","",N('Project Database'!AC227))</f>
        <v/>
      </c>
      <c r="BK223" s="5">
        <f>IF('Project Database'!A227="","",N('Project Database'!AD227))</f>
        <v/>
      </c>
      <c r="BL223" s="5">
        <f>IF('Project Database'!A227="","",N('Project Database'!AE227))</f>
        <v/>
      </c>
      <c r="BM223" s="5">
        <f>IF('Project Database'!A227="","",N('Project Database'!AF227))</f>
        <v/>
      </c>
      <c r="BN223" s="5">
        <f>IF('Project Database'!A227="","",N('Project Database'!AG227))</f>
        <v/>
      </c>
      <c r="BO223" s="5">
        <f>IF('Project Database'!A227="","",N('Project Database'!AH227))</f>
        <v/>
      </c>
      <c r="BP223" s="5">
        <f>IF('Project Database'!A227="","",N('Project Database'!AI227))</f>
        <v/>
      </c>
      <c r="BQ223" s="5">
        <f>IF('Project Database'!A227="","",N('Project Database'!AJ227))</f>
        <v/>
      </c>
      <c r="BR223" s="5">
        <f>IF('Project Database'!A227="","",N('Project Database'!AK227))</f>
        <v/>
      </c>
      <c r="BS223" s="5">
        <f>IF('Project Database'!A227="","",N('Project Database'!AL227))</f>
        <v/>
      </c>
      <c r="BT223" s="5">
        <f>IF('Project Database'!A227="","",N('Project Database'!AM227))</f>
        <v/>
      </c>
      <c r="BU223" s="5">
        <f>IF('Project Database'!A227="","",N('Project Database'!AN227))</f>
        <v/>
      </c>
      <c r="BV223" s="5">
        <f>IF('Project Database'!A227="","",N('Project Database'!AO227))</f>
        <v/>
      </c>
      <c r="BW223" s="5">
        <f>IF('Project Database'!A227="","",N('Project Database'!AP227))</f>
        <v/>
      </c>
      <c r="BX223" s="5">
        <f>IF(A223="","",SUM(BJ223:BW223))</f>
        <v/>
      </c>
      <c r="BY223" s="5">
        <f>IF(A223="","",IFERROR(IF(ISNUMBER(U223),U223,VALUE(SUBSTITUTE(SUBSTITUTE(SUBSTITUTE(UPPER(TRIM(U223)),"M",""),",","")," ",""))),0))</f>
        <v/>
      </c>
    </row>
    <row r="224" ht="15" customHeight="1" s="74">
      <c r="A224" s="66">
        <f>'Project Database'!A228</f>
        <v/>
      </c>
      <c r="B224" s="66">
        <f>'Project Database'!B228</f>
        <v/>
      </c>
      <c r="C224" s="66">
        <f>'Project Database'!G228</f>
        <v/>
      </c>
      <c r="D224" s="66">
        <f>'Project Database'!H228</f>
        <v/>
      </c>
      <c r="E224" s="66">
        <f>'Project Database'!I228</f>
        <v/>
      </c>
      <c r="F224" s="66">
        <f>'Project Database'!J228</f>
        <v/>
      </c>
      <c r="G224" s="66">
        <f>'Project Database'!K228</f>
        <v/>
      </c>
      <c r="H224" s="66">
        <f>'Project Database'!L228</f>
        <v/>
      </c>
      <c r="I224" s="66">
        <f>'Project Database'!M228</f>
        <v/>
      </c>
      <c r="J224" s="66">
        <f>'Project Database'!N228</f>
        <v/>
      </c>
      <c r="K224" s="66">
        <f>'Project Database'!O228</f>
        <v/>
      </c>
      <c r="L224" s="66">
        <f>'Project Database'!P228</f>
        <v/>
      </c>
      <c r="M224" s="66">
        <f>'Project Database'!Q228</f>
        <v/>
      </c>
      <c r="N224" s="66">
        <f>'Project Database'!R228</f>
        <v/>
      </c>
      <c r="O224" s="66">
        <f>'Project Database'!S228</f>
        <v/>
      </c>
      <c r="P224" s="66">
        <f>'Project Database'!T228</f>
        <v/>
      </c>
      <c r="Q224" s="66">
        <f>'Project Database'!U228</f>
        <v/>
      </c>
      <c r="R224" s="66">
        <f>'Project Database'!V228</f>
        <v/>
      </c>
      <c r="S224" s="66">
        <f>'Project Database'!W228</f>
        <v/>
      </c>
      <c r="T224" s="66">
        <f>'Project Database'!X228</f>
        <v/>
      </c>
      <c r="U224" s="67">
        <f>'Project Database'!Y228</f>
        <v/>
      </c>
      <c r="V224" s="66">
        <f>IF('Smart Search'!B13=1,IFERROR(1/'Smart Search'!H13,0),0)</f>
        <v/>
      </c>
      <c r="W224" s="66">
        <f>IF('Smart Search'!B13=1,IFERROR(1/'Smart Search'!H13,0),0)</f>
        <v/>
      </c>
      <c r="X224" s="66">
        <f>IF('Smart Search'!C13=1,IFERROR(1/'Smart Search'!H13,0),0)</f>
        <v/>
      </c>
      <c r="Y224" s="66">
        <f>IF('Smart Search'!C13=1,IFERROR(1/'Smart Search'!H13,0),0)</f>
        <v/>
      </c>
      <c r="Z224" s="66">
        <f>IF('Smart Search'!D13=1,IFERROR(1/'Smart Search'!H13,0),0)</f>
        <v/>
      </c>
      <c r="AA224" s="66">
        <f>IF('Smart Search'!D13=1,IFERROR(1/'Smart Search'!H13,0),0)</f>
        <v/>
      </c>
      <c r="AB224" s="66">
        <f>IF('Smart Search'!E13=1,IFERROR(1/'Smart Search'!H13,0),0)</f>
        <v/>
      </c>
      <c r="AC224" s="66">
        <f>IF('Smart Search'!E13=1,IFERROR(1/'Smart Search'!H13,0),0)</f>
        <v/>
      </c>
      <c r="AD224" s="66">
        <f>IF('Smart Search'!F13=1,IFERROR(1/'Smart Search'!H13,0),0)</f>
        <v/>
      </c>
      <c r="AE224" s="66">
        <f>IF('Smart Search'!F13=1,IFERROR(1/'Smart Search'!H13,0),0)</f>
        <v/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66">
        <f>AF224*V224</f>
        <v/>
      </c>
      <c r="AQ224" s="66">
        <f>AG224*W224</f>
        <v/>
      </c>
      <c r="AR224" s="66">
        <f>AH224*X224</f>
        <v/>
      </c>
      <c r="AS224" s="66">
        <f>AI224*Y224</f>
        <v/>
      </c>
      <c r="AT224" s="66">
        <f>AJ224*Z224</f>
        <v/>
      </c>
      <c r="AU224" s="66">
        <f>AK224*AA224</f>
        <v/>
      </c>
      <c r="AV224" s="66">
        <f>AL224*AB224</f>
        <v/>
      </c>
      <c r="AW224" s="66">
        <f>AM224*AC224</f>
        <v/>
      </c>
      <c r="AX224" s="66">
        <f>AN224*AD224</f>
        <v/>
      </c>
      <c r="AY224" s="66">
        <f>AO224*AE224</f>
        <v/>
      </c>
      <c r="AZ224" s="66">
        <f>'Project Database'!Z228</f>
        <v/>
      </c>
      <c r="BA224" s="66">
        <f>IF(OR(A224="",'Smart Search'!H13=0),"",MAX(0,BE224*BF224*MAX(0,1-BG224)))</f>
        <v/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66">
        <f>IF('Smart Search'!G13=1,IFERROR(1/'Smart Search'!H13,0),0)</f>
        <v/>
      </c>
      <c r="BD224" s="66">
        <f>BB224*BC224</f>
        <v/>
      </c>
      <c r="BE224" s="66">
        <f>AP224+AQ224+AR224+AS224+AT224+AU224+AV224+AW224+AX224+AY224+BD224</f>
        <v/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5">
        <f>IF(AND('Project Database'!A228&lt;&gt;"",OR('Smart Search'!$L$5="",'Smart Search'!$L$5="All",TRIM('Project Database'!D228)=TRIM('Smart Search'!$L$5)),OR(TRIM('Smart Search'!$L$6)="",TRIM('Smart Search'!$L$6)="All",ISNUMBER(SEARCH(SUBSTITUTE(SUBSTITUTE(SUBSTITUTE(TRIM('Smart Search'!$L$6),"~","~~"),"*","~*"),"?","~?"),'Project Database'!C228))),OR('Smart Search'!$L$7="",AND('Project Database'!E228&lt;&gt;"",'Project Database'!E228='Smart Search'!$L$7)),OR('Smart Search'!$L$8="",'Smart Search'!$L$8="All",TRIM('Project Database'!F228)=TRIM('Smart Search'!$L$8))),IF(BA224="","",BA224+ROW()*0.0000000001),"")</f>
        <v/>
      </c>
      <c r="BI224" s="5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>
        <f>IF('Project Database'!A228="","",N('Project Database'!AC228))</f>
        <v/>
      </c>
      <c r="BK224" s="5">
        <f>IF('Project Database'!A228="","",N('Project Database'!AD228))</f>
        <v/>
      </c>
      <c r="BL224" s="5">
        <f>IF('Project Database'!A228="","",N('Project Database'!AE228))</f>
        <v/>
      </c>
      <c r="BM224" s="5">
        <f>IF('Project Database'!A228="","",N('Project Database'!AF228))</f>
        <v/>
      </c>
      <c r="BN224" s="5">
        <f>IF('Project Database'!A228="","",N('Project Database'!AG228))</f>
        <v/>
      </c>
      <c r="BO224" s="5">
        <f>IF('Project Database'!A228="","",N('Project Database'!AH228))</f>
        <v/>
      </c>
      <c r="BP224" s="5">
        <f>IF('Project Database'!A228="","",N('Project Database'!AI228))</f>
        <v/>
      </c>
      <c r="BQ224" s="5">
        <f>IF('Project Database'!A228="","",N('Project Database'!AJ228))</f>
        <v/>
      </c>
      <c r="BR224" s="5">
        <f>IF('Project Database'!A228="","",N('Project Database'!AK228))</f>
        <v/>
      </c>
      <c r="BS224" s="5">
        <f>IF('Project Database'!A228="","",N('Project Database'!AL228))</f>
        <v/>
      </c>
      <c r="BT224" s="5">
        <f>IF('Project Database'!A228="","",N('Project Database'!AM228))</f>
        <v/>
      </c>
      <c r="BU224" s="5">
        <f>IF('Project Database'!A228="","",N('Project Database'!AN228))</f>
        <v/>
      </c>
      <c r="BV224" s="5">
        <f>IF('Project Database'!A228="","",N('Project Database'!AO228))</f>
        <v/>
      </c>
      <c r="BW224" s="5">
        <f>IF('Project Database'!A228="","",N('Project Database'!AP228))</f>
        <v/>
      </c>
      <c r="BX224" s="5">
        <f>IF(A224="","",SUM(BJ224:BW224))</f>
        <v/>
      </c>
      <c r="BY224" s="5">
        <f>IF(A224="","",IFERROR(IF(ISNUMBER(U224),U224,VALUE(SUBSTITUTE(SUBSTITUTE(SUBSTITUTE(UPPER(TRIM(U224)),"M",""),",","")," ",""))),0))</f>
        <v/>
      </c>
    </row>
    <row r="225" ht="15" customHeight="1" s="74">
      <c r="A225" s="66">
        <f>'Project Database'!A229</f>
        <v/>
      </c>
      <c r="B225" s="66">
        <f>'Project Database'!B229</f>
        <v/>
      </c>
      <c r="C225" s="66">
        <f>'Project Database'!G229</f>
        <v/>
      </c>
      <c r="D225" s="66">
        <f>'Project Database'!H229</f>
        <v/>
      </c>
      <c r="E225" s="66">
        <f>'Project Database'!I229</f>
        <v/>
      </c>
      <c r="F225" s="66">
        <f>'Project Database'!J229</f>
        <v/>
      </c>
      <c r="G225" s="66">
        <f>'Project Database'!K229</f>
        <v/>
      </c>
      <c r="H225" s="66">
        <f>'Project Database'!L229</f>
        <v/>
      </c>
      <c r="I225" s="66">
        <f>'Project Database'!M229</f>
        <v/>
      </c>
      <c r="J225" s="66">
        <f>'Project Database'!N229</f>
        <v/>
      </c>
      <c r="K225" s="66">
        <f>'Project Database'!O229</f>
        <v/>
      </c>
      <c r="L225" s="66">
        <f>'Project Database'!P229</f>
        <v/>
      </c>
      <c r="M225" s="66">
        <f>'Project Database'!Q229</f>
        <v/>
      </c>
      <c r="N225" s="66">
        <f>'Project Database'!R229</f>
        <v/>
      </c>
      <c r="O225" s="66">
        <f>'Project Database'!S229</f>
        <v/>
      </c>
      <c r="P225" s="66">
        <f>'Project Database'!T229</f>
        <v/>
      </c>
      <c r="Q225" s="66">
        <f>'Project Database'!U229</f>
        <v/>
      </c>
      <c r="R225" s="66">
        <f>'Project Database'!V229</f>
        <v/>
      </c>
      <c r="S225" s="66">
        <f>'Project Database'!W229</f>
        <v/>
      </c>
      <c r="T225" s="66">
        <f>'Project Database'!X229</f>
        <v/>
      </c>
      <c r="U225" s="67">
        <f>'Project Database'!Y229</f>
        <v/>
      </c>
      <c r="V225" s="66">
        <f>IF('Smart Search'!B13=1,IFERROR(1/'Smart Search'!H13,0),0)</f>
        <v/>
      </c>
      <c r="W225" s="66">
        <f>IF('Smart Search'!B13=1,IFERROR(1/'Smart Search'!H13,0),0)</f>
        <v/>
      </c>
      <c r="X225" s="66">
        <f>IF('Smart Search'!C13=1,IFERROR(1/'Smart Search'!H13,0),0)</f>
        <v/>
      </c>
      <c r="Y225" s="66">
        <f>IF('Smart Search'!C13=1,IFERROR(1/'Smart Search'!H13,0),0)</f>
        <v/>
      </c>
      <c r="Z225" s="66">
        <f>IF('Smart Search'!D13=1,IFERROR(1/'Smart Search'!H13,0),0)</f>
        <v/>
      </c>
      <c r="AA225" s="66">
        <f>IF('Smart Search'!D13=1,IFERROR(1/'Smart Search'!H13,0),0)</f>
        <v/>
      </c>
      <c r="AB225" s="66">
        <f>IF('Smart Search'!E13=1,IFERROR(1/'Smart Search'!H13,0),0)</f>
        <v/>
      </c>
      <c r="AC225" s="66">
        <f>IF('Smart Search'!E13=1,IFERROR(1/'Smart Search'!H13,0),0)</f>
        <v/>
      </c>
      <c r="AD225" s="66">
        <f>IF('Smart Search'!F13=1,IFERROR(1/'Smart Search'!H13,0),0)</f>
        <v/>
      </c>
      <c r="AE225" s="66">
        <f>IF('Smart Search'!F13=1,IFERROR(1/'Smart Search'!H13,0),0)</f>
        <v/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66">
        <f>AF225*V225</f>
        <v/>
      </c>
      <c r="AQ225" s="66">
        <f>AG225*W225</f>
        <v/>
      </c>
      <c r="AR225" s="66">
        <f>AH225*X225</f>
        <v/>
      </c>
      <c r="AS225" s="66">
        <f>AI225*Y225</f>
        <v/>
      </c>
      <c r="AT225" s="66">
        <f>AJ225*Z225</f>
        <v/>
      </c>
      <c r="AU225" s="66">
        <f>AK225*AA225</f>
        <v/>
      </c>
      <c r="AV225" s="66">
        <f>AL225*AB225</f>
        <v/>
      </c>
      <c r="AW225" s="66">
        <f>AM225*AC225</f>
        <v/>
      </c>
      <c r="AX225" s="66">
        <f>AN225*AD225</f>
        <v/>
      </c>
      <c r="AY225" s="66">
        <f>AO225*AE225</f>
        <v/>
      </c>
      <c r="AZ225" s="66">
        <f>'Project Database'!Z229</f>
        <v/>
      </c>
      <c r="BA225" s="66">
        <f>IF(OR(A225="",'Smart Search'!H13=0),"",MAX(0,BE225*BF225*MAX(0,1-BG225)))</f>
        <v/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66">
        <f>IF('Smart Search'!G13=1,IFERROR(1/'Smart Search'!H13,0),0)</f>
        <v/>
      </c>
      <c r="BD225" s="66">
        <f>BB225*BC225</f>
        <v/>
      </c>
      <c r="BE225" s="66">
        <f>AP225+AQ225+AR225+AS225+AT225+AU225+AV225+AW225+AX225+AY225+BD225</f>
        <v/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5">
        <f>IF(AND('Project Database'!A229&lt;&gt;"",OR('Smart Search'!$L$5="",'Smart Search'!$L$5="All",TRIM('Project Database'!D229)=TRIM('Smart Search'!$L$5)),OR(TRIM('Smart Search'!$L$6)="",TRIM('Smart Search'!$L$6)="All",ISNUMBER(SEARCH(SUBSTITUTE(SUBSTITUTE(SUBSTITUTE(TRIM('Smart Search'!$L$6),"~","~~"),"*","~*"),"?","~?"),'Project Database'!C229))),OR('Smart Search'!$L$7="",AND('Project Database'!E229&lt;&gt;"",'Project Database'!E229='Smart Search'!$L$7)),OR('Smart Search'!$L$8="",'Smart Search'!$L$8="All",TRIM('Project Database'!F229)=TRIM('Smart Search'!$L$8))),IF(BA225="","",BA225+ROW()*0.0000000001),"")</f>
        <v/>
      </c>
      <c r="BI225" s="5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>
        <f>IF('Project Database'!A229="","",N('Project Database'!AC229))</f>
        <v/>
      </c>
      <c r="BK225" s="5">
        <f>IF('Project Database'!A229="","",N('Project Database'!AD229))</f>
        <v/>
      </c>
      <c r="BL225" s="5">
        <f>IF('Project Database'!A229="","",N('Project Database'!AE229))</f>
        <v/>
      </c>
      <c r="BM225" s="5">
        <f>IF('Project Database'!A229="","",N('Project Database'!AF229))</f>
        <v/>
      </c>
      <c r="BN225" s="5">
        <f>IF('Project Database'!A229="","",N('Project Database'!AG229))</f>
        <v/>
      </c>
      <c r="BO225" s="5">
        <f>IF('Project Database'!A229="","",N('Project Database'!AH229))</f>
        <v/>
      </c>
      <c r="BP225" s="5">
        <f>IF('Project Database'!A229="","",N('Project Database'!AI229))</f>
        <v/>
      </c>
      <c r="BQ225" s="5">
        <f>IF('Project Database'!A229="","",N('Project Database'!AJ229))</f>
        <v/>
      </c>
      <c r="BR225" s="5">
        <f>IF('Project Database'!A229="","",N('Project Database'!AK229))</f>
        <v/>
      </c>
      <c r="BS225" s="5">
        <f>IF('Project Database'!A229="","",N('Project Database'!AL229))</f>
        <v/>
      </c>
      <c r="BT225" s="5">
        <f>IF('Project Database'!A229="","",N('Project Database'!AM229))</f>
        <v/>
      </c>
      <c r="BU225" s="5">
        <f>IF('Project Database'!A229="","",N('Project Database'!AN229))</f>
        <v/>
      </c>
      <c r="BV225" s="5">
        <f>IF('Project Database'!A229="","",N('Project Database'!AO229))</f>
        <v/>
      </c>
      <c r="BW225" s="5">
        <f>IF('Project Database'!A229="","",N('Project Database'!AP229))</f>
        <v/>
      </c>
      <c r="BX225" s="5">
        <f>IF(A225="","",SUM(BJ225:BW225))</f>
        <v/>
      </c>
      <c r="BY225" s="5">
        <f>IF(A225="","",IFERROR(IF(ISNUMBER(U225),U225,VALUE(SUBSTITUTE(SUBSTITUTE(SUBSTITUTE(UPPER(TRIM(U225)),"M",""),",","")," ",""))),0))</f>
        <v/>
      </c>
    </row>
    <row r="226" ht="15" customHeight="1" s="74">
      <c r="A226" s="66">
        <f>'Project Database'!A230</f>
        <v/>
      </c>
      <c r="B226" s="66">
        <f>'Project Database'!B230</f>
        <v/>
      </c>
      <c r="C226" s="66">
        <f>'Project Database'!G230</f>
        <v/>
      </c>
      <c r="D226" s="66">
        <f>'Project Database'!H230</f>
        <v/>
      </c>
      <c r="E226" s="66">
        <f>'Project Database'!I230</f>
        <v/>
      </c>
      <c r="F226" s="66">
        <f>'Project Database'!J230</f>
        <v/>
      </c>
      <c r="G226" s="66">
        <f>'Project Database'!K230</f>
        <v/>
      </c>
      <c r="H226" s="66">
        <f>'Project Database'!L230</f>
        <v/>
      </c>
      <c r="I226" s="66">
        <f>'Project Database'!M230</f>
        <v/>
      </c>
      <c r="J226" s="66">
        <f>'Project Database'!N230</f>
        <v/>
      </c>
      <c r="K226" s="66">
        <f>'Project Database'!O230</f>
        <v/>
      </c>
      <c r="L226" s="66">
        <f>'Project Database'!P230</f>
        <v/>
      </c>
      <c r="M226" s="66">
        <f>'Project Database'!Q230</f>
        <v/>
      </c>
      <c r="N226" s="66">
        <f>'Project Database'!R230</f>
        <v/>
      </c>
      <c r="O226" s="66">
        <f>'Project Database'!S230</f>
        <v/>
      </c>
      <c r="P226" s="66">
        <f>'Project Database'!T230</f>
        <v/>
      </c>
      <c r="Q226" s="66">
        <f>'Project Database'!U230</f>
        <v/>
      </c>
      <c r="R226" s="66">
        <f>'Project Database'!V230</f>
        <v/>
      </c>
      <c r="S226" s="66">
        <f>'Project Database'!W230</f>
        <v/>
      </c>
      <c r="T226" s="66">
        <f>'Project Database'!X230</f>
        <v/>
      </c>
      <c r="U226" s="67">
        <f>'Project Database'!Y230</f>
        <v/>
      </c>
      <c r="V226" s="66">
        <f>IF('Smart Search'!B13=1,IFERROR(1/'Smart Search'!H13,0),0)</f>
        <v/>
      </c>
      <c r="W226" s="66">
        <f>IF('Smart Search'!B13=1,IFERROR(1/'Smart Search'!H13,0),0)</f>
        <v/>
      </c>
      <c r="X226" s="66">
        <f>IF('Smart Search'!C13=1,IFERROR(1/'Smart Search'!H13,0),0)</f>
        <v/>
      </c>
      <c r="Y226" s="66">
        <f>IF('Smart Search'!C13=1,IFERROR(1/'Smart Search'!H13,0),0)</f>
        <v/>
      </c>
      <c r="Z226" s="66">
        <f>IF('Smart Search'!D13=1,IFERROR(1/'Smart Search'!H13,0),0)</f>
        <v/>
      </c>
      <c r="AA226" s="66">
        <f>IF('Smart Search'!D13=1,IFERROR(1/'Smart Search'!H13,0),0)</f>
        <v/>
      </c>
      <c r="AB226" s="66">
        <f>IF('Smart Search'!E13=1,IFERROR(1/'Smart Search'!H13,0),0)</f>
        <v/>
      </c>
      <c r="AC226" s="66">
        <f>IF('Smart Search'!E13=1,IFERROR(1/'Smart Search'!H13,0),0)</f>
        <v/>
      </c>
      <c r="AD226" s="66">
        <f>IF('Smart Search'!F13=1,IFERROR(1/'Smart Search'!H13,0),0)</f>
        <v/>
      </c>
      <c r="AE226" s="66">
        <f>IF('Smart Search'!F13=1,IFERROR(1/'Smart Search'!H13,0),0)</f>
        <v/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66">
        <f>AF226*V226</f>
        <v/>
      </c>
      <c r="AQ226" s="66">
        <f>AG226*W226</f>
        <v/>
      </c>
      <c r="AR226" s="66">
        <f>AH226*X226</f>
        <v/>
      </c>
      <c r="AS226" s="66">
        <f>AI226*Y226</f>
        <v/>
      </c>
      <c r="AT226" s="66">
        <f>AJ226*Z226</f>
        <v/>
      </c>
      <c r="AU226" s="66">
        <f>AK226*AA226</f>
        <v/>
      </c>
      <c r="AV226" s="66">
        <f>AL226*AB226</f>
        <v/>
      </c>
      <c r="AW226" s="66">
        <f>AM226*AC226</f>
        <v/>
      </c>
      <c r="AX226" s="66">
        <f>AN226*AD226</f>
        <v/>
      </c>
      <c r="AY226" s="66">
        <f>AO226*AE226</f>
        <v/>
      </c>
      <c r="AZ226" s="66">
        <f>'Project Database'!Z230</f>
        <v/>
      </c>
      <c r="BA226" s="66">
        <f>IF(OR(A226="",'Smart Search'!H13=0),"",MAX(0,BE226*BF226*MAX(0,1-BG226)))</f>
        <v/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66">
        <f>IF('Smart Search'!G13=1,IFERROR(1/'Smart Search'!H13,0),0)</f>
        <v/>
      </c>
      <c r="BD226" s="66">
        <f>BB226*BC226</f>
        <v/>
      </c>
      <c r="BE226" s="66">
        <f>AP226+AQ226+AR226+AS226+AT226+AU226+AV226+AW226+AX226+AY226+BD226</f>
        <v/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5">
        <f>IF(AND('Project Database'!A230&lt;&gt;"",OR('Smart Search'!$L$5="",'Smart Search'!$L$5="All",TRIM('Project Database'!D230)=TRIM('Smart Search'!$L$5)),OR(TRIM('Smart Search'!$L$6)="",TRIM('Smart Search'!$L$6)="All",ISNUMBER(SEARCH(SUBSTITUTE(SUBSTITUTE(SUBSTITUTE(TRIM('Smart Search'!$L$6),"~","~~"),"*","~*"),"?","~?"),'Project Database'!C230))),OR('Smart Search'!$L$7="",AND('Project Database'!E230&lt;&gt;"",'Project Database'!E230='Smart Search'!$L$7)),OR('Smart Search'!$L$8="",'Smart Search'!$L$8="All",TRIM('Project Database'!F230)=TRIM('Smart Search'!$L$8))),IF(BA226="","",BA226+ROW()*0.0000000001),"")</f>
        <v/>
      </c>
      <c r="BI226" s="5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>
        <f>IF('Project Database'!A230="","",N('Project Database'!AC230))</f>
        <v/>
      </c>
      <c r="BK226" s="5">
        <f>IF('Project Database'!A230="","",N('Project Database'!AD230))</f>
        <v/>
      </c>
      <c r="BL226" s="5">
        <f>IF('Project Database'!A230="","",N('Project Database'!AE230))</f>
        <v/>
      </c>
      <c r="BM226" s="5">
        <f>IF('Project Database'!A230="","",N('Project Database'!AF230))</f>
        <v/>
      </c>
      <c r="BN226" s="5">
        <f>IF('Project Database'!A230="","",N('Project Database'!AG230))</f>
        <v/>
      </c>
      <c r="BO226" s="5">
        <f>IF('Project Database'!A230="","",N('Project Database'!AH230))</f>
        <v/>
      </c>
      <c r="BP226" s="5">
        <f>IF('Project Database'!A230="","",N('Project Database'!AI230))</f>
        <v/>
      </c>
      <c r="BQ226" s="5">
        <f>IF('Project Database'!A230="","",N('Project Database'!AJ230))</f>
        <v/>
      </c>
      <c r="BR226" s="5">
        <f>IF('Project Database'!A230="","",N('Project Database'!AK230))</f>
        <v/>
      </c>
      <c r="BS226" s="5">
        <f>IF('Project Database'!A230="","",N('Project Database'!AL230))</f>
        <v/>
      </c>
      <c r="BT226" s="5">
        <f>IF('Project Database'!A230="","",N('Project Database'!AM230))</f>
        <v/>
      </c>
      <c r="BU226" s="5">
        <f>IF('Project Database'!A230="","",N('Project Database'!AN230))</f>
        <v/>
      </c>
      <c r="BV226" s="5">
        <f>IF('Project Database'!A230="","",N('Project Database'!AO230))</f>
        <v/>
      </c>
      <c r="BW226" s="5">
        <f>IF('Project Database'!A230="","",N('Project Database'!AP230))</f>
        <v/>
      </c>
      <c r="BX226" s="5">
        <f>IF(A226="","",SUM(BJ226:BW226))</f>
        <v/>
      </c>
      <c r="BY226" s="5">
        <f>IF(A226="","",IFERROR(IF(ISNUMBER(U226),U226,VALUE(SUBSTITUTE(SUBSTITUTE(SUBSTITUTE(UPPER(TRIM(U226)),"M",""),",","")," ",""))),0))</f>
        <v/>
      </c>
    </row>
    <row r="227" ht="15" customHeight="1" s="74">
      <c r="A227" s="66">
        <f>'Project Database'!A231</f>
        <v/>
      </c>
      <c r="B227" s="66">
        <f>'Project Database'!B231</f>
        <v/>
      </c>
      <c r="C227" s="66">
        <f>'Project Database'!G231</f>
        <v/>
      </c>
      <c r="D227" s="66">
        <f>'Project Database'!H231</f>
        <v/>
      </c>
      <c r="E227" s="66">
        <f>'Project Database'!I231</f>
        <v/>
      </c>
      <c r="F227" s="66">
        <f>'Project Database'!J231</f>
        <v/>
      </c>
      <c r="G227" s="66">
        <f>'Project Database'!K231</f>
        <v/>
      </c>
      <c r="H227" s="66">
        <f>'Project Database'!L231</f>
        <v/>
      </c>
      <c r="I227" s="66">
        <f>'Project Database'!M231</f>
        <v/>
      </c>
      <c r="J227" s="66">
        <f>'Project Database'!N231</f>
        <v/>
      </c>
      <c r="K227" s="66">
        <f>'Project Database'!O231</f>
        <v/>
      </c>
      <c r="L227" s="66">
        <f>'Project Database'!P231</f>
        <v/>
      </c>
      <c r="M227" s="66">
        <f>'Project Database'!Q231</f>
        <v/>
      </c>
      <c r="N227" s="66">
        <f>'Project Database'!R231</f>
        <v/>
      </c>
      <c r="O227" s="66">
        <f>'Project Database'!S231</f>
        <v/>
      </c>
      <c r="P227" s="66">
        <f>'Project Database'!T231</f>
        <v/>
      </c>
      <c r="Q227" s="66">
        <f>'Project Database'!U231</f>
        <v/>
      </c>
      <c r="R227" s="66">
        <f>'Project Database'!V231</f>
        <v/>
      </c>
      <c r="S227" s="66">
        <f>'Project Database'!W231</f>
        <v/>
      </c>
      <c r="T227" s="66">
        <f>'Project Database'!X231</f>
        <v/>
      </c>
      <c r="U227" s="67">
        <f>'Project Database'!Y231</f>
        <v/>
      </c>
      <c r="V227" s="66">
        <f>IF('Smart Search'!B13=1,IFERROR(1/'Smart Search'!H13,0),0)</f>
        <v/>
      </c>
      <c r="W227" s="66">
        <f>IF('Smart Search'!B13=1,IFERROR(1/'Smart Search'!H13,0),0)</f>
        <v/>
      </c>
      <c r="X227" s="66">
        <f>IF('Smart Search'!C13=1,IFERROR(1/'Smart Search'!H13,0),0)</f>
        <v/>
      </c>
      <c r="Y227" s="66">
        <f>IF('Smart Search'!C13=1,IFERROR(1/'Smart Search'!H13,0),0)</f>
        <v/>
      </c>
      <c r="Z227" s="66">
        <f>IF('Smart Search'!D13=1,IFERROR(1/'Smart Search'!H13,0),0)</f>
        <v/>
      </c>
      <c r="AA227" s="66">
        <f>IF('Smart Search'!D13=1,IFERROR(1/'Smart Search'!H13,0),0)</f>
        <v/>
      </c>
      <c r="AB227" s="66">
        <f>IF('Smart Search'!E13=1,IFERROR(1/'Smart Search'!H13,0),0)</f>
        <v/>
      </c>
      <c r="AC227" s="66">
        <f>IF('Smart Search'!E13=1,IFERROR(1/'Smart Search'!H13,0),0)</f>
        <v/>
      </c>
      <c r="AD227" s="66">
        <f>IF('Smart Search'!F13=1,IFERROR(1/'Smart Search'!H13,0),0)</f>
        <v/>
      </c>
      <c r="AE227" s="66">
        <f>IF('Smart Search'!F13=1,IFERROR(1/'Smart Search'!H13,0),0)</f>
        <v/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66">
        <f>AF227*V227</f>
        <v/>
      </c>
      <c r="AQ227" s="66">
        <f>AG227*W227</f>
        <v/>
      </c>
      <c r="AR227" s="66">
        <f>AH227*X227</f>
        <v/>
      </c>
      <c r="AS227" s="66">
        <f>AI227*Y227</f>
        <v/>
      </c>
      <c r="AT227" s="66">
        <f>AJ227*Z227</f>
        <v/>
      </c>
      <c r="AU227" s="66">
        <f>AK227*AA227</f>
        <v/>
      </c>
      <c r="AV227" s="66">
        <f>AL227*AB227</f>
        <v/>
      </c>
      <c r="AW227" s="66">
        <f>AM227*AC227</f>
        <v/>
      </c>
      <c r="AX227" s="66">
        <f>AN227*AD227</f>
        <v/>
      </c>
      <c r="AY227" s="66">
        <f>AO227*AE227</f>
        <v/>
      </c>
      <c r="AZ227" s="66">
        <f>'Project Database'!Z231</f>
        <v/>
      </c>
      <c r="BA227" s="66">
        <f>IF(OR(A227="",'Smart Search'!H13=0),"",MAX(0,BE227*BF227*MAX(0,1-BG227)))</f>
        <v/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66">
        <f>IF('Smart Search'!G13=1,IFERROR(1/'Smart Search'!H13,0),0)</f>
        <v/>
      </c>
      <c r="BD227" s="66">
        <f>BB227*BC227</f>
        <v/>
      </c>
      <c r="BE227" s="66">
        <f>AP227+AQ227+AR227+AS227+AT227+AU227+AV227+AW227+AX227+AY227+BD227</f>
        <v/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5">
        <f>IF(AND('Project Database'!A231&lt;&gt;"",OR('Smart Search'!$L$5="",'Smart Search'!$L$5="All",TRIM('Project Database'!D231)=TRIM('Smart Search'!$L$5)),OR(TRIM('Smart Search'!$L$6)="",TRIM('Smart Search'!$L$6)="All",ISNUMBER(SEARCH(SUBSTITUTE(SUBSTITUTE(SUBSTITUTE(TRIM('Smart Search'!$L$6),"~","~~"),"*","~*"),"?","~?"),'Project Database'!C231))),OR('Smart Search'!$L$7="",AND('Project Database'!E231&lt;&gt;"",'Project Database'!E231='Smart Search'!$L$7)),OR('Smart Search'!$L$8="",'Smart Search'!$L$8="All",TRIM('Project Database'!F231)=TRIM('Smart Search'!$L$8))),IF(BA227="","",BA227+ROW()*0.0000000001),"")</f>
        <v/>
      </c>
      <c r="BI227" s="5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>
        <f>IF('Project Database'!A231="","",N('Project Database'!AC231))</f>
        <v/>
      </c>
      <c r="BK227" s="5">
        <f>IF('Project Database'!A231="","",N('Project Database'!AD231))</f>
        <v/>
      </c>
      <c r="BL227" s="5">
        <f>IF('Project Database'!A231="","",N('Project Database'!AE231))</f>
        <v/>
      </c>
      <c r="BM227" s="5">
        <f>IF('Project Database'!A231="","",N('Project Database'!AF231))</f>
        <v/>
      </c>
      <c r="BN227" s="5">
        <f>IF('Project Database'!A231="","",N('Project Database'!AG231))</f>
        <v/>
      </c>
      <c r="BO227" s="5">
        <f>IF('Project Database'!A231="","",N('Project Database'!AH231))</f>
        <v/>
      </c>
      <c r="BP227" s="5">
        <f>IF('Project Database'!A231="","",N('Project Database'!AI231))</f>
        <v/>
      </c>
      <c r="BQ227" s="5">
        <f>IF('Project Database'!A231="","",N('Project Database'!AJ231))</f>
        <v/>
      </c>
      <c r="BR227" s="5">
        <f>IF('Project Database'!A231="","",N('Project Database'!AK231))</f>
        <v/>
      </c>
      <c r="BS227" s="5">
        <f>IF('Project Database'!A231="","",N('Project Database'!AL231))</f>
        <v/>
      </c>
      <c r="BT227" s="5">
        <f>IF('Project Database'!A231="","",N('Project Database'!AM231))</f>
        <v/>
      </c>
      <c r="BU227" s="5">
        <f>IF('Project Database'!A231="","",N('Project Database'!AN231))</f>
        <v/>
      </c>
      <c r="BV227" s="5">
        <f>IF('Project Database'!A231="","",N('Project Database'!AO231))</f>
        <v/>
      </c>
      <c r="BW227" s="5">
        <f>IF('Project Database'!A231="","",N('Project Database'!AP231))</f>
        <v/>
      </c>
      <c r="BX227" s="5">
        <f>IF(A227="","",SUM(BJ227:BW227))</f>
        <v/>
      </c>
      <c r="BY227" s="5">
        <f>IF(A227="","",IFERROR(IF(ISNUMBER(U227),U227,VALUE(SUBSTITUTE(SUBSTITUTE(SUBSTITUTE(UPPER(TRIM(U227)),"M",""),",","")," ",""))),0))</f>
        <v/>
      </c>
    </row>
    <row r="228" ht="15" customHeight="1" s="74">
      <c r="A228" s="66">
        <f>'Project Database'!A232</f>
        <v/>
      </c>
      <c r="B228" s="66">
        <f>'Project Database'!B232</f>
        <v/>
      </c>
      <c r="C228" s="66">
        <f>'Project Database'!G232</f>
        <v/>
      </c>
      <c r="D228" s="66">
        <f>'Project Database'!H232</f>
        <v/>
      </c>
      <c r="E228" s="66">
        <f>'Project Database'!I232</f>
        <v/>
      </c>
      <c r="F228" s="66">
        <f>'Project Database'!J232</f>
        <v/>
      </c>
      <c r="G228" s="66">
        <f>'Project Database'!K232</f>
        <v/>
      </c>
      <c r="H228" s="66">
        <f>'Project Database'!L232</f>
        <v/>
      </c>
      <c r="I228" s="66">
        <f>'Project Database'!M232</f>
        <v/>
      </c>
      <c r="J228" s="66">
        <f>'Project Database'!N232</f>
        <v/>
      </c>
      <c r="K228" s="66">
        <f>'Project Database'!O232</f>
        <v/>
      </c>
      <c r="L228" s="66">
        <f>'Project Database'!P232</f>
        <v/>
      </c>
      <c r="M228" s="66">
        <f>'Project Database'!Q232</f>
        <v/>
      </c>
      <c r="N228" s="66">
        <f>'Project Database'!R232</f>
        <v/>
      </c>
      <c r="O228" s="66">
        <f>'Project Database'!S232</f>
        <v/>
      </c>
      <c r="P228" s="66">
        <f>'Project Database'!T232</f>
        <v/>
      </c>
      <c r="Q228" s="66">
        <f>'Project Database'!U232</f>
        <v/>
      </c>
      <c r="R228" s="66">
        <f>'Project Database'!V232</f>
        <v/>
      </c>
      <c r="S228" s="66">
        <f>'Project Database'!W232</f>
        <v/>
      </c>
      <c r="T228" s="66">
        <f>'Project Database'!X232</f>
        <v/>
      </c>
      <c r="U228" s="67">
        <f>'Project Database'!Y232</f>
        <v/>
      </c>
      <c r="V228" s="66">
        <f>IF('Smart Search'!B13=1,IFERROR(1/'Smart Search'!H13,0),0)</f>
        <v/>
      </c>
      <c r="W228" s="66">
        <f>IF('Smart Search'!B13=1,IFERROR(1/'Smart Search'!H13,0),0)</f>
        <v/>
      </c>
      <c r="X228" s="66">
        <f>IF('Smart Search'!C13=1,IFERROR(1/'Smart Search'!H13,0),0)</f>
        <v/>
      </c>
      <c r="Y228" s="66">
        <f>IF('Smart Search'!C13=1,IFERROR(1/'Smart Search'!H13,0),0)</f>
        <v/>
      </c>
      <c r="Z228" s="66">
        <f>IF('Smart Search'!D13=1,IFERROR(1/'Smart Search'!H13,0),0)</f>
        <v/>
      </c>
      <c r="AA228" s="66">
        <f>IF('Smart Search'!D13=1,IFERROR(1/'Smart Search'!H13,0),0)</f>
        <v/>
      </c>
      <c r="AB228" s="66">
        <f>IF('Smart Search'!E13=1,IFERROR(1/'Smart Search'!H13,0),0)</f>
        <v/>
      </c>
      <c r="AC228" s="66">
        <f>IF('Smart Search'!E13=1,IFERROR(1/'Smart Search'!H13,0),0)</f>
        <v/>
      </c>
      <c r="AD228" s="66">
        <f>IF('Smart Search'!F13=1,IFERROR(1/'Smart Search'!H13,0),0)</f>
        <v/>
      </c>
      <c r="AE228" s="66">
        <f>IF('Smart Search'!F13=1,IFERROR(1/'Smart Search'!H13,0),0)</f>
        <v/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66">
        <f>AF228*V228</f>
        <v/>
      </c>
      <c r="AQ228" s="66">
        <f>AG228*W228</f>
        <v/>
      </c>
      <c r="AR228" s="66">
        <f>AH228*X228</f>
        <v/>
      </c>
      <c r="AS228" s="66">
        <f>AI228*Y228</f>
        <v/>
      </c>
      <c r="AT228" s="66">
        <f>AJ228*Z228</f>
        <v/>
      </c>
      <c r="AU228" s="66">
        <f>AK228*AA228</f>
        <v/>
      </c>
      <c r="AV228" s="66">
        <f>AL228*AB228</f>
        <v/>
      </c>
      <c r="AW228" s="66">
        <f>AM228*AC228</f>
        <v/>
      </c>
      <c r="AX228" s="66">
        <f>AN228*AD228</f>
        <v/>
      </c>
      <c r="AY228" s="66">
        <f>AO228*AE228</f>
        <v/>
      </c>
      <c r="AZ228" s="66">
        <f>'Project Database'!Z232</f>
        <v/>
      </c>
      <c r="BA228" s="66">
        <f>IF(OR(A228="",'Smart Search'!H13=0),"",MAX(0,BE228*BF228*MAX(0,1-BG228)))</f>
        <v/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66">
        <f>IF('Smart Search'!G13=1,IFERROR(1/'Smart Search'!H13,0),0)</f>
        <v/>
      </c>
      <c r="BD228" s="66">
        <f>BB228*BC228</f>
        <v/>
      </c>
      <c r="BE228" s="66">
        <f>AP228+AQ228+AR228+AS228+AT228+AU228+AV228+AW228+AX228+AY228+BD228</f>
        <v/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5">
        <f>IF(AND('Project Database'!A232&lt;&gt;"",OR('Smart Search'!$L$5="",'Smart Search'!$L$5="All",TRIM('Project Database'!D232)=TRIM('Smart Search'!$L$5)),OR(TRIM('Smart Search'!$L$6)="",TRIM('Smart Search'!$L$6)="All",ISNUMBER(SEARCH(SUBSTITUTE(SUBSTITUTE(SUBSTITUTE(TRIM('Smart Search'!$L$6),"~","~~"),"*","~*"),"?","~?"),'Project Database'!C232))),OR('Smart Search'!$L$7="",AND('Project Database'!E232&lt;&gt;"",'Project Database'!E232='Smart Search'!$L$7)),OR('Smart Search'!$L$8="",'Smart Search'!$L$8="All",TRIM('Project Database'!F232)=TRIM('Smart Search'!$L$8))),IF(BA228="","",BA228+ROW()*0.0000000001),"")</f>
        <v/>
      </c>
      <c r="BI228" s="5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>
        <f>IF('Project Database'!A232="","",N('Project Database'!AC232))</f>
        <v/>
      </c>
      <c r="BK228" s="5">
        <f>IF('Project Database'!A232="","",N('Project Database'!AD232))</f>
        <v/>
      </c>
      <c r="BL228" s="5">
        <f>IF('Project Database'!A232="","",N('Project Database'!AE232))</f>
        <v/>
      </c>
      <c r="BM228" s="5">
        <f>IF('Project Database'!A232="","",N('Project Database'!AF232))</f>
        <v/>
      </c>
      <c r="BN228" s="5">
        <f>IF('Project Database'!A232="","",N('Project Database'!AG232))</f>
        <v/>
      </c>
      <c r="BO228" s="5">
        <f>IF('Project Database'!A232="","",N('Project Database'!AH232))</f>
        <v/>
      </c>
      <c r="BP228" s="5">
        <f>IF('Project Database'!A232="","",N('Project Database'!AI232))</f>
        <v/>
      </c>
      <c r="BQ228" s="5">
        <f>IF('Project Database'!A232="","",N('Project Database'!AJ232))</f>
        <v/>
      </c>
      <c r="BR228" s="5">
        <f>IF('Project Database'!A232="","",N('Project Database'!AK232))</f>
        <v/>
      </c>
      <c r="BS228" s="5">
        <f>IF('Project Database'!A232="","",N('Project Database'!AL232))</f>
        <v/>
      </c>
      <c r="BT228" s="5">
        <f>IF('Project Database'!A232="","",N('Project Database'!AM232))</f>
        <v/>
      </c>
      <c r="BU228" s="5">
        <f>IF('Project Database'!A232="","",N('Project Database'!AN232))</f>
        <v/>
      </c>
      <c r="BV228" s="5">
        <f>IF('Project Database'!A232="","",N('Project Database'!AO232))</f>
        <v/>
      </c>
      <c r="BW228" s="5">
        <f>IF('Project Database'!A232="","",N('Project Database'!AP232))</f>
        <v/>
      </c>
      <c r="BX228" s="5">
        <f>IF(A228="","",SUM(BJ228:BW228))</f>
        <v/>
      </c>
      <c r="BY228" s="5">
        <f>IF(A228="","",IFERROR(IF(ISNUMBER(U228),U228,VALUE(SUBSTITUTE(SUBSTITUTE(SUBSTITUTE(UPPER(TRIM(U228)),"M",""),",","")," ",""))),0))</f>
        <v/>
      </c>
    </row>
    <row r="229" ht="15" customHeight="1" s="74">
      <c r="A229" s="66">
        <f>'Project Database'!A233</f>
        <v/>
      </c>
      <c r="B229" s="66">
        <f>'Project Database'!B233</f>
        <v/>
      </c>
      <c r="C229" s="66">
        <f>'Project Database'!G233</f>
        <v/>
      </c>
      <c r="D229" s="66">
        <f>'Project Database'!H233</f>
        <v/>
      </c>
      <c r="E229" s="66">
        <f>'Project Database'!I233</f>
        <v/>
      </c>
      <c r="F229" s="66">
        <f>'Project Database'!J233</f>
        <v/>
      </c>
      <c r="G229" s="66">
        <f>'Project Database'!K233</f>
        <v/>
      </c>
      <c r="H229" s="66">
        <f>'Project Database'!L233</f>
        <v/>
      </c>
      <c r="I229" s="66">
        <f>'Project Database'!M233</f>
        <v/>
      </c>
      <c r="J229" s="66">
        <f>'Project Database'!N233</f>
        <v/>
      </c>
      <c r="K229" s="66">
        <f>'Project Database'!O233</f>
        <v/>
      </c>
      <c r="L229" s="66">
        <f>'Project Database'!P233</f>
        <v/>
      </c>
      <c r="M229" s="66">
        <f>'Project Database'!Q233</f>
        <v/>
      </c>
      <c r="N229" s="66">
        <f>'Project Database'!R233</f>
        <v/>
      </c>
      <c r="O229" s="66">
        <f>'Project Database'!S233</f>
        <v/>
      </c>
      <c r="P229" s="66">
        <f>'Project Database'!T233</f>
        <v/>
      </c>
      <c r="Q229" s="66">
        <f>'Project Database'!U233</f>
        <v/>
      </c>
      <c r="R229" s="66">
        <f>'Project Database'!V233</f>
        <v/>
      </c>
      <c r="S229" s="66">
        <f>'Project Database'!W233</f>
        <v/>
      </c>
      <c r="T229" s="66">
        <f>'Project Database'!X233</f>
        <v/>
      </c>
      <c r="U229" s="67">
        <f>'Project Database'!Y233</f>
        <v/>
      </c>
      <c r="V229" s="66">
        <f>IF('Smart Search'!B13=1,IFERROR(1/'Smart Search'!H13,0),0)</f>
        <v/>
      </c>
      <c r="W229" s="66">
        <f>IF('Smart Search'!B13=1,IFERROR(1/'Smart Search'!H13,0),0)</f>
        <v/>
      </c>
      <c r="X229" s="66">
        <f>IF('Smart Search'!C13=1,IFERROR(1/'Smart Search'!H13,0),0)</f>
        <v/>
      </c>
      <c r="Y229" s="66">
        <f>IF('Smart Search'!C13=1,IFERROR(1/'Smart Search'!H13,0),0)</f>
        <v/>
      </c>
      <c r="Z229" s="66">
        <f>IF('Smart Search'!D13=1,IFERROR(1/'Smart Search'!H13,0),0)</f>
        <v/>
      </c>
      <c r="AA229" s="66">
        <f>IF('Smart Search'!D13=1,IFERROR(1/'Smart Search'!H13,0),0)</f>
        <v/>
      </c>
      <c r="AB229" s="66">
        <f>IF('Smart Search'!E13=1,IFERROR(1/'Smart Search'!H13,0),0)</f>
        <v/>
      </c>
      <c r="AC229" s="66">
        <f>IF('Smart Search'!E13=1,IFERROR(1/'Smart Search'!H13,0),0)</f>
        <v/>
      </c>
      <c r="AD229" s="66">
        <f>IF('Smart Search'!F13=1,IFERROR(1/'Smart Search'!H13,0),0)</f>
        <v/>
      </c>
      <c r="AE229" s="66">
        <f>IF('Smart Search'!F13=1,IFERROR(1/'Smart Search'!H13,0),0)</f>
        <v/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66">
        <f>AF229*V229</f>
        <v/>
      </c>
      <c r="AQ229" s="66">
        <f>AG229*W229</f>
        <v/>
      </c>
      <c r="AR229" s="66">
        <f>AH229*X229</f>
        <v/>
      </c>
      <c r="AS229" s="66">
        <f>AI229*Y229</f>
        <v/>
      </c>
      <c r="AT229" s="66">
        <f>AJ229*Z229</f>
        <v/>
      </c>
      <c r="AU229" s="66">
        <f>AK229*AA229</f>
        <v/>
      </c>
      <c r="AV229" s="66">
        <f>AL229*AB229</f>
        <v/>
      </c>
      <c r="AW229" s="66">
        <f>AM229*AC229</f>
        <v/>
      </c>
      <c r="AX229" s="66">
        <f>AN229*AD229</f>
        <v/>
      </c>
      <c r="AY229" s="66">
        <f>AO229*AE229</f>
        <v/>
      </c>
      <c r="AZ229" s="66">
        <f>'Project Database'!Z233</f>
        <v/>
      </c>
      <c r="BA229" s="66">
        <f>IF(OR(A229="",'Smart Search'!H13=0),"",MAX(0,BE229*BF229*MAX(0,1-BG229)))</f>
        <v/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66">
        <f>IF('Smart Search'!G13=1,IFERROR(1/'Smart Search'!H13,0),0)</f>
        <v/>
      </c>
      <c r="BD229" s="66">
        <f>BB229*BC229</f>
        <v/>
      </c>
      <c r="BE229" s="66">
        <f>AP229+AQ229+AR229+AS229+AT229+AU229+AV229+AW229+AX229+AY229+BD229</f>
        <v/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5">
        <f>IF(AND('Project Database'!A233&lt;&gt;"",OR('Smart Search'!$L$5="",'Smart Search'!$L$5="All",TRIM('Project Database'!D233)=TRIM('Smart Search'!$L$5)),OR(TRIM('Smart Search'!$L$6)="",TRIM('Smart Search'!$L$6)="All",ISNUMBER(SEARCH(SUBSTITUTE(SUBSTITUTE(SUBSTITUTE(TRIM('Smart Search'!$L$6),"~","~~"),"*","~*"),"?","~?"),'Project Database'!C233))),OR('Smart Search'!$L$7="",AND('Project Database'!E233&lt;&gt;"",'Project Database'!E233='Smart Search'!$L$7)),OR('Smart Search'!$L$8="",'Smart Search'!$L$8="All",TRIM('Project Database'!F233)=TRIM('Smart Search'!$L$8))),IF(BA229="","",BA229+ROW()*0.0000000001),"")</f>
        <v/>
      </c>
      <c r="BI229" s="5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>
        <f>IF('Project Database'!A233="","",N('Project Database'!AC233))</f>
        <v/>
      </c>
      <c r="BK229" s="5">
        <f>IF('Project Database'!A233="","",N('Project Database'!AD233))</f>
        <v/>
      </c>
      <c r="BL229" s="5">
        <f>IF('Project Database'!A233="","",N('Project Database'!AE233))</f>
        <v/>
      </c>
      <c r="BM229" s="5">
        <f>IF('Project Database'!A233="","",N('Project Database'!AF233))</f>
        <v/>
      </c>
      <c r="BN229" s="5">
        <f>IF('Project Database'!A233="","",N('Project Database'!AG233))</f>
        <v/>
      </c>
      <c r="BO229" s="5">
        <f>IF('Project Database'!A233="","",N('Project Database'!AH233))</f>
        <v/>
      </c>
      <c r="BP229" s="5">
        <f>IF('Project Database'!A233="","",N('Project Database'!AI233))</f>
        <v/>
      </c>
      <c r="BQ229" s="5">
        <f>IF('Project Database'!A233="","",N('Project Database'!AJ233))</f>
        <v/>
      </c>
      <c r="BR229" s="5">
        <f>IF('Project Database'!A233="","",N('Project Database'!AK233))</f>
        <v/>
      </c>
      <c r="BS229" s="5">
        <f>IF('Project Database'!A233="","",N('Project Database'!AL233))</f>
        <v/>
      </c>
      <c r="BT229" s="5">
        <f>IF('Project Database'!A233="","",N('Project Database'!AM233))</f>
        <v/>
      </c>
      <c r="BU229" s="5">
        <f>IF('Project Database'!A233="","",N('Project Database'!AN233))</f>
        <v/>
      </c>
      <c r="BV229" s="5">
        <f>IF('Project Database'!A233="","",N('Project Database'!AO233))</f>
        <v/>
      </c>
      <c r="BW229" s="5">
        <f>IF('Project Database'!A233="","",N('Project Database'!AP233))</f>
        <v/>
      </c>
      <c r="BX229" s="5">
        <f>IF(A229="","",SUM(BJ229:BW229))</f>
        <v/>
      </c>
      <c r="BY229" s="5">
        <f>IF(A229="","",IFERROR(IF(ISNUMBER(U229),U229,VALUE(SUBSTITUTE(SUBSTITUTE(SUBSTITUTE(UPPER(TRIM(U229)),"M",""),",","")," ",""))),0))</f>
        <v/>
      </c>
    </row>
    <row r="230" ht="15" customHeight="1" s="74">
      <c r="A230" s="66">
        <f>'Project Database'!A234</f>
        <v/>
      </c>
      <c r="B230" s="66">
        <f>'Project Database'!B234</f>
        <v/>
      </c>
      <c r="C230" s="66">
        <f>'Project Database'!G234</f>
        <v/>
      </c>
      <c r="D230" s="66">
        <f>'Project Database'!H234</f>
        <v/>
      </c>
      <c r="E230" s="66">
        <f>'Project Database'!I234</f>
        <v/>
      </c>
      <c r="F230" s="66">
        <f>'Project Database'!J234</f>
        <v/>
      </c>
      <c r="G230" s="66">
        <f>'Project Database'!K234</f>
        <v/>
      </c>
      <c r="H230" s="66">
        <f>'Project Database'!L234</f>
        <v/>
      </c>
      <c r="I230" s="66">
        <f>'Project Database'!M234</f>
        <v/>
      </c>
      <c r="J230" s="66">
        <f>'Project Database'!N234</f>
        <v/>
      </c>
      <c r="K230" s="66">
        <f>'Project Database'!O234</f>
        <v/>
      </c>
      <c r="L230" s="66">
        <f>'Project Database'!P234</f>
        <v/>
      </c>
      <c r="M230" s="66">
        <f>'Project Database'!Q234</f>
        <v/>
      </c>
      <c r="N230" s="66">
        <f>'Project Database'!R234</f>
        <v/>
      </c>
      <c r="O230" s="66">
        <f>'Project Database'!S234</f>
        <v/>
      </c>
      <c r="P230" s="66">
        <f>'Project Database'!T234</f>
        <v/>
      </c>
      <c r="Q230" s="66">
        <f>'Project Database'!U234</f>
        <v/>
      </c>
      <c r="R230" s="66">
        <f>'Project Database'!V234</f>
        <v/>
      </c>
      <c r="S230" s="66">
        <f>'Project Database'!W234</f>
        <v/>
      </c>
      <c r="T230" s="66">
        <f>'Project Database'!X234</f>
        <v/>
      </c>
      <c r="U230" s="67">
        <f>'Project Database'!Y234</f>
        <v/>
      </c>
      <c r="V230" s="66">
        <f>IF('Smart Search'!B13=1,IFERROR(1/'Smart Search'!H13,0),0)</f>
        <v/>
      </c>
      <c r="W230" s="66">
        <f>IF('Smart Search'!B13=1,IFERROR(1/'Smart Search'!H13,0),0)</f>
        <v/>
      </c>
      <c r="X230" s="66">
        <f>IF('Smart Search'!C13=1,IFERROR(1/'Smart Search'!H13,0),0)</f>
        <v/>
      </c>
      <c r="Y230" s="66">
        <f>IF('Smart Search'!C13=1,IFERROR(1/'Smart Search'!H13,0),0)</f>
        <v/>
      </c>
      <c r="Z230" s="66">
        <f>IF('Smart Search'!D13=1,IFERROR(1/'Smart Search'!H13,0),0)</f>
        <v/>
      </c>
      <c r="AA230" s="66">
        <f>IF('Smart Search'!D13=1,IFERROR(1/'Smart Search'!H13,0),0)</f>
        <v/>
      </c>
      <c r="AB230" s="66">
        <f>IF('Smart Search'!E13=1,IFERROR(1/'Smart Search'!H13,0),0)</f>
        <v/>
      </c>
      <c r="AC230" s="66">
        <f>IF('Smart Search'!E13=1,IFERROR(1/'Smart Search'!H13,0),0)</f>
        <v/>
      </c>
      <c r="AD230" s="66">
        <f>IF('Smart Search'!F13=1,IFERROR(1/'Smart Search'!H13,0),0)</f>
        <v/>
      </c>
      <c r="AE230" s="66">
        <f>IF('Smart Search'!F13=1,IFERROR(1/'Smart Search'!H13,0),0)</f>
        <v/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66">
        <f>AF230*V230</f>
        <v/>
      </c>
      <c r="AQ230" s="66">
        <f>AG230*W230</f>
        <v/>
      </c>
      <c r="AR230" s="66">
        <f>AH230*X230</f>
        <v/>
      </c>
      <c r="AS230" s="66">
        <f>AI230*Y230</f>
        <v/>
      </c>
      <c r="AT230" s="66">
        <f>AJ230*Z230</f>
        <v/>
      </c>
      <c r="AU230" s="66">
        <f>AK230*AA230</f>
        <v/>
      </c>
      <c r="AV230" s="66">
        <f>AL230*AB230</f>
        <v/>
      </c>
      <c r="AW230" s="66">
        <f>AM230*AC230</f>
        <v/>
      </c>
      <c r="AX230" s="66">
        <f>AN230*AD230</f>
        <v/>
      </c>
      <c r="AY230" s="66">
        <f>AO230*AE230</f>
        <v/>
      </c>
      <c r="AZ230" s="66">
        <f>'Project Database'!Z234</f>
        <v/>
      </c>
      <c r="BA230" s="66">
        <f>IF(OR(A230="",'Smart Search'!H13=0),"",MAX(0,BE230*BF230*MAX(0,1-BG230)))</f>
        <v/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66">
        <f>IF('Smart Search'!G13=1,IFERROR(1/'Smart Search'!H13,0),0)</f>
        <v/>
      </c>
      <c r="BD230" s="66">
        <f>BB230*BC230</f>
        <v/>
      </c>
      <c r="BE230" s="66">
        <f>AP230+AQ230+AR230+AS230+AT230+AU230+AV230+AW230+AX230+AY230+BD230</f>
        <v/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5">
        <f>IF(AND('Project Database'!A234&lt;&gt;"",OR('Smart Search'!$L$5="",'Smart Search'!$L$5="All",TRIM('Project Database'!D234)=TRIM('Smart Search'!$L$5)),OR(TRIM('Smart Search'!$L$6)="",TRIM('Smart Search'!$L$6)="All",ISNUMBER(SEARCH(SUBSTITUTE(SUBSTITUTE(SUBSTITUTE(TRIM('Smart Search'!$L$6),"~","~~"),"*","~*"),"?","~?"),'Project Database'!C234))),OR('Smart Search'!$L$7="",AND('Project Database'!E234&lt;&gt;"",'Project Database'!E234='Smart Search'!$L$7)),OR('Smart Search'!$L$8="",'Smart Search'!$L$8="All",TRIM('Project Database'!F234)=TRIM('Smart Search'!$L$8))),IF(BA230="","",BA230+ROW()*0.0000000001),"")</f>
        <v/>
      </c>
      <c r="BI230" s="5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>
        <f>IF('Project Database'!A234="","",N('Project Database'!AC234))</f>
        <v/>
      </c>
      <c r="BK230" s="5">
        <f>IF('Project Database'!A234="","",N('Project Database'!AD234))</f>
        <v/>
      </c>
      <c r="BL230" s="5">
        <f>IF('Project Database'!A234="","",N('Project Database'!AE234))</f>
        <v/>
      </c>
      <c r="BM230" s="5">
        <f>IF('Project Database'!A234="","",N('Project Database'!AF234))</f>
        <v/>
      </c>
      <c r="BN230" s="5">
        <f>IF('Project Database'!A234="","",N('Project Database'!AG234))</f>
        <v/>
      </c>
      <c r="BO230" s="5">
        <f>IF('Project Database'!A234="","",N('Project Database'!AH234))</f>
        <v/>
      </c>
      <c r="BP230" s="5">
        <f>IF('Project Database'!A234="","",N('Project Database'!AI234))</f>
        <v/>
      </c>
      <c r="BQ230" s="5">
        <f>IF('Project Database'!A234="","",N('Project Database'!AJ234))</f>
        <v/>
      </c>
      <c r="BR230" s="5">
        <f>IF('Project Database'!A234="","",N('Project Database'!AK234))</f>
        <v/>
      </c>
      <c r="BS230" s="5">
        <f>IF('Project Database'!A234="","",N('Project Database'!AL234))</f>
        <v/>
      </c>
      <c r="BT230" s="5">
        <f>IF('Project Database'!A234="","",N('Project Database'!AM234))</f>
        <v/>
      </c>
      <c r="BU230" s="5">
        <f>IF('Project Database'!A234="","",N('Project Database'!AN234))</f>
        <v/>
      </c>
      <c r="BV230" s="5">
        <f>IF('Project Database'!A234="","",N('Project Database'!AO234))</f>
        <v/>
      </c>
      <c r="BW230" s="5">
        <f>IF('Project Database'!A234="","",N('Project Database'!AP234))</f>
        <v/>
      </c>
      <c r="BX230" s="5">
        <f>IF(A230="","",SUM(BJ230:BW230))</f>
        <v/>
      </c>
      <c r="BY230" s="5">
        <f>IF(A230="","",IFERROR(IF(ISNUMBER(U230),U230,VALUE(SUBSTITUTE(SUBSTITUTE(SUBSTITUTE(UPPER(TRIM(U230)),"M",""),",","")," ",""))),0))</f>
        <v/>
      </c>
    </row>
    <row r="231" ht="15" customHeight="1" s="74">
      <c r="A231" s="66">
        <f>'Project Database'!A235</f>
        <v/>
      </c>
      <c r="B231" s="66">
        <f>'Project Database'!B235</f>
        <v/>
      </c>
      <c r="C231" s="66">
        <f>'Project Database'!G235</f>
        <v/>
      </c>
      <c r="D231" s="66">
        <f>'Project Database'!H235</f>
        <v/>
      </c>
      <c r="E231" s="66">
        <f>'Project Database'!I235</f>
        <v/>
      </c>
      <c r="F231" s="66">
        <f>'Project Database'!J235</f>
        <v/>
      </c>
      <c r="G231" s="66">
        <f>'Project Database'!K235</f>
        <v/>
      </c>
      <c r="H231" s="66">
        <f>'Project Database'!L235</f>
        <v/>
      </c>
      <c r="I231" s="66">
        <f>'Project Database'!M235</f>
        <v/>
      </c>
      <c r="J231" s="66">
        <f>'Project Database'!N235</f>
        <v/>
      </c>
      <c r="K231" s="66">
        <f>'Project Database'!O235</f>
        <v/>
      </c>
      <c r="L231" s="66">
        <f>'Project Database'!P235</f>
        <v/>
      </c>
      <c r="M231" s="66">
        <f>'Project Database'!Q235</f>
        <v/>
      </c>
      <c r="N231" s="66">
        <f>'Project Database'!R235</f>
        <v/>
      </c>
      <c r="O231" s="66">
        <f>'Project Database'!S235</f>
        <v/>
      </c>
      <c r="P231" s="66">
        <f>'Project Database'!T235</f>
        <v/>
      </c>
      <c r="Q231" s="66">
        <f>'Project Database'!U235</f>
        <v/>
      </c>
      <c r="R231" s="66">
        <f>'Project Database'!V235</f>
        <v/>
      </c>
      <c r="S231" s="66">
        <f>'Project Database'!W235</f>
        <v/>
      </c>
      <c r="T231" s="66">
        <f>'Project Database'!X235</f>
        <v/>
      </c>
      <c r="U231" s="67">
        <f>'Project Database'!Y235</f>
        <v/>
      </c>
      <c r="V231" s="66">
        <f>IF('Smart Search'!B13=1,IFERROR(1/'Smart Search'!H13,0),0)</f>
        <v/>
      </c>
      <c r="W231" s="66">
        <f>IF('Smart Search'!B13=1,IFERROR(1/'Smart Search'!H13,0),0)</f>
        <v/>
      </c>
      <c r="X231" s="66">
        <f>IF('Smart Search'!C13=1,IFERROR(1/'Smart Search'!H13,0),0)</f>
        <v/>
      </c>
      <c r="Y231" s="66">
        <f>IF('Smart Search'!C13=1,IFERROR(1/'Smart Search'!H13,0),0)</f>
        <v/>
      </c>
      <c r="Z231" s="66">
        <f>IF('Smart Search'!D13=1,IFERROR(1/'Smart Search'!H13,0),0)</f>
        <v/>
      </c>
      <c r="AA231" s="66">
        <f>IF('Smart Search'!D13=1,IFERROR(1/'Smart Search'!H13,0),0)</f>
        <v/>
      </c>
      <c r="AB231" s="66">
        <f>IF('Smart Search'!E13=1,IFERROR(1/'Smart Search'!H13,0),0)</f>
        <v/>
      </c>
      <c r="AC231" s="66">
        <f>IF('Smart Search'!E13=1,IFERROR(1/'Smart Search'!H13,0),0)</f>
        <v/>
      </c>
      <c r="AD231" s="66">
        <f>IF('Smart Search'!F13=1,IFERROR(1/'Smart Search'!H13,0),0)</f>
        <v/>
      </c>
      <c r="AE231" s="66">
        <f>IF('Smart Search'!F13=1,IFERROR(1/'Smart Search'!H13,0),0)</f>
        <v/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66">
        <f>AF231*V231</f>
        <v/>
      </c>
      <c r="AQ231" s="66">
        <f>AG231*W231</f>
        <v/>
      </c>
      <c r="AR231" s="66">
        <f>AH231*X231</f>
        <v/>
      </c>
      <c r="AS231" s="66">
        <f>AI231*Y231</f>
        <v/>
      </c>
      <c r="AT231" s="66">
        <f>AJ231*Z231</f>
        <v/>
      </c>
      <c r="AU231" s="66">
        <f>AK231*AA231</f>
        <v/>
      </c>
      <c r="AV231" s="66">
        <f>AL231*AB231</f>
        <v/>
      </c>
      <c r="AW231" s="66">
        <f>AM231*AC231</f>
        <v/>
      </c>
      <c r="AX231" s="66">
        <f>AN231*AD231</f>
        <v/>
      </c>
      <c r="AY231" s="66">
        <f>AO231*AE231</f>
        <v/>
      </c>
      <c r="AZ231" s="66">
        <f>'Project Database'!Z235</f>
        <v/>
      </c>
      <c r="BA231" s="66">
        <f>IF(OR(A231="",'Smart Search'!H13=0),"",MAX(0,BE231*BF231*MAX(0,1-BG231)))</f>
        <v/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66">
        <f>IF('Smart Search'!G13=1,IFERROR(1/'Smart Search'!H13,0),0)</f>
        <v/>
      </c>
      <c r="BD231" s="66">
        <f>BB231*BC231</f>
        <v/>
      </c>
      <c r="BE231" s="66">
        <f>AP231+AQ231+AR231+AS231+AT231+AU231+AV231+AW231+AX231+AY231+BD231</f>
        <v/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5">
        <f>IF(AND('Project Database'!A235&lt;&gt;"",OR('Smart Search'!$L$5="",'Smart Search'!$L$5="All",TRIM('Project Database'!D235)=TRIM('Smart Search'!$L$5)),OR(TRIM('Smart Search'!$L$6)="",TRIM('Smart Search'!$L$6)="All",ISNUMBER(SEARCH(SUBSTITUTE(SUBSTITUTE(SUBSTITUTE(TRIM('Smart Search'!$L$6),"~","~~"),"*","~*"),"?","~?"),'Project Database'!C235))),OR('Smart Search'!$L$7="",AND('Project Database'!E235&lt;&gt;"",'Project Database'!E235='Smart Search'!$L$7)),OR('Smart Search'!$L$8="",'Smart Search'!$L$8="All",TRIM('Project Database'!F235)=TRIM('Smart Search'!$L$8))),IF(BA231="","",BA231+ROW()*0.0000000001),"")</f>
        <v/>
      </c>
      <c r="BI231" s="5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>
        <f>IF('Project Database'!A235="","",N('Project Database'!AC235))</f>
        <v/>
      </c>
      <c r="BK231" s="5">
        <f>IF('Project Database'!A235="","",N('Project Database'!AD235))</f>
        <v/>
      </c>
      <c r="BL231" s="5">
        <f>IF('Project Database'!A235="","",N('Project Database'!AE235))</f>
        <v/>
      </c>
      <c r="BM231" s="5">
        <f>IF('Project Database'!A235="","",N('Project Database'!AF235))</f>
        <v/>
      </c>
      <c r="BN231" s="5">
        <f>IF('Project Database'!A235="","",N('Project Database'!AG235))</f>
        <v/>
      </c>
      <c r="BO231" s="5">
        <f>IF('Project Database'!A235="","",N('Project Database'!AH235))</f>
        <v/>
      </c>
      <c r="BP231" s="5">
        <f>IF('Project Database'!A235="","",N('Project Database'!AI235))</f>
        <v/>
      </c>
      <c r="BQ231" s="5">
        <f>IF('Project Database'!A235="","",N('Project Database'!AJ235))</f>
        <v/>
      </c>
      <c r="BR231" s="5">
        <f>IF('Project Database'!A235="","",N('Project Database'!AK235))</f>
        <v/>
      </c>
      <c r="BS231" s="5">
        <f>IF('Project Database'!A235="","",N('Project Database'!AL235))</f>
        <v/>
      </c>
      <c r="BT231" s="5">
        <f>IF('Project Database'!A235="","",N('Project Database'!AM235))</f>
        <v/>
      </c>
      <c r="BU231" s="5">
        <f>IF('Project Database'!A235="","",N('Project Database'!AN235))</f>
        <v/>
      </c>
      <c r="BV231" s="5">
        <f>IF('Project Database'!A235="","",N('Project Database'!AO235))</f>
        <v/>
      </c>
      <c r="BW231" s="5">
        <f>IF('Project Database'!A235="","",N('Project Database'!AP235))</f>
        <v/>
      </c>
      <c r="BX231" s="5">
        <f>IF(A231="","",SUM(BJ231:BW231))</f>
        <v/>
      </c>
      <c r="BY231" s="5">
        <f>IF(A231="","",IFERROR(IF(ISNUMBER(U231),U231,VALUE(SUBSTITUTE(SUBSTITUTE(SUBSTITUTE(UPPER(TRIM(U231)),"M",""),",","")," ",""))),0))</f>
        <v/>
      </c>
    </row>
    <row r="232" ht="15" customHeight="1" s="74">
      <c r="A232" s="66">
        <f>'Project Database'!A236</f>
        <v/>
      </c>
      <c r="B232" s="66">
        <f>'Project Database'!B236</f>
        <v/>
      </c>
      <c r="C232" s="66">
        <f>'Project Database'!G236</f>
        <v/>
      </c>
      <c r="D232" s="66">
        <f>'Project Database'!H236</f>
        <v/>
      </c>
      <c r="E232" s="66">
        <f>'Project Database'!I236</f>
        <v/>
      </c>
      <c r="F232" s="66">
        <f>'Project Database'!J236</f>
        <v/>
      </c>
      <c r="G232" s="66">
        <f>'Project Database'!K236</f>
        <v/>
      </c>
      <c r="H232" s="66">
        <f>'Project Database'!L236</f>
        <v/>
      </c>
      <c r="I232" s="66">
        <f>'Project Database'!M236</f>
        <v/>
      </c>
      <c r="J232" s="66">
        <f>'Project Database'!N236</f>
        <v/>
      </c>
      <c r="K232" s="66">
        <f>'Project Database'!O236</f>
        <v/>
      </c>
      <c r="L232" s="66">
        <f>'Project Database'!P236</f>
        <v/>
      </c>
      <c r="M232" s="66">
        <f>'Project Database'!Q236</f>
        <v/>
      </c>
      <c r="N232" s="66">
        <f>'Project Database'!R236</f>
        <v/>
      </c>
      <c r="O232" s="66">
        <f>'Project Database'!S236</f>
        <v/>
      </c>
      <c r="P232" s="66">
        <f>'Project Database'!T236</f>
        <v/>
      </c>
      <c r="Q232" s="66">
        <f>'Project Database'!U236</f>
        <v/>
      </c>
      <c r="R232" s="66">
        <f>'Project Database'!V236</f>
        <v/>
      </c>
      <c r="S232" s="66">
        <f>'Project Database'!W236</f>
        <v/>
      </c>
      <c r="T232" s="66">
        <f>'Project Database'!X236</f>
        <v/>
      </c>
      <c r="U232" s="67">
        <f>'Project Database'!Y236</f>
        <v/>
      </c>
      <c r="V232" s="66">
        <f>IF('Smart Search'!B13=1,IFERROR(1/'Smart Search'!H13,0),0)</f>
        <v/>
      </c>
      <c r="W232" s="66">
        <f>IF('Smart Search'!B13=1,IFERROR(1/'Smart Search'!H13,0),0)</f>
        <v/>
      </c>
      <c r="X232" s="66">
        <f>IF('Smart Search'!C13=1,IFERROR(1/'Smart Search'!H13,0),0)</f>
        <v/>
      </c>
      <c r="Y232" s="66">
        <f>IF('Smart Search'!C13=1,IFERROR(1/'Smart Search'!H13,0),0)</f>
        <v/>
      </c>
      <c r="Z232" s="66">
        <f>IF('Smart Search'!D13=1,IFERROR(1/'Smart Search'!H13,0),0)</f>
        <v/>
      </c>
      <c r="AA232" s="66">
        <f>IF('Smart Search'!D13=1,IFERROR(1/'Smart Search'!H13,0),0)</f>
        <v/>
      </c>
      <c r="AB232" s="66">
        <f>IF('Smart Search'!E13=1,IFERROR(1/'Smart Search'!H13,0),0)</f>
        <v/>
      </c>
      <c r="AC232" s="66">
        <f>IF('Smart Search'!E13=1,IFERROR(1/'Smart Search'!H13,0),0)</f>
        <v/>
      </c>
      <c r="AD232" s="66">
        <f>IF('Smart Search'!F13=1,IFERROR(1/'Smart Search'!H13,0),0)</f>
        <v/>
      </c>
      <c r="AE232" s="66">
        <f>IF('Smart Search'!F13=1,IFERROR(1/'Smart Search'!H13,0),0)</f>
        <v/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66">
        <f>AF232*V232</f>
        <v/>
      </c>
      <c r="AQ232" s="66">
        <f>AG232*W232</f>
        <v/>
      </c>
      <c r="AR232" s="66">
        <f>AH232*X232</f>
        <v/>
      </c>
      <c r="AS232" s="66">
        <f>AI232*Y232</f>
        <v/>
      </c>
      <c r="AT232" s="66">
        <f>AJ232*Z232</f>
        <v/>
      </c>
      <c r="AU232" s="66">
        <f>AK232*AA232</f>
        <v/>
      </c>
      <c r="AV232" s="66">
        <f>AL232*AB232</f>
        <v/>
      </c>
      <c r="AW232" s="66">
        <f>AM232*AC232</f>
        <v/>
      </c>
      <c r="AX232" s="66">
        <f>AN232*AD232</f>
        <v/>
      </c>
      <c r="AY232" s="66">
        <f>AO232*AE232</f>
        <v/>
      </c>
      <c r="AZ232" s="66">
        <f>'Project Database'!Z236</f>
        <v/>
      </c>
      <c r="BA232" s="66">
        <f>IF(OR(A232="",'Smart Search'!H13=0),"",MAX(0,BE232*BF232*MAX(0,1-BG232)))</f>
        <v/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66">
        <f>IF('Smart Search'!G13=1,IFERROR(1/'Smart Search'!H13,0),0)</f>
        <v/>
      </c>
      <c r="BD232" s="66">
        <f>BB232*BC232</f>
        <v/>
      </c>
      <c r="BE232" s="66">
        <f>AP232+AQ232+AR232+AS232+AT232+AU232+AV232+AW232+AX232+AY232+BD232</f>
        <v/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5">
        <f>IF(AND('Project Database'!A236&lt;&gt;"",OR('Smart Search'!$L$5="",'Smart Search'!$L$5="All",TRIM('Project Database'!D236)=TRIM('Smart Search'!$L$5)),OR(TRIM('Smart Search'!$L$6)="",TRIM('Smart Search'!$L$6)="All",ISNUMBER(SEARCH(SUBSTITUTE(SUBSTITUTE(SUBSTITUTE(TRIM('Smart Search'!$L$6),"~","~~"),"*","~*"),"?","~?"),'Project Database'!C236))),OR('Smart Search'!$L$7="",AND('Project Database'!E236&lt;&gt;"",'Project Database'!E236='Smart Search'!$L$7)),OR('Smart Search'!$L$8="",'Smart Search'!$L$8="All",TRIM('Project Database'!F236)=TRIM('Smart Search'!$L$8))),IF(BA232="","",BA232+ROW()*0.0000000001),"")</f>
        <v/>
      </c>
      <c r="BI232" s="5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>
        <f>IF('Project Database'!A236="","",N('Project Database'!AC236))</f>
        <v/>
      </c>
      <c r="BK232" s="5">
        <f>IF('Project Database'!A236="","",N('Project Database'!AD236))</f>
        <v/>
      </c>
      <c r="BL232" s="5">
        <f>IF('Project Database'!A236="","",N('Project Database'!AE236))</f>
        <v/>
      </c>
      <c r="BM232" s="5">
        <f>IF('Project Database'!A236="","",N('Project Database'!AF236))</f>
        <v/>
      </c>
      <c r="BN232" s="5">
        <f>IF('Project Database'!A236="","",N('Project Database'!AG236))</f>
        <v/>
      </c>
      <c r="BO232" s="5">
        <f>IF('Project Database'!A236="","",N('Project Database'!AH236))</f>
        <v/>
      </c>
      <c r="BP232" s="5">
        <f>IF('Project Database'!A236="","",N('Project Database'!AI236))</f>
        <v/>
      </c>
      <c r="BQ232" s="5">
        <f>IF('Project Database'!A236="","",N('Project Database'!AJ236))</f>
        <v/>
      </c>
      <c r="BR232" s="5">
        <f>IF('Project Database'!A236="","",N('Project Database'!AK236))</f>
        <v/>
      </c>
      <c r="BS232" s="5">
        <f>IF('Project Database'!A236="","",N('Project Database'!AL236))</f>
        <v/>
      </c>
      <c r="BT232" s="5">
        <f>IF('Project Database'!A236="","",N('Project Database'!AM236))</f>
        <v/>
      </c>
      <c r="BU232" s="5">
        <f>IF('Project Database'!A236="","",N('Project Database'!AN236))</f>
        <v/>
      </c>
      <c r="BV232" s="5">
        <f>IF('Project Database'!A236="","",N('Project Database'!AO236))</f>
        <v/>
      </c>
      <c r="BW232" s="5">
        <f>IF('Project Database'!A236="","",N('Project Database'!AP236))</f>
        <v/>
      </c>
      <c r="BX232" s="5">
        <f>IF(A232="","",SUM(BJ232:BW232))</f>
        <v/>
      </c>
      <c r="BY232" s="5">
        <f>IF(A232="","",IFERROR(IF(ISNUMBER(U232),U232,VALUE(SUBSTITUTE(SUBSTITUTE(SUBSTITUTE(UPPER(TRIM(U232)),"M",""),",","")," ",""))),0))</f>
        <v/>
      </c>
    </row>
    <row r="233" ht="15" customHeight="1" s="74">
      <c r="A233" s="66">
        <f>'Project Database'!A237</f>
        <v/>
      </c>
      <c r="B233" s="66">
        <f>'Project Database'!B237</f>
        <v/>
      </c>
      <c r="C233" s="66">
        <f>'Project Database'!G237</f>
        <v/>
      </c>
      <c r="D233" s="66">
        <f>'Project Database'!H237</f>
        <v/>
      </c>
      <c r="E233" s="66">
        <f>'Project Database'!I237</f>
        <v/>
      </c>
      <c r="F233" s="66">
        <f>'Project Database'!J237</f>
        <v/>
      </c>
      <c r="G233" s="66">
        <f>'Project Database'!K237</f>
        <v/>
      </c>
      <c r="H233" s="66">
        <f>'Project Database'!L237</f>
        <v/>
      </c>
      <c r="I233" s="66">
        <f>'Project Database'!M237</f>
        <v/>
      </c>
      <c r="J233" s="66">
        <f>'Project Database'!N237</f>
        <v/>
      </c>
      <c r="K233" s="66">
        <f>'Project Database'!O237</f>
        <v/>
      </c>
      <c r="L233" s="66">
        <f>'Project Database'!P237</f>
        <v/>
      </c>
      <c r="M233" s="66">
        <f>'Project Database'!Q237</f>
        <v/>
      </c>
      <c r="N233" s="66">
        <f>'Project Database'!R237</f>
        <v/>
      </c>
      <c r="O233" s="66">
        <f>'Project Database'!S237</f>
        <v/>
      </c>
      <c r="P233" s="66">
        <f>'Project Database'!T237</f>
        <v/>
      </c>
      <c r="Q233" s="66">
        <f>'Project Database'!U237</f>
        <v/>
      </c>
      <c r="R233" s="66">
        <f>'Project Database'!V237</f>
        <v/>
      </c>
      <c r="S233" s="66">
        <f>'Project Database'!W237</f>
        <v/>
      </c>
      <c r="T233" s="66">
        <f>'Project Database'!X237</f>
        <v/>
      </c>
      <c r="U233" s="67">
        <f>'Project Database'!Y237</f>
        <v/>
      </c>
      <c r="V233" s="66">
        <f>IF('Smart Search'!B13=1,IFERROR(1/'Smart Search'!H13,0),0)</f>
        <v/>
      </c>
      <c r="W233" s="66">
        <f>IF('Smart Search'!B13=1,IFERROR(1/'Smart Search'!H13,0),0)</f>
        <v/>
      </c>
      <c r="X233" s="66">
        <f>IF('Smart Search'!C13=1,IFERROR(1/'Smart Search'!H13,0),0)</f>
        <v/>
      </c>
      <c r="Y233" s="66">
        <f>IF('Smart Search'!C13=1,IFERROR(1/'Smart Search'!H13,0),0)</f>
        <v/>
      </c>
      <c r="Z233" s="66">
        <f>IF('Smart Search'!D13=1,IFERROR(1/'Smart Search'!H13,0),0)</f>
        <v/>
      </c>
      <c r="AA233" s="66">
        <f>IF('Smart Search'!D13=1,IFERROR(1/'Smart Search'!H13,0),0)</f>
        <v/>
      </c>
      <c r="AB233" s="66">
        <f>IF('Smart Search'!E13=1,IFERROR(1/'Smart Search'!H13,0),0)</f>
        <v/>
      </c>
      <c r="AC233" s="66">
        <f>IF('Smart Search'!E13=1,IFERROR(1/'Smart Search'!H13,0),0)</f>
        <v/>
      </c>
      <c r="AD233" s="66">
        <f>IF('Smart Search'!F13=1,IFERROR(1/'Smart Search'!H13,0),0)</f>
        <v/>
      </c>
      <c r="AE233" s="66">
        <f>IF('Smart Search'!F13=1,IFERROR(1/'Smart Search'!H13,0),0)</f>
        <v/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66">
        <f>AF233*V233</f>
        <v/>
      </c>
      <c r="AQ233" s="66">
        <f>AG233*W233</f>
        <v/>
      </c>
      <c r="AR233" s="66">
        <f>AH233*X233</f>
        <v/>
      </c>
      <c r="AS233" s="66">
        <f>AI233*Y233</f>
        <v/>
      </c>
      <c r="AT233" s="66">
        <f>AJ233*Z233</f>
        <v/>
      </c>
      <c r="AU233" s="66">
        <f>AK233*AA233</f>
        <v/>
      </c>
      <c r="AV233" s="66">
        <f>AL233*AB233</f>
        <v/>
      </c>
      <c r="AW233" s="66">
        <f>AM233*AC233</f>
        <v/>
      </c>
      <c r="AX233" s="66">
        <f>AN233*AD233</f>
        <v/>
      </c>
      <c r="AY233" s="66">
        <f>AO233*AE233</f>
        <v/>
      </c>
      <c r="AZ233" s="66">
        <f>'Project Database'!Z237</f>
        <v/>
      </c>
      <c r="BA233" s="66">
        <f>IF(OR(A233="",'Smart Search'!H13=0),"",MAX(0,BE233*BF233*MAX(0,1-BG233)))</f>
        <v/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66">
        <f>IF('Smart Search'!G13=1,IFERROR(1/'Smart Search'!H13,0),0)</f>
        <v/>
      </c>
      <c r="BD233" s="66">
        <f>BB233*BC233</f>
        <v/>
      </c>
      <c r="BE233" s="66">
        <f>AP233+AQ233+AR233+AS233+AT233+AU233+AV233+AW233+AX233+AY233+BD233</f>
        <v/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5">
        <f>IF(AND('Project Database'!A237&lt;&gt;"",OR('Smart Search'!$L$5="",'Smart Search'!$L$5="All",TRIM('Project Database'!D237)=TRIM('Smart Search'!$L$5)),OR(TRIM('Smart Search'!$L$6)="",TRIM('Smart Search'!$L$6)="All",ISNUMBER(SEARCH(SUBSTITUTE(SUBSTITUTE(SUBSTITUTE(TRIM('Smart Search'!$L$6),"~","~~"),"*","~*"),"?","~?"),'Project Database'!C237))),OR('Smart Search'!$L$7="",AND('Project Database'!E237&lt;&gt;"",'Project Database'!E237='Smart Search'!$L$7)),OR('Smart Search'!$L$8="",'Smart Search'!$L$8="All",TRIM('Project Database'!F237)=TRIM('Smart Search'!$L$8))),IF(BA233="","",BA233+ROW()*0.0000000001),"")</f>
        <v/>
      </c>
      <c r="BI233" s="5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>
        <f>IF('Project Database'!A237="","",N('Project Database'!AC237))</f>
        <v/>
      </c>
      <c r="BK233" s="5">
        <f>IF('Project Database'!A237="","",N('Project Database'!AD237))</f>
        <v/>
      </c>
      <c r="BL233" s="5">
        <f>IF('Project Database'!A237="","",N('Project Database'!AE237))</f>
        <v/>
      </c>
      <c r="BM233" s="5">
        <f>IF('Project Database'!A237="","",N('Project Database'!AF237))</f>
        <v/>
      </c>
      <c r="BN233" s="5">
        <f>IF('Project Database'!A237="","",N('Project Database'!AG237))</f>
        <v/>
      </c>
      <c r="BO233" s="5">
        <f>IF('Project Database'!A237="","",N('Project Database'!AH237))</f>
        <v/>
      </c>
      <c r="BP233" s="5">
        <f>IF('Project Database'!A237="","",N('Project Database'!AI237))</f>
        <v/>
      </c>
      <c r="BQ233" s="5">
        <f>IF('Project Database'!A237="","",N('Project Database'!AJ237))</f>
        <v/>
      </c>
      <c r="BR233" s="5">
        <f>IF('Project Database'!A237="","",N('Project Database'!AK237))</f>
        <v/>
      </c>
      <c r="BS233" s="5">
        <f>IF('Project Database'!A237="","",N('Project Database'!AL237))</f>
        <v/>
      </c>
      <c r="BT233" s="5">
        <f>IF('Project Database'!A237="","",N('Project Database'!AM237))</f>
        <v/>
      </c>
      <c r="BU233" s="5">
        <f>IF('Project Database'!A237="","",N('Project Database'!AN237))</f>
        <v/>
      </c>
      <c r="BV233" s="5">
        <f>IF('Project Database'!A237="","",N('Project Database'!AO237))</f>
        <v/>
      </c>
      <c r="BW233" s="5">
        <f>IF('Project Database'!A237="","",N('Project Database'!AP237))</f>
        <v/>
      </c>
      <c r="BX233" s="5">
        <f>IF(A233="","",SUM(BJ233:BW233))</f>
        <v/>
      </c>
      <c r="BY233" s="5">
        <f>IF(A233="","",IFERROR(IF(ISNUMBER(U233),U233,VALUE(SUBSTITUTE(SUBSTITUTE(SUBSTITUTE(UPPER(TRIM(U233)),"M",""),",","")," ",""))),0))</f>
        <v/>
      </c>
    </row>
    <row r="234" ht="15" customHeight="1" s="74">
      <c r="A234" s="66">
        <f>'Project Database'!A238</f>
        <v/>
      </c>
      <c r="B234" s="66">
        <f>'Project Database'!B238</f>
        <v/>
      </c>
      <c r="C234" s="66">
        <f>'Project Database'!G238</f>
        <v/>
      </c>
      <c r="D234" s="66">
        <f>'Project Database'!H238</f>
        <v/>
      </c>
      <c r="E234" s="66">
        <f>'Project Database'!I238</f>
        <v/>
      </c>
      <c r="F234" s="66">
        <f>'Project Database'!J238</f>
        <v/>
      </c>
      <c r="G234" s="66">
        <f>'Project Database'!K238</f>
        <v/>
      </c>
      <c r="H234" s="66">
        <f>'Project Database'!L238</f>
        <v/>
      </c>
      <c r="I234" s="66">
        <f>'Project Database'!M238</f>
        <v/>
      </c>
      <c r="J234" s="66">
        <f>'Project Database'!N238</f>
        <v/>
      </c>
      <c r="K234" s="66">
        <f>'Project Database'!O238</f>
        <v/>
      </c>
      <c r="L234" s="66">
        <f>'Project Database'!P238</f>
        <v/>
      </c>
      <c r="M234" s="66">
        <f>'Project Database'!Q238</f>
        <v/>
      </c>
      <c r="N234" s="66">
        <f>'Project Database'!R238</f>
        <v/>
      </c>
      <c r="O234" s="66">
        <f>'Project Database'!S238</f>
        <v/>
      </c>
      <c r="P234" s="66">
        <f>'Project Database'!T238</f>
        <v/>
      </c>
      <c r="Q234" s="66">
        <f>'Project Database'!U238</f>
        <v/>
      </c>
      <c r="R234" s="66">
        <f>'Project Database'!V238</f>
        <v/>
      </c>
      <c r="S234" s="66">
        <f>'Project Database'!W238</f>
        <v/>
      </c>
      <c r="T234" s="66">
        <f>'Project Database'!X238</f>
        <v/>
      </c>
      <c r="U234" s="67">
        <f>'Project Database'!Y238</f>
        <v/>
      </c>
      <c r="V234" s="66">
        <f>IF('Smart Search'!B13=1,IFERROR(1/'Smart Search'!H13,0),0)</f>
        <v/>
      </c>
      <c r="W234" s="66">
        <f>IF('Smart Search'!B13=1,IFERROR(1/'Smart Search'!H13,0),0)</f>
        <v/>
      </c>
      <c r="X234" s="66">
        <f>IF('Smart Search'!C13=1,IFERROR(1/'Smart Search'!H13,0),0)</f>
        <v/>
      </c>
      <c r="Y234" s="66">
        <f>IF('Smart Search'!C13=1,IFERROR(1/'Smart Search'!H13,0),0)</f>
        <v/>
      </c>
      <c r="Z234" s="66">
        <f>IF('Smart Search'!D13=1,IFERROR(1/'Smart Search'!H13,0),0)</f>
        <v/>
      </c>
      <c r="AA234" s="66">
        <f>IF('Smart Search'!D13=1,IFERROR(1/'Smart Search'!H13,0),0)</f>
        <v/>
      </c>
      <c r="AB234" s="66">
        <f>IF('Smart Search'!E13=1,IFERROR(1/'Smart Search'!H13,0),0)</f>
        <v/>
      </c>
      <c r="AC234" s="66">
        <f>IF('Smart Search'!E13=1,IFERROR(1/'Smart Search'!H13,0),0)</f>
        <v/>
      </c>
      <c r="AD234" s="66">
        <f>IF('Smart Search'!F13=1,IFERROR(1/'Smart Search'!H13,0),0)</f>
        <v/>
      </c>
      <c r="AE234" s="66">
        <f>IF('Smart Search'!F13=1,IFERROR(1/'Smart Search'!H13,0),0)</f>
        <v/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66">
        <f>AF234*V234</f>
        <v/>
      </c>
      <c r="AQ234" s="66">
        <f>AG234*W234</f>
        <v/>
      </c>
      <c r="AR234" s="66">
        <f>AH234*X234</f>
        <v/>
      </c>
      <c r="AS234" s="66">
        <f>AI234*Y234</f>
        <v/>
      </c>
      <c r="AT234" s="66">
        <f>AJ234*Z234</f>
        <v/>
      </c>
      <c r="AU234" s="66">
        <f>AK234*AA234</f>
        <v/>
      </c>
      <c r="AV234" s="66">
        <f>AL234*AB234</f>
        <v/>
      </c>
      <c r="AW234" s="66">
        <f>AM234*AC234</f>
        <v/>
      </c>
      <c r="AX234" s="66">
        <f>AN234*AD234</f>
        <v/>
      </c>
      <c r="AY234" s="66">
        <f>AO234*AE234</f>
        <v/>
      </c>
      <c r="AZ234" s="66">
        <f>'Project Database'!Z238</f>
        <v/>
      </c>
      <c r="BA234" s="66">
        <f>IF(OR(A234="",'Smart Search'!H13=0),"",MAX(0,BE234*BF234*MAX(0,1-BG234)))</f>
        <v/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66">
        <f>IF('Smart Search'!G13=1,IFERROR(1/'Smart Search'!H13,0),0)</f>
        <v/>
      </c>
      <c r="BD234" s="66">
        <f>BB234*BC234</f>
        <v/>
      </c>
      <c r="BE234" s="66">
        <f>AP234+AQ234+AR234+AS234+AT234+AU234+AV234+AW234+AX234+AY234+BD234</f>
        <v/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5">
        <f>IF(AND('Project Database'!A238&lt;&gt;"",OR('Smart Search'!$L$5="",'Smart Search'!$L$5="All",TRIM('Project Database'!D238)=TRIM('Smart Search'!$L$5)),OR(TRIM('Smart Search'!$L$6)="",TRIM('Smart Search'!$L$6)="All",ISNUMBER(SEARCH(SUBSTITUTE(SUBSTITUTE(SUBSTITUTE(TRIM('Smart Search'!$L$6),"~","~~"),"*","~*"),"?","~?"),'Project Database'!C238))),OR('Smart Search'!$L$7="",AND('Project Database'!E238&lt;&gt;"",'Project Database'!E238='Smart Search'!$L$7)),OR('Smart Search'!$L$8="",'Smart Search'!$L$8="All",TRIM('Project Database'!F238)=TRIM('Smart Search'!$L$8))),IF(BA234="","",BA234+ROW()*0.0000000001),"")</f>
        <v/>
      </c>
      <c r="BI234" s="5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>
        <f>IF('Project Database'!A238="","",N('Project Database'!AC238))</f>
        <v/>
      </c>
      <c r="BK234" s="5">
        <f>IF('Project Database'!A238="","",N('Project Database'!AD238))</f>
        <v/>
      </c>
      <c r="BL234" s="5">
        <f>IF('Project Database'!A238="","",N('Project Database'!AE238))</f>
        <v/>
      </c>
      <c r="BM234" s="5">
        <f>IF('Project Database'!A238="","",N('Project Database'!AF238))</f>
        <v/>
      </c>
      <c r="BN234" s="5">
        <f>IF('Project Database'!A238="","",N('Project Database'!AG238))</f>
        <v/>
      </c>
      <c r="BO234" s="5">
        <f>IF('Project Database'!A238="","",N('Project Database'!AH238))</f>
        <v/>
      </c>
      <c r="BP234" s="5">
        <f>IF('Project Database'!A238="","",N('Project Database'!AI238))</f>
        <v/>
      </c>
      <c r="BQ234" s="5">
        <f>IF('Project Database'!A238="","",N('Project Database'!AJ238))</f>
        <v/>
      </c>
      <c r="BR234" s="5">
        <f>IF('Project Database'!A238="","",N('Project Database'!AK238))</f>
        <v/>
      </c>
      <c r="BS234" s="5">
        <f>IF('Project Database'!A238="","",N('Project Database'!AL238))</f>
        <v/>
      </c>
      <c r="BT234" s="5">
        <f>IF('Project Database'!A238="","",N('Project Database'!AM238))</f>
        <v/>
      </c>
      <c r="BU234" s="5">
        <f>IF('Project Database'!A238="","",N('Project Database'!AN238))</f>
        <v/>
      </c>
      <c r="BV234" s="5">
        <f>IF('Project Database'!A238="","",N('Project Database'!AO238))</f>
        <v/>
      </c>
      <c r="BW234" s="5">
        <f>IF('Project Database'!A238="","",N('Project Database'!AP238))</f>
        <v/>
      </c>
      <c r="BX234" s="5">
        <f>IF(A234="","",SUM(BJ234:BW234))</f>
        <v/>
      </c>
      <c r="BY234" s="5">
        <f>IF(A234="","",IFERROR(IF(ISNUMBER(U234),U234,VALUE(SUBSTITUTE(SUBSTITUTE(SUBSTITUTE(UPPER(TRIM(U234)),"M",""),",","")," ",""))),0))</f>
        <v/>
      </c>
    </row>
    <row r="235" ht="15" customHeight="1" s="74">
      <c r="A235" s="66">
        <f>'Project Database'!A239</f>
        <v/>
      </c>
      <c r="B235" s="66">
        <f>'Project Database'!B239</f>
        <v/>
      </c>
      <c r="C235" s="66">
        <f>'Project Database'!G239</f>
        <v/>
      </c>
      <c r="D235" s="66">
        <f>'Project Database'!H239</f>
        <v/>
      </c>
      <c r="E235" s="66">
        <f>'Project Database'!I239</f>
        <v/>
      </c>
      <c r="F235" s="66">
        <f>'Project Database'!J239</f>
        <v/>
      </c>
      <c r="G235" s="66">
        <f>'Project Database'!K239</f>
        <v/>
      </c>
      <c r="H235" s="66">
        <f>'Project Database'!L239</f>
        <v/>
      </c>
      <c r="I235" s="66">
        <f>'Project Database'!M239</f>
        <v/>
      </c>
      <c r="J235" s="66">
        <f>'Project Database'!N239</f>
        <v/>
      </c>
      <c r="K235" s="66">
        <f>'Project Database'!O239</f>
        <v/>
      </c>
      <c r="L235" s="66">
        <f>'Project Database'!P239</f>
        <v/>
      </c>
      <c r="M235" s="66">
        <f>'Project Database'!Q239</f>
        <v/>
      </c>
      <c r="N235" s="66">
        <f>'Project Database'!R239</f>
        <v/>
      </c>
      <c r="O235" s="66">
        <f>'Project Database'!S239</f>
        <v/>
      </c>
      <c r="P235" s="66">
        <f>'Project Database'!T239</f>
        <v/>
      </c>
      <c r="Q235" s="66">
        <f>'Project Database'!U239</f>
        <v/>
      </c>
      <c r="R235" s="66">
        <f>'Project Database'!V239</f>
        <v/>
      </c>
      <c r="S235" s="66">
        <f>'Project Database'!W239</f>
        <v/>
      </c>
      <c r="T235" s="66">
        <f>'Project Database'!X239</f>
        <v/>
      </c>
      <c r="U235" s="67">
        <f>'Project Database'!Y239</f>
        <v/>
      </c>
      <c r="V235" s="66">
        <f>IF('Smart Search'!B13=1,IFERROR(1/'Smart Search'!H13,0),0)</f>
        <v/>
      </c>
      <c r="W235" s="66">
        <f>IF('Smart Search'!B13=1,IFERROR(1/'Smart Search'!H13,0),0)</f>
        <v/>
      </c>
      <c r="X235" s="66">
        <f>IF('Smart Search'!C13=1,IFERROR(1/'Smart Search'!H13,0),0)</f>
        <v/>
      </c>
      <c r="Y235" s="66">
        <f>IF('Smart Search'!C13=1,IFERROR(1/'Smart Search'!H13,0),0)</f>
        <v/>
      </c>
      <c r="Z235" s="66">
        <f>IF('Smart Search'!D13=1,IFERROR(1/'Smart Search'!H13,0),0)</f>
        <v/>
      </c>
      <c r="AA235" s="66">
        <f>IF('Smart Search'!D13=1,IFERROR(1/'Smart Search'!H13,0),0)</f>
        <v/>
      </c>
      <c r="AB235" s="66">
        <f>IF('Smart Search'!E13=1,IFERROR(1/'Smart Search'!H13,0),0)</f>
        <v/>
      </c>
      <c r="AC235" s="66">
        <f>IF('Smart Search'!E13=1,IFERROR(1/'Smart Search'!H13,0),0)</f>
        <v/>
      </c>
      <c r="AD235" s="66">
        <f>IF('Smart Search'!F13=1,IFERROR(1/'Smart Search'!H13,0),0)</f>
        <v/>
      </c>
      <c r="AE235" s="66">
        <f>IF('Smart Search'!F13=1,IFERROR(1/'Smart Search'!H13,0),0)</f>
        <v/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66">
        <f>AF235*V235</f>
        <v/>
      </c>
      <c r="AQ235" s="66">
        <f>AG235*W235</f>
        <v/>
      </c>
      <c r="AR235" s="66">
        <f>AH235*X235</f>
        <v/>
      </c>
      <c r="AS235" s="66">
        <f>AI235*Y235</f>
        <v/>
      </c>
      <c r="AT235" s="66">
        <f>AJ235*Z235</f>
        <v/>
      </c>
      <c r="AU235" s="66">
        <f>AK235*AA235</f>
        <v/>
      </c>
      <c r="AV235" s="66">
        <f>AL235*AB235</f>
        <v/>
      </c>
      <c r="AW235" s="66">
        <f>AM235*AC235</f>
        <v/>
      </c>
      <c r="AX235" s="66">
        <f>AN235*AD235</f>
        <v/>
      </c>
      <c r="AY235" s="66">
        <f>AO235*AE235</f>
        <v/>
      </c>
      <c r="AZ235" s="66">
        <f>'Project Database'!Z239</f>
        <v/>
      </c>
      <c r="BA235" s="66">
        <f>IF(OR(A235="",'Smart Search'!H13=0),"",MAX(0,BE235*BF235*MAX(0,1-BG235)))</f>
        <v/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66">
        <f>IF('Smart Search'!G13=1,IFERROR(1/'Smart Search'!H13,0),0)</f>
        <v/>
      </c>
      <c r="BD235" s="66">
        <f>BB235*BC235</f>
        <v/>
      </c>
      <c r="BE235" s="66">
        <f>AP235+AQ235+AR235+AS235+AT235+AU235+AV235+AW235+AX235+AY235+BD235</f>
        <v/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5">
        <f>IF(AND('Project Database'!A239&lt;&gt;"",OR('Smart Search'!$L$5="",'Smart Search'!$L$5="All",TRIM('Project Database'!D239)=TRIM('Smart Search'!$L$5)),OR(TRIM('Smart Search'!$L$6)="",TRIM('Smart Search'!$L$6)="All",ISNUMBER(SEARCH(SUBSTITUTE(SUBSTITUTE(SUBSTITUTE(TRIM('Smart Search'!$L$6),"~","~~"),"*","~*"),"?","~?"),'Project Database'!C239))),OR('Smart Search'!$L$7="",AND('Project Database'!E239&lt;&gt;"",'Project Database'!E239='Smart Search'!$L$7)),OR('Smart Search'!$L$8="",'Smart Search'!$L$8="All",TRIM('Project Database'!F239)=TRIM('Smart Search'!$L$8))),IF(BA235="","",BA235+ROW()*0.0000000001),"")</f>
        <v/>
      </c>
      <c r="BI235" s="5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>
        <f>IF('Project Database'!A239="","",N('Project Database'!AC239))</f>
        <v/>
      </c>
      <c r="BK235" s="5">
        <f>IF('Project Database'!A239="","",N('Project Database'!AD239))</f>
        <v/>
      </c>
      <c r="BL235" s="5">
        <f>IF('Project Database'!A239="","",N('Project Database'!AE239))</f>
        <v/>
      </c>
      <c r="BM235" s="5">
        <f>IF('Project Database'!A239="","",N('Project Database'!AF239))</f>
        <v/>
      </c>
      <c r="BN235" s="5">
        <f>IF('Project Database'!A239="","",N('Project Database'!AG239))</f>
        <v/>
      </c>
      <c r="BO235" s="5">
        <f>IF('Project Database'!A239="","",N('Project Database'!AH239))</f>
        <v/>
      </c>
      <c r="BP235" s="5">
        <f>IF('Project Database'!A239="","",N('Project Database'!AI239))</f>
        <v/>
      </c>
      <c r="BQ235" s="5">
        <f>IF('Project Database'!A239="","",N('Project Database'!AJ239))</f>
        <v/>
      </c>
      <c r="BR235" s="5">
        <f>IF('Project Database'!A239="","",N('Project Database'!AK239))</f>
        <v/>
      </c>
      <c r="BS235" s="5">
        <f>IF('Project Database'!A239="","",N('Project Database'!AL239))</f>
        <v/>
      </c>
      <c r="BT235" s="5">
        <f>IF('Project Database'!A239="","",N('Project Database'!AM239))</f>
        <v/>
      </c>
      <c r="BU235" s="5">
        <f>IF('Project Database'!A239="","",N('Project Database'!AN239))</f>
        <v/>
      </c>
      <c r="BV235" s="5">
        <f>IF('Project Database'!A239="","",N('Project Database'!AO239))</f>
        <v/>
      </c>
      <c r="BW235" s="5">
        <f>IF('Project Database'!A239="","",N('Project Database'!AP239))</f>
        <v/>
      </c>
      <c r="BX235" s="5">
        <f>IF(A235="","",SUM(BJ235:BW235))</f>
        <v/>
      </c>
      <c r="BY235" s="5">
        <f>IF(A235="","",IFERROR(IF(ISNUMBER(U235),U235,VALUE(SUBSTITUTE(SUBSTITUTE(SUBSTITUTE(UPPER(TRIM(U235)),"M",""),",","")," ",""))),0))</f>
        <v/>
      </c>
    </row>
    <row r="236" ht="15" customHeight="1" s="74">
      <c r="A236" s="66">
        <f>'Project Database'!A240</f>
        <v/>
      </c>
      <c r="B236" s="66">
        <f>'Project Database'!B240</f>
        <v/>
      </c>
      <c r="C236" s="66">
        <f>'Project Database'!G240</f>
        <v/>
      </c>
      <c r="D236" s="66">
        <f>'Project Database'!H240</f>
        <v/>
      </c>
      <c r="E236" s="66">
        <f>'Project Database'!I240</f>
        <v/>
      </c>
      <c r="F236" s="66">
        <f>'Project Database'!J240</f>
        <v/>
      </c>
      <c r="G236" s="66">
        <f>'Project Database'!K240</f>
        <v/>
      </c>
      <c r="H236" s="66">
        <f>'Project Database'!L240</f>
        <v/>
      </c>
      <c r="I236" s="66">
        <f>'Project Database'!M240</f>
        <v/>
      </c>
      <c r="J236" s="66">
        <f>'Project Database'!N240</f>
        <v/>
      </c>
      <c r="K236" s="66">
        <f>'Project Database'!O240</f>
        <v/>
      </c>
      <c r="L236" s="66">
        <f>'Project Database'!P240</f>
        <v/>
      </c>
      <c r="M236" s="66">
        <f>'Project Database'!Q240</f>
        <v/>
      </c>
      <c r="N236" s="66">
        <f>'Project Database'!R240</f>
        <v/>
      </c>
      <c r="O236" s="66">
        <f>'Project Database'!S240</f>
        <v/>
      </c>
      <c r="P236" s="66">
        <f>'Project Database'!T240</f>
        <v/>
      </c>
      <c r="Q236" s="66">
        <f>'Project Database'!U240</f>
        <v/>
      </c>
      <c r="R236" s="66">
        <f>'Project Database'!V240</f>
        <v/>
      </c>
      <c r="S236" s="66">
        <f>'Project Database'!W240</f>
        <v/>
      </c>
      <c r="T236" s="66">
        <f>'Project Database'!X240</f>
        <v/>
      </c>
      <c r="U236" s="67">
        <f>'Project Database'!Y240</f>
        <v/>
      </c>
      <c r="V236" s="66">
        <f>IF('Smart Search'!B13=1,IFERROR(1/'Smart Search'!H13,0),0)</f>
        <v/>
      </c>
      <c r="W236" s="66">
        <f>IF('Smart Search'!B13=1,IFERROR(1/'Smart Search'!H13,0),0)</f>
        <v/>
      </c>
      <c r="X236" s="66">
        <f>IF('Smart Search'!C13=1,IFERROR(1/'Smart Search'!H13,0),0)</f>
        <v/>
      </c>
      <c r="Y236" s="66">
        <f>IF('Smart Search'!C13=1,IFERROR(1/'Smart Search'!H13,0),0)</f>
        <v/>
      </c>
      <c r="Z236" s="66">
        <f>IF('Smart Search'!D13=1,IFERROR(1/'Smart Search'!H13,0),0)</f>
        <v/>
      </c>
      <c r="AA236" s="66">
        <f>IF('Smart Search'!D13=1,IFERROR(1/'Smart Search'!H13,0),0)</f>
        <v/>
      </c>
      <c r="AB236" s="66">
        <f>IF('Smart Search'!E13=1,IFERROR(1/'Smart Search'!H13,0),0)</f>
        <v/>
      </c>
      <c r="AC236" s="66">
        <f>IF('Smart Search'!E13=1,IFERROR(1/'Smart Search'!H13,0),0)</f>
        <v/>
      </c>
      <c r="AD236" s="66">
        <f>IF('Smart Search'!F13=1,IFERROR(1/'Smart Search'!H13,0),0)</f>
        <v/>
      </c>
      <c r="AE236" s="66">
        <f>IF('Smart Search'!F13=1,IFERROR(1/'Smart Search'!H13,0),0)</f>
        <v/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66">
        <f>AF236*V236</f>
        <v/>
      </c>
      <c r="AQ236" s="66">
        <f>AG236*W236</f>
        <v/>
      </c>
      <c r="AR236" s="66">
        <f>AH236*X236</f>
        <v/>
      </c>
      <c r="AS236" s="66">
        <f>AI236*Y236</f>
        <v/>
      </c>
      <c r="AT236" s="66">
        <f>AJ236*Z236</f>
        <v/>
      </c>
      <c r="AU236" s="66">
        <f>AK236*AA236</f>
        <v/>
      </c>
      <c r="AV236" s="66">
        <f>AL236*AB236</f>
        <v/>
      </c>
      <c r="AW236" s="66">
        <f>AM236*AC236</f>
        <v/>
      </c>
      <c r="AX236" s="66">
        <f>AN236*AD236</f>
        <v/>
      </c>
      <c r="AY236" s="66">
        <f>AO236*AE236</f>
        <v/>
      </c>
      <c r="AZ236" s="66">
        <f>'Project Database'!Z240</f>
        <v/>
      </c>
      <c r="BA236" s="66">
        <f>IF(OR(A236="",'Smart Search'!H13=0),"",MAX(0,BE236*BF236*MAX(0,1-BG236)))</f>
        <v/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66">
        <f>IF('Smart Search'!G13=1,IFERROR(1/'Smart Search'!H13,0),0)</f>
        <v/>
      </c>
      <c r="BD236" s="66">
        <f>BB236*BC236</f>
        <v/>
      </c>
      <c r="BE236" s="66">
        <f>AP236+AQ236+AR236+AS236+AT236+AU236+AV236+AW236+AX236+AY236+BD236</f>
        <v/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5">
        <f>IF(AND('Project Database'!A240&lt;&gt;"",OR('Smart Search'!$L$5="",'Smart Search'!$L$5="All",TRIM('Project Database'!D240)=TRIM('Smart Search'!$L$5)),OR(TRIM('Smart Search'!$L$6)="",TRIM('Smart Search'!$L$6)="All",ISNUMBER(SEARCH(SUBSTITUTE(SUBSTITUTE(SUBSTITUTE(TRIM('Smart Search'!$L$6),"~","~~"),"*","~*"),"?","~?"),'Project Database'!C240))),OR('Smart Search'!$L$7="",AND('Project Database'!E240&lt;&gt;"",'Project Database'!E240='Smart Search'!$L$7)),OR('Smart Search'!$L$8="",'Smart Search'!$L$8="All",TRIM('Project Database'!F240)=TRIM('Smart Search'!$L$8))),IF(BA236="","",BA236+ROW()*0.0000000001),"")</f>
        <v/>
      </c>
      <c r="BI236" s="5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>
        <f>IF('Project Database'!A240="","",N('Project Database'!AC240))</f>
        <v/>
      </c>
      <c r="BK236" s="5">
        <f>IF('Project Database'!A240="","",N('Project Database'!AD240))</f>
        <v/>
      </c>
      <c r="BL236" s="5">
        <f>IF('Project Database'!A240="","",N('Project Database'!AE240))</f>
        <v/>
      </c>
      <c r="BM236" s="5">
        <f>IF('Project Database'!A240="","",N('Project Database'!AF240))</f>
        <v/>
      </c>
      <c r="BN236" s="5">
        <f>IF('Project Database'!A240="","",N('Project Database'!AG240))</f>
        <v/>
      </c>
      <c r="BO236" s="5">
        <f>IF('Project Database'!A240="","",N('Project Database'!AH240))</f>
        <v/>
      </c>
      <c r="BP236" s="5">
        <f>IF('Project Database'!A240="","",N('Project Database'!AI240))</f>
        <v/>
      </c>
      <c r="BQ236" s="5">
        <f>IF('Project Database'!A240="","",N('Project Database'!AJ240))</f>
        <v/>
      </c>
      <c r="BR236" s="5">
        <f>IF('Project Database'!A240="","",N('Project Database'!AK240))</f>
        <v/>
      </c>
      <c r="BS236" s="5">
        <f>IF('Project Database'!A240="","",N('Project Database'!AL240))</f>
        <v/>
      </c>
      <c r="BT236" s="5">
        <f>IF('Project Database'!A240="","",N('Project Database'!AM240))</f>
        <v/>
      </c>
      <c r="BU236" s="5">
        <f>IF('Project Database'!A240="","",N('Project Database'!AN240))</f>
        <v/>
      </c>
      <c r="BV236" s="5">
        <f>IF('Project Database'!A240="","",N('Project Database'!AO240))</f>
        <v/>
      </c>
      <c r="BW236" s="5">
        <f>IF('Project Database'!A240="","",N('Project Database'!AP240))</f>
        <v/>
      </c>
      <c r="BX236" s="5">
        <f>IF(A236="","",SUM(BJ236:BW236))</f>
        <v/>
      </c>
      <c r="BY236" s="5">
        <f>IF(A236="","",IFERROR(IF(ISNUMBER(U236),U236,VALUE(SUBSTITUTE(SUBSTITUTE(SUBSTITUTE(UPPER(TRIM(U236)),"M",""),",","")," ",""))),0))</f>
        <v/>
      </c>
    </row>
    <row r="237" ht="15" customHeight="1" s="74">
      <c r="A237" s="66">
        <f>'Project Database'!A241</f>
        <v/>
      </c>
      <c r="B237" s="66">
        <f>'Project Database'!B241</f>
        <v/>
      </c>
      <c r="C237" s="66">
        <f>'Project Database'!G241</f>
        <v/>
      </c>
      <c r="D237" s="66">
        <f>'Project Database'!H241</f>
        <v/>
      </c>
      <c r="E237" s="66">
        <f>'Project Database'!I241</f>
        <v/>
      </c>
      <c r="F237" s="66">
        <f>'Project Database'!J241</f>
        <v/>
      </c>
      <c r="G237" s="66">
        <f>'Project Database'!K241</f>
        <v/>
      </c>
      <c r="H237" s="66">
        <f>'Project Database'!L241</f>
        <v/>
      </c>
      <c r="I237" s="66">
        <f>'Project Database'!M241</f>
        <v/>
      </c>
      <c r="J237" s="66">
        <f>'Project Database'!N241</f>
        <v/>
      </c>
      <c r="K237" s="66">
        <f>'Project Database'!O241</f>
        <v/>
      </c>
      <c r="L237" s="66">
        <f>'Project Database'!P241</f>
        <v/>
      </c>
      <c r="M237" s="66">
        <f>'Project Database'!Q241</f>
        <v/>
      </c>
      <c r="N237" s="66">
        <f>'Project Database'!R241</f>
        <v/>
      </c>
      <c r="O237" s="66">
        <f>'Project Database'!S241</f>
        <v/>
      </c>
      <c r="P237" s="66">
        <f>'Project Database'!T241</f>
        <v/>
      </c>
      <c r="Q237" s="66">
        <f>'Project Database'!U241</f>
        <v/>
      </c>
      <c r="R237" s="66">
        <f>'Project Database'!V241</f>
        <v/>
      </c>
      <c r="S237" s="66">
        <f>'Project Database'!W241</f>
        <v/>
      </c>
      <c r="T237" s="66">
        <f>'Project Database'!X241</f>
        <v/>
      </c>
      <c r="U237" s="67">
        <f>'Project Database'!Y241</f>
        <v/>
      </c>
      <c r="V237" s="66">
        <f>IF('Smart Search'!B13=1,IFERROR(1/'Smart Search'!H13,0),0)</f>
        <v/>
      </c>
      <c r="W237" s="66">
        <f>IF('Smart Search'!B13=1,IFERROR(1/'Smart Search'!H13,0),0)</f>
        <v/>
      </c>
      <c r="X237" s="66">
        <f>IF('Smart Search'!C13=1,IFERROR(1/'Smart Search'!H13,0),0)</f>
        <v/>
      </c>
      <c r="Y237" s="66">
        <f>IF('Smart Search'!C13=1,IFERROR(1/'Smart Search'!H13,0),0)</f>
        <v/>
      </c>
      <c r="Z237" s="66">
        <f>IF('Smart Search'!D13=1,IFERROR(1/'Smart Search'!H13,0),0)</f>
        <v/>
      </c>
      <c r="AA237" s="66">
        <f>IF('Smart Search'!D13=1,IFERROR(1/'Smart Search'!H13,0),0)</f>
        <v/>
      </c>
      <c r="AB237" s="66">
        <f>IF('Smart Search'!E13=1,IFERROR(1/'Smart Search'!H13,0),0)</f>
        <v/>
      </c>
      <c r="AC237" s="66">
        <f>IF('Smart Search'!E13=1,IFERROR(1/'Smart Search'!H13,0),0)</f>
        <v/>
      </c>
      <c r="AD237" s="66">
        <f>IF('Smart Search'!F13=1,IFERROR(1/'Smart Search'!H13,0),0)</f>
        <v/>
      </c>
      <c r="AE237" s="66">
        <f>IF('Smart Search'!F13=1,IFERROR(1/'Smart Search'!H13,0),0)</f>
        <v/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66">
        <f>AF237*V237</f>
        <v/>
      </c>
      <c r="AQ237" s="66">
        <f>AG237*W237</f>
        <v/>
      </c>
      <c r="AR237" s="66">
        <f>AH237*X237</f>
        <v/>
      </c>
      <c r="AS237" s="66">
        <f>AI237*Y237</f>
        <v/>
      </c>
      <c r="AT237" s="66">
        <f>AJ237*Z237</f>
        <v/>
      </c>
      <c r="AU237" s="66">
        <f>AK237*AA237</f>
        <v/>
      </c>
      <c r="AV237" s="66">
        <f>AL237*AB237</f>
        <v/>
      </c>
      <c r="AW237" s="66">
        <f>AM237*AC237</f>
        <v/>
      </c>
      <c r="AX237" s="66">
        <f>AN237*AD237</f>
        <v/>
      </c>
      <c r="AY237" s="66">
        <f>AO237*AE237</f>
        <v/>
      </c>
      <c r="AZ237" s="66">
        <f>'Project Database'!Z241</f>
        <v/>
      </c>
      <c r="BA237" s="66">
        <f>IF(OR(A237="",'Smart Search'!H13=0),"",MAX(0,BE237*BF237*MAX(0,1-BG237)))</f>
        <v/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66">
        <f>IF('Smart Search'!G13=1,IFERROR(1/'Smart Search'!H13,0),0)</f>
        <v/>
      </c>
      <c r="BD237" s="66">
        <f>BB237*BC237</f>
        <v/>
      </c>
      <c r="BE237" s="66">
        <f>AP237+AQ237+AR237+AS237+AT237+AU237+AV237+AW237+AX237+AY237+BD237</f>
        <v/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5">
        <f>IF(AND('Project Database'!A241&lt;&gt;"",OR('Smart Search'!$L$5="",'Smart Search'!$L$5="All",TRIM('Project Database'!D241)=TRIM('Smart Search'!$L$5)),OR(TRIM('Smart Search'!$L$6)="",TRIM('Smart Search'!$L$6)="All",ISNUMBER(SEARCH(SUBSTITUTE(SUBSTITUTE(SUBSTITUTE(TRIM('Smart Search'!$L$6),"~","~~"),"*","~*"),"?","~?"),'Project Database'!C241))),OR('Smart Search'!$L$7="",AND('Project Database'!E241&lt;&gt;"",'Project Database'!E241='Smart Search'!$L$7)),OR('Smart Search'!$L$8="",'Smart Search'!$L$8="All",TRIM('Project Database'!F241)=TRIM('Smart Search'!$L$8))),IF(BA237="","",BA237+ROW()*0.0000000001),"")</f>
        <v/>
      </c>
      <c r="BI237" s="5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>
        <f>IF('Project Database'!A241="","",N('Project Database'!AC241))</f>
        <v/>
      </c>
      <c r="BK237" s="5">
        <f>IF('Project Database'!A241="","",N('Project Database'!AD241))</f>
        <v/>
      </c>
      <c r="BL237" s="5">
        <f>IF('Project Database'!A241="","",N('Project Database'!AE241))</f>
        <v/>
      </c>
      <c r="BM237" s="5">
        <f>IF('Project Database'!A241="","",N('Project Database'!AF241))</f>
        <v/>
      </c>
      <c r="BN237" s="5">
        <f>IF('Project Database'!A241="","",N('Project Database'!AG241))</f>
        <v/>
      </c>
      <c r="BO237" s="5">
        <f>IF('Project Database'!A241="","",N('Project Database'!AH241))</f>
        <v/>
      </c>
      <c r="BP237" s="5">
        <f>IF('Project Database'!A241="","",N('Project Database'!AI241))</f>
        <v/>
      </c>
      <c r="BQ237" s="5">
        <f>IF('Project Database'!A241="","",N('Project Database'!AJ241))</f>
        <v/>
      </c>
      <c r="BR237" s="5">
        <f>IF('Project Database'!A241="","",N('Project Database'!AK241))</f>
        <v/>
      </c>
      <c r="BS237" s="5">
        <f>IF('Project Database'!A241="","",N('Project Database'!AL241))</f>
        <v/>
      </c>
      <c r="BT237" s="5">
        <f>IF('Project Database'!A241="","",N('Project Database'!AM241))</f>
        <v/>
      </c>
      <c r="BU237" s="5">
        <f>IF('Project Database'!A241="","",N('Project Database'!AN241))</f>
        <v/>
      </c>
      <c r="BV237" s="5">
        <f>IF('Project Database'!A241="","",N('Project Database'!AO241))</f>
        <v/>
      </c>
      <c r="BW237" s="5">
        <f>IF('Project Database'!A241="","",N('Project Database'!AP241))</f>
        <v/>
      </c>
      <c r="BX237" s="5">
        <f>IF(A237="","",SUM(BJ237:BW237))</f>
        <v/>
      </c>
      <c r="BY237" s="5">
        <f>IF(A237="","",IFERROR(IF(ISNUMBER(U237),U237,VALUE(SUBSTITUTE(SUBSTITUTE(SUBSTITUTE(UPPER(TRIM(U237)),"M",""),",","")," ",""))),0))</f>
        <v/>
      </c>
    </row>
    <row r="238" ht="15" customHeight="1" s="74">
      <c r="A238" s="66">
        <f>'Project Database'!A242</f>
        <v/>
      </c>
      <c r="B238" s="66">
        <f>'Project Database'!B242</f>
        <v/>
      </c>
      <c r="C238" s="66">
        <f>'Project Database'!G242</f>
        <v/>
      </c>
      <c r="D238" s="66">
        <f>'Project Database'!H242</f>
        <v/>
      </c>
      <c r="E238" s="66">
        <f>'Project Database'!I242</f>
        <v/>
      </c>
      <c r="F238" s="66">
        <f>'Project Database'!J242</f>
        <v/>
      </c>
      <c r="G238" s="66">
        <f>'Project Database'!K242</f>
        <v/>
      </c>
      <c r="H238" s="66">
        <f>'Project Database'!L242</f>
        <v/>
      </c>
      <c r="I238" s="66">
        <f>'Project Database'!M242</f>
        <v/>
      </c>
      <c r="J238" s="66">
        <f>'Project Database'!N242</f>
        <v/>
      </c>
      <c r="K238" s="66">
        <f>'Project Database'!O242</f>
        <v/>
      </c>
      <c r="L238" s="66">
        <f>'Project Database'!P242</f>
        <v/>
      </c>
      <c r="M238" s="66">
        <f>'Project Database'!Q242</f>
        <v/>
      </c>
      <c r="N238" s="66">
        <f>'Project Database'!R242</f>
        <v/>
      </c>
      <c r="O238" s="66">
        <f>'Project Database'!S242</f>
        <v/>
      </c>
      <c r="P238" s="66">
        <f>'Project Database'!T242</f>
        <v/>
      </c>
      <c r="Q238" s="66">
        <f>'Project Database'!U242</f>
        <v/>
      </c>
      <c r="R238" s="66">
        <f>'Project Database'!V242</f>
        <v/>
      </c>
      <c r="S238" s="66">
        <f>'Project Database'!W242</f>
        <v/>
      </c>
      <c r="T238" s="66">
        <f>'Project Database'!X242</f>
        <v/>
      </c>
      <c r="U238" s="67">
        <f>'Project Database'!Y242</f>
        <v/>
      </c>
      <c r="V238" s="66">
        <f>IF('Smart Search'!B13=1,IFERROR(1/'Smart Search'!H13,0),0)</f>
        <v/>
      </c>
      <c r="W238" s="66">
        <f>IF('Smart Search'!B13=1,IFERROR(1/'Smart Search'!H13,0),0)</f>
        <v/>
      </c>
      <c r="X238" s="66">
        <f>IF('Smart Search'!C13=1,IFERROR(1/'Smart Search'!H13,0),0)</f>
        <v/>
      </c>
      <c r="Y238" s="66">
        <f>IF('Smart Search'!C13=1,IFERROR(1/'Smart Search'!H13,0),0)</f>
        <v/>
      </c>
      <c r="Z238" s="66">
        <f>IF('Smart Search'!D13=1,IFERROR(1/'Smart Search'!H13,0),0)</f>
        <v/>
      </c>
      <c r="AA238" s="66">
        <f>IF('Smart Search'!D13=1,IFERROR(1/'Smart Search'!H13,0),0)</f>
        <v/>
      </c>
      <c r="AB238" s="66">
        <f>IF('Smart Search'!E13=1,IFERROR(1/'Smart Search'!H13,0),0)</f>
        <v/>
      </c>
      <c r="AC238" s="66">
        <f>IF('Smart Search'!E13=1,IFERROR(1/'Smart Search'!H13,0),0)</f>
        <v/>
      </c>
      <c r="AD238" s="66">
        <f>IF('Smart Search'!F13=1,IFERROR(1/'Smart Search'!H13,0),0)</f>
        <v/>
      </c>
      <c r="AE238" s="66">
        <f>IF('Smart Search'!F13=1,IFERROR(1/'Smart Search'!H13,0),0)</f>
        <v/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66">
        <f>AF238*V238</f>
        <v/>
      </c>
      <c r="AQ238" s="66">
        <f>AG238*W238</f>
        <v/>
      </c>
      <c r="AR238" s="66">
        <f>AH238*X238</f>
        <v/>
      </c>
      <c r="AS238" s="66">
        <f>AI238*Y238</f>
        <v/>
      </c>
      <c r="AT238" s="66">
        <f>AJ238*Z238</f>
        <v/>
      </c>
      <c r="AU238" s="66">
        <f>AK238*AA238</f>
        <v/>
      </c>
      <c r="AV238" s="66">
        <f>AL238*AB238</f>
        <v/>
      </c>
      <c r="AW238" s="66">
        <f>AM238*AC238</f>
        <v/>
      </c>
      <c r="AX238" s="66">
        <f>AN238*AD238</f>
        <v/>
      </c>
      <c r="AY238" s="66">
        <f>AO238*AE238</f>
        <v/>
      </c>
      <c r="AZ238" s="66">
        <f>'Project Database'!Z242</f>
        <v/>
      </c>
      <c r="BA238" s="66">
        <f>IF(OR(A238="",'Smart Search'!H13=0),"",MAX(0,BE238*BF238*MAX(0,1-BG238)))</f>
        <v/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66">
        <f>IF('Smart Search'!G13=1,IFERROR(1/'Smart Search'!H13,0),0)</f>
        <v/>
      </c>
      <c r="BD238" s="66">
        <f>BB238*BC238</f>
        <v/>
      </c>
      <c r="BE238" s="66">
        <f>AP238+AQ238+AR238+AS238+AT238+AU238+AV238+AW238+AX238+AY238+BD238</f>
        <v/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5">
        <f>IF(AND('Project Database'!A242&lt;&gt;"",OR('Smart Search'!$L$5="",'Smart Search'!$L$5="All",TRIM('Project Database'!D242)=TRIM('Smart Search'!$L$5)),OR(TRIM('Smart Search'!$L$6)="",TRIM('Smart Search'!$L$6)="All",ISNUMBER(SEARCH(SUBSTITUTE(SUBSTITUTE(SUBSTITUTE(TRIM('Smart Search'!$L$6),"~","~~"),"*","~*"),"?","~?"),'Project Database'!C242))),OR('Smart Search'!$L$7="",AND('Project Database'!E242&lt;&gt;"",'Project Database'!E242='Smart Search'!$L$7)),OR('Smart Search'!$L$8="",'Smart Search'!$L$8="All",TRIM('Project Database'!F242)=TRIM('Smart Search'!$L$8))),IF(BA238="","",BA238+ROW()*0.0000000001),"")</f>
        <v/>
      </c>
      <c r="BI238" s="5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>
        <f>IF('Project Database'!A242="","",N('Project Database'!AC242))</f>
        <v/>
      </c>
      <c r="BK238" s="5">
        <f>IF('Project Database'!A242="","",N('Project Database'!AD242))</f>
        <v/>
      </c>
      <c r="BL238" s="5">
        <f>IF('Project Database'!A242="","",N('Project Database'!AE242))</f>
        <v/>
      </c>
      <c r="BM238" s="5">
        <f>IF('Project Database'!A242="","",N('Project Database'!AF242))</f>
        <v/>
      </c>
      <c r="BN238" s="5">
        <f>IF('Project Database'!A242="","",N('Project Database'!AG242))</f>
        <v/>
      </c>
      <c r="BO238" s="5">
        <f>IF('Project Database'!A242="","",N('Project Database'!AH242))</f>
        <v/>
      </c>
      <c r="BP238" s="5">
        <f>IF('Project Database'!A242="","",N('Project Database'!AI242))</f>
        <v/>
      </c>
      <c r="BQ238" s="5">
        <f>IF('Project Database'!A242="","",N('Project Database'!AJ242))</f>
        <v/>
      </c>
      <c r="BR238" s="5">
        <f>IF('Project Database'!A242="","",N('Project Database'!AK242))</f>
        <v/>
      </c>
      <c r="BS238" s="5">
        <f>IF('Project Database'!A242="","",N('Project Database'!AL242))</f>
        <v/>
      </c>
      <c r="BT238" s="5">
        <f>IF('Project Database'!A242="","",N('Project Database'!AM242))</f>
        <v/>
      </c>
      <c r="BU238" s="5">
        <f>IF('Project Database'!A242="","",N('Project Database'!AN242))</f>
        <v/>
      </c>
      <c r="BV238" s="5">
        <f>IF('Project Database'!A242="","",N('Project Database'!AO242))</f>
        <v/>
      </c>
      <c r="BW238" s="5">
        <f>IF('Project Database'!A242="","",N('Project Database'!AP242))</f>
        <v/>
      </c>
      <c r="BX238" s="5">
        <f>IF(A238="","",SUM(BJ238:BW238))</f>
        <v/>
      </c>
      <c r="BY238" s="5">
        <f>IF(A238="","",IFERROR(IF(ISNUMBER(U238),U238,VALUE(SUBSTITUTE(SUBSTITUTE(SUBSTITUTE(UPPER(TRIM(U238)),"M",""),",","")," ",""))),0))</f>
        <v/>
      </c>
    </row>
    <row r="239" ht="15" customHeight="1" s="74">
      <c r="A239" s="66">
        <f>'Project Database'!A243</f>
        <v/>
      </c>
      <c r="B239" s="66">
        <f>'Project Database'!B243</f>
        <v/>
      </c>
      <c r="C239" s="66">
        <f>'Project Database'!G243</f>
        <v/>
      </c>
      <c r="D239" s="66">
        <f>'Project Database'!H243</f>
        <v/>
      </c>
      <c r="E239" s="66">
        <f>'Project Database'!I243</f>
        <v/>
      </c>
      <c r="F239" s="66">
        <f>'Project Database'!J243</f>
        <v/>
      </c>
      <c r="G239" s="66">
        <f>'Project Database'!K243</f>
        <v/>
      </c>
      <c r="H239" s="66">
        <f>'Project Database'!L243</f>
        <v/>
      </c>
      <c r="I239" s="66">
        <f>'Project Database'!M243</f>
        <v/>
      </c>
      <c r="J239" s="66">
        <f>'Project Database'!N243</f>
        <v/>
      </c>
      <c r="K239" s="66">
        <f>'Project Database'!O243</f>
        <v/>
      </c>
      <c r="L239" s="66">
        <f>'Project Database'!P243</f>
        <v/>
      </c>
      <c r="M239" s="66">
        <f>'Project Database'!Q243</f>
        <v/>
      </c>
      <c r="N239" s="66">
        <f>'Project Database'!R243</f>
        <v/>
      </c>
      <c r="O239" s="66">
        <f>'Project Database'!S243</f>
        <v/>
      </c>
      <c r="P239" s="66">
        <f>'Project Database'!T243</f>
        <v/>
      </c>
      <c r="Q239" s="66">
        <f>'Project Database'!U243</f>
        <v/>
      </c>
      <c r="R239" s="66">
        <f>'Project Database'!V243</f>
        <v/>
      </c>
      <c r="S239" s="66">
        <f>'Project Database'!W243</f>
        <v/>
      </c>
      <c r="T239" s="66">
        <f>'Project Database'!X243</f>
        <v/>
      </c>
      <c r="U239" s="67">
        <f>'Project Database'!Y243</f>
        <v/>
      </c>
      <c r="V239" s="66">
        <f>IF('Smart Search'!B13=1,IFERROR(1/'Smart Search'!H13,0),0)</f>
        <v/>
      </c>
      <c r="W239" s="66">
        <f>IF('Smart Search'!B13=1,IFERROR(1/'Smart Search'!H13,0),0)</f>
        <v/>
      </c>
      <c r="X239" s="66">
        <f>IF('Smart Search'!C13=1,IFERROR(1/'Smart Search'!H13,0),0)</f>
        <v/>
      </c>
      <c r="Y239" s="66">
        <f>IF('Smart Search'!C13=1,IFERROR(1/'Smart Search'!H13,0),0)</f>
        <v/>
      </c>
      <c r="Z239" s="66">
        <f>IF('Smart Search'!D13=1,IFERROR(1/'Smart Search'!H13,0),0)</f>
        <v/>
      </c>
      <c r="AA239" s="66">
        <f>IF('Smart Search'!D13=1,IFERROR(1/'Smart Search'!H13,0),0)</f>
        <v/>
      </c>
      <c r="AB239" s="66">
        <f>IF('Smart Search'!E13=1,IFERROR(1/'Smart Search'!H13,0),0)</f>
        <v/>
      </c>
      <c r="AC239" s="66">
        <f>IF('Smart Search'!E13=1,IFERROR(1/'Smart Search'!H13,0),0)</f>
        <v/>
      </c>
      <c r="AD239" s="66">
        <f>IF('Smart Search'!F13=1,IFERROR(1/'Smart Search'!H13,0),0)</f>
        <v/>
      </c>
      <c r="AE239" s="66">
        <f>IF('Smart Search'!F13=1,IFERROR(1/'Smart Search'!H13,0),0)</f>
        <v/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66">
        <f>AF239*V239</f>
        <v/>
      </c>
      <c r="AQ239" s="66">
        <f>AG239*W239</f>
        <v/>
      </c>
      <c r="AR239" s="66">
        <f>AH239*X239</f>
        <v/>
      </c>
      <c r="AS239" s="66">
        <f>AI239*Y239</f>
        <v/>
      </c>
      <c r="AT239" s="66">
        <f>AJ239*Z239</f>
        <v/>
      </c>
      <c r="AU239" s="66">
        <f>AK239*AA239</f>
        <v/>
      </c>
      <c r="AV239" s="66">
        <f>AL239*AB239</f>
        <v/>
      </c>
      <c r="AW239" s="66">
        <f>AM239*AC239</f>
        <v/>
      </c>
      <c r="AX239" s="66">
        <f>AN239*AD239</f>
        <v/>
      </c>
      <c r="AY239" s="66">
        <f>AO239*AE239</f>
        <v/>
      </c>
      <c r="AZ239" s="66">
        <f>'Project Database'!Z243</f>
        <v/>
      </c>
      <c r="BA239" s="66">
        <f>IF(OR(A239="",'Smart Search'!H13=0),"",MAX(0,BE239*BF239*MAX(0,1-BG239)))</f>
        <v/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66">
        <f>IF('Smart Search'!G13=1,IFERROR(1/'Smart Search'!H13,0),0)</f>
        <v/>
      </c>
      <c r="BD239" s="66">
        <f>BB239*BC239</f>
        <v/>
      </c>
      <c r="BE239" s="66">
        <f>AP239+AQ239+AR239+AS239+AT239+AU239+AV239+AW239+AX239+AY239+BD239</f>
        <v/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5">
        <f>IF(AND('Project Database'!A243&lt;&gt;"",OR('Smart Search'!$L$5="",'Smart Search'!$L$5="All",TRIM('Project Database'!D243)=TRIM('Smart Search'!$L$5)),OR(TRIM('Smart Search'!$L$6)="",TRIM('Smart Search'!$L$6)="All",ISNUMBER(SEARCH(SUBSTITUTE(SUBSTITUTE(SUBSTITUTE(TRIM('Smart Search'!$L$6),"~","~~"),"*","~*"),"?","~?"),'Project Database'!C243))),OR('Smart Search'!$L$7="",AND('Project Database'!E243&lt;&gt;"",'Project Database'!E243='Smart Search'!$L$7)),OR('Smart Search'!$L$8="",'Smart Search'!$L$8="All",TRIM('Project Database'!F243)=TRIM('Smart Search'!$L$8))),IF(BA239="","",BA239+ROW()*0.0000000001),"")</f>
        <v/>
      </c>
      <c r="BI239" s="5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>
        <f>IF('Project Database'!A243="","",N('Project Database'!AC243))</f>
        <v/>
      </c>
      <c r="BK239" s="5">
        <f>IF('Project Database'!A243="","",N('Project Database'!AD243))</f>
        <v/>
      </c>
      <c r="BL239" s="5">
        <f>IF('Project Database'!A243="","",N('Project Database'!AE243))</f>
        <v/>
      </c>
      <c r="BM239" s="5">
        <f>IF('Project Database'!A243="","",N('Project Database'!AF243))</f>
        <v/>
      </c>
      <c r="BN239" s="5">
        <f>IF('Project Database'!A243="","",N('Project Database'!AG243))</f>
        <v/>
      </c>
      <c r="BO239" s="5">
        <f>IF('Project Database'!A243="","",N('Project Database'!AH243))</f>
        <v/>
      </c>
      <c r="BP239" s="5">
        <f>IF('Project Database'!A243="","",N('Project Database'!AI243))</f>
        <v/>
      </c>
      <c r="BQ239" s="5">
        <f>IF('Project Database'!A243="","",N('Project Database'!AJ243))</f>
        <v/>
      </c>
      <c r="BR239" s="5">
        <f>IF('Project Database'!A243="","",N('Project Database'!AK243))</f>
        <v/>
      </c>
      <c r="BS239" s="5">
        <f>IF('Project Database'!A243="","",N('Project Database'!AL243))</f>
        <v/>
      </c>
      <c r="BT239" s="5">
        <f>IF('Project Database'!A243="","",N('Project Database'!AM243))</f>
        <v/>
      </c>
      <c r="BU239" s="5">
        <f>IF('Project Database'!A243="","",N('Project Database'!AN243))</f>
        <v/>
      </c>
      <c r="BV239" s="5">
        <f>IF('Project Database'!A243="","",N('Project Database'!AO243))</f>
        <v/>
      </c>
      <c r="BW239" s="5">
        <f>IF('Project Database'!A243="","",N('Project Database'!AP243))</f>
        <v/>
      </c>
      <c r="BX239" s="5">
        <f>IF(A239="","",SUM(BJ239:BW239))</f>
        <v/>
      </c>
      <c r="BY239" s="5">
        <f>IF(A239="","",IFERROR(IF(ISNUMBER(U239),U239,VALUE(SUBSTITUTE(SUBSTITUTE(SUBSTITUTE(UPPER(TRIM(U239)),"M",""),",","")," ",""))),0))</f>
        <v/>
      </c>
    </row>
    <row r="240" ht="15" customHeight="1" s="74">
      <c r="A240" s="66">
        <f>'Project Database'!A244</f>
        <v/>
      </c>
      <c r="B240" s="66">
        <f>'Project Database'!B244</f>
        <v/>
      </c>
      <c r="C240" s="66">
        <f>'Project Database'!G244</f>
        <v/>
      </c>
      <c r="D240" s="66">
        <f>'Project Database'!H244</f>
        <v/>
      </c>
      <c r="E240" s="66">
        <f>'Project Database'!I244</f>
        <v/>
      </c>
      <c r="F240" s="66">
        <f>'Project Database'!J244</f>
        <v/>
      </c>
      <c r="G240" s="66">
        <f>'Project Database'!K244</f>
        <v/>
      </c>
      <c r="H240" s="66">
        <f>'Project Database'!L244</f>
        <v/>
      </c>
      <c r="I240" s="66">
        <f>'Project Database'!M244</f>
        <v/>
      </c>
      <c r="J240" s="66">
        <f>'Project Database'!N244</f>
        <v/>
      </c>
      <c r="K240" s="66">
        <f>'Project Database'!O244</f>
        <v/>
      </c>
      <c r="L240" s="66">
        <f>'Project Database'!P244</f>
        <v/>
      </c>
      <c r="M240" s="66">
        <f>'Project Database'!Q244</f>
        <v/>
      </c>
      <c r="N240" s="66">
        <f>'Project Database'!R244</f>
        <v/>
      </c>
      <c r="O240" s="66">
        <f>'Project Database'!S244</f>
        <v/>
      </c>
      <c r="P240" s="66">
        <f>'Project Database'!T244</f>
        <v/>
      </c>
      <c r="Q240" s="66">
        <f>'Project Database'!U244</f>
        <v/>
      </c>
      <c r="R240" s="66">
        <f>'Project Database'!V244</f>
        <v/>
      </c>
      <c r="S240" s="66">
        <f>'Project Database'!W244</f>
        <v/>
      </c>
      <c r="T240" s="66">
        <f>'Project Database'!X244</f>
        <v/>
      </c>
      <c r="U240" s="67">
        <f>'Project Database'!Y244</f>
        <v/>
      </c>
      <c r="V240" s="66">
        <f>IF('Smart Search'!B13=1,IFERROR(1/'Smart Search'!H13,0),0)</f>
        <v/>
      </c>
      <c r="W240" s="66">
        <f>IF('Smart Search'!B13=1,IFERROR(1/'Smart Search'!H13,0),0)</f>
        <v/>
      </c>
      <c r="X240" s="66">
        <f>IF('Smart Search'!C13=1,IFERROR(1/'Smart Search'!H13,0),0)</f>
        <v/>
      </c>
      <c r="Y240" s="66">
        <f>IF('Smart Search'!C13=1,IFERROR(1/'Smart Search'!H13,0),0)</f>
        <v/>
      </c>
      <c r="Z240" s="66">
        <f>IF('Smart Search'!D13=1,IFERROR(1/'Smart Search'!H13,0),0)</f>
        <v/>
      </c>
      <c r="AA240" s="66">
        <f>IF('Smart Search'!D13=1,IFERROR(1/'Smart Search'!H13,0),0)</f>
        <v/>
      </c>
      <c r="AB240" s="66">
        <f>IF('Smart Search'!E13=1,IFERROR(1/'Smart Search'!H13,0),0)</f>
        <v/>
      </c>
      <c r="AC240" s="66">
        <f>IF('Smart Search'!E13=1,IFERROR(1/'Smart Search'!H13,0),0)</f>
        <v/>
      </c>
      <c r="AD240" s="66">
        <f>IF('Smart Search'!F13=1,IFERROR(1/'Smart Search'!H13,0),0)</f>
        <v/>
      </c>
      <c r="AE240" s="66">
        <f>IF('Smart Search'!F13=1,IFERROR(1/'Smart Search'!H13,0),0)</f>
        <v/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66">
        <f>AF240*V240</f>
        <v/>
      </c>
      <c r="AQ240" s="66">
        <f>AG240*W240</f>
        <v/>
      </c>
      <c r="AR240" s="66">
        <f>AH240*X240</f>
        <v/>
      </c>
      <c r="AS240" s="66">
        <f>AI240*Y240</f>
        <v/>
      </c>
      <c r="AT240" s="66">
        <f>AJ240*Z240</f>
        <v/>
      </c>
      <c r="AU240" s="66">
        <f>AK240*AA240</f>
        <v/>
      </c>
      <c r="AV240" s="66">
        <f>AL240*AB240</f>
        <v/>
      </c>
      <c r="AW240" s="66">
        <f>AM240*AC240</f>
        <v/>
      </c>
      <c r="AX240" s="66">
        <f>AN240*AD240</f>
        <v/>
      </c>
      <c r="AY240" s="66">
        <f>AO240*AE240</f>
        <v/>
      </c>
      <c r="AZ240" s="66">
        <f>'Project Database'!Z244</f>
        <v/>
      </c>
      <c r="BA240" s="66">
        <f>IF(OR(A240="",'Smart Search'!H13=0),"",MAX(0,BE240*BF240*MAX(0,1-BG240)))</f>
        <v/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66">
        <f>IF('Smart Search'!G13=1,IFERROR(1/'Smart Search'!H13,0),0)</f>
        <v/>
      </c>
      <c r="BD240" s="66">
        <f>BB240*BC240</f>
        <v/>
      </c>
      <c r="BE240" s="66">
        <f>AP240+AQ240+AR240+AS240+AT240+AU240+AV240+AW240+AX240+AY240+BD240</f>
        <v/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5">
        <f>IF(AND('Project Database'!A244&lt;&gt;"",OR('Smart Search'!$L$5="",'Smart Search'!$L$5="All",TRIM('Project Database'!D244)=TRIM('Smart Search'!$L$5)),OR(TRIM('Smart Search'!$L$6)="",TRIM('Smart Search'!$L$6)="All",ISNUMBER(SEARCH(SUBSTITUTE(SUBSTITUTE(SUBSTITUTE(TRIM('Smart Search'!$L$6),"~","~~"),"*","~*"),"?","~?"),'Project Database'!C244))),OR('Smart Search'!$L$7="",AND('Project Database'!E244&lt;&gt;"",'Project Database'!E244='Smart Search'!$L$7)),OR('Smart Search'!$L$8="",'Smart Search'!$L$8="All",TRIM('Project Database'!F244)=TRIM('Smart Search'!$L$8))),IF(BA240="","",BA240+ROW()*0.0000000001),"")</f>
        <v/>
      </c>
      <c r="BI240" s="5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>
        <f>IF('Project Database'!A244="","",N('Project Database'!AC244))</f>
        <v/>
      </c>
      <c r="BK240" s="5">
        <f>IF('Project Database'!A244="","",N('Project Database'!AD244))</f>
        <v/>
      </c>
      <c r="BL240" s="5">
        <f>IF('Project Database'!A244="","",N('Project Database'!AE244))</f>
        <v/>
      </c>
      <c r="BM240" s="5">
        <f>IF('Project Database'!A244="","",N('Project Database'!AF244))</f>
        <v/>
      </c>
      <c r="BN240" s="5">
        <f>IF('Project Database'!A244="","",N('Project Database'!AG244))</f>
        <v/>
      </c>
      <c r="BO240" s="5">
        <f>IF('Project Database'!A244="","",N('Project Database'!AH244))</f>
        <v/>
      </c>
      <c r="BP240" s="5">
        <f>IF('Project Database'!A244="","",N('Project Database'!AI244))</f>
        <v/>
      </c>
      <c r="BQ240" s="5">
        <f>IF('Project Database'!A244="","",N('Project Database'!AJ244))</f>
        <v/>
      </c>
      <c r="BR240" s="5">
        <f>IF('Project Database'!A244="","",N('Project Database'!AK244))</f>
        <v/>
      </c>
      <c r="BS240" s="5">
        <f>IF('Project Database'!A244="","",N('Project Database'!AL244))</f>
        <v/>
      </c>
      <c r="BT240" s="5">
        <f>IF('Project Database'!A244="","",N('Project Database'!AM244))</f>
        <v/>
      </c>
      <c r="BU240" s="5">
        <f>IF('Project Database'!A244="","",N('Project Database'!AN244))</f>
        <v/>
      </c>
      <c r="BV240" s="5">
        <f>IF('Project Database'!A244="","",N('Project Database'!AO244))</f>
        <v/>
      </c>
      <c r="BW240" s="5">
        <f>IF('Project Database'!A244="","",N('Project Database'!AP244))</f>
        <v/>
      </c>
      <c r="BX240" s="5">
        <f>IF(A240="","",SUM(BJ240:BW240))</f>
        <v/>
      </c>
      <c r="BY240" s="5">
        <f>IF(A240="","",IFERROR(IF(ISNUMBER(U240),U240,VALUE(SUBSTITUTE(SUBSTITUTE(SUBSTITUTE(UPPER(TRIM(U240)),"M",""),",","")," ",""))),0))</f>
        <v/>
      </c>
    </row>
    <row r="241" ht="15" customHeight="1" s="74">
      <c r="A241" s="66">
        <f>'Project Database'!A245</f>
        <v/>
      </c>
      <c r="B241" s="66">
        <f>'Project Database'!B245</f>
        <v/>
      </c>
      <c r="C241" s="66">
        <f>'Project Database'!G245</f>
        <v/>
      </c>
      <c r="D241" s="66">
        <f>'Project Database'!H245</f>
        <v/>
      </c>
      <c r="E241" s="66">
        <f>'Project Database'!I245</f>
        <v/>
      </c>
      <c r="F241" s="66">
        <f>'Project Database'!J245</f>
        <v/>
      </c>
      <c r="G241" s="66">
        <f>'Project Database'!K245</f>
        <v/>
      </c>
      <c r="H241" s="66">
        <f>'Project Database'!L245</f>
        <v/>
      </c>
      <c r="I241" s="66">
        <f>'Project Database'!M245</f>
        <v/>
      </c>
      <c r="J241" s="66">
        <f>'Project Database'!N245</f>
        <v/>
      </c>
      <c r="K241" s="66">
        <f>'Project Database'!O245</f>
        <v/>
      </c>
      <c r="L241" s="66">
        <f>'Project Database'!P245</f>
        <v/>
      </c>
      <c r="M241" s="66">
        <f>'Project Database'!Q245</f>
        <v/>
      </c>
      <c r="N241" s="66">
        <f>'Project Database'!R245</f>
        <v/>
      </c>
      <c r="O241" s="66">
        <f>'Project Database'!S245</f>
        <v/>
      </c>
      <c r="P241" s="66">
        <f>'Project Database'!T245</f>
        <v/>
      </c>
      <c r="Q241" s="66">
        <f>'Project Database'!U245</f>
        <v/>
      </c>
      <c r="R241" s="66">
        <f>'Project Database'!V245</f>
        <v/>
      </c>
      <c r="S241" s="66">
        <f>'Project Database'!W245</f>
        <v/>
      </c>
      <c r="T241" s="66">
        <f>'Project Database'!X245</f>
        <v/>
      </c>
      <c r="U241" s="67">
        <f>'Project Database'!Y245</f>
        <v/>
      </c>
      <c r="V241" s="66">
        <f>IF('Smart Search'!B13=1,IFERROR(1/'Smart Search'!H13,0),0)</f>
        <v/>
      </c>
      <c r="W241" s="66">
        <f>IF('Smart Search'!B13=1,IFERROR(1/'Smart Search'!H13,0),0)</f>
        <v/>
      </c>
      <c r="X241" s="66">
        <f>IF('Smart Search'!C13=1,IFERROR(1/'Smart Search'!H13,0),0)</f>
        <v/>
      </c>
      <c r="Y241" s="66">
        <f>IF('Smart Search'!C13=1,IFERROR(1/'Smart Search'!H13,0),0)</f>
        <v/>
      </c>
      <c r="Z241" s="66">
        <f>IF('Smart Search'!D13=1,IFERROR(1/'Smart Search'!H13,0),0)</f>
        <v/>
      </c>
      <c r="AA241" s="66">
        <f>IF('Smart Search'!D13=1,IFERROR(1/'Smart Search'!H13,0),0)</f>
        <v/>
      </c>
      <c r="AB241" s="66">
        <f>IF('Smart Search'!E13=1,IFERROR(1/'Smart Search'!H13,0),0)</f>
        <v/>
      </c>
      <c r="AC241" s="66">
        <f>IF('Smart Search'!E13=1,IFERROR(1/'Smart Search'!H13,0),0)</f>
        <v/>
      </c>
      <c r="AD241" s="66">
        <f>IF('Smart Search'!F13=1,IFERROR(1/'Smart Search'!H13,0),0)</f>
        <v/>
      </c>
      <c r="AE241" s="66">
        <f>IF('Smart Search'!F13=1,IFERROR(1/'Smart Search'!H13,0),0)</f>
        <v/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66">
        <f>AF241*V241</f>
        <v/>
      </c>
      <c r="AQ241" s="66">
        <f>AG241*W241</f>
        <v/>
      </c>
      <c r="AR241" s="66">
        <f>AH241*X241</f>
        <v/>
      </c>
      <c r="AS241" s="66">
        <f>AI241*Y241</f>
        <v/>
      </c>
      <c r="AT241" s="66">
        <f>AJ241*Z241</f>
        <v/>
      </c>
      <c r="AU241" s="66">
        <f>AK241*AA241</f>
        <v/>
      </c>
      <c r="AV241" s="66">
        <f>AL241*AB241</f>
        <v/>
      </c>
      <c r="AW241" s="66">
        <f>AM241*AC241</f>
        <v/>
      </c>
      <c r="AX241" s="66">
        <f>AN241*AD241</f>
        <v/>
      </c>
      <c r="AY241" s="66">
        <f>AO241*AE241</f>
        <v/>
      </c>
      <c r="AZ241" s="66">
        <f>'Project Database'!Z245</f>
        <v/>
      </c>
      <c r="BA241" s="66">
        <f>IF(OR(A241="",'Smart Search'!H13=0),"",MAX(0,BE241*BF241*MAX(0,1-BG241)))</f>
        <v/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66">
        <f>IF('Smart Search'!G13=1,IFERROR(1/'Smart Search'!H13,0),0)</f>
        <v/>
      </c>
      <c r="BD241" s="66">
        <f>BB241*BC241</f>
        <v/>
      </c>
      <c r="BE241" s="66">
        <f>AP241+AQ241+AR241+AS241+AT241+AU241+AV241+AW241+AX241+AY241+BD241</f>
        <v/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5">
        <f>IF(AND('Project Database'!A245&lt;&gt;"",OR('Smart Search'!$L$5="",'Smart Search'!$L$5="All",TRIM('Project Database'!D245)=TRIM('Smart Search'!$L$5)),OR(TRIM('Smart Search'!$L$6)="",TRIM('Smart Search'!$L$6)="All",ISNUMBER(SEARCH(SUBSTITUTE(SUBSTITUTE(SUBSTITUTE(TRIM('Smart Search'!$L$6),"~","~~"),"*","~*"),"?","~?"),'Project Database'!C245))),OR('Smart Search'!$L$7="",AND('Project Database'!E245&lt;&gt;"",'Project Database'!E245='Smart Search'!$L$7)),OR('Smart Search'!$L$8="",'Smart Search'!$L$8="All",TRIM('Project Database'!F245)=TRIM('Smart Search'!$L$8))),IF(BA241="","",BA241+ROW()*0.0000000001),"")</f>
        <v/>
      </c>
      <c r="BI241" s="5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>
        <f>IF('Project Database'!A245="","",N('Project Database'!AC245))</f>
        <v/>
      </c>
      <c r="BK241" s="5">
        <f>IF('Project Database'!A245="","",N('Project Database'!AD245))</f>
        <v/>
      </c>
      <c r="BL241" s="5">
        <f>IF('Project Database'!A245="","",N('Project Database'!AE245))</f>
        <v/>
      </c>
      <c r="BM241" s="5">
        <f>IF('Project Database'!A245="","",N('Project Database'!AF245))</f>
        <v/>
      </c>
      <c r="BN241" s="5">
        <f>IF('Project Database'!A245="","",N('Project Database'!AG245))</f>
        <v/>
      </c>
      <c r="BO241" s="5">
        <f>IF('Project Database'!A245="","",N('Project Database'!AH245))</f>
        <v/>
      </c>
      <c r="BP241" s="5">
        <f>IF('Project Database'!A245="","",N('Project Database'!AI245))</f>
        <v/>
      </c>
      <c r="BQ241" s="5">
        <f>IF('Project Database'!A245="","",N('Project Database'!AJ245))</f>
        <v/>
      </c>
      <c r="BR241" s="5">
        <f>IF('Project Database'!A245="","",N('Project Database'!AK245))</f>
        <v/>
      </c>
      <c r="BS241" s="5">
        <f>IF('Project Database'!A245="","",N('Project Database'!AL245))</f>
        <v/>
      </c>
      <c r="BT241" s="5">
        <f>IF('Project Database'!A245="","",N('Project Database'!AM245))</f>
        <v/>
      </c>
      <c r="BU241" s="5">
        <f>IF('Project Database'!A245="","",N('Project Database'!AN245))</f>
        <v/>
      </c>
      <c r="BV241" s="5">
        <f>IF('Project Database'!A245="","",N('Project Database'!AO245))</f>
        <v/>
      </c>
      <c r="BW241" s="5">
        <f>IF('Project Database'!A245="","",N('Project Database'!AP245))</f>
        <v/>
      </c>
      <c r="BX241" s="5">
        <f>IF(A241="","",SUM(BJ241:BW241))</f>
        <v/>
      </c>
      <c r="BY241" s="5">
        <f>IF(A241="","",IFERROR(IF(ISNUMBER(U241),U241,VALUE(SUBSTITUTE(SUBSTITUTE(SUBSTITUTE(UPPER(TRIM(U241)),"M",""),",","")," ",""))),0))</f>
        <v/>
      </c>
    </row>
    <row r="242" ht="15" customHeight="1" s="74">
      <c r="A242" s="66">
        <f>'Project Database'!A246</f>
        <v/>
      </c>
      <c r="B242" s="66">
        <f>'Project Database'!B246</f>
        <v/>
      </c>
      <c r="C242" s="66">
        <f>'Project Database'!G246</f>
        <v/>
      </c>
      <c r="D242" s="66">
        <f>'Project Database'!H246</f>
        <v/>
      </c>
      <c r="E242" s="66">
        <f>'Project Database'!I246</f>
        <v/>
      </c>
      <c r="F242" s="66">
        <f>'Project Database'!J246</f>
        <v/>
      </c>
      <c r="G242" s="66">
        <f>'Project Database'!K246</f>
        <v/>
      </c>
      <c r="H242" s="66">
        <f>'Project Database'!L246</f>
        <v/>
      </c>
      <c r="I242" s="66">
        <f>'Project Database'!M246</f>
        <v/>
      </c>
      <c r="J242" s="66">
        <f>'Project Database'!N246</f>
        <v/>
      </c>
      <c r="K242" s="66">
        <f>'Project Database'!O246</f>
        <v/>
      </c>
      <c r="L242" s="66">
        <f>'Project Database'!P246</f>
        <v/>
      </c>
      <c r="M242" s="66">
        <f>'Project Database'!Q246</f>
        <v/>
      </c>
      <c r="N242" s="66">
        <f>'Project Database'!R246</f>
        <v/>
      </c>
      <c r="O242" s="66">
        <f>'Project Database'!S246</f>
        <v/>
      </c>
      <c r="P242" s="66">
        <f>'Project Database'!T246</f>
        <v/>
      </c>
      <c r="Q242" s="66">
        <f>'Project Database'!U246</f>
        <v/>
      </c>
      <c r="R242" s="66">
        <f>'Project Database'!V246</f>
        <v/>
      </c>
      <c r="S242" s="66">
        <f>'Project Database'!W246</f>
        <v/>
      </c>
      <c r="T242" s="66">
        <f>'Project Database'!X246</f>
        <v/>
      </c>
      <c r="U242" s="67">
        <f>'Project Database'!Y246</f>
        <v/>
      </c>
      <c r="V242" s="66">
        <f>IF('Smart Search'!B13=1,IFERROR(1/'Smart Search'!H13,0),0)</f>
        <v/>
      </c>
      <c r="W242" s="66">
        <f>IF('Smart Search'!B13=1,IFERROR(1/'Smart Search'!H13,0),0)</f>
        <v/>
      </c>
      <c r="X242" s="66">
        <f>IF('Smart Search'!C13=1,IFERROR(1/'Smart Search'!H13,0),0)</f>
        <v/>
      </c>
      <c r="Y242" s="66">
        <f>IF('Smart Search'!C13=1,IFERROR(1/'Smart Search'!H13,0),0)</f>
        <v/>
      </c>
      <c r="Z242" s="66">
        <f>IF('Smart Search'!D13=1,IFERROR(1/'Smart Search'!H13,0),0)</f>
        <v/>
      </c>
      <c r="AA242" s="66">
        <f>IF('Smart Search'!D13=1,IFERROR(1/'Smart Search'!H13,0),0)</f>
        <v/>
      </c>
      <c r="AB242" s="66">
        <f>IF('Smart Search'!E13=1,IFERROR(1/'Smart Search'!H13,0),0)</f>
        <v/>
      </c>
      <c r="AC242" s="66">
        <f>IF('Smart Search'!E13=1,IFERROR(1/'Smart Search'!H13,0),0)</f>
        <v/>
      </c>
      <c r="AD242" s="66">
        <f>IF('Smart Search'!F13=1,IFERROR(1/'Smart Search'!H13,0),0)</f>
        <v/>
      </c>
      <c r="AE242" s="66">
        <f>IF('Smart Search'!F13=1,IFERROR(1/'Smart Search'!H13,0),0)</f>
        <v/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66">
        <f>AF242*V242</f>
        <v/>
      </c>
      <c r="AQ242" s="66">
        <f>AG242*W242</f>
        <v/>
      </c>
      <c r="AR242" s="66">
        <f>AH242*X242</f>
        <v/>
      </c>
      <c r="AS242" s="66">
        <f>AI242*Y242</f>
        <v/>
      </c>
      <c r="AT242" s="66">
        <f>AJ242*Z242</f>
        <v/>
      </c>
      <c r="AU242" s="66">
        <f>AK242*AA242</f>
        <v/>
      </c>
      <c r="AV242" s="66">
        <f>AL242*AB242</f>
        <v/>
      </c>
      <c r="AW242" s="66">
        <f>AM242*AC242</f>
        <v/>
      </c>
      <c r="AX242" s="66">
        <f>AN242*AD242</f>
        <v/>
      </c>
      <c r="AY242" s="66">
        <f>AO242*AE242</f>
        <v/>
      </c>
      <c r="AZ242" s="66">
        <f>'Project Database'!Z246</f>
        <v/>
      </c>
      <c r="BA242" s="66">
        <f>IF(OR(A242="",'Smart Search'!H13=0),"",MAX(0,BE242*BF242*MAX(0,1-BG242)))</f>
        <v/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66">
        <f>IF('Smart Search'!G13=1,IFERROR(1/'Smart Search'!H13,0),0)</f>
        <v/>
      </c>
      <c r="BD242" s="66">
        <f>BB242*BC242</f>
        <v/>
      </c>
      <c r="BE242" s="66">
        <f>AP242+AQ242+AR242+AS242+AT242+AU242+AV242+AW242+AX242+AY242+BD242</f>
        <v/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5">
        <f>IF(AND('Project Database'!A246&lt;&gt;"",OR('Smart Search'!$L$5="",'Smart Search'!$L$5="All",TRIM('Project Database'!D246)=TRIM('Smart Search'!$L$5)),OR(TRIM('Smart Search'!$L$6)="",TRIM('Smart Search'!$L$6)="All",ISNUMBER(SEARCH(SUBSTITUTE(SUBSTITUTE(SUBSTITUTE(TRIM('Smart Search'!$L$6),"~","~~"),"*","~*"),"?","~?"),'Project Database'!C246))),OR('Smart Search'!$L$7="",AND('Project Database'!E246&lt;&gt;"",'Project Database'!E246='Smart Search'!$L$7)),OR('Smart Search'!$L$8="",'Smart Search'!$L$8="All",TRIM('Project Database'!F246)=TRIM('Smart Search'!$L$8))),IF(BA242="","",BA242+ROW()*0.0000000001),"")</f>
        <v/>
      </c>
      <c r="BI242" s="5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>
        <f>IF('Project Database'!A246="","",N('Project Database'!AC246))</f>
        <v/>
      </c>
      <c r="BK242" s="5">
        <f>IF('Project Database'!A246="","",N('Project Database'!AD246))</f>
        <v/>
      </c>
      <c r="BL242" s="5">
        <f>IF('Project Database'!A246="","",N('Project Database'!AE246))</f>
        <v/>
      </c>
      <c r="BM242" s="5">
        <f>IF('Project Database'!A246="","",N('Project Database'!AF246))</f>
        <v/>
      </c>
      <c r="BN242" s="5">
        <f>IF('Project Database'!A246="","",N('Project Database'!AG246))</f>
        <v/>
      </c>
      <c r="BO242" s="5">
        <f>IF('Project Database'!A246="","",N('Project Database'!AH246))</f>
        <v/>
      </c>
      <c r="BP242" s="5">
        <f>IF('Project Database'!A246="","",N('Project Database'!AI246))</f>
        <v/>
      </c>
      <c r="BQ242" s="5">
        <f>IF('Project Database'!A246="","",N('Project Database'!AJ246))</f>
        <v/>
      </c>
      <c r="BR242" s="5">
        <f>IF('Project Database'!A246="","",N('Project Database'!AK246))</f>
        <v/>
      </c>
      <c r="BS242" s="5">
        <f>IF('Project Database'!A246="","",N('Project Database'!AL246))</f>
        <v/>
      </c>
      <c r="BT242" s="5">
        <f>IF('Project Database'!A246="","",N('Project Database'!AM246))</f>
        <v/>
      </c>
      <c r="BU242" s="5">
        <f>IF('Project Database'!A246="","",N('Project Database'!AN246))</f>
        <v/>
      </c>
      <c r="BV242" s="5">
        <f>IF('Project Database'!A246="","",N('Project Database'!AO246))</f>
        <v/>
      </c>
      <c r="BW242" s="5">
        <f>IF('Project Database'!A246="","",N('Project Database'!AP246))</f>
        <v/>
      </c>
      <c r="BX242" s="5">
        <f>IF(A242="","",SUM(BJ242:BW242))</f>
        <v/>
      </c>
      <c r="BY242" s="5">
        <f>IF(A242="","",IFERROR(IF(ISNUMBER(U242),U242,VALUE(SUBSTITUTE(SUBSTITUTE(SUBSTITUTE(UPPER(TRIM(U242)),"M",""),",","")," ",""))),0))</f>
        <v/>
      </c>
    </row>
    <row r="243" ht="15" customHeight="1" s="74">
      <c r="A243" s="66">
        <f>'Project Database'!A247</f>
        <v/>
      </c>
      <c r="B243" s="66">
        <f>'Project Database'!B247</f>
        <v/>
      </c>
      <c r="C243" s="66">
        <f>'Project Database'!G247</f>
        <v/>
      </c>
      <c r="D243" s="66">
        <f>'Project Database'!H247</f>
        <v/>
      </c>
      <c r="E243" s="66">
        <f>'Project Database'!I247</f>
        <v/>
      </c>
      <c r="F243" s="66">
        <f>'Project Database'!J247</f>
        <v/>
      </c>
      <c r="G243" s="66">
        <f>'Project Database'!K247</f>
        <v/>
      </c>
      <c r="H243" s="66">
        <f>'Project Database'!L247</f>
        <v/>
      </c>
      <c r="I243" s="66">
        <f>'Project Database'!M247</f>
        <v/>
      </c>
      <c r="J243" s="66">
        <f>'Project Database'!N247</f>
        <v/>
      </c>
      <c r="K243" s="66">
        <f>'Project Database'!O247</f>
        <v/>
      </c>
      <c r="L243" s="66">
        <f>'Project Database'!P247</f>
        <v/>
      </c>
      <c r="M243" s="66">
        <f>'Project Database'!Q247</f>
        <v/>
      </c>
      <c r="N243" s="66">
        <f>'Project Database'!R247</f>
        <v/>
      </c>
      <c r="O243" s="66">
        <f>'Project Database'!S247</f>
        <v/>
      </c>
      <c r="P243" s="66">
        <f>'Project Database'!T247</f>
        <v/>
      </c>
      <c r="Q243" s="66">
        <f>'Project Database'!U247</f>
        <v/>
      </c>
      <c r="R243" s="66">
        <f>'Project Database'!V247</f>
        <v/>
      </c>
      <c r="S243" s="66">
        <f>'Project Database'!W247</f>
        <v/>
      </c>
      <c r="T243" s="66">
        <f>'Project Database'!X247</f>
        <v/>
      </c>
      <c r="U243" s="67">
        <f>'Project Database'!Y247</f>
        <v/>
      </c>
      <c r="V243" s="66">
        <f>IF('Smart Search'!B13=1,IFERROR(1/'Smart Search'!H13,0),0)</f>
        <v/>
      </c>
      <c r="W243" s="66">
        <f>IF('Smart Search'!B13=1,IFERROR(1/'Smart Search'!H13,0),0)</f>
        <v/>
      </c>
      <c r="X243" s="66">
        <f>IF('Smart Search'!C13=1,IFERROR(1/'Smart Search'!H13,0),0)</f>
        <v/>
      </c>
      <c r="Y243" s="66">
        <f>IF('Smart Search'!C13=1,IFERROR(1/'Smart Search'!H13,0),0)</f>
        <v/>
      </c>
      <c r="Z243" s="66">
        <f>IF('Smart Search'!D13=1,IFERROR(1/'Smart Search'!H13,0),0)</f>
        <v/>
      </c>
      <c r="AA243" s="66">
        <f>IF('Smart Search'!D13=1,IFERROR(1/'Smart Search'!H13,0),0)</f>
        <v/>
      </c>
      <c r="AB243" s="66">
        <f>IF('Smart Search'!E13=1,IFERROR(1/'Smart Search'!H13,0),0)</f>
        <v/>
      </c>
      <c r="AC243" s="66">
        <f>IF('Smart Search'!E13=1,IFERROR(1/'Smart Search'!H13,0),0)</f>
        <v/>
      </c>
      <c r="AD243" s="66">
        <f>IF('Smart Search'!F13=1,IFERROR(1/'Smart Search'!H13,0),0)</f>
        <v/>
      </c>
      <c r="AE243" s="66">
        <f>IF('Smart Search'!F13=1,IFERROR(1/'Smart Search'!H13,0),0)</f>
        <v/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66">
        <f>AF243*V243</f>
        <v/>
      </c>
      <c r="AQ243" s="66">
        <f>AG243*W243</f>
        <v/>
      </c>
      <c r="AR243" s="66">
        <f>AH243*X243</f>
        <v/>
      </c>
      <c r="AS243" s="66">
        <f>AI243*Y243</f>
        <v/>
      </c>
      <c r="AT243" s="66">
        <f>AJ243*Z243</f>
        <v/>
      </c>
      <c r="AU243" s="66">
        <f>AK243*AA243</f>
        <v/>
      </c>
      <c r="AV243" s="66">
        <f>AL243*AB243</f>
        <v/>
      </c>
      <c r="AW243" s="66">
        <f>AM243*AC243</f>
        <v/>
      </c>
      <c r="AX243" s="66">
        <f>AN243*AD243</f>
        <v/>
      </c>
      <c r="AY243" s="66">
        <f>AO243*AE243</f>
        <v/>
      </c>
      <c r="AZ243" s="66">
        <f>'Project Database'!Z247</f>
        <v/>
      </c>
      <c r="BA243" s="66">
        <f>IF(OR(A243="",'Smart Search'!H13=0),"",MAX(0,BE243*BF243*MAX(0,1-BG243)))</f>
        <v/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66">
        <f>IF('Smart Search'!G13=1,IFERROR(1/'Smart Search'!H13,0),0)</f>
        <v/>
      </c>
      <c r="BD243" s="66">
        <f>BB243*BC243</f>
        <v/>
      </c>
      <c r="BE243" s="66">
        <f>AP243+AQ243+AR243+AS243+AT243+AU243+AV243+AW243+AX243+AY243+BD243</f>
        <v/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5">
        <f>IF(AND('Project Database'!A247&lt;&gt;"",OR('Smart Search'!$L$5="",'Smart Search'!$L$5="All",TRIM('Project Database'!D247)=TRIM('Smart Search'!$L$5)),OR(TRIM('Smart Search'!$L$6)="",TRIM('Smart Search'!$L$6)="All",ISNUMBER(SEARCH(SUBSTITUTE(SUBSTITUTE(SUBSTITUTE(TRIM('Smart Search'!$L$6),"~","~~"),"*","~*"),"?","~?"),'Project Database'!C247))),OR('Smart Search'!$L$7="",AND('Project Database'!E247&lt;&gt;"",'Project Database'!E247='Smart Search'!$L$7)),OR('Smart Search'!$L$8="",'Smart Search'!$L$8="All",TRIM('Project Database'!F247)=TRIM('Smart Search'!$L$8))),IF(BA243="","",BA243+ROW()*0.0000000001),"")</f>
        <v/>
      </c>
      <c r="BI243" s="5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>
        <f>IF('Project Database'!A247="","",N('Project Database'!AC247))</f>
        <v/>
      </c>
      <c r="BK243" s="5">
        <f>IF('Project Database'!A247="","",N('Project Database'!AD247))</f>
        <v/>
      </c>
      <c r="BL243" s="5">
        <f>IF('Project Database'!A247="","",N('Project Database'!AE247))</f>
        <v/>
      </c>
      <c r="BM243" s="5">
        <f>IF('Project Database'!A247="","",N('Project Database'!AF247))</f>
        <v/>
      </c>
      <c r="BN243" s="5">
        <f>IF('Project Database'!A247="","",N('Project Database'!AG247))</f>
        <v/>
      </c>
      <c r="BO243" s="5">
        <f>IF('Project Database'!A247="","",N('Project Database'!AH247))</f>
        <v/>
      </c>
      <c r="BP243" s="5">
        <f>IF('Project Database'!A247="","",N('Project Database'!AI247))</f>
        <v/>
      </c>
      <c r="BQ243" s="5">
        <f>IF('Project Database'!A247="","",N('Project Database'!AJ247))</f>
        <v/>
      </c>
      <c r="BR243" s="5">
        <f>IF('Project Database'!A247="","",N('Project Database'!AK247))</f>
        <v/>
      </c>
      <c r="BS243" s="5">
        <f>IF('Project Database'!A247="","",N('Project Database'!AL247))</f>
        <v/>
      </c>
      <c r="BT243" s="5">
        <f>IF('Project Database'!A247="","",N('Project Database'!AM247))</f>
        <v/>
      </c>
      <c r="BU243" s="5">
        <f>IF('Project Database'!A247="","",N('Project Database'!AN247))</f>
        <v/>
      </c>
      <c r="BV243" s="5">
        <f>IF('Project Database'!A247="","",N('Project Database'!AO247))</f>
        <v/>
      </c>
      <c r="BW243" s="5">
        <f>IF('Project Database'!A247="","",N('Project Database'!AP247))</f>
        <v/>
      </c>
      <c r="BX243" s="5">
        <f>IF(A243="","",SUM(BJ243:BW243))</f>
        <v/>
      </c>
      <c r="BY243" s="5">
        <f>IF(A243="","",IFERROR(IF(ISNUMBER(U243),U243,VALUE(SUBSTITUTE(SUBSTITUTE(SUBSTITUTE(UPPER(TRIM(U243)),"M",""),",","")," ",""))),0))</f>
        <v/>
      </c>
    </row>
    <row r="244" ht="15" customHeight="1" s="74">
      <c r="A244" s="66">
        <f>'Project Database'!A248</f>
        <v/>
      </c>
      <c r="B244" s="66">
        <f>'Project Database'!B248</f>
        <v/>
      </c>
      <c r="C244" s="66">
        <f>'Project Database'!G248</f>
        <v/>
      </c>
      <c r="D244" s="66">
        <f>'Project Database'!H248</f>
        <v/>
      </c>
      <c r="E244" s="66">
        <f>'Project Database'!I248</f>
        <v/>
      </c>
      <c r="F244" s="66">
        <f>'Project Database'!J248</f>
        <v/>
      </c>
      <c r="G244" s="66">
        <f>'Project Database'!K248</f>
        <v/>
      </c>
      <c r="H244" s="66">
        <f>'Project Database'!L248</f>
        <v/>
      </c>
      <c r="I244" s="66">
        <f>'Project Database'!M248</f>
        <v/>
      </c>
      <c r="J244" s="66">
        <f>'Project Database'!N248</f>
        <v/>
      </c>
      <c r="K244" s="66">
        <f>'Project Database'!O248</f>
        <v/>
      </c>
      <c r="L244" s="66">
        <f>'Project Database'!P248</f>
        <v/>
      </c>
      <c r="M244" s="66">
        <f>'Project Database'!Q248</f>
        <v/>
      </c>
      <c r="N244" s="66">
        <f>'Project Database'!R248</f>
        <v/>
      </c>
      <c r="O244" s="66">
        <f>'Project Database'!S248</f>
        <v/>
      </c>
      <c r="P244" s="66">
        <f>'Project Database'!T248</f>
        <v/>
      </c>
      <c r="Q244" s="66">
        <f>'Project Database'!U248</f>
        <v/>
      </c>
      <c r="R244" s="66">
        <f>'Project Database'!V248</f>
        <v/>
      </c>
      <c r="S244" s="66">
        <f>'Project Database'!W248</f>
        <v/>
      </c>
      <c r="T244" s="66">
        <f>'Project Database'!X248</f>
        <v/>
      </c>
      <c r="U244" s="67">
        <f>'Project Database'!Y248</f>
        <v/>
      </c>
      <c r="V244" s="66">
        <f>IF('Smart Search'!B13=1,IFERROR(1/'Smart Search'!H13,0),0)</f>
        <v/>
      </c>
      <c r="W244" s="66">
        <f>IF('Smart Search'!B13=1,IFERROR(1/'Smart Search'!H13,0),0)</f>
        <v/>
      </c>
      <c r="X244" s="66">
        <f>IF('Smart Search'!C13=1,IFERROR(1/'Smart Search'!H13,0),0)</f>
        <v/>
      </c>
      <c r="Y244" s="66">
        <f>IF('Smart Search'!C13=1,IFERROR(1/'Smart Search'!H13,0),0)</f>
        <v/>
      </c>
      <c r="Z244" s="66">
        <f>IF('Smart Search'!D13=1,IFERROR(1/'Smart Search'!H13,0),0)</f>
        <v/>
      </c>
      <c r="AA244" s="66">
        <f>IF('Smart Search'!D13=1,IFERROR(1/'Smart Search'!H13,0),0)</f>
        <v/>
      </c>
      <c r="AB244" s="66">
        <f>IF('Smart Search'!E13=1,IFERROR(1/'Smart Search'!H13,0),0)</f>
        <v/>
      </c>
      <c r="AC244" s="66">
        <f>IF('Smart Search'!E13=1,IFERROR(1/'Smart Search'!H13,0),0)</f>
        <v/>
      </c>
      <c r="AD244" s="66">
        <f>IF('Smart Search'!F13=1,IFERROR(1/'Smart Search'!H13,0),0)</f>
        <v/>
      </c>
      <c r="AE244" s="66">
        <f>IF('Smart Search'!F13=1,IFERROR(1/'Smart Search'!H13,0),0)</f>
        <v/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66">
        <f>AF244*V244</f>
        <v/>
      </c>
      <c r="AQ244" s="66">
        <f>AG244*W244</f>
        <v/>
      </c>
      <c r="AR244" s="66">
        <f>AH244*X244</f>
        <v/>
      </c>
      <c r="AS244" s="66">
        <f>AI244*Y244</f>
        <v/>
      </c>
      <c r="AT244" s="66">
        <f>AJ244*Z244</f>
        <v/>
      </c>
      <c r="AU244" s="66">
        <f>AK244*AA244</f>
        <v/>
      </c>
      <c r="AV244" s="66">
        <f>AL244*AB244</f>
        <v/>
      </c>
      <c r="AW244" s="66">
        <f>AM244*AC244</f>
        <v/>
      </c>
      <c r="AX244" s="66">
        <f>AN244*AD244</f>
        <v/>
      </c>
      <c r="AY244" s="66">
        <f>AO244*AE244</f>
        <v/>
      </c>
      <c r="AZ244" s="66">
        <f>'Project Database'!Z248</f>
        <v/>
      </c>
      <c r="BA244" s="66">
        <f>IF(OR(A244="",'Smart Search'!H13=0),"",MAX(0,BE244*BF244*MAX(0,1-BG244)))</f>
        <v/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66">
        <f>IF('Smart Search'!G13=1,IFERROR(1/'Smart Search'!H13,0),0)</f>
        <v/>
      </c>
      <c r="BD244" s="66">
        <f>BB244*BC244</f>
        <v/>
      </c>
      <c r="BE244" s="66">
        <f>AP244+AQ244+AR244+AS244+AT244+AU244+AV244+AW244+AX244+AY244+BD244</f>
        <v/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5">
        <f>IF(AND('Project Database'!A248&lt;&gt;"",OR('Smart Search'!$L$5="",'Smart Search'!$L$5="All",TRIM('Project Database'!D248)=TRIM('Smart Search'!$L$5)),OR(TRIM('Smart Search'!$L$6)="",TRIM('Smart Search'!$L$6)="All",ISNUMBER(SEARCH(SUBSTITUTE(SUBSTITUTE(SUBSTITUTE(TRIM('Smart Search'!$L$6),"~","~~"),"*","~*"),"?","~?"),'Project Database'!C248))),OR('Smart Search'!$L$7="",AND('Project Database'!E248&lt;&gt;"",'Project Database'!E248='Smart Search'!$L$7)),OR('Smart Search'!$L$8="",'Smart Search'!$L$8="All",TRIM('Project Database'!F248)=TRIM('Smart Search'!$L$8))),IF(BA244="","",BA244+ROW()*0.0000000001),"")</f>
        <v/>
      </c>
      <c r="BI244" s="5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>
        <f>IF('Project Database'!A248="","",N('Project Database'!AC248))</f>
        <v/>
      </c>
      <c r="BK244" s="5">
        <f>IF('Project Database'!A248="","",N('Project Database'!AD248))</f>
        <v/>
      </c>
      <c r="BL244" s="5">
        <f>IF('Project Database'!A248="","",N('Project Database'!AE248))</f>
        <v/>
      </c>
      <c r="BM244" s="5">
        <f>IF('Project Database'!A248="","",N('Project Database'!AF248))</f>
        <v/>
      </c>
      <c r="BN244" s="5">
        <f>IF('Project Database'!A248="","",N('Project Database'!AG248))</f>
        <v/>
      </c>
      <c r="BO244" s="5">
        <f>IF('Project Database'!A248="","",N('Project Database'!AH248))</f>
        <v/>
      </c>
      <c r="BP244" s="5">
        <f>IF('Project Database'!A248="","",N('Project Database'!AI248))</f>
        <v/>
      </c>
      <c r="BQ244" s="5">
        <f>IF('Project Database'!A248="","",N('Project Database'!AJ248))</f>
        <v/>
      </c>
      <c r="BR244" s="5">
        <f>IF('Project Database'!A248="","",N('Project Database'!AK248))</f>
        <v/>
      </c>
      <c r="BS244" s="5">
        <f>IF('Project Database'!A248="","",N('Project Database'!AL248))</f>
        <v/>
      </c>
      <c r="BT244" s="5">
        <f>IF('Project Database'!A248="","",N('Project Database'!AM248))</f>
        <v/>
      </c>
      <c r="BU244" s="5">
        <f>IF('Project Database'!A248="","",N('Project Database'!AN248))</f>
        <v/>
      </c>
      <c r="BV244" s="5">
        <f>IF('Project Database'!A248="","",N('Project Database'!AO248))</f>
        <v/>
      </c>
      <c r="BW244" s="5">
        <f>IF('Project Database'!A248="","",N('Project Database'!AP248))</f>
        <v/>
      </c>
      <c r="BX244" s="5">
        <f>IF(A244="","",SUM(BJ244:BW244))</f>
        <v/>
      </c>
      <c r="BY244" s="5">
        <f>IF(A244="","",IFERROR(IF(ISNUMBER(U244),U244,VALUE(SUBSTITUTE(SUBSTITUTE(SUBSTITUTE(UPPER(TRIM(U244)),"M",""),",","")," ",""))),0))</f>
        <v/>
      </c>
    </row>
    <row r="245" ht="15" customHeight="1" s="74">
      <c r="A245" s="66">
        <f>'Project Database'!A249</f>
        <v/>
      </c>
      <c r="B245" s="66">
        <f>'Project Database'!B249</f>
        <v/>
      </c>
      <c r="C245" s="66">
        <f>'Project Database'!G249</f>
        <v/>
      </c>
      <c r="D245" s="66">
        <f>'Project Database'!H249</f>
        <v/>
      </c>
      <c r="E245" s="66">
        <f>'Project Database'!I249</f>
        <v/>
      </c>
      <c r="F245" s="66">
        <f>'Project Database'!J249</f>
        <v/>
      </c>
      <c r="G245" s="66">
        <f>'Project Database'!K249</f>
        <v/>
      </c>
      <c r="H245" s="66">
        <f>'Project Database'!L249</f>
        <v/>
      </c>
      <c r="I245" s="66">
        <f>'Project Database'!M249</f>
        <v/>
      </c>
      <c r="J245" s="66">
        <f>'Project Database'!N249</f>
        <v/>
      </c>
      <c r="K245" s="66">
        <f>'Project Database'!O249</f>
        <v/>
      </c>
      <c r="L245" s="66">
        <f>'Project Database'!P249</f>
        <v/>
      </c>
      <c r="M245" s="66">
        <f>'Project Database'!Q249</f>
        <v/>
      </c>
      <c r="N245" s="66">
        <f>'Project Database'!R249</f>
        <v/>
      </c>
      <c r="O245" s="66">
        <f>'Project Database'!S249</f>
        <v/>
      </c>
      <c r="P245" s="66">
        <f>'Project Database'!T249</f>
        <v/>
      </c>
      <c r="Q245" s="66">
        <f>'Project Database'!U249</f>
        <v/>
      </c>
      <c r="R245" s="66">
        <f>'Project Database'!V249</f>
        <v/>
      </c>
      <c r="S245" s="66">
        <f>'Project Database'!W249</f>
        <v/>
      </c>
      <c r="T245" s="66">
        <f>'Project Database'!X249</f>
        <v/>
      </c>
      <c r="U245" s="67">
        <f>'Project Database'!Y249</f>
        <v/>
      </c>
      <c r="V245" s="66">
        <f>IF('Smart Search'!B13=1,IFERROR(1/'Smart Search'!H13,0),0)</f>
        <v/>
      </c>
      <c r="W245" s="66">
        <f>IF('Smart Search'!B13=1,IFERROR(1/'Smart Search'!H13,0),0)</f>
        <v/>
      </c>
      <c r="X245" s="66">
        <f>IF('Smart Search'!C13=1,IFERROR(1/'Smart Search'!H13,0),0)</f>
        <v/>
      </c>
      <c r="Y245" s="66">
        <f>IF('Smart Search'!C13=1,IFERROR(1/'Smart Search'!H13,0),0)</f>
        <v/>
      </c>
      <c r="Z245" s="66">
        <f>IF('Smart Search'!D13=1,IFERROR(1/'Smart Search'!H13,0),0)</f>
        <v/>
      </c>
      <c r="AA245" s="66">
        <f>IF('Smart Search'!D13=1,IFERROR(1/'Smart Search'!H13,0),0)</f>
        <v/>
      </c>
      <c r="AB245" s="66">
        <f>IF('Smart Search'!E13=1,IFERROR(1/'Smart Search'!H13,0),0)</f>
        <v/>
      </c>
      <c r="AC245" s="66">
        <f>IF('Smart Search'!E13=1,IFERROR(1/'Smart Search'!H13,0),0)</f>
        <v/>
      </c>
      <c r="AD245" s="66">
        <f>IF('Smart Search'!F13=1,IFERROR(1/'Smart Search'!H13,0),0)</f>
        <v/>
      </c>
      <c r="AE245" s="66">
        <f>IF('Smart Search'!F13=1,IFERROR(1/'Smart Search'!H13,0),0)</f>
        <v/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66">
        <f>AF245*V245</f>
        <v/>
      </c>
      <c r="AQ245" s="66">
        <f>AG245*W245</f>
        <v/>
      </c>
      <c r="AR245" s="66">
        <f>AH245*X245</f>
        <v/>
      </c>
      <c r="AS245" s="66">
        <f>AI245*Y245</f>
        <v/>
      </c>
      <c r="AT245" s="66">
        <f>AJ245*Z245</f>
        <v/>
      </c>
      <c r="AU245" s="66">
        <f>AK245*AA245</f>
        <v/>
      </c>
      <c r="AV245" s="66">
        <f>AL245*AB245</f>
        <v/>
      </c>
      <c r="AW245" s="66">
        <f>AM245*AC245</f>
        <v/>
      </c>
      <c r="AX245" s="66">
        <f>AN245*AD245</f>
        <v/>
      </c>
      <c r="AY245" s="66">
        <f>AO245*AE245</f>
        <v/>
      </c>
      <c r="AZ245" s="66">
        <f>'Project Database'!Z249</f>
        <v/>
      </c>
      <c r="BA245" s="66">
        <f>IF(OR(A245="",'Smart Search'!H13=0),"",MAX(0,BE245*BF245*MAX(0,1-BG245)))</f>
        <v/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66">
        <f>IF('Smart Search'!G13=1,IFERROR(1/'Smart Search'!H13,0),0)</f>
        <v/>
      </c>
      <c r="BD245" s="66">
        <f>BB245*BC245</f>
        <v/>
      </c>
      <c r="BE245" s="66">
        <f>AP245+AQ245+AR245+AS245+AT245+AU245+AV245+AW245+AX245+AY245+BD245</f>
        <v/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5">
        <f>IF(AND('Project Database'!A249&lt;&gt;"",OR('Smart Search'!$L$5="",'Smart Search'!$L$5="All",TRIM('Project Database'!D249)=TRIM('Smart Search'!$L$5)),OR(TRIM('Smart Search'!$L$6)="",TRIM('Smart Search'!$L$6)="All",ISNUMBER(SEARCH(SUBSTITUTE(SUBSTITUTE(SUBSTITUTE(TRIM('Smart Search'!$L$6),"~","~~"),"*","~*"),"?","~?"),'Project Database'!C249))),OR('Smart Search'!$L$7="",AND('Project Database'!E249&lt;&gt;"",'Project Database'!E249='Smart Search'!$L$7)),OR('Smart Search'!$L$8="",'Smart Search'!$L$8="All",TRIM('Project Database'!F249)=TRIM('Smart Search'!$L$8))),IF(BA245="","",BA245+ROW()*0.0000000001),"")</f>
        <v/>
      </c>
      <c r="BI245" s="5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>
        <f>IF('Project Database'!A249="","",N('Project Database'!AC249))</f>
        <v/>
      </c>
      <c r="BK245" s="5">
        <f>IF('Project Database'!A249="","",N('Project Database'!AD249))</f>
        <v/>
      </c>
      <c r="BL245" s="5">
        <f>IF('Project Database'!A249="","",N('Project Database'!AE249))</f>
        <v/>
      </c>
      <c r="BM245" s="5">
        <f>IF('Project Database'!A249="","",N('Project Database'!AF249))</f>
        <v/>
      </c>
      <c r="BN245" s="5">
        <f>IF('Project Database'!A249="","",N('Project Database'!AG249))</f>
        <v/>
      </c>
      <c r="BO245" s="5">
        <f>IF('Project Database'!A249="","",N('Project Database'!AH249))</f>
        <v/>
      </c>
      <c r="BP245" s="5">
        <f>IF('Project Database'!A249="","",N('Project Database'!AI249))</f>
        <v/>
      </c>
      <c r="BQ245" s="5">
        <f>IF('Project Database'!A249="","",N('Project Database'!AJ249))</f>
        <v/>
      </c>
      <c r="BR245" s="5">
        <f>IF('Project Database'!A249="","",N('Project Database'!AK249))</f>
        <v/>
      </c>
      <c r="BS245" s="5">
        <f>IF('Project Database'!A249="","",N('Project Database'!AL249))</f>
        <v/>
      </c>
      <c r="BT245" s="5">
        <f>IF('Project Database'!A249="","",N('Project Database'!AM249))</f>
        <v/>
      </c>
      <c r="BU245" s="5">
        <f>IF('Project Database'!A249="","",N('Project Database'!AN249))</f>
        <v/>
      </c>
      <c r="BV245" s="5">
        <f>IF('Project Database'!A249="","",N('Project Database'!AO249))</f>
        <v/>
      </c>
      <c r="BW245" s="5">
        <f>IF('Project Database'!A249="","",N('Project Database'!AP249))</f>
        <v/>
      </c>
      <c r="BX245" s="5">
        <f>IF(A245="","",SUM(BJ245:BW245))</f>
        <v/>
      </c>
      <c r="BY245" s="5">
        <f>IF(A245="","",IFERROR(IF(ISNUMBER(U245),U245,VALUE(SUBSTITUTE(SUBSTITUTE(SUBSTITUTE(UPPER(TRIM(U245)),"M",""),",","")," ",""))),0))</f>
        <v/>
      </c>
    </row>
    <row r="246" ht="15" customHeight="1" s="74">
      <c r="A246" s="66">
        <f>'Project Database'!A250</f>
        <v/>
      </c>
      <c r="B246" s="66">
        <f>'Project Database'!B250</f>
        <v/>
      </c>
      <c r="C246" s="66">
        <f>'Project Database'!G250</f>
        <v/>
      </c>
      <c r="D246" s="66">
        <f>'Project Database'!H250</f>
        <v/>
      </c>
      <c r="E246" s="66">
        <f>'Project Database'!I250</f>
        <v/>
      </c>
      <c r="F246" s="66">
        <f>'Project Database'!J250</f>
        <v/>
      </c>
      <c r="G246" s="66">
        <f>'Project Database'!K250</f>
        <v/>
      </c>
      <c r="H246" s="66">
        <f>'Project Database'!L250</f>
        <v/>
      </c>
      <c r="I246" s="66">
        <f>'Project Database'!M250</f>
        <v/>
      </c>
      <c r="J246" s="66">
        <f>'Project Database'!N250</f>
        <v/>
      </c>
      <c r="K246" s="66">
        <f>'Project Database'!O250</f>
        <v/>
      </c>
      <c r="L246" s="66">
        <f>'Project Database'!P250</f>
        <v/>
      </c>
      <c r="M246" s="66">
        <f>'Project Database'!Q250</f>
        <v/>
      </c>
      <c r="N246" s="66">
        <f>'Project Database'!R250</f>
        <v/>
      </c>
      <c r="O246" s="66">
        <f>'Project Database'!S250</f>
        <v/>
      </c>
      <c r="P246" s="66">
        <f>'Project Database'!T250</f>
        <v/>
      </c>
      <c r="Q246" s="66">
        <f>'Project Database'!U250</f>
        <v/>
      </c>
      <c r="R246" s="66">
        <f>'Project Database'!V250</f>
        <v/>
      </c>
      <c r="S246" s="66">
        <f>'Project Database'!W250</f>
        <v/>
      </c>
      <c r="T246" s="66">
        <f>'Project Database'!X250</f>
        <v/>
      </c>
      <c r="U246" s="67">
        <f>'Project Database'!Y250</f>
        <v/>
      </c>
      <c r="V246" s="66">
        <f>IF('Smart Search'!B13=1,IFERROR(1/'Smart Search'!H13,0),0)</f>
        <v/>
      </c>
      <c r="W246" s="66">
        <f>IF('Smart Search'!B13=1,IFERROR(1/'Smart Search'!H13,0),0)</f>
        <v/>
      </c>
      <c r="X246" s="66">
        <f>IF('Smart Search'!C13=1,IFERROR(1/'Smart Search'!H13,0),0)</f>
        <v/>
      </c>
      <c r="Y246" s="66">
        <f>IF('Smart Search'!C13=1,IFERROR(1/'Smart Search'!H13,0),0)</f>
        <v/>
      </c>
      <c r="Z246" s="66">
        <f>IF('Smart Search'!D13=1,IFERROR(1/'Smart Search'!H13,0),0)</f>
        <v/>
      </c>
      <c r="AA246" s="66">
        <f>IF('Smart Search'!D13=1,IFERROR(1/'Smart Search'!H13,0),0)</f>
        <v/>
      </c>
      <c r="AB246" s="66">
        <f>IF('Smart Search'!E13=1,IFERROR(1/'Smart Search'!H13,0),0)</f>
        <v/>
      </c>
      <c r="AC246" s="66">
        <f>IF('Smart Search'!E13=1,IFERROR(1/'Smart Search'!H13,0),0)</f>
        <v/>
      </c>
      <c r="AD246" s="66">
        <f>IF('Smart Search'!F13=1,IFERROR(1/'Smart Search'!H13,0),0)</f>
        <v/>
      </c>
      <c r="AE246" s="66">
        <f>IF('Smart Search'!F13=1,IFERROR(1/'Smart Search'!H13,0),0)</f>
        <v/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66">
        <f>AF246*V246</f>
        <v/>
      </c>
      <c r="AQ246" s="66">
        <f>AG246*W246</f>
        <v/>
      </c>
      <c r="AR246" s="66">
        <f>AH246*X246</f>
        <v/>
      </c>
      <c r="AS246" s="66">
        <f>AI246*Y246</f>
        <v/>
      </c>
      <c r="AT246" s="66">
        <f>AJ246*Z246</f>
        <v/>
      </c>
      <c r="AU246" s="66">
        <f>AK246*AA246</f>
        <v/>
      </c>
      <c r="AV246" s="66">
        <f>AL246*AB246</f>
        <v/>
      </c>
      <c r="AW246" s="66">
        <f>AM246*AC246</f>
        <v/>
      </c>
      <c r="AX246" s="66">
        <f>AN246*AD246</f>
        <v/>
      </c>
      <c r="AY246" s="66">
        <f>AO246*AE246</f>
        <v/>
      </c>
      <c r="AZ246" s="66">
        <f>'Project Database'!Z250</f>
        <v/>
      </c>
      <c r="BA246" s="66">
        <f>IF(OR(A246="",'Smart Search'!H13=0),"",MAX(0,BE246*BF246*MAX(0,1-BG246)))</f>
        <v/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66">
        <f>IF('Smart Search'!G13=1,IFERROR(1/'Smart Search'!H13,0),0)</f>
        <v/>
      </c>
      <c r="BD246" s="66">
        <f>BB246*BC246</f>
        <v/>
      </c>
      <c r="BE246" s="66">
        <f>AP246+AQ246+AR246+AS246+AT246+AU246+AV246+AW246+AX246+AY246+BD246</f>
        <v/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5">
        <f>IF(AND('Project Database'!A250&lt;&gt;"",OR('Smart Search'!$L$5="",'Smart Search'!$L$5="All",TRIM('Project Database'!D250)=TRIM('Smart Search'!$L$5)),OR(TRIM('Smart Search'!$L$6)="",TRIM('Smart Search'!$L$6)="All",ISNUMBER(SEARCH(SUBSTITUTE(SUBSTITUTE(SUBSTITUTE(TRIM('Smart Search'!$L$6),"~","~~"),"*","~*"),"?","~?"),'Project Database'!C250))),OR('Smart Search'!$L$7="",AND('Project Database'!E250&lt;&gt;"",'Project Database'!E250='Smart Search'!$L$7)),OR('Smart Search'!$L$8="",'Smart Search'!$L$8="All",TRIM('Project Database'!F250)=TRIM('Smart Search'!$L$8))),IF(BA246="","",BA246+ROW()*0.0000000001),"")</f>
        <v/>
      </c>
      <c r="BI246" s="5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>
        <f>IF('Project Database'!A250="","",N('Project Database'!AC250))</f>
        <v/>
      </c>
      <c r="BK246" s="5">
        <f>IF('Project Database'!A250="","",N('Project Database'!AD250))</f>
        <v/>
      </c>
      <c r="BL246" s="5">
        <f>IF('Project Database'!A250="","",N('Project Database'!AE250))</f>
        <v/>
      </c>
      <c r="BM246" s="5">
        <f>IF('Project Database'!A250="","",N('Project Database'!AF250))</f>
        <v/>
      </c>
      <c r="BN246" s="5">
        <f>IF('Project Database'!A250="","",N('Project Database'!AG250))</f>
        <v/>
      </c>
      <c r="BO246" s="5">
        <f>IF('Project Database'!A250="","",N('Project Database'!AH250))</f>
        <v/>
      </c>
      <c r="BP246" s="5">
        <f>IF('Project Database'!A250="","",N('Project Database'!AI250))</f>
        <v/>
      </c>
      <c r="BQ246" s="5">
        <f>IF('Project Database'!A250="","",N('Project Database'!AJ250))</f>
        <v/>
      </c>
      <c r="BR246" s="5">
        <f>IF('Project Database'!A250="","",N('Project Database'!AK250))</f>
        <v/>
      </c>
      <c r="BS246" s="5">
        <f>IF('Project Database'!A250="","",N('Project Database'!AL250))</f>
        <v/>
      </c>
      <c r="BT246" s="5">
        <f>IF('Project Database'!A250="","",N('Project Database'!AM250))</f>
        <v/>
      </c>
      <c r="BU246" s="5">
        <f>IF('Project Database'!A250="","",N('Project Database'!AN250))</f>
        <v/>
      </c>
      <c r="BV246" s="5">
        <f>IF('Project Database'!A250="","",N('Project Database'!AO250))</f>
        <v/>
      </c>
      <c r="BW246" s="5">
        <f>IF('Project Database'!A250="","",N('Project Database'!AP250))</f>
        <v/>
      </c>
      <c r="BX246" s="5">
        <f>IF(A246="","",SUM(BJ246:BW246))</f>
        <v/>
      </c>
      <c r="BY246" s="5">
        <f>IF(A246="","",IFERROR(IF(ISNUMBER(U246),U246,VALUE(SUBSTITUTE(SUBSTITUTE(SUBSTITUTE(UPPER(TRIM(U246)),"M",""),",","")," ",""))),0))</f>
        <v/>
      </c>
    </row>
    <row r="247" ht="15" customHeight="1" s="74">
      <c r="A247" s="66">
        <f>'Project Database'!A251</f>
        <v/>
      </c>
      <c r="B247" s="66">
        <f>'Project Database'!B251</f>
        <v/>
      </c>
      <c r="C247" s="66">
        <f>'Project Database'!G251</f>
        <v/>
      </c>
      <c r="D247" s="66">
        <f>'Project Database'!H251</f>
        <v/>
      </c>
      <c r="E247" s="66">
        <f>'Project Database'!I251</f>
        <v/>
      </c>
      <c r="F247" s="66">
        <f>'Project Database'!J251</f>
        <v/>
      </c>
      <c r="G247" s="66">
        <f>'Project Database'!K251</f>
        <v/>
      </c>
      <c r="H247" s="66">
        <f>'Project Database'!L251</f>
        <v/>
      </c>
      <c r="I247" s="66">
        <f>'Project Database'!M251</f>
        <v/>
      </c>
      <c r="J247" s="66">
        <f>'Project Database'!N251</f>
        <v/>
      </c>
      <c r="K247" s="66">
        <f>'Project Database'!O251</f>
        <v/>
      </c>
      <c r="L247" s="66">
        <f>'Project Database'!P251</f>
        <v/>
      </c>
      <c r="M247" s="66">
        <f>'Project Database'!Q251</f>
        <v/>
      </c>
      <c r="N247" s="66">
        <f>'Project Database'!R251</f>
        <v/>
      </c>
      <c r="O247" s="66">
        <f>'Project Database'!S251</f>
        <v/>
      </c>
      <c r="P247" s="66">
        <f>'Project Database'!T251</f>
        <v/>
      </c>
      <c r="Q247" s="66">
        <f>'Project Database'!U251</f>
        <v/>
      </c>
      <c r="R247" s="66">
        <f>'Project Database'!V251</f>
        <v/>
      </c>
      <c r="S247" s="66">
        <f>'Project Database'!W251</f>
        <v/>
      </c>
      <c r="T247" s="66">
        <f>'Project Database'!X251</f>
        <v/>
      </c>
      <c r="U247" s="67">
        <f>'Project Database'!Y251</f>
        <v/>
      </c>
      <c r="V247" s="66">
        <f>IF('Smart Search'!B13=1,IFERROR(1/'Smart Search'!H13,0),0)</f>
        <v/>
      </c>
      <c r="W247" s="66">
        <f>IF('Smart Search'!B13=1,IFERROR(1/'Smart Search'!H13,0),0)</f>
        <v/>
      </c>
      <c r="X247" s="66">
        <f>IF('Smart Search'!C13=1,IFERROR(1/'Smart Search'!H13,0),0)</f>
        <v/>
      </c>
      <c r="Y247" s="66">
        <f>IF('Smart Search'!C13=1,IFERROR(1/'Smart Search'!H13,0),0)</f>
        <v/>
      </c>
      <c r="Z247" s="66">
        <f>IF('Smart Search'!D13=1,IFERROR(1/'Smart Search'!H13,0),0)</f>
        <v/>
      </c>
      <c r="AA247" s="66">
        <f>IF('Smart Search'!D13=1,IFERROR(1/'Smart Search'!H13,0),0)</f>
        <v/>
      </c>
      <c r="AB247" s="66">
        <f>IF('Smart Search'!E13=1,IFERROR(1/'Smart Search'!H13,0),0)</f>
        <v/>
      </c>
      <c r="AC247" s="66">
        <f>IF('Smart Search'!E13=1,IFERROR(1/'Smart Search'!H13,0),0)</f>
        <v/>
      </c>
      <c r="AD247" s="66">
        <f>IF('Smart Search'!F13=1,IFERROR(1/'Smart Search'!H13,0),0)</f>
        <v/>
      </c>
      <c r="AE247" s="66">
        <f>IF('Smart Search'!F13=1,IFERROR(1/'Smart Search'!H13,0),0)</f>
        <v/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66">
        <f>AF247*V247</f>
        <v/>
      </c>
      <c r="AQ247" s="66">
        <f>AG247*W247</f>
        <v/>
      </c>
      <c r="AR247" s="66">
        <f>AH247*X247</f>
        <v/>
      </c>
      <c r="AS247" s="66">
        <f>AI247*Y247</f>
        <v/>
      </c>
      <c r="AT247" s="66">
        <f>AJ247*Z247</f>
        <v/>
      </c>
      <c r="AU247" s="66">
        <f>AK247*AA247</f>
        <v/>
      </c>
      <c r="AV247" s="66">
        <f>AL247*AB247</f>
        <v/>
      </c>
      <c r="AW247" s="66">
        <f>AM247*AC247</f>
        <v/>
      </c>
      <c r="AX247" s="66">
        <f>AN247*AD247</f>
        <v/>
      </c>
      <c r="AY247" s="66">
        <f>AO247*AE247</f>
        <v/>
      </c>
      <c r="AZ247" s="66">
        <f>'Project Database'!Z251</f>
        <v/>
      </c>
      <c r="BA247" s="66">
        <f>IF(OR(A247="",'Smart Search'!H13=0),"",MAX(0,BE247*BF247*MAX(0,1-BG247)))</f>
        <v/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66">
        <f>IF('Smart Search'!G13=1,IFERROR(1/'Smart Search'!H13,0),0)</f>
        <v/>
      </c>
      <c r="BD247" s="66">
        <f>BB247*BC247</f>
        <v/>
      </c>
      <c r="BE247" s="66">
        <f>AP247+AQ247+AR247+AS247+AT247+AU247+AV247+AW247+AX247+AY247+BD247</f>
        <v/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5">
        <f>IF(AND('Project Database'!A251&lt;&gt;"",OR('Smart Search'!$L$5="",'Smart Search'!$L$5="All",TRIM('Project Database'!D251)=TRIM('Smart Search'!$L$5)),OR(TRIM('Smart Search'!$L$6)="",TRIM('Smart Search'!$L$6)="All",ISNUMBER(SEARCH(SUBSTITUTE(SUBSTITUTE(SUBSTITUTE(TRIM('Smart Search'!$L$6),"~","~~"),"*","~*"),"?","~?"),'Project Database'!C251))),OR('Smart Search'!$L$7="",AND('Project Database'!E251&lt;&gt;"",'Project Database'!E251='Smart Search'!$L$7)),OR('Smart Search'!$L$8="",'Smart Search'!$L$8="All",TRIM('Project Database'!F251)=TRIM('Smart Search'!$L$8))),IF(BA247="","",BA247+ROW()*0.0000000001),"")</f>
        <v/>
      </c>
      <c r="BI247" s="5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>
        <f>IF('Project Database'!A251="","",N('Project Database'!AC251))</f>
        <v/>
      </c>
      <c r="BK247" s="5">
        <f>IF('Project Database'!A251="","",N('Project Database'!AD251))</f>
        <v/>
      </c>
      <c r="BL247" s="5">
        <f>IF('Project Database'!A251="","",N('Project Database'!AE251))</f>
        <v/>
      </c>
      <c r="BM247" s="5">
        <f>IF('Project Database'!A251="","",N('Project Database'!AF251))</f>
        <v/>
      </c>
      <c r="BN247" s="5">
        <f>IF('Project Database'!A251="","",N('Project Database'!AG251))</f>
        <v/>
      </c>
      <c r="BO247" s="5">
        <f>IF('Project Database'!A251="","",N('Project Database'!AH251))</f>
        <v/>
      </c>
      <c r="BP247" s="5">
        <f>IF('Project Database'!A251="","",N('Project Database'!AI251))</f>
        <v/>
      </c>
      <c r="BQ247" s="5">
        <f>IF('Project Database'!A251="","",N('Project Database'!AJ251))</f>
        <v/>
      </c>
      <c r="BR247" s="5">
        <f>IF('Project Database'!A251="","",N('Project Database'!AK251))</f>
        <v/>
      </c>
      <c r="BS247" s="5">
        <f>IF('Project Database'!A251="","",N('Project Database'!AL251))</f>
        <v/>
      </c>
      <c r="BT247" s="5">
        <f>IF('Project Database'!A251="","",N('Project Database'!AM251))</f>
        <v/>
      </c>
      <c r="BU247" s="5">
        <f>IF('Project Database'!A251="","",N('Project Database'!AN251))</f>
        <v/>
      </c>
      <c r="BV247" s="5">
        <f>IF('Project Database'!A251="","",N('Project Database'!AO251))</f>
        <v/>
      </c>
      <c r="BW247" s="5">
        <f>IF('Project Database'!A251="","",N('Project Database'!AP251))</f>
        <v/>
      </c>
      <c r="BX247" s="5">
        <f>IF(A247="","",SUM(BJ247:BW247))</f>
        <v/>
      </c>
      <c r="BY247" s="5">
        <f>IF(A247="","",IFERROR(IF(ISNUMBER(U247),U247,VALUE(SUBSTITUTE(SUBSTITUTE(SUBSTITUTE(UPPER(TRIM(U247)),"M",""),",","")," ",""))),0))</f>
        <v/>
      </c>
    </row>
    <row r="248" ht="15" customHeight="1" s="74">
      <c r="A248" s="66">
        <f>'Project Database'!A252</f>
        <v/>
      </c>
      <c r="B248" s="66">
        <f>'Project Database'!B252</f>
        <v/>
      </c>
      <c r="C248" s="66">
        <f>'Project Database'!G252</f>
        <v/>
      </c>
      <c r="D248" s="66">
        <f>'Project Database'!H252</f>
        <v/>
      </c>
      <c r="E248" s="66">
        <f>'Project Database'!I252</f>
        <v/>
      </c>
      <c r="F248" s="66">
        <f>'Project Database'!J252</f>
        <v/>
      </c>
      <c r="G248" s="66">
        <f>'Project Database'!K252</f>
        <v/>
      </c>
      <c r="H248" s="66">
        <f>'Project Database'!L252</f>
        <v/>
      </c>
      <c r="I248" s="66">
        <f>'Project Database'!M252</f>
        <v/>
      </c>
      <c r="J248" s="66">
        <f>'Project Database'!N252</f>
        <v/>
      </c>
      <c r="K248" s="66">
        <f>'Project Database'!O252</f>
        <v/>
      </c>
      <c r="L248" s="66">
        <f>'Project Database'!P252</f>
        <v/>
      </c>
      <c r="M248" s="66">
        <f>'Project Database'!Q252</f>
        <v/>
      </c>
      <c r="N248" s="66">
        <f>'Project Database'!R252</f>
        <v/>
      </c>
      <c r="O248" s="66">
        <f>'Project Database'!S252</f>
        <v/>
      </c>
      <c r="P248" s="66">
        <f>'Project Database'!T252</f>
        <v/>
      </c>
      <c r="Q248" s="66">
        <f>'Project Database'!U252</f>
        <v/>
      </c>
      <c r="R248" s="66">
        <f>'Project Database'!V252</f>
        <v/>
      </c>
      <c r="S248" s="66">
        <f>'Project Database'!W252</f>
        <v/>
      </c>
      <c r="T248" s="66">
        <f>'Project Database'!X252</f>
        <v/>
      </c>
      <c r="U248" s="67">
        <f>'Project Database'!Y252</f>
        <v/>
      </c>
      <c r="V248" s="66">
        <f>IF('Smart Search'!B13=1,IFERROR(1/'Smart Search'!H13,0),0)</f>
        <v/>
      </c>
      <c r="W248" s="66">
        <f>IF('Smart Search'!B13=1,IFERROR(1/'Smart Search'!H13,0),0)</f>
        <v/>
      </c>
      <c r="X248" s="66">
        <f>IF('Smart Search'!C13=1,IFERROR(1/'Smart Search'!H13,0),0)</f>
        <v/>
      </c>
      <c r="Y248" s="66">
        <f>IF('Smart Search'!C13=1,IFERROR(1/'Smart Search'!H13,0),0)</f>
        <v/>
      </c>
      <c r="Z248" s="66">
        <f>IF('Smart Search'!D13=1,IFERROR(1/'Smart Search'!H13,0),0)</f>
        <v/>
      </c>
      <c r="AA248" s="66">
        <f>IF('Smart Search'!D13=1,IFERROR(1/'Smart Search'!H13,0),0)</f>
        <v/>
      </c>
      <c r="AB248" s="66">
        <f>IF('Smart Search'!E13=1,IFERROR(1/'Smart Search'!H13,0),0)</f>
        <v/>
      </c>
      <c r="AC248" s="66">
        <f>IF('Smart Search'!E13=1,IFERROR(1/'Smart Search'!H13,0),0)</f>
        <v/>
      </c>
      <c r="AD248" s="66">
        <f>IF('Smart Search'!F13=1,IFERROR(1/'Smart Search'!H13,0),0)</f>
        <v/>
      </c>
      <c r="AE248" s="66">
        <f>IF('Smart Search'!F13=1,IFERROR(1/'Smart Search'!H13,0),0)</f>
        <v/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66">
        <f>AF248*V248</f>
        <v/>
      </c>
      <c r="AQ248" s="66">
        <f>AG248*W248</f>
        <v/>
      </c>
      <c r="AR248" s="66">
        <f>AH248*X248</f>
        <v/>
      </c>
      <c r="AS248" s="66">
        <f>AI248*Y248</f>
        <v/>
      </c>
      <c r="AT248" s="66">
        <f>AJ248*Z248</f>
        <v/>
      </c>
      <c r="AU248" s="66">
        <f>AK248*AA248</f>
        <v/>
      </c>
      <c r="AV248" s="66">
        <f>AL248*AB248</f>
        <v/>
      </c>
      <c r="AW248" s="66">
        <f>AM248*AC248</f>
        <v/>
      </c>
      <c r="AX248" s="66">
        <f>AN248*AD248</f>
        <v/>
      </c>
      <c r="AY248" s="66">
        <f>AO248*AE248</f>
        <v/>
      </c>
      <c r="AZ248" s="66">
        <f>'Project Database'!Z252</f>
        <v/>
      </c>
      <c r="BA248" s="66">
        <f>IF(OR(A248="",'Smart Search'!H13=0),"",MAX(0,BE248*BF248*MAX(0,1-BG248)))</f>
        <v/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66">
        <f>IF('Smart Search'!G13=1,IFERROR(1/'Smart Search'!H13,0),0)</f>
        <v/>
      </c>
      <c r="BD248" s="66">
        <f>BB248*BC248</f>
        <v/>
      </c>
      <c r="BE248" s="66">
        <f>AP248+AQ248+AR248+AS248+AT248+AU248+AV248+AW248+AX248+AY248+BD248</f>
        <v/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5">
        <f>IF(AND('Project Database'!A252&lt;&gt;"",OR('Smart Search'!$L$5="",'Smart Search'!$L$5="All",TRIM('Project Database'!D252)=TRIM('Smart Search'!$L$5)),OR(TRIM('Smart Search'!$L$6)="",TRIM('Smart Search'!$L$6)="All",ISNUMBER(SEARCH(SUBSTITUTE(SUBSTITUTE(SUBSTITUTE(TRIM('Smart Search'!$L$6),"~","~~"),"*","~*"),"?","~?"),'Project Database'!C252))),OR('Smart Search'!$L$7="",AND('Project Database'!E252&lt;&gt;"",'Project Database'!E252='Smart Search'!$L$7)),OR('Smart Search'!$L$8="",'Smart Search'!$L$8="All",TRIM('Project Database'!F252)=TRIM('Smart Search'!$L$8))),IF(BA248="","",BA248+ROW()*0.0000000001),"")</f>
        <v/>
      </c>
      <c r="BI248" s="5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>
        <f>IF('Project Database'!A252="","",N('Project Database'!AC252))</f>
        <v/>
      </c>
      <c r="BK248" s="5">
        <f>IF('Project Database'!A252="","",N('Project Database'!AD252))</f>
        <v/>
      </c>
      <c r="BL248" s="5">
        <f>IF('Project Database'!A252="","",N('Project Database'!AE252))</f>
        <v/>
      </c>
      <c r="BM248" s="5">
        <f>IF('Project Database'!A252="","",N('Project Database'!AF252))</f>
        <v/>
      </c>
      <c r="BN248" s="5">
        <f>IF('Project Database'!A252="","",N('Project Database'!AG252))</f>
        <v/>
      </c>
      <c r="BO248" s="5">
        <f>IF('Project Database'!A252="","",N('Project Database'!AH252))</f>
        <v/>
      </c>
      <c r="BP248" s="5">
        <f>IF('Project Database'!A252="","",N('Project Database'!AI252))</f>
        <v/>
      </c>
      <c r="BQ248" s="5">
        <f>IF('Project Database'!A252="","",N('Project Database'!AJ252))</f>
        <v/>
      </c>
      <c r="BR248" s="5">
        <f>IF('Project Database'!A252="","",N('Project Database'!AK252))</f>
        <v/>
      </c>
      <c r="BS248" s="5">
        <f>IF('Project Database'!A252="","",N('Project Database'!AL252))</f>
        <v/>
      </c>
      <c r="BT248" s="5">
        <f>IF('Project Database'!A252="","",N('Project Database'!AM252))</f>
        <v/>
      </c>
      <c r="BU248" s="5">
        <f>IF('Project Database'!A252="","",N('Project Database'!AN252))</f>
        <v/>
      </c>
      <c r="BV248" s="5">
        <f>IF('Project Database'!A252="","",N('Project Database'!AO252))</f>
        <v/>
      </c>
      <c r="BW248" s="5">
        <f>IF('Project Database'!A252="","",N('Project Database'!AP252))</f>
        <v/>
      </c>
      <c r="BX248" s="5">
        <f>IF(A248="","",SUM(BJ248:BW248))</f>
        <v/>
      </c>
      <c r="BY248" s="5">
        <f>IF(A248="","",IFERROR(IF(ISNUMBER(U248),U248,VALUE(SUBSTITUTE(SUBSTITUTE(SUBSTITUTE(UPPER(TRIM(U248)),"M",""),",","")," ",""))),0))</f>
        <v/>
      </c>
    </row>
    <row r="249" ht="15" customHeight="1" s="74">
      <c r="A249" s="66">
        <f>'Project Database'!A253</f>
        <v/>
      </c>
      <c r="B249" s="66">
        <f>'Project Database'!B253</f>
        <v/>
      </c>
      <c r="C249" s="66">
        <f>'Project Database'!G253</f>
        <v/>
      </c>
      <c r="D249" s="66">
        <f>'Project Database'!H253</f>
        <v/>
      </c>
      <c r="E249" s="66">
        <f>'Project Database'!I253</f>
        <v/>
      </c>
      <c r="F249" s="66">
        <f>'Project Database'!J253</f>
        <v/>
      </c>
      <c r="G249" s="66">
        <f>'Project Database'!K253</f>
        <v/>
      </c>
      <c r="H249" s="66">
        <f>'Project Database'!L253</f>
        <v/>
      </c>
      <c r="I249" s="66">
        <f>'Project Database'!M253</f>
        <v/>
      </c>
      <c r="J249" s="66">
        <f>'Project Database'!N253</f>
        <v/>
      </c>
      <c r="K249" s="66">
        <f>'Project Database'!O253</f>
        <v/>
      </c>
      <c r="L249" s="66">
        <f>'Project Database'!P253</f>
        <v/>
      </c>
      <c r="M249" s="66">
        <f>'Project Database'!Q253</f>
        <v/>
      </c>
      <c r="N249" s="66">
        <f>'Project Database'!R253</f>
        <v/>
      </c>
      <c r="O249" s="66">
        <f>'Project Database'!S253</f>
        <v/>
      </c>
      <c r="P249" s="66">
        <f>'Project Database'!T253</f>
        <v/>
      </c>
      <c r="Q249" s="66">
        <f>'Project Database'!U253</f>
        <v/>
      </c>
      <c r="R249" s="66">
        <f>'Project Database'!V253</f>
        <v/>
      </c>
      <c r="S249" s="66">
        <f>'Project Database'!W253</f>
        <v/>
      </c>
      <c r="T249" s="66">
        <f>'Project Database'!X253</f>
        <v/>
      </c>
      <c r="U249" s="67">
        <f>'Project Database'!Y253</f>
        <v/>
      </c>
      <c r="V249" s="66">
        <f>IF('Smart Search'!B13=1,IFERROR(1/'Smart Search'!H13,0),0)</f>
        <v/>
      </c>
      <c r="W249" s="66">
        <f>IF('Smart Search'!B13=1,IFERROR(1/'Smart Search'!H13,0),0)</f>
        <v/>
      </c>
      <c r="X249" s="66">
        <f>IF('Smart Search'!C13=1,IFERROR(1/'Smart Search'!H13,0),0)</f>
        <v/>
      </c>
      <c r="Y249" s="66">
        <f>IF('Smart Search'!C13=1,IFERROR(1/'Smart Search'!H13,0),0)</f>
        <v/>
      </c>
      <c r="Z249" s="66">
        <f>IF('Smart Search'!D13=1,IFERROR(1/'Smart Search'!H13,0),0)</f>
        <v/>
      </c>
      <c r="AA249" s="66">
        <f>IF('Smart Search'!D13=1,IFERROR(1/'Smart Search'!H13,0),0)</f>
        <v/>
      </c>
      <c r="AB249" s="66">
        <f>IF('Smart Search'!E13=1,IFERROR(1/'Smart Search'!H13,0),0)</f>
        <v/>
      </c>
      <c r="AC249" s="66">
        <f>IF('Smart Search'!E13=1,IFERROR(1/'Smart Search'!H13,0),0)</f>
        <v/>
      </c>
      <c r="AD249" s="66">
        <f>IF('Smart Search'!F13=1,IFERROR(1/'Smart Search'!H13,0),0)</f>
        <v/>
      </c>
      <c r="AE249" s="66">
        <f>IF('Smart Search'!F13=1,IFERROR(1/'Smart Search'!H13,0),0)</f>
        <v/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66">
        <f>AF249*V249</f>
        <v/>
      </c>
      <c r="AQ249" s="66">
        <f>AG249*W249</f>
        <v/>
      </c>
      <c r="AR249" s="66">
        <f>AH249*X249</f>
        <v/>
      </c>
      <c r="AS249" s="66">
        <f>AI249*Y249</f>
        <v/>
      </c>
      <c r="AT249" s="66">
        <f>AJ249*Z249</f>
        <v/>
      </c>
      <c r="AU249" s="66">
        <f>AK249*AA249</f>
        <v/>
      </c>
      <c r="AV249" s="66">
        <f>AL249*AB249</f>
        <v/>
      </c>
      <c r="AW249" s="66">
        <f>AM249*AC249</f>
        <v/>
      </c>
      <c r="AX249" s="66">
        <f>AN249*AD249</f>
        <v/>
      </c>
      <c r="AY249" s="66">
        <f>AO249*AE249</f>
        <v/>
      </c>
      <c r="AZ249" s="66">
        <f>'Project Database'!Z253</f>
        <v/>
      </c>
      <c r="BA249" s="66">
        <f>IF(OR(A249="",'Smart Search'!H13=0),"",MAX(0,BE249*BF249*MAX(0,1-BG249)))</f>
        <v/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66">
        <f>IF('Smart Search'!G13=1,IFERROR(1/'Smart Search'!H13,0),0)</f>
        <v/>
      </c>
      <c r="BD249" s="66">
        <f>BB249*BC249</f>
        <v/>
      </c>
      <c r="BE249" s="66">
        <f>AP249+AQ249+AR249+AS249+AT249+AU249+AV249+AW249+AX249+AY249+BD249</f>
        <v/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5">
        <f>IF(AND('Project Database'!A253&lt;&gt;"",OR('Smart Search'!$L$5="",'Smart Search'!$L$5="All",TRIM('Project Database'!D253)=TRIM('Smart Search'!$L$5)),OR(TRIM('Smart Search'!$L$6)="",TRIM('Smart Search'!$L$6)="All",ISNUMBER(SEARCH(SUBSTITUTE(SUBSTITUTE(SUBSTITUTE(TRIM('Smart Search'!$L$6),"~","~~"),"*","~*"),"?","~?"),'Project Database'!C253))),OR('Smart Search'!$L$7="",AND('Project Database'!E253&lt;&gt;"",'Project Database'!E253='Smart Search'!$L$7)),OR('Smart Search'!$L$8="",'Smart Search'!$L$8="All",TRIM('Project Database'!F253)=TRIM('Smart Search'!$L$8))),IF(BA249="","",BA249+ROW()*0.0000000001),"")</f>
        <v/>
      </c>
      <c r="BI249" s="5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>
        <f>IF('Project Database'!A253="","",N('Project Database'!AC253))</f>
        <v/>
      </c>
      <c r="BK249" s="5">
        <f>IF('Project Database'!A253="","",N('Project Database'!AD253))</f>
        <v/>
      </c>
      <c r="BL249" s="5">
        <f>IF('Project Database'!A253="","",N('Project Database'!AE253))</f>
        <v/>
      </c>
      <c r="BM249" s="5">
        <f>IF('Project Database'!A253="","",N('Project Database'!AF253))</f>
        <v/>
      </c>
      <c r="BN249" s="5">
        <f>IF('Project Database'!A253="","",N('Project Database'!AG253))</f>
        <v/>
      </c>
      <c r="BO249" s="5">
        <f>IF('Project Database'!A253="","",N('Project Database'!AH253))</f>
        <v/>
      </c>
      <c r="BP249" s="5">
        <f>IF('Project Database'!A253="","",N('Project Database'!AI253))</f>
        <v/>
      </c>
      <c r="BQ249" s="5">
        <f>IF('Project Database'!A253="","",N('Project Database'!AJ253))</f>
        <v/>
      </c>
      <c r="BR249" s="5">
        <f>IF('Project Database'!A253="","",N('Project Database'!AK253))</f>
        <v/>
      </c>
      <c r="BS249" s="5">
        <f>IF('Project Database'!A253="","",N('Project Database'!AL253))</f>
        <v/>
      </c>
      <c r="BT249" s="5">
        <f>IF('Project Database'!A253="","",N('Project Database'!AM253))</f>
        <v/>
      </c>
      <c r="BU249" s="5">
        <f>IF('Project Database'!A253="","",N('Project Database'!AN253))</f>
        <v/>
      </c>
      <c r="BV249" s="5">
        <f>IF('Project Database'!A253="","",N('Project Database'!AO253))</f>
        <v/>
      </c>
      <c r="BW249" s="5">
        <f>IF('Project Database'!A253="","",N('Project Database'!AP253))</f>
        <v/>
      </c>
      <c r="BX249" s="5">
        <f>IF(A249="","",SUM(BJ249:BW249))</f>
        <v/>
      </c>
      <c r="BY249" s="5">
        <f>IF(A249="","",IFERROR(IF(ISNUMBER(U249),U249,VALUE(SUBSTITUTE(SUBSTITUTE(SUBSTITUTE(UPPER(TRIM(U249)),"M",""),",","")," ",""))),0))</f>
        <v/>
      </c>
    </row>
    <row r="250" ht="15" customHeight="1" s="74">
      <c r="A250" s="66">
        <f>'Project Database'!A254</f>
        <v/>
      </c>
      <c r="B250" s="66">
        <f>'Project Database'!B254</f>
        <v/>
      </c>
      <c r="C250" s="66">
        <f>'Project Database'!G254</f>
        <v/>
      </c>
      <c r="D250" s="66">
        <f>'Project Database'!H254</f>
        <v/>
      </c>
      <c r="E250" s="66">
        <f>'Project Database'!I254</f>
        <v/>
      </c>
      <c r="F250" s="66">
        <f>'Project Database'!J254</f>
        <v/>
      </c>
      <c r="G250" s="66">
        <f>'Project Database'!K254</f>
        <v/>
      </c>
      <c r="H250" s="66">
        <f>'Project Database'!L254</f>
        <v/>
      </c>
      <c r="I250" s="66">
        <f>'Project Database'!M254</f>
        <v/>
      </c>
      <c r="J250" s="66">
        <f>'Project Database'!N254</f>
        <v/>
      </c>
      <c r="K250" s="66">
        <f>'Project Database'!O254</f>
        <v/>
      </c>
      <c r="L250" s="66">
        <f>'Project Database'!P254</f>
        <v/>
      </c>
      <c r="M250" s="66">
        <f>'Project Database'!Q254</f>
        <v/>
      </c>
      <c r="N250" s="66">
        <f>'Project Database'!R254</f>
        <v/>
      </c>
      <c r="O250" s="66">
        <f>'Project Database'!S254</f>
        <v/>
      </c>
      <c r="P250" s="66">
        <f>'Project Database'!T254</f>
        <v/>
      </c>
      <c r="Q250" s="66">
        <f>'Project Database'!U254</f>
        <v/>
      </c>
      <c r="R250" s="66">
        <f>'Project Database'!V254</f>
        <v/>
      </c>
      <c r="S250" s="66">
        <f>'Project Database'!W254</f>
        <v/>
      </c>
      <c r="T250" s="66">
        <f>'Project Database'!X254</f>
        <v/>
      </c>
      <c r="U250" s="67">
        <f>'Project Database'!Y254</f>
        <v/>
      </c>
      <c r="V250" s="66">
        <f>IF('Smart Search'!B13=1,IFERROR(1/'Smart Search'!H13,0),0)</f>
        <v/>
      </c>
      <c r="W250" s="66">
        <f>IF('Smart Search'!B13=1,IFERROR(1/'Smart Search'!H13,0),0)</f>
        <v/>
      </c>
      <c r="X250" s="66">
        <f>IF('Smart Search'!C13=1,IFERROR(1/'Smart Search'!H13,0),0)</f>
        <v/>
      </c>
      <c r="Y250" s="66">
        <f>IF('Smart Search'!C13=1,IFERROR(1/'Smart Search'!H13,0),0)</f>
        <v/>
      </c>
      <c r="Z250" s="66">
        <f>IF('Smart Search'!D13=1,IFERROR(1/'Smart Search'!H13,0),0)</f>
        <v/>
      </c>
      <c r="AA250" s="66">
        <f>IF('Smart Search'!D13=1,IFERROR(1/'Smart Search'!H13,0),0)</f>
        <v/>
      </c>
      <c r="AB250" s="66">
        <f>IF('Smart Search'!E13=1,IFERROR(1/'Smart Search'!H13,0),0)</f>
        <v/>
      </c>
      <c r="AC250" s="66">
        <f>IF('Smart Search'!E13=1,IFERROR(1/'Smart Search'!H13,0),0)</f>
        <v/>
      </c>
      <c r="AD250" s="66">
        <f>IF('Smart Search'!F13=1,IFERROR(1/'Smart Search'!H13,0),0)</f>
        <v/>
      </c>
      <c r="AE250" s="66">
        <f>IF('Smart Search'!F13=1,IFERROR(1/'Smart Search'!H13,0),0)</f>
        <v/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66">
        <f>AF250*V250</f>
        <v/>
      </c>
      <c r="AQ250" s="66">
        <f>AG250*W250</f>
        <v/>
      </c>
      <c r="AR250" s="66">
        <f>AH250*X250</f>
        <v/>
      </c>
      <c r="AS250" s="66">
        <f>AI250*Y250</f>
        <v/>
      </c>
      <c r="AT250" s="66">
        <f>AJ250*Z250</f>
        <v/>
      </c>
      <c r="AU250" s="66">
        <f>AK250*AA250</f>
        <v/>
      </c>
      <c r="AV250" s="66">
        <f>AL250*AB250</f>
        <v/>
      </c>
      <c r="AW250" s="66">
        <f>AM250*AC250</f>
        <v/>
      </c>
      <c r="AX250" s="66">
        <f>AN250*AD250</f>
        <v/>
      </c>
      <c r="AY250" s="66">
        <f>AO250*AE250</f>
        <v/>
      </c>
      <c r="AZ250" s="66">
        <f>'Project Database'!Z254</f>
        <v/>
      </c>
      <c r="BA250" s="66">
        <f>IF(OR(A250="",'Smart Search'!H13=0),"",MAX(0,BE250*BF250*MAX(0,1-BG250)))</f>
        <v/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66">
        <f>IF('Smart Search'!G13=1,IFERROR(1/'Smart Search'!H13,0),0)</f>
        <v/>
      </c>
      <c r="BD250" s="66">
        <f>BB250*BC250</f>
        <v/>
      </c>
      <c r="BE250" s="66">
        <f>AP250+AQ250+AR250+AS250+AT250+AU250+AV250+AW250+AX250+AY250+BD250</f>
        <v/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5">
        <f>IF(AND('Project Database'!A254&lt;&gt;"",OR('Smart Search'!$L$5="",'Smart Search'!$L$5="All",TRIM('Project Database'!D254)=TRIM('Smart Search'!$L$5)),OR(TRIM('Smart Search'!$L$6)="",TRIM('Smart Search'!$L$6)="All",ISNUMBER(SEARCH(SUBSTITUTE(SUBSTITUTE(SUBSTITUTE(TRIM('Smart Search'!$L$6),"~","~~"),"*","~*"),"?","~?"),'Project Database'!C254))),OR('Smart Search'!$L$7="",AND('Project Database'!E254&lt;&gt;"",'Project Database'!E254='Smart Search'!$L$7)),OR('Smart Search'!$L$8="",'Smart Search'!$L$8="All",TRIM('Project Database'!F254)=TRIM('Smart Search'!$L$8))),IF(BA250="","",BA250+ROW()*0.0000000001),"")</f>
        <v/>
      </c>
      <c r="BI250" s="5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>
        <f>IF('Project Database'!A254="","",N('Project Database'!AC254))</f>
        <v/>
      </c>
      <c r="BK250" s="5">
        <f>IF('Project Database'!A254="","",N('Project Database'!AD254))</f>
        <v/>
      </c>
      <c r="BL250" s="5">
        <f>IF('Project Database'!A254="","",N('Project Database'!AE254))</f>
        <v/>
      </c>
      <c r="BM250" s="5">
        <f>IF('Project Database'!A254="","",N('Project Database'!AF254))</f>
        <v/>
      </c>
      <c r="BN250" s="5">
        <f>IF('Project Database'!A254="","",N('Project Database'!AG254))</f>
        <v/>
      </c>
      <c r="BO250" s="5">
        <f>IF('Project Database'!A254="","",N('Project Database'!AH254))</f>
        <v/>
      </c>
      <c r="BP250" s="5">
        <f>IF('Project Database'!A254="","",N('Project Database'!AI254))</f>
        <v/>
      </c>
      <c r="BQ250" s="5">
        <f>IF('Project Database'!A254="","",N('Project Database'!AJ254))</f>
        <v/>
      </c>
      <c r="BR250" s="5">
        <f>IF('Project Database'!A254="","",N('Project Database'!AK254))</f>
        <v/>
      </c>
      <c r="BS250" s="5">
        <f>IF('Project Database'!A254="","",N('Project Database'!AL254))</f>
        <v/>
      </c>
      <c r="BT250" s="5">
        <f>IF('Project Database'!A254="","",N('Project Database'!AM254))</f>
        <v/>
      </c>
      <c r="BU250" s="5">
        <f>IF('Project Database'!A254="","",N('Project Database'!AN254))</f>
        <v/>
      </c>
      <c r="BV250" s="5">
        <f>IF('Project Database'!A254="","",N('Project Database'!AO254))</f>
        <v/>
      </c>
      <c r="BW250" s="5">
        <f>IF('Project Database'!A254="","",N('Project Database'!AP254))</f>
        <v/>
      </c>
      <c r="BX250" s="5">
        <f>IF(A250="","",SUM(BJ250:BW250))</f>
        <v/>
      </c>
      <c r="BY250" s="5">
        <f>IF(A250="","",IFERROR(IF(ISNUMBER(U250),U250,VALUE(SUBSTITUTE(SUBSTITUTE(SUBSTITUTE(UPPER(TRIM(U250)),"M",""),",","")," ",""))),0))</f>
        <v/>
      </c>
    </row>
    <row r="251" ht="15" customHeight="1" s="74">
      <c r="A251" s="66">
        <f>'Project Database'!A255</f>
        <v/>
      </c>
      <c r="B251" s="66">
        <f>'Project Database'!B255</f>
        <v/>
      </c>
      <c r="C251" s="66">
        <f>'Project Database'!G255</f>
        <v/>
      </c>
      <c r="D251" s="66">
        <f>'Project Database'!H255</f>
        <v/>
      </c>
      <c r="E251" s="66">
        <f>'Project Database'!I255</f>
        <v/>
      </c>
      <c r="F251" s="66">
        <f>'Project Database'!J255</f>
        <v/>
      </c>
      <c r="G251" s="66">
        <f>'Project Database'!K255</f>
        <v/>
      </c>
      <c r="H251" s="66">
        <f>'Project Database'!L255</f>
        <v/>
      </c>
      <c r="I251" s="66">
        <f>'Project Database'!M255</f>
        <v/>
      </c>
      <c r="J251" s="66">
        <f>'Project Database'!N255</f>
        <v/>
      </c>
      <c r="K251" s="66">
        <f>'Project Database'!O255</f>
        <v/>
      </c>
      <c r="L251" s="66">
        <f>'Project Database'!P255</f>
        <v/>
      </c>
      <c r="M251" s="66">
        <f>'Project Database'!Q255</f>
        <v/>
      </c>
      <c r="N251" s="66">
        <f>'Project Database'!R255</f>
        <v/>
      </c>
      <c r="O251" s="66">
        <f>'Project Database'!S255</f>
        <v/>
      </c>
      <c r="P251" s="66">
        <f>'Project Database'!T255</f>
        <v/>
      </c>
      <c r="Q251" s="66">
        <f>'Project Database'!U255</f>
        <v/>
      </c>
      <c r="R251" s="66">
        <f>'Project Database'!V255</f>
        <v/>
      </c>
      <c r="S251" s="66">
        <f>'Project Database'!W255</f>
        <v/>
      </c>
      <c r="T251" s="66">
        <f>'Project Database'!X255</f>
        <v/>
      </c>
      <c r="U251" s="67">
        <f>'Project Database'!Y255</f>
        <v/>
      </c>
      <c r="V251" s="66">
        <f>IF('Smart Search'!B13=1,IFERROR(1/'Smart Search'!H13,0),0)</f>
        <v/>
      </c>
      <c r="W251" s="66">
        <f>IF('Smart Search'!B13=1,IFERROR(1/'Smart Search'!H13,0),0)</f>
        <v/>
      </c>
      <c r="X251" s="66">
        <f>IF('Smart Search'!C13=1,IFERROR(1/'Smart Search'!H13,0),0)</f>
        <v/>
      </c>
      <c r="Y251" s="66">
        <f>IF('Smart Search'!C13=1,IFERROR(1/'Smart Search'!H13,0),0)</f>
        <v/>
      </c>
      <c r="Z251" s="66">
        <f>IF('Smart Search'!D13=1,IFERROR(1/'Smart Search'!H13,0),0)</f>
        <v/>
      </c>
      <c r="AA251" s="66">
        <f>IF('Smart Search'!D13=1,IFERROR(1/'Smart Search'!H13,0),0)</f>
        <v/>
      </c>
      <c r="AB251" s="66">
        <f>IF('Smart Search'!E13=1,IFERROR(1/'Smart Search'!H13,0),0)</f>
        <v/>
      </c>
      <c r="AC251" s="66">
        <f>IF('Smart Search'!E13=1,IFERROR(1/'Smart Search'!H13,0),0)</f>
        <v/>
      </c>
      <c r="AD251" s="66">
        <f>IF('Smart Search'!F13=1,IFERROR(1/'Smart Search'!H13,0),0)</f>
        <v/>
      </c>
      <c r="AE251" s="66">
        <f>IF('Smart Search'!F13=1,IFERROR(1/'Smart Search'!H13,0),0)</f>
        <v/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66">
        <f>AF251*V251</f>
        <v/>
      </c>
      <c r="AQ251" s="66">
        <f>AG251*W251</f>
        <v/>
      </c>
      <c r="AR251" s="66">
        <f>AH251*X251</f>
        <v/>
      </c>
      <c r="AS251" s="66">
        <f>AI251*Y251</f>
        <v/>
      </c>
      <c r="AT251" s="66">
        <f>AJ251*Z251</f>
        <v/>
      </c>
      <c r="AU251" s="66">
        <f>AK251*AA251</f>
        <v/>
      </c>
      <c r="AV251" s="66">
        <f>AL251*AB251</f>
        <v/>
      </c>
      <c r="AW251" s="66">
        <f>AM251*AC251</f>
        <v/>
      </c>
      <c r="AX251" s="66">
        <f>AN251*AD251</f>
        <v/>
      </c>
      <c r="AY251" s="66">
        <f>AO251*AE251</f>
        <v/>
      </c>
      <c r="AZ251" s="66">
        <f>'Project Database'!Z255</f>
        <v/>
      </c>
      <c r="BA251" s="66">
        <f>IF(OR(A251="",'Smart Search'!H13=0),"",MAX(0,BE251*BF251*MAX(0,1-BG251)))</f>
        <v/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66">
        <f>IF('Smart Search'!G13=1,IFERROR(1/'Smart Search'!H13,0),0)</f>
        <v/>
      </c>
      <c r="BD251" s="66">
        <f>BB251*BC251</f>
        <v/>
      </c>
      <c r="BE251" s="66">
        <f>AP251+AQ251+AR251+AS251+AT251+AU251+AV251+AW251+AX251+AY251+BD251</f>
        <v/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5">
        <f>IF(AND('Project Database'!A255&lt;&gt;"",OR('Smart Search'!$L$5="",'Smart Search'!$L$5="All",TRIM('Project Database'!D255)=TRIM('Smart Search'!$L$5)),OR(TRIM('Smart Search'!$L$6)="",TRIM('Smart Search'!$L$6)="All",ISNUMBER(SEARCH(SUBSTITUTE(SUBSTITUTE(SUBSTITUTE(TRIM('Smart Search'!$L$6),"~","~~"),"*","~*"),"?","~?"),'Project Database'!C255))),OR('Smart Search'!$L$7="",AND('Project Database'!E255&lt;&gt;"",'Project Database'!E255='Smart Search'!$L$7)),OR('Smart Search'!$L$8="",'Smart Search'!$L$8="All",TRIM('Project Database'!F255)=TRIM('Smart Search'!$L$8))),IF(BA251="","",BA251+ROW()*0.0000000001),"")</f>
        <v/>
      </c>
      <c r="BI251" s="5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>
        <f>IF('Project Database'!A255="","",N('Project Database'!AC255))</f>
        <v/>
      </c>
      <c r="BK251" s="5">
        <f>IF('Project Database'!A255="","",N('Project Database'!AD255))</f>
        <v/>
      </c>
      <c r="BL251" s="5">
        <f>IF('Project Database'!A255="","",N('Project Database'!AE255))</f>
        <v/>
      </c>
      <c r="BM251" s="5">
        <f>IF('Project Database'!A255="","",N('Project Database'!AF255))</f>
        <v/>
      </c>
      <c r="BN251" s="5">
        <f>IF('Project Database'!A255="","",N('Project Database'!AG255))</f>
        <v/>
      </c>
      <c r="BO251" s="5">
        <f>IF('Project Database'!A255="","",N('Project Database'!AH255))</f>
        <v/>
      </c>
      <c r="BP251" s="5">
        <f>IF('Project Database'!A255="","",N('Project Database'!AI255))</f>
        <v/>
      </c>
      <c r="BQ251" s="5">
        <f>IF('Project Database'!A255="","",N('Project Database'!AJ255))</f>
        <v/>
      </c>
      <c r="BR251" s="5">
        <f>IF('Project Database'!A255="","",N('Project Database'!AK255))</f>
        <v/>
      </c>
      <c r="BS251" s="5">
        <f>IF('Project Database'!A255="","",N('Project Database'!AL255))</f>
        <v/>
      </c>
      <c r="BT251" s="5">
        <f>IF('Project Database'!A255="","",N('Project Database'!AM255))</f>
        <v/>
      </c>
      <c r="BU251" s="5">
        <f>IF('Project Database'!A255="","",N('Project Database'!AN255))</f>
        <v/>
      </c>
      <c r="BV251" s="5">
        <f>IF('Project Database'!A255="","",N('Project Database'!AO255))</f>
        <v/>
      </c>
      <c r="BW251" s="5">
        <f>IF('Project Database'!A255="","",N('Project Database'!AP255))</f>
        <v/>
      </c>
      <c r="BX251" s="5">
        <f>IF(A251="","",SUM(BJ251:BW251))</f>
        <v/>
      </c>
      <c r="BY251" s="5">
        <f>IF(A251="","",IFERROR(IF(ISNUMBER(U251),U251,VALUE(SUBSTITUTE(SUBSTITUTE(SUBSTITUTE(UPPER(TRIM(U251)),"M",""),",","")," ",""))),0))</f>
        <v/>
      </c>
    </row>
    <row r="252" ht="15" customHeight="1" s="74">
      <c r="A252" s="66">
        <f>'Project Database'!A256</f>
        <v/>
      </c>
      <c r="B252" s="66">
        <f>'Project Database'!B256</f>
        <v/>
      </c>
      <c r="C252" s="66">
        <f>'Project Database'!G256</f>
        <v/>
      </c>
      <c r="D252" s="66">
        <f>'Project Database'!H256</f>
        <v/>
      </c>
      <c r="E252" s="66">
        <f>'Project Database'!I256</f>
        <v/>
      </c>
      <c r="F252" s="66">
        <f>'Project Database'!J256</f>
        <v/>
      </c>
      <c r="G252" s="66">
        <f>'Project Database'!K256</f>
        <v/>
      </c>
      <c r="H252" s="66">
        <f>'Project Database'!L256</f>
        <v/>
      </c>
      <c r="I252" s="66">
        <f>'Project Database'!M256</f>
        <v/>
      </c>
      <c r="J252" s="66">
        <f>'Project Database'!N256</f>
        <v/>
      </c>
      <c r="K252" s="66">
        <f>'Project Database'!O256</f>
        <v/>
      </c>
      <c r="L252" s="66">
        <f>'Project Database'!P256</f>
        <v/>
      </c>
      <c r="M252" s="66">
        <f>'Project Database'!Q256</f>
        <v/>
      </c>
      <c r="N252" s="66">
        <f>'Project Database'!R256</f>
        <v/>
      </c>
      <c r="O252" s="66">
        <f>'Project Database'!S256</f>
        <v/>
      </c>
      <c r="P252" s="66">
        <f>'Project Database'!T256</f>
        <v/>
      </c>
      <c r="Q252" s="66">
        <f>'Project Database'!U256</f>
        <v/>
      </c>
      <c r="R252" s="66">
        <f>'Project Database'!V256</f>
        <v/>
      </c>
      <c r="S252" s="66">
        <f>'Project Database'!W256</f>
        <v/>
      </c>
      <c r="T252" s="66">
        <f>'Project Database'!X256</f>
        <v/>
      </c>
      <c r="U252" s="67">
        <f>'Project Database'!Y256</f>
        <v/>
      </c>
      <c r="V252" s="66">
        <f>IF('Smart Search'!B13=1,IFERROR(1/'Smart Search'!H13,0),0)</f>
        <v/>
      </c>
      <c r="W252" s="66">
        <f>IF('Smart Search'!B13=1,IFERROR(1/'Smart Search'!H13,0),0)</f>
        <v/>
      </c>
      <c r="X252" s="66">
        <f>IF('Smart Search'!C13=1,IFERROR(1/'Smart Search'!H13,0),0)</f>
        <v/>
      </c>
      <c r="Y252" s="66">
        <f>IF('Smart Search'!C13=1,IFERROR(1/'Smart Search'!H13,0),0)</f>
        <v/>
      </c>
      <c r="Z252" s="66">
        <f>IF('Smart Search'!D13=1,IFERROR(1/'Smart Search'!H13,0),0)</f>
        <v/>
      </c>
      <c r="AA252" s="66">
        <f>IF('Smart Search'!D13=1,IFERROR(1/'Smart Search'!H13,0),0)</f>
        <v/>
      </c>
      <c r="AB252" s="66">
        <f>IF('Smart Search'!E13=1,IFERROR(1/'Smart Search'!H13,0),0)</f>
        <v/>
      </c>
      <c r="AC252" s="66">
        <f>IF('Smart Search'!E13=1,IFERROR(1/'Smart Search'!H13,0),0)</f>
        <v/>
      </c>
      <c r="AD252" s="66">
        <f>IF('Smart Search'!F13=1,IFERROR(1/'Smart Search'!H13,0),0)</f>
        <v/>
      </c>
      <c r="AE252" s="66">
        <f>IF('Smart Search'!F13=1,IFERROR(1/'Smart Search'!H13,0),0)</f>
        <v/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66">
        <f>AF252*V252</f>
        <v/>
      </c>
      <c r="AQ252" s="66">
        <f>AG252*W252</f>
        <v/>
      </c>
      <c r="AR252" s="66">
        <f>AH252*X252</f>
        <v/>
      </c>
      <c r="AS252" s="66">
        <f>AI252*Y252</f>
        <v/>
      </c>
      <c r="AT252" s="66">
        <f>AJ252*Z252</f>
        <v/>
      </c>
      <c r="AU252" s="66">
        <f>AK252*AA252</f>
        <v/>
      </c>
      <c r="AV252" s="66">
        <f>AL252*AB252</f>
        <v/>
      </c>
      <c r="AW252" s="66">
        <f>AM252*AC252</f>
        <v/>
      </c>
      <c r="AX252" s="66">
        <f>AN252*AD252</f>
        <v/>
      </c>
      <c r="AY252" s="66">
        <f>AO252*AE252</f>
        <v/>
      </c>
      <c r="AZ252" s="66">
        <f>'Project Database'!Z256</f>
        <v/>
      </c>
      <c r="BA252" s="66">
        <f>IF(OR(A252="",'Smart Search'!H13=0),"",MAX(0,BE252*BF252*MAX(0,1-BG252)))</f>
        <v/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66">
        <f>IF('Smart Search'!G13=1,IFERROR(1/'Smart Search'!H13,0),0)</f>
        <v/>
      </c>
      <c r="BD252" s="66">
        <f>BB252*BC252</f>
        <v/>
      </c>
      <c r="BE252" s="66">
        <f>AP252+AQ252+AR252+AS252+AT252+AU252+AV252+AW252+AX252+AY252+BD252</f>
        <v/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5">
        <f>IF(AND('Project Database'!A256&lt;&gt;"",OR('Smart Search'!$L$5="",'Smart Search'!$L$5="All",TRIM('Project Database'!D256)=TRIM('Smart Search'!$L$5)),OR(TRIM('Smart Search'!$L$6)="",TRIM('Smart Search'!$L$6)="All",ISNUMBER(SEARCH(SUBSTITUTE(SUBSTITUTE(SUBSTITUTE(TRIM('Smart Search'!$L$6),"~","~~"),"*","~*"),"?","~?"),'Project Database'!C256))),OR('Smart Search'!$L$7="",AND('Project Database'!E256&lt;&gt;"",'Project Database'!E256='Smart Search'!$L$7)),OR('Smart Search'!$L$8="",'Smart Search'!$L$8="All",TRIM('Project Database'!F256)=TRIM('Smart Search'!$L$8))),IF(BA252="","",BA252+ROW()*0.0000000001),"")</f>
        <v/>
      </c>
      <c r="BI252" s="5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>
        <f>IF('Project Database'!A256="","",N('Project Database'!AC256))</f>
        <v/>
      </c>
      <c r="BK252" s="5">
        <f>IF('Project Database'!A256="","",N('Project Database'!AD256))</f>
        <v/>
      </c>
      <c r="BL252" s="5">
        <f>IF('Project Database'!A256="","",N('Project Database'!AE256))</f>
        <v/>
      </c>
      <c r="BM252" s="5">
        <f>IF('Project Database'!A256="","",N('Project Database'!AF256))</f>
        <v/>
      </c>
      <c r="BN252" s="5">
        <f>IF('Project Database'!A256="","",N('Project Database'!AG256))</f>
        <v/>
      </c>
      <c r="BO252" s="5">
        <f>IF('Project Database'!A256="","",N('Project Database'!AH256))</f>
        <v/>
      </c>
      <c r="BP252" s="5">
        <f>IF('Project Database'!A256="","",N('Project Database'!AI256))</f>
        <v/>
      </c>
      <c r="BQ252" s="5">
        <f>IF('Project Database'!A256="","",N('Project Database'!AJ256))</f>
        <v/>
      </c>
      <c r="BR252" s="5">
        <f>IF('Project Database'!A256="","",N('Project Database'!AK256))</f>
        <v/>
      </c>
      <c r="BS252" s="5">
        <f>IF('Project Database'!A256="","",N('Project Database'!AL256))</f>
        <v/>
      </c>
      <c r="BT252" s="5">
        <f>IF('Project Database'!A256="","",N('Project Database'!AM256))</f>
        <v/>
      </c>
      <c r="BU252" s="5">
        <f>IF('Project Database'!A256="","",N('Project Database'!AN256))</f>
        <v/>
      </c>
      <c r="BV252" s="5">
        <f>IF('Project Database'!A256="","",N('Project Database'!AO256))</f>
        <v/>
      </c>
      <c r="BW252" s="5">
        <f>IF('Project Database'!A256="","",N('Project Database'!AP256))</f>
        <v/>
      </c>
      <c r="BX252" s="5">
        <f>IF(A252="","",SUM(BJ252:BW252))</f>
        <v/>
      </c>
      <c r="BY252" s="5">
        <f>IF(A252="","",IFERROR(IF(ISNUMBER(U252),U252,VALUE(SUBSTITUTE(SUBSTITUTE(SUBSTITUTE(UPPER(TRIM(U252)),"M",""),",","")," ",""))),0))</f>
        <v/>
      </c>
    </row>
    <row r="253" ht="15" customHeight="1" s="74">
      <c r="A253" s="66">
        <f>'Project Database'!A257</f>
        <v/>
      </c>
      <c r="B253" s="66">
        <f>'Project Database'!B257</f>
        <v/>
      </c>
      <c r="C253" s="66">
        <f>'Project Database'!G257</f>
        <v/>
      </c>
      <c r="D253" s="66">
        <f>'Project Database'!H257</f>
        <v/>
      </c>
      <c r="E253" s="66">
        <f>'Project Database'!I257</f>
        <v/>
      </c>
      <c r="F253" s="66">
        <f>'Project Database'!J257</f>
        <v/>
      </c>
      <c r="G253" s="66">
        <f>'Project Database'!K257</f>
        <v/>
      </c>
      <c r="H253" s="66">
        <f>'Project Database'!L257</f>
        <v/>
      </c>
      <c r="I253" s="66">
        <f>'Project Database'!M257</f>
        <v/>
      </c>
      <c r="J253" s="66">
        <f>'Project Database'!N257</f>
        <v/>
      </c>
      <c r="K253" s="66">
        <f>'Project Database'!O257</f>
        <v/>
      </c>
      <c r="L253" s="66">
        <f>'Project Database'!P257</f>
        <v/>
      </c>
      <c r="M253" s="66">
        <f>'Project Database'!Q257</f>
        <v/>
      </c>
      <c r="N253" s="66">
        <f>'Project Database'!R257</f>
        <v/>
      </c>
      <c r="O253" s="66">
        <f>'Project Database'!S257</f>
        <v/>
      </c>
      <c r="P253" s="66">
        <f>'Project Database'!T257</f>
        <v/>
      </c>
      <c r="Q253" s="66">
        <f>'Project Database'!U257</f>
        <v/>
      </c>
      <c r="R253" s="66">
        <f>'Project Database'!V257</f>
        <v/>
      </c>
      <c r="S253" s="66">
        <f>'Project Database'!W257</f>
        <v/>
      </c>
      <c r="T253" s="66">
        <f>'Project Database'!X257</f>
        <v/>
      </c>
      <c r="U253" s="67">
        <f>'Project Database'!Y257</f>
        <v/>
      </c>
      <c r="V253" s="66">
        <f>IF('Smart Search'!B13=1,IFERROR(1/'Smart Search'!H13,0),0)</f>
        <v/>
      </c>
      <c r="W253" s="66">
        <f>IF('Smart Search'!B13=1,IFERROR(1/'Smart Search'!H13,0),0)</f>
        <v/>
      </c>
      <c r="X253" s="66">
        <f>IF('Smart Search'!C13=1,IFERROR(1/'Smart Search'!H13,0),0)</f>
        <v/>
      </c>
      <c r="Y253" s="66">
        <f>IF('Smart Search'!C13=1,IFERROR(1/'Smart Search'!H13,0),0)</f>
        <v/>
      </c>
      <c r="Z253" s="66">
        <f>IF('Smart Search'!D13=1,IFERROR(1/'Smart Search'!H13,0),0)</f>
        <v/>
      </c>
      <c r="AA253" s="66">
        <f>IF('Smart Search'!D13=1,IFERROR(1/'Smart Search'!H13,0),0)</f>
        <v/>
      </c>
      <c r="AB253" s="66">
        <f>IF('Smart Search'!E13=1,IFERROR(1/'Smart Search'!H13,0),0)</f>
        <v/>
      </c>
      <c r="AC253" s="66">
        <f>IF('Smart Search'!E13=1,IFERROR(1/'Smart Search'!H13,0),0)</f>
        <v/>
      </c>
      <c r="AD253" s="66">
        <f>IF('Smart Search'!F13=1,IFERROR(1/'Smart Search'!H13,0),0)</f>
        <v/>
      </c>
      <c r="AE253" s="66">
        <f>IF('Smart Search'!F13=1,IFERROR(1/'Smart Search'!H13,0),0)</f>
        <v/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66">
        <f>AF253*V253</f>
        <v/>
      </c>
      <c r="AQ253" s="66">
        <f>AG253*W253</f>
        <v/>
      </c>
      <c r="AR253" s="66">
        <f>AH253*X253</f>
        <v/>
      </c>
      <c r="AS253" s="66">
        <f>AI253*Y253</f>
        <v/>
      </c>
      <c r="AT253" s="66">
        <f>AJ253*Z253</f>
        <v/>
      </c>
      <c r="AU253" s="66">
        <f>AK253*AA253</f>
        <v/>
      </c>
      <c r="AV253" s="66">
        <f>AL253*AB253</f>
        <v/>
      </c>
      <c r="AW253" s="66">
        <f>AM253*AC253</f>
        <v/>
      </c>
      <c r="AX253" s="66">
        <f>AN253*AD253</f>
        <v/>
      </c>
      <c r="AY253" s="66">
        <f>AO253*AE253</f>
        <v/>
      </c>
      <c r="AZ253" s="66">
        <f>'Project Database'!Z257</f>
        <v/>
      </c>
      <c r="BA253" s="66">
        <f>IF(OR(A253="",'Smart Search'!H13=0),"",MAX(0,BE253*BF253*MAX(0,1-BG253)))</f>
        <v/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66">
        <f>IF('Smart Search'!G13=1,IFERROR(1/'Smart Search'!H13,0),0)</f>
        <v/>
      </c>
      <c r="BD253" s="66">
        <f>BB253*BC253</f>
        <v/>
      </c>
      <c r="BE253" s="66">
        <f>AP253+AQ253+AR253+AS253+AT253+AU253+AV253+AW253+AX253+AY253+BD253</f>
        <v/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5">
        <f>IF(AND('Project Database'!A257&lt;&gt;"",OR('Smart Search'!$L$5="",'Smart Search'!$L$5="All",TRIM('Project Database'!D257)=TRIM('Smart Search'!$L$5)),OR(TRIM('Smart Search'!$L$6)="",TRIM('Smart Search'!$L$6)="All",ISNUMBER(SEARCH(SUBSTITUTE(SUBSTITUTE(SUBSTITUTE(TRIM('Smart Search'!$L$6),"~","~~"),"*","~*"),"?","~?"),'Project Database'!C257))),OR('Smart Search'!$L$7="",AND('Project Database'!E257&lt;&gt;"",'Project Database'!E257='Smart Search'!$L$7)),OR('Smart Search'!$L$8="",'Smart Search'!$L$8="All",TRIM('Project Database'!F257)=TRIM('Smart Search'!$L$8))),IF(BA253="","",BA253+ROW()*0.0000000001),"")</f>
        <v/>
      </c>
      <c r="BI253" s="5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>
        <f>IF('Project Database'!A257="","",N('Project Database'!AC257))</f>
        <v/>
      </c>
      <c r="BK253" s="5">
        <f>IF('Project Database'!A257="","",N('Project Database'!AD257))</f>
        <v/>
      </c>
      <c r="BL253" s="5">
        <f>IF('Project Database'!A257="","",N('Project Database'!AE257))</f>
        <v/>
      </c>
      <c r="BM253" s="5">
        <f>IF('Project Database'!A257="","",N('Project Database'!AF257))</f>
        <v/>
      </c>
      <c r="BN253" s="5">
        <f>IF('Project Database'!A257="","",N('Project Database'!AG257))</f>
        <v/>
      </c>
      <c r="BO253" s="5">
        <f>IF('Project Database'!A257="","",N('Project Database'!AH257))</f>
        <v/>
      </c>
      <c r="BP253" s="5">
        <f>IF('Project Database'!A257="","",N('Project Database'!AI257))</f>
        <v/>
      </c>
      <c r="BQ253" s="5">
        <f>IF('Project Database'!A257="","",N('Project Database'!AJ257))</f>
        <v/>
      </c>
      <c r="BR253" s="5">
        <f>IF('Project Database'!A257="","",N('Project Database'!AK257))</f>
        <v/>
      </c>
      <c r="BS253" s="5">
        <f>IF('Project Database'!A257="","",N('Project Database'!AL257))</f>
        <v/>
      </c>
      <c r="BT253" s="5">
        <f>IF('Project Database'!A257="","",N('Project Database'!AM257))</f>
        <v/>
      </c>
      <c r="BU253" s="5">
        <f>IF('Project Database'!A257="","",N('Project Database'!AN257))</f>
        <v/>
      </c>
      <c r="BV253" s="5">
        <f>IF('Project Database'!A257="","",N('Project Database'!AO257))</f>
        <v/>
      </c>
      <c r="BW253" s="5">
        <f>IF('Project Database'!A257="","",N('Project Database'!AP257))</f>
        <v/>
      </c>
      <c r="BX253" s="5">
        <f>IF(A253="","",SUM(BJ253:BW253))</f>
        <v/>
      </c>
      <c r="BY253" s="5">
        <f>IF(A253="","",IFERROR(IF(ISNUMBER(U253),U253,VALUE(SUBSTITUTE(SUBSTITUTE(SUBSTITUTE(UPPER(TRIM(U253)),"M",""),",","")," ",""))),0))</f>
        <v/>
      </c>
    </row>
    <row r="254" ht="15" customHeight="1" s="74">
      <c r="A254" s="66">
        <f>'Project Database'!A258</f>
        <v/>
      </c>
      <c r="B254" s="66">
        <f>'Project Database'!B258</f>
        <v/>
      </c>
      <c r="C254" s="66">
        <f>'Project Database'!G258</f>
        <v/>
      </c>
      <c r="D254" s="66">
        <f>'Project Database'!H258</f>
        <v/>
      </c>
      <c r="E254" s="66">
        <f>'Project Database'!I258</f>
        <v/>
      </c>
      <c r="F254" s="66">
        <f>'Project Database'!J258</f>
        <v/>
      </c>
      <c r="G254" s="66">
        <f>'Project Database'!K258</f>
        <v/>
      </c>
      <c r="H254" s="66">
        <f>'Project Database'!L258</f>
        <v/>
      </c>
      <c r="I254" s="66">
        <f>'Project Database'!M258</f>
        <v/>
      </c>
      <c r="J254" s="66">
        <f>'Project Database'!N258</f>
        <v/>
      </c>
      <c r="K254" s="66">
        <f>'Project Database'!O258</f>
        <v/>
      </c>
      <c r="L254" s="66">
        <f>'Project Database'!P258</f>
        <v/>
      </c>
      <c r="M254" s="66">
        <f>'Project Database'!Q258</f>
        <v/>
      </c>
      <c r="N254" s="66">
        <f>'Project Database'!R258</f>
        <v/>
      </c>
      <c r="O254" s="66">
        <f>'Project Database'!S258</f>
        <v/>
      </c>
      <c r="P254" s="66">
        <f>'Project Database'!T258</f>
        <v/>
      </c>
      <c r="Q254" s="66">
        <f>'Project Database'!U258</f>
        <v/>
      </c>
      <c r="R254" s="66">
        <f>'Project Database'!V258</f>
        <v/>
      </c>
      <c r="S254" s="66">
        <f>'Project Database'!W258</f>
        <v/>
      </c>
      <c r="T254" s="66">
        <f>'Project Database'!X258</f>
        <v/>
      </c>
      <c r="U254" s="67">
        <f>'Project Database'!Y258</f>
        <v/>
      </c>
      <c r="V254" s="66">
        <f>IF('Smart Search'!B13=1,IFERROR(1/'Smart Search'!H13,0),0)</f>
        <v/>
      </c>
      <c r="W254" s="66">
        <f>IF('Smart Search'!B13=1,IFERROR(1/'Smart Search'!H13,0),0)</f>
        <v/>
      </c>
      <c r="X254" s="66">
        <f>IF('Smart Search'!C13=1,IFERROR(1/'Smart Search'!H13,0),0)</f>
        <v/>
      </c>
      <c r="Y254" s="66">
        <f>IF('Smart Search'!C13=1,IFERROR(1/'Smart Search'!H13,0),0)</f>
        <v/>
      </c>
      <c r="Z254" s="66">
        <f>IF('Smart Search'!D13=1,IFERROR(1/'Smart Search'!H13,0),0)</f>
        <v/>
      </c>
      <c r="AA254" s="66">
        <f>IF('Smart Search'!D13=1,IFERROR(1/'Smart Search'!H13,0),0)</f>
        <v/>
      </c>
      <c r="AB254" s="66">
        <f>IF('Smart Search'!E13=1,IFERROR(1/'Smart Search'!H13,0),0)</f>
        <v/>
      </c>
      <c r="AC254" s="66">
        <f>IF('Smart Search'!E13=1,IFERROR(1/'Smart Search'!H13,0),0)</f>
        <v/>
      </c>
      <c r="AD254" s="66">
        <f>IF('Smart Search'!F13=1,IFERROR(1/'Smart Search'!H13,0),0)</f>
        <v/>
      </c>
      <c r="AE254" s="66">
        <f>IF('Smart Search'!F13=1,IFERROR(1/'Smart Search'!H13,0),0)</f>
        <v/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66">
        <f>AF254*V254</f>
        <v/>
      </c>
      <c r="AQ254" s="66">
        <f>AG254*W254</f>
        <v/>
      </c>
      <c r="AR254" s="66">
        <f>AH254*X254</f>
        <v/>
      </c>
      <c r="AS254" s="66">
        <f>AI254*Y254</f>
        <v/>
      </c>
      <c r="AT254" s="66">
        <f>AJ254*Z254</f>
        <v/>
      </c>
      <c r="AU254" s="66">
        <f>AK254*AA254</f>
        <v/>
      </c>
      <c r="AV254" s="66">
        <f>AL254*AB254</f>
        <v/>
      </c>
      <c r="AW254" s="66">
        <f>AM254*AC254</f>
        <v/>
      </c>
      <c r="AX254" s="66">
        <f>AN254*AD254</f>
        <v/>
      </c>
      <c r="AY254" s="66">
        <f>AO254*AE254</f>
        <v/>
      </c>
      <c r="AZ254" s="66">
        <f>'Project Database'!Z258</f>
        <v/>
      </c>
      <c r="BA254" s="66">
        <f>IF(OR(A254="",'Smart Search'!H13=0),"",MAX(0,BE254*BF254*MAX(0,1-BG254)))</f>
        <v/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66">
        <f>IF('Smart Search'!G13=1,IFERROR(1/'Smart Search'!H13,0),0)</f>
        <v/>
      </c>
      <c r="BD254" s="66">
        <f>BB254*BC254</f>
        <v/>
      </c>
      <c r="BE254" s="66">
        <f>AP254+AQ254+AR254+AS254+AT254+AU254+AV254+AW254+AX254+AY254+BD254</f>
        <v/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5">
        <f>IF(AND('Project Database'!A258&lt;&gt;"",OR('Smart Search'!$L$5="",'Smart Search'!$L$5="All",TRIM('Project Database'!D258)=TRIM('Smart Search'!$L$5)),OR(TRIM('Smart Search'!$L$6)="",TRIM('Smart Search'!$L$6)="All",ISNUMBER(SEARCH(SUBSTITUTE(SUBSTITUTE(SUBSTITUTE(TRIM('Smart Search'!$L$6),"~","~~"),"*","~*"),"?","~?"),'Project Database'!C258))),OR('Smart Search'!$L$7="",AND('Project Database'!E258&lt;&gt;"",'Project Database'!E258='Smart Search'!$L$7)),OR('Smart Search'!$L$8="",'Smart Search'!$L$8="All",TRIM('Project Database'!F258)=TRIM('Smart Search'!$L$8))),IF(BA254="","",BA254+ROW()*0.0000000001),"")</f>
        <v/>
      </c>
      <c r="BI254" s="5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>
        <f>IF('Project Database'!A258="","",N('Project Database'!AC258))</f>
        <v/>
      </c>
      <c r="BK254" s="5">
        <f>IF('Project Database'!A258="","",N('Project Database'!AD258))</f>
        <v/>
      </c>
      <c r="BL254" s="5">
        <f>IF('Project Database'!A258="","",N('Project Database'!AE258))</f>
        <v/>
      </c>
      <c r="BM254" s="5">
        <f>IF('Project Database'!A258="","",N('Project Database'!AF258))</f>
        <v/>
      </c>
      <c r="BN254" s="5">
        <f>IF('Project Database'!A258="","",N('Project Database'!AG258))</f>
        <v/>
      </c>
      <c r="BO254" s="5">
        <f>IF('Project Database'!A258="","",N('Project Database'!AH258))</f>
        <v/>
      </c>
      <c r="BP254" s="5">
        <f>IF('Project Database'!A258="","",N('Project Database'!AI258))</f>
        <v/>
      </c>
      <c r="BQ254" s="5">
        <f>IF('Project Database'!A258="","",N('Project Database'!AJ258))</f>
        <v/>
      </c>
      <c r="BR254" s="5">
        <f>IF('Project Database'!A258="","",N('Project Database'!AK258))</f>
        <v/>
      </c>
      <c r="BS254" s="5">
        <f>IF('Project Database'!A258="","",N('Project Database'!AL258))</f>
        <v/>
      </c>
      <c r="BT254" s="5">
        <f>IF('Project Database'!A258="","",N('Project Database'!AM258))</f>
        <v/>
      </c>
      <c r="BU254" s="5">
        <f>IF('Project Database'!A258="","",N('Project Database'!AN258))</f>
        <v/>
      </c>
      <c r="BV254" s="5">
        <f>IF('Project Database'!A258="","",N('Project Database'!AO258))</f>
        <v/>
      </c>
      <c r="BW254" s="5">
        <f>IF('Project Database'!A258="","",N('Project Database'!AP258))</f>
        <v/>
      </c>
      <c r="BX254" s="5">
        <f>IF(A254="","",SUM(BJ254:BW254))</f>
        <v/>
      </c>
      <c r="BY254" s="5">
        <f>IF(A254="","",IFERROR(IF(ISNUMBER(U254),U254,VALUE(SUBSTITUTE(SUBSTITUTE(SUBSTITUTE(UPPER(TRIM(U254)),"M",""),",","")," ",""))),0))</f>
        <v/>
      </c>
    </row>
    <row r="255" ht="15" customHeight="1" s="74">
      <c r="A255" s="66">
        <f>'Project Database'!A259</f>
        <v/>
      </c>
      <c r="B255" s="66">
        <f>'Project Database'!B259</f>
        <v/>
      </c>
      <c r="C255" s="66">
        <f>'Project Database'!G259</f>
        <v/>
      </c>
      <c r="D255" s="66">
        <f>'Project Database'!H259</f>
        <v/>
      </c>
      <c r="E255" s="66">
        <f>'Project Database'!I259</f>
        <v/>
      </c>
      <c r="F255" s="66">
        <f>'Project Database'!J259</f>
        <v/>
      </c>
      <c r="G255" s="66">
        <f>'Project Database'!K259</f>
        <v/>
      </c>
      <c r="H255" s="66">
        <f>'Project Database'!L259</f>
        <v/>
      </c>
      <c r="I255" s="66">
        <f>'Project Database'!M259</f>
        <v/>
      </c>
      <c r="J255" s="66">
        <f>'Project Database'!N259</f>
        <v/>
      </c>
      <c r="K255" s="66">
        <f>'Project Database'!O259</f>
        <v/>
      </c>
      <c r="L255" s="66">
        <f>'Project Database'!P259</f>
        <v/>
      </c>
      <c r="M255" s="66">
        <f>'Project Database'!Q259</f>
        <v/>
      </c>
      <c r="N255" s="66">
        <f>'Project Database'!R259</f>
        <v/>
      </c>
      <c r="O255" s="66">
        <f>'Project Database'!S259</f>
        <v/>
      </c>
      <c r="P255" s="66">
        <f>'Project Database'!T259</f>
        <v/>
      </c>
      <c r="Q255" s="66">
        <f>'Project Database'!U259</f>
        <v/>
      </c>
      <c r="R255" s="66">
        <f>'Project Database'!V259</f>
        <v/>
      </c>
      <c r="S255" s="66">
        <f>'Project Database'!W259</f>
        <v/>
      </c>
      <c r="T255" s="66">
        <f>'Project Database'!X259</f>
        <v/>
      </c>
      <c r="U255" s="67">
        <f>'Project Database'!Y259</f>
        <v/>
      </c>
      <c r="V255" s="66">
        <f>IF('Smart Search'!B13=1,IFERROR(1/'Smart Search'!H13,0),0)</f>
        <v/>
      </c>
      <c r="W255" s="66">
        <f>IF('Smart Search'!B13=1,IFERROR(1/'Smart Search'!H13,0),0)</f>
        <v/>
      </c>
      <c r="X255" s="66">
        <f>IF('Smart Search'!C13=1,IFERROR(1/'Smart Search'!H13,0),0)</f>
        <v/>
      </c>
      <c r="Y255" s="66">
        <f>IF('Smart Search'!C13=1,IFERROR(1/'Smart Search'!H13,0),0)</f>
        <v/>
      </c>
      <c r="Z255" s="66">
        <f>IF('Smart Search'!D13=1,IFERROR(1/'Smart Search'!H13,0),0)</f>
        <v/>
      </c>
      <c r="AA255" s="66">
        <f>IF('Smart Search'!D13=1,IFERROR(1/'Smart Search'!H13,0),0)</f>
        <v/>
      </c>
      <c r="AB255" s="66">
        <f>IF('Smart Search'!E13=1,IFERROR(1/'Smart Search'!H13,0),0)</f>
        <v/>
      </c>
      <c r="AC255" s="66">
        <f>IF('Smart Search'!E13=1,IFERROR(1/'Smart Search'!H13,0),0)</f>
        <v/>
      </c>
      <c r="AD255" s="66">
        <f>IF('Smart Search'!F13=1,IFERROR(1/'Smart Search'!H13,0),0)</f>
        <v/>
      </c>
      <c r="AE255" s="66">
        <f>IF('Smart Search'!F13=1,IFERROR(1/'Smart Search'!H13,0),0)</f>
        <v/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66">
        <f>AF255*V255</f>
        <v/>
      </c>
      <c r="AQ255" s="66">
        <f>AG255*W255</f>
        <v/>
      </c>
      <c r="AR255" s="66">
        <f>AH255*X255</f>
        <v/>
      </c>
      <c r="AS255" s="66">
        <f>AI255*Y255</f>
        <v/>
      </c>
      <c r="AT255" s="66">
        <f>AJ255*Z255</f>
        <v/>
      </c>
      <c r="AU255" s="66">
        <f>AK255*AA255</f>
        <v/>
      </c>
      <c r="AV255" s="66">
        <f>AL255*AB255</f>
        <v/>
      </c>
      <c r="AW255" s="66">
        <f>AM255*AC255</f>
        <v/>
      </c>
      <c r="AX255" s="66">
        <f>AN255*AD255</f>
        <v/>
      </c>
      <c r="AY255" s="66">
        <f>AO255*AE255</f>
        <v/>
      </c>
      <c r="AZ255" s="66">
        <f>'Project Database'!Z259</f>
        <v/>
      </c>
      <c r="BA255" s="66">
        <f>IF(OR(A255="",'Smart Search'!H13=0),"",MAX(0,BE255*BF255*MAX(0,1-BG255)))</f>
        <v/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66">
        <f>IF('Smart Search'!G13=1,IFERROR(1/'Smart Search'!H13,0),0)</f>
        <v/>
      </c>
      <c r="BD255" s="66">
        <f>BB255*BC255</f>
        <v/>
      </c>
      <c r="BE255" s="66">
        <f>AP255+AQ255+AR255+AS255+AT255+AU255+AV255+AW255+AX255+AY255+BD255</f>
        <v/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5">
        <f>IF(AND('Project Database'!A259&lt;&gt;"",OR('Smart Search'!$L$5="",'Smart Search'!$L$5="All",TRIM('Project Database'!D259)=TRIM('Smart Search'!$L$5)),OR(TRIM('Smart Search'!$L$6)="",TRIM('Smart Search'!$L$6)="All",ISNUMBER(SEARCH(SUBSTITUTE(SUBSTITUTE(SUBSTITUTE(TRIM('Smart Search'!$L$6),"~","~~"),"*","~*"),"?","~?"),'Project Database'!C259))),OR('Smart Search'!$L$7="",AND('Project Database'!E259&lt;&gt;"",'Project Database'!E259='Smart Search'!$L$7)),OR('Smart Search'!$L$8="",'Smart Search'!$L$8="All",TRIM('Project Database'!F259)=TRIM('Smart Search'!$L$8))),IF(BA255="","",BA255+ROW()*0.0000000001),"")</f>
        <v/>
      </c>
      <c r="BI255" s="5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>
        <f>IF('Project Database'!A259="","",N('Project Database'!AC259))</f>
        <v/>
      </c>
      <c r="BK255" s="5">
        <f>IF('Project Database'!A259="","",N('Project Database'!AD259))</f>
        <v/>
      </c>
      <c r="BL255" s="5">
        <f>IF('Project Database'!A259="","",N('Project Database'!AE259))</f>
        <v/>
      </c>
      <c r="BM255" s="5">
        <f>IF('Project Database'!A259="","",N('Project Database'!AF259))</f>
        <v/>
      </c>
      <c r="BN255" s="5">
        <f>IF('Project Database'!A259="","",N('Project Database'!AG259))</f>
        <v/>
      </c>
      <c r="BO255" s="5">
        <f>IF('Project Database'!A259="","",N('Project Database'!AH259))</f>
        <v/>
      </c>
      <c r="BP255" s="5">
        <f>IF('Project Database'!A259="","",N('Project Database'!AI259))</f>
        <v/>
      </c>
      <c r="BQ255" s="5">
        <f>IF('Project Database'!A259="","",N('Project Database'!AJ259))</f>
        <v/>
      </c>
      <c r="BR255" s="5">
        <f>IF('Project Database'!A259="","",N('Project Database'!AK259))</f>
        <v/>
      </c>
      <c r="BS255" s="5">
        <f>IF('Project Database'!A259="","",N('Project Database'!AL259))</f>
        <v/>
      </c>
      <c r="BT255" s="5">
        <f>IF('Project Database'!A259="","",N('Project Database'!AM259))</f>
        <v/>
      </c>
      <c r="BU255" s="5">
        <f>IF('Project Database'!A259="","",N('Project Database'!AN259))</f>
        <v/>
      </c>
      <c r="BV255" s="5">
        <f>IF('Project Database'!A259="","",N('Project Database'!AO259))</f>
        <v/>
      </c>
      <c r="BW255" s="5">
        <f>IF('Project Database'!A259="","",N('Project Database'!AP259))</f>
        <v/>
      </c>
      <c r="BX255" s="5">
        <f>IF(A255="","",SUM(BJ255:BW255))</f>
        <v/>
      </c>
      <c r="BY255" s="5">
        <f>IF(A255="","",IFERROR(IF(ISNUMBER(U255),U255,VALUE(SUBSTITUTE(SUBSTITUTE(SUBSTITUTE(UPPER(TRIM(U255)),"M",""),",","")," ",""))),0))</f>
        <v/>
      </c>
    </row>
    <row r="256" ht="15" customHeight="1" s="74">
      <c r="A256" s="66">
        <f>'Project Database'!A260</f>
        <v/>
      </c>
      <c r="B256" s="66">
        <f>'Project Database'!B260</f>
        <v/>
      </c>
      <c r="C256" s="66">
        <f>'Project Database'!G260</f>
        <v/>
      </c>
      <c r="D256" s="66">
        <f>'Project Database'!H260</f>
        <v/>
      </c>
      <c r="E256" s="66">
        <f>'Project Database'!I260</f>
        <v/>
      </c>
      <c r="F256" s="66">
        <f>'Project Database'!J260</f>
        <v/>
      </c>
      <c r="G256" s="66">
        <f>'Project Database'!K260</f>
        <v/>
      </c>
      <c r="H256" s="66">
        <f>'Project Database'!L260</f>
        <v/>
      </c>
      <c r="I256" s="66">
        <f>'Project Database'!M260</f>
        <v/>
      </c>
      <c r="J256" s="66">
        <f>'Project Database'!N260</f>
        <v/>
      </c>
      <c r="K256" s="66">
        <f>'Project Database'!O260</f>
        <v/>
      </c>
      <c r="L256" s="66">
        <f>'Project Database'!P260</f>
        <v/>
      </c>
      <c r="M256" s="66">
        <f>'Project Database'!Q260</f>
        <v/>
      </c>
      <c r="N256" s="66">
        <f>'Project Database'!R260</f>
        <v/>
      </c>
      <c r="O256" s="66">
        <f>'Project Database'!S260</f>
        <v/>
      </c>
      <c r="P256" s="66">
        <f>'Project Database'!T260</f>
        <v/>
      </c>
      <c r="Q256" s="66">
        <f>'Project Database'!U260</f>
        <v/>
      </c>
      <c r="R256" s="66">
        <f>'Project Database'!V260</f>
        <v/>
      </c>
      <c r="S256" s="66">
        <f>'Project Database'!W260</f>
        <v/>
      </c>
      <c r="T256" s="66">
        <f>'Project Database'!X260</f>
        <v/>
      </c>
      <c r="U256" s="67">
        <f>'Project Database'!Y260</f>
        <v/>
      </c>
      <c r="V256" s="66">
        <f>IF('Smart Search'!B13=1,IFERROR(1/'Smart Search'!H13,0),0)</f>
        <v/>
      </c>
      <c r="W256" s="66">
        <f>IF('Smart Search'!B13=1,IFERROR(1/'Smart Search'!H13,0),0)</f>
        <v/>
      </c>
      <c r="X256" s="66">
        <f>IF('Smart Search'!C13=1,IFERROR(1/'Smart Search'!H13,0),0)</f>
        <v/>
      </c>
      <c r="Y256" s="66">
        <f>IF('Smart Search'!C13=1,IFERROR(1/'Smart Search'!H13,0),0)</f>
        <v/>
      </c>
      <c r="Z256" s="66">
        <f>IF('Smart Search'!D13=1,IFERROR(1/'Smart Search'!H13,0),0)</f>
        <v/>
      </c>
      <c r="AA256" s="66">
        <f>IF('Smart Search'!D13=1,IFERROR(1/'Smart Search'!H13,0),0)</f>
        <v/>
      </c>
      <c r="AB256" s="66">
        <f>IF('Smart Search'!E13=1,IFERROR(1/'Smart Search'!H13,0),0)</f>
        <v/>
      </c>
      <c r="AC256" s="66">
        <f>IF('Smart Search'!E13=1,IFERROR(1/'Smart Search'!H13,0),0)</f>
        <v/>
      </c>
      <c r="AD256" s="66">
        <f>IF('Smart Search'!F13=1,IFERROR(1/'Smart Search'!H13,0),0)</f>
        <v/>
      </c>
      <c r="AE256" s="66">
        <f>IF('Smart Search'!F13=1,IFERROR(1/'Smart Search'!H13,0),0)</f>
        <v/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66">
        <f>AF256*V256</f>
        <v/>
      </c>
      <c r="AQ256" s="66">
        <f>AG256*W256</f>
        <v/>
      </c>
      <c r="AR256" s="66">
        <f>AH256*X256</f>
        <v/>
      </c>
      <c r="AS256" s="66">
        <f>AI256*Y256</f>
        <v/>
      </c>
      <c r="AT256" s="66">
        <f>AJ256*Z256</f>
        <v/>
      </c>
      <c r="AU256" s="66">
        <f>AK256*AA256</f>
        <v/>
      </c>
      <c r="AV256" s="66">
        <f>AL256*AB256</f>
        <v/>
      </c>
      <c r="AW256" s="66">
        <f>AM256*AC256</f>
        <v/>
      </c>
      <c r="AX256" s="66">
        <f>AN256*AD256</f>
        <v/>
      </c>
      <c r="AY256" s="66">
        <f>AO256*AE256</f>
        <v/>
      </c>
      <c r="AZ256" s="66">
        <f>'Project Database'!Z260</f>
        <v/>
      </c>
      <c r="BA256" s="66">
        <f>IF(OR(A256="",'Smart Search'!H13=0),"",MAX(0,BE256*BF256*MAX(0,1-BG256)))</f>
        <v/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66">
        <f>IF('Smart Search'!G13=1,IFERROR(1/'Smart Search'!H13,0),0)</f>
        <v/>
      </c>
      <c r="BD256" s="66">
        <f>BB256*BC256</f>
        <v/>
      </c>
      <c r="BE256" s="66">
        <f>AP256+AQ256+AR256+AS256+AT256+AU256+AV256+AW256+AX256+AY256+BD256</f>
        <v/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5">
        <f>IF(AND('Project Database'!A260&lt;&gt;"",OR('Smart Search'!$L$5="",'Smart Search'!$L$5="All",TRIM('Project Database'!D260)=TRIM('Smart Search'!$L$5)),OR(TRIM('Smart Search'!$L$6)="",TRIM('Smart Search'!$L$6)="All",ISNUMBER(SEARCH(SUBSTITUTE(SUBSTITUTE(SUBSTITUTE(TRIM('Smart Search'!$L$6),"~","~~"),"*","~*"),"?","~?"),'Project Database'!C260))),OR('Smart Search'!$L$7="",AND('Project Database'!E260&lt;&gt;"",'Project Database'!E260='Smart Search'!$L$7)),OR('Smart Search'!$L$8="",'Smart Search'!$L$8="All",TRIM('Project Database'!F260)=TRIM('Smart Search'!$L$8))),IF(BA256="","",BA256+ROW()*0.0000000001),"")</f>
        <v/>
      </c>
      <c r="BI256" s="5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>
        <f>IF('Project Database'!A260="","",N('Project Database'!AC260))</f>
        <v/>
      </c>
      <c r="BK256" s="5">
        <f>IF('Project Database'!A260="","",N('Project Database'!AD260))</f>
        <v/>
      </c>
      <c r="BL256" s="5">
        <f>IF('Project Database'!A260="","",N('Project Database'!AE260))</f>
        <v/>
      </c>
      <c r="BM256" s="5">
        <f>IF('Project Database'!A260="","",N('Project Database'!AF260))</f>
        <v/>
      </c>
      <c r="BN256" s="5">
        <f>IF('Project Database'!A260="","",N('Project Database'!AG260))</f>
        <v/>
      </c>
      <c r="BO256" s="5">
        <f>IF('Project Database'!A260="","",N('Project Database'!AH260))</f>
        <v/>
      </c>
      <c r="BP256" s="5">
        <f>IF('Project Database'!A260="","",N('Project Database'!AI260))</f>
        <v/>
      </c>
      <c r="BQ256" s="5">
        <f>IF('Project Database'!A260="","",N('Project Database'!AJ260))</f>
        <v/>
      </c>
      <c r="BR256" s="5">
        <f>IF('Project Database'!A260="","",N('Project Database'!AK260))</f>
        <v/>
      </c>
      <c r="BS256" s="5">
        <f>IF('Project Database'!A260="","",N('Project Database'!AL260))</f>
        <v/>
      </c>
      <c r="BT256" s="5">
        <f>IF('Project Database'!A260="","",N('Project Database'!AM260))</f>
        <v/>
      </c>
      <c r="BU256" s="5">
        <f>IF('Project Database'!A260="","",N('Project Database'!AN260))</f>
        <v/>
      </c>
      <c r="BV256" s="5">
        <f>IF('Project Database'!A260="","",N('Project Database'!AO260))</f>
        <v/>
      </c>
      <c r="BW256" s="5">
        <f>IF('Project Database'!A260="","",N('Project Database'!AP260))</f>
        <v/>
      </c>
      <c r="BX256" s="5">
        <f>IF(A256="","",SUM(BJ256:BW256))</f>
        <v/>
      </c>
      <c r="BY256" s="5">
        <f>IF(A256="","",IFERROR(IF(ISNUMBER(U256),U256,VALUE(SUBSTITUTE(SUBSTITUTE(SUBSTITUTE(UPPER(TRIM(U256)),"M",""),",","")," ",""))),0))</f>
        <v/>
      </c>
    </row>
    <row r="257" ht="15" customHeight="1" s="74">
      <c r="A257" s="66">
        <f>'Project Database'!A261</f>
        <v/>
      </c>
      <c r="B257" s="66">
        <f>'Project Database'!B261</f>
        <v/>
      </c>
      <c r="C257" s="66">
        <f>'Project Database'!G261</f>
        <v/>
      </c>
      <c r="D257" s="66">
        <f>'Project Database'!H261</f>
        <v/>
      </c>
      <c r="E257" s="66">
        <f>'Project Database'!I261</f>
        <v/>
      </c>
      <c r="F257" s="66">
        <f>'Project Database'!J261</f>
        <v/>
      </c>
      <c r="G257" s="66">
        <f>'Project Database'!K261</f>
        <v/>
      </c>
      <c r="H257" s="66">
        <f>'Project Database'!L261</f>
        <v/>
      </c>
      <c r="I257" s="66">
        <f>'Project Database'!M261</f>
        <v/>
      </c>
      <c r="J257" s="66">
        <f>'Project Database'!N261</f>
        <v/>
      </c>
      <c r="K257" s="66">
        <f>'Project Database'!O261</f>
        <v/>
      </c>
      <c r="L257" s="66">
        <f>'Project Database'!P261</f>
        <v/>
      </c>
      <c r="M257" s="66">
        <f>'Project Database'!Q261</f>
        <v/>
      </c>
      <c r="N257" s="66">
        <f>'Project Database'!R261</f>
        <v/>
      </c>
      <c r="O257" s="66">
        <f>'Project Database'!S261</f>
        <v/>
      </c>
      <c r="P257" s="66">
        <f>'Project Database'!T261</f>
        <v/>
      </c>
      <c r="Q257" s="66">
        <f>'Project Database'!U261</f>
        <v/>
      </c>
      <c r="R257" s="66">
        <f>'Project Database'!V261</f>
        <v/>
      </c>
      <c r="S257" s="66">
        <f>'Project Database'!W261</f>
        <v/>
      </c>
      <c r="T257" s="66">
        <f>'Project Database'!X261</f>
        <v/>
      </c>
      <c r="U257" s="67">
        <f>'Project Database'!Y261</f>
        <v/>
      </c>
      <c r="V257" s="66">
        <f>IF('Smart Search'!B13=1,IFERROR(1/'Smart Search'!H13,0),0)</f>
        <v/>
      </c>
      <c r="W257" s="66">
        <f>IF('Smart Search'!B13=1,IFERROR(1/'Smart Search'!H13,0),0)</f>
        <v/>
      </c>
      <c r="X257" s="66">
        <f>IF('Smart Search'!C13=1,IFERROR(1/'Smart Search'!H13,0),0)</f>
        <v/>
      </c>
      <c r="Y257" s="66">
        <f>IF('Smart Search'!C13=1,IFERROR(1/'Smart Search'!H13,0),0)</f>
        <v/>
      </c>
      <c r="Z257" s="66">
        <f>IF('Smart Search'!D13=1,IFERROR(1/'Smart Search'!H13,0),0)</f>
        <v/>
      </c>
      <c r="AA257" s="66">
        <f>IF('Smart Search'!D13=1,IFERROR(1/'Smart Search'!H13,0),0)</f>
        <v/>
      </c>
      <c r="AB257" s="66">
        <f>IF('Smart Search'!E13=1,IFERROR(1/'Smart Search'!H13,0),0)</f>
        <v/>
      </c>
      <c r="AC257" s="66">
        <f>IF('Smart Search'!E13=1,IFERROR(1/'Smart Search'!H13,0),0)</f>
        <v/>
      </c>
      <c r="AD257" s="66">
        <f>IF('Smart Search'!F13=1,IFERROR(1/'Smart Search'!H13,0),0)</f>
        <v/>
      </c>
      <c r="AE257" s="66">
        <f>IF('Smart Search'!F13=1,IFERROR(1/'Smart Search'!H13,0),0)</f>
        <v/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66">
        <f>AF257*V257</f>
        <v/>
      </c>
      <c r="AQ257" s="66">
        <f>AG257*W257</f>
        <v/>
      </c>
      <c r="AR257" s="66">
        <f>AH257*X257</f>
        <v/>
      </c>
      <c r="AS257" s="66">
        <f>AI257*Y257</f>
        <v/>
      </c>
      <c r="AT257" s="66">
        <f>AJ257*Z257</f>
        <v/>
      </c>
      <c r="AU257" s="66">
        <f>AK257*AA257</f>
        <v/>
      </c>
      <c r="AV257" s="66">
        <f>AL257*AB257</f>
        <v/>
      </c>
      <c r="AW257" s="66">
        <f>AM257*AC257</f>
        <v/>
      </c>
      <c r="AX257" s="66">
        <f>AN257*AD257</f>
        <v/>
      </c>
      <c r="AY257" s="66">
        <f>AO257*AE257</f>
        <v/>
      </c>
      <c r="AZ257" s="66">
        <f>'Project Database'!Z261</f>
        <v/>
      </c>
      <c r="BA257" s="66">
        <f>IF(OR(A257="",'Smart Search'!H13=0),"",MAX(0,BE257*BF257*MAX(0,1-BG257)))</f>
        <v/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66">
        <f>IF('Smart Search'!G13=1,IFERROR(1/'Smart Search'!H13,0),0)</f>
        <v/>
      </c>
      <c r="BD257" s="66">
        <f>BB257*BC257</f>
        <v/>
      </c>
      <c r="BE257" s="66">
        <f>AP257+AQ257+AR257+AS257+AT257+AU257+AV257+AW257+AX257+AY257+BD257</f>
        <v/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5">
        <f>IF(AND('Project Database'!A261&lt;&gt;"",OR('Smart Search'!$L$5="",'Smart Search'!$L$5="All",TRIM('Project Database'!D261)=TRIM('Smart Search'!$L$5)),OR(TRIM('Smart Search'!$L$6)="",TRIM('Smart Search'!$L$6)="All",ISNUMBER(SEARCH(SUBSTITUTE(SUBSTITUTE(SUBSTITUTE(TRIM('Smart Search'!$L$6),"~","~~"),"*","~*"),"?","~?"),'Project Database'!C261))),OR('Smart Search'!$L$7="",AND('Project Database'!E261&lt;&gt;"",'Project Database'!E261='Smart Search'!$L$7)),OR('Smart Search'!$L$8="",'Smart Search'!$L$8="All",TRIM('Project Database'!F261)=TRIM('Smart Search'!$L$8))),IF(BA257="","",BA257+ROW()*0.0000000001),"")</f>
        <v/>
      </c>
      <c r="BI257" s="5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>
        <f>IF('Project Database'!A261="","",N('Project Database'!AC261))</f>
        <v/>
      </c>
      <c r="BK257" s="5">
        <f>IF('Project Database'!A261="","",N('Project Database'!AD261))</f>
        <v/>
      </c>
      <c r="BL257" s="5">
        <f>IF('Project Database'!A261="","",N('Project Database'!AE261))</f>
        <v/>
      </c>
      <c r="BM257" s="5">
        <f>IF('Project Database'!A261="","",N('Project Database'!AF261))</f>
        <v/>
      </c>
      <c r="BN257" s="5">
        <f>IF('Project Database'!A261="","",N('Project Database'!AG261))</f>
        <v/>
      </c>
      <c r="BO257" s="5">
        <f>IF('Project Database'!A261="","",N('Project Database'!AH261))</f>
        <v/>
      </c>
      <c r="BP257" s="5">
        <f>IF('Project Database'!A261="","",N('Project Database'!AI261))</f>
        <v/>
      </c>
      <c r="BQ257" s="5">
        <f>IF('Project Database'!A261="","",N('Project Database'!AJ261))</f>
        <v/>
      </c>
      <c r="BR257" s="5">
        <f>IF('Project Database'!A261="","",N('Project Database'!AK261))</f>
        <v/>
      </c>
      <c r="BS257" s="5">
        <f>IF('Project Database'!A261="","",N('Project Database'!AL261))</f>
        <v/>
      </c>
      <c r="BT257" s="5">
        <f>IF('Project Database'!A261="","",N('Project Database'!AM261))</f>
        <v/>
      </c>
      <c r="BU257" s="5">
        <f>IF('Project Database'!A261="","",N('Project Database'!AN261))</f>
        <v/>
      </c>
      <c r="BV257" s="5">
        <f>IF('Project Database'!A261="","",N('Project Database'!AO261))</f>
        <v/>
      </c>
      <c r="BW257" s="5">
        <f>IF('Project Database'!A261="","",N('Project Database'!AP261))</f>
        <v/>
      </c>
      <c r="BX257" s="5">
        <f>IF(A257="","",SUM(BJ257:BW257))</f>
        <v/>
      </c>
      <c r="BY257" s="5">
        <f>IF(A257="","",IFERROR(IF(ISNUMBER(U257),U257,VALUE(SUBSTITUTE(SUBSTITUTE(SUBSTITUTE(UPPER(TRIM(U257)),"M",""),",","")," ",""))),0))</f>
        <v/>
      </c>
    </row>
    <row r="258" ht="15" customHeight="1" s="74">
      <c r="A258" s="66">
        <f>'Project Database'!A262</f>
        <v/>
      </c>
      <c r="B258" s="66">
        <f>'Project Database'!B262</f>
        <v/>
      </c>
      <c r="C258" s="66">
        <f>'Project Database'!G262</f>
        <v/>
      </c>
      <c r="D258" s="66">
        <f>'Project Database'!H262</f>
        <v/>
      </c>
      <c r="E258" s="66">
        <f>'Project Database'!I262</f>
        <v/>
      </c>
      <c r="F258" s="66">
        <f>'Project Database'!J262</f>
        <v/>
      </c>
      <c r="G258" s="66">
        <f>'Project Database'!K262</f>
        <v/>
      </c>
      <c r="H258" s="66">
        <f>'Project Database'!L262</f>
        <v/>
      </c>
      <c r="I258" s="66">
        <f>'Project Database'!M262</f>
        <v/>
      </c>
      <c r="J258" s="66">
        <f>'Project Database'!N262</f>
        <v/>
      </c>
      <c r="K258" s="66">
        <f>'Project Database'!O262</f>
        <v/>
      </c>
      <c r="L258" s="66">
        <f>'Project Database'!P262</f>
        <v/>
      </c>
      <c r="M258" s="66">
        <f>'Project Database'!Q262</f>
        <v/>
      </c>
      <c r="N258" s="66">
        <f>'Project Database'!R262</f>
        <v/>
      </c>
      <c r="O258" s="66">
        <f>'Project Database'!S262</f>
        <v/>
      </c>
      <c r="P258" s="66">
        <f>'Project Database'!T262</f>
        <v/>
      </c>
      <c r="Q258" s="66">
        <f>'Project Database'!U262</f>
        <v/>
      </c>
      <c r="R258" s="66">
        <f>'Project Database'!V262</f>
        <v/>
      </c>
      <c r="S258" s="66">
        <f>'Project Database'!W262</f>
        <v/>
      </c>
      <c r="T258" s="66">
        <f>'Project Database'!X262</f>
        <v/>
      </c>
      <c r="U258" s="67">
        <f>'Project Database'!Y262</f>
        <v/>
      </c>
      <c r="V258" s="66">
        <f>IF('Smart Search'!B13=1,IFERROR(1/'Smart Search'!H13,0),0)</f>
        <v/>
      </c>
      <c r="W258" s="66">
        <f>IF('Smart Search'!B13=1,IFERROR(1/'Smart Search'!H13,0),0)</f>
        <v/>
      </c>
      <c r="X258" s="66">
        <f>IF('Smart Search'!C13=1,IFERROR(1/'Smart Search'!H13,0),0)</f>
        <v/>
      </c>
      <c r="Y258" s="66">
        <f>IF('Smart Search'!C13=1,IFERROR(1/'Smart Search'!H13,0),0)</f>
        <v/>
      </c>
      <c r="Z258" s="66">
        <f>IF('Smart Search'!D13=1,IFERROR(1/'Smart Search'!H13,0),0)</f>
        <v/>
      </c>
      <c r="AA258" s="66">
        <f>IF('Smart Search'!D13=1,IFERROR(1/'Smart Search'!H13,0),0)</f>
        <v/>
      </c>
      <c r="AB258" s="66">
        <f>IF('Smart Search'!E13=1,IFERROR(1/'Smart Search'!H13,0),0)</f>
        <v/>
      </c>
      <c r="AC258" s="66">
        <f>IF('Smart Search'!E13=1,IFERROR(1/'Smart Search'!H13,0),0)</f>
        <v/>
      </c>
      <c r="AD258" s="66">
        <f>IF('Smart Search'!F13=1,IFERROR(1/'Smart Search'!H13,0),0)</f>
        <v/>
      </c>
      <c r="AE258" s="66">
        <f>IF('Smart Search'!F13=1,IFERROR(1/'Smart Search'!H13,0),0)</f>
        <v/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66">
        <f>AF258*V258</f>
        <v/>
      </c>
      <c r="AQ258" s="66">
        <f>AG258*W258</f>
        <v/>
      </c>
      <c r="AR258" s="66">
        <f>AH258*X258</f>
        <v/>
      </c>
      <c r="AS258" s="66">
        <f>AI258*Y258</f>
        <v/>
      </c>
      <c r="AT258" s="66">
        <f>AJ258*Z258</f>
        <v/>
      </c>
      <c r="AU258" s="66">
        <f>AK258*AA258</f>
        <v/>
      </c>
      <c r="AV258" s="66">
        <f>AL258*AB258</f>
        <v/>
      </c>
      <c r="AW258" s="66">
        <f>AM258*AC258</f>
        <v/>
      </c>
      <c r="AX258" s="66">
        <f>AN258*AD258</f>
        <v/>
      </c>
      <c r="AY258" s="66">
        <f>AO258*AE258</f>
        <v/>
      </c>
      <c r="AZ258" s="66">
        <f>'Project Database'!Z262</f>
        <v/>
      </c>
      <c r="BA258" s="66">
        <f>IF(OR(A258="",'Smart Search'!H13=0),"",MAX(0,BE258*BF258*MAX(0,1-BG258)))</f>
        <v/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66">
        <f>IF('Smart Search'!G13=1,IFERROR(1/'Smart Search'!H13,0),0)</f>
        <v/>
      </c>
      <c r="BD258" s="66">
        <f>BB258*BC258</f>
        <v/>
      </c>
      <c r="BE258" s="66">
        <f>AP258+AQ258+AR258+AS258+AT258+AU258+AV258+AW258+AX258+AY258+BD258</f>
        <v/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5">
        <f>IF(AND('Project Database'!A262&lt;&gt;"",OR('Smart Search'!$L$5="",'Smart Search'!$L$5="All",TRIM('Project Database'!D262)=TRIM('Smart Search'!$L$5)),OR(TRIM('Smart Search'!$L$6)="",TRIM('Smart Search'!$L$6)="All",ISNUMBER(SEARCH(SUBSTITUTE(SUBSTITUTE(SUBSTITUTE(TRIM('Smart Search'!$L$6),"~","~~"),"*","~*"),"?","~?"),'Project Database'!C262))),OR('Smart Search'!$L$7="",AND('Project Database'!E262&lt;&gt;"",'Project Database'!E262='Smart Search'!$L$7)),OR('Smart Search'!$L$8="",'Smart Search'!$L$8="All",TRIM('Project Database'!F262)=TRIM('Smart Search'!$L$8))),IF(BA258="","",BA258+ROW()*0.0000000001),"")</f>
        <v/>
      </c>
      <c r="BI258" s="5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>
        <f>IF('Project Database'!A262="","",N('Project Database'!AC262))</f>
        <v/>
      </c>
      <c r="BK258" s="5">
        <f>IF('Project Database'!A262="","",N('Project Database'!AD262))</f>
        <v/>
      </c>
      <c r="BL258" s="5">
        <f>IF('Project Database'!A262="","",N('Project Database'!AE262))</f>
        <v/>
      </c>
      <c r="BM258" s="5">
        <f>IF('Project Database'!A262="","",N('Project Database'!AF262))</f>
        <v/>
      </c>
      <c r="BN258" s="5">
        <f>IF('Project Database'!A262="","",N('Project Database'!AG262))</f>
        <v/>
      </c>
      <c r="BO258" s="5">
        <f>IF('Project Database'!A262="","",N('Project Database'!AH262))</f>
        <v/>
      </c>
      <c r="BP258" s="5">
        <f>IF('Project Database'!A262="","",N('Project Database'!AI262))</f>
        <v/>
      </c>
      <c r="BQ258" s="5">
        <f>IF('Project Database'!A262="","",N('Project Database'!AJ262))</f>
        <v/>
      </c>
      <c r="BR258" s="5">
        <f>IF('Project Database'!A262="","",N('Project Database'!AK262))</f>
        <v/>
      </c>
      <c r="BS258" s="5">
        <f>IF('Project Database'!A262="","",N('Project Database'!AL262))</f>
        <v/>
      </c>
      <c r="BT258" s="5">
        <f>IF('Project Database'!A262="","",N('Project Database'!AM262))</f>
        <v/>
      </c>
      <c r="BU258" s="5">
        <f>IF('Project Database'!A262="","",N('Project Database'!AN262))</f>
        <v/>
      </c>
      <c r="BV258" s="5">
        <f>IF('Project Database'!A262="","",N('Project Database'!AO262))</f>
        <v/>
      </c>
      <c r="BW258" s="5">
        <f>IF('Project Database'!A262="","",N('Project Database'!AP262))</f>
        <v/>
      </c>
      <c r="BX258" s="5">
        <f>IF(A258="","",SUM(BJ258:BW258))</f>
        <v/>
      </c>
      <c r="BY258" s="5">
        <f>IF(A258="","",IFERROR(IF(ISNUMBER(U258),U258,VALUE(SUBSTITUTE(SUBSTITUTE(SUBSTITUTE(UPPER(TRIM(U258)),"M",""),",","")," ",""))),0))</f>
        <v/>
      </c>
    </row>
    <row r="259" ht="15" customHeight="1" s="74">
      <c r="A259" s="66">
        <f>'Project Database'!A263</f>
        <v/>
      </c>
      <c r="B259" s="66">
        <f>'Project Database'!B263</f>
        <v/>
      </c>
      <c r="C259" s="66">
        <f>'Project Database'!G263</f>
        <v/>
      </c>
      <c r="D259" s="66">
        <f>'Project Database'!H263</f>
        <v/>
      </c>
      <c r="E259" s="66">
        <f>'Project Database'!I263</f>
        <v/>
      </c>
      <c r="F259" s="66">
        <f>'Project Database'!J263</f>
        <v/>
      </c>
      <c r="G259" s="66">
        <f>'Project Database'!K263</f>
        <v/>
      </c>
      <c r="H259" s="66">
        <f>'Project Database'!L263</f>
        <v/>
      </c>
      <c r="I259" s="66">
        <f>'Project Database'!M263</f>
        <v/>
      </c>
      <c r="J259" s="66">
        <f>'Project Database'!N263</f>
        <v/>
      </c>
      <c r="K259" s="66">
        <f>'Project Database'!O263</f>
        <v/>
      </c>
      <c r="L259" s="66">
        <f>'Project Database'!P263</f>
        <v/>
      </c>
      <c r="M259" s="66">
        <f>'Project Database'!Q263</f>
        <v/>
      </c>
      <c r="N259" s="66">
        <f>'Project Database'!R263</f>
        <v/>
      </c>
      <c r="O259" s="66">
        <f>'Project Database'!S263</f>
        <v/>
      </c>
      <c r="P259" s="66">
        <f>'Project Database'!T263</f>
        <v/>
      </c>
      <c r="Q259" s="66">
        <f>'Project Database'!U263</f>
        <v/>
      </c>
      <c r="R259" s="66">
        <f>'Project Database'!V263</f>
        <v/>
      </c>
      <c r="S259" s="66">
        <f>'Project Database'!W263</f>
        <v/>
      </c>
      <c r="T259" s="66">
        <f>'Project Database'!X263</f>
        <v/>
      </c>
      <c r="U259" s="67">
        <f>'Project Database'!Y263</f>
        <v/>
      </c>
      <c r="V259" s="66">
        <f>IF('Smart Search'!B13=1,IFERROR(1/'Smart Search'!H13,0),0)</f>
        <v/>
      </c>
      <c r="W259" s="66">
        <f>IF('Smart Search'!B13=1,IFERROR(1/'Smart Search'!H13,0),0)</f>
        <v/>
      </c>
      <c r="X259" s="66">
        <f>IF('Smart Search'!C13=1,IFERROR(1/'Smart Search'!H13,0),0)</f>
        <v/>
      </c>
      <c r="Y259" s="66">
        <f>IF('Smart Search'!C13=1,IFERROR(1/'Smart Search'!H13,0),0)</f>
        <v/>
      </c>
      <c r="Z259" s="66">
        <f>IF('Smart Search'!D13=1,IFERROR(1/'Smart Search'!H13,0),0)</f>
        <v/>
      </c>
      <c r="AA259" s="66">
        <f>IF('Smart Search'!D13=1,IFERROR(1/'Smart Search'!H13,0),0)</f>
        <v/>
      </c>
      <c r="AB259" s="66">
        <f>IF('Smart Search'!E13=1,IFERROR(1/'Smart Search'!H13,0),0)</f>
        <v/>
      </c>
      <c r="AC259" s="66">
        <f>IF('Smart Search'!E13=1,IFERROR(1/'Smart Search'!H13,0),0)</f>
        <v/>
      </c>
      <c r="AD259" s="66">
        <f>IF('Smart Search'!F13=1,IFERROR(1/'Smart Search'!H13,0),0)</f>
        <v/>
      </c>
      <c r="AE259" s="66">
        <f>IF('Smart Search'!F13=1,IFERROR(1/'Smart Search'!H13,0),0)</f>
        <v/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66">
        <f>AF259*V259</f>
        <v/>
      </c>
      <c r="AQ259" s="66">
        <f>AG259*W259</f>
        <v/>
      </c>
      <c r="AR259" s="66">
        <f>AH259*X259</f>
        <v/>
      </c>
      <c r="AS259" s="66">
        <f>AI259*Y259</f>
        <v/>
      </c>
      <c r="AT259" s="66">
        <f>AJ259*Z259</f>
        <v/>
      </c>
      <c r="AU259" s="66">
        <f>AK259*AA259</f>
        <v/>
      </c>
      <c r="AV259" s="66">
        <f>AL259*AB259</f>
        <v/>
      </c>
      <c r="AW259" s="66">
        <f>AM259*AC259</f>
        <v/>
      </c>
      <c r="AX259" s="66">
        <f>AN259*AD259</f>
        <v/>
      </c>
      <c r="AY259" s="66">
        <f>AO259*AE259</f>
        <v/>
      </c>
      <c r="AZ259" s="66">
        <f>'Project Database'!Z263</f>
        <v/>
      </c>
      <c r="BA259" s="66">
        <f>IF(OR(A259="",'Smart Search'!H13=0),"",MAX(0,BE259*BF259*MAX(0,1-BG259)))</f>
        <v/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66">
        <f>IF('Smart Search'!G13=1,IFERROR(1/'Smart Search'!H13,0),0)</f>
        <v/>
      </c>
      <c r="BD259" s="66">
        <f>BB259*BC259</f>
        <v/>
      </c>
      <c r="BE259" s="66">
        <f>AP259+AQ259+AR259+AS259+AT259+AU259+AV259+AW259+AX259+AY259+BD259</f>
        <v/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5">
        <f>IF(AND('Project Database'!A263&lt;&gt;"",OR('Smart Search'!$L$5="",'Smart Search'!$L$5="All",TRIM('Project Database'!D263)=TRIM('Smart Search'!$L$5)),OR(TRIM('Smart Search'!$L$6)="",TRIM('Smart Search'!$L$6)="All",ISNUMBER(SEARCH(SUBSTITUTE(SUBSTITUTE(SUBSTITUTE(TRIM('Smart Search'!$L$6),"~","~~"),"*","~*"),"?","~?"),'Project Database'!C263))),OR('Smart Search'!$L$7="",AND('Project Database'!E263&lt;&gt;"",'Project Database'!E263='Smart Search'!$L$7)),OR('Smart Search'!$L$8="",'Smart Search'!$L$8="All",TRIM('Project Database'!F263)=TRIM('Smart Search'!$L$8))),IF(BA259="","",BA259+ROW()*0.0000000001),"")</f>
        <v/>
      </c>
      <c r="BI259" s="5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>
        <f>IF('Project Database'!A263="","",N('Project Database'!AC263))</f>
        <v/>
      </c>
      <c r="BK259" s="5">
        <f>IF('Project Database'!A263="","",N('Project Database'!AD263))</f>
        <v/>
      </c>
      <c r="BL259" s="5">
        <f>IF('Project Database'!A263="","",N('Project Database'!AE263))</f>
        <v/>
      </c>
      <c r="BM259" s="5">
        <f>IF('Project Database'!A263="","",N('Project Database'!AF263))</f>
        <v/>
      </c>
      <c r="BN259" s="5">
        <f>IF('Project Database'!A263="","",N('Project Database'!AG263))</f>
        <v/>
      </c>
      <c r="BO259" s="5">
        <f>IF('Project Database'!A263="","",N('Project Database'!AH263))</f>
        <v/>
      </c>
      <c r="BP259" s="5">
        <f>IF('Project Database'!A263="","",N('Project Database'!AI263))</f>
        <v/>
      </c>
      <c r="BQ259" s="5">
        <f>IF('Project Database'!A263="","",N('Project Database'!AJ263))</f>
        <v/>
      </c>
      <c r="BR259" s="5">
        <f>IF('Project Database'!A263="","",N('Project Database'!AK263))</f>
        <v/>
      </c>
      <c r="BS259" s="5">
        <f>IF('Project Database'!A263="","",N('Project Database'!AL263))</f>
        <v/>
      </c>
      <c r="BT259" s="5">
        <f>IF('Project Database'!A263="","",N('Project Database'!AM263))</f>
        <v/>
      </c>
      <c r="BU259" s="5">
        <f>IF('Project Database'!A263="","",N('Project Database'!AN263))</f>
        <v/>
      </c>
      <c r="BV259" s="5">
        <f>IF('Project Database'!A263="","",N('Project Database'!AO263))</f>
        <v/>
      </c>
      <c r="BW259" s="5">
        <f>IF('Project Database'!A263="","",N('Project Database'!AP263))</f>
        <v/>
      </c>
      <c r="BX259" s="5">
        <f>IF(A259="","",SUM(BJ259:BW259))</f>
        <v/>
      </c>
      <c r="BY259" s="5">
        <f>IF(A259="","",IFERROR(IF(ISNUMBER(U259),U259,VALUE(SUBSTITUTE(SUBSTITUTE(SUBSTITUTE(UPPER(TRIM(U259)),"M",""),",","")," ",""))),0))</f>
        <v/>
      </c>
    </row>
    <row r="260" ht="15" customHeight="1" s="74">
      <c r="A260" s="66">
        <f>'Project Database'!A264</f>
        <v/>
      </c>
      <c r="B260" s="66">
        <f>'Project Database'!B264</f>
        <v/>
      </c>
      <c r="C260" s="66">
        <f>'Project Database'!G264</f>
        <v/>
      </c>
      <c r="D260" s="66">
        <f>'Project Database'!H264</f>
        <v/>
      </c>
      <c r="E260" s="66">
        <f>'Project Database'!I264</f>
        <v/>
      </c>
      <c r="F260" s="66">
        <f>'Project Database'!J264</f>
        <v/>
      </c>
      <c r="G260" s="66">
        <f>'Project Database'!K264</f>
        <v/>
      </c>
      <c r="H260" s="66">
        <f>'Project Database'!L264</f>
        <v/>
      </c>
      <c r="I260" s="66">
        <f>'Project Database'!M264</f>
        <v/>
      </c>
      <c r="J260" s="66">
        <f>'Project Database'!N264</f>
        <v/>
      </c>
      <c r="K260" s="66">
        <f>'Project Database'!O264</f>
        <v/>
      </c>
      <c r="L260" s="66">
        <f>'Project Database'!P264</f>
        <v/>
      </c>
      <c r="M260" s="66">
        <f>'Project Database'!Q264</f>
        <v/>
      </c>
      <c r="N260" s="66">
        <f>'Project Database'!R264</f>
        <v/>
      </c>
      <c r="O260" s="66">
        <f>'Project Database'!S264</f>
        <v/>
      </c>
      <c r="P260" s="66">
        <f>'Project Database'!T264</f>
        <v/>
      </c>
      <c r="Q260" s="66">
        <f>'Project Database'!U264</f>
        <v/>
      </c>
      <c r="R260" s="66">
        <f>'Project Database'!V264</f>
        <v/>
      </c>
      <c r="S260" s="66">
        <f>'Project Database'!W264</f>
        <v/>
      </c>
      <c r="T260" s="66">
        <f>'Project Database'!X264</f>
        <v/>
      </c>
      <c r="U260" s="67">
        <f>'Project Database'!Y264</f>
        <v/>
      </c>
      <c r="V260" s="66">
        <f>IF('Smart Search'!B13=1,IFERROR(1/'Smart Search'!H13,0),0)</f>
        <v/>
      </c>
      <c r="W260" s="66">
        <f>IF('Smart Search'!B13=1,IFERROR(1/'Smart Search'!H13,0),0)</f>
        <v/>
      </c>
      <c r="X260" s="66">
        <f>IF('Smart Search'!C13=1,IFERROR(1/'Smart Search'!H13,0),0)</f>
        <v/>
      </c>
      <c r="Y260" s="66">
        <f>IF('Smart Search'!C13=1,IFERROR(1/'Smart Search'!H13,0),0)</f>
        <v/>
      </c>
      <c r="Z260" s="66">
        <f>IF('Smart Search'!D13=1,IFERROR(1/'Smart Search'!H13,0),0)</f>
        <v/>
      </c>
      <c r="AA260" s="66">
        <f>IF('Smart Search'!D13=1,IFERROR(1/'Smart Search'!H13,0),0)</f>
        <v/>
      </c>
      <c r="AB260" s="66">
        <f>IF('Smart Search'!E13=1,IFERROR(1/'Smart Search'!H13,0),0)</f>
        <v/>
      </c>
      <c r="AC260" s="66">
        <f>IF('Smart Search'!E13=1,IFERROR(1/'Smart Search'!H13,0),0)</f>
        <v/>
      </c>
      <c r="AD260" s="66">
        <f>IF('Smart Search'!F13=1,IFERROR(1/'Smart Search'!H13,0),0)</f>
        <v/>
      </c>
      <c r="AE260" s="66">
        <f>IF('Smart Search'!F13=1,IFERROR(1/'Smart Search'!H13,0),0)</f>
        <v/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66">
        <f>AF260*V260</f>
        <v/>
      </c>
      <c r="AQ260" s="66">
        <f>AG260*W260</f>
        <v/>
      </c>
      <c r="AR260" s="66">
        <f>AH260*X260</f>
        <v/>
      </c>
      <c r="AS260" s="66">
        <f>AI260*Y260</f>
        <v/>
      </c>
      <c r="AT260" s="66">
        <f>AJ260*Z260</f>
        <v/>
      </c>
      <c r="AU260" s="66">
        <f>AK260*AA260</f>
        <v/>
      </c>
      <c r="AV260" s="66">
        <f>AL260*AB260</f>
        <v/>
      </c>
      <c r="AW260" s="66">
        <f>AM260*AC260</f>
        <v/>
      </c>
      <c r="AX260" s="66">
        <f>AN260*AD260</f>
        <v/>
      </c>
      <c r="AY260" s="66">
        <f>AO260*AE260</f>
        <v/>
      </c>
      <c r="AZ260" s="66">
        <f>'Project Database'!Z264</f>
        <v/>
      </c>
      <c r="BA260" s="66">
        <f>IF(OR(A260="",'Smart Search'!H13=0),"",MAX(0,BE260*BF260*MAX(0,1-BG260)))</f>
        <v/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66">
        <f>IF('Smart Search'!G13=1,IFERROR(1/'Smart Search'!H13,0),0)</f>
        <v/>
      </c>
      <c r="BD260" s="66">
        <f>BB260*BC260</f>
        <v/>
      </c>
      <c r="BE260" s="66">
        <f>AP260+AQ260+AR260+AS260+AT260+AU260+AV260+AW260+AX260+AY260+BD260</f>
        <v/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5">
        <f>IF(AND('Project Database'!A264&lt;&gt;"",OR('Smart Search'!$L$5="",'Smart Search'!$L$5="All",TRIM('Project Database'!D264)=TRIM('Smart Search'!$L$5)),OR(TRIM('Smart Search'!$L$6)="",TRIM('Smart Search'!$L$6)="All",ISNUMBER(SEARCH(SUBSTITUTE(SUBSTITUTE(SUBSTITUTE(TRIM('Smart Search'!$L$6),"~","~~"),"*","~*"),"?","~?"),'Project Database'!C264))),OR('Smart Search'!$L$7="",AND('Project Database'!E264&lt;&gt;"",'Project Database'!E264='Smart Search'!$L$7)),OR('Smart Search'!$L$8="",'Smart Search'!$L$8="All",TRIM('Project Database'!F264)=TRIM('Smart Search'!$L$8))),IF(BA260="","",BA260+ROW()*0.0000000001),"")</f>
        <v/>
      </c>
      <c r="BI260" s="5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>
        <f>IF('Project Database'!A264="","",N('Project Database'!AC264))</f>
        <v/>
      </c>
      <c r="BK260" s="5">
        <f>IF('Project Database'!A264="","",N('Project Database'!AD264))</f>
        <v/>
      </c>
      <c r="BL260" s="5">
        <f>IF('Project Database'!A264="","",N('Project Database'!AE264))</f>
        <v/>
      </c>
      <c r="BM260" s="5">
        <f>IF('Project Database'!A264="","",N('Project Database'!AF264))</f>
        <v/>
      </c>
      <c r="BN260" s="5">
        <f>IF('Project Database'!A264="","",N('Project Database'!AG264))</f>
        <v/>
      </c>
      <c r="BO260" s="5">
        <f>IF('Project Database'!A264="","",N('Project Database'!AH264))</f>
        <v/>
      </c>
      <c r="BP260" s="5">
        <f>IF('Project Database'!A264="","",N('Project Database'!AI264))</f>
        <v/>
      </c>
      <c r="BQ260" s="5">
        <f>IF('Project Database'!A264="","",N('Project Database'!AJ264))</f>
        <v/>
      </c>
      <c r="BR260" s="5">
        <f>IF('Project Database'!A264="","",N('Project Database'!AK264))</f>
        <v/>
      </c>
      <c r="BS260" s="5">
        <f>IF('Project Database'!A264="","",N('Project Database'!AL264))</f>
        <v/>
      </c>
      <c r="BT260" s="5">
        <f>IF('Project Database'!A264="","",N('Project Database'!AM264))</f>
        <v/>
      </c>
      <c r="BU260" s="5">
        <f>IF('Project Database'!A264="","",N('Project Database'!AN264))</f>
        <v/>
      </c>
      <c r="BV260" s="5">
        <f>IF('Project Database'!A264="","",N('Project Database'!AO264))</f>
        <v/>
      </c>
      <c r="BW260" s="5">
        <f>IF('Project Database'!A264="","",N('Project Database'!AP264))</f>
        <v/>
      </c>
      <c r="BX260" s="5">
        <f>IF(A260="","",SUM(BJ260:BW260))</f>
        <v/>
      </c>
      <c r="BY260" s="5">
        <f>IF(A260="","",IFERROR(IF(ISNUMBER(U260),U260,VALUE(SUBSTITUTE(SUBSTITUTE(SUBSTITUTE(UPPER(TRIM(U260)),"M",""),",","")," ",""))),0))</f>
        <v/>
      </c>
    </row>
    <row r="261" ht="15" customHeight="1" s="74">
      <c r="A261" s="66">
        <f>'Project Database'!A265</f>
        <v/>
      </c>
      <c r="B261" s="66">
        <f>'Project Database'!B265</f>
        <v/>
      </c>
      <c r="C261" s="66">
        <f>'Project Database'!G265</f>
        <v/>
      </c>
      <c r="D261" s="66">
        <f>'Project Database'!H265</f>
        <v/>
      </c>
      <c r="E261" s="66">
        <f>'Project Database'!I265</f>
        <v/>
      </c>
      <c r="F261" s="66">
        <f>'Project Database'!J265</f>
        <v/>
      </c>
      <c r="G261" s="66">
        <f>'Project Database'!K265</f>
        <v/>
      </c>
      <c r="H261" s="66">
        <f>'Project Database'!L265</f>
        <v/>
      </c>
      <c r="I261" s="66">
        <f>'Project Database'!M265</f>
        <v/>
      </c>
      <c r="J261" s="66">
        <f>'Project Database'!N265</f>
        <v/>
      </c>
      <c r="K261" s="66">
        <f>'Project Database'!O265</f>
        <v/>
      </c>
      <c r="L261" s="66">
        <f>'Project Database'!P265</f>
        <v/>
      </c>
      <c r="M261" s="66">
        <f>'Project Database'!Q265</f>
        <v/>
      </c>
      <c r="N261" s="66">
        <f>'Project Database'!R265</f>
        <v/>
      </c>
      <c r="O261" s="66">
        <f>'Project Database'!S265</f>
        <v/>
      </c>
      <c r="P261" s="66">
        <f>'Project Database'!T265</f>
        <v/>
      </c>
      <c r="Q261" s="66">
        <f>'Project Database'!U265</f>
        <v/>
      </c>
      <c r="R261" s="66">
        <f>'Project Database'!V265</f>
        <v/>
      </c>
      <c r="S261" s="66">
        <f>'Project Database'!W265</f>
        <v/>
      </c>
      <c r="T261" s="66">
        <f>'Project Database'!X265</f>
        <v/>
      </c>
      <c r="U261" s="67">
        <f>'Project Database'!Y265</f>
        <v/>
      </c>
      <c r="V261" s="66">
        <f>IF('Smart Search'!B13=1,IFERROR(1/'Smart Search'!H13,0),0)</f>
        <v/>
      </c>
      <c r="W261" s="66">
        <f>IF('Smart Search'!B13=1,IFERROR(1/'Smart Search'!H13,0),0)</f>
        <v/>
      </c>
      <c r="X261" s="66">
        <f>IF('Smart Search'!C13=1,IFERROR(1/'Smart Search'!H13,0),0)</f>
        <v/>
      </c>
      <c r="Y261" s="66">
        <f>IF('Smart Search'!C13=1,IFERROR(1/'Smart Search'!H13,0),0)</f>
        <v/>
      </c>
      <c r="Z261" s="66">
        <f>IF('Smart Search'!D13=1,IFERROR(1/'Smart Search'!H13,0),0)</f>
        <v/>
      </c>
      <c r="AA261" s="66">
        <f>IF('Smart Search'!D13=1,IFERROR(1/'Smart Search'!H13,0),0)</f>
        <v/>
      </c>
      <c r="AB261" s="66">
        <f>IF('Smart Search'!E13=1,IFERROR(1/'Smart Search'!H13,0),0)</f>
        <v/>
      </c>
      <c r="AC261" s="66">
        <f>IF('Smart Search'!E13=1,IFERROR(1/'Smart Search'!H13,0),0)</f>
        <v/>
      </c>
      <c r="AD261" s="66">
        <f>IF('Smart Search'!F13=1,IFERROR(1/'Smart Search'!H13,0),0)</f>
        <v/>
      </c>
      <c r="AE261" s="66">
        <f>IF('Smart Search'!F13=1,IFERROR(1/'Smart Search'!H13,0),0)</f>
        <v/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66">
        <f>AF261*V261</f>
        <v/>
      </c>
      <c r="AQ261" s="66">
        <f>AG261*W261</f>
        <v/>
      </c>
      <c r="AR261" s="66">
        <f>AH261*X261</f>
        <v/>
      </c>
      <c r="AS261" s="66">
        <f>AI261*Y261</f>
        <v/>
      </c>
      <c r="AT261" s="66">
        <f>AJ261*Z261</f>
        <v/>
      </c>
      <c r="AU261" s="66">
        <f>AK261*AA261</f>
        <v/>
      </c>
      <c r="AV261" s="66">
        <f>AL261*AB261</f>
        <v/>
      </c>
      <c r="AW261" s="66">
        <f>AM261*AC261</f>
        <v/>
      </c>
      <c r="AX261" s="66">
        <f>AN261*AD261</f>
        <v/>
      </c>
      <c r="AY261" s="66">
        <f>AO261*AE261</f>
        <v/>
      </c>
      <c r="AZ261" s="66">
        <f>'Project Database'!Z265</f>
        <v/>
      </c>
      <c r="BA261" s="66">
        <f>IF(OR(A261="",'Smart Search'!H13=0),"",MAX(0,BE261*BF261*MAX(0,1-BG261)))</f>
        <v/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66">
        <f>IF('Smart Search'!G13=1,IFERROR(1/'Smart Search'!H13,0),0)</f>
        <v/>
      </c>
      <c r="BD261" s="66">
        <f>BB261*BC261</f>
        <v/>
      </c>
      <c r="BE261" s="66">
        <f>AP261+AQ261+AR261+AS261+AT261+AU261+AV261+AW261+AX261+AY261+BD261</f>
        <v/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5">
        <f>IF(AND('Project Database'!A265&lt;&gt;"",OR('Smart Search'!$L$5="",'Smart Search'!$L$5="All",TRIM('Project Database'!D265)=TRIM('Smart Search'!$L$5)),OR(TRIM('Smart Search'!$L$6)="",TRIM('Smart Search'!$L$6)="All",ISNUMBER(SEARCH(SUBSTITUTE(SUBSTITUTE(SUBSTITUTE(TRIM('Smart Search'!$L$6),"~","~~"),"*","~*"),"?","~?"),'Project Database'!C265))),OR('Smart Search'!$L$7="",AND('Project Database'!E265&lt;&gt;"",'Project Database'!E265='Smart Search'!$L$7)),OR('Smart Search'!$L$8="",'Smart Search'!$L$8="All",TRIM('Project Database'!F265)=TRIM('Smart Search'!$L$8))),IF(BA261="","",BA261+ROW()*0.0000000001),"")</f>
        <v/>
      </c>
      <c r="BI261" s="5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>
        <f>IF('Project Database'!A265="","",N('Project Database'!AC265))</f>
        <v/>
      </c>
      <c r="BK261" s="5">
        <f>IF('Project Database'!A265="","",N('Project Database'!AD265))</f>
        <v/>
      </c>
      <c r="BL261" s="5">
        <f>IF('Project Database'!A265="","",N('Project Database'!AE265))</f>
        <v/>
      </c>
      <c r="BM261" s="5">
        <f>IF('Project Database'!A265="","",N('Project Database'!AF265))</f>
        <v/>
      </c>
      <c r="BN261" s="5">
        <f>IF('Project Database'!A265="","",N('Project Database'!AG265))</f>
        <v/>
      </c>
      <c r="BO261" s="5">
        <f>IF('Project Database'!A265="","",N('Project Database'!AH265))</f>
        <v/>
      </c>
      <c r="BP261" s="5">
        <f>IF('Project Database'!A265="","",N('Project Database'!AI265))</f>
        <v/>
      </c>
      <c r="BQ261" s="5">
        <f>IF('Project Database'!A265="","",N('Project Database'!AJ265))</f>
        <v/>
      </c>
      <c r="BR261" s="5">
        <f>IF('Project Database'!A265="","",N('Project Database'!AK265))</f>
        <v/>
      </c>
      <c r="BS261" s="5">
        <f>IF('Project Database'!A265="","",N('Project Database'!AL265))</f>
        <v/>
      </c>
      <c r="BT261" s="5">
        <f>IF('Project Database'!A265="","",N('Project Database'!AM265))</f>
        <v/>
      </c>
      <c r="BU261" s="5">
        <f>IF('Project Database'!A265="","",N('Project Database'!AN265))</f>
        <v/>
      </c>
      <c r="BV261" s="5">
        <f>IF('Project Database'!A265="","",N('Project Database'!AO265))</f>
        <v/>
      </c>
      <c r="BW261" s="5">
        <f>IF('Project Database'!A265="","",N('Project Database'!AP265))</f>
        <v/>
      </c>
      <c r="BX261" s="5">
        <f>IF(A261="","",SUM(BJ261:BW261))</f>
        <v/>
      </c>
      <c r="BY261" s="5">
        <f>IF(A261="","",IFERROR(IF(ISNUMBER(U261),U261,VALUE(SUBSTITUTE(SUBSTITUTE(SUBSTITUTE(UPPER(TRIM(U261)),"M",""),",","")," ",""))),0))</f>
        <v/>
      </c>
    </row>
    <row r="262" ht="15" customHeight="1" s="74">
      <c r="A262" s="66">
        <f>'Project Database'!A266</f>
        <v/>
      </c>
      <c r="B262" s="66">
        <f>'Project Database'!B266</f>
        <v/>
      </c>
      <c r="C262" s="66">
        <f>'Project Database'!G266</f>
        <v/>
      </c>
      <c r="D262" s="66">
        <f>'Project Database'!H266</f>
        <v/>
      </c>
      <c r="E262" s="66">
        <f>'Project Database'!I266</f>
        <v/>
      </c>
      <c r="F262" s="66">
        <f>'Project Database'!J266</f>
        <v/>
      </c>
      <c r="G262" s="66">
        <f>'Project Database'!K266</f>
        <v/>
      </c>
      <c r="H262" s="66">
        <f>'Project Database'!L266</f>
        <v/>
      </c>
      <c r="I262" s="66">
        <f>'Project Database'!M266</f>
        <v/>
      </c>
      <c r="J262" s="66">
        <f>'Project Database'!N266</f>
        <v/>
      </c>
      <c r="K262" s="66">
        <f>'Project Database'!O266</f>
        <v/>
      </c>
      <c r="L262" s="66">
        <f>'Project Database'!P266</f>
        <v/>
      </c>
      <c r="M262" s="66">
        <f>'Project Database'!Q266</f>
        <v/>
      </c>
      <c r="N262" s="66">
        <f>'Project Database'!R266</f>
        <v/>
      </c>
      <c r="O262" s="66">
        <f>'Project Database'!S266</f>
        <v/>
      </c>
      <c r="P262" s="66">
        <f>'Project Database'!T266</f>
        <v/>
      </c>
      <c r="Q262" s="66">
        <f>'Project Database'!U266</f>
        <v/>
      </c>
      <c r="R262" s="66">
        <f>'Project Database'!V266</f>
        <v/>
      </c>
      <c r="S262" s="66">
        <f>'Project Database'!W266</f>
        <v/>
      </c>
      <c r="T262" s="66">
        <f>'Project Database'!X266</f>
        <v/>
      </c>
      <c r="U262" s="67">
        <f>'Project Database'!Y266</f>
        <v/>
      </c>
      <c r="V262" s="66">
        <f>IF('Smart Search'!B13=1,IFERROR(1/'Smart Search'!H13,0),0)</f>
        <v/>
      </c>
      <c r="W262" s="66">
        <f>IF('Smart Search'!B13=1,IFERROR(1/'Smart Search'!H13,0),0)</f>
        <v/>
      </c>
      <c r="X262" s="66">
        <f>IF('Smart Search'!C13=1,IFERROR(1/'Smart Search'!H13,0),0)</f>
        <v/>
      </c>
      <c r="Y262" s="66">
        <f>IF('Smart Search'!C13=1,IFERROR(1/'Smart Search'!H13,0),0)</f>
        <v/>
      </c>
      <c r="Z262" s="66">
        <f>IF('Smart Search'!D13=1,IFERROR(1/'Smart Search'!H13,0),0)</f>
        <v/>
      </c>
      <c r="AA262" s="66">
        <f>IF('Smart Search'!D13=1,IFERROR(1/'Smart Search'!H13,0),0)</f>
        <v/>
      </c>
      <c r="AB262" s="66">
        <f>IF('Smart Search'!E13=1,IFERROR(1/'Smart Search'!H13,0),0)</f>
        <v/>
      </c>
      <c r="AC262" s="66">
        <f>IF('Smart Search'!E13=1,IFERROR(1/'Smart Search'!H13,0),0)</f>
        <v/>
      </c>
      <c r="AD262" s="66">
        <f>IF('Smart Search'!F13=1,IFERROR(1/'Smart Search'!H13,0),0)</f>
        <v/>
      </c>
      <c r="AE262" s="66">
        <f>IF('Smart Search'!F13=1,IFERROR(1/'Smart Search'!H13,0),0)</f>
        <v/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66">
        <f>AF262*V262</f>
        <v/>
      </c>
      <c r="AQ262" s="66">
        <f>AG262*W262</f>
        <v/>
      </c>
      <c r="AR262" s="66">
        <f>AH262*X262</f>
        <v/>
      </c>
      <c r="AS262" s="66">
        <f>AI262*Y262</f>
        <v/>
      </c>
      <c r="AT262" s="66">
        <f>AJ262*Z262</f>
        <v/>
      </c>
      <c r="AU262" s="66">
        <f>AK262*AA262</f>
        <v/>
      </c>
      <c r="AV262" s="66">
        <f>AL262*AB262</f>
        <v/>
      </c>
      <c r="AW262" s="66">
        <f>AM262*AC262</f>
        <v/>
      </c>
      <c r="AX262" s="66">
        <f>AN262*AD262</f>
        <v/>
      </c>
      <c r="AY262" s="66">
        <f>AO262*AE262</f>
        <v/>
      </c>
      <c r="AZ262" s="66">
        <f>'Project Database'!Z266</f>
        <v/>
      </c>
      <c r="BA262" s="66">
        <f>IF(OR(A262="",'Smart Search'!H13=0),"",MAX(0,BE262*BF262*MAX(0,1-BG262)))</f>
        <v/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66">
        <f>IF('Smart Search'!G13=1,IFERROR(1/'Smart Search'!H13,0),0)</f>
        <v/>
      </c>
      <c r="BD262" s="66">
        <f>BB262*BC262</f>
        <v/>
      </c>
      <c r="BE262" s="66">
        <f>AP262+AQ262+AR262+AS262+AT262+AU262+AV262+AW262+AX262+AY262+BD262</f>
        <v/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5">
        <f>IF(AND('Project Database'!A266&lt;&gt;"",OR('Smart Search'!$L$5="",'Smart Search'!$L$5="All",TRIM('Project Database'!D266)=TRIM('Smart Search'!$L$5)),OR(TRIM('Smart Search'!$L$6)="",TRIM('Smart Search'!$L$6)="All",ISNUMBER(SEARCH(SUBSTITUTE(SUBSTITUTE(SUBSTITUTE(TRIM('Smart Search'!$L$6),"~","~~"),"*","~*"),"?","~?"),'Project Database'!C266))),OR('Smart Search'!$L$7="",AND('Project Database'!E266&lt;&gt;"",'Project Database'!E266='Smart Search'!$L$7)),OR('Smart Search'!$L$8="",'Smart Search'!$L$8="All",TRIM('Project Database'!F266)=TRIM('Smart Search'!$L$8))),IF(BA262="","",BA262+ROW()*0.0000000001),"")</f>
        <v/>
      </c>
      <c r="BI262" s="5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>
        <f>IF('Project Database'!A266="","",N('Project Database'!AC266))</f>
        <v/>
      </c>
      <c r="BK262" s="5">
        <f>IF('Project Database'!A266="","",N('Project Database'!AD266))</f>
        <v/>
      </c>
      <c r="BL262" s="5">
        <f>IF('Project Database'!A266="","",N('Project Database'!AE266))</f>
        <v/>
      </c>
      <c r="BM262" s="5">
        <f>IF('Project Database'!A266="","",N('Project Database'!AF266))</f>
        <v/>
      </c>
      <c r="BN262" s="5">
        <f>IF('Project Database'!A266="","",N('Project Database'!AG266))</f>
        <v/>
      </c>
      <c r="BO262" s="5">
        <f>IF('Project Database'!A266="","",N('Project Database'!AH266))</f>
        <v/>
      </c>
      <c r="BP262" s="5">
        <f>IF('Project Database'!A266="","",N('Project Database'!AI266))</f>
        <v/>
      </c>
      <c r="BQ262" s="5">
        <f>IF('Project Database'!A266="","",N('Project Database'!AJ266))</f>
        <v/>
      </c>
      <c r="BR262" s="5">
        <f>IF('Project Database'!A266="","",N('Project Database'!AK266))</f>
        <v/>
      </c>
      <c r="BS262" s="5">
        <f>IF('Project Database'!A266="","",N('Project Database'!AL266))</f>
        <v/>
      </c>
      <c r="BT262" s="5">
        <f>IF('Project Database'!A266="","",N('Project Database'!AM266))</f>
        <v/>
      </c>
      <c r="BU262" s="5">
        <f>IF('Project Database'!A266="","",N('Project Database'!AN266))</f>
        <v/>
      </c>
      <c r="BV262" s="5">
        <f>IF('Project Database'!A266="","",N('Project Database'!AO266))</f>
        <v/>
      </c>
      <c r="BW262" s="5">
        <f>IF('Project Database'!A266="","",N('Project Database'!AP266))</f>
        <v/>
      </c>
      <c r="BX262" s="5">
        <f>IF(A262="","",SUM(BJ262:BW262))</f>
        <v/>
      </c>
      <c r="BY262" s="5">
        <f>IF(A262="","",IFERROR(IF(ISNUMBER(U262),U262,VALUE(SUBSTITUTE(SUBSTITUTE(SUBSTITUTE(UPPER(TRIM(U262)),"M",""),",","")," ",""))),0))</f>
        <v/>
      </c>
    </row>
    <row r="263" ht="15" customHeight="1" s="74">
      <c r="A263" s="66">
        <f>'Project Database'!A267</f>
        <v/>
      </c>
      <c r="B263" s="66">
        <f>'Project Database'!B267</f>
        <v/>
      </c>
      <c r="C263" s="66">
        <f>'Project Database'!G267</f>
        <v/>
      </c>
      <c r="D263" s="66">
        <f>'Project Database'!H267</f>
        <v/>
      </c>
      <c r="E263" s="66">
        <f>'Project Database'!I267</f>
        <v/>
      </c>
      <c r="F263" s="66">
        <f>'Project Database'!J267</f>
        <v/>
      </c>
      <c r="G263" s="66">
        <f>'Project Database'!K267</f>
        <v/>
      </c>
      <c r="H263" s="66">
        <f>'Project Database'!L267</f>
        <v/>
      </c>
      <c r="I263" s="66">
        <f>'Project Database'!M267</f>
        <v/>
      </c>
      <c r="J263" s="66">
        <f>'Project Database'!N267</f>
        <v/>
      </c>
      <c r="K263" s="66">
        <f>'Project Database'!O267</f>
        <v/>
      </c>
      <c r="L263" s="66">
        <f>'Project Database'!P267</f>
        <v/>
      </c>
      <c r="M263" s="66">
        <f>'Project Database'!Q267</f>
        <v/>
      </c>
      <c r="N263" s="66">
        <f>'Project Database'!R267</f>
        <v/>
      </c>
      <c r="O263" s="66">
        <f>'Project Database'!S267</f>
        <v/>
      </c>
      <c r="P263" s="66">
        <f>'Project Database'!T267</f>
        <v/>
      </c>
      <c r="Q263" s="66">
        <f>'Project Database'!U267</f>
        <v/>
      </c>
      <c r="R263" s="66">
        <f>'Project Database'!V267</f>
        <v/>
      </c>
      <c r="S263" s="66">
        <f>'Project Database'!W267</f>
        <v/>
      </c>
      <c r="T263" s="66">
        <f>'Project Database'!X267</f>
        <v/>
      </c>
      <c r="U263" s="67">
        <f>'Project Database'!Y267</f>
        <v/>
      </c>
      <c r="V263" s="66">
        <f>IF('Smart Search'!B13=1,IFERROR(1/'Smart Search'!H13,0),0)</f>
        <v/>
      </c>
      <c r="W263" s="66">
        <f>IF('Smart Search'!B13=1,IFERROR(1/'Smart Search'!H13,0),0)</f>
        <v/>
      </c>
      <c r="X263" s="66">
        <f>IF('Smart Search'!C13=1,IFERROR(1/'Smart Search'!H13,0),0)</f>
        <v/>
      </c>
      <c r="Y263" s="66">
        <f>IF('Smart Search'!C13=1,IFERROR(1/'Smart Search'!H13,0),0)</f>
        <v/>
      </c>
      <c r="Z263" s="66">
        <f>IF('Smart Search'!D13=1,IFERROR(1/'Smart Search'!H13,0),0)</f>
        <v/>
      </c>
      <c r="AA263" s="66">
        <f>IF('Smart Search'!D13=1,IFERROR(1/'Smart Search'!H13,0),0)</f>
        <v/>
      </c>
      <c r="AB263" s="66">
        <f>IF('Smart Search'!E13=1,IFERROR(1/'Smart Search'!H13,0),0)</f>
        <v/>
      </c>
      <c r="AC263" s="66">
        <f>IF('Smart Search'!E13=1,IFERROR(1/'Smart Search'!H13,0),0)</f>
        <v/>
      </c>
      <c r="AD263" s="66">
        <f>IF('Smart Search'!F13=1,IFERROR(1/'Smart Search'!H13,0),0)</f>
        <v/>
      </c>
      <c r="AE263" s="66">
        <f>IF('Smart Search'!F13=1,IFERROR(1/'Smart Search'!H13,0),0)</f>
        <v/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66">
        <f>AF263*V263</f>
        <v/>
      </c>
      <c r="AQ263" s="66">
        <f>AG263*W263</f>
        <v/>
      </c>
      <c r="AR263" s="66">
        <f>AH263*X263</f>
        <v/>
      </c>
      <c r="AS263" s="66">
        <f>AI263*Y263</f>
        <v/>
      </c>
      <c r="AT263" s="66">
        <f>AJ263*Z263</f>
        <v/>
      </c>
      <c r="AU263" s="66">
        <f>AK263*AA263</f>
        <v/>
      </c>
      <c r="AV263" s="66">
        <f>AL263*AB263</f>
        <v/>
      </c>
      <c r="AW263" s="66">
        <f>AM263*AC263</f>
        <v/>
      </c>
      <c r="AX263" s="66">
        <f>AN263*AD263</f>
        <v/>
      </c>
      <c r="AY263" s="66">
        <f>AO263*AE263</f>
        <v/>
      </c>
      <c r="AZ263" s="66">
        <f>'Project Database'!Z267</f>
        <v/>
      </c>
      <c r="BA263" s="66">
        <f>IF(OR(A263="",'Smart Search'!H13=0),"",MAX(0,BE263*BF263*MAX(0,1-BG263)))</f>
        <v/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66">
        <f>IF('Smart Search'!G13=1,IFERROR(1/'Smart Search'!H13,0),0)</f>
        <v/>
      </c>
      <c r="BD263" s="66">
        <f>BB263*BC263</f>
        <v/>
      </c>
      <c r="BE263" s="66">
        <f>AP263+AQ263+AR263+AS263+AT263+AU263+AV263+AW263+AX263+AY263+BD263</f>
        <v/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5">
        <f>IF(AND('Project Database'!A267&lt;&gt;"",OR('Smart Search'!$L$5="",'Smart Search'!$L$5="All",TRIM('Project Database'!D267)=TRIM('Smart Search'!$L$5)),OR(TRIM('Smart Search'!$L$6)="",TRIM('Smart Search'!$L$6)="All",ISNUMBER(SEARCH(SUBSTITUTE(SUBSTITUTE(SUBSTITUTE(TRIM('Smart Search'!$L$6),"~","~~"),"*","~*"),"?","~?"),'Project Database'!C267))),OR('Smart Search'!$L$7="",AND('Project Database'!E267&lt;&gt;"",'Project Database'!E267='Smart Search'!$L$7)),OR('Smart Search'!$L$8="",'Smart Search'!$L$8="All",TRIM('Project Database'!F267)=TRIM('Smart Search'!$L$8))),IF(BA263="","",BA263+ROW()*0.0000000001),"")</f>
        <v/>
      </c>
      <c r="BI263" s="5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>
        <f>IF('Project Database'!A267="","",N('Project Database'!AC267))</f>
        <v/>
      </c>
      <c r="BK263" s="5">
        <f>IF('Project Database'!A267="","",N('Project Database'!AD267))</f>
        <v/>
      </c>
      <c r="BL263" s="5">
        <f>IF('Project Database'!A267="","",N('Project Database'!AE267))</f>
        <v/>
      </c>
      <c r="BM263" s="5">
        <f>IF('Project Database'!A267="","",N('Project Database'!AF267))</f>
        <v/>
      </c>
      <c r="BN263" s="5">
        <f>IF('Project Database'!A267="","",N('Project Database'!AG267))</f>
        <v/>
      </c>
      <c r="BO263" s="5">
        <f>IF('Project Database'!A267="","",N('Project Database'!AH267))</f>
        <v/>
      </c>
      <c r="BP263" s="5">
        <f>IF('Project Database'!A267="","",N('Project Database'!AI267))</f>
        <v/>
      </c>
      <c r="BQ263" s="5">
        <f>IF('Project Database'!A267="","",N('Project Database'!AJ267))</f>
        <v/>
      </c>
      <c r="BR263" s="5">
        <f>IF('Project Database'!A267="","",N('Project Database'!AK267))</f>
        <v/>
      </c>
      <c r="BS263" s="5">
        <f>IF('Project Database'!A267="","",N('Project Database'!AL267))</f>
        <v/>
      </c>
      <c r="BT263" s="5">
        <f>IF('Project Database'!A267="","",N('Project Database'!AM267))</f>
        <v/>
      </c>
      <c r="BU263" s="5">
        <f>IF('Project Database'!A267="","",N('Project Database'!AN267))</f>
        <v/>
      </c>
      <c r="BV263" s="5">
        <f>IF('Project Database'!A267="","",N('Project Database'!AO267))</f>
        <v/>
      </c>
      <c r="BW263" s="5">
        <f>IF('Project Database'!A267="","",N('Project Database'!AP267))</f>
        <v/>
      </c>
      <c r="BX263" s="5">
        <f>IF(A263="","",SUM(BJ263:BW263))</f>
        <v/>
      </c>
      <c r="BY263" s="5">
        <f>IF(A263="","",IFERROR(IF(ISNUMBER(U263),U263,VALUE(SUBSTITUTE(SUBSTITUTE(SUBSTITUTE(UPPER(TRIM(U263)),"M",""),",","")," ",""))),0))</f>
        <v/>
      </c>
    </row>
    <row r="264" ht="15" customHeight="1" s="74">
      <c r="A264" s="66">
        <f>'Project Database'!A268</f>
        <v/>
      </c>
      <c r="B264" s="66">
        <f>'Project Database'!B268</f>
        <v/>
      </c>
      <c r="C264" s="66">
        <f>'Project Database'!G268</f>
        <v/>
      </c>
      <c r="D264" s="66">
        <f>'Project Database'!H268</f>
        <v/>
      </c>
      <c r="E264" s="66">
        <f>'Project Database'!I268</f>
        <v/>
      </c>
      <c r="F264" s="66">
        <f>'Project Database'!J268</f>
        <v/>
      </c>
      <c r="G264" s="66">
        <f>'Project Database'!K268</f>
        <v/>
      </c>
      <c r="H264" s="66">
        <f>'Project Database'!L268</f>
        <v/>
      </c>
      <c r="I264" s="66">
        <f>'Project Database'!M268</f>
        <v/>
      </c>
      <c r="J264" s="66">
        <f>'Project Database'!N268</f>
        <v/>
      </c>
      <c r="K264" s="66">
        <f>'Project Database'!O268</f>
        <v/>
      </c>
      <c r="L264" s="66">
        <f>'Project Database'!P268</f>
        <v/>
      </c>
      <c r="M264" s="66">
        <f>'Project Database'!Q268</f>
        <v/>
      </c>
      <c r="N264" s="66">
        <f>'Project Database'!R268</f>
        <v/>
      </c>
      <c r="O264" s="66">
        <f>'Project Database'!S268</f>
        <v/>
      </c>
      <c r="P264" s="66">
        <f>'Project Database'!T268</f>
        <v/>
      </c>
      <c r="Q264" s="66">
        <f>'Project Database'!U268</f>
        <v/>
      </c>
      <c r="R264" s="66">
        <f>'Project Database'!V268</f>
        <v/>
      </c>
      <c r="S264" s="66">
        <f>'Project Database'!W268</f>
        <v/>
      </c>
      <c r="T264" s="66">
        <f>'Project Database'!X268</f>
        <v/>
      </c>
      <c r="U264" s="67">
        <f>'Project Database'!Y268</f>
        <v/>
      </c>
      <c r="V264" s="66">
        <f>IF('Smart Search'!B13=1,IFERROR(1/'Smart Search'!H13,0),0)</f>
        <v/>
      </c>
      <c r="W264" s="66">
        <f>IF('Smart Search'!B13=1,IFERROR(1/'Smart Search'!H13,0),0)</f>
        <v/>
      </c>
      <c r="X264" s="66">
        <f>IF('Smart Search'!C13=1,IFERROR(1/'Smart Search'!H13,0),0)</f>
        <v/>
      </c>
      <c r="Y264" s="66">
        <f>IF('Smart Search'!C13=1,IFERROR(1/'Smart Search'!H13,0),0)</f>
        <v/>
      </c>
      <c r="Z264" s="66">
        <f>IF('Smart Search'!D13=1,IFERROR(1/'Smart Search'!H13,0),0)</f>
        <v/>
      </c>
      <c r="AA264" s="66">
        <f>IF('Smart Search'!D13=1,IFERROR(1/'Smart Search'!H13,0),0)</f>
        <v/>
      </c>
      <c r="AB264" s="66">
        <f>IF('Smart Search'!E13=1,IFERROR(1/'Smart Search'!H13,0),0)</f>
        <v/>
      </c>
      <c r="AC264" s="66">
        <f>IF('Smart Search'!E13=1,IFERROR(1/'Smart Search'!H13,0),0)</f>
        <v/>
      </c>
      <c r="AD264" s="66">
        <f>IF('Smart Search'!F13=1,IFERROR(1/'Smart Search'!H13,0),0)</f>
        <v/>
      </c>
      <c r="AE264" s="66">
        <f>IF('Smart Search'!F13=1,IFERROR(1/'Smart Search'!H13,0),0)</f>
        <v/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66">
        <f>AF264*V264</f>
        <v/>
      </c>
      <c r="AQ264" s="66">
        <f>AG264*W264</f>
        <v/>
      </c>
      <c r="AR264" s="66">
        <f>AH264*X264</f>
        <v/>
      </c>
      <c r="AS264" s="66">
        <f>AI264*Y264</f>
        <v/>
      </c>
      <c r="AT264" s="66">
        <f>AJ264*Z264</f>
        <v/>
      </c>
      <c r="AU264" s="66">
        <f>AK264*AA264</f>
        <v/>
      </c>
      <c r="AV264" s="66">
        <f>AL264*AB264</f>
        <v/>
      </c>
      <c r="AW264" s="66">
        <f>AM264*AC264</f>
        <v/>
      </c>
      <c r="AX264" s="66">
        <f>AN264*AD264</f>
        <v/>
      </c>
      <c r="AY264" s="66">
        <f>AO264*AE264</f>
        <v/>
      </c>
      <c r="AZ264" s="66">
        <f>'Project Database'!Z268</f>
        <v/>
      </c>
      <c r="BA264" s="66">
        <f>IF(OR(A264="",'Smart Search'!H13=0),"",MAX(0,BE264*BF264*MAX(0,1-BG264)))</f>
        <v/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66">
        <f>IF('Smart Search'!G13=1,IFERROR(1/'Smart Search'!H13,0),0)</f>
        <v/>
      </c>
      <c r="BD264" s="66">
        <f>BB264*BC264</f>
        <v/>
      </c>
      <c r="BE264" s="66">
        <f>AP264+AQ264+AR264+AS264+AT264+AU264+AV264+AW264+AX264+AY264+BD264</f>
        <v/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5">
        <f>IF(AND('Project Database'!A268&lt;&gt;"",OR('Smart Search'!$L$5="",'Smart Search'!$L$5="All",TRIM('Project Database'!D268)=TRIM('Smart Search'!$L$5)),OR(TRIM('Smart Search'!$L$6)="",TRIM('Smart Search'!$L$6)="All",ISNUMBER(SEARCH(SUBSTITUTE(SUBSTITUTE(SUBSTITUTE(TRIM('Smart Search'!$L$6),"~","~~"),"*","~*"),"?","~?"),'Project Database'!C268))),OR('Smart Search'!$L$7="",AND('Project Database'!E268&lt;&gt;"",'Project Database'!E268='Smart Search'!$L$7)),OR('Smart Search'!$L$8="",'Smart Search'!$L$8="All",TRIM('Project Database'!F268)=TRIM('Smart Search'!$L$8))),IF(BA264="","",BA264+ROW()*0.0000000001),"")</f>
        <v/>
      </c>
      <c r="BI264" s="5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>
        <f>IF('Project Database'!A268="","",N('Project Database'!AC268))</f>
        <v/>
      </c>
      <c r="BK264" s="5">
        <f>IF('Project Database'!A268="","",N('Project Database'!AD268))</f>
        <v/>
      </c>
      <c r="BL264" s="5">
        <f>IF('Project Database'!A268="","",N('Project Database'!AE268))</f>
        <v/>
      </c>
      <c r="BM264" s="5">
        <f>IF('Project Database'!A268="","",N('Project Database'!AF268))</f>
        <v/>
      </c>
      <c r="BN264" s="5">
        <f>IF('Project Database'!A268="","",N('Project Database'!AG268))</f>
        <v/>
      </c>
      <c r="BO264" s="5">
        <f>IF('Project Database'!A268="","",N('Project Database'!AH268))</f>
        <v/>
      </c>
      <c r="BP264" s="5">
        <f>IF('Project Database'!A268="","",N('Project Database'!AI268))</f>
        <v/>
      </c>
      <c r="BQ264" s="5">
        <f>IF('Project Database'!A268="","",N('Project Database'!AJ268))</f>
        <v/>
      </c>
      <c r="BR264" s="5">
        <f>IF('Project Database'!A268="","",N('Project Database'!AK268))</f>
        <v/>
      </c>
      <c r="BS264" s="5">
        <f>IF('Project Database'!A268="","",N('Project Database'!AL268))</f>
        <v/>
      </c>
      <c r="BT264" s="5">
        <f>IF('Project Database'!A268="","",N('Project Database'!AM268))</f>
        <v/>
      </c>
      <c r="BU264" s="5">
        <f>IF('Project Database'!A268="","",N('Project Database'!AN268))</f>
        <v/>
      </c>
      <c r="BV264" s="5">
        <f>IF('Project Database'!A268="","",N('Project Database'!AO268))</f>
        <v/>
      </c>
      <c r="BW264" s="5">
        <f>IF('Project Database'!A268="","",N('Project Database'!AP268))</f>
        <v/>
      </c>
      <c r="BX264" s="5">
        <f>IF(A264="","",SUM(BJ264:BW264))</f>
        <v/>
      </c>
      <c r="BY264" s="5">
        <f>IF(A264="","",IFERROR(IF(ISNUMBER(U264),U264,VALUE(SUBSTITUTE(SUBSTITUTE(SUBSTITUTE(UPPER(TRIM(U264)),"M",""),",","")," ",""))),0))</f>
        <v/>
      </c>
    </row>
    <row r="265" ht="15" customHeight="1" s="74">
      <c r="A265" s="66">
        <f>'Project Database'!A269</f>
        <v/>
      </c>
      <c r="B265" s="66">
        <f>'Project Database'!B269</f>
        <v/>
      </c>
      <c r="C265" s="66">
        <f>'Project Database'!G269</f>
        <v/>
      </c>
      <c r="D265" s="66">
        <f>'Project Database'!H269</f>
        <v/>
      </c>
      <c r="E265" s="66">
        <f>'Project Database'!I269</f>
        <v/>
      </c>
      <c r="F265" s="66">
        <f>'Project Database'!J269</f>
        <v/>
      </c>
      <c r="G265" s="66">
        <f>'Project Database'!K269</f>
        <v/>
      </c>
      <c r="H265" s="66">
        <f>'Project Database'!L269</f>
        <v/>
      </c>
      <c r="I265" s="66">
        <f>'Project Database'!M269</f>
        <v/>
      </c>
      <c r="J265" s="66">
        <f>'Project Database'!N269</f>
        <v/>
      </c>
      <c r="K265" s="66">
        <f>'Project Database'!O269</f>
        <v/>
      </c>
      <c r="L265" s="66">
        <f>'Project Database'!P269</f>
        <v/>
      </c>
      <c r="M265" s="66">
        <f>'Project Database'!Q269</f>
        <v/>
      </c>
      <c r="N265" s="66">
        <f>'Project Database'!R269</f>
        <v/>
      </c>
      <c r="O265" s="66">
        <f>'Project Database'!S269</f>
        <v/>
      </c>
      <c r="P265" s="66">
        <f>'Project Database'!T269</f>
        <v/>
      </c>
      <c r="Q265" s="66">
        <f>'Project Database'!U269</f>
        <v/>
      </c>
      <c r="R265" s="66">
        <f>'Project Database'!V269</f>
        <v/>
      </c>
      <c r="S265" s="66">
        <f>'Project Database'!W269</f>
        <v/>
      </c>
      <c r="T265" s="66">
        <f>'Project Database'!X269</f>
        <v/>
      </c>
      <c r="U265" s="67">
        <f>'Project Database'!Y269</f>
        <v/>
      </c>
      <c r="V265" s="66">
        <f>IF('Smart Search'!B13=1,IFERROR(1/'Smart Search'!H13,0),0)</f>
        <v/>
      </c>
      <c r="W265" s="66">
        <f>IF('Smart Search'!B13=1,IFERROR(1/'Smart Search'!H13,0),0)</f>
        <v/>
      </c>
      <c r="X265" s="66">
        <f>IF('Smart Search'!C13=1,IFERROR(1/'Smart Search'!H13,0),0)</f>
        <v/>
      </c>
      <c r="Y265" s="66">
        <f>IF('Smart Search'!C13=1,IFERROR(1/'Smart Search'!H13,0),0)</f>
        <v/>
      </c>
      <c r="Z265" s="66">
        <f>IF('Smart Search'!D13=1,IFERROR(1/'Smart Search'!H13,0),0)</f>
        <v/>
      </c>
      <c r="AA265" s="66">
        <f>IF('Smart Search'!D13=1,IFERROR(1/'Smart Search'!H13,0),0)</f>
        <v/>
      </c>
      <c r="AB265" s="66">
        <f>IF('Smart Search'!E13=1,IFERROR(1/'Smart Search'!H13,0),0)</f>
        <v/>
      </c>
      <c r="AC265" s="66">
        <f>IF('Smart Search'!E13=1,IFERROR(1/'Smart Search'!H13,0),0)</f>
        <v/>
      </c>
      <c r="AD265" s="66">
        <f>IF('Smart Search'!F13=1,IFERROR(1/'Smart Search'!H13,0),0)</f>
        <v/>
      </c>
      <c r="AE265" s="66">
        <f>IF('Smart Search'!F13=1,IFERROR(1/'Smart Search'!H13,0),0)</f>
        <v/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66">
        <f>AF265*V265</f>
        <v/>
      </c>
      <c r="AQ265" s="66">
        <f>AG265*W265</f>
        <v/>
      </c>
      <c r="AR265" s="66">
        <f>AH265*X265</f>
        <v/>
      </c>
      <c r="AS265" s="66">
        <f>AI265*Y265</f>
        <v/>
      </c>
      <c r="AT265" s="66">
        <f>AJ265*Z265</f>
        <v/>
      </c>
      <c r="AU265" s="66">
        <f>AK265*AA265</f>
        <v/>
      </c>
      <c r="AV265" s="66">
        <f>AL265*AB265</f>
        <v/>
      </c>
      <c r="AW265" s="66">
        <f>AM265*AC265</f>
        <v/>
      </c>
      <c r="AX265" s="66">
        <f>AN265*AD265</f>
        <v/>
      </c>
      <c r="AY265" s="66">
        <f>AO265*AE265</f>
        <v/>
      </c>
      <c r="AZ265" s="66">
        <f>'Project Database'!Z269</f>
        <v/>
      </c>
      <c r="BA265" s="66">
        <f>IF(OR(A265="",'Smart Search'!H13=0),"",MAX(0,BE265*BF265*MAX(0,1-BG265)))</f>
        <v/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66">
        <f>IF('Smart Search'!G13=1,IFERROR(1/'Smart Search'!H13,0),0)</f>
        <v/>
      </c>
      <c r="BD265" s="66">
        <f>BB265*BC265</f>
        <v/>
      </c>
      <c r="BE265" s="66">
        <f>AP265+AQ265+AR265+AS265+AT265+AU265+AV265+AW265+AX265+AY265+BD265</f>
        <v/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5">
        <f>IF(AND('Project Database'!A269&lt;&gt;"",OR('Smart Search'!$L$5="",'Smart Search'!$L$5="All",TRIM('Project Database'!D269)=TRIM('Smart Search'!$L$5)),OR(TRIM('Smart Search'!$L$6)="",TRIM('Smart Search'!$L$6)="All",ISNUMBER(SEARCH(SUBSTITUTE(SUBSTITUTE(SUBSTITUTE(TRIM('Smart Search'!$L$6),"~","~~"),"*","~*"),"?","~?"),'Project Database'!C269))),OR('Smart Search'!$L$7="",AND('Project Database'!E269&lt;&gt;"",'Project Database'!E269='Smart Search'!$L$7)),OR('Smart Search'!$L$8="",'Smart Search'!$L$8="All",TRIM('Project Database'!F269)=TRIM('Smart Search'!$L$8))),IF(BA265="","",BA265+ROW()*0.0000000001),"")</f>
        <v/>
      </c>
      <c r="BI265" s="5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>
        <f>IF('Project Database'!A269="","",N('Project Database'!AC269))</f>
        <v/>
      </c>
      <c r="BK265" s="5">
        <f>IF('Project Database'!A269="","",N('Project Database'!AD269))</f>
        <v/>
      </c>
      <c r="BL265" s="5">
        <f>IF('Project Database'!A269="","",N('Project Database'!AE269))</f>
        <v/>
      </c>
      <c r="BM265" s="5">
        <f>IF('Project Database'!A269="","",N('Project Database'!AF269))</f>
        <v/>
      </c>
      <c r="BN265" s="5">
        <f>IF('Project Database'!A269="","",N('Project Database'!AG269))</f>
        <v/>
      </c>
      <c r="BO265" s="5">
        <f>IF('Project Database'!A269="","",N('Project Database'!AH269))</f>
        <v/>
      </c>
      <c r="BP265" s="5">
        <f>IF('Project Database'!A269="","",N('Project Database'!AI269))</f>
        <v/>
      </c>
      <c r="BQ265" s="5">
        <f>IF('Project Database'!A269="","",N('Project Database'!AJ269))</f>
        <v/>
      </c>
      <c r="BR265" s="5">
        <f>IF('Project Database'!A269="","",N('Project Database'!AK269))</f>
        <v/>
      </c>
      <c r="BS265" s="5">
        <f>IF('Project Database'!A269="","",N('Project Database'!AL269))</f>
        <v/>
      </c>
      <c r="BT265" s="5">
        <f>IF('Project Database'!A269="","",N('Project Database'!AM269))</f>
        <v/>
      </c>
      <c r="BU265" s="5">
        <f>IF('Project Database'!A269="","",N('Project Database'!AN269))</f>
        <v/>
      </c>
      <c r="BV265" s="5">
        <f>IF('Project Database'!A269="","",N('Project Database'!AO269))</f>
        <v/>
      </c>
      <c r="BW265" s="5">
        <f>IF('Project Database'!A269="","",N('Project Database'!AP269))</f>
        <v/>
      </c>
      <c r="BX265" s="5">
        <f>IF(A265="","",SUM(BJ265:BW265))</f>
        <v/>
      </c>
      <c r="BY265" s="5">
        <f>IF(A265="","",IFERROR(IF(ISNUMBER(U265),U265,VALUE(SUBSTITUTE(SUBSTITUTE(SUBSTITUTE(UPPER(TRIM(U265)),"M",""),",","")," ",""))),0))</f>
        <v/>
      </c>
    </row>
    <row r="266" ht="15" customHeight="1" s="74">
      <c r="A266" s="66">
        <f>'Project Database'!A270</f>
        <v/>
      </c>
      <c r="B266" s="66">
        <f>'Project Database'!B270</f>
        <v/>
      </c>
      <c r="C266" s="66">
        <f>'Project Database'!G270</f>
        <v/>
      </c>
      <c r="D266" s="66">
        <f>'Project Database'!H270</f>
        <v/>
      </c>
      <c r="E266" s="66">
        <f>'Project Database'!I270</f>
        <v/>
      </c>
      <c r="F266" s="66">
        <f>'Project Database'!J270</f>
        <v/>
      </c>
      <c r="G266" s="66">
        <f>'Project Database'!K270</f>
        <v/>
      </c>
      <c r="H266" s="66">
        <f>'Project Database'!L270</f>
        <v/>
      </c>
      <c r="I266" s="66">
        <f>'Project Database'!M270</f>
        <v/>
      </c>
      <c r="J266" s="66">
        <f>'Project Database'!N270</f>
        <v/>
      </c>
      <c r="K266" s="66">
        <f>'Project Database'!O270</f>
        <v/>
      </c>
      <c r="L266" s="66">
        <f>'Project Database'!P270</f>
        <v/>
      </c>
      <c r="M266" s="66">
        <f>'Project Database'!Q270</f>
        <v/>
      </c>
      <c r="N266" s="66">
        <f>'Project Database'!R270</f>
        <v/>
      </c>
      <c r="O266" s="66">
        <f>'Project Database'!S270</f>
        <v/>
      </c>
      <c r="P266" s="66">
        <f>'Project Database'!T270</f>
        <v/>
      </c>
      <c r="Q266" s="66">
        <f>'Project Database'!U270</f>
        <v/>
      </c>
      <c r="R266" s="66">
        <f>'Project Database'!V270</f>
        <v/>
      </c>
      <c r="S266" s="66">
        <f>'Project Database'!W270</f>
        <v/>
      </c>
      <c r="T266" s="66">
        <f>'Project Database'!X270</f>
        <v/>
      </c>
      <c r="U266" s="67">
        <f>'Project Database'!Y270</f>
        <v/>
      </c>
      <c r="V266" s="66">
        <f>IF('Smart Search'!B13=1,IFERROR(1/'Smart Search'!H13,0),0)</f>
        <v/>
      </c>
      <c r="W266" s="66">
        <f>IF('Smart Search'!B13=1,IFERROR(1/'Smart Search'!H13,0),0)</f>
        <v/>
      </c>
      <c r="X266" s="66">
        <f>IF('Smart Search'!C13=1,IFERROR(1/'Smart Search'!H13,0),0)</f>
        <v/>
      </c>
      <c r="Y266" s="66">
        <f>IF('Smart Search'!C13=1,IFERROR(1/'Smart Search'!H13,0),0)</f>
        <v/>
      </c>
      <c r="Z266" s="66">
        <f>IF('Smart Search'!D13=1,IFERROR(1/'Smart Search'!H13,0),0)</f>
        <v/>
      </c>
      <c r="AA266" s="66">
        <f>IF('Smart Search'!D13=1,IFERROR(1/'Smart Search'!H13,0),0)</f>
        <v/>
      </c>
      <c r="AB266" s="66">
        <f>IF('Smart Search'!E13=1,IFERROR(1/'Smart Search'!H13,0),0)</f>
        <v/>
      </c>
      <c r="AC266" s="66">
        <f>IF('Smart Search'!E13=1,IFERROR(1/'Smart Search'!H13,0),0)</f>
        <v/>
      </c>
      <c r="AD266" s="66">
        <f>IF('Smart Search'!F13=1,IFERROR(1/'Smart Search'!H13,0),0)</f>
        <v/>
      </c>
      <c r="AE266" s="66">
        <f>IF('Smart Search'!F13=1,IFERROR(1/'Smart Search'!H13,0),0)</f>
        <v/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66">
        <f>AF266*V266</f>
        <v/>
      </c>
      <c r="AQ266" s="66">
        <f>AG266*W266</f>
        <v/>
      </c>
      <c r="AR266" s="66">
        <f>AH266*X266</f>
        <v/>
      </c>
      <c r="AS266" s="66">
        <f>AI266*Y266</f>
        <v/>
      </c>
      <c r="AT266" s="66">
        <f>AJ266*Z266</f>
        <v/>
      </c>
      <c r="AU266" s="66">
        <f>AK266*AA266</f>
        <v/>
      </c>
      <c r="AV266" s="66">
        <f>AL266*AB266</f>
        <v/>
      </c>
      <c r="AW266" s="66">
        <f>AM266*AC266</f>
        <v/>
      </c>
      <c r="AX266" s="66">
        <f>AN266*AD266</f>
        <v/>
      </c>
      <c r="AY266" s="66">
        <f>AO266*AE266</f>
        <v/>
      </c>
      <c r="AZ266" s="66">
        <f>'Project Database'!Z270</f>
        <v/>
      </c>
      <c r="BA266" s="66">
        <f>IF(OR(A266="",'Smart Search'!H13=0),"",MAX(0,BE266*BF266*MAX(0,1-BG266)))</f>
        <v/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66">
        <f>IF('Smart Search'!G13=1,IFERROR(1/'Smart Search'!H13,0),0)</f>
        <v/>
      </c>
      <c r="BD266" s="66">
        <f>BB266*BC266</f>
        <v/>
      </c>
      <c r="BE266" s="66">
        <f>AP266+AQ266+AR266+AS266+AT266+AU266+AV266+AW266+AX266+AY266+BD266</f>
        <v/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5">
        <f>IF(AND('Project Database'!A270&lt;&gt;"",OR('Smart Search'!$L$5="",'Smart Search'!$L$5="All",TRIM('Project Database'!D270)=TRIM('Smart Search'!$L$5)),OR(TRIM('Smart Search'!$L$6)="",TRIM('Smart Search'!$L$6)="All",ISNUMBER(SEARCH(SUBSTITUTE(SUBSTITUTE(SUBSTITUTE(TRIM('Smart Search'!$L$6),"~","~~"),"*","~*"),"?","~?"),'Project Database'!C270))),OR('Smart Search'!$L$7="",AND('Project Database'!E270&lt;&gt;"",'Project Database'!E270='Smart Search'!$L$7)),OR('Smart Search'!$L$8="",'Smart Search'!$L$8="All",TRIM('Project Database'!F270)=TRIM('Smart Search'!$L$8))),IF(BA266="","",BA266+ROW()*0.0000000001),"")</f>
        <v/>
      </c>
      <c r="BI266" s="5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>
        <f>IF('Project Database'!A270="","",N('Project Database'!AC270))</f>
        <v/>
      </c>
      <c r="BK266" s="5">
        <f>IF('Project Database'!A270="","",N('Project Database'!AD270))</f>
        <v/>
      </c>
      <c r="BL266" s="5">
        <f>IF('Project Database'!A270="","",N('Project Database'!AE270))</f>
        <v/>
      </c>
      <c r="BM266" s="5">
        <f>IF('Project Database'!A270="","",N('Project Database'!AF270))</f>
        <v/>
      </c>
      <c r="BN266" s="5">
        <f>IF('Project Database'!A270="","",N('Project Database'!AG270))</f>
        <v/>
      </c>
      <c r="BO266" s="5">
        <f>IF('Project Database'!A270="","",N('Project Database'!AH270))</f>
        <v/>
      </c>
      <c r="BP266" s="5">
        <f>IF('Project Database'!A270="","",N('Project Database'!AI270))</f>
        <v/>
      </c>
      <c r="BQ266" s="5">
        <f>IF('Project Database'!A270="","",N('Project Database'!AJ270))</f>
        <v/>
      </c>
      <c r="BR266" s="5">
        <f>IF('Project Database'!A270="","",N('Project Database'!AK270))</f>
        <v/>
      </c>
      <c r="BS266" s="5">
        <f>IF('Project Database'!A270="","",N('Project Database'!AL270))</f>
        <v/>
      </c>
      <c r="BT266" s="5">
        <f>IF('Project Database'!A270="","",N('Project Database'!AM270))</f>
        <v/>
      </c>
      <c r="BU266" s="5">
        <f>IF('Project Database'!A270="","",N('Project Database'!AN270))</f>
        <v/>
      </c>
      <c r="BV266" s="5">
        <f>IF('Project Database'!A270="","",N('Project Database'!AO270))</f>
        <v/>
      </c>
      <c r="BW266" s="5">
        <f>IF('Project Database'!A270="","",N('Project Database'!AP270))</f>
        <v/>
      </c>
      <c r="BX266" s="5">
        <f>IF(A266="","",SUM(BJ266:BW266))</f>
        <v/>
      </c>
      <c r="BY266" s="5">
        <f>IF(A266="","",IFERROR(IF(ISNUMBER(U266),U266,VALUE(SUBSTITUTE(SUBSTITUTE(SUBSTITUTE(UPPER(TRIM(U266)),"M",""),",","")," ",""))),0))</f>
        <v/>
      </c>
    </row>
    <row r="267" ht="15" customHeight="1" s="74">
      <c r="A267" s="66">
        <f>'Project Database'!A271</f>
        <v/>
      </c>
      <c r="B267" s="66">
        <f>'Project Database'!B271</f>
        <v/>
      </c>
      <c r="C267" s="66">
        <f>'Project Database'!G271</f>
        <v/>
      </c>
      <c r="D267" s="66">
        <f>'Project Database'!H271</f>
        <v/>
      </c>
      <c r="E267" s="66">
        <f>'Project Database'!I271</f>
        <v/>
      </c>
      <c r="F267" s="66">
        <f>'Project Database'!J271</f>
        <v/>
      </c>
      <c r="G267" s="66">
        <f>'Project Database'!K271</f>
        <v/>
      </c>
      <c r="H267" s="66">
        <f>'Project Database'!L271</f>
        <v/>
      </c>
      <c r="I267" s="66">
        <f>'Project Database'!M271</f>
        <v/>
      </c>
      <c r="J267" s="66">
        <f>'Project Database'!N271</f>
        <v/>
      </c>
      <c r="K267" s="66">
        <f>'Project Database'!O271</f>
        <v/>
      </c>
      <c r="L267" s="66">
        <f>'Project Database'!P271</f>
        <v/>
      </c>
      <c r="M267" s="66">
        <f>'Project Database'!Q271</f>
        <v/>
      </c>
      <c r="N267" s="66">
        <f>'Project Database'!R271</f>
        <v/>
      </c>
      <c r="O267" s="66">
        <f>'Project Database'!S271</f>
        <v/>
      </c>
      <c r="P267" s="66">
        <f>'Project Database'!T271</f>
        <v/>
      </c>
      <c r="Q267" s="66">
        <f>'Project Database'!U271</f>
        <v/>
      </c>
      <c r="R267" s="66">
        <f>'Project Database'!V271</f>
        <v/>
      </c>
      <c r="S267" s="66">
        <f>'Project Database'!W271</f>
        <v/>
      </c>
      <c r="T267" s="66">
        <f>'Project Database'!X271</f>
        <v/>
      </c>
      <c r="U267" s="67">
        <f>'Project Database'!Y271</f>
        <v/>
      </c>
      <c r="V267" s="66">
        <f>IF('Smart Search'!B13=1,IFERROR(1/'Smart Search'!H13,0),0)</f>
        <v/>
      </c>
      <c r="W267" s="66">
        <f>IF('Smart Search'!B13=1,IFERROR(1/'Smart Search'!H13,0),0)</f>
        <v/>
      </c>
      <c r="X267" s="66">
        <f>IF('Smart Search'!C13=1,IFERROR(1/'Smart Search'!H13,0),0)</f>
        <v/>
      </c>
      <c r="Y267" s="66">
        <f>IF('Smart Search'!C13=1,IFERROR(1/'Smart Search'!H13,0),0)</f>
        <v/>
      </c>
      <c r="Z267" s="66">
        <f>IF('Smart Search'!D13=1,IFERROR(1/'Smart Search'!H13,0),0)</f>
        <v/>
      </c>
      <c r="AA267" s="66">
        <f>IF('Smart Search'!D13=1,IFERROR(1/'Smart Search'!H13,0),0)</f>
        <v/>
      </c>
      <c r="AB267" s="66">
        <f>IF('Smart Search'!E13=1,IFERROR(1/'Smart Search'!H13,0),0)</f>
        <v/>
      </c>
      <c r="AC267" s="66">
        <f>IF('Smart Search'!E13=1,IFERROR(1/'Smart Search'!H13,0),0)</f>
        <v/>
      </c>
      <c r="AD267" s="66">
        <f>IF('Smart Search'!F13=1,IFERROR(1/'Smart Search'!H13,0),0)</f>
        <v/>
      </c>
      <c r="AE267" s="66">
        <f>IF('Smart Search'!F13=1,IFERROR(1/'Smart Search'!H13,0),0)</f>
        <v/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66">
        <f>AF267*V267</f>
        <v/>
      </c>
      <c r="AQ267" s="66">
        <f>AG267*W267</f>
        <v/>
      </c>
      <c r="AR267" s="66">
        <f>AH267*X267</f>
        <v/>
      </c>
      <c r="AS267" s="66">
        <f>AI267*Y267</f>
        <v/>
      </c>
      <c r="AT267" s="66">
        <f>AJ267*Z267</f>
        <v/>
      </c>
      <c r="AU267" s="66">
        <f>AK267*AA267</f>
        <v/>
      </c>
      <c r="AV267" s="66">
        <f>AL267*AB267</f>
        <v/>
      </c>
      <c r="AW267" s="66">
        <f>AM267*AC267</f>
        <v/>
      </c>
      <c r="AX267" s="66">
        <f>AN267*AD267</f>
        <v/>
      </c>
      <c r="AY267" s="66">
        <f>AO267*AE267</f>
        <v/>
      </c>
      <c r="AZ267" s="66">
        <f>'Project Database'!Z271</f>
        <v/>
      </c>
      <c r="BA267" s="66">
        <f>IF(OR(A267="",'Smart Search'!H13=0),"",MAX(0,BE267*BF267*MAX(0,1-BG267)))</f>
        <v/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66">
        <f>IF('Smart Search'!G13=1,IFERROR(1/'Smart Search'!H13,0),0)</f>
        <v/>
      </c>
      <c r="BD267" s="66">
        <f>BB267*BC267</f>
        <v/>
      </c>
      <c r="BE267" s="66">
        <f>AP267+AQ267+AR267+AS267+AT267+AU267+AV267+AW267+AX267+AY267+BD267</f>
        <v/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5">
        <f>IF(AND('Project Database'!A271&lt;&gt;"",OR('Smart Search'!$L$5="",'Smart Search'!$L$5="All",TRIM('Project Database'!D271)=TRIM('Smart Search'!$L$5)),OR(TRIM('Smart Search'!$L$6)="",TRIM('Smart Search'!$L$6)="All",ISNUMBER(SEARCH(SUBSTITUTE(SUBSTITUTE(SUBSTITUTE(TRIM('Smart Search'!$L$6),"~","~~"),"*","~*"),"?","~?"),'Project Database'!C271))),OR('Smart Search'!$L$7="",AND('Project Database'!E271&lt;&gt;"",'Project Database'!E271='Smart Search'!$L$7)),OR('Smart Search'!$L$8="",'Smart Search'!$L$8="All",TRIM('Project Database'!F271)=TRIM('Smart Search'!$L$8))),IF(BA267="","",BA267+ROW()*0.0000000001),"")</f>
        <v/>
      </c>
      <c r="BI267" s="5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>
        <f>IF('Project Database'!A271="","",N('Project Database'!AC271))</f>
        <v/>
      </c>
      <c r="BK267" s="5">
        <f>IF('Project Database'!A271="","",N('Project Database'!AD271))</f>
        <v/>
      </c>
      <c r="BL267" s="5">
        <f>IF('Project Database'!A271="","",N('Project Database'!AE271))</f>
        <v/>
      </c>
      <c r="BM267" s="5">
        <f>IF('Project Database'!A271="","",N('Project Database'!AF271))</f>
        <v/>
      </c>
      <c r="BN267" s="5">
        <f>IF('Project Database'!A271="","",N('Project Database'!AG271))</f>
        <v/>
      </c>
      <c r="BO267" s="5">
        <f>IF('Project Database'!A271="","",N('Project Database'!AH271))</f>
        <v/>
      </c>
      <c r="BP267" s="5">
        <f>IF('Project Database'!A271="","",N('Project Database'!AI271))</f>
        <v/>
      </c>
      <c r="BQ267" s="5">
        <f>IF('Project Database'!A271="","",N('Project Database'!AJ271))</f>
        <v/>
      </c>
      <c r="BR267" s="5">
        <f>IF('Project Database'!A271="","",N('Project Database'!AK271))</f>
        <v/>
      </c>
      <c r="BS267" s="5">
        <f>IF('Project Database'!A271="","",N('Project Database'!AL271))</f>
        <v/>
      </c>
      <c r="BT267" s="5">
        <f>IF('Project Database'!A271="","",N('Project Database'!AM271))</f>
        <v/>
      </c>
      <c r="BU267" s="5">
        <f>IF('Project Database'!A271="","",N('Project Database'!AN271))</f>
        <v/>
      </c>
      <c r="BV267" s="5">
        <f>IF('Project Database'!A271="","",N('Project Database'!AO271))</f>
        <v/>
      </c>
      <c r="BW267" s="5">
        <f>IF('Project Database'!A271="","",N('Project Database'!AP271))</f>
        <v/>
      </c>
      <c r="BX267" s="5">
        <f>IF(A267="","",SUM(BJ267:BW267))</f>
        <v/>
      </c>
      <c r="BY267" s="5">
        <f>IF(A267="","",IFERROR(IF(ISNUMBER(U267),U267,VALUE(SUBSTITUTE(SUBSTITUTE(SUBSTITUTE(UPPER(TRIM(U267)),"M",""),",","")," ",""))),0))</f>
        <v/>
      </c>
    </row>
    <row r="268" ht="15" customHeight="1" s="74">
      <c r="A268" s="66">
        <f>'Project Database'!A272</f>
        <v/>
      </c>
      <c r="B268" s="66">
        <f>'Project Database'!B272</f>
        <v/>
      </c>
      <c r="C268" s="66">
        <f>'Project Database'!G272</f>
        <v/>
      </c>
      <c r="D268" s="66">
        <f>'Project Database'!H272</f>
        <v/>
      </c>
      <c r="E268" s="66">
        <f>'Project Database'!I272</f>
        <v/>
      </c>
      <c r="F268" s="66">
        <f>'Project Database'!J272</f>
        <v/>
      </c>
      <c r="G268" s="66">
        <f>'Project Database'!K272</f>
        <v/>
      </c>
      <c r="H268" s="66">
        <f>'Project Database'!L272</f>
        <v/>
      </c>
      <c r="I268" s="66">
        <f>'Project Database'!M272</f>
        <v/>
      </c>
      <c r="J268" s="66">
        <f>'Project Database'!N272</f>
        <v/>
      </c>
      <c r="K268" s="66">
        <f>'Project Database'!O272</f>
        <v/>
      </c>
      <c r="L268" s="66">
        <f>'Project Database'!P272</f>
        <v/>
      </c>
      <c r="M268" s="66">
        <f>'Project Database'!Q272</f>
        <v/>
      </c>
      <c r="N268" s="66">
        <f>'Project Database'!R272</f>
        <v/>
      </c>
      <c r="O268" s="66">
        <f>'Project Database'!S272</f>
        <v/>
      </c>
      <c r="P268" s="66">
        <f>'Project Database'!T272</f>
        <v/>
      </c>
      <c r="Q268" s="66">
        <f>'Project Database'!U272</f>
        <v/>
      </c>
      <c r="R268" s="66">
        <f>'Project Database'!V272</f>
        <v/>
      </c>
      <c r="S268" s="66">
        <f>'Project Database'!W272</f>
        <v/>
      </c>
      <c r="T268" s="66">
        <f>'Project Database'!X272</f>
        <v/>
      </c>
      <c r="U268" s="67">
        <f>'Project Database'!Y272</f>
        <v/>
      </c>
      <c r="V268" s="66">
        <f>IF('Smart Search'!B13=1,IFERROR(1/'Smart Search'!H13,0),0)</f>
        <v/>
      </c>
      <c r="W268" s="66">
        <f>IF('Smart Search'!B13=1,IFERROR(1/'Smart Search'!H13,0),0)</f>
        <v/>
      </c>
      <c r="X268" s="66">
        <f>IF('Smart Search'!C13=1,IFERROR(1/'Smart Search'!H13,0),0)</f>
        <v/>
      </c>
      <c r="Y268" s="66">
        <f>IF('Smart Search'!C13=1,IFERROR(1/'Smart Search'!H13,0),0)</f>
        <v/>
      </c>
      <c r="Z268" s="66">
        <f>IF('Smart Search'!D13=1,IFERROR(1/'Smart Search'!H13,0),0)</f>
        <v/>
      </c>
      <c r="AA268" s="66">
        <f>IF('Smart Search'!D13=1,IFERROR(1/'Smart Search'!H13,0),0)</f>
        <v/>
      </c>
      <c r="AB268" s="66">
        <f>IF('Smart Search'!E13=1,IFERROR(1/'Smart Search'!H13,0),0)</f>
        <v/>
      </c>
      <c r="AC268" s="66">
        <f>IF('Smart Search'!E13=1,IFERROR(1/'Smart Search'!H13,0),0)</f>
        <v/>
      </c>
      <c r="AD268" s="66">
        <f>IF('Smart Search'!F13=1,IFERROR(1/'Smart Search'!H13,0),0)</f>
        <v/>
      </c>
      <c r="AE268" s="66">
        <f>IF('Smart Search'!F13=1,IFERROR(1/'Smart Search'!H13,0),0)</f>
        <v/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66">
        <f>AF268*V268</f>
        <v/>
      </c>
      <c r="AQ268" s="66">
        <f>AG268*W268</f>
        <v/>
      </c>
      <c r="AR268" s="66">
        <f>AH268*X268</f>
        <v/>
      </c>
      <c r="AS268" s="66">
        <f>AI268*Y268</f>
        <v/>
      </c>
      <c r="AT268" s="66">
        <f>AJ268*Z268</f>
        <v/>
      </c>
      <c r="AU268" s="66">
        <f>AK268*AA268</f>
        <v/>
      </c>
      <c r="AV268" s="66">
        <f>AL268*AB268</f>
        <v/>
      </c>
      <c r="AW268" s="66">
        <f>AM268*AC268</f>
        <v/>
      </c>
      <c r="AX268" s="66">
        <f>AN268*AD268</f>
        <v/>
      </c>
      <c r="AY268" s="66">
        <f>AO268*AE268</f>
        <v/>
      </c>
      <c r="AZ268" s="66">
        <f>'Project Database'!Z272</f>
        <v/>
      </c>
      <c r="BA268" s="66">
        <f>IF(OR(A268="",'Smart Search'!H13=0),"",MAX(0,BE268*BF268*MAX(0,1-BG268)))</f>
        <v/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66">
        <f>IF('Smart Search'!G13=1,IFERROR(1/'Smart Search'!H13,0),0)</f>
        <v/>
      </c>
      <c r="BD268" s="66">
        <f>BB268*BC268</f>
        <v/>
      </c>
      <c r="BE268" s="66">
        <f>AP268+AQ268+AR268+AS268+AT268+AU268+AV268+AW268+AX268+AY268+BD268</f>
        <v/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5">
        <f>IF(AND('Project Database'!A272&lt;&gt;"",OR('Smart Search'!$L$5="",'Smart Search'!$L$5="All",TRIM('Project Database'!D272)=TRIM('Smart Search'!$L$5)),OR(TRIM('Smart Search'!$L$6)="",TRIM('Smart Search'!$L$6)="All",ISNUMBER(SEARCH(SUBSTITUTE(SUBSTITUTE(SUBSTITUTE(TRIM('Smart Search'!$L$6),"~","~~"),"*","~*"),"?","~?"),'Project Database'!C272))),OR('Smart Search'!$L$7="",AND('Project Database'!E272&lt;&gt;"",'Project Database'!E272='Smart Search'!$L$7)),OR('Smart Search'!$L$8="",'Smart Search'!$L$8="All",TRIM('Project Database'!F272)=TRIM('Smart Search'!$L$8))),IF(BA268="","",BA268+ROW()*0.0000000001),"")</f>
        <v/>
      </c>
      <c r="BI268" s="5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>
        <f>IF('Project Database'!A272="","",N('Project Database'!AC272))</f>
        <v/>
      </c>
      <c r="BK268" s="5">
        <f>IF('Project Database'!A272="","",N('Project Database'!AD272))</f>
        <v/>
      </c>
      <c r="BL268" s="5">
        <f>IF('Project Database'!A272="","",N('Project Database'!AE272))</f>
        <v/>
      </c>
      <c r="BM268" s="5">
        <f>IF('Project Database'!A272="","",N('Project Database'!AF272))</f>
        <v/>
      </c>
      <c r="BN268" s="5">
        <f>IF('Project Database'!A272="","",N('Project Database'!AG272))</f>
        <v/>
      </c>
      <c r="BO268" s="5">
        <f>IF('Project Database'!A272="","",N('Project Database'!AH272))</f>
        <v/>
      </c>
      <c r="BP268" s="5">
        <f>IF('Project Database'!A272="","",N('Project Database'!AI272))</f>
        <v/>
      </c>
      <c r="BQ268" s="5">
        <f>IF('Project Database'!A272="","",N('Project Database'!AJ272))</f>
        <v/>
      </c>
      <c r="BR268" s="5">
        <f>IF('Project Database'!A272="","",N('Project Database'!AK272))</f>
        <v/>
      </c>
      <c r="BS268" s="5">
        <f>IF('Project Database'!A272="","",N('Project Database'!AL272))</f>
        <v/>
      </c>
      <c r="BT268" s="5">
        <f>IF('Project Database'!A272="","",N('Project Database'!AM272))</f>
        <v/>
      </c>
      <c r="BU268" s="5">
        <f>IF('Project Database'!A272="","",N('Project Database'!AN272))</f>
        <v/>
      </c>
      <c r="BV268" s="5">
        <f>IF('Project Database'!A272="","",N('Project Database'!AO272))</f>
        <v/>
      </c>
      <c r="BW268" s="5">
        <f>IF('Project Database'!A272="","",N('Project Database'!AP272))</f>
        <v/>
      </c>
      <c r="BX268" s="5">
        <f>IF(A268="","",SUM(BJ268:BW268))</f>
        <v/>
      </c>
      <c r="BY268" s="5">
        <f>IF(A268="","",IFERROR(IF(ISNUMBER(U268),U268,VALUE(SUBSTITUTE(SUBSTITUTE(SUBSTITUTE(UPPER(TRIM(U268)),"M",""),",","")," ",""))),0))</f>
        <v/>
      </c>
    </row>
    <row r="269" ht="15" customHeight="1" s="74">
      <c r="A269" s="66">
        <f>'Project Database'!A273</f>
        <v/>
      </c>
      <c r="B269" s="66">
        <f>'Project Database'!B273</f>
        <v/>
      </c>
      <c r="C269" s="66">
        <f>'Project Database'!G273</f>
        <v/>
      </c>
      <c r="D269" s="66">
        <f>'Project Database'!H273</f>
        <v/>
      </c>
      <c r="E269" s="66">
        <f>'Project Database'!I273</f>
        <v/>
      </c>
      <c r="F269" s="66">
        <f>'Project Database'!J273</f>
        <v/>
      </c>
      <c r="G269" s="66">
        <f>'Project Database'!K273</f>
        <v/>
      </c>
      <c r="H269" s="66">
        <f>'Project Database'!L273</f>
        <v/>
      </c>
      <c r="I269" s="66">
        <f>'Project Database'!M273</f>
        <v/>
      </c>
      <c r="J269" s="66">
        <f>'Project Database'!N273</f>
        <v/>
      </c>
      <c r="K269" s="66">
        <f>'Project Database'!O273</f>
        <v/>
      </c>
      <c r="L269" s="66">
        <f>'Project Database'!P273</f>
        <v/>
      </c>
      <c r="M269" s="66">
        <f>'Project Database'!Q273</f>
        <v/>
      </c>
      <c r="N269" s="66">
        <f>'Project Database'!R273</f>
        <v/>
      </c>
      <c r="O269" s="66">
        <f>'Project Database'!S273</f>
        <v/>
      </c>
      <c r="P269" s="66">
        <f>'Project Database'!T273</f>
        <v/>
      </c>
      <c r="Q269" s="66">
        <f>'Project Database'!U273</f>
        <v/>
      </c>
      <c r="R269" s="66">
        <f>'Project Database'!V273</f>
        <v/>
      </c>
      <c r="S269" s="66">
        <f>'Project Database'!W273</f>
        <v/>
      </c>
      <c r="T269" s="66">
        <f>'Project Database'!X273</f>
        <v/>
      </c>
      <c r="U269" s="67">
        <f>'Project Database'!Y273</f>
        <v/>
      </c>
      <c r="V269" s="66">
        <f>IF('Smart Search'!B13=1,IFERROR(1/'Smart Search'!H13,0),0)</f>
        <v/>
      </c>
      <c r="W269" s="66">
        <f>IF('Smart Search'!B13=1,IFERROR(1/'Smart Search'!H13,0),0)</f>
        <v/>
      </c>
      <c r="X269" s="66">
        <f>IF('Smart Search'!C13=1,IFERROR(1/'Smart Search'!H13,0),0)</f>
        <v/>
      </c>
      <c r="Y269" s="66">
        <f>IF('Smart Search'!C13=1,IFERROR(1/'Smart Search'!H13,0),0)</f>
        <v/>
      </c>
      <c r="Z269" s="66">
        <f>IF('Smart Search'!D13=1,IFERROR(1/'Smart Search'!H13,0),0)</f>
        <v/>
      </c>
      <c r="AA269" s="66">
        <f>IF('Smart Search'!D13=1,IFERROR(1/'Smart Search'!H13,0),0)</f>
        <v/>
      </c>
      <c r="AB269" s="66">
        <f>IF('Smart Search'!E13=1,IFERROR(1/'Smart Search'!H13,0),0)</f>
        <v/>
      </c>
      <c r="AC269" s="66">
        <f>IF('Smart Search'!E13=1,IFERROR(1/'Smart Search'!H13,0),0)</f>
        <v/>
      </c>
      <c r="AD269" s="66">
        <f>IF('Smart Search'!F13=1,IFERROR(1/'Smart Search'!H13,0),0)</f>
        <v/>
      </c>
      <c r="AE269" s="66">
        <f>IF('Smart Search'!F13=1,IFERROR(1/'Smart Search'!H13,0),0)</f>
        <v/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66">
        <f>AF269*V269</f>
        <v/>
      </c>
      <c r="AQ269" s="66">
        <f>AG269*W269</f>
        <v/>
      </c>
      <c r="AR269" s="66">
        <f>AH269*X269</f>
        <v/>
      </c>
      <c r="AS269" s="66">
        <f>AI269*Y269</f>
        <v/>
      </c>
      <c r="AT269" s="66">
        <f>AJ269*Z269</f>
        <v/>
      </c>
      <c r="AU269" s="66">
        <f>AK269*AA269</f>
        <v/>
      </c>
      <c r="AV269" s="66">
        <f>AL269*AB269</f>
        <v/>
      </c>
      <c r="AW269" s="66">
        <f>AM269*AC269</f>
        <v/>
      </c>
      <c r="AX269" s="66">
        <f>AN269*AD269</f>
        <v/>
      </c>
      <c r="AY269" s="66">
        <f>AO269*AE269</f>
        <v/>
      </c>
      <c r="AZ269" s="66">
        <f>'Project Database'!Z273</f>
        <v/>
      </c>
      <c r="BA269" s="66">
        <f>IF(OR(A269="",'Smart Search'!H13=0),"",MAX(0,BE269*BF269*MAX(0,1-BG269)))</f>
        <v/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66">
        <f>IF('Smart Search'!G13=1,IFERROR(1/'Smart Search'!H13,0),0)</f>
        <v/>
      </c>
      <c r="BD269" s="66">
        <f>BB269*BC269</f>
        <v/>
      </c>
      <c r="BE269" s="66">
        <f>AP269+AQ269+AR269+AS269+AT269+AU269+AV269+AW269+AX269+AY269+BD269</f>
        <v/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5">
        <f>IF(AND('Project Database'!A273&lt;&gt;"",OR('Smart Search'!$L$5="",'Smart Search'!$L$5="All",TRIM('Project Database'!D273)=TRIM('Smart Search'!$L$5)),OR(TRIM('Smart Search'!$L$6)="",TRIM('Smart Search'!$L$6)="All",ISNUMBER(SEARCH(SUBSTITUTE(SUBSTITUTE(SUBSTITUTE(TRIM('Smart Search'!$L$6),"~","~~"),"*","~*"),"?","~?"),'Project Database'!C273))),OR('Smart Search'!$L$7="",AND('Project Database'!E273&lt;&gt;"",'Project Database'!E273='Smart Search'!$L$7)),OR('Smart Search'!$L$8="",'Smart Search'!$L$8="All",TRIM('Project Database'!F273)=TRIM('Smart Search'!$L$8))),IF(BA269="","",BA269+ROW()*0.0000000001),"")</f>
        <v/>
      </c>
      <c r="BI269" s="5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>
        <f>IF('Project Database'!A273="","",N('Project Database'!AC273))</f>
        <v/>
      </c>
      <c r="BK269" s="5">
        <f>IF('Project Database'!A273="","",N('Project Database'!AD273))</f>
        <v/>
      </c>
      <c r="BL269" s="5">
        <f>IF('Project Database'!A273="","",N('Project Database'!AE273))</f>
        <v/>
      </c>
      <c r="BM269" s="5">
        <f>IF('Project Database'!A273="","",N('Project Database'!AF273))</f>
        <v/>
      </c>
      <c r="BN269" s="5">
        <f>IF('Project Database'!A273="","",N('Project Database'!AG273))</f>
        <v/>
      </c>
      <c r="BO269" s="5">
        <f>IF('Project Database'!A273="","",N('Project Database'!AH273))</f>
        <v/>
      </c>
      <c r="BP269" s="5">
        <f>IF('Project Database'!A273="","",N('Project Database'!AI273))</f>
        <v/>
      </c>
      <c r="BQ269" s="5">
        <f>IF('Project Database'!A273="","",N('Project Database'!AJ273))</f>
        <v/>
      </c>
      <c r="BR269" s="5">
        <f>IF('Project Database'!A273="","",N('Project Database'!AK273))</f>
        <v/>
      </c>
      <c r="BS269" s="5">
        <f>IF('Project Database'!A273="","",N('Project Database'!AL273))</f>
        <v/>
      </c>
      <c r="BT269" s="5">
        <f>IF('Project Database'!A273="","",N('Project Database'!AM273))</f>
        <v/>
      </c>
      <c r="BU269" s="5">
        <f>IF('Project Database'!A273="","",N('Project Database'!AN273))</f>
        <v/>
      </c>
      <c r="BV269" s="5">
        <f>IF('Project Database'!A273="","",N('Project Database'!AO273))</f>
        <v/>
      </c>
      <c r="BW269" s="5">
        <f>IF('Project Database'!A273="","",N('Project Database'!AP273))</f>
        <v/>
      </c>
      <c r="BX269" s="5">
        <f>IF(A269="","",SUM(BJ269:BW269))</f>
        <v/>
      </c>
      <c r="BY269" s="5">
        <f>IF(A269="","",IFERROR(IF(ISNUMBER(U269),U269,VALUE(SUBSTITUTE(SUBSTITUTE(SUBSTITUTE(UPPER(TRIM(U269)),"M",""),",","")," ",""))),0))</f>
        <v/>
      </c>
    </row>
    <row r="270" ht="15" customHeight="1" s="74">
      <c r="A270" s="66">
        <f>'Project Database'!A274</f>
        <v/>
      </c>
      <c r="B270" s="66">
        <f>'Project Database'!B274</f>
        <v/>
      </c>
      <c r="C270" s="66">
        <f>'Project Database'!G274</f>
        <v/>
      </c>
      <c r="D270" s="66">
        <f>'Project Database'!H274</f>
        <v/>
      </c>
      <c r="E270" s="66">
        <f>'Project Database'!I274</f>
        <v/>
      </c>
      <c r="F270" s="66">
        <f>'Project Database'!J274</f>
        <v/>
      </c>
      <c r="G270" s="66">
        <f>'Project Database'!K274</f>
        <v/>
      </c>
      <c r="H270" s="66">
        <f>'Project Database'!L274</f>
        <v/>
      </c>
      <c r="I270" s="66">
        <f>'Project Database'!M274</f>
        <v/>
      </c>
      <c r="J270" s="66">
        <f>'Project Database'!N274</f>
        <v/>
      </c>
      <c r="K270" s="66">
        <f>'Project Database'!O274</f>
        <v/>
      </c>
      <c r="L270" s="66">
        <f>'Project Database'!P274</f>
        <v/>
      </c>
      <c r="M270" s="66">
        <f>'Project Database'!Q274</f>
        <v/>
      </c>
      <c r="N270" s="66">
        <f>'Project Database'!R274</f>
        <v/>
      </c>
      <c r="O270" s="66">
        <f>'Project Database'!S274</f>
        <v/>
      </c>
      <c r="P270" s="66">
        <f>'Project Database'!T274</f>
        <v/>
      </c>
      <c r="Q270" s="66">
        <f>'Project Database'!U274</f>
        <v/>
      </c>
      <c r="R270" s="66">
        <f>'Project Database'!V274</f>
        <v/>
      </c>
      <c r="S270" s="66">
        <f>'Project Database'!W274</f>
        <v/>
      </c>
      <c r="T270" s="66">
        <f>'Project Database'!X274</f>
        <v/>
      </c>
      <c r="U270" s="67">
        <f>'Project Database'!Y274</f>
        <v/>
      </c>
      <c r="V270" s="66">
        <f>IF('Smart Search'!B13=1,IFERROR(1/'Smart Search'!H13,0),0)</f>
        <v/>
      </c>
      <c r="W270" s="66">
        <f>IF('Smart Search'!B13=1,IFERROR(1/'Smart Search'!H13,0),0)</f>
        <v/>
      </c>
      <c r="X270" s="66">
        <f>IF('Smart Search'!C13=1,IFERROR(1/'Smart Search'!H13,0),0)</f>
        <v/>
      </c>
      <c r="Y270" s="66">
        <f>IF('Smart Search'!C13=1,IFERROR(1/'Smart Search'!H13,0),0)</f>
        <v/>
      </c>
      <c r="Z270" s="66">
        <f>IF('Smart Search'!D13=1,IFERROR(1/'Smart Search'!H13,0),0)</f>
        <v/>
      </c>
      <c r="AA270" s="66">
        <f>IF('Smart Search'!D13=1,IFERROR(1/'Smart Search'!H13,0),0)</f>
        <v/>
      </c>
      <c r="AB270" s="66">
        <f>IF('Smart Search'!E13=1,IFERROR(1/'Smart Search'!H13,0),0)</f>
        <v/>
      </c>
      <c r="AC270" s="66">
        <f>IF('Smart Search'!E13=1,IFERROR(1/'Smart Search'!H13,0),0)</f>
        <v/>
      </c>
      <c r="AD270" s="66">
        <f>IF('Smart Search'!F13=1,IFERROR(1/'Smart Search'!H13,0),0)</f>
        <v/>
      </c>
      <c r="AE270" s="66">
        <f>IF('Smart Search'!F13=1,IFERROR(1/'Smart Search'!H13,0),0)</f>
        <v/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66">
        <f>AF270*V270</f>
        <v/>
      </c>
      <c r="AQ270" s="66">
        <f>AG270*W270</f>
        <v/>
      </c>
      <c r="AR270" s="66">
        <f>AH270*X270</f>
        <v/>
      </c>
      <c r="AS270" s="66">
        <f>AI270*Y270</f>
        <v/>
      </c>
      <c r="AT270" s="66">
        <f>AJ270*Z270</f>
        <v/>
      </c>
      <c r="AU270" s="66">
        <f>AK270*AA270</f>
        <v/>
      </c>
      <c r="AV270" s="66">
        <f>AL270*AB270</f>
        <v/>
      </c>
      <c r="AW270" s="66">
        <f>AM270*AC270</f>
        <v/>
      </c>
      <c r="AX270" s="66">
        <f>AN270*AD270</f>
        <v/>
      </c>
      <c r="AY270" s="66">
        <f>AO270*AE270</f>
        <v/>
      </c>
      <c r="AZ270" s="66">
        <f>'Project Database'!Z274</f>
        <v/>
      </c>
      <c r="BA270" s="66">
        <f>IF(OR(A270="",'Smart Search'!H13=0),"",MAX(0,BE270*BF270*MAX(0,1-BG270)))</f>
        <v/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66">
        <f>IF('Smart Search'!G13=1,IFERROR(1/'Smart Search'!H13,0),0)</f>
        <v/>
      </c>
      <c r="BD270" s="66">
        <f>BB270*BC270</f>
        <v/>
      </c>
      <c r="BE270" s="66">
        <f>AP270+AQ270+AR270+AS270+AT270+AU270+AV270+AW270+AX270+AY270+BD270</f>
        <v/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5">
        <f>IF(AND('Project Database'!A274&lt;&gt;"",OR('Smart Search'!$L$5="",'Smart Search'!$L$5="All",TRIM('Project Database'!D274)=TRIM('Smart Search'!$L$5)),OR(TRIM('Smart Search'!$L$6)="",TRIM('Smart Search'!$L$6)="All",ISNUMBER(SEARCH(SUBSTITUTE(SUBSTITUTE(SUBSTITUTE(TRIM('Smart Search'!$L$6),"~","~~"),"*","~*"),"?","~?"),'Project Database'!C274))),OR('Smart Search'!$L$7="",AND('Project Database'!E274&lt;&gt;"",'Project Database'!E274='Smart Search'!$L$7)),OR('Smart Search'!$L$8="",'Smart Search'!$L$8="All",TRIM('Project Database'!F274)=TRIM('Smart Search'!$L$8))),IF(BA270="","",BA270+ROW()*0.0000000001),"")</f>
        <v/>
      </c>
      <c r="BI270" s="5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>
        <f>IF('Project Database'!A274="","",N('Project Database'!AC274))</f>
        <v/>
      </c>
      <c r="BK270" s="5">
        <f>IF('Project Database'!A274="","",N('Project Database'!AD274))</f>
        <v/>
      </c>
      <c r="BL270" s="5">
        <f>IF('Project Database'!A274="","",N('Project Database'!AE274))</f>
        <v/>
      </c>
      <c r="BM270" s="5">
        <f>IF('Project Database'!A274="","",N('Project Database'!AF274))</f>
        <v/>
      </c>
      <c r="BN270" s="5">
        <f>IF('Project Database'!A274="","",N('Project Database'!AG274))</f>
        <v/>
      </c>
      <c r="BO270" s="5">
        <f>IF('Project Database'!A274="","",N('Project Database'!AH274))</f>
        <v/>
      </c>
      <c r="BP270" s="5">
        <f>IF('Project Database'!A274="","",N('Project Database'!AI274))</f>
        <v/>
      </c>
      <c r="BQ270" s="5">
        <f>IF('Project Database'!A274="","",N('Project Database'!AJ274))</f>
        <v/>
      </c>
      <c r="BR270" s="5">
        <f>IF('Project Database'!A274="","",N('Project Database'!AK274))</f>
        <v/>
      </c>
      <c r="BS270" s="5">
        <f>IF('Project Database'!A274="","",N('Project Database'!AL274))</f>
        <v/>
      </c>
      <c r="BT270" s="5">
        <f>IF('Project Database'!A274="","",N('Project Database'!AM274))</f>
        <v/>
      </c>
      <c r="BU270" s="5">
        <f>IF('Project Database'!A274="","",N('Project Database'!AN274))</f>
        <v/>
      </c>
      <c r="BV270" s="5">
        <f>IF('Project Database'!A274="","",N('Project Database'!AO274))</f>
        <v/>
      </c>
      <c r="BW270" s="5">
        <f>IF('Project Database'!A274="","",N('Project Database'!AP274))</f>
        <v/>
      </c>
      <c r="BX270" s="5">
        <f>IF(A270="","",SUM(BJ270:BW270))</f>
        <v/>
      </c>
      <c r="BY270" s="5">
        <f>IF(A270="","",IFERROR(IF(ISNUMBER(U270),U270,VALUE(SUBSTITUTE(SUBSTITUTE(SUBSTITUTE(UPPER(TRIM(U270)),"M",""),",","")," ",""))),0))</f>
        <v/>
      </c>
    </row>
    <row r="271" ht="15" customHeight="1" s="74">
      <c r="A271" s="66">
        <f>'Project Database'!A275</f>
        <v/>
      </c>
      <c r="B271" s="66">
        <f>'Project Database'!B275</f>
        <v/>
      </c>
      <c r="C271" s="66">
        <f>'Project Database'!G275</f>
        <v/>
      </c>
      <c r="D271" s="66">
        <f>'Project Database'!H275</f>
        <v/>
      </c>
      <c r="E271" s="66">
        <f>'Project Database'!I275</f>
        <v/>
      </c>
      <c r="F271" s="66">
        <f>'Project Database'!J275</f>
        <v/>
      </c>
      <c r="G271" s="66">
        <f>'Project Database'!K275</f>
        <v/>
      </c>
      <c r="H271" s="66">
        <f>'Project Database'!L275</f>
        <v/>
      </c>
      <c r="I271" s="66">
        <f>'Project Database'!M275</f>
        <v/>
      </c>
      <c r="J271" s="66">
        <f>'Project Database'!N275</f>
        <v/>
      </c>
      <c r="K271" s="66">
        <f>'Project Database'!O275</f>
        <v/>
      </c>
      <c r="L271" s="66">
        <f>'Project Database'!P275</f>
        <v/>
      </c>
      <c r="M271" s="66">
        <f>'Project Database'!Q275</f>
        <v/>
      </c>
      <c r="N271" s="66">
        <f>'Project Database'!R275</f>
        <v/>
      </c>
      <c r="O271" s="66">
        <f>'Project Database'!S275</f>
        <v/>
      </c>
      <c r="P271" s="66">
        <f>'Project Database'!T275</f>
        <v/>
      </c>
      <c r="Q271" s="66">
        <f>'Project Database'!U275</f>
        <v/>
      </c>
      <c r="R271" s="66">
        <f>'Project Database'!V275</f>
        <v/>
      </c>
      <c r="S271" s="66">
        <f>'Project Database'!W275</f>
        <v/>
      </c>
      <c r="T271" s="66">
        <f>'Project Database'!X275</f>
        <v/>
      </c>
      <c r="U271" s="67">
        <f>'Project Database'!Y275</f>
        <v/>
      </c>
      <c r="V271" s="66">
        <f>IF('Smart Search'!B13=1,IFERROR(1/'Smart Search'!H13,0),0)</f>
        <v/>
      </c>
      <c r="W271" s="66">
        <f>IF('Smart Search'!B13=1,IFERROR(1/'Smart Search'!H13,0),0)</f>
        <v/>
      </c>
      <c r="X271" s="66">
        <f>IF('Smart Search'!C13=1,IFERROR(1/'Smart Search'!H13,0),0)</f>
        <v/>
      </c>
      <c r="Y271" s="66">
        <f>IF('Smart Search'!C13=1,IFERROR(1/'Smart Search'!H13,0),0)</f>
        <v/>
      </c>
      <c r="Z271" s="66">
        <f>IF('Smart Search'!D13=1,IFERROR(1/'Smart Search'!H13,0),0)</f>
        <v/>
      </c>
      <c r="AA271" s="66">
        <f>IF('Smart Search'!D13=1,IFERROR(1/'Smart Search'!H13,0),0)</f>
        <v/>
      </c>
      <c r="AB271" s="66">
        <f>IF('Smart Search'!E13=1,IFERROR(1/'Smart Search'!H13,0),0)</f>
        <v/>
      </c>
      <c r="AC271" s="66">
        <f>IF('Smart Search'!E13=1,IFERROR(1/'Smart Search'!H13,0),0)</f>
        <v/>
      </c>
      <c r="AD271" s="66">
        <f>IF('Smart Search'!F13=1,IFERROR(1/'Smart Search'!H13,0),0)</f>
        <v/>
      </c>
      <c r="AE271" s="66">
        <f>IF('Smart Search'!F13=1,IFERROR(1/'Smart Search'!H13,0),0)</f>
        <v/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66">
        <f>AF271*V271</f>
        <v/>
      </c>
      <c r="AQ271" s="66">
        <f>AG271*W271</f>
        <v/>
      </c>
      <c r="AR271" s="66">
        <f>AH271*X271</f>
        <v/>
      </c>
      <c r="AS271" s="66">
        <f>AI271*Y271</f>
        <v/>
      </c>
      <c r="AT271" s="66">
        <f>AJ271*Z271</f>
        <v/>
      </c>
      <c r="AU271" s="66">
        <f>AK271*AA271</f>
        <v/>
      </c>
      <c r="AV271" s="66">
        <f>AL271*AB271</f>
        <v/>
      </c>
      <c r="AW271" s="66">
        <f>AM271*AC271</f>
        <v/>
      </c>
      <c r="AX271" s="66">
        <f>AN271*AD271</f>
        <v/>
      </c>
      <c r="AY271" s="66">
        <f>AO271*AE271</f>
        <v/>
      </c>
      <c r="AZ271" s="66">
        <f>'Project Database'!Z275</f>
        <v/>
      </c>
      <c r="BA271" s="66">
        <f>IF(OR(A271="",'Smart Search'!H13=0),"",MAX(0,BE271*BF271*MAX(0,1-BG271)))</f>
        <v/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66">
        <f>IF('Smart Search'!G13=1,IFERROR(1/'Smart Search'!H13,0),0)</f>
        <v/>
      </c>
      <c r="BD271" s="66">
        <f>BB271*BC271</f>
        <v/>
      </c>
      <c r="BE271" s="66">
        <f>AP271+AQ271+AR271+AS271+AT271+AU271+AV271+AW271+AX271+AY271+BD271</f>
        <v/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5">
        <f>IF(AND('Project Database'!A275&lt;&gt;"",OR('Smart Search'!$L$5="",'Smart Search'!$L$5="All",TRIM('Project Database'!D275)=TRIM('Smart Search'!$L$5)),OR(TRIM('Smart Search'!$L$6)="",TRIM('Smart Search'!$L$6)="All",ISNUMBER(SEARCH(SUBSTITUTE(SUBSTITUTE(SUBSTITUTE(TRIM('Smart Search'!$L$6),"~","~~"),"*","~*"),"?","~?"),'Project Database'!C275))),OR('Smart Search'!$L$7="",AND('Project Database'!E275&lt;&gt;"",'Project Database'!E275='Smart Search'!$L$7)),OR('Smart Search'!$L$8="",'Smart Search'!$L$8="All",TRIM('Project Database'!F275)=TRIM('Smart Search'!$L$8))),IF(BA271="","",BA271+ROW()*0.0000000001),"")</f>
        <v/>
      </c>
      <c r="BI271" s="5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>
        <f>IF('Project Database'!A275="","",N('Project Database'!AC275))</f>
        <v/>
      </c>
      <c r="BK271" s="5">
        <f>IF('Project Database'!A275="","",N('Project Database'!AD275))</f>
        <v/>
      </c>
      <c r="BL271" s="5">
        <f>IF('Project Database'!A275="","",N('Project Database'!AE275))</f>
        <v/>
      </c>
      <c r="BM271" s="5">
        <f>IF('Project Database'!A275="","",N('Project Database'!AF275))</f>
        <v/>
      </c>
      <c r="BN271" s="5">
        <f>IF('Project Database'!A275="","",N('Project Database'!AG275))</f>
        <v/>
      </c>
      <c r="BO271" s="5">
        <f>IF('Project Database'!A275="","",N('Project Database'!AH275))</f>
        <v/>
      </c>
      <c r="BP271" s="5">
        <f>IF('Project Database'!A275="","",N('Project Database'!AI275))</f>
        <v/>
      </c>
      <c r="BQ271" s="5">
        <f>IF('Project Database'!A275="","",N('Project Database'!AJ275))</f>
        <v/>
      </c>
      <c r="BR271" s="5">
        <f>IF('Project Database'!A275="","",N('Project Database'!AK275))</f>
        <v/>
      </c>
      <c r="BS271" s="5">
        <f>IF('Project Database'!A275="","",N('Project Database'!AL275))</f>
        <v/>
      </c>
      <c r="BT271" s="5">
        <f>IF('Project Database'!A275="","",N('Project Database'!AM275))</f>
        <v/>
      </c>
      <c r="BU271" s="5">
        <f>IF('Project Database'!A275="","",N('Project Database'!AN275))</f>
        <v/>
      </c>
      <c r="BV271" s="5">
        <f>IF('Project Database'!A275="","",N('Project Database'!AO275))</f>
        <v/>
      </c>
      <c r="BW271" s="5">
        <f>IF('Project Database'!A275="","",N('Project Database'!AP275))</f>
        <v/>
      </c>
      <c r="BX271" s="5">
        <f>IF(A271="","",SUM(BJ271:BW271))</f>
        <v/>
      </c>
      <c r="BY271" s="5">
        <f>IF(A271="","",IFERROR(IF(ISNUMBER(U271),U271,VALUE(SUBSTITUTE(SUBSTITUTE(SUBSTITUTE(UPPER(TRIM(U271)),"M",""),",","")," ",""))),0))</f>
        <v/>
      </c>
    </row>
    <row r="272" ht="15" customHeight="1" s="74">
      <c r="A272" s="66">
        <f>'Project Database'!A276</f>
        <v/>
      </c>
      <c r="B272" s="66">
        <f>'Project Database'!B276</f>
        <v/>
      </c>
      <c r="C272" s="66">
        <f>'Project Database'!G276</f>
        <v/>
      </c>
      <c r="D272" s="66">
        <f>'Project Database'!H276</f>
        <v/>
      </c>
      <c r="E272" s="66">
        <f>'Project Database'!I276</f>
        <v/>
      </c>
      <c r="F272" s="66">
        <f>'Project Database'!J276</f>
        <v/>
      </c>
      <c r="G272" s="66">
        <f>'Project Database'!K276</f>
        <v/>
      </c>
      <c r="H272" s="66">
        <f>'Project Database'!L276</f>
        <v/>
      </c>
      <c r="I272" s="66">
        <f>'Project Database'!M276</f>
        <v/>
      </c>
      <c r="J272" s="66">
        <f>'Project Database'!N276</f>
        <v/>
      </c>
      <c r="K272" s="66">
        <f>'Project Database'!O276</f>
        <v/>
      </c>
      <c r="L272" s="66">
        <f>'Project Database'!P276</f>
        <v/>
      </c>
      <c r="M272" s="66">
        <f>'Project Database'!Q276</f>
        <v/>
      </c>
      <c r="N272" s="66">
        <f>'Project Database'!R276</f>
        <v/>
      </c>
      <c r="O272" s="66">
        <f>'Project Database'!S276</f>
        <v/>
      </c>
      <c r="P272" s="66">
        <f>'Project Database'!T276</f>
        <v/>
      </c>
      <c r="Q272" s="66">
        <f>'Project Database'!U276</f>
        <v/>
      </c>
      <c r="R272" s="66">
        <f>'Project Database'!V276</f>
        <v/>
      </c>
      <c r="S272" s="66">
        <f>'Project Database'!W276</f>
        <v/>
      </c>
      <c r="T272" s="66">
        <f>'Project Database'!X276</f>
        <v/>
      </c>
      <c r="U272" s="67">
        <f>'Project Database'!Y276</f>
        <v/>
      </c>
      <c r="V272" s="66">
        <f>IF('Smart Search'!B13=1,IFERROR(1/'Smart Search'!H13,0),0)</f>
        <v/>
      </c>
      <c r="W272" s="66">
        <f>IF('Smart Search'!B13=1,IFERROR(1/'Smart Search'!H13,0),0)</f>
        <v/>
      </c>
      <c r="X272" s="66">
        <f>IF('Smart Search'!C13=1,IFERROR(1/'Smart Search'!H13,0),0)</f>
        <v/>
      </c>
      <c r="Y272" s="66">
        <f>IF('Smart Search'!C13=1,IFERROR(1/'Smart Search'!H13,0),0)</f>
        <v/>
      </c>
      <c r="Z272" s="66">
        <f>IF('Smart Search'!D13=1,IFERROR(1/'Smart Search'!H13,0),0)</f>
        <v/>
      </c>
      <c r="AA272" s="66">
        <f>IF('Smart Search'!D13=1,IFERROR(1/'Smart Search'!H13,0),0)</f>
        <v/>
      </c>
      <c r="AB272" s="66">
        <f>IF('Smart Search'!E13=1,IFERROR(1/'Smart Search'!H13,0),0)</f>
        <v/>
      </c>
      <c r="AC272" s="66">
        <f>IF('Smart Search'!E13=1,IFERROR(1/'Smart Search'!H13,0),0)</f>
        <v/>
      </c>
      <c r="AD272" s="66">
        <f>IF('Smart Search'!F13=1,IFERROR(1/'Smart Search'!H13,0),0)</f>
        <v/>
      </c>
      <c r="AE272" s="66">
        <f>IF('Smart Search'!F13=1,IFERROR(1/'Smart Search'!H13,0),0)</f>
        <v/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66">
        <f>AF272*V272</f>
        <v/>
      </c>
      <c r="AQ272" s="66">
        <f>AG272*W272</f>
        <v/>
      </c>
      <c r="AR272" s="66">
        <f>AH272*X272</f>
        <v/>
      </c>
      <c r="AS272" s="66">
        <f>AI272*Y272</f>
        <v/>
      </c>
      <c r="AT272" s="66">
        <f>AJ272*Z272</f>
        <v/>
      </c>
      <c r="AU272" s="66">
        <f>AK272*AA272</f>
        <v/>
      </c>
      <c r="AV272" s="66">
        <f>AL272*AB272</f>
        <v/>
      </c>
      <c r="AW272" s="66">
        <f>AM272*AC272</f>
        <v/>
      </c>
      <c r="AX272" s="66">
        <f>AN272*AD272</f>
        <v/>
      </c>
      <c r="AY272" s="66">
        <f>AO272*AE272</f>
        <v/>
      </c>
      <c r="AZ272" s="66">
        <f>'Project Database'!Z276</f>
        <v/>
      </c>
      <c r="BA272" s="66">
        <f>IF(OR(A272="",'Smart Search'!H13=0),"",MAX(0,BE272*BF272*MAX(0,1-BG272)))</f>
        <v/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66">
        <f>IF('Smart Search'!G13=1,IFERROR(1/'Smart Search'!H13,0),0)</f>
        <v/>
      </c>
      <c r="BD272" s="66">
        <f>BB272*BC272</f>
        <v/>
      </c>
      <c r="BE272" s="66">
        <f>AP272+AQ272+AR272+AS272+AT272+AU272+AV272+AW272+AX272+AY272+BD272</f>
        <v/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5">
        <f>IF(AND('Project Database'!A276&lt;&gt;"",OR('Smart Search'!$L$5="",'Smart Search'!$L$5="All",TRIM('Project Database'!D276)=TRIM('Smart Search'!$L$5)),OR(TRIM('Smart Search'!$L$6)="",TRIM('Smart Search'!$L$6)="All",ISNUMBER(SEARCH(SUBSTITUTE(SUBSTITUTE(SUBSTITUTE(TRIM('Smart Search'!$L$6),"~","~~"),"*","~*"),"?","~?"),'Project Database'!C276))),OR('Smart Search'!$L$7="",AND('Project Database'!E276&lt;&gt;"",'Project Database'!E276='Smart Search'!$L$7)),OR('Smart Search'!$L$8="",'Smart Search'!$L$8="All",TRIM('Project Database'!F276)=TRIM('Smart Search'!$L$8))),IF(BA272="","",BA272+ROW()*0.0000000001),"")</f>
        <v/>
      </c>
      <c r="BI272" s="5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>
        <f>IF('Project Database'!A276="","",N('Project Database'!AC276))</f>
        <v/>
      </c>
      <c r="BK272" s="5">
        <f>IF('Project Database'!A276="","",N('Project Database'!AD276))</f>
        <v/>
      </c>
      <c r="BL272" s="5">
        <f>IF('Project Database'!A276="","",N('Project Database'!AE276))</f>
        <v/>
      </c>
      <c r="BM272" s="5">
        <f>IF('Project Database'!A276="","",N('Project Database'!AF276))</f>
        <v/>
      </c>
      <c r="BN272" s="5">
        <f>IF('Project Database'!A276="","",N('Project Database'!AG276))</f>
        <v/>
      </c>
      <c r="BO272" s="5">
        <f>IF('Project Database'!A276="","",N('Project Database'!AH276))</f>
        <v/>
      </c>
      <c r="BP272" s="5">
        <f>IF('Project Database'!A276="","",N('Project Database'!AI276))</f>
        <v/>
      </c>
      <c r="BQ272" s="5">
        <f>IF('Project Database'!A276="","",N('Project Database'!AJ276))</f>
        <v/>
      </c>
      <c r="BR272" s="5">
        <f>IF('Project Database'!A276="","",N('Project Database'!AK276))</f>
        <v/>
      </c>
      <c r="BS272" s="5">
        <f>IF('Project Database'!A276="","",N('Project Database'!AL276))</f>
        <v/>
      </c>
      <c r="BT272" s="5">
        <f>IF('Project Database'!A276="","",N('Project Database'!AM276))</f>
        <v/>
      </c>
      <c r="BU272" s="5">
        <f>IF('Project Database'!A276="","",N('Project Database'!AN276))</f>
        <v/>
      </c>
      <c r="BV272" s="5">
        <f>IF('Project Database'!A276="","",N('Project Database'!AO276))</f>
        <v/>
      </c>
      <c r="BW272" s="5">
        <f>IF('Project Database'!A276="","",N('Project Database'!AP276))</f>
        <v/>
      </c>
      <c r="BX272" s="5">
        <f>IF(A272="","",SUM(BJ272:BW272))</f>
        <v/>
      </c>
      <c r="BY272" s="5">
        <f>IF(A272="","",IFERROR(IF(ISNUMBER(U272),U272,VALUE(SUBSTITUTE(SUBSTITUTE(SUBSTITUTE(UPPER(TRIM(U272)),"M",""),",","")," ",""))),0))</f>
        <v/>
      </c>
    </row>
    <row r="273" ht="15" customHeight="1" s="74">
      <c r="A273" s="66">
        <f>'Project Database'!A277</f>
        <v/>
      </c>
      <c r="B273" s="66">
        <f>'Project Database'!B277</f>
        <v/>
      </c>
      <c r="C273" s="66">
        <f>'Project Database'!G277</f>
        <v/>
      </c>
      <c r="D273" s="66">
        <f>'Project Database'!H277</f>
        <v/>
      </c>
      <c r="E273" s="66">
        <f>'Project Database'!I277</f>
        <v/>
      </c>
      <c r="F273" s="66">
        <f>'Project Database'!J277</f>
        <v/>
      </c>
      <c r="G273" s="66">
        <f>'Project Database'!K277</f>
        <v/>
      </c>
      <c r="H273" s="66">
        <f>'Project Database'!L277</f>
        <v/>
      </c>
      <c r="I273" s="66">
        <f>'Project Database'!M277</f>
        <v/>
      </c>
      <c r="J273" s="66">
        <f>'Project Database'!N277</f>
        <v/>
      </c>
      <c r="K273" s="66">
        <f>'Project Database'!O277</f>
        <v/>
      </c>
      <c r="L273" s="66">
        <f>'Project Database'!P277</f>
        <v/>
      </c>
      <c r="M273" s="66">
        <f>'Project Database'!Q277</f>
        <v/>
      </c>
      <c r="N273" s="66">
        <f>'Project Database'!R277</f>
        <v/>
      </c>
      <c r="O273" s="66">
        <f>'Project Database'!S277</f>
        <v/>
      </c>
      <c r="P273" s="66">
        <f>'Project Database'!T277</f>
        <v/>
      </c>
      <c r="Q273" s="66">
        <f>'Project Database'!U277</f>
        <v/>
      </c>
      <c r="R273" s="66">
        <f>'Project Database'!V277</f>
        <v/>
      </c>
      <c r="S273" s="66">
        <f>'Project Database'!W277</f>
        <v/>
      </c>
      <c r="T273" s="66">
        <f>'Project Database'!X277</f>
        <v/>
      </c>
      <c r="U273" s="67">
        <f>'Project Database'!Y277</f>
        <v/>
      </c>
      <c r="V273" s="66">
        <f>IF('Smart Search'!B13=1,IFERROR(1/'Smart Search'!H13,0),0)</f>
        <v/>
      </c>
      <c r="W273" s="66">
        <f>IF('Smart Search'!B13=1,IFERROR(1/'Smart Search'!H13,0),0)</f>
        <v/>
      </c>
      <c r="X273" s="66">
        <f>IF('Smart Search'!C13=1,IFERROR(1/'Smart Search'!H13,0),0)</f>
        <v/>
      </c>
      <c r="Y273" s="66">
        <f>IF('Smart Search'!C13=1,IFERROR(1/'Smart Search'!H13,0),0)</f>
        <v/>
      </c>
      <c r="Z273" s="66">
        <f>IF('Smart Search'!D13=1,IFERROR(1/'Smart Search'!H13,0),0)</f>
        <v/>
      </c>
      <c r="AA273" s="66">
        <f>IF('Smart Search'!D13=1,IFERROR(1/'Smart Search'!H13,0),0)</f>
        <v/>
      </c>
      <c r="AB273" s="66">
        <f>IF('Smart Search'!E13=1,IFERROR(1/'Smart Search'!H13,0),0)</f>
        <v/>
      </c>
      <c r="AC273" s="66">
        <f>IF('Smart Search'!E13=1,IFERROR(1/'Smart Search'!H13,0),0)</f>
        <v/>
      </c>
      <c r="AD273" s="66">
        <f>IF('Smart Search'!F13=1,IFERROR(1/'Smart Search'!H13,0),0)</f>
        <v/>
      </c>
      <c r="AE273" s="66">
        <f>IF('Smart Search'!F13=1,IFERROR(1/'Smart Search'!H13,0),0)</f>
        <v/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66">
        <f>AF273*V273</f>
        <v/>
      </c>
      <c r="AQ273" s="66">
        <f>AG273*W273</f>
        <v/>
      </c>
      <c r="AR273" s="66">
        <f>AH273*X273</f>
        <v/>
      </c>
      <c r="AS273" s="66">
        <f>AI273*Y273</f>
        <v/>
      </c>
      <c r="AT273" s="66">
        <f>AJ273*Z273</f>
        <v/>
      </c>
      <c r="AU273" s="66">
        <f>AK273*AA273</f>
        <v/>
      </c>
      <c r="AV273" s="66">
        <f>AL273*AB273</f>
        <v/>
      </c>
      <c r="AW273" s="66">
        <f>AM273*AC273</f>
        <v/>
      </c>
      <c r="AX273" s="66">
        <f>AN273*AD273</f>
        <v/>
      </c>
      <c r="AY273" s="66">
        <f>AO273*AE273</f>
        <v/>
      </c>
      <c r="AZ273" s="66">
        <f>'Project Database'!Z277</f>
        <v/>
      </c>
      <c r="BA273" s="66">
        <f>IF(OR(A273="",'Smart Search'!H13=0),"",MAX(0,BE273*BF273*MAX(0,1-BG273)))</f>
        <v/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66">
        <f>IF('Smart Search'!G13=1,IFERROR(1/'Smart Search'!H13,0),0)</f>
        <v/>
      </c>
      <c r="BD273" s="66">
        <f>BB273*BC273</f>
        <v/>
      </c>
      <c r="BE273" s="66">
        <f>AP273+AQ273+AR273+AS273+AT273+AU273+AV273+AW273+AX273+AY273+BD273</f>
        <v/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5">
        <f>IF(AND('Project Database'!A277&lt;&gt;"",OR('Smart Search'!$L$5="",'Smart Search'!$L$5="All",TRIM('Project Database'!D277)=TRIM('Smart Search'!$L$5)),OR(TRIM('Smart Search'!$L$6)="",TRIM('Smart Search'!$L$6)="All",ISNUMBER(SEARCH(SUBSTITUTE(SUBSTITUTE(SUBSTITUTE(TRIM('Smart Search'!$L$6),"~","~~"),"*","~*"),"?","~?"),'Project Database'!C277))),OR('Smart Search'!$L$7="",AND('Project Database'!E277&lt;&gt;"",'Project Database'!E277='Smart Search'!$L$7)),OR('Smart Search'!$L$8="",'Smart Search'!$L$8="All",TRIM('Project Database'!F277)=TRIM('Smart Search'!$L$8))),IF(BA273="","",BA273+ROW()*0.0000000001),"")</f>
        <v/>
      </c>
      <c r="BI273" s="5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>
        <f>IF('Project Database'!A277="","",N('Project Database'!AC277))</f>
        <v/>
      </c>
      <c r="BK273" s="5">
        <f>IF('Project Database'!A277="","",N('Project Database'!AD277))</f>
        <v/>
      </c>
      <c r="BL273" s="5">
        <f>IF('Project Database'!A277="","",N('Project Database'!AE277))</f>
        <v/>
      </c>
      <c r="BM273" s="5">
        <f>IF('Project Database'!A277="","",N('Project Database'!AF277))</f>
        <v/>
      </c>
      <c r="BN273" s="5">
        <f>IF('Project Database'!A277="","",N('Project Database'!AG277))</f>
        <v/>
      </c>
      <c r="BO273" s="5">
        <f>IF('Project Database'!A277="","",N('Project Database'!AH277))</f>
        <v/>
      </c>
      <c r="BP273" s="5">
        <f>IF('Project Database'!A277="","",N('Project Database'!AI277))</f>
        <v/>
      </c>
      <c r="BQ273" s="5">
        <f>IF('Project Database'!A277="","",N('Project Database'!AJ277))</f>
        <v/>
      </c>
      <c r="BR273" s="5">
        <f>IF('Project Database'!A277="","",N('Project Database'!AK277))</f>
        <v/>
      </c>
      <c r="BS273" s="5">
        <f>IF('Project Database'!A277="","",N('Project Database'!AL277))</f>
        <v/>
      </c>
      <c r="BT273" s="5">
        <f>IF('Project Database'!A277="","",N('Project Database'!AM277))</f>
        <v/>
      </c>
      <c r="BU273" s="5">
        <f>IF('Project Database'!A277="","",N('Project Database'!AN277))</f>
        <v/>
      </c>
      <c r="BV273" s="5">
        <f>IF('Project Database'!A277="","",N('Project Database'!AO277))</f>
        <v/>
      </c>
      <c r="BW273" s="5">
        <f>IF('Project Database'!A277="","",N('Project Database'!AP277))</f>
        <v/>
      </c>
      <c r="BX273" s="5">
        <f>IF(A273="","",SUM(BJ273:BW273))</f>
        <v/>
      </c>
      <c r="BY273" s="5">
        <f>IF(A273="","",IFERROR(IF(ISNUMBER(U273),U273,VALUE(SUBSTITUTE(SUBSTITUTE(SUBSTITUTE(UPPER(TRIM(U273)),"M",""),",","")," ",""))),0))</f>
        <v/>
      </c>
    </row>
    <row r="274" ht="15" customHeight="1" s="74">
      <c r="A274" s="66">
        <f>'Project Database'!A278</f>
        <v/>
      </c>
      <c r="B274" s="66">
        <f>'Project Database'!B278</f>
        <v/>
      </c>
      <c r="C274" s="66">
        <f>'Project Database'!G278</f>
        <v/>
      </c>
      <c r="D274" s="66">
        <f>'Project Database'!H278</f>
        <v/>
      </c>
      <c r="E274" s="66">
        <f>'Project Database'!I278</f>
        <v/>
      </c>
      <c r="F274" s="66">
        <f>'Project Database'!J278</f>
        <v/>
      </c>
      <c r="G274" s="66">
        <f>'Project Database'!K278</f>
        <v/>
      </c>
      <c r="H274" s="66">
        <f>'Project Database'!L278</f>
        <v/>
      </c>
      <c r="I274" s="66">
        <f>'Project Database'!M278</f>
        <v/>
      </c>
      <c r="J274" s="66">
        <f>'Project Database'!N278</f>
        <v/>
      </c>
      <c r="K274" s="66">
        <f>'Project Database'!O278</f>
        <v/>
      </c>
      <c r="L274" s="66">
        <f>'Project Database'!P278</f>
        <v/>
      </c>
      <c r="M274" s="66">
        <f>'Project Database'!Q278</f>
        <v/>
      </c>
      <c r="N274" s="66">
        <f>'Project Database'!R278</f>
        <v/>
      </c>
      <c r="O274" s="66">
        <f>'Project Database'!S278</f>
        <v/>
      </c>
      <c r="P274" s="66">
        <f>'Project Database'!T278</f>
        <v/>
      </c>
      <c r="Q274" s="66">
        <f>'Project Database'!U278</f>
        <v/>
      </c>
      <c r="R274" s="66">
        <f>'Project Database'!V278</f>
        <v/>
      </c>
      <c r="S274" s="66">
        <f>'Project Database'!W278</f>
        <v/>
      </c>
      <c r="T274" s="66">
        <f>'Project Database'!X278</f>
        <v/>
      </c>
      <c r="U274" s="67">
        <f>'Project Database'!Y278</f>
        <v/>
      </c>
      <c r="V274" s="66">
        <f>IF('Smart Search'!B13=1,IFERROR(1/'Smart Search'!H13,0),0)</f>
        <v/>
      </c>
      <c r="W274" s="66">
        <f>IF('Smart Search'!B13=1,IFERROR(1/'Smart Search'!H13,0),0)</f>
        <v/>
      </c>
      <c r="X274" s="66">
        <f>IF('Smart Search'!C13=1,IFERROR(1/'Smart Search'!H13,0),0)</f>
        <v/>
      </c>
      <c r="Y274" s="66">
        <f>IF('Smart Search'!C13=1,IFERROR(1/'Smart Search'!H13,0),0)</f>
        <v/>
      </c>
      <c r="Z274" s="66">
        <f>IF('Smart Search'!D13=1,IFERROR(1/'Smart Search'!H13,0),0)</f>
        <v/>
      </c>
      <c r="AA274" s="66">
        <f>IF('Smart Search'!D13=1,IFERROR(1/'Smart Search'!H13,0),0)</f>
        <v/>
      </c>
      <c r="AB274" s="66">
        <f>IF('Smart Search'!E13=1,IFERROR(1/'Smart Search'!H13,0),0)</f>
        <v/>
      </c>
      <c r="AC274" s="66">
        <f>IF('Smart Search'!E13=1,IFERROR(1/'Smart Search'!H13,0),0)</f>
        <v/>
      </c>
      <c r="AD274" s="66">
        <f>IF('Smart Search'!F13=1,IFERROR(1/'Smart Search'!H13,0),0)</f>
        <v/>
      </c>
      <c r="AE274" s="66">
        <f>IF('Smart Search'!F13=1,IFERROR(1/'Smart Search'!H13,0),0)</f>
        <v/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66">
        <f>AF274*V274</f>
        <v/>
      </c>
      <c r="AQ274" s="66">
        <f>AG274*W274</f>
        <v/>
      </c>
      <c r="AR274" s="66">
        <f>AH274*X274</f>
        <v/>
      </c>
      <c r="AS274" s="66">
        <f>AI274*Y274</f>
        <v/>
      </c>
      <c r="AT274" s="66">
        <f>AJ274*Z274</f>
        <v/>
      </c>
      <c r="AU274" s="66">
        <f>AK274*AA274</f>
        <v/>
      </c>
      <c r="AV274" s="66">
        <f>AL274*AB274</f>
        <v/>
      </c>
      <c r="AW274" s="66">
        <f>AM274*AC274</f>
        <v/>
      </c>
      <c r="AX274" s="66">
        <f>AN274*AD274</f>
        <v/>
      </c>
      <c r="AY274" s="66">
        <f>AO274*AE274</f>
        <v/>
      </c>
      <c r="AZ274" s="66">
        <f>'Project Database'!Z278</f>
        <v/>
      </c>
      <c r="BA274" s="66">
        <f>IF(OR(A274="",'Smart Search'!H13=0),"",MAX(0,BE274*BF274*MAX(0,1-BG274)))</f>
        <v/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66">
        <f>IF('Smart Search'!G13=1,IFERROR(1/'Smart Search'!H13,0),0)</f>
        <v/>
      </c>
      <c r="BD274" s="66">
        <f>BB274*BC274</f>
        <v/>
      </c>
      <c r="BE274" s="66">
        <f>AP274+AQ274+AR274+AS274+AT274+AU274+AV274+AW274+AX274+AY274+BD274</f>
        <v/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5">
        <f>IF(AND('Project Database'!A278&lt;&gt;"",OR('Smart Search'!$L$5="",'Smart Search'!$L$5="All",TRIM('Project Database'!D278)=TRIM('Smart Search'!$L$5)),OR(TRIM('Smart Search'!$L$6)="",TRIM('Smart Search'!$L$6)="All",ISNUMBER(SEARCH(SUBSTITUTE(SUBSTITUTE(SUBSTITUTE(TRIM('Smart Search'!$L$6),"~","~~"),"*","~*"),"?","~?"),'Project Database'!C278))),OR('Smart Search'!$L$7="",AND('Project Database'!E278&lt;&gt;"",'Project Database'!E278='Smart Search'!$L$7)),OR('Smart Search'!$L$8="",'Smart Search'!$L$8="All",TRIM('Project Database'!F278)=TRIM('Smart Search'!$L$8))),IF(BA274="","",BA274+ROW()*0.0000000001),"")</f>
        <v/>
      </c>
      <c r="BI274" s="5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>
        <f>IF('Project Database'!A278="","",N('Project Database'!AC278))</f>
        <v/>
      </c>
      <c r="BK274" s="5">
        <f>IF('Project Database'!A278="","",N('Project Database'!AD278))</f>
        <v/>
      </c>
      <c r="BL274" s="5">
        <f>IF('Project Database'!A278="","",N('Project Database'!AE278))</f>
        <v/>
      </c>
      <c r="BM274" s="5">
        <f>IF('Project Database'!A278="","",N('Project Database'!AF278))</f>
        <v/>
      </c>
      <c r="BN274" s="5">
        <f>IF('Project Database'!A278="","",N('Project Database'!AG278))</f>
        <v/>
      </c>
      <c r="BO274" s="5">
        <f>IF('Project Database'!A278="","",N('Project Database'!AH278))</f>
        <v/>
      </c>
      <c r="BP274" s="5">
        <f>IF('Project Database'!A278="","",N('Project Database'!AI278))</f>
        <v/>
      </c>
      <c r="BQ274" s="5">
        <f>IF('Project Database'!A278="","",N('Project Database'!AJ278))</f>
        <v/>
      </c>
      <c r="BR274" s="5">
        <f>IF('Project Database'!A278="","",N('Project Database'!AK278))</f>
        <v/>
      </c>
      <c r="BS274" s="5">
        <f>IF('Project Database'!A278="","",N('Project Database'!AL278))</f>
        <v/>
      </c>
      <c r="BT274" s="5">
        <f>IF('Project Database'!A278="","",N('Project Database'!AM278))</f>
        <v/>
      </c>
      <c r="BU274" s="5">
        <f>IF('Project Database'!A278="","",N('Project Database'!AN278))</f>
        <v/>
      </c>
      <c r="BV274" s="5">
        <f>IF('Project Database'!A278="","",N('Project Database'!AO278))</f>
        <v/>
      </c>
      <c r="BW274" s="5">
        <f>IF('Project Database'!A278="","",N('Project Database'!AP278))</f>
        <v/>
      </c>
      <c r="BX274" s="5">
        <f>IF(A274="","",SUM(BJ274:BW274))</f>
        <v/>
      </c>
      <c r="BY274" s="5">
        <f>IF(A274="","",IFERROR(IF(ISNUMBER(U274),U274,VALUE(SUBSTITUTE(SUBSTITUTE(SUBSTITUTE(UPPER(TRIM(U274)),"M",""),",","")," ",""))),0))</f>
        <v/>
      </c>
    </row>
    <row r="275" ht="15" customHeight="1" s="74">
      <c r="A275" s="66">
        <f>'Project Database'!A279</f>
        <v/>
      </c>
      <c r="B275" s="66">
        <f>'Project Database'!B279</f>
        <v/>
      </c>
      <c r="C275" s="66">
        <f>'Project Database'!G279</f>
        <v/>
      </c>
      <c r="D275" s="66">
        <f>'Project Database'!H279</f>
        <v/>
      </c>
      <c r="E275" s="66">
        <f>'Project Database'!I279</f>
        <v/>
      </c>
      <c r="F275" s="66">
        <f>'Project Database'!J279</f>
        <v/>
      </c>
      <c r="G275" s="66">
        <f>'Project Database'!K279</f>
        <v/>
      </c>
      <c r="H275" s="66">
        <f>'Project Database'!L279</f>
        <v/>
      </c>
      <c r="I275" s="66">
        <f>'Project Database'!M279</f>
        <v/>
      </c>
      <c r="J275" s="66">
        <f>'Project Database'!N279</f>
        <v/>
      </c>
      <c r="K275" s="66">
        <f>'Project Database'!O279</f>
        <v/>
      </c>
      <c r="L275" s="66">
        <f>'Project Database'!P279</f>
        <v/>
      </c>
      <c r="M275" s="66">
        <f>'Project Database'!Q279</f>
        <v/>
      </c>
      <c r="N275" s="66">
        <f>'Project Database'!R279</f>
        <v/>
      </c>
      <c r="O275" s="66">
        <f>'Project Database'!S279</f>
        <v/>
      </c>
      <c r="P275" s="66">
        <f>'Project Database'!T279</f>
        <v/>
      </c>
      <c r="Q275" s="66">
        <f>'Project Database'!U279</f>
        <v/>
      </c>
      <c r="R275" s="66">
        <f>'Project Database'!V279</f>
        <v/>
      </c>
      <c r="S275" s="66">
        <f>'Project Database'!W279</f>
        <v/>
      </c>
      <c r="T275" s="66">
        <f>'Project Database'!X279</f>
        <v/>
      </c>
      <c r="U275" s="67">
        <f>'Project Database'!Y279</f>
        <v/>
      </c>
      <c r="V275" s="66">
        <f>IF('Smart Search'!B13=1,IFERROR(1/'Smart Search'!H13,0),0)</f>
        <v/>
      </c>
      <c r="W275" s="66">
        <f>IF('Smart Search'!B13=1,IFERROR(1/'Smart Search'!H13,0),0)</f>
        <v/>
      </c>
      <c r="X275" s="66">
        <f>IF('Smart Search'!C13=1,IFERROR(1/'Smart Search'!H13,0),0)</f>
        <v/>
      </c>
      <c r="Y275" s="66">
        <f>IF('Smart Search'!C13=1,IFERROR(1/'Smart Search'!H13,0),0)</f>
        <v/>
      </c>
      <c r="Z275" s="66">
        <f>IF('Smart Search'!D13=1,IFERROR(1/'Smart Search'!H13,0),0)</f>
        <v/>
      </c>
      <c r="AA275" s="66">
        <f>IF('Smart Search'!D13=1,IFERROR(1/'Smart Search'!H13,0),0)</f>
        <v/>
      </c>
      <c r="AB275" s="66">
        <f>IF('Smart Search'!E13=1,IFERROR(1/'Smart Search'!H13,0),0)</f>
        <v/>
      </c>
      <c r="AC275" s="66">
        <f>IF('Smart Search'!E13=1,IFERROR(1/'Smart Search'!H13,0),0)</f>
        <v/>
      </c>
      <c r="AD275" s="66">
        <f>IF('Smart Search'!F13=1,IFERROR(1/'Smart Search'!H13,0),0)</f>
        <v/>
      </c>
      <c r="AE275" s="66">
        <f>IF('Smart Search'!F13=1,IFERROR(1/'Smart Search'!H13,0),0)</f>
        <v/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66">
        <f>AF275*V275</f>
        <v/>
      </c>
      <c r="AQ275" s="66">
        <f>AG275*W275</f>
        <v/>
      </c>
      <c r="AR275" s="66">
        <f>AH275*X275</f>
        <v/>
      </c>
      <c r="AS275" s="66">
        <f>AI275*Y275</f>
        <v/>
      </c>
      <c r="AT275" s="66">
        <f>AJ275*Z275</f>
        <v/>
      </c>
      <c r="AU275" s="66">
        <f>AK275*AA275</f>
        <v/>
      </c>
      <c r="AV275" s="66">
        <f>AL275*AB275</f>
        <v/>
      </c>
      <c r="AW275" s="66">
        <f>AM275*AC275</f>
        <v/>
      </c>
      <c r="AX275" s="66">
        <f>AN275*AD275</f>
        <v/>
      </c>
      <c r="AY275" s="66">
        <f>AO275*AE275</f>
        <v/>
      </c>
      <c r="AZ275" s="66">
        <f>'Project Database'!Z279</f>
        <v/>
      </c>
      <c r="BA275" s="66">
        <f>IF(OR(A275="",'Smart Search'!H13=0),"",MAX(0,BE275*BF275*MAX(0,1-BG275)))</f>
        <v/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66">
        <f>IF('Smart Search'!G13=1,IFERROR(1/'Smart Search'!H13,0),0)</f>
        <v/>
      </c>
      <c r="BD275" s="66">
        <f>BB275*BC275</f>
        <v/>
      </c>
      <c r="BE275" s="66">
        <f>AP275+AQ275+AR275+AS275+AT275+AU275+AV275+AW275+AX275+AY275+BD275</f>
        <v/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5">
        <f>IF(AND('Project Database'!A279&lt;&gt;"",OR('Smart Search'!$L$5="",'Smart Search'!$L$5="All",TRIM('Project Database'!D279)=TRIM('Smart Search'!$L$5)),OR(TRIM('Smart Search'!$L$6)="",TRIM('Smart Search'!$L$6)="All",ISNUMBER(SEARCH(SUBSTITUTE(SUBSTITUTE(SUBSTITUTE(TRIM('Smart Search'!$L$6),"~","~~"),"*","~*"),"?","~?"),'Project Database'!C279))),OR('Smart Search'!$L$7="",AND('Project Database'!E279&lt;&gt;"",'Project Database'!E279='Smart Search'!$L$7)),OR('Smart Search'!$L$8="",'Smart Search'!$L$8="All",TRIM('Project Database'!F279)=TRIM('Smart Search'!$L$8))),IF(BA275="","",BA275+ROW()*0.0000000001),"")</f>
        <v/>
      </c>
      <c r="BI275" s="5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>
        <f>IF('Project Database'!A279="","",N('Project Database'!AC279))</f>
        <v/>
      </c>
      <c r="BK275" s="5">
        <f>IF('Project Database'!A279="","",N('Project Database'!AD279))</f>
        <v/>
      </c>
      <c r="BL275" s="5">
        <f>IF('Project Database'!A279="","",N('Project Database'!AE279))</f>
        <v/>
      </c>
      <c r="BM275" s="5">
        <f>IF('Project Database'!A279="","",N('Project Database'!AF279))</f>
        <v/>
      </c>
      <c r="BN275" s="5">
        <f>IF('Project Database'!A279="","",N('Project Database'!AG279))</f>
        <v/>
      </c>
      <c r="BO275" s="5">
        <f>IF('Project Database'!A279="","",N('Project Database'!AH279))</f>
        <v/>
      </c>
      <c r="BP275" s="5">
        <f>IF('Project Database'!A279="","",N('Project Database'!AI279))</f>
        <v/>
      </c>
      <c r="BQ275" s="5">
        <f>IF('Project Database'!A279="","",N('Project Database'!AJ279))</f>
        <v/>
      </c>
      <c r="BR275" s="5">
        <f>IF('Project Database'!A279="","",N('Project Database'!AK279))</f>
        <v/>
      </c>
      <c r="BS275" s="5">
        <f>IF('Project Database'!A279="","",N('Project Database'!AL279))</f>
        <v/>
      </c>
      <c r="BT275" s="5">
        <f>IF('Project Database'!A279="","",N('Project Database'!AM279))</f>
        <v/>
      </c>
      <c r="BU275" s="5">
        <f>IF('Project Database'!A279="","",N('Project Database'!AN279))</f>
        <v/>
      </c>
      <c r="BV275" s="5">
        <f>IF('Project Database'!A279="","",N('Project Database'!AO279))</f>
        <v/>
      </c>
      <c r="BW275" s="5">
        <f>IF('Project Database'!A279="","",N('Project Database'!AP279))</f>
        <v/>
      </c>
      <c r="BX275" s="5">
        <f>IF(A275="","",SUM(BJ275:BW275))</f>
        <v/>
      </c>
      <c r="BY275" s="5">
        <f>IF(A275="","",IFERROR(IF(ISNUMBER(U275),U275,VALUE(SUBSTITUTE(SUBSTITUTE(SUBSTITUTE(UPPER(TRIM(U275)),"M",""),",","")," ",""))),0))</f>
        <v/>
      </c>
    </row>
    <row r="276" ht="15" customHeight="1" s="74">
      <c r="A276" s="66">
        <f>'Project Database'!A280</f>
        <v/>
      </c>
      <c r="B276" s="66">
        <f>'Project Database'!B280</f>
        <v/>
      </c>
      <c r="C276" s="66">
        <f>'Project Database'!G280</f>
        <v/>
      </c>
      <c r="D276" s="66">
        <f>'Project Database'!H280</f>
        <v/>
      </c>
      <c r="E276" s="66">
        <f>'Project Database'!I280</f>
        <v/>
      </c>
      <c r="F276" s="66">
        <f>'Project Database'!J280</f>
        <v/>
      </c>
      <c r="G276" s="66">
        <f>'Project Database'!K280</f>
        <v/>
      </c>
      <c r="H276" s="66">
        <f>'Project Database'!L280</f>
        <v/>
      </c>
      <c r="I276" s="66">
        <f>'Project Database'!M280</f>
        <v/>
      </c>
      <c r="J276" s="66">
        <f>'Project Database'!N280</f>
        <v/>
      </c>
      <c r="K276" s="66">
        <f>'Project Database'!O280</f>
        <v/>
      </c>
      <c r="L276" s="66">
        <f>'Project Database'!P280</f>
        <v/>
      </c>
      <c r="M276" s="66">
        <f>'Project Database'!Q280</f>
        <v/>
      </c>
      <c r="N276" s="66">
        <f>'Project Database'!R280</f>
        <v/>
      </c>
      <c r="O276" s="66">
        <f>'Project Database'!S280</f>
        <v/>
      </c>
      <c r="P276" s="66">
        <f>'Project Database'!T280</f>
        <v/>
      </c>
      <c r="Q276" s="66">
        <f>'Project Database'!U280</f>
        <v/>
      </c>
      <c r="R276" s="66">
        <f>'Project Database'!V280</f>
        <v/>
      </c>
      <c r="S276" s="66">
        <f>'Project Database'!W280</f>
        <v/>
      </c>
      <c r="T276" s="66">
        <f>'Project Database'!X280</f>
        <v/>
      </c>
      <c r="U276" s="67">
        <f>'Project Database'!Y280</f>
        <v/>
      </c>
      <c r="V276" s="66">
        <f>IF('Smart Search'!B13=1,IFERROR(1/'Smart Search'!H13,0),0)</f>
        <v/>
      </c>
      <c r="W276" s="66">
        <f>IF('Smart Search'!B13=1,IFERROR(1/'Smart Search'!H13,0),0)</f>
        <v/>
      </c>
      <c r="X276" s="66">
        <f>IF('Smart Search'!C13=1,IFERROR(1/'Smart Search'!H13,0),0)</f>
        <v/>
      </c>
      <c r="Y276" s="66">
        <f>IF('Smart Search'!C13=1,IFERROR(1/'Smart Search'!H13,0),0)</f>
        <v/>
      </c>
      <c r="Z276" s="66">
        <f>IF('Smart Search'!D13=1,IFERROR(1/'Smart Search'!H13,0),0)</f>
        <v/>
      </c>
      <c r="AA276" s="66">
        <f>IF('Smart Search'!D13=1,IFERROR(1/'Smart Search'!H13,0),0)</f>
        <v/>
      </c>
      <c r="AB276" s="66">
        <f>IF('Smart Search'!E13=1,IFERROR(1/'Smart Search'!H13,0),0)</f>
        <v/>
      </c>
      <c r="AC276" s="66">
        <f>IF('Smart Search'!E13=1,IFERROR(1/'Smart Search'!H13,0),0)</f>
        <v/>
      </c>
      <c r="AD276" s="66">
        <f>IF('Smart Search'!F13=1,IFERROR(1/'Smart Search'!H13,0),0)</f>
        <v/>
      </c>
      <c r="AE276" s="66">
        <f>IF('Smart Search'!F13=1,IFERROR(1/'Smart Search'!H13,0),0)</f>
        <v/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66">
        <f>AF276*V276</f>
        <v/>
      </c>
      <c r="AQ276" s="66">
        <f>AG276*W276</f>
        <v/>
      </c>
      <c r="AR276" s="66">
        <f>AH276*X276</f>
        <v/>
      </c>
      <c r="AS276" s="66">
        <f>AI276*Y276</f>
        <v/>
      </c>
      <c r="AT276" s="66">
        <f>AJ276*Z276</f>
        <v/>
      </c>
      <c r="AU276" s="66">
        <f>AK276*AA276</f>
        <v/>
      </c>
      <c r="AV276" s="66">
        <f>AL276*AB276</f>
        <v/>
      </c>
      <c r="AW276" s="66">
        <f>AM276*AC276</f>
        <v/>
      </c>
      <c r="AX276" s="66">
        <f>AN276*AD276</f>
        <v/>
      </c>
      <c r="AY276" s="66">
        <f>AO276*AE276</f>
        <v/>
      </c>
      <c r="AZ276" s="66">
        <f>'Project Database'!Z280</f>
        <v/>
      </c>
      <c r="BA276" s="66">
        <f>IF(OR(A276="",'Smart Search'!H13=0),"",MAX(0,BE276*BF276*MAX(0,1-BG276)))</f>
        <v/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66">
        <f>IF('Smart Search'!G13=1,IFERROR(1/'Smart Search'!H13,0),0)</f>
        <v/>
      </c>
      <c r="BD276" s="66">
        <f>BB276*BC276</f>
        <v/>
      </c>
      <c r="BE276" s="66">
        <f>AP276+AQ276+AR276+AS276+AT276+AU276+AV276+AW276+AX276+AY276+BD276</f>
        <v/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5">
        <f>IF(AND('Project Database'!A280&lt;&gt;"",OR('Smart Search'!$L$5="",'Smart Search'!$L$5="All",TRIM('Project Database'!D280)=TRIM('Smart Search'!$L$5)),OR(TRIM('Smart Search'!$L$6)="",TRIM('Smart Search'!$L$6)="All",ISNUMBER(SEARCH(SUBSTITUTE(SUBSTITUTE(SUBSTITUTE(TRIM('Smart Search'!$L$6),"~","~~"),"*","~*"),"?","~?"),'Project Database'!C280))),OR('Smart Search'!$L$7="",AND('Project Database'!E280&lt;&gt;"",'Project Database'!E280='Smart Search'!$L$7)),OR('Smart Search'!$L$8="",'Smart Search'!$L$8="All",TRIM('Project Database'!F280)=TRIM('Smart Search'!$L$8))),IF(BA276="","",BA276+ROW()*0.0000000001),"")</f>
        <v/>
      </c>
      <c r="BI276" s="5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>
        <f>IF('Project Database'!A280="","",N('Project Database'!AC280))</f>
        <v/>
      </c>
      <c r="BK276" s="5">
        <f>IF('Project Database'!A280="","",N('Project Database'!AD280))</f>
        <v/>
      </c>
      <c r="BL276" s="5">
        <f>IF('Project Database'!A280="","",N('Project Database'!AE280))</f>
        <v/>
      </c>
      <c r="BM276" s="5">
        <f>IF('Project Database'!A280="","",N('Project Database'!AF280))</f>
        <v/>
      </c>
      <c r="BN276" s="5">
        <f>IF('Project Database'!A280="","",N('Project Database'!AG280))</f>
        <v/>
      </c>
      <c r="BO276" s="5">
        <f>IF('Project Database'!A280="","",N('Project Database'!AH280))</f>
        <v/>
      </c>
      <c r="BP276" s="5">
        <f>IF('Project Database'!A280="","",N('Project Database'!AI280))</f>
        <v/>
      </c>
      <c r="BQ276" s="5">
        <f>IF('Project Database'!A280="","",N('Project Database'!AJ280))</f>
        <v/>
      </c>
      <c r="BR276" s="5">
        <f>IF('Project Database'!A280="","",N('Project Database'!AK280))</f>
        <v/>
      </c>
      <c r="BS276" s="5">
        <f>IF('Project Database'!A280="","",N('Project Database'!AL280))</f>
        <v/>
      </c>
      <c r="BT276" s="5">
        <f>IF('Project Database'!A280="","",N('Project Database'!AM280))</f>
        <v/>
      </c>
      <c r="BU276" s="5">
        <f>IF('Project Database'!A280="","",N('Project Database'!AN280))</f>
        <v/>
      </c>
      <c r="BV276" s="5">
        <f>IF('Project Database'!A280="","",N('Project Database'!AO280))</f>
        <v/>
      </c>
      <c r="BW276" s="5">
        <f>IF('Project Database'!A280="","",N('Project Database'!AP280))</f>
        <v/>
      </c>
      <c r="BX276" s="5">
        <f>IF(A276="","",SUM(BJ276:BW276))</f>
        <v/>
      </c>
      <c r="BY276" s="5">
        <f>IF(A276="","",IFERROR(IF(ISNUMBER(U276),U276,VALUE(SUBSTITUTE(SUBSTITUTE(SUBSTITUTE(UPPER(TRIM(U276)),"M",""),",","")," ",""))),0))</f>
        <v/>
      </c>
    </row>
    <row r="277" ht="15" customHeight="1" s="74">
      <c r="A277" s="66">
        <f>'Project Database'!A281</f>
        <v/>
      </c>
      <c r="B277" s="66">
        <f>'Project Database'!B281</f>
        <v/>
      </c>
      <c r="C277" s="66">
        <f>'Project Database'!G281</f>
        <v/>
      </c>
      <c r="D277" s="66">
        <f>'Project Database'!H281</f>
        <v/>
      </c>
      <c r="E277" s="66">
        <f>'Project Database'!I281</f>
        <v/>
      </c>
      <c r="F277" s="66">
        <f>'Project Database'!J281</f>
        <v/>
      </c>
      <c r="G277" s="66">
        <f>'Project Database'!K281</f>
        <v/>
      </c>
      <c r="H277" s="66">
        <f>'Project Database'!L281</f>
        <v/>
      </c>
      <c r="I277" s="66">
        <f>'Project Database'!M281</f>
        <v/>
      </c>
      <c r="J277" s="66">
        <f>'Project Database'!N281</f>
        <v/>
      </c>
      <c r="K277" s="66">
        <f>'Project Database'!O281</f>
        <v/>
      </c>
      <c r="L277" s="66">
        <f>'Project Database'!P281</f>
        <v/>
      </c>
      <c r="M277" s="66">
        <f>'Project Database'!Q281</f>
        <v/>
      </c>
      <c r="N277" s="66">
        <f>'Project Database'!R281</f>
        <v/>
      </c>
      <c r="O277" s="66">
        <f>'Project Database'!S281</f>
        <v/>
      </c>
      <c r="P277" s="66">
        <f>'Project Database'!T281</f>
        <v/>
      </c>
      <c r="Q277" s="66">
        <f>'Project Database'!U281</f>
        <v/>
      </c>
      <c r="R277" s="66">
        <f>'Project Database'!V281</f>
        <v/>
      </c>
      <c r="S277" s="66">
        <f>'Project Database'!W281</f>
        <v/>
      </c>
      <c r="T277" s="66">
        <f>'Project Database'!X281</f>
        <v/>
      </c>
      <c r="U277" s="67">
        <f>'Project Database'!Y281</f>
        <v/>
      </c>
      <c r="V277" s="66">
        <f>IF('Smart Search'!B13=1,IFERROR(1/'Smart Search'!H13,0),0)</f>
        <v/>
      </c>
      <c r="W277" s="66">
        <f>IF('Smart Search'!B13=1,IFERROR(1/'Smart Search'!H13,0),0)</f>
        <v/>
      </c>
      <c r="X277" s="66">
        <f>IF('Smart Search'!C13=1,IFERROR(1/'Smart Search'!H13,0),0)</f>
        <v/>
      </c>
      <c r="Y277" s="66">
        <f>IF('Smart Search'!C13=1,IFERROR(1/'Smart Search'!H13,0),0)</f>
        <v/>
      </c>
      <c r="Z277" s="66">
        <f>IF('Smart Search'!D13=1,IFERROR(1/'Smart Search'!H13,0),0)</f>
        <v/>
      </c>
      <c r="AA277" s="66">
        <f>IF('Smart Search'!D13=1,IFERROR(1/'Smart Search'!H13,0),0)</f>
        <v/>
      </c>
      <c r="AB277" s="66">
        <f>IF('Smart Search'!E13=1,IFERROR(1/'Smart Search'!H13,0),0)</f>
        <v/>
      </c>
      <c r="AC277" s="66">
        <f>IF('Smart Search'!E13=1,IFERROR(1/'Smart Search'!H13,0),0)</f>
        <v/>
      </c>
      <c r="AD277" s="66">
        <f>IF('Smart Search'!F13=1,IFERROR(1/'Smart Search'!H13,0),0)</f>
        <v/>
      </c>
      <c r="AE277" s="66">
        <f>IF('Smart Search'!F13=1,IFERROR(1/'Smart Search'!H13,0),0)</f>
        <v/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66">
        <f>AF277*V277</f>
        <v/>
      </c>
      <c r="AQ277" s="66">
        <f>AG277*W277</f>
        <v/>
      </c>
      <c r="AR277" s="66">
        <f>AH277*X277</f>
        <v/>
      </c>
      <c r="AS277" s="66">
        <f>AI277*Y277</f>
        <v/>
      </c>
      <c r="AT277" s="66">
        <f>AJ277*Z277</f>
        <v/>
      </c>
      <c r="AU277" s="66">
        <f>AK277*AA277</f>
        <v/>
      </c>
      <c r="AV277" s="66">
        <f>AL277*AB277</f>
        <v/>
      </c>
      <c r="AW277" s="66">
        <f>AM277*AC277</f>
        <v/>
      </c>
      <c r="AX277" s="66">
        <f>AN277*AD277</f>
        <v/>
      </c>
      <c r="AY277" s="66">
        <f>AO277*AE277</f>
        <v/>
      </c>
      <c r="AZ277" s="66">
        <f>'Project Database'!Z281</f>
        <v/>
      </c>
      <c r="BA277" s="66">
        <f>IF(OR(A277="",'Smart Search'!H13=0),"",MAX(0,BE277*BF277*MAX(0,1-BG277)))</f>
        <v/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66">
        <f>IF('Smart Search'!G13=1,IFERROR(1/'Smart Search'!H13,0),0)</f>
        <v/>
      </c>
      <c r="BD277" s="66">
        <f>BB277*BC277</f>
        <v/>
      </c>
      <c r="BE277" s="66">
        <f>AP277+AQ277+AR277+AS277+AT277+AU277+AV277+AW277+AX277+AY277+BD277</f>
        <v/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5">
        <f>IF(AND('Project Database'!A281&lt;&gt;"",OR('Smart Search'!$L$5="",'Smart Search'!$L$5="All",TRIM('Project Database'!D281)=TRIM('Smart Search'!$L$5)),OR(TRIM('Smart Search'!$L$6)="",TRIM('Smart Search'!$L$6)="All",ISNUMBER(SEARCH(SUBSTITUTE(SUBSTITUTE(SUBSTITUTE(TRIM('Smart Search'!$L$6),"~","~~"),"*","~*"),"?","~?"),'Project Database'!C281))),OR('Smart Search'!$L$7="",AND('Project Database'!E281&lt;&gt;"",'Project Database'!E281='Smart Search'!$L$7)),OR('Smart Search'!$L$8="",'Smart Search'!$L$8="All",TRIM('Project Database'!F281)=TRIM('Smart Search'!$L$8))),IF(BA277="","",BA277+ROW()*0.0000000001),"")</f>
        <v/>
      </c>
      <c r="BI277" s="5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>
        <f>IF('Project Database'!A281="","",N('Project Database'!AC281))</f>
        <v/>
      </c>
      <c r="BK277" s="5">
        <f>IF('Project Database'!A281="","",N('Project Database'!AD281))</f>
        <v/>
      </c>
      <c r="BL277" s="5">
        <f>IF('Project Database'!A281="","",N('Project Database'!AE281))</f>
        <v/>
      </c>
      <c r="BM277" s="5">
        <f>IF('Project Database'!A281="","",N('Project Database'!AF281))</f>
        <v/>
      </c>
      <c r="BN277" s="5">
        <f>IF('Project Database'!A281="","",N('Project Database'!AG281))</f>
        <v/>
      </c>
      <c r="BO277" s="5">
        <f>IF('Project Database'!A281="","",N('Project Database'!AH281))</f>
        <v/>
      </c>
      <c r="BP277" s="5">
        <f>IF('Project Database'!A281="","",N('Project Database'!AI281))</f>
        <v/>
      </c>
      <c r="BQ277" s="5">
        <f>IF('Project Database'!A281="","",N('Project Database'!AJ281))</f>
        <v/>
      </c>
      <c r="BR277" s="5">
        <f>IF('Project Database'!A281="","",N('Project Database'!AK281))</f>
        <v/>
      </c>
      <c r="BS277" s="5">
        <f>IF('Project Database'!A281="","",N('Project Database'!AL281))</f>
        <v/>
      </c>
      <c r="BT277" s="5">
        <f>IF('Project Database'!A281="","",N('Project Database'!AM281))</f>
        <v/>
      </c>
      <c r="BU277" s="5">
        <f>IF('Project Database'!A281="","",N('Project Database'!AN281))</f>
        <v/>
      </c>
      <c r="BV277" s="5">
        <f>IF('Project Database'!A281="","",N('Project Database'!AO281))</f>
        <v/>
      </c>
      <c r="BW277" s="5">
        <f>IF('Project Database'!A281="","",N('Project Database'!AP281))</f>
        <v/>
      </c>
      <c r="BX277" s="5">
        <f>IF(A277="","",SUM(BJ277:BW277))</f>
        <v/>
      </c>
      <c r="BY277" s="5">
        <f>IF(A277="","",IFERROR(IF(ISNUMBER(U277),U277,VALUE(SUBSTITUTE(SUBSTITUTE(SUBSTITUTE(UPPER(TRIM(U277)),"M",""),",","")," ",""))),0))</f>
        <v/>
      </c>
    </row>
    <row r="278" ht="15" customHeight="1" s="74">
      <c r="A278" s="66">
        <f>'Project Database'!A282</f>
        <v/>
      </c>
      <c r="B278" s="66">
        <f>'Project Database'!B282</f>
        <v/>
      </c>
      <c r="C278" s="66">
        <f>'Project Database'!G282</f>
        <v/>
      </c>
      <c r="D278" s="66">
        <f>'Project Database'!H282</f>
        <v/>
      </c>
      <c r="E278" s="66">
        <f>'Project Database'!I282</f>
        <v/>
      </c>
      <c r="F278" s="66">
        <f>'Project Database'!J282</f>
        <v/>
      </c>
      <c r="G278" s="66">
        <f>'Project Database'!K282</f>
        <v/>
      </c>
      <c r="H278" s="66">
        <f>'Project Database'!L282</f>
        <v/>
      </c>
      <c r="I278" s="66">
        <f>'Project Database'!M282</f>
        <v/>
      </c>
      <c r="J278" s="66">
        <f>'Project Database'!N282</f>
        <v/>
      </c>
      <c r="K278" s="66">
        <f>'Project Database'!O282</f>
        <v/>
      </c>
      <c r="L278" s="66">
        <f>'Project Database'!P282</f>
        <v/>
      </c>
      <c r="M278" s="66">
        <f>'Project Database'!Q282</f>
        <v/>
      </c>
      <c r="N278" s="66">
        <f>'Project Database'!R282</f>
        <v/>
      </c>
      <c r="O278" s="66">
        <f>'Project Database'!S282</f>
        <v/>
      </c>
      <c r="P278" s="66">
        <f>'Project Database'!T282</f>
        <v/>
      </c>
      <c r="Q278" s="66">
        <f>'Project Database'!U282</f>
        <v/>
      </c>
      <c r="R278" s="66">
        <f>'Project Database'!V282</f>
        <v/>
      </c>
      <c r="S278" s="66">
        <f>'Project Database'!W282</f>
        <v/>
      </c>
      <c r="T278" s="66">
        <f>'Project Database'!X282</f>
        <v/>
      </c>
      <c r="U278" s="67">
        <f>'Project Database'!Y282</f>
        <v/>
      </c>
      <c r="V278" s="66">
        <f>IF('Smart Search'!B13=1,IFERROR(1/'Smart Search'!H13,0),0)</f>
        <v/>
      </c>
      <c r="W278" s="66">
        <f>IF('Smart Search'!B13=1,IFERROR(1/'Smart Search'!H13,0),0)</f>
        <v/>
      </c>
      <c r="X278" s="66">
        <f>IF('Smart Search'!C13=1,IFERROR(1/'Smart Search'!H13,0),0)</f>
        <v/>
      </c>
      <c r="Y278" s="66">
        <f>IF('Smart Search'!C13=1,IFERROR(1/'Smart Search'!H13,0),0)</f>
        <v/>
      </c>
      <c r="Z278" s="66">
        <f>IF('Smart Search'!D13=1,IFERROR(1/'Smart Search'!H13,0),0)</f>
        <v/>
      </c>
      <c r="AA278" s="66">
        <f>IF('Smart Search'!D13=1,IFERROR(1/'Smart Search'!H13,0),0)</f>
        <v/>
      </c>
      <c r="AB278" s="66">
        <f>IF('Smart Search'!E13=1,IFERROR(1/'Smart Search'!H13,0),0)</f>
        <v/>
      </c>
      <c r="AC278" s="66">
        <f>IF('Smart Search'!E13=1,IFERROR(1/'Smart Search'!H13,0),0)</f>
        <v/>
      </c>
      <c r="AD278" s="66">
        <f>IF('Smart Search'!F13=1,IFERROR(1/'Smart Search'!H13,0),0)</f>
        <v/>
      </c>
      <c r="AE278" s="66">
        <f>IF('Smart Search'!F13=1,IFERROR(1/'Smart Search'!H13,0),0)</f>
        <v/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66">
        <f>AF278*V278</f>
        <v/>
      </c>
      <c r="AQ278" s="66">
        <f>AG278*W278</f>
        <v/>
      </c>
      <c r="AR278" s="66">
        <f>AH278*X278</f>
        <v/>
      </c>
      <c r="AS278" s="66">
        <f>AI278*Y278</f>
        <v/>
      </c>
      <c r="AT278" s="66">
        <f>AJ278*Z278</f>
        <v/>
      </c>
      <c r="AU278" s="66">
        <f>AK278*AA278</f>
        <v/>
      </c>
      <c r="AV278" s="66">
        <f>AL278*AB278</f>
        <v/>
      </c>
      <c r="AW278" s="66">
        <f>AM278*AC278</f>
        <v/>
      </c>
      <c r="AX278" s="66">
        <f>AN278*AD278</f>
        <v/>
      </c>
      <c r="AY278" s="66">
        <f>AO278*AE278</f>
        <v/>
      </c>
      <c r="AZ278" s="66">
        <f>'Project Database'!Z282</f>
        <v/>
      </c>
      <c r="BA278" s="66">
        <f>IF(OR(A278="",'Smart Search'!H13=0),"",MAX(0,BE278*BF278*MAX(0,1-BG278)))</f>
        <v/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66">
        <f>IF('Smart Search'!G13=1,IFERROR(1/'Smart Search'!H13,0),0)</f>
        <v/>
      </c>
      <c r="BD278" s="66">
        <f>BB278*BC278</f>
        <v/>
      </c>
      <c r="BE278" s="66">
        <f>AP278+AQ278+AR278+AS278+AT278+AU278+AV278+AW278+AX278+AY278+BD278</f>
        <v/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5">
        <f>IF(AND('Project Database'!A282&lt;&gt;"",OR('Smart Search'!$L$5="",'Smart Search'!$L$5="All",TRIM('Project Database'!D282)=TRIM('Smart Search'!$L$5)),OR(TRIM('Smart Search'!$L$6)="",TRIM('Smart Search'!$L$6)="All",ISNUMBER(SEARCH(SUBSTITUTE(SUBSTITUTE(SUBSTITUTE(TRIM('Smart Search'!$L$6),"~","~~"),"*","~*"),"?","~?"),'Project Database'!C282))),OR('Smart Search'!$L$7="",AND('Project Database'!E282&lt;&gt;"",'Project Database'!E282='Smart Search'!$L$7)),OR('Smart Search'!$L$8="",'Smart Search'!$L$8="All",TRIM('Project Database'!F282)=TRIM('Smart Search'!$L$8))),IF(BA278="","",BA278+ROW()*0.0000000001),"")</f>
        <v/>
      </c>
      <c r="BI278" s="5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>
        <f>IF('Project Database'!A282="","",N('Project Database'!AC282))</f>
        <v/>
      </c>
      <c r="BK278" s="5">
        <f>IF('Project Database'!A282="","",N('Project Database'!AD282))</f>
        <v/>
      </c>
      <c r="BL278" s="5">
        <f>IF('Project Database'!A282="","",N('Project Database'!AE282))</f>
        <v/>
      </c>
      <c r="BM278" s="5">
        <f>IF('Project Database'!A282="","",N('Project Database'!AF282))</f>
        <v/>
      </c>
      <c r="BN278" s="5">
        <f>IF('Project Database'!A282="","",N('Project Database'!AG282))</f>
        <v/>
      </c>
      <c r="BO278" s="5">
        <f>IF('Project Database'!A282="","",N('Project Database'!AH282))</f>
        <v/>
      </c>
      <c r="BP278" s="5">
        <f>IF('Project Database'!A282="","",N('Project Database'!AI282))</f>
        <v/>
      </c>
      <c r="BQ278" s="5">
        <f>IF('Project Database'!A282="","",N('Project Database'!AJ282))</f>
        <v/>
      </c>
      <c r="BR278" s="5">
        <f>IF('Project Database'!A282="","",N('Project Database'!AK282))</f>
        <v/>
      </c>
      <c r="BS278" s="5">
        <f>IF('Project Database'!A282="","",N('Project Database'!AL282))</f>
        <v/>
      </c>
      <c r="BT278" s="5">
        <f>IF('Project Database'!A282="","",N('Project Database'!AM282))</f>
        <v/>
      </c>
      <c r="BU278" s="5">
        <f>IF('Project Database'!A282="","",N('Project Database'!AN282))</f>
        <v/>
      </c>
      <c r="BV278" s="5">
        <f>IF('Project Database'!A282="","",N('Project Database'!AO282))</f>
        <v/>
      </c>
      <c r="BW278" s="5">
        <f>IF('Project Database'!A282="","",N('Project Database'!AP282))</f>
        <v/>
      </c>
      <c r="BX278" s="5">
        <f>IF(A278="","",SUM(BJ278:BW278))</f>
        <v/>
      </c>
      <c r="BY278" s="5">
        <f>IF(A278="","",IFERROR(IF(ISNUMBER(U278),U278,VALUE(SUBSTITUTE(SUBSTITUTE(SUBSTITUTE(UPPER(TRIM(U278)),"M",""),",","")," ",""))),0))</f>
        <v/>
      </c>
    </row>
    <row r="279" ht="15" customHeight="1" s="74">
      <c r="A279" s="66">
        <f>'Project Database'!A283</f>
        <v/>
      </c>
      <c r="B279" s="66">
        <f>'Project Database'!B283</f>
        <v/>
      </c>
      <c r="C279" s="66">
        <f>'Project Database'!G283</f>
        <v/>
      </c>
      <c r="D279" s="66">
        <f>'Project Database'!H283</f>
        <v/>
      </c>
      <c r="E279" s="66">
        <f>'Project Database'!I283</f>
        <v/>
      </c>
      <c r="F279" s="66">
        <f>'Project Database'!J283</f>
        <v/>
      </c>
      <c r="G279" s="66">
        <f>'Project Database'!K283</f>
        <v/>
      </c>
      <c r="H279" s="66">
        <f>'Project Database'!L283</f>
        <v/>
      </c>
      <c r="I279" s="66">
        <f>'Project Database'!M283</f>
        <v/>
      </c>
      <c r="J279" s="66">
        <f>'Project Database'!N283</f>
        <v/>
      </c>
      <c r="K279" s="66">
        <f>'Project Database'!O283</f>
        <v/>
      </c>
      <c r="L279" s="66">
        <f>'Project Database'!P283</f>
        <v/>
      </c>
      <c r="M279" s="66">
        <f>'Project Database'!Q283</f>
        <v/>
      </c>
      <c r="N279" s="66">
        <f>'Project Database'!R283</f>
        <v/>
      </c>
      <c r="O279" s="66">
        <f>'Project Database'!S283</f>
        <v/>
      </c>
      <c r="P279" s="66">
        <f>'Project Database'!T283</f>
        <v/>
      </c>
      <c r="Q279" s="66">
        <f>'Project Database'!U283</f>
        <v/>
      </c>
      <c r="R279" s="66">
        <f>'Project Database'!V283</f>
        <v/>
      </c>
      <c r="S279" s="66">
        <f>'Project Database'!W283</f>
        <v/>
      </c>
      <c r="T279" s="66">
        <f>'Project Database'!X283</f>
        <v/>
      </c>
      <c r="U279" s="67">
        <f>'Project Database'!Y283</f>
        <v/>
      </c>
      <c r="V279" s="66">
        <f>IF('Smart Search'!B13=1,IFERROR(1/'Smart Search'!H13,0),0)</f>
        <v/>
      </c>
      <c r="W279" s="66">
        <f>IF('Smart Search'!B13=1,IFERROR(1/'Smart Search'!H13,0),0)</f>
        <v/>
      </c>
      <c r="X279" s="66">
        <f>IF('Smart Search'!C13=1,IFERROR(1/'Smart Search'!H13,0),0)</f>
        <v/>
      </c>
      <c r="Y279" s="66">
        <f>IF('Smart Search'!C13=1,IFERROR(1/'Smart Search'!H13,0),0)</f>
        <v/>
      </c>
      <c r="Z279" s="66">
        <f>IF('Smart Search'!D13=1,IFERROR(1/'Smart Search'!H13,0),0)</f>
        <v/>
      </c>
      <c r="AA279" s="66">
        <f>IF('Smart Search'!D13=1,IFERROR(1/'Smart Search'!H13,0),0)</f>
        <v/>
      </c>
      <c r="AB279" s="66">
        <f>IF('Smart Search'!E13=1,IFERROR(1/'Smart Search'!H13,0),0)</f>
        <v/>
      </c>
      <c r="AC279" s="66">
        <f>IF('Smart Search'!E13=1,IFERROR(1/'Smart Search'!H13,0),0)</f>
        <v/>
      </c>
      <c r="AD279" s="66">
        <f>IF('Smart Search'!F13=1,IFERROR(1/'Smart Search'!H13,0),0)</f>
        <v/>
      </c>
      <c r="AE279" s="66">
        <f>IF('Smart Search'!F13=1,IFERROR(1/'Smart Search'!H13,0),0)</f>
        <v/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66">
        <f>AF279*V279</f>
        <v/>
      </c>
      <c r="AQ279" s="66">
        <f>AG279*W279</f>
        <v/>
      </c>
      <c r="AR279" s="66">
        <f>AH279*X279</f>
        <v/>
      </c>
      <c r="AS279" s="66">
        <f>AI279*Y279</f>
        <v/>
      </c>
      <c r="AT279" s="66">
        <f>AJ279*Z279</f>
        <v/>
      </c>
      <c r="AU279" s="66">
        <f>AK279*AA279</f>
        <v/>
      </c>
      <c r="AV279" s="66">
        <f>AL279*AB279</f>
        <v/>
      </c>
      <c r="AW279" s="66">
        <f>AM279*AC279</f>
        <v/>
      </c>
      <c r="AX279" s="66">
        <f>AN279*AD279</f>
        <v/>
      </c>
      <c r="AY279" s="66">
        <f>AO279*AE279</f>
        <v/>
      </c>
      <c r="AZ279" s="66">
        <f>'Project Database'!Z283</f>
        <v/>
      </c>
      <c r="BA279" s="66">
        <f>IF(OR(A279="",'Smart Search'!H13=0),"",MAX(0,BE279*BF279*MAX(0,1-BG279)))</f>
        <v/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66">
        <f>IF('Smart Search'!G13=1,IFERROR(1/'Smart Search'!H13,0),0)</f>
        <v/>
      </c>
      <c r="BD279" s="66">
        <f>BB279*BC279</f>
        <v/>
      </c>
      <c r="BE279" s="66">
        <f>AP279+AQ279+AR279+AS279+AT279+AU279+AV279+AW279+AX279+AY279+BD279</f>
        <v/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5">
        <f>IF(AND('Project Database'!A283&lt;&gt;"",OR('Smart Search'!$L$5="",'Smart Search'!$L$5="All",TRIM('Project Database'!D283)=TRIM('Smart Search'!$L$5)),OR(TRIM('Smart Search'!$L$6)="",TRIM('Smart Search'!$L$6)="All",ISNUMBER(SEARCH(SUBSTITUTE(SUBSTITUTE(SUBSTITUTE(TRIM('Smart Search'!$L$6),"~","~~"),"*","~*"),"?","~?"),'Project Database'!C283))),OR('Smart Search'!$L$7="",AND('Project Database'!E283&lt;&gt;"",'Project Database'!E283='Smart Search'!$L$7)),OR('Smart Search'!$L$8="",'Smart Search'!$L$8="All",TRIM('Project Database'!F283)=TRIM('Smart Search'!$L$8))),IF(BA279="","",BA279+ROW()*0.0000000001),"")</f>
        <v/>
      </c>
      <c r="BI279" s="5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>
        <f>IF('Project Database'!A283="","",N('Project Database'!AC283))</f>
        <v/>
      </c>
      <c r="BK279" s="5">
        <f>IF('Project Database'!A283="","",N('Project Database'!AD283))</f>
        <v/>
      </c>
      <c r="BL279" s="5">
        <f>IF('Project Database'!A283="","",N('Project Database'!AE283))</f>
        <v/>
      </c>
      <c r="BM279" s="5">
        <f>IF('Project Database'!A283="","",N('Project Database'!AF283))</f>
        <v/>
      </c>
      <c r="BN279" s="5">
        <f>IF('Project Database'!A283="","",N('Project Database'!AG283))</f>
        <v/>
      </c>
      <c r="BO279" s="5">
        <f>IF('Project Database'!A283="","",N('Project Database'!AH283))</f>
        <v/>
      </c>
      <c r="BP279" s="5">
        <f>IF('Project Database'!A283="","",N('Project Database'!AI283))</f>
        <v/>
      </c>
      <c r="BQ279" s="5">
        <f>IF('Project Database'!A283="","",N('Project Database'!AJ283))</f>
        <v/>
      </c>
      <c r="BR279" s="5">
        <f>IF('Project Database'!A283="","",N('Project Database'!AK283))</f>
        <v/>
      </c>
      <c r="BS279" s="5">
        <f>IF('Project Database'!A283="","",N('Project Database'!AL283))</f>
        <v/>
      </c>
      <c r="BT279" s="5">
        <f>IF('Project Database'!A283="","",N('Project Database'!AM283))</f>
        <v/>
      </c>
      <c r="BU279" s="5">
        <f>IF('Project Database'!A283="","",N('Project Database'!AN283))</f>
        <v/>
      </c>
      <c r="BV279" s="5">
        <f>IF('Project Database'!A283="","",N('Project Database'!AO283))</f>
        <v/>
      </c>
      <c r="BW279" s="5">
        <f>IF('Project Database'!A283="","",N('Project Database'!AP283))</f>
        <v/>
      </c>
      <c r="BX279" s="5">
        <f>IF(A279="","",SUM(BJ279:BW279))</f>
        <v/>
      </c>
      <c r="BY279" s="5">
        <f>IF(A279="","",IFERROR(IF(ISNUMBER(U279),U279,VALUE(SUBSTITUTE(SUBSTITUTE(SUBSTITUTE(UPPER(TRIM(U279)),"M",""),",","")," ",""))),0))</f>
        <v/>
      </c>
    </row>
    <row r="280" ht="15" customHeight="1" s="74">
      <c r="A280" s="66">
        <f>'Project Database'!A284</f>
        <v/>
      </c>
      <c r="B280" s="66">
        <f>'Project Database'!B284</f>
        <v/>
      </c>
      <c r="C280" s="66">
        <f>'Project Database'!G284</f>
        <v/>
      </c>
      <c r="D280" s="66">
        <f>'Project Database'!H284</f>
        <v/>
      </c>
      <c r="E280" s="66">
        <f>'Project Database'!I284</f>
        <v/>
      </c>
      <c r="F280" s="66">
        <f>'Project Database'!J284</f>
        <v/>
      </c>
      <c r="G280" s="66">
        <f>'Project Database'!K284</f>
        <v/>
      </c>
      <c r="H280" s="66">
        <f>'Project Database'!L284</f>
        <v/>
      </c>
      <c r="I280" s="66">
        <f>'Project Database'!M284</f>
        <v/>
      </c>
      <c r="J280" s="66">
        <f>'Project Database'!N284</f>
        <v/>
      </c>
      <c r="K280" s="66">
        <f>'Project Database'!O284</f>
        <v/>
      </c>
      <c r="L280" s="66">
        <f>'Project Database'!P284</f>
        <v/>
      </c>
      <c r="M280" s="66">
        <f>'Project Database'!Q284</f>
        <v/>
      </c>
      <c r="N280" s="66">
        <f>'Project Database'!R284</f>
        <v/>
      </c>
      <c r="O280" s="66">
        <f>'Project Database'!S284</f>
        <v/>
      </c>
      <c r="P280" s="66">
        <f>'Project Database'!T284</f>
        <v/>
      </c>
      <c r="Q280" s="66">
        <f>'Project Database'!U284</f>
        <v/>
      </c>
      <c r="R280" s="66">
        <f>'Project Database'!V284</f>
        <v/>
      </c>
      <c r="S280" s="66">
        <f>'Project Database'!W284</f>
        <v/>
      </c>
      <c r="T280" s="66">
        <f>'Project Database'!X284</f>
        <v/>
      </c>
      <c r="U280" s="67">
        <f>'Project Database'!Y284</f>
        <v/>
      </c>
      <c r="V280" s="66">
        <f>IF('Smart Search'!B13=1,IFERROR(1/'Smart Search'!H13,0),0)</f>
        <v/>
      </c>
      <c r="W280" s="66">
        <f>IF('Smart Search'!B13=1,IFERROR(1/'Smart Search'!H13,0),0)</f>
        <v/>
      </c>
      <c r="X280" s="66">
        <f>IF('Smart Search'!C13=1,IFERROR(1/'Smart Search'!H13,0),0)</f>
        <v/>
      </c>
      <c r="Y280" s="66">
        <f>IF('Smart Search'!C13=1,IFERROR(1/'Smart Search'!H13,0),0)</f>
        <v/>
      </c>
      <c r="Z280" s="66">
        <f>IF('Smart Search'!D13=1,IFERROR(1/'Smart Search'!H13,0),0)</f>
        <v/>
      </c>
      <c r="AA280" s="66">
        <f>IF('Smart Search'!D13=1,IFERROR(1/'Smart Search'!H13,0),0)</f>
        <v/>
      </c>
      <c r="AB280" s="66">
        <f>IF('Smart Search'!E13=1,IFERROR(1/'Smart Search'!H13,0),0)</f>
        <v/>
      </c>
      <c r="AC280" s="66">
        <f>IF('Smart Search'!E13=1,IFERROR(1/'Smart Search'!H13,0),0)</f>
        <v/>
      </c>
      <c r="AD280" s="66">
        <f>IF('Smart Search'!F13=1,IFERROR(1/'Smart Search'!H13,0),0)</f>
        <v/>
      </c>
      <c r="AE280" s="66">
        <f>IF('Smart Search'!F13=1,IFERROR(1/'Smart Search'!H13,0),0)</f>
        <v/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66">
        <f>AF280*V280</f>
        <v/>
      </c>
      <c r="AQ280" s="66">
        <f>AG280*W280</f>
        <v/>
      </c>
      <c r="AR280" s="66">
        <f>AH280*X280</f>
        <v/>
      </c>
      <c r="AS280" s="66">
        <f>AI280*Y280</f>
        <v/>
      </c>
      <c r="AT280" s="66">
        <f>AJ280*Z280</f>
        <v/>
      </c>
      <c r="AU280" s="66">
        <f>AK280*AA280</f>
        <v/>
      </c>
      <c r="AV280" s="66">
        <f>AL280*AB280</f>
        <v/>
      </c>
      <c r="AW280" s="66">
        <f>AM280*AC280</f>
        <v/>
      </c>
      <c r="AX280" s="66">
        <f>AN280*AD280</f>
        <v/>
      </c>
      <c r="AY280" s="66">
        <f>AO280*AE280</f>
        <v/>
      </c>
      <c r="AZ280" s="66">
        <f>'Project Database'!Z284</f>
        <v/>
      </c>
      <c r="BA280" s="66">
        <f>IF(OR(A280="",'Smart Search'!H13=0),"",MAX(0,BE280*BF280*MAX(0,1-BG280)))</f>
        <v/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66">
        <f>IF('Smart Search'!G13=1,IFERROR(1/'Smart Search'!H13,0),0)</f>
        <v/>
      </c>
      <c r="BD280" s="66">
        <f>BB280*BC280</f>
        <v/>
      </c>
      <c r="BE280" s="66">
        <f>AP280+AQ280+AR280+AS280+AT280+AU280+AV280+AW280+AX280+AY280+BD280</f>
        <v/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5">
        <f>IF(AND('Project Database'!A284&lt;&gt;"",OR('Smart Search'!$L$5="",'Smart Search'!$L$5="All",TRIM('Project Database'!D284)=TRIM('Smart Search'!$L$5)),OR(TRIM('Smart Search'!$L$6)="",TRIM('Smart Search'!$L$6)="All",ISNUMBER(SEARCH(SUBSTITUTE(SUBSTITUTE(SUBSTITUTE(TRIM('Smart Search'!$L$6),"~","~~"),"*","~*"),"?","~?"),'Project Database'!C284))),OR('Smart Search'!$L$7="",AND('Project Database'!E284&lt;&gt;"",'Project Database'!E284='Smart Search'!$L$7)),OR('Smart Search'!$L$8="",'Smart Search'!$L$8="All",TRIM('Project Database'!F284)=TRIM('Smart Search'!$L$8))),IF(BA280="","",BA280+ROW()*0.0000000001),"")</f>
        <v/>
      </c>
      <c r="BI280" s="5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>
        <f>IF('Project Database'!A284="","",N('Project Database'!AC284))</f>
        <v/>
      </c>
      <c r="BK280" s="5">
        <f>IF('Project Database'!A284="","",N('Project Database'!AD284))</f>
        <v/>
      </c>
      <c r="BL280" s="5">
        <f>IF('Project Database'!A284="","",N('Project Database'!AE284))</f>
        <v/>
      </c>
      <c r="BM280" s="5">
        <f>IF('Project Database'!A284="","",N('Project Database'!AF284))</f>
        <v/>
      </c>
      <c r="BN280" s="5">
        <f>IF('Project Database'!A284="","",N('Project Database'!AG284))</f>
        <v/>
      </c>
      <c r="BO280" s="5">
        <f>IF('Project Database'!A284="","",N('Project Database'!AH284))</f>
        <v/>
      </c>
      <c r="BP280" s="5">
        <f>IF('Project Database'!A284="","",N('Project Database'!AI284))</f>
        <v/>
      </c>
      <c r="BQ280" s="5">
        <f>IF('Project Database'!A284="","",N('Project Database'!AJ284))</f>
        <v/>
      </c>
      <c r="BR280" s="5">
        <f>IF('Project Database'!A284="","",N('Project Database'!AK284))</f>
        <v/>
      </c>
      <c r="BS280" s="5">
        <f>IF('Project Database'!A284="","",N('Project Database'!AL284))</f>
        <v/>
      </c>
      <c r="BT280" s="5">
        <f>IF('Project Database'!A284="","",N('Project Database'!AM284))</f>
        <v/>
      </c>
      <c r="BU280" s="5">
        <f>IF('Project Database'!A284="","",N('Project Database'!AN284))</f>
        <v/>
      </c>
      <c r="BV280" s="5">
        <f>IF('Project Database'!A284="","",N('Project Database'!AO284))</f>
        <v/>
      </c>
      <c r="BW280" s="5">
        <f>IF('Project Database'!A284="","",N('Project Database'!AP284))</f>
        <v/>
      </c>
      <c r="BX280" s="5">
        <f>IF(A280="","",SUM(BJ280:BW280))</f>
        <v/>
      </c>
      <c r="BY280" s="5">
        <f>IF(A280="","",IFERROR(IF(ISNUMBER(U280),U280,VALUE(SUBSTITUTE(SUBSTITUTE(SUBSTITUTE(UPPER(TRIM(U280)),"M",""),",","")," ",""))),0))</f>
        <v/>
      </c>
    </row>
    <row r="281" ht="15" customHeight="1" s="74">
      <c r="A281" s="66">
        <f>'Project Database'!A285</f>
        <v/>
      </c>
      <c r="B281" s="66">
        <f>'Project Database'!B285</f>
        <v/>
      </c>
      <c r="C281" s="66">
        <f>'Project Database'!G285</f>
        <v/>
      </c>
      <c r="D281" s="66">
        <f>'Project Database'!H285</f>
        <v/>
      </c>
      <c r="E281" s="66">
        <f>'Project Database'!I285</f>
        <v/>
      </c>
      <c r="F281" s="66">
        <f>'Project Database'!J285</f>
        <v/>
      </c>
      <c r="G281" s="66">
        <f>'Project Database'!K285</f>
        <v/>
      </c>
      <c r="H281" s="66">
        <f>'Project Database'!L285</f>
        <v/>
      </c>
      <c r="I281" s="66">
        <f>'Project Database'!M285</f>
        <v/>
      </c>
      <c r="J281" s="66">
        <f>'Project Database'!N285</f>
        <v/>
      </c>
      <c r="K281" s="66">
        <f>'Project Database'!O285</f>
        <v/>
      </c>
      <c r="L281" s="66">
        <f>'Project Database'!P285</f>
        <v/>
      </c>
      <c r="M281" s="66">
        <f>'Project Database'!Q285</f>
        <v/>
      </c>
      <c r="N281" s="66">
        <f>'Project Database'!R285</f>
        <v/>
      </c>
      <c r="O281" s="66">
        <f>'Project Database'!S285</f>
        <v/>
      </c>
      <c r="P281" s="66">
        <f>'Project Database'!T285</f>
        <v/>
      </c>
      <c r="Q281" s="66">
        <f>'Project Database'!U285</f>
        <v/>
      </c>
      <c r="R281" s="66">
        <f>'Project Database'!V285</f>
        <v/>
      </c>
      <c r="S281" s="66">
        <f>'Project Database'!W285</f>
        <v/>
      </c>
      <c r="T281" s="66">
        <f>'Project Database'!X285</f>
        <v/>
      </c>
      <c r="U281" s="67">
        <f>'Project Database'!Y285</f>
        <v/>
      </c>
      <c r="V281" s="66">
        <f>IF('Smart Search'!B13=1,IFERROR(1/'Smart Search'!H13,0),0)</f>
        <v/>
      </c>
      <c r="W281" s="66">
        <f>IF('Smart Search'!B13=1,IFERROR(1/'Smart Search'!H13,0),0)</f>
        <v/>
      </c>
      <c r="X281" s="66">
        <f>IF('Smart Search'!C13=1,IFERROR(1/'Smart Search'!H13,0),0)</f>
        <v/>
      </c>
      <c r="Y281" s="66">
        <f>IF('Smart Search'!C13=1,IFERROR(1/'Smart Search'!H13,0),0)</f>
        <v/>
      </c>
      <c r="Z281" s="66">
        <f>IF('Smart Search'!D13=1,IFERROR(1/'Smart Search'!H13,0),0)</f>
        <v/>
      </c>
      <c r="AA281" s="66">
        <f>IF('Smart Search'!D13=1,IFERROR(1/'Smart Search'!H13,0),0)</f>
        <v/>
      </c>
      <c r="AB281" s="66">
        <f>IF('Smart Search'!E13=1,IFERROR(1/'Smart Search'!H13,0),0)</f>
        <v/>
      </c>
      <c r="AC281" s="66">
        <f>IF('Smart Search'!E13=1,IFERROR(1/'Smart Search'!H13,0),0)</f>
        <v/>
      </c>
      <c r="AD281" s="66">
        <f>IF('Smart Search'!F13=1,IFERROR(1/'Smart Search'!H13,0),0)</f>
        <v/>
      </c>
      <c r="AE281" s="66">
        <f>IF('Smart Search'!F13=1,IFERROR(1/'Smart Search'!H13,0),0)</f>
        <v/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66">
        <f>AF281*V281</f>
        <v/>
      </c>
      <c r="AQ281" s="66">
        <f>AG281*W281</f>
        <v/>
      </c>
      <c r="AR281" s="66">
        <f>AH281*X281</f>
        <v/>
      </c>
      <c r="AS281" s="66">
        <f>AI281*Y281</f>
        <v/>
      </c>
      <c r="AT281" s="66">
        <f>AJ281*Z281</f>
        <v/>
      </c>
      <c r="AU281" s="66">
        <f>AK281*AA281</f>
        <v/>
      </c>
      <c r="AV281" s="66">
        <f>AL281*AB281</f>
        <v/>
      </c>
      <c r="AW281" s="66">
        <f>AM281*AC281</f>
        <v/>
      </c>
      <c r="AX281" s="66">
        <f>AN281*AD281</f>
        <v/>
      </c>
      <c r="AY281" s="66">
        <f>AO281*AE281</f>
        <v/>
      </c>
      <c r="AZ281" s="66">
        <f>'Project Database'!Z285</f>
        <v/>
      </c>
      <c r="BA281" s="66">
        <f>IF(OR(A281="",'Smart Search'!H13=0),"",MAX(0,BE281*BF281*MAX(0,1-BG281)))</f>
        <v/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66">
        <f>IF('Smart Search'!G13=1,IFERROR(1/'Smart Search'!H13,0),0)</f>
        <v/>
      </c>
      <c r="BD281" s="66">
        <f>BB281*BC281</f>
        <v/>
      </c>
      <c r="BE281" s="66">
        <f>AP281+AQ281+AR281+AS281+AT281+AU281+AV281+AW281+AX281+AY281+BD281</f>
        <v/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5">
        <f>IF(AND('Project Database'!A285&lt;&gt;"",OR('Smart Search'!$L$5="",'Smart Search'!$L$5="All",TRIM('Project Database'!D285)=TRIM('Smart Search'!$L$5)),OR(TRIM('Smart Search'!$L$6)="",TRIM('Smart Search'!$L$6)="All",ISNUMBER(SEARCH(SUBSTITUTE(SUBSTITUTE(SUBSTITUTE(TRIM('Smart Search'!$L$6),"~","~~"),"*","~*"),"?","~?"),'Project Database'!C285))),OR('Smart Search'!$L$7="",AND('Project Database'!E285&lt;&gt;"",'Project Database'!E285='Smart Search'!$L$7)),OR('Smart Search'!$L$8="",'Smart Search'!$L$8="All",TRIM('Project Database'!F285)=TRIM('Smart Search'!$L$8))),IF(BA281="","",BA281+ROW()*0.0000000001),"")</f>
        <v/>
      </c>
      <c r="BI281" s="5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>
        <f>IF('Project Database'!A285="","",N('Project Database'!AC285))</f>
        <v/>
      </c>
      <c r="BK281" s="5">
        <f>IF('Project Database'!A285="","",N('Project Database'!AD285))</f>
        <v/>
      </c>
      <c r="BL281" s="5">
        <f>IF('Project Database'!A285="","",N('Project Database'!AE285))</f>
        <v/>
      </c>
      <c r="BM281" s="5">
        <f>IF('Project Database'!A285="","",N('Project Database'!AF285))</f>
        <v/>
      </c>
      <c r="BN281" s="5">
        <f>IF('Project Database'!A285="","",N('Project Database'!AG285))</f>
        <v/>
      </c>
      <c r="BO281" s="5">
        <f>IF('Project Database'!A285="","",N('Project Database'!AH285))</f>
        <v/>
      </c>
      <c r="BP281" s="5">
        <f>IF('Project Database'!A285="","",N('Project Database'!AI285))</f>
        <v/>
      </c>
      <c r="BQ281" s="5">
        <f>IF('Project Database'!A285="","",N('Project Database'!AJ285))</f>
        <v/>
      </c>
      <c r="BR281" s="5">
        <f>IF('Project Database'!A285="","",N('Project Database'!AK285))</f>
        <v/>
      </c>
      <c r="BS281" s="5">
        <f>IF('Project Database'!A285="","",N('Project Database'!AL285))</f>
        <v/>
      </c>
      <c r="BT281" s="5">
        <f>IF('Project Database'!A285="","",N('Project Database'!AM285))</f>
        <v/>
      </c>
      <c r="BU281" s="5">
        <f>IF('Project Database'!A285="","",N('Project Database'!AN285))</f>
        <v/>
      </c>
      <c r="BV281" s="5">
        <f>IF('Project Database'!A285="","",N('Project Database'!AO285))</f>
        <v/>
      </c>
      <c r="BW281" s="5">
        <f>IF('Project Database'!A285="","",N('Project Database'!AP285))</f>
        <v/>
      </c>
      <c r="BX281" s="5">
        <f>IF(A281="","",SUM(BJ281:BW281))</f>
        <v/>
      </c>
      <c r="BY281" s="5">
        <f>IF(A281="","",IFERROR(IF(ISNUMBER(U281),U281,VALUE(SUBSTITUTE(SUBSTITUTE(SUBSTITUTE(UPPER(TRIM(U281)),"M",""),",","")," ",""))),0))</f>
        <v/>
      </c>
    </row>
    <row r="282" ht="15" customHeight="1" s="74">
      <c r="A282" s="66">
        <f>'Project Database'!A286</f>
        <v/>
      </c>
      <c r="B282" s="66">
        <f>'Project Database'!B286</f>
        <v/>
      </c>
      <c r="C282" s="66">
        <f>'Project Database'!G286</f>
        <v/>
      </c>
      <c r="D282" s="66">
        <f>'Project Database'!H286</f>
        <v/>
      </c>
      <c r="E282" s="66">
        <f>'Project Database'!I286</f>
        <v/>
      </c>
      <c r="F282" s="66">
        <f>'Project Database'!J286</f>
        <v/>
      </c>
      <c r="G282" s="66">
        <f>'Project Database'!K286</f>
        <v/>
      </c>
      <c r="H282" s="66">
        <f>'Project Database'!L286</f>
        <v/>
      </c>
      <c r="I282" s="66">
        <f>'Project Database'!M286</f>
        <v/>
      </c>
      <c r="J282" s="66">
        <f>'Project Database'!N286</f>
        <v/>
      </c>
      <c r="K282" s="66">
        <f>'Project Database'!O286</f>
        <v/>
      </c>
      <c r="L282" s="66">
        <f>'Project Database'!P286</f>
        <v/>
      </c>
      <c r="M282" s="66">
        <f>'Project Database'!Q286</f>
        <v/>
      </c>
      <c r="N282" s="66">
        <f>'Project Database'!R286</f>
        <v/>
      </c>
      <c r="O282" s="66">
        <f>'Project Database'!S286</f>
        <v/>
      </c>
      <c r="P282" s="66">
        <f>'Project Database'!T286</f>
        <v/>
      </c>
      <c r="Q282" s="66">
        <f>'Project Database'!U286</f>
        <v/>
      </c>
      <c r="R282" s="66">
        <f>'Project Database'!V286</f>
        <v/>
      </c>
      <c r="S282" s="66">
        <f>'Project Database'!W286</f>
        <v/>
      </c>
      <c r="T282" s="66">
        <f>'Project Database'!X286</f>
        <v/>
      </c>
      <c r="U282" s="67">
        <f>'Project Database'!Y286</f>
        <v/>
      </c>
      <c r="V282" s="66">
        <f>IF('Smart Search'!B13=1,IFERROR(1/'Smart Search'!H13,0),0)</f>
        <v/>
      </c>
      <c r="W282" s="66">
        <f>IF('Smart Search'!B13=1,IFERROR(1/'Smart Search'!H13,0),0)</f>
        <v/>
      </c>
      <c r="X282" s="66">
        <f>IF('Smart Search'!C13=1,IFERROR(1/'Smart Search'!H13,0),0)</f>
        <v/>
      </c>
      <c r="Y282" s="66">
        <f>IF('Smart Search'!C13=1,IFERROR(1/'Smart Search'!H13,0),0)</f>
        <v/>
      </c>
      <c r="Z282" s="66">
        <f>IF('Smart Search'!D13=1,IFERROR(1/'Smart Search'!H13,0),0)</f>
        <v/>
      </c>
      <c r="AA282" s="66">
        <f>IF('Smart Search'!D13=1,IFERROR(1/'Smart Search'!H13,0),0)</f>
        <v/>
      </c>
      <c r="AB282" s="66">
        <f>IF('Smart Search'!E13=1,IFERROR(1/'Smart Search'!H13,0),0)</f>
        <v/>
      </c>
      <c r="AC282" s="66">
        <f>IF('Smart Search'!E13=1,IFERROR(1/'Smart Search'!H13,0),0)</f>
        <v/>
      </c>
      <c r="AD282" s="66">
        <f>IF('Smart Search'!F13=1,IFERROR(1/'Smart Search'!H13,0),0)</f>
        <v/>
      </c>
      <c r="AE282" s="66">
        <f>IF('Smart Search'!F13=1,IFERROR(1/'Smart Search'!H13,0),0)</f>
        <v/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66">
        <f>AF282*V282</f>
        <v/>
      </c>
      <c r="AQ282" s="66">
        <f>AG282*W282</f>
        <v/>
      </c>
      <c r="AR282" s="66">
        <f>AH282*X282</f>
        <v/>
      </c>
      <c r="AS282" s="66">
        <f>AI282*Y282</f>
        <v/>
      </c>
      <c r="AT282" s="66">
        <f>AJ282*Z282</f>
        <v/>
      </c>
      <c r="AU282" s="66">
        <f>AK282*AA282</f>
        <v/>
      </c>
      <c r="AV282" s="66">
        <f>AL282*AB282</f>
        <v/>
      </c>
      <c r="AW282" s="66">
        <f>AM282*AC282</f>
        <v/>
      </c>
      <c r="AX282" s="66">
        <f>AN282*AD282</f>
        <v/>
      </c>
      <c r="AY282" s="66">
        <f>AO282*AE282</f>
        <v/>
      </c>
      <c r="AZ282" s="66">
        <f>'Project Database'!Z286</f>
        <v/>
      </c>
      <c r="BA282" s="66">
        <f>IF(OR(A282="",'Smart Search'!H13=0),"",MAX(0,BE282*BF282*MAX(0,1-BG282)))</f>
        <v/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66">
        <f>IF('Smart Search'!G13=1,IFERROR(1/'Smart Search'!H13,0),0)</f>
        <v/>
      </c>
      <c r="BD282" s="66">
        <f>BB282*BC282</f>
        <v/>
      </c>
      <c r="BE282" s="66">
        <f>AP282+AQ282+AR282+AS282+AT282+AU282+AV282+AW282+AX282+AY282+BD282</f>
        <v/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5">
        <f>IF(AND('Project Database'!A286&lt;&gt;"",OR('Smart Search'!$L$5="",'Smart Search'!$L$5="All",TRIM('Project Database'!D286)=TRIM('Smart Search'!$L$5)),OR(TRIM('Smart Search'!$L$6)="",TRIM('Smart Search'!$L$6)="All",ISNUMBER(SEARCH(SUBSTITUTE(SUBSTITUTE(SUBSTITUTE(TRIM('Smart Search'!$L$6),"~","~~"),"*","~*"),"?","~?"),'Project Database'!C286))),OR('Smart Search'!$L$7="",AND('Project Database'!E286&lt;&gt;"",'Project Database'!E286='Smart Search'!$L$7)),OR('Smart Search'!$L$8="",'Smart Search'!$L$8="All",TRIM('Project Database'!F286)=TRIM('Smart Search'!$L$8))),IF(BA282="","",BA282+ROW()*0.0000000001),"")</f>
        <v/>
      </c>
      <c r="BI282" s="5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>
        <f>IF('Project Database'!A286="","",N('Project Database'!AC286))</f>
        <v/>
      </c>
      <c r="BK282" s="5">
        <f>IF('Project Database'!A286="","",N('Project Database'!AD286))</f>
        <v/>
      </c>
      <c r="BL282" s="5">
        <f>IF('Project Database'!A286="","",N('Project Database'!AE286))</f>
        <v/>
      </c>
      <c r="BM282" s="5">
        <f>IF('Project Database'!A286="","",N('Project Database'!AF286))</f>
        <v/>
      </c>
      <c r="BN282" s="5">
        <f>IF('Project Database'!A286="","",N('Project Database'!AG286))</f>
        <v/>
      </c>
      <c r="BO282" s="5">
        <f>IF('Project Database'!A286="","",N('Project Database'!AH286))</f>
        <v/>
      </c>
      <c r="BP282" s="5">
        <f>IF('Project Database'!A286="","",N('Project Database'!AI286))</f>
        <v/>
      </c>
      <c r="BQ282" s="5">
        <f>IF('Project Database'!A286="","",N('Project Database'!AJ286))</f>
        <v/>
      </c>
      <c r="BR282" s="5">
        <f>IF('Project Database'!A286="","",N('Project Database'!AK286))</f>
        <v/>
      </c>
      <c r="BS282" s="5">
        <f>IF('Project Database'!A286="","",N('Project Database'!AL286))</f>
        <v/>
      </c>
      <c r="BT282" s="5">
        <f>IF('Project Database'!A286="","",N('Project Database'!AM286))</f>
        <v/>
      </c>
      <c r="BU282" s="5">
        <f>IF('Project Database'!A286="","",N('Project Database'!AN286))</f>
        <v/>
      </c>
      <c r="BV282" s="5">
        <f>IF('Project Database'!A286="","",N('Project Database'!AO286))</f>
        <v/>
      </c>
      <c r="BW282" s="5">
        <f>IF('Project Database'!A286="","",N('Project Database'!AP286))</f>
        <v/>
      </c>
      <c r="BX282" s="5">
        <f>IF(A282="","",SUM(BJ282:BW282))</f>
        <v/>
      </c>
      <c r="BY282" s="5">
        <f>IF(A282="","",IFERROR(IF(ISNUMBER(U282),U282,VALUE(SUBSTITUTE(SUBSTITUTE(SUBSTITUTE(UPPER(TRIM(U282)),"M",""),",","")," ",""))),0))</f>
        <v/>
      </c>
    </row>
    <row r="283" ht="15" customHeight="1" s="74">
      <c r="A283" s="66">
        <f>'Project Database'!A287</f>
        <v/>
      </c>
      <c r="B283" s="66">
        <f>'Project Database'!B287</f>
        <v/>
      </c>
      <c r="C283" s="66">
        <f>'Project Database'!G287</f>
        <v/>
      </c>
      <c r="D283" s="66">
        <f>'Project Database'!H287</f>
        <v/>
      </c>
      <c r="E283" s="66">
        <f>'Project Database'!I287</f>
        <v/>
      </c>
      <c r="F283" s="66">
        <f>'Project Database'!J287</f>
        <v/>
      </c>
      <c r="G283" s="66">
        <f>'Project Database'!K287</f>
        <v/>
      </c>
      <c r="H283" s="66">
        <f>'Project Database'!L287</f>
        <v/>
      </c>
      <c r="I283" s="66">
        <f>'Project Database'!M287</f>
        <v/>
      </c>
      <c r="J283" s="66">
        <f>'Project Database'!N287</f>
        <v/>
      </c>
      <c r="K283" s="66">
        <f>'Project Database'!O287</f>
        <v/>
      </c>
      <c r="L283" s="66">
        <f>'Project Database'!P287</f>
        <v/>
      </c>
      <c r="M283" s="66">
        <f>'Project Database'!Q287</f>
        <v/>
      </c>
      <c r="N283" s="66">
        <f>'Project Database'!R287</f>
        <v/>
      </c>
      <c r="O283" s="66">
        <f>'Project Database'!S287</f>
        <v/>
      </c>
      <c r="P283" s="66">
        <f>'Project Database'!T287</f>
        <v/>
      </c>
      <c r="Q283" s="66">
        <f>'Project Database'!U287</f>
        <v/>
      </c>
      <c r="R283" s="66">
        <f>'Project Database'!V287</f>
        <v/>
      </c>
      <c r="S283" s="66">
        <f>'Project Database'!W287</f>
        <v/>
      </c>
      <c r="T283" s="66">
        <f>'Project Database'!X287</f>
        <v/>
      </c>
      <c r="U283" s="67">
        <f>'Project Database'!Y287</f>
        <v/>
      </c>
      <c r="V283" s="66">
        <f>IF('Smart Search'!B13=1,IFERROR(1/'Smart Search'!H13,0),0)</f>
        <v/>
      </c>
      <c r="W283" s="66">
        <f>IF('Smart Search'!B13=1,IFERROR(1/'Smart Search'!H13,0),0)</f>
        <v/>
      </c>
      <c r="X283" s="66">
        <f>IF('Smart Search'!C13=1,IFERROR(1/'Smart Search'!H13,0),0)</f>
        <v/>
      </c>
      <c r="Y283" s="66">
        <f>IF('Smart Search'!C13=1,IFERROR(1/'Smart Search'!H13,0),0)</f>
        <v/>
      </c>
      <c r="Z283" s="66">
        <f>IF('Smart Search'!D13=1,IFERROR(1/'Smart Search'!H13,0),0)</f>
        <v/>
      </c>
      <c r="AA283" s="66">
        <f>IF('Smart Search'!D13=1,IFERROR(1/'Smart Search'!H13,0),0)</f>
        <v/>
      </c>
      <c r="AB283" s="66">
        <f>IF('Smart Search'!E13=1,IFERROR(1/'Smart Search'!H13,0),0)</f>
        <v/>
      </c>
      <c r="AC283" s="66">
        <f>IF('Smart Search'!E13=1,IFERROR(1/'Smart Search'!H13,0),0)</f>
        <v/>
      </c>
      <c r="AD283" s="66">
        <f>IF('Smart Search'!F13=1,IFERROR(1/'Smart Search'!H13,0),0)</f>
        <v/>
      </c>
      <c r="AE283" s="66">
        <f>IF('Smart Search'!F13=1,IFERROR(1/'Smart Search'!H13,0),0)</f>
        <v/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66">
        <f>AF283*V283</f>
        <v/>
      </c>
      <c r="AQ283" s="66">
        <f>AG283*W283</f>
        <v/>
      </c>
      <c r="AR283" s="66">
        <f>AH283*X283</f>
        <v/>
      </c>
      <c r="AS283" s="66">
        <f>AI283*Y283</f>
        <v/>
      </c>
      <c r="AT283" s="66">
        <f>AJ283*Z283</f>
        <v/>
      </c>
      <c r="AU283" s="66">
        <f>AK283*AA283</f>
        <v/>
      </c>
      <c r="AV283" s="66">
        <f>AL283*AB283</f>
        <v/>
      </c>
      <c r="AW283" s="66">
        <f>AM283*AC283</f>
        <v/>
      </c>
      <c r="AX283" s="66">
        <f>AN283*AD283</f>
        <v/>
      </c>
      <c r="AY283" s="66">
        <f>AO283*AE283</f>
        <v/>
      </c>
      <c r="AZ283" s="66">
        <f>'Project Database'!Z287</f>
        <v/>
      </c>
      <c r="BA283" s="66">
        <f>IF(OR(A283="",'Smart Search'!H13=0),"",MAX(0,BE283*BF283*MAX(0,1-BG283)))</f>
        <v/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66">
        <f>IF('Smart Search'!G13=1,IFERROR(1/'Smart Search'!H13,0),0)</f>
        <v/>
      </c>
      <c r="BD283" s="66">
        <f>BB283*BC283</f>
        <v/>
      </c>
      <c r="BE283" s="66">
        <f>AP283+AQ283+AR283+AS283+AT283+AU283+AV283+AW283+AX283+AY283+BD283</f>
        <v/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5">
        <f>IF(AND('Project Database'!A287&lt;&gt;"",OR('Smart Search'!$L$5="",'Smart Search'!$L$5="All",TRIM('Project Database'!D287)=TRIM('Smart Search'!$L$5)),OR(TRIM('Smart Search'!$L$6)="",TRIM('Smart Search'!$L$6)="All",ISNUMBER(SEARCH(SUBSTITUTE(SUBSTITUTE(SUBSTITUTE(TRIM('Smart Search'!$L$6),"~","~~"),"*","~*"),"?","~?"),'Project Database'!C287))),OR('Smart Search'!$L$7="",AND('Project Database'!E287&lt;&gt;"",'Project Database'!E287='Smart Search'!$L$7)),OR('Smart Search'!$L$8="",'Smart Search'!$L$8="All",TRIM('Project Database'!F287)=TRIM('Smart Search'!$L$8))),IF(BA283="","",BA283+ROW()*0.0000000001),"")</f>
        <v/>
      </c>
      <c r="BI283" s="5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>
        <f>IF('Project Database'!A287="","",N('Project Database'!AC287))</f>
        <v/>
      </c>
      <c r="BK283" s="5">
        <f>IF('Project Database'!A287="","",N('Project Database'!AD287))</f>
        <v/>
      </c>
      <c r="BL283" s="5">
        <f>IF('Project Database'!A287="","",N('Project Database'!AE287))</f>
        <v/>
      </c>
      <c r="BM283" s="5">
        <f>IF('Project Database'!A287="","",N('Project Database'!AF287))</f>
        <v/>
      </c>
      <c r="BN283" s="5">
        <f>IF('Project Database'!A287="","",N('Project Database'!AG287))</f>
        <v/>
      </c>
      <c r="BO283" s="5">
        <f>IF('Project Database'!A287="","",N('Project Database'!AH287))</f>
        <v/>
      </c>
      <c r="BP283" s="5">
        <f>IF('Project Database'!A287="","",N('Project Database'!AI287))</f>
        <v/>
      </c>
      <c r="BQ283" s="5">
        <f>IF('Project Database'!A287="","",N('Project Database'!AJ287))</f>
        <v/>
      </c>
      <c r="BR283" s="5">
        <f>IF('Project Database'!A287="","",N('Project Database'!AK287))</f>
        <v/>
      </c>
      <c r="BS283" s="5">
        <f>IF('Project Database'!A287="","",N('Project Database'!AL287))</f>
        <v/>
      </c>
      <c r="BT283" s="5">
        <f>IF('Project Database'!A287="","",N('Project Database'!AM287))</f>
        <v/>
      </c>
      <c r="BU283" s="5">
        <f>IF('Project Database'!A287="","",N('Project Database'!AN287))</f>
        <v/>
      </c>
      <c r="BV283" s="5">
        <f>IF('Project Database'!A287="","",N('Project Database'!AO287))</f>
        <v/>
      </c>
      <c r="BW283" s="5">
        <f>IF('Project Database'!A287="","",N('Project Database'!AP287))</f>
        <v/>
      </c>
      <c r="BX283" s="5">
        <f>IF(A283="","",SUM(BJ283:BW283))</f>
        <v/>
      </c>
      <c r="BY283" s="5">
        <f>IF(A283="","",IFERROR(IF(ISNUMBER(U283),U283,VALUE(SUBSTITUTE(SUBSTITUTE(SUBSTITUTE(UPPER(TRIM(U283)),"M",""),",","")," ",""))),0))</f>
        <v/>
      </c>
    </row>
    <row r="284" ht="15" customHeight="1" s="74">
      <c r="A284" s="66">
        <f>'Project Database'!A288</f>
        <v/>
      </c>
      <c r="B284" s="66">
        <f>'Project Database'!B288</f>
        <v/>
      </c>
      <c r="C284" s="66">
        <f>'Project Database'!G288</f>
        <v/>
      </c>
      <c r="D284" s="66">
        <f>'Project Database'!H288</f>
        <v/>
      </c>
      <c r="E284" s="66">
        <f>'Project Database'!I288</f>
        <v/>
      </c>
      <c r="F284" s="66">
        <f>'Project Database'!J288</f>
        <v/>
      </c>
      <c r="G284" s="66">
        <f>'Project Database'!K288</f>
        <v/>
      </c>
      <c r="H284" s="66">
        <f>'Project Database'!L288</f>
        <v/>
      </c>
      <c r="I284" s="66">
        <f>'Project Database'!M288</f>
        <v/>
      </c>
      <c r="J284" s="66">
        <f>'Project Database'!N288</f>
        <v/>
      </c>
      <c r="K284" s="66">
        <f>'Project Database'!O288</f>
        <v/>
      </c>
      <c r="L284" s="66">
        <f>'Project Database'!P288</f>
        <v/>
      </c>
      <c r="M284" s="66">
        <f>'Project Database'!Q288</f>
        <v/>
      </c>
      <c r="N284" s="66">
        <f>'Project Database'!R288</f>
        <v/>
      </c>
      <c r="O284" s="66">
        <f>'Project Database'!S288</f>
        <v/>
      </c>
      <c r="P284" s="66">
        <f>'Project Database'!T288</f>
        <v/>
      </c>
      <c r="Q284" s="66">
        <f>'Project Database'!U288</f>
        <v/>
      </c>
      <c r="R284" s="66">
        <f>'Project Database'!V288</f>
        <v/>
      </c>
      <c r="S284" s="66">
        <f>'Project Database'!W288</f>
        <v/>
      </c>
      <c r="T284" s="66">
        <f>'Project Database'!X288</f>
        <v/>
      </c>
      <c r="U284" s="67">
        <f>'Project Database'!Y288</f>
        <v/>
      </c>
      <c r="V284" s="66">
        <f>IF('Smart Search'!B13=1,IFERROR(1/'Smart Search'!H13,0),0)</f>
        <v/>
      </c>
      <c r="W284" s="66">
        <f>IF('Smart Search'!B13=1,IFERROR(1/'Smart Search'!H13,0),0)</f>
        <v/>
      </c>
      <c r="X284" s="66">
        <f>IF('Smart Search'!C13=1,IFERROR(1/'Smart Search'!H13,0),0)</f>
        <v/>
      </c>
      <c r="Y284" s="66">
        <f>IF('Smart Search'!C13=1,IFERROR(1/'Smart Search'!H13,0),0)</f>
        <v/>
      </c>
      <c r="Z284" s="66">
        <f>IF('Smart Search'!D13=1,IFERROR(1/'Smart Search'!H13,0),0)</f>
        <v/>
      </c>
      <c r="AA284" s="66">
        <f>IF('Smart Search'!D13=1,IFERROR(1/'Smart Search'!H13,0),0)</f>
        <v/>
      </c>
      <c r="AB284" s="66">
        <f>IF('Smart Search'!E13=1,IFERROR(1/'Smart Search'!H13,0),0)</f>
        <v/>
      </c>
      <c r="AC284" s="66">
        <f>IF('Smart Search'!E13=1,IFERROR(1/'Smart Search'!H13,0),0)</f>
        <v/>
      </c>
      <c r="AD284" s="66">
        <f>IF('Smart Search'!F13=1,IFERROR(1/'Smart Search'!H13,0),0)</f>
        <v/>
      </c>
      <c r="AE284" s="66">
        <f>IF('Smart Search'!F13=1,IFERROR(1/'Smart Search'!H13,0),0)</f>
        <v/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66">
        <f>AF284*V284</f>
        <v/>
      </c>
      <c r="AQ284" s="66">
        <f>AG284*W284</f>
        <v/>
      </c>
      <c r="AR284" s="66">
        <f>AH284*X284</f>
        <v/>
      </c>
      <c r="AS284" s="66">
        <f>AI284*Y284</f>
        <v/>
      </c>
      <c r="AT284" s="66">
        <f>AJ284*Z284</f>
        <v/>
      </c>
      <c r="AU284" s="66">
        <f>AK284*AA284</f>
        <v/>
      </c>
      <c r="AV284" s="66">
        <f>AL284*AB284</f>
        <v/>
      </c>
      <c r="AW284" s="66">
        <f>AM284*AC284</f>
        <v/>
      </c>
      <c r="AX284" s="66">
        <f>AN284*AD284</f>
        <v/>
      </c>
      <c r="AY284" s="66">
        <f>AO284*AE284</f>
        <v/>
      </c>
      <c r="AZ284" s="66">
        <f>'Project Database'!Z288</f>
        <v/>
      </c>
      <c r="BA284" s="66">
        <f>IF(OR(A284="",'Smart Search'!H13=0),"",MAX(0,BE284*BF284*MAX(0,1-BG284)))</f>
        <v/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66">
        <f>IF('Smart Search'!G13=1,IFERROR(1/'Smart Search'!H13,0),0)</f>
        <v/>
      </c>
      <c r="BD284" s="66">
        <f>BB284*BC284</f>
        <v/>
      </c>
      <c r="BE284" s="66">
        <f>AP284+AQ284+AR284+AS284+AT284+AU284+AV284+AW284+AX284+AY284+BD284</f>
        <v/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5">
        <f>IF(AND('Project Database'!A288&lt;&gt;"",OR('Smart Search'!$L$5="",'Smart Search'!$L$5="All",TRIM('Project Database'!D288)=TRIM('Smart Search'!$L$5)),OR(TRIM('Smart Search'!$L$6)="",TRIM('Smart Search'!$L$6)="All",ISNUMBER(SEARCH(SUBSTITUTE(SUBSTITUTE(SUBSTITUTE(TRIM('Smart Search'!$L$6),"~","~~"),"*","~*"),"?","~?"),'Project Database'!C288))),OR('Smart Search'!$L$7="",AND('Project Database'!E288&lt;&gt;"",'Project Database'!E288='Smart Search'!$L$7)),OR('Smart Search'!$L$8="",'Smart Search'!$L$8="All",TRIM('Project Database'!F288)=TRIM('Smart Search'!$L$8))),IF(BA284="","",BA284+ROW()*0.0000000001),"")</f>
        <v/>
      </c>
      <c r="BI284" s="5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>
        <f>IF('Project Database'!A288="","",N('Project Database'!AC288))</f>
        <v/>
      </c>
      <c r="BK284" s="5">
        <f>IF('Project Database'!A288="","",N('Project Database'!AD288))</f>
        <v/>
      </c>
      <c r="BL284" s="5">
        <f>IF('Project Database'!A288="","",N('Project Database'!AE288))</f>
        <v/>
      </c>
      <c r="BM284" s="5">
        <f>IF('Project Database'!A288="","",N('Project Database'!AF288))</f>
        <v/>
      </c>
      <c r="BN284" s="5">
        <f>IF('Project Database'!A288="","",N('Project Database'!AG288))</f>
        <v/>
      </c>
      <c r="BO284" s="5">
        <f>IF('Project Database'!A288="","",N('Project Database'!AH288))</f>
        <v/>
      </c>
      <c r="BP284" s="5">
        <f>IF('Project Database'!A288="","",N('Project Database'!AI288))</f>
        <v/>
      </c>
      <c r="BQ284" s="5">
        <f>IF('Project Database'!A288="","",N('Project Database'!AJ288))</f>
        <v/>
      </c>
      <c r="BR284" s="5">
        <f>IF('Project Database'!A288="","",N('Project Database'!AK288))</f>
        <v/>
      </c>
      <c r="BS284" s="5">
        <f>IF('Project Database'!A288="","",N('Project Database'!AL288))</f>
        <v/>
      </c>
      <c r="BT284" s="5">
        <f>IF('Project Database'!A288="","",N('Project Database'!AM288))</f>
        <v/>
      </c>
      <c r="BU284" s="5">
        <f>IF('Project Database'!A288="","",N('Project Database'!AN288))</f>
        <v/>
      </c>
      <c r="BV284" s="5">
        <f>IF('Project Database'!A288="","",N('Project Database'!AO288))</f>
        <v/>
      </c>
      <c r="BW284" s="5">
        <f>IF('Project Database'!A288="","",N('Project Database'!AP288))</f>
        <v/>
      </c>
      <c r="BX284" s="5">
        <f>IF(A284="","",SUM(BJ284:BW284))</f>
        <v/>
      </c>
      <c r="BY284" s="5">
        <f>IF(A284="","",IFERROR(IF(ISNUMBER(U284),U284,VALUE(SUBSTITUTE(SUBSTITUTE(SUBSTITUTE(UPPER(TRIM(U284)),"M",""),",","")," ",""))),0))</f>
        <v/>
      </c>
    </row>
    <row r="285" ht="15" customHeight="1" s="74">
      <c r="A285" s="66">
        <f>'Project Database'!A289</f>
        <v/>
      </c>
      <c r="B285" s="66">
        <f>'Project Database'!B289</f>
        <v/>
      </c>
      <c r="C285" s="66">
        <f>'Project Database'!G289</f>
        <v/>
      </c>
      <c r="D285" s="66">
        <f>'Project Database'!H289</f>
        <v/>
      </c>
      <c r="E285" s="66">
        <f>'Project Database'!I289</f>
        <v/>
      </c>
      <c r="F285" s="66">
        <f>'Project Database'!J289</f>
        <v/>
      </c>
      <c r="G285" s="66">
        <f>'Project Database'!K289</f>
        <v/>
      </c>
      <c r="H285" s="66">
        <f>'Project Database'!L289</f>
        <v/>
      </c>
      <c r="I285" s="66">
        <f>'Project Database'!M289</f>
        <v/>
      </c>
      <c r="J285" s="66">
        <f>'Project Database'!N289</f>
        <v/>
      </c>
      <c r="K285" s="66">
        <f>'Project Database'!O289</f>
        <v/>
      </c>
      <c r="L285" s="66">
        <f>'Project Database'!P289</f>
        <v/>
      </c>
      <c r="M285" s="66">
        <f>'Project Database'!Q289</f>
        <v/>
      </c>
      <c r="N285" s="66">
        <f>'Project Database'!R289</f>
        <v/>
      </c>
      <c r="O285" s="66">
        <f>'Project Database'!S289</f>
        <v/>
      </c>
      <c r="P285" s="66">
        <f>'Project Database'!T289</f>
        <v/>
      </c>
      <c r="Q285" s="66">
        <f>'Project Database'!U289</f>
        <v/>
      </c>
      <c r="R285" s="66">
        <f>'Project Database'!V289</f>
        <v/>
      </c>
      <c r="S285" s="66">
        <f>'Project Database'!W289</f>
        <v/>
      </c>
      <c r="T285" s="66">
        <f>'Project Database'!X289</f>
        <v/>
      </c>
      <c r="U285" s="67">
        <f>'Project Database'!Y289</f>
        <v/>
      </c>
      <c r="V285" s="66">
        <f>IF('Smart Search'!B13=1,IFERROR(1/'Smart Search'!H13,0),0)</f>
        <v/>
      </c>
      <c r="W285" s="66">
        <f>IF('Smart Search'!B13=1,IFERROR(1/'Smart Search'!H13,0),0)</f>
        <v/>
      </c>
      <c r="X285" s="66">
        <f>IF('Smart Search'!C13=1,IFERROR(1/'Smart Search'!H13,0),0)</f>
        <v/>
      </c>
      <c r="Y285" s="66">
        <f>IF('Smart Search'!C13=1,IFERROR(1/'Smart Search'!H13,0),0)</f>
        <v/>
      </c>
      <c r="Z285" s="66">
        <f>IF('Smart Search'!D13=1,IFERROR(1/'Smart Search'!H13,0),0)</f>
        <v/>
      </c>
      <c r="AA285" s="66">
        <f>IF('Smart Search'!D13=1,IFERROR(1/'Smart Search'!H13,0),0)</f>
        <v/>
      </c>
      <c r="AB285" s="66">
        <f>IF('Smart Search'!E13=1,IFERROR(1/'Smart Search'!H13,0),0)</f>
        <v/>
      </c>
      <c r="AC285" s="66">
        <f>IF('Smart Search'!E13=1,IFERROR(1/'Smart Search'!H13,0),0)</f>
        <v/>
      </c>
      <c r="AD285" s="66">
        <f>IF('Smart Search'!F13=1,IFERROR(1/'Smart Search'!H13,0),0)</f>
        <v/>
      </c>
      <c r="AE285" s="66">
        <f>IF('Smart Search'!F13=1,IFERROR(1/'Smart Search'!H13,0),0)</f>
        <v/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66">
        <f>AF285*V285</f>
        <v/>
      </c>
      <c r="AQ285" s="66">
        <f>AG285*W285</f>
        <v/>
      </c>
      <c r="AR285" s="66">
        <f>AH285*X285</f>
        <v/>
      </c>
      <c r="AS285" s="66">
        <f>AI285*Y285</f>
        <v/>
      </c>
      <c r="AT285" s="66">
        <f>AJ285*Z285</f>
        <v/>
      </c>
      <c r="AU285" s="66">
        <f>AK285*AA285</f>
        <v/>
      </c>
      <c r="AV285" s="66">
        <f>AL285*AB285</f>
        <v/>
      </c>
      <c r="AW285" s="66">
        <f>AM285*AC285</f>
        <v/>
      </c>
      <c r="AX285" s="66">
        <f>AN285*AD285</f>
        <v/>
      </c>
      <c r="AY285" s="66">
        <f>AO285*AE285</f>
        <v/>
      </c>
      <c r="AZ285" s="66">
        <f>'Project Database'!Z289</f>
        <v/>
      </c>
      <c r="BA285" s="66">
        <f>IF(OR(A285="",'Smart Search'!H13=0),"",MAX(0,BE285*BF285*MAX(0,1-BG285)))</f>
        <v/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66">
        <f>IF('Smart Search'!G13=1,IFERROR(1/'Smart Search'!H13,0),0)</f>
        <v/>
      </c>
      <c r="BD285" s="66">
        <f>BB285*BC285</f>
        <v/>
      </c>
      <c r="BE285" s="66">
        <f>AP285+AQ285+AR285+AS285+AT285+AU285+AV285+AW285+AX285+AY285+BD285</f>
        <v/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5">
        <f>IF(AND('Project Database'!A289&lt;&gt;"",OR('Smart Search'!$L$5="",'Smart Search'!$L$5="All",TRIM('Project Database'!D289)=TRIM('Smart Search'!$L$5)),OR(TRIM('Smart Search'!$L$6)="",TRIM('Smart Search'!$L$6)="All",ISNUMBER(SEARCH(SUBSTITUTE(SUBSTITUTE(SUBSTITUTE(TRIM('Smart Search'!$L$6),"~","~~"),"*","~*"),"?","~?"),'Project Database'!C289))),OR('Smart Search'!$L$7="",AND('Project Database'!E289&lt;&gt;"",'Project Database'!E289='Smart Search'!$L$7)),OR('Smart Search'!$L$8="",'Smart Search'!$L$8="All",TRIM('Project Database'!F289)=TRIM('Smart Search'!$L$8))),IF(BA285="","",BA285+ROW()*0.0000000001),"")</f>
        <v/>
      </c>
      <c r="BI285" s="5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>
        <f>IF('Project Database'!A289="","",N('Project Database'!AC289))</f>
        <v/>
      </c>
      <c r="BK285" s="5">
        <f>IF('Project Database'!A289="","",N('Project Database'!AD289))</f>
        <v/>
      </c>
      <c r="BL285" s="5">
        <f>IF('Project Database'!A289="","",N('Project Database'!AE289))</f>
        <v/>
      </c>
      <c r="BM285" s="5">
        <f>IF('Project Database'!A289="","",N('Project Database'!AF289))</f>
        <v/>
      </c>
      <c r="BN285" s="5">
        <f>IF('Project Database'!A289="","",N('Project Database'!AG289))</f>
        <v/>
      </c>
      <c r="BO285" s="5">
        <f>IF('Project Database'!A289="","",N('Project Database'!AH289))</f>
        <v/>
      </c>
      <c r="BP285" s="5">
        <f>IF('Project Database'!A289="","",N('Project Database'!AI289))</f>
        <v/>
      </c>
      <c r="BQ285" s="5">
        <f>IF('Project Database'!A289="","",N('Project Database'!AJ289))</f>
        <v/>
      </c>
      <c r="BR285" s="5">
        <f>IF('Project Database'!A289="","",N('Project Database'!AK289))</f>
        <v/>
      </c>
      <c r="BS285" s="5">
        <f>IF('Project Database'!A289="","",N('Project Database'!AL289))</f>
        <v/>
      </c>
      <c r="BT285" s="5">
        <f>IF('Project Database'!A289="","",N('Project Database'!AM289))</f>
        <v/>
      </c>
      <c r="BU285" s="5">
        <f>IF('Project Database'!A289="","",N('Project Database'!AN289))</f>
        <v/>
      </c>
      <c r="BV285" s="5">
        <f>IF('Project Database'!A289="","",N('Project Database'!AO289))</f>
        <v/>
      </c>
      <c r="BW285" s="5">
        <f>IF('Project Database'!A289="","",N('Project Database'!AP289))</f>
        <v/>
      </c>
      <c r="BX285" s="5">
        <f>IF(A285="","",SUM(BJ285:BW285))</f>
        <v/>
      </c>
      <c r="BY285" s="5">
        <f>IF(A285="","",IFERROR(IF(ISNUMBER(U285),U285,VALUE(SUBSTITUTE(SUBSTITUTE(SUBSTITUTE(UPPER(TRIM(U285)),"M",""),",","")," ",""))),0))</f>
        <v/>
      </c>
    </row>
    <row r="286" ht="15" customHeight="1" s="74">
      <c r="A286" s="66">
        <f>'Project Database'!A290</f>
        <v/>
      </c>
      <c r="B286" s="66">
        <f>'Project Database'!B290</f>
        <v/>
      </c>
      <c r="C286" s="66">
        <f>'Project Database'!G290</f>
        <v/>
      </c>
      <c r="D286" s="66">
        <f>'Project Database'!H290</f>
        <v/>
      </c>
      <c r="E286" s="66">
        <f>'Project Database'!I290</f>
        <v/>
      </c>
      <c r="F286" s="66">
        <f>'Project Database'!J290</f>
        <v/>
      </c>
      <c r="G286" s="66">
        <f>'Project Database'!K290</f>
        <v/>
      </c>
      <c r="H286" s="66">
        <f>'Project Database'!L290</f>
        <v/>
      </c>
      <c r="I286" s="66">
        <f>'Project Database'!M290</f>
        <v/>
      </c>
      <c r="J286" s="66">
        <f>'Project Database'!N290</f>
        <v/>
      </c>
      <c r="K286" s="66">
        <f>'Project Database'!O290</f>
        <v/>
      </c>
      <c r="L286" s="66">
        <f>'Project Database'!P290</f>
        <v/>
      </c>
      <c r="M286" s="66">
        <f>'Project Database'!Q290</f>
        <v/>
      </c>
      <c r="N286" s="66">
        <f>'Project Database'!R290</f>
        <v/>
      </c>
      <c r="O286" s="66">
        <f>'Project Database'!S290</f>
        <v/>
      </c>
      <c r="P286" s="66">
        <f>'Project Database'!T290</f>
        <v/>
      </c>
      <c r="Q286" s="66">
        <f>'Project Database'!U290</f>
        <v/>
      </c>
      <c r="R286" s="66">
        <f>'Project Database'!V290</f>
        <v/>
      </c>
      <c r="S286" s="66">
        <f>'Project Database'!W290</f>
        <v/>
      </c>
      <c r="T286" s="66">
        <f>'Project Database'!X290</f>
        <v/>
      </c>
      <c r="U286" s="67">
        <f>'Project Database'!Y290</f>
        <v/>
      </c>
      <c r="V286" s="66">
        <f>IF('Smart Search'!B13=1,IFERROR(1/'Smart Search'!H13,0),0)</f>
        <v/>
      </c>
      <c r="W286" s="66">
        <f>IF('Smart Search'!B13=1,IFERROR(1/'Smart Search'!H13,0),0)</f>
        <v/>
      </c>
      <c r="X286" s="66">
        <f>IF('Smart Search'!C13=1,IFERROR(1/'Smart Search'!H13,0),0)</f>
        <v/>
      </c>
      <c r="Y286" s="66">
        <f>IF('Smart Search'!C13=1,IFERROR(1/'Smart Search'!H13,0),0)</f>
        <v/>
      </c>
      <c r="Z286" s="66">
        <f>IF('Smart Search'!D13=1,IFERROR(1/'Smart Search'!H13,0),0)</f>
        <v/>
      </c>
      <c r="AA286" s="66">
        <f>IF('Smart Search'!D13=1,IFERROR(1/'Smart Search'!H13,0),0)</f>
        <v/>
      </c>
      <c r="AB286" s="66">
        <f>IF('Smart Search'!E13=1,IFERROR(1/'Smart Search'!H13,0),0)</f>
        <v/>
      </c>
      <c r="AC286" s="66">
        <f>IF('Smart Search'!E13=1,IFERROR(1/'Smart Search'!H13,0),0)</f>
        <v/>
      </c>
      <c r="AD286" s="66">
        <f>IF('Smart Search'!F13=1,IFERROR(1/'Smart Search'!H13,0),0)</f>
        <v/>
      </c>
      <c r="AE286" s="66">
        <f>IF('Smart Search'!F13=1,IFERROR(1/'Smart Search'!H13,0),0)</f>
        <v/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66">
        <f>AF286*V286</f>
        <v/>
      </c>
      <c r="AQ286" s="66">
        <f>AG286*W286</f>
        <v/>
      </c>
      <c r="AR286" s="66">
        <f>AH286*X286</f>
        <v/>
      </c>
      <c r="AS286" s="66">
        <f>AI286*Y286</f>
        <v/>
      </c>
      <c r="AT286" s="66">
        <f>AJ286*Z286</f>
        <v/>
      </c>
      <c r="AU286" s="66">
        <f>AK286*AA286</f>
        <v/>
      </c>
      <c r="AV286" s="66">
        <f>AL286*AB286</f>
        <v/>
      </c>
      <c r="AW286" s="66">
        <f>AM286*AC286</f>
        <v/>
      </c>
      <c r="AX286" s="66">
        <f>AN286*AD286</f>
        <v/>
      </c>
      <c r="AY286" s="66">
        <f>AO286*AE286</f>
        <v/>
      </c>
      <c r="AZ286" s="66">
        <f>'Project Database'!Z290</f>
        <v/>
      </c>
      <c r="BA286" s="66">
        <f>IF(OR(A286="",'Smart Search'!H13=0),"",MAX(0,BE286*BF286*MAX(0,1-BG286)))</f>
        <v/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66">
        <f>IF('Smart Search'!G13=1,IFERROR(1/'Smart Search'!H13,0),0)</f>
        <v/>
      </c>
      <c r="BD286" s="66">
        <f>BB286*BC286</f>
        <v/>
      </c>
      <c r="BE286" s="66">
        <f>AP286+AQ286+AR286+AS286+AT286+AU286+AV286+AW286+AX286+AY286+BD286</f>
        <v/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5">
        <f>IF(AND('Project Database'!A290&lt;&gt;"",OR('Smart Search'!$L$5="",'Smart Search'!$L$5="All",TRIM('Project Database'!D290)=TRIM('Smart Search'!$L$5)),OR(TRIM('Smart Search'!$L$6)="",TRIM('Smart Search'!$L$6)="All",ISNUMBER(SEARCH(SUBSTITUTE(SUBSTITUTE(SUBSTITUTE(TRIM('Smart Search'!$L$6),"~","~~"),"*","~*"),"?","~?"),'Project Database'!C290))),OR('Smart Search'!$L$7="",AND('Project Database'!E290&lt;&gt;"",'Project Database'!E290='Smart Search'!$L$7)),OR('Smart Search'!$L$8="",'Smart Search'!$L$8="All",TRIM('Project Database'!F290)=TRIM('Smart Search'!$L$8))),IF(BA286="","",BA286+ROW()*0.0000000001),"")</f>
        <v/>
      </c>
      <c r="BI286" s="5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>
        <f>IF('Project Database'!A290="","",N('Project Database'!AC290))</f>
        <v/>
      </c>
      <c r="BK286" s="5">
        <f>IF('Project Database'!A290="","",N('Project Database'!AD290))</f>
        <v/>
      </c>
      <c r="BL286" s="5">
        <f>IF('Project Database'!A290="","",N('Project Database'!AE290))</f>
        <v/>
      </c>
      <c r="BM286" s="5">
        <f>IF('Project Database'!A290="","",N('Project Database'!AF290))</f>
        <v/>
      </c>
      <c r="BN286" s="5">
        <f>IF('Project Database'!A290="","",N('Project Database'!AG290))</f>
        <v/>
      </c>
      <c r="BO286" s="5">
        <f>IF('Project Database'!A290="","",N('Project Database'!AH290))</f>
        <v/>
      </c>
      <c r="BP286" s="5">
        <f>IF('Project Database'!A290="","",N('Project Database'!AI290))</f>
        <v/>
      </c>
      <c r="BQ286" s="5">
        <f>IF('Project Database'!A290="","",N('Project Database'!AJ290))</f>
        <v/>
      </c>
      <c r="BR286" s="5">
        <f>IF('Project Database'!A290="","",N('Project Database'!AK290))</f>
        <v/>
      </c>
      <c r="BS286" s="5">
        <f>IF('Project Database'!A290="","",N('Project Database'!AL290))</f>
        <v/>
      </c>
      <c r="BT286" s="5">
        <f>IF('Project Database'!A290="","",N('Project Database'!AM290))</f>
        <v/>
      </c>
      <c r="BU286" s="5">
        <f>IF('Project Database'!A290="","",N('Project Database'!AN290))</f>
        <v/>
      </c>
      <c r="BV286" s="5">
        <f>IF('Project Database'!A290="","",N('Project Database'!AO290))</f>
        <v/>
      </c>
      <c r="BW286" s="5">
        <f>IF('Project Database'!A290="","",N('Project Database'!AP290))</f>
        <v/>
      </c>
      <c r="BX286" s="5">
        <f>IF(A286="","",SUM(BJ286:BW286))</f>
        <v/>
      </c>
      <c r="BY286" s="5">
        <f>IF(A286="","",IFERROR(IF(ISNUMBER(U286),U286,VALUE(SUBSTITUTE(SUBSTITUTE(SUBSTITUTE(UPPER(TRIM(U286)),"M",""),",","")," ",""))),0))</f>
        <v/>
      </c>
    </row>
    <row r="287" ht="15" customHeight="1" s="74">
      <c r="A287" s="66">
        <f>'Project Database'!A291</f>
        <v/>
      </c>
      <c r="B287" s="66">
        <f>'Project Database'!B291</f>
        <v/>
      </c>
      <c r="C287" s="66">
        <f>'Project Database'!G291</f>
        <v/>
      </c>
      <c r="D287" s="66">
        <f>'Project Database'!H291</f>
        <v/>
      </c>
      <c r="E287" s="66">
        <f>'Project Database'!I291</f>
        <v/>
      </c>
      <c r="F287" s="66">
        <f>'Project Database'!J291</f>
        <v/>
      </c>
      <c r="G287" s="66">
        <f>'Project Database'!K291</f>
        <v/>
      </c>
      <c r="H287" s="66">
        <f>'Project Database'!L291</f>
        <v/>
      </c>
      <c r="I287" s="66">
        <f>'Project Database'!M291</f>
        <v/>
      </c>
      <c r="J287" s="66">
        <f>'Project Database'!N291</f>
        <v/>
      </c>
      <c r="K287" s="66">
        <f>'Project Database'!O291</f>
        <v/>
      </c>
      <c r="L287" s="66">
        <f>'Project Database'!P291</f>
        <v/>
      </c>
      <c r="M287" s="66">
        <f>'Project Database'!Q291</f>
        <v/>
      </c>
      <c r="N287" s="66">
        <f>'Project Database'!R291</f>
        <v/>
      </c>
      <c r="O287" s="66">
        <f>'Project Database'!S291</f>
        <v/>
      </c>
      <c r="P287" s="66">
        <f>'Project Database'!T291</f>
        <v/>
      </c>
      <c r="Q287" s="66">
        <f>'Project Database'!U291</f>
        <v/>
      </c>
      <c r="R287" s="66">
        <f>'Project Database'!V291</f>
        <v/>
      </c>
      <c r="S287" s="66">
        <f>'Project Database'!W291</f>
        <v/>
      </c>
      <c r="T287" s="66">
        <f>'Project Database'!X291</f>
        <v/>
      </c>
      <c r="U287" s="67">
        <f>'Project Database'!Y291</f>
        <v/>
      </c>
      <c r="V287" s="66">
        <f>IF('Smart Search'!B13=1,IFERROR(1/'Smart Search'!H13,0),0)</f>
        <v/>
      </c>
      <c r="W287" s="66">
        <f>IF('Smart Search'!B13=1,IFERROR(1/'Smart Search'!H13,0),0)</f>
        <v/>
      </c>
      <c r="X287" s="66">
        <f>IF('Smart Search'!C13=1,IFERROR(1/'Smart Search'!H13,0),0)</f>
        <v/>
      </c>
      <c r="Y287" s="66">
        <f>IF('Smart Search'!C13=1,IFERROR(1/'Smart Search'!H13,0),0)</f>
        <v/>
      </c>
      <c r="Z287" s="66">
        <f>IF('Smart Search'!D13=1,IFERROR(1/'Smart Search'!H13,0),0)</f>
        <v/>
      </c>
      <c r="AA287" s="66">
        <f>IF('Smart Search'!D13=1,IFERROR(1/'Smart Search'!H13,0),0)</f>
        <v/>
      </c>
      <c r="AB287" s="66">
        <f>IF('Smart Search'!E13=1,IFERROR(1/'Smart Search'!H13,0),0)</f>
        <v/>
      </c>
      <c r="AC287" s="66">
        <f>IF('Smart Search'!E13=1,IFERROR(1/'Smart Search'!H13,0),0)</f>
        <v/>
      </c>
      <c r="AD287" s="66">
        <f>IF('Smart Search'!F13=1,IFERROR(1/'Smart Search'!H13,0),0)</f>
        <v/>
      </c>
      <c r="AE287" s="66">
        <f>IF('Smart Search'!F13=1,IFERROR(1/'Smart Search'!H13,0),0)</f>
        <v/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66">
        <f>AF287*V287</f>
        <v/>
      </c>
      <c r="AQ287" s="66">
        <f>AG287*W287</f>
        <v/>
      </c>
      <c r="AR287" s="66">
        <f>AH287*X287</f>
        <v/>
      </c>
      <c r="AS287" s="66">
        <f>AI287*Y287</f>
        <v/>
      </c>
      <c r="AT287" s="66">
        <f>AJ287*Z287</f>
        <v/>
      </c>
      <c r="AU287" s="66">
        <f>AK287*AA287</f>
        <v/>
      </c>
      <c r="AV287" s="66">
        <f>AL287*AB287</f>
        <v/>
      </c>
      <c r="AW287" s="66">
        <f>AM287*AC287</f>
        <v/>
      </c>
      <c r="AX287" s="66">
        <f>AN287*AD287</f>
        <v/>
      </c>
      <c r="AY287" s="66">
        <f>AO287*AE287</f>
        <v/>
      </c>
      <c r="AZ287" s="66">
        <f>'Project Database'!Z291</f>
        <v/>
      </c>
      <c r="BA287" s="66">
        <f>IF(OR(A287="",'Smart Search'!H13=0),"",MAX(0,BE287*BF287*MAX(0,1-BG287)))</f>
        <v/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66">
        <f>IF('Smart Search'!G13=1,IFERROR(1/'Smart Search'!H13,0),0)</f>
        <v/>
      </c>
      <c r="BD287" s="66">
        <f>BB287*BC287</f>
        <v/>
      </c>
      <c r="BE287" s="66">
        <f>AP287+AQ287+AR287+AS287+AT287+AU287+AV287+AW287+AX287+AY287+BD287</f>
        <v/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5">
        <f>IF(AND('Project Database'!A291&lt;&gt;"",OR('Smart Search'!$L$5="",'Smart Search'!$L$5="All",TRIM('Project Database'!D291)=TRIM('Smart Search'!$L$5)),OR(TRIM('Smart Search'!$L$6)="",TRIM('Smart Search'!$L$6)="All",ISNUMBER(SEARCH(SUBSTITUTE(SUBSTITUTE(SUBSTITUTE(TRIM('Smart Search'!$L$6),"~","~~"),"*","~*"),"?","~?"),'Project Database'!C291))),OR('Smart Search'!$L$7="",AND('Project Database'!E291&lt;&gt;"",'Project Database'!E291='Smart Search'!$L$7)),OR('Smart Search'!$L$8="",'Smart Search'!$L$8="All",TRIM('Project Database'!F291)=TRIM('Smart Search'!$L$8))),IF(BA287="","",BA287+ROW()*0.0000000001),"")</f>
        <v/>
      </c>
      <c r="BI287" s="5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>
        <f>IF('Project Database'!A291="","",N('Project Database'!AC291))</f>
        <v/>
      </c>
      <c r="BK287" s="5">
        <f>IF('Project Database'!A291="","",N('Project Database'!AD291))</f>
        <v/>
      </c>
      <c r="BL287" s="5">
        <f>IF('Project Database'!A291="","",N('Project Database'!AE291))</f>
        <v/>
      </c>
      <c r="BM287" s="5">
        <f>IF('Project Database'!A291="","",N('Project Database'!AF291))</f>
        <v/>
      </c>
      <c r="BN287" s="5">
        <f>IF('Project Database'!A291="","",N('Project Database'!AG291))</f>
        <v/>
      </c>
      <c r="BO287" s="5">
        <f>IF('Project Database'!A291="","",N('Project Database'!AH291))</f>
        <v/>
      </c>
      <c r="BP287" s="5">
        <f>IF('Project Database'!A291="","",N('Project Database'!AI291))</f>
        <v/>
      </c>
      <c r="BQ287" s="5">
        <f>IF('Project Database'!A291="","",N('Project Database'!AJ291))</f>
        <v/>
      </c>
      <c r="BR287" s="5">
        <f>IF('Project Database'!A291="","",N('Project Database'!AK291))</f>
        <v/>
      </c>
      <c r="BS287" s="5">
        <f>IF('Project Database'!A291="","",N('Project Database'!AL291))</f>
        <v/>
      </c>
      <c r="BT287" s="5">
        <f>IF('Project Database'!A291="","",N('Project Database'!AM291))</f>
        <v/>
      </c>
      <c r="BU287" s="5">
        <f>IF('Project Database'!A291="","",N('Project Database'!AN291))</f>
        <v/>
      </c>
      <c r="BV287" s="5">
        <f>IF('Project Database'!A291="","",N('Project Database'!AO291))</f>
        <v/>
      </c>
      <c r="BW287" s="5">
        <f>IF('Project Database'!A291="","",N('Project Database'!AP291))</f>
        <v/>
      </c>
      <c r="BX287" s="5">
        <f>IF(A287="","",SUM(BJ287:BW287))</f>
        <v/>
      </c>
      <c r="BY287" s="5">
        <f>IF(A287="","",IFERROR(IF(ISNUMBER(U287),U287,VALUE(SUBSTITUTE(SUBSTITUTE(SUBSTITUTE(UPPER(TRIM(U287)),"M",""),",","")," ",""))),0))</f>
        <v/>
      </c>
    </row>
    <row r="288" ht="15" customHeight="1" s="74">
      <c r="A288" s="66">
        <f>'Project Database'!A292</f>
        <v/>
      </c>
      <c r="B288" s="66">
        <f>'Project Database'!B292</f>
        <v/>
      </c>
      <c r="C288" s="66">
        <f>'Project Database'!G292</f>
        <v/>
      </c>
      <c r="D288" s="66">
        <f>'Project Database'!H292</f>
        <v/>
      </c>
      <c r="E288" s="66">
        <f>'Project Database'!I292</f>
        <v/>
      </c>
      <c r="F288" s="66">
        <f>'Project Database'!J292</f>
        <v/>
      </c>
      <c r="G288" s="66">
        <f>'Project Database'!K292</f>
        <v/>
      </c>
      <c r="H288" s="66">
        <f>'Project Database'!L292</f>
        <v/>
      </c>
      <c r="I288" s="66">
        <f>'Project Database'!M292</f>
        <v/>
      </c>
      <c r="J288" s="66">
        <f>'Project Database'!N292</f>
        <v/>
      </c>
      <c r="K288" s="66">
        <f>'Project Database'!O292</f>
        <v/>
      </c>
      <c r="L288" s="66">
        <f>'Project Database'!P292</f>
        <v/>
      </c>
      <c r="M288" s="66">
        <f>'Project Database'!Q292</f>
        <v/>
      </c>
      <c r="N288" s="66">
        <f>'Project Database'!R292</f>
        <v/>
      </c>
      <c r="O288" s="66">
        <f>'Project Database'!S292</f>
        <v/>
      </c>
      <c r="P288" s="66">
        <f>'Project Database'!T292</f>
        <v/>
      </c>
      <c r="Q288" s="66">
        <f>'Project Database'!U292</f>
        <v/>
      </c>
      <c r="R288" s="66">
        <f>'Project Database'!V292</f>
        <v/>
      </c>
      <c r="S288" s="66">
        <f>'Project Database'!W292</f>
        <v/>
      </c>
      <c r="T288" s="66">
        <f>'Project Database'!X292</f>
        <v/>
      </c>
      <c r="U288" s="67">
        <f>'Project Database'!Y292</f>
        <v/>
      </c>
      <c r="V288" s="66">
        <f>IF('Smart Search'!B13=1,IFERROR(1/'Smart Search'!H13,0),0)</f>
        <v/>
      </c>
      <c r="W288" s="66">
        <f>IF('Smart Search'!B13=1,IFERROR(1/'Smart Search'!H13,0),0)</f>
        <v/>
      </c>
      <c r="X288" s="66">
        <f>IF('Smart Search'!C13=1,IFERROR(1/'Smart Search'!H13,0),0)</f>
        <v/>
      </c>
      <c r="Y288" s="66">
        <f>IF('Smart Search'!C13=1,IFERROR(1/'Smart Search'!H13,0),0)</f>
        <v/>
      </c>
      <c r="Z288" s="66">
        <f>IF('Smart Search'!D13=1,IFERROR(1/'Smart Search'!H13,0),0)</f>
        <v/>
      </c>
      <c r="AA288" s="66">
        <f>IF('Smart Search'!D13=1,IFERROR(1/'Smart Search'!H13,0),0)</f>
        <v/>
      </c>
      <c r="AB288" s="66">
        <f>IF('Smart Search'!E13=1,IFERROR(1/'Smart Search'!H13,0),0)</f>
        <v/>
      </c>
      <c r="AC288" s="66">
        <f>IF('Smart Search'!E13=1,IFERROR(1/'Smart Search'!H13,0),0)</f>
        <v/>
      </c>
      <c r="AD288" s="66">
        <f>IF('Smart Search'!F13=1,IFERROR(1/'Smart Search'!H13,0),0)</f>
        <v/>
      </c>
      <c r="AE288" s="66">
        <f>IF('Smart Search'!F13=1,IFERROR(1/'Smart Search'!H13,0),0)</f>
        <v/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66">
        <f>AF288*V288</f>
        <v/>
      </c>
      <c r="AQ288" s="66">
        <f>AG288*W288</f>
        <v/>
      </c>
      <c r="AR288" s="66">
        <f>AH288*X288</f>
        <v/>
      </c>
      <c r="AS288" s="66">
        <f>AI288*Y288</f>
        <v/>
      </c>
      <c r="AT288" s="66">
        <f>AJ288*Z288</f>
        <v/>
      </c>
      <c r="AU288" s="66">
        <f>AK288*AA288</f>
        <v/>
      </c>
      <c r="AV288" s="66">
        <f>AL288*AB288</f>
        <v/>
      </c>
      <c r="AW288" s="66">
        <f>AM288*AC288</f>
        <v/>
      </c>
      <c r="AX288" s="66">
        <f>AN288*AD288</f>
        <v/>
      </c>
      <c r="AY288" s="66">
        <f>AO288*AE288</f>
        <v/>
      </c>
      <c r="AZ288" s="66">
        <f>'Project Database'!Z292</f>
        <v/>
      </c>
      <c r="BA288" s="66">
        <f>IF(OR(A288="",'Smart Search'!H13=0),"",MAX(0,BE288*BF288*MAX(0,1-BG288)))</f>
        <v/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66">
        <f>IF('Smart Search'!G13=1,IFERROR(1/'Smart Search'!H13,0),0)</f>
        <v/>
      </c>
      <c r="BD288" s="66">
        <f>BB288*BC288</f>
        <v/>
      </c>
      <c r="BE288" s="66">
        <f>AP288+AQ288+AR288+AS288+AT288+AU288+AV288+AW288+AX288+AY288+BD288</f>
        <v/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5">
        <f>IF(AND('Project Database'!A292&lt;&gt;"",OR('Smart Search'!$L$5="",'Smart Search'!$L$5="All",TRIM('Project Database'!D292)=TRIM('Smart Search'!$L$5)),OR(TRIM('Smart Search'!$L$6)="",TRIM('Smart Search'!$L$6)="All",ISNUMBER(SEARCH(SUBSTITUTE(SUBSTITUTE(SUBSTITUTE(TRIM('Smart Search'!$L$6),"~","~~"),"*","~*"),"?","~?"),'Project Database'!C292))),OR('Smart Search'!$L$7="",AND('Project Database'!E292&lt;&gt;"",'Project Database'!E292='Smart Search'!$L$7)),OR('Smart Search'!$L$8="",'Smart Search'!$L$8="All",TRIM('Project Database'!F292)=TRIM('Smart Search'!$L$8))),IF(BA288="","",BA288+ROW()*0.0000000001),"")</f>
        <v/>
      </c>
      <c r="BI288" s="5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>
        <f>IF('Project Database'!A292="","",N('Project Database'!AC292))</f>
        <v/>
      </c>
      <c r="BK288" s="5">
        <f>IF('Project Database'!A292="","",N('Project Database'!AD292))</f>
        <v/>
      </c>
      <c r="BL288" s="5">
        <f>IF('Project Database'!A292="","",N('Project Database'!AE292))</f>
        <v/>
      </c>
      <c r="BM288" s="5">
        <f>IF('Project Database'!A292="","",N('Project Database'!AF292))</f>
        <v/>
      </c>
      <c r="BN288" s="5">
        <f>IF('Project Database'!A292="","",N('Project Database'!AG292))</f>
        <v/>
      </c>
      <c r="BO288" s="5">
        <f>IF('Project Database'!A292="","",N('Project Database'!AH292))</f>
        <v/>
      </c>
      <c r="BP288" s="5">
        <f>IF('Project Database'!A292="","",N('Project Database'!AI292))</f>
        <v/>
      </c>
      <c r="BQ288" s="5">
        <f>IF('Project Database'!A292="","",N('Project Database'!AJ292))</f>
        <v/>
      </c>
      <c r="BR288" s="5">
        <f>IF('Project Database'!A292="","",N('Project Database'!AK292))</f>
        <v/>
      </c>
      <c r="BS288" s="5">
        <f>IF('Project Database'!A292="","",N('Project Database'!AL292))</f>
        <v/>
      </c>
      <c r="BT288" s="5">
        <f>IF('Project Database'!A292="","",N('Project Database'!AM292))</f>
        <v/>
      </c>
      <c r="BU288" s="5">
        <f>IF('Project Database'!A292="","",N('Project Database'!AN292))</f>
        <v/>
      </c>
      <c r="BV288" s="5">
        <f>IF('Project Database'!A292="","",N('Project Database'!AO292))</f>
        <v/>
      </c>
      <c r="BW288" s="5">
        <f>IF('Project Database'!A292="","",N('Project Database'!AP292))</f>
        <v/>
      </c>
      <c r="BX288" s="5">
        <f>IF(A288="","",SUM(BJ288:BW288))</f>
        <v/>
      </c>
      <c r="BY288" s="5">
        <f>IF(A288="","",IFERROR(IF(ISNUMBER(U288),U288,VALUE(SUBSTITUTE(SUBSTITUTE(SUBSTITUTE(UPPER(TRIM(U288)),"M",""),",","")," ",""))),0))</f>
        <v/>
      </c>
    </row>
    <row r="289" ht="15" customHeight="1" s="74">
      <c r="A289" s="66">
        <f>'Project Database'!A293</f>
        <v/>
      </c>
      <c r="B289" s="66">
        <f>'Project Database'!B293</f>
        <v/>
      </c>
      <c r="C289" s="66">
        <f>'Project Database'!G293</f>
        <v/>
      </c>
      <c r="D289" s="66">
        <f>'Project Database'!H293</f>
        <v/>
      </c>
      <c r="E289" s="66">
        <f>'Project Database'!I293</f>
        <v/>
      </c>
      <c r="F289" s="66">
        <f>'Project Database'!J293</f>
        <v/>
      </c>
      <c r="G289" s="66">
        <f>'Project Database'!K293</f>
        <v/>
      </c>
      <c r="H289" s="66">
        <f>'Project Database'!L293</f>
        <v/>
      </c>
      <c r="I289" s="66">
        <f>'Project Database'!M293</f>
        <v/>
      </c>
      <c r="J289" s="66">
        <f>'Project Database'!N293</f>
        <v/>
      </c>
      <c r="K289" s="66">
        <f>'Project Database'!O293</f>
        <v/>
      </c>
      <c r="L289" s="66">
        <f>'Project Database'!P293</f>
        <v/>
      </c>
      <c r="M289" s="66">
        <f>'Project Database'!Q293</f>
        <v/>
      </c>
      <c r="N289" s="66">
        <f>'Project Database'!R293</f>
        <v/>
      </c>
      <c r="O289" s="66">
        <f>'Project Database'!S293</f>
        <v/>
      </c>
      <c r="P289" s="66">
        <f>'Project Database'!T293</f>
        <v/>
      </c>
      <c r="Q289" s="66">
        <f>'Project Database'!U293</f>
        <v/>
      </c>
      <c r="R289" s="66">
        <f>'Project Database'!V293</f>
        <v/>
      </c>
      <c r="S289" s="66">
        <f>'Project Database'!W293</f>
        <v/>
      </c>
      <c r="T289" s="66">
        <f>'Project Database'!X293</f>
        <v/>
      </c>
      <c r="U289" s="67">
        <f>'Project Database'!Y293</f>
        <v/>
      </c>
      <c r="V289" s="66">
        <f>IF('Smart Search'!B13=1,IFERROR(1/'Smart Search'!H13,0),0)</f>
        <v/>
      </c>
      <c r="W289" s="66">
        <f>IF('Smart Search'!B13=1,IFERROR(1/'Smart Search'!H13,0),0)</f>
        <v/>
      </c>
      <c r="X289" s="66">
        <f>IF('Smart Search'!C13=1,IFERROR(1/'Smart Search'!H13,0),0)</f>
        <v/>
      </c>
      <c r="Y289" s="66">
        <f>IF('Smart Search'!C13=1,IFERROR(1/'Smart Search'!H13,0),0)</f>
        <v/>
      </c>
      <c r="Z289" s="66">
        <f>IF('Smart Search'!D13=1,IFERROR(1/'Smart Search'!H13,0),0)</f>
        <v/>
      </c>
      <c r="AA289" s="66">
        <f>IF('Smart Search'!D13=1,IFERROR(1/'Smart Search'!H13,0),0)</f>
        <v/>
      </c>
      <c r="AB289" s="66">
        <f>IF('Smart Search'!E13=1,IFERROR(1/'Smart Search'!H13,0),0)</f>
        <v/>
      </c>
      <c r="AC289" s="66">
        <f>IF('Smart Search'!E13=1,IFERROR(1/'Smart Search'!H13,0),0)</f>
        <v/>
      </c>
      <c r="AD289" s="66">
        <f>IF('Smart Search'!F13=1,IFERROR(1/'Smart Search'!H13,0),0)</f>
        <v/>
      </c>
      <c r="AE289" s="66">
        <f>IF('Smart Search'!F13=1,IFERROR(1/'Smart Search'!H13,0),0)</f>
        <v/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66">
        <f>AF289*V289</f>
        <v/>
      </c>
      <c r="AQ289" s="66">
        <f>AG289*W289</f>
        <v/>
      </c>
      <c r="AR289" s="66">
        <f>AH289*X289</f>
        <v/>
      </c>
      <c r="AS289" s="66">
        <f>AI289*Y289</f>
        <v/>
      </c>
      <c r="AT289" s="66">
        <f>AJ289*Z289</f>
        <v/>
      </c>
      <c r="AU289" s="66">
        <f>AK289*AA289</f>
        <v/>
      </c>
      <c r="AV289" s="66">
        <f>AL289*AB289</f>
        <v/>
      </c>
      <c r="AW289" s="66">
        <f>AM289*AC289</f>
        <v/>
      </c>
      <c r="AX289" s="66">
        <f>AN289*AD289</f>
        <v/>
      </c>
      <c r="AY289" s="66">
        <f>AO289*AE289</f>
        <v/>
      </c>
      <c r="AZ289" s="66">
        <f>'Project Database'!Z293</f>
        <v/>
      </c>
      <c r="BA289" s="66">
        <f>IF(OR(A289="",'Smart Search'!H13=0),"",MAX(0,BE289*BF289*MAX(0,1-BG289)))</f>
        <v/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66">
        <f>IF('Smart Search'!G13=1,IFERROR(1/'Smart Search'!H13,0),0)</f>
        <v/>
      </c>
      <c r="BD289" s="66">
        <f>BB289*BC289</f>
        <v/>
      </c>
      <c r="BE289" s="66">
        <f>AP289+AQ289+AR289+AS289+AT289+AU289+AV289+AW289+AX289+AY289+BD289</f>
        <v/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5">
        <f>IF(AND('Project Database'!A293&lt;&gt;"",OR('Smart Search'!$L$5="",'Smart Search'!$L$5="All",TRIM('Project Database'!D293)=TRIM('Smart Search'!$L$5)),OR(TRIM('Smart Search'!$L$6)="",TRIM('Smart Search'!$L$6)="All",ISNUMBER(SEARCH(SUBSTITUTE(SUBSTITUTE(SUBSTITUTE(TRIM('Smart Search'!$L$6),"~","~~"),"*","~*"),"?","~?"),'Project Database'!C293))),OR('Smart Search'!$L$7="",AND('Project Database'!E293&lt;&gt;"",'Project Database'!E293='Smart Search'!$L$7)),OR('Smart Search'!$L$8="",'Smart Search'!$L$8="All",TRIM('Project Database'!F293)=TRIM('Smart Search'!$L$8))),IF(BA289="","",BA289+ROW()*0.0000000001),"")</f>
        <v/>
      </c>
      <c r="BI289" s="5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>
        <f>IF('Project Database'!A293="","",N('Project Database'!AC293))</f>
        <v/>
      </c>
      <c r="BK289" s="5">
        <f>IF('Project Database'!A293="","",N('Project Database'!AD293))</f>
        <v/>
      </c>
      <c r="BL289" s="5">
        <f>IF('Project Database'!A293="","",N('Project Database'!AE293))</f>
        <v/>
      </c>
      <c r="BM289" s="5">
        <f>IF('Project Database'!A293="","",N('Project Database'!AF293))</f>
        <v/>
      </c>
      <c r="BN289" s="5">
        <f>IF('Project Database'!A293="","",N('Project Database'!AG293))</f>
        <v/>
      </c>
      <c r="BO289" s="5">
        <f>IF('Project Database'!A293="","",N('Project Database'!AH293))</f>
        <v/>
      </c>
      <c r="BP289" s="5">
        <f>IF('Project Database'!A293="","",N('Project Database'!AI293))</f>
        <v/>
      </c>
      <c r="BQ289" s="5">
        <f>IF('Project Database'!A293="","",N('Project Database'!AJ293))</f>
        <v/>
      </c>
      <c r="BR289" s="5">
        <f>IF('Project Database'!A293="","",N('Project Database'!AK293))</f>
        <v/>
      </c>
      <c r="BS289" s="5">
        <f>IF('Project Database'!A293="","",N('Project Database'!AL293))</f>
        <v/>
      </c>
      <c r="BT289" s="5">
        <f>IF('Project Database'!A293="","",N('Project Database'!AM293))</f>
        <v/>
      </c>
      <c r="BU289" s="5">
        <f>IF('Project Database'!A293="","",N('Project Database'!AN293))</f>
        <v/>
      </c>
      <c r="BV289" s="5">
        <f>IF('Project Database'!A293="","",N('Project Database'!AO293))</f>
        <v/>
      </c>
      <c r="BW289" s="5">
        <f>IF('Project Database'!A293="","",N('Project Database'!AP293))</f>
        <v/>
      </c>
      <c r="BX289" s="5">
        <f>IF(A289="","",SUM(BJ289:BW289))</f>
        <v/>
      </c>
      <c r="BY289" s="5">
        <f>IF(A289="","",IFERROR(IF(ISNUMBER(U289),U289,VALUE(SUBSTITUTE(SUBSTITUTE(SUBSTITUTE(UPPER(TRIM(U289)),"M",""),",","")," ",""))),0))</f>
        <v/>
      </c>
    </row>
    <row r="290" ht="15" customHeight="1" s="74">
      <c r="A290" s="66">
        <f>'Project Database'!A294</f>
        <v/>
      </c>
      <c r="B290" s="66">
        <f>'Project Database'!B294</f>
        <v/>
      </c>
      <c r="C290" s="66">
        <f>'Project Database'!G294</f>
        <v/>
      </c>
      <c r="D290" s="66">
        <f>'Project Database'!H294</f>
        <v/>
      </c>
      <c r="E290" s="66">
        <f>'Project Database'!I294</f>
        <v/>
      </c>
      <c r="F290" s="66">
        <f>'Project Database'!J294</f>
        <v/>
      </c>
      <c r="G290" s="66">
        <f>'Project Database'!K294</f>
        <v/>
      </c>
      <c r="H290" s="66">
        <f>'Project Database'!L294</f>
        <v/>
      </c>
      <c r="I290" s="66">
        <f>'Project Database'!M294</f>
        <v/>
      </c>
      <c r="J290" s="66">
        <f>'Project Database'!N294</f>
        <v/>
      </c>
      <c r="K290" s="66">
        <f>'Project Database'!O294</f>
        <v/>
      </c>
      <c r="L290" s="66">
        <f>'Project Database'!P294</f>
        <v/>
      </c>
      <c r="M290" s="66">
        <f>'Project Database'!Q294</f>
        <v/>
      </c>
      <c r="N290" s="66">
        <f>'Project Database'!R294</f>
        <v/>
      </c>
      <c r="O290" s="66">
        <f>'Project Database'!S294</f>
        <v/>
      </c>
      <c r="P290" s="66">
        <f>'Project Database'!T294</f>
        <v/>
      </c>
      <c r="Q290" s="66">
        <f>'Project Database'!U294</f>
        <v/>
      </c>
      <c r="R290" s="66">
        <f>'Project Database'!V294</f>
        <v/>
      </c>
      <c r="S290" s="66">
        <f>'Project Database'!W294</f>
        <v/>
      </c>
      <c r="T290" s="66">
        <f>'Project Database'!X294</f>
        <v/>
      </c>
      <c r="U290" s="67">
        <f>'Project Database'!Y294</f>
        <v/>
      </c>
      <c r="V290" s="66">
        <f>IF('Smart Search'!B13=1,IFERROR(1/'Smart Search'!H13,0),0)</f>
        <v/>
      </c>
      <c r="W290" s="66">
        <f>IF('Smart Search'!B13=1,IFERROR(1/'Smart Search'!H13,0),0)</f>
        <v/>
      </c>
      <c r="X290" s="66">
        <f>IF('Smart Search'!C13=1,IFERROR(1/'Smart Search'!H13,0),0)</f>
        <v/>
      </c>
      <c r="Y290" s="66">
        <f>IF('Smart Search'!C13=1,IFERROR(1/'Smart Search'!H13,0),0)</f>
        <v/>
      </c>
      <c r="Z290" s="66">
        <f>IF('Smart Search'!D13=1,IFERROR(1/'Smart Search'!H13,0),0)</f>
        <v/>
      </c>
      <c r="AA290" s="66">
        <f>IF('Smart Search'!D13=1,IFERROR(1/'Smart Search'!H13,0),0)</f>
        <v/>
      </c>
      <c r="AB290" s="66">
        <f>IF('Smart Search'!E13=1,IFERROR(1/'Smart Search'!H13,0),0)</f>
        <v/>
      </c>
      <c r="AC290" s="66">
        <f>IF('Smart Search'!E13=1,IFERROR(1/'Smart Search'!H13,0),0)</f>
        <v/>
      </c>
      <c r="AD290" s="66">
        <f>IF('Smart Search'!F13=1,IFERROR(1/'Smart Search'!H13,0),0)</f>
        <v/>
      </c>
      <c r="AE290" s="66">
        <f>IF('Smart Search'!F13=1,IFERROR(1/'Smart Search'!H13,0),0)</f>
        <v/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66">
        <f>AF290*V290</f>
        <v/>
      </c>
      <c r="AQ290" s="66">
        <f>AG290*W290</f>
        <v/>
      </c>
      <c r="AR290" s="66">
        <f>AH290*X290</f>
        <v/>
      </c>
      <c r="AS290" s="66">
        <f>AI290*Y290</f>
        <v/>
      </c>
      <c r="AT290" s="66">
        <f>AJ290*Z290</f>
        <v/>
      </c>
      <c r="AU290" s="66">
        <f>AK290*AA290</f>
        <v/>
      </c>
      <c r="AV290" s="66">
        <f>AL290*AB290</f>
        <v/>
      </c>
      <c r="AW290" s="66">
        <f>AM290*AC290</f>
        <v/>
      </c>
      <c r="AX290" s="66">
        <f>AN290*AD290</f>
        <v/>
      </c>
      <c r="AY290" s="66">
        <f>AO290*AE290</f>
        <v/>
      </c>
      <c r="AZ290" s="66">
        <f>'Project Database'!Z294</f>
        <v/>
      </c>
      <c r="BA290" s="66">
        <f>IF(OR(A290="",'Smart Search'!H13=0),"",MAX(0,BE290*BF290*MAX(0,1-BG290)))</f>
        <v/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66">
        <f>IF('Smart Search'!G13=1,IFERROR(1/'Smart Search'!H13,0),0)</f>
        <v/>
      </c>
      <c r="BD290" s="66">
        <f>BB290*BC290</f>
        <v/>
      </c>
      <c r="BE290" s="66">
        <f>AP290+AQ290+AR290+AS290+AT290+AU290+AV290+AW290+AX290+AY290+BD290</f>
        <v/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5">
        <f>IF(AND('Project Database'!A294&lt;&gt;"",OR('Smart Search'!$L$5="",'Smart Search'!$L$5="All",TRIM('Project Database'!D294)=TRIM('Smart Search'!$L$5)),OR(TRIM('Smart Search'!$L$6)="",TRIM('Smart Search'!$L$6)="All",ISNUMBER(SEARCH(SUBSTITUTE(SUBSTITUTE(SUBSTITUTE(TRIM('Smart Search'!$L$6),"~","~~"),"*","~*"),"?","~?"),'Project Database'!C294))),OR('Smart Search'!$L$7="",AND('Project Database'!E294&lt;&gt;"",'Project Database'!E294='Smart Search'!$L$7)),OR('Smart Search'!$L$8="",'Smart Search'!$L$8="All",TRIM('Project Database'!F294)=TRIM('Smart Search'!$L$8))),IF(BA290="","",BA290+ROW()*0.0000000001),"")</f>
        <v/>
      </c>
      <c r="BI290" s="5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>
        <f>IF('Project Database'!A294="","",N('Project Database'!AC294))</f>
        <v/>
      </c>
      <c r="BK290" s="5">
        <f>IF('Project Database'!A294="","",N('Project Database'!AD294))</f>
        <v/>
      </c>
      <c r="BL290" s="5">
        <f>IF('Project Database'!A294="","",N('Project Database'!AE294))</f>
        <v/>
      </c>
      <c r="BM290" s="5">
        <f>IF('Project Database'!A294="","",N('Project Database'!AF294))</f>
        <v/>
      </c>
      <c r="BN290" s="5">
        <f>IF('Project Database'!A294="","",N('Project Database'!AG294))</f>
        <v/>
      </c>
      <c r="BO290" s="5">
        <f>IF('Project Database'!A294="","",N('Project Database'!AH294))</f>
        <v/>
      </c>
      <c r="BP290" s="5">
        <f>IF('Project Database'!A294="","",N('Project Database'!AI294))</f>
        <v/>
      </c>
      <c r="BQ290" s="5">
        <f>IF('Project Database'!A294="","",N('Project Database'!AJ294))</f>
        <v/>
      </c>
      <c r="BR290" s="5">
        <f>IF('Project Database'!A294="","",N('Project Database'!AK294))</f>
        <v/>
      </c>
      <c r="BS290" s="5">
        <f>IF('Project Database'!A294="","",N('Project Database'!AL294))</f>
        <v/>
      </c>
      <c r="BT290" s="5">
        <f>IF('Project Database'!A294="","",N('Project Database'!AM294))</f>
        <v/>
      </c>
      <c r="BU290" s="5">
        <f>IF('Project Database'!A294="","",N('Project Database'!AN294))</f>
        <v/>
      </c>
      <c r="BV290" s="5">
        <f>IF('Project Database'!A294="","",N('Project Database'!AO294))</f>
        <v/>
      </c>
      <c r="BW290" s="5">
        <f>IF('Project Database'!A294="","",N('Project Database'!AP294))</f>
        <v/>
      </c>
      <c r="BX290" s="5">
        <f>IF(A290="","",SUM(BJ290:BW290))</f>
        <v/>
      </c>
      <c r="BY290" s="5">
        <f>IF(A290="","",IFERROR(IF(ISNUMBER(U290),U290,VALUE(SUBSTITUTE(SUBSTITUTE(SUBSTITUTE(UPPER(TRIM(U290)),"M",""),",","")," ",""))),0))</f>
        <v/>
      </c>
    </row>
    <row r="291" ht="15" customHeight="1" s="74">
      <c r="A291" s="66">
        <f>'Project Database'!A295</f>
        <v/>
      </c>
      <c r="B291" s="66">
        <f>'Project Database'!B295</f>
        <v/>
      </c>
      <c r="C291" s="66">
        <f>'Project Database'!G295</f>
        <v/>
      </c>
      <c r="D291" s="66">
        <f>'Project Database'!H295</f>
        <v/>
      </c>
      <c r="E291" s="66">
        <f>'Project Database'!I295</f>
        <v/>
      </c>
      <c r="F291" s="66">
        <f>'Project Database'!J295</f>
        <v/>
      </c>
      <c r="G291" s="66">
        <f>'Project Database'!K295</f>
        <v/>
      </c>
      <c r="H291" s="66">
        <f>'Project Database'!L295</f>
        <v/>
      </c>
      <c r="I291" s="66">
        <f>'Project Database'!M295</f>
        <v/>
      </c>
      <c r="J291" s="66">
        <f>'Project Database'!N295</f>
        <v/>
      </c>
      <c r="K291" s="66">
        <f>'Project Database'!O295</f>
        <v/>
      </c>
      <c r="L291" s="66">
        <f>'Project Database'!P295</f>
        <v/>
      </c>
      <c r="M291" s="66">
        <f>'Project Database'!Q295</f>
        <v/>
      </c>
      <c r="N291" s="66">
        <f>'Project Database'!R295</f>
        <v/>
      </c>
      <c r="O291" s="66">
        <f>'Project Database'!S295</f>
        <v/>
      </c>
      <c r="P291" s="66">
        <f>'Project Database'!T295</f>
        <v/>
      </c>
      <c r="Q291" s="66">
        <f>'Project Database'!U295</f>
        <v/>
      </c>
      <c r="R291" s="66">
        <f>'Project Database'!V295</f>
        <v/>
      </c>
      <c r="S291" s="66">
        <f>'Project Database'!W295</f>
        <v/>
      </c>
      <c r="T291" s="66">
        <f>'Project Database'!X295</f>
        <v/>
      </c>
      <c r="U291" s="67">
        <f>'Project Database'!Y295</f>
        <v/>
      </c>
      <c r="V291" s="66">
        <f>IF('Smart Search'!B13=1,IFERROR(1/'Smart Search'!H13,0),0)</f>
        <v/>
      </c>
      <c r="W291" s="66">
        <f>IF('Smart Search'!B13=1,IFERROR(1/'Smart Search'!H13,0),0)</f>
        <v/>
      </c>
      <c r="X291" s="66">
        <f>IF('Smart Search'!C13=1,IFERROR(1/'Smart Search'!H13,0),0)</f>
        <v/>
      </c>
      <c r="Y291" s="66">
        <f>IF('Smart Search'!C13=1,IFERROR(1/'Smart Search'!H13,0),0)</f>
        <v/>
      </c>
      <c r="Z291" s="66">
        <f>IF('Smart Search'!D13=1,IFERROR(1/'Smart Search'!H13,0),0)</f>
        <v/>
      </c>
      <c r="AA291" s="66">
        <f>IF('Smart Search'!D13=1,IFERROR(1/'Smart Search'!H13,0),0)</f>
        <v/>
      </c>
      <c r="AB291" s="66">
        <f>IF('Smart Search'!E13=1,IFERROR(1/'Smart Search'!H13,0),0)</f>
        <v/>
      </c>
      <c r="AC291" s="66">
        <f>IF('Smart Search'!E13=1,IFERROR(1/'Smart Search'!H13,0),0)</f>
        <v/>
      </c>
      <c r="AD291" s="66">
        <f>IF('Smart Search'!F13=1,IFERROR(1/'Smart Search'!H13,0),0)</f>
        <v/>
      </c>
      <c r="AE291" s="66">
        <f>IF('Smart Search'!F13=1,IFERROR(1/'Smart Search'!H13,0),0)</f>
        <v/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66">
        <f>AF291*V291</f>
        <v/>
      </c>
      <c r="AQ291" s="66">
        <f>AG291*W291</f>
        <v/>
      </c>
      <c r="AR291" s="66">
        <f>AH291*X291</f>
        <v/>
      </c>
      <c r="AS291" s="66">
        <f>AI291*Y291</f>
        <v/>
      </c>
      <c r="AT291" s="66">
        <f>AJ291*Z291</f>
        <v/>
      </c>
      <c r="AU291" s="66">
        <f>AK291*AA291</f>
        <v/>
      </c>
      <c r="AV291" s="66">
        <f>AL291*AB291</f>
        <v/>
      </c>
      <c r="AW291" s="66">
        <f>AM291*AC291</f>
        <v/>
      </c>
      <c r="AX291" s="66">
        <f>AN291*AD291</f>
        <v/>
      </c>
      <c r="AY291" s="66">
        <f>AO291*AE291</f>
        <v/>
      </c>
      <c r="AZ291" s="66">
        <f>'Project Database'!Z295</f>
        <v/>
      </c>
      <c r="BA291" s="66">
        <f>IF(OR(A291="",'Smart Search'!H13=0),"",MAX(0,BE291*BF291*MAX(0,1-BG291)))</f>
        <v/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66">
        <f>IF('Smart Search'!G13=1,IFERROR(1/'Smart Search'!H13,0),0)</f>
        <v/>
      </c>
      <c r="BD291" s="66">
        <f>BB291*BC291</f>
        <v/>
      </c>
      <c r="BE291" s="66">
        <f>AP291+AQ291+AR291+AS291+AT291+AU291+AV291+AW291+AX291+AY291+BD291</f>
        <v/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5">
        <f>IF(AND('Project Database'!A295&lt;&gt;"",OR('Smart Search'!$L$5="",'Smart Search'!$L$5="All",TRIM('Project Database'!D295)=TRIM('Smart Search'!$L$5)),OR(TRIM('Smart Search'!$L$6)="",TRIM('Smart Search'!$L$6)="All",ISNUMBER(SEARCH(SUBSTITUTE(SUBSTITUTE(SUBSTITUTE(TRIM('Smart Search'!$L$6),"~","~~"),"*","~*"),"?","~?"),'Project Database'!C295))),OR('Smart Search'!$L$7="",AND('Project Database'!E295&lt;&gt;"",'Project Database'!E295='Smart Search'!$L$7)),OR('Smart Search'!$L$8="",'Smart Search'!$L$8="All",TRIM('Project Database'!F295)=TRIM('Smart Search'!$L$8))),IF(BA291="","",BA291+ROW()*0.0000000001),"")</f>
        <v/>
      </c>
      <c r="BI291" s="5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>
        <f>IF('Project Database'!A295="","",N('Project Database'!AC295))</f>
        <v/>
      </c>
      <c r="BK291" s="5">
        <f>IF('Project Database'!A295="","",N('Project Database'!AD295))</f>
        <v/>
      </c>
      <c r="BL291" s="5">
        <f>IF('Project Database'!A295="","",N('Project Database'!AE295))</f>
        <v/>
      </c>
      <c r="BM291" s="5">
        <f>IF('Project Database'!A295="","",N('Project Database'!AF295))</f>
        <v/>
      </c>
      <c r="BN291" s="5">
        <f>IF('Project Database'!A295="","",N('Project Database'!AG295))</f>
        <v/>
      </c>
      <c r="BO291" s="5">
        <f>IF('Project Database'!A295="","",N('Project Database'!AH295))</f>
        <v/>
      </c>
      <c r="BP291" s="5">
        <f>IF('Project Database'!A295="","",N('Project Database'!AI295))</f>
        <v/>
      </c>
      <c r="BQ291" s="5">
        <f>IF('Project Database'!A295="","",N('Project Database'!AJ295))</f>
        <v/>
      </c>
      <c r="BR291" s="5">
        <f>IF('Project Database'!A295="","",N('Project Database'!AK295))</f>
        <v/>
      </c>
      <c r="BS291" s="5">
        <f>IF('Project Database'!A295="","",N('Project Database'!AL295))</f>
        <v/>
      </c>
      <c r="BT291" s="5">
        <f>IF('Project Database'!A295="","",N('Project Database'!AM295))</f>
        <v/>
      </c>
      <c r="BU291" s="5">
        <f>IF('Project Database'!A295="","",N('Project Database'!AN295))</f>
        <v/>
      </c>
      <c r="BV291" s="5">
        <f>IF('Project Database'!A295="","",N('Project Database'!AO295))</f>
        <v/>
      </c>
      <c r="BW291" s="5">
        <f>IF('Project Database'!A295="","",N('Project Database'!AP295))</f>
        <v/>
      </c>
      <c r="BX291" s="5">
        <f>IF(A291="","",SUM(BJ291:BW291))</f>
        <v/>
      </c>
      <c r="BY291" s="5">
        <f>IF(A291="","",IFERROR(IF(ISNUMBER(U291),U291,VALUE(SUBSTITUTE(SUBSTITUTE(SUBSTITUTE(UPPER(TRIM(U291)),"M",""),",","")," ",""))),0))</f>
        <v/>
      </c>
    </row>
    <row r="292" ht="15" customHeight="1" s="74">
      <c r="A292" s="66">
        <f>'Project Database'!A296</f>
        <v/>
      </c>
      <c r="B292" s="66">
        <f>'Project Database'!B296</f>
        <v/>
      </c>
      <c r="C292" s="66">
        <f>'Project Database'!G296</f>
        <v/>
      </c>
      <c r="D292" s="66">
        <f>'Project Database'!H296</f>
        <v/>
      </c>
      <c r="E292" s="66">
        <f>'Project Database'!I296</f>
        <v/>
      </c>
      <c r="F292" s="66">
        <f>'Project Database'!J296</f>
        <v/>
      </c>
      <c r="G292" s="66">
        <f>'Project Database'!K296</f>
        <v/>
      </c>
      <c r="H292" s="66">
        <f>'Project Database'!L296</f>
        <v/>
      </c>
      <c r="I292" s="66">
        <f>'Project Database'!M296</f>
        <v/>
      </c>
      <c r="J292" s="66">
        <f>'Project Database'!N296</f>
        <v/>
      </c>
      <c r="K292" s="66">
        <f>'Project Database'!O296</f>
        <v/>
      </c>
      <c r="L292" s="66">
        <f>'Project Database'!P296</f>
        <v/>
      </c>
      <c r="M292" s="66">
        <f>'Project Database'!Q296</f>
        <v/>
      </c>
      <c r="N292" s="66">
        <f>'Project Database'!R296</f>
        <v/>
      </c>
      <c r="O292" s="66">
        <f>'Project Database'!S296</f>
        <v/>
      </c>
      <c r="P292" s="66">
        <f>'Project Database'!T296</f>
        <v/>
      </c>
      <c r="Q292" s="66">
        <f>'Project Database'!U296</f>
        <v/>
      </c>
      <c r="R292" s="66">
        <f>'Project Database'!V296</f>
        <v/>
      </c>
      <c r="S292" s="66">
        <f>'Project Database'!W296</f>
        <v/>
      </c>
      <c r="T292" s="66">
        <f>'Project Database'!X296</f>
        <v/>
      </c>
      <c r="U292" s="67">
        <f>'Project Database'!Y296</f>
        <v/>
      </c>
      <c r="V292" s="66">
        <f>IF('Smart Search'!B13=1,IFERROR(1/'Smart Search'!H13,0),0)</f>
        <v/>
      </c>
      <c r="W292" s="66">
        <f>IF('Smart Search'!B13=1,IFERROR(1/'Smart Search'!H13,0),0)</f>
        <v/>
      </c>
      <c r="X292" s="66">
        <f>IF('Smart Search'!C13=1,IFERROR(1/'Smart Search'!H13,0),0)</f>
        <v/>
      </c>
      <c r="Y292" s="66">
        <f>IF('Smart Search'!C13=1,IFERROR(1/'Smart Search'!H13,0),0)</f>
        <v/>
      </c>
      <c r="Z292" s="66">
        <f>IF('Smart Search'!D13=1,IFERROR(1/'Smart Search'!H13,0),0)</f>
        <v/>
      </c>
      <c r="AA292" s="66">
        <f>IF('Smart Search'!D13=1,IFERROR(1/'Smart Search'!H13,0),0)</f>
        <v/>
      </c>
      <c r="AB292" s="66">
        <f>IF('Smart Search'!E13=1,IFERROR(1/'Smart Search'!H13,0),0)</f>
        <v/>
      </c>
      <c r="AC292" s="66">
        <f>IF('Smart Search'!E13=1,IFERROR(1/'Smart Search'!H13,0),0)</f>
        <v/>
      </c>
      <c r="AD292" s="66">
        <f>IF('Smart Search'!F13=1,IFERROR(1/'Smart Search'!H13,0),0)</f>
        <v/>
      </c>
      <c r="AE292" s="66">
        <f>IF('Smart Search'!F13=1,IFERROR(1/'Smart Search'!H13,0),0)</f>
        <v/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66">
        <f>AF292*V292</f>
        <v/>
      </c>
      <c r="AQ292" s="66">
        <f>AG292*W292</f>
        <v/>
      </c>
      <c r="AR292" s="66">
        <f>AH292*X292</f>
        <v/>
      </c>
      <c r="AS292" s="66">
        <f>AI292*Y292</f>
        <v/>
      </c>
      <c r="AT292" s="66">
        <f>AJ292*Z292</f>
        <v/>
      </c>
      <c r="AU292" s="66">
        <f>AK292*AA292</f>
        <v/>
      </c>
      <c r="AV292" s="66">
        <f>AL292*AB292</f>
        <v/>
      </c>
      <c r="AW292" s="66">
        <f>AM292*AC292</f>
        <v/>
      </c>
      <c r="AX292" s="66">
        <f>AN292*AD292</f>
        <v/>
      </c>
      <c r="AY292" s="66">
        <f>AO292*AE292</f>
        <v/>
      </c>
      <c r="AZ292" s="66">
        <f>'Project Database'!Z296</f>
        <v/>
      </c>
      <c r="BA292" s="66">
        <f>IF(OR(A292="",'Smart Search'!H13=0),"",MAX(0,BE292*BF292*MAX(0,1-BG292)))</f>
        <v/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66">
        <f>IF('Smart Search'!G13=1,IFERROR(1/'Smart Search'!H13,0),0)</f>
        <v/>
      </c>
      <c r="BD292" s="66">
        <f>BB292*BC292</f>
        <v/>
      </c>
      <c r="BE292" s="66">
        <f>AP292+AQ292+AR292+AS292+AT292+AU292+AV292+AW292+AX292+AY292+BD292</f>
        <v/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5">
        <f>IF(AND('Project Database'!A296&lt;&gt;"",OR('Smart Search'!$L$5="",'Smart Search'!$L$5="All",TRIM('Project Database'!D296)=TRIM('Smart Search'!$L$5)),OR(TRIM('Smart Search'!$L$6)="",TRIM('Smart Search'!$L$6)="All",ISNUMBER(SEARCH(SUBSTITUTE(SUBSTITUTE(SUBSTITUTE(TRIM('Smart Search'!$L$6),"~","~~"),"*","~*"),"?","~?"),'Project Database'!C296))),OR('Smart Search'!$L$7="",AND('Project Database'!E296&lt;&gt;"",'Project Database'!E296='Smart Search'!$L$7)),OR('Smart Search'!$L$8="",'Smart Search'!$L$8="All",TRIM('Project Database'!F296)=TRIM('Smart Search'!$L$8))),IF(BA292="","",BA292+ROW()*0.0000000001),"")</f>
        <v/>
      </c>
      <c r="BI292" s="5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>
        <f>IF('Project Database'!A296="","",N('Project Database'!AC296))</f>
        <v/>
      </c>
      <c r="BK292" s="5">
        <f>IF('Project Database'!A296="","",N('Project Database'!AD296))</f>
        <v/>
      </c>
      <c r="BL292" s="5">
        <f>IF('Project Database'!A296="","",N('Project Database'!AE296))</f>
        <v/>
      </c>
      <c r="BM292" s="5">
        <f>IF('Project Database'!A296="","",N('Project Database'!AF296))</f>
        <v/>
      </c>
      <c r="BN292" s="5">
        <f>IF('Project Database'!A296="","",N('Project Database'!AG296))</f>
        <v/>
      </c>
      <c r="BO292" s="5">
        <f>IF('Project Database'!A296="","",N('Project Database'!AH296))</f>
        <v/>
      </c>
      <c r="BP292" s="5">
        <f>IF('Project Database'!A296="","",N('Project Database'!AI296))</f>
        <v/>
      </c>
      <c r="BQ292" s="5">
        <f>IF('Project Database'!A296="","",N('Project Database'!AJ296))</f>
        <v/>
      </c>
      <c r="BR292" s="5">
        <f>IF('Project Database'!A296="","",N('Project Database'!AK296))</f>
        <v/>
      </c>
      <c r="BS292" s="5">
        <f>IF('Project Database'!A296="","",N('Project Database'!AL296))</f>
        <v/>
      </c>
      <c r="BT292" s="5">
        <f>IF('Project Database'!A296="","",N('Project Database'!AM296))</f>
        <v/>
      </c>
      <c r="BU292" s="5">
        <f>IF('Project Database'!A296="","",N('Project Database'!AN296))</f>
        <v/>
      </c>
      <c r="BV292" s="5">
        <f>IF('Project Database'!A296="","",N('Project Database'!AO296))</f>
        <v/>
      </c>
      <c r="BW292" s="5">
        <f>IF('Project Database'!A296="","",N('Project Database'!AP296))</f>
        <v/>
      </c>
      <c r="BX292" s="5">
        <f>IF(A292="","",SUM(BJ292:BW292))</f>
        <v/>
      </c>
      <c r="BY292" s="5">
        <f>IF(A292="","",IFERROR(IF(ISNUMBER(U292),U292,VALUE(SUBSTITUTE(SUBSTITUTE(SUBSTITUTE(UPPER(TRIM(U292)),"M",""),",","")," ",""))),0))</f>
        <v/>
      </c>
    </row>
    <row r="293" ht="15" customHeight="1" s="74">
      <c r="A293" s="66">
        <f>'Project Database'!A297</f>
        <v/>
      </c>
      <c r="B293" s="66">
        <f>'Project Database'!B297</f>
        <v/>
      </c>
      <c r="C293" s="66">
        <f>'Project Database'!G297</f>
        <v/>
      </c>
      <c r="D293" s="66">
        <f>'Project Database'!H297</f>
        <v/>
      </c>
      <c r="E293" s="66">
        <f>'Project Database'!I297</f>
        <v/>
      </c>
      <c r="F293" s="66">
        <f>'Project Database'!J297</f>
        <v/>
      </c>
      <c r="G293" s="66">
        <f>'Project Database'!K297</f>
        <v/>
      </c>
      <c r="H293" s="66">
        <f>'Project Database'!L297</f>
        <v/>
      </c>
      <c r="I293" s="66">
        <f>'Project Database'!M297</f>
        <v/>
      </c>
      <c r="J293" s="66">
        <f>'Project Database'!N297</f>
        <v/>
      </c>
      <c r="K293" s="66">
        <f>'Project Database'!O297</f>
        <v/>
      </c>
      <c r="L293" s="66">
        <f>'Project Database'!P297</f>
        <v/>
      </c>
      <c r="M293" s="66">
        <f>'Project Database'!Q297</f>
        <v/>
      </c>
      <c r="N293" s="66">
        <f>'Project Database'!R297</f>
        <v/>
      </c>
      <c r="O293" s="66">
        <f>'Project Database'!S297</f>
        <v/>
      </c>
      <c r="P293" s="66">
        <f>'Project Database'!T297</f>
        <v/>
      </c>
      <c r="Q293" s="66">
        <f>'Project Database'!U297</f>
        <v/>
      </c>
      <c r="R293" s="66">
        <f>'Project Database'!V297</f>
        <v/>
      </c>
      <c r="S293" s="66">
        <f>'Project Database'!W297</f>
        <v/>
      </c>
      <c r="T293" s="66">
        <f>'Project Database'!X297</f>
        <v/>
      </c>
      <c r="U293" s="67">
        <f>'Project Database'!Y297</f>
        <v/>
      </c>
      <c r="V293" s="66">
        <f>IF('Smart Search'!B13=1,IFERROR(1/'Smart Search'!H13,0),0)</f>
        <v/>
      </c>
      <c r="W293" s="66">
        <f>IF('Smart Search'!B13=1,IFERROR(1/'Smart Search'!H13,0),0)</f>
        <v/>
      </c>
      <c r="X293" s="66">
        <f>IF('Smart Search'!C13=1,IFERROR(1/'Smart Search'!H13,0),0)</f>
        <v/>
      </c>
      <c r="Y293" s="66">
        <f>IF('Smart Search'!C13=1,IFERROR(1/'Smart Search'!H13,0),0)</f>
        <v/>
      </c>
      <c r="Z293" s="66">
        <f>IF('Smart Search'!D13=1,IFERROR(1/'Smart Search'!H13,0),0)</f>
        <v/>
      </c>
      <c r="AA293" s="66">
        <f>IF('Smart Search'!D13=1,IFERROR(1/'Smart Search'!H13,0),0)</f>
        <v/>
      </c>
      <c r="AB293" s="66">
        <f>IF('Smart Search'!E13=1,IFERROR(1/'Smart Search'!H13,0),0)</f>
        <v/>
      </c>
      <c r="AC293" s="66">
        <f>IF('Smart Search'!E13=1,IFERROR(1/'Smart Search'!H13,0),0)</f>
        <v/>
      </c>
      <c r="AD293" s="66">
        <f>IF('Smart Search'!F13=1,IFERROR(1/'Smart Search'!H13,0),0)</f>
        <v/>
      </c>
      <c r="AE293" s="66">
        <f>IF('Smart Search'!F13=1,IFERROR(1/'Smart Search'!H13,0),0)</f>
        <v/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66">
        <f>AF293*V293</f>
        <v/>
      </c>
      <c r="AQ293" s="66">
        <f>AG293*W293</f>
        <v/>
      </c>
      <c r="AR293" s="66">
        <f>AH293*X293</f>
        <v/>
      </c>
      <c r="AS293" s="66">
        <f>AI293*Y293</f>
        <v/>
      </c>
      <c r="AT293" s="66">
        <f>AJ293*Z293</f>
        <v/>
      </c>
      <c r="AU293" s="66">
        <f>AK293*AA293</f>
        <v/>
      </c>
      <c r="AV293" s="66">
        <f>AL293*AB293</f>
        <v/>
      </c>
      <c r="AW293" s="66">
        <f>AM293*AC293</f>
        <v/>
      </c>
      <c r="AX293" s="66">
        <f>AN293*AD293</f>
        <v/>
      </c>
      <c r="AY293" s="66">
        <f>AO293*AE293</f>
        <v/>
      </c>
      <c r="AZ293" s="66">
        <f>'Project Database'!Z297</f>
        <v/>
      </c>
      <c r="BA293" s="66">
        <f>IF(OR(A293="",'Smart Search'!H13=0),"",MAX(0,BE293*BF293*MAX(0,1-BG293)))</f>
        <v/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66">
        <f>IF('Smart Search'!G13=1,IFERROR(1/'Smart Search'!H13,0),0)</f>
        <v/>
      </c>
      <c r="BD293" s="66">
        <f>BB293*BC293</f>
        <v/>
      </c>
      <c r="BE293" s="66">
        <f>AP293+AQ293+AR293+AS293+AT293+AU293+AV293+AW293+AX293+AY293+BD293</f>
        <v/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5">
        <f>IF(AND('Project Database'!A297&lt;&gt;"",OR('Smart Search'!$L$5="",'Smart Search'!$L$5="All",TRIM('Project Database'!D297)=TRIM('Smart Search'!$L$5)),OR(TRIM('Smart Search'!$L$6)="",TRIM('Smart Search'!$L$6)="All",ISNUMBER(SEARCH(SUBSTITUTE(SUBSTITUTE(SUBSTITUTE(TRIM('Smart Search'!$L$6),"~","~~"),"*","~*"),"?","~?"),'Project Database'!C297))),OR('Smart Search'!$L$7="",AND('Project Database'!E297&lt;&gt;"",'Project Database'!E297='Smart Search'!$L$7)),OR('Smart Search'!$L$8="",'Smart Search'!$L$8="All",TRIM('Project Database'!F297)=TRIM('Smart Search'!$L$8))),IF(BA293="","",BA293+ROW()*0.0000000001),"")</f>
        <v/>
      </c>
      <c r="BI293" s="5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>
        <f>IF('Project Database'!A297="","",N('Project Database'!AC297))</f>
        <v/>
      </c>
      <c r="BK293" s="5">
        <f>IF('Project Database'!A297="","",N('Project Database'!AD297))</f>
        <v/>
      </c>
      <c r="BL293" s="5">
        <f>IF('Project Database'!A297="","",N('Project Database'!AE297))</f>
        <v/>
      </c>
      <c r="BM293" s="5">
        <f>IF('Project Database'!A297="","",N('Project Database'!AF297))</f>
        <v/>
      </c>
      <c r="BN293" s="5">
        <f>IF('Project Database'!A297="","",N('Project Database'!AG297))</f>
        <v/>
      </c>
      <c r="BO293" s="5">
        <f>IF('Project Database'!A297="","",N('Project Database'!AH297))</f>
        <v/>
      </c>
      <c r="BP293" s="5">
        <f>IF('Project Database'!A297="","",N('Project Database'!AI297))</f>
        <v/>
      </c>
      <c r="BQ293" s="5">
        <f>IF('Project Database'!A297="","",N('Project Database'!AJ297))</f>
        <v/>
      </c>
      <c r="BR293" s="5">
        <f>IF('Project Database'!A297="","",N('Project Database'!AK297))</f>
        <v/>
      </c>
      <c r="BS293" s="5">
        <f>IF('Project Database'!A297="","",N('Project Database'!AL297))</f>
        <v/>
      </c>
      <c r="BT293" s="5">
        <f>IF('Project Database'!A297="","",N('Project Database'!AM297))</f>
        <v/>
      </c>
      <c r="BU293" s="5">
        <f>IF('Project Database'!A297="","",N('Project Database'!AN297))</f>
        <v/>
      </c>
      <c r="BV293" s="5">
        <f>IF('Project Database'!A297="","",N('Project Database'!AO297))</f>
        <v/>
      </c>
      <c r="BW293" s="5">
        <f>IF('Project Database'!A297="","",N('Project Database'!AP297))</f>
        <v/>
      </c>
      <c r="BX293" s="5">
        <f>IF(A293="","",SUM(BJ293:BW293))</f>
        <v/>
      </c>
      <c r="BY293" s="5">
        <f>IF(A293="","",IFERROR(IF(ISNUMBER(U293),U293,VALUE(SUBSTITUTE(SUBSTITUTE(SUBSTITUTE(UPPER(TRIM(U293)),"M",""),",","")," ",""))),0))</f>
        <v/>
      </c>
    </row>
    <row r="294" ht="15" customHeight="1" s="74">
      <c r="A294" s="66">
        <f>'Project Database'!A298</f>
        <v/>
      </c>
      <c r="B294" s="66">
        <f>'Project Database'!B298</f>
        <v/>
      </c>
      <c r="C294" s="66">
        <f>'Project Database'!G298</f>
        <v/>
      </c>
      <c r="D294" s="66">
        <f>'Project Database'!H298</f>
        <v/>
      </c>
      <c r="E294" s="66">
        <f>'Project Database'!I298</f>
        <v/>
      </c>
      <c r="F294" s="66">
        <f>'Project Database'!J298</f>
        <v/>
      </c>
      <c r="G294" s="66">
        <f>'Project Database'!K298</f>
        <v/>
      </c>
      <c r="H294" s="66">
        <f>'Project Database'!L298</f>
        <v/>
      </c>
      <c r="I294" s="66">
        <f>'Project Database'!M298</f>
        <v/>
      </c>
      <c r="J294" s="66">
        <f>'Project Database'!N298</f>
        <v/>
      </c>
      <c r="K294" s="66">
        <f>'Project Database'!O298</f>
        <v/>
      </c>
      <c r="L294" s="66">
        <f>'Project Database'!P298</f>
        <v/>
      </c>
      <c r="M294" s="66">
        <f>'Project Database'!Q298</f>
        <v/>
      </c>
      <c r="N294" s="66">
        <f>'Project Database'!R298</f>
        <v/>
      </c>
      <c r="O294" s="66">
        <f>'Project Database'!S298</f>
        <v/>
      </c>
      <c r="P294" s="66">
        <f>'Project Database'!T298</f>
        <v/>
      </c>
      <c r="Q294" s="66">
        <f>'Project Database'!U298</f>
        <v/>
      </c>
      <c r="R294" s="66">
        <f>'Project Database'!V298</f>
        <v/>
      </c>
      <c r="S294" s="66">
        <f>'Project Database'!W298</f>
        <v/>
      </c>
      <c r="T294" s="66">
        <f>'Project Database'!X298</f>
        <v/>
      </c>
      <c r="U294" s="67">
        <f>'Project Database'!Y298</f>
        <v/>
      </c>
      <c r="V294" s="66">
        <f>IF('Smart Search'!B13=1,IFERROR(1/'Smart Search'!H13,0),0)</f>
        <v/>
      </c>
      <c r="W294" s="66">
        <f>IF('Smart Search'!B13=1,IFERROR(1/'Smart Search'!H13,0),0)</f>
        <v/>
      </c>
      <c r="X294" s="66">
        <f>IF('Smart Search'!C13=1,IFERROR(1/'Smart Search'!H13,0),0)</f>
        <v/>
      </c>
      <c r="Y294" s="66">
        <f>IF('Smart Search'!C13=1,IFERROR(1/'Smart Search'!H13,0),0)</f>
        <v/>
      </c>
      <c r="Z294" s="66">
        <f>IF('Smart Search'!D13=1,IFERROR(1/'Smart Search'!H13,0),0)</f>
        <v/>
      </c>
      <c r="AA294" s="66">
        <f>IF('Smart Search'!D13=1,IFERROR(1/'Smart Search'!H13,0),0)</f>
        <v/>
      </c>
      <c r="AB294" s="66">
        <f>IF('Smart Search'!E13=1,IFERROR(1/'Smart Search'!H13,0),0)</f>
        <v/>
      </c>
      <c r="AC294" s="66">
        <f>IF('Smart Search'!E13=1,IFERROR(1/'Smart Search'!H13,0),0)</f>
        <v/>
      </c>
      <c r="AD294" s="66">
        <f>IF('Smart Search'!F13=1,IFERROR(1/'Smart Search'!H13,0),0)</f>
        <v/>
      </c>
      <c r="AE294" s="66">
        <f>IF('Smart Search'!F13=1,IFERROR(1/'Smart Search'!H13,0),0)</f>
        <v/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66">
        <f>AF294*V294</f>
        <v/>
      </c>
      <c r="AQ294" s="66">
        <f>AG294*W294</f>
        <v/>
      </c>
      <c r="AR294" s="66">
        <f>AH294*X294</f>
        <v/>
      </c>
      <c r="AS294" s="66">
        <f>AI294*Y294</f>
        <v/>
      </c>
      <c r="AT294" s="66">
        <f>AJ294*Z294</f>
        <v/>
      </c>
      <c r="AU294" s="66">
        <f>AK294*AA294</f>
        <v/>
      </c>
      <c r="AV294" s="66">
        <f>AL294*AB294</f>
        <v/>
      </c>
      <c r="AW294" s="66">
        <f>AM294*AC294</f>
        <v/>
      </c>
      <c r="AX294" s="66">
        <f>AN294*AD294</f>
        <v/>
      </c>
      <c r="AY294" s="66">
        <f>AO294*AE294</f>
        <v/>
      </c>
      <c r="AZ294" s="66">
        <f>'Project Database'!Z298</f>
        <v/>
      </c>
      <c r="BA294" s="66">
        <f>IF(OR(A294="",'Smart Search'!H13=0),"",MAX(0,BE294*BF294*MAX(0,1-BG294)))</f>
        <v/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66">
        <f>IF('Smart Search'!G13=1,IFERROR(1/'Smart Search'!H13,0),0)</f>
        <v/>
      </c>
      <c r="BD294" s="66">
        <f>BB294*BC294</f>
        <v/>
      </c>
      <c r="BE294" s="66">
        <f>AP294+AQ294+AR294+AS294+AT294+AU294+AV294+AW294+AX294+AY294+BD294</f>
        <v/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5">
        <f>IF(AND('Project Database'!A298&lt;&gt;"",OR('Smart Search'!$L$5="",'Smart Search'!$L$5="All",TRIM('Project Database'!D298)=TRIM('Smart Search'!$L$5)),OR(TRIM('Smart Search'!$L$6)="",TRIM('Smart Search'!$L$6)="All",ISNUMBER(SEARCH(SUBSTITUTE(SUBSTITUTE(SUBSTITUTE(TRIM('Smart Search'!$L$6),"~","~~"),"*","~*"),"?","~?"),'Project Database'!C298))),OR('Smart Search'!$L$7="",AND('Project Database'!E298&lt;&gt;"",'Project Database'!E298='Smart Search'!$L$7)),OR('Smart Search'!$L$8="",'Smart Search'!$L$8="All",TRIM('Project Database'!F298)=TRIM('Smart Search'!$L$8))),IF(BA294="","",BA294+ROW()*0.0000000001),"")</f>
        <v/>
      </c>
      <c r="BI294" s="5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>
        <f>IF('Project Database'!A298="","",N('Project Database'!AC298))</f>
        <v/>
      </c>
      <c r="BK294" s="5">
        <f>IF('Project Database'!A298="","",N('Project Database'!AD298))</f>
        <v/>
      </c>
      <c r="BL294" s="5">
        <f>IF('Project Database'!A298="","",N('Project Database'!AE298))</f>
        <v/>
      </c>
      <c r="BM294" s="5">
        <f>IF('Project Database'!A298="","",N('Project Database'!AF298))</f>
        <v/>
      </c>
      <c r="BN294" s="5">
        <f>IF('Project Database'!A298="","",N('Project Database'!AG298))</f>
        <v/>
      </c>
      <c r="BO294" s="5">
        <f>IF('Project Database'!A298="","",N('Project Database'!AH298))</f>
        <v/>
      </c>
      <c r="BP294" s="5">
        <f>IF('Project Database'!A298="","",N('Project Database'!AI298))</f>
        <v/>
      </c>
      <c r="BQ294" s="5">
        <f>IF('Project Database'!A298="","",N('Project Database'!AJ298))</f>
        <v/>
      </c>
      <c r="BR294" s="5">
        <f>IF('Project Database'!A298="","",N('Project Database'!AK298))</f>
        <v/>
      </c>
      <c r="BS294" s="5">
        <f>IF('Project Database'!A298="","",N('Project Database'!AL298))</f>
        <v/>
      </c>
      <c r="BT294" s="5">
        <f>IF('Project Database'!A298="","",N('Project Database'!AM298))</f>
        <v/>
      </c>
      <c r="BU294" s="5">
        <f>IF('Project Database'!A298="","",N('Project Database'!AN298))</f>
        <v/>
      </c>
      <c r="BV294" s="5">
        <f>IF('Project Database'!A298="","",N('Project Database'!AO298))</f>
        <v/>
      </c>
      <c r="BW294" s="5">
        <f>IF('Project Database'!A298="","",N('Project Database'!AP298))</f>
        <v/>
      </c>
      <c r="BX294" s="5">
        <f>IF(A294="","",SUM(BJ294:BW294))</f>
        <v/>
      </c>
      <c r="BY294" s="5">
        <f>IF(A294="","",IFERROR(IF(ISNUMBER(U294),U294,VALUE(SUBSTITUTE(SUBSTITUTE(SUBSTITUTE(UPPER(TRIM(U294)),"M",""),",","")," ",""))),0))</f>
        <v/>
      </c>
    </row>
    <row r="295" ht="15" customHeight="1" s="74">
      <c r="A295" s="66">
        <f>'Project Database'!A299</f>
        <v/>
      </c>
      <c r="B295" s="66">
        <f>'Project Database'!B299</f>
        <v/>
      </c>
      <c r="C295" s="66">
        <f>'Project Database'!G299</f>
        <v/>
      </c>
      <c r="D295" s="66">
        <f>'Project Database'!H299</f>
        <v/>
      </c>
      <c r="E295" s="66">
        <f>'Project Database'!I299</f>
        <v/>
      </c>
      <c r="F295" s="66">
        <f>'Project Database'!J299</f>
        <v/>
      </c>
      <c r="G295" s="66">
        <f>'Project Database'!K299</f>
        <v/>
      </c>
      <c r="H295" s="66">
        <f>'Project Database'!L299</f>
        <v/>
      </c>
      <c r="I295" s="66">
        <f>'Project Database'!M299</f>
        <v/>
      </c>
      <c r="J295" s="66">
        <f>'Project Database'!N299</f>
        <v/>
      </c>
      <c r="K295" s="66">
        <f>'Project Database'!O299</f>
        <v/>
      </c>
      <c r="L295" s="66">
        <f>'Project Database'!P299</f>
        <v/>
      </c>
      <c r="M295" s="66">
        <f>'Project Database'!Q299</f>
        <v/>
      </c>
      <c r="N295" s="66">
        <f>'Project Database'!R299</f>
        <v/>
      </c>
      <c r="O295" s="66">
        <f>'Project Database'!S299</f>
        <v/>
      </c>
      <c r="P295" s="66">
        <f>'Project Database'!T299</f>
        <v/>
      </c>
      <c r="Q295" s="66">
        <f>'Project Database'!U299</f>
        <v/>
      </c>
      <c r="R295" s="66">
        <f>'Project Database'!V299</f>
        <v/>
      </c>
      <c r="S295" s="66">
        <f>'Project Database'!W299</f>
        <v/>
      </c>
      <c r="T295" s="66">
        <f>'Project Database'!X299</f>
        <v/>
      </c>
      <c r="U295" s="67">
        <f>'Project Database'!Y299</f>
        <v/>
      </c>
      <c r="V295" s="66">
        <f>IF('Smart Search'!B13=1,IFERROR(1/'Smart Search'!H13,0),0)</f>
        <v/>
      </c>
      <c r="W295" s="66">
        <f>IF('Smart Search'!B13=1,IFERROR(1/'Smart Search'!H13,0),0)</f>
        <v/>
      </c>
      <c r="X295" s="66">
        <f>IF('Smart Search'!C13=1,IFERROR(1/'Smart Search'!H13,0),0)</f>
        <v/>
      </c>
      <c r="Y295" s="66">
        <f>IF('Smart Search'!C13=1,IFERROR(1/'Smart Search'!H13,0),0)</f>
        <v/>
      </c>
      <c r="Z295" s="66">
        <f>IF('Smart Search'!D13=1,IFERROR(1/'Smart Search'!H13,0),0)</f>
        <v/>
      </c>
      <c r="AA295" s="66">
        <f>IF('Smart Search'!D13=1,IFERROR(1/'Smart Search'!H13,0),0)</f>
        <v/>
      </c>
      <c r="AB295" s="66">
        <f>IF('Smart Search'!E13=1,IFERROR(1/'Smart Search'!H13,0),0)</f>
        <v/>
      </c>
      <c r="AC295" s="66">
        <f>IF('Smart Search'!E13=1,IFERROR(1/'Smart Search'!H13,0),0)</f>
        <v/>
      </c>
      <c r="AD295" s="66">
        <f>IF('Smart Search'!F13=1,IFERROR(1/'Smart Search'!H13,0),0)</f>
        <v/>
      </c>
      <c r="AE295" s="66">
        <f>IF('Smart Search'!F13=1,IFERROR(1/'Smart Search'!H13,0),0)</f>
        <v/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66">
        <f>AF295*V295</f>
        <v/>
      </c>
      <c r="AQ295" s="66">
        <f>AG295*W295</f>
        <v/>
      </c>
      <c r="AR295" s="66">
        <f>AH295*X295</f>
        <v/>
      </c>
      <c r="AS295" s="66">
        <f>AI295*Y295</f>
        <v/>
      </c>
      <c r="AT295" s="66">
        <f>AJ295*Z295</f>
        <v/>
      </c>
      <c r="AU295" s="66">
        <f>AK295*AA295</f>
        <v/>
      </c>
      <c r="AV295" s="66">
        <f>AL295*AB295</f>
        <v/>
      </c>
      <c r="AW295" s="66">
        <f>AM295*AC295</f>
        <v/>
      </c>
      <c r="AX295" s="66">
        <f>AN295*AD295</f>
        <v/>
      </c>
      <c r="AY295" s="66">
        <f>AO295*AE295</f>
        <v/>
      </c>
      <c r="AZ295" s="66">
        <f>'Project Database'!Z299</f>
        <v/>
      </c>
      <c r="BA295" s="66">
        <f>IF(OR(A295="",'Smart Search'!H13=0),"",MAX(0,BE295*BF295*MAX(0,1-BG295)))</f>
        <v/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66">
        <f>IF('Smart Search'!G13=1,IFERROR(1/'Smart Search'!H13,0),0)</f>
        <v/>
      </c>
      <c r="BD295" s="66">
        <f>BB295*BC295</f>
        <v/>
      </c>
      <c r="BE295" s="66">
        <f>AP295+AQ295+AR295+AS295+AT295+AU295+AV295+AW295+AX295+AY295+BD295</f>
        <v/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5">
        <f>IF(AND('Project Database'!A299&lt;&gt;"",OR('Smart Search'!$L$5="",'Smart Search'!$L$5="All",TRIM('Project Database'!D299)=TRIM('Smart Search'!$L$5)),OR(TRIM('Smart Search'!$L$6)="",TRIM('Smart Search'!$L$6)="All",ISNUMBER(SEARCH(SUBSTITUTE(SUBSTITUTE(SUBSTITUTE(TRIM('Smart Search'!$L$6),"~","~~"),"*","~*"),"?","~?"),'Project Database'!C299))),OR('Smart Search'!$L$7="",AND('Project Database'!E299&lt;&gt;"",'Project Database'!E299='Smart Search'!$L$7)),OR('Smart Search'!$L$8="",'Smart Search'!$L$8="All",TRIM('Project Database'!F299)=TRIM('Smart Search'!$L$8))),IF(BA295="","",BA295+ROW()*0.0000000001),"")</f>
        <v/>
      </c>
      <c r="BI295" s="5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>
        <f>IF('Project Database'!A299="","",N('Project Database'!AC299))</f>
        <v/>
      </c>
      <c r="BK295" s="5">
        <f>IF('Project Database'!A299="","",N('Project Database'!AD299))</f>
        <v/>
      </c>
      <c r="BL295" s="5">
        <f>IF('Project Database'!A299="","",N('Project Database'!AE299))</f>
        <v/>
      </c>
      <c r="BM295" s="5">
        <f>IF('Project Database'!A299="","",N('Project Database'!AF299))</f>
        <v/>
      </c>
      <c r="BN295" s="5">
        <f>IF('Project Database'!A299="","",N('Project Database'!AG299))</f>
        <v/>
      </c>
      <c r="BO295" s="5">
        <f>IF('Project Database'!A299="","",N('Project Database'!AH299))</f>
        <v/>
      </c>
      <c r="BP295" s="5">
        <f>IF('Project Database'!A299="","",N('Project Database'!AI299))</f>
        <v/>
      </c>
      <c r="BQ295" s="5">
        <f>IF('Project Database'!A299="","",N('Project Database'!AJ299))</f>
        <v/>
      </c>
      <c r="BR295" s="5">
        <f>IF('Project Database'!A299="","",N('Project Database'!AK299))</f>
        <v/>
      </c>
      <c r="BS295" s="5">
        <f>IF('Project Database'!A299="","",N('Project Database'!AL299))</f>
        <v/>
      </c>
      <c r="BT295" s="5">
        <f>IF('Project Database'!A299="","",N('Project Database'!AM299))</f>
        <v/>
      </c>
      <c r="BU295" s="5">
        <f>IF('Project Database'!A299="","",N('Project Database'!AN299))</f>
        <v/>
      </c>
      <c r="BV295" s="5">
        <f>IF('Project Database'!A299="","",N('Project Database'!AO299))</f>
        <v/>
      </c>
      <c r="BW295" s="5">
        <f>IF('Project Database'!A299="","",N('Project Database'!AP299))</f>
        <v/>
      </c>
      <c r="BX295" s="5">
        <f>IF(A295="","",SUM(BJ295:BW295))</f>
        <v/>
      </c>
      <c r="BY295" s="5">
        <f>IF(A295="","",IFERROR(IF(ISNUMBER(U295),U295,VALUE(SUBSTITUTE(SUBSTITUTE(SUBSTITUTE(UPPER(TRIM(U295)),"M",""),",","")," ",""))),0))</f>
        <v/>
      </c>
    </row>
    <row r="296" ht="15" customHeight="1" s="74">
      <c r="A296" s="66">
        <f>'Project Database'!A300</f>
        <v/>
      </c>
      <c r="B296" s="66">
        <f>'Project Database'!B300</f>
        <v/>
      </c>
      <c r="C296" s="66">
        <f>'Project Database'!G300</f>
        <v/>
      </c>
      <c r="D296" s="66">
        <f>'Project Database'!H300</f>
        <v/>
      </c>
      <c r="E296" s="66">
        <f>'Project Database'!I300</f>
        <v/>
      </c>
      <c r="F296" s="66">
        <f>'Project Database'!J300</f>
        <v/>
      </c>
      <c r="G296" s="66">
        <f>'Project Database'!K300</f>
        <v/>
      </c>
      <c r="H296" s="66">
        <f>'Project Database'!L300</f>
        <v/>
      </c>
      <c r="I296" s="66">
        <f>'Project Database'!M300</f>
        <v/>
      </c>
      <c r="J296" s="66">
        <f>'Project Database'!N300</f>
        <v/>
      </c>
      <c r="K296" s="66">
        <f>'Project Database'!O300</f>
        <v/>
      </c>
      <c r="L296" s="66">
        <f>'Project Database'!P300</f>
        <v/>
      </c>
      <c r="M296" s="66">
        <f>'Project Database'!Q300</f>
        <v/>
      </c>
      <c r="N296" s="66">
        <f>'Project Database'!R300</f>
        <v/>
      </c>
      <c r="O296" s="66">
        <f>'Project Database'!S300</f>
        <v/>
      </c>
      <c r="P296" s="66">
        <f>'Project Database'!T300</f>
        <v/>
      </c>
      <c r="Q296" s="66">
        <f>'Project Database'!U300</f>
        <v/>
      </c>
      <c r="R296" s="66">
        <f>'Project Database'!V300</f>
        <v/>
      </c>
      <c r="S296" s="66">
        <f>'Project Database'!W300</f>
        <v/>
      </c>
      <c r="T296" s="66">
        <f>'Project Database'!X300</f>
        <v/>
      </c>
      <c r="U296" s="67">
        <f>'Project Database'!Y300</f>
        <v/>
      </c>
      <c r="V296" s="66">
        <f>IF('Smart Search'!B13=1,IFERROR(1/'Smart Search'!H13,0),0)</f>
        <v/>
      </c>
      <c r="W296" s="66">
        <f>IF('Smart Search'!B13=1,IFERROR(1/'Smart Search'!H13,0),0)</f>
        <v/>
      </c>
      <c r="X296" s="66">
        <f>IF('Smart Search'!C13=1,IFERROR(1/'Smart Search'!H13,0),0)</f>
        <v/>
      </c>
      <c r="Y296" s="66">
        <f>IF('Smart Search'!C13=1,IFERROR(1/'Smart Search'!H13,0),0)</f>
        <v/>
      </c>
      <c r="Z296" s="66">
        <f>IF('Smart Search'!D13=1,IFERROR(1/'Smart Search'!H13,0),0)</f>
        <v/>
      </c>
      <c r="AA296" s="66">
        <f>IF('Smart Search'!D13=1,IFERROR(1/'Smart Search'!H13,0),0)</f>
        <v/>
      </c>
      <c r="AB296" s="66">
        <f>IF('Smart Search'!E13=1,IFERROR(1/'Smart Search'!H13,0),0)</f>
        <v/>
      </c>
      <c r="AC296" s="66">
        <f>IF('Smart Search'!E13=1,IFERROR(1/'Smart Search'!H13,0),0)</f>
        <v/>
      </c>
      <c r="AD296" s="66">
        <f>IF('Smart Search'!F13=1,IFERROR(1/'Smart Search'!H13,0),0)</f>
        <v/>
      </c>
      <c r="AE296" s="66">
        <f>IF('Smart Search'!F13=1,IFERROR(1/'Smart Search'!H13,0),0)</f>
        <v/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66">
        <f>AF296*V296</f>
        <v/>
      </c>
      <c r="AQ296" s="66">
        <f>AG296*W296</f>
        <v/>
      </c>
      <c r="AR296" s="66">
        <f>AH296*X296</f>
        <v/>
      </c>
      <c r="AS296" s="66">
        <f>AI296*Y296</f>
        <v/>
      </c>
      <c r="AT296" s="66">
        <f>AJ296*Z296</f>
        <v/>
      </c>
      <c r="AU296" s="66">
        <f>AK296*AA296</f>
        <v/>
      </c>
      <c r="AV296" s="66">
        <f>AL296*AB296</f>
        <v/>
      </c>
      <c r="AW296" s="66">
        <f>AM296*AC296</f>
        <v/>
      </c>
      <c r="AX296" s="66">
        <f>AN296*AD296</f>
        <v/>
      </c>
      <c r="AY296" s="66">
        <f>AO296*AE296</f>
        <v/>
      </c>
      <c r="AZ296" s="66">
        <f>'Project Database'!Z300</f>
        <v/>
      </c>
      <c r="BA296" s="66">
        <f>IF(OR(A296="",'Smart Search'!H13=0),"",MAX(0,BE296*BF296*MAX(0,1-BG296)))</f>
        <v/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66">
        <f>IF('Smart Search'!G13=1,IFERROR(1/'Smart Search'!H13,0),0)</f>
        <v/>
      </c>
      <c r="BD296" s="66">
        <f>BB296*BC296</f>
        <v/>
      </c>
      <c r="BE296" s="66">
        <f>AP296+AQ296+AR296+AS296+AT296+AU296+AV296+AW296+AX296+AY296+BD296</f>
        <v/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5">
        <f>IF(AND('Project Database'!A300&lt;&gt;"",OR('Smart Search'!$L$5="",'Smart Search'!$L$5="All",TRIM('Project Database'!D300)=TRIM('Smart Search'!$L$5)),OR(TRIM('Smart Search'!$L$6)="",TRIM('Smart Search'!$L$6)="All",ISNUMBER(SEARCH(SUBSTITUTE(SUBSTITUTE(SUBSTITUTE(TRIM('Smart Search'!$L$6),"~","~~"),"*","~*"),"?","~?"),'Project Database'!C300))),OR('Smart Search'!$L$7="",AND('Project Database'!E300&lt;&gt;"",'Project Database'!E300='Smart Search'!$L$7)),OR('Smart Search'!$L$8="",'Smart Search'!$L$8="All",TRIM('Project Database'!F300)=TRIM('Smart Search'!$L$8))),IF(BA296="","",BA296+ROW()*0.0000000001),"")</f>
        <v/>
      </c>
      <c r="BI296" s="5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>
        <f>IF('Project Database'!A300="","",N('Project Database'!AC300))</f>
        <v/>
      </c>
      <c r="BK296" s="5">
        <f>IF('Project Database'!A300="","",N('Project Database'!AD300))</f>
        <v/>
      </c>
      <c r="BL296" s="5">
        <f>IF('Project Database'!A300="","",N('Project Database'!AE300))</f>
        <v/>
      </c>
      <c r="BM296" s="5">
        <f>IF('Project Database'!A300="","",N('Project Database'!AF300))</f>
        <v/>
      </c>
      <c r="BN296" s="5">
        <f>IF('Project Database'!A300="","",N('Project Database'!AG300))</f>
        <v/>
      </c>
      <c r="BO296" s="5">
        <f>IF('Project Database'!A300="","",N('Project Database'!AH300))</f>
        <v/>
      </c>
      <c r="BP296" s="5">
        <f>IF('Project Database'!A300="","",N('Project Database'!AI300))</f>
        <v/>
      </c>
      <c r="BQ296" s="5">
        <f>IF('Project Database'!A300="","",N('Project Database'!AJ300))</f>
        <v/>
      </c>
      <c r="BR296" s="5">
        <f>IF('Project Database'!A300="","",N('Project Database'!AK300))</f>
        <v/>
      </c>
      <c r="BS296" s="5">
        <f>IF('Project Database'!A300="","",N('Project Database'!AL300))</f>
        <v/>
      </c>
      <c r="BT296" s="5">
        <f>IF('Project Database'!A300="","",N('Project Database'!AM300))</f>
        <v/>
      </c>
      <c r="BU296" s="5">
        <f>IF('Project Database'!A300="","",N('Project Database'!AN300))</f>
        <v/>
      </c>
      <c r="BV296" s="5">
        <f>IF('Project Database'!A300="","",N('Project Database'!AO300))</f>
        <v/>
      </c>
      <c r="BW296" s="5">
        <f>IF('Project Database'!A300="","",N('Project Database'!AP300))</f>
        <v/>
      </c>
      <c r="BX296" s="5">
        <f>IF(A296="","",SUM(BJ296:BW296))</f>
        <v/>
      </c>
      <c r="BY296" s="5">
        <f>IF(A296="","",IFERROR(IF(ISNUMBER(U296),U296,VALUE(SUBSTITUTE(SUBSTITUTE(SUBSTITUTE(UPPER(TRIM(U296)),"M",""),",","")," ",""))),0))</f>
        <v/>
      </c>
    </row>
    <row r="297" ht="15" customHeight="1" s="74">
      <c r="A297" s="66">
        <f>'Project Database'!A301</f>
        <v/>
      </c>
      <c r="B297" s="66">
        <f>'Project Database'!B301</f>
        <v/>
      </c>
      <c r="C297" s="66">
        <f>'Project Database'!G301</f>
        <v/>
      </c>
      <c r="D297" s="66">
        <f>'Project Database'!H301</f>
        <v/>
      </c>
      <c r="E297" s="66">
        <f>'Project Database'!I301</f>
        <v/>
      </c>
      <c r="F297" s="66">
        <f>'Project Database'!J301</f>
        <v/>
      </c>
      <c r="G297" s="66">
        <f>'Project Database'!K301</f>
        <v/>
      </c>
      <c r="H297" s="66">
        <f>'Project Database'!L301</f>
        <v/>
      </c>
      <c r="I297" s="66">
        <f>'Project Database'!M301</f>
        <v/>
      </c>
      <c r="J297" s="66">
        <f>'Project Database'!N301</f>
        <v/>
      </c>
      <c r="K297" s="66">
        <f>'Project Database'!O301</f>
        <v/>
      </c>
      <c r="L297" s="66">
        <f>'Project Database'!P301</f>
        <v/>
      </c>
      <c r="M297" s="66">
        <f>'Project Database'!Q301</f>
        <v/>
      </c>
      <c r="N297" s="66">
        <f>'Project Database'!R301</f>
        <v/>
      </c>
      <c r="O297" s="66">
        <f>'Project Database'!S301</f>
        <v/>
      </c>
      <c r="P297" s="66">
        <f>'Project Database'!T301</f>
        <v/>
      </c>
      <c r="Q297" s="66">
        <f>'Project Database'!U301</f>
        <v/>
      </c>
      <c r="R297" s="66">
        <f>'Project Database'!V301</f>
        <v/>
      </c>
      <c r="S297" s="66">
        <f>'Project Database'!W301</f>
        <v/>
      </c>
      <c r="T297" s="66">
        <f>'Project Database'!X301</f>
        <v/>
      </c>
      <c r="U297" s="67">
        <f>'Project Database'!Y301</f>
        <v/>
      </c>
      <c r="V297" s="66">
        <f>IF('Smart Search'!B13=1,IFERROR(1/'Smart Search'!H13,0),0)</f>
        <v/>
      </c>
      <c r="W297" s="66">
        <f>IF('Smart Search'!B13=1,IFERROR(1/'Smart Search'!H13,0),0)</f>
        <v/>
      </c>
      <c r="X297" s="66">
        <f>IF('Smart Search'!C13=1,IFERROR(1/'Smart Search'!H13,0),0)</f>
        <v/>
      </c>
      <c r="Y297" s="66">
        <f>IF('Smart Search'!C13=1,IFERROR(1/'Smart Search'!H13,0),0)</f>
        <v/>
      </c>
      <c r="Z297" s="66">
        <f>IF('Smart Search'!D13=1,IFERROR(1/'Smart Search'!H13,0),0)</f>
        <v/>
      </c>
      <c r="AA297" s="66">
        <f>IF('Smart Search'!D13=1,IFERROR(1/'Smart Search'!H13,0),0)</f>
        <v/>
      </c>
      <c r="AB297" s="66">
        <f>IF('Smart Search'!E13=1,IFERROR(1/'Smart Search'!H13,0),0)</f>
        <v/>
      </c>
      <c r="AC297" s="66">
        <f>IF('Smart Search'!E13=1,IFERROR(1/'Smart Search'!H13,0),0)</f>
        <v/>
      </c>
      <c r="AD297" s="66">
        <f>IF('Smart Search'!F13=1,IFERROR(1/'Smart Search'!H13,0),0)</f>
        <v/>
      </c>
      <c r="AE297" s="66">
        <f>IF('Smart Search'!F13=1,IFERROR(1/'Smart Search'!H13,0),0)</f>
        <v/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66">
        <f>AF297*V297</f>
        <v/>
      </c>
      <c r="AQ297" s="66">
        <f>AG297*W297</f>
        <v/>
      </c>
      <c r="AR297" s="66">
        <f>AH297*X297</f>
        <v/>
      </c>
      <c r="AS297" s="66">
        <f>AI297*Y297</f>
        <v/>
      </c>
      <c r="AT297" s="66">
        <f>AJ297*Z297</f>
        <v/>
      </c>
      <c r="AU297" s="66">
        <f>AK297*AA297</f>
        <v/>
      </c>
      <c r="AV297" s="66">
        <f>AL297*AB297</f>
        <v/>
      </c>
      <c r="AW297" s="66">
        <f>AM297*AC297</f>
        <v/>
      </c>
      <c r="AX297" s="66">
        <f>AN297*AD297</f>
        <v/>
      </c>
      <c r="AY297" s="66">
        <f>AO297*AE297</f>
        <v/>
      </c>
      <c r="AZ297" s="66">
        <f>'Project Database'!Z301</f>
        <v/>
      </c>
      <c r="BA297" s="66">
        <f>IF(OR(A297="",'Smart Search'!H13=0),"",MAX(0,BE297*BF297*MAX(0,1-BG297)))</f>
        <v/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66">
        <f>IF('Smart Search'!G13=1,IFERROR(1/'Smart Search'!H13,0),0)</f>
        <v/>
      </c>
      <c r="BD297" s="66">
        <f>BB297*BC297</f>
        <v/>
      </c>
      <c r="BE297" s="66">
        <f>AP297+AQ297+AR297+AS297+AT297+AU297+AV297+AW297+AX297+AY297+BD297</f>
        <v/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5">
        <f>IF(AND('Project Database'!A301&lt;&gt;"",OR('Smart Search'!$L$5="",'Smart Search'!$L$5="All",TRIM('Project Database'!D301)=TRIM('Smart Search'!$L$5)),OR(TRIM('Smart Search'!$L$6)="",TRIM('Smart Search'!$L$6)="All",ISNUMBER(SEARCH(SUBSTITUTE(SUBSTITUTE(SUBSTITUTE(TRIM('Smart Search'!$L$6),"~","~~"),"*","~*"),"?","~?"),'Project Database'!C301))),OR('Smart Search'!$L$7="",AND('Project Database'!E301&lt;&gt;"",'Project Database'!E301='Smart Search'!$L$7)),OR('Smart Search'!$L$8="",'Smart Search'!$L$8="All",TRIM('Project Database'!F301)=TRIM('Smart Search'!$L$8))),IF(BA297="","",BA297+ROW()*0.0000000001),"")</f>
        <v/>
      </c>
      <c r="BI297" s="5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>
        <f>IF('Project Database'!A301="","",N('Project Database'!AC301))</f>
        <v/>
      </c>
      <c r="BK297" s="5">
        <f>IF('Project Database'!A301="","",N('Project Database'!AD301))</f>
        <v/>
      </c>
      <c r="BL297" s="5">
        <f>IF('Project Database'!A301="","",N('Project Database'!AE301))</f>
        <v/>
      </c>
      <c r="BM297" s="5">
        <f>IF('Project Database'!A301="","",N('Project Database'!AF301))</f>
        <v/>
      </c>
      <c r="BN297" s="5">
        <f>IF('Project Database'!A301="","",N('Project Database'!AG301))</f>
        <v/>
      </c>
      <c r="BO297" s="5">
        <f>IF('Project Database'!A301="","",N('Project Database'!AH301))</f>
        <v/>
      </c>
      <c r="BP297" s="5">
        <f>IF('Project Database'!A301="","",N('Project Database'!AI301))</f>
        <v/>
      </c>
      <c r="BQ297" s="5">
        <f>IF('Project Database'!A301="","",N('Project Database'!AJ301))</f>
        <v/>
      </c>
      <c r="BR297" s="5">
        <f>IF('Project Database'!A301="","",N('Project Database'!AK301))</f>
        <v/>
      </c>
      <c r="BS297" s="5">
        <f>IF('Project Database'!A301="","",N('Project Database'!AL301))</f>
        <v/>
      </c>
      <c r="BT297" s="5">
        <f>IF('Project Database'!A301="","",N('Project Database'!AM301))</f>
        <v/>
      </c>
      <c r="BU297" s="5">
        <f>IF('Project Database'!A301="","",N('Project Database'!AN301))</f>
        <v/>
      </c>
      <c r="BV297" s="5">
        <f>IF('Project Database'!A301="","",N('Project Database'!AO301))</f>
        <v/>
      </c>
      <c r="BW297" s="5">
        <f>IF('Project Database'!A301="","",N('Project Database'!AP301))</f>
        <v/>
      </c>
      <c r="BX297" s="5">
        <f>IF(A297="","",SUM(BJ297:BW297))</f>
        <v/>
      </c>
      <c r="BY297" s="5">
        <f>IF(A297="","",IFERROR(IF(ISNUMBER(U297),U297,VALUE(SUBSTITUTE(SUBSTITUTE(SUBSTITUTE(UPPER(TRIM(U297)),"M",""),",","")," ",""))),0))</f>
        <v/>
      </c>
    </row>
    <row r="298" ht="15" customHeight="1" s="74">
      <c r="A298" s="66">
        <f>'Project Database'!A302</f>
        <v/>
      </c>
      <c r="B298" s="66">
        <f>'Project Database'!B302</f>
        <v/>
      </c>
      <c r="C298" s="66">
        <f>'Project Database'!G302</f>
        <v/>
      </c>
      <c r="D298" s="66">
        <f>'Project Database'!H302</f>
        <v/>
      </c>
      <c r="E298" s="66">
        <f>'Project Database'!I302</f>
        <v/>
      </c>
      <c r="F298" s="66">
        <f>'Project Database'!J302</f>
        <v/>
      </c>
      <c r="G298" s="66">
        <f>'Project Database'!K302</f>
        <v/>
      </c>
      <c r="H298" s="66">
        <f>'Project Database'!L302</f>
        <v/>
      </c>
      <c r="I298" s="66">
        <f>'Project Database'!M302</f>
        <v/>
      </c>
      <c r="J298" s="66">
        <f>'Project Database'!N302</f>
        <v/>
      </c>
      <c r="K298" s="66">
        <f>'Project Database'!O302</f>
        <v/>
      </c>
      <c r="L298" s="66">
        <f>'Project Database'!P302</f>
        <v/>
      </c>
      <c r="M298" s="66">
        <f>'Project Database'!Q302</f>
        <v/>
      </c>
      <c r="N298" s="66">
        <f>'Project Database'!R302</f>
        <v/>
      </c>
      <c r="O298" s="66">
        <f>'Project Database'!S302</f>
        <v/>
      </c>
      <c r="P298" s="66">
        <f>'Project Database'!T302</f>
        <v/>
      </c>
      <c r="Q298" s="66">
        <f>'Project Database'!U302</f>
        <v/>
      </c>
      <c r="R298" s="66">
        <f>'Project Database'!V302</f>
        <v/>
      </c>
      <c r="S298" s="66">
        <f>'Project Database'!W302</f>
        <v/>
      </c>
      <c r="T298" s="66">
        <f>'Project Database'!X302</f>
        <v/>
      </c>
      <c r="U298" s="67">
        <f>'Project Database'!Y302</f>
        <v/>
      </c>
      <c r="V298" s="66">
        <f>IF('Smart Search'!B13=1,IFERROR(1/'Smart Search'!H13,0),0)</f>
        <v/>
      </c>
      <c r="W298" s="66">
        <f>IF('Smart Search'!B13=1,IFERROR(1/'Smart Search'!H13,0),0)</f>
        <v/>
      </c>
      <c r="X298" s="66">
        <f>IF('Smart Search'!C13=1,IFERROR(1/'Smart Search'!H13,0),0)</f>
        <v/>
      </c>
      <c r="Y298" s="66">
        <f>IF('Smart Search'!C13=1,IFERROR(1/'Smart Search'!H13,0),0)</f>
        <v/>
      </c>
      <c r="Z298" s="66">
        <f>IF('Smart Search'!D13=1,IFERROR(1/'Smart Search'!H13,0),0)</f>
        <v/>
      </c>
      <c r="AA298" s="66">
        <f>IF('Smart Search'!D13=1,IFERROR(1/'Smart Search'!H13,0),0)</f>
        <v/>
      </c>
      <c r="AB298" s="66">
        <f>IF('Smart Search'!E13=1,IFERROR(1/'Smart Search'!H13,0),0)</f>
        <v/>
      </c>
      <c r="AC298" s="66">
        <f>IF('Smart Search'!E13=1,IFERROR(1/'Smart Search'!H13,0),0)</f>
        <v/>
      </c>
      <c r="AD298" s="66">
        <f>IF('Smart Search'!F13=1,IFERROR(1/'Smart Search'!H13,0),0)</f>
        <v/>
      </c>
      <c r="AE298" s="66">
        <f>IF('Smart Search'!F13=1,IFERROR(1/'Smart Search'!H13,0),0)</f>
        <v/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66">
        <f>AF298*V298</f>
        <v/>
      </c>
      <c r="AQ298" s="66">
        <f>AG298*W298</f>
        <v/>
      </c>
      <c r="AR298" s="66">
        <f>AH298*X298</f>
        <v/>
      </c>
      <c r="AS298" s="66">
        <f>AI298*Y298</f>
        <v/>
      </c>
      <c r="AT298" s="66">
        <f>AJ298*Z298</f>
        <v/>
      </c>
      <c r="AU298" s="66">
        <f>AK298*AA298</f>
        <v/>
      </c>
      <c r="AV298" s="66">
        <f>AL298*AB298</f>
        <v/>
      </c>
      <c r="AW298" s="66">
        <f>AM298*AC298</f>
        <v/>
      </c>
      <c r="AX298" s="66">
        <f>AN298*AD298</f>
        <v/>
      </c>
      <c r="AY298" s="66">
        <f>AO298*AE298</f>
        <v/>
      </c>
      <c r="AZ298" s="66">
        <f>'Project Database'!Z302</f>
        <v/>
      </c>
      <c r="BA298" s="66">
        <f>IF(OR(A298="",'Smart Search'!H13=0),"",MAX(0,BE298*BF298*MAX(0,1-BG298)))</f>
        <v/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66">
        <f>IF('Smart Search'!G13=1,IFERROR(1/'Smart Search'!H13,0),0)</f>
        <v/>
      </c>
      <c r="BD298" s="66">
        <f>BB298*BC298</f>
        <v/>
      </c>
      <c r="BE298" s="66">
        <f>AP298+AQ298+AR298+AS298+AT298+AU298+AV298+AW298+AX298+AY298+BD298</f>
        <v/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5">
        <f>IF(AND('Project Database'!A302&lt;&gt;"",OR('Smart Search'!$L$5="",'Smart Search'!$L$5="All",TRIM('Project Database'!D302)=TRIM('Smart Search'!$L$5)),OR(TRIM('Smart Search'!$L$6)="",TRIM('Smart Search'!$L$6)="All",ISNUMBER(SEARCH(SUBSTITUTE(SUBSTITUTE(SUBSTITUTE(TRIM('Smart Search'!$L$6),"~","~~"),"*","~*"),"?","~?"),'Project Database'!C302))),OR('Smart Search'!$L$7="",AND('Project Database'!E302&lt;&gt;"",'Project Database'!E302='Smart Search'!$L$7)),OR('Smart Search'!$L$8="",'Smart Search'!$L$8="All",TRIM('Project Database'!F302)=TRIM('Smart Search'!$L$8))),IF(BA298="","",BA298+ROW()*0.0000000001),"")</f>
        <v/>
      </c>
      <c r="BI298" s="5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>
        <f>IF('Project Database'!A302="","",N('Project Database'!AC302))</f>
        <v/>
      </c>
      <c r="BK298" s="5">
        <f>IF('Project Database'!A302="","",N('Project Database'!AD302))</f>
        <v/>
      </c>
      <c r="BL298" s="5">
        <f>IF('Project Database'!A302="","",N('Project Database'!AE302))</f>
        <v/>
      </c>
      <c r="BM298" s="5">
        <f>IF('Project Database'!A302="","",N('Project Database'!AF302))</f>
        <v/>
      </c>
      <c r="BN298" s="5">
        <f>IF('Project Database'!A302="","",N('Project Database'!AG302))</f>
        <v/>
      </c>
      <c r="BO298" s="5">
        <f>IF('Project Database'!A302="","",N('Project Database'!AH302))</f>
        <v/>
      </c>
      <c r="BP298" s="5">
        <f>IF('Project Database'!A302="","",N('Project Database'!AI302))</f>
        <v/>
      </c>
      <c r="BQ298" s="5">
        <f>IF('Project Database'!A302="","",N('Project Database'!AJ302))</f>
        <v/>
      </c>
      <c r="BR298" s="5">
        <f>IF('Project Database'!A302="","",N('Project Database'!AK302))</f>
        <v/>
      </c>
      <c r="BS298" s="5">
        <f>IF('Project Database'!A302="","",N('Project Database'!AL302))</f>
        <v/>
      </c>
      <c r="BT298" s="5">
        <f>IF('Project Database'!A302="","",N('Project Database'!AM302))</f>
        <v/>
      </c>
      <c r="BU298" s="5">
        <f>IF('Project Database'!A302="","",N('Project Database'!AN302))</f>
        <v/>
      </c>
      <c r="BV298" s="5">
        <f>IF('Project Database'!A302="","",N('Project Database'!AO302))</f>
        <v/>
      </c>
      <c r="BW298" s="5">
        <f>IF('Project Database'!A302="","",N('Project Database'!AP302))</f>
        <v/>
      </c>
      <c r="BX298" s="5">
        <f>IF(A298="","",SUM(BJ298:BW298))</f>
        <v/>
      </c>
      <c r="BY298" s="5">
        <f>IF(A298="","",IFERROR(IF(ISNUMBER(U298),U298,VALUE(SUBSTITUTE(SUBSTITUTE(SUBSTITUTE(UPPER(TRIM(U298)),"M",""),",","")," ",""))),0))</f>
        <v/>
      </c>
    </row>
    <row r="299" ht="15" customHeight="1" s="74">
      <c r="A299" s="66">
        <f>'Project Database'!A303</f>
        <v/>
      </c>
      <c r="B299" s="66">
        <f>'Project Database'!B303</f>
        <v/>
      </c>
      <c r="C299" s="66">
        <f>'Project Database'!G303</f>
        <v/>
      </c>
      <c r="D299" s="66">
        <f>'Project Database'!H303</f>
        <v/>
      </c>
      <c r="E299" s="66">
        <f>'Project Database'!I303</f>
        <v/>
      </c>
      <c r="F299" s="66">
        <f>'Project Database'!J303</f>
        <v/>
      </c>
      <c r="G299" s="66">
        <f>'Project Database'!K303</f>
        <v/>
      </c>
      <c r="H299" s="66">
        <f>'Project Database'!L303</f>
        <v/>
      </c>
      <c r="I299" s="66">
        <f>'Project Database'!M303</f>
        <v/>
      </c>
      <c r="J299" s="66">
        <f>'Project Database'!N303</f>
        <v/>
      </c>
      <c r="K299" s="66">
        <f>'Project Database'!O303</f>
        <v/>
      </c>
      <c r="L299" s="66">
        <f>'Project Database'!P303</f>
        <v/>
      </c>
      <c r="M299" s="66">
        <f>'Project Database'!Q303</f>
        <v/>
      </c>
      <c r="N299" s="66">
        <f>'Project Database'!R303</f>
        <v/>
      </c>
      <c r="O299" s="66">
        <f>'Project Database'!S303</f>
        <v/>
      </c>
      <c r="P299" s="66">
        <f>'Project Database'!T303</f>
        <v/>
      </c>
      <c r="Q299" s="66">
        <f>'Project Database'!U303</f>
        <v/>
      </c>
      <c r="R299" s="66">
        <f>'Project Database'!V303</f>
        <v/>
      </c>
      <c r="S299" s="66">
        <f>'Project Database'!W303</f>
        <v/>
      </c>
      <c r="T299" s="66">
        <f>'Project Database'!X303</f>
        <v/>
      </c>
      <c r="U299" s="67">
        <f>'Project Database'!Y303</f>
        <v/>
      </c>
      <c r="V299" s="66">
        <f>IF('Smart Search'!B13=1,IFERROR(1/'Smart Search'!H13,0),0)</f>
        <v/>
      </c>
      <c r="W299" s="66">
        <f>IF('Smart Search'!B13=1,IFERROR(1/'Smart Search'!H13,0),0)</f>
        <v/>
      </c>
      <c r="X299" s="66">
        <f>IF('Smart Search'!C13=1,IFERROR(1/'Smart Search'!H13,0),0)</f>
        <v/>
      </c>
      <c r="Y299" s="66">
        <f>IF('Smart Search'!C13=1,IFERROR(1/'Smart Search'!H13,0),0)</f>
        <v/>
      </c>
      <c r="Z299" s="66">
        <f>IF('Smart Search'!D13=1,IFERROR(1/'Smart Search'!H13,0),0)</f>
        <v/>
      </c>
      <c r="AA299" s="66">
        <f>IF('Smart Search'!D13=1,IFERROR(1/'Smart Search'!H13,0),0)</f>
        <v/>
      </c>
      <c r="AB299" s="66">
        <f>IF('Smart Search'!E13=1,IFERROR(1/'Smart Search'!H13,0),0)</f>
        <v/>
      </c>
      <c r="AC299" s="66">
        <f>IF('Smart Search'!E13=1,IFERROR(1/'Smart Search'!H13,0),0)</f>
        <v/>
      </c>
      <c r="AD299" s="66">
        <f>IF('Smart Search'!F13=1,IFERROR(1/'Smart Search'!H13,0),0)</f>
        <v/>
      </c>
      <c r="AE299" s="66">
        <f>IF('Smart Search'!F13=1,IFERROR(1/'Smart Search'!H13,0),0)</f>
        <v/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66">
        <f>AF299*V299</f>
        <v/>
      </c>
      <c r="AQ299" s="66">
        <f>AG299*W299</f>
        <v/>
      </c>
      <c r="AR299" s="66">
        <f>AH299*X299</f>
        <v/>
      </c>
      <c r="AS299" s="66">
        <f>AI299*Y299</f>
        <v/>
      </c>
      <c r="AT299" s="66">
        <f>AJ299*Z299</f>
        <v/>
      </c>
      <c r="AU299" s="66">
        <f>AK299*AA299</f>
        <v/>
      </c>
      <c r="AV299" s="66">
        <f>AL299*AB299</f>
        <v/>
      </c>
      <c r="AW299" s="66">
        <f>AM299*AC299</f>
        <v/>
      </c>
      <c r="AX299" s="66">
        <f>AN299*AD299</f>
        <v/>
      </c>
      <c r="AY299" s="66">
        <f>AO299*AE299</f>
        <v/>
      </c>
      <c r="AZ299" s="66">
        <f>'Project Database'!Z303</f>
        <v/>
      </c>
      <c r="BA299" s="66">
        <f>IF(OR(A299="",'Smart Search'!H13=0),"",MAX(0,BE299*BF299*MAX(0,1-BG299)))</f>
        <v/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66">
        <f>IF('Smart Search'!G13=1,IFERROR(1/'Smart Search'!H13,0),0)</f>
        <v/>
      </c>
      <c r="BD299" s="66">
        <f>BB299*BC299</f>
        <v/>
      </c>
      <c r="BE299" s="66">
        <f>AP299+AQ299+AR299+AS299+AT299+AU299+AV299+AW299+AX299+AY299+BD299</f>
        <v/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5">
        <f>IF(AND('Project Database'!A303&lt;&gt;"",OR('Smart Search'!$L$5="",'Smart Search'!$L$5="All",TRIM('Project Database'!D303)=TRIM('Smart Search'!$L$5)),OR(TRIM('Smart Search'!$L$6)="",TRIM('Smart Search'!$L$6)="All",ISNUMBER(SEARCH(SUBSTITUTE(SUBSTITUTE(SUBSTITUTE(TRIM('Smart Search'!$L$6),"~","~~"),"*","~*"),"?","~?"),'Project Database'!C303))),OR('Smart Search'!$L$7="",AND('Project Database'!E303&lt;&gt;"",'Project Database'!E303='Smart Search'!$L$7)),OR('Smart Search'!$L$8="",'Smart Search'!$L$8="All",TRIM('Project Database'!F303)=TRIM('Smart Search'!$L$8))),IF(BA299="","",BA299+ROW()*0.0000000001),"")</f>
        <v/>
      </c>
      <c r="BI299" s="5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>
        <f>IF('Project Database'!A303="","",N('Project Database'!AC303))</f>
        <v/>
      </c>
      <c r="BK299" s="5">
        <f>IF('Project Database'!A303="","",N('Project Database'!AD303))</f>
        <v/>
      </c>
      <c r="BL299" s="5">
        <f>IF('Project Database'!A303="","",N('Project Database'!AE303))</f>
        <v/>
      </c>
      <c r="BM299" s="5">
        <f>IF('Project Database'!A303="","",N('Project Database'!AF303))</f>
        <v/>
      </c>
      <c r="BN299" s="5">
        <f>IF('Project Database'!A303="","",N('Project Database'!AG303))</f>
        <v/>
      </c>
      <c r="BO299" s="5">
        <f>IF('Project Database'!A303="","",N('Project Database'!AH303))</f>
        <v/>
      </c>
      <c r="BP299" s="5">
        <f>IF('Project Database'!A303="","",N('Project Database'!AI303))</f>
        <v/>
      </c>
      <c r="BQ299" s="5">
        <f>IF('Project Database'!A303="","",N('Project Database'!AJ303))</f>
        <v/>
      </c>
      <c r="BR299" s="5">
        <f>IF('Project Database'!A303="","",N('Project Database'!AK303))</f>
        <v/>
      </c>
      <c r="BS299" s="5">
        <f>IF('Project Database'!A303="","",N('Project Database'!AL303))</f>
        <v/>
      </c>
      <c r="BT299" s="5">
        <f>IF('Project Database'!A303="","",N('Project Database'!AM303))</f>
        <v/>
      </c>
      <c r="BU299" s="5">
        <f>IF('Project Database'!A303="","",N('Project Database'!AN303))</f>
        <v/>
      </c>
      <c r="BV299" s="5">
        <f>IF('Project Database'!A303="","",N('Project Database'!AO303))</f>
        <v/>
      </c>
      <c r="BW299" s="5">
        <f>IF('Project Database'!A303="","",N('Project Database'!AP303))</f>
        <v/>
      </c>
      <c r="BX299" s="5">
        <f>IF(A299="","",SUM(BJ299:BW299))</f>
        <v/>
      </c>
      <c r="BY299" s="5">
        <f>IF(A299="","",IFERROR(IF(ISNUMBER(U299),U299,VALUE(SUBSTITUTE(SUBSTITUTE(SUBSTITUTE(UPPER(TRIM(U299)),"M",""),",","")," ",""))),0))</f>
        <v/>
      </c>
    </row>
    <row r="300" ht="15" customHeight="1" s="74">
      <c r="A300" s="66">
        <f>'Project Database'!A304</f>
        <v/>
      </c>
      <c r="B300" s="66">
        <f>'Project Database'!B304</f>
        <v/>
      </c>
      <c r="C300" s="66">
        <f>'Project Database'!G304</f>
        <v/>
      </c>
      <c r="D300" s="66">
        <f>'Project Database'!H304</f>
        <v/>
      </c>
      <c r="E300" s="66">
        <f>'Project Database'!I304</f>
        <v/>
      </c>
      <c r="F300" s="66">
        <f>'Project Database'!J304</f>
        <v/>
      </c>
      <c r="G300" s="66">
        <f>'Project Database'!K304</f>
        <v/>
      </c>
      <c r="H300" s="66">
        <f>'Project Database'!L304</f>
        <v/>
      </c>
      <c r="I300" s="66">
        <f>'Project Database'!M304</f>
        <v/>
      </c>
      <c r="J300" s="66">
        <f>'Project Database'!N304</f>
        <v/>
      </c>
      <c r="K300" s="66">
        <f>'Project Database'!O304</f>
        <v/>
      </c>
      <c r="L300" s="66">
        <f>'Project Database'!P304</f>
        <v/>
      </c>
      <c r="M300" s="66">
        <f>'Project Database'!Q304</f>
        <v/>
      </c>
      <c r="N300" s="66">
        <f>'Project Database'!R304</f>
        <v/>
      </c>
      <c r="O300" s="66">
        <f>'Project Database'!S304</f>
        <v/>
      </c>
      <c r="P300" s="66">
        <f>'Project Database'!T304</f>
        <v/>
      </c>
      <c r="Q300" s="66">
        <f>'Project Database'!U304</f>
        <v/>
      </c>
      <c r="R300" s="66">
        <f>'Project Database'!V304</f>
        <v/>
      </c>
      <c r="S300" s="66">
        <f>'Project Database'!W304</f>
        <v/>
      </c>
      <c r="T300" s="66">
        <f>'Project Database'!X304</f>
        <v/>
      </c>
      <c r="U300" s="67">
        <f>'Project Database'!Y304</f>
        <v/>
      </c>
      <c r="V300" s="66">
        <f>IF('Smart Search'!B13=1,IFERROR(1/'Smart Search'!H13,0),0)</f>
        <v/>
      </c>
      <c r="W300" s="66">
        <f>IF('Smart Search'!B13=1,IFERROR(1/'Smart Search'!H13,0),0)</f>
        <v/>
      </c>
      <c r="X300" s="66">
        <f>IF('Smart Search'!C13=1,IFERROR(1/'Smart Search'!H13,0),0)</f>
        <v/>
      </c>
      <c r="Y300" s="66">
        <f>IF('Smart Search'!C13=1,IFERROR(1/'Smart Search'!H13,0),0)</f>
        <v/>
      </c>
      <c r="Z300" s="66">
        <f>IF('Smart Search'!D13=1,IFERROR(1/'Smart Search'!H13,0),0)</f>
        <v/>
      </c>
      <c r="AA300" s="66">
        <f>IF('Smart Search'!D13=1,IFERROR(1/'Smart Search'!H13,0),0)</f>
        <v/>
      </c>
      <c r="AB300" s="66">
        <f>IF('Smart Search'!E13=1,IFERROR(1/'Smart Search'!H13,0),0)</f>
        <v/>
      </c>
      <c r="AC300" s="66">
        <f>IF('Smart Search'!E13=1,IFERROR(1/'Smart Search'!H13,0),0)</f>
        <v/>
      </c>
      <c r="AD300" s="66">
        <f>IF('Smart Search'!F13=1,IFERROR(1/'Smart Search'!H13,0),0)</f>
        <v/>
      </c>
      <c r="AE300" s="66">
        <f>IF('Smart Search'!F13=1,IFERROR(1/'Smart Search'!H13,0),0)</f>
        <v/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66">
        <f>AF300*V300</f>
        <v/>
      </c>
      <c r="AQ300" s="66">
        <f>AG300*W300</f>
        <v/>
      </c>
      <c r="AR300" s="66">
        <f>AH300*X300</f>
        <v/>
      </c>
      <c r="AS300" s="66">
        <f>AI300*Y300</f>
        <v/>
      </c>
      <c r="AT300" s="66">
        <f>AJ300*Z300</f>
        <v/>
      </c>
      <c r="AU300" s="66">
        <f>AK300*AA300</f>
        <v/>
      </c>
      <c r="AV300" s="66">
        <f>AL300*AB300</f>
        <v/>
      </c>
      <c r="AW300" s="66">
        <f>AM300*AC300</f>
        <v/>
      </c>
      <c r="AX300" s="66">
        <f>AN300*AD300</f>
        <v/>
      </c>
      <c r="AY300" s="66">
        <f>AO300*AE300</f>
        <v/>
      </c>
      <c r="AZ300" s="66">
        <f>'Project Database'!Z304</f>
        <v/>
      </c>
      <c r="BA300" s="66">
        <f>IF(OR(A300="",'Smart Search'!H13=0),"",MAX(0,BE300*BF300*MAX(0,1-BG300)))</f>
        <v/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66">
        <f>IF('Smart Search'!G13=1,IFERROR(1/'Smart Search'!H13,0),0)</f>
        <v/>
      </c>
      <c r="BD300" s="66">
        <f>BB300*BC300</f>
        <v/>
      </c>
      <c r="BE300" s="66">
        <f>AP300+AQ300+AR300+AS300+AT300+AU300+AV300+AW300+AX300+AY300+BD300</f>
        <v/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5">
        <f>IF(AND('Project Database'!A304&lt;&gt;"",OR('Smart Search'!$L$5="",'Smart Search'!$L$5="All",TRIM('Project Database'!D304)=TRIM('Smart Search'!$L$5)),OR(TRIM('Smart Search'!$L$6)="",TRIM('Smart Search'!$L$6)="All",ISNUMBER(SEARCH(SUBSTITUTE(SUBSTITUTE(SUBSTITUTE(TRIM('Smart Search'!$L$6),"~","~~"),"*","~*"),"?","~?"),'Project Database'!C304))),OR('Smart Search'!$L$7="",AND('Project Database'!E304&lt;&gt;"",'Project Database'!E304='Smart Search'!$L$7)),OR('Smart Search'!$L$8="",'Smart Search'!$L$8="All",TRIM('Project Database'!F304)=TRIM('Smart Search'!$L$8))),IF(BA300="","",BA300+ROW()*0.0000000001),"")</f>
        <v/>
      </c>
      <c r="BI300" s="5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>
        <f>IF('Project Database'!A304="","",N('Project Database'!AC304))</f>
        <v/>
      </c>
      <c r="BK300" s="5">
        <f>IF('Project Database'!A304="","",N('Project Database'!AD304))</f>
        <v/>
      </c>
      <c r="BL300" s="5">
        <f>IF('Project Database'!A304="","",N('Project Database'!AE304))</f>
        <v/>
      </c>
      <c r="BM300" s="5">
        <f>IF('Project Database'!A304="","",N('Project Database'!AF304))</f>
        <v/>
      </c>
      <c r="BN300" s="5">
        <f>IF('Project Database'!A304="","",N('Project Database'!AG304))</f>
        <v/>
      </c>
      <c r="BO300" s="5">
        <f>IF('Project Database'!A304="","",N('Project Database'!AH304))</f>
        <v/>
      </c>
      <c r="BP300" s="5">
        <f>IF('Project Database'!A304="","",N('Project Database'!AI304))</f>
        <v/>
      </c>
      <c r="BQ300" s="5">
        <f>IF('Project Database'!A304="","",N('Project Database'!AJ304))</f>
        <v/>
      </c>
      <c r="BR300" s="5">
        <f>IF('Project Database'!A304="","",N('Project Database'!AK304))</f>
        <v/>
      </c>
      <c r="BS300" s="5">
        <f>IF('Project Database'!A304="","",N('Project Database'!AL304))</f>
        <v/>
      </c>
      <c r="BT300" s="5">
        <f>IF('Project Database'!A304="","",N('Project Database'!AM304))</f>
        <v/>
      </c>
      <c r="BU300" s="5">
        <f>IF('Project Database'!A304="","",N('Project Database'!AN304))</f>
        <v/>
      </c>
      <c r="BV300" s="5">
        <f>IF('Project Database'!A304="","",N('Project Database'!AO304))</f>
        <v/>
      </c>
      <c r="BW300" s="5">
        <f>IF('Project Database'!A304="","",N('Project Database'!AP304))</f>
        <v/>
      </c>
      <c r="BX300" s="5">
        <f>IF(A300="","",SUM(BJ300:BW300))</f>
        <v/>
      </c>
      <c r="BY300" s="5">
        <f>IF(A300="","",IFERROR(IF(ISNUMBER(U300),U300,VALUE(SUBSTITUTE(SUBSTITUTE(SUBSTITUTE(UPPER(TRIM(U300)),"M",""),",","")," ",""))),0))</f>
        <v/>
      </c>
    </row>
    <row r="301" ht="15" customHeight="1" s="74">
      <c r="A301" s="66">
        <f>'Project Database'!A305</f>
        <v/>
      </c>
      <c r="B301" s="66">
        <f>'Project Database'!B305</f>
        <v/>
      </c>
      <c r="C301" s="66">
        <f>'Project Database'!G305</f>
        <v/>
      </c>
      <c r="D301" s="66">
        <f>'Project Database'!H305</f>
        <v/>
      </c>
      <c r="E301" s="66">
        <f>'Project Database'!I305</f>
        <v/>
      </c>
      <c r="F301" s="66">
        <f>'Project Database'!J305</f>
        <v/>
      </c>
      <c r="G301" s="66">
        <f>'Project Database'!K305</f>
        <v/>
      </c>
      <c r="H301" s="66">
        <f>'Project Database'!L305</f>
        <v/>
      </c>
      <c r="I301" s="66">
        <f>'Project Database'!M305</f>
        <v/>
      </c>
      <c r="J301" s="66">
        <f>'Project Database'!N305</f>
        <v/>
      </c>
      <c r="K301" s="66">
        <f>'Project Database'!O305</f>
        <v/>
      </c>
      <c r="L301" s="66">
        <f>'Project Database'!P305</f>
        <v/>
      </c>
      <c r="M301" s="66">
        <f>'Project Database'!Q305</f>
        <v/>
      </c>
      <c r="N301" s="66">
        <f>'Project Database'!R305</f>
        <v/>
      </c>
      <c r="O301" s="66">
        <f>'Project Database'!S305</f>
        <v/>
      </c>
      <c r="P301" s="66">
        <f>'Project Database'!T305</f>
        <v/>
      </c>
      <c r="Q301" s="66">
        <f>'Project Database'!U305</f>
        <v/>
      </c>
      <c r="R301" s="66">
        <f>'Project Database'!V305</f>
        <v/>
      </c>
      <c r="S301" s="66">
        <f>'Project Database'!W305</f>
        <v/>
      </c>
      <c r="T301" s="66">
        <f>'Project Database'!X305</f>
        <v/>
      </c>
      <c r="U301" s="67">
        <f>'Project Database'!Y305</f>
        <v/>
      </c>
      <c r="V301" s="66">
        <f>IF('Smart Search'!B13=1,IFERROR(1/'Smart Search'!H13,0),0)</f>
        <v/>
      </c>
      <c r="W301" s="66">
        <f>IF('Smart Search'!B13=1,IFERROR(1/'Smart Search'!H13,0),0)</f>
        <v/>
      </c>
      <c r="X301" s="66">
        <f>IF('Smart Search'!C13=1,IFERROR(1/'Smart Search'!H13,0),0)</f>
        <v/>
      </c>
      <c r="Y301" s="66">
        <f>IF('Smart Search'!C13=1,IFERROR(1/'Smart Search'!H13,0),0)</f>
        <v/>
      </c>
      <c r="Z301" s="66">
        <f>IF('Smart Search'!D13=1,IFERROR(1/'Smart Search'!H13,0),0)</f>
        <v/>
      </c>
      <c r="AA301" s="66">
        <f>IF('Smart Search'!D13=1,IFERROR(1/'Smart Search'!H13,0),0)</f>
        <v/>
      </c>
      <c r="AB301" s="66">
        <f>IF('Smart Search'!E13=1,IFERROR(1/'Smart Search'!H13,0),0)</f>
        <v/>
      </c>
      <c r="AC301" s="66">
        <f>IF('Smart Search'!E13=1,IFERROR(1/'Smart Search'!H13,0),0)</f>
        <v/>
      </c>
      <c r="AD301" s="66">
        <f>IF('Smart Search'!F13=1,IFERROR(1/'Smart Search'!H13,0),0)</f>
        <v/>
      </c>
      <c r="AE301" s="66">
        <f>IF('Smart Search'!F13=1,IFERROR(1/'Smart Search'!H13,0),0)</f>
        <v/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66">
        <f>AF301*V301</f>
        <v/>
      </c>
      <c r="AQ301" s="66">
        <f>AG301*W301</f>
        <v/>
      </c>
      <c r="AR301" s="66">
        <f>AH301*X301</f>
        <v/>
      </c>
      <c r="AS301" s="66">
        <f>AI301*Y301</f>
        <v/>
      </c>
      <c r="AT301" s="66">
        <f>AJ301*Z301</f>
        <v/>
      </c>
      <c r="AU301" s="66">
        <f>AK301*AA301</f>
        <v/>
      </c>
      <c r="AV301" s="66">
        <f>AL301*AB301</f>
        <v/>
      </c>
      <c r="AW301" s="66">
        <f>AM301*AC301</f>
        <v/>
      </c>
      <c r="AX301" s="66">
        <f>AN301*AD301</f>
        <v/>
      </c>
      <c r="AY301" s="66">
        <f>AO301*AE301</f>
        <v/>
      </c>
      <c r="AZ301" s="66">
        <f>'Project Database'!Z305</f>
        <v/>
      </c>
      <c r="BA301" s="66">
        <f>IF(OR(A301="",'Smart Search'!H13=0),"",MAX(0,BE301*BF301*MAX(0,1-BG301)))</f>
        <v/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66">
        <f>IF('Smart Search'!G13=1,IFERROR(1/'Smart Search'!H13,0),0)</f>
        <v/>
      </c>
      <c r="BD301" s="66">
        <f>BB301*BC301</f>
        <v/>
      </c>
      <c r="BE301" s="66">
        <f>AP301+AQ301+AR301+AS301+AT301+AU301+AV301+AW301+AX301+AY301+BD301</f>
        <v/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5">
        <f>IF(AND('Project Database'!A305&lt;&gt;"",OR('Smart Search'!$L$5="",'Smart Search'!$L$5="All",TRIM('Project Database'!D305)=TRIM('Smart Search'!$L$5)),OR(TRIM('Smart Search'!$L$6)="",TRIM('Smart Search'!$L$6)="All",ISNUMBER(SEARCH(SUBSTITUTE(SUBSTITUTE(SUBSTITUTE(TRIM('Smart Search'!$L$6),"~","~~"),"*","~*"),"?","~?"),'Project Database'!C305))),OR('Smart Search'!$L$7="",AND('Project Database'!E305&lt;&gt;"",'Project Database'!E305='Smart Search'!$L$7)),OR('Smart Search'!$L$8="",'Smart Search'!$L$8="All",TRIM('Project Database'!F305)=TRIM('Smart Search'!$L$8))),IF(BA301="","",BA301+ROW()*0.0000000001),"")</f>
        <v/>
      </c>
      <c r="BI301" s="5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>
        <f>IF('Project Database'!A305="","",N('Project Database'!AC305))</f>
        <v/>
      </c>
      <c r="BK301" s="5">
        <f>IF('Project Database'!A305="","",N('Project Database'!AD305))</f>
        <v/>
      </c>
      <c r="BL301" s="5">
        <f>IF('Project Database'!A305="","",N('Project Database'!AE305))</f>
        <v/>
      </c>
      <c r="BM301" s="5">
        <f>IF('Project Database'!A305="","",N('Project Database'!AF305))</f>
        <v/>
      </c>
      <c r="BN301" s="5">
        <f>IF('Project Database'!A305="","",N('Project Database'!AG305))</f>
        <v/>
      </c>
      <c r="BO301" s="5">
        <f>IF('Project Database'!A305="","",N('Project Database'!AH305))</f>
        <v/>
      </c>
      <c r="BP301" s="5">
        <f>IF('Project Database'!A305="","",N('Project Database'!AI305))</f>
        <v/>
      </c>
      <c r="BQ301" s="5">
        <f>IF('Project Database'!A305="","",N('Project Database'!AJ305))</f>
        <v/>
      </c>
      <c r="BR301" s="5">
        <f>IF('Project Database'!A305="","",N('Project Database'!AK305))</f>
        <v/>
      </c>
      <c r="BS301" s="5">
        <f>IF('Project Database'!A305="","",N('Project Database'!AL305))</f>
        <v/>
      </c>
      <c r="BT301" s="5">
        <f>IF('Project Database'!A305="","",N('Project Database'!AM305))</f>
        <v/>
      </c>
      <c r="BU301" s="5">
        <f>IF('Project Database'!A305="","",N('Project Database'!AN305))</f>
        <v/>
      </c>
      <c r="BV301" s="5">
        <f>IF('Project Database'!A305="","",N('Project Database'!AO305))</f>
        <v/>
      </c>
      <c r="BW301" s="5">
        <f>IF('Project Database'!A305="","",N('Project Database'!AP305))</f>
        <v/>
      </c>
      <c r="BX301" s="5">
        <f>IF(A301="","",SUM(BJ301:BW301))</f>
        <v/>
      </c>
      <c r="BY301" s="5">
        <f>IF(A301="","",IFERROR(IF(ISNUMBER(U301),U301,VALUE(SUBSTITUTE(SUBSTITUTE(SUBSTITUTE(UPPER(TRIM(U301)),"M",""),",","")," ",""))),0))</f>
        <v/>
      </c>
    </row>
    <row r="302" ht="15" customHeight="1" s="74">
      <c r="A302" s="66">
        <f>'Project Database'!A306</f>
        <v/>
      </c>
      <c r="B302" s="66">
        <f>'Project Database'!B306</f>
        <v/>
      </c>
      <c r="C302" s="66">
        <f>'Project Database'!G306</f>
        <v/>
      </c>
      <c r="D302" s="66">
        <f>'Project Database'!H306</f>
        <v/>
      </c>
      <c r="E302" s="66">
        <f>'Project Database'!I306</f>
        <v/>
      </c>
      <c r="F302" s="66">
        <f>'Project Database'!J306</f>
        <v/>
      </c>
      <c r="G302" s="66">
        <f>'Project Database'!K306</f>
        <v/>
      </c>
      <c r="H302" s="66">
        <f>'Project Database'!L306</f>
        <v/>
      </c>
      <c r="I302" s="66">
        <f>'Project Database'!M306</f>
        <v/>
      </c>
      <c r="J302" s="66">
        <f>'Project Database'!N306</f>
        <v/>
      </c>
      <c r="K302" s="66">
        <f>'Project Database'!O306</f>
        <v/>
      </c>
      <c r="L302" s="66">
        <f>'Project Database'!P306</f>
        <v/>
      </c>
      <c r="M302" s="66">
        <f>'Project Database'!Q306</f>
        <v/>
      </c>
      <c r="N302" s="66">
        <f>'Project Database'!R306</f>
        <v/>
      </c>
      <c r="O302" s="66">
        <f>'Project Database'!S306</f>
        <v/>
      </c>
      <c r="P302" s="66">
        <f>'Project Database'!T306</f>
        <v/>
      </c>
      <c r="Q302" s="66">
        <f>'Project Database'!U306</f>
        <v/>
      </c>
      <c r="R302" s="66">
        <f>'Project Database'!V306</f>
        <v/>
      </c>
      <c r="S302" s="66">
        <f>'Project Database'!W306</f>
        <v/>
      </c>
      <c r="T302" s="66">
        <f>'Project Database'!X306</f>
        <v/>
      </c>
      <c r="U302" s="67">
        <f>'Project Database'!Y306</f>
        <v/>
      </c>
      <c r="V302" s="66">
        <f>IF('Smart Search'!B13=1,IFERROR(1/'Smart Search'!H13,0),0)</f>
        <v/>
      </c>
      <c r="W302" s="66">
        <f>IF('Smart Search'!B13=1,IFERROR(1/'Smart Search'!H13,0),0)</f>
        <v/>
      </c>
      <c r="X302" s="66">
        <f>IF('Smart Search'!C13=1,IFERROR(1/'Smart Search'!H13,0),0)</f>
        <v/>
      </c>
      <c r="Y302" s="66">
        <f>IF('Smart Search'!C13=1,IFERROR(1/'Smart Search'!H13,0),0)</f>
        <v/>
      </c>
      <c r="Z302" s="66">
        <f>IF('Smart Search'!D13=1,IFERROR(1/'Smart Search'!H13,0),0)</f>
        <v/>
      </c>
      <c r="AA302" s="66">
        <f>IF('Smart Search'!D13=1,IFERROR(1/'Smart Search'!H13,0),0)</f>
        <v/>
      </c>
      <c r="AB302" s="66">
        <f>IF('Smart Search'!E13=1,IFERROR(1/'Smart Search'!H13,0),0)</f>
        <v/>
      </c>
      <c r="AC302" s="66">
        <f>IF('Smart Search'!E13=1,IFERROR(1/'Smart Search'!H13,0),0)</f>
        <v/>
      </c>
      <c r="AD302" s="66">
        <f>IF('Smart Search'!F13=1,IFERROR(1/'Smart Search'!H13,0),0)</f>
        <v/>
      </c>
      <c r="AE302" s="66">
        <f>IF('Smart Search'!F13=1,IFERROR(1/'Smart Search'!H13,0),0)</f>
        <v/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66">
        <f>AF302*V302</f>
        <v/>
      </c>
      <c r="AQ302" s="66">
        <f>AG302*W302</f>
        <v/>
      </c>
      <c r="AR302" s="66">
        <f>AH302*X302</f>
        <v/>
      </c>
      <c r="AS302" s="66">
        <f>AI302*Y302</f>
        <v/>
      </c>
      <c r="AT302" s="66">
        <f>AJ302*Z302</f>
        <v/>
      </c>
      <c r="AU302" s="66">
        <f>AK302*AA302</f>
        <v/>
      </c>
      <c r="AV302" s="66">
        <f>AL302*AB302</f>
        <v/>
      </c>
      <c r="AW302" s="66">
        <f>AM302*AC302</f>
        <v/>
      </c>
      <c r="AX302" s="66">
        <f>AN302*AD302</f>
        <v/>
      </c>
      <c r="AY302" s="66">
        <f>AO302*AE302</f>
        <v/>
      </c>
      <c r="AZ302" s="66">
        <f>'Project Database'!Z306</f>
        <v/>
      </c>
      <c r="BA302" s="66">
        <f>IF(OR(A302="",'Smart Search'!H13=0),"",MAX(0,BE302*BF302*MAX(0,1-BG302)))</f>
        <v/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66">
        <f>IF('Smart Search'!G13=1,IFERROR(1/'Smart Search'!H13,0),0)</f>
        <v/>
      </c>
      <c r="BD302" s="66">
        <f>BB302*BC302</f>
        <v/>
      </c>
      <c r="BE302" s="66">
        <f>AP302+AQ302+AR302+AS302+AT302+AU302+AV302+AW302+AX302+AY302+BD302</f>
        <v/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5">
        <f>IF(AND('Project Database'!A306&lt;&gt;"",OR('Smart Search'!$L$5="",'Smart Search'!$L$5="All",TRIM('Project Database'!D306)=TRIM('Smart Search'!$L$5)),OR(TRIM('Smart Search'!$L$6)="",TRIM('Smart Search'!$L$6)="All",ISNUMBER(SEARCH(SUBSTITUTE(SUBSTITUTE(SUBSTITUTE(TRIM('Smart Search'!$L$6),"~","~~"),"*","~*"),"?","~?"),'Project Database'!C306))),OR('Smart Search'!$L$7="",AND('Project Database'!E306&lt;&gt;"",'Project Database'!E306='Smart Search'!$L$7)),OR('Smart Search'!$L$8="",'Smart Search'!$L$8="All",TRIM('Project Database'!F306)=TRIM('Smart Search'!$L$8))),IF(BA302="","",BA302+ROW()*0.0000000001),"")</f>
        <v/>
      </c>
      <c r="BI302" s="5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>
        <f>IF('Project Database'!A306="","",N('Project Database'!AC306))</f>
        <v/>
      </c>
      <c r="BK302" s="5">
        <f>IF('Project Database'!A306="","",N('Project Database'!AD306))</f>
        <v/>
      </c>
      <c r="BL302" s="5">
        <f>IF('Project Database'!A306="","",N('Project Database'!AE306))</f>
        <v/>
      </c>
      <c r="BM302" s="5">
        <f>IF('Project Database'!A306="","",N('Project Database'!AF306))</f>
        <v/>
      </c>
      <c r="BN302" s="5">
        <f>IF('Project Database'!A306="","",N('Project Database'!AG306))</f>
        <v/>
      </c>
      <c r="BO302" s="5">
        <f>IF('Project Database'!A306="","",N('Project Database'!AH306))</f>
        <v/>
      </c>
      <c r="BP302" s="5">
        <f>IF('Project Database'!A306="","",N('Project Database'!AI306))</f>
        <v/>
      </c>
      <c r="BQ302" s="5">
        <f>IF('Project Database'!A306="","",N('Project Database'!AJ306))</f>
        <v/>
      </c>
      <c r="BR302" s="5">
        <f>IF('Project Database'!A306="","",N('Project Database'!AK306))</f>
        <v/>
      </c>
      <c r="BS302" s="5">
        <f>IF('Project Database'!A306="","",N('Project Database'!AL306))</f>
        <v/>
      </c>
      <c r="BT302" s="5">
        <f>IF('Project Database'!A306="","",N('Project Database'!AM306))</f>
        <v/>
      </c>
      <c r="BU302" s="5">
        <f>IF('Project Database'!A306="","",N('Project Database'!AN306))</f>
        <v/>
      </c>
      <c r="BV302" s="5">
        <f>IF('Project Database'!A306="","",N('Project Database'!AO306))</f>
        <v/>
      </c>
      <c r="BW302" s="5">
        <f>IF('Project Database'!A306="","",N('Project Database'!AP306))</f>
        <v/>
      </c>
      <c r="BX302" s="5">
        <f>IF(A302="","",SUM(BJ302:BW302))</f>
        <v/>
      </c>
      <c r="BY302" s="5">
        <f>IF(A302="","",IFERROR(IF(ISNUMBER(U302),U302,VALUE(SUBSTITUTE(SUBSTITUTE(SUBSTITUTE(UPPER(TRIM(U302)),"M",""),",","")," ",""))),0))</f>
        <v/>
      </c>
    </row>
    <row r="303" ht="15" customHeight="1" s="74">
      <c r="A303" s="66">
        <f>'Project Database'!A307</f>
        <v/>
      </c>
      <c r="B303" s="66">
        <f>'Project Database'!B307</f>
        <v/>
      </c>
      <c r="C303" s="66">
        <f>'Project Database'!G307</f>
        <v/>
      </c>
      <c r="D303" s="66">
        <f>'Project Database'!H307</f>
        <v/>
      </c>
      <c r="E303" s="66">
        <f>'Project Database'!I307</f>
        <v/>
      </c>
      <c r="F303" s="66">
        <f>'Project Database'!J307</f>
        <v/>
      </c>
      <c r="G303" s="66">
        <f>'Project Database'!K307</f>
        <v/>
      </c>
      <c r="H303" s="66">
        <f>'Project Database'!L307</f>
        <v/>
      </c>
      <c r="I303" s="66">
        <f>'Project Database'!M307</f>
        <v/>
      </c>
      <c r="J303" s="66">
        <f>'Project Database'!N307</f>
        <v/>
      </c>
      <c r="K303" s="66">
        <f>'Project Database'!O307</f>
        <v/>
      </c>
      <c r="L303" s="66">
        <f>'Project Database'!P307</f>
        <v/>
      </c>
      <c r="M303" s="66">
        <f>'Project Database'!Q307</f>
        <v/>
      </c>
      <c r="N303" s="66">
        <f>'Project Database'!R307</f>
        <v/>
      </c>
      <c r="O303" s="66">
        <f>'Project Database'!S307</f>
        <v/>
      </c>
      <c r="P303" s="66">
        <f>'Project Database'!T307</f>
        <v/>
      </c>
      <c r="Q303" s="66">
        <f>'Project Database'!U307</f>
        <v/>
      </c>
      <c r="R303" s="66">
        <f>'Project Database'!V307</f>
        <v/>
      </c>
      <c r="S303" s="66">
        <f>'Project Database'!W307</f>
        <v/>
      </c>
      <c r="T303" s="66">
        <f>'Project Database'!X307</f>
        <v/>
      </c>
      <c r="U303" s="67">
        <f>'Project Database'!Y307</f>
        <v/>
      </c>
      <c r="V303" s="66">
        <f>IF('Smart Search'!B13=1,IFERROR(1/'Smart Search'!H13,0),0)</f>
        <v/>
      </c>
      <c r="W303" s="66">
        <f>IF('Smart Search'!B13=1,IFERROR(1/'Smart Search'!H13,0),0)</f>
        <v/>
      </c>
      <c r="X303" s="66">
        <f>IF('Smart Search'!C13=1,IFERROR(1/'Smart Search'!H13,0),0)</f>
        <v/>
      </c>
      <c r="Y303" s="66">
        <f>IF('Smart Search'!C13=1,IFERROR(1/'Smart Search'!H13,0),0)</f>
        <v/>
      </c>
      <c r="Z303" s="66">
        <f>IF('Smart Search'!D13=1,IFERROR(1/'Smart Search'!H13,0),0)</f>
        <v/>
      </c>
      <c r="AA303" s="66">
        <f>IF('Smart Search'!D13=1,IFERROR(1/'Smart Search'!H13,0),0)</f>
        <v/>
      </c>
      <c r="AB303" s="66">
        <f>IF('Smart Search'!E13=1,IFERROR(1/'Smart Search'!H13,0),0)</f>
        <v/>
      </c>
      <c r="AC303" s="66">
        <f>IF('Smart Search'!E13=1,IFERROR(1/'Smart Search'!H13,0),0)</f>
        <v/>
      </c>
      <c r="AD303" s="66">
        <f>IF('Smart Search'!F13=1,IFERROR(1/'Smart Search'!H13,0),0)</f>
        <v/>
      </c>
      <c r="AE303" s="66">
        <f>IF('Smart Search'!F13=1,IFERROR(1/'Smart Search'!H13,0),0)</f>
        <v/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66">
        <f>AF303*V303</f>
        <v/>
      </c>
      <c r="AQ303" s="66">
        <f>AG303*W303</f>
        <v/>
      </c>
      <c r="AR303" s="66">
        <f>AH303*X303</f>
        <v/>
      </c>
      <c r="AS303" s="66">
        <f>AI303*Y303</f>
        <v/>
      </c>
      <c r="AT303" s="66">
        <f>AJ303*Z303</f>
        <v/>
      </c>
      <c r="AU303" s="66">
        <f>AK303*AA303</f>
        <v/>
      </c>
      <c r="AV303" s="66">
        <f>AL303*AB303</f>
        <v/>
      </c>
      <c r="AW303" s="66">
        <f>AM303*AC303</f>
        <v/>
      </c>
      <c r="AX303" s="66">
        <f>AN303*AD303</f>
        <v/>
      </c>
      <c r="AY303" s="66">
        <f>AO303*AE303</f>
        <v/>
      </c>
      <c r="AZ303" s="66">
        <f>'Project Database'!Z307</f>
        <v/>
      </c>
      <c r="BA303" s="66">
        <f>IF(OR(A303="",'Smart Search'!H13=0),"",MAX(0,BE303*BF303*MAX(0,1-BG303)))</f>
        <v/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66">
        <f>IF('Smart Search'!G13=1,IFERROR(1/'Smart Search'!H13,0),0)</f>
        <v/>
      </c>
      <c r="BD303" s="66">
        <f>BB303*BC303</f>
        <v/>
      </c>
      <c r="BE303" s="66">
        <f>AP303+AQ303+AR303+AS303+AT303+AU303+AV303+AW303+AX303+AY303+BD303</f>
        <v/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5">
        <f>IF(AND('Project Database'!A307&lt;&gt;"",OR('Smart Search'!$L$5="",'Smart Search'!$L$5="All",TRIM('Project Database'!D307)=TRIM('Smart Search'!$L$5)),OR(TRIM('Smart Search'!$L$6)="",TRIM('Smart Search'!$L$6)="All",ISNUMBER(SEARCH(SUBSTITUTE(SUBSTITUTE(SUBSTITUTE(TRIM('Smart Search'!$L$6),"~","~~"),"*","~*"),"?","~?"),'Project Database'!C307))),OR('Smart Search'!$L$7="",AND('Project Database'!E307&lt;&gt;"",'Project Database'!E307='Smart Search'!$L$7)),OR('Smart Search'!$L$8="",'Smart Search'!$L$8="All",TRIM('Project Database'!F307)=TRIM('Smart Search'!$L$8))),IF(BA303="","",BA303+ROW()*0.0000000001),"")</f>
        <v/>
      </c>
      <c r="BI303" s="5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>
        <f>IF('Project Database'!A307="","",N('Project Database'!AC307))</f>
        <v/>
      </c>
      <c r="BK303" s="5">
        <f>IF('Project Database'!A307="","",N('Project Database'!AD307))</f>
        <v/>
      </c>
      <c r="BL303" s="5">
        <f>IF('Project Database'!A307="","",N('Project Database'!AE307))</f>
        <v/>
      </c>
      <c r="BM303" s="5">
        <f>IF('Project Database'!A307="","",N('Project Database'!AF307))</f>
        <v/>
      </c>
      <c r="BN303" s="5">
        <f>IF('Project Database'!A307="","",N('Project Database'!AG307))</f>
        <v/>
      </c>
      <c r="BO303" s="5">
        <f>IF('Project Database'!A307="","",N('Project Database'!AH307))</f>
        <v/>
      </c>
      <c r="BP303" s="5">
        <f>IF('Project Database'!A307="","",N('Project Database'!AI307))</f>
        <v/>
      </c>
      <c r="BQ303" s="5">
        <f>IF('Project Database'!A307="","",N('Project Database'!AJ307))</f>
        <v/>
      </c>
      <c r="BR303" s="5">
        <f>IF('Project Database'!A307="","",N('Project Database'!AK307))</f>
        <v/>
      </c>
      <c r="BS303" s="5">
        <f>IF('Project Database'!A307="","",N('Project Database'!AL307))</f>
        <v/>
      </c>
      <c r="BT303" s="5">
        <f>IF('Project Database'!A307="","",N('Project Database'!AM307))</f>
        <v/>
      </c>
      <c r="BU303" s="5">
        <f>IF('Project Database'!A307="","",N('Project Database'!AN307))</f>
        <v/>
      </c>
      <c r="BV303" s="5">
        <f>IF('Project Database'!A307="","",N('Project Database'!AO307))</f>
        <v/>
      </c>
      <c r="BW303" s="5">
        <f>IF('Project Database'!A307="","",N('Project Database'!AP307))</f>
        <v/>
      </c>
      <c r="BX303" s="5">
        <f>IF(A303="","",SUM(BJ303:BW303))</f>
        <v/>
      </c>
      <c r="BY303" s="5">
        <f>IF(A303="","",IFERROR(IF(ISNUMBER(U303),U303,VALUE(SUBSTITUTE(SUBSTITUTE(SUBSTITUTE(UPPER(TRIM(U303)),"M",""),",","")," ",""))),0))</f>
        <v/>
      </c>
    </row>
    <row r="304" ht="15" customHeight="1" s="74">
      <c r="A304" s="66">
        <f>'Project Database'!A308</f>
        <v/>
      </c>
      <c r="B304" s="66">
        <f>'Project Database'!B308</f>
        <v/>
      </c>
      <c r="C304" s="66">
        <f>'Project Database'!G308</f>
        <v/>
      </c>
      <c r="D304" s="66">
        <f>'Project Database'!H308</f>
        <v/>
      </c>
      <c r="E304" s="66">
        <f>'Project Database'!I308</f>
        <v/>
      </c>
      <c r="F304" s="66">
        <f>'Project Database'!J308</f>
        <v/>
      </c>
      <c r="G304" s="66">
        <f>'Project Database'!K308</f>
        <v/>
      </c>
      <c r="H304" s="66">
        <f>'Project Database'!L308</f>
        <v/>
      </c>
      <c r="I304" s="66">
        <f>'Project Database'!M308</f>
        <v/>
      </c>
      <c r="J304" s="66">
        <f>'Project Database'!N308</f>
        <v/>
      </c>
      <c r="K304" s="66">
        <f>'Project Database'!O308</f>
        <v/>
      </c>
      <c r="L304" s="66">
        <f>'Project Database'!P308</f>
        <v/>
      </c>
      <c r="M304" s="66">
        <f>'Project Database'!Q308</f>
        <v/>
      </c>
      <c r="N304" s="66">
        <f>'Project Database'!R308</f>
        <v/>
      </c>
      <c r="O304" s="66">
        <f>'Project Database'!S308</f>
        <v/>
      </c>
      <c r="P304" s="66">
        <f>'Project Database'!T308</f>
        <v/>
      </c>
      <c r="Q304" s="66">
        <f>'Project Database'!U308</f>
        <v/>
      </c>
      <c r="R304" s="66">
        <f>'Project Database'!V308</f>
        <v/>
      </c>
      <c r="S304" s="66">
        <f>'Project Database'!W308</f>
        <v/>
      </c>
      <c r="T304" s="66">
        <f>'Project Database'!X308</f>
        <v/>
      </c>
      <c r="U304" s="67">
        <f>'Project Database'!Y308</f>
        <v/>
      </c>
      <c r="V304" s="66">
        <f>IF('Smart Search'!B13=1,IFERROR(1/'Smart Search'!H13,0),0)</f>
        <v/>
      </c>
      <c r="W304" s="66">
        <f>IF('Smart Search'!B13=1,IFERROR(1/'Smart Search'!H13,0),0)</f>
        <v/>
      </c>
      <c r="X304" s="66">
        <f>IF('Smart Search'!C13=1,IFERROR(1/'Smart Search'!H13,0),0)</f>
        <v/>
      </c>
      <c r="Y304" s="66">
        <f>IF('Smart Search'!C13=1,IFERROR(1/'Smart Search'!H13,0),0)</f>
        <v/>
      </c>
      <c r="Z304" s="66">
        <f>IF('Smart Search'!D13=1,IFERROR(1/'Smart Search'!H13,0),0)</f>
        <v/>
      </c>
      <c r="AA304" s="66">
        <f>IF('Smart Search'!D13=1,IFERROR(1/'Smart Search'!H13,0),0)</f>
        <v/>
      </c>
      <c r="AB304" s="66">
        <f>IF('Smart Search'!E13=1,IFERROR(1/'Smart Search'!H13,0),0)</f>
        <v/>
      </c>
      <c r="AC304" s="66">
        <f>IF('Smart Search'!E13=1,IFERROR(1/'Smart Search'!H13,0),0)</f>
        <v/>
      </c>
      <c r="AD304" s="66">
        <f>IF('Smart Search'!F13=1,IFERROR(1/'Smart Search'!H13,0),0)</f>
        <v/>
      </c>
      <c r="AE304" s="66">
        <f>IF('Smart Search'!F13=1,IFERROR(1/'Smart Search'!H13,0),0)</f>
        <v/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66">
        <f>AF304*V304</f>
        <v/>
      </c>
      <c r="AQ304" s="66">
        <f>AG304*W304</f>
        <v/>
      </c>
      <c r="AR304" s="66">
        <f>AH304*X304</f>
        <v/>
      </c>
      <c r="AS304" s="66">
        <f>AI304*Y304</f>
        <v/>
      </c>
      <c r="AT304" s="66">
        <f>AJ304*Z304</f>
        <v/>
      </c>
      <c r="AU304" s="66">
        <f>AK304*AA304</f>
        <v/>
      </c>
      <c r="AV304" s="66">
        <f>AL304*AB304</f>
        <v/>
      </c>
      <c r="AW304" s="66">
        <f>AM304*AC304</f>
        <v/>
      </c>
      <c r="AX304" s="66">
        <f>AN304*AD304</f>
        <v/>
      </c>
      <c r="AY304" s="66">
        <f>AO304*AE304</f>
        <v/>
      </c>
      <c r="AZ304" s="66">
        <f>'Project Database'!Z308</f>
        <v/>
      </c>
      <c r="BA304" s="66">
        <f>IF(OR(A304="",'Smart Search'!H13=0),"",MAX(0,BE304*BF304*MAX(0,1-BG304)))</f>
        <v/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66">
        <f>IF('Smart Search'!G13=1,IFERROR(1/'Smart Search'!H13,0),0)</f>
        <v/>
      </c>
      <c r="BD304" s="66">
        <f>BB304*BC304</f>
        <v/>
      </c>
      <c r="BE304" s="66">
        <f>AP304+AQ304+AR304+AS304+AT304+AU304+AV304+AW304+AX304+AY304+BD304</f>
        <v/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5">
        <f>IF(AND('Project Database'!A308&lt;&gt;"",OR('Smart Search'!$L$5="",'Smart Search'!$L$5="All",TRIM('Project Database'!D308)=TRIM('Smart Search'!$L$5)),OR(TRIM('Smart Search'!$L$6)="",TRIM('Smart Search'!$L$6)="All",ISNUMBER(SEARCH(SUBSTITUTE(SUBSTITUTE(SUBSTITUTE(TRIM('Smart Search'!$L$6),"~","~~"),"*","~*"),"?","~?"),'Project Database'!C308))),OR('Smart Search'!$L$7="",AND('Project Database'!E308&lt;&gt;"",'Project Database'!E308='Smart Search'!$L$7)),OR('Smart Search'!$L$8="",'Smart Search'!$L$8="All",TRIM('Project Database'!F308)=TRIM('Smart Search'!$L$8))),IF(BA304="","",BA304+ROW()*0.0000000001),"")</f>
        <v/>
      </c>
      <c r="BI304" s="5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>
        <f>IF('Project Database'!A308="","",N('Project Database'!AC308))</f>
        <v/>
      </c>
      <c r="BK304" s="5">
        <f>IF('Project Database'!A308="","",N('Project Database'!AD308))</f>
        <v/>
      </c>
      <c r="BL304" s="5">
        <f>IF('Project Database'!A308="","",N('Project Database'!AE308))</f>
        <v/>
      </c>
      <c r="BM304" s="5">
        <f>IF('Project Database'!A308="","",N('Project Database'!AF308))</f>
        <v/>
      </c>
      <c r="BN304" s="5">
        <f>IF('Project Database'!A308="","",N('Project Database'!AG308))</f>
        <v/>
      </c>
      <c r="BO304" s="5">
        <f>IF('Project Database'!A308="","",N('Project Database'!AH308))</f>
        <v/>
      </c>
      <c r="BP304" s="5">
        <f>IF('Project Database'!A308="","",N('Project Database'!AI308))</f>
        <v/>
      </c>
      <c r="BQ304" s="5">
        <f>IF('Project Database'!A308="","",N('Project Database'!AJ308))</f>
        <v/>
      </c>
      <c r="BR304" s="5">
        <f>IF('Project Database'!A308="","",N('Project Database'!AK308))</f>
        <v/>
      </c>
      <c r="BS304" s="5">
        <f>IF('Project Database'!A308="","",N('Project Database'!AL308))</f>
        <v/>
      </c>
      <c r="BT304" s="5">
        <f>IF('Project Database'!A308="","",N('Project Database'!AM308))</f>
        <v/>
      </c>
      <c r="BU304" s="5">
        <f>IF('Project Database'!A308="","",N('Project Database'!AN308))</f>
        <v/>
      </c>
      <c r="BV304" s="5">
        <f>IF('Project Database'!A308="","",N('Project Database'!AO308))</f>
        <v/>
      </c>
      <c r="BW304" s="5">
        <f>IF('Project Database'!A308="","",N('Project Database'!AP308))</f>
        <v/>
      </c>
      <c r="BX304" s="5">
        <f>IF(A304="","",SUM(BJ304:BW304))</f>
        <v/>
      </c>
      <c r="BY304" s="5">
        <f>IF(A304="","",IFERROR(IF(ISNUMBER(U304),U304,VALUE(SUBSTITUTE(SUBSTITUTE(SUBSTITUTE(UPPER(TRIM(U304)),"M",""),",","")," ",""))),0))</f>
        <v/>
      </c>
    </row>
    <row r="305" ht="15" customHeight="1" s="74">
      <c r="A305" s="66">
        <f>'Project Database'!A309</f>
        <v/>
      </c>
      <c r="B305" s="66">
        <f>'Project Database'!B309</f>
        <v/>
      </c>
      <c r="C305" s="66">
        <f>'Project Database'!G309</f>
        <v/>
      </c>
      <c r="D305" s="66">
        <f>'Project Database'!H309</f>
        <v/>
      </c>
      <c r="E305" s="66">
        <f>'Project Database'!I309</f>
        <v/>
      </c>
      <c r="F305" s="66">
        <f>'Project Database'!J309</f>
        <v/>
      </c>
      <c r="G305" s="66">
        <f>'Project Database'!K309</f>
        <v/>
      </c>
      <c r="H305" s="66">
        <f>'Project Database'!L309</f>
        <v/>
      </c>
      <c r="I305" s="66">
        <f>'Project Database'!M309</f>
        <v/>
      </c>
      <c r="J305" s="66">
        <f>'Project Database'!N309</f>
        <v/>
      </c>
      <c r="K305" s="66">
        <f>'Project Database'!O309</f>
        <v/>
      </c>
      <c r="L305" s="66">
        <f>'Project Database'!P309</f>
        <v/>
      </c>
      <c r="M305" s="66">
        <f>'Project Database'!Q309</f>
        <v/>
      </c>
      <c r="N305" s="66">
        <f>'Project Database'!R309</f>
        <v/>
      </c>
      <c r="O305" s="66">
        <f>'Project Database'!S309</f>
        <v/>
      </c>
      <c r="P305" s="66">
        <f>'Project Database'!T309</f>
        <v/>
      </c>
      <c r="Q305" s="66">
        <f>'Project Database'!U309</f>
        <v/>
      </c>
      <c r="R305" s="66">
        <f>'Project Database'!V309</f>
        <v/>
      </c>
      <c r="S305" s="66">
        <f>'Project Database'!W309</f>
        <v/>
      </c>
      <c r="T305" s="66">
        <f>'Project Database'!X309</f>
        <v/>
      </c>
      <c r="U305" s="67">
        <f>'Project Database'!Y309</f>
        <v/>
      </c>
      <c r="V305" s="66">
        <f>IF('Smart Search'!B13=1,IFERROR(1/'Smart Search'!H13,0),0)</f>
        <v/>
      </c>
      <c r="W305" s="66">
        <f>IF('Smart Search'!B13=1,IFERROR(1/'Smart Search'!H13,0),0)</f>
        <v/>
      </c>
      <c r="X305" s="66">
        <f>IF('Smart Search'!C13=1,IFERROR(1/'Smart Search'!H13,0),0)</f>
        <v/>
      </c>
      <c r="Y305" s="66">
        <f>IF('Smart Search'!C13=1,IFERROR(1/'Smart Search'!H13,0),0)</f>
        <v/>
      </c>
      <c r="Z305" s="66">
        <f>IF('Smart Search'!D13=1,IFERROR(1/'Smart Search'!H13,0),0)</f>
        <v/>
      </c>
      <c r="AA305" s="66">
        <f>IF('Smart Search'!D13=1,IFERROR(1/'Smart Search'!H13,0),0)</f>
        <v/>
      </c>
      <c r="AB305" s="66">
        <f>IF('Smart Search'!E13=1,IFERROR(1/'Smart Search'!H13,0),0)</f>
        <v/>
      </c>
      <c r="AC305" s="66">
        <f>IF('Smart Search'!E13=1,IFERROR(1/'Smart Search'!H13,0),0)</f>
        <v/>
      </c>
      <c r="AD305" s="66">
        <f>IF('Smart Search'!F13=1,IFERROR(1/'Smart Search'!H13,0),0)</f>
        <v/>
      </c>
      <c r="AE305" s="66">
        <f>IF('Smart Search'!F13=1,IFERROR(1/'Smart Search'!H13,0),0)</f>
        <v/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66">
        <f>AF305*V305</f>
        <v/>
      </c>
      <c r="AQ305" s="66">
        <f>AG305*W305</f>
        <v/>
      </c>
      <c r="AR305" s="66">
        <f>AH305*X305</f>
        <v/>
      </c>
      <c r="AS305" s="66">
        <f>AI305*Y305</f>
        <v/>
      </c>
      <c r="AT305" s="66">
        <f>AJ305*Z305</f>
        <v/>
      </c>
      <c r="AU305" s="66">
        <f>AK305*AA305</f>
        <v/>
      </c>
      <c r="AV305" s="66">
        <f>AL305*AB305</f>
        <v/>
      </c>
      <c r="AW305" s="66">
        <f>AM305*AC305</f>
        <v/>
      </c>
      <c r="AX305" s="66">
        <f>AN305*AD305</f>
        <v/>
      </c>
      <c r="AY305" s="66">
        <f>AO305*AE305</f>
        <v/>
      </c>
      <c r="AZ305" s="66">
        <f>'Project Database'!Z309</f>
        <v/>
      </c>
      <c r="BA305" s="66">
        <f>IF(OR(A305="",'Smart Search'!H13=0),"",MAX(0,BE305*BF305*MAX(0,1-BG305)))</f>
        <v/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66">
        <f>IF('Smart Search'!G13=1,IFERROR(1/'Smart Search'!H13,0),0)</f>
        <v/>
      </c>
      <c r="BD305" s="66">
        <f>BB305*BC305</f>
        <v/>
      </c>
      <c r="BE305" s="66">
        <f>AP305+AQ305+AR305+AS305+AT305+AU305+AV305+AW305+AX305+AY305+BD305</f>
        <v/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5">
        <f>IF(AND('Project Database'!A309&lt;&gt;"",OR('Smart Search'!$L$5="",'Smart Search'!$L$5="All",TRIM('Project Database'!D309)=TRIM('Smart Search'!$L$5)),OR(TRIM('Smart Search'!$L$6)="",TRIM('Smart Search'!$L$6)="All",ISNUMBER(SEARCH(SUBSTITUTE(SUBSTITUTE(SUBSTITUTE(TRIM('Smart Search'!$L$6),"~","~~"),"*","~*"),"?","~?"),'Project Database'!C309))),OR('Smart Search'!$L$7="",AND('Project Database'!E309&lt;&gt;"",'Project Database'!E309='Smart Search'!$L$7)),OR('Smart Search'!$L$8="",'Smart Search'!$L$8="All",TRIM('Project Database'!F309)=TRIM('Smart Search'!$L$8))),IF(BA305="","",BA305+ROW()*0.0000000001),"")</f>
        <v/>
      </c>
      <c r="BI305" s="5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>
        <f>IF('Project Database'!A309="","",N('Project Database'!AC309))</f>
        <v/>
      </c>
      <c r="BK305" s="5">
        <f>IF('Project Database'!A309="","",N('Project Database'!AD309))</f>
        <v/>
      </c>
      <c r="BL305" s="5">
        <f>IF('Project Database'!A309="","",N('Project Database'!AE309))</f>
        <v/>
      </c>
      <c r="BM305" s="5">
        <f>IF('Project Database'!A309="","",N('Project Database'!AF309))</f>
        <v/>
      </c>
      <c r="BN305" s="5">
        <f>IF('Project Database'!A309="","",N('Project Database'!AG309))</f>
        <v/>
      </c>
      <c r="BO305" s="5">
        <f>IF('Project Database'!A309="","",N('Project Database'!AH309))</f>
        <v/>
      </c>
      <c r="BP305" s="5">
        <f>IF('Project Database'!A309="","",N('Project Database'!AI309))</f>
        <v/>
      </c>
      <c r="BQ305" s="5">
        <f>IF('Project Database'!A309="","",N('Project Database'!AJ309))</f>
        <v/>
      </c>
      <c r="BR305" s="5">
        <f>IF('Project Database'!A309="","",N('Project Database'!AK309))</f>
        <v/>
      </c>
      <c r="BS305" s="5">
        <f>IF('Project Database'!A309="","",N('Project Database'!AL309))</f>
        <v/>
      </c>
      <c r="BT305" s="5">
        <f>IF('Project Database'!A309="","",N('Project Database'!AM309))</f>
        <v/>
      </c>
      <c r="BU305" s="5">
        <f>IF('Project Database'!A309="","",N('Project Database'!AN309))</f>
        <v/>
      </c>
      <c r="BV305" s="5">
        <f>IF('Project Database'!A309="","",N('Project Database'!AO309))</f>
        <v/>
      </c>
      <c r="BW305" s="5">
        <f>IF('Project Database'!A309="","",N('Project Database'!AP309))</f>
        <v/>
      </c>
      <c r="BX305" s="5">
        <f>IF(A305="","",SUM(BJ305:BW305))</f>
        <v/>
      </c>
      <c r="BY305" s="5">
        <f>IF(A305="","",IFERROR(IF(ISNUMBER(U305),U305,VALUE(SUBSTITUTE(SUBSTITUTE(SUBSTITUTE(UPPER(TRIM(U305)),"M",""),",","")," ",""))),0))</f>
        <v/>
      </c>
    </row>
    <row r="306" ht="15" customHeight="1" s="74">
      <c r="A306" s="66">
        <f>'Project Database'!A310</f>
        <v/>
      </c>
      <c r="B306" s="66">
        <f>'Project Database'!B310</f>
        <v/>
      </c>
      <c r="C306" s="66">
        <f>'Project Database'!G310</f>
        <v/>
      </c>
      <c r="D306" s="66">
        <f>'Project Database'!H310</f>
        <v/>
      </c>
      <c r="E306" s="66">
        <f>'Project Database'!I310</f>
        <v/>
      </c>
      <c r="F306" s="66">
        <f>'Project Database'!J310</f>
        <v/>
      </c>
      <c r="G306" s="66">
        <f>'Project Database'!K310</f>
        <v/>
      </c>
      <c r="H306" s="66">
        <f>'Project Database'!L310</f>
        <v/>
      </c>
      <c r="I306" s="66">
        <f>'Project Database'!M310</f>
        <v/>
      </c>
      <c r="J306" s="66">
        <f>'Project Database'!N310</f>
        <v/>
      </c>
      <c r="K306" s="66">
        <f>'Project Database'!O310</f>
        <v/>
      </c>
      <c r="L306" s="66">
        <f>'Project Database'!P310</f>
        <v/>
      </c>
      <c r="M306" s="66">
        <f>'Project Database'!Q310</f>
        <v/>
      </c>
      <c r="N306" s="66">
        <f>'Project Database'!R310</f>
        <v/>
      </c>
      <c r="O306" s="66">
        <f>'Project Database'!S310</f>
        <v/>
      </c>
      <c r="P306" s="66">
        <f>'Project Database'!T310</f>
        <v/>
      </c>
      <c r="Q306" s="66">
        <f>'Project Database'!U310</f>
        <v/>
      </c>
      <c r="R306" s="66">
        <f>'Project Database'!V310</f>
        <v/>
      </c>
      <c r="S306" s="66">
        <f>'Project Database'!W310</f>
        <v/>
      </c>
      <c r="T306" s="66">
        <f>'Project Database'!X310</f>
        <v/>
      </c>
      <c r="U306" s="67">
        <f>'Project Database'!Y310</f>
        <v/>
      </c>
      <c r="V306" s="66">
        <f>IF('Smart Search'!B13=1,IFERROR(1/'Smart Search'!H13,0),0)</f>
        <v/>
      </c>
      <c r="W306" s="66">
        <f>IF('Smart Search'!B13=1,IFERROR(1/'Smart Search'!H13,0),0)</f>
        <v/>
      </c>
      <c r="X306" s="66">
        <f>IF('Smart Search'!C13=1,IFERROR(1/'Smart Search'!H13,0),0)</f>
        <v/>
      </c>
      <c r="Y306" s="66">
        <f>IF('Smart Search'!C13=1,IFERROR(1/'Smart Search'!H13,0),0)</f>
        <v/>
      </c>
      <c r="Z306" s="66">
        <f>IF('Smart Search'!D13=1,IFERROR(1/'Smart Search'!H13,0),0)</f>
        <v/>
      </c>
      <c r="AA306" s="66">
        <f>IF('Smart Search'!D13=1,IFERROR(1/'Smart Search'!H13,0),0)</f>
        <v/>
      </c>
      <c r="AB306" s="66">
        <f>IF('Smart Search'!E13=1,IFERROR(1/'Smart Search'!H13,0),0)</f>
        <v/>
      </c>
      <c r="AC306" s="66">
        <f>IF('Smart Search'!E13=1,IFERROR(1/'Smart Search'!H13,0),0)</f>
        <v/>
      </c>
      <c r="AD306" s="66">
        <f>IF('Smart Search'!F13=1,IFERROR(1/'Smart Search'!H13,0),0)</f>
        <v/>
      </c>
      <c r="AE306" s="66">
        <f>IF('Smart Search'!F13=1,IFERROR(1/'Smart Search'!H13,0),0)</f>
        <v/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66">
        <f>AF306*V306</f>
        <v/>
      </c>
      <c r="AQ306" s="66">
        <f>AG306*W306</f>
        <v/>
      </c>
      <c r="AR306" s="66">
        <f>AH306*X306</f>
        <v/>
      </c>
      <c r="AS306" s="66">
        <f>AI306*Y306</f>
        <v/>
      </c>
      <c r="AT306" s="66">
        <f>AJ306*Z306</f>
        <v/>
      </c>
      <c r="AU306" s="66">
        <f>AK306*AA306</f>
        <v/>
      </c>
      <c r="AV306" s="66">
        <f>AL306*AB306</f>
        <v/>
      </c>
      <c r="AW306" s="66">
        <f>AM306*AC306</f>
        <v/>
      </c>
      <c r="AX306" s="66">
        <f>AN306*AD306</f>
        <v/>
      </c>
      <c r="AY306" s="66">
        <f>AO306*AE306</f>
        <v/>
      </c>
      <c r="AZ306" s="66">
        <f>'Project Database'!Z310</f>
        <v/>
      </c>
      <c r="BA306" s="66">
        <f>IF(OR(A306="",'Smart Search'!H13=0),"",MAX(0,BE306*BF306*MAX(0,1-BG306)))</f>
        <v/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66">
        <f>IF('Smart Search'!G13=1,IFERROR(1/'Smart Search'!H13,0),0)</f>
        <v/>
      </c>
      <c r="BD306" s="66">
        <f>BB306*BC306</f>
        <v/>
      </c>
      <c r="BE306" s="66">
        <f>AP306+AQ306+AR306+AS306+AT306+AU306+AV306+AW306+AX306+AY306+BD306</f>
        <v/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5">
        <f>IF(AND('Project Database'!A310&lt;&gt;"",OR('Smart Search'!$L$5="",'Smart Search'!$L$5="All",TRIM('Project Database'!D310)=TRIM('Smart Search'!$L$5)),OR(TRIM('Smart Search'!$L$6)="",TRIM('Smart Search'!$L$6)="All",ISNUMBER(SEARCH(SUBSTITUTE(SUBSTITUTE(SUBSTITUTE(TRIM('Smart Search'!$L$6),"~","~~"),"*","~*"),"?","~?"),'Project Database'!C310))),OR('Smart Search'!$L$7="",AND('Project Database'!E310&lt;&gt;"",'Project Database'!E310='Smart Search'!$L$7)),OR('Smart Search'!$L$8="",'Smart Search'!$L$8="All",TRIM('Project Database'!F310)=TRIM('Smart Search'!$L$8))),IF(BA306="","",BA306+ROW()*0.0000000001),"")</f>
        <v/>
      </c>
      <c r="BI306" s="5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>
        <f>IF('Project Database'!A310="","",N('Project Database'!AC310))</f>
        <v/>
      </c>
      <c r="BK306" s="5">
        <f>IF('Project Database'!A310="","",N('Project Database'!AD310))</f>
        <v/>
      </c>
      <c r="BL306" s="5">
        <f>IF('Project Database'!A310="","",N('Project Database'!AE310))</f>
        <v/>
      </c>
      <c r="BM306" s="5">
        <f>IF('Project Database'!A310="","",N('Project Database'!AF310))</f>
        <v/>
      </c>
      <c r="BN306" s="5">
        <f>IF('Project Database'!A310="","",N('Project Database'!AG310))</f>
        <v/>
      </c>
      <c r="BO306" s="5">
        <f>IF('Project Database'!A310="","",N('Project Database'!AH310))</f>
        <v/>
      </c>
      <c r="BP306" s="5">
        <f>IF('Project Database'!A310="","",N('Project Database'!AI310))</f>
        <v/>
      </c>
      <c r="BQ306" s="5">
        <f>IF('Project Database'!A310="","",N('Project Database'!AJ310))</f>
        <v/>
      </c>
      <c r="BR306" s="5">
        <f>IF('Project Database'!A310="","",N('Project Database'!AK310))</f>
        <v/>
      </c>
      <c r="BS306" s="5">
        <f>IF('Project Database'!A310="","",N('Project Database'!AL310))</f>
        <v/>
      </c>
      <c r="BT306" s="5">
        <f>IF('Project Database'!A310="","",N('Project Database'!AM310))</f>
        <v/>
      </c>
      <c r="BU306" s="5">
        <f>IF('Project Database'!A310="","",N('Project Database'!AN310))</f>
        <v/>
      </c>
      <c r="BV306" s="5">
        <f>IF('Project Database'!A310="","",N('Project Database'!AO310))</f>
        <v/>
      </c>
      <c r="BW306" s="5">
        <f>IF('Project Database'!A310="","",N('Project Database'!AP310))</f>
        <v/>
      </c>
      <c r="BX306" s="5">
        <f>IF(A306="","",SUM(BJ306:BW306))</f>
        <v/>
      </c>
      <c r="BY306" s="5">
        <f>IF(A306="","",IFERROR(IF(ISNUMBER(U306),U306,VALUE(SUBSTITUTE(SUBSTITUTE(SUBSTITUTE(UPPER(TRIM(U306)),"M",""),",","")," ",""))),0))</f>
        <v/>
      </c>
    </row>
    <row r="307" ht="15" customHeight="1" s="74">
      <c r="A307" s="66">
        <f>'Project Database'!A311</f>
        <v/>
      </c>
      <c r="B307" s="66">
        <f>'Project Database'!B311</f>
        <v/>
      </c>
      <c r="C307" s="66">
        <f>'Project Database'!G311</f>
        <v/>
      </c>
      <c r="D307" s="66">
        <f>'Project Database'!H311</f>
        <v/>
      </c>
      <c r="E307" s="66">
        <f>'Project Database'!I311</f>
        <v/>
      </c>
      <c r="F307" s="66">
        <f>'Project Database'!J311</f>
        <v/>
      </c>
      <c r="G307" s="66">
        <f>'Project Database'!K311</f>
        <v/>
      </c>
      <c r="H307" s="66">
        <f>'Project Database'!L311</f>
        <v/>
      </c>
      <c r="I307" s="66">
        <f>'Project Database'!M311</f>
        <v/>
      </c>
      <c r="J307" s="66">
        <f>'Project Database'!N311</f>
        <v/>
      </c>
      <c r="K307" s="66">
        <f>'Project Database'!O311</f>
        <v/>
      </c>
      <c r="L307" s="66">
        <f>'Project Database'!P311</f>
        <v/>
      </c>
      <c r="M307" s="66">
        <f>'Project Database'!Q311</f>
        <v/>
      </c>
      <c r="N307" s="66">
        <f>'Project Database'!R311</f>
        <v/>
      </c>
      <c r="O307" s="66">
        <f>'Project Database'!S311</f>
        <v/>
      </c>
      <c r="P307" s="66">
        <f>'Project Database'!T311</f>
        <v/>
      </c>
      <c r="Q307" s="66">
        <f>'Project Database'!U311</f>
        <v/>
      </c>
      <c r="R307" s="66">
        <f>'Project Database'!V311</f>
        <v/>
      </c>
      <c r="S307" s="66">
        <f>'Project Database'!W311</f>
        <v/>
      </c>
      <c r="T307" s="66">
        <f>'Project Database'!X311</f>
        <v/>
      </c>
      <c r="U307" s="67">
        <f>'Project Database'!Y311</f>
        <v/>
      </c>
      <c r="V307" s="66">
        <f>IF('Smart Search'!B13=1,IFERROR(1/'Smart Search'!H13,0),0)</f>
        <v/>
      </c>
      <c r="W307" s="66">
        <f>IF('Smart Search'!B13=1,IFERROR(1/'Smart Search'!H13,0),0)</f>
        <v/>
      </c>
      <c r="X307" s="66">
        <f>IF('Smart Search'!C13=1,IFERROR(1/'Smart Search'!H13,0),0)</f>
        <v/>
      </c>
      <c r="Y307" s="66">
        <f>IF('Smart Search'!C13=1,IFERROR(1/'Smart Search'!H13,0),0)</f>
        <v/>
      </c>
      <c r="Z307" s="66">
        <f>IF('Smart Search'!D13=1,IFERROR(1/'Smart Search'!H13,0),0)</f>
        <v/>
      </c>
      <c r="AA307" s="66">
        <f>IF('Smart Search'!D13=1,IFERROR(1/'Smart Search'!H13,0),0)</f>
        <v/>
      </c>
      <c r="AB307" s="66">
        <f>IF('Smart Search'!E13=1,IFERROR(1/'Smart Search'!H13,0),0)</f>
        <v/>
      </c>
      <c r="AC307" s="66">
        <f>IF('Smart Search'!E13=1,IFERROR(1/'Smart Search'!H13,0),0)</f>
        <v/>
      </c>
      <c r="AD307" s="66">
        <f>IF('Smart Search'!F13=1,IFERROR(1/'Smart Search'!H13,0),0)</f>
        <v/>
      </c>
      <c r="AE307" s="66">
        <f>IF('Smart Search'!F13=1,IFERROR(1/'Smart Search'!H13,0),0)</f>
        <v/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66">
        <f>AF307*V307</f>
        <v/>
      </c>
      <c r="AQ307" s="66">
        <f>AG307*W307</f>
        <v/>
      </c>
      <c r="AR307" s="66">
        <f>AH307*X307</f>
        <v/>
      </c>
      <c r="AS307" s="66">
        <f>AI307*Y307</f>
        <v/>
      </c>
      <c r="AT307" s="66">
        <f>AJ307*Z307</f>
        <v/>
      </c>
      <c r="AU307" s="66">
        <f>AK307*AA307</f>
        <v/>
      </c>
      <c r="AV307" s="66">
        <f>AL307*AB307</f>
        <v/>
      </c>
      <c r="AW307" s="66">
        <f>AM307*AC307</f>
        <v/>
      </c>
      <c r="AX307" s="66">
        <f>AN307*AD307</f>
        <v/>
      </c>
      <c r="AY307" s="66">
        <f>AO307*AE307</f>
        <v/>
      </c>
      <c r="AZ307" s="66">
        <f>'Project Database'!Z311</f>
        <v/>
      </c>
      <c r="BA307" s="66">
        <f>IF(OR(A307="",'Smart Search'!H13=0),"",MAX(0,BE307*BF307*MAX(0,1-BG307)))</f>
        <v/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66">
        <f>IF('Smart Search'!G13=1,IFERROR(1/'Smart Search'!H13,0),0)</f>
        <v/>
      </c>
      <c r="BD307" s="66">
        <f>BB307*BC307</f>
        <v/>
      </c>
      <c r="BE307" s="66">
        <f>AP307+AQ307+AR307+AS307+AT307+AU307+AV307+AW307+AX307+AY307+BD307</f>
        <v/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5">
        <f>IF(AND('Project Database'!A311&lt;&gt;"",OR('Smart Search'!$L$5="",'Smart Search'!$L$5="All",TRIM('Project Database'!D311)=TRIM('Smart Search'!$L$5)),OR(TRIM('Smart Search'!$L$6)="",TRIM('Smart Search'!$L$6)="All",ISNUMBER(SEARCH(SUBSTITUTE(SUBSTITUTE(SUBSTITUTE(TRIM('Smart Search'!$L$6),"~","~~"),"*","~*"),"?","~?"),'Project Database'!C311))),OR('Smart Search'!$L$7="",AND('Project Database'!E311&lt;&gt;"",'Project Database'!E311='Smart Search'!$L$7)),OR('Smart Search'!$L$8="",'Smart Search'!$L$8="All",TRIM('Project Database'!F311)=TRIM('Smart Search'!$L$8))),IF(BA307="","",BA307+ROW()*0.0000000001),"")</f>
        <v/>
      </c>
      <c r="BI307" s="5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>
        <f>IF('Project Database'!A311="","",N('Project Database'!AC311))</f>
        <v/>
      </c>
      <c r="BK307" s="5">
        <f>IF('Project Database'!A311="","",N('Project Database'!AD311))</f>
        <v/>
      </c>
      <c r="BL307" s="5">
        <f>IF('Project Database'!A311="","",N('Project Database'!AE311))</f>
        <v/>
      </c>
      <c r="BM307" s="5">
        <f>IF('Project Database'!A311="","",N('Project Database'!AF311))</f>
        <v/>
      </c>
      <c r="BN307" s="5">
        <f>IF('Project Database'!A311="","",N('Project Database'!AG311))</f>
        <v/>
      </c>
      <c r="BO307" s="5">
        <f>IF('Project Database'!A311="","",N('Project Database'!AH311))</f>
        <v/>
      </c>
      <c r="BP307" s="5">
        <f>IF('Project Database'!A311="","",N('Project Database'!AI311))</f>
        <v/>
      </c>
      <c r="BQ307" s="5">
        <f>IF('Project Database'!A311="","",N('Project Database'!AJ311))</f>
        <v/>
      </c>
      <c r="BR307" s="5">
        <f>IF('Project Database'!A311="","",N('Project Database'!AK311))</f>
        <v/>
      </c>
      <c r="BS307" s="5">
        <f>IF('Project Database'!A311="","",N('Project Database'!AL311))</f>
        <v/>
      </c>
      <c r="BT307" s="5">
        <f>IF('Project Database'!A311="","",N('Project Database'!AM311))</f>
        <v/>
      </c>
      <c r="BU307" s="5">
        <f>IF('Project Database'!A311="","",N('Project Database'!AN311))</f>
        <v/>
      </c>
      <c r="BV307" s="5">
        <f>IF('Project Database'!A311="","",N('Project Database'!AO311))</f>
        <v/>
      </c>
      <c r="BW307" s="5">
        <f>IF('Project Database'!A311="","",N('Project Database'!AP311))</f>
        <v/>
      </c>
      <c r="BX307" s="5">
        <f>IF(A307="","",SUM(BJ307:BW307))</f>
        <v/>
      </c>
      <c r="BY307" s="5">
        <f>IF(A307="","",IFERROR(IF(ISNUMBER(U307),U307,VALUE(SUBSTITUTE(SUBSTITUTE(SUBSTITUTE(UPPER(TRIM(U307)),"M",""),",","")," ",""))),0))</f>
        <v/>
      </c>
    </row>
    <row r="308" ht="15" customHeight="1" s="74">
      <c r="A308" s="66">
        <f>'Project Database'!A312</f>
        <v/>
      </c>
      <c r="B308" s="66">
        <f>'Project Database'!B312</f>
        <v/>
      </c>
      <c r="C308" s="66">
        <f>'Project Database'!G312</f>
        <v/>
      </c>
      <c r="D308" s="66">
        <f>'Project Database'!H312</f>
        <v/>
      </c>
      <c r="E308" s="66">
        <f>'Project Database'!I312</f>
        <v/>
      </c>
      <c r="F308" s="66">
        <f>'Project Database'!J312</f>
        <v/>
      </c>
      <c r="G308" s="66">
        <f>'Project Database'!K312</f>
        <v/>
      </c>
      <c r="H308" s="66">
        <f>'Project Database'!L312</f>
        <v/>
      </c>
      <c r="I308" s="66">
        <f>'Project Database'!M312</f>
        <v/>
      </c>
      <c r="J308" s="66">
        <f>'Project Database'!N312</f>
        <v/>
      </c>
      <c r="K308" s="66">
        <f>'Project Database'!O312</f>
        <v/>
      </c>
      <c r="L308" s="66">
        <f>'Project Database'!P312</f>
        <v/>
      </c>
      <c r="M308" s="66">
        <f>'Project Database'!Q312</f>
        <v/>
      </c>
      <c r="N308" s="66">
        <f>'Project Database'!R312</f>
        <v/>
      </c>
      <c r="O308" s="66">
        <f>'Project Database'!S312</f>
        <v/>
      </c>
      <c r="P308" s="66">
        <f>'Project Database'!T312</f>
        <v/>
      </c>
      <c r="Q308" s="66">
        <f>'Project Database'!U312</f>
        <v/>
      </c>
      <c r="R308" s="66">
        <f>'Project Database'!V312</f>
        <v/>
      </c>
      <c r="S308" s="66">
        <f>'Project Database'!W312</f>
        <v/>
      </c>
      <c r="T308" s="66">
        <f>'Project Database'!X312</f>
        <v/>
      </c>
      <c r="U308" s="67">
        <f>'Project Database'!Y312</f>
        <v/>
      </c>
      <c r="V308" s="66">
        <f>IF('Smart Search'!B13=1,IFERROR(1/'Smart Search'!H13,0),0)</f>
        <v/>
      </c>
      <c r="W308" s="66">
        <f>IF('Smart Search'!B13=1,IFERROR(1/'Smart Search'!H13,0),0)</f>
        <v/>
      </c>
      <c r="X308" s="66">
        <f>IF('Smart Search'!C13=1,IFERROR(1/'Smart Search'!H13,0),0)</f>
        <v/>
      </c>
      <c r="Y308" s="66">
        <f>IF('Smart Search'!C13=1,IFERROR(1/'Smart Search'!H13,0),0)</f>
        <v/>
      </c>
      <c r="Z308" s="66">
        <f>IF('Smart Search'!D13=1,IFERROR(1/'Smart Search'!H13,0),0)</f>
        <v/>
      </c>
      <c r="AA308" s="66">
        <f>IF('Smart Search'!D13=1,IFERROR(1/'Smart Search'!H13,0),0)</f>
        <v/>
      </c>
      <c r="AB308" s="66">
        <f>IF('Smart Search'!E13=1,IFERROR(1/'Smart Search'!H13,0),0)</f>
        <v/>
      </c>
      <c r="AC308" s="66">
        <f>IF('Smart Search'!E13=1,IFERROR(1/'Smart Search'!H13,0),0)</f>
        <v/>
      </c>
      <c r="AD308" s="66">
        <f>IF('Smart Search'!F13=1,IFERROR(1/'Smart Search'!H13,0),0)</f>
        <v/>
      </c>
      <c r="AE308" s="66">
        <f>IF('Smart Search'!F13=1,IFERROR(1/'Smart Search'!H13,0),0)</f>
        <v/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66">
        <f>AF308*V308</f>
        <v/>
      </c>
      <c r="AQ308" s="66">
        <f>AG308*W308</f>
        <v/>
      </c>
      <c r="AR308" s="66">
        <f>AH308*X308</f>
        <v/>
      </c>
      <c r="AS308" s="66">
        <f>AI308*Y308</f>
        <v/>
      </c>
      <c r="AT308" s="66">
        <f>AJ308*Z308</f>
        <v/>
      </c>
      <c r="AU308" s="66">
        <f>AK308*AA308</f>
        <v/>
      </c>
      <c r="AV308" s="66">
        <f>AL308*AB308</f>
        <v/>
      </c>
      <c r="AW308" s="66">
        <f>AM308*AC308</f>
        <v/>
      </c>
      <c r="AX308" s="66">
        <f>AN308*AD308</f>
        <v/>
      </c>
      <c r="AY308" s="66">
        <f>AO308*AE308</f>
        <v/>
      </c>
      <c r="AZ308" s="66">
        <f>'Project Database'!Z312</f>
        <v/>
      </c>
      <c r="BA308" s="66">
        <f>IF(OR(A308="",'Smart Search'!H13=0),"",MAX(0,BE308*BF308*MAX(0,1-BG308)))</f>
        <v/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66">
        <f>IF('Smart Search'!G13=1,IFERROR(1/'Smart Search'!H13,0),0)</f>
        <v/>
      </c>
      <c r="BD308" s="66">
        <f>BB308*BC308</f>
        <v/>
      </c>
      <c r="BE308" s="66">
        <f>AP308+AQ308+AR308+AS308+AT308+AU308+AV308+AW308+AX308+AY308+BD308</f>
        <v/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5">
        <f>IF(AND('Project Database'!A312&lt;&gt;"",OR('Smart Search'!$L$5="",'Smart Search'!$L$5="All",TRIM('Project Database'!D312)=TRIM('Smart Search'!$L$5)),OR(TRIM('Smart Search'!$L$6)="",TRIM('Smart Search'!$L$6)="All",ISNUMBER(SEARCH(SUBSTITUTE(SUBSTITUTE(SUBSTITUTE(TRIM('Smart Search'!$L$6),"~","~~"),"*","~*"),"?","~?"),'Project Database'!C312))),OR('Smart Search'!$L$7="",AND('Project Database'!E312&lt;&gt;"",'Project Database'!E312='Smart Search'!$L$7)),OR('Smart Search'!$L$8="",'Smart Search'!$L$8="All",TRIM('Project Database'!F312)=TRIM('Smart Search'!$L$8))),IF(BA308="","",BA308+ROW()*0.0000000001),"")</f>
        <v/>
      </c>
      <c r="BI308" s="5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>
        <f>IF('Project Database'!A312="","",N('Project Database'!AC312))</f>
        <v/>
      </c>
      <c r="BK308" s="5">
        <f>IF('Project Database'!A312="","",N('Project Database'!AD312))</f>
        <v/>
      </c>
      <c r="BL308" s="5">
        <f>IF('Project Database'!A312="","",N('Project Database'!AE312))</f>
        <v/>
      </c>
      <c r="BM308" s="5">
        <f>IF('Project Database'!A312="","",N('Project Database'!AF312))</f>
        <v/>
      </c>
      <c r="BN308" s="5">
        <f>IF('Project Database'!A312="","",N('Project Database'!AG312))</f>
        <v/>
      </c>
      <c r="BO308" s="5">
        <f>IF('Project Database'!A312="","",N('Project Database'!AH312))</f>
        <v/>
      </c>
      <c r="BP308" s="5">
        <f>IF('Project Database'!A312="","",N('Project Database'!AI312))</f>
        <v/>
      </c>
      <c r="BQ308" s="5">
        <f>IF('Project Database'!A312="","",N('Project Database'!AJ312))</f>
        <v/>
      </c>
      <c r="BR308" s="5">
        <f>IF('Project Database'!A312="","",N('Project Database'!AK312))</f>
        <v/>
      </c>
      <c r="BS308" s="5">
        <f>IF('Project Database'!A312="","",N('Project Database'!AL312))</f>
        <v/>
      </c>
      <c r="BT308" s="5">
        <f>IF('Project Database'!A312="","",N('Project Database'!AM312))</f>
        <v/>
      </c>
      <c r="BU308" s="5">
        <f>IF('Project Database'!A312="","",N('Project Database'!AN312))</f>
        <v/>
      </c>
      <c r="BV308" s="5">
        <f>IF('Project Database'!A312="","",N('Project Database'!AO312))</f>
        <v/>
      </c>
      <c r="BW308" s="5">
        <f>IF('Project Database'!A312="","",N('Project Database'!AP312))</f>
        <v/>
      </c>
      <c r="BX308" s="5">
        <f>IF(A308="","",SUM(BJ308:BW308))</f>
        <v/>
      </c>
      <c r="BY308" s="5">
        <f>IF(A308="","",IFERROR(IF(ISNUMBER(U308),U308,VALUE(SUBSTITUTE(SUBSTITUTE(SUBSTITUTE(UPPER(TRIM(U308)),"M",""),",","")," ",""))),0))</f>
        <v/>
      </c>
    </row>
    <row r="309" ht="15" customHeight="1" s="74">
      <c r="A309" s="66">
        <f>'Project Database'!A313</f>
        <v/>
      </c>
      <c r="B309" s="66">
        <f>'Project Database'!B313</f>
        <v/>
      </c>
      <c r="C309" s="66">
        <f>'Project Database'!G313</f>
        <v/>
      </c>
      <c r="D309" s="66">
        <f>'Project Database'!H313</f>
        <v/>
      </c>
      <c r="E309" s="66">
        <f>'Project Database'!I313</f>
        <v/>
      </c>
      <c r="F309" s="66">
        <f>'Project Database'!J313</f>
        <v/>
      </c>
      <c r="G309" s="66">
        <f>'Project Database'!K313</f>
        <v/>
      </c>
      <c r="H309" s="66">
        <f>'Project Database'!L313</f>
        <v/>
      </c>
      <c r="I309" s="66">
        <f>'Project Database'!M313</f>
        <v/>
      </c>
      <c r="J309" s="66">
        <f>'Project Database'!N313</f>
        <v/>
      </c>
      <c r="K309" s="66">
        <f>'Project Database'!O313</f>
        <v/>
      </c>
      <c r="L309" s="66">
        <f>'Project Database'!P313</f>
        <v/>
      </c>
      <c r="M309" s="66">
        <f>'Project Database'!Q313</f>
        <v/>
      </c>
      <c r="N309" s="66">
        <f>'Project Database'!R313</f>
        <v/>
      </c>
      <c r="O309" s="66">
        <f>'Project Database'!S313</f>
        <v/>
      </c>
      <c r="P309" s="66">
        <f>'Project Database'!T313</f>
        <v/>
      </c>
      <c r="Q309" s="66">
        <f>'Project Database'!U313</f>
        <v/>
      </c>
      <c r="R309" s="66">
        <f>'Project Database'!V313</f>
        <v/>
      </c>
      <c r="S309" s="66">
        <f>'Project Database'!W313</f>
        <v/>
      </c>
      <c r="T309" s="66">
        <f>'Project Database'!X313</f>
        <v/>
      </c>
      <c r="U309" s="67">
        <f>'Project Database'!Y313</f>
        <v/>
      </c>
      <c r="V309" s="66">
        <f>IF('Smart Search'!B13=1,IFERROR(1/'Smart Search'!H13,0),0)</f>
        <v/>
      </c>
      <c r="W309" s="66">
        <f>IF('Smart Search'!B13=1,IFERROR(1/'Smart Search'!H13,0),0)</f>
        <v/>
      </c>
      <c r="X309" s="66">
        <f>IF('Smart Search'!C13=1,IFERROR(1/'Smart Search'!H13,0),0)</f>
        <v/>
      </c>
      <c r="Y309" s="66">
        <f>IF('Smart Search'!C13=1,IFERROR(1/'Smart Search'!H13,0),0)</f>
        <v/>
      </c>
      <c r="Z309" s="66">
        <f>IF('Smart Search'!D13=1,IFERROR(1/'Smart Search'!H13,0),0)</f>
        <v/>
      </c>
      <c r="AA309" s="66">
        <f>IF('Smart Search'!D13=1,IFERROR(1/'Smart Search'!H13,0),0)</f>
        <v/>
      </c>
      <c r="AB309" s="66">
        <f>IF('Smart Search'!E13=1,IFERROR(1/'Smart Search'!H13,0),0)</f>
        <v/>
      </c>
      <c r="AC309" s="66">
        <f>IF('Smart Search'!E13=1,IFERROR(1/'Smart Search'!H13,0),0)</f>
        <v/>
      </c>
      <c r="AD309" s="66">
        <f>IF('Smart Search'!F13=1,IFERROR(1/'Smart Search'!H13,0),0)</f>
        <v/>
      </c>
      <c r="AE309" s="66">
        <f>IF('Smart Search'!F13=1,IFERROR(1/'Smart Search'!H13,0),0)</f>
        <v/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66">
        <f>AF309*V309</f>
        <v/>
      </c>
      <c r="AQ309" s="66">
        <f>AG309*W309</f>
        <v/>
      </c>
      <c r="AR309" s="66">
        <f>AH309*X309</f>
        <v/>
      </c>
      <c r="AS309" s="66">
        <f>AI309*Y309</f>
        <v/>
      </c>
      <c r="AT309" s="66">
        <f>AJ309*Z309</f>
        <v/>
      </c>
      <c r="AU309" s="66">
        <f>AK309*AA309</f>
        <v/>
      </c>
      <c r="AV309" s="66">
        <f>AL309*AB309</f>
        <v/>
      </c>
      <c r="AW309" s="66">
        <f>AM309*AC309</f>
        <v/>
      </c>
      <c r="AX309" s="66">
        <f>AN309*AD309</f>
        <v/>
      </c>
      <c r="AY309" s="66">
        <f>AO309*AE309</f>
        <v/>
      </c>
      <c r="AZ309" s="66">
        <f>'Project Database'!Z313</f>
        <v/>
      </c>
      <c r="BA309" s="66">
        <f>IF(OR(A309="",'Smart Search'!H13=0),"",MAX(0,BE309*BF309*MAX(0,1-BG309)))</f>
        <v/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66">
        <f>IF('Smart Search'!G13=1,IFERROR(1/'Smart Search'!H13,0),0)</f>
        <v/>
      </c>
      <c r="BD309" s="66">
        <f>BB309*BC309</f>
        <v/>
      </c>
      <c r="BE309" s="66">
        <f>AP309+AQ309+AR309+AS309+AT309+AU309+AV309+AW309+AX309+AY309+BD309</f>
        <v/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5">
        <f>IF(AND('Project Database'!A313&lt;&gt;"",OR('Smart Search'!$L$5="",'Smart Search'!$L$5="All",TRIM('Project Database'!D313)=TRIM('Smart Search'!$L$5)),OR(TRIM('Smart Search'!$L$6)="",TRIM('Smart Search'!$L$6)="All",ISNUMBER(SEARCH(SUBSTITUTE(SUBSTITUTE(SUBSTITUTE(TRIM('Smart Search'!$L$6),"~","~~"),"*","~*"),"?","~?"),'Project Database'!C313))),OR('Smart Search'!$L$7="",AND('Project Database'!E313&lt;&gt;"",'Project Database'!E313='Smart Search'!$L$7)),OR('Smart Search'!$L$8="",'Smart Search'!$L$8="All",TRIM('Project Database'!F313)=TRIM('Smart Search'!$L$8))),IF(BA309="","",BA309+ROW()*0.0000000001),"")</f>
        <v/>
      </c>
      <c r="BI309" s="5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>
        <f>IF('Project Database'!A313="","",N('Project Database'!AC313))</f>
        <v/>
      </c>
      <c r="BK309" s="5">
        <f>IF('Project Database'!A313="","",N('Project Database'!AD313))</f>
        <v/>
      </c>
      <c r="BL309" s="5">
        <f>IF('Project Database'!A313="","",N('Project Database'!AE313))</f>
        <v/>
      </c>
      <c r="BM309" s="5">
        <f>IF('Project Database'!A313="","",N('Project Database'!AF313))</f>
        <v/>
      </c>
      <c r="BN309" s="5">
        <f>IF('Project Database'!A313="","",N('Project Database'!AG313))</f>
        <v/>
      </c>
      <c r="BO309" s="5">
        <f>IF('Project Database'!A313="","",N('Project Database'!AH313))</f>
        <v/>
      </c>
      <c r="BP309" s="5">
        <f>IF('Project Database'!A313="","",N('Project Database'!AI313))</f>
        <v/>
      </c>
      <c r="BQ309" s="5">
        <f>IF('Project Database'!A313="","",N('Project Database'!AJ313))</f>
        <v/>
      </c>
      <c r="BR309" s="5">
        <f>IF('Project Database'!A313="","",N('Project Database'!AK313))</f>
        <v/>
      </c>
      <c r="BS309" s="5">
        <f>IF('Project Database'!A313="","",N('Project Database'!AL313))</f>
        <v/>
      </c>
      <c r="BT309" s="5">
        <f>IF('Project Database'!A313="","",N('Project Database'!AM313))</f>
        <v/>
      </c>
      <c r="BU309" s="5">
        <f>IF('Project Database'!A313="","",N('Project Database'!AN313))</f>
        <v/>
      </c>
      <c r="BV309" s="5">
        <f>IF('Project Database'!A313="","",N('Project Database'!AO313))</f>
        <v/>
      </c>
      <c r="BW309" s="5">
        <f>IF('Project Database'!A313="","",N('Project Database'!AP313))</f>
        <v/>
      </c>
      <c r="BX309" s="5">
        <f>IF(A309="","",SUM(BJ309:BW309))</f>
        <v/>
      </c>
      <c r="BY309" s="5">
        <f>IF(A309="","",IFERROR(IF(ISNUMBER(U309),U309,VALUE(SUBSTITUTE(SUBSTITUTE(SUBSTITUTE(UPPER(TRIM(U309)),"M",""),",","")," ",""))),0))</f>
        <v/>
      </c>
    </row>
    <row r="310" ht="15" customHeight="1" s="74">
      <c r="A310" s="66">
        <f>'Project Database'!A314</f>
        <v/>
      </c>
      <c r="B310" s="66">
        <f>'Project Database'!B314</f>
        <v/>
      </c>
      <c r="C310" s="66">
        <f>'Project Database'!G314</f>
        <v/>
      </c>
      <c r="D310" s="66">
        <f>'Project Database'!H314</f>
        <v/>
      </c>
      <c r="E310" s="66">
        <f>'Project Database'!I314</f>
        <v/>
      </c>
      <c r="F310" s="66">
        <f>'Project Database'!J314</f>
        <v/>
      </c>
      <c r="G310" s="66">
        <f>'Project Database'!K314</f>
        <v/>
      </c>
      <c r="H310" s="66">
        <f>'Project Database'!L314</f>
        <v/>
      </c>
      <c r="I310" s="66">
        <f>'Project Database'!M314</f>
        <v/>
      </c>
      <c r="J310" s="66">
        <f>'Project Database'!N314</f>
        <v/>
      </c>
      <c r="K310" s="66">
        <f>'Project Database'!O314</f>
        <v/>
      </c>
      <c r="L310" s="66">
        <f>'Project Database'!P314</f>
        <v/>
      </c>
      <c r="M310" s="66">
        <f>'Project Database'!Q314</f>
        <v/>
      </c>
      <c r="N310" s="66">
        <f>'Project Database'!R314</f>
        <v/>
      </c>
      <c r="O310" s="66">
        <f>'Project Database'!S314</f>
        <v/>
      </c>
      <c r="P310" s="66">
        <f>'Project Database'!T314</f>
        <v/>
      </c>
      <c r="Q310" s="66">
        <f>'Project Database'!U314</f>
        <v/>
      </c>
      <c r="R310" s="66">
        <f>'Project Database'!V314</f>
        <v/>
      </c>
      <c r="S310" s="66">
        <f>'Project Database'!W314</f>
        <v/>
      </c>
      <c r="T310" s="66">
        <f>'Project Database'!X314</f>
        <v/>
      </c>
      <c r="U310" s="67">
        <f>'Project Database'!Y314</f>
        <v/>
      </c>
      <c r="V310" s="66">
        <f>IF('Smart Search'!B13=1,IFERROR(1/'Smart Search'!H13,0),0)</f>
        <v/>
      </c>
      <c r="W310" s="66">
        <f>IF('Smart Search'!B13=1,IFERROR(1/'Smart Search'!H13,0),0)</f>
        <v/>
      </c>
      <c r="X310" s="66">
        <f>IF('Smart Search'!C13=1,IFERROR(1/'Smart Search'!H13,0),0)</f>
        <v/>
      </c>
      <c r="Y310" s="66">
        <f>IF('Smart Search'!C13=1,IFERROR(1/'Smart Search'!H13,0),0)</f>
        <v/>
      </c>
      <c r="Z310" s="66">
        <f>IF('Smart Search'!D13=1,IFERROR(1/'Smart Search'!H13,0),0)</f>
        <v/>
      </c>
      <c r="AA310" s="66">
        <f>IF('Smart Search'!D13=1,IFERROR(1/'Smart Search'!H13,0),0)</f>
        <v/>
      </c>
      <c r="AB310" s="66">
        <f>IF('Smart Search'!E13=1,IFERROR(1/'Smart Search'!H13,0),0)</f>
        <v/>
      </c>
      <c r="AC310" s="66">
        <f>IF('Smart Search'!E13=1,IFERROR(1/'Smart Search'!H13,0),0)</f>
        <v/>
      </c>
      <c r="AD310" s="66">
        <f>IF('Smart Search'!F13=1,IFERROR(1/'Smart Search'!H13,0),0)</f>
        <v/>
      </c>
      <c r="AE310" s="66">
        <f>IF('Smart Search'!F13=1,IFERROR(1/'Smart Search'!H13,0),0)</f>
        <v/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66">
        <f>AF310*V310</f>
        <v/>
      </c>
      <c r="AQ310" s="66">
        <f>AG310*W310</f>
        <v/>
      </c>
      <c r="AR310" s="66">
        <f>AH310*X310</f>
        <v/>
      </c>
      <c r="AS310" s="66">
        <f>AI310*Y310</f>
        <v/>
      </c>
      <c r="AT310" s="66">
        <f>AJ310*Z310</f>
        <v/>
      </c>
      <c r="AU310" s="66">
        <f>AK310*AA310</f>
        <v/>
      </c>
      <c r="AV310" s="66">
        <f>AL310*AB310</f>
        <v/>
      </c>
      <c r="AW310" s="66">
        <f>AM310*AC310</f>
        <v/>
      </c>
      <c r="AX310" s="66">
        <f>AN310*AD310</f>
        <v/>
      </c>
      <c r="AY310" s="66">
        <f>AO310*AE310</f>
        <v/>
      </c>
      <c r="AZ310" s="66">
        <f>'Project Database'!Z314</f>
        <v/>
      </c>
      <c r="BA310" s="66">
        <f>IF(OR(A310="",'Smart Search'!H13=0),"",MAX(0,BE310*BF310*MAX(0,1-BG310)))</f>
        <v/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66">
        <f>IF('Smart Search'!G13=1,IFERROR(1/'Smart Search'!H13,0),0)</f>
        <v/>
      </c>
      <c r="BD310" s="66">
        <f>BB310*BC310</f>
        <v/>
      </c>
      <c r="BE310" s="66">
        <f>AP310+AQ310+AR310+AS310+AT310+AU310+AV310+AW310+AX310+AY310+BD310</f>
        <v/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5">
        <f>IF(AND('Project Database'!A314&lt;&gt;"",OR('Smart Search'!$L$5="",'Smart Search'!$L$5="All",TRIM('Project Database'!D314)=TRIM('Smart Search'!$L$5)),OR(TRIM('Smart Search'!$L$6)="",TRIM('Smart Search'!$L$6)="All",ISNUMBER(SEARCH(SUBSTITUTE(SUBSTITUTE(SUBSTITUTE(TRIM('Smart Search'!$L$6),"~","~~"),"*","~*"),"?","~?"),'Project Database'!C314))),OR('Smart Search'!$L$7="",AND('Project Database'!E314&lt;&gt;"",'Project Database'!E314='Smart Search'!$L$7)),OR('Smart Search'!$L$8="",'Smart Search'!$L$8="All",TRIM('Project Database'!F314)=TRIM('Smart Search'!$L$8))),IF(BA310="","",BA310+ROW()*0.0000000001),"")</f>
        <v/>
      </c>
      <c r="BI310" s="5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>
        <f>IF('Project Database'!A314="","",N('Project Database'!AC314))</f>
        <v/>
      </c>
      <c r="BK310" s="5">
        <f>IF('Project Database'!A314="","",N('Project Database'!AD314))</f>
        <v/>
      </c>
      <c r="BL310" s="5">
        <f>IF('Project Database'!A314="","",N('Project Database'!AE314))</f>
        <v/>
      </c>
      <c r="BM310" s="5">
        <f>IF('Project Database'!A314="","",N('Project Database'!AF314))</f>
        <v/>
      </c>
      <c r="BN310" s="5">
        <f>IF('Project Database'!A314="","",N('Project Database'!AG314))</f>
        <v/>
      </c>
      <c r="BO310" s="5">
        <f>IF('Project Database'!A314="","",N('Project Database'!AH314))</f>
        <v/>
      </c>
      <c r="BP310" s="5">
        <f>IF('Project Database'!A314="","",N('Project Database'!AI314))</f>
        <v/>
      </c>
      <c r="BQ310" s="5">
        <f>IF('Project Database'!A314="","",N('Project Database'!AJ314))</f>
        <v/>
      </c>
      <c r="BR310" s="5">
        <f>IF('Project Database'!A314="","",N('Project Database'!AK314))</f>
        <v/>
      </c>
      <c r="BS310" s="5">
        <f>IF('Project Database'!A314="","",N('Project Database'!AL314))</f>
        <v/>
      </c>
      <c r="BT310" s="5">
        <f>IF('Project Database'!A314="","",N('Project Database'!AM314))</f>
        <v/>
      </c>
      <c r="BU310" s="5">
        <f>IF('Project Database'!A314="","",N('Project Database'!AN314))</f>
        <v/>
      </c>
      <c r="BV310" s="5">
        <f>IF('Project Database'!A314="","",N('Project Database'!AO314))</f>
        <v/>
      </c>
      <c r="BW310" s="5">
        <f>IF('Project Database'!A314="","",N('Project Database'!AP314))</f>
        <v/>
      </c>
      <c r="BX310" s="5">
        <f>IF(A310="","",SUM(BJ310:BW310))</f>
        <v/>
      </c>
      <c r="BY310" s="5">
        <f>IF(A310="","",IFERROR(IF(ISNUMBER(U310),U310,VALUE(SUBSTITUTE(SUBSTITUTE(SUBSTITUTE(UPPER(TRIM(U310)),"M",""),",","")," ",""))),0))</f>
        <v/>
      </c>
    </row>
    <row r="311" ht="15" customHeight="1" s="74">
      <c r="A311" s="66">
        <f>'Project Database'!A315</f>
        <v/>
      </c>
      <c r="B311" s="66">
        <f>'Project Database'!B315</f>
        <v/>
      </c>
      <c r="C311" s="66">
        <f>'Project Database'!G315</f>
        <v/>
      </c>
      <c r="D311" s="66">
        <f>'Project Database'!H315</f>
        <v/>
      </c>
      <c r="E311" s="66">
        <f>'Project Database'!I315</f>
        <v/>
      </c>
      <c r="F311" s="66">
        <f>'Project Database'!J315</f>
        <v/>
      </c>
      <c r="G311" s="66">
        <f>'Project Database'!K315</f>
        <v/>
      </c>
      <c r="H311" s="66">
        <f>'Project Database'!L315</f>
        <v/>
      </c>
      <c r="I311" s="66">
        <f>'Project Database'!M315</f>
        <v/>
      </c>
      <c r="J311" s="66">
        <f>'Project Database'!N315</f>
        <v/>
      </c>
      <c r="K311" s="66">
        <f>'Project Database'!O315</f>
        <v/>
      </c>
      <c r="L311" s="66">
        <f>'Project Database'!P315</f>
        <v/>
      </c>
      <c r="M311" s="66">
        <f>'Project Database'!Q315</f>
        <v/>
      </c>
      <c r="N311" s="66">
        <f>'Project Database'!R315</f>
        <v/>
      </c>
      <c r="O311" s="66">
        <f>'Project Database'!S315</f>
        <v/>
      </c>
      <c r="P311" s="66">
        <f>'Project Database'!T315</f>
        <v/>
      </c>
      <c r="Q311" s="66">
        <f>'Project Database'!U315</f>
        <v/>
      </c>
      <c r="R311" s="66">
        <f>'Project Database'!V315</f>
        <v/>
      </c>
      <c r="S311" s="66">
        <f>'Project Database'!W315</f>
        <v/>
      </c>
      <c r="T311" s="66">
        <f>'Project Database'!X315</f>
        <v/>
      </c>
      <c r="U311" s="67">
        <f>'Project Database'!Y315</f>
        <v/>
      </c>
      <c r="V311" s="66">
        <f>IF('Smart Search'!B13=1,IFERROR(1/'Smart Search'!H13,0),0)</f>
        <v/>
      </c>
      <c r="W311" s="66">
        <f>IF('Smart Search'!B13=1,IFERROR(1/'Smart Search'!H13,0),0)</f>
        <v/>
      </c>
      <c r="X311" s="66">
        <f>IF('Smart Search'!C13=1,IFERROR(1/'Smart Search'!H13,0),0)</f>
        <v/>
      </c>
      <c r="Y311" s="66">
        <f>IF('Smart Search'!C13=1,IFERROR(1/'Smart Search'!H13,0),0)</f>
        <v/>
      </c>
      <c r="Z311" s="66">
        <f>IF('Smart Search'!D13=1,IFERROR(1/'Smart Search'!H13,0),0)</f>
        <v/>
      </c>
      <c r="AA311" s="66">
        <f>IF('Smart Search'!D13=1,IFERROR(1/'Smart Search'!H13,0),0)</f>
        <v/>
      </c>
      <c r="AB311" s="66">
        <f>IF('Smart Search'!E13=1,IFERROR(1/'Smart Search'!H13,0),0)</f>
        <v/>
      </c>
      <c r="AC311" s="66">
        <f>IF('Smart Search'!E13=1,IFERROR(1/'Smart Search'!H13,0),0)</f>
        <v/>
      </c>
      <c r="AD311" s="66">
        <f>IF('Smart Search'!F13=1,IFERROR(1/'Smart Search'!H13,0),0)</f>
        <v/>
      </c>
      <c r="AE311" s="66">
        <f>IF('Smart Search'!F13=1,IFERROR(1/'Smart Search'!H13,0),0)</f>
        <v/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66">
        <f>AF311*V311</f>
        <v/>
      </c>
      <c r="AQ311" s="66">
        <f>AG311*W311</f>
        <v/>
      </c>
      <c r="AR311" s="66">
        <f>AH311*X311</f>
        <v/>
      </c>
      <c r="AS311" s="66">
        <f>AI311*Y311</f>
        <v/>
      </c>
      <c r="AT311" s="66">
        <f>AJ311*Z311</f>
        <v/>
      </c>
      <c r="AU311" s="66">
        <f>AK311*AA311</f>
        <v/>
      </c>
      <c r="AV311" s="66">
        <f>AL311*AB311</f>
        <v/>
      </c>
      <c r="AW311" s="66">
        <f>AM311*AC311</f>
        <v/>
      </c>
      <c r="AX311" s="66">
        <f>AN311*AD311</f>
        <v/>
      </c>
      <c r="AY311" s="66">
        <f>AO311*AE311</f>
        <v/>
      </c>
      <c r="AZ311" s="66">
        <f>'Project Database'!Z315</f>
        <v/>
      </c>
      <c r="BA311" s="66">
        <f>IF(OR(A311="",'Smart Search'!H13=0),"",MAX(0,BE311*BF311*MAX(0,1-BG311)))</f>
        <v/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66">
        <f>IF('Smart Search'!G13=1,IFERROR(1/'Smart Search'!H13,0),0)</f>
        <v/>
      </c>
      <c r="BD311" s="66">
        <f>BB311*BC311</f>
        <v/>
      </c>
      <c r="BE311" s="66">
        <f>AP311+AQ311+AR311+AS311+AT311+AU311+AV311+AW311+AX311+AY311+BD311</f>
        <v/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5">
        <f>IF(AND('Project Database'!A315&lt;&gt;"",OR('Smart Search'!$L$5="",'Smart Search'!$L$5="All",TRIM('Project Database'!D315)=TRIM('Smart Search'!$L$5)),OR(TRIM('Smart Search'!$L$6)="",TRIM('Smart Search'!$L$6)="All",ISNUMBER(SEARCH(SUBSTITUTE(SUBSTITUTE(SUBSTITUTE(TRIM('Smart Search'!$L$6),"~","~~"),"*","~*"),"?","~?"),'Project Database'!C315))),OR('Smart Search'!$L$7="",AND('Project Database'!E315&lt;&gt;"",'Project Database'!E315='Smart Search'!$L$7)),OR('Smart Search'!$L$8="",'Smart Search'!$L$8="All",TRIM('Project Database'!F315)=TRIM('Smart Search'!$L$8))),IF(BA311="","",BA311+ROW()*0.0000000001),"")</f>
        <v/>
      </c>
      <c r="BI311" s="5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>
        <f>IF('Project Database'!A315="","",N('Project Database'!AC315))</f>
        <v/>
      </c>
      <c r="BK311" s="5">
        <f>IF('Project Database'!A315="","",N('Project Database'!AD315))</f>
        <v/>
      </c>
      <c r="BL311" s="5">
        <f>IF('Project Database'!A315="","",N('Project Database'!AE315))</f>
        <v/>
      </c>
      <c r="BM311" s="5">
        <f>IF('Project Database'!A315="","",N('Project Database'!AF315))</f>
        <v/>
      </c>
      <c r="BN311" s="5">
        <f>IF('Project Database'!A315="","",N('Project Database'!AG315))</f>
        <v/>
      </c>
      <c r="BO311" s="5">
        <f>IF('Project Database'!A315="","",N('Project Database'!AH315))</f>
        <v/>
      </c>
      <c r="BP311" s="5">
        <f>IF('Project Database'!A315="","",N('Project Database'!AI315))</f>
        <v/>
      </c>
      <c r="BQ311" s="5">
        <f>IF('Project Database'!A315="","",N('Project Database'!AJ315))</f>
        <v/>
      </c>
      <c r="BR311" s="5">
        <f>IF('Project Database'!A315="","",N('Project Database'!AK315))</f>
        <v/>
      </c>
      <c r="BS311" s="5">
        <f>IF('Project Database'!A315="","",N('Project Database'!AL315))</f>
        <v/>
      </c>
      <c r="BT311" s="5">
        <f>IF('Project Database'!A315="","",N('Project Database'!AM315))</f>
        <v/>
      </c>
      <c r="BU311" s="5">
        <f>IF('Project Database'!A315="","",N('Project Database'!AN315))</f>
        <v/>
      </c>
      <c r="BV311" s="5">
        <f>IF('Project Database'!A315="","",N('Project Database'!AO315))</f>
        <v/>
      </c>
      <c r="BW311" s="5">
        <f>IF('Project Database'!A315="","",N('Project Database'!AP315))</f>
        <v/>
      </c>
      <c r="BX311" s="5">
        <f>IF(A311="","",SUM(BJ311:BW311))</f>
        <v/>
      </c>
      <c r="BY311" s="5">
        <f>IF(A311="","",IFERROR(IF(ISNUMBER(U311),U311,VALUE(SUBSTITUTE(SUBSTITUTE(SUBSTITUTE(UPPER(TRIM(U311)),"M",""),",","")," ",""))),0))</f>
        <v/>
      </c>
    </row>
    <row r="312" ht="15" customHeight="1" s="74">
      <c r="A312" s="66">
        <f>'Project Database'!A316</f>
        <v/>
      </c>
      <c r="B312" s="66">
        <f>'Project Database'!B316</f>
        <v/>
      </c>
      <c r="C312" s="66">
        <f>'Project Database'!G316</f>
        <v/>
      </c>
      <c r="D312" s="66">
        <f>'Project Database'!H316</f>
        <v/>
      </c>
      <c r="E312" s="66">
        <f>'Project Database'!I316</f>
        <v/>
      </c>
      <c r="F312" s="66">
        <f>'Project Database'!J316</f>
        <v/>
      </c>
      <c r="G312" s="66">
        <f>'Project Database'!K316</f>
        <v/>
      </c>
      <c r="H312" s="66">
        <f>'Project Database'!L316</f>
        <v/>
      </c>
      <c r="I312" s="66">
        <f>'Project Database'!M316</f>
        <v/>
      </c>
      <c r="J312" s="66">
        <f>'Project Database'!N316</f>
        <v/>
      </c>
      <c r="K312" s="66">
        <f>'Project Database'!O316</f>
        <v/>
      </c>
      <c r="L312" s="66">
        <f>'Project Database'!P316</f>
        <v/>
      </c>
      <c r="M312" s="66">
        <f>'Project Database'!Q316</f>
        <v/>
      </c>
      <c r="N312" s="66">
        <f>'Project Database'!R316</f>
        <v/>
      </c>
      <c r="O312" s="66">
        <f>'Project Database'!S316</f>
        <v/>
      </c>
      <c r="P312" s="66">
        <f>'Project Database'!T316</f>
        <v/>
      </c>
      <c r="Q312" s="66">
        <f>'Project Database'!U316</f>
        <v/>
      </c>
      <c r="R312" s="66">
        <f>'Project Database'!V316</f>
        <v/>
      </c>
      <c r="S312" s="66">
        <f>'Project Database'!W316</f>
        <v/>
      </c>
      <c r="T312" s="66">
        <f>'Project Database'!X316</f>
        <v/>
      </c>
      <c r="U312" s="67">
        <f>'Project Database'!Y316</f>
        <v/>
      </c>
      <c r="V312" s="66">
        <f>IF('Smart Search'!B13=1,IFERROR(1/'Smart Search'!H13,0),0)</f>
        <v/>
      </c>
      <c r="W312" s="66">
        <f>IF('Smart Search'!B13=1,IFERROR(1/'Smart Search'!H13,0),0)</f>
        <v/>
      </c>
      <c r="X312" s="66">
        <f>IF('Smart Search'!C13=1,IFERROR(1/'Smart Search'!H13,0),0)</f>
        <v/>
      </c>
      <c r="Y312" s="66">
        <f>IF('Smart Search'!C13=1,IFERROR(1/'Smart Search'!H13,0),0)</f>
        <v/>
      </c>
      <c r="Z312" s="66">
        <f>IF('Smart Search'!D13=1,IFERROR(1/'Smart Search'!H13,0),0)</f>
        <v/>
      </c>
      <c r="AA312" s="66">
        <f>IF('Smart Search'!D13=1,IFERROR(1/'Smart Search'!H13,0),0)</f>
        <v/>
      </c>
      <c r="AB312" s="66">
        <f>IF('Smart Search'!E13=1,IFERROR(1/'Smart Search'!H13,0),0)</f>
        <v/>
      </c>
      <c r="AC312" s="66">
        <f>IF('Smart Search'!E13=1,IFERROR(1/'Smart Search'!H13,0),0)</f>
        <v/>
      </c>
      <c r="AD312" s="66">
        <f>IF('Smart Search'!F13=1,IFERROR(1/'Smart Search'!H13,0),0)</f>
        <v/>
      </c>
      <c r="AE312" s="66">
        <f>IF('Smart Search'!F13=1,IFERROR(1/'Smart Search'!H13,0),0)</f>
        <v/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66">
        <f>AF312*V312</f>
        <v/>
      </c>
      <c r="AQ312" s="66">
        <f>AG312*W312</f>
        <v/>
      </c>
      <c r="AR312" s="66">
        <f>AH312*X312</f>
        <v/>
      </c>
      <c r="AS312" s="66">
        <f>AI312*Y312</f>
        <v/>
      </c>
      <c r="AT312" s="66">
        <f>AJ312*Z312</f>
        <v/>
      </c>
      <c r="AU312" s="66">
        <f>AK312*AA312</f>
        <v/>
      </c>
      <c r="AV312" s="66">
        <f>AL312*AB312</f>
        <v/>
      </c>
      <c r="AW312" s="66">
        <f>AM312*AC312</f>
        <v/>
      </c>
      <c r="AX312" s="66">
        <f>AN312*AD312</f>
        <v/>
      </c>
      <c r="AY312" s="66">
        <f>AO312*AE312</f>
        <v/>
      </c>
      <c r="AZ312" s="66">
        <f>'Project Database'!Z316</f>
        <v/>
      </c>
      <c r="BA312" s="66">
        <f>IF(OR(A312="",'Smart Search'!H13=0),"",MAX(0,BE312*BF312*MAX(0,1-BG312)))</f>
        <v/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66">
        <f>IF('Smart Search'!G13=1,IFERROR(1/'Smart Search'!H13,0),0)</f>
        <v/>
      </c>
      <c r="BD312" s="66">
        <f>BB312*BC312</f>
        <v/>
      </c>
      <c r="BE312" s="66">
        <f>AP312+AQ312+AR312+AS312+AT312+AU312+AV312+AW312+AX312+AY312+BD312</f>
        <v/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5">
        <f>IF(AND('Project Database'!A316&lt;&gt;"",OR('Smart Search'!$L$5="",'Smart Search'!$L$5="All",TRIM('Project Database'!D316)=TRIM('Smart Search'!$L$5)),OR(TRIM('Smart Search'!$L$6)="",TRIM('Smart Search'!$L$6)="All",ISNUMBER(SEARCH(SUBSTITUTE(SUBSTITUTE(SUBSTITUTE(TRIM('Smart Search'!$L$6),"~","~~"),"*","~*"),"?","~?"),'Project Database'!C316))),OR('Smart Search'!$L$7="",AND('Project Database'!E316&lt;&gt;"",'Project Database'!E316='Smart Search'!$L$7)),OR('Smart Search'!$L$8="",'Smart Search'!$L$8="All",TRIM('Project Database'!F316)=TRIM('Smart Search'!$L$8))),IF(BA312="","",BA312+ROW()*0.0000000001),"")</f>
        <v/>
      </c>
      <c r="BI312" s="5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>
        <f>IF('Project Database'!A316="","",N('Project Database'!AC316))</f>
        <v/>
      </c>
      <c r="BK312" s="5">
        <f>IF('Project Database'!A316="","",N('Project Database'!AD316))</f>
        <v/>
      </c>
      <c r="BL312" s="5">
        <f>IF('Project Database'!A316="","",N('Project Database'!AE316))</f>
        <v/>
      </c>
      <c r="BM312" s="5">
        <f>IF('Project Database'!A316="","",N('Project Database'!AF316))</f>
        <v/>
      </c>
      <c r="BN312" s="5">
        <f>IF('Project Database'!A316="","",N('Project Database'!AG316))</f>
        <v/>
      </c>
      <c r="BO312" s="5">
        <f>IF('Project Database'!A316="","",N('Project Database'!AH316))</f>
        <v/>
      </c>
      <c r="BP312" s="5">
        <f>IF('Project Database'!A316="","",N('Project Database'!AI316))</f>
        <v/>
      </c>
      <c r="BQ312" s="5">
        <f>IF('Project Database'!A316="","",N('Project Database'!AJ316))</f>
        <v/>
      </c>
      <c r="BR312" s="5">
        <f>IF('Project Database'!A316="","",N('Project Database'!AK316))</f>
        <v/>
      </c>
      <c r="BS312" s="5">
        <f>IF('Project Database'!A316="","",N('Project Database'!AL316))</f>
        <v/>
      </c>
      <c r="BT312" s="5">
        <f>IF('Project Database'!A316="","",N('Project Database'!AM316))</f>
        <v/>
      </c>
      <c r="BU312" s="5">
        <f>IF('Project Database'!A316="","",N('Project Database'!AN316))</f>
        <v/>
      </c>
      <c r="BV312" s="5">
        <f>IF('Project Database'!A316="","",N('Project Database'!AO316))</f>
        <v/>
      </c>
      <c r="BW312" s="5">
        <f>IF('Project Database'!A316="","",N('Project Database'!AP316))</f>
        <v/>
      </c>
      <c r="BX312" s="5">
        <f>IF(A312="","",SUM(BJ312:BW312))</f>
        <v/>
      </c>
      <c r="BY312" s="5">
        <f>IF(A312="","",IFERROR(IF(ISNUMBER(U312),U312,VALUE(SUBSTITUTE(SUBSTITUTE(SUBSTITUTE(UPPER(TRIM(U312)),"M",""),",","")," ",""))),0))</f>
        <v/>
      </c>
    </row>
    <row r="313" ht="15" customHeight="1" s="74">
      <c r="A313" s="66">
        <f>'Project Database'!A317</f>
        <v/>
      </c>
      <c r="B313" s="66">
        <f>'Project Database'!B317</f>
        <v/>
      </c>
      <c r="C313" s="66">
        <f>'Project Database'!G317</f>
        <v/>
      </c>
      <c r="D313" s="66">
        <f>'Project Database'!H317</f>
        <v/>
      </c>
      <c r="E313" s="66">
        <f>'Project Database'!I317</f>
        <v/>
      </c>
      <c r="F313" s="66">
        <f>'Project Database'!J317</f>
        <v/>
      </c>
      <c r="G313" s="66">
        <f>'Project Database'!K317</f>
        <v/>
      </c>
      <c r="H313" s="66">
        <f>'Project Database'!L317</f>
        <v/>
      </c>
      <c r="I313" s="66">
        <f>'Project Database'!M317</f>
        <v/>
      </c>
      <c r="J313" s="66">
        <f>'Project Database'!N317</f>
        <v/>
      </c>
      <c r="K313" s="66">
        <f>'Project Database'!O317</f>
        <v/>
      </c>
      <c r="L313" s="66">
        <f>'Project Database'!P317</f>
        <v/>
      </c>
      <c r="M313" s="66">
        <f>'Project Database'!Q317</f>
        <v/>
      </c>
      <c r="N313" s="66">
        <f>'Project Database'!R317</f>
        <v/>
      </c>
      <c r="O313" s="66">
        <f>'Project Database'!S317</f>
        <v/>
      </c>
      <c r="P313" s="66">
        <f>'Project Database'!T317</f>
        <v/>
      </c>
      <c r="Q313" s="66">
        <f>'Project Database'!U317</f>
        <v/>
      </c>
      <c r="R313" s="66">
        <f>'Project Database'!V317</f>
        <v/>
      </c>
      <c r="S313" s="66">
        <f>'Project Database'!W317</f>
        <v/>
      </c>
      <c r="T313" s="66">
        <f>'Project Database'!X317</f>
        <v/>
      </c>
      <c r="U313" s="67">
        <f>'Project Database'!Y317</f>
        <v/>
      </c>
      <c r="V313" s="66">
        <f>IF('Smart Search'!B13=1,IFERROR(1/'Smart Search'!H13,0),0)</f>
        <v/>
      </c>
      <c r="W313" s="66">
        <f>IF('Smart Search'!B13=1,IFERROR(1/'Smart Search'!H13,0),0)</f>
        <v/>
      </c>
      <c r="X313" s="66">
        <f>IF('Smart Search'!C13=1,IFERROR(1/'Smart Search'!H13,0),0)</f>
        <v/>
      </c>
      <c r="Y313" s="66">
        <f>IF('Smart Search'!C13=1,IFERROR(1/'Smart Search'!H13,0),0)</f>
        <v/>
      </c>
      <c r="Z313" s="66">
        <f>IF('Smart Search'!D13=1,IFERROR(1/'Smart Search'!H13,0),0)</f>
        <v/>
      </c>
      <c r="AA313" s="66">
        <f>IF('Smart Search'!D13=1,IFERROR(1/'Smart Search'!H13,0),0)</f>
        <v/>
      </c>
      <c r="AB313" s="66">
        <f>IF('Smart Search'!E13=1,IFERROR(1/'Smart Search'!H13,0),0)</f>
        <v/>
      </c>
      <c r="AC313" s="66">
        <f>IF('Smart Search'!E13=1,IFERROR(1/'Smart Search'!H13,0),0)</f>
        <v/>
      </c>
      <c r="AD313" s="66">
        <f>IF('Smart Search'!F13=1,IFERROR(1/'Smart Search'!H13,0),0)</f>
        <v/>
      </c>
      <c r="AE313" s="66">
        <f>IF('Smart Search'!F13=1,IFERROR(1/'Smart Search'!H13,0),0)</f>
        <v/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66">
        <f>AF313*V313</f>
        <v/>
      </c>
      <c r="AQ313" s="66">
        <f>AG313*W313</f>
        <v/>
      </c>
      <c r="AR313" s="66">
        <f>AH313*X313</f>
        <v/>
      </c>
      <c r="AS313" s="66">
        <f>AI313*Y313</f>
        <v/>
      </c>
      <c r="AT313" s="66">
        <f>AJ313*Z313</f>
        <v/>
      </c>
      <c r="AU313" s="66">
        <f>AK313*AA313</f>
        <v/>
      </c>
      <c r="AV313" s="66">
        <f>AL313*AB313</f>
        <v/>
      </c>
      <c r="AW313" s="66">
        <f>AM313*AC313</f>
        <v/>
      </c>
      <c r="AX313" s="66">
        <f>AN313*AD313</f>
        <v/>
      </c>
      <c r="AY313" s="66">
        <f>AO313*AE313</f>
        <v/>
      </c>
      <c r="AZ313" s="66">
        <f>'Project Database'!Z317</f>
        <v/>
      </c>
      <c r="BA313" s="66">
        <f>IF(OR(A313="",'Smart Search'!H13=0),"",MAX(0,BE313*BF313*MAX(0,1-BG313)))</f>
        <v/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66">
        <f>IF('Smart Search'!G13=1,IFERROR(1/'Smart Search'!H13,0),0)</f>
        <v/>
      </c>
      <c r="BD313" s="66">
        <f>BB313*BC313</f>
        <v/>
      </c>
      <c r="BE313" s="66">
        <f>AP313+AQ313+AR313+AS313+AT313+AU313+AV313+AW313+AX313+AY313+BD313</f>
        <v/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5">
        <f>IF(AND('Project Database'!A317&lt;&gt;"",OR('Smart Search'!$L$5="",'Smart Search'!$L$5="All",TRIM('Project Database'!D317)=TRIM('Smart Search'!$L$5)),OR(TRIM('Smart Search'!$L$6)="",TRIM('Smart Search'!$L$6)="All",ISNUMBER(SEARCH(SUBSTITUTE(SUBSTITUTE(SUBSTITUTE(TRIM('Smart Search'!$L$6),"~","~~"),"*","~*"),"?","~?"),'Project Database'!C317))),OR('Smart Search'!$L$7="",AND('Project Database'!E317&lt;&gt;"",'Project Database'!E317='Smart Search'!$L$7)),OR('Smart Search'!$L$8="",'Smart Search'!$L$8="All",TRIM('Project Database'!F317)=TRIM('Smart Search'!$L$8))),IF(BA313="","",BA313+ROW()*0.0000000001),"")</f>
        <v/>
      </c>
      <c r="BI313" s="5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>
        <f>IF('Project Database'!A317="","",N('Project Database'!AC317))</f>
        <v/>
      </c>
      <c r="BK313" s="5">
        <f>IF('Project Database'!A317="","",N('Project Database'!AD317))</f>
        <v/>
      </c>
      <c r="BL313" s="5">
        <f>IF('Project Database'!A317="","",N('Project Database'!AE317))</f>
        <v/>
      </c>
      <c r="BM313" s="5">
        <f>IF('Project Database'!A317="","",N('Project Database'!AF317))</f>
        <v/>
      </c>
      <c r="BN313" s="5">
        <f>IF('Project Database'!A317="","",N('Project Database'!AG317))</f>
        <v/>
      </c>
      <c r="BO313" s="5">
        <f>IF('Project Database'!A317="","",N('Project Database'!AH317))</f>
        <v/>
      </c>
      <c r="BP313" s="5">
        <f>IF('Project Database'!A317="","",N('Project Database'!AI317))</f>
        <v/>
      </c>
      <c r="BQ313" s="5">
        <f>IF('Project Database'!A317="","",N('Project Database'!AJ317))</f>
        <v/>
      </c>
      <c r="BR313" s="5">
        <f>IF('Project Database'!A317="","",N('Project Database'!AK317))</f>
        <v/>
      </c>
      <c r="BS313" s="5">
        <f>IF('Project Database'!A317="","",N('Project Database'!AL317))</f>
        <v/>
      </c>
      <c r="BT313" s="5">
        <f>IF('Project Database'!A317="","",N('Project Database'!AM317))</f>
        <v/>
      </c>
      <c r="BU313" s="5">
        <f>IF('Project Database'!A317="","",N('Project Database'!AN317))</f>
        <v/>
      </c>
      <c r="BV313" s="5">
        <f>IF('Project Database'!A317="","",N('Project Database'!AO317))</f>
        <v/>
      </c>
      <c r="BW313" s="5">
        <f>IF('Project Database'!A317="","",N('Project Database'!AP317))</f>
        <v/>
      </c>
      <c r="BX313" s="5">
        <f>IF(A313="","",SUM(BJ313:BW313))</f>
        <v/>
      </c>
      <c r="BY313" s="5">
        <f>IF(A313="","",IFERROR(IF(ISNUMBER(U313),U313,VALUE(SUBSTITUTE(SUBSTITUTE(SUBSTITUTE(UPPER(TRIM(U313)),"M",""),",","")," ",""))),0))</f>
        <v/>
      </c>
    </row>
    <row r="314" ht="15" customHeight="1" s="74">
      <c r="A314" s="66">
        <f>'Project Database'!A318</f>
        <v/>
      </c>
      <c r="B314" s="66">
        <f>'Project Database'!B318</f>
        <v/>
      </c>
      <c r="C314" s="66">
        <f>'Project Database'!G318</f>
        <v/>
      </c>
      <c r="D314" s="66">
        <f>'Project Database'!H318</f>
        <v/>
      </c>
      <c r="E314" s="66">
        <f>'Project Database'!I318</f>
        <v/>
      </c>
      <c r="F314" s="66">
        <f>'Project Database'!J318</f>
        <v/>
      </c>
      <c r="G314" s="66">
        <f>'Project Database'!K318</f>
        <v/>
      </c>
      <c r="H314" s="66">
        <f>'Project Database'!L318</f>
        <v/>
      </c>
      <c r="I314" s="66">
        <f>'Project Database'!M318</f>
        <v/>
      </c>
      <c r="J314" s="66">
        <f>'Project Database'!N318</f>
        <v/>
      </c>
      <c r="K314" s="66">
        <f>'Project Database'!O318</f>
        <v/>
      </c>
      <c r="L314" s="66">
        <f>'Project Database'!P318</f>
        <v/>
      </c>
      <c r="M314" s="66">
        <f>'Project Database'!Q318</f>
        <v/>
      </c>
      <c r="N314" s="66">
        <f>'Project Database'!R318</f>
        <v/>
      </c>
      <c r="O314" s="66">
        <f>'Project Database'!S318</f>
        <v/>
      </c>
      <c r="P314" s="66">
        <f>'Project Database'!T318</f>
        <v/>
      </c>
      <c r="Q314" s="66">
        <f>'Project Database'!U318</f>
        <v/>
      </c>
      <c r="R314" s="66">
        <f>'Project Database'!V318</f>
        <v/>
      </c>
      <c r="S314" s="66">
        <f>'Project Database'!W318</f>
        <v/>
      </c>
      <c r="T314" s="66">
        <f>'Project Database'!X318</f>
        <v/>
      </c>
      <c r="U314" s="67">
        <f>'Project Database'!Y318</f>
        <v/>
      </c>
      <c r="V314" s="66">
        <f>IF('Smart Search'!B13=1,IFERROR(1/'Smart Search'!H13,0),0)</f>
        <v/>
      </c>
      <c r="W314" s="66">
        <f>IF('Smart Search'!B13=1,IFERROR(1/'Smart Search'!H13,0),0)</f>
        <v/>
      </c>
      <c r="X314" s="66">
        <f>IF('Smart Search'!C13=1,IFERROR(1/'Smart Search'!H13,0),0)</f>
        <v/>
      </c>
      <c r="Y314" s="66">
        <f>IF('Smart Search'!C13=1,IFERROR(1/'Smart Search'!H13,0),0)</f>
        <v/>
      </c>
      <c r="Z314" s="66">
        <f>IF('Smart Search'!D13=1,IFERROR(1/'Smart Search'!H13,0),0)</f>
        <v/>
      </c>
      <c r="AA314" s="66">
        <f>IF('Smart Search'!D13=1,IFERROR(1/'Smart Search'!H13,0),0)</f>
        <v/>
      </c>
      <c r="AB314" s="66">
        <f>IF('Smart Search'!E13=1,IFERROR(1/'Smart Search'!H13,0),0)</f>
        <v/>
      </c>
      <c r="AC314" s="66">
        <f>IF('Smart Search'!E13=1,IFERROR(1/'Smart Search'!H13,0),0)</f>
        <v/>
      </c>
      <c r="AD314" s="66">
        <f>IF('Smart Search'!F13=1,IFERROR(1/'Smart Search'!H13,0),0)</f>
        <v/>
      </c>
      <c r="AE314" s="66">
        <f>IF('Smart Search'!F13=1,IFERROR(1/'Smart Search'!H13,0),0)</f>
        <v/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66">
        <f>AF314*V314</f>
        <v/>
      </c>
      <c r="AQ314" s="66">
        <f>AG314*W314</f>
        <v/>
      </c>
      <c r="AR314" s="66">
        <f>AH314*X314</f>
        <v/>
      </c>
      <c r="AS314" s="66">
        <f>AI314*Y314</f>
        <v/>
      </c>
      <c r="AT314" s="66">
        <f>AJ314*Z314</f>
        <v/>
      </c>
      <c r="AU314" s="66">
        <f>AK314*AA314</f>
        <v/>
      </c>
      <c r="AV314" s="66">
        <f>AL314*AB314</f>
        <v/>
      </c>
      <c r="AW314" s="66">
        <f>AM314*AC314</f>
        <v/>
      </c>
      <c r="AX314" s="66">
        <f>AN314*AD314</f>
        <v/>
      </c>
      <c r="AY314" s="66">
        <f>AO314*AE314</f>
        <v/>
      </c>
      <c r="AZ314" s="66">
        <f>'Project Database'!Z318</f>
        <v/>
      </c>
      <c r="BA314" s="66">
        <f>IF(OR(A314="",'Smart Search'!H13=0),"",MAX(0,BE314*BF314*MAX(0,1-BG314)))</f>
        <v/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66">
        <f>IF('Smart Search'!G13=1,IFERROR(1/'Smart Search'!H13,0),0)</f>
        <v/>
      </c>
      <c r="BD314" s="66">
        <f>BB314*BC314</f>
        <v/>
      </c>
      <c r="BE314" s="66">
        <f>AP314+AQ314+AR314+AS314+AT314+AU314+AV314+AW314+AX314+AY314+BD314</f>
        <v/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5">
        <f>IF(AND('Project Database'!A318&lt;&gt;"",OR('Smart Search'!$L$5="",'Smart Search'!$L$5="All",TRIM('Project Database'!D318)=TRIM('Smart Search'!$L$5)),OR(TRIM('Smart Search'!$L$6)="",TRIM('Smart Search'!$L$6)="All",ISNUMBER(SEARCH(SUBSTITUTE(SUBSTITUTE(SUBSTITUTE(TRIM('Smart Search'!$L$6),"~","~~"),"*","~*"),"?","~?"),'Project Database'!C318))),OR('Smart Search'!$L$7="",AND('Project Database'!E318&lt;&gt;"",'Project Database'!E318='Smart Search'!$L$7)),OR('Smart Search'!$L$8="",'Smart Search'!$L$8="All",TRIM('Project Database'!F318)=TRIM('Smart Search'!$L$8))),IF(BA314="","",BA314+ROW()*0.0000000001),"")</f>
        <v/>
      </c>
      <c r="BI314" s="5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>
        <f>IF('Project Database'!A318="","",N('Project Database'!AC318))</f>
        <v/>
      </c>
      <c r="BK314" s="5">
        <f>IF('Project Database'!A318="","",N('Project Database'!AD318))</f>
        <v/>
      </c>
      <c r="BL314" s="5">
        <f>IF('Project Database'!A318="","",N('Project Database'!AE318))</f>
        <v/>
      </c>
      <c r="BM314" s="5">
        <f>IF('Project Database'!A318="","",N('Project Database'!AF318))</f>
        <v/>
      </c>
      <c r="BN314" s="5">
        <f>IF('Project Database'!A318="","",N('Project Database'!AG318))</f>
        <v/>
      </c>
      <c r="BO314" s="5">
        <f>IF('Project Database'!A318="","",N('Project Database'!AH318))</f>
        <v/>
      </c>
      <c r="BP314" s="5">
        <f>IF('Project Database'!A318="","",N('Project Database'!AI318))</f>
        <v/>
      </c>
      <c r="BQ314" s="5">
        <f>IF('Project Database'!A318="","",N('Project Database'!AJ318))</f>
        <v/>
      </c>
      <c r="BR314" s="5">
        <f>IF('Project Database'!A318="","",N('Project Database'!AK318))</f>
        <v/>
      </c>
      <c r="BS314" s="5">
        <f>IF('Project Database'!A318="","",N('Project Database'!AL318))</f>
        <v/>
      </c>
      <c r="BT314" s="5">
        <f>IF('Project Database'!A318="","",N('Project Database'!AM318))</f>
        <v/>
      </c>
      <c r="BU314" s="5">
        <f>IF('Project Database'!A318="","",N('Project Database'!AN318))</f>
        <v/>
      </c>
      <c r="BV314" s="5">
        <f>IF('Project Database'!A318="","",N('Project Database'!AO318))</f>
        <v/>
      </c>
      <c r="BW314" s="5">
        <f>IF('Project Database'!A318="","",N('Project Database'!AP318))</f>
        <v/>
      </c>
      <c r="BX314" s="5">
        <f>IF(A314="","",SUM(BJ314:BW314))</f>
        <v/>
      </c>
      <c r="BY314" s="5">
        <f>IF(A314="","",IFERROR(IF(ISNUMBER(U314),U314,VALUE(SUBSTITUTE(SUBSTITUTE(SUBSTITUTE(UPPER(TRIM(U314)),"M",""),",","")," ",""))),0))</f>
        <v/>
      </c>
    </row>
    <row r="315" ht="15" customHeight="1" s="74">
      <c r="A315" s="66">
        <f>'Project Database'!A319</f>
        <v/>
      </c>
      <c r="B315" s="66">
        <f>'Project Database'!B319</f>
        <v/>
      </c>
      <c r="C315" s="66">
        <f>'Project Database'!G319</f>
        <v/>
      </c>
      <c r="D315" s="66">
        <f>'Project Database'!H319</f>
        <v/>
      </c>
      <c r="E315" s="66">
        <f>'Project Database'!I319</f>
        <v/>
      </c>
      <c r="F315" s="66">
        <f>'Project Database'!J319</f>
        <v/>
      </c>
      <c r="G315" s="66">
        <f>'Project Database'!K319</f>
        <v/>
      </c>
      <c r="H315" s="66">
        <f>'Project Database'!L319</f>
        <v/>
      </c>
      <c r="I315" s="66">
        <f>'Project Database'!M319</f>
        <v/>
      </c>
      <c r="J315" s="66">
        <f>'Project Database'!N319</f>
        <v/>
      </c>
      <c r="K315" s="66">
        <f>'Project Database'!O319</f>
        <v/>
      </c>
      <c r="L315" s="66">
        <f>'Project Database'!P319</f>
        <v/>
      </c>
      <c r="M315" s="66">
        <f>'Project Database'!Q319</f>
        <v/>
      </c>
      <c r="N315" s="66">
        <f>'Project Database'!R319</f>
        <v/>
      </c>
      <c r="O315" s="66">
        <f>'Project Database'!S319</f>
        <v/>
      </c>
      <c r="P315" s="66">
        <f>'Project Database'!T319</f>
        <v/>
      </c>
      <c r="Q315" s="66">
        <f>'Project Database'!U319</f>
        <v/>
      </c>
      <c r="R315" s="66">
        <f>'Project Database'!V319</f>
        <v/>
      </c>
      <c r="S315" s="66">
        <f>'Project Database'!W319</f>
        <v/>
      </c>
      <c r="T315" s="66">
        <f>'Project Database'!X319</f>
        <v/>
      </c>
      <c r="U315" s="67">
        <f>'Project Database'!Y319</f>
        <v/>
      </c>
      <c r="V315" s="66">
        <f>IF('Smart Search'!B13=1,IFERROR(1/'Smart Search'!H13,0),0)</f>
        <v/>
      </c>
      <c r="W315" s="66">
        <f>IF('Smart Search'!B13=1,IFERROR(1/'Smart Search'!H13,0),0)</f>
        <v/>
      </c>
      <c r="X315" s="66">
        <f>IF('Smart Search'!C13=1,IFERROR(1/'Smart Search'!H13,0),0)</f>
        <v/>
      </c>
      <c r="Y315" s="66">
        <f>IF('Smart Search'!C13=1,IFERROR(1/'Smart Search'!H13,0),0)</f>
        <v/>
      </c>
      <c r="Z315" s="66">
        <f>IF('Smart Search'!D13=1,IFERROR(1/'Smart Search'!H13,0),0)</f>
        <v/>
      </c>
      <c r="AA315" s="66">
        <f>IF('Smart Search'!D13=1,IFERROR(1/'Smart Search'!H13,0),0)</f>
        <v/>
      </c>
      <c r="AB315" s="66">
        <f>IF('Smart Search'!E13=1,IFERROR(1/'Smart Search'!H13,0),0)</f>
        <v/>
      </c>
      <c r="AC315" s="66">
        <f>IF('Smart Search'!E13=1,IFERROR(1/'Smart Search'!H13,0),0)</f>
        <v/>
      </c>
      <c r="AD315" s="66">
        <f>IF('Smart Search'!F13=1,IFERROR(1/'Smart Search'!H13,0),0)</f>
        <v/>
      </c>
      <c r="AE315" s="66">
        <f>IF('Smart Search'!F13=1,IFERROR(1/'Smart Search'!H13,0),0)</f>
        <v/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66">
        <f>AF315*V315</f>
        <v/>
      </c>
      <c r="AQ315" s="66">
        <f>AG315*W315</f>
        <v/>
      </c>
      <c r="AR315" s="66">
        <f>AH315*X315</f>
        <v/>
      </c>
      <c r="AS315" s="66">
        <f>AI315*Y315</f>
        <v/>
      </c>
      <c r="AT315" s="66">
        <f>AJ315*Z315</f>
        <v/>
      </c>
      <c r="AU315" s="66">
        <f>AK315*AA315</f>
        <v/>
      </c>
      <c r="AV315" s="66">
        <f>AL315*AB315</f>
        <v/>
      </c>
      <c r="AW315" s="66">
        <f>AM315*AC315</f>
        <v/>
      </c>
      <c r="AX315" s="66">
        <f>AN315*AD315</f>
        <v/>
      </c>
      <c r="AY315" s="66">
        <f>AO315*AE315</f>
        <v/>
      </c>
      <c r="AZ315" s="66">
        <f>'Project Database'!Z319</f>
        <v/>
      </c>
      <c r="BA315" s="66">
        <f>IF(OR(A315="",'Smart Search'!H13=0),"",MAX(0,BE315*BF315*MAX(0,1-BG315)))</f>
        <v/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66">
        <f>IF('Smart Search'!G13=1,IFERROR(1/'Smart Search'!H13,0),0)</f>
        <v/>
      </c>
      <c r="BD315" s="66">
        <f>BB315*BC315</f>
        <v/>
      </c>
      <c r="BE315" s="66">
        <f>AP315+AQ315+AR315+AS315+AT315+AU315+AV315+AW315+AX315+AY315+BD315</f>
        <v/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5">
        <f>IF(AND('Project Database'!A319&lt;&gt;"",OR('Smart Search'!$L$5="",'Smart Search'!$L$5="All",TRIM('Project Database'!D319)=TRIM('Smart Search'!$L$5)),OR(TRIM('Smart Search'!$L$6)="",TRIM('Smart Search'!$L$6)="All",ISNUMBER(SEARCH(SUBSTITUTE(SUBSTITUTE(SUBSTITUTE(TRIM('Smart Search'!$L$6),"~","~~"),"*","~*"),"?","~?"),'Project Database'!C319))),OR('Smart Search'!$L$7="",AND('Project Database'!E319&lt;&gt;"",'Project Database'!E319='Smart Search'!$L$7)),OR('Smart Search'!$L$8="",'Smart Search'!$L$8="All",TRIM('Project Database'!F319)=TRIM('Smart Search'!$L$8))),IF(BA315="","",BA315+ROW()*0.0000000001),"")</f>
        <v/>
      </c>
      <c r="BI315" s="5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>
        <f>IF('Project Database'!A319="","",N('Project Database'!AC319))</f>
        <v/>
      </c>
      <c r="BK315" s="5">
        <f>IF('Project Database'!A319="","",N('Project Database'!AD319))</f>
        <v/>
      </c>
      <c r="BL315" s="5">
        <f>IF('Project Database'!A319="","",N('Project Database'!AE319))</f>
        <v/>
      </c>
      <c r="BM315" s="5">
        <f>IF('Project Database'!A319="","",N('Project Database'!AF319))</f>
        <v/>
      </c>
      <c r="BN315" s="5">
        <f>IF('Project Database'!A319="","",N('Project Database'!AG319))</f>
        <v/>
      </c>
      <c r="BO315" s="5">
        <f>IF('Project Database'!A319="","",N('Project Database'!AH319))</f>
        <v/>
      </c>
      <c r="BP315" s="5">
        <f>IF('Project Database'!A319="","",N('Project Database'!AI319))</f>
        <v/>
      </c>
      <c r="BQ315" s="5">
        <f>IF('Project Database'!A319="","",N('Project Database'!AJ319))</f>
        <v/>
      </c>
      <c r="BR315" s="5">
        <f>IF('Project Database'!A319="","",N('Project Database'!AK319))</f>
        <v/>
      </c>
      <c r="BS315" s="5">
        <f>IF('Project Database'!A319="","",N('Project Database'!AL319))</f>
        <v/>
      </c>
      <c r="BT315" s="5">
        <f>IF('Project Database'!A319="","",N('Project Database'!AM319))</f>
        <v/>
      </c>
      <c r="BU315" s="5">
        <f>IF('Project Database'!A319="","",N('Project Database'!AN319))</f>
        <v/>
      </c>
      <c r="BV315" s="5">
        <f>IF('Project Database'!A319="","",N('Project Database'!AO319))</f>
        <v/>
      </c>
      <c r="BW315" s="5">
        <f>IF('Project Database'!A319="","",N('Project Database'!AP319))</f>
        <v/>
      </c>
      <c r="BX315" s="5">
        <f>IF(A315="","",SUM(BJ315:BW315))</f>
        <v/>
      </c>
      <c r="BY315" s="5">
        <f>IF(A315="","",IFERROR(IF(ISNUMBER(U315),U315,VALUE(SUBSTITUTE(SUBSTITUTE(SUBSTITUTE(UPPER(TRIM(U315)),"M",""),",","")," ",""))),0))</f>
        <v/>
      </c>
    </row>
    <row r="316" ht="15" customHeight="1" s="74">
      <c r="A316" s="66">
        <f>'Project Database'!A320</f>
        <v/>
      </c>
      <c r="B316" s="66">
        <f>'Project Database'!B320</f>
        <v/>
      </c>
      <c r="C316" s="66">
        <f>'Project Database'!G320</f>
        <v/>
      </c>
      <c r="D316" s="66">
        <f>'Project Database'!H320</f>
        <v/>
      </c>
      <c r="E316" s="66">
        <f>'Project Database'!I320</f>
        <v/>
      </c>
      <c r="F316" s="66">
        <f>'Project Database'!J320</f>
        <v/>
      </c>
      <c r="G316" s="66">
        <f>'Project Database'!K320</f>
        <v/>
      </c>
      <c r="H316" s="66">
        <f>'Project Database'!L320</f>
        <v/>
      </c>
      <c r="I316" s="66">
        <f>'Project Database'!M320</f>
        <v/>
      </c>
      <c r="J316" s="66">
        <f>'Project Database'!N320</f>
        <v/>
      </c>
      <c r="K316" s="66">
        <f>'Project Database'!O320</f>
        <v/>
      </c>
      <c r="L316" s="66">
        <f>'Project Database'!P320</f>
        <v/>
      </c>
      <c r="M316" s="66">
        <f>'Project Database'!Q320</f>
        <v/>
      </c>
      <c r="N316" s="66">
        <f>'Project Database'!R320</f>
        <v/>
      </c>
      <c r="O316" s="66">
        <f>'Project Database'!S320</f>
        <v/>
      </c>
      <c r="P316" s="66">
        <f>'Project Database'!T320</f>
        <v/>
      </c>
      <c r="Q316" s="66">
        <f>'Project Database'!U320</f>
        <v/>
      </c>
      <c r="R316" s="66">
        <f>'Project Database'!V320</f>
        <v/>
      </c>
      <c r="S316" s="66">
        <f>'Project Database'!W320</f>
        <v/>
      </c>
      <c r="T316" s="66">
        <f>'Project Database'!X320</f>
        <v/>
      </c>
      <c r="U316" s="67">
        <f>'Project Database'!Y320</f>
        <v/>
      </c>
      <c r="V316" s="66">
        <f>IF('Smart Search'!B13=1,IFERROR(1/'Smart Search'!H13,0),0)</f>
        <v/>
      </c>
      <c r="W316" s="66">
        <f>IF('Smart Search'!B13=1,IFERROR(1/'Smart Search'!H13,0),0)</f>
        <v/>
      </c>
      <c r="X316" s="66">
        <f>IF('Smart Search'!C13=1,IFERROR(1/'Smart Search'!H13,0),0)</f>
        <v/>
      </c>
      <c r="Y316" s="66">
        <f>IF('Smart Search'!C13=1,IFERROR(1/'Smart Search'!H13,0),0)</f>
        <v/>
      </c>
      <c r="Z316" s="66">
        <f>IF('Smart Search'!D13=1,IFERROR(1/'Smart Search'!H13,0),0)</f>
        <v/>
      </c>
      <c r="AA316" s="66">
        <f>IF('Smart Search'!D13=1,IFERROR(1/'Smart Search'!H13,0),0)</f>
        <v/>
      </c>
      <c r="AB316" s="66">
        <f>IF('Smart Search'!E13=1,IFERROR(1/'Smart Search'!H13,0),0)</f>
        <v/>
      </c>
      <c r="AC316" s="66">
        <f>IF('Smart Search'!E13=1,IFERROR(1/'Smart Search'!H13,0),0)</f>
        <v/>
      </c>
      <c r="AD316" s="66">
        <f>IF('Smart Search'!F13=1,IFERROR(1/'Smart Search'!H13,0),0)</f>
        <v/>
      </c>
      <c r="AE316" s="66">
        <f>IF('Smart Search'!F13=1,IFERROR(1/'Smart Search'!H13,0),0)</f>
        <v/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66">
        <f>AF316*V316</f>
        <v/>
      </c>
      <c r="AQ316" s="66">
        <f>AG316*W316</f>
        <v/>
      </c>
      <c r="AR316" s="66">
        <f>AH316*X316</f>
        <v/>
      </c>
      <c r="AS316" s="66">
        <f>AI316*Y316</f>
        <v/>
      </c>
      <c r="AT316" s="66">
        <f>AJ316*Z316</f>
        <v/>
      </c>
      <c r="AU316" s="66">
        <f>AK316*AA316</f>
        <v/>
      </c>
      <c r="AV316" s="66">
        <f>AL316*AB316</f>
        <v/>
      </c>
      <c r="AW316" s="66">
        <f>AM316*AC316</f>
        <v/>
      </c>
      <c r="AX316" s="66">
        <f>AN316*AD316</f>
        <v/>
      </c>
      <c r="AY316" s="66">
        <f>AO316*AE316</f>
        <v/>
      </c>
      <c r="AZ316" s="66">
        <f>'Project Database'!Z320</f>
        <v/>
      </c>
      <c r="BA316" s="66">
        <f>IF(OR(A316="",'Smart Search'!H13=0),"",MAX(0,BE316*BF316*MAX(0,1-BG316)))</f>
        <v/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66">
        <f>IF('Smart Search'!G13=1,IFERROR(1/'Smart Search'!H13,0),0)</f>
        <v/>
      </c>
      <c r="BD316" s="66">
        <f>BB316*BC316</f>
        <v/>
      </c>
      <c r="BE316" s="66">
        <f>AP316+AQ316+AR316+AS316+AT316+AU316+AV316+AW316+AX316+AY316+BD316</f>
        <v/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5">
        <f>IF(AND('Project Database'!A320&lt;&gt;"",OR('Smart Search'!$L$5="",'Smart Search'!$L$5="All",TRIM('Project Database'!D320)=TRIM('Smart Search'!$L$5)),OR(TRIM('Smart Search'!$L$6)="",TRIM('Smart Search'!$L$6)="All",ISNUMBER(SEARCH(SUBSTITUTE(SUBSTITUTE(SUBSTITUTE(TRIM('Smart Search'!$L$6),"~","~~"),"*","~*"),"?","~?"),'Project Database'!C320))),OR('Smart Search'!$L$7="",AND('Project Database'!E320&lt;&gt;"",'Project Database'!E320='Smart Search'!$L$7)),OR('Smart Search'!$L$8="",'Smart Search'!$L$8="All",TRIM('Project Database'!F320)=TRIM('Smart Search'!$L$8))),IF(BA316="","",BA316+ROW()*0.0000000001),"")</f>
        <v/>
      </c>
      <c r="BI316" s="5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>
        <f>IF('Project Database'!A320="","",N('Project Database'!AC320))</f>
        <v/>
      </c>
      <c r="BK316" s="5">
        <f>IF('Project Database'!A320="","",N('Project Database'!AD320))</f>
        <v/>
      </c>
      <c r="BL316" s="5">
        <f>IF('Project Database'!A320="","",N('Project Database'!AE320))</f>
        <v/>
      </c>
      <c r="BM316" s="5">
        <f>IF('Project Database'!A320="","",N('Project Database'!AF320))</f>
        <v/>
      </c>
      <c r="BN316" s="5">
        <f>IF('Project Database'!A320="","",N('Project Database'!AG320))</f>
        <v/>
      </c>
      <c r="BO316" s="5">
        <f>IF('Project Database'!A320="","",N('Project Database'!AH320))</f>
        <v/>
      </c>
      <c r="BP316" s="5">
        <f>IF('Project Database'!A320="","",N('Project Database'!AI320))</f>
        <v/>
      </c>
      <c r="BQ316" s="5">
        <f>IF('Project Database'!A320="","",N('Project Database'!AJ320))</f>
        <v/>
      </c>
      <c r="BR316" s="5">
        <f>IF('Project Database'!A320="","",N('Project Database'!AK320))</f>
        <v/>
      </c>
      <c r="BS316" s="5">
        <f>IF('Project Database'!A320="","",N('Project Database'!AL320))</f>
        <v/>
      </c>
      <c r="BT316" s="5">
        <f>IF('Project Database'!A320="","",N('Project Database'!AM320))</f>
        <v/>
      </c>
      <c r="BU316" s="5">
        <f>IF('Project Database'!A320="","",N('Project Database'!AN320))</f>
        <v/>
      </c>
      <c r="BV316" s="5">
        <f>IF('Project Database'!A320="","",N('Project Database'!AO320))</f>
        <v/>
      </c>
      <c r="BW316" s="5">
        <f>IF('Project Database'!A320="","",N('Project Database'!AP320))</f>
        <v/>
      </c>
      <c r="BX316" s="5">
        <f>IF(A316="","",SUM(BJ316:BW316))</f>
        <v/>
      </c>
      <c r="BY316" s="5">
        <f>IF(A316="","",IFERROR(IF(ISNUMBER(U316),U316,VALUE(SUBSTITUTE(SUBSTITUTE(SUBSTITUTE(UPPER(TRIM(U316)),"M",""),",","")," ",""))),0))</f>
        <v/>
      </c>
    </row>
    <row r="317" ht="15" customHeight="1" s="74">
      <c r="A317" s="66">
        <f>'Project Database'!A321</f>
        <v/>
      </c>
      <c r="B317" s="66">
        <f>'Project Database'!B321</f>
        <v/>
      </c>
      <c r="C317" s="66">
        <f>'Project Database'!G321</f>
        <v/>
      </c>
      <c r="D317" s="66">
        <f>'Project Database'!H321</f>
        <v/>
      </c>
      <c r="E317" s="66">
        <f>'Project Database'!I321</f>
        <v/>
      </c>
      <c r="F317" s="66">
        <f>'Project Database'!J321</f>
        <v/>
      </c>
      <c r="G317" s="66">
        <f>'Project Database'!K321</f>
        <v/>
      </c>
      <c r="H317" s="66">
        <f>'Project Database'!L321</f>
        <v/>
      </c>
      <c r="I317" s="66">
        <f>'Project Database'!M321</f>
        <v/>
      </c>
      <c r="J317" s="66">
        <f>'Project Database'!N321</f>
        <v/>
      </c>
      <c r="K317" s="66">
        <f>'Project Database'!O321</f>
        <v/>
      </c>
      <c r="L317" s="66">
        <f>'Project Database'!P321</f>
        <v/>
      </c>
      <c r="M317" s="66">
        <f>'Project Database'!Q321</f>
        <v/>
      </c>
      <c r="N317" s="66">
        <f>'Project Database'!R321</f>
        <v/>
      </c>
      <c r="O317" s="66">
        <f>'Project Database'!S321</f>
        <v/>
      </c>
      <c r="P317" s="66">
        <f>'Project Database'!T321</f>
        <v/>
      </c>
      <c r="Q317" s="66">
        <f>'Project Database'!U321</f>
        <v/>
      </c>
      <c r="R317" s="66">
        <f>'Project Database'!V321</f>
        <v/>
      </c>
      <c r="S317" s="66">
        <f>'Project Database'!W321</f>
        <v/>
      </c>
      <c r="T317" s="66">
        <f>'Project Database'!X321</f>
        <v/>
      </c>
      <c r="U317" s="67">
        <f>'Project Database'!Y321</f>
        <v/>
      </c>
      <c r="V317" s="66">
        <f>IF('Smart Search'!B13=1,IFERROR(1/'Smart Search'!H13,0),0)</f>
        <v/>
      </c>
      <c r="W317" s="66">
        <f>IF('Smart Search'!B13=1,IFERROR(1/'Smart Search'!H13,0),0)</f>
        <v/>
      </c>
      <c r="X317" s="66">
        <f>IF('Smart Search'!C13=1,IFERROR(1/'Smart Search'!H13,0),0)</f>
        <v/>
      </c>
      <c r="Y317" s="66">
        <f>IF('Smart Search'!C13=1,IFERROR(1/'Smart Search'!H13,0),0)</f>
        <v/>
      </c>
      <c r="Z317" s="66">
        <f>IF('Smart Search'!D13=1,IFERROR(1/'Smart Search'!H13,0),0)</f>
        <v/>
      </c>
      <c r="AA317" s="66">
        <f>IF('Smart Search'!D13=1,IFERROR(1/'Smart Search'!H13,0),0)</f>
        <v/>
      </c>
      <c r="AB317" s="66">
        <f>IF('Smart Search'!E13=1,IFERROR(1/'Smart Search'!H13,0),0)</f>
        <v/>
      </c>
      <c r="AC317" s="66">
        <f>IF('Smart Search'!E13=1,IFERROR(1/'Smart Search'!H13,0),0)</f>
        <v/>
      </c>
      <c r="AD317" s="66">
        <f>IF('Smart Search'!F13=1,IFERROR(1/'Smart Search'!H13,0),0)</f>
        <v/>
      </c>
      <c r="AE317" s="66">
        <f>IF('Smart Search'!F13=1,IFERROR(1/'Smart Search'!H13,0),0)</f>
        <v/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66">
        <f>AF317*V317</f>
        <v/>
      </c>
      <c r="AQ317" s="66">
        <f>AG317*W317</f>
        <v/>
      </c>
      <c r="AR317" s="66">
        <f>AH317*X317</f>
        <v/>
      </c>
      <c r="AS317" s="66">
        <f>AI317*Y317</f>
        <v/>
      </c>
      <c r="AT317" s="66">
        <f>AJ317*Z317</f>
        <v/>
      </c>
      <c r="AU317" s="66">
        <f>AK317*AA317</f>
        <v/>
      </c>
      <c r="AV317" s="66">
        <f>AL317*AB317</f>
        <v/>
      </c>
      <c r="AW317" s="66">
        <f>AM317*AC317</f>
        <v/>
      </c>
      <c r="AX317" s="66">
        <f>AN317*AD317</f>
        <v/>
      </c>
      <c r="AY317" s="66">
        <f>AO317*AE317</f>
        <v/>
      </c>
      <c r="AZ317" s="66">
        <f>'Project Database'!Z321</f>
        <v/>
      </c>
      <c r="BA317" s="66">
        <f>IF(OR(A317="",'Smart Search'!H13=0),"",MAX(0,BE317*BF317*MAX(0,1-BG317)))</f>
        <v/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66">
        <f>IF('Smart Search'!G13=1,IFERROR(1/'Smart Search'!H13,0),0)</f>
        <v/>
      </c>
      <c r="BD317" s="66">
        <f>BB317*BC317</f>
        <v/>
      </c>
      <c r="BE317" s="66">
        <f>AP317+AQ317+AR317+AS317+AT317+AU317+AV317+AW317+AX317+AY317+BD317</f>
        <v/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5">
        <f>IF(AND('Project Database'!A321&lt;&gt;"",OR('Smart Search'!$L$5="",'Smart Search'!$L$5="All",TRIM('Project Database'!D321)=TRIM('Smart Search'!$L$5)),OR(TRIM('Smart Search'!$L$6)="",TRIM('Smart Search'!$L$6)="All",ISNUMBER(SEARCH(SUBSTITUTE(SUBSTITUTE(SUBSTITUTE(TRIM('Smart Search'!$L$6),"~","~~"),"*","~*"),"?","~?"),'Project Database'!C321))),OR('Smart Search'!$L$7="",AND('Project Database'!E321&lt;&gt;"",'Project Database'!E321='Smart Search'!$L$7)),OR('Smart Search'!$L$8="",'Smart Search'!$L$8="All",TRIM('Project Database'!F321)=TRIM('Smart Search'!$L$8))),IF(BA317="","",BA317+ROW()*0.0000000001),"")</f>
        <v/>
      </c>
      <c r="BI317" s="5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>
        <f>IF('Project Database'!A321="","",N('Project Database'!AC321))</f>
        <v/>
      </c>
      <c r="BK317" s="5">
        <f>IF('Project Database'!A321="","",N('Project Database'!AD321))</f>
        <v/>
      </c>
      <c r="BL317" s="5">
        <f>IF('Project Database'!A321="","",N('Project Database'!AE321))</f>
        <v/>
      </c>
      <c r="BM317" s="5">
        <f>IF('Project Database'!A321="","",N('Project Database'!AF321))</f>
        <v/>
      </c>
      <c r="BN317" s="5">
        <f>IF('Project Database'!A321="","",N('Project Database'!AG321))</f>
        <v/>
      </c>
      <c r="BO317" s="5">
        <f>IF('Project Database'!A321="","",N('Project Database'!AH321))</f>
        <v/>
      </c>
      <c r="BP317" s="5">
        <f>IF('Project Database'!A321="","",N('Project Database'!AI321))</f>
        <v/>
      </c>
      <c r="BQ317" s="5">
        <f>IF('Project Database'!A321="","",N('Project Database'!AJ321))</f>
        <v/>
      </c>
      <c r="BR317" s="5">
        <f>IF('Project Database'!A321="","",N('Project Database'!AK321))</f>
        <v/>
      </c>
      <c r="BS317" s="5">
        <f>IF('Project Database'!A321="","",N('Project Database'!AL321))</f>
        <v/>
      </c>
      <c r="BT317" s="5">
        <f>IF('Project Database'!A321="","",N('Project Database'!AM321))</f>
        <v/>
      </c>
      <c r="BU317" s="5">
        <f>IF('Project Database'!A321="","",N('Project Database'!AN321))</f>
        <v/>
      </c>
      <c r="BV317" s="5">
        <f>IF('Project Database'!A321="","",N('Project Database'!AO321))</f>
        <v/>
      </c>
      <c r="BW317" s="5">
        <f>IF('Project Database'!A321="","",N('Project Database'!AP321))</f>
        <v/>
      </c>
      <c r="BX317" s="5">
        <f>IF(A317="","",SUM(BJ317:BW317))</f>
        <v/>
      </c>
      <c r="BY317" s="5">
        <f>IF(A317="","",IFERROR(IF(ISNUMBER(U317),U317,VALUE(SUBSTITUTE(SUBSTITUTE(SUBSTITUTE(UPPER(TRIM(U317)),"M",""),",","")," ",""))),0))</f>
        <v/>
      </c>
    </row>
    <row r="318" ht="15" customHeight="1" s="74">
      <c r="A318" s="66">
        <f>'Project Database'!A322</f>
        <v/>
      </c>
      <c r="B318" s="66">
        <f>'Project Database'!B322</f>
        <v/>
      </c>
      <c r="C318" s="66">
        <f>'Project Database'!G322</f>
        <v/>
      </c>
      <c r="D318" s="66">
        <f>'Project Database'!H322</f>
        <v/>
      </c>
      <c r="E318" s="66">
        <f>'Project Database'!I322</f>
        <v/>
      </c>
      <c r="F318" s="66">
        <f>'Project Database'!J322</f>
        <v/>
      </c>
      <c r="G318" s="66">
        <f>'Project Database'!K322</f>
        <v/>
      </c>
      <c r="H318" s="66">
        <f>'Project Database'!L322</f>
        <v/>
      </c>
      <c r="I318" s="66">
        <f>'Project Database'!M322</f>
        <v/>
      </c>
      <c r="J318" s="66">
        <f>'Project Database'!N322</f>
        <v/>
      </c>
      <c r="K318" s="66">
        <f>'Project Database'!O322</f>
        <v/>
      </c>
      <c r="L318" s="66">
        <f>'Project Database'!P322</f>
        <v/>
      </c>
      <c r="M318" s="66">
        <f>'Project Database'!Q322</f>
        <v/>
      </c>
      <c r="N318" s="66">
        <f>'Project Database'!R322</f>
        <v/>
      </c>
      <c r="O318" s="66">
        <f>'Project Database'!S322</f>
        <v/>
      </c>
      <c r="P318" s="66">
        <f>'Project Database'!T322</f>
        <v/>
      </c>
      <c r="Q318" s="66">
        <f>'Project Database'!U322</f>
        <v/>
      </c>
      <c r="R318" s="66">
        <f>'Project Database'!V322</f>
        <v/>
      </c>
      <c r="S318" s="66">
        <f>'Project Database'!W322</f>
        <v/>
      </c>
      <c r="T318" s="66">
        <f>'Project Database'!X322</f>
        <v/>
      </c>
      <c r="U318" s="67">
        <f>'Project Database'!Y322</f>
        <v/>
      </c>
      <c r="V318" s="66">
        <f>IF('Smart Search'!B13=1,IFERROR(1/'Smart Search'!H13,0),0)</f>
        <v/>
      </c>
      <c r="W318" s="66">
        <f>IF('Smart Search'!B13=1,IFERROR(1/'Smart Search'!H13,0),0)</f>
        <v/>
      </c>
      <c r="X318" s="66">
        <f>IF('Smart Search'!C13=1,IFERROR(1/'Smart Search'!H13,0),0)</f>
        <v/>
      </c>
      <c r="Y318" s="66">
        <f>IF('Smart Search'!C13=1,IFERROR(1/'Smart Search'!H13,0),0)</f>
        <v/>
      </c>
      <c r="Z318" s="66">
        <f>IF('Smart Search'!D13=1,IFERROR(1/'Smart Search'!H13,0),0)</f>
        <v/>
      </c>
      <c r="AA318" s="66">
        <f>IF('Smart Search'!D13=1,IFERROR(1/'Smart Search'!H13,0),0)</f>
        <v/>
      </c>
      <c r="AB318" s="66">
        <f>IF('Smart Search'!E13=1,IFERROR(1/'Smart Search'!H13,0),0)</f>
        <v/>
      </c>
      <c r="AC318" s="66">
        <f>IF('Smart Search'!E13=1,IFERROR(1/'Smart Search'!H13,0),0)</f>
        <v/>
      </c>
      <c r="AD318" s="66">
        <f>IF('Smart Search'!F13=1,IFERROR(1/'Smart Search'!H13,0),0)</f>
        <v/>
      </c>
      <c r="AE318" s="66">
        <f>IF('Smart Search'!F13=1,IFERROR(1/'Smart Search'!H13,0),0)</f>
        <v/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66">
        <f>AF318*V318</f>
        <v/>
      </c>
      <c r="AQ318" s="66">
        <f>AG318*W318</f>
        <v/>
      </c>
      <c r="AR318" s="66">
        <f>AH318*X318</f>
        <v/>
      </c>
      <c r="AS318" s="66">
        <f>AI318*Y318</f>
        <v/>
      </c>
      <c r="AT318" s="66">
        <f>AJ318*Z318</f>
        <v/>
      </c>
      <c r="AU318" s="66">
        <f>AK318*AA318</f>
        <v/>
      </c>
      <c r="AV318" s="66">
        <f>AL318*AB318</f>
        <v/>
      </c>
      <c r="AW318" s="66">
        <f>AM318*AC318</f>
        <v/>
      </c>
      <c r="AX318" s="66">
        <f>AN318*AD318</f>
        <v/>
      </c>
      <c r="AY318" s="66">
        <f>AO318*AE318</f>
        <v/>
      </c>
      <c r="AZ318" s="66">
        <f>'Project Database'!Z322</f>
        <v/>
      </c>
      <c r="BA318" s="66">
        <f>IF(OR(A318="",'Smart Search'!H13=0),"",MAX(0,BE318*BF318*MAX(0,1-BG318)))</f>
        <v/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66">
        <f>IF('Smart Search'!G13=1,IFERROR(1/'Smart Search'!H13,0),0)</f>
        <v/>
      </c>
      <c r="BD318" s="66">
        <f>BB318*BC318</f>
        <v/>
      </c>
      <c r="BE318" s="66">
        <f>AP318+AQ318+AR318+AS318+AT318+AU318+AV318+AW318+AX318+AY318+BD318</f>
        <v/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5">
        <f>IF(AND('Project Database'!A322&lt;&gt;"",OR('Smart Search'!$L$5="",'Smart Search'!$L$5="All",TRIM('Project Database'!D322)=TRIM('Smart Search'!$L$5)),OR(TRIM('Smart Search'!$L$6)="",TRIM('Smart Search'!$L$6)="All",ISNUMBER(SEARCH(SUBSTITUTE(SUBSTITUTE(SUBSTITUTE(TRIM('Smart Search'!$L$6),"~","~~"),"*","~*"),"?","~?"),'Project Database'!C322))),OR('Smart Search'!$L$7="",AND('Project Database'!E322&lt;&gt;"",'Project Database'!E322='Smart Search'!$L$7)),OR('Smart Search'!$L$8="",'Smart Search'!$L$8="All",TRIM('Project Database'!F322)=TRIM('Smart Search'!$L$8))),IF(BA318="","",BA318+ROW()*0.0000000001),"")</f>
        <v/>
      </c>
      <c r="BI318" s="5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>
        <f>IF('Project Database'!A322="","",N('Project Database'!AC322))</f>
        <v/>
      </c>
      <c r="BK318" s="5">
        <f>IF('Project Database'!A322="","",N('Project Database'!AD322))</f>
        <v/>
      </c>
      <c r="BL318" s="5">
        <f>IF('Project Database'!A322="","",N('Project Database'!AE322))</f>
        <v/>
      </c>
      <c r="BM318" s="5">
        <f>IF('Project Database'!A322="","",N('Project Database'!AF322))</f>
        <v/>
      </c>
      <c r="BN318" s="5">
        <f>IF('Project Database'!A322="","",N('Project Database'!AG322))</f>
        <v/>
      </c>
      <c r="BO318" s="5">
        <f>IF('Project Database'!A322="","",N('Project Database'!AH322))</f>
        <v/>
      </c>
      <c r="BP318" s="5">
        <f>IF('Project Database'!A322="","",N('Project Database'!AI322))</f>
        <v/>
      </c>
      <c r="BQ318" s="5">
        <f>IF('Project Database'!A322="","",N('Project Database'!AJ322))</f>
        <v/>
      </c>
      <c r="BR318" s="5">
        <f>IF('Project Database'!A322="","",N('Project Database'!AK322))</f>
        <v/>
      </c>
      <c r="BS318" s="5">
        <f>IF('Project Database'!A322="","",N('Project Database'!AL322))</f>
        <v/>
      </c>
      <c r="BT318" s="5">
        <f>IF('Project Database'!A322="","",N('Project Database'!AM322))</f>
        <v/>
      </c>
      <c r="BU318" s="5">
        <f>IF('Project Database'!A322="","",N('Project Database'!AN322))</f>
        <v/>
      </c>
      <c r="BV318" s="5">
        <f>IF('Project Database'!A322="","",N('Project Database'!AO322))</f>
        <v/>
      </c>
      <c r="BW318" s="5">
        <f>IF('Project Database'!A322="","",N('Project Database'!AP322))</f>
        <v/>
      </c>
      <c r="BX318" s="5">
        <f>IF(A318="","",SUM(BJ318:BW318))</f>
        <v/>
      </c>
      <c r="BY318" s="5">
        <f>IF(A318="","",IFERROR(IF(ISNUMBER(U318),U318,VALUE(SUBSTITUTE(SUBSTITUTE(SUBSTITUTE(UPPER(TRIM(U318)),"M",""),",","")," ",""))),0))</f>
        <v/>
      </c>
    </row>
    <row r="319" ht="15" customHeight="1" s="74">
      <c r="A319" s="66">
        <f>'Project Database'!A323</f>
        <v/>
      </c>
      <c r="B319" s="66">
        <f>'Project Database'!B323</f>
        <v/>
      </c>
      <c r="C319" s="66">
        <f>'Project Database'!G323</f>
        <v/>
      </c>
      <c r="D319" s="66">
        <f>'Project Database'!H323</f>
        <v/>
      </c>
      <c r="E319" s="66">
        <f>'Project Database'!I323</f>
        <v/>
      </c>
      <c r="F319" s="66">
        <f>'Project Database'!J323</f>
        <v/>
      </c>
      <c r="G319" s="66">
        <f>'Project Database'!K323</f>
        <v/>
      </c>
      <c r="H319" s="66">
        <f>'Project Database'!L323</f>
        <v/>
      </c>
      <c r="I319" s="66">
        <f>'Project Database'!M323</f>
        <v/>
      </c>
      <c r="J319" s="66">
        <f>'Project Database'!N323</f>
        <v/>
      </c>
      <c r="K319" s="66">
        <f>'Project Database'!O323</f>
        <v/>
      </c>
      <c r="L319" s="66">
        <f>'Project Database'!P323</f>
        <v/>
      </c>
      <c r="M319" s="66">
        <f>'Project Database'!Q323</f>
        <v/>
      </c>
      <c r="N319" s="66">
        <f>'Project Database'!R323</f>
        <v/>
      </c>
      <c r="O319" s="66">
        <f>'Project Database'!S323</f>
        <v/>
      </c>
      <c r="P319" s="66">
        <f>'Project Database'!T323</f>
        <v/>
      </c>
      <c r="Q319" s="66">
        <f>'Project Database'!U323</f>
        <v/>
      </c>
      <c r="R319" s="66">
        <f>'Project Database'!V323</f>
        <v/>
      </c>
      <c r="S319" s="66">
        <f>'Project Database'!W323</f>
        <v/>
      </c>
      <c r="T319" s="66">
        <f>'Project Database'!X323</f>
        <v/>
      </c>
      <c r="U319" s="67">
        <f>'Project Database'!Y323</f>
        <v/>
      </c>
      <c r="V319" s="66">
        <f>IF('Smart Search'!B13=1,IFERROR(1/'Smart Search'!H13,0),0)</f>
        <v/>
      </c>
      <c r="W319" s="66">
        <f>IF('Smart Search'!B13=1,IFERROR(1/'Smart Search'!H13,0),0)</f>
        <v/>
      </c>
      <c r="X319" s="66">
        <f>IF('Smart Search'!C13=1,IFERROR(1/'Smart Search'!H13,0),0)</f>
        <v/>
      </c>
      <c r="Y319" s="66">
        <f>IF('Smart Search'!C13=1,IFERROR(1/'Smart Search'!H13,0),0)</f>
        <v/>
      </c>
      <c r="Z319" s="66">
        <f>IF('Smart Search'!D13=1,IFERROR(1/'Smart Search'!H13,0),0)</f>
        <v/>
      </c>
      <c r="AA319" s="66">
        <f>IF('Smart Search'!D13=1,IFERROR(1/'Smart Search'!H13,0),0)</f>
        <v/>
      </c>
      <c r="AB319" s="66">
        <f>IF('Smart Search'!E13=1,IFERROR(1/'Smart Search'!H13,0),0)</f>
        <v/>
      </c>
      <c r="AC319" s="66">
        <f>IF('Smart Search'!E13=1,IFERROR(1/'Smart Search'!H13,0),0)</f>
        <v/>
      </c>
      <c r="AD319" s="66">
        <f>IF('Smart Search'!F13=1,IFERROR(1/'Smart Search'!H13,0),0)</f>
        <v/>
      </c>
      <c r="AE319" s="66">
        <f>IF('Smart Search'!F13=1,IFERROR(1/'Smart Search'!H13,0),0)</f>
        <v/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66">
        <f>AF319*V319</f>
        <v/>
      </c>
      <c r="AQ319" s="66">
        <f>AG319*W319</f>
        <v/>
      </c>
      <c r="AR319" s="66">
        <f>AH319*X319</f>
        <v/>
      </c>
      <c r="AS319" s="66">
        <f>AI319*Y319</f>
        <v/>
      </c>
      <c r="AT319" s="66">
        <f>AJ319*Z319</f>
        <v/>
      </c>
      <c r="AU319" s="66">
        <f>AK319*AA319</f>
        <v/>
      </c>
      <c r="AV319" s="66">
        <f>AL319*AB319</f>
        <v/>
      </c>
      <c r="AW319" s="66">
        <f>AM319*AC319</f>
        <v/>
      </c>
      <c r="AX319" s="66">
        <f>AN319*AD319</f>
        <v/>
      </c>
      <c r="AY319" s="66">
        <f>AO319*AE319</f>
        <v/>
      </c>
      <c r="AZ319" s="66">
        <f>'Project Database'!Z323</f>
        <v/>
      </c>
      <c r="BA319" s="66">
        <f>IF(OR(A319="",'Smart Search'!H13=0),"",MAX(0,BE319*BF319*MAX(0,1-BG319)))</f>
        <v/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66">
        <f>IF('Smart Search'!G13=1,IFERROR(1/'Smart Search'!H13,0),0)</f>
        <v/>
      </c>
      <c r="BD319" s="66">
        <f>BB319*BC319</f>
        <v/>
      </c>
      <c r="BE319" s="66">
        <f>AP319+AQ319+AR319+AS319+AT319+AU319+AV319+AW319+AX319+AY319+BD319</f>
        <v/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5">
        <f>IF(AND('Project Database'!A323&lt;&gt;"",OR('Smart Search'!$L$5="",'Smart Search'!$L$5="All",TRIM('Project Database'!D323)=TRIM('Smart Search'!$L$5)),OR(TRIM('Smart Search'!$L$6)="",TRIM('Smart Search'!$L$6)="All",ISNUMBER(SEARCH(SUBSTITUTE(SUBSTITUTE(SUBSTITUTE(TRIM('Smart Search'!$L$6),"~","~~"),"*","~*"),"?","~?"),'Project Database'!C323))),OR('Smart Search'!$L$7="",AND('Project Database'!E323&lt;&gt;"",'Project Database'!E323='Smart Search'!$L$7)),OR('Smart Search'!$L$8="",'Smart Search'!$L$8="All",TRIM('Project Database'!F323)=TRIM('Smart Search'!$L$8))),IF(BA319="","",BA319+ROW()*0.0000000001),"")</f>
        <v/>
      </c>
      <c r="BI319" s="5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>
        <f>IF('Project Database'!A323="","",N('Project Database'!AC323))</f>
        <v/>
      </c>
      <c r="BK319" s="5">
        <f>IF('Project Database'!A323="","",N('Project Database'!AD323))</f>
        <v/>
      </c>
      <c r="BL319" s="5">
        <f>IF('Project Database'!A323="","",N('Project Database'!AE323))</f>
        <v/>
      </c>
      <c r="BM319" s="5">
        <f>IF('Project Database'!A323="","",N('Project Database'!AF323))</f>
        <v/>
      </c>
      <c r="BN319" s="5">
        <f>IF('Project Database'!A323="","",N('Project Database'!AG323))</f>
        <v/>
      </c>
      <c r="BO319" s="5">
        <f>IF('Project Database'!A323="","",N('Project Database'!AH323))</f>
        <v/>
      </c>
      <c r="BP319" s="5">
        <f>IF('Project Database'!A323="","",N('Project Database'!AI323))</f>
        <v/>
      </c>
      <c r="BQ319" s="5">
        <f>IF('Project Database'!A323="","",N('Project Database'!AJ323))</f>
        <v/>
      </c>
      <c r="BR319" s="5">
        <f>IF('Project Database'!A323="","",N('Project Database'!AK323))</f>
        <v/>
      </c>
      <c r="BS319" s="5">
        <f>IF('Project Database'!A323="","",N('Project Database'!AL323))</f>
        <v/>
      </c>
      <c r="BT319" s="5">
        <f>IF('Project Database'!A323="","",N('Project Database'!AM323))</f>
        <v/>
      </c>
      <c r="BU319" s="5">
        <f>IF('Project Database'!A323="","",N('Project Database'!AN323))</f>
        <v/>
      </c>
      <c r="BV319" s="5">
        <f>IF('Project Database'!A323="","",N('Project Database'!AO323))</f>
        <v/>
      </c>
      <c r="BW319" s="5">
        <f>IF('Project Database'!A323="","",N('Project Database'!AP323))</f>
        <v/>
      </c>
      <c r="BX319" s="5">
        <f>IF(A319="","",SUM(BJ319:BW319))</f>
        <v/>
      </c>
      <c r="BY319" s="5">
        <f>IF(A319="","",IFERROR(IF(ISNUMBER(U319),U319,VALUE(SUBSTITUTE(SUBSTITUTE(SUBSTITUTE(UPPER(TRIM(U319)),"M",""),",","")," ",""))),0))</f>
        <v/>
      </c>
    </row>
    <row r="320" ht="15" customHeight="1" s="74">
      <c r="A320" s="66">
        <f>'Project Database'!A324</f>
        <v/>
      </c>
      <c r="B320" s="66">
        <f>'Project Database'!B324</f>
        <v/>
      </c>
      <c r="C320" s="66">
        <f>'Project Database'!G324</f>
        <v/>
      </c>
      <c r="D320" s="66">
        <f>'Project Database'!H324</f>
        <v/>
      </c>
      <c r="E320" s="66">
        <f>'Project Database'!I324</f>
        <v/>
      </c>
      <c r="F320" s="66">
        <f>'Project Database'!J324</f>
        <v/>
      </c>
      <c r="G320" s="66">
        <f>'Project Database'!K324</f>
        <v/>
      </c>
      <c r="H320" s="66">
        <f>'Project Database'!L324</f>
        <v/>
      </c>
      <c r="I320" s="66">
        <f>'Project Database'!M324</f>
        <v/>
      </c>
      <c r="J320" s="66">
        <f>'Project Database'!N324</f>
        <v/>
      </c>
      <c r="K320" s="66">
        <f>'Project Database'!O324</f>
        <v/>
      </c>
      <c r="L320" s="66">
        <f>'Project Database'!P324</f>
        <v/>
      </c>
      <c r="M320" s="66">
        <f>'Project Database'!Q324</f>
        <v/>
      </c>
      <c r="N320" s="66">
        <f>'Project Database'!R324</f>
        <v/>
      </c>
      <c r="O320" s="66">
        <f>'Project Database'!S324</f>
        <v/>
      </c>
      <c r="P320" s="66">
        <f>'Project Database'!T324</f>
        <v/>
      </c>
      <c r="Q320" s="66">
        <f>'Project Database'!U324</f>
        <v/>
      </c>
      <c r="R320" s="66">
        <f>'Project Database'!V324</f>
        <v/>
      </c>
      <c r="S320" s="66">
        <f>'Project Database'!W324</f>
        <v/>
      </c>
      <c r="T320" s="66">
        <f>'Project Database'!X324</f>
        <v/>
      </c>
      <c r="U320" s="67">
        <f>'Project Database'!Y324</f>
        <v/>
      </c>
      <c r="V320" s="66">
        <f>IF('Smart Search'!B13=1,IFERROR(1/'Smart Search'!H13,0),0)</f>
        <v/>
      </c>
      <c r="W320" s="66">
        <f>IF('Smart Search'!B13=1,IFERROR(1/'Smart Search'!H13,0),0)</f>
        <v/>
      </c>
      <c r="X320" s="66">
        <f>IF('Smart Search'!C13=1,IFERROR(1/'Smart Search'!H13,0),0)</f>
        <v/>
      </c>
      <c r="Y320" s="66">
        <f>IF('Smart Search'!C13=1,IFERROR(1/'Smart Search'!H13,0),0)</f>
        <v/>
      </c>
      <c r="Z320" s="66">
        <f>IF('Smart Search'!D13=1,IFERROR(1/'Smart Search'!H13,0),0)</f>
        <v/>
      </c>
      <c r="AA320" s="66">
        <f>IF('Smart Search'!D13=1,IFERROR(1/'Smart Search'!H13,0),0)</f>
        <v/>
      </c>
      <c r="AB320" s="66">
        <f>IF('Smart Search'!E13=1,IFERROR(1/'Smart Search'!H13,0),0)</f>
        <v/>
      </c>
      <c r="AC320" s="66">
        <f>IF('Smart Search'!E13=1,IFERROR(1/'Smart Search'!H13,0),0)</f>
        <v/>
      </c>
      <c r="AD320" s="66">
        <f>IF('Smart Search'!F13=1,IFERROR(1/'Smart Search'!H13,0),0)</f>
        <v/>
      </c>
      <c r="AE320" s="66">
        <f>IF('Smart Search'!F13=1,IFERROR(1/'Smart Search'!H13,0),0)</f>
        <v/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66">
        <f>AF320*V320</f>
        <v/>
      </c>
      <c r="AQ320" s="66">
        <f>AG320*W320</f>
        <v/>
      </c>
      <c r="AR320" s="66">
        <f>AH320*X320</f>
        <v/>
      </c>
      <c r="AS320" s="66">
        <f>AI320*Y320</f>
        <v/>
      </c>
      <c r="AT320" s="66">
        <f>AJ320*Z320</f>
        <v/>
      </c>
      <c r="AU320" s="66">
        <f>AK320*AA320</f>
        <v/>
      </c>
      <c r="AV320" s="66">
        <f>AL320*AB320</f>
        <v/>
      </c>
      <c r="AW320" s="66">
        <f>AM320*AC320</f>
        <v/>
      </c>
      <c r="AX320" s="66">
        <f>AN320*AD320</f>
        <v/>
      </c>
      <c r="AY320" s="66">
        <f>AO320*AE320</f>
        <v/>
      </c>
      <c r="AZ320" s="66">
        <f>'Project Database'!Z324</f>
        <v/>
      </c>
      <c r="BA320" s="66">
        <f>IF(OR(A320="",'Smart Search'!H13=0),"",MAX(0,BE320*BF320*MAX(0,1-BG320)))</f>
        <v/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66">
        <f>IF('Smart Search'!G13=1,IFERROR(1/'Smart Search'!H13,0),0)</f>
        <v/>
      </c>
      <c r="BD320" s="66">
        <f>BB320*BC320</f>
        <v/>
      </c>
      <c r="BE320" s="66">
        <f>AP320+AQ320+AR320+AS320+AT320+AU320+AV320+AW320+AX320+AY320+BD320</f>
        <v/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5">
        <f>IF(AND('Project Database'!A324&lt;&gt;"",OR('Smart Search'!$L$5="",'Smart Search'!$L$5="All",TRIM('Project Database'!D324)=TRIM('Smart Search'!$L$5)),OR(TRIM('Smart Search'!$L$6)="",TRIM('Smart Search'!$L$6)="All",ISNUMBER(SEARCH(SUBSTITUTE(SUBSTITUTE(SUBSTITUTE(TRIM('Smart Search'!$L$6),"~","~~"),"*","~*"),"?","~?"),'Project Database'!C324))),OR('Smart Search'!$L$7="",AND('Project Database'!E324&lt;&gt;"",'Project Database'!E324='Smart Search'!$L$7)),OR('Smart Search'!$L$8="",'Smart Search'!$L$8="All",TRIM('Project Database'!F324)=TRIM('Smart Search'!$L$8))),IF(BA320="","",BA320+ROW()*0.0000000001),"")</f>
        <v/>
      </c>
      <c r="BI320" s="5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>
        <f>IF('Project Database'!A324="","",N('Project Database'!AC324))</f>
        <v/>
      </c>
      <c r="BK320" s="5">
        <f>IF('Project Database'!A324="","",N('Project Database'!AD324))</f>
        <v/>
      </c>
      <c r="BL320" s="5">
        <f>IF('Project Database'!A324="","",N('Project Database'!AE324))</f>
        <v/>
      </c>
      <c r="BM320" s="5">
        <f>IF('Project Database'!A324="","",N('Project Database'!AF324))</f>
        <v/>
      </c>
      <c r="BN320" s="5">
        <f>IF('Project Database'!A324="","",N('Project Database'!AG324))</f>
        <v/>
      </c>
      <c r="BO320" s="5">
        <f>IF('Project Database'!A324="","",N('Project Database'!AH324))</f>
        <v/>
      </c>
      <c r="BP320" s="5">
        <f>IF('Project Database'!A324="","",N('Project Database'!AI324))</f>
        <v/>
      </c>
      <c r="BQ320" s="5">
        <f>IF('Project Database'!A324="","",N('Project Database'!AJ324))</f>
        <v/>
      </c>
      <c r="BR320" s="5">
        <f>IF('Project Database'!A324="","",N('Project Database'!AK324))</f>
        <v/>
      </c>
      <c r="BS320" s="5">
        <f>IF('Project Database'!A324="","",N('Project Database'!AL324))</f>
        <v/>
      </c>
      <c r="BT320" s="5">
        <f>IF('Project Database'!A324="","",N('Project Database'!AM324))</f>
        <v/>
      </c>
      <c r="BU320" s="5">
        <f>IF('Project Database'!A324="","",N('Project Database'!AN324))</f>
        <v/>
      </c>
      <c r="BV320" s="5">
        <f>IF('Project Database'!A324="","",N('Project Database'!AO324))</f>
        <v/>
      </c>
      <c r="BW320" s="5">
        <f>IF('Project Database'!A324="","",N('Project Database'!AP324))</f>
        <v/>
      </c>
      <c r="BX320" s="5">
        <f>IF(A320="","",SUM(BJ320:BW320))</f>
        <v/>
      </c>
      <c r="BY320" s="5">
        <f>IF(A320="","",IFERROR(IF(ISNUMBER(U320),U320,VALUE(SUBSTITUTE(SUBSTITUTE(SUBSTITUTE(UPPER(TRIM(U320)),"M",""),",","")," ",""))),0))</f>
        <v/>
      </c>
    </row>
    <row r="321" ht="15" customHeight="1" s="74">
      <c r="A321" s="66">
        <f>'Project Database'!A325</f>
        <v/>
      </c>
      <c r="B321" s="66">
        <f>'Project Database'!B325</f>
        <v/>
      </c>
      <c r="C321" s="66">
        <f>'Project Database'!G325</f>
        <v/>
      </c>
      <c r="D321" s="66">
        <f>'Project Database'!H325</f>
        <v/>
      </c>
      <c r="E321" s="66">
        <f>'Project Database'!I325</f>
        <v/>
      </c>
      <c r="F321" s="66">
        <f>'Project Database'!J325</f>
        <v/>
      </c>
      <c r="G321" s="66">
        <f>'Project Database'!K325</f>
        <v/>
      </c>
      <c r="H321" s="66">
        <f>'Project Database'!L325</f>
        <v/>
      </c>
      <c r="I321" s="66">
        <f>'Project Database'!M325</f>
        <v/>
      </c>
      <c r="J321" s="66">
        <f>'Project Database'!N325</f>
        <v/>
      </c>
      <c r="K321" s="66">
        <f>'Project Database'!O325</f>
        <v/>
      </c>
      <c r="L321" s="66">
        <f>'Project Database'!P325</f>
        <v/>
      </c>
      <c r="M321" s="66">
        <f>'Project Database'!Q325</f>
        <v/>
      </c>
      <c r="N321" s="66">
        <f>'Project Database'!R325</f>
        <v/>
      </c>
      <c r="O321" s="66">
        <f>'Project Database'!S325</f>
        <v/>
      </c>
      <c r="P321" s="66">
        <f>'Project Database'!T325</f>
        <v/>
      </c>
      <c r="Q321" s="66">
        <f>'Project Database'!U325</f>
        <v/>
      </c>
      <c r="R321" s="66">
        <f>'Project Database'!V325</f>
        <v/>
      </c>
      <c r="S321" s="66">
        <f>'Project Database'!W325</f>
        <v/>
      </c>
      <c r="T321" s="66">
        <f>'Project Database'!X325</f>
        <v/>
      </c>
      <c r="U321" s="67">
        <f>'Project Database'!Y325</f>
        <v/>
      </c>
      <c r="V321" s="66">
        <f>IF('Smart Search'!B13=1,IFERROR(1/'Smart Search'!H13,0),0)</f>
        <v/>
      </c>
      <c r="W321" s="66">
        <f>IF('Smart Search'!B13=1,IFERROR(1/'Smart Search'!H13,0),0)</f>
        <v/>
      </c>
      <c r="X321" s="66">
        <f>IF('Smart Search'!C13=1,IFERROR(1/'Smart Search'!H13,0),0)</f>
        <v/>
      </c>
      <c r="Y321" s="66">
        <f>IF('Smart Search'!C13=1,IFERROR(1/'Smart Search'!H13,0),0)</f>
        <v/>
      </c>
      <c r="Z321" s="66">
        <f>IF('Smart Search'!D13=1,IFERROR(1/'Smart Search'!H13,0),0)</f>
        <v/>
      </c>
      <c r="AA321" s="66">
        <f>IF('Smart Search'!D13=1,IFERROR(1/'Smart Search'!H13,0),0)</f>
        <v/>
      </c>
      <c r="AB321" s="66">
        <f>IF('Smart Search'!E13=1,IFERROR(1/'Smart Search'!H13,0),0)</f>
        <v/>
      </c>
      <c r="AC321" s="66">
        <f>IF('Smart Search'!E13=1,IFERROR(1/'Smart Search'!H13,0),0)</f>
        <v/>
      </c>
      <c r="AD321" s="66">
        <f>IF('Smart Search'!F13=1,IFERROR(1/'Smart Search'!H13,0),0)</f>
        <v/>
      </c>
      <c r="AE321" s="66">
        <f>IF('Smart Search'!F13=1,IFERROR(1/'Smart Search'!H13,0),0)</f>
        <v/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66">
        <f>AF321*V321</f>
        <v/>
      </c>
      <c r="AQ321" s="66">
        <f>AG321*W321</f>
        <v/>
      </c>
      <c r="AR321" s="66">
        <f>AH321*X321</f>
        <v/>
      </c>
      <c r="AS321" s="66">
        <f>AI321*Y321</f>
        <v/>
      </c>
      <c r="AT321" s="66">
        <f>AJ321*Z321</f>
        <v/>
      </c>
      <c r="AU321" s="66">
        <f>AK321*AA321</f>
        <v/>
      </c>
      <c r="AV321" s="66">
        <f>AL321*AB321</f>
        <v/>
      </c>
      <c r="AW321" s="66">
        <f>AM321*AC321</f>
        <v/>
      </c>
      <c r="AX321" s="66">
        <f>AN321*AD321</f>
        <v/>
      </c>
      <c r="AY321" s="66">
        <f>AO321*AE321</f>
        <v/>
      </c>
      <c r="AZ321" s="66">
        <f>'Project Database'!Z325</f>
        <v/>
      </c>
      <c r="BA321" s="66">
        <f>IF(OR(A321="",'Smart Search'!H13=0),"",MAX(0,BE321*BF321*MAX(0,1-BG321)))</f>
        <v/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66">
        <f>IF('Smart Search'!G13=1,IFERROR(1/'Smart Search'!H13,0),0)</f>
        <v/>
      </c>
      <c r="BD321" s="66">
        <f>BB321*BC321</f>
        <v/>
      </c>
      <c r="BE321" s="66">
        <f>AP321+AQ321+AR321+AS321+AT321+AU321+AV321+AW321+AX321+AY321+BD321</f>
        <v/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5">
        <f>IF(AND('Project Database'!A325&lt;&gt;"",OR('Smart Search'!$L$5="",'Smart Search'!$L$5="All",TRIM('Project Database'!D325)=TRIM('Smart Search'!$L$5)),OR(TRIM('Smart Search'!$L$6)="",TRIM('Smart Search'!$L$6)="All",ISNUMBER(SEARCH(SUBSTITUTE(SUBSTITUTE(SUBSTITUTE(TRIM('Smart Search'!$L$6),"~","~~"),"*","~*"),"?","~?"),'Project Database'!C325))),OR('Smart Search'!$L$7="",AND('Project Database'!E325&lt;&gt;"",'Project Database'!E325='Smart Search'!$L$7)),OR('Smart Search'!$L$8="",'Smart Search'!$L$8="All",TRIM('Project Database'!F325)=TRIM('Smart Search'!$L$8))),IF(BA321="","",BA321+ROW()*0.0000000001),"")</f>
        <v/>
      </c>
      <c r="BI321" s="5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>
        <f>IF('Project Database'!A325="","",N('Project Database'!AC325))</f>
        <v/>
      </c>
      <c r="BK321" s="5">
        <f>IF('Project Database'!A325="","",N('Project Database'!AD325))</f>
        <v/>
      </c>
      <c r="BL321" s="5">
        <f>IF('Project Database'!A325="","",N('Project Database'!AE325))</f>
        <v/>
      </c>
      <c r="BM321" s="5">
        <f>IF('Project Database'!A325="","",N('Project Database'!AF325))</f>
        <v/>
      </c>
      <c r="BN321" s="5">
        <f>IF('Project Database'!A325="","",N('Project Database'!AG325))</f>
        <v/>
      </c>
      <c r="BO321" s="5">
        <f>IF('Project Database'!A325="","",N('Project Database'!AH325))</f>
        <v/>
      </c>
      <c r="BP321" s="5">
        <f>IF('Project Database'!A325="","",N('Project Database'!AI325))</f>
        <v/>
      </c>
      <c r="BQ321" s="5">
        <f>IF('Project Database'!A325="","",N('Project Database'!AJ325))</f>
        <v/>
      </c>
      <c r="BR321" s="5">
        <f>IF('Project Database'!A325="","",N('Project Database'!AK325))</f>
        <v/>
      </c>
      <c r="BS321" s="5">
        <f>IF('Project Database'!A325="","",N('Project Database'!AL325))</f>
        <v/>
      </c>
      <c r="BT321" s="5">
        <f>IF('Project Database'!A325="","",N('Project Database'!AM325))</f>
        <v/>
      </c>
      <c r="BU321" s="5">
        <f>IF('Project Database'!A325="","",N('Project Database'!AN325))</f>
        <v/>
      </c>
      <c r="BV321" s="5">
        <f>IF('Project Database'!A325="","",N('Project Database'!AO325))</f>
        <v/>
      </c>
      <c r="BW321" s="5">
        <f>IF('Project Database'!A325="","",N('Project Database'!AP325))</f>
        <v/>
      </c>
      <c r="BX321" s="5">
        <f>IF(A321="","",SUM(BJ321:BW321))</f>
        <v/>
      </c>
      <c r="BY321" s="5">
        <f>IF(A321="","",IFERROR(IF(ISNUMBER(U321),U321,VALUE(SUBSTITUTE(SUBSTITUTE(SUBSTITUTE(UPPER(TRIM(U321)),"M",""),",","")," ",""))),0))</f>
        <v/>
      </c>
    </row>
    <row r="322" ht="15" customHeight="1" s="74">
      <c r="A322" s="66">
        <f>'Project Database'!A326</f>
        <v/>
      </c>
      <c r="B322" s="66">
        <f>'Project Database'!B326</f>
        <v/>
      </c>
      <c r="C322" s="66">
        <f>'Project Database'!G326</f>
        <v/>
      </c>
      <c r="D322" s="66">
        <f>'Project Database'!H326</f>
        <v/>
      </c>
      <c r="E322" s="66">
        <f>'Project Database'!I326</f>
        <v/>
      </c>
      <c r="F322" s="66">
        <f>'Project Database'!J326</f>
        <v/>
      </c>
      <c r="G322" s="66">
        <f>'Project Database'!K326</f>
        <v/>
      </c>
      <c r="H322" s="66">
        <f>'Project Database'!L326</f>
        <v/>
      </c>
      <c r="I322" s="66">
        <f>'Project Database'!M326</f>
        <v/>
      </c>
      <c r="J322" s="66">
        <f>'Project Database'!N326</f>
        <v/>
      </c>
      <c r="K322" s="66">
        <f>'Project Database'!O326</f>
        <v/>
      </c>
      <c r="L322" s="66">
        <f>'Project Database'!P326</f>
        <v/>
      </c>
      <c r="M322" s="66">
        <f>'Project Database'!Q326</f>
        <v/>
      </c>
      <c r="N322" s="66">
        <f>'Project Database'!R326</f>
        <v/>
      </c>
      <c r="O322" s="66">
        <f>'Project Database'!S326</f>
        <v/>
      </c>
      <c r="P322" s="66">
        <f>'Project Database'!T326</f>
        <v/>
      </c>
      <c r="Q322" s="66">
        <f>'Project Database'!U326</f>
        <v/>
      </c>
      <c r="R322" s="66">
        <f>'Project Database'!V326</f>
        <v/>
      </c>
      <c r="S322" s="66">
        <f>'Project Database'!W326</f>
        <v/>
      </c>
      <c r="T322" s="66">
        <f>'Project Database'!X326</f>
        <v/>
      </c>
      <c r="U322" s="67">
        <f>'Project Database'!Y326</f>
        <v/>
      </c>
      <c r="V322" s="66">
        <f>IF('Smart Search'!B13=1,IFERROR(1/'Smart Search'!H13,0),0)</f>
        <v/>
      </c>
      <c r="W322" s="66">
        <f>IF('Smart Search'!B13=1,IFERROR(1/'Smart Search'!H13,0),0)</f>
        <v/>
      </c>
      <c r="X322" s="66">
        <f>IF('Smart Search'!C13=1,IFERROR(1/'Smart Search'!H13,0),0)</f>
        <v/>
      </c>
      <c r="Y322" s="66">
        <f>IF('Smart Search'!C13=1,IFERROR(1/'Smart Search'!H13,0),0)</f>
        <v/>
      </c>
      <c r="Z322" s="66">
        <f>IF('Smart Search'!D13=1,IFERROR(1/'Smart Search'!H13,0),0)</f>
        <v/>
      </c>
      <c r="AA322" s="66">
        <f>IF('Smart Search'!D13=1,IFERROR(1/'Smart Search'!H13,0),0)</f>
        <v/>
      </c>
      <c r="AB322" s="66">
        <f>IF('Smart Search'!E13=1,IFERROR(1/'Smart Search'!H13,0),0)</f>
        <v/>
      </c>
      <c r="AC322" s="66">
        <f>IF('Smart Search'!E13=1,IFERROR(1/'Smart Search'!H13,0),0)</f>
        <v/>
      </c>
      <c r="AD322" s="66">
        <f>IF('Smart Search'!F13=1,IFERROR(1/'Smart Search'!H13,0),0)</f>
        <v/>
      </c>
      <c r="AE322" s="66">
        <f>IF('Smart Search'!F13=1,IFERROR(1/'Smart Search'!H13,0),0)</f>
        <v/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66">
        <f>AF322*V322</f>
        <v/>
      </c>
      <c r="AQ322" s="66">
        <f>AG322*W322</f>
        <v/>
      </c>
      <c r="AR322" s="66">
        <f>AH322*X322</f>
        <v/>
      </c>
      <c r="AS322" s="66">
        <f>AI322*Y322</f>
        <v/>
      </c>
      <c r="AT322" s="66">
        <f>AJ322*Z322</f>
        <v/>
      </c>
      <c r="AU322" s="66">
        <f>AK322*AA322</f>
        <v/>
      </c>
      <c r="AV322" s="66">
        <f>AL322*AB322</f>
        <v/>
      </c>
      <c r="AW322" s="66">
        <f>AM322*AC322</f>
        <v/>
      </c>
      <c r="AX322" s="66">
        <f>AN322*AD322</f>
        <v/>
      </c>
      <c r="AY322" s="66">
        <f>AO322*AE322</f>
        <v/>
      </c>
      <c r="AZ322" s="66">
        <f>'Project Database'!Z326</f>
        <v/>
      </c>
      <c r="BA322" s="66">
        <f>IF(OR(A322="",'Smart Search'!H13=0),"",MAX(0,BE322*BF322*MAX(0,1-BG322)))</f>
        <v/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66">
        <f>IF('Smart Search'!G13=1,IFERROR(1/'Smart Search'!H13,0),0)</f>
        <v/>
      </c>
      <c r="BD322" s="66">
        <f>BB322*BC322</f>
        <v/>
      </c>
      <c r="BE322" s="66">
        <f>AP322+AQ322+AR322+AS322+AT322+AU322+AV322+AW322+AX322+AY322+BD322</f>
        <v/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5">
        <f>IF(AND('Project Database'!A326&lt;&gt;"",OR('Smart Search'!$L$5="",'Smart Search'!$L$5="All",TRIM('Project Database'!D326)=TRIM('Smart Search'!$L$5)),OR(TRIM('Smart Search'!$L$6)="",TRIM('Smart Search'!$L$6)="All",ISNUMBER(SEARCH(SUBSTITUTE(SUBSTITUTE(SUBSTITUTE(TRIM('Smart Search'!$L$6),"~","~~"),"*","~*"),"?","~?"),'Project Database'!C326))),OR('Smart Search'!$L$7="",AND('Project Database'!E326&lt;&gt;"",'Project Database'!E326='Smart Search'!$L$7)),OR('Smart Search'!$L$8="",'Smart Search'!$L$8="All",TRIM('Project Database'!F326)=TRIM('Smart Search'!$L$8))),IF(BA322="","",BA322+ROW()*0.0000000001),"")</f>
        <v/>
      </c>
      <c r="BI322" s="5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>
        <f>IF('Project Database'!A326="","",N('Project Database'!AC326))</f>
        <v/>
      </c>
      <c r="BK322" s="5">
        <f>IF('Project Database'!A326="","",N('Project Database'!AD326))</f>
        <v/>
      </c>
      <c r="BL322" s="5">
        <f>IF('Project Database'!A326="","",N('Project Database'!AE326))</f>
        <v/>
      </c>
      <c r="BM322" s="5">
        <f>IF('Project Database'!A326="","",N('Project Database'!AF326))</f>
        <v/>
      </c>
      <c r="BN322" s="5">
        <f>IF('Project Database'!A326="","",N('Project Database'!AG326))</f>
        <v/>
      </c>
      <c r="BO322" s="5">
        <f>IF('Project Database'!A326="","",N('Project Database'!AH326))</f>
        <v/>
      </c>
      <c r="BP322" s="5">
        <f>IF('Project Database'!A326="","",N('Project Database'!AI326))</f>
        <v/>
      </c>
      <c r="BQ322" s="5">
        <f>IF('Project Database'!A326="","",N('Project Database'!AJ326))</f>
        <v/>
      </c>
      <c r="BR322" s="5">
        <f>IF('Project Database'!A326="","",N('Project Database'!AK326))</f>
        <v/>
      </c>
      <c r="BS322" s="5">
        <f>IF('Project Database'!A326="","",N('Project Database'!AL326))</f>
        <v/>
      </c>
      <c r="BT322" s="5">
        <f>IF('Project Database'!A326="","",N('Project Database'!AM326))</f>
        <v/>
      </c>
      <c r="BU322" s="5">
        <f>IF('Project Database'!A326="","",N('Project Database'!AN326))</f>
        <v/>
      </c>
      <c r="BV322" s="5">
        <f>IF('Project Database'!A326="","",N('Project Database'!AO326))</f>
        <v/>
      </c>
      <c r="BW322" s="5">
        <f>IF('Project Database'!A326="","",N('Project Database'!AP326))</f>
        <v/>
      </c>
      <c r="BX322" s="5">
        <f>IF(A322="","",SUM(BJ322:BW322))</f>
        <v/>
      </c>
      <c r="BY322" s="5">
        <f>IF(A322="","",IFERROR(IF(ISNUMBER(U322),U322,VALUE(SUBSTITUTE(SUBSTITUTE(SUBSTITUTE(UPPER(TRIM(U322)),"M",""),",","")," ",""))),0))</f>
        <v/>
      </c>
    </row>
    <row r="323" ht="15" customHeight="1" s="74">
      <c r="A323" s="66">
        <f>'Project Database'!A327</f>
        <v/>
      </c>
      <c r="B323" s="66">
        <f>'Project Database'!B327</f>
        <v/>
      </c>
      <c r="C323" s="66">
        <f>'Project Database'!G327</f>
        <v/>
      </c>
      <c r="D323" s="66">
        <f>'Project Database'!H327</f>
        <v/>
      </c>
      <c r="E323" s="66">
        <f>'Project Database'!I327</f>
        <v/>
      </c>
      <c r="F323" s="66">
        <f>'Project Database'!J327</f>
        <v/>
      </c>
      <c r="G323" s="66">
        <f>'Project Database'!K327</f>
        <v/>
      </c>
      <c r="H323" s="66">
        <f>'Project Database'!L327</f>
        <v/>
      </c>
      <c r="I323" s="66">
        <f>'Project Database'!M327</f>
        <v/>
      </c>
      <c r="J323" s="66">
        <f>'Project Database'!N327</f>
        <v/>
      </c>
      <c r="K323" s="66">
        <f>'Project Database'!O327</f>
        <v/>
      </c>
      <c r="L323" s="66">
        <f>'Project Database'!P327</f>
        <v/>
      </c>
      <c r="M323" s="66">
        <f>'Project Database'!Q327</f>
        <v/>
      </c>
      <c r="N323" s="66">
        <f>'Project Database'!R327</f>
        <v/>
      </c>
      <c r="O323" s="66">
        <f>'Project Database'!S327</f>
        <v/>
      </c>
      <c r="P323" s="66">
        <f>'Project Database'!T327</f>
        <v/>
      </c>
      <c r="Q323" s="66">
        <f>'Project Database'!U327</f>
        <v/>
      </c>
      <c r="R323" s="66">
        <f>'Project Database'!V327</f>
        <v/>
      </c>
      <c r="S323" s="66">
        <f>'Project Database'!W327</f>
        <v/>
      </c>
      <c r="T323" s="66">
        <f>'Project Database'!X327</f>
        <v/>
      </c>
      <c r="U323" s="67">
        <f>'Project Database'!Y327</f>
        <v/>
      </c>
      <c r="V323" s="66">
        <f>IF('Smart Search'!B13=1,IFERROR(1/'Smart Search'!H13,0),0)</f>
        <v/>
      </c>
      <c r="W323" s="66">
        <f>IF('Smart Search'!B13=1,IFERROR(1/'Smart Search'!H13,0),0)</f>
        <v/>
      </c>
      <c r="X323" s="66">
        <f>IF('Smart Search'!C13=1,IFERROR(1/'Smart Search'!H13,0),0)</f>
        <v/>
      </c>
      <c r="Y323" s="66">
        <f>IF('Smart Search'!C13=1,IFERROR(1/'Smart Search'!H13,0),0)</f>
        <v/>
      </c>
      <c r="Z323" s="66">
        <f>IF('Smart Search'!D13=1,IFERROR(1/'Smart Search'!H13,0),0)</f>
        <v/>
      </c>
      <c r="AA323" s="66">
        <f>IF('Smart Search'!D13=1,IFERROR(1/'Smart Search'!H13,0),0)</f>
        <v/>
      </c>
      <c r="AB323" s="66">
        <f>IF('Smart Search'!E13=1,IFERROR(1/'Smart Search'!H13,0),0)</f>
        <v/>
      </c>
      <c r="AC323" s="66">
        <f>IF('Smart Search'!E13=1,IFERROR(1/'Smart Search'!H13,0),0)</f>
        <v/>
      </c>
      <c r="AD323" s="66">
        <f>IF('Smart Search'!F13=1,IFERROR(1/'Smart Search'!H13,0),0)</f>
        <v/>
      </c>
      <c r="AE323" s="66">
        <f>IF('Smart Search'!F13=1,IFERROR(1/'Smart Search'!H13,0),0)</f>
        <v/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66">
        <f>AF323*V323</f>
        <v/>
      </c>
      <c r="AQ323" s="66">
        <f>AG323*W323</f>
        <v/>
      </c>
      <c r="AR323" s="66">
        <f>AH323*X323</f>
        <v/>
      </c>
      <c r="AS323" s="66">
        <f>AI323*Y323</f>
        <v/>
      </c>
      <c r="AT323" s="66">
        <f>AJ323*Z323</f>
        <v/>
      </c>
      <c r="AU323" s="66">
        <f>AK323*AA323</f>
        <v/>
      </c>
      <c r="AV323" s="66">
        <f>AL323*AB323</f>
        <v/>
      </c>
      <c r="AW323" s="66">
        <f>AM323*AC323</f>
        <v/>
      </c>
      <c r="AX323" s="66">
        <f>AN323*AD323</f>
        <v/>
      </c>
      <c r="AY323" s="66">
        <f>AO323*AE323</f>
        <v/>
      </c>
      <c r="AZ323" s="66">
        <f>'Project Database'!Z327</f>
        <v/>
      </c>
      <c r="BA323" s="66">
        <f>IF(OR(A323="",'Smart Search'!H13=0),"",MAX(0,BE323*BF323*MAX(0,1-BG323)))</f>
        <v/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66">
        <f>IF('Smart Search'!G13=1,IFERROR(1/'Smart Search'!H13,0),0)</f>
        <v/>
      </c>
      <c r="BD323" s="66">
        <f>BB323*BC323</f>
        <v/>
      </c>
      <c r="BE323" s="66">
        <f>AP323+AQ323+AR323+AS323+AT323+AU323+AV323+AW323+AX323+AY323+BD323</f>
        <v/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5">
        <f>IF(AND('Project Database'!A327&lt;&gt;"",OR('Smart Search'!$L$5="",'Smart Search'!$L$5="All",TRIM('Project Database'!D327)=TRIM('Smart Search'!$L$5)),OR(TRIM('Smart Search'!$L$6)="",TRIM('Smart Search'!$L$6)="All",ISNUMBER(SEARCH(SUBSTITUTE(SUBSTITUTE(SUBSTITUTE(TRIM('Smart Search'!$L$6),"~","~~"),"*","~*"),"?","~?"),'Project Database'!C327))),OR('Smart Search'!$L$7="",AND('Project Database'!E327&lt;&gt;"",'Project Database'!E327='Smart Search'!$L$7)),OR('Smart Search'!$L$8="",'Smart Search'!$L$8="All",TRIM('Project Database'!F327)=TRIM('Smart Search'!$L$8))),IF(BA323="","",BA323+ROW()*0.0000000001),"")</f>
        <v/>
      </c>
      <c r="BI323" s="5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>
        <f>IF('Project Database'!A327="","",N('Project Database'!AC327))</f>
        <v/>
      </c>
      <c r="BK323" s="5">
        <f>IF('Project Database'!A327="","",N('Project Database'!AD327))</f>
        <v/>
      </c>
      <c r="BL323" s="5">
        <f>IF('Project Database'!A327="","",N('Project Database'!AE327))</f>
        <v/>
      </c>
      <c r="BM323" s="5">
        <f>IF('Project Database'!A327="","",N('Project Database'!AF327))</f>
        <v/>
      </c>
      <c r="BN323" s="5">
        <f>IF('Project Database'!A327="","",N('Project Database'!AG327))</f>
        <v/>
      </c>
      <c r="BO323" s="5">
        <f>IF('Project Database'!A327="","",N('Project Database'!AH327))</f>
        <v/>
      </c>
      <c r="BP323" s="5">
        <f>IF('Project Database'!A327="","",N('Project Database'!AI327))</f>
        <v/>
      </c>
      <c r="BQ323" s="5">
        <f>IF('Project Database'!A327="","",N('Project Database'!AJ327))</f>
        <v/>
      </c>
      <c r="BR323" s="5">
        <f>IF('Project Database'!A327="","",N('Project Database'!AK327))</f>
        <v/>
      </c>
      <c r="BS323" s="5">
        <f>IF('Project Database'!A327="","",N('Project Database'!AL327))</f>
        <v/>
      </c>
      <c r="BT323" s="5">
        <f>IF('Project Database'!A327="","",N('Project Database'!AM327))</f>
        <v/>
      </c>
      <c r="BU323" s="5">
        <f>IF('Project Database'!A327="","",N('Project Database'!AN327))</f>
        <v/>
      </c>
      <c r="BV323" s="5">
        <f>IF('Project Database'!A327="","",N('Project Database'!AO327))</f>
        <v/>
      </c>
      <c r="BW323" s="5">
        <f>IF('Project Database'!A327="","",N('Project Database'!AP327))</f>
        <v/>
      </c>
      <c r="BX323" s="5">
        <f>IF(A323="","",SUM(BJ323:BW323))</f>
        <v/>
      </c>
      <c r="BY323" s="5">
        <f>IF(A323="","",IFERROR(IF(ISNUMBER(U323),U323,VALUE(SUBSTITUTE(SUBSTITUTE(SUBSTITUTE(UPPER(TRIM(U323)),"M",""),",","")," ",""))),0))</f>
        <v/>
      </c>
    </row>
    <row r="324" ht="15" customHeight="1" s="74">
      <c r="A324" s="66">
        <f>'Project Database'!A328</f>
        <v/>
      </c>
      <c r="B324" s="66">
        <f>'Project Database'!B328</f>
        <v/>
      </c>
      <c r="C324" s="66">
        <f>'Project Database'!G328</f>
        <v/>
      </c>
      <c r="D324" s="66">
        <f>'Project Database'!H328</f>
        <v/>
      </c>
      <c r="E324" s="66">
        <f>'Project Database'!I328</f>
        <v/>
      </c>
      <c r="F324" s="66">
        <f>'Project Database'!J328</f>
        <v/>
      </c>
      <c r="G324" s="66">
        <f>'Project Database'!K328</f>
        <v/>
      </c>
      <c r="H324" s="66">
        <f>'Project Database'!L328</f>
        <v/>
      </c>
      <c r="I324" s="66">
        <f>'Project Database'!M328</f>
        <v/>
      </c>
      <c r="J324" s="66">
        <f>'Project Database'!N328</f>
        <v/>
      </c>
      <c r="K324" s="66">
        <f>'Project Database'!O328</f>
        <v/>
      </c>
      <c r="L324" s="66">
        <f>'Project Database'!P328</f>
        <v/>
      </c>
      <c r="M324" s="66">
        <f>'Project Database'!Q328</f>
        <v/>
      </c>
      <c r="N324" s="66">
        <f>'Project Database'!R328</f>
        <v/>
      </c>
      <c r="O324" s="66">
        <f>'Project Database'!S328</f>
        <v/>
      </c>
      <c r="P324" s="66">
        <f>'Project Database'!T328</f>
        <v/>
      </c>
      <c r="Q324" s="66">
        <f>'Project Database'!U328</f>
        <v/>
      </c>
      <c r="R324" s="66">
        <f>'Project Database'!V328</f>
        <v/>
      </c>
      <c r="S324" s="66">
        <f>'Project Database'!W328</f>
        <v/>
      </c>
      <c r="T324" s="66">
        <f>'Project Database'!X328</f>
        <v/>
      </c>
      <c r="U324" s="67">
        <f>'Project Database'!Y328</f>
        <v/>
      </c>
      <c r="V324" s="66">
        <f>IF('Smart Search'!B13=1,IFERROR(1/'Smart Search'!H13,0),0)</f>
        <v/>
      </c>
      <c r="W324" s="66">
        <f>IF('Smart Search'!B13=1,IFERROR(1/'Smart Search'!H13,0),0)</f>
        <v/>
      </c>
      <c r="X324" s="66">
        <f>IF('Smart Search'!C13=1,IFERROR(1/'Smart Search'!H13,0),0)</f>
        <v/>
      </c>
      <c r="Y324" s="66">
        <f>IF('Smart Search'!C13=1,IFERROR(1/'Smart Search'!H13,0),0)</f>
        <v/>
      </c>
      <c r="Z324" s="66">
        <f>IF('Smart Search'!D13=1,IFERROR(1/'Smart Search'!H13,0),0)</f>
        <v/>
      </c>
      <c r="AA324" s="66">
        <f>IF('Smart Search'!D13=1,IFERROR(1/'Smart Search'!H13,0),0)</f>
        <v/>
      </c>
      <c r="AB324" s="66">
        <f>IF('Smart Search'!E13=1,IFERROR(1/'Smart Search'!H13,0),0)</f>
        <v/>
      </c>
      <c r="AC324" s="66">
        <f>IF('Smart Search'!E13=1,IFERROR(1/'Smart Search'!H13,0),0)</f>
        <v/>
      </c>
      <c r="AD324" s="66">
        <f>IF('Smart Search'!F13=1,IFERROR(1/'Smart Search'!H13,0),0)</f>
        <v/>
      </c>
      <c r="AE324" s="66">
        <f>IF('Smart Search'!F13=1,IFERROR(1/'Smart Search'!H13,0),0)</f>
        <v/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66">
        <f>AF324*V324</f>
        <v/>
      </c>
      <c r="AQ324" s="66">
        <f>AG324*W324</f>
        <v/>
      </c>
      <c r="AR324" s="66">
        <f>AH324*X324</f>
        <v/>
      </c>
      <c r="AS324" s="66">
        <f>AI324*Y324</f>
        <v/>
      </c>
      <c r="AT324" s="66">
        <f>AJ324*Z324</f>
        <v/>
      </c>
      <c r="AU324" s="66">
        <f>AK324*AA324</f>
        <v/>
      </c>
      <c r="AV324" s="66">
        <f>AL324*AB324</f>
        <v/>
      </c>
      <c r="AW324" s="66">
        <f>AM324*AC324</f>
        <v/>
      </c>
      <c r="AX324" s="66">
        <f>AN324*AD324</f>
        <v/>
      </c>
      <c r="AY324" s="66">
        <f>AO324*AE324</f>
        <v/>
      </c>
      <c r="AZ324" s="66">
        <f>'Project Database'!Z328</f>
        <v/>
      </c>
      <c r="BA324" s="66">
        <f>IF(OR(A324="",'Smart Search'!H13=0),"",MAX(0,BE324*BF324*MAX(0,1-BG324)))</f>
        <v/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66">
        <f>IF('Smart Search'!G13=1,IFERROR(1/'Smart Search'!H13,0),0)</f>
        <v/>
      </c>
      <c r="BD324" s="66">
        <f>BB324*BC324</f>
        <v/>
      </c>
      <c r="BE324" s="66">
        <f>AP324+AQ324+AR324+AS324+AT324+AU324+AV324+AW324+AX324+AY324+BD324</f>
        <v/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5">
        <f>IF(AND('Project Database'!A328&lt;&gt;"",OR('Smart Search'!$L$5="",'Smart Search'!$L$5="All",TRIM('Project Database'!D328)=TRIM('Smart Search'!$L$5)),OR(TRIM('Smart Search'!$L$6)="",TRIM('Smart Search'!$L$6)="All",ISNUMBER(SEARCH(SUBSTITUTE(SUBSTITUTE(SUBSTITUTE(TRIM('Smart Search'!$L$6),"~","~~"),"*","~*"),"?","~?"),'Project Database'!C328))),OR('Smart Search'!$L$7="",AND('Project Database'!E328&lt;&gt;"",'Project Database'!E328='Smart Search'!$L$7)),OR('Smart Search'!$L$8="",'Smart Search'!$L$8="All",TRIM('Project Database'!F328)=TRIM('Smart Search'!$L$8))),IF(BA324="","",BA324+ROW()*0.0000000001),"")</f>
        <v/>
      </c>
      <c r="BI324" s="5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>
        <f>IF('Project Database'!A328="","",N('Project Database'!AC328))</f>
        <v/>
      </c>
      <c r="BK324" s="5">
        <f>IF('Project Database'!A328="","",N('Project Database'!AD328))</f>
        <v/>
      </c>
      <c r="BL324" s="5">
        <f>IF('Project Database'!A328="","",N('Project Database'!AE328))</f>
        <v/>
      </c>
      <c r="BM324" s="5">
        <f>IF('Project Database'!A328="","",N('Project Database'!AF328))</f>
        <v/>
      </c>
      <c r="BN324" s="5">
        <f>IF('Project Database'!A328="","",N('Project Database'!AG328))</f>
        <v/>
      </c>
      <c r="BO324" s="5">
        <f>IF('Project Database'!A328="","",N('Project Database'!AH328))</f>
        <v/>
      </c>
      <c r="BP324" s="5">
        <f>IF('Project Database'!A328="","",N('Project Database'!AI328))</f>
        <v/>
      </c>
      <c r="BQ324" s="5">
        <f>IF('Project Database'!A328="","",N('Project Database'!AJ328))</f>
        <v/>
      </c>
      <c r="BR324" s="5">
        <f>IF('Project Database'!A328="","",N('Project Database'!AK328))</f>
        <v/>
      </c>
      <c r="BS324" s="5">
        <f>IF('Project Database'!A328="","",N('Project Database'!AL328))</f>
        <v/>
      </c>
      <c r="BT324" s="5">
        <f>IF('Project Database'!A328="","",N('Project Database'!AM328))</f>
        <v/>
      </c>
      <c r="BU324" s="5">
        <f>IF('Project Database'!A328="","",N('Project Database'!AN328))</f>
        <v/>
      </c>
      <c r="BV324" s="5">
        <f>IF('Project Database'!A328="","",N('Project Database'!AO328))</f>
        <v/>
      </c>
      <c r="BW324" s="5">
        <f>IF('Project Database'!A328="","",N('Project Database'!AP328))</f>
        <v/>
      </c>
      <c r="BX324" s="5">
        <f>IF(A324="","",SUM(BJ324:BW324))</f>
        <v/>
      </c>
      <c r="BY324" s="5">
        <f>IF(A324="","",IFERROR(IF(ISNUMBER(U324),U324,VALUE(SUBSTITUTE(SUBSTITUTE(SUBSTITUTE(UPPER(TRIM(U324)),"M",""),",","")," ",""))),0))</f>
        <v/>
      </c>
    </row>
    <row r="325" ht="15" customHeight="1" s="74">
      <c r="A325" s="66">
        <f>'Project Database'!A329</f>
        <v/>
      </c>
      <c r="B325" s="66">
        <f>'Project Database'!B329</f>
        <v/>
      </c>
      <c r="C325" s="66">
        <f>'Project Database'!G329</f>
        <v/>
      </c>
      <c r="D325" s="66">
        <f>'Project Database'!H329</f>
        <v/>
      </c>
      <c r="E325" s="66">
        <f>'Project Database'!I329</f>
        <v/>
      </c>
      <c r="F325" s="66">
        <f>'Project Database'!J329</f>
        <v/>
      </c>
      <c r="G325" s="66">
        <f>'Project Database'!K329</f>
        <v/>
      </c>
      <c r="H325" s="66">
        <f>'Project Database'!L329</f>
        <v/>
      </c>
      <c r="I325" s="66">
        <f>'Project Database'!M329</f>
        <v/>
      </c>
      <c r="J325" s="66">
        <f>'Project Database'!N329</f>
        <v/>
      </c>
      <c r="K325" s="66">
        <f>'Project Database'!O329</f>
        <v/>
      </c>
      <c r="L325" s="66">
        <f>'Project Database'!P329</f>
        <v/>
      </c>
      <c r="M325" s="66">
        <f>'Project Database'!Q329</f>
        <v/>
      </c>
      <c r="N325" s="66">
        <f>'Project Database'!R329</f>
        <v/>
      </c>
      <c r="O325" s="66">
        <f>'Project Database'!S329</f>
        <v/>
      </c>
      <c r="P325" s="66">
        <f>'Project Database'!T329</f>
        <v/>
      </c>
      <c r="Q325" s="66">
        <f>'Project Database'!U329</f>
        <v/>
      </c>
      <c r="R325" s="66">
        <f>'Project Database'!V329</f>
        <v/>
      </c>
      <c r="S325" s="66">
        <f>'Project Database'!W329</f>
        <v/>
      </c>
      <c r="T325" s="66">
        <f>'Project Database'!X329</f>
        <v/>
      </c>
      <c r="U325" s="67">
        <f>'Project Database'!Y329</f>
        <v/>
      </c>
      <c r="V325" s="66">
        <f>IF('Smart Search'!B13=1,IFERROR(1/'Smart Search'!H13,0),0)</f>
        <v/>
      </c>
      <c r="W325" s="66">
        <f>IF('Smart Search'!B13=1,IFERROR(1/'Smart Search'!H13,0),0)</f>
        <v/>
      </c>
      <c r="X325" s="66">
        <f>IF('Smart Search'!C13=1,IFERROR(1/'Smart Search'!H13,0),0)</f>
        <v/>
      </c>
      <c r="Y325" s="66">
        <f>IF('Smart Search'!C13=1,IFERROR(1/'Smart Search'!H13,0),0)</f>
        <v/>
      </c>
      <c r="Z325" s="66">
        <f>IF('Smart Search'!D13=1,IFERROR(1/'Smart Search'!H13,0),0)</f>
        <v/>
      </c>
      <c r="AA325" s="66">
        <f>IF('Smart Search'!D13=1,IFERROR(1/'Smart Search'!H13,0),0)</f>
        <v/>
      </c>
      <c r="AB325" s="66">
        <f>IF('Smart Search'!E13=1,IFERROR(1/'Smart Search'!H13,0),0)</f>
        <v/>
      </c>
      <c r="AC325" s="66">
        <f>IF('Smart Search'!E13=1,IFERROR(1/'Smart Search'!H13,0),0)</f>
        <v/>
      </c>
      <c r="AD325" s="66">
        <f>IF('Smart Search'!F13=1,IFERROR(1/'Smart Search'!H13,0),0)</f>
        <v/>
      </c>
      <c r="AE325" s="66">
        <f>IF('Smart Search'!F13=1,IFERROR(1/'Smart Search'!H13,0),0)</f>
        <v/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66">
        <f>AF325*V325</f>
        <v/>
      </c>
      <c r="AQ325" s="66">
        <f>AG325*W325</f>
        <v/>
      </c>
      <c r="AR325" s="66">
        <f>AH325*X325</f>
        <v/>
      </c>
      <c r="AS325" s="66">
        <f>AI325*Y325</f>
        <v/>
      </c>
      <c r="AT325" s="66">
        <f>AJ325*Z325</f>
        <v/>
      </c>
      <c r="AU325" s="66">
        <f>AK325*AA325</f>
        <v/>
      </c>
      <c r="AV325" s="66">
        <f>AL325*AB325</f>
        <v/>
      </c>
      <c r="AW325" s="66">
        <f>AM325*AC325</f>
        <v/>
      </c>
      <c r="AX325" s="66">
        <f>AN325*AD325</f>
        <v/>
      </c>
      <c r="AY325" s="66">
        <f>AO325*AE325</f>
        <v/>
      </c>
      <c r="AZ325" s="66">
        <f>'Project Database'!Z329</f>
        <v/>
      </c>
      <c r="BA325" s="66">
        <f>IF(OR(A325="",'Smart Search'!H13=0),"",MAX(0,BE325*BF325*MAX(0,1-BG325)))</f>
        <v/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66">
        <f>IF('Smart Search'!G13=1,IFERROR(1/'Smart Search'!H13,0),0)</f>
        <v/>
      </c>
      <c r="BD325" s="66">
        <f>BB325*BC325</f>
        <v/>
      </c>
      <c r="BE325" s="66">
        <f>AP325+AQ325+AR325+AS325+AT325+AU325+AV325+AW325+AX325+AY325+BD325</f>
        <v/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5">
        <f>IF(AND('Project Database'!A329&lt;&gt;"",OR('Smart Search'!$L$5="",'Smart Search'!$L$5="All",TRIM('Project Database'!D329)=TRIM('Smart Search'!$L$5)),OR(TRIM('Smart Search'!$L$6)="",TRIM('Smart Search'!$L$6)="All",ISNUMBER(SEARCH(SUBSTITUTE(SUBSTITUTE(SUBSTITUTE(TRIM('Smart Search'!$L$6),"~","~~"),"*","~*"),"?","~?"),'Project Database'!C329))),OR('Smart Search'!$L$7="",AND('Project Database'!E329&lt;&gt;"",'Project Database'!E329='Smart Search'!$L$7)),OR('Smart Search'!$L$8="",'Smart Search'!$L$8="All",TRIM('Project Database'!F329)=TRIM('Smart Search'!$L$8))),IF(BA325="","",BA325+ROW()*0.0000000001),"")</f>
        <v/>
      </c>
      <c r="BI325" s="5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>
        <f>IF('Project Database'!A329="","",N('Project Database'!AC329))</f>
        <v/>
      </c>
      <c r="BK325" s="5">
        <f>IF('Project Database'!A329="","",N('Project Database'!AD329))</f>
        <v/>
      </c>
      <c r="BL325" s="5">
        <f>IF('Project Database'!A329="","",N('Project Database'!AE329))</f>
        <v/>
      </c>
      <c r="BM325" s="5">
        <f>IF('Project Database'!A329="","",N('Project Database'!AF329))</f>
        <v/>
      </c>
      <c r="BN325" s="5">
        <f>IF('Project Database'!A329="","",N('Project Database'!AG329))</f>
        <v/>
      </c>
      <c r="BO325" s="5">
        <f>IF('Project Database'!A329="","",N('Project Database'!AH329))</f>
        <v/>
      </c>
      <c r="BP325" s="5">
        <f>IF('Project Database'!A329="","",N('Project Database'!AI329))</f>
        <v/>
      </c>
      <c r="BQ325" s="5">
        <f>IF('Project Database'!A329="","",N('Project Database'!AJ329))</f>
        <v/>
      </c>
      <c r="BR325" s="5">
        <f>IF('Project Database'!A329="","",N('Project Database'!AK329))</f>
        <v/>
      </c>
      <c r="BS325" s="5">
        <f>IF('Project Database'!A329="","",N('Project Database'!AL329))</f>
        <v/>
      </c>
      <c r="BT325" s="5">
        <f>IF('Project Database'!A329="","",N('Project Database'!AM329))</f>
        <v/>
      </c>
      <c r="BU325" s="5">
        <f>IF('Project Database'!A329="","",N('Project Database'!AN329))</f>
        <v/>
      </c>
      <c r="BV325" s="5">
        <f>IF('Project Database'!A329="","",N('Project Database'!AO329))</f>
        <v/>
      </c>
      <c r="BW325" s="5">
        <f>IF('Project Database'!A329="","",N('Project Database'!AP329))</f>
        <v/>
      </c>
      <c r="BX325" s="5">
        <f>IF(A325="","",SUM(BJ325:BW325))</f>
        <v/>
      </c>
      <c r="BY325" s="5">
        <f>IF(A325="","",IFERROR(IF(ISNUMBER(U325),U325,VALUE(SUBSTITUTE(SUBSTITUTE(SUBSTITUTE(UPPER(TRIM(U325)),"M",""),",","")," ",""))),0))</f>
        <v/>
      </c>
    </row>
    <row r="326" ht="15" customHeight="1" s="74">
      <c r="A326" s="66">
        <f>'Project Database'!A330</f>
        <v/>
      </c>
      <c r="B326" s="66">
        <f>'Project Database'!B330</f>
        <v/>
      </c>
      <c r="C326" s="66">
        <f>'Project Database'!G330</f>
        <v/>
      </c>
      <c r="D326" s="66">
        <f>'Project Database'!H330</f>
        <v/>
      </c>
      <c r="E326" s="66">
        <f>'Project Database'!I330</f>
        <v/>
      </c>
      <c r="F326" s="66">
        <f>'Project Database'!J330</f>
        <v/>
      </c>
      <c r="G326" s="66">
        <f>'Project Database'!K330</f>
        <v/>
      </c>
      <c r="H326" s="66">
        <f>'Project Database'!L330</f>
        <v/>
      </c>
      <c r="I326" s="66">
        <f>'Project Database'!M330</f>
        <v/>
      </c>
      <c r="J326" s="66">
        <f>'Project Database'!N330</f>
        <v/>
      </c>
      <c r="K326" s="66">
        <f>'Project Database'!O330</f>
        <v/>
      </c>
      <c r="L326" s="66">
        <f>'Project Database'!P330</f>
        <v/>
      </c>
      <c r="M326" s="66">
        <f>'Project Database'!Q330</f>
        <v/>
      </c>
      <c r="N326" s="66">
        <f>'Project Database'!R330</f>
        <v/>
      </c>
      <c r="O326" s="66">
        <f>'Project Database'!S330</f>
        <v/>
      </c>
      <c r="P326" s="66">
        <f>'Project Database'!T330</f>
        <v/>
      </c>
      <c r="Q326" s="66">
        <f>'Project Database'!U330</f>
        <v/>
      </c>
      <c r="R326" s="66">
        <f>'Project Database'!V330</f>
        <v/>
      </c>
      <c r="S326" s="66">
        <f>'Project Database'!W330</f>
        <v/>
      </c>
      <c r="T326" s="66">
        <f>'Project Database'!X330</f>
        <v/>
      </c>
      <c r="U326" s="67">
        <f>'Project Database'!Y330</f>
        <v/>
      </c>
      <c r="V326" s="66">
        <f>IF('Smart Search'!B13=1,IFERROR(1/'Smart Search'!H13,0),0)</f>
        <v/>
      </c>
      <c r="W326" s="66">
        <f>IF('Smart Search'!B13=1,IFERROR(1/'Smart Search'!H13,0),0)</f>
        <v/>
      </c>
      <c r="X326" s="66">
        <f>IF('Smart Search'!C13=1,IFERROR(1/'Smart Search'!H13,0),0)</f>
        <v/>
      </c>
      <c r="Y326" s="66">
        <f>IF('Smart Search'!C13=1,IFERROR(1/'Smart Search'!H13,0),0)</f>
        <v/>
      </c>
      <c r="Z326" s="66">
        <f>IF('Smart Search'!D13=1,IFERROR(1/'Smart Search'!H13,0),0)</f>
        <v/>
      </c>
      <c r="AA326" s="66">
        <f>IF('Smart Search'!D13=1,IFERROR(1/'Smart Search'!H13,0),0)</f>
        <v/>
      </c>
      <c r="AB326" s="66">
        <f>IF('Smart Search'!E13=1,IFERROR(1/'Smart Search'!H13,0),0)</f>
        <v/>
      </c>
      <c r="AC326" s="66">
        <f>IF('Smart Search'!E13=1,IFERROR(1/'Smart Search'!H13,0),0)</f>
        <v/>
      </c>
      <c r="AD326" s="66">
        <f>IF('Smart Search'!F13=1,IFERROR(1/'Smart Search'!H13,0),0)</f>
        <v/>
      </c>
      <c r="AE326" s="66">
        <f>IF('Smart Search'!F13=1,IFERROR(1/'Smart Search'!H13,0),0)</f>
        <v/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66">
        <f>AF326*V326</f>
        <v/>
      </c>
      <c r="AQ326" s="66">
        <f>AG326*W326</f>
        <v/>
      </c>
      <c r="AR326" s="66">
        <f>AH326*X326</f>
        <v/>
      </c>
      <c r="AS326" s="66">
        <f>AI326*Y326</f>
        <v/>
      </c>
      <c r="AT326" s="66">
        <f>AJ326*Z326</f>
        <v/>
      </c>
      <c r="AU326" s="66">
        <f>AK326*AA326</f>
        <v/>
      </c>
      <c r="AV326" s="66">
        <f>AL326*AB326</f>
        <v/>
      </c>
      <c r="AW326" s="66">
        <f>AM326*AC326</f>
        <v/>
      </c>
      <c r="AX326" s="66">
        <f>AN326*AD326</f>
        <v/>
      </c>
      <c r="AY326" s="66">
        <f>AO326*AE326</f>
        <v/>
      </c>
      <c r="AZ326" s="66">
        <f>'Project Database'!Z330</f>
        <v/>
      </c>
      <c r="BA326" s="66">
        <f>IF(OR(A326="",'Smart Search'!H13=0),"",MAX(0,BE326*BF326*MAX(0,1-BG326)))</f>
        <v/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66">
        <f>IF('Smart Search'!G13=1,IFERROR(1/'Smart Search'!H13,0),0)</f>
        <v/>
      </c>
      <c r="BD326" s="66">
        <f>BB326*BC326</f>
        <v/>
      </c>
      <c r="BE326" s="66">
        <f>AP326+AQ326+AR326+AS326+AT326+AU326+AV326+AW326+AX326+AY326+BD326</f>
        <v/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5">
        <f>IF(AND('Project Database'!A330&lt;&gt;"",OR('Smart Search'!$L$5="",'Smart Search'!$L$5="All",TRIM('Project Database'!D330)=TRIM('Smart Search'!$L$5)),OR(TRIM('Smart Search'!$L$6)="",TRIM('Smart Search'!$L$6)="All",ISNUMBER(SEARCH(SUBSTITUTE(SUBSTITUTE(SUBSTITUTE(TRIM('Smart Search'!$L$6),"~","~~"),"*","~*"),"?","~?"),'Project Database'!C330))),OR('Smart Search'!$L$7="",AND('Project Database'!E330&lt;&gt;"",'Project Database'!E330='Smart Search'!$L$7)),OR('Smart Search'!$L$8="",'Smart Search'!$L$8="All",TRIM('Project Database'!F330)=TRIM('Smart Search'!$L$8))),IF(BA326="","",BA326+ROW()*0.0000000001),"")</f>
        <v/>
      </c>
      <c r="BI326" s="5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>
        <f>IF('Project Database'!A330="","",N('Project Database'!AC330))</f>
        <v/>
      </c>
      <c r="BK326" s="5">
        <f>IF('Project Database'!A330="","",N('Project Database'!AD330))</f>
        <v/>
      </c>
      <c r="BL326" s="5">
        <f>IF('Project Database'!A330="","",N('Project Database'!AE330))</f>
        <v/>
      </c>
      <c r="BM326" s="5">
        <f>IF('Project Database'!A330="","",N('Project Database'!AF330))</f>
        <v/>
      </c>
      <c r="BN326" s="5">
        <f>IF('Project Database'!A330="","",N('Project Database'!AG330))</f>
        <v/>
      </c>
      <c r="BO326" s="5">
        <f>IF('Project Database'!A330="","",N('Project Database'!AH330))</f>
        <v/>
      </c>
      <c r="BP326" s="5">
        <f>IF('Project Database'!A330="","",N('Project Database'!AI330))</f>
        <v/>
      </c>
      <c r="BQ326" s="5">
        <f>IF('Project Database'!A330="","",N('Project Database'!AJ330))</f>
        <v/>
      </c>
      <c r="BR326" s="5">
        <f>IF('Project Database'!A330="","",N('Project Database'!AK330))</f>
        <v/>
      </c>
      <c r="BS326" s="5">
        <f>IF('Project Database'!A330="","",N('Project Database'!AL330))</f>
        <v/>
      </c>
      <c r="BT326" s="5">
        <f>IF('Project Database'!A330="","",N('Project Database'!AM330))</f>
        <v/>
      </c>
      <c r="BU326" s="5">
        <f>IF('Project Database'!A330="","",N('Project Database'!AN330))</f>
        <v/>
      </c>
      <c r="BV326" s="5">
        <f>IF('Project Database'!A330="","",N('Project Database'!AO330))</f>
        <v/>
      </c>
      <c r="BW326" s="5">
        <f>IF('Project Database'!A330="","",N('Project Database'!AP330))</f>
        <v/>
      </c>
      <c r="BX326" s="5">
        <f>IF(A326="","",SUM(BJ326:BW326))</f>
        <v/>
      </c>
      <c r="BY326" s="5">
        <f>IF(A326="","",IFERROR(IF(ISNUMBER(U326),U326,VALUE(SUBSTITUTE(SUBSTITUTE(SUBSTITUTE(UPPER(TRIM(U326)),"M",""),",","")," ",""))),0))</f>
        <v/>
      </c>
    </row>
    <row r="327" ht="15" customHeight="1" s="74">
      <c r="A327" s="66">
        <f>'Project Database'!A331</f>
        <v/>
      </c>
      <c r="B327" s="66">
        <f>'Project Database'!B331</f>
        <v/>
      </c>
      <c r="C327" s="66">
        <f>'Project Database'!G331</f>
        <v/>
      </c>
      <c r="D327" s="66">
        <f>'Project Database'!H331</f>
        <v/>
      </c>
      <c r="E327" s="66">
        <f>'Project Database'!I331</f>
        <v/>
      </c>
      <c r="F327" s="66">
        <f>'Project Database'!J331</f>
        <v/>
      </c>
      <c r="G327" s="66">
        <f>'Project Database'!K331</f>
        <v/>
      </c>
      <c r="H327" s="66">
        <f>'Project Database'!L331</f>
        <v/>
      </c>
      <c r="I327" s="66">
        <f>'Project Database'!M331</f>
        <v/>
      </c>
      <c r="J327" s="66">
        <f>'Project Database'!N331</f>
        <v/>
      </c>
      <c r="K327" s="66">
        <f>'Project Database'!O331</f>
        <v/>
      </c>
      <c r="L327" s="66">
        <f>'Project Database'!P331</f>
        <v/>
      </c>
      <c r="M327" s="66">
        <f>'Project Database'!Q331</f>
        <v/>
      </c>
      <c r="N327" s="66">
        <f>'Project Database'!R331</f>
        <v/>
      </c>
      <c r="O327" s="66">
        <f>'Project Database'!S331</f>
        <v/>
      </c>
      <c r="P327" s="66">
        <f>'Project Database'!T331</f>
        <v/>
      </c>
      <c r="Q327" s="66">
        <f>'Project Database'!U331</f>
        <v/>
      </c>
      <c r="R327" s="66">
        <f>'Project Database'!V331</f>
        <v/>
      </c>
      <c r="S327" s="66">
        <f>'Project Database'!W331</f>
        <v/>
      </c>
      <c r="T327" s="66">
        <f>'Project Database'!X331</f>
        <v/>
      </c>
      <c r="U327" s="67">
        <f>'Project Database'!Y331</f>
        <v/>
      </c>
      <c r="V327" s="66">
        <f>IF('Smart Search'!B13=1,IFERROR(1/'Smart Search'!H13,0),0)</f>
        <v/>
      </c>
      <c r="W327" s="66">
        <f>IF('Smart Search'!B13=1,IFERROR(1/'Smart Search'!H13,0),0)</f>
        <v/>
      </c>
      <c r="X327" s="66">
        <f>IF('Smart Search'!C13=1,IFERROR(1/'Smart Search'!H13,0),0)</f>
        <v/>
      </c>
      <c r="Y327" s="66">
        <f>IF('Smart Search'!C13=1,IFERROR(1/'Smart Search'!H13,0),0)</f>
        <v/>
      </c>
      <c r="Z327" s="66">
        <f>IF('Smart Search'!D13=1,IFERROR(1/'Smart Search'!H13,0),0)</f>
        <v/>
      </c>
      <c r="AA327" s="66">
        <f>IF('Smart Search'!D13=1,IFERROR(1/'Smart Search'!H13,0),0)</f>
        <v/>
      </c>
      <c r="AB327" s="66">
        <f>IF('Smart Search'!E13=1,IFERROR(1/'Smart Search'!H13,0),0)</f>
        <v/>
      </c>
      <c r="AC327" s="66">
        <f>IF('Smart Search'!E13=1,IFERROR(1/'Smart Search'!H13,0),0)</f>
        <v/>
      </c>
      <c r="AD327" s="66">
        <f>IF('Smart Search'!F13=1,IFERROR(1/'Smart Search'!H13,0),0)</f>
        <v/>
      </c>
      <c r="AE327" s="66">
        <f>IF('Smart Search'!F13=1,IFERROR(1/'Smart Search'!H13,0),0)</f>
        <v/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66">
        <f>AF327*V327</f>
        <v/>
      </c>
      <c r="AQ327" s="66">
        <f>AG327*W327</f>
        <v/>
      </c>
      <c r="AR327" s="66">
        <f>AH327*X327</f>
        <v/>
      </c>
      <c r="AS327" s="66">
        <f>AI327*Y327</f>
        <v/>
      </c>
      <c r="AT327" s="66">
        <f>AJ327*Z327</f>
        <v/>
      </c>
      <c r="AU327" s="66">
        <f>AK327*AA327</f>
        <v/>
      </c>
      <c r="AV327" s="66">
        <f>AL327*AB327</f>
        <v/>
      </c>
      <c r="AW327" s="66">
        <f>AM327*AC327</f>
        <v/>
      </c>
      <c r="AX327" s="66">
        <f>AN327*AD327</f>
        <v/>
      </c>
      <c r="AY327" s="66">
        <f>AO327*AE327</f>
        <v/>
      </c>
      <c r="AZ327" s="66">
        <f>'Project Database'!Z331</f>
        <v/>
      </c>
      <c r="BA327" s="66">
        <f>IF(OR(A327="",'Smart Search'!H13=0),"",MAX(0,BE327*BF327*MAX(0,1-BG327)))</f>
        <v/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66">
        <f>IF('Smart Search'!G13=1,IFERROR(1/'Smart Search'!H13,0),0)</f>
        <v/>
      </c>
      <c r="BD327" s="66">
        <f>BB327*BC327</f>
        <v/>
      </c>
      <c r="BE327" s="66">
        <f>AP327+AQ327+AR327+AS327+AT327+AU327+AV327+AW327+AX327+AY327+BD327</f>
        <v/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5">
        <f>IF(AND('Project Database'!A331&lt;&gt;"",OR('Smart Search'!$L$5="",'Smart Search'!$L$5="All",TRIM('Project Database'!D331)=TRIM('Smart Search'!$L$5)),OR(TRIM('Smart Search'!$L$6)="",TRIM('Smart Search'!$L$6)="All",ISNUMBER(SEARCH(SUBSTITUTE(SUBSTITUTE(SUBSTITUTE(TRIM('Smart Search'!$L$6),"~","~~"),"*","~*"),"?","~?"),'Project Database'!C331))),OR('Smart Search'!$L$7="",AND('Project Database'!E331&lt;&gt;"",'Project Database'!E331='Smart Search'!$L$7)),OR('Smart Search'!$L$8="",'Smart Search'!$L$8="All",TRIM('Project Database'!F331)=TRIM('Smart Search'!$L$8))),IF(BA327="","",BA327+ROW()*0.0000000001),"")</f>
        <v/>
      </c>
      <c r="BI327" s="5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>
        <f>IF('Project Database'!A331="","",N('Project Database'!AC331))</f>
        <v/>
      </c>
      <c r="BK327" s="5">
        <f>IF('Project Database'!A331="","",N('Project Database'!AD331))</f>
        <v/>
      </c>
      <c r="BL327" s="5">
        <f>IF('Project Database'!A331="","",N('Project Database'!AE331))</f>
        <v/>
      </c>
      <c r="BM327" s="5">
        <f>IF('Project Database'!A331="","",N('Project Database'!AF331))</f>
        <v/>
      </c>
      <c r="BN327" s="5">
        <f>IF('Project Database'!A331="","",N('Project Database'!AG331))</f>
        <v/>
      </c>
      <c r="BO327" s="5">
        <f>IF('Project Database'!A331="","",N('Project Database'!AH331))</f>
        <v/>
      </c>
      <c r="BP327" s="5">
        <f>IF('Project Database'!A331="","",N('Project Database'!AI331))</f>
        <v/>
      </c>
      <c r="BQ327" s="5">
        <f>IF('Project Database'!A331="","",N('Project Database'!AJ331))</f>
        <v/>
      </c>
      <c r="BR327" s="5">
        <f>IF('Project Database'!A331="","",N('Project Database'!AK331))</f>
        <v/>
      </c>
      <c r="BS327" s="5">
        <f>IF('Project Database'!A331="","",N('Project Database'!AL331))</f>
        <v/>
      </c>
      <c r="BT327" s="5">
        <f>IF('Project Database'!A331="","",N('Project Database'!AM331))</f>
        <v/>
      </c>
      <c r="BU327" s="5">
        <f>IF('Project Database'!A331="","",N('Project Database'!AN331))</f>
        <v/>
      </c>
      <c r="BV327" s="5">
        <f>IF('Project Database'!A331="","",N('Project Database'!AO331))</f>
        <v/>
      </c>
      <c r="BW327" s="5">
        <f>IF('Project Database'!A331="","",N('Project Database'!AP331))</f>
        <v/>
      </c>
      <c r="BX327" s="5">
        <f>IF(A327="","",SUM(BJ327:BW327))</f>
        <v/>
      </c>
      <c r="BY327" s="5">
        <f>IF(A327="","",IFERROR(IF(ISNUMBER(U327),U327,VALUE(SUBSTITUTE(SUBSTITUTE(SUBSTITUTE(UPPER(TRIM(U327)),"M",""),",","")," ",""))),0))</f>
        <v/>
      </c>
    </row>
    <row r="328" ht="15" customHeight="1" s="74">
      <c r="A328" s="66">
        <f>'Project Database'!A332</f>
        <v/>
      </c>
      <c r="B328" s="66">
        <f>'Project Database'!B332</f>
        <v/>
      </c>
      <c r="C328" s="66">
        <f>'Project Database'!G332</f>
        <v/>
      </c>
      <c r="D328" s="66">
        <f>'Project Database'!H332</f>
        <v/>
      </c>
      <c r="E328" s="66">
        <f>'Project Database'!I332</f>
        <v/>
      </c>
      <c r="F328" s="66">
        <f>'Project Database'!J332</f>
        <v/>
      </c>
      <c r="G328" s="66">
        <f>'Project Database'!K332</f>
        <v/>
      </c>
      <c r="H328" s="66">
        <f>'Project Database'!L332</f>
        <v/>
      </c>
      <c r="I328" s="66">
        <f>'Project Database'!M332</f>
        <v/>
      </c>
      <c r="J328" s="66">
        <f>'Project Database'!N332</f>
        <v/>
      </c>
      <c r="K328" s="66">
        <f>'Project Database'!O332</f>
        <v/>
      </c>
      <c r="L328" s="66">
        <f>'Project Database'!P332</f>
        <v/>
      </c>
      <c r="M328" s="66">
        <f>'Project Database'!Q332</f>
        <v/>
      </c>
      <c r="N328" s="66">
        <f>'Project Database'!R332</f>
        <v/>
      </c>
      <c r="O328" s="66">
        <f>'Project Database'!S332</f>
        <v/>
      </c>
      <c r="P328" s="66">
        <f>'Project Database'!T332</f>
        <v/>
      </c>
      <c r="Q328" s="66">
        <f>'Project Database'!U332</f>
        <v/>
      </c>
      <c r="R328" s="66">
        <f>'Project Database'!V332</f>
        <v/>
      </c>
      <c r="S328" s="66">
        <f>'Project Database'!W332</f>
        <v/>
      </c>
      <c r="T328" s="66">
        <f>'Project Database'!X332</f>
        <v/>
      </c>
      <c r="U328" s="67">
        <f>'Project Database'!Y332</f>
        <v/>
      </c>
      <c r="V328" s="66">
        <f>IF('Smart Search'!B13=1,IFERROR(1/'Smart Search'!H13,0),0)</f>
        <v/>
      </c>
      <c r="W328" s="66">
        <f>IF('Smart Search'!B13=1,IFERROR(1/'Smart Search'!H13,0),0)</f>
        <v/>
      </c>
      <c r="X328" s="66">
        <f>IF('Smart Search'!C13=1,IFERROR(1/'Smart Search'!H13,0),0)</f>
        <v/>
      </c>
      <c r="Y328" s="66">
        <f>IF('Smart Search'!C13=1,IFERROR(1/'Smart Search'!H13,0),0)</f>
        <v/>
      </c>
      <c r="Z328" s="66">
        <f>IF('Smart Search'!D13=1,IFERROR(1/'Smart Search'!H13,0),0)</f>
        <v/>
      </c>
      <c r="AA328" s="66">
        <f>IF('Smart Search'!D13=1,IFERROR(1/'Smart Search'!H13,0),0)</f>
        <v/>
      </c>
      <c r="AB328" s="66">
        <f>IF('Smart Search'!E13=1,IFERROR(1/'Smart Search'!H13,0),0)</f>
        <v/>
      </c>
      <c r="AC328" s="66">
        <f>IF('Smart Search'!E13=1,IFERROR(1/'Smart Search'!H13,0),0)</f>
        <v/>
      </c>
      <c r="AD328" s="66">
        <f>IF('Smart Search'!F13=1,IFERROR(1/'Smart Search'!H13,0),0)</f>
        <v/>
      </c>
      <c r="AE328" s="66">
        <f>IF('Smart Search'!F13=1,IFERROR(1/'Smart Search'!H13,0),0)</f>
        <v/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66">
        <f>AF328*V328</f>
        <v/>
      </c>
      <c r="AQ328" s="66">
        <f>AG328*W328</f>
        <v/>
      </c>
      <c r="AR328" s="66">
        <f>AH328*X328</f>
        <v/>
      </c>
      <c r="AS328" s="66">
        <f>AI328*Y328</f>
        <v/>
      </c>
      <c r="AT328" s="66">
        <f>AJ328*Z328</f>
        <v/>
      </c>
      <c r="AU328" s="66">
        <f>AK328*AA328</f>
        <v/>
      </c>
      <c r="AV328" s="66">
        <f>AL328*AB328</f>
        <v/>
      </c>
      <c r="AW328" s="66">
        <f>AM328*AC328</f>
        <v/>
      </c>
      <c r="AX328" s="66">
        <f>AN328*AD328</f>
        <v/>
      </c>
      <c r="AY328" s="66">
        <f>AO328*AE328</f>
        <v/>
      </c>
      <c r="AZ328" s="66">
        <f>'Project Database'!Z332</f>
        <v/>
      </c>
      <c r="BA328" s="66">
        <f>IF(OR(A328="",'Smart Search'!H13=0),"",MAX(0,BE328*BF328*MAX(0,1-BG328)))</f>
        <v/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66">
        <f>IF('Smart Search'!G13=1,IFERROR(1/'Smart Search'!H13,0),0)</f>
        <v/>
      </c>
      <c r="BD328" s="66">
        <f>BB328*BC328</f>
        <v/>
      </c>
      <c r="BE328" s="66">
        <f>AP328+AQ328+AR328+AS328+AT328+AU328+AV328+AW328+AX328+AY328+BD328</f>
        <v/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5">
        <f>IF(AND('Project Database'!A332&lt;&gt;"",OR('Smart Search'!$L$5="",'Smart Search'!$L$5="All",TRIM('Project Database'!D332)=TRIM('Smart Search'!$L$5)),OR(TRIM('Smart Search'!$L$6)="",TRIM('Smart Search'!$L$6)="All",ISNUMBER(SEARCH(SUBSTITUTE(SUBSTITUTE(SUBSTITUTE(TRIM('Smart Search'!$L$6),"~","~~"),"*","~*"),"?","~?"),'Project Database'!C332))),OR('Smart Search'!$L$7="",AND('Project Database'!E332&lt;&gt;"",'Project Database'!E332='Smart Search'!$L$7)),OR('Smart Search'!$L$8="",'Smart Search'!$L$8="All",TRIM('Project Database'!F332)=TRIM('Smart Search'!$L$8))),IF(BA328="","",BA328+ROW()*0.0000000001),"")</f>
        <v/>
      </c>
      <c r="BI328" s="5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>
        <f>IF('Project Database'!A332="","",N('Project Database'!AC332))</f>
        <v/>
      </c>
      <c r="BK328" s="5">
        <f>IF('Project Database'!A332="","",N('Project Database'!AD332))</f>
        <v/>
      </c>
      <c r="BL328" s="5">
        <f>IF('Project Database'!A332="","",N('Project Database'!AE332))</f>
        <v/>
      </c>
      <c r="BM328" s="5">
        <f>IF('Project Database'!A332="","",N('Project Database'!AF332))</f>
        <v/>
      </c>
      <c r="BN328" s="5">
        <f>IF('Project Database'!A332="","",N('Project Database'!AG332))</f>
        <v/>
      </c>
      <c r="BO328" s="5">
        <f>IF('Project Database'!A332="","",N('Project Database'!AH332))</f>
        <v/>
      </c>
      <c r="BP328" s="5">
        <f>IF('Project Database'!A332="","",N('Project Database'!AI332))</f>
        <v/>
      </c>
      <c r="BQ328" s="5">
        <f>IF('Project Database'!A332="","",N('Project Database'!AJ332))</f>
        <v/>
      </c>
      <c r="BR328" s="5">
        <f>IF('Project Database'!A332="","",N('Project Database'!AK332))</f>
        <v/>
      </c>
      <c r="BS328" s="5">
        <f>IF('Project Database'!A332="","",N('Project Database'!AL332))</f>
        <v/>
      </c>
      <c r="BT328" s="5">
        <f>IF('Project Database'!A332="","",N('Project Database'!AM332))</f>
        <v/>
      </c>
      <c r="BU328" s="5">
        <f>IF('Project Database'!A332="","",N('Project Database'!AN332))</f>
        <v/>
      </c>
      <c r="BV328" s="5">
        <f>IF('Project Database'!A332="","",N('Project Database'!AO332))</f>
        <v/>
      </c>
      <c r="BW328" s="5">
        <f>IF('Project Database'!A332="","",N('Project Database'!AP332))</f>
        <v/>
      </c>
      <c r="BX328" s="5">
        <f>IF(A328="","",SUM(BJ328:BW328))</f>
        <v/>
      </c>
      <c r="BY328" s="5">
        <f>IF(A328="","",IFERROR(IF(ISNUMBER(U328),U328,VALUE(SUBSTITUTE(SUBSTITUTE(SUBSTITUTE(UPPER(TRIM(U328)),"M",""),",","")," ",""))),0))</f>
        <v/>
      </c>
    </row>
    <row r="329" ht="15" customHeight="1" s="74">
      <c r="A329" s="66">
        <f>'Project Database'!A333</f>
        <v/>
      </c>
      <c r="B329" s="66">
        <f>'Project Database'!B333</f>
        <v/>
      </c>
      <c r="C329" s="66">
        <f>'Project Database'!G333</f>
        <v/>
      </c>
      <c r="D329" s="66">
        <f>'Project Database'!H333</f>
        <v/>
      </c>
      <c r="E329" s="66">
        <f>'Project Database'!I333</f>
        <v/>
      </c>
      <c r="F329" s="66">
        <f>'Project Database'!J333</f>
        <v/>
      </c>
      <c r="G329" s="66">
        <f>'Project Database'!K333</f>
        <v/>
      </c>
      <c r="H329" s="66">
        <f>'Project Database'!L333</f>
        <v/>
      </c>
      <c r="I329" s="66">
        <f>'Project Database'!M333</f>
        <v/>
      </c>
      <c r="J329" s="66">
        <f>'Project Database'!N333</f>
        <v/>
      </c>
      <c r="K329" s="66">
        <f>'Project Database'!O333</f>
        <v/>
      </c>
      <c r="L329" s="66">
        <f>'Project Database'!P333</f>
        <v/>
      </c>
      <c r="M329" s="66">
        <f>'Project Database'!Q333</f>
        <v/>
      </c>
      <c r="N329" s="66">
        <f>'Project Database'!R333</f>
        <v/>
      </c>
      <c r="O329" s="66">
        <f>'Project Database'!S333</f>
        <v/>
      </c>
      <c r="P329" s="66">
        <f>'Project Database'!T333</f>
        <v/>
      </c>
      <c r="Q329" s="66">
        <f>'Project Database'!U333</f>
        <v/>
      </c>
      <c r="R329" s="66">
        <f>'Project Database'!V333</f>
        <v/>
      </c>
      <c r="S329" s="66">
        <f>'Project Database'!W333</f>
        <v/>
      </c>
      <c r="T329" s="66">
        <f>'Project Database'!X333</f>
        <v/>
      </c>
      <c r="U329" s="67">
        <f>'Project Database'!Y333</f>
        <v/>
      </c>
      <c r="V329" s="66">
        <f>IF('Smart Search'!B13=1,IFERROR(1/'Smart Search'!H13,0),0)</f>
        <v/>
      </c>
      <c r="W329" s="66">
        <f>IF('Smart Search'!B13=1,IFERROR(1/'Smart Search'!H13,0),0)</f>
        <v/>
      </c>
      <c r="X329" s="66">
        <f>IF('Smart Search'!C13=1,IFERROR(1/'Smart Search'!H13,0),0)</f>
        <v/>
      </c>
      <c r="Y329" s="66">
        <f>IF('Smart Search'!C13=1,IFERROR(1/'Smart Search'!H13,0),0)</f>
        <v/>
      </c>
      <c r="Z329" s="66">
        <f>IF('Smart Search'!D13=1,IFERROR(1/'Smart Search'!H13,0),0)</f>
        <v/>
      </c>
      <c r="AA329" s="66">
        <f>IF('Smart Search'!D13=1,IFERROR(1/'Smart Search'!H13,0),0)</f>
        <v/>
      </c>
      <c r="AB329" s="66">
        <f>IF('Smart Search'!E13=1,IFERROR(1/'Smart Search'!H13,0),0)</f>
        <v/>
      </c>
      <c r="AC329" s="66">
        <f>IF('Smart Search'!E13=1,IFERROR(1/'Smart Search'!H13,0),0)</f>
        <v/>
      </c>
      <c r="AD329" s="66">
        <f>IF('Smart Search'!F13=1,IFERROR(1/'Smart Search'!H13,0),0)</f>
        <v/>
      </c>
      <c r="AE329" s="66">
        <f>IF('Smart Search'!F13=1,IFERROR(1/'Smart Search'!H13,0),0)</f>
        <v/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66">
        <f>AF329*V329</f>
        <v/>
      </c>
      <c r="AQ329" s="66">
        <f>AG329*W329</f>
        <v/>
      </c>
      <c r="AR329" s="66">
        <f>AH329*X329</f>
        <v/>
      </c>
      <c r="AS329" s="66">
        <f>AI329*Y329</f>
        <v/>
      </c>
      <c r="AT329" s="66">
        <f>AJ329*Z329</f>
        <v/>
      </c>
      <c r="AU329" s="66">
        <f>AK329*AA329</f>
        <v/>
      </c>
      <c r="AV329" s="66">
        <f>AL329*AB329</f>
        <v/>
      </c>
      <c r="AW329" s="66">
        <f>AM329*AC329</f>
        <v/>
      </c>
      <c r="AX329" s="66">
        <f>AN329*AD329</f>
        <v/>
      </c>
      <c r="AY329" s="66">
        <f>AO329*AE329</f>
        <v/>
      </c>
      <c r="AZ329" s="66">
        <f>'Project Database'!Z333</f>
        <v/>
      </c>
      <c r="BA329" s="66">
        <f>IF(OR(A329="",'Smart Search'!H13=0),"",MAX(0,BE329*BF329*MAX(0,1-BG329)))</f>
        <v/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66">
        <f>IF('Smart Search'!G13=1,IFERROR(1/'Smart Search'!H13,0),0)</f>
        <v/>
      </c>
      <c r="BD329" s="66">
        <f>BB329*BC329</f>
        <v/>
      </c>
      <c r="BE329" s="66">
        <f>AP329+AQ329+AR329+AS329+AT329+AU329+AV329+AW329+AX329+AY329+BD329</f>
        <v/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5">
        <f>IF(AND('Project Database'!A333&lt;&gt;"",OR('Smart Search'!$L$5="",'Smart Search'!$L$5="All",TRIM('Project Database'!D333)=TRIM('Smart Search'!$L$5)),OR(TRIM('Smart Search'!$L$6)="",TRIM('Smart Search'!$L$6)="All",ISNUMBER(SEARCH(SUBSTITUTE(SUBSTITUTE(SUBSTITUTE(TRIM('Smart Search'!$L$6),"~","~~"),"*","~*"),"?","~?"),'Project Database'!C333))),OR('Smart Search'!$L$7="",AND('Project Database'!E333&lt;&gt;"",'Project Database'!E333='Smart Search'!$L$7)),OR('Smart Search'!$L$8="",'Smart Search'!$L$8="All",TRIM('Project Database'!F333)=TRIM('Smart Search'!$L$8))),IF(BA329="","",BA329+ROW()*0.0000000001),"")</f>
        <v/>
      </c>
      <c r="BI329" s="5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>
        <f>IF('Project Database'!A333="","",N('Project Database'!AC333))</f>
        <v/>
      </c>
      <c r="BK329" s="5">
        <f>IF('Project Database'!A333="","",N('Project Database'!AD333))</f>
        <v/>
      </c>
      <c r="BL329" s="5">
        <f>IF('Project Database'!A333="","",N('Project Database'!AE333))</f>
        <v/>
      </c>
      <c r="BM329" s="5">
        <f>IF('Project Database'!A333="","",N('Project Database'!AF333))</f>
        <v/>
      </c>
      <c r="BN329" s="5">
        <f>IF('Project Database'!A333="","",N('Project Database'!AG333))</f>
        <v/>
      </c>
      <c r="BO329" s="5">
        <f>IF('Project Database'!A333="","",N('Project Database'!AH333))</f>
        <v/>
      </c>
      <c r="BP329" s="5">
        <f>IF('Project Database'!A333="","",N('Project Database'!AI333))</f>
        <v/>
      </c>
      <c r="BQ329" s="5">
        <f>IF('Project Database'!A333="","",N('Project Database'!AJ333))</f>
        <v/>
      </c>
      <c r="BR329" s="5">
        <f>IF('Project Database'!A333="","",N('Project Database'!AK333))</f>
        <v/>
      </c>
      <c r="BS329" s="5">
        <f>IF('Project Database'!A333="","",N('Project Database'!AL333))</f>
        <v/>
      </c>
      <c r="BT329" s="5">
        <f>IF('Project Database'!A333="","",N('Project Database'!AM333))</f>
        <v/>
      </c>
      <c r="BU329" s="5">
        <f>IF('Project Database'!A333="","",N('Project Database'!AN333))</f>
        <v/>
      </c>
      <c r="BV329" s="5">
        <f>IF('Project Database'!A333="","",N('Project Database'!AO333))</f>
        <v/>
      </c>
      <c r="BW329" s="5">
        <f>IF('Project Database'!A333="","",N('Project Database'!AP333))</f>
        <v/>
      </c>
      <c r="BX329" s="5">
        <f>IF(A329="","",SUM(BJ329:BW329))</f>
        <v/>
      </c>
      <c r="BY329" s="5">
        <f>IF(A329="","",IFERROR(IF(ISNUMBER(U329),U329,VALUE(SUBSTITUTE(SUBSTITUTE(SUBSTITUTE(UPPER(TRIM(U329)),"M",""),",","")," ",""))),0))</f>
        <v/>
      </c>
    </row>
    <row r="330" ht="15" customHeight="1" s="74">
      <c r="A330" s="66">
        <f>'Project Database'!A334</f>
        <v/>
      </c>
      <c r="B330" s="66">
        <f>'Project Database'!B334</f>
        <v/>
      </c>
      <c r="C330" s="66">
        <f>'Project Database'!G334</f>
        <v/>
      </c>
      <c r="D330" s="66">
        <f>'Project Database'!H334</f>
        <v/>
      </c>
      <c r="E330" s="66">
        <f>'Project Database'!I334</f>
        <v/>
      </c>
      <c r="F330" s="66">
        <f>'Project Database'!J334</f>
        <v/>
      </c>
      <c r="G330" s="66">
        <f>'Project Database'!K334</f>
        <v/>
      </c>
      <c r="H330" s="66">
        <f>'Project Database'!L334</f>
        <v/>
      </c>
      <c r="I330" s="66">
        <f>'Project Database'!M334</f>
        <v/>
      </c>
      <c r="J330" s="66">
        <f>'Project Database'!N334</f>
        <v/>
      </c>
      <c r="K330" s="66">
        <f>'Project Database'!O334</f>
        <v/>
      </c>
      <c r="L330" s="66">
        <f>'Project Database'!P334</f>
        <v/>
      </c>
      <c r="M330" s="66">
        <f>'Project Database'!Q334</f>
        <v/>
      </c>
      <c r="N330" s="66">
        <f>'Project Database'!R334</f>
        <v/>
      </c>
      <c r="O330" s="66">
        <f>'Project Database'!S334</f>
        <v/>
      </c>
      <c r="P330" s="66">
        <f>'Project Database'!T334</f>
        <v/>
      </c>
      <c r="Q330" s="66">
        <f>'Project Database'!U334</f>
        <v/>
      </c>
      <c r="R330" s="66">
        <f>'Project Database'!V334</f>
        <v/>
      </c>
      <c r="S330" s="66">
        <f>'Project Database'!W334</f>
        <v/>
      </c>
      <c r="T330" s="66">
        <f>'Project Database'!X334</f>
        <v/>
      </c>
      <c r="U330" s="67">
        <f>'Project Database'!Y334</f>
        <v/>
      </c>
      <c r="V330" s="66">
        <f>IF('Smart Search'!B13=1,IFERROR(1/'Smart Search'!H13,0),0)</f>
        <v/>
      </c>
      <c r="W330" s="66">
        <f>IF('Smart Search'!B13=1,IFERROR(1/'Smart Search'!H13,0),0)</f>
        <v/>
      </c>
      <c r="X330" s="66">
        <f>IF('Smart Search'!C13=1,IFERROR(1/'Smart Search'!H13,0),0)</f>
        <v/>
      </c>
      <c r="Y330" s="66">
        <f>IF('Smart Search'!C13=1,IFERROR(1/'Smart Search'!H13,0),0)</f>
        <v/>
      </c>
      <c r="Z330" s="66">
        <f>IF('Smart Search'!D13=1,IFERROR(1/'Smart Search'!H13,0),0)</f>
        <v/>
      </c>
      <c r="AA330" s="66">
        <f>IF('Smart Search'!D13=1,IFERROR(1/'Smart Search'!H13,0),0)</f>
        <v/>
      </c>
      <c r="AB330" s="66">
        <f>IF('Smart Search'!E13=1,IFERROR(1/'Smart Search'!H13,0),0)</f>
        <v/>
      </c>
      <c r="AC330" s="66">
        <f>IF('Smart Search'!E13=1,IFERROR(1/'Smart Search'!H13,0),0)</f>
        <v/>
      </c>
      <c r="AD330" s="66">
        <f>IF('Smart Search'!F13=1,IFERROR(1/'Smart Search'!H13,0),0)</f>
        <v/>
      </c>
      <c r="AE330" s="66">
        <f>IF('Smart Search'!F13=1,IFERROR(1/'Smart Search'!H13,0),0)</f>
        <v/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66">
        <f>AF330*V330</f>
        <v/>
      </c>
      <c r="AQ330" s="66">
        <f>AG330*W330</f>
        <v/>
      </c>
      <c r="AR330" s="66">
        <f>AH330*X330</f>
        <v/>
      </c>
      <c r="AS330" s="66">
        <f>AI330*Y330</f>
        <v/>
      </c>
      <c r="AT330" s="66">
        <f>AJ330*Z330</f>
        <v/>
      </c>
      <c r="AU330" s="66">
        <f>AK330*AA330</f>
        <v/>
      </c>
      <c r="AV330" s="66">
        <f>AL330*AB330</f>
        <v/>
      </c>
      <c r="AW330" s="66">
        <f>AM330*AC330</f>
        <v/>
      </c>
      <c r="AX330" s="66">
        <f>AN330*AD330</f>
        <v/>
      </c>
      <c r="AY330" s="66">
        <f>AO330*AE330</f>
        <v/>
      </c>
      <c r="AZ330" s="66">
        <f>'Project Database'!Z334</f>
        <v/>
      </c>
      <c r="BA330" s="66">
        <f>IF(OR(A330="",'Smart Search'!H13=0),"",MAX(0,BE330*BF330*MAX(0,1-BG330)))</f>
        <v/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66">
        <f>IF('Smart Search'!G13=1,IFERROR(1/'Smart Search'!H13,0),0)</f>
        <v/>
      </c>
      <c r="BD330" s="66">
        <f>BB330*BC330</f>
        <v/>
      </c>
      <c r="BE330" s="66">
        <f>AP330+AQ330+AR330+AS330+AT330+AU330+AV330+AW330+AX330+AY330+BD330</f>
        <v/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5">
        <f>IF(AND('Project Database'!A334&lt;&gt;"",OR('Smart Search'!$L$5="",'Smart Search'!$L$5="All",TRIM('Project Database'!D334)=TRIM('Smart Search'!$L$5)),OR(TRIM('Smart Search'!$L$6)="",TRIM('Smart Search'!$L$6)="All",ISNUMBER(SEARCH(SUBSTITUTE(SUBSTITUTE(SUBSTITUTE(TRIM('Smart Search'!$L$6),"~","~~"),"*","~*"),"?","~?"),'Project Database'!C334))),OR('Smart Search'!$L$7="",AND('Project Database'!E334&lt;&gt;"",'Project Database'!E334='Smart Search'!$L$7)),OR('Smart Search'!$L$8="",'Smart Search'!$L$8="All",TRIM('Project Database'!F334)=TRIM('Smart Search'!$L$8))),IF(BA330="","",BA330+ROW()*0.0000000001),"")</f>
        <v/>
      </c>
      <c r="BI330" s="5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>
        <f>IF('Project Database'!A334="","",N('Project Database'!AC334))</f>
        <v/>
      </c>
      <c r="BK330" s="5">
        <f>IF('Project Database'!A334="","",N('Project Database'!AD334))</f>
        <v/>
      </c>
      <c r="BL330" s="5">
        <f>IF('Project Database'!A334="","",N('Project Database'!AE334))</f>
        <v/>
      </c>
      <c r="BM330" s="5">
        <f>IF('Project Database'!A334="","",N('Project Database'!AF334))</f>
        <v/>
      </c>
      <c r="BN330" s="5">
        <f>IF('Project Database'!A334="","",N('Project Database'!AG334))</f>
        <v/>
      </c>
      <c r="BO330" s="5">
        <f>IF('Project Database'!A334="","",N('Project Database'!AH334))</f>
        <v/>
      </c>
      <c r="BP330" s="5">
        <f>IF('Project Database'!A334="","",N('Project Database'!AI334))</f>
        <v/>
      </c>
      <c r="BQ330" s="5">
        <f>IF('Project Database'!A334="","",N('Project Database'!AJ334))</f>
        <v/>
      </c>
      <c r="BR330" s="5">
        <f>IF('Project Database'!A334="","",N('Project Database'!AK334))</f>
        <v/>
      </c>
      <c r="BS330" s="5">
        <f>IF('Project Database'!A334="","",N('Project Database'!AL334))</f>
        <v/>
      </c>
      <c r="BT330" s="5">
        <f>IF('Project Database'!A334="","",N('Project Database'!AM334))</f>
        <v/>
      </c>
      <c r="BU330" s="5">
        <f>IF('Project Database'!A334="","",N('Project Database'!AN334))</f>
        <v/>
      </c>
      <c r="BV330" s="5">
        <f>IF('Project Database'!A334="","",N('Project Database'!AO334))</f>
        <v/>
      </c>
      <c r="BW330" s="5">
        <f>IF('Project Database'!A334="","",N('Project Database'!AP334))</f>
        <v/>
      </c>
      <c r="BX330" s="5">
        <f>IF(A330="","",SUM(BJ330:BW330))</f>
        <v/>
      </c>
      <c r="BY330" s="5">
        <f>IF(A330="","",IFERROR(IF(ISNUMBER(U330),U330,VALUE(SUBSTITUTE(SUBSTITUTE(SUBSTITUTE(UPPER(TRIM(U330)),"M",""),",","")," ",""))),0))</f>
        <v/>
      </c>
    </row>
    <row r="331" ht="15" customHeight="1" s="74">
      <c r="A331" s="66">
        <f>'Project Database'!A335</f>
        <v/>
      </c>
      <c r="B331" s="66">
        <f>'Project Database'!B335</f>
        <v/>
      </c>
      <c r="C331" s="66">
        <f>'Project Database'!G335</f>
        <v/>
      </c>
      <c r="D331" s="66">
        <f>'Project Database'!H335</f>
        <v/>
      </c>
      <c r="E331" s="66">
        <f>'Project Database'!I335</f>
        <v/>
      </c>
      <c r="F331" s="66">
        <f>'Project Database'!J335</f>
        <v/>
      </c>
      <c r="G331" s="66">
        <f>'Project Database'!K335</f>
        <v/>
      </c>
      <c r="H331" s="66">
        <f>'Project Database'!L335</f>
        <v/>
      </c>
      <c r="I331" s="66">
        <f>'Project Database'!M335</f>
        <v/>
      </c>
      <c r="J331" s="66">
        <f>'Project Database'!N335</f>
        <v/>
      </c>
      <c r="K331" s="66">
        <f>'Project Database'!O335</f>
        <v/>
      </c>
      <c r="L331" s="66">
        <f>'Project Database'!P335</f>
        <v/>
      </c>
      <c r="M331" s="66">
        <f>'Project Database'!Q335</f>
        <v/>
      </c>
      <c r="N331" s="66">
        <f>'Project Database'!R335</f>
        <v/>
      </c>
      <c r="O331" s="66">
        <f>'Project Database'!S335</f>
        <v/>
      </c>
      <c r="P331" s="66">
        <f>'Project Database'!T335</f>
        <v/>
      </c>
      <c r="Q331" s="66">
        <f>'Project Database'!U335</f>
        <v/>
      </c>
      <c r="R331" s="66">
        <f>'Project Database'!V335</f>
        <v/>
      </c>
      <c r="S331" s="66">
        <f>'Project Database'!W335</f>
        <v/>
      </c>
      <c r="T331" s="66">
        <f>'Project Database'!X335</f>
        <v/>
      </c>
      <c r="U331" s="67">
        <f>'Project Database'!Y335</f>
        <v/>
      </c>
      <c r="V331" s="66">
        <f>IF('Smart Search'!B13=1,IFERROR(1/'Smart Search'!H13,0),0)</f>
        <v/>
      </c>
      <c r="W331" s="66">
        <f>IF('Smart Search'!B13=1,IFERROR(1/'Smart Search'!H13,0),0)</f>
        <v/>
      </c>
      <c r="X331" s="66">
        <f>IF('Smart Search'!C13=1,IFERROR(1/'Smart Search'!H13,0),0)</f>
        <v/>
      </c>
      <c r="Y331" s="66">
        <f>IF('Smart Search'!C13=1,IFERROR(1/'Smart Search'!H13,0),0)</f>
        <v/>
      </c>
      <c r="Z331" s="66">
        <f>IF('Smart Search'!D13=1,IFERROR(1/'Smart Search'!H13,0),0)</f>
        <v/>
      </c>
      <c r="AA331" s="66">
        <f>IF('Smart Search'!D13=1,IFERROR(1/'Smart Search'!H13,0),0)</f>
        <v/>
      </c>
      <c r="AB331" s="66">
        <f>IF('Smart Search'!E13=1,IFERROR(1/'Smart Search'!H13,0),0)</f>
        <v/>
      </c>
      <c r="AC331" s="66">
        <f>IF('Smart Search'!E13=1,IFERROR(1/'Smart Search'!H13,0),0)</f>
        <v/>
      </c>
      <c r="AD331" s="66">
        <f>IF('Smart Search'!F13=1,IFERROR(1/'Smart Search'!H13,0),0)</f>
        <v/>
      </c>
      <c r="AE331" s="66">
        <f>IF('Smart Search'!F13=1,IFERROR(1/'Smart Search'!H13,0),0)</f>
        <v/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66">
        <f>AF331*V331</f>
        <v/>
      </c>
      <c r="AQ331" s="66">
        <f>AG331*W331</f>
        <v/>
      </c>
      <c r="AR331" s="66">
        <f>AH331*X331</f>
        <v/>
      </c>
      <c r="AS331" s="66">
        <f>AI331*Y331</f>
        <v/>
      </c>
      <c r="AT331" s="66">
        <f>AJ331*Z331</f>
        <v/>
      </c>
      <c r="AU331" s="66">
        <f>AK331*AA331</f>
        <v/>
      </c>
      <c r="AV331" s="66">
        <f>AL331*AB331</f>
        <v/>
      </c>
      <c r="AW331" s="66">
        <f>AM331*AC331</f>
        <v/>
      </c>
      <c r="AX331" s="66">
        <f>AN331*AD331</f>
        <v/>
      </c>
      <c r="AY331" s="66">
        <f>AO331*AE331</f>
        <v/>
      </c>
      <c r="AZ331" s="66">
        <f>'Project Database'!Z335</f>
        <v/>
      </c>
      <c r="BA331" s="66">
        <f>IF(OR(A331="",'Smart Search'!H13=0),"",MAX(0,BE331*BF331*MAX(0,1-BG331)))</f>
        <v/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66">
        <f>IF('Smart Search'!G13=1,IFERROR(1/'Smart Search'!H13,0),0)</f>
        <v/>
      </c>
      <c r="BD331" s="66">
        <f>BB331*BC331</f>
        <v/>
      </c>
      <c r="BE331" s="66">
        <f>AP331+AQ331+AR331+AS331+AT331+AU331+AV331+AW331+AX331+AY331+BD331</f>
        <v/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5">
        <f>IF(AND('Project Database'!A335&lt;&gt;"",OR('Smart Search'!$L$5="",'Smart Search'!$L$5="All",TRIM('Project Database'!D335)=TRIM('Smart Search'!$L$5)),OR(TRIM('Smart Search'!$L$6)="",TRIM('Smart Search'!$L$6)="All",ISNUMBER(SEARCH(SUBSTITUTE(SUBSTITUTE(SUBSTITUTE(TRIM('Smart Search'!$L$6),"~","~~"),"*","~*"),"?","~?"),'Project Database'!C335))),OR('Smart Search'!$L$7="",AND('Project Database'!E335&lt;&gt;"",'Project Database'!E335='Smart Search'!$L$7)),OR('Smart Search'!$L$8="",'Smart Search'!$L$8="All",TRIM('Project Database'!F335)=TRIM('Smart Search'!$L$8))),IF(BA331="","",BA331+ROW()*0.0000000001),"")</f>
        <v/>
      </c>
      <c r="BI331" s="5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>
        <f>IF('Project Database'!A335="","",N('Project Database'!AC335))</f>
        <v/>
      </c>
      <c r="BK331" s="5">
        <f>IF('Project Database'!A335="","",N('Project Database'!AD335))</f>
        <v/>
      </c>
      <c r="BL331" s="5">
        <f>IF('Project Database'!A335="","",N('Project Database'!AE335))</f>
        <v/>
      </c>
      <c r="BM331" s="5">
        <f>IF('Project Database'!A335="","",N('Project Database'!AF335))</f>
        <v/>
      </c>
      <c r="BN331" s="5">
        <f>IF('Project Database'!A335="","",N('Project Database'!AG335))</f>
        <v/>
      </c>
      <c r="BO331" s="5">
        <f>IF('Project Database'!A335="","",N('Project Database'!AH335))</f>
        <v/>
      </c>
      <c r="BP331" s="5">
        <f>IF('Project Database'!A335="","",N('Project Database'!AI335))</f>
        <v/>
      </c>
      <c r="BQ331" s="5">
        <f>IF('Project Database'!A335="","",N('Project Database'!AJ335))</f>
        <v/>
      </c>
      <c r="BR331" s="5">
        <f>IF('Project Database'!A335="","",N('Project Database'!AK335))</f>
        <v/>
      </c>
      <c r="BS331" s="5">
        <f>IF('Project Database'!A335="","",N('Project Database'!AL335))</f>
        <v/>
      </c>
      <c r="BT331" s="5">
        <f>IF('Project Database'!A335="","",N('Project Database'!AM335))</f>
        <v/>
      </c>
      <c r="BU331" s="5">
        <f>IF('Project Database'!A335="","",N('Project Database'!AN335))</f>
        <v/>
      </c>
      <c r="BV331" s="5">
        <f>IF('Project Database'!A335="","",N('Project Database'!AO335))</f>
        <v/>
      </c>
      <c r="BW331" s="5">
        <f>IF('Project Database'!A335="","",N('Project Database'!AP335))</f>
        <v/>
      </c>
      <c r="BX331" s="5">
        <f>IF(A331="","",SUM(BJ331:BW331))</f>
        <v/>
      </c>
      <c r="BY331" s="5">
        <f>IF(A331="","",IFERROR(IF(ISNUMBER(U331),U331,VALUE(SUBSTITUTE(SUBSTITUTE(SUBSTITUTE(UPPER(TRIM(U331)),"M",""),",","")," ",""))),0))</f>
        <v/>
      </c>
    </row>
    <row r="332" ht="15" customHeight="1" s="74">
      <c r="A332" s="66">
        <f>'Project Database'!A336</f>
        <v/>
      </c>
      <c r="B332" s="66">
        <f>'Project Database'!B336</f>
        <v/>
      </c>
      <c r="C332" s="66">
        <f>'Project Database'!G336</f>
        <v/>
      </c>
      <c r="D332" s="66">
        <f>'Project Database'!H336</f>
        <v/>
      </c>
      <c r="E332" s="66">
        <f>'Project Database'!I336</f>
        <v/>
      </c>
      <c r="F332" s="66">
        <f>'Project Database'!J336</f>
        <v/>
      </c>
      <c r="G332" s="66">
        <f>'Project Database'!K336</f>
        <v/>
      </c>
      <c r="H332" s="66">
        <f>'Project Database'!L336</f>
        <v/>
      </c>
      <c r="I332" s="66">
        <f>'Project Database'!M336</f>
        <v/>
      </c>
      <c r="J332" s="66">
        <f>'Project Database'!N336</f>
        <v/>
      </c>
      <c r="K332" s="66">
        <f>'Project Database'!O336</f>
        <v/>
      </c>
      <c r="L332" s="66">
        <f>'Project Database'!P336</f>
        <v/>
      </c>
      <c r="M332" s="66">
        <f>'Project Database'!Q336</f>
        <v/>
      </c>
      <c r="N332" s="66">
        <f>'Project Database'!R336</f>
        <v/>
      </c>
      <c r="O332" s="66">
        <f>'Project Database'!S336</f>
        <v/>
      </c>
      <c r="P332" s="66">
        <f>'Project Database'!T336</f>
        <v/>
      </c>
      <c r="Q332" s="66">
        <f>'Project Database'!U336</f>
        <v/>
      </c>
      <c r="R332" s="66">
        <f>'Project Database'!V336</f>
        <v/>
      </c>
      <c r="S332" s="66">
        <f>'Project Database'!W336</f>
        <v/>
      </c>
      <c r="T332" s="66">
        <f>'Project Database'!X336</f>
        <v/>
      </c>
      <c r="U332" s="67">
        <f>'Project Database'!Y336</f>
        <v/>
      </c>
      <c r="V332" s="66">
        <f>IF('Smart Search'!B13=1,IFERROR(1/'Smart Search'!H13,0),0)</f>
        <v/>
      </c>
      <c r="W332" s="66">
        <f>IF('Smart Search'!B13=1,IFERROR(1/'Smart Search'!H13,0),0)</f>
        <v/>
      </c>
      <c r="X332" s="66">
        <f>IF('Smart Search'!C13=1,IFERROR(1/'Smart Search'!H13,0),0)</f>
        <v/>
      </c>
      <c r="Y332" s="66">
        <f>IF('Smart Search'!C13=1,IFERROR(1/'Smart Search'!H13,0),0)</f>
        <v/>
      </c>
      <c r="Z332" s="66">
        <f>IF('Smart Search'!D13=1,IFERROR(1/'Smart Search'!H13,0),0)</f>
        <v/>
      </c>
      <c r="AA332" s="66">
        <f>IF('Smart Search'!D13=1,IFERROR(1/'Smart Search'!H13,0),0)</f>
        <v/>
      </c>
      <c r="AB332" s="66">
        <f>IF('Smart Search'!E13=1,IFERROR(1/'Smart Search'!H13,0),0)</f>
        <v/>
      </c>
      <c r="AC332" s="66">
        <f>IF('Smart Search'!E13=1,IFERROR(1/'Smart Search'!H13,0),0)</f>
        <v/>
      </c>
      <c r="AD332" s="66">
        <f>IF('Smart Search'!F13=1,IFERROR(1/'Smart Search'!H13,0),0)</f>
        <v/>
      </c>
      <c r="AE332" s="66">
        <f>IF('Smart Search'!F13=1,IFERROR(1/'Smart Search'!H13,0),0)</f>
        <v/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66">
        <f>AF332*V332</f>
        <v/>
      </c>
      <c r="AQ332" s="66">
        <f>AG332*W332</f>
        <v/>
      </c>
      <c r="AR332" s="66">
        <f>AH332*X332</f>
        <v/>
      </c>
      <c r="AS332" s="66">
        <f>AI332*Y332</f>
        <v/>
      </c>
      <c r="AT332" s="66">
        <f>AJ332*Z332</f>
        <v/>
      </c>
      <c r="AU332" s="66">
        <f>AK332*AA332</f>
        <v/>
      </c>
      <c r="AV332" s="66">
        <f>AL332*AB332</f>
        <v/>
      </c>
      <c r="AW332" s="66">
        <f>AM332*AC332</f>
        <v/>
      </c>
      <c r="AX332" s="66">
        <f>AN332*AD332</f>
        <v/>
      </c>
      <c r="AY332" s="66">
        <f>AO332*AE332</f>
        <v/>
      </c>
      <c r="AZ332" s="66">
        <f>'Project Database'!Z336</f>
        <v/>
      </c>
      <c r="BA332" s="66">
        <f>IF(OR(A332="",'Smart Search'!H13=0),"",MAX(0,BE332*BF332*MAX(0,1-BG332)))</f>
        <v/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66">
        <f>IF('Smart Search'!G13=1,IFERROR(1/'Smart Search'!H13,0),0)</f>
        <v/>
      </c>
      <c r="BD332" s="66">
        <f>BB332*BC332</f>
        <v/>
      </c>
      <c r="BE332" s="66">
        <f>AP332+AQ332+AR332+AS332+AT332+AU332+AV332+AW332+AX332+AY332+BD332</f>
        <v/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5">
        <f>IF(AND('Project Database'!A336&lt;&gt;"",OR('Smart Search'!$L$5="",'Smart Search'!$L$5="All",TRIM('Project Database'!D336)=TRIM('Smart Search'!$L$5)),OR(TRIM('Smart Search'!$L$6)="",TRIM('Smart Search'!$L$6)="All",ISNUMBER(SEARCH(SUBSTITUTE(SUBSTITUTE(SUBSTITUTE(TRIM('Smart Search'!$L$6),"~","~~"),"*","~*"),"?","~?"),'Project Database'!C336))),OR('Smart Search'!$L$7="",AND('Project Database'!E336&lt;&gt;"",'Project Database'!E336='Smart Search'!$L$7)),OR('Smart Search'!$L$8="",'Smart Search'!$L$8="All",TRIM('Project Database'!F336)=TRIM('Smart Search'!$L$8))),IF(BA332="","",BA332+ROW()*0.0000000001),"")</f>
        <v/>
      </c>
      <c r="BI332" s="5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>
        <f>IF('Project Database'!A336="","",N('Project Database'!AC336))</f>
        <v/>
      </c>
      <c r="BK332" s="5">
        <f>IF('Project Database'!A336="","",N('Project Database'!AD336))</f>
        <v/>
      </c>
      <c r="BL332" s="5">
        <f>IF('Project Database'!A336="","",N('Project Database'!AE336))</f>
        <v/>
      </c>
      <c r="BM332" s="5">
        <f>IF('Project Database'!A336="","",N('Project Database'!AF336))</f>
        <v/>
      </c>
      <c r="BN332" s="5">
        <f>IF('Project Database'!A336="","",N('Project Database'!AG336))</f>
        <v/>
      </c>
      <c r="BO332" s="5">
        <f>IF('Project Database'!A336="","",N('Project Database'!AH336))</f>
        <v/>
      </c>
      <c r="BP332" s="5">
        <f>IF('Project Database'!A336="","",N('Project Database'!AI336))</f>
        <v/>
      </c>
      <c r="BQ332" s="5">
        <f>IF('Project Database'!A336="","",N('Project Database'!AJ336))</f>
        <v/>
      </c>
      <c r="BR332" s="5">
        <f>IF('Project Database'!A336="","",N('Project Database'!AK336))</f>
        <v/>
      </c>
      <c r="BS332" s="5">
        <f>IF('Project Database'!A336="","",N('Project Database'!AL336))</f>
        <v/>
      </c>
      <c r="BT332" s="5">
        <f>IF('Project Database'!A336="","",N('Project Database'!AM336))</f>
        <v/>
      </c>
      <c r="BU332" s="5">
        <f>IF('Project Database'!A336="","",N('Project Database'!AN336))</f>
        <v/>
      </c>
      <c r="BV332" s="5">
        <f>IF('Project Database'!A336="","",N('Project Database'!AO336))</f>
        <v/>
      </c>
      <c r="BW332" s="5">
        <f>IF('Project Database'!A336="","",N('Project Database'!AP336))</f>
        <v/>
      </c>
      <c r="BX332" s="5">
        <f>IF(A332="","",SUM(BJ332:BW332))</f>
        <v/>
      </c>
      <c r="BY332" s="5">
        <f>IF(A332="","",IFERROR(IF(ISNUMBER(U332),U332,VALUE(SUBSTITUTE(SUBSTITUTE(SUBSTITUTE(UPPER(TRIM(U332)),"M",""),",","")," ",""))),0))</f>
        <v/>
      </c>
    </row>
    <row r="333" ht="15" customHeight="1" s="74">
      <c r="A333" s="66">
        <f>'Project Database'!A337</f>
        <v/>
      </c>
      <c r="B333" s="66">
        <f>'Project Database'!B337</f>
        <v/>
      </c>
      <c r="C333" s="66">
        <f>'Project Database'!G337</f>
        <v/>
      </c>
      <c r="D333" s="66">
        <f>'Project Database'!H337</f>
        <v/>
      </c>
      <c r="E333" s="66">
        <f>'Project Database'!I337</f>
        <v/>
      </c>
      <c r="F333" s="66">
        <f>'Project Database'!J337</f>
        <v/>
      </c>
      <c r="G333" s="66">
        <f>'Project Database'!K337</f>
        <v/>
      </c>
      <c r="H333" s="66">
        <f>'Project Database'!L337</f>
        <v/>
      </c>
      <c r="I333" s="66">
        <f>'Project Database'!M337</f>
        <v/>
      </c>
      <c r="J333" s="66">
        <f>'Project Database'!N337</f>
        <v/>
      </c>
      <c r="K333" s="66">
        <f>'Project Database'!O337</f>
        <v/>
      </c>
      <c r="L333" s="66">
        <f>'Project Database'!P337</f>
        <v/>
      </c>
      <c r="M333" s="66">
        <f>'Project Database'!Q337</f>
        <v/>
      </c>
      <c r="N333" s="66">
        <f>'Project Database'!R337</f>
        <v/>
      </c>
      <c r="O333" s="66">
        <f>'Project Database'!S337</f>
        <v/>
      </c>
      <c r="P333" s="66">
        <f>'Project Database'!T337</f>
        <v/>
      </c>
      <c r="Q333" s="66">
        <f>'Project Database'!U337</f>
        <v/>
      </c>
      <c r="R333" s="66">
        <f>'Project Database'!V337</f>
        <v/>
      </c>
      <c r="S333" s="66">
        <f>'Project Database'!W337</f>
        <v/>
      </c>
      <c r="T333" s="66">
        <f>'Project Database'!X337</f>
        <v/>
      </c>
      <c r="U333" s="67">
        <f>'Project Database'!Y337</f>
        <v/>
      </c>
      <c r="V333" s="66">
        <f>IF('Smart Search'!B13=1,IFERROR(1/'Smart Search'!H13,0),0)</f>
        <v/>
      </c>
      <c r="W333" s="66">
        <f>IF('Smart Search'!B13=1,IFERROR(1/'Smart Search'!H13,0),0)</f>
        <v/>
      </c>
      <c r="X333" s="66">
        <f>IF('Smart Search'!C13=1,IFERROR(1/'Smart Search'!H13,0),0)</f>
        <v/>
      </c>
      <c r="Y333" s="66">
        <f>IF('Smart Search'!C13=1,IFERROR(1/'Smart Search'!H13,0),0)</f>
        <v/>
      </c>
      <c r="Z333" s="66">
        <f>IF('Smart Search'!D13=1,IFERROR(1/'Smart Search'!H13,0),0)</f>
        <v/>
      </c>
      <c r="AA333" s="66">
        <f>IF('Smart Search'!D13=1,IFERROR(1/'Smart Search'!H13,0),0)</f>
        <v/>
      </c>
      <c r="AB333" s="66">
        <f>IF('Smart Search'!E13=1,IFERROR(1/'Smart Search'!H13,0),0)</f>
        <v/>
      </c>
      <c r="AC333" s="66">
        <f>IF('Smart Search'!E13=1,IFERROR(1/'Smart Search'!H13,0),0)</f>
        <v/>
      </c>
      <c r="AD333" s="66">
        <f>IF('Smart Search'!F13=1,IFERROR(1/'Smart Search'!H13,0),0)</f>
        <v/>
      </c>
      <c r="AE333" s="66">
        <f>IF('Smart Search'!F13=1,IFERROR(1/'Smart Search'!H13,0),0)</f>
        <v/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66">
        <f>AF333*V333</f>
        <v/>
      </c>
      <c r="AQ333" s="66">
        <f>AG333*W333</f>
        <v/>
      </c>
      <c r="AR333" s="66">
        <f>AH333*X333</f>
        <v/>
      </c>
      <c r="AS333" s="66">
        <f>AI333*Y333</f>
        <v/>
      </c>
      <c r="AT333" s="66">
        <f>AJ333*Z333</f>
        <v/>
      </c>
      <c r="AU333" s="66">
        <f>AK333*AA333</f>
        <v/>
      </c>
      <c r="AV333" s="66">
        <f>AL333*AB333</f>
        <v/>
      </c>
      <c r="AW333" s="66">
        <f>AM333*AC333</f>
        <v/>
      </c>
      <c r="AX333" s="66">
        <f>AN333*AD333</f>
        <v/>
      </c>
      <c r="AY333" s="66">
        <f>AO333*AE333</f>
        <v/>
      </c>
      <c r="AZ333" s="66">
        <f>'Project Database'!Z337</f>
        <v/>
      </c>
      <c r="BA333" s="66">
        <f>IF(OR(A333="",'Smart Search'!H13=0),"",MAX(0,BE333*BF333*MAX(0,1-BG333)))</f>
        <v/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66">
        <f>IF('Smart Search'!G13=1,IFERROR(1/'Smart Search'!H13,0),0)</f>
        <v/>
      </c>
      <c r="BD333" s="66">
        <f>BB333*BC333</f>
        <v/>
      </c>
      <c r="BE333" s="66">
        <f>AP333+AQ333+AR333+AS333+AT333+AU333+AV333+AW333+AX333+AY333+BD333</f>
        <v/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5">
        <f>IF(AND('Project Database'!A337&lt;&gt;"",OR('Smart Search'!$L$5="",'Smart Search'!$L$5="All",TRIM('Project Database'!D337)=TRIM('Smart Search'!$L$5)),OR(TRIM('Smart Search'!$L$6)="",TRIM('Smart Search'!$L$6)="All",ISNUMBER(SEARCH(SUBSTITUTE(SUBSTITUTE(SUBSTITUTE(TRIM('Smart Search'!$L$6),"~","~~"),"*","~*"),"?","~?"),'Project Database'!C337))),OR('Smart Search'!$L$7="",AND('Project Database'!E337&lt;&gt;"",'Project Database'!E337='Smart Search'!$L$7)),OR('Smart Search'!$L$8="",'Smart Search'!$L$8="All",TRIM('Project Database'!F337)=TRIM('Smart Search'!$L$8))),IF(BA333="","",BA333+ROW()*0.0000000001),"")</f>
        <v/>
      </c>
      <c r="BI333" s="5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>
        <f>IF('Project Database'!A337="","",N('Project Database'!AC337))</f>
        <v/>
      </c>
      <c r="BK333" s="5">
        <f>IF('Project Database'!A337="","",N('Project Database'!AD337))</f>
        <v/>
      </c>
      <c r="BL333" s="5">
        <f>IF('Project Database'!A337="","",N('Project Database'!AE337))</f>
        <v/>
      </c>
      <c r="BM333" s="5">
        <f>IF('Project Database'!A337="","",N('Project Database'!AF337))</f>
        <v/>
      </c>
      <c r="BN333" s="5">
        <f>IF('Project Database'!A337="","",N('Project Database'!AG337))</f>
        <v/>
      </c>
      <c r="BO333" s="5">
        <f>IF('Project Database'!A337="","",N('Project Database'!AH337))</f>
        <v/>
      </c>
      <c r="BP333" s="5">
        <f>IF('Project Database'!A337="","",N('Project Database'!AI337))</f>
        <v/>
      </c>
      <c r="BQ333" s="5">
        <f>IF('Project Database'!A337="","",N('Project Database'!AJ337))</f>
        <v/>
      </c>
      <c r="BR333" s="5">
        <f>IF('Project Database'!A337="","",N('Project Database'!AK337))</f>
        <v/>
      </c>
      <c r="BS333" s="5">
        <f>IF('Project Database'!A337="","",N('Project Database'!AL337))</f>
        <v/>
      </c>
      <c r="BT333" s="5">
        <f>IF('Project Database'!A337="","",N('Project Database'!AM337))</f>
        <v/>
      </c>
      <c r="BU333" s="5">
        <f>IF('Project Database'!A337="","",N('Project Database'!AN337))</f>
        <v/>
      </c>
      <c r="BV333" s="5">
        <f>IF('Project Database'!A337="","",N('Project Database'!AO337))</f>
        <v/>
      </c>
      <c r="BW333" s="5">
        <f>IF('Project Database'!A337="","",N('Project Database'!AP337))</f>
        <v/>
      </c>
      <c r="BX333" s="5">
        <f>IF(A333="","",SUM(BJ333:BW333))</f>
        <v/>
      </c>
      <c r="BY333" s="5">
        <f>IF(A333="","",IFERROR(IF(ISNUMBER(U333),U333,VALUE(SUBSTITUTE(SUBSTITUTE(SUBSTITUTE(UPPER(TRIM(U333)),"M",""),",","")," ",""))),0))</f>
        <v/>
      </c>
    </row>
    <row r="334" ht="15" customHeight="1" s="74">
      <c r="A334" s="66">
        <f>'Project Database'!A338</f>
        <v/>
      </c>
      <c r="B334" s="66">
        <f>'Project Database'!B338</f>
        <v/>
      </c>
      <c r="C334" s="66">
        <f>'Project Database'!G338</f>
        <v/>
      </c>
      <c r="D334" s="66">
        <f>'Project Database'!H338</f>
        <v/>
      </c>
      <c r="E334" s="66">
        <f>'Project Database'!I338</f>
        <v/>
      </c>
      <c r="F334" s="66">
        <f>'Project Database'!J338</f>
        <v/>
      </c>
      <c r="G334" s="66">
        <f>'Project Database'!K338</f>
        <v/>
      </c>
      <c r="H334" s="66">
        <f>'Project Database'!L338</f>
        <v/>
      </c>
      <c r="I334" s="66">
        <f>'Project Database'!M338</f>
        <v/>
      </c>
      <c r="J334" s="66">
        <f>'Project Database'!N338</f>
        <v/>
      </c>
      <c r="K334" s="66">
        <f>'Project Database'!O338</f>
        <v/>
      </c>
      <c r="L334" s="66">
        <f>'Project Database'!P338</f>
        <v/>
      </c>
      <c r="M334" s="66">
        <f>'Project Database'!Q338</f>
        <v/>
      </c>
      <c r="N334" s="66">
        <f>'Project Database'!R338</f>
        <v/>
      </c>
      <c r="O334" s="66">
        <f>'Project Database'!S338</f>
        <v/>
      </c>
      <c r="P334" s="66">
        <f>'Project Database'!T338</f>
        <v/>
      </c>
      <c r="Q334" s="66">
        <f>'Project Database'!U338</f>
        <v/>
      </c>
      <c r="R334" s="66">
        <f>'Project Database'!V338</f>
        <v/>
      </c>
      <c r="S334" s="66">
        <f>'Project Database'!W338</f>
        <v/>
      </c>
      <c r="T334" s="66">
        <f>'Project Database'!X338</f>
        <v/>
      </c>
      <c r="U334" s="67">
        <f>'Project Database'!Y338</f>
        <v/>
      </c>
      <c r="V334" s="66">
        <f>IF('Smart Search'!B13=1,IFERROR(1/'Smart Search'!H13,0),0)</f>
        <v/>
      </c>
      <c r="W334" s="66">
        <f>IF('Smart Search'!B13=1,IFERROR(1/'Smart Search'!H13,0),0)</f>
        <v/>
      </c>
      <c r="X334" s="66">
        <f>IF('Smart Search'!C13=1,IFERROR(1/'Smart Search'!H13,0),0)</f>
        <v/>
      </c>
      <c r="Y334" s="66">
        <f>IF('Smart Search'!C13=1,IFERROR(1/'Smart Search'!H13,0),0)</f>
        <v/>
      </c>
      <c r="Z334" s="66">
        <f>IF('Smart Search'!D13=1,IFERROR(1/'Smart Search'!H13,0),0)</f>
        <v/>
      </c>
      <c r="AA334" s="66">
        <f>IF('Smart Search'!D13=1,IFERROR(1/'Smart Search'!H13,0),0)</f>
        <v/>
      </c>
      <c r="AB334" s="66">
        <f>IF('Smart Search'!E13=1,IFERROR(1/'Smart Search'!H13,0),0)</f>
        <v/>
      </c>
      <c r="AC334" s="66">
        <f>IF('Smart Search'!E13=1,IFERROR(1/'Smart Search'!H13,0),0)</f>
        <v/>
      </c>
      <c r="AD334" s="66">
        <f>IF('Smart Search'!F13=1,IFERROR(1/'Smart Search'!H13,0),0)</f>
        <v/>
      </c>
      <c r="AE334" s="66">
        <f>IF('Smart Search'!F13=1,IFERROR(1/'Smart Search'!H13,0),0)</f>
        <v/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66">
        <f>AF334*V334</f>
        <v/>
      </c>
      <c r="AQ334" s="66">
        <f>AG334*W334</f>
        <v/>
      </c>
      <c r="AR334" s="66">
        <f>AH334*X334</f>
        <v/>
      </c>
      <c r="AS334" s="66">
        <f>AI334*Y334</f>
        <v/>
      </c>
      <c r="AT334" s="66">
        <f>AJ334*Z334</f>
        <v/>
      </c>
      <c r="AU334" s="66">
        <f>AK334*AA334</f>
        <v/>
      </c>
      <c r="AV334" s="66">
        <f>AL334*AB334</f>
        <v/>
      </c>
      <c r="AW334" s="66">
        <f>AM334*AC334</f>
        <v/>
      </c>
      <c r="AX334" s="66">
        <f>AN334*AD334</f>
        <v/>
      </c>
      <c r="AY334" s="66">
        <f>AO334*AE334</f>
        <v/>
      </c>
      <c r="AZ334" s="66">
        <f>'Project Database'!Z338</f>
        <v/>
      </c>
      <c r="BA334" s="66">
        <f>IF(OR(A334="",'Smart Search'!H13=0),"",MAX(0,BE334*BF334*MAX(0,1-BG334)))</f>
        <v/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66">
        <f>IF('Smart Search'!G13=1,IFERROR(1/'Smart Search'!H13,0),0)</f>
        <v/>
      </c>
      <c r="BD334" s="66">
        <f>BB334*BC334</f>
        <v/>
      </c>
      <c r="BE334" s="66">
        <f>AP334+AQ334+AR334+AS334+AT334+AU334+AV334+AW334+AX334+AY334+BD334</f>
        <v/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5">
        <f>IF(AND('Project Database'!A338&lt;&gt;"",OR('Smart Search'!$L$5="",'Smart Search'!$L$5="All",TRIM('Project Database'!D338)=TRIM('Smart Search'!$L$5)),OR(TRIM('Smart Search'!$L$6)="",TRIM('Smart Search'!$L$6)="All",ISNUMBER(SEARCH(SUBSTITUTE(SUBSTITUTE(SUBSTITUTE(TRIM('Smart Search'!$L$6),"~","~~"),"*","~*"),"?","~?"),'Project Database'!C338))),OR('Smart Search'!$L$7="",AND('Project Database'!E338&lt;&gt;"",'Project Database'!E338='Smart Search'!$L$7)),OR('Smart Search'!$L$8="",'Smart Search'!$L$8="All",TRIM('Project Database'!F338)=TRIM('Smart Search'!$L$8))),IF(BA334="","",BA334+ROW()*0.0000000001),"")</f>
        <v/>
      </c>
      <c r="BI334" s="5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>
        <f>IF('Project Database'!A338="","",N('Project Database'!AC338))</f>
        <v/>
      </c>
      <c r="BK334" s="5">
        <f>IF('Project Database'!A338="","",N('Project Database'!AD338))</f>
        <v/>
      </c>
      <c r="BL334" s="5">
        <f>IF('Project Database'!A338="","",N('Project Database'!AE338))</f>
        <v/>
      </c>
      <c r="BM334" s="5">
        <f>IF('Project Database'!A338="","",N('Project Database'!AF338))</f>
        <v/>
      </c>
      <c r="BN334" s="5">
        <f>IF('Project Database'!A338="","",N('Project Database'!AG338))</f>
        <v/>
      </c>
      <c r="BO334" s="5">
        <f>IF('Project Database'!A338="","",N('Project Database'!AH338))</f>
        <v/>
      </c>
      <c r="BP334" s="5">
        <f>IF('Project Database'!A338="","",N('Project Database'!AI338))</f>
        <v/>
      </c>
      <c r="BQ334" s="5">
        <f>IF('Project Database'!A338="","",N('Project Database'!AJ338))</f>
        <v/>
      </c>
      <c r="BR334" s="5">
        <f>IF('Project Database'!A338="","",N('Project Database'!AK338))</f>
        <v/>
      </c>
      <c r="BS334" s="5">
        <f>IF('Project Database'!A338="","",N('Project Database'!AL338))</f>
        <v/>
      </c>
      <c r="BT334" s="5">
        <f>IF('Project Database'!A338="","",N('Project Database'!AM338))</f>
        <v/>
      </c>
      <c r="BU334" s="5">
        <f>IF('Project Database'!A338="","",N('Project Database'!AN338))</f>
        <v/>
      </c>
      <c r="BV334" s="5">
        <f>IF('Project Database'!A338="","",N('Project Database'!AO338))</f>
        <v/>
      </c>
      <c r="BW334" s="5">
        <f>IF('Project Database'!A338="","",N('Project Database'!AP338))</f>
        <v/>
      </c>
      <c r="BX334" s="5">
        <f>IF(A334="","",SUM(BJ334:BW334))</f>
        <v/>
      </c>
      <c r="BY334" s="5">
        <f>IF(A334="","",IFERROR(IF(ISNUMBER(U334),U334,VALUE(SUBSTITUTE(SUBSTITUTE(SUBSTITUTE(UPPER(TRIM(U334)),"M",""),",","")," ",""))),0))</f>
        <v/>
      </c>
    </row>
    <row r="335" ht="15" customHeight="1" s="74">
      <c r="A335" s="66">
        <f>'Project Database'!A339</f>
        <v/>
      </c>
      <c r="B335" s="66">
        <f>'Project Database'!B339</f>
        <v/>
      </c>
      <c r="C335" s="66">
        <f>'Project Database'!G339</f>
        <v/>
      </c>
      <c r="D335" s="66">
        <f>'Project Database'!H339</f>
        <v/>
      </c>
      <c r="E335" s="66">
        <f>'Project Database'!I339</f>
        <v/>
      </c>
      <c r="F335" s="66">
        <f>'Project Database'!J339</f>
        <v/>
      </c>
      <c r="G335" s="66">
        <f>'Project Database'!K339</f>
        <v/>
      </c>
      <c r="H335" s="66">
        <f>'Project Database'!L339</f>
        <v/>
      </c>
      <c r="I335" s="66">
        <f>'Project Database'!M339</f>
        <v/>
      </c>
      <c r="J335" s="66">
        <f>'Project Database'!N339</f>
        <v/>
      </c>
      <c r="K335" s="66">
        <f>'Project Database'!O339</f>
        <v/>
      </c>
      <c r="L335" s="66">
        <f>'Project Database'!P339</f>
        <v/>
      </c>
      <c r="M335" s="66">
        <f>'Project Database'!Q339</f>
        <v/>
      </c>
      <c r="N335" s="66">
        <f>'Project Database'!R339</f>
        <v/>
      </c>
      <c r="O335" s="66">
        <f>'Project Database'!S339</f>
        <v/>
      </c>
      <c r="P335" s="66">
        <f>'Project Database'!T339</f>
        <v/>
      </c>
      <c r="Q335" s="66">
        <f>'Project Database'!U339</f>
        <v/>
      </c>
      <c r="R335" s="66">
        <f>'Project Database'!V339</f>
        <v/>
      </c>
      <c r="S335" s="66">
        <f>'Project Database'!W339</f>
        <v/>
      </c>
      <c r="T335" s="66">
        <f>'Project Database'!X339</f>
        <v/>
      </c>
      <c r="U335" s="67">
        <f>'Project Database'!Y339</f>
        <v/>
      </c>
      <c r="V335" s="66">
        <f>IF('Smart Search'!B13=1,IFERROR(1/'Smart Search'!H13,0),0)</f>
        <v/>
      </c>
      <c r="W335" s="66">
        <f>IF('Smart Search'!B13=1,IFERROR(1/'Smart Search'!H13,0),0)</f>
        <v/>
      </c>
      <c r="X335" s="66">
        <f>IF('Smart Search'!C13=1,IFERROR(1/'Smart Search'!H13,0),0)</f>
        <v/>
      </c>
      <c r="Y335" s="66">
        <f>IF('Smart Search'!C13=1,IFERROR(1/'Smart Search'!H13,0),0)</f>
        <v/>
      </c>
      <c r="Z335" s="66">
        <f>IF('Smart Search'!D13=1,IFERROR(1/'Smart Search'!H13,0),0)</f>
        <v/>
      </c>
      <c r="AA335" s="66">
        <f>IF('Smart Search'!D13=1,IFERROR(1/'Smart Search'!H13,0),0)</f>
        <v/>
      </c>
      <c r="AB335" s="66">
        <f>IF('Smart Search'!E13=1,IFERROR(1/'Smart Search'!H13,0),0)</f>
        <v/>
      </c>
      <c r="AC335" s="66">
        <f>IF('Smart Search'!E13=1,IFERROR(1/'Smart Search'!H13,0),0)</f>
        <v/>
      </c>
      <c r="AD335" s="66">
        <f>IF('Smart Search'!F13=1,IFERROR(1/'Smart Search'!H13,0),0)</f>
        <v/>
      </c>
      <c r="AE335" s="66">
        <f>IF('Smart Search'!F13=1,IFERROR(1/'Smart Search'!H13,0),0)</f>
        <v/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66">
        <f>AF335*V335</f>
        <v/>
      </c>
      <c r="AQ335" s="66">
        <f>AG335*W335</f>
        <v/>
      </c>
      <c r="AR335" s="66">
        <f>AH335*X335</f>
        <v/>
      </c>
      <c r="AS335" s="66">
        <f>AI335*Y335</f>
        <v/>
      </c>
      <c r="AT335" s="66">
        <f>AJ335*Z335</f>
        <v/>
      </c>
      <c r="AU335" s="66">
        <f>AK335*AA335</f>
        <v/>
      </c>
      <c r="AV335" s="66">
        <f>AL335*AB335</f>
        <v/>
      </c>
      <c r="AW335" s="66">
        <f>AM335*AC335</f>
        <v/>
      </c>
      <c r="AX335" s="66">
        <f>AN335*AD335</f>
        <v/>
      </c>
      <c r="AY335" s="66">
        <f>AO335*AE335</f>
        <v/>
      </c>
      <c r="AZ335" s="66">
        <f>'Project Database'!Z339</f>
        <v/>
      </c>
      <c r="BA335" s="66">
        <f>IF(OR(A335="",'Smart Search'!H13=0),"",MAX(0,BE335*BF335*MAX(0,1-BG335)))</f>
        <v/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66">
        <f>IF('Smart Search'!G13=1,IFERROR(1/'Smart Search'!H13,0),0)</f>
        <v/>
      </c>
      <c r="BD335" s="66">
        <f>BB335*BC335</f>
        <v/>
      </c>
      <c r="BE335" s="66">
        <f>AP335+AQ335+AR335+AS335+AT335+AU335+AV335+AW335+AX335+AY335+BD335</f>
        <v/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5">
        <f>IF(AND('Project Database'!A339&lt;&gt;"",OR('Smart Search'!$L$5="",'Smart Search'!$L$5="All",TRIM('Project Database'!D339)=TRIM('Smart Search'!$L$5)),OR(TRIM('Smart Search'!$L$6)="",TRIM('Smart Search'!$L$6)="All",ISNUMBER(SEARCH(SUBSTITUTE(SUBSTITUTE(SUBSTITUTE(TRIM('Smart Search'!$L$6),"~","~~"),"*","~*"),"?","~?"),'Project Database'!C339))),OR('Smart Search'!$L$7="",AND('Project Database'!E339&lt;&gt;"",'Project Database'!E339='Smart Search'!$L$7)),OR('Smart Search'!$L$8="",'Smart Search'!$L$8="All",TRIM('Project Database'!F339)=TRIM('Smart Search'!$L$8))),IF(BA335="","",BA335+ROW()*0.0000000001),"")</f>
        <v/>
      </c>
      <c r="BI335" s="5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>
        <f>IF('Project Database'!A339="","",N('Project Database'!AC339))</f>
        <v/>
      </c>
      <c r="BK335" s="5">
        <f>IF('Project Database'!A339="","",N('Project Database'!AD339))</f>
        <v/>
      </c>
      <c r="BL335" s="5">
        <f>IF('Project Database'!A339="","",N('Project Database'!AE339))</f>
        <v/>
      </c>
      <c r="BM335" s="5">
        <f>IF('Project Database'!A339="","",N('Project Database'!AF339))</f>
        <v/>
      </c>
      <c r="BN335" s="5">
        <f>IF('Project Database'!A339="","",N('Project Database'!AG339))</f>
        <v/>
      </c>
      <c r="BO335" s="5">
        <f>IF('Project Database'!A339="","",N('Project Database'!AH339))</f>
        <v/>
      </c>
      <c r="BP335" s="5">
        <f>IF('Project Database'!A339="","",N('Project Database'!AI339))</f>
        <v/>
      </c>
      <c r="BQ335" s="5">
        <f>IF('Project Database'!A339="","",N('Project Database'!AJ339))</f>
        <v/>
      </c>
      <c r="BR335" s="5">
        <f>IF('Project Database'!A339="","",N('Project Database'!AK339))</f>
        <v/>
      </c>
      <c r="BS335" s="5">
        <f>IF('Project Database'!A339="","",N('Project Database'!AL339))</f>
        <v/>
      </c>
      <c r="BT335" s="5">
        <f>IF('Project Database'!A339="","",N('Project Database'!AM339))</f>
        <v/>
      </c>
      <c r="BU335" s="5">
        <f>IF('Project Database'!A339="","",N('Project Database'!AN339))</f>
        <v/>
      </c>
      <c r="BV335" s="5">
        <f>IF('Project Database'!A339="","",N('Project Database'!AO339))</f>
        <v/>
      </c>
      <c r="BW335" s="5">
        <f>IF('Project Database'!A339="","",N('Project Database'!AP339))</f>
        <v/>
      </c>
      <c r="BX335" s="5">
        <f>IF(A335="","",SUM(BJ335:BW335))</f>
        <v/>
      </c>
      <c r="BY335" s="5">
        <f>IF(A335="","",IFERROR(IF(ISNUMBER(U335),U335,VALUE(SUBSTITUTE(SUBSTITUTE(SUBSTITUTE(UPPER(TRIM(U335)),"M",""),",","")," ",""))),0))</f>
        <v/>
      </c>
    </row>
    <row r="336" ht="15" customHeight="1" s="74">
      <c r="A336" s="66">
        <f>'Project Database'!A340</f>
        <v/>
      </c>
      <c r="B336" s="66">
        <f>'Project Database'!B340</f>
        <v/>
      </c>
      <c r="C336" s="66">
        <f>'Project Database'!G340</f>
        <v/>
      </c>
      <c r="D336" s="66">
        <f>'Project Database'!H340</f>
        <v/>
      </c>
      <c r="E336" s="66">
        <f>'Project Database'!I340</f>
        <v/>
      </c>
      <c r="F336" s="66">
        <f>'Project Database'!J340</f>
        <v/>
      </c>
      <c r="G336" s="66">
        <f>'Project Database'!K340</f>
        <v/>
      </c>
      <c r="H336" s="66">
        <f>'Project Database'!L340</f>
        <v/>
      </c>
      <c r="I336" s="66">
        <f>'Project Database'!M340</f>
        <v/>
      </c>
      <c r="J336" s="66">
        <f>'Project Database'!N340</f>
        <v/>
      </c>
      <c r="K336" s="66">
        <f>'Project Database'!O340</f>
        <v/>
      </c>
      <c r="L336" s="66">
        <f>'Project Database'!P340</f>
        <v/>
      </c>
      <c r="M336" s="66">
        <f>'Project Database'!Q340</f>
        <v/>
      </c>
      <c r="N336" s="66">
        <f>'Project Database'!R340</f>
        <v/>
      </c>
      <c r="O336" s="66">
        <f>'Project Database'!S340</f>
        <v/>
      </c>
      <c r="P336" s="66">
        <f>'Project Database'!T340</f>
        <v/>
      </c>
      <c r="Q336" s="66">
        <f>'Project Database'!U340</f>
        <v/>
      </c>
      <c r="R336" s="66">
        <f>'Project Database'!V340</f>
        <v/>
      </c>
      <c r="S336" s="66">
        <f>'Project Database'!W340</f>
        <v/>
      </c>
      <c r="T336" s="66">
        <f>'Project Database'!X340</f>
        <v/>
      </c>
      <c r="U336" s="67">
        <f>'Project Database'!Y340</f>
        <v/>
      </c>
      <c r="V336" s="66">
        <f>IF('Smart Search'!B13=1,IFERROR(1/'Smart Search'!H13,0),0)</f>
        <v/>
      </c>
      <c r="W336" s="66">
        <f>IF('Smart Search'!B13=1,IFERROR(1/'Smart Search'!H13,0),0)</f>
        <v/>
      </c>
      <c r="X336" s="66">
        <f>IF('Smart Search'!C13=1,IFERROR(1/'Smart Search'!H13,0),0)</f>
        <v/>
      </c>
      <c r="Y336" s="66">
        <f>IF('Smart Search'!C13=1,IFERROR(1/'Smart Search'!H13,0),0)</f>
        <v/>
      </c>
      <c r="Z336" s="66">
        <f>IF('Smart Search'!D13=1,IFERROR(1/'Smart Search'!H13,0),0)</f>
        <v/>
      </c>
      <c r="AA336" s="66">
        <f>IF('Smart Search'!D13=1,IFERROR(1/'Smart Search'!H13,0),0)</f>
        <v/>
      </c>
      <c r="AB336" s="66">
        <f>IF('Smart Search'!E13=1,IFERROR(1/'Smart Search'!H13,0),0)</f>
        <v/>
      </c>
      <c r="AC336" s="66">
        <f>IF('Smart Search'!E13=1,IFERROR(1/'Smart Search'!H13,0),0)</f>
        <v/>
      </c>
      <c r="AD336" s="66">
        <f>IF('Smart Search'!F13=1,IFERROR(1/'Smart Search'!H13,0),0)</f>
        <v/>
      </c>
      <c r="AE336" s="66">
        <f>IF('Smart Search'!F13=1,IFERROR(1/'Smart Search'!H13,0),0)</f>
        <v/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66">
        <f>AF336*V336</f>
        <v/>
      </c>
      <c r="AQ336" s="66">
        <f>AG336*W336</f>
        <v/>
      </c>
      <c r="AR336" s="66">
        <f>AH336*X336</f>
        <v/>
      </c>
      <c r="AS336" s="66">
        <f>AI336*Y336</f>
        <v/>
      </c>
      <c r="AT336" s="66">
        <f>AJ336*Z336</f>
        <v/>
      </c>
      <c r="AU336" s="66">
        <f>AK336*AA336</f>
        <v/>
      </c>
      <c r="AV336" s="66">
        <f>AL336*AB336</f>
        <v/>
      </c>
      <c r="AW336" s="66">
        <f>AM336*AC336</f>
        <v/>
      </c>
      <c r="AX336" s="66">
        <f>AN336*AD336</f>
        <v/>
      </c>
      <c r="AY336" s="66">
        <f>AO336*AE336</f>
        <v/>
      </c>
      <c r="AZ336" s="66">
        <f>'Project Database'!Z340</f>
        <v/>
      </c>
      <c r="BA336" s="66">
        <f>IF(OR(A336="",'Smart Search'!H13=0),"",MAX(0,BE336*BF336*MAX(0,1-BG336)))</f>
        <v/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66">
        <f>IF('Smart Search'!G13=1,IFERROR(1/'Smart Search'!H13,0),0)</f>
        <v/>
      </c>
      <c r="BD336" s="66">
        <f>BB336*BC336</f>
        <v/>
      </c>
      <c r="BE336" s="66">
        <f>AP336+AQ336+AR336+AS336+AT336+AU336+AV336+AW336+AX336+AY336+BD336</f>
        <v/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5">
        <f>IF(AND('Project Database'!A340&lt;&gt;"",OR('Smart Search'!$L$5="",'Smart Search'!$L$5="All",TRIM('Project Database'!D340)=TRIM('Smart Search'!$L$5)),OR(TRIM('Smart Search'!$L$6)="",TRIM('Smart Search'!$L$6)="All",ISNUMBER(SEARCH(SUBSTITUTE(SUBSTITUTE(SUBSTITUTE(TRIM('Smart Search'!$L$6),"~","~~"),"*","~*"),"?","~?"),'Project Database'!C340))),OR('Smart Search'!$L$7="",AND('Project Database'!E340&lt;&gt;"",'Project Database'!E340='Smart Search'!$L$7)),OR('Smart Search'!$L$8="",'Smart Search'!$L$8="All",TRIM('Project Database'!F340)=TRIM('Smart Search'!$L$8))),IF(BA336="","",BA336+ROW()*0.0000000001),"")</f>
        <v/>
      </c>
      <c r="BI336" s="5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>
        <f>IF('Project Database'!A340="","",N('Project Database'!AC340))</f>
        <v/>
      </c>
      <c r="BK336" s="5">
        <f>IF('Project Database'!A340="","",N('Project Database'!AD340))</f>
        <v/>
      </c>
      <c r="BL336" s="5">
        <f>IF('Project Database'!A340="","",N('Project Database'!AE340))</f>
        <v/>
      </c>
      <c r="BM336" s="5">
        <f>IF('Project Database'!A340="","",N('Project Database'!AF340))</f>
        <v/>
      </c>
      <c r="BN336" s="5">
        <f>IF('Project Database'!A340="","",N('Project Database'!AG340))</f>
        <v/>
      </c>
      <c r="BO336" s="5">
        <f>IF('Project Database'!A340="","",N('Project Database'!AH340))</f>
        <v/>
      </c>
      <c r="BP336" s="5">
        <f>IF('Project Database'!A340="","",N('Project Database'!AI340))</f>
        <v/>
      </c>
      <c r="BQ336" s="5">
        <f>IF('Project Database'!A340="","",N('Project Database'!AJ340))</f>
        <v/>
      </c>
      <c r="BR336" s="5">
        <f>IF('Project Database'!A340="","",N('Project Database'!AK340))</f>
        <v/>
      </c>
      <c r="BS336" s="5">
        <f>IF('Project Database'!A340="","",N('Project Database'!AL340))</f>
        <v/>
      </c>
      <c r="BT336" s="5">
        <f>IF('Project Database'!A340="","",N('Project Database'!AM340))</f>
        <v/>
      </c>
      <c r="BU336" s="5">
        <f>IF('Project Database'!A340="","",N('Project Database'!AN340))</f>
        <v/>
      </c>
      <c r="BV336" s="5">
        <f>IF('Project Database'!A340="","",N('Project Database'!AO340))</f>
        <v/>
      </c>
      <c r="BW336" s="5">
        <f>IF('Project Database'!A340="","",N('Project Database'!AP340))</f>
        <v/>
      </c>
      <c r="BX336" s="5">
        <f>IF(A336="","",SUM(BJ336:BW336))</f>
        <v/>
      </c>
      <c r="BY336" s="5">
        <f>IF(A336="","",IFERROR(IF(ISNUMBER(U336),U336,VALUE(SUBSTITUTE(SUBSTITUTE(SUBSTITUTE(UPPER(TRIM(U336)),"M",""),",","")," ",""))),0))</f>
        <v/>
      </c>
    </row>
    <row r="337" ht="15" customHeight="1" s="74">
      <c r="A337" s="66">
        <f>'Project Database'!A341</f>
        <v/>
      </c>
      <c r="B337" s="66">
        <f>'Project Database'!B341</f>
        <v/>
      </c>
      <c r="C337" s="66">
        <f>'Project Database'!G341</f>
        <v/>
      </c>
      <c r="D337" s="66">
        <f>'Project Database'!H341</f>
        <v/>
      </c>
      <c r="E337" s="66">
        <f>'Project Database'!I341</f>
        <v/>
      </c>
      <c r="F337" s="66">
        <f>'Project Database'!J341</f>
        <v/>
      </c>
      <c r="G337" s="66">
        <f>'Project Database'!K341</f>
        <v/>
      </c>
      <c r="H337" s="66">
        <f>'Project Database'!L341</f>
        <v/>
      </c>
      <c r="I337" s="66">
        <f>'Project Database'!M341</f>
        <v/>
      </c>
      <c r="J337" s="66">
        <f>'Project Database'!N341</f>
        <v/>
      </c>
      <c r="K337" s="66">
        <f>'Project Database'!O341</f>
        <v/>
      </c>
      <c r="L337" s="66">
        <f>'Project Database'!P341</f>
        <v/>
      </c>
      <c r="M337" s="66">
        <f>'Project Database'!Q341</f>
        <v/>
      </c>
      <c r="N337" s="66">
        <f>'Project Database'!R341</f>
        <v/>
      </c>
      <c r="O337" s="66">
        <f>'Project Database'!S341</f>
        <v/>
      </c>
      <c r="P337" s="66">
        <f>'Project Database'!T341</f>
        <v/>
      </c>
      <c r="Q337" s="66">
        <f>'Project Database'!U341</f>
        <v/>
      </c>
      <c r="R337" s="66">
        <f>'Project Database'!V341</f>
        <v/>
      </c>
      <c r="S337" s="66">
        <f>'Project Database'!W341</f>
        <v/>
      </c>
      <c r="T337" s="66">
        <f>'Project Database'!X341</f>
        <v/>
      </c>
      <c r="U337" s="67">
        <f>'Project Database'!Y341</f>
        <v/>
      </c>
      <c r="V337" s="66">
        <f>IF('Smart Search'!B13=1,IFERROR(1/'Smart Search'!H13,0),0)</f>
        <v/>
      </c>
      <c r="W337" s="66">
        <f>IF('Smart Search'!B13=1,IFERROR(1/'Smart Search'!H13,0),0)</f>
        <v/>
      </c>
      <c r="X337" s="66">
        <f>IF('Smart Search'!C13=1,IFERROR(1/'Smart Search'!H13,0),0)</f>
        <v/>
      </c>
      <c r="Y337" s="66">
        <f>IF('Smart Search'!C13=1,IFERROR(1/'Smart Search'!H13,0),0)</f>
        <v/>
      </c>
      <c r="Z337" s="66">
        <f>IF('Smart Search'!D13=1,IFERROR(1/'Smart Search'!H13,0),0)</f>
        <v/>
      </c>
      <c r="AA337" s="66">
        <f>IF('Smart Search'!D13=1,IFERROR(1/'Smart Search'!H13,0),0)</f>
        <v/>
      </c>
      <c r="AB337" s="66">
        <f>IF('Smart Search'!E13=1,IFERROR(1/'Smart Search'!H13,0),0)</f>
        <v/>
      </c>
      <c r="AC337" s="66">
        <f>IF('Smart Search'!E13=1,IFERROR(1/'Smart Search'!H13,0),0)</f>
        <v/>
      </c>
      <c r="AD337" s="66">
        <f>IF('Smart Search'!F13=1,IFERROR(1/'Smart Search'!H13,0),0)</f>
        <v/>
      </c>
      <c r="AE337" s="66">
        <f>IF('Smart Search'!F13=1,IFERROR(1/'Smart Search'!H13,0),0)</f>
        <v/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66">
        <f>AF337*V337</f>
        <v/>
      </c>
      <c r="AQ337" s="66">
        <f>AG337*W337</f>
        <v/>
      </c>
      <c r="AR337" s="66">
        <f>AH337*X337</f>
        <v/>
      </c>
      <c r="AS337" s="66">
        <f>AI337*Y337</f>
        <v/>
      </c>
      <c r="AT337" s="66">
        <f>AJ337*Z337</f>
        <v/>
      </c>
      <c r="AU337" s="66">
        <f>AK337*AA337</f>
        <v/>
      </c>
      <c r="AV337" s="66">
        <f>AL337*AB337</f>
        <v/>
      </c>
      <c r="AW337" s="66">
        <f>AM337*AC337</f>
        <v/>
      </c>
      <c r="AX337" s="66">
        <f>AN337*AD337</f>
        <v/>
      </c>
      <c r="AY337" s="66">
        <f>AO337*AE337</f>
        <v/>
      </c>
      <c r="AZ337" s="66">
        <f>'Project Database'!Z341</f>
        <v/>
      </c>
      <c r="BA337" s="66">
        <f>IF(OR(A337="",'Smart Search'!H13=0),"",MAX(0,BE337*BF337*MAX(0,1-BG337)))</f>
        <v/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66">
        <f>IF('Smart Search'!G13=1,IFERROR(1/'Smart Search'!H13,0),0)</f>
        <v/>
      </c>
      <c r="BD337" s="66">
        <f>BB337*BC337</f>
        <v/>
      </c>
      <c r="BE337" s="66">
        <f>AP337+AQ337+AR337+AS337+AT337+AU337+AV337+AW337+AX337+AY337+BD337</f>
        <v/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5">
        <f>IF(AND('Project Database'!A341&lt;&gt;"",OR('Smart Search'!$L$5="",'Smart Search'!$L$5="All",TRIM('Project Database'!D341)=TRIM('Smart Search'!$L$5)),OR(TRIM('Smart Search'!$L$6)="",TRIM('Smart Search'!$L$6)="All",ISNUMBER(SEARCH(SUBSTITUTE(SUBSTITUTE(SUBSTITUTE(TRIM('Smart Search'!$L$6),"~","~~"),"*","~*"),"?","~?"),'Project Database'!C341))),OR('Smart Search'!$L$7="",AND('Project Database'!E341&lt;&gt;"",'Project Database'!E341='Smart Search'!$L$7)),OR('Smart Search'!$L$8="",'Smart Search'!$L$8="All",TRIM('Project Database'!F341)=TRIM('Smart Search'!$L$8))),IF(BA337="","",BA337+ROW()*0.0000000001),"")</f>
        <v/>
      </c>
      <c r="BI337" s="5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>
        <f>IF('Project Database'!A341="","",N('Project Database'!AC341))</f>
        <v/>
      </c>
      <c r="BK337" s="5">
        <f>IF('Project Database'!A341="","",N('Project Database'!AD341))</f>
        <v/>
      </c>
      <c r="BL337" s="5">
        <f>IF('Project Database'!A341="","",N('Project Database'!AE341))</f>
        <v/>
      </c>
      <c r="BM337" s="5">
        <f>IF('Project Database'!A341="","",N('Project Database'!AF341))</f>
        <v/>
      </c>
      <c r="BN337" s="5">
        <f>IF('Project Database'!A341="","",N('Project Database'!AG341))</f>
        <v/>
      </c>
      <c r="BO337" s="5">
        <f>IF('Project Database'!A341="","",N('Project Database'!AH341))</f>
        <v/>
      </c>
      <c r="BP337" s="5">
        <f>IF('Project Database'!A341="","",N('Project Database'!AI341))</f>
        <v/>
      </c>
      <c r="BQ337" s="5">
        <f>IF('Project Database'!A341="","",N('Project Database'!AJ341))</f>
        <v/>
      </c>
      <c r="BR337" s="5">
        <f>IF('Project Database'!A341="","",N('Project Database'!AK341))</f>
        <v/>
      </c>
      <c r="BS337" s="5">
        <f>IF('Project Database'!A341="","",N('Project Database'!AL341))</f>
        <v/>
      </c>
      <c r="BT337" s="5">
        <f>IF('Project Database'!A341="","",N('Project Database'!AM341))</f>
        <v/>
      </c>
      <c r="BU337" s="5">
        <f>IF('Project Database'!A341="","",N('Project Database'!AN341))</f>
        <v/>
      </c>
      <c r="BV337" s="5">
        <f>IF('Project Database'!A341="","",N('Project Database'!AO341))</f>
        <v/>
      </c>
      <c r="BW337" s="5">
        <f>IF('Project Database'!A341="","",N('Project Database'!AP341))</f>
        <v/>
      </c>
      <c r="BX337" s="5">
        <f>IF(A337="","",SUM(BJ337:BW337))</f>
        <v/>
      </c>
      <c r="BY337" s="5">
        <f>IF(A337="","",IFERROR(IF(ISNUMBER(U337),U337,VALUE(SUBSTITUTE(SUBSTITUTE(SUBSTITUTE(UPPER(TRIM(U337)),"M",""),",","")," ",""))),0))</f>
        <v/>
      </c>
    </row>
    <row r="338" ht="15" customHeight="1" s="74">
      <c r="A338" s="66">
        <f>'Project Database'!A342</f>
        <v/>
      </c>
      <c r="B338" s="66">
        <f>'Project Database'!B342</f>
        <v/>
      </c>
      <c r="C338" s="66">
        <f>'Project Database'!G342</f>
        <v/>
      </c>
      <c r="D338" s="66">
        <f>'Project Database'!H342</f>
        <v/>
      </c>
      <c r="E338" s="66">
        <f>'Project Database'!I342</f>
        <v/>
      </c>
      <c r="F338" s="66">
        <f>'Project Database'!J342</f>
        <v/>
      </c>
      <c r="G338" s="66">
        <f>'Project Database'!K342</f>
        <v/>
      </c>
      <c r="H338" s="66">
        <f>'Project Database'!L342</f>
        <v/>
      </c>
      <c r="I338" s="66">
        <f>'Project Database'!M342</f>
        <v/>
      </c>
      <c r="J338" s="66">
        <f>'Project Database'!N342</f>
        <v/>
      </c>
      <c r="K338" s="66">
        <f>'Project Database'!O342</f>
        <v/>
      </c>
      <c r="L338" s="66">
        <f>'Project Database'!P342</f>
        <v/>
      </c>
      <c r="M338" s="66">
        <f>'Project Database'!Q342</f>
        <v/>
      </c>
      <c r="N338" s="66">
        <f>'Project Database'!R342</f>
        <v/>
      </c>
      <c r="O338" s="66">
        <f>'Project Database'!S342</f>
        <v/>
      </c>
      <c r="P338" s="66">
        <f>'Project Database'!T342</f>
        <v/>
      </c>
      <c r="Q338" s="66">
        <f>'Project Database'!U342</f>
        <v/>
      </c>
      <c r="R338" s="66">
        <f>'Project Database'!V342</f>
        <v/>
      </c>
      <c r="S338" s="66">
        <f>'Project Database'!W342</f>
        <v/>
      </c>
      <c r="T338" s="66">
        <f>'Project Database'!X342</f>
        <v/>
      </c>
      <c r="U338" s="67">
        <f>'Project Database'!Y342</f>
        <v/>
      </c>
      <c r="V338" s="66">
        <f>IF('Smart Search'!B13=1,IFERROR(1/'Smart Search'!H13,0),0)</f>
        <v/>
      </c>
      <c r="W338" s="66">
        <f>IF('Smart Search'!B13=1,IFERROR(1/'Smart Search'!H13,0),0)</f>
        <v/>
      </c>
      <c r="X338" s="66">
        <f>IF('Smart Search'!C13=1,IFERROR(1/'Smart Search'!H13,0),0)</f>
        <v/>
      </c>
      <c r="Y338" s="66">
        <f>IF('Smart Search'!C13=1,IFERROR(1/'Smart Search'!H13,0),0)</f>
        <v/>
      </c>
      <c r="Z338" s="66">
        <f>IF('Smart Search'!D13=1,IFERROR(1/'Smart Search'!H13,0),0)</f>
        <v/>
      </c>
      <c r="AA338" s="66">
        <f>IF('Smart Search'!D13=1,IFERROR(1/'Smart Search'!H13,0),0)</f>
        <v/>
      </c>
      <c r="AB338" s="66">
        <f>IF('Smart Search'!E13=1,IFERROR(1/'Smart Search'!H13,0),0)</f>
        <v/>
      </c>
      <c r="AC338" s="66">
        <f>IF('Smart Search'!E13=1,IFERROR(1/'Smart Search'!H13,0),0)</f>
        <v/>
      </c>
      <c r="AD338" s="66">
        <f>IF('Smart Search'!F13=1,IFERROR(1/'Smart Search'!H13,0),0)</f>
        <v/>
      </c>
      <c r="AE338" s="66">
        <f>IF('Smart Search'!F13=1,IFERROR(1/'Smart Search'!H13,0),0)</f>
        <v/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66">
        <f>AF338*V338</f>
        <v/>
      </c>
      <c r="AQ338" s="66">
        <f>AG338*W338</f>
        <v/>
      </c>
      <c r="AR338" s="66">
        <f>AH338*X338</f>
        <v/>
      </c>
      <c r="AS338" s="66">
        <f>AI338*Y338</f>
        <v/>
      </c>
      <c r="AT338" s="66">
        <f>AJ338*Z338</f>
        <v/>
      </c>
      <c r="AU338" s="66">
        <f>AK338*AA338</f>
        <v/>
      </c>
      <c r="AV338" s="66">
        <f>AL338*AB338</f>
        <v/>
      </c>
      <c r="AW338" s="66">
        <f>AM338*AC338</f>
        <v/>
      </c>
      <c r="AX338" s="66">
        <f>AN338*AD338</f>
        <v/>
      </c>
      <c r="AY338" s="66">
        <f>AO338*AE338</f>
        <v/>
      </c>
      <c r="AZ338" s="66">
        <f>'Project Database'!Z342</f>
        <v/>
      </c>
      <c r="BA338" s="66">
        <f>IF(OR(A338="",'Smart Search'!H13=0),"",MAX(0,BE338*BF338*MAX(0,1-BG338)))</f>
        <v/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66">
        <f>IF('Smart Search'!G13=1,IFERROR(1/'Smart Search'!H13,0),0)</f>
        <v/>
      </c>
      <c r="BD338" s="66">
        <f>BB338*BC338</f>
        <v/>
      </c>
      <c r="BE338" s="66">
        <f>AP338+AQ338+AR338+AS338+AT338+AU338+AV338+AW338+AX338+AY338+BD338</f>
        <v/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5">
        <f>IF(AND('Project Database'!A342&lt;&gt;"",OR('Smart Search'!$L$5="",'Smart Search'!$L$5="All",TRIM('Project Database'!D342)=TRIM('Smart Search'!$L$5)),OR(TRIM('Smart Search'!$L$6)="",TRIM('Smart Search'!$L$6)="All",ISNUMBER(SEARCH(SUBSTITUTE(SUBSTITUTE(SUBSTITUTE(TRIM('Smart Search'!$L$6),"~","~~"),"*","~*"),"?","~?"),'Project Database'!C342))),OR('Smart Search'!$L$7="",AND('Project Database'!E342&lt;&gt;"",'Project Database'!E342='Smart Search'!$L$7)),OR('Smart Search'!$L$8="",'Smart Search'!$L$8="All",TRIM('Project Database'!F342)=TRIM('Smart Search'!$L$8))),IF(BA338="","",BA338+ROW()*0.0000000001),"")</f>
        <v/>
      </c>
      <c r="BI338" s="5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>
        <f>IF('Project Database'!A342="","",N('Project Database'!AC342))</f>
        <v/>
      </c>
      <c r="BK338" s="5">
        <f>IF('Project Database'!A342="","",N('Project Database'!AD342))</f>
        <v/>
      </c>
      <c r="BL338" s="5">
        <f>IF('Project Database'!A342="","",N('Project Database'!AE342))</f>
        <v/>
      </c>
      <c r="BM338" s="5">
        <f>IF('Project Database'!A342="","",N('Project Database'!AF342))</f>
        <v/>
      </c>
      <c r="BN338" s="5">
        <f>IF('Project Database'!A342="","",N('Project Database'!AG342))</f>
        <v/>
      </c>
      <c r="BO338" s="5">
        <f>IF('Project Database'!A342="","",N('Project Database'!AH342))</f>
        <v/>
      </c>
      <c r="BP338" s="5">
        <f>IF('Project Database'!A342="","",N('Project Database'!AI342))</f>
        <v/>
      </c>
      <c r="BQ338" s="5">
        <f>IF('Project Database'!A342="","",N('Project Database'!AJ342))</f>
        <v/>
      </c>
      <c r="BR338" s="5">
        <f>IF('Project Database'!A342="","",N('Project Database'!AK342))</f>
        <v/>
      </c>
      <c r="BS338" s="5">
        <f>IF('Project Database'!A342="","",N('Project Database'!AL342))</f>
        <v/>
      </c>
      <c r="BT338" s="5">
        <f>IF('Project Database'!A342="","",N('Project Database'!AM342))</f>
        <v/>
      </c>
      <c r="BU338" s="5">
        <f>IF('Project Database'!A342="","",N('Project Database'!AN342))</f>
        <v/>
      </c>
      <c r="BV338" s="5">
        <f>IF('Project Database'!A342="","",N('Project Database'!AO342))</f>
        <v/>
      </c>
      <c r="BW338" s="5">
        <f>IF('Project Database'!A342="","",N('Project Database'!AP342))</f>
        <v/>
      </c>
      <c r="BX338" s="5">
        <f>IF(A338="","",SUM(BJ338:BW338))</f>
        <v/>
      </c>
      <c r="BY338" s="5">
        <f>IF(A338="","",IFERROR(IF(ISNUMBER(U338),U338,VALUE(SUBSTITUTE(SUBSTITUTE(SUBSTITUTE(UPPER(TRIM(U338)),"M",""),",","")," ",""))),0))</f>
        <v/>
      </c>
    </row>
    <row r="339" ht="15" customHeight="1" s="74">
      <c r="A339" s="66">
        <f>'Project Database'!A343</f>
        <v/>
      </c>
      <c r="B339" s="66">
        <f>'Project Database'!B343</f>
        <v/>
      </c>
      <c r="C339" s="66">
        <f>'Project Database'!G343</f>
        <v/>
      </c>
      <c r="D339" s="66">
        <f>'Project Database'!H343</f>
        <v/>
      </c>
      <c r="E339" s="66">
        <f>'Project Database'!I343</f>
        <v/>
      </c>
      <c r="F339" s="66">
        <f>'Project Database'!J343</f>
        <v/>
      </c>
      <c r="G339" s="66">
        <f>'Project Database'!K343</f>
        <v/>
      </c>
      <c r="H339" s="66">
        <f>'Project Database'!L343</f>
        <v/>
      </c>
      <c r="I339" s="66">
        <f>'Project Database'!M343</f>
        <v/>
      </c>
      <c r="J339" s="66">
        <f>'Project Database'!N343</f>
        <v/>
      </c>
      <c r="K339" s="66">
        <f>'Project Database'!O343</f>
        <v/>
      </c>
      <c r="L339" s="66">
        <f>'Project Database'!P343</f>
        <v/>
      </c>
      <c r="M339" s="66">
        <f>'Project Database'!Q343</f>
        <v/>
      </c>
      <c r="N339" s="66">
        <f>'Project Database'!R343</f>
        <v/>
      </c>
      <c r="O339" s="66">
        <f>'Project Database'!S343</f>
        <v/>
      </c>
      <c r="P339" s="66">
        <f>'Project Database'!T343</f>
        <v/>
      </c>
      <c r="Q339" s="66">
        <f>'Project Database'!U343</f>
        <v/>
      </c>
      <c r="R339" s="66">
        <f>'Project Database'!V343</f>
        <v/>
      </c>
      <c r="S339" s="66">
        <f>'Project Database'!W343</f>
        <v/>
      </c>
      <c r="T339" s="66">
        <f>'Project Database'!X343</f>
        <v/>
      </c>
      <c r="U339" s="67">
        <f>'Project Database'!Y343</f>
        <v/>
      </c>
      <c r="V339" s="66">
        <f>IF('Smart Search'!B13=1,IFERROR(1/'Smart Search'!H13,0),0)</f>
        <v/>
      </c>
      <c r="W339" s="66">
        <f>IF('Smart Search'!B13=1,IFERROR(1/'Smart Search'!H13,0),0)</f>
        <v/>
      </c>
      <c r="X339" s="66">
        <f>IF('Smart Search'!C13=1,IFERROR(1/'Smart Search'!H13,0),0)</f>
        <v/>
      </c>
      <c r="Y339" s="66">
        <f>IF('Smart Search'!C13=1,IFERROR(1/'Smart Search'!H13,0),0)</f>
        <v/>
      </c>
      <c r="Z339" s="66">
        <f>IF('Smart Search'!D13=1,IFERROR(1/'Smart Search'!H13,0),0)</f>
        <v/>
      </c>
      <c r="AA339" s="66">
        <f>IF('Smart Search'!D13=1,IFERROR(1/'Smart Search'!H13,0),0)</f>
        <v/>
      </c>
      <c r="AB339" s="66">
        <f>IF('Smart Search'!E13=1,IFERROR(1/'Smart Search'!H13,0),0)</f>
        <v/>
      </c>
      <c r="AC339" s="66">
        <f>IF('Smart Search'!E13=1,IFERROR(1/'Smart Search'!H13,0),0)</f>
        <v/>
      </c>
      <c r="AD339" s="66">
        <f>IF('Smart Search'!F13=1,IFERROR(1/'Smart Search'!H13,0),0)</f>
        <v/>
      </c>
      <c r="AE339" s="66">
        <f>IF('Smart Search'!F13=1,IFERROR(1/'Smart Search'!H13,0),0)</f>
        <v/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66">
        <f>AF339*V339</f>
        <v/>
      </c>
      <c r="AQ339" s="66">
        <f>AG339*W339</f>
        <v/>
      </c>
      <c r="AR339" s="66">
        <f>AH339*X339</f>
        <v/>
      </c>
      <c r="AS339" s="66">
        <f>AI339*Y339</f>
        <v/>
      </c>
      <c r="AT339" s="66">
        <f>AJ339*Z339</f>
        <v/>
      </c>
      <c r="AU339" s="66">
        <f>AK339*AA339</f>
        <v/>
      </c>
      <c r="AV339" s="66">
        <f>AL339*AB339</f>
        <v/>
      </c>
      <c r="AW339" s="66">
        <f>AM339*AC339</f>
        <v/>
      </c>
      <c r="AX339" s="66">
        <f>AN339*AD339</f>
        <v/>
      </c>
      <c r="AY339" s="66">
        <f>AO339*AE339</f>
        <v/>
      </c>
      <c r="AZ339" s="66">
        <f>'Project Database'!Z343</f>
        <v/>
      </c>
      <c r="BA339" s="66">
        <f>IF(OR(A339="",'Smart Search'!H13=0),"",MAX(0,BE339*BF339*MAX(0,1-BG339)))</f>
        <v/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66">
        <f>IF('Smart Search'!G13=1,IFERROR(1/'Smart Search'!H13,0),0)</f>
        <v/>
      </c>
      <c r="BD339" s="66">
        <f>BB339*BC339</f>
        <v/>
      </c>
      <c r="BE339" s="66">
        <f>AP339+AQ339+AR339+AS339+AT339+AU339+AV339+AW339+AX339+AY339+BD339</f>
        <v/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5">
        <f>IF(AND('Project Database'!A343&lt;&gt;"",OR('Smart Search'!$L$5="",'Smart Search'!$L$5="All",TRIM('Project Database'!D343)=TRIM('Smart Search'!$L$5)),OR(TRIM('Smart Search'!$L$6)="",TRIM('Smart Search'!$L$6)="All",ISNUMBER(SEARCH(SUBSTITUTE(SUBSTITUTE(SUBSTITUTE(TRIM('Smart Search'!$L$6),"~","~~"),"*","~*"),"?","~?"),'Project Database'!C343))),OR('Smart Search'!$L$7="",AND('Project Database'!E343&lt;&gt;"",'Project Database'!E343='Smart Search'!$L$7)),OR('Smart Search'!$L$8="",'Smart Search'!$L$8="All",TRIM('Project Database'!F343)=TRIM('Smart Search'!$L$8))),IF(BA339="","",BA339+ROW()*0.0000000001),"")</f>
        <v/>
      </c>
      <c r="BI339" s="5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>
        <f>IF('Project Database'!A343="","",N('Project Database'!AC343))</f>
        <v/>
      </c>
      <c r="BK339" s="5">
        <f>IF('Project Database'!A343="","",N('Project Database'!AD343))</f>
        <v/>
      </c>
      <c r="BL339" s="5">
        <f>IF('Project Database'!A343="","",N('Project Database'!AE343))</f>
        <v/>
      </c>
      <c r="BM339" s="5">
        <f>IF('Project Database'!A343="","",N('Project Database'!AF343))</f>
        <v/>
      </c>
      <c r="BN339" s="5">
        <f>IF('Project Database'!A343="","",N('Project Database'!AG343))</f>
        <v/>
      </c>
      <c r="BO339" s="5">
        <f>IF('Project Database'!A343="","",N('Project Database'!AH343))</f>
        <v/>
      </c>
      <c r="BP339" s="5">
        <f>IF('Project Database'!A343="","",N('Project Database'!AI343))</f>
        <v/>
      </c>
      <c r="BQ339" s="5">
        <f>IF('Project Database'!A343="","",N('Project Database'!AJ343))</f>
        <v/>
      </c>
      <c r="BR339" s="5">
        <f>IF('Project Database'!A343="","",N('Project Database'!AK343))</f>
        <v/>
      </c>
      <c r="BS339" s="5">
        <f>IF('Project Database'!A343="","",N('Project Database'!AL343))</f>
        <v/>
      </c>
      <c r="BT339" s="5">
        <f>IF('Project Database'!A343="","",N('Project Database'!AM343))</f>
        <v/>
      </c>
      <c r="BU339" s="5">
        <f>IF('Project Database'!A343="","",N('Project Database'!AN343))</f>
        <v/>
      </c>
      <c r="BV339" s="5">
        <f>IF('Project Database'!A343="","",N('Project Database'!AO343))</f>
        <v/>
      </c>
      <c r="BW339" s="5">
        <f>IF('Project Database'!A343="","",N('Project Database'!AP343))</f>
        <v/>
      </c>
      <c r="BX339" s="5">
        <f>IF(A339="","",SUM(BJ339:BW339))</f>
        <v/>
      </c>
      <c r="BY339" s="5">
        <f>IF(A339="","",IFERROR(IF(ISNUMBER(U339),U339,VALUE(SUBSTITUTE(SUBSTITUTE(SUBSTITUTE(UPPER(TRIM(U339)),"M",""),",","")," ",""))),0))</f>
        <v/>
      </c>
    </row>
    <row r="340" ht="15" customHeight="1" s="74">
      <c r="A340" s="66">
        <f>'Project Database'!A344</f>
        <v/>
      </c>
      <c r="B340" s="66">
        <f>'Project Database'!B344</f>
        <v/>
      </c>
      <c r="C340" s="66">
        <f>'Project Database'!G344</f>
        <v/>
      </c>
      <c r="D340" s="66">
        <f>'Project Database'!H344</f>
        <v/>
      </c>
      <c r="E340" s="66">
        <f>'Project Database'!I344</f>
        <v/>
      </c>
      <c r="F340" s="66">
        <f>'Project Database'!J344</f>
        <v/>
      </c>
      <c r="G340" s="66">
        <f>'Project Database'!K344</f>
        <v/>
      </c>
      <c r="H340" s="66">
        <f>'Project Database'!L344</f>
        <v/>
      </c>
      <c r="I340" s="66">
        <f>'Project Database'!M344</f>
        <v/>
      </c>
      <c r="J340" s="66">
        <f>'Project Database'!N344</f>
        <v/>
      </c>
      <c r="K340" s="66">
        <f>'Project Database'!O344</f>
        <v/>
      </c>
      <c r="L340" s="66">
        <f>'Project Database'!P344</f>
        <v/>
      </c>
      <c r="M340" s="66">
        <f>'Project Database'!Q344</f>
        <v/>
      </c>
      <c r="N340" s="66">
        <f>'Project Database'!R344</f>
        <v/>
      </c>
      <c r="O340" s="66">
        <f>'Project Database'!S344</f>
        <v/>
      </c>
      <c r="P340" s="66">
        <f>'Project Database'!T344</f>
        <v/>
      </c>
      <c r="Q340" s="66">
        <f>'Project Database'!U344</f>
        <v/>
      </c>
      <c r="R340" s="66">
        <f>'Project Database'!V344</f>
        <v/>
      </c>
      <c r="S340" s="66">
        <f>'Project Database'!W344</f>
        <v/>
      </c>
      <c r="T340" s="66">
        <f>'Project Database'!X344</f>
        <v/>
      </c>
      <c r="U340" s="67">
        <f>'Project Database'!Y344</f>
        <v/>
      </c>
      <c r="V340" s="66">
        <f>IF('Smart Search'!B13=1,IFERROR(1/'Smart Search'!H13,0),0)</f>
        <v/>
      </c>
      <c r="W340" s="66">
        <f>IF('Smart Search'!B13=1,IFERROR(1/'Smart Search'!H13,0),0)</f>
        <v/>
      </c>
      <c r="X340" s="66">
        <f>IF('Smart Search'!C13=1,IFERROR(1/'Smart Search'!H13,0),0)</f>
        <v/>
      </c>
      <c r="Y340" s="66">
        <f>IF('Smart Search'!C13=1,IFERROR(1/'Smart Search'!H13,0),0)</f>
        <v/>
      </c>
      <c r="Z340" s="66">
        <f>IF('Smart Search'!D13=1,IFERROR(1/'Smart Search'!H13,0),0)</f>
        <v/>
      </c>
      <c r="AA340" s="66">
        <f>IF('Smart Search'!D13=1,IFERROR(1/'Smart Search'!H13,0),0)</f>
        <v/>
      </c>
      <c r="AB340" s="66">
        <f>IF('Smart Search'!E13=1,IFERROR(1/'Smart Search'!H13,0),0)</f>
        <v/>
      </c>
      <c r="AC340" s="66">
        <f>IF('Smart Search'!E13=1,IFERROR(1/'Smart Search'!H13,0),0)</f>
        <v/>
      </c>
      <c r="AD340" s="66">
        <f>IF('Smart Search'!F13=1,IFERROR(1/'Smart Search'!H13,0),0)</f>
        <v/>
      </c>
      <c r="AE340" s="66">
        <f>IF('Smart Search'!F13=1,IFERROR(1/'Smart Search'!H13,0),0)</f>
        <v/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66">
        <f>AF340*V340</f>
        <v/>
      </c>
      <c r="AQ340" s="66">
        <f>AG340*W340</f>
        <v/>
      </c>
      <c r="AR340" s="66">
        <f>AH340*X340</f>
        <v/>
      </c>
      <c r="AS340" s="66">
        <f>AI340*Y340</f>
        <v/>
      </c>
      <c r="AT340" s="66">
        <f>AJ340*Z340</f>
        <v/>
      </c>
      <c r="AU340" s="66">
        <f>AK340*AA340</f>
        <v/>
      </c>
      <c r="AV340" s="66">
        <f>AL340*AB340</f>
        <v/>
      </c>
      <c r="AW340" s="66">
        <f>AM340*AC340</f>
        <v/>
      </c>
      <c r="AX340" s="66">
        <f>AN340*AD340</f>
        <v/>
      </c>
      <c r="AY340" s="66">
        <f>AO340*AE340</f>
        <v/>
      </c>
      <c r="AZ340" s="66">
        <f>'Project Database'!Z344</f>
        <v/>
      </c>
      <c r="BA340" s="66">
        <f>IF(OR(A340="",'Smart Search'!H13=0),"",MAX(0,BE340*BF340*MAX(0,1-BG340)))</f>
        <v/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66">
        <f>IF('Smart Search'!G13=1,IFERROR(1/'Smart Search'!H13,0),0)</f>
        <v/>
      </c>
      <c r="BD340" s="66">
        <f>BB340*BC340</f>
        <v/>
      </c>
      <c r="BE340" s="66">
        <f>AP340+AQ340+AR340+AS340+AT340+AU340+AV340+AW340+AX340+AY340+BD340</f>
        <v/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5">
        <f>IF(AND('Project Database'!A344&lt;&gt;"",OR('Smart Search'!$L$5="",'Smart Search'!$L$5="All",TRIM('Project Database'!D344)=TRIM('Smart Search'!$L$5)),OR(TRIM('Smart Search'!$L$6)="",TRIM('Smart Search'!$L$6)="All",ISNUMBER(SEARCH(SUBSTITUTE(SUBSTITUTE(SUBSTITUTE(TRIM('Smart Search'!$L$6),"~","~~"),"*","~*"),"?","~?"),'Project Database'!C344))),OR('Smart Search'!$L$7="",AND('Project Database'!E344&lt;&gt;"",'Project Database'!E344='Smart Search'!$L$7)),OR('Smart Search'!$L$8="",'Smart Search'!$L$8="All",TRIM('Project Database'!F344)=TRIM('Smart Search'!$L$8))),IF(BA340="","",BA340+ROW()*0.0000000001),"")</f>
        <v/>
      </c>
      <c r="BI340" s="5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>
        <f>IF('Project Database'!A344="","",N('Project Database'!AC344))</f>
        <v/>
      </c>
      <c r="BK340" s="5">
        <f>IF('Project Database'!A344="","",N('Project Database'!AD344))</f>
        <v/>
      </c>
      <c r="BL340" s="5">
        <f>IF('Project Database'!A344="","",N('Project Database'!AE344))</f>
        <v/>
      </c>
      <c r="BM340" s="5">
        <f>IF('Project Database'!A344="","",N('Project Database'!AF344))</f>
        <v/>
      </c>
      <c r="BN340" s="5">
        <f>IF('Project Database'!A344="","",N('Project Database'!AG344))</f>
        <v/>
      </c>
      <c r="BO340" s="5">
        <f>IF('Project Database'!A344="","",N('Project Database'!AH344))</f>
        <v/>
      </c>
      <c r="BP340" s="5">
        <f>IF('Project Database'!A344="","",N('Project Database'!AI344))</f>
        <v/>
      </c>
      <c r="BQ340" s="5">
        <f>IF('Project Database'!A344="","",N('Project Database'!AJ344))</f>
        <v/>
      </c>
      <c r="BR340" s="5">
        <f>IF('Project Database'!A344="","",N('Project Database'!AK344))</f>
        <v/>
      </c>
      <c r="BS340" s="5">
        <f>IF('Project Database'!A344="","",N('Project Database'!AL344))</f>
        <v/>
      </c>
      <c r="BT340" s="5">
        <f>IF('Project Database'!A344="","",N('Project Database'!AM344))</f>
        <v/>
      </c>
      <c r="BU340" s="5">
        <f>IF('Project Database'!A344="","",N('Project Database'!AN344))</f>
        <v/>
      </c>
      <c r="BV340" s="5">
        <f>IF('Project Database'!A344="","",N('Project Database'!AO344))</f>
        <v/>
      </c>
      <c r="BW340" s="5">
        <f>IF('Project Database'!A344="","",N('Project Database'!AP344))</f>
        <v/>
      </c>
      <c r="BX340" s="5">
        <f>IF(A340="","",SUM(BJ340:BW340))</f>
        <v/>
      </c>
      <c r="BY340" s="5">
        <f>IF(A340="","",IFERROR(IF(ISNUMBER(U340),U340,VALUE(SUBSTITUTE(SUBSTITUTE(SUBSTITUTE(UPPER(TRIM(U340)),"M",""),",","")," ",""))),0))</f>
        <v/>
      </c>
    </row>
    <row r="341" ht="15" customHeight="1" s="74">
      <c r="A341" s="66">
        <f>'Project Database'!A345</f>
        <v/>
      </c>
      <c r="B341" s="66">
        <f>'Project Database'!B345</f>
        <v/>
      </c>
      <c r="C341" s="66">
        <f>'Project Database'!G345</f>
        <v/>
      </c>
      <c r="D341" s="66">
        <f>'Project Database'!H345</f>
        <v/>
      </c>
      <c r="E341" s="66">
        <f>'Project Database'!I345</f>
        <v/>
      </c>
      <c r="F341" s="66">
        <f>'Project Database'!J345</f>
        <v/>
      </c>
      <c r="G341" s="66">
        <f>'Project Database'!K345</f>
        <v/>
      </c>
      <c r="H341" s="66">
        <f>'Project Database'!L345</f>
        <v/>
      </c>
      <c r="I341" s="66">
        <f>'Project Database'!M345</f>
        <v/>
      </c>
      <c r="J341" s="66">
        <f>'Project Database'!N345</f>
        <v/>
      </c>
      <c r="K341" s="66">
        <f>'Project Database'!O345</f>
        <v/>
      </c>
      <c r="L341" s="66">
        <f>'Project Database'!P345</f>
        <v/>
      </c>
      <c r="M341" s="66">
        <f>'Project Database'!Q345</f>
        <v/>
      </c>
      <c r="N341" s="66">
        <f>'Project Database'!R345</f>
        <v/>
      </c>
      <c r="O341" s="66">
        <f>'Project Database'!S345</f>
        <v/>
      </c>
      <c r="P341" s="66">
        <f>'Project Database'!T345</f>
        <v/>
      </c>
      <c r="Q341" s="66">
        <f>'Project Database'!U345</f>
        <v/>
      </c>
      <c r="R341" s="66">
        <f>'Project Database'!V345</f>
        <v/>
      </c>
      <c r="S341" s="66">
        <f>'Project Database'!W345</f>
        <v/>
      </c>
      <c r="T341" s="66">
        <f>'Project Database'!X345</f>
        <v/>
      </c>
      <c r="U341" s="67">
        <f>'Project Database'!Y345</f>
        <v/>
      </c>
      <c r="V341" s="66">
        <f>IF('Smart Search'!B13=1,IFERROR(1/'Smart Search'!H13,0),0)</f>
        <v/>
      </c>
      <c r="W341" s="66">
        <f>IF('Smart Search'!B13=1,IFERROR(1/'Smart Search'!H13,0),0)</f>
        <v/>
      </c>
      <c r="X341" s="66">
        <f>IF('Smart Search'!C13=1,IFERROR(1/'Smart Search'!H13,0),0)</f>
        <v/>
      </c>
      <c r="Y341" s="66">
        <f>IF('Smart Search'!C13=1,IFERROR(1/'Smart Search'!H13,0),0)</f>
        <v/>
      </c>
      <c r="Z341" s="66">
        <f>IF('Smart Search'!D13=1,IFERROR(1/'Smart Search'!H13,0),0)</f>
        <v/>
      </c>
      <c r="AA341" s="66">
        <f>IF('Smart Search'!D13=1,IFERROR(1/'Smart Search'!H13,0),0)</f>
        <v/>
      </c>
      <c r="AB341" s="66">
        <f>IF('Smart Search'!E13=1,IFERROR(1/'Smart Search'!H13,0),0)</f>
        <v/>
      </c>
      <c r="AC341" s="66">
        <f>IF('Smart Search'!E13=1,IFERROR(1/'Smart Search'!H13,0),0)</f>
        <v/>
      </c>
      <c r="AD341" s="66">
        <f>IF('Smart Search'!F13=1,IFERROR(1/'Smart Search'!H13,0),0)</f>
        <v/>
      </c>
      <c r="AE341" s="66">
        <f>IF('Smart Search'!F13=1,IFERROR(1/'Smart Search'!H13,0),0)</f>
        <v/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66">
        <f>AF341*V341</f>
        <v/>
      </c>
      <c r="AQ341" s="66">
        <f>AG341*W341</f>
        <v/>
      </c>
      <c r="AR341" s="66">
        <f>AH341*X341</f>
        <v/>
      </c>
      <c r="AS341" s="66">
        <f>AI341*Y341</f>
        <v/>
      </c>
      <c r="AT341" s="66">
        <f>AJ341*Z341</f>
        <v/>
      </c>
      <c r="AU341" s="66">
        <f>AK341*AA341</f>
        <v/>
      </c>
      <c r="AV341" s="66">
        <f>AL341*AB341</f>
        <v/>
      </c>
      <c r="AW341" s="66">
        <f>AM341*AC341</f>
        <v/>
      </c>
      <c r="AX341" s="66">
        <f>AN341*AD341</f>
        <v/>
      </c>
      <c r="AY341" s="66">
        <f>AO341*AE341</f>
        <v/>
      </c>
      <c r="AZ341" s="66">
        <f>'Project Database'!Z345</f>
        <v/>
      </c>
      <c r="BA341" s="66">
        <f>IF(OR(A341="",'Smart Search'!H13=0),"",MAX(0,BE341*BF341*MAX(0,1-BG341)))</f>
        <v/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66">
        <f>IF('Smart Search'!G13=1,IFERROR(1/'Smart Search'!H13,0),0)</f>
        <v/>
      </c>
      <c r="BD341" s="66">
        <f>BB341*BC341</f>
        <v/>
      </c>
      <c r="BE341" s="66">
        <f>AP341+AQ341+AR341+AS341+AT341+AU341+AV341+AW341+AX341+AY341+BD341</f>
        <v/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5">
        <f>IF(AND('Project Database'!A345&lt;&gt;"",OR('Smart Search'!$L$5="",'Smart Search'!$L$5="All",TRIM('Project Database'!D345)=TRIM('Smart Search'!$L$5)),OR(TRIM('Smart Search'!$L$6)="",TRIM('Smart Search'!$L$6)="All",ISNUMBER(SEARCH(SUBSTITUTE(SUBSTITUTE(SUBSTITUTE(TRIM('Smart Search'!$L$6),"~","~~"),"*","~*"),"?","~?"),'Project Database'!C345))),OR('Smart Search'!$L$7="",AND('Project Database'!E345&lt;&gt;"",'Project Database'!E345='Smart Search'!$L$7)),OR('Smart Search'!$L$8="",'Smart Search'!$L$8="All",TRIM('Project Database'!F345)=TRIM('Smart Search'!$L$8))),IF(BA341="","",BA341+ROW()*0.0000000001),"")</f>
        <v/>
      </c>
      <c r="BI341" s="5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>
        <f>IF('Project Database'!A345="","",N('Project Database'!AC345))</f>
        <v/>
      </c>
      <c r="BK341" s="5">
        <f>IF('Project Database'!A345="","",N('Project Database'!AD345))</f>
        <v/>
      </c>
      <c r="BL341" s="5">
        <f>IF('Project Database'!A345="","",N('Project Database'!AE345))</f>
        <v/>
      </c>
      <c r="BM341" s="5">
        <f>IF('Project Database'!A345="","",N('Project Database'!AF345))</f>
        <v/>
      </c>
      <c r="BN341" s="5">
        <f>IF('Project Database'!A345="","",N('Project Database'!AG345))</f>
        <v/>
      </c>
      <c r="BO341" s="5">
        <f>IF('Project Database'!A345="","",N('Project Database'!AH345))</f>
        <v/>
      </c>
      <c r="BP341" s="5">
        <f>IF('Project Database'!A345="","",N('Project Database'!AI345))</f>
        <v/>
      </c>
      <c r="BQ341" s="5">
        <f>IF('Project Database'!A345="","",N('Project Database'!AJ345))</f>
        <v/>
      </c>
      <c r="BR341" s="5">
        <f>IF('Project Database'!A345="","",N('Project Database'!AK345))</f>
        <v/>
      </c>
      <c r="BS341" s="5">
        <f>IF('Project Database'!A345="","",N('Project Database'!AL345))</f>
        <v/>
      </c>
      <c r="BT341" s="5">
        <f>IF('Project Database'!A345="","",N('Project Database'!AM345))</f>
        <v/>
      </c>
      <c r="BU341" s="5">
        <f>IF('Project Database'!A345="","",N('Project Database'!AN345))</f>
        <v/>
      </c>
      <c r="BV341" s="5">
        <f>IF('Project Database'!A345="","",N('Project Database'!AO345))</f>
        <v/>
      </c>
      <c r="BW341" s="5">
        <f>IF('Project Database'!A345="","",N('Project Database'!AP345))</f>
        <v/>
      </c>
      <c r="BX341" s="5">
        <f>IF(A341="","",SUM(BJ341:BW341))</f>
        <v/>
      </c>
      <c r="BY341" s="5">
        <f>IF(A341="","",IFERROR(IF(ISNUMBER(U341),U341,VALUE(SUBSTITUTE(SUBSTITUTE(SUBSTITUTE(UPPER(TRIM(U341)),"M",""),",","")," ",""))),0))</f>
        <v/>
      </c>
    </row>
    <row r="342" ht="15" customHeight="1" s="74">
      <c r="A342" s="66">
        <f>'Project Database'!A346</f>
        <v/>
      </c>
      <c r="B342" s="66">
        <f>'Project Database'!B346</f>
        <v/>
      </c>
      <c r="C342" s="66">
        <f>'Project Database'!G346</f>
        <v/>
      </c>
      <c r="D342" s="66">
        <f>'Project Database'!H346</f>
        <v/>
      </c>
      <c r="E342" s="66">
        <f>'Project Database'!I346</f>
        <v/>
      </c>
      <c r="F342" s="66">
        <f>'Project Database'!J346</f>
        <v/>
      </c>
      <c r="G342" s="66">
        <f>'Project Database'!K346</f>
        <v/>
      </c>
      <c r="H342" s="66">
        <f>'Project Database'!L346</f>
        <v/>
      </c>
      <c r="I342" s="66">
        <f>'Project Database'!M346</f>
        <v/>
      </c>
      <c r="J342" s="66">
        <f>'Project Database'!N346</f>
        <v/>
      </c>
      <c r="K342" s="66">
        <f>'Project Database'!O346</f>
        <v/>
      </c>
      <c r="L342" s="66">
        <f>'Project Database'!P346</f>
        <v/>
      </c>
      <c r="M342" s="66">
        <f>'Project Database'!Q346</f>
        <v/>
      </c>
      <c r="N342" s="66">
        <f>'Project Database'!R346</f>
        <v/>
      </c>
      <c r="O342" s="66">
        <f>'Project Database'!S346</f>
        <v/>
      </c>
      <c r="P342" s="66">
        <f>'Project Database'!T346</f>
        <v/>
      </c>
      <c r="Q342" s="66">
        <f>'Project Database'!U346</f>
        <v/>
      </c>
      <c r="R342" s="66">
        <f>'Project Database'!V346</f>
        <v/>
      </c>
      <c r="S342" s="66">
        <f>'Project Database'!W346</f>
        <v/>
      </c>
      <c r="T342" s="66">
        <f>'Project Database'!X346</f>
        <v/>
      </c>
      <c r="U342" s="67">
        <f>'Project Database'!Y346</f>
        <v/>
      </c>
      <c r="V342" s="66">
        <f>IF('Smart Search'!B13=1,IFERROR(1/'Smart Search'!H13,0),0)</f>
        <v/>
      </c>
      <c r="W342" s="66">
        <f>IF('Smart Search'!B13=1,IFERROR(1/'Smart Search'!H13,0),0)</f>
        <v/>
      </c>
      <c r="X342" s="66">
        <f>IF('Smart Search'!C13=1,IFERROR(1/'Smart Search'!H13,0),0)</f>
        <v/>
      </c>
      <c r="Y342" s="66">
        <f>IF('Smart Search'!C13=1,IFERROR(1/'Smart Search'!H13,0),0)</f>
        <v/>
      </c>
      <c r="Z342" s="66">
        <f>IF('Smart Search'!D13=1,IFERROR(1/'Smart Search'!H13,0),0)</f>
        <v/>
      </c>
      <c r="AA342" s="66">
        <f>IF('Smart Search'!D13=1,IFERROR(1/'Smart Search'!H13,0),0)</f>
        <v/>
      </c>
      <c r="AB342" s="66">
        <f>IF('Smart Search'!E13=1,IFERROR(1/'Smart Search'!H13,0),0)</f>
        <v/>
      </c>
      <c r="AC342" s="66">
        <f>IF('Smart Search'!E13=1,IFERROR(1/'Smart Search'!H13,0),0)</f>
        <v/>
      </c>
      <c r="AD342" s="66">
        <f>IF('Smart Search'!F13=1,IFERROR(1/'Smart Search'!H13,0),0)</f>
        <v/>
      </c>
      <c r="AE342" s="66">
        <f>IF('Smart Search'!F13=1,IFERROR(1/'Smart Search'!H13,0),0)</f>
        <v/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66">
        <f>AF342*V342</f>
        <v/>
      </c>
      <c r="AQ342" s="66">
        <f>AG342*W342</f>
        <v/>
      </c>
      <c r="AR342" s="66">
        <f>AH342*X342</f>
        <v/>
      </c>
      <c r="AS342" s="66">
        <f>AI342*Y342</f>
        <v/>
      </c>
      <c r="AT342" s="66">
        <f>AJ342*Z342</f>
        <v/>
      </c>
      <c r="AU342" s="66">
        <f>AK342*AA342</f>
        <v/>
      </c>
      <c r="AV342" s="66">
        <f>AL342*AB342</f>
        <v/>
      </c>
      <c r="AW342" s="66">
        <f>AM342*AC342</f>
        <v/>
      </c>
      <c r="AX342" s="66">
        <f>AN342*AD342</f>
        <v/>
      </c>
      <c r="AY342" s="66">
        <f>AO342*AE342</f>
        <v/>
      </c>
      <c r="AZ342" s="66">
        <f>'Project Database'!Z346</f>
        <v/>
      </c>
      <c r="BA342" s="66">
        <f>IF(OR(A342="",'Smart Search'!H13=0),"",MAX(0,BE342*BF342*MAX(0,1-BG342)))</f>
        <v/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66">
        <f>IF('Smart Search'!G13=1,IFERROR(1/'Smart Search'!H13,0),0)</f>
        <v/>
      </c>
      <c r="BD342" s="66">
        <f>BB342*BC342</f>
        <v/>
      </c>
      <c r="BE342" s="66">
        <f>AP342+AQ342+AR342+AS342+AT342+AU342+AV342+AW342+AX342+AY342+BD342</f>
        <v/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5">
        <f>IF(AND('Project Database'!A346&lt;&gt;"",OR('Smart Search'!$L$5="",'Smart Search'!$L$5="All",TRIM('Project Database'!D346)=TRIM('Smart Search'!$L$5)),OR(TRIM('Smart Search'!$L$6)="",TRIM('Smart Search'!$L$6)="All",ISNUMBER(SEARCH(SUBSTITUTE(SUBSTITUTE(SUBSTITUTE(TRIM('Smart Search'!$L$6),"~","~~"),"*","~*"),"?","~?"),'Project Database'!C346))),OR('Smart Search'!$L$7="",AND('Project Database'!E346&lt;&gt;"",'Project Database'!E346='Smart Search'!$L$7)),OR('Smart Search'!$L$8="",'Smart Search'!$L$8="All",TRIM('Project Database'!F346)=TRIM('Smart Search'!$L$8))),IF(BA342="","",BA342+ROW()*0.0000000001),"")</f>
        <v/>
      </c>
      <c r="BI342" s="5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>
        <f>IF('Project Database'!A346="","",N('Project Database'!AC346))</f>
        <v/>
      </c>
      <c r="BK342" s="5">
        <f>IF('Project Database'!A346="","",N('Project Database'!AD346))</f>
        <v/>
      </c>
      <c r="BL342" s="5">
        <f>IF('Project Database'!A346="","",N('Project Database'!AE346))</f>
        <v/>
      </c>
      <c r="BM342" s="5">
        <f>IF('Project Database'!A346="","",N('Project Database'!AF346))</f>
        <v/>
      </c>
      <c r="BN342" s="5">
        <f>IF('Project Database'!A346="","",N('Project Database'!AG346))</f>
        <v/>
      </c>
      <c r="BO342" s="5">
        <f>IF('Project Database'!A346="","",N('Project Database'!AH346))</f>
        <v/>
      </c>
      <c r="BP342" s="5">
        <f>IF('Project Database'!A346="","",N('Project Database'!AI346))</f>
        <v/>
      </c>
      <c r="BQ342" s="5">
        <f>IF('Project Database'!A346="","",N('Project Database'!AJ346))</f>
        <v/>
      </c>
      <c r="BR342" s="5">
        <f>IF('Project Database'!A346="","",N('Project Database'!AK346))</f>
        <v/>
      </c>
      <c r="BS342" s="5">
        <f>IF('Project Database'!A346="","",N('Project Database'!AL346))</f>
        <v/>
      </c>
      <c r="BT342" s="5">
        <f>IF('Project Database'!A346="","",N('Project Database'!AM346))</f>
        <v/>
      </c>
      <c r="BU342" s="5">
        <f>IF('Project Database'!A346="","",N('Project Database'!AN346))</f>
        <v/>
      </c>
      <c r="BV342" s="5">
        <f>IF('Project Database'!A346="","",N('Project Database'!AO346))</f>
        <v/>
      </c>
      <c r="BW342" s="5">
        <f>IF('Project Database'!A346="","",N('Project Database'!AP346))</f>
        <v/>
      </c>
      <c r="BX342" s="5">
        <f>IF(A342="","",SUM(BJ342:BW342))</f>
        <v/>
      </c>
      <c r="BY342" s="5">
        <f>IF(A342="","",IFERROR(IF(ISNUMBER(U342),U342,VALUE(SUBSTITUTE(SUBSTITUTE(SUBSTITUTE(UPPER(TRIM(U342)),"M",""),",","")," ",""))),0))</f>
        <v/>
      </c>
    </row>
    <row r="343" ht="15" customHeight="1" s="74">
      <c r="A343" s="66">
        <f>'Project Database'!A347</f>
        <v/>
      </c>
      <c r="B343" s="66">
        <f>'Project Database'!B347</f>
        <v/>
      </c>
      <c r="C343" s="66">
        <f>'Project Database'!G347</f>
        <v/>
      </c>
      <c r="D343" s="66">
        <f>'Project Database'!H347</f>
        <v/>
      </c>
      <c r="E343" s="66">
        <f>'Project Database'!I347</f>
        <v/>
      </c>
      <c r="F343" s="66">
        <f>'Project Database'!J347</f>
        <v/>
      </c>
      <c r="G343" s="66">
        <f>'Project Database'!K347</f>
        <v/>
      </c>
      <c r="H343" s="66">
        <f>'Project Database'!L347</f>
        <v/>
      </c>
      <c r="I343" s="66">
        <f>'Project Database'!M347</f>
        <v/>
      </c>
      <c r="J343" s="66">
        <f>'Project Database'!N347</f>
        <v/>
      </c>
      <c r="K343" s="66">
        <f>'Project Database'!O347</f>
        <v/>
      </c>
      <c r="L343" s="66">
        <f>'Project Database'!P347</f>
        <v/>
      </c>
      <c r="M343" s="66">
        <f>'Project Database'!Q347</f>
        <v/>
      </c>
      <c r="N343" s="66">
        <f>'Project Database'!R347</f>
        <v/>
      </c>
      <c r="O343" s="66">
        <f>'Project Database'!S347</f>
        <v/>
      </c>
      <c r="P343" s="66">
        <f>'Project Database'!T347</f>
        <v/>
      </c>
      <c r="Q343" s="66">
        <f>'Project Database'!U347</f>
        <v/>
      </c>
      <c r="R343" s="66">
        <f>'Project Database'!V347</f>
        <v/>
      </c>
      <c r="S343" s="66">
        <f>'Project Database'!W347</f>
        <v/>
      </c>
      <c r="T343" s="66">
        <f>'Project Database'!X347</f>
        <v/>
      </c>
      <c r="U343" s="67">
        <f>'Project Database'!Y347</f>
        <v/>
      </c>
      <c r="V343" s="66">
        <f>IF('Smart Search'!B13=1,IFERROR(1/'Smart Search'!H13,0),0)</f>
        <v/>
      </c>
      <c r="W343" s="66">
        <f>IF('Smart Search'!B13=1,IFERROR(1/'Smart Search'!H13,0),0)</f>
        <v/>
      </c>
      <c r="X343" s="66">
        <f>IF('Smart Search'!C13=1,IFERROR(1/'Smart Search'!H13,0),0)</f>
        <v/>
      </c>
      <c r="Y343" s="66">
        <f>IF('Smart Search'!C13=1,IFERROR(1/'Smart Search'!H13,0),0)</f>
        <v/>
      </c>
      <c r="Z343" s="66">
        <f>IF('Smart Search'!D13=1,IFERROR(1/'Smart Search'!H13,0),0)</f>
        <v/>
      </c>
      <c r="AA343" s="66">
        <f>IF('Smart Search'!D13=1,IFERROR(1/'Smart Search'!H13,0),0)</f>
        <v/>
      </c>
      <c r="AB343" s="66">
        <f>IF('Smart Search'!E13=1,IFERROR(1/'Smart Search'!H13,0),0)</f>
        <v/>
      </c>
      <c r="AC343" s="66">
        <f>IF('Smart Search'!E13=1,IFERROR(1/'Smart Search'!H13,0),0)</f>
        <v/>
      </c>
      <c r="AD343" s="66">
        <f>IF('Smart Search'!F13=1,IFERROR(1/'Smart Search'!H13,0),0)</f>
        <v/>
      </c>
      <c r="AE343" s="66">
        <f>IF('Smart Search'!F13=1,IFERROR(1/'Smart Search'!H13,0),0)</f>
        <v/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66">
        <f>AF343*V343</f>
        <v/>
      </c>
      <c r="AQ343" s="66">
        <f>AG343*W343</f>
        <v/>
      </c>
      <c r="AR343" s="66">
        <f>AH343*X343</f>
        <v/>
      </c>
      <c r="AS343" s="66">
        <f>AI343*Y343</f>
        <v/>
      </c>
      <c r="AT343" s="66">
        <f>AJ343*Z343</f>
        <v/>
      </c>
      <c r="AU343" s="66">
        <f>AK343*AA343</f>
        <v/>
      </c>
      <c r="AV343" s="66">
        <f>AL343*AB343</f>
        <v/>
      </c>
      <c r="AW343" s="66">
        <f>AM343*AC343</f>
        <v/>
      </c>
      <c r="AX343" s="66">
        <f>AN343*AD343</f>
        <v/>
      </c>
      <c r="AY343" s="66">
        <f>AO343*AE343</f>
        <v/>
      </c>
      <c r="AZ343" s="66">
        <f>'Project Database'!Z347</f>
        <v/>
      </c>
      <c r="BA343" s="66">
        <f>IF(OR(A343="",'Smart Search'!H13=0),"",MAX(0,BE343*BF343*MAX(0,1-BG343)))</f>
        <v/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66">
        <f>IF('Smart Search'!G13=1,IFERROR(1/'Smart Search'!H13,0),0)</f>
        <v/>
      </c>
      <c r="BD343" s="66">
        <f>BB343*BC343</f>
        <v/>
      </c>
      <c r="BE343" s="66">
        <f>AP343+AQ343+AR343+AS343+AT343+AU343+AV343+AW343+AX343+AY343+BD343</f>
        <v/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5">
        <f>IF(AND('Project Database'!A347&lt;&gt;"",OR('Smart Search'!$L$5="",'Smart Search'!$L$5="All",TRIM('Project Database'!D347)=TRIM('Smart Search'!$L$5)),OR(TRIM('Smart Search'!$L$6)="",TRIM('Smart Search'!$L$6)="All",ISNUMBER(SEARCH(SUBSTITUTE(SUBSTITUTE(SUBSTITUTE(TRIM('Smart Search'!$L$6),"~","~~"),"*","~*"),"?","~?"),'Project Database'!C347))),OR('Smart Search'!$L$7="",AND('Project Database'!E347&lt;&gt;"",'Project Database'!E347='Smart Search'!$L$7)),OR('Smart Search'!$L$8="",'Smart Search'!$L$8="All",TRIM('Project Database'!F347)=TRIM('Smart Search'!$L$8))),IF(BA343="","",BA343+ROW()*0.0000000001),"")</f>
        <v/>
      </c>
      <c r="BI343" s="5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>
        <f>IF('Project Database'!A347="","",N('Project Database'!AC347))</f>
        <v/>
      </c>
      <c r="BK343" s="5">
        <f>IF('Project Database'!A347="","",N('Project Database'!AD347))</f>
        <v/>
      </c>
      <c r="BL343" s="5">
        <f>IF('Project Database'!A347="","",N('Project Database'!AE347))</f>
        <v/>
      </c>
      <c r="BM343" s="5">
        <f>IF('Project Database'!A347="","",N('Project Database'!AF347))</f>
        <v/>
      </c>
      <c r="BN343" s="5">
        <f>IF('Project Database'!A347="","",N('Project Database'!AG347))</f>
        <v/>
      </c>
      <c r="BO343" s="5">
        <f>IF('Project Database'!A347="","",N('Project Database'!AH347))</f>
        <v/>
      </c>
      <c r="BP343" s="5">
        <f>IF('Project Database'!A347="","",N('Project Database'!AI347))</f>
        <v/>
      </c>
      <c r="BQ343" s="5">
        <f>IF('Project Database'!A347="","",N('Project Database'!AJ347))</f>
        <v/>
      </c>
      <c r="BR343" s="5">
        <f>IF('Project Database'!A347="","",N('Project Database'!AK347))</f>
        <v/>
      </c>
      <c r="BS343" s="5">
        <f>IF('Project Database'!A347="","",N('Project Database'!AL347))</f>
        <v/>
      </c>
      <c r="BT343" s="5">
        <f>IF('Project Database'!A347="","",N('Project Database'!AM347))</f>
        <v/>
      </c>
      <c r="BU343" s="5">
        <f>IF('Project Database'!A347="","",N('Project Database'!AN347))</f>
        <v/>
      </c>
      <c r="BV343" s="5">
        <f>IF('Project Database'!A347="","",N('Project Database'!AO347))</f>
        <v/>
      </c>
      <c r="BW343" s="5">
        <f>IF('Project Database'!A347="","",N('Project Database'!AP347))</f>
        <v/>
      </c>
      <c r="BX343" s="5">
        <f>IF(A343="","",SUM(BJ343:BW343))</f>
        <v/>
      </c>
      <c r="BY343" s="5">
        <f>IF(A343="","",IFERROR(IF(ISNUMBER(U343),U343,VALUE(SUBSTITUTE(SUBSTITUTE(SUBSTITUTE(UPPER(TRIM(U343)),"M",""),",","")," ",""))),0))</f>
        <v/>
      </c>
    </row>
    <row r="344" ht="15" customHeight="1" s="74">
      <c r="A344" s="66">
        <f>'Project Database'!A348</f>
        <v/>
      </c>
      <c r="B344" s="66">
        <f>'Project Database'!B348</f>
        <v/>
      </c>
      <c r="C344" s="66">
        <f>'Project Database'!G348</f>
        <v/>
      </c>
      <c r="D344" s="66">
        <f>'Project Database'!H348</f>
        <v/>
      </c>
      <c r="E344" s="66">
        <f>'Project Database'!I348</f>
        <v/>
      </c>
      <c r="F344" s="66">
        <f>'Project Database'!J348</f>
        <v/>
      </c>
      <c r="G344" s="66">
        <f>'Project Database'!K348</f>
        <v/>
      </c>
      <c r="H344" s="66">
        <f>'Project Database'!L348</f>
        <v/>
      </c>
      <c r="I344" s="66">
        <f>'Project Database'!M348</f>
        <v/>
      </c>
      <c r="J344" s="66">
        <f>'Project Database'!N348</f>
        <v/>
      </c>
      <c r="K344" s="66">
        <f>'Project Database'!O348</f>
        <v/>
      </c>
      <c r="L344" s="66">
        <f>'Project Database'!P348</f>
        <v/>
      </c>
      <c r="M344" s="66">
        <f>'Project Database'!Q348</f>
        <v/>
      </c>
      <c r="N344" s="66">
        <f>'Project Database'!R348</f>
        <v/>
      </c>
      <c r="O344" s="66">
        <f>'Project Database'!S348</f>
        <v/>
      </c>
      <c r="P344" s="66">
        <f>'Project Database'!T348</f>
        <v/>
      </c>
      <c r="Q344" s="66">
        <f>'Project Database'!U348</f>
        <v/>
      </c>
      <c r="R344" s="66">
        <f>'Project Database'!V348</f>
        <v/>
      </c>
      <c r="S344" s="66">
        <f>'Project Database'!W348</f>
        <v/>
      </c>
      <c r="T344" s="66">
        <f>'Project Database'!X348</f>
        <v/>
      </c>
      <c r="U344" s="67">
        <f>'Project Database'!Y348</f>
        <v/>
      </c>
      <c r="V344" s="66">
        <f>IF('Smart Search'!B13=1,IFERROR(1/'Smart Search'!H13,0),0)</f>
        <v/>
      </c>
      <c r="W344" s="66">
        <f>IF('Smart Search'!B13=1,IFERROR(1/'Smart Search'!H13,0),0)</f>
        <v/>
      </c>
      <c r="X344" s="66">
        <f>IF('Smart Search'!C13=1,IFERROR(1/'Smart Search'!H13,0),0)</f>
        <v/>
      </c>
      <c r="Y344" s="66">
        <f>IF('Smart Search'!C13=1,IFERROR(1/'Smart Search'!H13,0),0)</f>
        <v/>
      </c>
      <c r="Z344" s="66">
        <f>IF('Smart Search'!D13=1,IFERROR(1/'Smart Search'!H13,0),0)</f>
        <v/>
      </c>
      <c r="AA344" s="66">
        <f>IF('Smart Search'!D13=1,IFERROR(1/'Smart Search'!H13,0),0)</f>
        <v/>
      </c>
      <c r="AB344" s="66">
        <f>IF('Smart Search'!E13=1,IFERROR(1/'Smart Search'!H13,0),0)</f>
        <v/>
      </c>
      <c r="AC344" s="66">
        <f>IF('Smart Search'!E13=1,IFERROR(1/'Smart Search'!H13,0),0)</f>
        <v/>
      </c>
      <c r="AD344" s="66">
        <f>IF('Smart Search'!F13=1,IFERROR(1/'Smart Search'!H13,0),0)</f>
        <v/>
      </c>
      <c r="AE344" s="66">
        <f>IF('Smart Search'!F13=1,IFERROR(1/'Smart Search'!H13,0),0)</f>
        <v/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66">
        <f>AF344*V344</f>
        <v/>
      </c>
      <c r="AQ344" s="66">
        <f>AG344*W344</f>
        <v/>
      </c>
      <c r="AR344" s="66">
        <f>AH344*X344</f>
        <v/>
      </c>
      <c r="AS344" s="66">
        <f>AI344*Y344</f>
        <v/>
      </c>
      <c r="AT344" s="66">
        <f>AJ344*Z344</f>
        <v/>
      </c>
      <c r="AU344" s="66">
        <f>AK344*AA344</f>
        <v/>
      </c>
      <c r="AV344" s="66">
        <f>AL344*AB344</f>
        <v/>
      </c>
      <c r="AW344" s="66">
        <f>AM344*AC344</f>
        <v/>
      </c>
      <c r="AX344" s="66">
        <f>AN344*AD344</f>
        <v/>
      </c>
      <c r="AY344" s="66">
        <f>AO344*AE344</f>
        <v/>
      </c>
      <c r="AZ344" s="66">
        <f>'Project Database'!Z348</f>
        <v/>
      </c>
      <c r="BA344" s="66">
        <f>IF(OR(A344="",'Smart Search'!H13=0),"",MAX(0,BE344*BF344*MAX(0,1-BG344)))</f>
        <v/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66">
        <f>IF('Smart Search'!G13=1,IFERROR(1/'Smart Search'!H13,0),0)</f>
        <v/>
      </c>
      <c r="BD344" s="66">
        <f>BB344*BC344</f>
        <v/>
      </c>
      <c r="BE344" s="66">
        <f>AP344+AQ344+AR344+AS344+AT344+AU344+AV344+AW344+AX344+AY344+BD344</f>
        <v/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5">
        <f>IF(AND('Project Database'!A348&lt;&gt;"",OR('Smart Search'!$L$5="",'Smart Search'!$L$5="All",TRIM('Project Database'!D348)=TRIM('Smart Search'!$L$5)),OR(TRIM('Smart Search'!$L$6)="",TRIM('Smart Search'!$L$6)="All",ISNUMBER(SEARCH(SUBSTITUTE(SUBSTITUTE(SUBSTITUTE(TRIM('Smart Search'!$L$6),"~","~~"),"*","~*"),"?","~?"),'Project Database'!C348))),OR('Smart Search'!$L$7="",AND('Project Database'!E348&lt;&gt;"",'Project Database'!E348='Smart Search'!$L$7)),OR('Smart Search'!$L$8="",'Smart Search'!$L$8="All",TRIM('Project Database'!F348)=TRIM('Smart Search'!$L$8))),IF(BA344="","",BA344+ROW()*0.0000000001),"")</f>
        <v/>
      </c>
      <c r="BI344" s="5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>
        <f>IF('Project Database'!A348="","",N('Project Database'!AC348))</f>
        <v/>
      </c>
      <c r="BK344" s="5">
        <f>IF('Project Database'!A348="","",N('Project Database'!AD348))</f>
        <v/>
      </c>
      <c r="BL344" s="5">
        <f>IF('Project Database'!A348="","",N('Project Database'!AE348))</f>
        <v/>
      </c>
      <c r="BM344" s="5">
        <f>IF('Project Database'!A348="","",N('Project Database'!AF348))</f>
        <v/>
      </c>
      <c r="BN344" s="5">
        <f>IF('Project Database'!A348="","",N('Project Database'!AG348))</f>
        <v/>
      </c>
      <c r="BO344" s="5">
        <f>IF('Project Database'!A348="","",N('Project Database'!AH348))</f>
        <v/>
      </c>
      <c r="BP344" s="5">
        <f>IF('Project Database'!A348="","",N('Project Database'!AI348))</f>
        <v/>
      </c>
      <c r="BQ344" s="5">
        <f>IF('Project Database'!A348="","",N('Project Database'!AJ348))</f>
        <v/>
      </c>
      <c r="BR344" s="5">
        <f>IF('Project Database'!A348="","",N('Project Database'!AK348))</f>
        <v/>
      </c>
      <c r="BS344" s="5">
        <f>IF('Project Database'!A348="","",N('Project Database'!AL348))</f>
        <v/>
      </c>
      <c r="BT344" s="5">
        <f>IF('Project Database'!A348="","",N('Project Database'!AM348))</f>
        <v/>
      </c>
      <c r="BU344" s="5">
        <f>IF('Project Database'!A348="","",N('Project Database'!AN348))</f>
        <v/>
      </c>
      <c r="BV344" s="5">
        <f>IF('Project Database'!A348="","",N('Project Database'!AO348))</f>
        <v/>
      </c>
      <c r="BW344" s="5">
        <f>IF('Project Database'!A348="","",N('Project Database'!AP348))</f>
        <v/>
      </c>
      <c r="BX344" s="5">
        <f>IF(A344="","",SUM(BJ344:BW344))</f>
        <v/>
      </c>
      <c r="BY344" s="5">
        <f>IF(A344="","",IFERROR(IF(ISNUMBER(U344),U344,VALUE(SUBSTITUTE(SUBSTITUTE(SUBSTITUTE(UPPER(TRIM(U344)),"M",""),",","")," ",""))),0))</f>
        <v/>
      </c>
    </row>
    <row r="345" ht="15" customHeight="1" s="74">
      <c r="A345" s="66">
        <f>'Project Database'!A349</f>
        <v/>
      </c>
      <c r="B345" s="66">
        <f>'Project Database'!B349</f>
        <v/>
      </c>
      <c r="C345" s="66">
        <f>'Project Database'!G349</f>
        <v/>
      </c>
      <c r="D345" s="66">
        <f>'Project Database'!H349</f>
        <v/>
      </c>
      <c r="E345" s="66">
        <f>'Project Database'!I349</f>
        <v/>
      </c>
      <c r="F345" s="66">
        <f>'Project Database'!J349</f>
        <v/>
      </c>
      <c r="G345" s="66">
        <f>'Project Database'!K349</f>
        <v/>
      </c>
      <c r="H345" s="66">
        <f>'Project Database'!L349</f>
        <v/>
      </c>
      <c r="I345" s="66">
        <f>'Project Database'!M349</f>
        <v/>
      </c>
      <c r="J345" s="66">
        <f>'Project Database'!N349</f>
        <v/>
      </c>
      <c r="K345" s="66">
        <f>'Project Database'!O349</f>
        <v/>
      </c>
      <c r="L345" s="66">
        <f>'Project Database'!P349</f>
        <v/>
      </c>
      <c r="M345" s="66">
        <f>'Project Database'!Q349</f>
        <v/>
      </c>
      <c r="N345" s="66">
        <f>'Project Database'!R349</f>
        <v/>
      </c>
      <c r="O345" s="66">
        <f>'Project Database'!S349</f>
        <v/>
      </c>
      <c r="P345" s="66">
        <f>'Project Database'!T349</f>
        <v/>
      </c>
      <c r="Q345" s="66">
        <f>'Project Database'!U349</f>
        <v/>
      </c>
      <c r="R345" s="66">
        <f>'Project Database'!V349</f>
        <v/>
      </c>
      <c r="S345" s="66">
        <f>'Project Database'!W349</f>
        <v/>
      </c>
      <c r="T345" s="66">
        <f>'Project Database'!X349</f>
        <v/>
      </c>
      <c r="U345" s="67">
        <f>'Project Database'!Y349</f>
        <v/>
      </c>
      <c r="V345" s="66">
        <f>IF('Smart Search'!B13=1,IFERROR(1/'Smart Search'!H13,0),0)</f>
        <v/>
      </c>
      <c r="W345" s="66">
        <f>IF('Smart Search'!B13=1,IFERROR(1/'Smart Search'!H13,0),0)</f>
        <v/>
      </c>
      <c r="X345" s="66">
        <f>IF('Smart Search'!C13=1,IFERROR(1/'Smart Search'!H13,0),0)</f>
        <v/>
      </c>
      <c r="Y345" s="66">
        <f>IF('Smart Search'!C13=1,IFERROR(1/'Smart Search'!H13,0),0)</f>
        <v/>
      </c>
      <c r="Z345" s="66">
        <f>IF('Smart Search'!D13=1,IFERROR(1/'Smart Search'!H13,0),0)</f>
        <v/>
      </c>
      <c r="AA345" s="66">
        <f>IF('Smart Search'!D13=1,IFERROR(1/'Smart Search'!H13,0),0)</f>
        <v/>
      </c>
      <c r="AB345" s="66">
        <f>IF('Smart Search'!E13=1,IFERROR(1/'Smart Search'!H13,0),0)</f>
        <v/>
      </c>
      <c r="AC345" s="66">
        <f>IF('Smart Search'!E13=1,IFERROR(1/'Smart Search'!H13,0),0)</f>
        <v/>
      </c>
      <c r="AD345" s="66">
        <f>IF('Smart Search'!F13=1,IFERROR(1/'Smart Search'!H13,0),0)</f>
        <v/>
      </c>
      <c r="AE345" s="66">
        <f>IF('Smart Search'!F13=1,IFERROR(1/'Smart Search'!H13,0),0)</f>
        <v/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66">
        <f>AF345*V345</f>
        <v/>
      </c>
      <c r="AQ345" s="66">
        <f>AG345*W345</f>
        <v/>
      </c>
      <c r="AR345" s="66">
        <f>AH345*X345</f>
        <v/>
      </c>
      <c r="AS345" s="66">
        <f>AI345*Y345</f>
        <v/>
      </c>
      <c r="AT345" s="66">
        <f>AJ345*Z345</f>
        <v/>
      </c>
      <c r="AU345" s="66">
        <f>AK345*AA345</f>
        <v/>
      </c>
      <c r="AV345" s="66">
        <f>AL345*AB345</f>
        <v/>
      </c>
      <c r="AW345" s="66">
        <f>AM345*AC345</f>
        <v/>
      </c>
      <c r="AX345" s="66">
        <f>AN345*AD345</f>
        <v/>
      </c>
      <c r="AY345" s="66">
        <f>AO345*AE345</f>
        <v/>
      </c>
      <c r="AZ345" s="66">
        <f>'Project Database'!Z349</f>
        <v/>
      </c>
      <c r="BA345" s="66">
        <f>IF(OR(A345="",'Smart Search'!H13=0),"",MAX(0,BE345*BF345*MAX(0,1-BG345)))</f>
        <v/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66">
        <f>IF('Smart Search'!G13=1,IFERROR(1/'Smart Search'!H13,0),0)</f>
        <v/>
      </c>
      <c r="BD345" s="66">
        <f>BB345*BC345</f>
        <v/>
      </c>
      <c r="BE345" s="66">
        <f>AP345+AQ345+AR345+AS345+AT345+AU345+AV345+AW345+AX345+AY345+BD345</f>
        <v/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5">
        <f>IF(AND('Project Database'!A349&lt;&gt;"",OR('Smart Search'!$L$5="",'Smart Search'!$L$5="All",TRIM('Project Database'!D349)=TRIM('Smart Search'!$L$5)),OR(TRIM('Smart Search'!$L$6)="",TRIM('Smart Search'!$L$6)="All",ISNUMBER(SEARCH(SUBSTITUTE(SUBSTITUTE(SUBSTITUTE(TRIM('Smart Search'!$L$6),"~","~~"),"*","~*"),"?","~?"),'Project Database'!C349))),OR('Smart Search'!$L$7="",AND('Project Database'!E349&lt;&gt;"",'Project Database'!E349='Smart Search'!$L$7)),OR('Smart Search'!$L$8="",'Smart Search'!$L$8="All",TRIM('Project Database'!F349)=TRIM('Smart Search'!$L$8))),IF(BA345="","",BA345+ROW()*0.0000000001),"")</f>
        <v/>
      </c>
      <c r="BI345" s="5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>
        <f>IF('Project Database'!A349="","",N('Project Database'!AC349))</f>
        <v/>
      </c>
      <c r="BK345" s="5">
        <f>IF('Project Database'!A349="","",N('Project Database'!AD349))</f>
        <v/>
      </c>
      <c r="BL345" s="5">
        <f>IF('Project Database'!A349="","",N('Project Database'!AE349))</f>
        <v/>
      </c>
      <c r="BM345" s="5">
        <f>IF('Project Database'!A349="","",N('Project Database'!AF349))</f>
        <v/>
      </c>
      <c r="BN345" s="5">
        <f>IF('Project Database'!A349="","",N('Project Database'!AG349))</f>
        <v/>
      </c>
      <c r="BO345" s="5">
        <f>IF('Project Database'!A349="","",N('Project Database'!AH349))</f>
        <v/>
      </c>
      <c r="BP345" s="5">
        <f>IF('Project Database'!A349="","",N('Project Database'!AI349))</f>
        <v/>
      </c>
      <c r="BQ345" s="5">
        <f>IF('Project Database'!A349="","",N('Project Database'!AJ349))</f>
        <v/>
      </c>
      <c r="BR345" s="5">
        <f>IF('Project Database'!A349="","",N('Project Database'!AK349))</f>
        <v/>
      </c>
      <c r="BS345" s="5">
        <f>IF('Project Database'!A349="","",N('Project Database'!AL349))</f>
        <v/>
      </c>
      <c r="BT345" s="5">
        <f>IF('Project Database'!A349="","",N('Project Database'!AM349))</f>
        <v/>
      </c>
      <c r="BU345" s="5">
        <f>IF('Project Database'!A349="","",N('Project Database'!AN349))</f>
        <v/>
      </c>
      <c r="BV345" s="5">
        <f>IF('Project Database'!A349="","",N('Project Database'!AO349))</f>
        <v/>
      </c>
      <c r="BW345" s="5">
        <f>IF('Project Database'!A349="","",N('Project Database'!AP349))</f>
        <v/>
      </c>
      <c r="BX345" s="5">
        <f>IF(A345="","",SUM(BJ345:BW345))</f>
        <v/>
      </c>
      <c r="BY345" s="5">
        <f>IF(A345="","",IFERROR(IF(ISNUMBER(U345),U345,VALUE(SUBSTITUTE(SUBSTITUTE(SUBSTITUTE(UPPER(TRIM(U345)),"M",""),",","")," ",""))),0))</f>
        <v/>
      </c>
    </row>
    <row r="346" ht="15" customHeight="1" s="74">
      <c r="A346" s="66">
        <f>'Project Database'!A350</f>
        <v/>
      </c>
      <c r="B346" s="66">
        <f>'Project Database'!B350</f>
        <v/>
      </c>
      <c r="C346" s="66">
        <f>'Project Database'!G350</f>
        <v/>
      </c>
      <c r="D346" s="66">
        <f>'Project Database'!H350</f>
        <v/>
      </c>
      <c r="E346" s="66">
        <f>'Project Database'!I350</f>
        <v/>
      </c>
      <c r="F346" s="66">
        <f>'Project Database'!J350</f>
        <v/>
      </c>
      <c r="G346" s="66">
        <f>'Project Database'!K350</f>
        <v/>
      </c>
      <c r="H346" s="66">
        <f>'Project Database'!L350</f>
        <v/>
      </c>
      <c r="I346" s="66">
        <f>'Project Database'!M350</f>
        <v/>
      </c>
      <c r="J346" s="66">
        <f>'Project Database'!N350</f>
        <v/>
      </c>
      <c r="K346" s="66">
        <f>'Project Database'!O350</f>
        <v/>
      </c>
      <c r="L346" s="66">
        <f>'Project Database'!P350</f>
        <v/>
      </c>
      <c r="M346" s="66">
        <f>'Project Database'!Q350</f>
        <v/>
      </c>
      <c r="N346" s="66">
        <f>'Project Database'!R350</f>
        <v/>
      </c>
      <c r="O346" s="66">
        <f>'Project Database'!S350</f>
        <v/>
      </c>
      <c r="P346" s="66">
        <f>'Project Database'!T350</f>
        <v/>
      </c>
      <c r="Q346" s="66">
        <f>'Project Database'!U350</f>
        <v/>
      </c>
      <c r="R346" s="66">
        <f>'Project Database'!V350</f>
        <v/>
      </c>
      <c r="S346" s="66">
        <f>'Project Database'!W350</f>
        <v/>
      </c>
      <c r="T346" s="66">
        <f>'Project Database'!X350</f>
        <v/>
      </c>
      <c r="U346" s="67">
        <f>'Project Database'!Y350</f>
        <v/>
      </c>
      <c r="V346" s="66">
        <f>IF('Smart Search'!B13=1,IFERROR(1/'Smart Search'!H13,0),0)</f>
        <v/>
      </c>
      <c r="W346" s="66">
        <f>IF('Smart Search'!B13=1,IFERROR(1/'Smart Search'!H13,0),0)</f>
        <v/>
      </c>
      <c r="X346" s="66">
        <f>IF('Smart Search'!C13=1,IFERROR(1/'Smart Search'!H13,0),0)</f>
        <v/>
      </c>
      <c r="Y346" s="66">
        <f>IF('Smart Search'!C13=1,IFERROR(1/'Smart Search'!H13,0),0)</f>
        <v/>
      </c>
      <c r="Z346" s="66">
        <f>IF('Smart Search'!D13=1,IFERROR(1/'Smart Search'!H13,0),0)</f>
        <v/>
      </c>
      <c r="AA346" s="66">
        <f>IF('Smart Search'!D13=1,IFERROR(1/'Smart Search'!H13,0),0)</f>
        <v/>
      </c>
      <c r="AB346" s="66">
        <f>IF('Smart Search'!E13=1,IFERROR(1/'Smart Search'!H13,0),0)</f>
        <v/>
      </c>
      <c r="AC346" s="66">
        <f>IF('Smart Search'!E13=1,IFERROR(1/'Smart Search'!H13,0),0)</f>
        <v/>
      </c>
      <c r="AD346" s="66">
        <f>IF('Smart Search'!F13=1,IFERROR(1/'Smart Search'!H13,0),0)</f>
        <v/>
      </c>
      <c r="AE346" s="66">
        <f>IF('Smart Search'!F13=1,IFERROR(1/'Smart Search'!H13,0),0)</f>
        <v/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66">
        <f>AF346*V346</f>
        <v/>
      </c>
      <c r="AQ346" s="66">
        <f>AG346*W346</f>
        <v/>
      </c>
      <c r="AR346" s="66">
        <f>AH346*X346</f>
        <v/>
      </c>
      <c r="AS346" s="66">
        <f>AI346*Y346</f>
        <v/>
      </c>
      <c r="AT346" s="66">
        <f>AJ346*Z346</f>
        <v/>
      </c>
      <c r="AU346" s="66">
        <f>AK346*AA346</f>
        <v/>
      </c>
      <c r="AV346" s="66">
        <f>AL346*AB346</f>
        <v/>
      </c>
      <c r="AW346" s="66">
        <f>AM346*AC346</f>
        <v/>
      </c>
      <c r="AX346" s="66">
        <f>AN346*AD346</f>
        <v/>
      </c>
      <c r="AY346" s="66">
        <f>AO346*AE346</f>
        <v/>
      </c>
      <c r="AZ346" s="66">
        <f>'Project Database'!Z350</f>
        <v/>
      </c>
      <c r="BA346" s="66">
        <f>IF(OR(A346="",'Smart Search'!H13=0),"",MAX(0,BE346*BF346*MAX(0,1-BG346)))</f>
        <v/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66">
        <f>IF('Smart Search'!G13=1,IFERROR(1/'Smart Search'!H13,0),0)</f>
        <v/>
      </c>
      <c r="BD346" s="66">
        <f>BB346*BC346</f>
        <v/>
      </c>
      <c r="BE346" s="66">
        <f>AP346+AQ346+AR346+AS346+AT346+AU346+AV346+AW346+AX346+AY346+BD346</f>
        <v/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5">
        <f>IF(AND('Project Database'!A350&lt;&gt;"",OR('Smart Search'!$L$5="",'Smart Search'!$L$5="All",TRIM('Project Database'!D350)=TRIM('Smart Search'!$L$5)),OR(TRIM('Smart Search'!$L$6)="",TRIM('Smart Search'!$L$6)="All",ISNUMBER(SEARCH(SUBSTITUTE(SUBSTITUTE(SUBSTITUTE(TRIM('Smart Search'!$L$6),"~","~~"),"*","~*"),"?","~?"),'Project Database'!C350))),OR('Smart Search'!$L$7="",AND('Project Database'!E350&lt;&gt;"",'Project Database'!E350='Smart Search'!$L$7)),OR('Smart Search'!$L$8="",'Smart Search'!$L$8="All",TRIM('Project Database'!F350)=TRIM('Smart Search'!$L$8))),IF(BA346="","",BA346+ROW()*0.0000000001),"")</f>
        <v/>
      </c>
      <c r="BI346" s="5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>
        <f>IF('Project Database'!A350="","",N('Project Database'!AC350))</f>
        <v/>
      </c>
      <c r="BK346" s="5">
        <f>IF('Project Database'!A350="","",N('Project Database'!AD350))</f>
        <v/>
      </c>
      <c r="BL346" s="5">
        <f>IF('Project Database'!A350="","",N('Project Database'!AE350))</f>
        <v/>
      </c>
      <c r="BM346" s="5">
        <f>IF('Project Database'!A350="","",N('Project Database'!AF350))</f>
        <v/>
      </c>
      <c r="BN346" s="5">
        <f>IF('Project Database'!A350="","",N('Project Database'!AG350))</f>
        <v/>
      </c>
      <c r="BO346" s="5">
        <f>IF('Project Database'!A350="","",N('Project Database'!AH350))</f>
        <v/>
      </c>
      <c r="BP346" s="5">
        <f>IF('Project Database'!A350="","",N('Project Database'!AI350))</f>
        <v/>
      </c>
      <c r="BQ346" s="5">
        <f>IF('Project Database'!A350="","",N('Project Database'!AJ350))</f>
        <v/>
      </c>
      <c r="BR346" s="5">
        <f>IF('Project Database'!A350="","",N('Project Database'!AK350))</f>
        <v/>
      </c>
      <c r="BS346" s="5">
        <f>IF('Project Database'!A350="","",N('Project Database'!AL350))</f>
        <v/>
      </c>
      <c r="BT346" s="5">
        <f>IF('Project Database'!A350="","",N('Project Database'!AM350))</f>
        <v/>
      </c>
      <c r="BU346" s="5">
        <f>IF('Project Database'!A350="","",N('Project Database'!AN350))</f>
        <v/>
      </c>
      <c r="BV346" s="5">
        <f>IF('Project Database'!A350="","",N('Project Database'!AO350))</f>
        <v/>
      </c>
      <c r="BW346" s="5">
        <f>IF('Project Database'!A350="","",N('Project Database'!AP350))</f>
        <v/>
      </c>
      <c r="BX346" s="5">
        <f>IF(A346="","",SUM(BJ346:BW346))</f>
        <v/>
      </c>
      <c r="BY346" s="5">
        <f>IF(A346="","",IFERROR(IF(ISNUMBER(U346),U346,VALUE(SUBSTITUTE(SUBSTITUTE(SUBSTITUTE(UPPER(TRIM(U346)),"M",""),",","")," ",""))),0))</f>
        <v/>
      </c>
    </row>
    <row r="347" ht="15" customHeight="1" s="74">
      <c r="A347" s="66">
        <f>'Project Database'!A351</f>
        <v/>
      </c>
      <c r="B347" s="66">
        <f>'Project Database'!B351</f>
        <v/>
      </c>
      <c r="C347" s="66">
        <f>'Project Database'!G351</f>
        <v/>
      </c>
      <c r="D347" s="66">
        <f>'Project Database'!H351</f>
        <v/>
      </c>
      <c r="E347" s="66">
        <f>'Project Database'!I351</f>
        <v/>
      </c>
      <c r="F347" s="66">
        <f>'Project Database'!J351</f>
        <v/>
      </c>
      <c r="G347" s="66">
        <f>'Project Database'!K351</f>
        <v/>
      </c>
      <c r="H347" s="66">
        <f>'Project Database'!L351</f>
        <v/>
      </c>
      <c r="I347" s="66">
        <f>'Project Database'!M351</f>
        <v/>
      </c>
      <c r="J347" s="66">
        <f>'Project Database'!N351</f>
        <v/>
      </c>
      <c r="K347" s="66">
        <f>'Project Database'!O351</f>
        <v/>
      </c>
      <c r="L347" s="66">
        <f>'Project Database'!P351</f>
        <v/>
      </c>
      <c r="M347" s="66">
        <f>'Project Database'!Q351</f>
        <v/>
      </c>
      <c r="N347" s="66">
        <f>'Project Database'!R351</f>
        <v/>
      </c>
      <c r="O347" s="66">
        <f>'Project Database'!S351</f>
        <v/>
      </c>
      <c r="P347" s="66">
        <f>'Project Database'!T351</f>
        <v/>
      </c>
      <c r="Q347" s="66">
        <f>'Project Database'!U351</f>
        <v/>
      </c>
      <c r="R347" s="66">
        <f>'Project Database'!V351</f>
        <v/>
      </c>
      <c r="S347" s="66">
        <f>'Project Database'!W351</f>
        <v/>
      </c>
      <c r="T347" s="66">
        <f>'Project Database'!X351</f>
        <v/>
      </c>
      <c r="U347" s="67">
        <f>'Project Database'!Y351</f>
        <v/>
      </c>
      <c r="V347" s="66">
        <f>IF('Smart Search'!B13=1,IFERROR(1/'Smart Search'!H13,0),0)</f>
        <v/>
      </c>
      <c r="W347" s="66">
        <f>IF('Smart Search'!B13=1,IFERROR(1/'Smart Search'!H13,0),0)</f>
        <v/>
      </c>
      <c r="X347" s="66">
        <f>IF('Smart Search'!C13=1,IFERROR(1/'Smart Search'!H13,0),0)</f>
        <v/>
      </c>
      <c r="Y347" s="66">
        <f>IF('Smart Search'!C13=1,IFERROR(1/'Smart Search'!H13,0),0)</f>
        <v/>
      </c>
      <c r="Z347" s="66">
        <f>IF('Smart Search'!D13=1,IFERROR(1/'Smart Search'!H13,0),0)</f>
        <v/>
      </c>
      <c r="AA347" s="66">
        <f>IF('Smart Search'!D13=1,IFERROR(1/'Smart Search'!H13,0),0)</f>
        <v/>
      </c>
      <c r="AB347" s="66">
        <f>IF('Smart Search'!E13=1,IFERROR(1/'Smart Search'!H13,0),0)</f>
        <v/>
      </c>
      <c r="AC347" s="66">
        <f>IF('Smart Search'!E13=1,IFERROR(1/'Smart Search'!H13,0),0)</f>
        <v/>
      </c>
      <c r="AD347" s="66">
        <f>IF('Smart Search'!F13=1,IFERROR(1/'Smart Search'!H13,0),0)</f>
        <v/>
      </c>
      <c r="AE347" s="66">
        <f>IF('Smart Search'!F13=1,IFERROR(1/'Smart Search'!H13,0),0)</f>
        <v/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66">
        <f>AF347*V347</f>
        <v/>
      </c>
      <c r="AQ347" s="66">
        <f>AG347*W347</f>
        <v/>
      </c>
      <c r="AR347" s="66">
        <f>AH347*X347</f>
        <v/>
      </c>
      <c r="AS347" s="66">
        <f>AI347*Y347</f>
        <v/>
      </c>
      <c r="AT347" s="66">
        <f>AJ347*Z347</f>
        <v/>
      </c>
      <c r="AU347" s="66">
        <f>AK347*AA347</f>
        <v/>
      </c>
      <c r="AV347" s="66">
        <f>AL347*AB347</f>
        <v/>
      </c>
      <c r="AW347" s="66">
        <f>AM347*AC347</f>
        <v/>
      </c>
      <c r="AX347" s="66">
        <f>AN347*AD347</f>
        <v/>
      </c>
      <c r="AY347" s="66">
        <f>AO347*AE347</f>
        <v/>
      </c>
      <c r="AZ347" s="66">
        <f>'Project Database'!Z351</f>
        <v/>
      </c>
      <c r="BA347" s="66">
        <f>IF(OR(A347="",'Smart Search'!H13=0),"",MAX(0,BE347*BF347*MAX(0,1-BG347)))</f>
        <v/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66">
        <f>IF('Smart Search'!G13=1,IFERROR(1/'Smart Search'!H13,0),0)</f>
        <v/>
      </c>
      <c r="BD347" s="66">
        <f>BB347*BC347</f>
        <v/>
      </c>
      <c r="BE347" s="66">
        <f>AP347+AQ347+AR347+AS347+AT347+AU347+AV347+AW347+AX347+AY347+BD347</f>
        <v/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5">
        <f>IF(AND('Project Database'!A351&lt;&gt;"",OR('Smart Search'!$L$5="",'Smart Search'!$L$5="All",TRIM('Project Database'!D351)=TRIM('Smart Search'!$L$5)),OR(TRIM('Smart Search'!$L$6)="",TRIM('Smart Search'!$L$6)="All",ISNUMBER(SEARCH(SUBSTITUTE(SUBSTITUTE(SUBSTITUTE(TRIM('Smart Search'!$L$6),"~","~~"),"*","~*"),"?","~?"),'Project Database'!C351))),OR('Smart Search'!$L$7="",AND('Project Database'!E351&lt;&gt;"",'Project Database'!E351='Smart Search'!$L$7)),OR('Smart Search'!$L$8="",'Smart Search'!$L$8="All",TRIM('Project Database'!F351)=TRIM('Smart Search'!$L$8))),IF(BA347="","",BA347+ROW()*0.0000000001),"")</f>
        <v/>
      </c>
      <c r="BI347" s="5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>
        <f>IF('Project Database'!A351="","",N('Project Database'!AC351))</f>
        <v/>
      </c>
      <c r="BK347" s="5">
        <f>IF('Project Database'!A351="","",N('Project Database'!AD351))</f>
        <v/>
      </c>
      <c r="BL347" s="5">
        <f>IF('Project Database'!A351="","",N('Project Database'!AE351))</f>
        <v/>
      </c>
      <c r="BM347" s="5">
        <f>IF('Project Database'!A351="","",N('Project Database'!AF351))</f>
        <v/>
      </c>
      <c r="BN347" s="5">
        <f>IF('Project Database'!A351="","",N('Project Database'!AG351))</f>
        <v/>
      </c>
      <c r="BO347" s="5">
        <f>IF('Project Database'!A351="","",N('Project Database'!AH351))</f>
        <v/>
      </c>
      <c r="BP347" s="5">
        <f>IF('Project Database'!A351="","",N('Project Database'!AI351))</f>
        <v/>
      </c>
      <c r="BQ347" s="5">
        <f>IF('Project Database'!A351="","",N('Project Database'!AJ351))</f>
        <v/>
      </c>
      <c r="BR347" s="5">
        <f>IF('Project Database'!A351="","",N('Project Database'!AK351))</f>
        <v/>
      </c>
      <c r="BS347" s="5">
        <f>IF('Project Database'!A351="","",N('Project Database'!AL351))</f>
        <v/>
      </c>
      <c r="BT347" s="5">
        <f>IF('Project Database'!A351="","",N('Project Database'!AM351))</f>
        <v/>
      </c>
      <c r="BU347" s="5">
        <f>IF('Project Database'!A351="","",N('Project Database'!AN351))</f>
        <v/>
      </c>
      <c r="BV347" s="5">
        <f>IF('Project Database'!A351="","",N('Project Database'!AO351))</f>
        <v/>
      </c>
      <c r="BW347" s="5">
        <f>IF('Project Database'!A351="","",N('Project Database'!AP351))</f>
        <v/>
      </c>
      <c r="BX347" s="5">
        <f>IF(A347="","",SUM(BJ347:BW347))</f>
        <v/>
      </c>
      <c r="BY347" s="5">
        <f>IF(A347="","",IFERROR(IF(ISNUMBER(U347),U347,VALUE(SUBSTITUTE(SUBSTITUTE(SUBSTITUTE(UPPER(TRIM(U347)),"M",""),",","")," ",""))),0))</f>
        <v/>
      </c>
    </row>
    <row r="348" ht="15" customHeight="1" s="74">
      <c r="A348" s="66">
        <f>'Project Database'!A352</f>
        <v/>
      </c>
      <c r="B348" s="66">
        <f>'Project Database'!B352</f>
        <v/>
      </c>
      <c r="C348" s="66">
        <f>'Project Database'!G352</f>
        <v/>
      </c>
      <c r="D348" s="66">
        <f>'Project Database'!H352</f>
        <v/>
      </c>
      <c r="E348" s="66">
        <f>'Project Database'!I352</f>
        <v/>
      </c>
      <c r="F348" s="66">
        <f>'Project Database'!J352</f>
        <v/>
      </c>
      <c r="G348" s="66">
        <f>'Project Database'!K352</f>
        <v/>
      </c>
      <c r="H348" s="66">
        <f>'Project Database'!L352</f>
        <v/>
      </c>
      <c r="I348" s="66">
        <f>'Project Database'!M352</f>
        <v/>
      </c>
      <c r="J348" s="66">
        <f>'Project Database'!N352</f>
        <v/>
      </c>
      <c r="K348" s="66">
        <f>'Project Database'!O352</f>
        <v/>
      </c>
      <c r="L348" s="66">
        <f>'Project Database'!P352</f>
        <v/>
      </c>
      <c r="M348" s="66">
        <f>'Project Database'!Q352</f>
        <v/>
      </c>
      <c r="N348" s="66">
        <f>'Project Database'!R352</f>
        <v/>
      </c>
      <c r="O348" s="66">
        <f>'Project Database'!S352</f>
        <v/>
      </c>
      <c r="P348" s="66">
        <f>'Project Database'!T352</f>
        <v/>
      </c>
      <c r="Q348" s="66">
        <f>'Project Database'!U352</f>
        <v/>
      </c>
      <c r="R348" s="66">
        <f>'Project Database'!V352</f>
        <v/>
      </c>
      <c r="S348" s="66">
        <f>'Project Database'!W352</f>
        <v/>
      </c>
      <c r="T348" s="66">
        <f>'Project Database'!X352</f>
        <v/>
      </c>
      <c r="U348" s="67">
        <f>'Project Database'!Y352</f>
        <v/>
      </c>
      <c r="V348" s="66">
        <f>IF('Smart Search'!B13=1,IFERROR(1/'Smart Search'!H13,0),0)</f>
        <v/>
      </c>
      <c r="W348" s="66">
        <f>IF('Smart Search'!B13=1,IFERROR(1/'Smart Search'!H13,0),0)</f>
        <v/>
      </c>
      <c r="X348" s="66">
        <f>IF('Smart Search'!C13=1,IFERROR(1/'Smart Search'!H13,0),0)</f>
        <v/>
      </c>
      <c r="Y348" s="66">
        <f>IF('Smart Search'!C13=1,IFERROR(1/'Smart Search'!H13,0),0)</f>
        <v/>
      </c>
      <c r="Z348" s="66">
        <f>IF('Smart Search'!D13=1,IFERROR(1/'Smart Search'!H13,0),0)</f>
        <v/>
      </c>
      <c r="AA348" s="66">
        <f>IF('Smart Search'!D13=1,IFERROR(1/'Smart Search'!H13,0),0)</f>
        <v/>
      </c>
      <c r="AB348" s="66">
        <f>IF('Smart Search'!E13=1,IFERROR(1/'Smart Search'!H13,0),0)</f>
        <v/>
      </c>
      <c r="AC348" s="66">
        <f>IF('Smart Search'!E13=1,IFERROR(1/'Smart Search'!H13,0),0)</f>
        <v/>
      </c>
      <c r="AD348" s="66">
        <f>IF('Smart Search'!F13=1,IFERROR(1/'Smart Search'!H13,0),0)</f>
        <v/>
      </c>
      <c r="AE348" s="66">
        <f>IF('Smart Search'!F13=1,IFERROR(1/'Smart Search'!H13,0),0)</f>
        <v/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66">
        <f>AF348*V348</f>
        <v/>
      </c>
      <c r="AQ348" s="66">
        <f>AG348*W348</f>
        <v/>
      </c>
      <c r="AR348" s="66">
        <f>AH348*X348</f>
        <v/>
      </c>
      <c r="AS348" s="66">
        <f>AI348*Y348</f>
        <v/>
      </c>
      <c r="AT348" s="66">
        <f>AJ348*Z348</f>
        <v/>
      </c>
      <c r="AU348" s="66">
        <f>AK348*AA348</f>
        <v/>
      </c>
      <c r="AV348" s="66">
        <f>AL348*AB348</f>
        <v/>
      </c>
      <c r="AW348" s="66">
        <f>AM348*AC348</f>
        <v/>
      </c>
      <c r="AX348" s="66">
        <f>AN348*AD348</f>
        <v/>
      </c>
      <c r="AY348" s="66">
        <f>AO348*AE348</f>
        <v/>
      </c>
      <c r="AZ348" s="66">
        <f>'Project Database'!Z352</f>
        <v/>
      </c>
      <c r="BA348" s="66">
        <f>IF(OR(A348="",'Smart Search'!H13=0),"",MAX(0,BE348*BF348*MAX(0,1-BG348)))</f>
        <v/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66">
        <f>IF('Smart Search'!G13=1,IFERROR(1/'Smart Search'!H13,0),0)</f>
        <v/>
      </c>
      <c r="BD348" s="66">
        <f>BB348*BC348</f>
        <v/>
      </c>
      <c r="BE348" s="66">
        <f>AP348+AQ348+AR348+AS348+AT348+AU348+AV348+AW348+AX348+AY348+BD348</f>
        <v/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5">
        <f>IF(AND('Project Database'!A352&lt;&gt;"",OR('Smart Search'!$L$5="",'Smart Search'!$L$5="All",TRIM('Project Database'!D352)=TRIM('Smart Search'!$L$5)),OR(TRIM('Smart Search'!$L$6)="",TRIM('Smart Search'!$L$6)="All",ISNUMBER(SEARCH(SUBSTITUTE(SUBSTITUTE(SUBSTITUTE(TRIM('Smart Search'!$L$6),"~","~~"),"*","~*"),"?","~?"),'Project Database'!C352))),OR('Smart Search'!$L$7="",AND('Project Database'!E352&lt;&gt;"",'Project Database'!E352='Smart Search'!$L$7)),OR('Smart Search'!$L$8="",'Smart Search'!$L$8="All",TRIM('Project Database'!F352)=TRIM('Smart Search'!$L$8))),IF(BA348="","",BA348+ROW()*0.0000000001),"")</f>
        <v/>
      </c>
      <c r="BI348" s="5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>
        <f>IF('Project Database'!A352="","",N('Project Database'!AC352))</f>
        <v/>
      </c>
      <c r="BK348" s="5">
        <f>IF('Project Database'!A352="","",N('Project Database'!AD352))</f>
        <v/>
      </c>
      <c r="BL348" s="5">
        <f>IF('Project Database'!A352="","",N('Project Database'!AE352))</f>
        <v/>
      </c>
      <c r="BM348" s="5">
        <f>IF('Project Database'!A352="","",N('Project Database'!AF352))</f>
        <v/>
      </c>
      <c r="BN348" s="5">
        <f>IF('Project Database'!A352="","",N('Project Database'!AG352))</f>
        <v/>
      </c>
      <c r="BO348" s="5">
        <f>IF('Project Database'!A352="","",N('Project Database'!AH352))</f>
        <v/>
      </c>
      <c r="BP348" s="5">
        <f>IF('Project Database'!A352="","",N('Project Database'!AI352))</f>
        <v/>
      </c>
      <c r="BQ348" s="5">
        <f>IF('Project Database'!A352="","",N('Project Database'!AJ352))</f>
        <v/>
      </c>
      <c r="BR348" s="5">
        <f>IF('Project Database'!A352="","",N('Project Database'!AK352))</f>
        <v/>
      </c>
      <c r="BS348" s="5">
        <f>IF('Project Database'!A352="","",N('Project Database'!AL352))</f>
        <v/>
      </c>
      <c r="BT348" s="5">
        <f>IF('Project Database'!A352="","",N('Project Database'!AM352))</f>
        <v/>
      </c>
      <c r="BU348" s="5">
        <f>IF('Project Database'!A352="","",N('Project Database'!AN352))</f>
        <v/>
      </c>
      <c r="BV348" s="5">
        <f>IF('Project Database'!A352="","",N('Project Database'!AO352))</f>
        <v/>
      </c>
      <c r="BW348" s="5">
        <f>IF('Project Database'!A352="","",N('Project Database'!AP352))</f>
        <v/>
      </c>
      <c r="BX348" s="5">
        <f>IF(A348="","",SUM(BJ348:BW348))</f>
        <v/>
      </c>
      <c r="BY348" s="5">
        <f>IF(A348="","",IFERROR(IF(ISNUMBER(U348),U348,VALUE(SUBSTITUTE(SUBSTITUTE(SUBSTITUTE(UPPER(TRIM(U348)),"M",""),",","")," ",""))),0))</f>
        <v/>
      </c>
    </row>
    <row r="349" ht="15" customHeight="1" s="74">
      <c r="A349" s="66">
        <f>'Project Database'!A353</f>
        <v/>
      </c>
      <c r="B349" s="66">
        <f>'Project Database'!B353</f>
        <v/>
      </c>
      <c r="C349" s="66">
        <f>'Project Database'!G353</f>
        <v/>
      </c>
      <c r="D349" s="66">
        <f>'Project Database'!H353</f>
        <v/>
      </c>
      <c r="E349" s="66">
        <f>'Project Database'!I353</f>
        <v/>
      </c>
      <c r="F349" s="66">
        <f>'Project Database'!J353</f>
        <v/>
      </c>
      <c r="G349" s="66">
        <f>'Project Database'!K353</f>
        <v/>
      </c>
      <c r="H349" s="66">
        <f>'Project Database'!L353</f>
        <v/>
      </c>
      <c r="I349" s="66">
        <f>'Project Database'!M353</f>
        <v/>
      </c>
      <c r="J349" s="66">
        <f>'Project Database'!N353</f>
        <v/>
      </c>
      <c r="K349" s="66">
        <f>'Project Database'!O353</f>
        <v/>
      </c>
      <c r="L349" s="66">
        <f>'Project Database'!P353</f>
        <v/>
      </c>
      <c r="M349" s="66">
        <f>'Project Database'!Q353</f>
        <v/>
      </c>
      <c r="N349" s="66">
        <f>'Project Database'!R353</f>
        <v/>
      </c>
      <c r="O349" s="66">
        <f>'Project Database'!S353</f>
        <v/>
      </c>
      <c r="P349" s="66">
        <f>'Project Database'!T353</f>
        <v/>
      </c>
      <c r="Q349" s="66">
        <f>'Project Database'!U353</f>
        <v/>
      </c>
      <c r="R349" s="66">
        <f>'Project Database'!V353</f>
        <v/>
      </c>
      <c r="S349" s="66">
        <f>'Project Database'!W353</f>
        <v/>
      </c>
      <c r="T349" s="66">
        <f>'Project Database'!X353</f>
        <v/>
      </c>
      <c r="U349" s="67">
        <f>'Project Database'!Y353</f>
        <v/>
      </c>
      <c r="V349" s="66">
        <f>IF('Smart Search'!B13=1,IFERROR(1/'Smart Search'!H13,0),0)</f>
        <v/>
      </c>
      <c r="W349" s="66">
        <f>IF('Smart Search'!B13=1,IFERROR(1/'Smart Search'!H13,0),0)</f>
        <v/>
      </c>
      <c r="X349" s="66">
        <f>IF('Smart Search'!C13=1,IFERROR(1/'Smart Search'!H13,0),0)</f>
        <v/>
      </c>
      <c r="Y349" s="66">
        <f>IF('Smart Search'!C13=1,IFERROR(1/'Smart Search'!H13,0),0)</f>
        <v/>
      </c>
      <c r="Z349" s="66">
        <f>IF('Smart Search'!D13=1,IFERROR(1/'Smart Search'!H13,0),0)</f>
        <v/>
      </c>
      <c r="AA349" s="66">
        <f>IF('Smart Search'!D13=1,IFERROR(1/'Smart Search'!H13,0),0)</f>
        <v/>
      </c>
      <c r="AB349" s="66">
        <f>IF('Smart Search'!E13=1,IFERROR(1/'Smart Search'!H13,0),0)</f>
        <v/>
      </c>
      <c r="AC349" s="66">
        <f>IF('Smart Search'!E13=1,IFERROR(1/'Smart Search'!H13,0),0)</f>
        <v/>
      </c>
      <c r="AD349" s="66">
        <f>IF('Smart Search'!F13=1,IFERROR(1/'Smart Search'!H13,0),0)</f>
        <v/>
      </c>
      <c r="AE349" s="66">
        <f>IF('Smart Search'!F13=1,IFERROR(1/'Smart Search'!H13,0),0)</f>
        <v/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66">
        <f>AF349*V349</f>
        <v/>
      </c>
      <c r="AQ349" s="66">
        <f>AG349*W349</f>
        <v/>
      </c>
      <c r="AR349" s="66">
        <f>AH349*X349</f>
        <v/>
      </c>
      <c r="AS349" s="66">
        <f>AI349*Y349</f>
        <v/>
      </c>
      <c r="AT349" s="66">
        <f>AJ349*Z349</f>
        <v/>
      </c>
      <c r="AU349" s="66">
        <f>AK349*AA349</f>
        <v/>
      </c>
      <c r="AV349" s="66">
        <f>AL349*AB349</f>
        <v/>
      </c>
      <c r="AW349" s="66">
        <f>AM349*AC349</f>
        <v/>
      </c>
      <c r="AX349" s="66">
        <f>AN349*AD349</f>
        <v/>
      </c>
      <c r="AY349" s="66">
        <f>AO349*AE349</f>
        <v/>
      </c>
      <c r="AZ349" s="66">
        <f>'Project Database'!Z353</f>
        <v/>
      </c>
      <c r="BA349" s="66">
        <f>IF(OR(A349="",'Smart Search'!H13=0),"",MAX(0,BE349*BF349*MAX(0,1-BG349)))</f>
        <v/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66">
        <f>IF('Smart Search'!G13=1,IFERROR(1/'Smart Search'!H13,0),0)</f>
        <v/>
      </c>
      <c r="BD349" s="66">
        <f>BB349*BC349</f>
        <v/>
      </c>
      <c r="BE349" s="66">
        <f>AP349+AQ349+AR349+AS349+AT349+AU349+AV349+AW349+AX349+AY349+BD349</f>
        <v/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5">
        <f>IF(AND('Project Database'!A353&lt;&gt;"",OR('Smart Search'!$L$5="",'Smart Search'!$L$5="All",TRIM('Project Database'!D353)=TRIM('Smart Search'!$L$5)),OR(TRIM('Smart Search'!$L$6)="",TRIM('Smart Search'!$L$6)="All",ISNUMBER(SEARCH(SUBSTITUTE(SUBSTITUTE(SUBSTITUTE(TRIM('Smart Search'!$L$6),"~","~~"),"*","~*"),"?","~?"),'Project Database'!C353))),OR('Smart Search'!$L$7="",AND('Project Database'!E353&lt;&gt;"",'Project Database'!E353='Smart Search'!$L$7)),OR('Smart Search'!$L$8="",'Smart Search'!$L$8="All",TRIM('Project Database'!F353)=TRIM('Smart Search'!$L$8))),IF(BA349="","",BA349+ROW()*0.0000000001),"")</f>
        <v/>
      </c>
      <c r="BI349" s="5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>
        <f>IF('Project Database'!A353="","",N('Project Database'!AC353))</f>
        <v/>
      </c>
      <c r="BK349" s="5">
        <f>IF('Project Database'!A353="","",N('Project Database'!AD353))</f>
        <v/>
      </c>
      <c r="BL349" s="5">
        <f>IF('Project Database'!A353="","",N('Project Database'!AE353))</f>
        <v/>
      </c>
      <c r="BM349" s="5">
        <f>IF('Project Database'!A353="","",N('Project Database'!AF353))</f>
        <v/>
      </c>
      <c r="BN349" s="5">
        <f>IF('Project Database'!A353="","",N('Project Database'!AG353))</f>
        <v/>
      </c>
      <c r="BO349" s="5">
        <f>IF('Project Database'!A353="","",N('Project Database'!AH353))</f>
        <v/>
      </c>
      <c r="BP349" s="5">
        <f>IF('Project Database'!A353="","",N('Project Database'!AI353))</f>
        <v/>
      </c>
      <c r="BQ349" s="5">
        <f>IF('Project Database'!A353="","",N('Project Database'!AJ353))</f>
        <v/>
      </c>
      <c r="BR349" s="5">
        <f>IF('Project Database'!A353="","",N('Project Database'!AK353))</f>
        <v/>
      </c>
      <c r="BS349" s="5">
        <f>IF('Project Database'!A353="","",N('Project Database'!AL353))</f>
        <v/>
      </c>
      <c r="BT349" s="5">
        <f>IF('Project Database'!A353="","",N('Project Database'!AM353))</f>
        <v/>
      </c>
      <c r="BU349" s="5">
        <f>IF('Project Database'!A353="","",N('Project Database'!AN353))</f>
        <v/>
      </c>
      <c r="BV349" s="5">
        <f>IF('Project Database'!A353="","",N('Project Database'!AO353))</f>
        <v/>
      </c>
      <c r="BW349" s="5">
        <f>IF('Project Database'!A353="","",N('Project Database'!AP353))</f>
        <v/>
      </c>
      <c r="BX349" s="5">
        <f>IF(A349="","",SUM(BJ349:BW349))</f>
        <v/>
      </c>
      <c r="BY349" s="5">
        <f>IF(A349="","",IFERROR(IF(ISNUMBER(U349),U349,VALUE(SUBSTITUTE(SUBSTITUTE(SUBSTITUTE(UPPER(TRIM(U349)),"M",""),",","")," ",""))),0))</f>
        <v/>
      </c>
    </row>
    <row r="350" ht="15" customHeight="1" s="74">
      <c r="A350" s="66">
        <f>'Project Database'!A354</f>
        <v/>
      </c>
      <c r="B350" s="66">
        <f>'Project Database'!B354</f>
        <v/>
      </c>
      <c r="C350" s="66">
        <f>'Project Database'!G354</f>
        <v/>
      </c>
      <c r="D350" s="66">
        <f>'Project Database'!H354</f>
        <v/>
      </c>
      <c r="E350" s="66">
        <f>'Project Database'!I354</f>
        <v/>
      </c>
      <c r="F350" s="66">
        <f>'Project Database'!J354</f>
        <v/>
      </c>
      <c r="G350" s="66">
        <f>'Project Database'!K354</f>
        <v/>
      </c>
      <c r="H350" s="66">
        <f>'Project Database'!L354</f>
        <v/>
      </c>
      <c r="I350" s="66">
        <f>'Project Database'!M354</f>
        <v/>
      </c>
      <c r="J350" s="66">
        <f>'Project Database'!N354</f>
        <v/>
      </c>
      <c r="K350" s="66">
        <f>'Project Database'!O354</f>
        <v/>
      </c>
      <c r="L350" s="66">
        <f>'Project Database'!P354</f>
        <v/>
      </c>
      <c r="M350" s="66">
        <f>'Project Database'!Q354</f>
        <v/>
      </c>
      <c r="N350" s="66">
        <f>'Project Database'!R354</f>
        <v/>
      </c>
      <c r="O350" s="66">
        <f>'Project Database'!S354</f>
        <v/>
      </c>
      <c r="P350" s="66">
        <f>'Project Database'!T354</f>
        <v/>
      </c>
      <c r="Q350" s="66">
        <f>'Project Database'!U354</f>
        <v/>
      </c>
      <c r="R350" s="66">
        <f>'Project Database'!V354</f>
        <v/>
      </c>
      <c r="S350" s="66">
        <f>'Project Database'!W354</f>
        <v/>
      </c>
      <c r="T350" s="66">
        <f>'Project Database'!X354</f>
        <v/>
      </c>
      <c r="U350" s="67">
        <f>'Project Database'!Y354</f>
        <v/>
      </c>
      <c r="V350" s="66">
        <f>IF('Smart Search'!B13=1,IFERROR(1/'Smart Search'!H13,0),0)</f>
        <v/>
      </c>
      <c r="W350" s="66">
        <f>IF('Smart Search'!B13=1,IFERROR(1/'Smart Search'!H13,0),0)</f>
        <v/>
      </c>
      <c r="X350" s="66">
        <f>IF('Smart Search'!C13=1,IFERROR(1/'Smart Search'!H13,0),0)</f>
        <v/>
      </c>
      <c r="Y350" s="66">
        <f>IF('Smart Search'!C13=1,IFERROR(1/'Smart Search'!H13,0),0)</f>
        <v/>
      </c>
      <c r="Z350" s="66">
        <f>IF('Smart Search'!D13=1,IFERROR(1/'Smart Search'!H13,0),0)</f>
        <v/>
      </c>
      <c r="AA350" s="66">
        <f>IF('Smart Search'!D13=1,IFERROR(1/'Smart Search'!H13,0),0)</f>
        <v/>
      </c>
      <c r="AB350" s="66">
        <f>IF('Smart Search'!E13=1,IFERROR(1/'Smart Search'!H13,0),0)</f>
        <v/>
      </c>
      <c r="AC350" s="66">
        <f>IF('Smart Search'!E13=1,IFERROR(1/'Smart Search'!H13,0),0)</f>
        <v/>
      </c>
      <c r="AD350" s="66">
        <f>IF('Smart Search'!F13=1,IFERROR(1/'Smart Search'!H13,0),0)</f>
        <v/>
      </c>
      <c r="AE350" s="66">
        <f>IF('Smart Search'!F13=1,IFERROR(1/'Smart Search'!H13,0),0)</f>
        <v/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66">
        <f>AF350*V350</f>
        <v/>
      </c>
      <c r="AQ350" s="66">
        <f>AG350*W350</f>
        <v/>
      </c>
      <c r="AR350" s="66">
        <f>AH350*X350</f>
        <v/>
      </c>
      <c r="AS350" s="66">
        <f>AI350*Y350</f>
        <v/>
      </c>
      <c r="AT350" s="66">
        <f>AJ350*Z350</f>
        <v/>
      </c>
      <c r="AU350" s="66">
        <f>AK350*AA350</f>
        <v/>
      </c>
      <c r="AV350" s="66">
        <f>AL350*AB350</f>
        <v/>
      </c>
      <c r="AW350" s="66">
        <f>AM350*AC350</f>
        <v/>
      </c>
      <c r="AX350" s="66">
        <f>AN350*AD350</f>
        <v/>
      </c>
      <c r="AY350" s="66">
        <f>AO350*AE350</f>
        <v/>
      </c>
      <c r="AZ350" s="66">
        <f>'Project Database'!Z354</f>
        <v/>
      </c>
      <c r="BA350" s="66">
        <f>IF(OR(A350="",'Smart Search'!H13=0),"",MAX(0,BE350*BF350*MAX(0,1-BG350)))</f>
        <v/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66">
        <f>IF('Smart Search'!G13=1,IFERROR(1/'Smart Search'!H13,0),0)</f>
        <v/>
      </c>
      <c r="BD350" s="66">
        <f>BB350*BC350</f>
        <v/>
      </c>
      <c r="BE350" s="66">
        <f>AP350+AQ350+AR350+AS350+AT350+AU350+AV350+AW350+AX350+AY350+BD350</f>
        <v/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5">
        <f>IF(AND('Project Database'!A354&lt;&gt;"",OR('Smart Search'!$L$5="",'Smart Search'!$L$5="All",TRIM('Project Database'!D354)=TRIM('Smart Search'!$L$5)),OR(TRIM('Smart Search'!$L$6)="",TRIM('Smart Search'!$L$6)="All",ISNUMBER(SEARCH(SUBSTITUTE(SUBSTITUTE(SUBSTITUTE(TRIM('Smart Search'!$L$6),"~","~~"),"*","~*"),"?","~?"),'Project Database'!C354))),OR('Smart Search'!$L$7="",AND('Project Database'!E354&lt;&gt;"",'Project Database'!E354='Smart Search'!$L$7)),OR('Smart Search'!$L$8="",'Smart Search'!$L$8="All",TRIM('Project Database'!F354)=TRIM('Smart Search'!$L$8))),IF(BA350="","",BA350+ROW()*0.0000000001),"")</f>
        <v/>
      </c>
      <c r="BI350" s="5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>
        <f>IF('Project Database'!A354="","",N('Project Database'!AC354))</f>
        <v/>
      </c>
      <c r="BK350" s="5">
        <f>IF('Project Database'!A354="","",N('Project Database'!AD354))</f>
        <v/>
      </c>
      <c r="BL350" s="5">
        <f>IF('Project Database'!A354="","",N('Project Database'!AE354))</f>
        <v/>
      </c>
      <c r="BM350" s="5">
        <f>IF('Project Database'!A354="","",N('Project Database'!AF354))</f>
        <v/>
      </c>
      <c r="BN350" s="5">
        <f>IF('Project Database'!A354="","",N('Project Database'!AG354))</f>
        <v/>
      </c>
      <c r="BO350" s="5">
        <f>IF('Project Database'!A354="","",N('Project Database'!AH354))</f>
        <v/>
      </c>
      <c r="BP350" s="5">
        <f>IF('Project Database'!A354="","",N('Project Database'!AI354))</f>
        <v/>
      </c>
      <c r="BQ350" s="5">
        <f>IF('Project Database'!A354="","",N('Project Database'!AJ354))</f>
        <v/>
      </c>
      <c r="BR350" s="5">
        <f>IF('Project Database'!A354="","",N('Project Database'!AK354))</f>
        <v/>
      </c>
      <c r="BS350" s="5">
        <f>IF('Project Database'!A354="","",N('Project Database'!AL354))</f>
        <v/>
      </c>
      <c r="BT350" s="5">
        <f>IF('Project Database'!A354="","",N('Project Database'!AM354))</f>
        <v/>
      </c>
      <c r="BU350" s="5">
        <f>IF('Project Database'!A354="","",N('Project Database'!AN354))</f>
        <v/>
      </c>
      <c r="BV350" s="5">
        <f>IF('Project Database'!A354="","",N('Project Database'!AO354))</f>
        <v/>
      </c>
      <c r="BW350" s="5">
        <f>IF('Project Database'!A354="","",N('Project Database'!AP354))</f>
        <v/>
      </c>
      <c r="BX350" s="5">
        <f>IF(A350="","",SUM(BJ350:BW350))</f>
        <v/>
      </c>
      <c r="BY350" s="5">
        <f>IF(A350="","",IFERROR(IF(ISNUMBER(U350),U350,VALUE(SUBSTITUTE(SUBSTITUTE(SUBSTITUTE(UPPER(TRIM(U350)),"M",""),",","")," ",""))),0))</f>
        <v/>
      </c>
    </row>
    <row r="351" ht="15" customHeight="1" s="74">
      <c r="A351" s="66">
        <f>'Project Database'!A355</f>
        <v/>
      </c>
      <c r="B351" s="66">
        <f>'Project Database'!B355</f>
        <v/>
      </c>
      <c r="C351" s="66">
        <f>'Project Database'!G355</f>
        <v/>
      </c>
      <c r="D351" s="66">
        <f>'Project Database'!H355</f>
        <v/>
      </c>
      <c r="E351" s="66">
        <f>'Project Database'!I355</f>
        <v/>
      </c>
      <c r="F351" s="66">
        <f>'Project Database'!J355</f>
        <v/>
      </c>
      <c r="G351" s="66">
        <f>'Project Database'!K355</f>
        <v/>
      </c>
      <c r="H351" s="66">
        <f>'Project Database'!L355</f>
        <v/>
      </c>
      <c r="I351" s="66">
        <f>'Project Database'!M355</f>
        <v/>
      </c>
      <c r="J351" s="66">
        <f>'Project Database'!N355</f>
        <v/>
      </c>
      <c r="K351" s="66">
        <f>'Project Database'!O355</f>
        <v/>
      </c>
      <c r="L351" s="66">
        <f>'Project Database'!P355</f>
        <v/>
      </c>
      <c r="M351" s="66">
        <f>'Project Database'!Q355</f>
        <v/>
      </c>
      <c r="N351" s="66">
        <f>'Project Database'!R355</f>
        <v/>
      </c>
      <c r="O351" s="66">
        <f>'Project Database'!S355</f>
        <v/>
      </c>
      <c r="P351" s="66">
        <f>'Project Database'!T355</f>
        <v/>
      </c>
      <c r="Q351" s="66">
        <f>'Project Database'!U355</f>
        <v/>
      </c>
      <c r="R351" s="66">
        <f>'Project Database'!V355</f>
        <v/>
      </c>
      <c r="S351" s="66">
        <f>'Project Database'!W355</f>
        <v/>
      </c>
      <c r="T351" s="66">
        <f>'Project Database'!X355</f>
        <v/>
      </c>
      <c r="U351" s="67">
        <f>'Project Database'!Y355</f>
        <v/>
      </c>
      <c r="V351" s="66">
        <f>IF('Smart Search'!B13=1,IFERROR(1/'Smart Search'!H13,0),0)</f>
        <v/>
      </c>
      <c r="W351" s="66">
        <f>IF('Smart Search'!B13=1,IFERROR(1/'Smart Search'!H13,0),0)</f>
        <v/>
      </c>
      <c r="X351" s="66">
        <f>IF('Smart Search'!C13=1,IFERROR(1/'Smart Search'!H13,0),0)</f>
        <v/>
      </c>
      <c r="Y351" s="66">
        <f>IF('Smart Search'!C13=1,IFERROR(1/'Smart Search'!H13,0),0)</f>
        <v/>
      </c>
      <c r="Z351" s="66">
        <f>IF('Smart Search'!D13=1,IFERROR(1/'Smart Search'!H13,0),0)</f>
        <v/>
      </c>
      <c r="AA351" s="66">
        <f>IF('Smart Search'!D13=1,IFERROR(1/'Smart Search'!H13,0),0)</f>
        <v/>
      </c>
      <c r="AB351" s="66">
        <f>IF('Smart Search'!E13=1,IFERROR(1/'Smart Search'!H13,0),0)</f>
        <v/>
      </c>
      <c r="AC351" s="66">
        <f>IF('Smart Search'!E13=1,IFERROR(1/'Smart Search'!H13,0),0)</f>
        <v/>
      </c>
      <c r="AD351" s="66">
        <f>IF('Smart Search'!F13=1,IFERROR(1/'Smart Search'!H13,0),0)</f>
        <v/>
      </c>
      <c r="AE351" s="66">
        <f>IF('Smart Search'!F13=1,IFERROR(1/'Smart Search'!H13,0),0)</f>
        <v/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66">
        <f>AF351*V351</f>
        <v/>
      </c>
      <c r="AQ351" s="66">
        <f>AG351*W351</f>
        <v/>
      </c>
      <c r="AR351" s="66">
        <f>AH351*X351</f>
        <v/>
      </c>
      <c r="AS351" s="66">
        <f>AI351*Y351</f>
        <v/>
      </c>
      <c r="AT351" s="66">
        <f>AJ351*Z351</f>
        <v/>
      </c>
      <c r="AU351" s="66">
        <f>AK351*AA351</f>
        <v/>
      </c>
      <c r="AV351" s="66">
        <f>AL351*AB351</f>
        <v/>
      </c>
      <c r="AW351" s="66">
        <f>AM351*AC351</f>
        <v/>
      </c>
      <c r="AX351" s="66">
        <f>AN351*AD351</f>
        <v/>
      </c>
      <c r="AY351" s="66">
        <f>AO351*AE351</f>
        <v/>
      </c>
      <c r="AZ351" s="66">
        <f>'Project Database'!Z355</f>
        <v/>
      </c>
      <c r="BA351" s="66">
        <f>IF(OR(A351="",'Smart Search'!H13=0),"",MAX(0,BE351*BF351*MAX(0,1-BG351)))</f>
        <v/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66">
        <f>IF('Smart Search'!G13=1,IFERROR(1/'Smart Search'!H13,0),0)</f>
        <v/>
      </c>
      <c r="BD351" s="66">
        <f>BB351*BC351</f>
        <v/>
      </c>
      <c r="BE351" s="66">
        <f>AP351+AQ351+AR351+AS351+AT351+AU351+AV351+AW351+AX351+AY351+BD351</f>
        <v/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5">
        <f>IF(AND('Project Database'!A355&lt;&gt;"",OR('Smart Search'!$L$5="",'Smart Search'!$L$5="All",TRIM('Project Database'!D355)=TRIM('Smart Search'!$L$5)),OR(TRIM('Smart Search'!$L$6)="",TRIM('Smart Search'!$L$6)="All",ISNUMBER(SEARCH(SUBSTITUTE(SUBSTITUTE(SUBSTITUTE(TRIM('Smart Search'!$L$6),"~","~~"),"*","~*"),"?","~?"),'Project Database'!C355))),OR('Smart Search'!$L$7="",AND('Project Database'!E355&lt;&gt;"",'Project Database'!E355='Smart Search'!$L$7)),OR('Smart Search'!$L$8="",'Smart Search'!$L$8="All",TRIM('Project Database'!F355)=TRIM('Smart Search'!$L$8))),IF(BA351="","",BA351+ROW()*0.0000000001),"")</f>
        <v/>
      </c>
      <c r="BI351" s="5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>
        <f>IF('Project Database'!A355="","",N('Project Database'!AC355))</f>
        <v/>
      </c>
      <c r="BK351" s="5">
        <f>IF('Project Database'!A355="","",N('Project Database'!AD355))</f>
        <v/>
      </c>
      <c r="BL351" s="5">
        <f>IF('Project Database'!A355="","",N('Project Database'!AE355))</f>
        <v/>
      </c>
      <c r="BM351" s="5">
        <f>IF('Project Database'!A355="","",N('Project Database'!AF355))</f>
        <v/>
      </c>
      <c r="BN351" s="5">
        <f>IF('Project Database'!A355="","",N('Project Database'!AG355))</f>
        <v/>
      </c>
      <c r="BO351" s="5">
        <f>IF('Project Database'!A355="","",N('Project Database'!AH355))</f>
        <v/>
      </c>
      <c r="BP351" s="5">
        <f>IF('Project Database'!A355="","",N('Project Database'!AI355))</f>
        <v/>
      </c>
      <c r="BQ351" s="5">
        <f>IF('Project Database'!A355="","",N('Project Database'!AJ355))</f>
        <v/>
      </c>
      <c r="BR351" s="5">
        <f>IF('Project Database'!A355="","",N('Project Database'!AK355))</f>
        <v/>
      </c>
      <c r="BS351" s="5">
        <f>IF('Project Database'!A355="","",N('Project Database'!AL355))</f>
        <v/>
      </c>
      <c r="BT351" s="5">
        <f>IF('Project Database'!A355="","",N('Project Database'!AM355))</f>
        <v/>
      </c>
      <c r="BU351" s="5">
        <f>IF('Project Database'!A355="","",N('Project Database'!AN355))</f>
        <v/>
      </c>
      <c r="BV351" s="5">
        <f>IF('Project Database'!A355="","",N('Project Database'!AO355))</f>
        <v/>
      </c>
      <c r="BW351" s="5">
        <f>IF('Project Database'!A355="","",N('Project Database'!AP355))</f>
        <v/>
      </c>
      <c r="BX351" s="5">
        <f>IF(A351="","",SUM(BJ351:BW351))</f>
        <v/>
      </c>
      <c r="BY351" s="5">
        <f>IF(A351="","",IFERROR(IF(ISNUMBER(U351),U351,VALUE(SUBSTITUTE(SUBSTITUTE(SUBSTITUTE(UPPER(TRIM(U351)),"M",""),",","")," ",""))),0))</f>
        <v/>
      </c>
    </row>
    <row r="352" ht="15" customHeight="1" s="74">
      <c r="A352" s="66">
        <f>'Project Database'!A356</f>
        <v/>
      </c>
      <c r="B352" s="66">
        <f>'Project Database'!B356</f>
        <v/>
      </c>
      <c r="C352" s="66">
        <f>'Project Database'!G356</f>
        <v/>
      </c>
      <c r="D352" s="66">
        <f>'Project Database'!H356</f>
        <v/>
      </c>
      <c r="E352" s="66">
        <f>'Project Database'!I356</f>
        <v/>
      </c>
      <c r="F352" s="66">
        <f>'Project Database'!J356</f>
        <v/>
      </c>
      <c r="G352" s="66">
        <f>'Project Database'!K356</f>
        <v/>
      </c>
      <c r="H352" s="66">
        <f>'Project Database'!L356</f>
        <v/>
      </c>
      <c r="I352" s="66">
        <f>'Project Database'!M356</f>
        <v/>
      </c>
      <c r="J352" s="66">
        <f>'Project Database'!N356</f>
        <v/>
      </c>
      <c r="K352" s="66">
        <f>'Project Database'!O356</f>
        <v/>
      </c>
      <c r="L352" s="66">
        <f>'Project Database'!P356</f>
        <v/>
      </c>
      <c r="M352" s="66">
        <f>'Project Database'!Q356</f>
        <v/>
      </c>
      <c r="N352" s="66">
        <f>'Project Database'!R356</f>
        <v/>
      </c>
      <c r="O352" s="66">
        <f>'Project Database'!S356</f>
        <v/>
      </c>
      <c r="P352" s="66">
        <f>'Project Database'!T356</f>
        <v/>
      </c>
      <c r="Q352" s="66">
        <f>'Project Database'!U356</f>
        <v/>
      </c>
      <c r="R352" s="66">
        <f>'Project Database'!V356</f>
        <v/>
      </c>
      <c r="S352" s="66">
        <f>'Project Database'!W356</f>
        <v/>
      </c>
      <c r="T352" s="66">
        <f>'Project Database'!X356</f>
        <v/>
      </c>
      <c r="U352" s="67">
        <f>'Project Database'!Y356</f>
        <v/>
      </c>
      <c r="V352" s="66">
        <f>IF('Smart Search'!B13=1,IFERROR(1/'Smart Search'!H13,0),0)</f>
        <v/>
      </c>
      <c r="W352" s="66">
        <f>IF('Smart Search'!B13=1,IFERROR(1/'Smart Search'!H13,0),0)</f>
        <v/>
      </c>
      <c r="X352" s="66">
        <f>IF('Smart Search'!C13=1,IFERROR(1/'Smart Search'!H13,0),0)</f>
        <v/>
      </c>
      <c r="Y352" s="66">
        <f>IF('Smart Search'!C13=1,IFERROR(1/'Smart Search'!H13,0),0)</f>
        <v/>
      </c>
      <c r="Z352" s="66">
        <f>IF('Smart Search'!D13=1,IFERROR(1/'Smart Search'!H13,0),0)</f>
        <v/>
      </c>
      <c r="AA352" s="66">
        <f>IF('Smart Search'!D13=1,IFERROR(1/'Smart Search'!H13,0),0)</f>
        <v/>
      </c>
      <c r="AB352" s="66">
        <f>IF('Smart Search'!E13=1,IFERROR(1/'Smart Search'!H13,0),0)</f>
        <v/>
      </c>
      <c r="AC352" s="66">
        <f>IF('Smart Search'!E13=1,IFERROR(1/'Smart Search'!H13,0),0)</f>
        <v/>
      </c>
      <c r="AD352" s="66">
        <f>IF('Smart Search'!F13=1,IFERROR(1/'Smart Search'!H13,0),0)</f>
        <v/>
      </c>
      <c r="AE352" s="66">
        <f>IF('Smart Search'!F13=1,IFERROR(1/'Smart Search'!H13,0),0)</f>
        <v/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66">
        <f>AF352*V352</f>
        <v/>
      </c>
      <c r="AQ352" s="66">
        <f>AG352*W352</f>
        <v/>
      </c>
      <c r="AR352" s="66">
        <f>AH352*X352</f>
        <v/>
      </c>
      <c r="AS352" s="66">
        <f>AI352*Y352</f>
        <v/>
      </c>
      <c r="AT352" s="66">
        <f>AJ352*Z352</f>
        <v/>
      </c>
      <c r="AU352" s="66">
        <f>AK352*AA352</f>
        <v/>
      </c>
      <c r="AV352" s="66">
        <f>AL352*AB352</f>
        <v/>
      </c>
      <c r="AW352" s="66">
        <f>AM352*AC352</f>
        <v/>
      </c>
      <c r="AX352" s="66">
        <f>AN352*AD352</f>
        <v/>
      </c>
      <c r="AY352" s="66">
        <f>AO352*AE352</f>
        <v/>
      </c>
      <c r="AZ352" s="66">
        <f>'Project Database'!Z356</f>
        <v/>
      </c>
      <c r="BA352" s="66">
        <f>IF(OR(A352="",'Smart Search'!H13=0),"",MAX(0,BE352*BF352*MAX(0,1-BG352)))</f>
        <v/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66">
        <f>IF('Smart Search'!G13=1,IFERROR(1/'Smart Search'!H13,0),0)</f>
        <v/>
      </c>
      <c r="BD352" s="66">
        <f>BB352*BC352</f>
        <v/>
      </c>
      <c r="BE352" s="66">
        <f>AP352+AQ352+AR352+AS352+AT352+AU352+AV352+AW352+AX352+AY352+BD352</f>
        <v/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5">
        <f>IF(AND('Project Database'!A356&lt;&gt;"",OR('Smart Search'!$L$5="",'Smart Search'!$L$5="All",TRIM('Project Database'!D356)=TRIM('Smart Search'!$L$5)),OR(TRIM('Smart Search'!$L$6)="",TRIM('Smart Search'!$L$6)="All",ISNUMBER(SEARCH(SUBSTITUTE(SUBSTITUTE(SUBSTITUTE(TRIM('Smart Search'!$L$6),"~","~~"),"*","~*"),"?","~?"),'Project Database'!C356))),OR('Smart Search'!$L$7="",AND('Project Database'!E356&lt;&gt;"",'Project Database'!E356='Smart Search'!$L$7)),OR('Smart Search'!$L$8="",'Smart Search'!$L$8="All",TRIM('Project Database'!F356)=TRIM('Smart Search'!$L$8))),IF(BA352="","",BA352+ROW()*0.0000000001),"")</f>
        <v/>
      </c>
      <c r="BI352" s="5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>
        <f>IF('Project Database'!A356="","",N('Project Database'!AC356))</f>
        <v/>
      </c>
      <c r="BK352" s="5">
        <f>IF('Project Database'!A356="","",N('Project Database'!AD356))</f>
        <v/>
      </c>
      <c r="BL352" s="5">
        <f>IF('Project Database'!A356="","",N('Project Database'!AE356))</f>
        <v/>
      </c>
      <c r="BM352" s="5">
        <f>IF('Project Database'!A356="","",N('Project Database'!AF356))</f>
        <v/>
      </c>
      <c r="BN352" s="5">
        <f>IF('Project Database'!A356="","",N('Project Database'!AG356))</f>
        <v/>
      </c>
      <c r="BO352" s="5">
        <f>IF('Project Database'!A356="","",N('Project Database'!AH356))</f>
        <v/>
      </c>
      <c r="BP352" s="5">
        <f>IF('Project Database'!A356="","",N('Project Database'!AI356))</f>
        <v/>
      </c>
      <c r="BQ352" s="5">
        <f>IF('Project Database'!A356="","",N('Project Database'!AJ356))</f>
        <v/>
      </c>
      <c r="BR352" s="5">
        <f>IF('Project Database'!A356="","",N('Project Database'!AK356))</f>
        <v/>
      </c>
      <c r="BS352" s="5">
        <f>IF('Project Database'!A356="","",N('Project Database'!AL356))</f>
        <v/>
      </c>
      <c r="BT352" s="5">
        <f>IF('Project Database'!A356="","",N('Project Database'!AM356))</f>
        <v/>
      </c>
      <c r="BU352" s="5">
        <f>IF('Project Database'!A356="","",N('Project Database'!AN356))</f>
        <v/>
      </c>
      <c r="BV352" s="5">
        <f>IF('Project Database'!A356="","",N('Project Database'!AO356))</f>
        <v/>
      </c>
      <c r="BW352" s="5">
        <f>IF('Project Database'!A356="","",N('Project Database'!AP356))</f>
        <v/>
      </c>
      <c r="BX352" s="5">
        <f>IF(A352="","",SUM(BJ352:BW352))</f>
        <v/>
      </c>
      <c r="BY352" s="5">
        <f>IF(A352="","",IFERROR(IF(ISNUMBER(U352),U352,VALUE(SUBSTITUTE(SUBSTITUTE(SUBSTITUTE(UPPER(TRIM(U352)),"M",""),",","")," ",""))),0))</f>
        <v/>
      </c>
    </row>
    <row r="353" ht="15" customHeight="1" s="74">
      <c r="A353" s="66">
        <f>'Project Database'!A357</f>
        <v/>
      </c>
      <c r="B353" s="66">
        <f>'Project Database'!B357</f>
        <v/>
      </c>
      <c r="C353" s="66">
        <f>'Project Database'!G357</f>
        <v/>
      </c>
      <c r="D353" s="66">
        <f>'Project Database'!H357</f>
        <v/>
      </c>
      <c r="E353" s="66">
        <f>'Project Database'!I357</f>
        <v/>
      </c>
      <c r="F353" s="66">
        <f>'Project Database'!J357</f>
        <v/>
      </c>
      <c r="G353" s="66">
        <f>'Project Database'!K357</f>
        <v/>
      </c>
      <c r="H353" s="66">
        <f>'Project Database'!L357</f>
        <v/>
      </c>
      <c r="I353" s="66">
        <f>'Project Database'!M357</f>
        <v/>
      </c>
      <c r="J353" s="66">
        <f>'Project Database'!N357</f>
        <v/>
      </c>
      <c r="K353" s="66">
        <f>'Project Database'!O357</f>
        <v/>
      </c>
      <c r="L353" s="66">
        <f>'Project Database'!P357</f>
        <v/>
      </c>
      <c r="M353" s="66">
        <f>'Project Database'!Q357</f>
        <v/>
      </c>
      <c r="N353" s="66">
        <f>'Project Database'!R357</f>
        <v/>
      </c>
      <c r="O353" s="66">
        <f>'Project Database'!S357</f>
        <v/>
      </c>
      <c r="P353" s="66">
        <f>'Project Database'!T357</f>
        <v/>
      </c>
      <c r="Q353" s="66">
        <f>'Project Database'!U357</f>
        <v/>
      </c>
      <c r="R353" s="66">
        <f>'Project Database'!V357</f>
        <v/>
      </c>
      <c r="S353" s="66">
        <f>'Project Database'!W357</f>
        <v/>
      </c>
      <c r="T353" s="66">
        <f>'Project Database'!X357</f>
        <v/>
      </c>
      <c r="U353" s="67">
        <f>'Project Database'!Y357</f>
        <v/>
      </c>
      <c r="V353" s="66">
        <f>IF('Smart Search'!B13=1,IFERROR(1/'Smart Search'!H13,0),0)</f>
        <v/>
      </c>
      <c r="W353" s="66">
        <f>IF('Smart Search'!B13=1,IFERROR(1/'Smart Search'!H13,0),0)</f>
        <v/>
      </c>
      <c r="X353" s="66">
        <f>IF('Smart Search'!C13=1,IFERROR(1/'Smart Search'!H13,0),0)</f>
        <v/>
      </c>
      <c r="Y353" s="66">
        <f>IF('Smart Search'!C13=1,IFERROR(1/'Smart Search'!H13,0),0)</f>
        <v/>
      </c>
      <c r="Z353" s="66">
        <f>IF('Smart Search'!D13=1,IFERROR(1/'Smart Search'!H13,0),0)</f>
        <v/>
      </c>
      <c r="AA353" s="66">
        <f>IF('Smart Search'!D13=1,IFERROR(1/'Smart Search'!H13,0),0)</f>
        <v/>
      </c>
      <c r="AB353" s="66">
        <f>IF('Smart Search'!E13=1,IFERROR(1/'Smart Search'!H13,0),0)</f>
        <v/>
      </c>
      <c r="AC353" s="66">
        <f>IF('Smart Search'!E13=1,IFERROR(1/'Smart Search'!H13,0),0)</f>
        <v/>
      </c>
      <c r="AD353" s="66">
        <f>IF('Smart Search'!F13=1,IFERROR(1/'Smart Search'!H13,0),0)</f>
        <v/>
      </c>
      <c r="AE353" s="66">
        <f>IF('Smart Search'!F13=1,IFERROR(1/'Smart Search'!H13,0),0)</f>
        <v/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66">
        <f>AF353*V353</f>
        <v/>
      </c>
      <c r="AQ353" s="66">
        <f>AG353*W353</f>
        <v/>
      </c>
      <c r="AR353" s="66">
        <f>AH353*X353</f>
        <v/>
      </c>
      <c r="AS353" s="66">
        <f>AI353*Y353</f>
        <v/>
      </c>
      <c r="AT353" s="66">
        <f>AJ353*Z353</f>
        <v/>
      </c>
      <c r="AU353" s="66">
        <f>AK353*AA353</f>
        <v/>
      </c>
      <c r="AV353" s="66">
        <f>AL353*AB353</f>
        <v/>
      </c>
      <c r="AW353" s="66">
        <f>AM353*AC353</f>
        <v/>
      </c>
      <c r="AX353" s="66">
        <f>AN353*AD353</f>
        <v/>
      </c>
      <c r="AY353" s="66">
        <f>AO353*AE353</f>
        <v/>
      </c>
      <c r="AZ353" s="66">
        <f>'Project Database'!Z357</f>
        <v/>
      </c>
      <c r="BA353" s="66">
        <f>IF(OR(A353="",'Smart Search'!H13=0),"",MAX(0,BE353*BF353*MAX(0,1-BG353)))</f>
        <v/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66">
        <f>IF('Smart Search'!G13=1,IFERROR(1/'Smart Search'!H13,0),0)</f>
        <v/>
      </c>
      <c r="BD353" s="66">
        <f>BB353*BC353</f>
        <v/>
      </c>
      <c r="BE353" s="66">
        <f>AP353+AQ353+AR353+AS353+AT353+AU353+AV353+AW353+AX353+AY353+BD353</f>
        <v/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5">
        <f>IF(AND('Project Database'!A357&lt;&gt;"",OR('Smart Search'!$L$5="",'Smart Search'!$L$5="All",TRIM('Project Database'!D357)=TRIM('Smart Search'!$L$5)),OR(TRIM('Smart Search'!$L$6)="",TRIM('Smart Search'!$L$6)="All",ISNUMBER(SEARCH(SUBSTITUTE(SUBSTITUTE(SUBSTITUTE(TRIM('Smart Search'!$L$6),"~","~~"),"*","~*"),"?","~?"),'Project Database'!C357))),OR('Smart Search'!$L$7="",AND('Project Database'!E357&lt;&gt;"",'Project Database'!E357='Smart Search'!$L$7)),OR('Smart Search'!$L$8="",'Smart Search'!$L$8="All",TRIM('Project Database'!F357)=TRIM('Smart Search'!$L$8))),IF(BA353="","",BA353+ROW()*0.0000000001),"")</f>
        <v/>
      </c>
      <c r="BI353" s="5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>
        <f>IF('Project Database'!A357="","",N('Project Database'!AC357))</f>
        <v/>
      </c>
      <c r="BK353" s="5">
        <f>IF('Project Database'!A357="","",N('Project Database'!AD357))</f>
        <v/>
      </c>
      <c r="BL353" s="5">
        <f>IF('Project Database'!A357="","",N('Project Database'!AE357))</f>
        <v/>
      </c>
      <c r="BM353" s="5">
        <f>IF('Project Database'!A357="","",N('Project Database'!AF357))</f>
        <v/>
      </c>
      <c r="BN353" s="5">
        <f>IF('Project Database'!A357="","",N('Project Database'!AG357))</f>
        <v/>
      </c>
      <c r="BO353" s="5">
        <f>IF('Project Database'!A357="","",N('Project Database'!AH357))</f>
        <v/>
      </c>
      <c r="BP353" s="5">
        <f>IF('Project Database'!A357="","",N('Project Database'!AI357))</f>
        <v/>
      </c>
      <c r="BQ353" s="5">
        <f>IF('Project Database'!A357="","",N('Project Database'!AJ357))</f>
        <v/>
      </c>
      <c r="BR353" s="5">
        <f>IF('Project Database'!A357="","",N('Project Database'!AK357))</f>
        <v/>
      </c>
      <c r="BS353" s="5">
        <f>IF('Project Database'!A357="","",N('Project Database'!AL357))</f>
        <v/>
      </c>
      <c r="BT353" s="5">
        <f>IF('Project Database'!A357="","",N('Project Database'!AM357))</f>
        <v/>
      </c>
      <c r="BU353" s="5">
        <f>IF('Project Database'!A357="","",N('Project Database'!AN357))</f>
        <v/>
      </c>
      <c r="BV353" s="5">
        <f>IF('Project Database'!A357="","",N('Project Database'!AO357))</f>
        <v/>
      </c>
      <c r="BW353" s="5">
        <f>IF('Project Database'!A357="","",N('Project Database'!AP357))</f>
        <v/>
      </c>
      <c r="BX353" s="5">
        <f>IF(A353="","",SUM(BJ353:BW353))</f>
        <v/>
      </c>
      <c r="BY353" s="5">
        <f>IF(A353="","",IFERROR(IF(ISNUMBER(U353),U353,VALUE(SUBSTITUTE(SUBSTITUTE(SUBSTITUTE(UPPER(TRIM(U353)),"M",""),",","")," ",""))),0))</f>
        <v/>
      </c>
    </row>
    <row r="354" ht="15" customHeight="1" s="74">
      <c r="A354" s="66">
        <f>'Project Database'!A358</f>
        <v/>
      </c>
      <c r="B354" s="66">
        <f>'Project Database'!B358</f>
        <v/>
      </c>
      <c r="C354" s="66">
        <f>'Project Database'!G358</f>
        <v/>
      </c>
      <c r="D354" s="66">
        <f>'Project Database'!H358</f>
        <v/>
      </c>
      <c r="E354" s="66">
        <f>'Project Database'!I358</f>
        <v/>
      </c>
      <c r="F354" s="66">
        <f>'Project Database'!J358</f>
        <v/>
      </c>
      <c r="G354" s="66">
        <f>'Project Database'!K358</f>
        <v/>
      </c>
      <c r="H354" s="66">
        <f>'Project Database'!L358</f>
        <v/>
      </c>
      <c r="I354" s="66">
        <f>'Project Database'!M358</f>
        <v/>
      </c>
      <c r="J354" s="66">
        <f>'Project Database'!N358</f>
        <v/>
      </c>
      <c r="K354" s="66">
        <f>'Project Database'!O358</f>
        <v/>
      </c>
      <c r="L354" s="66">
        <f>'Project Database'!P358</f>
        <v/>
      </c>
      <c r="M354" s="66">
        <f>'Project Database'!Q358</f>
        <v/>
      </c>
      <c r="N354" s="66">
        <f>'Project Database'!R358</f>
        <v/>
      </c>
      <c r="O354" s="66">
        <f>'Project Database'!S358</f>
        <v/>
      </c>
      <c r="P354" s="66">
        <f>'Project Database'!T358</f>
        <v/>
      </c>
      <c r="Q354" s="66">
        <f>'Project Database'!U358</f>
        <v/>
      </c>
      <c r="R354" s="66">
        <f>'Project Database'!V358</f>
        <v/>
      </c>
      <c r="S354" s="66">
        <f>'Project Database'!W358</f>
        <v/>
      </c>
      <c r="T354" s="66">
        <f>'Project Database'!X358</f>
        <v/>
      </c>
      <c r="U354" s="67">
        <f>'Project Database'!Y358</f>
        <v/>
      </c>
      <c r="V354" s="66">
        <f>IF('Smart Search'!B13=1,IFERROR(1/'Smart Search'!H13,0),0)</f>
        <v/>
      </c>
      <c r="W354" s="66">
        <f>IF('Smart Search'!B13=1,IFERROR(1/'Smart Search'!H13,0),0)</f>
        <v/>
      </c>
      <c r="X354" s="66">
        <f>IF('Smart Search'!C13=1,IFERROR(1/'Smart Search'!H13,0),0)</f>
        <v/>
      </c>
      <c r="Y354" s="66">
        <f>IF('Smart Search'!C13=1,IFERROR(1/'Smart Search'!H13,0),0)</f>
        <v/>
      </c>
      <c r="Z354" s="66">
        <f>IF('Smart Search'!D13=1,IFERROR(1/'Smart Search'!H13,0),0)</f>
        <v/>
      </c>
      <c r="AA354" s="66">
        <f>IF('Smart Search'!D13=1,IFERROR(1/'Smart Search'!H13,0),0)</f>
        <v/>
      </c>
      <c r="AB354" s="66">
        <f>IF('Smart Search'!E13=1,IFERROR(1/'Smart Search'!H13,0),0)</f>
        <v/>
      </c>
      <c r="AC354" s="66">
        <f>IF('Smart Search'!E13=1,IFERROR(1/'Smart Search'!H13,0),0)</f>
        <v/>
      </c>
      <c r="AD354" s="66">
        <f>IF('Smart Search'!F13=1,IFERROR(1/'Smart Search'!H13,0),0)</f>
        <v/>
      </c>
      <c r="AE354" s="66">
        <f>IF('Smart Search'!F13=1,IFERROR(1/'Smart Search'!H13,0),0)</f>
        <v/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66">
        <f>AF354*V354</f>
        <v/>
      </c>
      <c r="AQ354" s="66">
        <f>AG354*W354</f>
        <v/>
      </c>
      <c r="AR354" s="66">
        <f>AH354*X354</f>
        <v/>
      </c>
      <c r="AS354" s="66">
        <f>AI354*Y354</f>
        <v/>
      </c>
      <c r="AT354" s="66">
        <f>AJ354*Z354</f>
        <v/>
      </c>
      <c r="AU354" s="66">
        <f>AK354*AA354</f>
        <v/>
      </c>
      <c r="AV354" s="66">
        <f>AL354*AB354</f>
        <v/>
      </c>
      <c r="AW354" s="66">
        <f>AM354*AC354</f>
        <v/>
      </c>
      <c r="AX354" s="66">
        <f>AN354*AD354</f>
        <v/>
      </c>
      <c r="AY354" s="66">
        <f>AO354*AE354</f>
        <v/>
      </c>
      <c r="AZ354" s="66">
        <f>'Project Database'!Z358</f>
        <v/>
      </c>
      <c r="BA354" s="66">
        <f>IF(OR(A354="",'Smart Search'!H13=0),"",MAX(0,BE354*BF354*MAX(0,1-BG354)))</f>
        <v/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66">
        <f>IF('Smart Search'!G13=1,IFERROR(1/'Smart Search'!H13,0),0)</f>
        <v/>
      </c>
      <c r="BD354" s="66">
        <f>BB354*BC354</f>
        <v/>
      </c>
      <c r="BE354" s="66">
        <f>AP354+AQ354+AR354+AS354+AT354+AU354+AV354+AW354+AX354+AY354+BD354</f>
        <v/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5">
        <f>IF(AND('Project Database'!A358&lt;&gt;"",OR('Smart Search'!$L$5="",'Smart Search'!$L$5="All",TRIM('Project Database'!D358)=TRIM('Smart Search'!$L$5)),OR(TRIM('Smart Search'!$L$6)="",TRIM('Smart Search'!$L$6)="All",ISNUMBER(SEARCH(SUBSTITUTE(SUBSTITUTE(SUBSTITUTE(TRIM('Smart Search'!$L$6),"~","~~"),"*","~*"),"?","~?"),'Project Database'!C358))),OR('Smart Search'!$L$7="",AND('Project Database'!E358&lt;&gt;"",'Project Database'!E358='Smart Search'!$L$7)),OR('Smart Search'!$L$8="",'Smart Search'!$L$8="All",TRIM('Project Database'!F358)=TRIM('Smart Search'!$L$8))),IF(BA354="","",BA354+ROW()*0.0000000001),"")</f>
        <v/>
      </c>
      <c r="BI354" s="5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>
        <f>IF('Project Database'!A358="","",N('Project Database'!AC358))</f>
        <v/>
      </c>
      <c r="BK354" s="5">
        <f>IF('Project Database'!A358="","",N('Project Database'!AD358))</f>
        <v/>
      </c>
      <c r="BL354" s="5">
        <f>IF('Project Database'!A358="","",N('Project Database'!AE358))</f>
        <v/>
      </c>
      <c r="BM354" s="5">
        <f>IF('Project Database'!A358="","",N('Project Database'!AF358))</f>
        <v/>
      </c>
      <c r="BN354" s="5">
        <f>IF('Project Database'!A358="","",N('Project Database'!AG358))</f>
        <v/>
      </c>
      <c r="BO354" s="5">
        <f>IF('Project Database'!A358="","",N('Project Database'!AH358))</f>
        <v/>
      </c>
      <c r="BP354" s="5">
        <f>IF('Project Database'!A358="","",N('Project Database'!AI358))</f>
        <v/>
      </c>
      <c r="BQ354" s="5">
        <f>IF('Project Database'!A358="","",N('Project Database'!AJ358))</f>
        <v/>
      </c>
      <c r="BR354" s="5">
        <f>IF('Project Database'!A358="","",N('Project Database'!AK358))</f>
        <v/>
      </c>
      <c r="BS354" s="5">
        <f>IF('Project Database'!A358="","",N('Project Database'!AL358))</f>
        <v/>
      </c>
      <c r="BT354" s="5">
        <f>IF('Project Database'!A358="","",N('Project Database'!AM358))</f>
        <v/>
      </c>
      <c r="BU354" s="5">
        <f>IF('Project Database'!A358="","",N('Project Database'!AN358))</f>
        <v/>
      </c>
      <c r="BV354" s="5">
        <f>IF('Project Database'!A358="","",N('Project Database'!AO358))</f>
        <v/>
      </c>
      <c r="BW354" s="5">
        <f>IF('Project Database'!A358="","",N('Project Database'!AP358))</f>
        <v/>
      </c>
      <c r="BX354" s="5">
        <f>IF(A354="","",SUM(BJ354:BW354))</f>
        <v/>
      </c>
      <c r="BY354" s="5">
        <f>IF(A354="","",IFERROR(IF(ISNUMBER(U354),U354,VALUE(SUBSTITUTE(SUBSTITUTE(SUBSTITUTE(UPPER(TRIM(U354)),"M",""),",","")," ",""))),0))</f>
        <v/>
      </c>
    </row>
    <row r="355" ht="15" customHeight="1" s="74">
      <c r="A355" s="66">
        <f>'Project Database'!A359</f>
        <v/>
      </c>
      <c r="B355" s="66">
        <f>'Project Database'!B359</f>
        <v/>
      </c>
      <c r="C355" s="66">
        <f>'Project Database'!G359</f>
        <v/>
      </c>
      <c r="D355" s="66">
        <f>'Project Database'!H359</f>
        <v/>
      </c>
      <c r="E355" s="66">
        <f>'Project Database'!I359</f>
        <v/>
      </c>
      <c r="F355" s="66">
        <f>'Project Database'!J359</f>
        <v/>
      </c>
      <c r="G355" s="66">
        <f>'Project Database'!K359</f>
        <v/>
      </c>
      <c r="H355" s="66">
        <f>'Project Database'!L359</f>
        <v/>
      </c>
      <c r="I355" s="66">
        <f>'Project Database'!M359</f>
        <v/>
      </c>
      <c r="J355" s="66">
        <f>'Project Database'!N359</f>
        <v/>
      </c>
      <c r="K355" s="66">
        <f>'Project Database'!O359</f>
        <v/>
      </c>
      <c r="L355" s="66">
        <f>'Project Database'!P359</f>
        <v/>
      </c>
      <c r="M355" s="66">
        <f>'Project Database'!Q359</f>
        <v/>
      </c>
      <c r="N355" s="66">
        <f>'Project Database'!R359</f>
        <v/>
      </c>
      <c r="O355" s="66">
        <f>'Project Database'!S359</f>
        <v/>
      </c>
      <c r="P355" s="66">
        <f>'Project Database'!T359</f>
        <v/>
      </c>
      <c r="Q355" s="66">
        <f>'Project Database'!U359</f>
        <v/>
      </c>
      <c r="R355" s="66">
        <f>'Project Database'!V359</f>
        <v/>
      </c>
      <c r="S355" s="66">
        <f>'Project Database'!W359</f>
        <v/>
      </c>
      <c r="T355" s="66">
        <f>'Project Database'!X359</f>
        <v/>
      </c>
      <c r="U355" s="67">
        <f>'Project Database'!Y359</f>
        <v/>
      </c>
      <c r="V355" s="66">
        <f>IF('Smart Search'!B13=1,IFERROR(1/'Smart Search'!H13,0),0)</f>
        <v/>
      </c>
      <c r="W355" s="66">
        <f>IF('Smart Search'!B13=1,IFERROR(1/'Smart Search'!H13,0),0)</f>
        <v/>
      </c>
      <c r="X355" s="66">
        <f>IF('Smart Search'!C13=1,IFERROR(1/'Smart Search'!H13,0),0)</f>
        <v/>
      </c>
      <c r="Y355" s="66">
        <f>IF('Smart Search'!C13=1,IFERROR(1/'Smart Search'!H13,0),0)</f>
        <v/>
      </c>
      <c r="Z355" s="66">
        <f>IF('Smart Search'!D13=1,IFERROR(1/'Smart Search'!H13,0),0)</f>
        <v/>
      </c>
      <c r="AA355" s="66">
        <f>IF('Smart Search'!D13=1,IFERROR(1/'Smart Search'!H13,0),0)</f>
        <v/>
      </c>
      <c r="AB355" s="66">
        <f>IF('Smart Search'!E13=1,IFERROR(1/'Smart Search'!H13,0),0)</f>
        <v/>
      </c>
      <c r="AC355" s="66">
        <f>IF('Smart Search'!E13=1,IFERROR(1/'Smart Search'!H13,0),0)</f>
        <v/>
      </c>
      <c r="AD355" s="66">
        <f>IF('Smart Search'!F13=1,IFERROR(1/'Smart Search'!H13,0),0)</f>
        <v/>
      </c>
      <c r="AE355" s="66">
        <f>IF('Smart Search'!F13=1,IFERROR(1/'Smart Search'!H13,0),0)</f>
        <v/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66">
        <f>AF355*V355</f>
        <v/>
      </c>
      <c r="AQ355" s="66">
        <f>AG355*W355</f>
        <v/>
      </c>
      <c r="AR355" s="66">
        <f>AH355*X355</f>
        <v/>
      </c>
      <c r="AS355" s="66">
        <f>AI355*Y355</f>
        <v/>
      </c>
      <c r="AT355" s="66">
        <f>AJ355*Z355</f>
        <v/>
      </c>
      <c r="AU355" s="66">
        <f>AK355*AA355</f>
        <v/>
      </c>
      <c r="AV355" s="66">
        <f>AL355*AB355</f>
        <v/>
      </c>
      <c r="AW355" s="66">
        <f>AM355*AC355</f>
        <v/>
      </c>
      <c r="AX355" s="66">
        <f>AN355*AD355</f>
        <v/>
      </c>
      <c r="AY355" s="66">
        <f>AO355*AE355</f>
        <v/>
      </c>
      <c r="AZ355" s="66">
        <f>'Project Database'!Z359</f>
        <v/>
      </c>
      <c r="BA355" s="66">
        <f>IF(OR(A355="",'Smart Search'!H13=0),"",MAX(0,BE355*BF355*MAX(0,1-BG355)))</f>
        <v/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66">
        <f>IF('Smart Search'!G13=1,IFERROR(1/'Smart Search'!H13,0),0)</f>
        <v/>
      </c>
      <c r="BD355" s="66">
        <f>BB355*BC355</f>
        <v/>
      </c>
      <c r="BE355" s="66">
        <f>AP355+AQ355+AR355+AS355+AT355+AU355+AV355+AW355+AX355+AY355+BD355</f>
        <v/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5">
        <f>IF(AND('Project Database'!A359&lt;&gt;"",OR('Smart Search'!$L$5="",'Smart Search'!$L$5="All",TRIM('Project Database'!D359)=TRIM('Smart Search'!$L$5)),OR(TRIM('Smart Search'!$L$6)="",TRIM('Smart Search'!$L$6)="All",ISNUMBER(SEARCH(SUBSTITUTE(SUBSTITUTE(SUBSTITUTE(TRIM('Smart Search'!$L$6),"~","~~"),"*","~*"),"?","~?"),'Project Database'!C359))),OR('Smart Search'!$L$7="",AND('Project Database'!E359&lt;&gt;"",'Project Database'!E359='Smart Search'!$L$7)),OR('Smart Search'!$L$8="",'Smart Search'!$L$8="All",TRIM('Project Database'!F359)=TRIM('Smart Search'!$L$8))),IF(BA355="","",BA355+ROW()*0.0000000001),"")</f>
        <v/>
      </c>
      <c r="BI355" s="5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>
        <f>IF('Project Database'!A359="","",N('Project Database'!AC359))</f>
        <v/>
      </c>
      <c r="BK355" s="5">
        <f>IF('Project Database'!A359="","",N('Project Database'!AD359))</f>
        <v/>
      </c>
      <c r="BL355" s="5">
        <f>IF('Project Database'!A359="","",N('Project Database'!AE359))</f>
        <v/>
      </c>
      <c r="BM355" s="5">
        <f>IF('Project Database'!A359="","",N('Project Database'!AF359))</f>
        <v/>
      </c>
      <c r="BN355" s="5">
        <f>IF('Project Database'!A359="","",N('Project Database'!AG359))</f>
        <v/>
      </c>
      <c r="BO355" s="5">
        <f>IF('Project Database'!A359="","",N('Project Database'!AH359))</f>
        <v/>
      </c>
      <c r="BP355" s="5">
        <f>IF('Project Database'!A359="","",N('Project Database'!AI359))</f>
        <v/>
      </c>
      <c r="BQ355" s="5">
        <f>IF('Project Database'!A359="","",N('Project Database'!AJ359))</f>
        <v/>
      </c>
      <c r="BR355" s="5">
        <f>IF('Project Database'!A359="","",N('Project Database'!AK359))</f>
        <v/>
      </c>
      <c r="BS355" s="5">
        <f>IF('Project Database'!A359="","",N('Project Database'!AL359))</f>
        <v/>
      </c>
      <c r="BT355" s="5">
        <f>IF('Project Database'!A359="","",N('Project Database'!AM359))</f>
        <v/>
      </c>
      <c r="BU355" s="5">
        <f>IF('Project Database'!A359="","",N('Project Database'!AN359))</f>
        <v/>
      </c>
      <c r="BV355" s="5">
        <f>IF('Project Database'!A359="","",N('Project Database'!AO359))</f>
        <v/>
      </c>
      <c r="BW355" s="5">
        <f>IF('Project Database'!A359="","",N('Project Database'!AP359))</f>
        <v/>
      </c>
      <c r="BX355" s="5">
        <f>IF(A355="","",SUM(BJ355:BW355))</f>
        <v/>
      </c>
      <c r="BY355" s="5">
        <f>IF(A355="","",IFERROR(IF(ISNUMBER(U355),U355,VALUE(SUBSTITUTE(SUBSTITUTE(SUBSTITUTE(UPPER(TRIM(U355)),"M",""),",","")," ",""))),0))</f>
        <v/>
      </c>
    </row>
    <row r="356" ht="15" customHeight="1" s="74">
      <c r="A356" s="66">
        <f>'Project Database'!A360</f>
        <v/>
      </c>
      <c r="B356" s="66">
        <f>'Project Database'!B360</f>
        <v/>
      </c>
      <c r="C356" s="66">
        <f>'Project Database'!G360</f>
        <v/>
      </c>
      <c r="D356" s="66">
        <f>'Project Database'!H360</f>
        <v/>
      </c>
      <c r="E356" s="66">
        <f>'Project Database'!I360</f>
        <v/>
      </c>
      <c r="F356" s="66">
        <f>'Project Database'!J360</f>
        <v/>
      </c>
      <c r="G356" s="66">
        <f>'Project Database'!K360</f>
        <v/>
      </c>
      <c r="H356" s="66">
        <f>'Project Database'!L360</f>
        <v/>
      </c>
      <c r="I356" s="66">
        <f>'Project Database'!M360</f>
        <v/>
      </c>
      <c r="J356" s="66">
        <f>'Project Database'!N360</f>
        <v/>
      </c>
      <c r="K356" s="66">
        <f>'Project Database'!O360</f>
        <v/>
      </c>
      <c r="L356" s="66">
        <f>'Project Database'!P360</f>
        <v/>
      </c>
      <c r="M356" s="66">
        <f>'Project Database'!Q360</f>
        <v/>
      </c>
      <c r="N356" s="66">
        <f>'Project Database'!R360</f>
        <v/>
      </c>
      <c r="O356" s="66">
        <f>'Project Database'!S360</f>
        <v/>
      </c>
      <c r="P356" s="66">
        <f>'Project Database'!T360</f>
        <v/>
      </c>
      <c r="Q356" s="66">
        <f>'Project Database'!U360</f>
        <v/>
      </c>
      <c r="R356" s="66">
        <f>'Project Database'!V360</f>
        <v/>
      </c>
      <c r="S356" s="66">
        <f>'Project Database'!W360</f>
        <v/>
      </c>
      <c r="T356" s="66">
        <f>'Project Database'!X360</f>
        <v/>
      </c>
      <c r="U356" s="67">
        <f>'Project Database'!Y360</f>
        <v/>
      </c>
      <c r="V356" s="66">
        <f>IF('Smart Search'!B13=1,IFERROR(1/'Smart Search'!H13,0),0)</f>
        <v/>
      </c>
      <c r="W356" s="66">
        <f>IF('Smart Search'!B13=1,IFERROR(1/'Smart Search'!H13,0),0)</f>
        <v/>
      </c>
      <c r="X356" s="66">
        <f>IF('Smart Search'!C13=1,IFERROR(1/'Smart Search'!H13,0),0)</f>
        <v/>
      </c>
      <c r="Y356" s="66">
        <f>IF('Smart Search'!C13=1,IFERROR(1/'Smart Search'!H13,0),0)</f>
        <v/>
      </c>
      <c r="Z356" s="66">
        <f>IF('Smart Search'!D13=1,IFERROR(1/'Smart Search'!H13,0),0)</f>
        <v/>
      </c>
      <c r="AA356" s="66">
        <f>IF('Smart Search'!D13=1,IFERROR(1/'Smart Search'!H13,0),0)</f>
        <v/>
      </c>
      <c r="AB356" s="66">
        <f>IF('Smart Search'!E13=1,IFERROR(1/'Smart Search'!H13,0),0)</f>
        <v/>
      </c>
      <c r="AC356" s="66">
        <f>IF('Smart Search'!E13=1,IFERROR(1/'Smart Search'!H13,0),0)</f>
        <v/>
      </c>
      <c r="AD356" s="66">
        <f>IF('Smart Search'!F13=1,IFERROR(1/'Smart Search'!H13,0),0)</f>
        <v/>
      </c>
      <c r="AE356" s="66">
        <f>IF('Smart Search'!F13=1,IFERROR(1/'Smart Search'!H13,0),0)</f>
        <v/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66">
        <f>AF356*V356</f>
        <v/>
      </c>
      <c r="AQ356" s="66">
        <f>AG356*W356</f>
        <v/>
      </c>
      <c r="AR356" s="66">
        <f>AH356*X356</f>
        <v/>
      </c>
      <c r="AS356" s="66">
        <f>AI356*Y356</f>
        <v/>
      </c>
      <c r="AT356" s="66">
        <f>AJ356*Z356</f>
        <v/>
      </c>
      <c r="AU356" s="66">
        <f>AK356*AA356</f>
        <v/>
      </c>
      <c r="AV356" s="66">
        <f>AL356*AB356</f>
        <v/>
      </c>
      <c r="AW356" s="66">
        <f>AM356*AC356</f>
        <v/>
      </c>
      <c r="AX356" s="66">
        <f>AN356*AD356</f>
        <v/>
      </c>
      <c r="AY356" s="66">
        <f>AO356*AE356</f>
        <v/>
      </c>
      <c r="AZ356" s="66">
        <f>'Project Database'!Z360</f>
        <v/>
      </c>
      <c r="BA356" s="66">
        <f>IF(OR(A356="",'Smart Search'!H13=0),"",MAX(0,BE356*BF356*MAX(0,1-BG356)))</f>
        <v/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66">
        <f>IF('Smart Search'!G13=1,IFERROR(1/'Smart Search'!H13,0),0)</f>
        <v/>
      </c>
      <c r="BD356" s="66">
        <f>BB356*BC356</f>
        <v/>
      </c>
      <c r="BE356" s="66">
        <f>AP356+AQ356+AR356+AS356+AT356+AU356+AV356+AW356+AX356+AY356+BD356</f>
        <v/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5">
        <f>IF(AND('Project Database'!A360&lt;&gt;"",OR('Smart Search'!$L$5="",'Smart Search'!$L$5="All",TRIM('Project Database'!D360)=TRIM('Smart Search'!$L$5)),OR(TRIM('Smart Search'!$L$6)="",TRIM('Smart Search'!$L$6)="All",ISNUMBER(SEARCH(SUBSTITUTE(SUBSTITUTE(SUBSTITUTE(TRIM('Smart Search'!$L$6),"~","~~"),"*","~*"),"?","~?"),'Project Database'!C360))),OR('Smart Search'!$L$7="",AND('Project Database'!E360&lt;&gt;"",'Project Database'!E360='Smart Search'!$L$7)),OR('Smart Search'!$L$8="",'Smart Search'!$L$8="All",TRIM('Project Database'!F360)=TRIM('Smart Search'!$L$8))),IF(BA356="","",BA356+ROW()*0.0000000001),"")</f>
        <v/>
      </c>
      <c r="BI356" s="5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>
        <f>IF('Project Database'!A360="","",N('Project Database'!AC360))</f>
        <v/>
      </c>
      <c r="BK356" s="5">
        <f>IF('Project Database'!A360="","",N('Project Database'!AD360))</f>
        <v/>
      </c>
      <c r="BL356" s="5">
        <f>IF('Project Database'!A360="","",N('Project Database'!AE360))</f>
        <v/>
      </c>
      <c r="BM356" s="5">
        <f>IF('Project Database'!A360="","",N('Project Database'!AF360))</f>
        <v/>
      </c>
      <c r="BN356" s="5">
        <f>IF('Project Database'!A360="","",N('Project Database'!AG360))</f>
        <v/>
      </c>
      <c r="BO356" s="5">
        <f>IF('Project Database'!A360="","",N('Project Database'!AH360))</f>
        <v/>
      </c>
      <c r="BP356" s="5">
        <f>IF('Project Database'!A360="","",N('Project Database'!AI360))</f>
        <v/>
      </c>
      <c r="BQ356" s="5">
        <f>IF('Project Database'!A360="","",N('Project Database'!AJ360))</f>
        <v/>
      </c>
      <c r="BR356" s="5">
        <f>IF('Project Database'!A360="","",N('Project Database'!AK360))</f>
        <v/>
      </c>
      <c r="BS356" s="5">
        <f>IF('Project Database'!A360="","",N('Project Database'!AL360))</f>
        <v/>
      </c>
      <c r="BT356" s="5">
        <f>IF('Project Database'!A360="","",N('Project Database'!AM360))</f>
        <v/>
      </c>
      <c r="BU356" s="5">
        <f>IF('Project Database'!A360="","",N('Project Database'!AN360))</f>
        <v/>
      </c>
      <c r="BV356" s="5">
        <f>IF('Project Database'!A360="","",N('Project Database'!AO360))</f>
        <v/>
      </c>
      <c r="BW356" s="5">
        <f>IF('Project Database'!A360="","",N('Project Database'!AP360))</f>
        <v/>
      </c>
      <c r="BX356" s="5">
        <f>IF(A356="","",SUM(BJ356:BW356))</f>
        <v/>
      </c>
      <c r="BY356" s="5">
        <f>IF(A356="","",IFERROR(IF(ISNUMBER(U356),U356,VALUE(SUBSTITUTE(SUBSTITUTE(SUBSTITUTE(UPPER(TRIM(U356)),"M",""),",","")," ",""))),0))</f>
        <v/>
      </c>
    </row>
    <row r="357" ht="15" customHeight="1" s="74">
      <c r="A357" s="66">
        <f>'Project Database'!A361</f>
        <v/>
      </c>
      <c r="B357" s="66">
        <f>'Project Database'!B361</f>
        <v/>
      </c>
      <c r="C357" s="66">
        <f>'Project Database'!G361</f>
        <v/>
      </c>
      <c r="D357" s="66">
        <f>'Project Database'!H361</f>
        <v/>
      </c>
      <c r="E357" s="66">
        <f>'Project Database'!I361</f>
        <v/>
      </c>
      <c r="F357" s="66">
        <f>'Project Database'!J361</f>
        <v/>
      </c>
      <c r="G357" s="66">
        <f>'Project Database'!K361</f>
        <v/>
      </c>
      <c r="H357" s="66">
        <f>'Project Database'!L361</f>
        <v/>
      </c>
      <c r="I357" s="66">
        <f>'Project Database'!M361</f>
        <v/>
      </c>
      <c r="J357" s="66">
        <f>'Project Database'!N361</f>
        <v/>
      </c>
      <c r="K357" s="66">
        <f>'Project Database'!O361</f>
        <v/>
      </c>
      <c r="L357" s="66">
        <f>'Project Database'!P361</f>
        <v/>
      </c>
      <c r="M357" s="66">
        <f>'Project Database'!Q361</f>
        <v/>
      </c>
      <c r="N357" s="66">
        <f>'Project Database'!R361</f>
        <v/>
      </c>
      <c r="O357" s="66">
        <f>'Project Database'!S361</f>
        <v/>
      </c>
      <c r="P357" s="66">
        <f>'Project Database'!T361</f>
        <v/>
      </c>
      <c r="Q357" s="66">
        <f>'Project Database'!U361</f>
        <v/>
      </c>
      <c r="R357" s="66">
        <f>'Project Database'!V361</f>
        <v/>
      </c>
      <c r="S357" s="66">
        <f>'Project Database'!W361</f>
        <v/>
      </c>
      <c r="T357" s="66">
        <f>'Project Database'!X361</f>
        <v/>
      </c>
      <c r="U357" s="67">
        <f>'Project Database'!Y361</f>
        <v/>
      </c>
      <c r="V357" s="66">
        <f>IF('Smart Search'!B13=1,IFERROR(1/'Smart Search'!H13,0),0)</f>
        <v/>
      </c>
      <c r="W357" s="66">
        <f>IF('Smart Search'!B13=1,IFERROR(1/'Smart Search'!H13,0),0)</f>
        <v/>
      </c>
      <c r="X357" s="66">
        <f>IF('Smart Search'!C13=1,IFERROR(1/'Smart Search'!H13,0),0)</f>
        <v/>
      </c>
      <c r="Y357" s="66">
        <f>IF('Smart Search'!C13=1,IFERROR(1/'Smart Search'!H13,0),0)</f>
        <v/>
      </c>
      <c r="Z357" s="66">
        <f>IF('Smart Search'!D13=1,IFERROR(1/'Smart Search'!H13,0),0)</f>
        <v/>
      </c>
      <c r="AA357" s="66">
        <f>IF('Smart Search'!D13=1,IFERROR(1/'Smart Search'!H13,0),0)</f>
        <v/>
      </c>
      <c r="AB357" s="66">
        <f>IF('Smart Search'!E13=1,IFERROR(1/'Smart Search'!H13,0),0)</f>
        <v/>
      </c>
      <c r="AC357" s="66">
        <f>IF('Smart Search'!E13=1,IFERROR(1/'Smart Search'!H13,0),0)</f>
        <v/>
      </c>
      <c r="AD357" s="66">
        <f>IF('Smart Search'!F13=1,IFERROR(1/'Smart Search'!H13,0),0)</f>
        <v/>
      </c>
      <c r="AE357" s="66">
        <f>IF('Smart Search'!F13=1,IFERROR(1/'Smart Search'!H13,0),0)</f>
        <v/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66">
        <f>AF357*V357</f>
        <v/>
      </c>
      <c r="AQ357" s="66">
        <f>AG357*W357</f>
        <v/>
      </c>
      <c r="AR357" s="66">
        <f>AH357*X357</f>
        <v/>
      </c>
      <c r="AS357" s="66">
        <f>AI357*Y357</f>
        <v/>
      </c>
      <c r="AT357" s="66">
        <f>AJ357*Z357</f>
        <v/>
      </c>
      <c r="AU357" s="66">
        <f>AK357*AA357</f>
        <v/>
      </c>
      <c r="AV357" s="66">
        <f>AL357*AB357</f>
        <v/>
      </c>
      <c r="AW357" s="66">
        <f>AM357*AC357</f>
        <v/>
      </c>
      <c r="AX357" s="66">
        <f>AN357*AD357</f>
        <v/>
      </c>
      <c r="AY357" s="66">
        <f>AO357*AE357</f>
        <v/>
      </c>
      <c r="AZ357" s="66">
        <f>'Project Database'!Z361</f>
        <v/>
      </c>
      <c r="BA357" s="66">
        <f>IF(OR(A357="",'Smart Search'!H13=0),"",MAX(0,BE357*BF357*MAX(0,1-BG357)))</f>
        <v/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66">
        <f>IF('Smart Search'!G13=1,IFERROR(1/'Smart Search'!H13,0),0)</f>
        <v/>
      </c>
      <c r="BD357" s="66">
        <f>BB357*BC357</f>
        <v/>
      </c>
      <c r="BE357" s="66">
        <f>AP357+AQ357+AR357+AS357+AT357+AU357+AV357+AW357+AX357+AY357+BD357</f>
        <v/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5">
        <f>IF(AND('Project Database'!A361&lt;&gt;"",OR('Smart Search'!$L$5="",'Smart Search'!$L$5="All",TRIM('Project Database'!D361)=TRIM('Smart Search'!$L$5)),OR(TRIM('Smart Search'!$L$6)="",TRIM('Smart Search'!$L$6)="All",ISNUMBER(SEARCH(SUBSTITUTE(SUBSTITUTE(SUBSTITUTE(TRIM('Smart Search'!$L$6),"~","~~"),"*","~*"),"?","~?"),'Project Database'!C361))),OR('Smart Search'!$L$7="",AND('Project Database'!E361&lt;&gt;"",'Project Database'!E361='Smart Search'!$L$7)),OR('Smart Search'!$L$8="",'Smart Search'!$L$8="All",TRIM('Project Database'!F361)=TRIM('Smart Search'!$L$8))),IF(BA357="","",BA357+ROW()*0.0000000001),"")</f>
        <v/>
      </c>
      <c r="BI357" s="5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>
        <f>IF('Project Database'!A361="","",N('Project Database'!AC361))</f>
        <v/>
      </c>
      <c r="BK357" s="5">
        <f>IF('Project Database'!A361="","",N('Project Database'!AD361))</f>
        <v/>
      </c>
      <c r="BL357" s="5">
        <f>IF('Project Database'!A361="","",N('Project Database'!AE361))</f>
        <v/>
      </c>
      <c r="BM357" s="5">
        <f>IF('Project Database'!A361="","",N('Project Database'!AF361))</f>
        <v/>
      </c>
      <c r="BN357" s="5">
        <f>IF('Project Database'!A361="","",N('Project Database'!AG361))</f>
        <v/>
      </c>
      <c r="BO357" s="5">
        <f>IF('Project Database'!A361="","",N('Project Database'!AH361))</f>
        <v/>
      </c>
      <c r="BP357" s="5">
        <f>IF('Project Database'!A361="","",N('Project Database'!AI361))</f>
        <v/>
      </c>
      <c r="BQ357" s="5">
        <f>IF('Project Database'!A361="","",N('Project Database'!AJ361))</f>
        <v/>
      </c>
      <c r="BR357" s="5">
        <f>IF('Project Database'!A361="","",N('Project Database'!AK361))</f>
        <v/>
      </c>
      <c r="BS357" s="5">
        <f>IF('Project Database'!A361="","",N('Project Database'!AL361))</f>
        <v/>
      </c>
      <c r="BT357" s="5">
        <f>IF('Project Database'!A361="","",N('Project Database'!AM361))</f>
        <v/>
      </c>
      <c r="BU357" s="5">
        <f>IF('Project Database'!A361="","",N('Project Database'!AN361))</f>
        <v/>
      </c>
      <c r="BV357" s="5">
        <f>IF('Project Database'!A361="","",N('Project Database'!AO361))</f>
        <v/>
      </c>
      <c r="BW357" s="5">
        <f>IF('Project Database'!A361="","",N('Project Database'!AP361))</f>
        <v/>
      </c>
      <c r="BX357" s="5">
        <f>IF(A357="","",SUM(BJ357:BW357))</f>
        <v/>
      </c>
      <c r="BY357" s="5">
        <f>IF(A357="","",IFERROR(IF(ISNUMBER(U357),U357,VALUE(SUBSTITUTE(SUBSTITUTE(SUBSTITUTE(UPPER(TRIM(U357)),"M",""),",","")," ",""))),0))</f>
        <v/>
      </c>
    </row>
    <row r="358" ht="15" customHeight="1" s="74">
      <c r="A358" s="66">
        <f>'Project Database'!A362</f>
        <v/>
      </c>
      <c r="B358" s="66">
        <f>'Project Database'!B362</f>
        <v/>
      </c>
      <c r="C358" s="66">
        <f>'Project Database'!G362</f>
        <v/>
      </c>
      <c r="D358" s="66">
        <f>'Project Database'!H362</f>
        <v/>
      </c>
      <c r="E358" s="66">
        <f>'Project Database'!I362</f>
        <v/>
      </c>
      <c r="F358" s="66">
        <f>'Project Database'!J362</f>
        <v/>
      </c>
      <c r="G358" s="66">
        <f>'Project Database'!K362</f>
        <v/>
      </c>
      <c r="H358" s="66">
        <f>'Project Database'!L362</f>
        <v/>
      </c>
      <c r="I358" s="66">
        <f>'Project Database'!M362</f>
        <v/>
      </c>
      <c r="J358" s="66">
        <f>'Project Database'!N362</f>
        <v/>
      </c>
      <c r="K358" s="66">
        <f>'Project Database'!O362</f>
        <v/>
      </c>
      <c r="L358" s="66">
        <f>'Project Database'!P362</f>
        <v/>
      </c>
      <c r="M358" s="66">
        <f>'Project Database'!Q362</f>
        <v/>
      </c>
      <c r="N358" s="66">
        <f>'Project Database'!R362</f>
        <v/>
      </c>
      <c r="O358" s="66">
        <f>'Project Database'!S362</f>
        <v/>
      </c>
      <c r="P358" s="66">
        <f>'Project Database'!T362</f>
        <v/>
      </c>
      <c r="Q358" s="66">
        <f>'Project Database'!U362</f>
        <v/>
      </c>
      <c r="R358" s="66">
        <f>'Project Database'!V362</f>
        <v/>
      </c>
      <c r="S358" s="66">
        <f>'Project Database'!W362</f>
        <v/>
      </c>
      <c r="T358" s="66">
        <f>'Project Database'!X362</f>
        <v/>
      </c>
      <c r="U358" s="67">
        <f>'Project Database'!Y362</f>
        <v/>
      </c>
      <c r="V358" s="66">
        <f>IF('Smart Search'!B13=1,IFERROR(1/'Smart Search'!H13,0),0)</f>
        <v/>
      </c>
      <c r="W358" s="66">
        <f>IF('Smart Search'!B13=1,IFERROR(1/'Smart Search'!H13,0),0)</f>
        <v/>
      </c>
      <c r="X358" s="66">
        <f>IF('Smart Search'!C13=1,IFERROR(1/'Smart Search'!H13,0),0)</f>
        <v/>
      </c>
      <c r="Y358" s="66">
        <f>IF('Smart Search'!C13=1,IFERROR(1/'Smart Search'!H13,0),0)</f>
        <v/>
      </c>
      <c r="Z358" s="66">
        <f>IF('Smart Search'!D13=1,IFERROR(1/'Smart Search'!H13,0),0)</f>
        <v/>
      </c>
      <c r="AA358" s="66">
        <f>IF('Smart Search'!D13=1,IFERROR(1/'Smart Search'!H13,0),0)</f>
        <v/>
      </c>
      <c r="AB358" s="66">
        <f>IF('Smart Search'!E13=1,IFERROR(1/'Smart Search'!H13,0),0)</f>
        <v/>
      </c>
      <c r="AC358" s="66">
        <f>IF('Smart Search'!E13=1,IFERROR(1/'Smart Search'!H13,0),0)</f>
        <v/>
      </c>
      <c r="AD358" s="66">
        <f>IF('Smart Search'!F13=1,IFERROR(1/'Smart Search'!H13,0),0)</f>
        <v/>
      </c>
      <c r="AE358" s="66">
        <f>IF('Smart Search'!F13=1,IFERROR(1/'Smart Search'!H13,0),0)</f>
        <v/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66">
        <f>AF358*V358</f>
        <v/>
      </c>
      <c r="AQ358" s="66">
        <f>AG358*W358</f>
        <v/>
      </c>
      <c r="AR358" s="66">
        <f>AH358*X358</f>
        <v/>
      </c>
      <c r="AS358" s="66">
        <f>AI358*Y358</f>
        <v/>
      </c>
      <c r="AT358" s="66">
        <f>AJ358*Z358</f>
        <v/>
      </c>
      <c r="AU358" s="66">
        <f>AK358*AA358</f>
        <v/>
      </c>
      <c r="AV358" s="66">
        <f>AL358*AB358</f>
        <v/>
      </c>
      <c r="AW358" s="66">
        <f>AM358*AC358</f>
        <v/>
      </c>
      <c r="AX358" s="66">
        <f>AN358*AD358</f>
        <v/>
      </c>
      <c r="AY358" s="66">
        <f>AO358*AE358</f>
        <v/>
      </c>
      <c r="AZ358" s="66">
        <f>'Project Database'!Z362</f>
        <v/>
      </c>
      <c r="BA358" s="66">
        <f>IF(OR(A358="",'Smart Search'!H13=0),"",MAX(0,BE358*BF358*MAX(0,1-BG358)))</f>
        <v/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66">
        <f>IF('Smart Search'!G13=1,IFERROR(1/'Smart Search'!H13,0),0)</f>
        <v/>
      </c>
      <c r="BD358" s="66">
        <f>BB358*BC358</f>
        <v/>
      </c>
      <c r="BE358" s="66">
        <f>AP358+AQ358+AR358+AS358+AT358+AU358+AV358+AW358+AX358+AY358+BD358</f>
        <v/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5">
        <f>IF(AND('Project Database'!A362&lt;&gt;"",OR('Smart Search'!$L$5="",'Smart Search'!$L$5="All",TRIM('Project Database'!D362)=TRIM('Smart Search'!$L$5)),OR(TRIM('Smart Search'!$L$6)="",TRIM('Smart Search'!$L$6)="All",ISNUMBER(SEARCH(SUBSTITUTE(SUBSTITUTE(SUBSTITUTE(TRIM('Smart Search'!$L$6),"~","~~"),"*","~*"),"?","~?"),'Project Database'!C362))),OR('Smart Search'!$L$7="",AND('Project Database'!E362&lt;&gt;"",'Project Database'!E362='Smart Search'!$L$7)),OR('Smart Search'!$L$8="",'Smart Search'!$L$8="All",TRIM('Project Database'!F362)=TRIM('Smart Search'!$L$8))),IF(BA358="","",BA358+ROW()*0.0000000001),"")</f>
        <v/>
      </c>
      <c r="BI358" s="5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>
        <f>IF('Project Database'!A362="","",N('Project Database'!AC362))</f>
        <v/>
      </c>
      <c r="BK358" s="5">
        <f>IF('Project Database'!A362="","",N('Project Database'!AD362))</f>
        <v/>
      </c>
      <c r="BL358" s="5">
        <f>IF('Project Database'!A362="","",N('Project Database'!AE362))</f>
        <v/>
      </c>
      <c r="BM358" s="5">
        <f>IF('Project Database'!A362="","",N('Project Database'!AF362))</f>
        <v/>
      </c>
      <c r="BN358" s="5">
        <f>IF('Project Database'!A362="","",N('Project Database'!AG362))</f>
        <v/>
      </c>
      <c r="BO358" s="5">
        <f>IF('Project Database'!A362="","",N('Project Database'!AH362))</f>
        <v/>
      </c>
      <c r="BP358" s="5">
        <f>IF('Project Database'!A362="","",N('Project Database'!AI362))</f>
        <v/>
      </c>
      <c r="BQ358" s="5">
        <f>IF('Project Database'!A362="","",N('Project Database'!AJ362))</f>
        <v/>
      </c>
      <c r="BR358" s="5">
        <f>IF('Project Database'!A362="","",N('Project Database'!AK362))</f>
        <v/>
      </c>
      <c r="BS358" s="5">
        <f>IF('Project Database'!A362="","",N('Project Database'!AL362))</f>
        <v/>
      </c>
      <c r="BT358" s="5">
        <f>IF('Project Database'!A362="","",N('Project Database'!AM362))</f>
        <v/>
      </c>
      <c r="BU358" s="5">
        <f>IF('Project Database'!A362="","",N('Project Database'!AN362))</f>
        <v/>
      </c>
      <c r="BV358" s="5">
        <f>IF('Project Database'!A362="","",N('Project Database'!AO362))</f>
        <v/>
      </c>
      <c r="BW358" s="5">
        <f>IF('Project Database'!A362="","",N('Project Database'!AP362))</f>
        <v/>
      </c>
      <c r="BX358" s="5">
        <f>IF(A358="","",SUM(BJ358:BW358))</f>
        <v/>
      </c>
      <c r="BY358" s="5">
        <f>IF(A358="","",IFERROR(IF(ISNUMBER(U358),U358,VALUE(SUBSTITUTE(SUBSTITUTE(SUBSTITUTE(UPPER(TRIM(U358)),"M",""),",","")," ",""))),0))</f>
        <v/>
      </c>
    </row>
    <row r="359" ht="15" customHeight="1" s="74">
      <c r="A359" s="66">
        <f>'Project Database'!A363</f>
        <v/>
      </c>
      <c r="B359" s="66">
        <f>'Project Database'!B363</f>
        <v/>
      </c>
      <c r="C359" s="66">
        <f>'Project Database'!G363</f>
        <v/>
      </c>
      <c r="D359" s="66">
        <f>'Project Database'!H363</f>
        <v/>
      </c>
      <c r="E359" s="66">
        <f>'Project Database'!I363</f>
        <v/>
      </c>
      <c r="F359" s="66">
        <f>'Project Database'!J363</f>
        <v/>
      </c>
      <c r="G359" s="66">
        <f>'Project Database'!K363</f>
        <v/>
      </c>
      <c r="H359" s="66">
        <f>'Project Database'!L363</f>
        <v/>
      </c>
      <c r="I359" s="66">
        <f>'Project Database'!M363</f>
        <v/>
      </c>
      <c r="J359" s="66">
        <f>'Project Database'!N363</f>
        <v/>
      </c>
      <c r="K359" s="66">
        <f>'Project Database'!O363</f>
        <v/>
      </c>
      <c r="L359" s="66">
        <f>'Project Database'!P363</f>
        <v/>
      </c>
      <c r="M359" s="66">
        <f>'Project Database'!Q363</f>
        <v/>
      </c>
      <c r="N359" s="66">
        <f>'Project Database'!R363</f>
        <v/>
      </c>
      <c r="O359" s="66">
        <f>'Project Database'!S363</f>
        <v/>
      </c>
      <c r="P359" s="66">
        <f>'Project Database'!T363</f>
        <v/>
      </c>
      <c r="Q359" s="66">
        <f>'Project Database'!U363</f>
        <v/>
      </c>
      <c r="R359" s="66">
        <f>'Project Database'!V363</f>
        <v/>
      </c>
      <c r="S359" s="66">
        <f>'Project Database'!W363</f>
        <v/>
      </c>
      <c r="T359" s="66">
        <f>'Project Database'!X363</f>
        <v/>
      </c>
      <c r="U359" s="67">
        <f>'Project Database'!Y363</f>
        <v/>
      </c>
      <c r="V359" s="66">
        <f>IF('Smart Search'!B13=1,IFERROR(1/'Smart Search'!H13,0),0)</f>
        <v/>
      </c>
      <c r="W359" s="66">
        <f>IF('Smart Search'!B13=1,IFERROR(1/'Smart Search'!H13,0),0)</f>
        <v/>
      </c>
      <c r="X359" s="66">
        <f>IF('Smart Search'!C13=1,IFERROR(1/'Smart Search'!H13,0),0)</f>
        <v/>
      </c>
      <c r="Y359" s="66">
        <f>IF('Smart Search'!C13=1,IFERROR(1/'Smart Search'!H13,0),0)</f>
        <v/>
      </c>
      <c r="Z359" s="66">
        <f>IF('Smart Search'!D13=1,IFERROR(1/'Smart Search'!H13,0),0)</f>
        <v/>
      </c>
      <c r="AA359" s="66">
        <f>IF('Smart Search'!D13=1,IFERROR(1/'Smart Search'!H13,0),0)</f>
        <v/>
      </c>
      <c r="AB359" s="66">
        <f>IF('Smart Search'!E13=1,IFERROR(1/'Smart Search'!H13,0),0)</f>
        <v/>
      </c>
      <c r="AC359" s="66">
        <f>IF('Smart Search'!E13=1,IFERROR(1/'Smart Search'!H13,0),0)</f>
        <v/>
      </c>
      <c r="AD359" s="66">
        <f>IF('Smart Search'!F13=1,IFERROR(1/'Smart Search'!H13,0),0)</f>
        <v/>
      </c>
      <c r="AE359" s="66">
        <f>IF('Smart Search'!F13=1,IFERROR(1/'Smart Search'!H13,0),0)</f>
        <v/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66">
        <f>AF359*V359</f>
        <v/>
      </c>
      <c r="AQ359" s="66">
        <f>AG359*W359</f>
        <v/>
      </c>
      <c r="AR359" s="66">
        <f>AH359*X359</f>
        <v/>
      </c>
      <c r="AS359" s="66">
        <f>AI359*Y359</f>
        <v/>
      </c>
      <c r="AT359" s="66">
        <f>AJ359*Z359</f>
        <v/>
      </c>
      <c r="AU359" s="66">
        <f>AK359*AA359</f>
        <v/>
      </c>
      <c r="AV359" s="66">
        <f>AL359*AB359</f>
        <v/>
      </c>
      <c r="AW359" s="66">
        <f>AM359*AC359</f>
        <v/>
      </c>
      <c r="AX359" s="66">
        <f>AN359*AD359</f>
        <v/>
      </c>
      <c r="AY359" s="66">
        <f>AO359*AE359</f>
        <v/>
      </c>
      <c r="AZ359" s="66">
        <f>'Project Database'!Z363</f>
        <v/>
      </c>
      <c r="BA359" s="66">
        <f>IF(OR(A359="",'Smart Search'!H13=0),"",MAX(0,BE359*BF359*MAX(0,1-BG359)))</f>
        <v/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66">
        <f>IF('Smart Search'!G13=1,IFERROR(1/'Smart Search'!H13,0),0)</f>
        <v/>
      </c>
      <c r="BD359" s="66">
        <f>BB359*BC359</f>
        <v/>
      </c>
      <c r="BE359" s="66">
        <f>AP359+AQ359+AR359+AS359+AT359+AU359+AV359+AW359+AX359+AY359+BD359</f>
        <v/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5">
        <f>IF(AND('Project Database'!A363&lt;&gt;"",OR('Smart Search'!$L$5="",'Smart Search'!$L$5="All",TRIM('Project Database'!D363)=TRIM('Smart Search'!$L$5)),OR(TRIM('Smart Search'!$L$6)="",TRIM('Smart Search'!$L$6)="All",ISNUMBER(SEARCH(SUBSTITUTE(SUBSTITUTE(SUBSTITUTE(TRIM('Smart Search'!$L$6),"~","~~"),"*","~*"),"?","~?"),'Project Database'!C363))),OR('Smart Search'!$L$7="",AND('Project Database'!E363&lt;&gt;"",'Project Database'!E363='Smart Search'!$L$7)),OR('Smart Search'!$L$8="",'Smart Search'!$L$8="All",TRIM('Project Database'!F363)=TRIM('Smart Search'!$L$8))),IF(BA359="","",BA359+ROW()*0.0000000001),"")</f>
        <v/>
      </c>
      <c r="BI359" s="5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>
        <f>IF('Project Database'!A363="","",N('Project Database'!AC363))</f>
        <v/>
      </c>
      <c r="BK359" s="5">
        <f>IF('Project Database'!A363="","",N('Project Database'!AD363))</f>
        <v/>
      </c>
      <c r="BL359" s="5">
        <f>IF('Project Database'!A363="","",N('Project Database'!AE363))</f>
        <v/>
      </c>
      <c r="BM359" s="5">
        <f>IF('Project Database'!A363="","",N('Project Database'!AF363))</f>
        <v/>
      </c>
      <c r="BN359" s="5">
        <f>IF('Project Database'!A363="","",N('Project Database'!AG363))</f>
        <v/>
      </c>
      <c r="BO359" s="5">
        <f>IF('Project Database'!A363="","",N('Project Database'!AH363))</f>
        <v/>
      </c>
      <c r="BP359" s="5">
        <f>IF('Project Database'!A363="","",N('Project Database'!AI363))</f>
        <v/>
      </c>
      <c r="BQ359" s="5">
        <f>IF('Project Database'!A363="","",N('Project Database'!AJ363))</f>
        <v/>
      </c>
      <c r="BR359" s="5">
        <f>IF('Project Database'!A363="","",N('Project Database'!AK363))</f>
        <v/>
      </c>
      <c r="BS359" s="5">
        <f>IF('Project Database'!A363="","",N('Project Database'!AL363))</f>
        <v/>
      </c>
      <c r="BT359" s="5">
        <f>IF('Project Database'!A363="","",N('Project Database'!AM363))</f>
        <v/>
      </c>
      <c r="BU359" s="5">
        <f>IF('Project Database'!A363="","",N('Project Database'!AN363))</f>
        <v/>
      </c>
      <c r="BV359" s="5">
        <f>IF('Project Database'!A363="","",N('Project Database'!AO363))</f>
        <v/>
      </c>
      <c r="BW359" s="5">
        <f>IF('Project Database'!A363="","",N('Project Database'!AP363))</f>
        <v/>
      </c>
      <c r="BX359" s="5">
        <f>IF(A359="","",SUM(BJ359:BW359))</f>
        <v/>
      </c>
      <c r="BY359" s="5">
        <f>IF(A359="","",IFERROR(IF(ISNUMBER(U359),U359,VALUE(SUBSTITUTE(SUBSTITUTE(SUBSTITUTE(UPPER(TRIM(U359)),"M",""),",","")," ",""))),0))</f>
        <v/>
      </c>
    </row>
    <row r="360" ht="15" customHeight="1" s="74">
      <c r="A360" s="66">
        <f>'Project Database'!A364</f>
        <v/>
      </c>
      <c r="B360" s="66">
        <f>'Project Database'!B364</f>
        <v/>
      </c>
      <c r="C360" s="66">
        <f>'Project Database'!G364</f>
        <v/>
      </c>
      <c r="D360" s="66">
        <f>'Project Database'!H364</f>
        <v/>
      </c>
      <c r="E360" s="66">
        <f>'Project Database'!I364</f>
        <v/>
      </c>
      <c r="F360" s="66">
        <f>'Project Database'!J364</f>
        <v/>
      </c>
      <c r="G360" s="66">
        <f>'Project Database'!K364</f>
        <v/>
      </c>
      <c r="H360" s="66">
        <f>'Project Database'!L364</f>
        <v/>
      </c>
      <c r="I360" s="66">
        <f>'Project Database'!M364</f>
        <v/>
      </c>
      <c r="J360" s="66">
        <f>'Project Database'!N364</f>
        <v/>
      </c>
      <c r="K360" s="66">
        <f>'Project Database'!O364</f>
        <v/>
      </c>
      <c r="L360" s="66">
        <f>'Project Database'!P364</f>
        <v/>
      </c>
      <c r="M360" s="66">
        <f>'Project Database'!Q364</f>
        <v/>
      </c>
      <c r="N360" s="66">
        <f>'Project Database'!R364</f>
        <v/>
      </c>
      <c r="O360" s="66">
        <f>'Project Database'!S364</f>
        <v/>
      </c>
      <c r="P360" s="66">
        <f>'Project Database'!T364</f>
        <v/>
      </c>
      <c r="Q360" s="66">
        <f>'Project Database'!U364</f>
        <v/>
      </c>
      <c r="R360" s="66">
        <f>'Project Database'!V364</f>
        <v/>
      </c>
      <c r="S360" s="66">
        <f>'Project Database'!W364</f>
        <v/>
      </c>
      <c r="T360" s="66">
        <f>'Project Database'!X364</f>
        <v/>
      </c>
      <c r="U360" s="67">
        <f>'Project Database'!Y364</f>
        <v/>
      </c>
      <c r="V360" s="66">
        <f>IF('Smart Search'!B13=1,IFERROR(1/'Smart Search'!H13,0),0)</f>
        <v/>
      </c>
      <c r="W360" s="66">
        <f>IF('Smart Search'!B13=1,IFERROR(1/'Smart Search'!H13,0),0)</f>
        <v/>
      </c>
      <c r="X360" s="66">
        <f>IF('Smart Search'!C13=1,IFERROR(1/'Smart Search'!H13,0),0)</f>
        <v/>
      </c>
      <c r="Y360" s="66">
        <f>IF('Smart Search'!C13=1,IFERROR(1/'Smart Search'!H13,0),0)</f>
        <v/>
      </c>
      <c r="Z360" s="66">
        <f>IF('Smart Search'!D13=1,IFERROR(1/'Smart Search'!H13,0),0)</f>
        <v/>
      </c>
      <c r="AA360" s="66">
        <f>IF('Smart Search'!D13=1,IFERROR(1/'Smart Search'!H13,0),0)</f>
        <v/>
      </c>
      <c r="AB360" s="66">
        <f>IF('Smart Search'!E13=1,IFERROR(1/'Smart Search'!H13,0),0)</f>
        <v/>
      </c>
      <c r="AC360" s="66">
        <f>IF('Smart Search'!E13=1,IFERROR(1/'Smart Search'!H13,0),0)</f>
        <v/>
      </c>
      <c r="AD360" s="66">
        <f>IF('Smart Search'!F13=1,IFERROR(1/'Smart Search'!H13,0),0)</f>
        <v/>
      </c>
      <c r="AE360" s="66">
        <f>IF('Smart Search'!F13=1,IFERROR(1/'Smart Search'!H13,0),0)</f>
        <v/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66">
        <f>AF360*V360</f>
        <v/>
      </c>
      <c r="AQ360" s="66">
        <f>AG360*W360</f>
        <v/>
      </c>
      <c r="AR360" s="66">
        <f>AH360*X360</f>
        <v/>
      </c>
      <c r="AS360" s="66">
        <f>AI360*Y360</f>
        <v/>
      </c>
      <c r="AT360" s="66">
        <f>AJ360*Z360</f>
        <v/>
      </c>
      <c r="AU360" s="66">
        <f>AK360*AA360</f>
        <v/>
      </c>
      <c r="AV360" s="66">
        <f>AL360*AB360</f>
        <v/>
      </c>
      <c r="AW360" s="66">
        <f>AM360*AC360</f>
        <v/>
      </c>
      <c r="AX360" s="66">
        <f>AN360*AD360</f>
        <v/>
      </c>
      <c r="AY360" s="66">
        <f>AO360*AE360</f>
        <v/>
      </c>
      <c r="AZ360" s="66">
        <f>'Project Database'!Z364</f>
        <v/>
      </c>
      <c r="BA360" s="66">
        <f>IF(OR(A360="",'Smart Search'!H13=0),"",MAX(0,BE360*BF360*MAX(0,1-BG360)))</f>
        <v/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66">
        <f>IF('Smart Search'!G13=1,IFERROR(1/'Smart Search'!H13,0),0)</f>
        <v/>
      </c>
      <c r="BD360" s="66">
        <f>BB360*BC360</f>
        <v/>
      </c>
      <c r="BE360" s="66">
        <f>AP360+AQ360+AR360+AS360+AT360+AU360+AV360+AW360+AX360+AY360+BD360</f>
        <v/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5">
        <f>IF(AND('Project Database'!A364&lt;&gt;"",OR('Smart Search'!$L$5="",'Smart Search'!$L$5="All",TRIM('Project Database'!D364)=TRIM('Smart Search'!$L$5)),OR(TRIM('Smart Search'!$L$6)="",TRIM('Smart Search'!$L$6)="All",ISNUMBER(SEARCH(SUBSTITUTE(SUBSTITUTE(SUBSTITUTE(TRIM('Smart Search'!$L$6),"~","~~"),"*","~*"),"?","~?"),'Project Database'!C364))),OR('Smart Search'!$L$7="",AND('Project Database'!E364&lt;&gt;"",'Project Database'!E364='Smart Search'!$L$7)),OR('Smart Search'!$L$8="",'Smart Search'!$L$8="All",TRIM('Project Database'!F364)=TRIM('Smart Search'!$L$8))),IF(BA360="","",BA360+ROW()*0.0000000001),"")</f>
        <v/>
      </c>
      <c r="BI360" s="5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>
        <f>IF('Project Database'!A364="","",N('Project Database'!AC364))</f>
        <v/>
      </c>
      <c r="BK360" s="5">
        <f>IF('Project Database'!A364="","",N('Project Database'!AD364))</f>
        <v/>
      </c>
      <c r="BL360" s="5">
        <f>IF('Project Database'!A364="","",N('Project Database'!AE364))</f>
        <v/>
      </c>
      <c r="BM360" s="5">
        <f>IF('Project Database'!A364="","",N('Project Database'!AF364))</f>
        <v/>
      </c>
      <c r="BN360" s="5">
        <f>IF('Project Database'!A364="","",N('Project Database'!AG364))</f>
        <v/>
      </c>
      <c r="BO360" s="5">
        <f>IF('Project Database'!A364="","",N('Project Database'!AH364))</f>
        <v/>
      </c>
      <c r="BP360" s="5">
        <f>IF('Project Database'!A364="","",N('Project Database'!AI364))</f>
        <v/>
      </c>
      <c r="BQ360" s="5">
        <f>IF('Project Database'!A364="","",N('Project Database'!AJ364))</f>
        <v/>
      </c>
      <c r="BR360" s="5">
        <f>IF('Project Database'!A364="","",N('Project Database'!AK364))</f>
        <v/>
      </c>
      <c r="BS360" s="5">
        <f>IF('Project Database'!A364="","",N('Project Database'!AL364))</f>
        <v/>
      </c>
      <c r="BT360" s="5">
        <f>IF('Project Database'!A364="","",N('Project Database'!AM364))</f>
        <v/>
      </c>
      <c r="BU360" s="5">
        <f>IF('Project Database'!A364="","",N('Project Database'!AN364))</f>
        <v/>
      </c>
      <c r="BV360" s="5">
        <f>IF('Project Database'!A364="","",N('Project Database'!AO364))</f>
        <v/>
      </c>
      <c r="BW360" s="5">
        <f>IF('Project Database'!A364="","",N('Project Database'!AP364))</f>
        <v/>
      </c>
      <c r="BX360" s="5">
        <f>IF(A360="","",SUM(BJ360:BW360))</f>
        <v/>
      </c>
      <c r="BY360" s="5">
        <f>IF(A360="","",IFERROR(IF(ISNUMBER(U360),U360,VALUE(SUBSTITUTE(SUBSTITUTE(SUBSTITUTE(UPPER(TRIM(U360)),"M",""),",","")," ",""))),0))</f>
        <v/>
      </c>
    </row>
    <row r="361" ht="15" customHeight="1" s="74">
      <c r="A361" s="66">
        <f>'Project Database'!A365</f>
        <v/>
      </c>
      <c r="B361" s="66">
        <f>'Project Database'!B365</f>
        <v/>
      </c>
      <c r="C361" s="66">
        <f>'Project Database'!G365</f>
        <v/>
      </c>
      <c r="D361" s="66">
        <f>'Project Database'!H365</f>
        <v/>
      </c>
      <c r="E361" s="66">
        <f>'Project Database'!I365</f>
        <v/>
      </c>
      <c r="F361" s="66">
        <f>'Project Database'!J365</f>
        <v/>
      </c>
      <c r="G361" s="66">
        <f>'Project Database'!K365</f>
        <v/>
      </c>
      <c r="H361" s="66">
        <f>'Project Database'!L365</f>
        <v/>
      </c>
      <c r="I361" s="66">
        <f>'Project Database'!M365</f>
        <v/>
      </c>
      <c r="J361" s="66">
        <f>'Project Database'!N365</f>
        <v/>
      </c>
      <c r="K361" s="66">
        <f>'Project Database'!O365</f>
        <v/>
      </c>
      <c r="L361" s="66">
        <f>'Project Database'!P365</f>
        <v/>
      </c>
      <c r="M361" s="66">
        <f>'Project Database'!Q365</f>
        <v/>
      </c>
      <c r="N361" s="66">
        <f>'Project Database'!R365</f>
        <v/>
      </c>
      <c r="O361" s="66">
        <f>'Project Database'!S365</f>
        <v/>
      </c>
      <c r="P361" s="66">
        <f>'Project Database'!T365</f>
        <v/>
      </c>
      <c r="Q361" s="66">
        <f>'Project Database'!U365</f>
        <v/>
      </c>
      <c r="R361" s="66">
        <f>'Project Database'!V365</f>
        <v/>
      </c>
      <c r="S361" s="66">
        <f>'Project Database'!W365</f>
        <v/>
      </c>
      <c r="T361" s="66">
        <f>'Project Database'!X365</f>
        <v/>
      </c>
      <c r="U361" s="67">
        <f>'Project Database'!Y365</f>
        <v/>
      </c>
      <c r="V361" s="66">
        <f>IF('Smart Search'!B13=1,IFERROR(1/'Smart Search'!H13,0),0)</f>
        <v/>
      </c>
      <c r="W361" s="66">
        <f>IF('Smart Search'!B13=1,IFERROR(1/'Smart Search'!H13,0),0)</f>
        <v/>
      </c>
      <c r="X361" s="66">
        <f>IF('Smart Search'!C13=1,IFERROR(1/'Smart Search'!H13,0),0)</f>
        <v/>
      </c>
      <c r="Y361" s="66">
        <f>IF('Smart Search'!C13=1,IFERROR(1/'Smart Search'!H13,0),0)</f>
        <v/>
      </c>
      <c r="Z361" s="66">
        <f>IF('Smart Search'!D13=1,IFERROR(1/'Smart Search'!H13,0),0)</f>
        <v/>
      </c>
      <c r="AA361" s="66">
        <f>IF('Smart Search'!D13=1,IFERROR(1/'Smart Search'!H13,0),0)</f>
        <v/>
      </c>
      <c r="AB361" s="66">
        <f>IF('Smart Search'!E13=1,IFERROR(1/'Smart Search'!H13,0),0)</f>
        <v/>
      </c>
      <c r="AC361" s="66">
        <f>IF('Smart Search'!E13=1,IFERROR(1/'Smart Search'!H13,0),0)</f>
        <v/>
      </c>
      <c r="AD361" s="66">
        <f>IF('Smart Search'!F13=1,IFERROR(1/'Smart Search'!H13,0),0)</f>
        <v/>
      </c>
      <c r="AE361" s="66">
        <f>IF('Smart Search'!F13=1,IFERROR(1/'Smart Search'!H13,0),0)</f>
        <v/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66">
        <f>AF361*V361</f>
        <v/>
      </c>
      <c r="AQ361" s="66">
        <f>AG361*W361</f>
        <v/>
      </c>
      <c r="AR361" s="66">
        <f>AH361*X361</f>
        <v/>
      </c>
      <c r="AS361" s="66">
        <f>AI361*Y361</f>
        <v/>
      </c>
      <c r="AT361" s="66">
        <f>AJ361*Z361</f>
        <v/>
      </c>
      <c r="AU361" s="66">
        <f>AK361*AA361</f>
        <v/>
      </c>
      <c r="AV361" s="66">
        <f>AL361*AB361</f>
        <v/>
      </c>
      <c r="AW361" s="66">
        <f>AM361*AC361</f>
        <v/>
      </c>
      <c r="AX361" s="66">
        <f>AN361*AD361</f>
        <v/>
      </c>
      <c r="AY361" s="66">
        <f>AO361*AE361</f>
        <v/>
      </c>
      <c r="AZ361" s="66">
        <f>'Project Database'!Z365</f>
        <v/>
      </c>
      <c r="BA361" s="66">
        <f>IF(OR(A361="",'Smart Search'!H13=0),"",MAX(0,BE361*BF361*MAX(0,1-BG361)))</f>
        <v/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66">
        <f>IF('Smart Search'!G13=1,IFERROR(1/'Smart Search'!H13,0),0)</f>
        <v/>
      </c>
      <c r="BD361" s="66">
        <f>BB361*BC361</f>
        <v/>
      </c>
      <c r="BE361" s="66">
        <f>AP361+AQ361+AR361+AS361+AT361+AU361+AV361+AW361+AX361+AY361+BD361</f>
        <v/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5">
        <f>IF(AND('Project Database'!A365&lt;&gt;"",OR('Smart Search'!$L$5="",'Smart Search'!$L$5="All",TRIM('Project Database'!D365)=TRIM('Smart Search'!$L$5)),OR(TRIM('Smart Search'!$L$6)="",TRIM('Smart Search'!$L$6)="All",ISNUMBER(SEARCH(SUBSTITUTE(SUBSTITUTE(SUBSTITUTE(TRIM('Smart Search'!$L$6),"~","~~"),"*","~*"),"?","~?"),'Project Database'!C365))),OR('Smart Search'!$L$7="",AND('Project Database'!E365&lt;&gt;"",'Project Database'!E365='Smart Search'!$L$7)),OR('Smart Search'!$L$8="",'Smart Search'!$L$8="All",TRIM('Project Database'!F365)=TRIM('Smart Search'!$L$8))),IF(BA361="","",BA361+ROW()*0.0000000001),"")</f>
        <v/>
      </c>
      <c r="BI361" s="5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>
        <f>IF('Project Database'!A365="","",N('Project Database'!AC365))</f>
        <v/>
      </c>
      <c r="BK361" s="5">
        <f>IF('Project Database'!A365="","",N('Project Database'!AD365))</f>
        <v/>
      </c>
      <c r="BL361" s="5">
        <f>IF('Project Database'!A365="","",N('Project Database'!AE365))</f>
        <v/>
      </c>
      <c r="BM361" s="5">
        <f>IF('Project Database'!A365="","",N('Project Database'!AF365))</f>
        <v/>
      </c>
      <c r="BN361" s="5">
        <f>IF('Project Database'!A365="","",N('Project Database'!AG365))</f>
        <v/>
      </c>
      <c r="BO361" s="5">
        <f>IF('Project Database'!A365="","",N('Project Database'!AH365))</f>
        <v/>
      </c>
      <c r="BP361" s="5">
        <f>IF('Project Database'!A365="","",N('Project Database'!AI365))</f>
        <v/>
      </c>
      <c r="BQ361" s="5">
        <f>IF('Project Database'!A365="","",N('Project Database'!AJ365))</f>
        <v/>
      </c>
      <c r="BR361" s="5">
        <f>IF('Project Database'!A365="","",N('Project Database'!AK365))</f>
        <v/>
      </c>
      <c r="BS361" s="5">
        <f>IF('Project Database'!A365="","",N('Project Database'!AL365))</f>
        <v/>
      </c>
      <c r="BT361" s="5">
        <f>IF('Project Database'!A365="","",N('Project Database'!AM365))</f>
        <v/>
      </c>
      <c r="BU361" s="5">
        <f>IF('Project Database'!A365="","",N('Project Database'!AN365))</f>
        <v/>
      </c>
      <c r="BV361" s="5">
        <f>IF('Project Database'!A365="","",N('Project Database'!AO365))</f>
        <v/>
      </c>
      <c r="BW361" s="5">
        <f>IF('Project Database'!A365="","",N('Project Database'!AP365))</f>
        <v/>
      </c>
      <c r="BX361" s="5">
        <f>IF(A361="","",SUM(BJ361:BW361))</f>
        <v/>
      </c>
      <c r="BY361" s="5">
        <f>IF(A361="","",IFERROR(IF(ISNUMBER(U361),U361,VALUE(SUBSTITUTE(SUBSTITUTE(SUBSTITUTE(UPPER(TRIM(U361)),"M",""),",","")," ",""))),0))</f>
        <v/>
      </c>
    </row>
    <row r="362" ht="15" customHeight="1" s="74">
      <c r="A362" s="66">
        <f>'Project Database'!A366</f>
        <v/>
      </c>
      <c r="B362" s="66">
        <f>'Project Database'!B366</f>
        <v/>
      </c>
      <c r="C362" s="66">
        <f>'Project Database'!G366</f>
        <v/>
      </c>
      <c r="D362" s="66">
        <f>'Project Database'!H366</f>
        <v/>
      </c>
      <c r="E362" s="66">
        <f>'Project Database'!I366</f>
        <v/>
      </c>
      <c r="F362" s="66">
        <f>'Project Database'!J366</f>
        <v/>
      </c>
      <c r="G362" s="66">
        <f>'Project Database'!K366</f>
        <v/>
      </c>
      <c r="H362" s="66">
        <f>'Project Database'!L366</f>
        <v/>
      </c>
      <c r="I362" s="66">
        <f>'Project Database'!M366</f>
        <v/>
      </c>
      <c r="J362" s="66">
        <f>'Project Database'!N366</f>
        <v/>
      </c>
      <c r="K362" s="66">
        <f>'Project Database'!O366</f>
        <v/>
      </c>
      <c r="L362" s="66">
        <f>'Project Database'!P366</f>
        <v/>
      </c>
      <c r="M362" s="66">
        <f>'Project Database'!Q366</f>
        <v/>
      </c>
      <c r="N362" s="66">
        <f>'Project Database'!R366</f>
        <v/>
      </c>
      <c r="O362" s="66">
        <f>'Project Database'!S366</f>
        <v/>
      </c>
      <c r="P362" s="66">
        <f>'Project Database'!T366</f>
        <v/>
      </c>
      <c r="Q362" s="66">
        <f>'Project Database'!U366</f>
        <v/>
      </c>
      <c r="R362" s="66">
        <f>'Project Database'!V366</f>
        <v/>
      </c>
      <c r="S362" s="66">
        <f>'Project Database'!W366</f>
        <v/>
      </c>
      <c r="T362" s="66">
        <f>'Project Database'!X366</f>
        <v/>
      </c>
      <c r="U362" s="67">
        <f>'Project Database'!Y366</f>
        <v/>
      </c>
      <c r="V362" s="66">
        <f>IF('Smart Search'!B13=1,IFERROR(1/'Smart Search'!H13,0),0)</f>
        <v/>
      </c>
      <c r="W362" s="66">
        <f>IF('Smart Search'!B13=1,IFERROR(1/'Smart Search'!H13,0),0)</f>
        <v/>
      </c>
      <c r="X362" s="66">
        <f>IF('Smart Search'!C13=1,IFERROR(1/'Smart Search'!H13,0),0)</f>
        <v/>
      </c>
      <c r="Y362" s="66">
        <f>IF('Smart Search'!C13=1,IFERROR(1/'Smart Search'!H13,0),0)</f>
        <v/>
      </c>
      <c r="Z362" s="66">
        <f>IF('Smart Search'!D13=1,IFERROR(1/'Smart Search'!H13,0),0)</f>
        <v/>
      </c>
      <c r="AA362" s="66">
        <f>IF('Smart Search'!D13=1,IFERROR(1/'Smart Search'!H13,0),0)</f>
        <v/>
      </c>
      <c r="AB362" s="66">
        <f>IF('Smart Search'!E13=1,IFERROR(1/'Smart Search'!H13,0),0)</f>
        <v/>
      </c>
      <c r="AC362" s="66">
        <f>IF('Smart Search'!E13=1,IFERROR(1/'Smart Search'!H13,0),0)</f>
        <v/>
      </c>
      <c r="AD362" s="66">
        <f>IF('Smart Search'!F13=1,IFERROR(1/'Smart Search'!H13,0),0)</f>
        <v/>
      </c>
      <c r="AE362" s="66">
        <f>IF('Smart Search'!F13=1,IFERROR(1/'Smart Search'!H13,0),0)</f>
        <v/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66">
        <f>AF362*V362</f>
        <v/>
      </c>
      <c r="AQ362" s="66">
        <f>AG362*W362</f>
        <v/>
      </c>
      <c r="AR362" s="66">
        <f>AH362*X362</f>
        <v/>
      </c>
      <c r="AS362" s="66">
        <f>AI362*Y362</f>
        <v/>
      </c>
      <c r="AT362" s="66">
        <f>AJ362*Z362</f>
        <v/>
      </c>
      <c r="AU362" s="66">
        <f>AK362*AA362</f>
        <v/>
      </c>
      <c r="AV362" s="66">
        <f>AL362*AB362</f>
        <v/>
      </c>
      <c r="AW362" s="66">
        <f>AM362*AC362</f>
        <v/>
      </c>
      <c r="AX362" s="66">
        <f>AN362*AD362</f>
        <v/>
      </c>
      <c r="AY362" s="66">
        <f>AO362*AE362</f>
        <v/>
      </c>
      <c r="AZ362" s="66">
        <f>'Project Database'!Z366</f>
        <v/>
      </c>
      <c r="BA362" s="66">
        <f>IF(OR(A362="",'Smart Search'!H13=0),"",MAX(0,BE362*BF362*MAX(0,1-BG362)))</f>
        <v/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66">
        <f>IF('Smart Search'!G13=1,IFERROR(1/'Smart Search'!H13,0),0)</f>
        <v/>
      </c>
      <c r="BD362" s="66">
        <f>BB362*BC362</f>
        <v/>
      </c>
      <c r="BE362" s="66">
        <f>AP362+AQ362+AR362+AS362+AT362+AU362+AV362+AW362+AX362+AY362+BD362</f>
        <v/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5">
        <f>IF(AND('Project Database'!A366&lt;&gt;"",OR('Smart Search'!$L$5="",'Smart Search'!$L$5="All",TRIM('Project Database'!D366)=TRIM('Smart Search'!$L$5)),OR(TRIM('Smart Search'!$L$6)="",TRIM('Smart Search'!$L$6)="All",ISNUMBER(SEARCH(SUBSTITUTE(SUBSTITUTE(SUBSTITUTE(TRIM('Smart Search'!$L$6),"~","~~"),"*","~*"),"?","~?"),'Project Database'!C366))),OR('Smart Search'!$L$7="",AND('Project Database'!E366&lt;&gt;"",'Project Database'!E366='Smart Search'!$L$7)),OR('Smart Search'!$L$8="",'Smart Search'!$L$8="All",TRIM('Project Database'!F366)=TRIM('Smart Search'!$L$8))),IF(BA362="","",BA362+ROW()*0.0000000001),"")</f>
        <v/>
      </c>
      <c r="BI362" s="5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>
        <f>IF('Project Database'!A366="","",N('Project Database'!AC366))</f>
        <v/>
      </c>
      <c r="BK362" s="5">
        <f>IF('Project Database'!A366="","",N('Project Database'!AD366))</f>
        <v/>
      </c>
      <c r="BL362" s="5">
        <f>IF('Project Database'!A366="","",N('Project Database'!AE366))</f>
        <v/>
      </c>
      <c r="BM362" s="5">
        <f>IF('Project Database'!A366="","",N('Project Database'!AF366))</f>
        <v/>
      </c>
      <c r="BN362" s="5">
        <f>IF('Project Database'!A366="","",N('Project Database'!AG366))</f>
        <v/>
      </c>
      <c r="BO362" s="5">
        <f>IF('Project Database'!A366="","",N('Project Database'!AH366))</f>
        <v/>
      </c>
      <c r="BP362" s="5">
        <f>IF('Project Database'!A366="","",N('Project Database'!AI366))</f>
        <v/>
      </c>
      <c r="BQ362" s="5">
        <f>IF('Project Database'!A366="","",N('Project Database'!AJ366))</f>
        <v/>
      </c>
      <c r="BR362" s="5">
        <f>IF('Project Database'!A366="","",N('Project Database'!AK366))</f>
        <v/>
      </c>
      <c r="BS362" s="5">
        <f>IF('Project Database'!A366="","",N('Project Database'!AL366))</f>
        <v/>
      </c>
      <c r="BT362" s="5">
        <f>IF('Project Database'!A366="","",N('Project Database'!AM366))</f>
        <v/>
      </c>
      <c r="BU362" s="5">
        <f>IF('Project Database'!A366="","",N('Project Database'!AN366))</f>
        <v/>
      </c>
      <c r="BV362" s="5">
        <f>IF('Project Database'!A366="","",N('Project Database'!AO366))</f>
        <v/>
      </c>
      <c r="BW362" s="5">
        <f>IF('Project Database'!A366="","",N('Project Database'!AP366))</f>
        <v/>
      </c>
      <c r="BX362" s="5">
        <f>IF(A362="","",SUM(BJ362:BW362))</f>
        <v/>
      </c>
      <c r="BY362" s="5">
        <f>IF(A362="","",IFERROR(IF(ISNUMBER(U362),U362,VALUE(SUBSTITUTE(SUBSTITUTE(SUBSTITUTE(UPPER(TRIM(U362)),"M",""),",","")," ",""))),0))</f>
        <v/>
      </c>
    </row>
    <row r="363" ht="15" customHeight="1" s="74">
      <c r="A363" s="66">
        <f>'Project Database'!A367</f>
        <v/>
      </c>
      <c r="B363" s="66">
        <f>'Project Database'!B367</f>
        <v/>
      </c>
      <c r="C363" s="66">
        <f>'Project Database'!G367</f>
        <v/>
      </c>
      <c r="D363" s="66">
        <f>'Project Database'!H367</f>
        <v/>
      </c>
      <c r="E363" s="66">
        <f>'Project Database'!I367</f>
        <v/>
      </c>
      <c r="F363" s="66">
        <f>'Project Database'!J367</f>
        <v/>
      </c>
      <c r="G363" s="66">
        <f>'Project Database'!K367</f>
        <v/>
      </c>
      <c r="H363" s="66">
        <f>'Project Database'!L367</f>
        <v/>
      </c>
      <c r="I363" s="66">
        <f>'Project Database'!M367</f>
        <v/>
      </c>
      <c r="J363" s="66">
        <f>'Project Database'!N367</f>
        <v/>
      </c>
      <c r="K363" s="66">
        <f>'Project Database'!O367</f>
        <v/>
      </c>
      <c r="L363" s="66">
        <f>'Project Database'!P367</f>
        <v/>
      </c>
      <c r="M363" s="66">
        <f>'Project Database'!Q367</f>
        <v/>
      </c>
      <c r="N363" s="66">
        <f>'Project Database'!R367</f>
        <v/>
      </c>
      <c r="O363" s="66">
        <f>'Project Database'!S367</f>
        <v/>
      </c>
      <c r="P363" s="66">
        <f>'Project Database'!T367</f>
        <v/>
      </c>
      <c r="Q363" s="66">
        <f>'Project Database'!U367</f>
        <v/>
      </c>
      <c r="R363" s="66">
        <f>'Project Database'!V367</f>
        <v/>
      </c>
      <c r="S363" s="66">
        <f>'Project Database'!W367</f>
        <v/>
      </c>
      <c r="T363" s="66">
        <f>'Project Database'!X367</f>
        <v/>
      </c>
      <c r="U363" s="67">
        <f>'Project Database'!Y367</f>
        <v/>
      </c>
      <c r="V363" s="66">
        <f>IF('Smart Search'!B13=1,IFERROR(1/'Smart Search'!H13,0),0)</f>
        <v/>
      </c>
      <c r="W363" s="66">
        <f>IF('Smart Search'!B13=1,IFERROR(1/'Smart Search'!H13,0),0)</f>
        <v/>
      </c>
      <c r="X363" s="66">
        <f>IF('Smart Search'!C13=1,IFERROR(1/'Smart Search'!H13,0),0)</f>
        <v/>
      </c>
      <c r="Y363" s="66">
        <f>IF('Smart Search'!C13=1,IFERROR(1/'Smart Search'!H13,0),0)</f>
        <v/>
      </c>
      <c r="Z363" s="66">
        <f>IF('Smart Search'!D13=1,IFERROR(1/'Smart Search'!H13,0),0)</f>
        <v/>
      </c>
      <c r="AA363" s="66">
        <f>IF('Smart Search'!D13=1,IFERROR(1/'Smart Search'!H13,0),0)</f>
        <v/>
      </c>
      <c r="AB363" s="66">
        <f>IF('Smart Search'!E13=1,IFERROR(1/'Smart Search'!H13,0),0)</f>
        <v/>
      </c>
      <c r="AC363" s="66">
        <f>IF('Smart Search'!E13=1,IFERROR(1/'Smart Search'!H13,0),0)</f>
        <v/>
      </c>
      <c r="AD363" s="66">
        <f>IF('Smart Search'!F13=1,IFERROR(1/'Smart Search'!H13,0),0)</f>
        <v/>
      </c>
      <c r="AE363" s="66">
        <f>IF('Smart Search'!F13=1,IFERROR(1/'Smart Search'!H13,0),0)</f>
        <v/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66">
        <f>AF363*V363</f>
        <v/>
      </c>
      <c r="AQ363" s="66">
        <f>AG363*W363</f>
        <v/>
      </c>
      <c r="AR363" s="66">
        <f>AH363*X363</f>
        <v/>
      </c>
      <c r="AS363" s="66">
        <f>AI363*Y363</f>
        <v/>
      </c>
      <c r="AT363" s="66">
        <f>AJ363*Z363</f>
        <v/>
      </c>
      <c r="AU363" s="66">
        <f>AK363*AA363</f>
        <v/>
      </c>
      <c r="AV363" s="66">
        <f>AL363*AB363</f>
        <v/>
      </c>
      <c r="AW363" s="66">
        <f>AM363*AC363</f>
        <v/>
      </c>
      <c r="AX363" s="66">
        <f>AN363*AD363</f>
        <v/>
      </c>
      <c r="AY363" s="66">
        <f>AO363*AE363</f>
        <v/>
      </c>
      <c r="AZ363" s="66">
        <f>'Project Database'!Z367</f>
        <v/>
      </c>
      <c r="BA363" s="66">
        <f>IF(OR(A363="",'Smart Search'!H13=0),"",MAX(0,BE363*BF363*MAX(0,1-BG363)))</f>
        <v/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66">
        <f>IF('Smart Search'!G13=1,IFERROR(1/'Smart Search'!H13,0),0)</f>
        <v/>
      </c>
      <c r="BD363" s="66">
        <f>BB363*BC363</f>
        <v/>
      </c>
      <c r="BE363" s="66">
        <f>AP363+AQ363+AR363+AS363+AT363+AU363+AV363+AW363+AX363+AY363+BD363</f>
        <v/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5">
        <f>IF(AND('Project Database'!A367&lt;&gt;"",OR('Smart Search'!$L$5="",'Smart Search'!$L$5="All",TRIM('Project Database'!D367)=TRIM('Smart Search'!$L$5)),OR(TRIM('Smart Search'!$L$6)="",TRIM('Smart Search'!$L$6)="All",ISNUMBER(SEARCH(SUBSTITUTE(SUBSTITUTE(SUBSTITUTE(TRIM('Smart Search'!$L$6),"~","~~"),"*","~*"),"?","~?"),'Project Database'!C367))),OR('Smart Search'!$L$7="",AND('Project Database'!E367&lt;&gt;"",'Project Database'!E367='Smart Search'!$L$7)),OR('Smart Search'!$L$8="",'Smart Search'!$L$8="All",TRIM('Project Database'!F367)=TRIM('Smart Search'!$L$8))),IF(BA363="","",BA363+ROW()*0.0000000001),"")</f>
        <v/>
      </c>
      <c r="BI363" s="5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>
        <f>IF('Project Database'!A367="","",N('Project Database'!AC367))</f>
        <v/>
      </c>
      <c r="BK363" s="5">
        <f>IF('Project Database'!A367="","",N('Project Database'!AD367))</f>
        <v/>
      </c>
      <c r="BL363" s="5">
        <f>IF('Project Database'!A367="","",N('Project Database'!AE367))</f>
        <v/>
      </c>
      <c r="BM363" s="5">
        <f>IF('Project Database'!A367="","",N('Project Database'!AF367))</f>
        <v/>
      </c>
      <c r="BN363" s="5">
        <f>IF('Project Database'!A367="","",N('Project Database'!AG367))</f>
        <v/>
      </c>
      <c r="BO363" s="5">
        <f>IF('Project Database'!A367="","",N('Project Database'!AH367))</f>
        <v/>
      </c>
      <c r="BP363" s="5">
        <f>IF('Project Database'!A367="","",N('Project Database'!AI367))</f>
        <v/>
      </c>
      <c r="BQ363" s="5">
        <f>IF('Project Database'!A367="","",N('Project Database'!AJ367))</f>
        <v/>
      </c>
      <c r="BR363" s="5">
        <f>IF('Project Database'!A367="","",N('Project Database'!AK367))</f>
        <v/>
      </c>
      <c r="BS363" s="5">
        <f>IF('Project Database'!A367="","",N('Project Database'!AL367))</f>
        <v/>
      </c>
      <c r="BT363" s="5">
        <f>IF('Project Database'!A367="","",N('Project Database'!AM367))</f>
        <v/>
      </c>
      <c r="BU363" s="5">
        <f>IF('Project Database'!A367="","",N('Project Database'!AN367))</f>
        <v/>
      </c>
      <c r="BV363" s="5">
        <f>IF('Project Database'!A367="","",N('Project Database'!AO367))</f>
        <v/>
      </c>
      <c r="BW363" s="5">
        <f>IF('Project Database'!A367="","",N('Project Database'!AP367))</f>
        <v/>
      </c>
      <c r="BX363" s="5">
        <f>IF(A363="","",SUM(BJ363:BW363))</f>
        <v/>
      </c>
      <c r="BY363" s="5">
        <f>IF(A363="","",IFERROR(IF(ISNUMBER(U363),U363,VALUE(SUBSTITUTE(SUBSTITUTE(SUBSTITUTE(UPPER(TRIM(U363)),"M",""),",","")," ",""))),0))</f>
        <v/>
      </c>
    </row>
    <row r="364" ht="15" customHeight="1" s="74">
      <c r="A364" s="66">
        <f>'Project Database'!A368</f>
        <v/>
      </c>
      <c r="B364" s="66">
        <f>'Project Database'!B368</f>
        <v/>
      </c>
      <c r="C364" s="66">
        <f>'Project Database'!G368</f>
        <v/>
      </c>
      <c r="D364" s="66">
        <f>'Project Database'!H368</f>
        <v/>
      </c>
      <c r="E364" s="66">
        <f>'Project Database'!I368</f>
        <v/>
      </c>
      <c r="F364" s="66">
        <f>'Project Database'!J368</f>
        <v/>
      </c>
      <c r="G364" s="66">
        <f>'Project Database'!K368</f>
        <v/>
      </c>
      <c r="H364" s="66">
        <f>'Project Database'!L368</f>
        <v/>
      </c>
      <c r="I364" s="66">
        <f>'Project Database'!M368</f>
        <v/>
      </c>
      <c r="J364" s="66">
        <f>'Project Database'!N368</f>
        <v/>
      </c>
      <c r="K364" s="66">
        <f>'Project Database'!O368</f>
        <v/>
      </c>
      <c r="L364" s="66">
        <f>'Project Database'!P368</f>
        <v/>
      </c>
      <c r="M364" s="66">
        <f>'Project Database'!Q368</f>
        <v/>
      </c>
      <c r="N364" s="66">
        <f>'Project Database'!R368</f>
        <v/>
      </c>
      <c r="O364" s="66">
        <f>'Project Database'!S368</f>
        <v/>
      </c>
      <c r="P364" s="66">
        <f>'Project Database'!T368</f>
        <v/>
      </c>
      <c r="Q364" s="66">
        <f>'Project Database'!U368</f>
        <v/>
      </c>
      <c r="R364" s="66">
        <f>'Project Database'!V368</f>
        <v/>
      </c>
      <c r="S364" s="66">
        <f>'Project Database'!W368</f>
        <v/>
      </c>
      <c r="T364" s="66">
        <f>'Project Database'!X368</f>
        <v/>
      </c>
      <c r="U364" s="67">
        <f>'Project Database'!Y368</f>
        <v/>
      </c>
      <c r="V364" s="66">
        <f>IF('Smart Search'!B13=1,IFERROR(1/'Smart Search'!H13,0),0)</f>
        <v/>
      </c>
      <c r="W364" s="66">
        <f>IF('Smart Search'!B13=1,IFERROR(1/'Smart Search'!H13,0),0)</f>
        <v/>
      </c>
      <c r="X364" s="66">
        <f>IF('Smart Search'!C13=1,IFERROR(1/'Smart Search'!H13,0),0)</f>
        <v/>
      </c>
      <c r="Y364" s="66">
        <f>IF('Smart Search'!C13=1,IFERROR(1/'Smart Search'!H13,0),0)</f>
        <v/>
      </c>
      <c r="Z364" s="66">
        <f>IF('Smart Search'!D13=1,IFERROR(1/'Smart Search'!H13,0),0)</f>
        <v/>
      </c>
      <c r="AA364" s="66">
        <f>IF('Smart Search'!D13=1,IFERROR(1/'Smart Search'!H13,0),0)</f>
        <v/>
      </c>
      <c r="AB364" s="66">
        <f>IF('Smart Search'!E13=1,IFERROR(1/'Smart Search'!H13,0),0)</f>
        <v/>
      </c>
      <c r="AC364" s="66">
        <f>IF('Smart Search'!E13=1,IFERROR(1/'Smart Search'!H13,0),0)</f>
        <v/>
      </c>
      <c r="AD364" s="66">
        <f>IF('Smart Search'!F13=1,IFERROR(1/'Smart Search'!H13,0),0)</f>
        <v/>
      </c>
      <c r="AE364" s="66">
        <f>IF('Smart Search'!F13=1,IFERROR(1/'Smart Search'!H13,0),0)</f>
        <v/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66">
        <f>AF364*V364</f>
        <v/>
      </c>
      <c r="AQ364" s="66">
        <f>AG364*W364</f>
        <v/>
      </c>
      <c r="AR364" s="66">
        <f>AH364*X364</f>
        <v/>
      </c>
      <c r="AS364" s="66">
        <f>AI364*Y364</f>
        <v/>
      </c>
      <c r="AT364" s="66">
        <f>AJ364*Z364</f>
        <v/>
      </c>
      <c r="AU364" s="66">
        <f>AK364*AA364</f>
        <v/>
      </c>
      <c r="AV364" s="66">
        <f>AL364*AB364</f>
        <v/>
      </c>
      <c r="AW364" s="66">
        <f>AM364*AC364</f>
        <v/>
      </c>
      <c r="AX364" s="66">
        <f>AN364*AD364</f>
        <v/>
      </c>
      <c r="AY364" s="66">
        <f>AO364*AE364</f>
        <v/>
      </c>
      <c r="AZ364" s="66">
        <f>'Project Database'!Z368</f>
        <v/>
      </c>
      <c r="BA364" s="66">
        <f>IF(OR(A364="",'Smart Search'!H13=0),"",MAX(0,BE364*BF364*MAX(0,1-BG364)))</f>
        <v/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66">
        <f>IF('Smart Search'!G13=1,IFERROR(1/'Smart Search'!H13,0),0)</f>
        <v/>
      </c>
      <c r="BD364" s="66">
        <f>BB364*BC364</f>
        <v/>
      </c>
      <c r="BE364" s="66">
        <f>AP364+AQ364+AR364+AS364+AT364+AU364+AV364+AW364+AX364+AY364+BD364</f>
        <v/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5">
        <f>IF(AND('Project Database'!A368&lt;&gt;"",OR('Smart Search'!$L$5="",'Smart Search'!$L$5="All",TRIM('Project Database'!D368)=TRIM('Smart Search'!$L$5)),OR(TRIM('Smart Search'!$L$6)="",TRIM('Smart Search'!$L$6)="All",ISNUMBER(SEARCH(SUBSTITUTE(SUBSTITUTE(SUBSTITUTE(TRIM('Smart Search'!$L$6),"~","~~"),"*","~*"),"?","~?"),'Project Database'!C368))),OR('Smart Search'!$L$7="",AND('Project Database'!E368&lt;&gt;"",'Project Database'!E368='Smart Search'!$L$7)),OR('Smart Search'!$L$8="",'Smart Search'!$L$8="All",TRIM('Project Database'!F368)=TRIM('Smart Search'!$L$8))),IF(BA364="","",BA364+ROW()*0.0000000001),"")</f>
        <v/>
      </c>
      <c r="BI364" s="5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>
        <f>IF('Project Database'!A368="","",N('Project Database'!AC368))</f>
        <v/>
      </c>
      <c r="BK364" s="5">
        <f>IF('Project Database'!A368="","",N('Project Database'!AD368))</f>
        <v/>
      </c>
      <c r="BL364" s="5">
        <f>IF('Project Database'!A368="","",N('Project Database'!AE368))</f>
        <v/>
      </c>
      <c r="BM364" s="5">
        <f>IF('Project Database'!A368="","",N('Project Database'!AF368))</f>
        <v/>
      </c>
      <c r="BN364" s="5">
        <f>IF('Project Database'!A368="","",N('Project Database'!AG368))</f>
        <v/>
      </c>
      <c r="BO364" s="5">
        <f>IF('Project Database'!A368="","",N('Project Database'!AH368))</f>
        <v/>
      </c>
      <c r="BP364" s="5">
        <f>IF('Project Database'!A368="","",N('Project Database'!AI368))</f>
        <v/>
      </c>
      <c r="BQ364" s="5">
        <f>IF('Project Database'!A368="","",N('Project Database'!AJ368))</f>
        <v/>
      </c>
      <c r="BR364" s="5">
        <f>IF('Project Database'!A368="","",N('Project Database'!AK368))</f>
        <v/>
      </c>
      <c r="BS364" s="5">
        <f>IF('Project Database'!A368="","",N('Project Database'!AL368))</f>
        <v/>
      </c>
      <c r="BT364" s="5">
        <f>IF('Project Database'!A368="","",N('Project Database'!AM368))</f>
        <v/>
      </c>
      <c r="BU364" s="5">
        <f>IF('Project Database'!A368="","",N('Project Database'!AN368))</f>
        <v/>
      </c>
      <c r="BV364" s="5">
        <f>IF('Project Database'!A368="","",N('Project Database'!AO368))</f>
        <v/>
      </c>
      <c r="BW364" s="5">
        <f>IF('Project Database'!A368="","",N('Project Database'!AP368))</f>
        <v/>
      </c>
      <c r="BX364" s="5">
        <f>IF(A364="","",SUM(BJ364:BW364))</f>
        <v/>
      </c>
      <c r="BY364" s="5">
        <f>IF(A364="","",IFERROR(IF(ISNUMBER(U364),U364,VALUE(SUBSTITUTE(SUBSTITUTE(SUBSTITUTE(UPPER(TRIM(U364)),"M",""),",","")," ",""))),0))</f>
        <v/>
      </c>
    </row>
    <row r="365" ht="15" customHeight="1" s="74">
      <c r="A365" s="66">
        <f>'Project Database'!A369</f>
        <v/>
      </c>
      <c r="B365" s="66">
        <f>'Project Database'!B369</f>
        <v/>
      </c>
      <c r="C365" s="66">
        <f>'Project Database'!G369</f>
        <v/>
      </c>
      <c r="D365" s="66">
        <f>'Project Database'!H369</f>
        <v/>
      </c>
      <c r="E365" s="66">
        <f>'Project Database'!I369</f>
        <v/>
      </c>
      <c r="F365" s="66">
        <f>'Project Database'!J369</f>
        <v/>
      </c>
      <c r="G365" s="66">
        <f>'Project Database'!K369</f>
        <v/>
      </c>
      <c r="H365" s="66">
        <f>'Project Database'!L369</f>
        <v/>
      </c>
      <c r="I365" s="66">
        <f>'Project Database'!M369</f>
        <v/>
      </c>
      <c r="J365" s="66">
        <f>'Project Database'!N369</f>
        <v/>
      </c>
      <c r="K365" s="66">
        <f>'Project Database'!O369</f>
        <v/>
      </c>
      <c r="L365" s="66">
        <f>'Project Database'!P369</f>
        <v/>
      </c>
      <c r="M365" s="66">
        <f>'Project Database'!Q369</f>
        <v/>
      </c>
      <c r="N365" s="66">
        <f>'Project Database'!R369</f>
        <v/>
      </c>
      <c r="O365" s="66">
        <f>'Project Database'!S369</f>
        <v/>
      </c>
      <c r="P365" s="66">
        <f>'Project Database'!T369</f>
        <v/>
      </c>
      <c r="Q365" s="66">
        <f>'Project Database'!U369</f>
        <v/>
      </c>
      <c r="R365" s="66">
        <f>'Project Database'!V369</f>
        <v/>
      </c>
      <c r="S365" s="66">
        <f>'Project Database'!W369</f>
        <v/>
      </c>
      <c r="T365" s="66">
        <f>'Project Database'!X369</f>
        <v/>
      </c>
      <c r="U365" s="67">
        <f>'Project Database'!Y369</f>
        <v/>
      </c>
      <c r="V365" s="66">
        <f>IF('Smart Search'!B13=1,IFERROR(1/'Smart Search'!H13,0),0)</f>
        <v/>
      </c>
      <c r="W365" s="66">
        <f>IF('Smart Search'!B13=1,IFERROR(1/'Smart Search'!H13,0),0)</f>
        <v/>
      </c>
      <c r="X365" s="66">
        <f>IF('Smart Search'!C13=1,IFERROR(1/'Smart Search'!H13,0),0)</f>
        <v/>
      </c>
      <c r="Y365" s="66">
        <f>IF('Smart Search'!C13=1,IFERROR(1/'Smart Search'!H13,0),0)</f>
        <v/>
      </c>
      <c r="Z365" s="66">
        <f>IF('Smart Search'!D13=1,IFERROR(1/'Smart Search'!H13,0),0)</f>
        <v/>
      </c>
      <c r="AA365" s="66">
        <f>IF('Smart Search'!D13=1,IFERROR(1/'Smart Search'!H13,0),0)</f>
        <v/>
      </c>
      <c r="AB365" s="66">
        <f>IF('Smart Search'!E13=1,IFERROR(1/'Smart Search'!H13,0),0)</f>
        <v/>
      </c>
      <c r="AC365" s="66">
        <f>IF('Smart Search'!E13=1,IFERROR(1/'Smart Search'!H13,0),0)</f>
        <v/>
      </c>
      <c r="AD365" s="66">
        <f>IF('Smart Search'!F13=1,IFERROR(1/'Smart Search'!H13,0),0)</f>
        <v/>
      </c>
      <c r="AE365" s="66">
        <f>IF('Smart Search'!F13=1,IFERROR(1/'Smart Search'!H13,0),0)</f>
        <v/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66">
        <f>AF365*V365</f>
        <v/>
      </c>
      <c r="AQ365" s="66">
        <f>AG365*W365</f>
        <v/>
      </c>
      <c r="AR365" s="66">
        <f>AH365*X365</f>
        <v/>
      </c>
      <c r="AS365" s="66">
        <f>AI365*Y365</f>
        <v/>
      </c>
      <c r="AT365" s="66">
        <f>AJ365*Z365</f>
        <v/>
      </c>
      <c r="AU365" s="66">
        <f>AK365*AA365</f>
        <v/>
      </c>
      <c r="AV365" s="66">
        <f>AL365*AB365</f>
        <v/>
      </c>
      <c r="AW365" s="66">
        <f>AM365*AC365</f>
        <v/>
      </c>
      <c r="AX365" s="66">
        <f>AN365*AD365</f>
        <v/>
      </c>
      <c r="AY365" s="66">
        <f>AO365*AE365</f>
        <v/>
      </c>
      <c r="AZ365" s="66">
        <f>'Project Database'!Z369</f>
        <v/>
      </c>
      <c r="BA365" s="66">
        <f>IF(OR(A365="",'Smart Search'!H13=0),"",MAX(0,BE365*BF365*MAX(0,1-BG365)))</f>
        <v/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66">
        <f>IF('Smart Search'!G13=1,IFERROR(1/'Smart Search'!H13,0),0)</f>
        <v/>
      </c>
      <c r="BD365" s="66">
        <f>BB365*BC365</f>
        <v/>
      </c>
      <c r="BE365" s="66">
        <f>AP365+AQ365+AR365+AS365+AT365+AU365+AV365+AW365+AX365+AY365+BD365</f>
        <v/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5">
        <f>IF(AND('Project Database'!A369&lt;&gt;"",OR('Smart Search'!$L$5="",'Smart Search'!$L$5="All",TRIM('Project Database'!D369)=TRIM('Smart Search'!$L$5)),OR(TRIM('Smart Search'!$L$6)="",TRIM('Smart Search'!$L$6)="All",ISNUMBER(SEARCH(SUBSTITUTE(SUBSTITUTE(SUBSTITUTE(TRIM('Smart Search'!$L$6),"~","~~"),"*","~*"),"?","~?"),'Project Database'!C369))),OR('Smart Search'!$L$7="",AND('Project Database'!E369&lt;&gt;"",'Project Database'!E369='Smart Search'!$L$7)),OR('Smart Search'!$L$8="",'Smart Search'!$L$8="All",TRIM('Project Database'!F369)=TRIM('Smart Search'!$L$8))),IF(BA365="","",BA365+ROW()*0.0000000001),"")</f>
        <v/>
      </c>
      <c r="BI365" s="5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>
        <f>IF('Project Database'!A369="","",N('Project Database'!AC369))</f>
        <v/>
      </c>
      <c r="BK365" s="5">
        <f>IF('Project Database'!A369="","",N('Project Database'!AD369))</f>
        <v/>
      </c>
      <c r="BL365" s="5">
        <f>IF('Project Database'!A369="","",N('Project Database'!AE369))</f>
        <v/>
      </c>
      <c r="BM365" s="5">
        <f>IF('Project Database'!A369="","",N('Project Database'!AF369))</f>
        <v/>
      </c>
      <c r="BN365" s="5">
        <f>IF('Project Database'!A369="","",N('Project Database'!AG369))</f>
        <v/>
      </c>
      <c r="BO365" s="5">
        <f>IF('Project Database'!A369="","",N('Project Database'!AH369))</f>
        <v/>
      </c>
      <c r="BP365" s="5">
        <f>IF('Project Database'!A369="","",N('Project Database'!AI369))</f>
        <v/>
      </c>
      <c r="BQ365" s="5">
        <f>IF('Project Database'!A369="","",N('Project Database'!AJ369))</f>
        <v/>
      </c>
      <c r="BR365" s="5">
        <f>IF('Project Database'!A369="","",N('Project Database'!AK369))</f>
        <v/>
      </c>
      <c r="BS365" s="5">
        <f>IF('Project Database'!A369="","",N('Project Database'!AL369))</f>
        <v/>
      </c>
      <c r="BT365" s="5">
        <f>IF('Project Database'!A369="","",N('Project Database'!AM369))</f>
        <v/>
      </c>
      <c r="BU365" s="5">
        <f>IF('Project Database'!A369="","",N('Project Database'!AN369))</f>
        <v/>
      </c>
      <c r="BV365" s="5">
        <f>IF('Project Database'!A369="","",N('Project Database'!AO369))</f>
        <v/>
      </c>
      <c r="BW365" s="5">
        <f>IF('Project Database'!A369="","",N('Project Database'!AP369))</f>
        <v/>
      </c>
      <c r="BX365" s="5">
        <f>IF(A365="","",SUM(BJ365:BW365))</f>
        <v/>
      </c>
      <c r="BY365" s="5">
        <f>IF(A365="","",IFERROR(IF(ISNUMBER(U365),U365,VALUE(SUBSTITUTE(SUBSTITUTE(SUBSTITUTE(UPPER(TRIM(U365)),"M",""),",","")," ",""))),0))</f>
        <v/>
      </c>
    </row>
    <row r="366" ht="15" customHeight="1" s="74">
      <c r="A366" s="66">
        <f>'Project Database'!A370</f>
        <v/>
      </c>
      <c r="B366" s="66">
        <f>'Project Database'!B370</f>
        <v/>
      </c>
      <c r="C366" s="66">
        <f>'Project Database'!G370</f>
        <v/>
      </c>
      <c r="D366" s="66">
        <f>'Project Database'!H370</f>
        <v/>
      </c>
      <c r="E366" s="66">
        <f>'Project Database'!I370</f>
        <v/>
      </c>
      <c r="F366" s="66">
        <f>'Project Database'!J370</f>
        <v/>
      </c>
      <c r="G366" s="66">
        <f>'Project Database'!K370</f>
        <v/>
      </c>
      <c r="H366" s="66">
        <f>'Project Database'!L370</f>
        <v/>
      </c>
      <c r="I366" s="66">
        <f>'Project Database'!M370</f>
        <v/>
      </c>
      <c r="J366" s="66">
        <f>'Project Database'!N370</f>
        <v/>
      </c>
      <c r="K366" s="66">
        <f>'Project Database'!O370</f>
        <v/>
      </c>
      <c r="L366" s="66">
        <f>'Project Database'!P370</f>
        <v/>
      </c>
      <c r="M366" s="66">
        <f>'Project Database'!Q370</f>
        <v/>
      </c>
      <c r="N366" s="66">
        <f>'Project Database'!R370</f>
        <v/>
      </c>
      <c r="O366" s="66">
        <f>'Project Database'!S370</f>
        <v/>
      </c>
      <c r="P366" s="66">
        <f>'Project Database'!T370</f>
        <v/>
      </c>
      <c r="Q366" s="66">
        <f>'Project Database'!U370</f>
        <v/>
      </c>
      <c r="R366" s="66">
        <f>'Project Database'!V370</f>
        <v/>
      </c>
      <c r="S366" s="66">
        <f>'Project Database'!W370</f>
        <v/>
      </c>
      <c r="T366" s="66">
        <f>'Project Database'!X370</f>
        <v/>
      </c>
      <c r="U366" s="67">
        <f>'Project Database'!Y370</f>
        <v/>
      </c>
      <c r="V366" s="66">
        <f>IF('Smart Search'!B13=1,IFERROR(1/'Smart Search'!H13,0),0)</f>
        <v/>
      </c>
      <c r="W366" s="66">
        <f>IF('Smart Search'!B13=1,IFERROR(1/'Smart Search'!H13,0),0)</f>
        <v/>
      </c>
      <c r="X366" s="66">
        <f>IF('Smart Search'!C13=1,IFERROR(1/'Smart Search'!H13,0),0)</f>
        <v/>
      </c>
      <c r="Y366" s="66">
        <f>IF('Smart Search'!C13=1,IFERROR(1/'Smart Search'!H13,0),0)</f>
        <v/>
      </c>
      <c r="Z366" s="66">
        <f>IF('Smart Search'!D13=1,IFERROR(1/'Smart Search'!H13,0),0)</f>
        <v/>
      </c>
      <c r="AA366" s="66">
        <f>IF('Smart Search'!D13=1,IFERROR(1/'Smart Search'!H13,0),0)</f>
        <v/>
      </c>
      <c r="AB366" s="66">
        <f>IF('Smart Search'!E13=1,IFERROR(1/'Smart Search'!H13,0),0)</f>
        <v/>
      </c>
      <c r="AC366" s="66">
        <f>IF('Smart Search'!E13=1,IFERROR(1/'Smart Search'!H13,0),0)</f>
        <v/>
      </c>
      <c r="AD366" s="66">
        <f>IF('Smart Search'!F13=1,IFERROR(1/'Smart Search'!H13,0),0)</f>
        <v/>
      </c>
      <c r="AE366" s="66">
        <f>IF('Smart Search'!F13=1,IFERROR(1/'Smart Search'!H13,0),0)</f>
        <v/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66">
        <f>AF366*V366</f>
        <v/>
      </c>
      <c r="AQ366" s="66">
        <f>AG366*W366</f>
        <v/>
      </c>
      <c r="AR366" s="66">
        <f>AH366*X366</f>
        <v/>
      </c>
      <c r="AS366" s="66">
        <f>AI366*Y366</f>
        <v/>
      </c>
      <c r="AT366" s="66">
        <f>AJ366*Z366</f>
        <v/>
      </c>
      <c r="AU366" s="66">
        <f>AK366*AA366</f>
        <v/>
      </c>
      <c r="AV366" s="66">
        <f>AL366*AB366</f>
        <v/>
      </c>
      <c r="AW366" s="66">
        <f>AM366*AC366</f>
        <v/>
      </c>
      <c r="AX366" s="66">
        <f>AN366*AD366</f>
        <v/>
      </c>
      <c r="AY366" s="66">
        <f>AO366*AE366</f>
        <v/>
      </c>
      <c r="AZ366" s="66">
        <f>'Project Database'!Z370</f>
        <v/>
      </c>
      <c r="BA366" s="66">
        <f>IF(OR(A366="",'Smart Search'!H13=0),"",MAX(0,BE366*BF366*MAX(0,1-BG366)))</f>
        <v/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66">
        <f>IF('Smart Search'!G13=1,IFERROR(1/'Smart Search'!H13,0),0)</f>
        <v/>
      </c>
      <c r="BD366" s="66">
        <f>BB366*BC366</f>
        <v/>
      </c>
      <c r="BE366" s="66">
        <f>AP366+AQ366+AR366+AS366+AT366+AU366+AV366+AW366+AX366+AY366+BD366</f>
        <v/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5">
        <f>IF(AND('Project Database'!A370&lt;&gt;"",OR('Smart Search'!$L$5="",'Smart Search'!$L$5="All",TRIM('Project Database'!D370)=TRIM('Smart Search'!$L$5)),OR(TRIM('Smart Search'!$L$6)="",TRIM('Smart Search'!$L$6)="All",ISNUMBER(SEARCH(SUBSTITUTE(SUBSTITUTE(SUBSTITUTE(TRIM('Smart Search'!$L$6),"~","~~"),"*","~*"),"?","~?"),'Project Database'!C370))),OR('Smart Search'!$L$7="",AND('Project Database'!E370&lt;&gt;"",'Project Database'!E370='Smart Search'!$L$7)),OR('Smart Search'!$L$8="",'Smart Search'!$L$8="All",TRIM('Project Database'!F370)=TRIM('Smart Search'!$L$8))),IF(BA366="","",BA366+ROW()*0.0000000001),"")</f>
        <v/>
      </c>
      <c r="BI366" s="5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>
        <f>IF('Project Database'!A370="","",N('Project Database'!AC370))</f>
        <v/>
      </c>
      <c r="BK366" s="5">
        <f>IF('Project Database'!A370="","",N('Project Database'!AD370))</f>
        <v/>
      </c>
      <c r="BL366" s="5">
        <f>IF('Project Database'!A370="","",N('Project Database'!AE370))</f>
        <v/>
      </c>
      <c r="BM366" s="5">
        <f>IF('Project Database'!A370="","",N('Project Database'!AF370))</f>
        <v/>
      </c>
      <c r="BN366" s="5">
        <f>IF('Project Database'!A370="","",N('Project Database'!AG370))</f>
        <v/>
      </c>
      <c r="BO366" s="5">
        <f>IF('Project Database'!A370="","",N('Project Database'!AH370))</f>
        <v/>
      </c>
      <c r="BP366" s="5">
        <f>IF('Project Database'!A370="","",N('Project Database'!AI370))</f>
        <v/>
      </c>
      <c r="BQ366" s="5">
        <f>IF('Project Database'!A370="","",N('Project Database'!AJ370))</f>
        <v/>
      </c>
      <c r="BR366" s="5">
        <f>IF('Project Database'!A370="","",N('Project Database'!AK370))</f>
        <v/>
      </c>
      <c r="BS366" s="5">
        <f>IF('Project Database'!A370="","",N('Project Database'!AL370))</f>
        <v/>
      </c>
      <c r="BT366" s="5">
        <f>IF('Project Database'!A370="","",N('Project Database'!AM370))</f>
        <v/>
      </c>
      <c r="BU366" s="5">
        <f>IF('Project Database'!A370="","",N('Project Database'!AN370))</f>
        <v/>
      </c>
      <c r="BV366" s="5">
        <f>IF('Project Database'!A370="","",N('Project Database'!AO370))</f>
        <v/>
      </c>
      <c r="BW366" s="5">
        <f>IF('Project Database'!A370="","",N('Project Database'!AP370))</f>
        <v/>
      </c>
      <c r="BX366" s="5">
        <f>IF(A366="","",SUM(BJ366:BW366))</f>
        <v/>
      </c>
      <c r="BY366" s="5">
        <f>IF(A366="","",IFERROR(IF(ISNUMBER(U366),U366,VALUE(SUBSTITUTE(SUBSTITUTE(SUBSTITUTE(UPPER(TRIM(U366)),"M",""),",","")," ",""))),0))</f>
        <v/>
      </c>
    </row>
    <row r="367" ht="15" customHeight="1" s="74">
      <c r="A367" s="66">
        <f>'Project Database'!A371</f>
        <v/>
      </c>
      <c r="B367" s="66">
        <f>'Project Database'!B371</f>
        <v/>
      </c>
      <c r="C367" s="66">
        <f>'Project Database'!G371</f>
        <v/>
      </c>
      <c r="D367" s="66">
        <f>'Project Database'!H371</f>
        <v/>
      </c>
      <c r="E367" s="66">
        <f>'Project Database'!I371</f>
        <v/>
      </c>
      <c r="F367" s="66">
        <f>'Project Database'!J371</f>
        <v/>
      </c>
      <c r="G367" s="66">
        <f>'Project Database'!K371</f>
        <v/>
      </c>
      <c r="H367" s="66">
        <f>'Project Database'!L371</f>
        <v/>
      </c>
      <c r="I367" s="66">
        <f>'Project Database'!M371</f>
        <v/>
      </c>
      <c r="J367" s="66">
        <f>'Project Database'!N371</f>
        <v/>
      </c>
      <c r="K367" s="66">
        <f>'Project Database'!O371</f>
        <v/>
      </c>
      <c r="L367" s="66">
        <f>'Project Database'!P371</f>
        <v/>
      </c>
      <c r="M367" s="66">
        <f>'Project Database'!Q371</f>
        <v/>
      </c>
      <c r="N367" s="66">
        <f>'Project Database'!R371</f>
        <v/>
      </c>
      <c r="O367" s="66">
        <f>'Project Database'!S371</f>
        <v/>
      </c>
      <c r="P367" s="66">
        <f>'Project Database'!T371</f>
        <v/>
      </c>
      <c r="Q367" s="66">
        <f>'Project Database'!U371</f>
        <v/>
      </c>
      <c r="R367" s="66">
        <f>'Project Database'!V371</f>
        <v/>
      </c>
      <c r="S367" s="66">
        <f>'Project Database'!W371</f>
        <v/>
      </c>
      <c r="T367" s="66">
        <f>'Project Database'!X371</f>
        <v/>
      </c>
      <c r="U367" s="67">
        <f>'Project Database'!Y371</f>
        <v/>
      </c>
      <c r="V367" s="66">
        <f>IF('Smart Search'!B13=1,IFERROR(1/'Smart Search'!H13,0),0)</f>
        <v/>
      </c>
      <c r="W367" s="66">
        <f>IF('Smart Search'!B13=1,IFERROR(1/'Smart Search'!H13,0),0)</f>
        <v/>
      </c>
      <c r="X367" s="66">
        <f>IF('Smart Search'!C13=1,IFERROR(1/'Smart Search'!H13,0),0)</f>
        <v/>
      </c>
      <c r="Y367" s="66">
        <f>IF('Smart Search'!C13=1,IFERROR(1/'Smart Search'!H13,0),0)</f>
        <v/>
      </c>
      <c r="Z367" s="66">
        <f>IF('Smart Search'!D13=1,IFERROR(1/'Smart Search'!H13,0),0)</f>
        <v/>
      </c>
      <c r="AA367" s="66">
        <f>IF('Smart Search'!D13=1,IFERROR(1/'Smart Search'!H13,0),0)</f>
        <v/>
      </c>
      <c r="AB367" s="66">
        <f>IF('Smart Search'!E13=1,IFERROR(1/'Smart Search'!H13,0),0)</f>
        <v/>
      </c>
      <c r="AC367" s="66">
        <f>IF('Smart Search'!E13=1,IFERROR(1/'Smart Search'!H13,0),0)</f>
        <v/>
      </c>
      <c r="AD367" s="66">
        <f>IF('Smart Search'!F13=1,IFERROR(1/'Smart Search'!H13,0),0)</f>
        <v/>
      </c>
      <c r="AE367" s="66">
        <f>IF('Smart Search'!F13=1,IFERROR(1/'Smart Search'!H13,0),0)</f>
        <v/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66">
        <f>AF367*V367</f>
        <v/>
      </c>
      <c r="AQ367" s="66">
        <f>AG367*W367</f>
        <v/>
      </c>
      <c r="AR367" s="66">
        <f>AH367*X367</f>
        <v/>
      </c>
      <c r="AS367" s="66">
        <f>AI367*Y367</f>
        <v/>
      </c>
      <c r="AT367" s="66">
        <f>AJ367*Z367</f>
        <v/>
      </c>
      <c r="AU367" s="66">
        <f>AK367*AA367</f>
        <v/>
      </c>
      <c r="AV367" s="66">
        <f>AL367*AB367</f>
        <v/>
      </c>
      <c r="AW367" s="66">
        <f>AM367*AC367</f>
        <v/>
      </c>
      <c r="AX367" s="66">
        <f>AN367*AD367</f>
        <v/>
      </c>
      <c r="AY367" s="66">
        <f>AO367*AE367</f>
        <v/>
      </c>
      <c r="AZ367" s="66">
        <f>'Project Database'!Z371</f>
        <v/>
      </c>
      <c r="BA367" s="66">
        <f>IF(OR(A367="",'Smart Search'!H13=0),"",MAX(0,BE367*BF367*MAX(0,1-BG367)))</f>
        <v/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66">
        <f>IF('Smart Search'!G13=1,IFERROR(1/'Smart Search'!H13,0),0)</f>
        <v/>
      </c>
      <c r="BD367" s="66">
        <f>BB367*BC367</f>
        <v/>
      </c>
      <c r="BE367" s="66">
        <f>AP367+AQ367+AR367+AS367+AT367+AU367+AV367+AW367+AX367+AY367+BD367</f>
        <v/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5">
        <f>IF(AND('Project Database'!A371&lt;&gt;"",OR('Smart Search'!$L$5="",'Smart Search'!$L$5="All",TRIM('Project Database'!D371)=TRIM('Smart Search'!$L$5)),OR(TRIM('Smart Search'!$L$6)="",TRIM('Smart Search'!$L$6)="All",ISNUMBER(SEARCH(SUBSTITUTE(SUBSTITUTE(SUBSTITUTE(TRIM('Smart Search'!$L$6),"~","~~"),"*","~*"),"?","~?"),'Project Database'!C371))),OR('Smart Search'!$L$7="",AND('Project Database'!E371&lt;&gt;"",'Project Database'!E371='Smart Search'!$L$7)),OR('Smart Search'!$L$8="",'Smart Search'!$L$8="All",TRIM('Project Database'!F371)=TRIM('Smart Search'!$L$8))),IF(BA367="","",BA367+ROW()*0.0000000001),"")</f>
        <v/>
      </c>
      <c r="BI367" s="5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>
        <f>IF('Project Database'!A371="","",N('Project Database'!AC371))</f>
        <v/>
      </c>
      <c r="BK367" s="5">
        <f>IF('Project Database'!A371="","",N('Project Database'!AD371))</f>
        <v/>
      </c>
      <c r="BL367" s="5">
        <f>IF('Project Database'!A371="","",N('Project Database'!AE371))</f>
        <v/>
      </c>
      <c r="BM367" s="5">
        <f>IF('Project Database'!A371="","",N('Project Database'!AF371))</f>
        <v/>
      </c>
      <c r="BN367" s="5">
        <f>IF('Project Database'!A371="","",N('Project Database'!AG371))</f>
        <v/>
      </c>
      <c r="BO367" s="5">
        <f>IF('Project Database'!A371="","",N('Project Database'!AH371))</f>
        <v/>
      </c>
      <c r="BP367" s="5">
        <f>IF('Project Database'!A371="","",N('Project Database'!AI371))</f>
        <v/>
      </c>
      <c r="BQ367" s="5">
        <f>IF('Project Database'!A371="","",N('Project Database'!AJ371))</f>
        <v/>
      </c>
      <c r="BR367" s="5">
        <f>IF('Project Database'!A371="","",N('Project Database'!AK371))</f>
        <v/>
      </c>
      <c r="BS367" s="5">
        <f>IF('Project Database'!A371="","",N('Project Database'!AL371))</f>
        <v/>
      </c>
      <c r="BT367" s="5">
        <f>IF('Project Database'!A371="","",N('Project Database'!AM371))</f>
        <v/>
      </c>
      <c r="BU367" s="5">
        <f>IF('Project Database'!A371="","",N('Project Database'!AN371))</f>
        <v/>
      </c>
      <c r="BV367" s="5">
        <f>IF('Project Database'!A371="","",N('Project Database'!AO371))</f>
        <v/>
      </c>
      <c r="BW367" s="5">
        <f>IF('Project Database'!A371="","",N('Project Database'!AP371))</f>
        <v/>
      </c>
      <c r="BX367" s="5">
        <f>IF(A367="","",SUM(BJ367:BW367))</f>
        <v/>
      </c>
      <c r="BY367" s="5">
        <f>IF(A367="","",IFERROR(IF(ISNUMBER(U367),U367,VALUE(SUBSTITUTE(SUBSTITUTE(SUBSTITUTE(UPPER(TRIM(U367)),"M",""),",","")," ",""))),0))</f>
        <v/>
      </c>
    </row>
    <row r="368" ht="15" customHeight="1" s="74">
      <c r="A368" s="66">
        <f>'Project Database'!A372</f>
        <v/>
      </c>
      <c r="B368" s="66">
        <f>'Project Database'!B372</f>
        <v/>
      </c>
      <c r="C368" s="66">
        <f>'Project Database'!G372</f>
        <v/>
      </c>
      <c r="D368" s="66">
        <f>'Project Database'!H372</f>
        <v/>
      </c>
      <c r="E368" s="66">
        <f>'Project Database'!I372</f>
        <v/>
      </c>
      <c r="F368" s="66">
        <f>'Project Database'!J372</f>
        <v/>
      </c>
      <c r="G368" s="66">
        <f>'Project Database'!K372</f>
        <v/>
      </c>
      <c r="H368" s="66">
        <f>'Project Database'!L372</f>
        <v/>
      </c>
      <c r="I368" s="66">
        <f>'Project Database'!M372</f>
        <v/>
      </c>
      <c r="J368" s="66">
        <f>'Project Database'!N372</f>
        <v/>
      </c>
      <c r="K368" s="66">
        <f>'Project Database'!O372</f>
        <v/>
      </c>
      <c r="L368" s="66">
        <f>'Project Database'!P372</f>
        <v/>
      </c>
      <c r="M368" s="66">
        <f>'Project Database'!Q372</f>
        <v/>
      </c>
      <c r="N368" s="66">
        <f>'Project Database'!R372</f>
        <v/>
      </c>
      <c r="O368" s="66">
        <f>'Project Database'!S372</f>
        <v/>
      </c>
      <c r="P368" s="66">
        <f>'Project Database'!T372</f>
        <v/>
      </c>
      <c r="Q368" s="66">
        <f>'Project Database'!U372</f>
        <v/>
      </c>
      <c r="R368" s="66">
        <f>'Project Database'!V372</f>
        <v/>
      </c>
      <c r="S368" s="66">
        <f>'Project Database'!W372</f>
        <v/>
      </c>
      <c r="T368" s="66">
        <f>'Project Database'!X372</f>
        <v/>
      </c>
      <c r="U368" s="67">
        <f>'Project Database'!Y372</f>
        <v/>
      </c>
      <c r="V368" s="66">
        <f>IF('Smart Search'!B13=1,IFERROR(1/'Smart Search'!H13,0),0)</f>
        <v/>
      </c>
      <c r="W368" s="66">
        <f>IF('Smart Search'!B13=1,IFERROR(1/'Smart Search'!H13,0),0)</f>
        <v/>
      </c>
      <c r="X368" s="66">
        <f>IF('Smart Search'!C13=1,IFERROR(1/'Smart Search'!H13,0),0)</f>
        <v/>
      </c>
      <c r="Y368" s="66">
        <f>IF('Smart Search'!C13=1,IFERROR(1/'Smart Search'!H13,0),0)</f>
        <v/>
      </c>
      <c r="Z368" s="66">
        <f>IF('Smart Search'!D13=1,IFERROR(1/'Smart Search'!H13,0),0)</f>
        <v/>
      </c>
      <c r="AA368" s="66">
        <f>IF('Smart Search'!D13=1,IFERROR(1/'Smart Search'!H13,0),0)</f>
        <v/>
      </c>
      <c r="AB368" s="66">
        <f>IF('Smart Search'!E13=1,IFERROR(1/'Smart Search'!H13,0),0)</f>
        <v/>
      </c>
      <c r="AC368" s="66">
        <f>IF('Smart Search'!E13=1,IFERROR(1/'Smart Search'!H13,0),0)</f>
        <v/>
      </c>
      <c r="AD368" s="66">
        <f>IF('Smart Search'!F13=1,IFERROR(1/'Smart Search'!H13,0),0)</f>
        <v/>
      </c>
      <c r="AE368" s="66">
        <f>IF('Smart Search'!F13=1,IFERROR(1/'Smart Search'!H13,0),0)</f>
        <v/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66">
        <f>AF368*V368</f>
        <v/>
      </c>
      <c r="AQ368" s="66">
        <f>AG368*W368</f>
        <v/>
      </c>
      <c r="AR368" s="66">
        <f>AH368*X368</f>
        <v/>
      </c>
      <c r="AS368" s="66">
        <f>AI368*Y368</f>
        <v/>
      </c>
      <c r="AT368" s="66">
        <f>AJ368*Z368</f>
        <v/>
      </c>
      <c r="AU368" s="66">
        <f>AK368*AA368</f>
        <v/>
      </c>
      <c r="AV368" s="66">
        <f>AL368*AB368</f>
        <v/>
      </c>
      <c r="AW368" s="66">
        <f>AM368*AC368</f>
        <v/>
      </c>
      <c r="AX368" s="66">
        <f>AN368*AD368</f>
        <v/>
      </c>
      <c r="AY368" s="66">
        <f>AO368*AE368</f>
        <v/>
      </c>
      <c r="AZ368" s="66">
        <f>'Project Database'!Z372</f>
        <v/>
      </c>
      <c r="BA368" s="66">
        <f>IF(OR(A368="",'Smart Search'!H13=0),"",MAX(0,BE368*BF368*MAX(0,1-BG368)))</f>
        <v/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66">
        <f>IF('Smart Search'!G13=1,IFERROR(1/'Smart Search'!H13,0),0)</f>
        <v/>
      </c>
      <c r="BD368" s="66">
        <f>BB368*BC368</f>
        <v/>
      </c>
      <c r="BE368" s="66">
        <f>AP368+AQ368+AR368+AS368+AT368+AU368+AV368+AW368+AX368+AY368+BD368</f>
        <v/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5">
        <f>IF(AND('Project Database'!A372&lt;&gt;"",OR('Smart Search'!$L$5="",'Smart Search'!$L$5="All",TRIM('Project Database'!D372)=TRIM('Smart Search'!$L$5)),OR(TRIM('Smart Search'!$L$6)="",TRIM('Smart Search'!$L$6)="All",ISNUMBER(SEARCH(SUBSTITUTE(SUBSTITUTE(SUBSTITUTE(TRIM('Smart Search'!$L$6),"~","~~"),"*","~*"),"?","~?"),'Project Database'!C372))),OR('Smart Search'!$L$7="",AND('Project Database'!E372&lt;&gt;"",'Project Database'!E372='Smart Search'!$L$7)),OR('Smart Search'!$L$8="",'Smart Search'!$L$8="All",TRIM('Project Database'!F372)=TRIM('Smart Search'!$L$8))),IF(BA368="","",BA368+ROW()*0.0000000001),"")</f>
        <v/>
      </c>
      <c r="BI368" s="5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>
        <f>IF('Project Database'!A372="","",N('Project Database'!AC372))</f>
        <v/>
      </c>
      <c r="BK368" s="5">
        <f>IF('Project Database'!A372="","",N('Project Database'!AD372))</f>
        <v/>
      </c>
      <c r="BL368" s="5">
        <f>IF('Project Database'!A372="","",N('Project Database'!AE372))</f>
        <v/>
      </c>
      <c r="BM368" s="5">
        <f>IF('Project Database'!A372="","",N('Project Database'!AF372))</f>
        <v/>
      </c>
      <c r="BN368" s="5">
        <f>IF('Project Database'!A372="","",N('Project Database'!AG372))</f>
        <v/>
      </c>
      <c r="BO368" s="5">
        <f>IF('Project Database'!A372="","",N('Project Database'!AH372))</f>
        <v/>
      </c>
      <c r="BP368" s="5">
        <f>IF('Project Database'!A372="","",N('Project Database'!AI372))</f>
        <v/>
      </c>
      <c r="BQ368" s="5">
        <f>IF('Project Database'!A372="","",N('Project Database'!AJ372))</f>
        <v/>
      </c>
      <c r="BR368" s="5">
        <f>IF('Project Database'!A372="","",N('Project Database'!AK372))</f>
        <v/>
      </c>
      <c r="BS368" s="5">
        <f>IF('Project Database'!A372="","",N('Project Database'!AL372))</f>
        <v/>
      </c>
      <c r="BT368" s="5">
        <f>IF('Project Database'!A372="","",N('Project Database'!AM372))</f>
        <v/>
      </c>
      <c r="BU368" s="5">
        <f>IF('Project Database'!A372="","",N('Project Database'!AN372))</f>
        <v/>
      </c>
      <c r="BV368" s="5">
        <f>IF('Project Database'!A372="","",N('Project Database'!AO372))</f>
        <v/>
      </c>
      <c r="BW368" s="5">
        <f>IF('Project Database'!A372="","",N('Project Database'!AP372))</f>
        <v/>
      </c>
      <c r="BX368" s="5">
        <f>IF(A368="","",SUM(BJ368:BW368))</f>
        <v/>
      </c>
      <c r="BY368" s="5">
        <f>IF(A368="","",IFERROR(IF(ISNUMBER(U368),U368,VALUE(SUBSTITUTE(SUBSTITUTE(SUBSTITUTE(UPPER(TRIM(U368)),"M",""),",","")," ",""))),0))</f>
        <v/>
      </c>
    </row>
    <row r="369" ht="15" customHeight="1" s="74">
      <c r="A369" s="66">
        <f>'Project Database'!A373</f>
        <v/>
      </c>
      <c r="B369" s="66">
        <f>'Project Database'!B373</f>
        <v/>
      </c>
      <c r="C369" s="66">
        <f>'Project Database'!G373</f>
        <v/>
      </c>
      <c r="D369" s="66">
        <f>'Project Database'!H373</f>
        <v/>
      </c>
      <c r="E369" s="66">
        <f>'Project Database'!I373</f>
        <v/>
      </c>
      <c r="F369" s="66">
        <f>'Project Database'!J373</f>
        <v/>
      </c>
      <c r="G369" s="66">
        <f>'Project Database'!K373</f>
        <v/>
      </c>
      <c r="H369" s="66">
        <f>'Project Database'!L373</f>
        <v/>
      </c>
      <c r="I369" s="66">
        <f>'Project Database'!M373</f>
        <v/>
      </c>
      <c r="J369" s="66">
        <f>'Project Database'!N373</f>
        <v/>
      </c>
      <c r="K369" s="66">
        <f>'Project Database'!O373</f>
        <v/>
      </c>
      <c r="L369" s="66">
        <f>'Project Database'!P373</f>
        <v/>
      </c>
      <c r="M369" s="66">
        <f>'Project Database'!Q373</f>
        <v/>
      </c>
      <c r="N369" s="66">
        <f>'Project Database'!R373</f>
        <v/>
      </c>
      <c r="O369" s="66">
        <f>'Project Database'!S373</f>
        <v/>
      </c>
      <c r="P369" s="66">
        <f>'Project Database'!T373</f>
        <v/>
      </c>
      <c r="Q369" s="66">
        <f>'Project Database'!U373</f>
        <v/>
      </c>
      <c r="R369" s="66">
        <f>'Project Database'!V373</f>
        <v/>
      </c>
      <c r="S369" s="66">
        <f>'Project Database'!W373</f>
        <v/>
      </c>
      <c r="T369" s="66">
        <f>'Project Database'!X373</f>
        <v/>
      </c>
      <c r="U369" s="67">
        <f>'Project Database'!Y373</f>
        <v/>
      </c>
      <c r="V369" s="66">
        <f>IF('Smart Search'!B13=1,IFERROR(1/'Smart Search'!H13,0),0)</f>
        <v/>
      </c>
      <c r="W369" s="66">
        <f>IF('Smart Search'!B13=1,IFERROR(1/'Smart Search'!H13,0),0)</f>
        <v/>
      </c>
      <c r="X369" s="66">
        <f>IF('Smart Search'!C13=1,IFERROR(1/'Smart Search'!H13,0),0)</f>
        <v/>
      </c>
      <c r="Y369" s="66">
        <f>IF('Smart Search'!C13=1,IFERROR(1/'Smart Search'!H13,0),0)</f>
        <v/>
      </c>
      <c r="Z369" s="66">
        <f>IF('Smart Search'!D13=1,IFERROR(1/'Smart Search'!H13,0),0)</f>
        <v/>
      </c>
      <c r="AA369" s="66">
        <f>IF('Smart Search'!D13=1,IFERROR(1/'Smart Search'!H13,0),0)</f>
        <v/>
      </c>
      <c r="AB369" s="66">
        <f>IF('Smart Search'!E13=1,IFERROR(1/'Smart Search'!H13,0),0)</f>
        <v/>
      </c>
      <c r="AC369" s="66">
        <f>IF('Smart Search'!E13=1,IFERROR(1/'Smart Search'!H13,0),0)</f>
        <v/>
      </c>
      <c r="AD369" s="66">
        <f>IF('Smart Search'!F13=1,IFERROR(1/'Smart Search'!H13,0),0)</f>
        <v/>
      </c>
      <c r="AE369" s="66">
        <f>IF('Smart Search'!F13=1,IFERROR(1/'Smart Search'!H13,0),0)</f>
        <v/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66">
        <f>AF369*V369</f>
        <v/>
      </c>
      <c r="AQ369" s="66">
        <f>AG369*W369</f>
        <v/>
      </c>
      <c r="AR369" s="66">
        <f>AH369*X369</f>
        <v/>
      </c>
      <c r="AS369" s="66">
        <f>AI369*Y369</f>
        <v/>
      </c>
      <c r="AT369" s="66">
        <f>AJ369*Z369</f>
        <v/>
      </c>
      <c r="AU369" s="66">
        <f>AK369*AA369</f>
        <v/>
      </c>
      <c r="AV369" s="66">
        <f>AL369*AB369</f>
        <v/>
      </c>
      <c r="AW369" s="66">
        <f>AM369*AC369</f>
        <v/>
      </c>
      <c r="AX369" s="66">
        <f>AN369*AD369</f>
        <v/>
      </c>
      <c r="AY369" s="66">
        <f>AO369*AE369</f>
        <v/>
      </c>
      <c r="AZ369" s="66">
        <f>'Project Database'!Z373</f>
        <v/>
      </c>
      <c r="BA369" s="66">
        <f>IF(OR(A369="",'Smart Search'!H13=0),"",MAX(0,BE369*BF369*MAX(0,1-BG369)))</f>
        <v/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66">
        <f>IF('Smart Search'!G13=1,IFERROR(1/'Smart Search'!H13,0),0)</f>
        <v/>
      </c>
      <c r="BD369" s="66">
        <f>BB369*BC369</f>
        <v/>
      </c>
      <c r="BE369" s="66">
        <f>AP369+AQ369+AR369+AS369+AT369+AU369+AV369+AW369+AX369+AY369+BD369</f>
        <v/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5">
        <f>IF(AND('Project Database'!A373&lt;&gt;"",OR('Smart Search'!$L$5="",'Smart Search'!$L$5="All",TRIM('Project Database'!D373)=TRIM('Smart Search'!$L$5)),OR(TRIM('Smart Search'!$L$6)="",TRIM('Smart Search'!$L$6)="All",ISNUMBER(SEARCH(SUBSTITUTE(SUBSTITUTE(SUBSTITUTE(TRIM('Smart Search'!$L$6),"~","~~"),"*","~*"),"?","~?"),'Project Database'!C373))),OR('Smart Search'!$L$7="",AND('Project Database'!E373&lt;&gt;"",'Project Database'!E373='Smart Search'!$L$7)),OR('Smart Search'!$L$8="",'Smart Search'!$L$8="All",TRIM('Project Database'!F373)=TRIM('Smart Search'!$L$8))),IF(BA369="","",BA369+ROW()*0.0000000001),"")</f>
        <v/>
      </c>
      <c r="BI369" s="5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>
        <f>IF('Project Database'!A373="","",N('Project Database'!AC373))</f>
        <v/>
      </c>
      <c r="BK369" s="5">
        <f>IF('Project Database'!A373="","",N('Project Database'!AD373))</f>
        <v/>
      </c>
      <c r="BL369" s="5">
        <f>IF('Project Database'!A373="","",N('Project Database'!AE373))</f>
        <v/>
      </c>
      <c r="BM369" s="5">
        <f>IF('Project Database'!A373="","",N('Project Database'!AF373))</f>
        <v/>
      </c>
      <c r="BN369" s="5">
        <f>IF('Project Database'!A373="","",N('Project Database'!AG373))</f>
        <v/>
      </c>
      <c r="BO369" s="5">
        <f>IF('Project Database'!A373="","",N('Project Database'!AH373))</f>
        <v/>
      </c>
      <c r="BP369" s="5">
        <f>IF('Project Database'!A373="","",N('Project Database'!AI373))</f>
        <v/>
      </c>
      <c r="BQ369" s="5">
        <f>IF('Project Database'!A373="","",N('Project Database'!AJ373))</f>
        <v/>
      </c>
      <c r="BR369" s="5">
        <f>IF('Project Database'!A373="","",N('Project Database'!AK373))</f>
        <v/>
      </c>
      <c r="BS369" s="5">
        <f>IF('Project Database'!A373="","",N('Project Database'!AL373))</f>
        <v/>
      </c>
      <c r="BT369" s="5">
        <f>IF('Project Database'!A373="","",N('Project Database'!AM373))</f>
        <v/>
      </c>
      <c r="BU369" s="5">
        <f>IF('Project Database'!A373="","",N('Project Database'!AN373))</f>
        <v/>
      </c>
      <c r="BV369" s="5">
        <f>IF('Project Database'!A373="","",N('Project Database'!AO373))</f>
        <v/>
      </c>
      <c r="BW369" s="5">
        <f>IF('Project Database'!A373="","",N('Project Database'!AP373))</f>
        <v/>
      </c>
      <c r="BX369" s="5">
        <f>IF(A369="","",SUM(BJ369:BW369))</f>
        <v/>
      </c>
      <c r="BY369" s="5">
        <f>IF(A369="","",IFERROR(IF(ISNUMBER(U369),U369,VALUE(SUBSTITUTE(SUBSTITUTE(SUBSTITUTE(UPPER(TRIM(U369)),"M",""),",","")," ",""))),0))</f>
        <v/>
      </c>
    </row>
    <row r="370" ht="15" customHeight="1" s="74">
      <c r="A370" s="66">
        <f>'Project Database'!A374</f>
        <v/>
      </c>
      <c r="B370" s="66">
        <f>'Project Database'!B374</f>
        <v/>
      </c>
      <c r="C370" s="66">
        <f>'Project Database'!G374</f>
        <v/>
      </c>
      <c r="D370" s="66">
        <f>'Project Database'!H374</f>
        <v/>
      </c>
      <c r="E370" s="66">
        <f>'Project Database'!I374</f>
        <v/>
      </c>
      <c r="F370" s="66">
        <f>'Project Database'!J374</f>
        <v/>
      </c>
      <c r="G370" s="66">
        <f>'Project Database'!K374</f>
        <v/>
      </c>
      <c r="H370" s="66">
        <f>'Project Database'!L374</f>
        <v/>
      </c>
      <c r="I370" s="66">
        <f>'Project Database'!M374</f>
        <v/>
      </c>
      <c r="J370" s="66">
        <f>'Project Database'!N374</f>
        <v/>
      </c>
      <c r="K370" s="66">
        <f>'Project Database'!O374</f>
        <v/>
      </c>
      <c r="L370" s="66">
        <f>'Project Database'!P374</f>
        <v/>
      </c>
      <c r="M370" s="66">
        <f>'Project Database'!Q374</f>
        <v/>
      </c>
      <c r="N370" s="66">
        <f>'Project Database'!R374</f>
        <v/>
      </c>
      <c r="O370" s="66">
        <f>'Project Database'!S374</f>
        <v/>
      </c>
      <c r="P370" s="66">
        <f>'Project Database'!T374</f>
        <v/>
      </c>
      <c r="Q370" s="66">
        <f>'Project Database'!U374</f>
        <v/>
      </c>
      <c r="R370" s="66">
        <f>'Project Database'!V374</f>
        <v/>
      </c>
      <c r="S370" s="66">
        <f>'Project Database'!W374</f>
        <v/>
      </c>
      <c r="T370" s="66">
        <f>'Project Database'!X374</f>
        <v/>
      </c>
      <c r="U370" s="67">
        <f>'Project Database'!Y374</f>
        <v/>
      </c>
      <c r="V370" s="66">
        <f>IF('Smart Search'!B13=1,IFERROR(1/'Smart Search'!H13,0),0)</f>
        <v/>
      </c>
      <c r="W370" s="66">
        <f>IF('Smart Search'!B13=1,IFERROR(1/'Smart Search'!H13,0),0)</f>
        <v/>
      </c>
      <c r="X370" s="66">
        <f>IF('Smart Search'!C13=1,IFERROR(1/'Smart Search'!H13,0),0)</f>
        <v/>
      </c>
      <c r="Y370" s="66">
        <f>IF('Smart Search'!C13=1,IFERROR(1/'Smart Search'!H13,0),0)</f>
        <v/>
      </c>
      <c r="Z370" s="66">
        <f>IF('Smart Search'!D13=1,IFERROR(1/'Smart Search'!H13,0),0)</f>
        <v/>
      </c>
      <c r="AA370" s="66">
        <f>IF('Smart Search'!D13=1,IFERROR(1/'Smart Search'!H13,0),0)</f>
        <v/>
      </c>
      <c r="AB370" s="66">
        <f>IF('Smart Search'!E13=1,IFERROR(1/'Smart Search'!H13,0),0)</f>
        <v/>
      </c>
      <c r="AC370" s="66">
        <f>IF('Smart Search'!E13=1,IFERROR(1/'Smart Search'!H13,0),0)</f>
        <v/>
      </c>
      <c r="AD370" s="66">
        <f>IF('Smart Search'!F13=1,IFERROR(1/'Smart Search'!H13,0),0)</f>
        <v/>
      </c>
      <c r="AE370" s="66">
        <f>IF('Smart Search'!F13=1,IFERROR(1/'Smart Search'!H13,0),0)</f>
        <v/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66">
        <f>AF370*V370</f>
        <v/>
      </c>
      <c r="AQ370" s="66">
        <f>AG370*W370</f>
        <v/>
      </c>
      <c r="AR370" s="66">
        <f>AH370*X370</f>
        <v/>
      </c>
      <c r="AS370" s="66">
        <f>AI370*Y370</f>
        <v/>
      </c>
      <c r="AT370" s="66">
        <f>AJ370*Z370</f>
        <v/>
      </c>
      <c r="AU370" s="66">
        <f>AK370*AA370</f>
        <v/>
      </c>
      <c r="AV370" s="66">
        <f>AL370*AB370</f>
        <v/>
      </c>
      <c r="AW370" s="66">
        <f>AM370*AC370</f>
        <v/>
      </c>
      <c r="AX370" s="66">
        <f>AN370*AD370</f>
        <v/>
      </c>
      <c r="AY370" s="66">
        <f>AO370*AE370</f>
        <v/>
      </c>
      <c r="AZ370" s="66">
        <f>'Project Database'!Z374</f>
        <v/>
      </c>
      <c r="BA370" s="66">
        <f>IF(OR(A370="",'Smart Search'!H13=0),"",MAX(0,BE370*BF370*MAX(0,1-BG370)))</f>
        <v/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66">
        <f>IF('Smart Search'!G13=1,IFERROR(1/'Smart Search'!H13,0),0)</f>
        <v/>
      </c>
      <c r="BD370" s="66">
        <f>BB370*BC370</f>
        <v/>
      </c>
      <c r="BE370" s="66">
        <f>AP370+AQ370+AR370+AS370+AT370+AU370+AV370+AW370+AX370+AY370+BD370</f>
        <v/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5">
        <f>IF(AND('Project Database'!A374&lt;&gt;"",OR('Smart Search'!$L$5="",'Smart Search'!$L$5="All",TRIM('Project Database'!D374)=TRIM('Smart Search'!$L$5)),OR(TRIM('Smart Search'!$L$6)="",TRIM('Smart Search'!$L$6)="All",ISNUMBER(SEARCH(SUBSTITUTE(SUBSTITUTE(SUBSTITUTE(TRIM('Smart Search'!$L$6),"~","~~"),"*","~*"),"?","~?"),'Project Database'!C374))),OR('Smart Search'!$L$7="",AND('Project Database'!E374&lt;&gt;"",'Project Database'!E374='Smart Search'!$L$7)),OR('Smart Search'!$L$8="",'Smart Search'!$L$8="All",TRIM('Project Database'!F374)=TRIM('Smart Search'!$L$8))),IF(BA370="","",BA370+ROW()*0.0000000001),"")</f>
        <v/>
      </c>
      <c r="BI370" s="5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>
        <f>IF('Project Database'!A374="","",N('Project Database'!AC374))</f>
        <v/>
      </c>
      <c r="BK370" s="5">
        <f>IF('Project Database'!A374="","",N('Project Database'!AD374))</f>
        <v/>
      </c>
      <c r="BL370" s="5">
        <f>IF('Project Database'!A374="","",N('Project Database'!AE374))</f>
        <v/>
      </c>
      <c r="BM370" s="5">
        <f>IF('Project Database'!A374="","",N('Project Database'!AF374))</f>
        <v/>
      </c>
      <c r="BN370" s="5">
        <f>IF('Project Database'!A374="","",N('Project Database'!AG374))</f>
        <v/>
      </c>
      <c r="BO370" s="5">
        <f>IF('Project Database'!A374="","",N('Project Database'!AH374))</f>
        <v/>
      </c>
      <c r="BP370" s="5">
        <f>IF('Project Database'!A374="","",N('Project Database'!AI374))</f>
        <v/>
      </c>
      <c r="BQ370" s="5">
        <f>IF('Project Database'!A374="","",N('Project Database'!AJ374))</f>
        <v/>
      </c>
      <c r="BR370" s="5">
        <f>IF('Project Database'!A374="","",N('Project Database'!AK374))</f>
        <v/>
      </c>
      <c r="BS370" s="5">
        <f>IF('Project Database'!A374="","",N('Project Database'!AL374))</f>
        <v/>
      </c>
      <c r="BT370" s="5">
        <f>IF('Project Database'!A374="","",N('Project Database'!AM374))</f>
        <v/>
      </c>
      <c r="BU370" s="5">
        <f>IF('Project Database'!A374="","",N('Project Database'!AN374))</f>
        <v/>
      </c>
      <c r="BV370" s="5">
        <f>IF('Project Database'!A374="","",N('Project Database'!AO374))</f>
        <v/>
      </c>
      <c r="BW370" s="5">
        <f>IF('Project Database'!A374="","",N('Project Database'!AP374))</f>
        <v/>
      </c>
      <c r="BX370" s="5">
        <f>IF(A370="","",SUM(BJ370:BW370))</f>
        <v/>
      </c>
      <c r="BY370" s="5">
        <f>IF(A370="","",IFERROR(IF(ISNUMBER(U370),U370,VALUE(SUBSTITUTE(SUBSTITUTE(SUBSTITUTE(UPPER(TRIM(U370)),"M",""),",","")," ",""))),0))</f>
        <v/>
      </c>
    </row>
    <row r="371" ht="15" customHeight="1" s="74">
      <c r="A371" s="66">
        <f>'Project Database'!A375</f>
        <v/>
      </c>
      <c r="B371" s="66">
        <f>'Project Database'!B375</f>
        <v/>
      </c>
      <c r="C371" s="66">
        <f>'Project Database'!G375</f>
        <v/>
      </c>
      <c r="D371" s="66">
        <f>'Project Database'!H375</f>
        <v/>
      </c>
      <c r="E371" s="66">
        <f>'Project Database'!I375</f>
        <v/>
      </c>
      <c r="F371" s="66">
        <f>'Project Database'!J375</f>
        <v/>
      </c>
      <c r="G371" s="66">
        <f>'Project Database'!K375</f>
        <v/>
      </c>
      <c r="H371" s="66">
        <f>'Project Database'!L375</f>
        <v/>
      </c>
      <c r="I371" s="66">
        <f>'Project Database'!M375</f>
        <v/>
      </c>
      <c r="J371" s="66">
        <f>'Project Database'!N375</f>
        <v/>
      </c>
      <c r="K371" s="66">
        <f>'Project Database'!O375</f>
        <v/>
      </c>
      <c r="L371" s="66">
        <f>'Project Database'!P375</f>
        <v/>
      </c>
      <c r="M371" s="66">
        <f>'Project Database'!Q375</f>
        <v/>
      </c>
      <c r="N371" s="66">
        <f>'Project Database'!R375</f>
        <v/>
      </c>
      <c r="O371" s="66">
        <f>'Project Database'!S375</f>
        <v/>
      </c>
      <c r="P371" s="66">
        <f>'Project Database'!T375</f>
        <v/>
      </c>
      <c r="Q371" s="66">
        <f>'Project Database'!U375</f>
        <v/>
      </c>
      <c r="R371" s="66">
        <f>'Project Database'!V375</f>
        <v/>
      </c>
      <c r="S371" s="66">
        <f>'Project Database'!W375</f>
        <v/>
      </c>
      <c r="T371" s="66">
        <f>'Project Database'!X375</f>
        <v/>
      </c>
      <c r="U371" s="67">
        <f>'Project Database'!Y375</f>
        <v/>
      </c>
      <c r="V371" s="66">
        <f>IF('Smart Search'!B13=1,IFERROR(1/'Smart Search'!H13,0),0)</f>
        <v/>
      </c>
      <c r="W371" s="66">
        <f>IF('Smart Search'!B13=1,IFERROR(1/'Smart Search'!H13,0),0)</f>
        <v/>
      </c>
      <c r="X371" s="66">
        <f>IF('Smart Search'!C13=1,IFERROR(1/'Smart Search'!H13,0),0)</f>
        <v/>
      </c>
      <c r="Y371" s="66">
        <f>IF('Smart Search'!C13=1,IFERROR(1/'Smart Search'!H13,0),0)</f>
        <v/>
      </c>
      <c r="Z371" s="66">
        <f>IF('Smart Search'!D13=1,IFERROR(1/'Smart Search'!H13,0),0)</f>
        <v/>
      </c>
      <c r="AA371" s="66">
        <f>IF('Smart Search'!D13=1,IFERROR(1/'Smart Search'!H13,0),0)</f>
        <v/>
      </c>
      <c r="AB371" s="66">
        <f>IF('Smart Search'!E13=1,IFERROR(1/'Smart Search'!H13,0),0)</f>
        <v/>
      </c>
      <c r="AC371" s="66">
        <f>IF('Smart Search'!E13=1,IFERROR(1/'Smart Search'!H13,0),0)</f>
        <v/>
      </c>
      <c r="AD371" s="66">
        <f>IF('Smart Search'!F13=1,IFERROR(1/'Smart Search'!H13,0),0)</f>
        <v/>
      </c>
      <c r="AE371" s="66">
        <f>IF('Smart Search'!F13=1,IFERROR(1/'Smart Search'!H13,0),0)</f>
        <v/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66">
        <f>AF371*V371</f>
        <v/>
      </c>
      <c r="AQ371" s="66">
        <f>AG371*W371</f>
        <v/>
      </c>
      <c r="AR371" s="66">
        <f>AH371*X371</f>
        <v/>
      </c>
      <c r="AS371" s="66">
        <f>AI371*Y371</f>
        <v/>
      </c>
      <c r="AT371" s="66">
        <f>AJ371*Z371</f>
        <v/>
      </c>
      <c r="AU371" s="66">
        <f>AK371*AA371</f>
        <v/>
      </c>
      <c r="AV371" s="66">
        <f>AL371*AB371</f>
        <v/>
      </c>
      <c r="AW371" s="66">
        <f>AM371*AC371</f>
        <v/>
      </c>
      <c r="AX371" s="66">
        <f>AN371*AD371</f>
        <v/>
      </c>
      <c r="AY371" s="66">
        <f>AO371*AE371</f>
        <v/>
      </c>
      <c r="AZ371" s="66">
        <f>'Project Database'!Z375</f>
        <v/>
      </c>
      <c r="BA371" s="66">
        <f>IF(OR(A371="",'Smart Search'!H13=0),"",MAX(0,BE371*BF371*MAX(0,1-BG371)))</f>
        <v/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66">
        <f>IF('Smart Search'!G13=1,IFERROR(1/'Smart Search'!H13,0),0)</f>
        <v/>
      </c>
      <c r="BD371" s="66">
        <f>BB371*BC371</f>
        <v/>
      </c>
      <c r="BE371" s="66">
        <f>AP371+AQ371+AR371+AS371+AT371+AU371+AV371+AW371+AX371+AY371+BD371</f>
        <v/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5">
        <f>IF(AND('Project Database'!A375&lt;&gt;"",OR('Smart Search'!$L$5="",'Smart Search'!$L$5="All",TRIM('Project Database'!D375)=TRIM('Smart Search'!$L$5)),OR(TRIM('Smart Search'!$L$6)="",TRIM('Smart Search'!$L$6)="All",ISNUMBER(SEARCH(SUBSTITUTE(SUBSTITUTE(SUBSTITUTE(TRIM('Smart Search'!$L$6),"~","~~"),"*","~*"),"?","~?"),'Project Database'!C375))),OR('Smart Search'!$L$7="",AND('Project Database'!E375&lt;&gt;"",'Project Database'!E375='Smart Search'!$L$7)),OR('Smart Search'!$L$8="",'Smart Search'!$L$8="All",TRIM('Project Database'!F375)=TRIM('Smart Search'!$L$8))),IF(BA371="","",BA371+ROW()*0.0000000001),"")</f>
        <v/>
      </c>
      <c r="BI371" s="5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>
        <f>IF('Project Database'!A375="","",N('Project Database'!AC375))</f>
        <v/>
      </c>
      <c r="BK371" s="5">
        <f>IF('Project Database'!A375="","",N('Project Database'!AD375))</f>
        <v/>
      </c>
      <c r="BL371" s="5">
        <f>IF('Project Database'!A375="","",N('Project Database'!AE375))</f>
        <v/>
      </c>
      <c r="BM371" s="5">
        <f>IF('Project Database'!A375="","",N('Project Database'!AF375))</f>
        <v/>
      </c>
      <c r="BN371" s="5">
        <f>IF('Project Database'!A375="","",N('Project Database'!AG375))</f>
        <v/>
      </c>
      <c r="BO371" s="5">
        <f>IF('Project Database'!A375="","",N('Project Database'!AH375))</f>
        <v/>
      </c>
      <c r="BP371" s="5">
        <f>IF('Project Database'!A375="","",N('Project Database'!AI375))</f>
        <v/>
      </c>
      <c r="BQ371" s="5">
        <f>IF('Project Database'!A375="","",N('Project Database'!AJ375))</f>
        <v/>
      </c>
      <c r="BR371" s="5">
        <f>IF('Project Database'!A375="","",N('Project Database'!AK375))</f>
        <v/>
      </c>
      <c r="BS371" s="5">
        <f>IF('Project Database'!A375="","",N('Project Database'!AL375))</f>
        <v/>
      </c>
      <c r="BT371" s="5">
        <f>IF('Project Database'!A375="","",N('Project Database'!AM375))</f>
        <v/>
      </c>
      <c r="BU371" s="5">
        <f>IF('Project Database'!A375="","",N('Project Database'!AN375))</f>
        <v/>
      </c>
      <c r="BV371" s="5">
        <f>IF('Project Database'!A375="","",N('Project Database'!AO375))</f>
        <v/>
      </c>
      <c r="BW371" s="5">
        <f>IF('Project Database'!A375="","",N('Project Database'!AP375))</f>
        <v/>
      </c>
      <c r="BX371" s="5">
        <f>IF(A371="","",SUM(BJ371:BW371))</f>
        <v/>
      </c>
      <c r="BY371" s="5">
        <f>IF(A371="","",IFERROR(IF(ISNUMBER(U371),U371,VALUE(SUBSTITUTE(SUBSTITUTE(SUBSTITUTE(UPPER(TRIM(U371)),"M",""),",","")," ",""))),0))</f>
        <v/>
      </c>
    </row>
    <row r="372" ht="15" customHeight="1" s="74">
      <c r="A372" s="66">
        <f>'Project Database'!A376</f>
        <v/>
      </c>
      <c r="B372" s="66">
        <f>'Project Database'!B376</f>
        <v/>
      </c>
      <c r="C372" s="66">
        <f>'Project Database'!G376</f>
        <v/>
      </c>
      <c r="D372" s="66">
        <f>'Project Database'!H376</f>
        <v/>
      </c>
      <c r="E372" s="66">
        <f>'Project Database'!I376</f>
        <v/>
      </c>
      <c r="F372" s="66">
        <f>'Project Database'!J376</f>
        <v/>
      </c>
      <c r="G372" s="66">
        <f>'Project Database'!K376</f>
        <v/>
      </c>
      <c r="H372" s="66">
        <f>'Project Database'!L376</f>
        <v/>
      </c>
      <c r="I372" s="66">
        <f>'Project Database'!M376</f>
        <v/>
      </c>
      <c r="J372" s="66">
        <f>'Project Database'!N376</f>
        <v/>
      </c>
      <c r="K372" s="66">
        <f>'Project Database'!O376</f>
        <v/>
      </c>
      <c r="L372" s="66">
        <f>'Project Database'!P376</f>
        <v/>
      </c>
      <c r="M372" s="66">
        <f>'Project Database'!Q376</f>
        <v/>
      </c>
      <c r="N372" s="66">
        <f>'Project Database'!R376</f>
        <v/>
      </c>
      <c r="O372" s="66">
        <f>'Project Database'!S376</f>
        <v/>
      </c>
      <c r="P372" s="66">
        <f>'Project Database'!T376</f>
        <v/>
      </c>
      <c r="Q372" s="66">
        <f>'Project Database'!U376</f>
        <v/>
      </c>
      <c r="R372" s="66">
        <f>'Project Database'!V376</f>
        <v/>
      </c>
      <c r="S372" s="66">
        <f>'Project Database'!W376</f>
        <v/>
      </c>
      <c r="T372" s="66">
        <f>'Project Database'!X376</f>
        <v/>
      </c>
      <c r="U372" s="67">
        <f>'Project Database'!Y376</f>
        <v/>
      </c>
      <c r="V372" s="66">
        <f>IF('Smart Search'!B13=1,IFERROR(1/'Smart Search'!H13,0),0)</f>
        <v/>
      </c>
      <c r="W372" s="66">
        <f>IF('Smart Search'!B13=1,IFERROR(1/'Smart Search'!H13,0),0)</f>
        <v/>
      </c>
      <c r="X372" s="66">
        <f>IF('Smart Search'!C13=1,IFERROR(1/'Smart Search'!H13,0),0)</f>
        <v/>
      </c>
      <c r="Y372" s="66">
        <f>IF('Smart Search'!C13=1,IFERROR(1/'Smart Search'!H13,0),0)</f>
        <v/>
      </c>
      <c r="Z372" s="66">
        <f>IF('Smart Search'!D13=1,IFERROR(1/'Smart Search'!H13,0),0)</f>
        <v/>
      </c>
      <c r="AA372" s="66">
        <f>IF('Smart Search'!D13=1,IFERROR(1/'Smart Search'!H13,0),0)</f>
        <v/>
      </c>
      <c r="AB372" s="66">
        <f>IF('Smart Search'!E13=1,IFERROR(1/'Smart Search'!H13,0),0)</f>
        <v/>
      </c>
      <c r="AC372" s="66">
        <f>IF('Smart Search'!E13=1,IFERROR(1/'Smart Search'!H13,0),0)</f>
        <v/>
      </c>
      <c r="AD372" s="66">
        <f>IF('Smart Search'!F13=1,IFERROR(1/'Smart Search'!H13,0),0)</f>
        <v/>
      </c>
      <c r="AE372" s="66">
        <f>IF('Smart Search'!F13=1,IFERROR(1/'Smart Search'!H13,0),0)</f>
        <v/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66">
        <f>AF372*V372</f>
        <v/>
      </c>
      <c r="AQ372" s="66">
        <f>AG372*W372</f>
        <v/>
      </c>
      <c r="AR372" s="66">
        <f>AH372*X372</f>
        <v/>
      </c>
      <c r="AS372" s="66">
        <f>AI372*Y372</f>
        <v/>
      </c>
      <c r="AT372" s="66">
        <f>AJ372*Z372</f>
        <v/>
      </c>
      <c r="AU372" s="66">
        <f>AK372*AA372</f>
        <v/>
      </c>
      <c r="AV372" s="66">
        <f>AL372*AB372</f>
        <v/>
      </c>
      <c r="AW372" s="66">
        <f>AM372*AC372</f>
        <v/>
      </c>
      <c r="AX372" s="66">
        <f>AN372*AD372</f>
        <v/>
      </c>
      <c r="AY372" s="66">
        <f>AO372*AE372</f>
        <v/>
      </c>
      <c r="AZ372" s="66">
        <f>'Project Database'!Z376</f>
        <v/>
      </c>
      <c r="BA372" s="66">
        <f>IF(OR(A372="",'Smart Search'!H13=0),"",MAX(0,BE372*BF372*MAX(0,1-BG372)))</f>
        <v/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66">
        <f>IF('Smart Search'!G13=1,IFERROR(1/'Smart Search'!H13,0),0)</f>
        <v/>
      </c>
      <c r="BD372" s="66">
        <f>BB372*BC372</f>
        <v/>
      </c>
      <c r="BE372" s="66">
        <f>AP372+AQ372+AR372+AS372+AT372+AU372+AV372+AW372+AX372+AY372+BD372</f>
        <v/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5">
        <f>IF(AND('Project Database'!A376&lt;&gt;"",OR('Smart Search'!$L$5="",'Smart Search'!$L$5="All",TRIM('Project Database'!D376)=TRIM('Smart Search'!$L$5)),OR(TRIM('Smart Search'!$L$6)="",TRIM('Smart Search'!$L$6)="All",ISNUMBER(SEARCH(SUBSTITUTE(SUBSTITUTE(SUBSTITUTE(TRIM('Smart Search'!$L$6),"~","~~"),"*","~*"),"?","~?"),'Project Database'!C376))),OR('Smart Search'!$L$7="",AND('Project Database'!E376&lt;&gt;"",'Project Database'!E376='Smart Search'!$L$7)),OR('Smart Search'!$L$8="",'Smart Search'!$L$8="All",TRIM('Project Database'!F376)=TRIM('Smart Search'!$L$8))),IF(BA372="","",BA372+ROW()*0.0000000001),"")</f>
        <v/>
      </c>
      <c r="BI372" s="5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>
        <f>IF('Project Database'!A376="","",N('Project Database'!AC376))</f>
        <v/>
      </c>
      <c r="BK372" s="5">
        <f>IF('Project Database'!A376="","",N('Project Database'!AD376))</f>
        <v/>
      </c>
      <c r="BL372" s="5">
        <f>IF('Project Database'!A376="","",N('Project Database'!AE376))</f>
        <v/>
      </c>
      <c r="BM372" s="5">
        <f>IF('Project Database'!A376="","",N('Project Database'!AF376))</f>
        <v/>
      </c>
      <c r="BN372" s="5">
        <f>IF('Project Database'!A376="","",N('Project Database'!AG376))</f>
        <v/>
      </c>
      <c r="BO372" s="5">
        <f>IF('Project Database'!A376="","",N('Project Database'!AH376))</f>
        <v/>
      </c>
      <c r="BP372" s="5">
        <f>IF('Project Database'!A376="","",N('Project Database'!AI376))</f>
        <v/>
      </c>
      <c r="BQ372" s="5">
        <f>IF('Project Database'!A376="","",N('Project Database'!AJ376))</f>
        <v/>
      </c>
      <c r="BR372" s="5">
        <f>IF('Project Database'!A376="","",N('Project Database'!AK376))</f>
        <v/>
      </c>
      <c r="BS372" s="5">
        <f>IF('Project Database'!A376="","",N('Project Database'!AL376))</f>
        <v/>
      </c>
      <c r="BT372" s="5">
        <f>IF('Project Database'!A376="","",N('Project Database'!AM376))</f>
        <v/>
      </c>
      <c r="BU372" s="5">
        <f>IF('Project Database'!A376="","",N('Project Database'!AN376))</f>
        <v/>
      </c>
      <c r="BV372" s="5">
        <f>IF('Project Database'!A376="","",N('Project Database'!AO376))</f>
        <v/>
      </c>
      <c r="BW372" s="5">
        <f>IF('Project Database'!A376="","",N('Project Database'!AP376))</f>
        <v/>
      </c>
      <c r="BX372" s="5">
        <f>IF(A372="","",SUM(BJ372:BW372))</f>
        <v/>
      </c>
      <c r="BY372" s="5">
        <f>IF(A372="","",IFERROR(IF(ISNUMBER(U372),U372,VALUE(SUBSTITUTE(SUBSTITUTE(SUBSTITUTE(UPPER(TRIM(U372)),"M",""),",","")," ",""))),0))</f>
        <v/>
      </c>
    </row>
    <row r="373" ht="15" customHeight="1" s="74">
      <c r="A373" s="66">
        <f>'Project Database'!A377</f>
        <v/>
      </c>
      <c r="B373" s="66">
        <f>'Project Database'!B377</f>
        <v/>
      </c>
      <c r="C373" s="66">
        <f>'Project Database'!G377</f>
        <v/>
      </c>
      <c r="D373" s="66">
        <f>'Project Database'!H377</f>
        <v/>
      </c>
      <c r="E373" s="66">
        <f>'Project Database'!I377</f>
        <v/>
      </c>
      <c r="F373" s="66">
        <f>'Project Database'!J377</f>
        <v/>
      </c>
      <c r="G373" s="66">
        <f>'Project Database'!K377</f>
        <v/>
      </c>
      <c r="H373" s="66">
        <f>'Project Database'!L377</f>
        <v/>
      </c>
      <c r="I373" s="66">
        <f>'Project Database'!M377</f>
        <v/>
      </c>
      <c r="J373" s="66">
        <f>'Project Database'!N377</f>
        <v/>
      </c>
      <c r="K373" s="66">
        <f>'Project Database'!O377</f>
        <v/>
      </c>
      <c r="L373" s="66">
        <f>'Project Database'!P377</f>
        <v/>
      </c>
      <c r="M373" s="66">
        <f>'Project Database'!Q377</f>
        <v/>
      </c>
      <c r="N373" s="66">
        <f>'Project Database'!R377</f>
        <v/>
      </c>
      <c r="O373" s="66">
        <f>'Project Database'!S377</f>
        <v/>
      </c>
      <c r="P373" s="66">
        <f>'Project Database'!T377</f>
        <v/>
      </c>
      <c r="Q373" s="66">
        <f>'Project Database'!U377</f>
        <v/>
      </c>
      <c r="R373" s="66">
        <f>'Project Database'!V377</f>
        <v/>
      </c>
      <c r="S373" s="66">
        <f>'Project Database'!W377</f>
        <v/>
      </c>
      <c r="T373" s="66">
        <f>'Project Database'!X377</f>
        <v/>
      </c>
      <c r="U373" s="67">
        <f>'Project Database'!Y377</f>
        <v/>
      </c>
      <c r="V373" s="66">
        <f>IF('Smart Search'!B13=1,IFERROR(1/'Smart Search'!H13,0),0)</f>
        <v/>
      </c>
      <c r="W373" s="66">
        <f>IF('Smart Search'!B13=1,IFERROR(1/'Smart Search'!H13,0),0)</f>
        <v/>
      </c>
      <c r="X373" s="66">
        <f>IF('Smart Search'!C13=1,IFERROR(1/'Smart Search'!H13,0),0)</f>
        <v/>
      </c>
      <c r="Y373" s="66">
        <f>IF('Smart Search'!C13=1,IFERROR(1/'Smart Search'!H13,0),0)</f>
        <v/>
      </c>
      <c r="Z373" s="66">
        <f>IF('Smart Search'!D13=1,IFERROR(1/'Smart Search'!H13,0),0)</f>
        <v/>
      </c>
      <c r="AA373" s="66">
        <f>IF('Smart Search'!D13=1,IFERROR(1/'Smart Search'!H13,0),0)</f>
        <v/>
      </c>
      <c r="AB373" s="66">
        <f>IF('Smart Search'!E13=1,IFERROR(1/'Smart Search'!H13,0),0)</f>
        <v/>
      </c>
      <c r="AC373" s="66">
        <f>IF('Smart Search'!E13=1,IFERROR(1/'Smart Search'!H13,0),0)</f>
        <v/>
      </c>
      <c r="AD373" s="66">
        <f>IF('Smart Search'!F13=1,IFERROR(1/'Smart Search'!H13,0),0)</f>
        <v/>
      </c>
      <c r="AE373" s="66">
        <f>IF('Smart Search'!F13=1,IFERROR(1/'Smart Search'!H13,0),0)</f>
        <v/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66">
        <f>AF373*V373</f>
        <v/>
      </c>
      <c r="AQ373" s="66">
        <f>AG373*W373</f>
        <v/>
      </c>
      <c r="AR373" s="66">
        <f>AH373*X373</f>
        <v/>
      </c>
      <c r="AS373" s="66">
        <f>AI373*Y373</f>
        <v/>
      </c>
      <c r="AT373" s="66">
        <f>AJ373*Z373</f>
        <v/>
      </c>
      <c r="AU373" s="66">
        <f>AK373*AA373</f>
        <v/>
      </c>
      <c r="AV373" s="66">
        <f>AL373*AB373</f>
        <v/>
      </c>
      <c r="AW373" s="66">
        <f>AM373*AC373</f>
        <v/>
      </c>
      <c r="AX373" s="66">
        <f>AN373*AD373</f>
        <v/>
      </c>
      <c r="AY373" s="66">
        <f>AO373*AE373</f>
        <v/>
      </c>
      <c r="AZ373" s="66">
        <f>'Project Database'!Z377</f>
        <v/>
      </c>
      <c r="BA373" s="66">
        <f>IF(OR(A373="",'Smart Search'!H13=0),"",MAX(0,BE373*BF373*MAX(0,1-BG373)))</f>
        <v/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66">
        <f>IF('Smart Search'!G13=1,IFERROR(1/'Smart Search'!H13,0),0)</f>
        <v/>
      </c>
      <c r="BD373" s="66">
        <f>BB373*BC373</f>
        <v/>
      </c>
      <c r="BE373" s="66">
        <f>AP373+AQ373+AR373+AS373+AT373+AU373+AV373+AW373+AX373+AY373+BD373</f>
        <v/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5">
        <f>IF(AND('Project Database'!A377&lt;&gt;"",OR('Smart Search'!$L$5="",'Smart Search'!$L$5="All",TRIM('Project Database'!D377)=TRIM('Smart Search'!$L$5)),OR(TRIM('Smart Search'!$L$6)="",TRIM('Smart Search'!$L$6)="All",ISNUMBER(SEARCH(SUBSTITUTE(SUBSTITUTE(SUBSTITUTE(TRIM('Smart Search'!$L$6),"~","~~"),"*","~*"),"?","~?"),'Project Database'!C377))),OR('Smart Search'!$L$7="",AND('Project Database'!E377&lt;&gt;"",'Project Database'!E377='Smart Search'!$L$7)),OR('Smart Search'!$L$8="",'Smart Search'!$L$8="All",TRIM('Project Database'!F377)=TRIM('Smart Search'!$L$8))),IF(BA373="","",BA373+ROW()*0.0000000001),"")</f>
        <v/>
      </c>
      <c r="BI373" s="5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>
        <f>IF('Project Database'!A377="","",N('Project Database'!AC377))</f>
        <v/>
      </c>
      <c r="BK373" s="5">
        <f>IF('Project Database'!A377="","",N('Project Database'!AD377))</f>
        <v/>
      </c>
      <c r="BL373" s="5">
        <f>IF('Project Database'!A377="","",N('Project Database'!AE377))</f>
        <v/>
      </c>
      <c r="BM373" s="5">
        <f>IF('Project Database'!A377="","",N('Project Database'!AF377))</f>
        <v/>
      </c>
      <c r="BN373" s="5">
        <f>IF('Project Database'!A377="","",N('Project Database'!AG377))</f>
        <v/>
      </c>
      <c r="BO373" s="5">
        <f>IF('Project Database'!A377="","",N('Project Database'!AH377))</f>
        <v/>
      </c>
      <c r="BP373" s="5">
        <f>IF('Project Database'!A377="","",N('Project Database'!AI377))</f>
        <v/>
      </c>
      <c r="BQ373" s="5">
        <f>IF('Project Database'!A377="","",N('Project Database'!AJ377))</f>
        <v/>
      </c>
      <c r="BR373" s="5">
        <f>IF('Project Database'!A377="","",N('Project Database'!AK377))</f>
        <v/>
      </c>
      <c r="BS373" s="5">
        <f>IF('Project Database'!A377="","",N('Project Database'!AL377))</f>
        <v/>
      </c>
      <c r="BT373" s="5">
        <f>IF('Project Database'!A377="","",N('Project Database'!AM377))</f>
        <v/>
      </c>
      <c r="BU373" s="5">
        <f>IF('Project Database'!A377="","",N('Project Database'!AN377))</f>
        <v/>
      </c>
      <c r="BV373" s="5">
        <f>IF('Project Database'!A377="","",N('Project Database'!AO377))</f>
        <v/>
      </c>
      <c r="BW373" s="5">
        <f>IF('Project Database'!A377="","",N('Project Database'!AP377))</f>
        <v/>
      </c>
      <c r="BX373" s="5">
        <f>IF(A373="","",SUM(BJ373:BW373))</f>
        <v/>
      </c>
      <c r="BY373" s="5">
        <f>IF(A373="","",IFERROR(IF(ISNUMBER(U373),U373,VALUE(SUBSTITUTE(SUBSTITUTE(SUBSTITUTE(UPPER(TRIM(U373)),"M",""),",","")," ",""))),0))</f>
        <v/>
      </c>
    </row>
    <row r="374" ht="15" customHeight="1" s="74">
      <c r="A374" s="66">
        <f>'Project Database'!A378</f>
        <v/>
      </c>
      <c r="B374" s="66">
        <f>'Project Database'!B378</f>
        <v/>
      </c>
      <c r="C374" s="66">
        <f>'Project Database'!G378</f>
        <v/>
      </c>
      <c r="D374" s="66">
        <f>'Project Database'!H378</f>
        <v/>
      </c>
      <c r="E374" s="66">
        <f>'Project Database'!I378</f>
        <v/>
      </c>
      <c r="F374" s="66">
        <f>'Project Database'!J378</f>
        <v/>
      </c>
      <c r="G374" s="66">
        <f>'Project Database'!K378</f>
        <v/>
      </c>
      <c r="H374" s="66">
        <f>'Project Database'!L378</f>
        <v/>
      </c>
      <c r="I374" s="66">
        <f>'Project Database'!M378</f>
        <v/>
      </c>
      <c r="J374" s="66">
        <f>'Project Database'!N378</f>
        <v/>
      </c>
      <c r="K374" s="66">
        <f>'Project Database'!O378</f>
        <v/>
      </c>
      <c r="L374" s="66">
        <f>'Project Database'!P378</f>
        <v/>
      </c>
      <c r="M374" s="66">
        <f>'Project Database'!Q378</f>
        <v/>
      </c>
      <c r="N374" s="66">
        <f>'Project Database'!R378</f>
        <v/>
      </c>
      <c r="O374" s="66">
        <f>'Project Database'!S378</f>
        <v/>
      </c>
      <c r="P374" s="66">
        <f>'Project Database'!T378</f>
        <v/>
      </c>
      <c r="Q374" s="66">
        <f>'Project Database'!U378</f>
        <v/>
      </c>
      <c r="R374" s="66">
        <f>'Project Database'!V378</f>
        <v/>
      </c>
      <c r="S374" s="66">
        <f>'Project Database'!W378</f>
        <v/>
      </c>
      <c r="T374" s="66">
        <f>'Project Database'!X378</f>
        <v/>
      </c>
      <c r="U374" s="67">
        <f>'Project Database'!Y378</f>
        <v/>
      </c>
      <c r="V374" s="66">
        <f>IF('Smart Search'!B13=1,IFERROR(1/'Smart Search'!H13,0),0)</f>
        <v/>
      </c>
      <c r="W374" s="66">
        <f>IF('Smart Search'!B13=1,IFERROR(1/'Smart Search'!H13,0),0)</f>
        <v/>
      </c>
      <c r="X374" s="66">
        <f>IF('Smart Search'!C13=1,IFERROR(1/'Smart Search'!H13,0),0)</f>
        <v/>
      </c>
      <c r="Y374" s="66">
        <f>IF('Smart Search'!C13=1,IFERROR(1/'Smart Search'!H13,0),0)</f>
        <v/>
      </c>
      <c r="Z374" s="66">
        <f>IF('Smart Search'!D13=1,IFERROR(1/'Smart Search'!H13,0),0)</f>
        <v/>
      </c>
      <c r="AA374" s="66">
        <f>IF('Smart Search'!D13=1,IFERROR(1/'Smart Search'!H13,0),0)</f>
        <v/>
      </c>
      <c r="AB374" s="66">
        <f>IF('Smart Search'!E13=1,IFERROR(1/'Smart Search'!H13,0),0)</f>
        <v/>
      </c>
      <c r="AC374" s="66">
        <f>IF('Smart Search'!E13=1,IFERROR(1/'Smart Search'!H13,0),0)</f>
        <v/>
      </c>
      <c r="AD374" s="66">
        <f>IF('Smart Search'!F13=1,IFERROR(1/'Smart Search'!H13,0),0)</f>
        <v/>
      </c>
      <c r="AE374" s="66">
        <f>IF('Smart Search'!F13=1,IFERROR(1/'Smart Search'!H13,0),0)</f>
        <v/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66">
        <f>AF374*V374</f>
        <v/>
      </c>
      <c r="AQ374" s="66">
        <f>AG374*W374</f>
        <v/>
      </c>
      <c r="AR374" s="66">
        <f>AH374*X374</f>
        <v/>
      </c>
      <c r="AS374" s="66">
        <f>AI374*Y374</f>
        <v/>
      </c>
      <c r="AT374" s="66">
        <f>AJ374*Z374</f>
        <v/>
      </c>
      <c r="AU374" s="66">
        <f>AK374*AA374</f>
        <v/>
      </c>
      <c r="AV374" s="66">
        <f>AL374*AB374</f>
        <v/>
      </c>
      <c r="AW374" s="66">
        <f>AM374*AC374</f>
        <v/>
      </c>
      <c r="AX374" s="66">
        <f>AN374*AD374</f>
        <v/>
      </c>
      <c r="AY374" s="66">
        <f>AO374*AE374</f>
        <v/>
      </c>
      <c r="AZ374" s="66">
        <f>'Project Database'!Z378</f>
        <v/>
      </c>
      <c r="BA374" s="66">
        <f>IF(OR(A374="",'Smart Search'!H13=0),"",MAX(0,BE374*BF374*MAX(0,1-BG374)))</f>
        <v/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66">
        <f>IF('Smart Search'!G13=1,IFERROR(1/'Smart Search'!H13,0),0)</f>
        <v/>
      </c>
      <c r="BD374" s="66">
        <f>BB374*BC374</f>
        <v/>
      </c>
      <c r="BE374" s="66">
        <f>AP374+AQ374+AR374+AS374+AT374+AU374+AV374+AW374+AX374+AY374+BD374</f>
        <v/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5">
        <f>IF(AND('Project Database'!A378&lt;&gt;"",OR('Smart Search'!$L$5="",'Smart Search'!$L$5="All",TRIM('Project Database'!D378)=TRIM('Smart Search'!$L$5)),OR(TRIM('Smart Search'!$L$6)="",TRIM('Smart Search'!$L$6)="All",ISNUMBER(SEARCH(SUBSTITUTE(SUBSTITUTE(SUBSTITUTE(TRIM('Smart Search'!$L$6),"~","~~"),"*","~*"),"?","~?"),'Project Database'!C378))),OR('Smart Search'!$L$7="",AND('Project Database'!E378&lt;&gt;"",'Project Database'!E378='Smart Search'!$L$7)),OR('Smart Search'!$L$8="",'Smart Search'!$L$8="All",TRIM('Project Database'!F378)=TRIM('Smart Search'!$L$8))),IF(BA374="","",BA374+ROW()*0.0000000001),"")</f>
        <v/>
      </c>
      <c r="BI374" s="5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>
        <f>IF('Project Database'!A378="","",N('Project Database'!AC378))</f>
        <v/>
      </c>
      <c r="BK374" s="5">
        <f>IF('Project Database'!A378="","",N('Project Database'!AD378))</f>
        <v/>
      </c>
      <c r="BL374" s="5">
        <f>IF('Project Database'!A378="","",N('Project Database'!AE378))</f>
        <v/>
      </c>
      <c r="BM374" s="5">
        <f>IF('Project Database'!A378="","",N('Project Database'!AF378))</f>
        <v/>
      </c>
      <c r="BN374" s="5">
        <f>IF('Project Database'!A378="","",N('Project Database'!AG378))</f>
        <v/>
      </c>
      <c r="BO374" s="5">
        <f>IF('Project Database'!A378="","",N('Project Database'!AH378))</f>
        <v/>
      </c>
      <c r="BP374" s="5">
        <f>IF('Project Database'!A378="","",N('Project Database'!AI378))</f>
        <v/>
      </c>
      <c r="BQ374" s="5">
        <f>IF('Project Database'!A378="","",N('Project Database'!AJ378))</f>
        <v/>
      </c>
      <c r="BR374" s="5">
        <f>IF('Project Database'!A378="","",N('Project Database'!AK378))</f>
        <v/>
      </c>
      <c r="BS374" s="5">
        <f>IF('Project Database'!A378="","",N('Project Database'!AL378))</f>
        <v/>
      </c>
      <c r="BT374" s="5">
        <f>IF('Project Database'!A378="","",N('Project Database'!AM378))</f>
        <v/>
      </c>
      <c r="BU374" s="5">
        <f>IF('Project Database'!A378="","",N('Project Database'!AN378))</f>
        <v/>
      </c>
      <c r="BV374" s="5">
        <f>IF('Project Database'!A378="","",N('Project Database'!AO378))</f>
        <v/>
      </c>
      <c r="BW374" s="5">
        <f>IF('Project Database'!A378="","",N('Project Database'!AP378))</f>
        <v/>
      </c>
      <c r="BX374" s="5">
        <f>IF(A374="","",SUM(BJ374:BW374))</f>
        <v/>
      </c>
      <c r="BY374" s="5">
        <f>IF(A374="","",IFERROR(IF(ISNUMBER(U374),U374,VALUE(SUBSTITUTE(SUBSTITUTE(SUBSTITUTE(UPPER(TRIM(U374)),"M",""),",","")," ",""))),0))</f>
        <v/>
      </c>
    </row>
    <row r="375" ht="15" customHeight="1" s="74">
      <c r="A375" s="66">
        <f>'Project Database'!A379</f>
        <v/>
      </c>
      <c r="B375" s="66">
        <f>'Project Database'!B379</f>
        <v/>
      </c>
      <c r="C375" s="66">
        <f>'Project Database'!G379</f>
        <v/>
      </c>
      <c r="D375" s="66">
        <f>'Project Database'!H379</f>
        <v/>
      </c>
      <c r="E375" s="66">
        <f>'Project Database'!I379</f>
        <v/>
      </c>
      <c r="F375" s="66">
        <f>'Project Database'!J379</f>
        <v/>
      </c>
      <c r="G375" s="66">
        <f>'Project Database'!K379</f>
        <v/>
      </c>
      <c r="H375" s="66">
        <f>'Project Database'!L379</f>
        <v/>
      </c>
      <c r="I375" s="66">
        <f>'Project Database'!M379</f>
        <v/>
      </c>
      <c r="J375" s="66">
        <f>'Project Database'!N379</f>
        <v/>
      </c>
      <c r="K375" s="66">
        <f>'Project Database'!O379</f>
        <v/>
      </c>
      <c r="L375" s="66">
        <f>'Project Database'!P379</f>
        <v/>
      </c>
      <c r="M375" s="66">
        <f>'Project Database'!Q379</f>
        <v/>
      </c>
      <c r="N375" s="66">
        <f>'Project Database'!R379</f>
        <v/>
      </c>
      <c r="O375" s="66">
        <f>'Project Database'!S379</f>
        <v/>
      </c>
      <c r="P375" s="66">
        <f>'Project Database'!T379</f>
        <v/>
      </c>
      <c r="Q375" s="66">
        <f>'Project Database'!U379</f>
        <v/>
      </c>
      <c r="R375" s="66">
        <f>'Project Database'!V379</f>
        <v/>
      </c>
      <c r="S375" s="66">
        <f>'Project Database'!W379</f>
        <v/>
      </c>
      <c r="T375" s="66">
        <f>'Project Database'!X379</f>
        <v/>
      </c>
      <c r="U375" s="67">
        <f>'Project Database'!Y379</f>
        <v/>
      </c>
      <c r="V375" s="66">
        <f>IF('Smart Search'!B13=1,IFERROR(1/'Smart Search'!H13,0),0)</f>
        <v/>
      </c>
      <c r="W375" s="66">
        <f>IF('Smart Search'!B13=1,IFERROR(1/'Smart Search'!H13,0),0)</f>
        <v/>
      </c>
      <c r="X375" s="66">
        <f>IF('Smart Search'!C13=1,IFERROR(1/'Smart Search'!H13,0),0)</f>
        <v/>
      </c>
      <c r="Y375" s="66">
        <f>IF('Smart Search'!C13=1,IFERROR(1/'Smart Search'!H13,0),0)</f>
        <v/>
      </c>
      <c r="Z375" s="66">
        <f>IF('Smart Search'!D13=1,IFERROR(1/'Smart Search'!H13,0),0)</f>
        <v/>
      </c>
      <c r="AA375" s="66">
        <f>IF('Smart Search'!D13=1,IFERROR(1/'Smart Search'!H13,0),0)</f>
        <v/>
      </c>
      <c r="AB375" s="66">
        <f>IF('Smart Search'!E13=1,IFERROR(1/'Smart Search'!H13,0),0)</f>
        <v/>
      </c>
      <c r="AC375" s="66">
        <f>IF('Smart Search'!E13=1,IFERROR(1/'Smart Search'!H13,0),0)</f>
        <v/>
      </c>
      <c r="AD375" s="66">
        <f>IF('Smart Search'!F13=1,IFERROR(1/'Smart Search'!H13,0),0)</f>
        <v/>
      </c>
      <c r="AE375" s="66">
        <f>IF('Smart Search'!F13=1,IFERROR(1/'Smart Search'!H13,0),0)</f>
        <v/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66">
        <f>AF375*V375</f>
        <v/>
      </c>
      <c r="AQ375" s="66">
        <f>AG375*W375</f>
        <v/>
      </c>
      <c r="AR375" s="66">
        <f>AH375*X375</f>
        <v/>
      </c>
      <c r="AS375" s="66">
        <f>AI375*Y375</f>
        <v/>
      </c>
      <c r="AT375" s="66">
        <f>AJ375*Z375</f>
        <v/>
      </c>
      <c r="AU375" s="66">
        <f>AK375*AA375</f>
        <v/>
      </c>
      <c r="AV375" s="66">
        <f>AL375*AB375</f>
        <v/>
      </c>
      <c r="AW375" s="66">
        <f>AM375*AC375</f>
        <v/>
      </c>
      <c r="AX375" s="66">
        <f>AN375*AD375</f>
        <v/>
      </c>
      <c r="AY375" s="66">
        <f>AO375*AE375</f>
        <v/>
      </c>
      <c r="AZ375" s="66">
        <f>'Project Database'!Z379</f>
        <v/>
      </c>
      <c r="BA375" s="66">
        <f>IF(OR(A375="",'Smart Search'!H13=0),"",MAX(0,BE375*BF375*MAX(0,1-BG375)))</f>
        <v/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66">
        <f>IF('Smart Search'!G13=1,IFERROR(1/'Smart Search'!H13,0),0)</f>
        <v/>
      </c>
      <c r="BD375" s="66">
        <f>BB375*BC375</f>
        <v/>
      </c>
      <c r="BE375" s="66">
        <f>AP375+AQ375+AR375+AS375+AT375+AU375+AV375+AW375+AX375+AY375+BD375</f>
        <v/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5">
        <f>IF(AND('Project Database'!A379&lt;&gt;"",OR('Smart Search'!$L$5="",'Smart Search'!$L$5="All",TRIM('Project Database'!D379)=TRIM('Smart Search'!$L$5)),OR(TRIM('Smart Search'!$L$6)="",TRIM('Smart Search'!$L$6)="All",ISNUMBER(SEARCH(SUBSTITUTE(SUBSTITUTE(SUBSTITUTE(TRIM('Smart Search'!$L$6),"~","~~"),"*","~*"),"?","~?"),'Project Database'!C379))),OR('Smart Search'!$L$7="",AND('Project Database'!E379&lt;&gt;"",'Project Database'!E379='Smart Search'!$L$7)),OR('Smart Search'!$L$8="",'Smart Search'!$L$8="All",TRIM('Project Database'!F379)=TRIM('Smart Search'!$L$8))),IF(BA375="","",BA375+ROW()*0.0000000001),"")</f>
        <v/>
      </c>
      <c r="BI375" s="5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>
        <f>IF('Project Database'!A379="","",N('Project Database'!AC379))</f>
        <v/>
      </c>
      <c r="BK375" s="5">
        <f>IF('Project Database'!A379="","",N('Project Database'!AD379))</f>
        <v/>
      </c>
      <c r="BL375" s="5">
        <f>IF('Project Database'!A379="","",N('Project Database'!AE379))</f>
        <v/>
      </c>
      <c r="BM375" s="5">
        <f>IF('Project Database'!A379="","",N('Project Database'!AF379))</f>
        <v/>
      </c>
      <c r="BN375" s="5">
        <f>IF('Project Database'!A379="","",N('Project Database'!AG379))</f>
        <v/>
      </c>
      <c r="BO375" s="5">
        <f>IF('Project Database'!A379="","",N('Project Database'!AH379))</f>
        <v/>
      </c>
      <c r="BP375" s="5">
        <f>IF('Project Database'!A379="","",N('Project Database'!AI379))</f>
        <v/>
      </c>
      <c r="BQ375" s="5">
        <f>IF('Project Database'!A379="","",N('Project Database'!AJ379))</f>
        <v/>
      </c>
      <c r="BR375" s="5">
        <f>IF('Project Database'!A379="","",N('Project Database'!AK379))</f>
        <v/>
      </c>
      <c r="BS375" s="5">
        <f>IF('Project Database'!A379="","",N('Project Database'!AL379))</f>
        <v/>
      </c>
      <c r="BT375" s="5">
        <f>IF('Project Database'!A379="","",N('Project Database'!AM379))</f>
        <v/>
      </c>
      <c r="BU375" s="5">
        <f>IF('Project Database'!A379="","",N('Project Database'!AN379))</f>
        <v/>
      </c>
      <c r="BV375" s="5">
        <f>IF('Project Database'!A379="","",N('Project Database'!AO379))</f>
        <v/>
      </c>
      <c r="BW375" s="5">
        <f>IF('Project Database'!A379="","",N('Project Database'!AP379))</f>
        <v/>
      </c>
      <c r="BX375" s="5">
        <f>IF(A375="","",SUM(BJ375:BW375))</f>
        <v/>
      </c>
      <c r="BY375" s="5">
        <f>IF(A375="","",IFERROR(IF(ISNUMBER(U375),U375,VALUE(SUBSTITUTE(SUBSTITUTE(SUBSTITUTE(UPPER(TRIM(U375)),"M",""),",","")," ",""))),0))</f>
        <v/>
      </c>
    </row>
    <row r="376" ht="15" customHeight="1" s="74">
      <c r="A376" s="66">
        <f>'Project Database'!A380</f>
        <v/>
      </c>
      <c r="B376" s="66">
        <f>'Project Database'!B380</f>
        <v/>
      </c>
      <c r="C376" s="66">
        <f>'Project Database'!G380</f>
        <v/>
      </c>
      <c r="D376" s="66">
        <f>'Project Database'!H380</f>
        <v/>
      </c>
      <c r="E376" s="66">
        <f>'Project Database'!I380</f>
        <v/>
      </c>
      <c r="F376" s="66">
        <f>'Project Database'!J380</f>
        <v/>
      </c>
      <c r="G376" s="66">
        <f>'Project Database'!K380</f>
        <v/>
      </c>
      <c r="H376" s="66">
        <f>'Project Database'!L380</f>
        <v/>
      </c>
      <c r="I376" s="66">
        <f>'Project Database'!M380</f>
        <v/>
      </c>
      <c r="J376" s="66">
        <f>'Project Database'!N380</f>
        <v/>
      </c>
      <c r="K376" s="66">
        <f>'Project Database'!O380</f>
        <v/>
      </c>
      <c r="L376" s="66">
        <f>'Project Database'!P380</f>
        <v/>
      </c>
      <c r="M376" s="66">
        <f>'Project Database'!Q380</f>
        <v/>
      </c>
      <c r="N376" s="66">
        <f>'Project Database'!R380</f>
        <v/>
      </c>
      <c r="O376" s="66">
        <f>'Project Database'!S380</f>
        <v/>
      </c>
      <c r="P376" s="66">
        <f>'Project Database'!T380</f>
        <v/>
      </c>
      <c r="Q376" s="66">
        <f>'Project Database'!U380</f>
        <v/>
      </c>
      <c r="R376" s="66">
        <f>'Project Database'!V380</f>
        <v/>
      </c>
      <c r="S376" s="66">
        <f>'Project Database'!W380</f>
        <v/>
      </c>
      <c r="T376" s="66">
        <f>'Project Database'!X380</f>
        <v/>
      </c>
      <c r="U376" s="67">
        <f>'Project Database'!Y380</f>
        <v/>
      </c>
      <c r="V376" s="66">
        <f>IF('Smart Search'!B13=1,IFERROR(1/'Smart Search'!H13,0),0)</f>
        <v/>
      </c>
      <c r="W376" s="66">
        <f>IF('Smart Search'!B13=1,IFERROR(1/'Smart Search'!H13,0),0)</f>
        <v/>
      </c>
      <c r="X376" s="66">
        <f>IF('Smart Search'!C13=1,IFERROR(1/'Smart Search'!H13,0),0)</f>
        <v/>
      </c>
      <c r="Y376" s="66">
        <f>IF('Smart Search'!C13=1,IFERROR(1/'Smart Search'!H13,0),0)</f>
        <v/>
      </c>
      <c r="Z376" s="66">
        <f>IF('Smart Search'!D13=1,IFERROR(1/'Smart Search'!H13,0),0)</f>
        <v/>
      </c>
      <c r="AA376" s="66">
        <f>IF('Smart Search'!D13=1,IFERROR(1/'Smart Search'!H13,0),0)</f>
        <v/>
      </c>
      <c r="AB376" s="66">
        <f>IF('Smart Search'!E13=1,IFERROR(1/'Smart Search'!H13,0),0)</f>
        <v/>
      </c>
      <c r="AC376" s="66">
        <f>IF('Smart Search'!E13=1,IFERROR(1/'Smart Search'!H13,0),0)</f>
        <v/>
      </c>
      <c r="AD376" s="66">
        <f>IF('Smart Search'!F13=1,IFERROR(1/'Smart Search'!H13,0),0)</f>
        <v/>
      </c>
      <c r="AE376" s="66">
        <f>IF('Smart Search'!F13=1,IFERROR(1/'Smart Search'!H13,0),0)</f>
        <v/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66">
        <f>AF376*V376</f>
        <v/>
      </c>
      <c r="AQ376" s="66">
        <f>AG376*W376</f>
        <v/>
      </c>
      <c r="AR376" s="66">
        <f>AH376*X376</f>
        <v/>
      </c>
      <c r="AS376" s="66">
        <f>AI376*Y376</f>
        <v/>
      </c>
      <c r="AT376" s="66">
        <f>AJ376*Z376</f>
        <v/>
      </c>
      <c r="AU376" s="66">
        <f>AK376*AA376</f>
        <v/>
      </c>
      <c r="AV376" s="66">
        <f>AL376*AB376</f>
        <v/>
      </c>
      <c r="AW376" s="66">
        <f>AM376*AC376</f>
        <v/>
      </c>
      <c r="AX376" s="66">
        <f>AN376*AD376</f>
        <v/>
      </c>
      <c r="AY376" s="66">
        <f>AO376*AE376</f>
        <v/>
      </c>
      <c r="AZ376" s="66">
        <f>'Project Database'!Z380</f>
        <v/>
      </c>
      <c r="BA376" s="66">
        <f>IF(OR(A376="",'Smart Search'!H13=0),"",MAX(0,BE376*BF376*MAX(0,1-BG376)))</f>
        <v/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66">
        <f>IF('Smart Search'!G13=1,IFERROR(1/'Smart Search'!H13,0),0)</f>
        <v/>
      </c>
      <c r="BD376" s="66">
        <f>BB376*BC376</f>
        <v/>
      </c>
      <c r="BE376" s="66">
        <f>AP376+AQ376+AR376+AS376+AT376+AU376+AV376+AW376+AX376+AY376+BD376</f>
        <v/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5">
        <f>IF(AND('Project Database'!A380&lt;&gt;"",OR('Smart Search'!$L$5="",'Smart Search'!$L$5="All",TRIM('Project Database'!D380)=TRIM('Smart Search'!$L$5)),OR(TRIM('Smart Search'!$L$6)="",TRIM('Smart Search'!$L$6)="All",ISNUMBER(SEARCH(SUBSTITUTE(SUBSTITUTE(SUBSTITUTE(TRIM('Smart Search'!$L$6),"~","~~"),"*","~*"),"?","~?"),'Project Database'!C380))),OR('Smart Search'!$L$7="",AND('Project Database'!E380&lt;&gt;"",'Project Database'!E380='Smart Search'!$L$7)),OR('Smart Search'!$L$8="",'Smart Search'!$L$8="All",TRIM('Project Database'!F380)=TRIM('Smart Search'!$L$8))),IF(BA376="","",BA376+ROW()*0.0000000001),"")</f>
        <v/>
      </c>
      <c r="BI376" s="5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>
        <f>IF('Project Database'!A380="","",N('Project Database'!AC380))</f>
        <v/>
      </c>
      <c r="BK376" s="5">
        <f>IF('Project Database'!A380="","",N('Project Database'!AD380))</f>
        <v/>
      </c>
      <c r="BL376" s="5">
        <f>IF('Project Database'!A380="","",N('Project Database'!AE380))</f>
        <v/>
      </c>
      <c r="BM376" s="5">
        <f>IF('Project Database'!A380="","",N('Project Database'!AF380))</f>
        <v/>
      </c>
      <c r="BN376" s="5">
        <f>IF('Project Database'!A380="","",N('Project Database'!AG380))</f>
        <v/>
      </c>
      <c r="BO376" s="5">
        <f>IF('Project Database'!A380="","",N('Project Database'!AH380))</f>
        <v/>
      </c>
      <c r="BP376" s="5">
        <f>IF('Project Database'!A380="","",N('Project Database'!AI380))</f>
        <v/>
      </c>
      <c r="BQ376" s="5">
        <f>IF('Project Database'!A380="","",N('Project Database'!AJ380))</f>
        <v/>
      </c>
      <c r="BR376" s="5">
        <f>IF('Project Database'!A380="","",N('Project Database'!AK380))</f>
        <v/>
      </c>
      <c r="BS376" s="5">
        <f>IF('Project Database'!A380="","",N('Project Database'!AL380))</f>
        <v/>
      </c>
      <c r="BT376" s="5">
        <f>IF('Project Database'!A380="","",N('Project Database'!AM380))</f>
        <v/>
      </c>
      <c r="BU376" s="5">
        <f>IF('Project Database'!A380="","",N('Project Database'!AN380))</f>
        <v/>
      </c>
      <c r="BV376" s="5">
        <f>IF('Project Database'!A380="","",N('Project Database'!AO380))</f>
        <v/>
      </c>
      <c r="BW376" s="5">
        <f>IF('Project Database'!A380="","",N('Project Database'!AP380))</f>
        <v/>
      </c>
      <c r="BX376" s="5">
        <f>IF(A376="","",SUM(BJ376:BW376))</f>
        <v/>
      </c>
      <c r="BY376" s="5">
        <f>IF(A376="","",IFERROR(IF(ISNUMBER(U376),U376,VALUE(SUBSTITUTE(SUBSTITUTE(SUBSTITUTE(UPPER(TRIM(U376)),"M",""),",","")," ",""))),0))</f>
        <v/>
      </c>
    </row>
    <row r="377" ht="15" customHeight="1" s="74">
      <c r="A377" s="66">
        <f>'Project Database'!A381</f>
        <v/>
      </c>
      <c r="B377" s="66">
        <f>'Project Database'!B381</f>
        <v/>
      </c>
      <c r="C377" s="66">
        <f>'Project Database'!G381</f>
        <v/>
      </c>
      <c r="D377" s="66">
        <f>'Project Database'!H381</f>
        <v/>
      </c>
      <c r="E377" s="66">
        <f>'Project Database'!I381</f>
        <v/>
      </c>
      <c r="F377" s="66">
        <f>'Project Database'!J381</f>
        <v/>
      </c>
      <c r="G377" s="66">
        <f>'Project Database'!K381</f>
        <v/>
      </c>
      <c r="H377" s="66">
        <f>'Project Database'!L381</f>
        <v/>
      </c>
      <c r="I377" s="66">
        <f>'Project Database'!M381</f>
        <v/>
      </c>
      <c r="J377" s="66">
        <f>'Project Database'!N381</f>
        <v/>
      </c>
      <c r="K377" s="66">
        <f>'Project Database'!O381</f>
        <v/>
      </c>
      <c r="L377" s="66">
        <f>'Project Database'!P381</f>
        <v/>
      </c>
      <c r="M377" s="66">
        <f>'Project Database'!Q381</f>
        <v/>
      </c>
      <c r="N377" s="66">
        <f>'Project Database'!R381</f>
        <v/>
      </c>
      <c r="O377" s="66">
        <f>'Project Database'!S381</f>
        <v/>
      </c>
      <c r="P377" s="66">
        <f>'Project Database'!T381</f>
        <v/>
      </c>
      <c r="Q377" s="66">
        <f>'Project Database'!U381</f>
        <v/>
      </c>
      <c r="R377" s="66">
        <f>'Project Database'!V381</f>
        <v/>
      </c>
      <c r="S377" s="66">
        <f>'Project Database'!W381</f>
        <v/>
      </c>
      <c r="T377" s="66">
        <f>'Project Database'!X381</f>
        <v/>
      </c>
      <c r="U377" s="67">
        <f>'Project Database'!Y381</f>
        <v/>
      </c>
      <c r="V377" s="66">
        <f>IF('Smart Search'!B13=1,IFERROR(1/'Smart Search'!H13,0),0)</f>
        <v/>
      </c>
      <c r="W377" s="66">
        <f>IF('Smart Search'!B13=1,IFERROR(1/'Smart Search'!H13,0),0)</f>
        <v/>
      </c>
      <c r="X377" s="66">
        <f>IF('Smart Search'!C13=1,IFERROR(1/'Smart Search'!H13,0),0)</f>
        <v/>
      </c>
      <c r="Y377" s="66">
        <f>IF('Smart Search'!C13=1,IFERROR(1/'Smart Search'!H13,0),0)</f>
        <v/>
      </c>
      <c r="Z377" s="66">
        <f>IF('Smart Search'!D13=1,IFERROR(1/'Smart Search'!H13,0),0)</f>
        <v/>
      </c>
      <c r="AA377" s="66">
        <f>IF('Smart Search'!D13=1,IFERROR(1/'Smart Search'!H13,0),0)</f>
        <v/>
      </c>
      <c r="AB377" s="66">
        <f>IF('Smart Search'!E13=1,IFERROR(1/'Smart Search'!H13,0),0)</f>
        <v/>
      </c>
      <c r="AC377" s="66">
        <f>IF('Smart Search'!E13=1,IFERROR(1/'Smart Search'!H13,0),0)</f>
        <v/>
      </c>
      <c r="AD377" s="66">
        <f>IF('Smart Search'!F13=1,IFERROR(1/'Smart Search'!H13,0),0)</f>
        <v/>
      </c>
      <c r="AE377" s="66">
        <f>IF('Smart Search'!F13=1,IFERROR(1/'Smart Search'!H13,0),0)</f>
        <v/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66">
        <f>AF377*V377</f>
        <v/>
      </c>
      <c r="AQ377" s="66">
        <f>AG377*W377</f>
        <v/>
      </c>
      <c r="AR377" s="66">
        <f>AH377*X377</f>
        <v/>
      </c>
      <c r="AS377" s="66">
        <f>AI377*Y377</f>
        <v/>
      </c>
      <c r="AT377" s="66">
        <f>AJ377*Z377</f>
        <v/>
      </c>
      <c r="AU377" s="66">
        <f>AK377*AA377</f>
        <v/>
      </c>
      <c r="AV377" s="66">
        <f>AL377*AB377</f>
        <v/>
      </c>
      <c r="AW377" s="66">
        <f>AM377*AC377</f>
        <v/>
      </c>
      <c r="AX377" s="66">
        <f>AN377*AD377</f>
        <v/>
      </c>
      <c r="AY377" s="66">
        <f>AO377*AE377</f>
        <v/>
      </c>
      <c r="AZ377" s="66">
        <f>'Project Database'!Z381</f>
        <v/>
      </c>
      <c r="BA377" s="66">
        <f>IF(OR(A377="",'Smart Search'!H13=0),"",MAX(0,BE377*BF377*MAX(0,1-BG377)))</f>
        <v/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66">
        <f>IF('Smart Search'!G13=1,IFERROR(1/'Smart Search'!H13,0),0)</f>
        <v/>
      </c>
      <c r="BD377" s="66">
        <f>BB377*BC377</f>
        <v/>
      </c>
      <c r="BE377" s="66">
        <f>AP377+AQ377+AR377+AS377+AT377+AU377+AV377+AW377+AX377+AY377+BD377</f>
        <v/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5">
        <f>IF(AND('Project Database'!A381&lt;&gt;"",OR('Smart Search'!$L$5="",'Smart Search'!$L$5="All",TRIM('Project Database'!D381)=TRIM('Smart Search'!$L$5)),OR(TRIM('Smart Search'!$L$6)="",TRIM('Smart Search'!$L$6)="All",ISNUMBER(SEARCH(SUBSTITUTE(SUBSTITUTE(SUBSTITUTE(TRIM('Smart Search'!$L$6),"~","~~"),"*","~*"),"?","~?"),'Project Database'!C381))),OR('Smart Search'!$L$7="",AND('Project Database'!E381&lt;&gt;"",'Project Database'!E381='Smart Search'!$L$7)),OR('Smart Search'!$L$8="",'Smart Search'!$L$8="All",TRIM('Project Database'!F381)=TRIM('Smart Search'!$L$8))),IF(BA377="","",BA377+ROW()*0.0000000001),"")</f>
        <v/>
      </c>
      <c r="BI377" s="5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>
        <f>IF('Project Database'!A381="","",N('Project Database'!AC381))</f>
        <v/>
      </c>
      <c r="BK377" s="5">
        <f>IF('Project Database'!A381="","",N('Project Database'!AD381))</f>
        <v/>
      </c>
      <c r="BL377" s="5">
        <f>IF('Project Database'!A381="","",N('Project Database'!AE381))</f>
        <v/>
      </c>
      <c r="BM377" s="5">
        <f>IF('Project Database'!A381="","",N('Project Database'!AF381))</f>
        <v/>
      </c>
      <c r="BN377" s="5">
        <f>IF('Project Database'!A381="","",N('Project Database'!AG381))</f>
        <v/>
      </c>
      <c r="BO377" s="5">
        <f>IF('Project Database'!A381="","",N('Project Database'!AH381))</f>
        <v/>
      </c>
      <c r="BP377" s="5">
        <f>IF('Project Database'!A381="","",N('Project Database'!AI381))</f>
        <v/>
      </c>
      <c r="BQ377" s="5">
        <f>IF('Project Database'!A381="","",N('Project Database'!AJ381))</f>
        <v/>
      </c>
      <c r="BR377" s="5">
        <f>IF('Project Database'!A381="","",N('Project Database'!AK381))</f>
        <v/>
      </c>
      <c r="BS377" s="5">
        <f>IF('Project Database'!A381="","",N('Project Database'!AL381))</f>
        <v/>
      </c>
      <c r="BT377" s="5">
        <f>IF('Project Database'!A381="","",N('Project Database'!AM381))</f>
        <v/>
      </c>
      <c r="BU377" s="5">
        <f>IF('Project Database'!A381="","",N('Project Database'!AN381))</f>
        <v/>
      </c>
      <c r="BV377" s="5">
        <f>IF('Project Database'!A381="","",N('Project Database'!AO381))</f>
        <v/>
      </c>
      <c r="BW377" s="5">
        <f>IF('Project Database'!A381="","",N('Project Database'!AP381))</f>
        <v/>
      </c>
      <c r="BX377" s="5">
        <f>IF(A377="","",SUM(BJ377:BW377))</f>
        <v/>
      </c>
      <c r="BY377" s="5">
        <f>IF(A377="","",IFERROR(IF(ISNUMBER(U377),U377,VALUE(SUBSTITUTE(SUBSTITUTE(SUBSTITUTE(UPPER(TRIM(U377)),"M",""),",","")," ",""))),0))</f>
        <v/>
      </c>
    </row>
    <row r="378" ht="15" customHeight="1" s="74">
      <c r="A378" s="66">
        <f>'Project Database'!A382</f>
        <v/>
      </c>
      <c r="B378" s="66">
        <f>'Project Database'!B382</f>
        <v/>
      </c>
      <c r="C378" s="66">
        <f>'Project Database'!G382</f>
        <v/>
      </c>
      <c r="D378" s="66">
        <f>'Project Database'!H382</f>
        <v/>
      </c>
      <c r="E378" s="66">
        <f>'Project Database'!I382</f>
        <v/>
      </c>
      <c r="F378" s="66">
        <f>'Project Database'!J382</f>
        <v/>
      </c>
      <c r="G378" s="66">
        <f>'Project Database'!K382</f>
        <v/>
      </c>
      <c r="H378" s="66">
        <f>'Project Database'!L382</f>
        <v/>
      </c>
      <c r="I378" s="66">
        <f>'Project Database'!M382</f>
        <v/>
      </c>
      <c r="J378" s="66">
        <f>'Project Database'!N382</f>
        <v/>
      </c>
      <c r="K378" s="66">
        <f>'Project Database'!O382</f>
        <v/>
      </c>
      <c r="L378" s="66">
        <f>'Project Database'!P382</f>
        <v/>
      </c>
      <c r="M378" s="66">
        <f>'Project Database'!Q382</f>
        <v/>
      </c>
      <c r="N378" s="66">
        <f>'Project Database'!R382</f>
        <v/>
      </c>
      <c r="O378" s="66">
        <f>'Project Database'!S382</f>
        <v/>
      </c>
      <c r="P378" s="66">
        <f>'Project Database'!T382</f>
        <v/>
      </c>
      <c r="Q378" s="66">
        <f>'Project Database'!U382</f>
        <v/>
      </c>
      <c r="R378" s="66">
        <f>'Project Database'!V382</f>
        <v/>
      </c>
      <c r="S378" s="66">
        <f>'Project Database'!W382</f>
        <v/>
      </c>
      <c r="T378" s="66">
        <f>'Project Database'!X382</f>
        <v/>
      </c>
      <c r="U378" s="67">
        <f>'Project Database'!Y382</f>
        <v/>
      </c>
      <c r="V378" s="66">
        <f>IF('Smart Search'!B13=1,IFERROR(1/'Smart Search'!H13,0),0)</f>
        <v/>
      </c>
      <c r="W378" s="66">
        <f>IF('Smart Search'!B13=1,IFERROR(1/'Smart Search'!H13,0),0)</f>
        <v/>
      </c>
      <c r="X378" s="66">
        <f>IF('Smart Search'!C13=1,IFERROR(1/'Smart Search'!H13,0),0)</f>
        <v/>
      </c>
      <c r="Y378" s="66">
        <f>IF('Smart Search'!C13=1,IFERROR(1/'Smart Search'!H13,0),0)</f>
        <v/>
      </c>
      <c r="Z378" s="66">
        <f>IF('Smart Search'!D13=1,IFERROR(1/'Smart Search'!H13,0),0)</f>
        <v/>
      </c>
      <c r="AA378" s="66">
        <f>IF('Smart Search'!D13=1,IFERROR(1/'Smart Search'!H13,0),0)</f>
        <v/>
      </c>
      <c r="AB378" s="66">
        <f>IF('Smart Search'!E13=1,IFERROR(1/'Smart Search'!H13,0),0)</f>
        <v/>
      </c>
      <c r="AC378" s="66">
        <f>IF('Smart Search'!E13=1,IFERROR(1/'Smart Search'!H13,0),0)</f>
        <v/>
      </c>
      <c r="AD378" s="66">
        <f>IF('Smart Search'!F13=1,IFERROR(1/'Smart Search'!H13,0),0)</f>
        <v/>
      </c>
      <c r="AE378" s="66">
        <f>IF('Smart Search'!F13=1,IFERROR(1/'Smart Search'!H13,0),0)</f>
        <v/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66">
        <f>AF378*V378</f>
        <v/>
      </c>
      <c r="AQ378" s="66">
        <f>AG378*W378</f>
        <v/>
      </c>
      <c r="AR378" s="66">
        <f>AH378*X378</f>
        <v/>
      </c>
      <c r="AS378" s="66">
        <f>AI378*Y378</f>
        <v/>
      </c>
      <c r="AT378" s="66">
        <f>AJ378*Z378</f>
        <v/>
      </c>
      <c r="AU378" s="66">
        <f>AK378*AA378</f>
        <v/>
      </c>
      <c r="AV378" s="66">
        <f>AL378*AB378</f>
        <v/>
      </c>
      <c r="AW378" s="66">
        <f>AM378*AC378</f>
        <v/>
      </c>
      <c r="AX378" s="66">
        <f>AN378*AD378</f>
        <v/>
      </c>
      <c r="AY378" s="66">
        <f>AO378*AE378</f>
        <v/>
      </c>
      <c r="AZ378" s="66">
        <f>'Project Database'!Z382</f>
        <v/>
      </c>
      <c r="BA378" s="66">
        <f>IF(OR(A378="",'Smart Search'!H13=0),"",MAX(0,BE378*BF378*MAX(0,1-BG378)))</f>
        <v/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66">
        <f>IF('Smart Search'!G13=1,IFERROR(1/'Smart Search'!H13,0),0)</f>
        <v/>
      </c>
      <c r="BD378" s="66">
        <f>BB378*BC378</f>
        <v/>
      </c>
      <c r="BE378" s="66">
        <f>AP378+AQ378+AR378+AS378+AT378+AU378+AV378+AW378+AX378+AY378+BD378</f>
        <v/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5">
        <f>IF(AND('Project Database'!A382&lt;&gt;"",OR('Smart Search'!$L$5="",'Smart Search'!$L$5="All",TRIM('Project Database'!D382)=TRIM('Smart Search'!$L$5)),OR(TRIM('Smart Search'!$L$6)="",TRIM('Smart Search'!$L$6)="All",ISNUMBER(SEARCH(SUBSTITUTE(SUBSTITUTE(SUBSTITUTE(TRIM('Smart Search'!$L$6),"~","~~"),"*","~*"),"?","~?"),'Project Database'!C382))),OR('Smart Search'!$L$7="",AND('Project Database'!E382&lt;&gt;"",'Project Database'!E382='Smart Search'!$L$7)),OR('Smart Search'!$L$8="",'Smart Search'!$L$8="All",TRIM('Project Database'!F382)=TRIM('Smart Search'!$L$8))),IF(BA378="","",BA378+ROW()*0.0000000001),"")</f>
        <v/>
      </c>
      <c r="BI378" s="5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>
        <f>IF('Project Database'!A382="","",N('Project Database'!AC382))</f>
        <v/>
      </c>
      <c r="BK378" s="5">
        <f>IF('Project Database'!A382="","",N('Project Database'!AD382))</f>
        <v/>
      </c>
      <c r="BL378" s="5">
        <f>IF('Project Database'!A382="","",N('Project Database'!AE382))</f>
        <v/>
      </c>
      <c r="BM378" s="5">
        <f>IF('Project Database'!A382="","",N('Project Database'!AF382))</f>
        <v/>
      </c>
      <c r="BN378" s="5">
        <f>IF('Project Database'!A382="","",N('Project Database'!AG382))</f>
        <v/>
      </c>
      <c r="BO378" s="5">
        <f>IF('Project Database'!A382="","",N('Project Database'!AH382))</f>
        <v/>
      </c>
      <c r="BP378" s="5">
        <f>IF('Project Database'!A382="","",N('Project Database'!AI382))</f>
        <v/>
      </c>
      <c r="BQ378" s="5">
        <f>IF('Project Database'!A382="","",N('Project Database'!AJ382))</f>
        <v/>
      </c>
      <c r="BR378" s="5">
        <f>IF('Project Database'!A382="","",N('Project Database'!AK382))</f>
        <v/>
      </c>
      <c r="BS378" s="5">
        <f>IF('Project Database'!A382="","",N('Project Database'!AL382))</f>
        <v/>
      </c>
      <c r="BT378" s="5">
        <f>IF('Project Database'!A382="","",N('Project Database'!AM382))</f>
        <v/>
      </c>
      <c r="BU378" s="5">
        <f>IF('Project Database'!A382="","",N('Project Database'!AN382))</f>
        <v/>
      </c>
      <c r="BV378" s="5">
        <f>IF('Project Database'!A382="","",N('Project Database'!AO382))</f>
        <v/>
      </c>
      <c r="BW378" s="5">
        <f>IF('Project Database'!A382="","",N('Project Database'!AP382))</f>
        <v/>
      </c>
      <c r="BX378" s="5">
        <f>IF(A378="","",SUM(BJ378:BW378))</f>
        <v/>
      </c>
      <c r="BY378" s="5">
        <f>IF(A378="","",IFERROR(IF(ISNUMBER(U378),U378,VALUE(SUBSTITUTE(SUBSTITUTE(SUBSTITUTE(UPPER(TRIM(U378)),"M",""),",","")," ",""))),0))</f>
        <v/>
      </c>
    </row>
    <row r="379" ht="15" customHeight="1" s="74">
      <c r="A379" s="66">
        <f>'Project Database'!A383</f>
        <v/>
      </c>
      <c r="B379" s="66">
        <f>'Project Database'!B383</f>
        <v/>
      </c>
      <c r="C379" s="66">
        <f>'Project Database'!G383</f>
        <v/>
      </c>
      <c r="D379" s="66">
        <f>'Project Database'!H383</f>
        <v/>
      </c>
      <c r="E379" s="66">
        <f>'Project Database'!I383</f>
        <v/>
      </c>
      <c r="F379" s="66">
        <f>'Project Database'!J383</f>
        <v/>
      </c>
      <c r="G379" s="66">
        <f>'Project Database'!K383</f>
        <v/>
      </c>
      <c r="H379" s="66">
        <f>'Project Database'!L383</f>
        <v/>
      </c>
      <c r="I379" s="66">
        <f>'Project Database'!M383</f>
        <v/>
      </c>
      <c r="J379" s="66">
        <f>'Project Database'!N383</f>
        <v/>
      </c>
      <c r="K379" s="66">
        <f>'Project Database'!O383</f>
        <v/>
      </c>
      <c r="L379" s="66">
        <f>'Project Database'!P383</f>
        <v/>
      </c>
      <c r="M379" s="66">
        <f>'Project Database'!Q383</f>
        <v/>
      </c>
      <c r="N379" s="66">
        <f>'Project Database'!R383</f>
        <v/>
      </c>
      <c r="O379" s="66">
        <f>'Project Database'!S383</f>
        <v/>
      </c>
      <c r="P379" s="66">
        <f>'Project Database'!T383</f>
        <v/>
      </c>
      <c r="Q379" s="66">
        <f>'Project Database'!U383</f>
        <v/>
      </c>
      <c r="R379" s="66">
        <f>'Project Database'!V383</f>
        <v/>
      </c>
      <c r="S379" s="66">
        <f>'Project Database'!W383</f>
        <v/>
      </c>
      <c r="T379" s="66">
        <f>'Project Database'!X383</f>
        <v/>
      </c>
      <c r="U379" s="67">
        <f>'Project Database'!Y383</f>
        <v/>
      </c>
      <c r="V379" s="66">
        <f>IF('Smart Search'!B13=1,IFERROR(1/'Smart Search'!H13,0),0)</f>
        <v/>
      </c>
      <c r="W379" s="66">
        <f>IF('Smart Search'!B13=1,IFERROR(1/'Smart Search'!H13,0),0)</f>
        <v/>
      </c>
      <c r="X379" s="66">
        <f>IF('Smart Search'!C13=1,IFERROR(1/'Smart Search'!H13,0),0)</f>
        <v/>
      </c>
      <c r="Y379" s="66">
        <f>IF('Smart Search'!C13=1,IFERROR(1/'Smart Search'!H13,0),0)</f>
        <v/>
      </c>
      <c r="Z379" s="66">
        <f>IF('Smart Search'!D13=1,IFERROR(1/'Smart Search'!H13,0),0)</f>
        <v/>
      </c>
      <c r="AA379" s="66">
        <f>IF('Smart Search'!D13=1,IFERROR(1/'Smart Search'!H13,0),0)</f>
        <v/>
      </c>
      <c r="AB379" s="66">
        <f>IF('Smart Search'!E13=1,IFERROR(1/'Smart Search'!H13,0),0)</f>
        <v/>
      </c>
      <c r="AC379" s="66">
        <f>IF('Smart Search'!E13=1,IFERROR(1/'Smart Search'!H13,0),0)</f>
        <v/>
      </c>
      <c r="AD379" s="66">
        <f>IF('Smart Search'!F13=1,IFERROR(1/'Smart Search'!H13,0),0)</f>
        <v/>
      </c>
      <c r="AE379" s="66">
        <f>IF('Smart Search'!F13=1,IFERROR(1/'Smart Search'!H13,0),0)</f>
        <v/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66">
        <f>AF379*V379</f>
        <v/>
      </c>
      <c r="AQ379" s="66">
        <f>AG379*W379</f>
        <v/>
      </c>
      <c r="AR379" s="66">
        <f>AH379*X379</f>
        <v/>
      </c>
      <c r="AS379" s="66">
        <f>AI379*Y379</f>
        <v/>
      </c>
      <c r="AT379" s="66">
        <f>AJ379*Z379</f>
        <v/>
      </c>
      <c r="AU379" s="66">
        <f>AK379*AA379</f>
        <v/>
      </c>
      <c r="AV379" s="66">
        <f>AL379*AB379</f>
        <v/>
      </c>
      <c r="AW379" s="66">
        <f>AM379*AC379</f>
        <v/>
      </c>
      <c r="AX379" s="66">
        <f>AN379*AD379</f>
        <v/>
      </c>
      <c r="AY379" s="66">
        <f>AO379*AE379</f>
        <v/>
      </c>
      <c r="AZ379" s="66">
        <f>'Project Database'!Z383</f>
        <v/>
      </c>
      <c r="BA379" s="66">
        <f>IF(OR(A379="",'Smart Search'!H13=0),"",MAX(0,BE379*BF379*MAX(0,1-BG379)))</f>
        <v/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66">
        <f>IF('Smart Search'!G13=1,IFERROR(1/'Smart Search'!H13,0),0)</f>
        <v/>
      </c>
      <c r="BD379" s="66">
        <f>BB379*BC379</f>
        <v/>
      </c>
      <c r="BE379" s="66">
        <f>AP379+AQ379+AR379+AS379+AT379+AU379+AV379+AW379+AX379+AY379+BD379</f>
        <v/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5">
        <f>IF(AND('Project Database'!A383&lt;&gt;"",OR('Smart Search'!$L$5="",'Smart Search'!$L$5="All",TRIM('Project Database'!D383)=TRIM('Smart Search'!$L$5)),OR(TRIM('Smart Search'!$L$6)="",TRIM('Smart Search'!$L$6)="All",ISNUMBER(SEARCH(SUBSTITUTE(SUBSTITUTE(SUBSTITUTE(TRIM('Smart Search'!$L$6),"~","~~"),"*","~*"),"?","~?"),'Project Database'!C383))),OR('Smart Search'!$L$7="",AND('Project Database'!E383&lt;&gt;"",'Project Database'!E383='Smart Search'!$L$7)),OR('Smart Search'!$L$8="",'Smart Search'!$L$8="All",TRIM('Project Database'!F383)=TRIM('Smart Search'!$L$8))),IF(BA379="","",BA379+ROW()*0.0000000001),"")</f>
        <v/>
      </c>
      <c r="BI379" s="5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>
        <f>IF('Project Database'!A383="","",N('Project Database'!AC383))</f>
        <v/>
      </c>
      <c r="BK379" s="5">
        <f>IF('Project Database'!A383="","",N('Project Database'!AD383))</f>
        <v/>
      </c>
      <c r="BL379" s="5">
        <f>IF('Project Database'!A383="","",N('Project Database'!AE383))</f>
        <v/>
      </c>
      <c r="BM379" s="5">
        <f>IF('Project Database'!A383="","",N('Project Database'!AF383))</f>
        <v/>
      </c>
      <c r="BN379" s="5">
        <f>IF('Project Database'!A383="","",N('Project Database'!AG383))</f>
        <v/>
      </c>
      <c r="BO379" s="5">
        <f>IF('Project Database'!A383="","",N('Project Database'!AH383))</f>
        <v/>
      </c>
      <c r="BP379" s="5">
        <f>IF('Project Database'!A383="","",N('Project Database'!AI383))</f>
        <v/>
      </c>
      <c r="BQ379" s="5">
        <f>IF('Project Database'!A383="","",N('Project Database'!AJ383))</f>
        <v/>
      </c>
      <c r="BR379" s="5">
        <f>IF('Project Database'!A383="","",N('Project Database'!AK383))</f>
        <v/>
      </c>
      <c r="BS379" s="5">
        <f>IF('Project Database'!A383="","",N('Project Database'!AL383))</f>
        <v/>
      </c>
      <c r="BT379" s="5">
        <f>IF('Project Database'!A383="","",N('Project Database'!AM383))</f>
        <v/>
      </c>
      <c r="BU379" s="5">
        <f>IF('Project Database'!A383="","",N('Project Database'!AN383))</f>
        <v/>
      </c>
      <c r="BV379" s="5">
        <f>IF('Project Database'!A383="","",N('Project Database'!AO383))</f>
        <v/>
      </c>
      <c r="BW379" s="5">
        <f>IF('Project Database'!A383="","",N('Project Database'!AP383))</f>
        <v/>
      </c>
      <c r="BX379" s="5">
        <f>IF(A379="","",SUM(BJ379:BW379))</f>
        <v/>
      </c>
      <c r="BY379" s="5">
        <f>IF(A379="","",IFERROR(IF(ISNUMBER(U379),U379,VALUE(SUBSTITUTE(SUBSTITUTE(SUBSTITUTE(UPPER(TRIM(U379)),"M",""),",","")," ",""))),0))</f>
        <v/>
      </c>
    </row>
    <row r="380" ht="15" customHeight="1" s="74">
      <c r="A380" s="66">
        <f>'Project Database'!A384</f>
        <v/>
      </c>
      <c r="B380" s="66">
        <f>'Project Database'!B384</f>
        <v/>
      </c>
      <c r="C380" s="66">
        <f>'Project Database'!G384</f>
        <v/>
      </c>
      <c r="D380" s="66">
        <f>'Project Database'!H384</f>
        <v/>
      </c>
      <c r="E380" s="66">
        <f>'Project Database'!I384</f>
        <v/>
      </c>
      <c r="F380" s="66">
        <f>'Project Database'!J384</f>
        <v/>
      </c>
      <c r="G380" s="66">
        <f>'Project Database'!K384</f>
        <v/>
      </c>
      <c r="H380" s="66">
        <f>'Project Database'!L384</f>
        <v/>
      </c>
      <c r="I380" s="66">
        <f>'Project Database'!M384</f>
        <v/>
      </c>
      <c r="J380" s="66">
        <f>'Project Database'!N384</f>
        <v/>
      </c>
      <c r="K380" s="66">
        <f>'Project Database'!O384</f>
        <v/>
      </c>
      <c r="L380" s="66">
        <f>'Project Database'!P384</f>
        <v/>
      </c>
      <c r="M380" s="66">
        <f>'Project Database'!Q384</f>
        <v/>
      </c>
      <c r="N380" s="66">
        <f>'Project Database'!R384</f>
        <v/>
      </c>
      <c r="O380" s="66">
        <f>'Project Database'!S384</f>
        <v/>
      </c>
      <c r="P380" s="66">
        <f>'Project Database'!T384</f>
        <v/>
      </c>
      <c r="Q380" s="66">
        <f>'Project Database'!U384</f>
        <v/>
      </c>
      <c r="R380" s="66">
        <f>'Project Database'!V384</f>
        <v/>
      </c>
      <c r="S380" s="66">
        <f>'Project Database'!W384</f>
        <v/>
      </c>
      <c r="T380" s="66">
        <f>'Project Database'!X384</f>
        <v/>
      </c>
      <c r="U380" s="67">
        <f>'Project Database'!Y384</f>
        <v/>
      </c>
      <c r="V380" s="66">
        <f>IF('Smart Search'!B13=1,IFERROR(1/'Smart Search'!H13,0),0)</f>
        <v/>
      </c>
      <c r="W380" s="66">
        <f>IF('Smart Search'!B13=1,IFERROR(1/'Smart Search'!H13,0),0)</f>
        <v/>
      </c>
      <c r="X380" s="66">
        <f>IF('Smart Search'!C13=1,IFERROR(1/'Smart Search'!H13,0),0)</f>
        <v/>
      </c>
      <c r="Y380" s="66">
        <f>IF('Smart Search'!C13=1,IFERROR(1/'Smart Search'!H13,0),0)</f>
        <v/>
      </c>
      <c r="Z380" s="66">
        <f>IF('Smart Search'!D13=1,IFERROR(1/'Smart Search'!H13,0),0)</f>
        <v/>
      </c>
      <c r="AA380" s="66">
        <f>IF('Smart Search'!D13=1,IFERROR(1/'Smart Search'!H13,0),0)</f>
        <v/>
      </c>
      <c r="AB380" s="66">
        <f>IF('Smart Search'!E13=1,IFERROR(1/'Smart Search'!H13,0),0)</f>
        <v/>
      </c>
      <c r="AC380" s="66">
        <f>IF('Smart Search'!E13=1,IFERROR(1/'Smart Search'!H13,0),0)</f>
        <v/>
      </c>
      <c r="AD380" s="66">
        <f>IF('Smart Search'!F13=1,IFERROR(1/'Smart Search'!H13,0),0)</f>
        <v/>
      </c>
      <c r="AE380" s="66">
        <f>IF('Smart Search'!F13=1,IFERROR(1/'Smart Search'!H13,0),0)</f>
        <v/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66">
        <f>AF380*V380</f>
        <v/>
      </c>
      <c r="AQ380" s="66">
        <f>AG380*W380</f>
        <v/>
      </c>
      <c r="AR380" s="66">
        <f>AH380*X380</f>
        <v/>
      </c>
      <c r="AS380" s="66">
        <f>AI380*Y380</f>
        <v/>
      </c>
      <c r="AT380" s="66">
        <f>AJ380*Z380</f>
        <v/>
      </c>
      <c r="AU380" s="66">
        <f>AK380*AA380</f>
        <v/>
      </c>
      <c r="AV380" s="66">
        <f>AL380*AB380</f>
        <v/>
      </c>
      <c r="AW380" s="66">
        <f>AM380*AC380</f>
        <v/>
      </c>
      <c r="AX380" s="66">
        <f>AN380*AD380</f>
        <v/>
      </c>
      <c r="AY380" s="66">
        <f>AO380*AE380</f>
        <v/>
      </c>
      <c r="AZ380" s="66">
        <f>'Project Database'!Z384</f>
        <v/>
      </c>
      <c r="BA380" s="66">
        <f>IF(OR(A380="",'Smart Search'!H13=0),"",MAX(0,BE380*BF380*MAX(0,1-BG380)))</f>
        <v/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66">
        <f>IF('Smart Search'!G13=1,IFERROR(1/'Smart Search'!H13,0),0)</f>
        <v/>
      </c>
      <c r="BD380" s="66">
        <f>BB380*BC380</f>
        <v/>
      </c>
      <c r="BE380" s="66">
        <f>AP380+AQ380+AR380+AS380+AT380+AU380+AV380+AW380+AX380+AY380+BD380</f>
        <v/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5">
        <f>IF(AND('Project Database'!A384&lt;&gt;"",OR('Smart Search'!$L$5="",'Smart Search'!$L$5="All",TRIM('Project Database'!D384)=TRIM('Smart Search'!$L$5)),OR(TRIM('Smart Search'!$L$6)="",TRIM('Smart Search'!$L$6)="All",ISNUMBER(SEARCH(SUBSTITUTE(SUBSTITUTE(SUBSTITUTE(TRIM('Smart Search'!$L$6),"~","~~"),"*","~*"),"?","~?"),'Project Database'!C384))),OR('Smart Search'!$L$7="",AND('Project Database'!E384&lt;&gt;"",'Project Database'!E384='Smart Search'!$L$7)),OR('Smart Search'!$L$8="",'Smart Search'!$L$8="All",TRIM('Project Database'!F384)=TRIM('Smart Search'!$L$8))),IF(BA380="","",BA380+ROW()*0.0000000001),"")</f>
        <v/>
      </c>
      <c r="BI380" s="5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>
        <f>IF('Project Database'!A384="","",N('Project Database'!AC384))</f>
        <v/>
      </c>
      <c r="BK380" s="5">
        <f>IF('Project Database'!A384="","",N('Project Database'!AD384))</f>
        <v/>
      </c>
      <c r="BL380" s="5">
        <f>IF('Project Database'!A384="","",N('Project Database'!AE384))</f>
        <v/>
      </c>
      <c r="BM380" s="5">
        <f>IF('Project Database'!A384="","",N('Project Database'!AF384))</f>
        <v/>
      </c>
      <c r="BN380" s="5">
        <f>IF('Project Database'!A384="","",N('Project Database'!AG384))</f>
        <v/>
      </c>
      <c r="BO380" s="5">
        <f>IF('Project Database'!A384="","",N('Project Database'!AH384))</f>
        <v/>
      </c>
      <c r="BP380" s="5">
        <f>IF('Project Database'!A384="","",N('Project Database'!AI384))</f>
        <v/>
      </c>
      <c r="BQ380" s="5">
        <f>IF('Project Database'!A384="","",N('Project Database'!AJ384))</f>
        <v/>
      </c>
      <c r="BR380" s="5">
        <f>IF('Project Database'!A384="","",N('Project Database'!AK384))</f>
        <v/>
      </c>
      <c r="BS380" s="5">
        <f>IF('Project Database'!A384="","",N('Project Database'!AL384))</f>
        <v/>
      </c>
      <c r="BT380" s="5">
        <f>IF('Project Database'!A384="","",N('Project Database'!AM384))</f>
        <v/>
      </c>
      <c r="BU380" s="5">
        <f>IF('Project Database'!A384="","",N('Project Database'!AN384))</f>
        <v/>
      </c>
      <c r="BV380" s="5">
        <f>IF('Project Database'!A384="","",N('Project Database'!AO384))</f>
        <v/>
      </c>
      <c r="BW380" s="5">
        <f>IF('Project Database'!A384="","",N('Project Database'!AP384))</f>
        <v/>
      </c>
      <c r="BX380" s="5">
        <f>IF(A380="","",SUM(BJ380:BW380))</f>
        <v/>
      </c>
      <c r="BY380" s="5">
        <f>IF(A380="","",IFERROR(IF(ISNUMBER(U380),U380,VALUE(SUBSTITUTE(SUBSTITUTE(SUBSTITUTE(UPPER(TRIM(U380)),"M",""),",","")," ",""))),0))</f>
        <v/>
      </c>
    </row>
    <row r="381" ht="15" customHeight="1" s="74">
      <c r="A381" s="66">
        <f>'Project Database'!A385</f>
        <v/>
      </c>
      <c r="B381" s="66">
        <f>'Project Database'!B385</f>
        <v/>
      </c>
      <c r="C381" s="66">
        <f>'Project Database'!G385</f>
        <v/>
      </c>
      <c r="D381" s="66">
        <f>'Project Database'!H385</f>
        <v/>
      </c>
      <c r="E381" s="66">
        <f>'Project Database'!I385</f>
        <v/>
      </c>
      <c r="F381" s="66">
        <f>'Project Database'!J385</f>
        <v/>
      </c>
      <c r="G381" s="66">
        <f>'Project Database'!K385</f>
        <v/>
      </c>
      <c r="H381" s="66">
        <f>'Project Database'!L385</f>
        <v/>
      </c>
      <c r="I381" s="66">
        <f>'Project Database'!M385</f>
        <v/>
      </c>
      <c r="J381" s="66">
        <f>'Project Database'!N385</f>
        <v/>
      </c>
      <c r="K381" s="66">
        <f>'Project Database'!O385</f>
        <v/>
      </c>
      <c r="L381" s="66">
        <f>'Project Database'!P385</f>
        <v/>
      </c>
      <c r="M381" s="66">
        <f>'Project Database'!Q385</f>
        <v/>
      </c>
      <c r="N381" s="66">
        <f>'Project Database'!R385</f>
        <v/>
      </c>
      <c r="O381" s="66">
        <f>'Project Database'!S385</f>
        <v/>
      </c>
      <c r="P381" s="66">
        <f>'Project Database'!T385</f>
        <v/>
      </c>
      <c r="Q381" s="66">
        <f>'Project Database'!U385</f>
        <v/>
      </c>
      <c r="R381" s="66">
        <f>'Project Database'!V385</f>
        <v/>
      </c>
      <c r="S381" s="66">
        <f>'Project Database'!W385</f>
        <v/>
      </c>
      <c r="T381" s="66">
        <f>'Project Database'!X385</f>
        <v/>
      </c>
      <c r="U381" s="67">
        <f>'Project Database'!Y385</f>
        <v/>
      </c>
      <c r="V381" s="66">
        <f>IF('Smart Search'!B13=1,IFERROR(1/'Smart Search'!H13,0),0)</f>
        <v/>
      </c>
      <c r="W381" s="66">
        <f>IF('Smart Search'!B13=1,IFERROR(1/'Smart Search'!H13,0),0)</f>
        <v/>
      </c>
      <c r="X381" s="66">
        <f>IF('Smart Search'!C13=1,IFERROR(1/'Smart Search'!H13,0),0)</f>
        <v/>
      </c>
      <c r="Y381" s="66">
        <f>IF('Smart Search'!C13=1,IFERROR(1/'Smart Search'!H13,0),0)</f>
        <v/>
      </c>
      <c r="Z381" s="66">
        <f>IF('Smart Search'!D13=1,IFERROR(1/'Smart Search'!H13,0),0)</f>
        <v/>
      </c>
      <c r="AA381" s="66">
        <f>IF('Smart Search'!D13=1,IFERROR(1/'Smart Search'!H13,0),0)</f>
        <v/>
      </c>
      <c r="AB381" s="66">
        <f>IF('Smart Search'!E13=1,IFERROR(1/'Smart Search'!H13,0),0)</f>
        <v/>
      </c>
      <c r="AC381" s="66">
        <f>IF('Smart Search'!E13=1,IFERROR(1/'Smart Search'!H13,0),0)</f>
        <v/>
      </c>
      <c r="AD381" s="66">
        <f>IF('Smart Search'!F13=1,IFERROR(1/'Smart Search'!H13,0),0)</f>
        <v/>
      </c>
      <c r="AE381" s="66">
        <f>IF('Smart Search'!F13=1,IFERROR(1/'Smart Search'!H13,0),0)</f>
        <v/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66">
        <f>AF381*V381</f>
        <v/>
      </c>
      <c r="AQ381" s="66">
        <f>AG381*W381</f>
        <v/>
      </c>
      <c r="AR381" s="66">
        <f>AH381*X381</f>
        <v/>
      </c>
      <c r="AS381" s="66">
        <f>AI381*Y381</f>
        <v/>
      </c>
      <c r="AT381" s="66">
        <f>AJ381*Z381</f>
        <v/>
      </c>
      <c r="AU381" s="66">
        <f>AK381*AA381</f>
        <v/>
      </c>
      <c r="AV381" s="66">
        <f>AL381*AB381</f>
        <v/>
      </c>
      <c r="AW381" s="66">
        <f>AM381*AC381</f>
        <v/>
      </c>
      <c r="AX381" s="66">
        <f>AN381*AD381</f>
        <v/>
      </c>
      <c r="AY381" s="66">
        <f>AO381*AE381</f>
        <v/>
      </c>
      <c r="AZ381" s="66">
        <f>'Project Database'!Z385</f>
        <v/>
      </c>
      <c r="BA381" s="66">
        <f>IF(OR(A381="",'Smart Search'!H13=0),"",MAX(0,BE381*BF381*MAX(0,1-BG381)))</f>
        <v/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66">
        <f>IF('Smart Search'!G13=1,IFERROR(1/'Smart Search'!H13,0),0)</f>
        <v/>
      </c>
      <c r="BD381" s="66">
        <f>BB381*BC381</f>
        <v/>
      </c>
      <c r="BE381" s="66">
        <f>AP381+AQ381+AR381+AS381+AT381+AU381+AV381+AW381+AX381+AY381+BD381</f>
        <v/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5">
        <f>IF(AND('Project Database'!A385&lt;&gt;"",OR('Smart Search'!$L$5="",'Smart Search'!$L$5="All",TRIM('Project Database'!D385)=TRIM('Smart Search'!$L$5)),OR(TRIM('Smart Search'!$L$6)="",TRIM('Smart Search'!$L$6)="All",ISNUMBER(SEARCH(SUBSTITUTE(SUBSTITUTE(SUBSTITUTE(TRIM('Smart Search'!$L$6),"~","~~"),"*","~*"),"?","~?"),'Project Database'!C385))),OR('Smart Search'!$L$7="",AND('Project Database'!E385&lt;&gt;"",'Project Database'!E385='Smart Search'!$L$7)),OR('Smart Search'!$L$8="",'Smart Search'!$L$8="All",TRIM('Project Database'!F385)=TRIM('Smart Search'!$L$8))),IF(BA381="","",BA381+ROW()*0.0000000001),"")</f>
        <v/>
      </c>
      <c r="BI381" s="5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>
        <f>IF('Project Database'!A385="","",N('Project Database'!AC385))</f>
        <v/>
      </c>
      <c r="BK381" s="5">
        <f>IF('Project Database'!A385="","",N('Project Database'!AD385))</f>
        <v/>
      </c>
      <c r="BL381" s="5">
        <f>IF('Project Database'!A385="","",N('Project Database'!AE385))</f>
        <v/>
      </c>
      <c r="BM381" s="5">
        <f>IF('Project Database'!A385="","",N('Project Database'!AF385))</f>
        <v/>
      </c>
      <c r="BN381" s="5">
        <f>IF('Project Database'!A385="","",N('Project Database'!AG385))</f>
        <v/>
      </c>
      <c r="BO381" s="5">
        <f>IF('Project Database'!A385="","",N('Project Database'!AH385))</f>
        <v/>
      </c>
      <c r="BP381" s="5">
        <f>IF('Project Database'!A385="","",N('Project Database'!AI385))</f>
        <v/>
      </c>
      <c r="BQ381" s="5">
        <f>IF('Project Database'!A385="","",N('Project Database'!AJ385))</f>
        <v/>
      </c>
      <c r="BR381" s="5">
        <f>IF('Project Database'!A385="","",N('Project Database'!AK385))</f>
        <v/>
      </c>
      <c r="BS381" s="5">
        <f>IF('Project Database'!A385="","",N('Project Database'!AL385))</f>
        <v/>
      </c>
      <c r="BT381" s="5">
        <f>IF('Project Database'!A385="","",N('Project Database'!AM385))</f>
        <v/>
      </c>
      <c r="BU381" s="5">
        <f>IF('Project Database'!A385="","",N('Project Database'!AN385))</f>
        <v/>
      </c>
      <c r="BV381" s="5">
        <f>IF('Project Database'!A385="","",N('Project Database'!AO385))</f>
        <v/>
      </c>
      <c r="BW381" s="5">
        <f>IF('Project Database'!A385="","",N('Project Database'!AP385))</f>
        <v/>
      </c>
      <c r="BX381" s="5">
        <f>IF(A381="","",SUM(BJ381:BW381))</f>
        <v/>
      </c>
      <c r="BY381" s="5">
        <f>IF(A381="","",IFERROR(IF(ISNUMBER(U381),U381,VALUE(SUBSTITUTE(SUBSTITUTE(SUBSTITUTE(UPPER(TRIM(U381)),"M",""),",","")," ",""))),0))</f>
        <v/>
      </c>
    </row>
    <row r="382" ht="15" customHeight="1" s="74">
      <c r="A382" s="66">
        <f>'Project Database'!A386</f>
        <v/>
      </c>
      <c r="B382" s="66">
        <f>'Project Database'!B386</f>
        <v/>
      </c>
      <c r="C382" s="66">
        <f>'Project Database'!G386</f>
        <v/>
      </c>
      <c r="D382" s="66">
        <f>'Project Database'!H386</f>
        <v/>
      </c>
      <c r="E382" s="66">
        <f>'Project Database'!I386</f>
        <v/>
      </c>
      <c r="F382" s="66">
        <f>'Project Database'!J386</f>
        <v/>
      </c>
      <c r="G382" s="66">
        <f>'Project Database'!K386</f>
        <v/>
      </c>
      <c r="H382" s="66">
        <f>'Project Database'!L386</f>
        <v/>
      </c>
      <c r="I382" s="66">
        <f>'Project Database'!M386</f>
        <v/>
      </c>
      <c r="J382" s="66">
        <f>'Project Database'!N386</f>
        <v/>
      </c>
      <c r="K382" s="66">
        <f>'Project Database'!O386</f>
        <v/>
      </c>
      <c r="L382" s="66">
        <f>'Project Database'!P386</f>
        <v/>
      </c>
      <c r="M382" s="66">
        <f>'Project Database'!Q386</f>
        <v/>
      </c>
      <c r="N382" s="66">
        <f>'Project Database'!R386</f>
        <v/>
      </c>
      <c r="O382" s="66">
        <f>'Project Database'!S386</f>
        <v/>
      </c>
      <c r="P382" s="66">
        <f>'Project Database'!T386</f>
        <v/>
      </c>
      <c r="Q382" s="66">
        <f>'Project Database'!U386</f>
        <v/>
      </c>
      <c r="R382" s="66">
        <f>'Project Database'!V386</f>
        <v/>
      </c>
      <c r="S382" s="66">
        <f>'Project Database'!W386</f>
        <v/>
      </c>
      <c r="T382" s="66">
        <f>'Project Database'!X386</f>
        <v/>
      </c>
      <c r="U382" s="67">
        <f>'Project Database'!Y386</f>
        <v/>
      </c>
      <c r="V382" s="66">
        <f>IF('Smart Search'!B13=1,IFERROR(1/'Smart Search'!H13,0),0)</f>
        <v/>
      </c>
      <c r="W382" s="66">
        <f>IF('Smart Search'!B13=1,IFERROR(1/'Smart Search'!H13,0),0)</f>
        <v/>
      </c>
      <c r="X382" s="66">
        <f>IF('Smart Search'!C13=1,IFERROR(1/'Smart Search'!H13,0),0)</f>
        <v/>
      </c>
      <c r="Y382" s="66">
        <f>IF('Smart Search'!C13=1,IFERROR(1/'Smart Search'!H13,0),0)</f>
        <v/>
      </c>
      <c r="Z382" s="66">
        <f>IF('Smart Search'!D13=1,IFERROR(1/'Smart Search'!H13,0),0)</f>
        <v/>
      </c>
      <c r="AA382" s="66">
        <f>IF('Smart Search'!D13=1,IFERROR(1/'Smart Search'!H13,0),0)</f>
        <v/>
      </c>
      <c r="AB382" s="66">
        <f>IF('Smart Search'!E13=1,IFERROR(1/'Smart Search'!H13,0),0)</f>
        <v/>
      </c>
      <c r="AC382" s="66">
        <f>IF('Smart Search'!E13=1,IFERROR(1/'Smart Search'!H13,0),0)</f>
        <v/>
      </c>
      <c r="AD382" s="66">
        <f>IF('Smart Search'!F13=1,IFERROR(1/'Smart Search'!H13,0),0)</f>
        <v/>
      </c>
      <c r="AE382" s="66">
        <f>IF('Smart Search'!F13=1,IFERROR(1/'Smart Search'!H13,0),0)</f>
        <v/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66">
        <f>AF382*V382</f>
        <v/>
      </c>
      <c r="AQ382" s="66">
        <f>AG382*W382</f>
        <v/>
      </c>
      <c r="AR382" s="66">
        <f>AH382*X382</f>
        <v/>
      </c>
      <c r="AS382" s="66">
        <f>AI382*Y382</f>
        <v/>
      </c>
      <c r="AT382" s="66">
        <f>AJ382*Z382</f>
        <v/>
      </c>
      <c r="AU382" s="66">
        <f>AK382*AA382</f>
        <v/>
      </c>
      <c r="AV382" s="66">
        <f>AL382*AB382</f>
        <v/>
      </c>
      <c r="AW382" s="66">
        <f>AM382*AC382</f>
        <v/>
      </c>
      <c r="AX382" s="66">
        <f>AN382*AD382</f>
        <v/>
      </c>
      <c r="AY382" s="66">
        <f>AO382*AE382</f>
        <v/>
      </c>
      <c r="AZ382" s="66">
        <f>'Project Database'!Z386</f>
        <v/>
      </c>
      <c r="BA382" s="66">
        <f>IF(OR(A382="",'Smart Search'!H13=0),"",MAX(0,BE382*BF382*MAX(0,1-BG382)))</f>
        <v/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66">
        <f>IF('Smart Search'!G13=1,IFERROR(1/'Smart Search'!H13,0),0)</f>
        <v/>
      </c>
      <c r="BD382" s="66">
        <f>BB382*BC382</f>
        <v/>
      </c>
      <c r="BE382" s="66">
        <f>AP382+AQ382+AR382+AS382+AT382+AU382+AV382+AW382+AX382+AY382+BD382</f>
        <v/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5">
        <f>IF(AND('Project Database'!A386&lt;&gt;"",OR('Smart Search'!$L$5="",'Smart Search'!$L$5="All",TRIM('Project Database'!D386)=TRIM('Smart Search'!$L$5)),OR(TRIM('Smart Search'!$L$6)="",TRIM('Smart Search'!$L$6)="All",ISNUMBER(SEARCH(SUBSTITUTE(SUBSTITUTE(SUBSTITUTE(TRIM('Smart Search'!$L$6),"~","~~"),"*","~*"),"?","~?"),'Project Database'!C386))),OR('Smart Search'!$L$7="",AND('Project Database'!E386&lt;&gt;"",'Project Database'!E386='Smart Search'!$L$7)),OR('Smart Search'!$L$8="",'Smart Search'!$L$8="All",TRIM('Project Database'!F386)=TRIM('Smart Search'!$L$8))),IF(BA382="","",BA382+ROW()*0.0000000001),"")</f>
        <v/>
      </c>
      <c r="BI382" s="5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>
        <f>IF('Project Database'!A386="","",N('Project Database'!AC386))</f>
        <v/>
      </c>
      <c r="BK382" s="5">
        <f>IF('Project Database'!A386="","",N('Project Database'!AD386))</f>
        <v/>
      </c>
      <c r="BL382" s="5">
        <f>IF('Project Database'!A386="","",N('Project Database'!AE386))</f>
        <v/>
      </c>
      <c r="BM382" s="5">
        <f>IF('Project Database'!A386="","",N('Project Database'!AF386))</f>
        <v/>
      </c>
      <c r="BN382" s="5">
        <f>IF('Project Database'!A386="","",N('Project Database'!AG386))</f>
        <v/>
      </c>
      <c r="BO382" s="5">
        <f>IF('Project Database'!A386="","",N('Project Database'!AH386))</f>
        <v/>
      </c>
      <c r="BP382" s="5">
        <f>IF('Project Database'!A386="","",N('Project Database'!AI386))</f>
        <v/>
      </c>
      <c r="BQ382" s="5">
        <f>IF('Project Database'!A386="","",N('Project Database'!AJ386))</f>
        <v/>
      </c>
      <c r="BR382" s="5">
        <f>IF('Project Database'!A386="","",N('Project Database'!AK386))</f>
        <v/>
      </c>
      <c r="BS382" s="5">
        <f>IF('Project Database'!A386="","",N('Project Database'!AL386))</f>
        <v/>
      </c>
      <c r="BT382" s="5">
        <f>IF('Project Database'!A386="","",N('Project Database'!AM386))</f>
        <v/>
      </c>
      <c r="BU382" s="5">
        <f>IF('Project Database'!A386="","",N('Project Database'!AN386))</f>
        <v/>
      </c>
      <c r="BV382" s="5">
        <f>IF('Project Database'!A386="","",N('Project Database'!AO386))</f>
        <v/>
      </c>
      <c r="BW382" s="5">
        <f>IF('Project Database'!A386="","",N('Project Database'!AP386))</f>
        <v/>
      </c>
      <c r="BX382" s="5">
        <f>IF(A382="","",SUM(BJ382:BW382))</f>
        <v/>
      </c>
      <c r="BY382" s="5">
        <f>IF(A382="","",IFERROR(IF(ISNUMBER(U382),U382,VALUE(SUBSTITUTE(SUBSTITUTE(SUBSTITUTE(UPPER(TRIM(U382)),"M",""),",","")," ",""))),0))</f>
        <v/>
      </c>
    </row>
    <row r="383" ht="15" customHeight="1" s="74">
      <c r="A383" s="66">
        <f>'Project Database'!A387</f>
        <v/>
      </c>
      <c r="B383" s="66">
        <f>'Project Database'!B387</f>
        <v/>
      </c>
      <c r="C383" s="66">
        <f>'Project Database'!G387</f>
        <v/>
      </c>
      <c r="D383" s="66">
        <f>'Project Database'!H387</f>
        <v/>
      </c>
      <c r="E383" s="66">
        <f>'Project Database'!I387</f>
        <v/>
      </c>
      <c r="F383" s="66">
        <f>'Project Database'!J387</f>
        <v/>
      </c>
      <c r="G383" s="66">
        <f>'Project Database'!K387</f>
        <v/>
      </c>
      <c r="H383" s="66">
        <f>'Project Database'!L387</f>
        <v/>
      </c>
      <c r="I383" s="66">
        <f>'Project Database'!M387</f>
        <v/>
      </c>
      <c r="J383" s="66">
        <f>'Project Database'!N387</f>
        <v/>
      </c>
      <c r="K383" s="66">
        <f>'Project Database'!O387</f>
        <v/>
      </c>
      <c r="L383" s="66">
        <f>'Project Database'!P387</f>
        <v/>
      </c>
      <c r="M383" s="66">
        <f>'Project Database'!Q387</f>
        <v/>
      </c>
      <c r="N383" s="66">
        <f>'Project Database'!R387</f>
        <v/>
      </c>
      <c r="O383" s="66">
        <f>'Project Database'!S387</f>
        <v/>
      </c>
      <c r="P383" s="66">
        <f>'Project Database'!T387</f>
        <v/>
      </c>
      <c r="Q383" s="66">
        <f>'Project Database'!U387</f>
        <v/>
      </c>
      <c r="R383" s="66">
        <f>'Project Database'!V387</f>
        <v/>
      </c>
      <c r="S383" s="66">
        <f>'Project Database'!W387</f>
        <v/>
      </c>
      <c r="T383" s="66">
        <f>'Project Database'!X387</f>
        <v/>
      </c>
      <c r="U383" s="67">
        <f>'Project Database'!Y387</f>
        <v/>
      </c>
      <c r="V383" s="66">
        <f>IF('Smart Search'!B13=1,IFERROR(1/'Smart Search'!H13,0),0)</f>
        <v/>
      </c>
      <c r="W383" s="66">
        <f>IF('Smart Search'!B13=1,IFERROR(1/'Smart Search'!H13,0),0)</f>
        <v/>
      </c>
      <c r="X383" s="66">
        <f>IF('Smart Search'!C13=1,IFERROR(1/'Smart Search'!H13,0),0)</f>
        <v/>
      </c>
      <c r="Y383" s="66">
        <f>IF('Smart Search'!C13=1,IFERROR(1/'Smart Search'!H13,0),0)</f>
        <v/>
      </c>
      <c r="Z383" s="66">
        <f>IF('Smart Search'!D13=1,IFERROR(1/'Smart Search'!H13,0),0)</f>
        <v/>
      </c>
      <c r="AA383" s="66">
        <f>IF('Smart Search'!D13=1,IFERROR(1/'Smart Search'!H13,0),0)</f>
        <v/>
      </c>
      <c r="AB383" s="66">
        <f>IF('Smart Search'!E13=1,IFERROR(1/'Smart Search'!H13,0),0)</f>
        <v/>
      </c>
      <c r="AC383" s="66">
        <f>IF('Smart Search'!E13=1,IFERROR(1/'Smart Search'!H13,0),0)</f>
        <v/>
      </c>
      <c r="AD383" s="66">
        <f>IF('Smart Search'!F13=1,IFERROR(1/'Smart Search'!H13,0),0)</f>
        <v/>
      </c>
      <c r="AE383" s="66">
        <f>IF('Smart Search'!F13=1,IFERROR(1/'Smart Search'!H13,0),0)</f>
        <v/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66">
        <f>AF383*V383</f>
        <v/>
      </c>
      <c r="AQ383" s="66">
        <f>AG383*W383</f>
        <v/>
      </c>
      <c r="AR383" s="66">
        <f>AH383*X383</f>
        <v/>
      </c>
      <c r="AS383" s="66">
        <f>AI383*Y383</f>
        <v/>
      </c>
      <c r="AT383" s="66">
        <f>AJ383*Z383</f>
        <v/>
      </c>
      <c r="AU383" s="66">
        <f>AK383*AA383</f>
        <v/>
      </c>
      <c r="AV383" s="66">
        <f>AL383*AB383</f>
        <v/>
      </c>
      <c r="AW383" s="66">
        <f>AM383*AC383</f>
        <v/>
      </c>
      <c r="AX383" s="66">
        <f>AN383*AD383</f>
        <v/>
      </c>
      <c r="AY383" s="66">
        <f>AO383*AE383</f>
        <v/>
      </c>
      <c r="AZ383" s="66">
        <f>'Project Database'!Z387</f>
        <v/>
      </c>
      <c r="BA383" s="66">
        <f>IF(OR(A383="",'Smart Search'!H13=0),"",MAX(0,BE383*BF383*MAX(0,1-BG383)))</f>
        <v/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66">
        <f>IF('Smart Search'!G13=1,IFERROR(1/'Smart Search'!H13,0),0)</f>
        <v/>
      </c>
      <c r="BD383" s="66">
        <f>BB383*BC383</f>
        <v/>
      </c>
      <c r="BE383" s="66">
        <f>AP383+AQ383+AR383+AS383+AT383+AU383+AV383+AW383+AX383+AY383+BD383</f>
        <v/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5">
        <f>IF(AND('Project Database'!A387&lt;&gt;"",OR('Smart Search'!$L$5="",'Smart Search'!$L$5="All",TRIM('Project Database'!D387)=TRIM('Smart Search'!$L$5)),OR(TRIM('Smart Search'!$L$6)="",TRIM('Smart Search'!$L$6)="All",ISNUMBER(SEARCH(SUBSTITUTE(SUBSTITUTE(SUBSTITUTE(TRIM('Smart Search'!$L$6),"~","~~"),"*","~*"),"?","~?"),'Project Database'!C387))),OR('Smart Search'!$L$7="",AND('Project Database'!E387&lt;&gt;"",'Project Database'!E387='Smart Search'!$L$7)),OR('Smart Search'!$L$8="",'Smart Search'!$L$8="All",TRIM('Project Database'!F387)=TRIM('Smart Search'!$L$8))),IF(BA383="","",BA383+ROW()*0.0000000001),"")</f>
        <v/>
      </c>
      <c r="BI383" s="5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>
        <f>IF('Project Database'!A387="","",N('Project Database'!AC387))</f>
        <v/>
      </c>
      <c r="BK383" s="5">
        <f>IF('Project Database'!A387="","",N('Project Database'!AD387))</f>
        <v/>
      </c>
      <c r="BL383" s="5">
        <f>IF('Project Database'!A387="","",N('Project Database'!AE387))</f>
        <v/>
      </c>
      <c r="BM383" s="5">
        <f>IF('Project Database'!A387="","",N('Project Database'!AF387))</f>
        <v/>
      </c>
      <c r="BN383" s="5">
        <f>IF('Project Database'!A387="","",N('Project Database'!AG387))</f>
        <v/>
      </c>
      <c r="BO383" s="5">
        <f>IF('Project Database'!A387="","",N('Project Database'!AH387))</f>
        <v/>
      </c>
      <c r="BP383" s="5">
        <f>IF('Project Database'!A387="","",N('Project Database'!AI387))</f>
        <v/>
      </c>
      <c r="BQ383" s="5">
        <f>IF('Project Database'!A387="","",N('Project Database'!AJ387))</f>
        <v/>
      </c>
      <c r="BR383" s="5">
        <f>IF('Project Database'!A387="","",N('Project Database'!AK387))</f>
        <v/>
      </c>
      <c r="BS383" s="5">
        <f>IF('Project Database'!A387="","",N('Project Database'!AL387))</f>
        <v/>
      </c>
      <c r="BT383" s="5">
        <f>IF('Project Database'!A387="","",N('Project Database'!AM387))</f>
        <v/>
      </c>
      <c r="BU383" s="5">
        <f>IF('Project Database'!A387="","",N('Project Database'!AN387))</f>
        <v/>
      </c>
      <c r="BV383" s="5">
        <f>IF('Project Database'!A387="","",N('Project Database'!AO387))</f>
        <v/>
      </c>
      <c r="BW383" s="5">
        <f>IF('Project Database'!A387="","",N('Project Database'!AP387))</f>
        <v/>
      </c>
      <c r="BX383" s="5">
        <f>IF(A383="","",SUM(BJ383:BW383))</f>
        <v/>
      </c>
      <c r="BY383" s="5">
        <f>IF(A383="","",IFERROR(IF(ISNUMBER(U383),U383,VALUE(SUBSTITUTE(SUBSTITUTE(SUBSTITUTE(UPPER(TRIM(U383)),"M",""),",","")," ",""))),0))</f>
        <v/>
      </c>
    </row>
    <row r="384" ht="15" customHeight="1" s="74">
      <c r="A384" s="66">
        <f>'Project Database'!A388</f>
        <v/>
      </c>
      <c r="B384" s="66">
        <f>'Project Database'!B388</f>
        <v/>
      </c>
      <c r="C384" s="66">
        <f>'Project Database'!G388</f>
        <v/>
      </c>
      <c r="D384" s="66">
        <f>'Project Database'!H388</f>
        <v/>
      </c>
      <c r="E384" s="66">
        <f>'Project Database'!I388</f>
        <v/>
      </c>
      <c r="F384" s="66">
        <f>'Project Database'!J388</f>
        <v/>
      </c>
      <c r="G384" s="66">
        <f>'Project Database'!K388</f>
        <v/>
      </c>
      <c r="H384" s="66">
        <f>'Project Database'!L388</f>
        <v/>
      </c>
      <c r="I384" s="66">
        <f>'Project Database'!M388</f>
        <v/>
      </c>
      <c r="J384" s="66">
        <f>'Project Database'!N388</f>
        <v/>
      </c>
      <c r="K384" s="66">
        <f>'Project Database'!O388</f>
        <v/>
      </c>
      <c r="L384" s="66">
        <f>'Project Database'!P388</f>
        <v/>
      </c>
      <c r="M384" s="66">
        <f>'Project Database'!Q388</f>
        <v/>
      </c>
      <c r="N384" s="66">
        <f>'Project Database'!R388</f>
        <v/>
      </c>
      <c r="O384" s="66">
        <f>'Project Database'!S388</f>
        <v/>
      </c>
      <c r="P384" s="66">
        <f>'Project Database'!T388</f>
        <v/>
      </c>
      <c r="Q384" s="66">
        <f>'Project Database'!U388</f>
        <v/>
      </c>
      <c r="R384" s="66">
        <f>'Project Database'!V388</f>
        <v/>
      </c>
      <c r="S384" s="66">
        <f>'Project Database'!W388</f>
        <v/>
      </c>
      <c r="T384" s="66">
        <f>'Project Database'!X388</f>
        <v/>
      </c>
      <c r="U384" s="67">
        <f>'Project Database'!Y388</f>
        <v/>
      </c>
      <c r="V384" s="66">
        <f>IF('Smart Search'!B13=1,IFERROR(1/'Smart Search'!H13,0),0)</f>
        <v/>
      </c>
      <c r="W384" s="66">
        <f>IF('Smart Search'!B13=1,IFERROR(1/'Smart Search'!H13,0),0)</f>
        <v/>
      </c>
      <c r="X384" s="66">
        <f>IF('Smart Search'!C13=1,IFERROR(1/'Smart Search'!H13,0),0)</f>
        <v/>
      </c>
      <c r="Y384" s="66">
        <f>IF('Smart Search'!C13=1,IFERROR(1/'Smart Search'!H13,0),0)</f>
        <v/>
      </c>
      <c r="Z384" s="66">
        <f>IF('Smart Search'!D13=1,IFERROR(1/'Smart Search'!H13,0),0)</f>
        <v/>
      </c>
      <c r="AA384" s="66">
        <f>IF('Smart Search'!D13=1,IFERROR(1/'Smart Search'!H13,0),0)</f>
        <v/>
      </c>
      <c r="AB384" s="66">
        <f>IF('Smart Search'!E13=1,IFERROR(1/'Smart Search'!H13,0),0)</f>
        <v/>
      </c>
      <c r="AC384" s="66">
        <f>IF('Smart Search'!E13=1,IFERROR(1/'Smart Search'!H13,0),0)</f>
        <v/>
      </c>
      <c r="AD384" s="66">
        <f>IF('Smart Search'!F13=1,IFERROR(1/'Smart Search'!H13,0),0)</f>
        <v/>
      </c>
      <c r="AE384" s="66">
        <f>IF('Smart Search'!F13=1,IFERROR(1/'Smart Search'!H13,0),0)</f>
        <v/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66">
        <f>AF384*V384</f>
        <v/>
      </c>
      <c r="AQ384" s="66">
        <f>AG384*W384</f>
        <v/>
      </c>
      <c r="AR384" s="66">
        <f>AH384*X384</f>
        <v/>
      </c>
      <c r="AS384" s="66">
        <f>AI384*Y384</f>
        <v/>
      </c>
      <c r="AT384" s="66">
        <f>AJ384*Z384</f>
        <v/>
      </c>
      <c r="AU384" s="66">
        <f>AK384*AA384</f>
        <v/>
      </c>
      <c r="AV384" s="66">
        <f>AL384*AB384</f>
        <v/>
      </c>
      <c r="AW384" s="66">
        <f>AM384*AC384</f>
        <v/>
      </c>
      <c r="AX384" s="66">
        <f>AN384*AD384</f>
        <v/>
      </c>
      <c r="AY384" s="66">
        <f>AO384*AE384</f>
        <v/>
      </c>
      <c r="AZ384" s="66">
        <f>'Project Database'!Z388</f>
        <v/>
      </c>
      <c r="BA384" s="66">
        <f>IF(OR(A384="",'Smart Search'!H13=0),"",MAX(0,BE384*BF384*MAX(0,1-BG384)))</f>
        <v/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66">
        <f>IF('Smart Search'!G13=1,IFERROR(1/'Smart Search'!H13,0),0)</f>
        <v/>
      </c>
      <c r="BD384" s="66">
        <f>BB384*BC384</f>
        <v/>
      </c>
      <c r="BE384" s="66">
        <f>AP384+AQ384+AR384+AS384+AT384+AU384+AV384+AW384+AX384+AY384+BD384</f>
        <v/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5">
        <f>IF(AND('Project Database'!A388&lt;&gt;"",OR('Smart Search'!$L$5="",'Smart Search'!$L$5="All",TRIM('Project Database'!D388)=TRIM('Smart Search'!$L$5)),OR(TRIM('Smart Search'!$L$6)="",TRIM('Smart Search'!$L$6)="All",ISNUMBER(SEARCH(SUBSTITUTE(SUBSTITUTE(SUBSTITUTE(TRIM('Smart Search'!$L$6),"~","~~"),"*","~*"),"?","~?"),'Project Database'!C388))),OR('Smart Search'!$L$7="",AND('Project Database'!E388&lt;&gt;"",'Project Database'!E388='Smart Search'!$L$7)),OR('Smart Search'!$L$8="",'Smart Search'!$L$8="All",TRIM('Project Database'!F388)=TRIM('Smart Search'!$L$8))),IF(BA384="","",BA384+ROW()*0.0000000001),"")</f>
        <v/>
      </c>
      <c r="BI384" s="5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>
        <f>IF('Project Database'!A388="","",N('Project Database'!AC388))</f>
        <v/>
      </c>
      <c r="BK384" s="5">
        <f>IF('Project Database'!A388="","",N('Project Database'!AD388))</f>
        <v/>
      </c>
      <c r="BL384" s="5">
        <f>IF('Project Database'!A388="","",N('Project Database'!AE388))</f>
        <v/>
      </c>
      <c r="BM384" s="5">
        <f>IF('Project Database'!A388="","",N('Project Database'!AF388))</f>
        <v/>
      </c>
      <c r="BN384" s="5">
        <f>IF('Project Database'!A388="","",N('Project Database'!AG388))</f>
        <v/>
      </c>
      <c r="BO384" s="5">
        <f>IF('Project Database'!A388="","",N('Project Database'!AH388))</f>
        <v/>
      </c>
      <c r="BP384" s="5">
        <f>IF('Project Database'!A388="","",N('Project Database'!AI388))</f>
        <v/>
      </c>
      <c r="BQ384" s="5">
        <f>IF('Project Database'!A388="","",N('Project Database'!AJ388))</f>
        <v/>
      </c>
      <c r="BR384" s="5">
        <f>IF('Project Database'!A388="","",N('Project Database'!AK388))</f>
        <v/>
      </c>
      <c r="BS384" s="5">
        <f>IF('Project Database'!A388="","",N('Project Database'!AL388))</f>
        <v/>
      </c>
      <c r="BT384" s="5">
        <f>IF('Project Database'!A388="","",N('Project Database'!AM388))</f>
        <v/>
      </c>
      <c r="BU384" s="5">
        <f>IF('Project Database'!A388="","",N('Project Database'!AN388))</f>
        <v/>
      </c>
      <c r="BV384" s="5">
        <f>IF('Project Database'!A388="","",N('Project Database'!AO388))</f>
        <v/>
      </c>
      <c r="BW384" s="5">
        <f>IF('Project Database'!A388="","",N('Project Database'!AP388))</f>
        <v/>
      </c>
      <c r="BX384" s="5">
        <f>IF(A384="","",SUM(BJ384:BW384))</f>
        <v/>
      </c>
      <c r="BY384" s="5">
        <f>IF(A384="","",IFERROR(IF(ISNUMBER(U384),U384,VALUE(SUBSTITUTE(SUBSTITUTE(SUBSTITUTE(UPPER(TRIM(U384)),"M",""),",","")," ",""))),0))</f>
        <v/>
      </c>
    </row>
    <row r="385" ht="15" customHeight="1" s="74">
      <c r="A385" s="66">
        <f>'Project Database'!A389</f>
        <v/>
      </c>
      <c r="B385" s="66">
        <f>'Project Database'!B389</f>
        <v/>
      </c>
      <c r="C385" s="66">
        <f>'Project Database'!G389</f>
        <v/>
      </c>
      <c r="D385" s="66">
        <f>'Project Database'!H389</f>
        <v/>
      </c>
      <c r="E385" s="66">
        <f>'Project Database'!I389</f>
        <v/>
      </c>
      <c r="F385" s="66">
        <f>'Project Database'!J389</f>
        <v/>
      </c>
      <c r="G385" s="66">
        <f>'Project Database'!K389</f>
        <v/>
      </c>
      <c r="H385" s="66">
        <f>'Project Database'!L389</f>
        <v/>
      </c>
      <c r="I385" s="66">
        <f>'Project Database'!M389</f>
        <v/>
      </c>
      <c r="J385" s="66">
        <f>'Project Database'!N389</f>
        <v/>
      </c>
      <c r="K385" s="66">
        <f>'Project Database'!O389</f>
        <v/>
      </c>
      <c r="L385" s="66">
        <f>'Project Database'!P389</f>
        <v/>
      </c>
      <c r="M385" s="66">
        <f>'Project Database'!Q389</f>
        <v/>
      </c>
      <c r="N385" s="66">
        <f>'Project Database'!R389</f>
        <v/>
      </c>
      <c r="O385" s="66">
        <f>'Project Database'!S389</f>
        <v/>
      </c>
      <c r="P385" s="66">
        <f>'Project Database'!T389</f>
        <v/>
      </c>
      <c r="Q385" s="66">
        <f>'Project Database'!U389</f>
        <v/>
      </c>
      <c r="R385" s="66">
        <f>'Project Database'!V389</f>
        <v/>
      </c>
      <c r="S385" s="66">
        <f>'Project Database'!W389</f>
        <v/>
      </c>
      <c r="T385" s="66">
        <f>'Project Database'!X389</f>
        <v/>
      </c>
      <c r="U385" s="67">
        <f>'Project Database'!Y389</f>
        <v/>
      </c>
      <c r="V385" s="66">
        <f>IF('Smart Search'!B13=1,IFERROR(1/'Smart Search'!H13,0),0)</f>
        <v/>
      </c>
      <c r="W385" s="66">
        <f>IF('Smart Search'!B13=1,IFERROR(1/'Smart Search'!H13,0),0)</f>
        <v/>
      </c>
      <c r="X385" s="66">
        <f>IF('Smart Search'!C13=1,IFERROR(1/'Smart Search'!H13,0),0)</f>
        <v/>
      </c>
      <c r="Y385" s="66">
        <f>IF('Smart Search'!C13=1,IFERROR(1/'Smart Search'!H13,0),0)</f>
        <v/>
      </c>
      <c r="Z385" s="66">
        <f>IF('Smart Search'!D13=1,IFERROR(1/'Smart Search'!H13,0),0)</f>
        <v/>
      </c>
      <c r="AA385" s="66">
        <f>IF('Smart Search'!D13=1,IFERROR(1/'Smart Search'!H13,0),0)</f>
        <v/>
      </c>
      <c r="AB385" s="66">
        <f>IF('Smart Search'!E13=1,IFERROR(1/'Smart Search'!H13,0),0)</f>
        <v/>
      </c>
      <c r="AC385" s="66">
        <f>IF('Smart Search'!E13=1,IFERROR(1/'Smart Search'!H13,0),0)</f>
        <v/>
      </c>
      <c r="AD385" s="66">
        <f>IF('Smart Search'!F13=1,IFERROR(1/'Smart Search'!H13,0),0)</f>
        <v/>
      </c>
      <c r="AE385" s="66">
        <f>IF('Smart Search'!F13=1,IFERROR(1/'Smart Search'!H13,0),0)</f>
        <v/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66">
        <f>AF385*V385</f>
        <v/>
      </c>
      <c r="AQ385" s="66">
        <f>AG385*W385</f>
        <v/>
      </c>
      <c r="AR385" s="66">
        <f>AH385*X385</f>
        <v/>
      </c>
      <c r="AS385" s="66">
        <f>AI385*Y385</f>
        <v/>
      </c>
      <c r="AT385" s="66">
        <f>AJ385*Z385</f>
        <v/>
      </c>
      <c r="AU385" s="66">
        <f>AK385*AA385</f>
        <v/>
      </c>
      <c r="AV385" s="66">
        <f>AL385*AB385</f>
        <v/>
      </c>
      <c r="AW385" s="66">
        <f>AM385*AC385</f>
        <v/>
      </c>
      <c r="AX385" s="66">
        <f>AN385*AD385</f>
        <v/>
      </c>
      <c r="AY385" s="66">
        <f>AO385*AE385</f>
        <v/>
      </c>
      <c r="AZ385" s="66">
        <f>'Project Database'!Z389</f>
        <v/>
      </c>
      <c r="BA385" s="66">
        <f>IF(OR(A385="",'Smart Search'!H13=0),"",MAX(0,BE385*BF385*MAX(0,1-BG385)))</f>
        <v/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66">
        <f>IF('Smart Search'!G13=1,IFERROR(1/'Smart Search'!H13,0),0)</f>
        <v/>
      </c>
      <c r="BD385" s="66">
        <f>BB385*BC385</f>
        <v/>
      </c>
      <c r="BE385" s="66">
        <f>AP385+AQ385+AR385+AS385+AT385+AU385+AV385+AW385+AX385+AY385+BD385</f>
        <v/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5">
        <f>IF(AND('Project Database'!A389&lt;&gt;"",OR('Smart Search'!$L$5="",'Smart Search'!$L$5="All",TRIM('Project Database'!D389)=TRIM('Smart Search'!$L$5)),OR(TRIM('Smart Search'!$L$6)="",TRIM('Smart Search'!$L$6)="All",ISNUMBER(SEARCH(SUBSTITUTE(SUBSTITUTE(SUBSTITUTE(TRIM('Smart Search'!$L$6),"~","~~"),"*","~*"),"?","~?"),'Project Database'!C389))),OR('Smart Search'!$L$7="",AND('Project Database'!E389&lt;&gt;"",'Project Database'!E389='Smart Search'!$L$7)),OR('Smart Search'!$L$8="",'Smart Search'!$L$8="All",TRIM('Project Database'!F389)=TRIM('Smart Search'!$L$8))),IF(BA385="","",BA385+ROW()*0.0000000001),"")</f>
        <v/>
      </c>
      <c r="BI385" s="5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>
        <f>IF('Project Database'!A389="","",N('Project Database'!AC389))</f>
        <v/>
      </c>
      <c r="BK385" s="5">
        <f>IF('Project Database'!A389="","",N('Project Database'!AD389))</f>
        <v/>
      </c>
      <c r="BL385" s="5">
        <f>IF('Project Database'!A389="","",N('Project Database'!AE389))</f>
        <v/>
      </c>
      <c r="BM385" s="5">
        <f>IF('Project Database'!A389="","",N('Project Database'!AF389))</f>
        <v/>
      </c>
      <c r="BN385" s="5">
        <f>IF('Project Database'!A389="","",N('Project Database'!AG389))</f>
        <v/>
      </c>
      <c r="BO385" s="5">
        <f>IF('Project Database'!A389="","",N('Project Database'!AH389))</f>
        <v/>
      </c>
      <c r="BP385" s="5">
        <f>IF('Project Database'!A389="","",N('Project Database'!AI389))</f>
        <v/>
      </c>
      <c r="BQ385" s="5">
        <f>IF('Project Database'!A389="","",N('Project Database'!AJ389))</f>
        <v/>
      </c>
      <c r="BR385" s="5">
        <f>IF('Project Database'!A389="","",N('Project Database'!AK389))</f>
        <v/>
      </c>
      <c r="BS385" s="5">
        <f>IF('Project Database'!A389="","",N('Project Database'!AL389))</f>
        <v/>
      </c>
      <c r="BT385" s="5">
        <f>IF('Project Database'!A389="","",N('Project Database'!AM389))</f>
        <v/>
      </c>
      <c r="BU385" s="5">
        <f>IF('Project Database'!A389="","",N('Project Database'!AN389))</f>
        <v/>
      </c>
      <c r="BV385" s="5">
        <f>IF('Project Database'!A389="","",N('Project Database'!AO389))</f>
        <v/>
      </c>
      <c r="BW385" s="5">
        <f>IF('Project Database'!A389="","",N('Project Database'!AP389))</f>
        <v/>
      </c>
      <c r="BX385" s="5">
        <f>IF(A385="","",SUM(BJ385:BW385))</f>
        <v/>
      </c>
      <c r="BY385" s="5">
        <f>IF(A385="","",IFERROR(IF(ISNUMBER(U385),U385,VALUE(SUBSTITUTE(SUBSTITUTE(SUBSTITUTE(UPPER(TRIM(U385)),"M",""),",","")," ",""))),0))</f>
        <v/>
      </c>
    </row>
    <row r="386" ht="15" customHeight="1" s="74">
      <c r="A386" s="66">
        <f>'Project Database'!A390</f>
        <v/>
      </c>
      <c r="B386" s="66">
        <f>'Project Database'!B390</f>
        <v/>
      </c>
      <c r="C386" s="66">
        <f>'Project Database'!G390</f>
        <v/>
      </c>
      <c r="D386" s="66">
        <f>'Project Database'!H390</f>
        <v/>
      </c>
      <c r="E386" s="66">
        <f>'Project Database'!I390</f>
        <v/>
      </c>
      <c r="F386" s="66">
        <f>'Project Database'!J390</f>
        <v/>
      </c>
      <c r="G386" s="66">
        <f>'Project Database'!K390</f>
        <v/>
      </c>
      <c r="H386" s="66">
        <f>'Project Database'!L390</f>
        <v/>
      </c>
      <c r="I386" s="66">
        <f>'Project Database'!M390</f>
        <v/>
      </c>
      <c r="J386" s="66">
        <f>'Project Database'!N390</f>
        <v/>
      </c>
      <c r="K386" s="66">
        <f>'Project Database'!O390</f>
        <v/>
      </c>
      <c r="L386" s="66">
        <f>'Project Database'!P390</f>
        <v/>
      </c>
      <c r="M386" s="66">
        <f>'Project Database'!Q390</f>
        <v/>
      </c>
      <c r="N386" s="66">
        <f>'Project Database'!R390</f>
        <v/>
      </c>
      <c r="O386" s="66">
        <f>'Project Database'!S390</f>
        <v/>
      </c>
      <c r="P386" s="66">
        <f>'Project Database'!T390</f>
        <v/>
      </c>
      <c r="Q386" s="66">
        <f>'Project Database'!U390</f>
        <v/>
      </c>
      <c r="R386" s="66">
        <f>'Project Database'!V390</f>
        <v/>
      </c>
      <c r="S386" s="66">
        <f>'Project Database'!W390</f>
        <v/>
      </c>
      <c r="T386" s="66">
        <f>'Project Database'!X390</f>
        <v/>
      </c>
      <c r="U386" s="67">
        <f>'Project Database'!Y390</f>
        <v/>
      </c>
      <c r="V386" s="66">
        <f>IF('Smart Search'!B13=1,IFERROR(1/'Smart Search'!H13,0),0)</f>
        <v/>
      </c>
      <c r="W386" s="66">
        <f>IF('Smart Search'!B13=1,IFERROR(1/'Smart Search'!H13,0),0)</f>
        <v/>
      </c>
      <c r="X386" s="66">
        <f>IF('Smart Search'!C13=1,IFERROR(1/'Smart Search'!H13,0),0)</f>
        <v/>
      </c>
      <c r="Y386" s="66">
        <f>IF('Smart Search'!C13=1,IFERROR(1/'Smart Search'!H13,0),0)</f>
        <v/>
      </c>
      <c r="Z386" s="66">
        <f>IF('Smart Search'!D13=1,IFERROR(1/'Smart Search'!H13,0),0)</f>
        <v/>
      </c>
      <c r="AA386" s="66">
        <f>IF('Smart Search'!D13=1,IFERROR(1/'Smart Search'!H13,0),0)</f>
        <v/>
      </c>
      <c r="AB386" s="66">
        <f>IF('Smart Search'!E13=1,IFERROR(1/'Smart Search'!H13,0),0)</f>
        <v/>
      </c>
      <c r="AC386" s="66">
        <f>IF('Smart Search'!E13=1,IFERROR(1/'Smart Search'!H13,0),0)</f>
        <v/>
      </c>
      <c r="AD386" s="66">
        <f>IF('Smart Search'!F13=1,IFERROR(1/'Smart Search'!H13,0),0)</f>
        <v/>
      </c>
      <c r="AE386" s="66">
        <f>IF('Smart Search'!F13=1,IFERROR(1/'Smart Search'!H13,0),0)</f>
        <v/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66">
        <f>AF386*V386</f>
        <v/>
      </c>
      <c r="AQ386" s="66">
        <f>AG386*W386</f>
        <v/>
      </c>
      <c r="AR386" s="66">
        <f>AH386*X386</f>
        <v/>
      </c>
      <c r="AS386" s="66">
        <f>AI386*Y386</f>
        <v/>
      </c>
      <c r="AT386" s="66">
        <f>AJ386*Z386</f>
        <v/>
      </c>
      <c r="AU386" s="66">
        <f>AK386*AA386</f>
        <v/>
      </c>
      <c r="AV386" s="66">
        <f>AL386*AB386</f>
        <v/>
      </c>
      <c r="AW386" s="66">
        <f>AM386*AC386</f>
        <v/>
      </c>
      <c r="AX386" s="66">
        <f>AN386*AD386</f>
        <v/>
      </c>
      <c r="AY386" s="66">
        <f>AO386*AE386</f>
        <v/>
      </c>
      <c r="AZ386" s="66">
        <f>'Project Database'!Z390</f>
        <v/>
      </c>
      <c r="BA386" s="66">
        <f>IF(OR(A386="",'Smart Search'!H13=0),"",MAX(0,BE386*BF386*MAX(0,1-BG386)))</f>
        <v/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66">
        <f>IF('Smart Search'!G13=1,IFERROR(1/'Smart Search'!H13,0),0)</f>
        <v/>
      </c>
      <c r="BD386" s="66">
        <f>BB386*BC386</f>
        <v/>
      </c>
      <c r="BE386" s="66">
        <f>AP386+AQ386+AR386+AS386+AT386+AU386+AV386+AW386+AX386+AY386+BD386</f>
        <v/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5">
        <f>IF(AND('Project Database'!A390&lt;&gt;"",OR('Smart Search'!$L$5="",'Smart Search'!$L$5="All",TRIM('Project Database'!D390)=TRIM('Smart Search'!$L$5)),OR(TRIM('Smart Search'!$L$6)="",TRIM('Smart Search'!$L$6)="All",ISNUMBER(SEARCH(SUBSTITUTE(SUBSTITUTE(SUBSTITUTE(TRIM('Smart Search'!$L$6),"~","~~"),"*","~*"),"?","~?"),'Project Database'!C390))),OR('Smart Search'!$L$7="",AND('Project Database'!E390&lt;&gt;"",'Project Database'!E390='Smart Search'!$L$7)),OR('Smart Search'!$L$8="",'Smart Search'!$L$8="All",TRIM('Project Database'!F390)=TRIM('Smart Search'!$L$8))),IF(BA386="","",BA386+ROW()*0.0000000001),"")</f>
        <v/>
      </c>
      <c r="BI386" s="5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>
        <f>IF('Project Database'!A390="","",N('Project Database'!AC390))</f>
        <v/>
      </c>
      <c r="BK386" s="5">
        <f>IF('Project Database'!A390="","",N('Project Database'!AD390))</f>
        <v/>
      </c>
      <c r="BL386" s="5">
        <f>IF('Project Database'!A390="","",N('Project Database'!AE390))</f>
        <v/>
      </c>
      <c r="BM386" s="5">
        <f>IF('Project Database'!A390="","",N('Project Database'!AF390))</f>
        <v/>
      </c>
      <c r="BN386" s="5">
        <f>IF('Project Database'!A390="","",N('Project Database'!AG390))</f>
        <v/>
      </c>
      <c r="BO386" s="5">
        <f>IF('Project Database'!A390="","",N('Project Database'!AH390))</f>
        <v/>
      </c>
      <c r="BP386" s="5">
        <f>IF('Project Database'!A390="","",N('Project Database'!AI390))</f>
        <v/>
      </c>
      <c r="BQ386" s="5">
        <f>IF('Project Database'!A390="","",N('Project Database'!AJ390))</f>
        <v/>
      </c>
      <c r="BR386" s="5">
        <f>IF('Project Database'!A390="","",N('Project Database'!AK390))</f>
        <v/>
      </c>
      <c r="BS386" s="5">
        <f>IF('Project Database'!A390="","",N('Project Database'!AL390))</f>
        <v/>
      </c>
      <c r="BT386" s="5">
        <f>IF('Project Database'!A390="","",N('Project Database'!AM390))</f>
        <v/>
      </c>
      <c r="BU386" s="5">
        <f>IF('Project Database'!A390="","",N('Project Database'!AN390))</f>
        <v/>
      </c>
      <c r="BV386" s="5">
        <f>IF('Project Database'!A390="","",N('Project Database'!AO390))</f>
        <v/>
      </c>
      <c r="BW386" s="5">
        <f>IF('Project Database'!A390="","",N('Project Database'!AP390))</f>
        <v/>
      </c>
      <c r="BX386" s="5">
        <f>IF(A386="","",SUM(BJ386:BW386))</f>
        <v/>
      </c>
      <c r="BY386" s="5">
        <f>IF(A386="","",IFERROR(IF(ISNUMBER(U386),U386,VALUE(SUBSTITUTE(SUBSTITUTE(SUBSTITUTE(UPPER(TRIM(U386)),"M",""),",","")," ",""))),0))</f>
        <v/>
      </c>
    </row>
    <row r="387" ht="15" customHeight="1" s="74">
      <c r="A387" s="66">
        <f>'Project Database'!A391</f>
        <v/>
      </c>
      <c r="B387" s="66">
        <f>'Project Database'!B391</f>
        <v/>
      </c>
      <c r="C387" s="66">
        <f>'Project Database'!G391</f>
        <v/>
      </c>
      <c r="D387" s="66">
        <f>'Project Database'!H391</f>
        <v/>
      </c>
      <c r="E387" s="66">
        <f>'Project Database'!I391</f>
        <v/>
      </c>
      <c r="F387" s="66">
        <f>'Project Database'!J391</f>
        <v/>
      </c>
      <c r="G387" s="66">
        <f>'Project Database'!K391</f>
        <v/>
      </c>
      <c r="H387" s="66">
        <f>'Project Database'!L391</f>
        <v/>
      </c>
      <c r="I387" s="66">
        <f>'Project Database'!M391</f>
        <v/>
      </c>
      <c r="J387" s="66">
        <f>'Project Database'!N391</f>
        <v/>
      </c>
      <c r="K387" s="66">
        <f>'Project Database'!O391</f>
        <v/>
      </c>
      <c r="L387" s="66">
        <f>'Project Database'!P391</f>
        <v/>
      </c>
      <c r="M387" s="66">
        <f>'Project Database'!Q391</f>
        <v/>
      </c>
      <c r="N387" s="66">
        <f>'Project Database'!R391</f>
        <v/>
      </c>
      <c r="O387" s="66">
        <f>'Project Database'!S391</f>
        <v/>
      </c>
      <c r="P387" s="66">
        <f>'Project Database'!T391</f>
        <v/>
      </c>
      <c r="Q387" s="66">
        <f>'Project Database'!U391</f>
        <v/>
      </c>
      <c r="R387" s="66">
        <f>'Project Database'!V391</f>
        <v/>
      </c>
      <c r="S387" s="66">
        <f>'Project Database'!W391</f>
        <v/>
      </c>
      <c r="T387" s="66">
        <f>'Project Database'!X391</f>
        <v/>
      </c>
      <c r="U387" s="67">
        <f>'Project Database'!Y391</f>
        <v/>
      </c>
      <c r="V387" s="66">
        <f>IF('Smart Search'!B13=1,IFERROR(1/'Smart Search'!H13,0),0)</f>
        <v/>
      </c>
      <c r="W387" s="66">
        <f>IF('Smart Search'!B13=1,IFERROR(1/'Smart Search'!H13,0),0)</f>
        <v/>
      </c>
      <c r="X387" s="66">
        <f>IF('Smart Search'!C13=1,IFERROR(1/'Smart Search'!H13,0),0)</f>
        <v/>
      </c>
      <c r="Y387" s="66">
        <f>IF('Smart Search'!C13=1,IFERROR(1/'Smart Search'!H13,0),0)</f>
        <v/>
      </c>
      <c r="Z387" s="66">
        <f>IF('Smart Search'!D13=1,IFERROR(1/'Smart Search'!H13,0),0)</f>
        <v/>
      </c>
      <c r="AA387" s="66">
        <f>IF('Smart Search'!D13=1,IFERROR(1/'Smart Search'!H13,0),0)</f>
        <v/>
      </c>
      <c r="AB387" s="66">
        <f>IF('Smart Search'!E13=1,IFERROR(1/'Smart Search'!H13,0),0)</f>
        <v/>
      </c>
      <c r="AC387" s="66">
        <f>IF('Smart Search'!E13=1,IFERROR(1/'Smart Search'!H13,0),0)</f>
        <v/>
      </c>
      <c r="AD387" s="66">
        <f>IF('Smart Search'!F13=1,IFERROR(1/'Smart Search'!H13,0),0)</f>
        <v/>
      </c>
      <c r="AE387" s="66">
        <f>IF('Smart Search'!F13=1,IFERROR(1/'Smart Search'!H13,0),0)</f>
        <v/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66">
        <f>AF387*V387</f>
        <v/>
      </c>
      <c r="AQ387" s="66">
        <f>AG387*W387</f>
        <v/>
      </c>
      <c r="AR387" s="66">
        <f>AH387*X387</f>
        <v/>
      </c>
      <c r="AS387" s="66">
        <f>AI387*Y387</f>
        <v/>
      </c>
      <c r="AT387" s="66">
        <f>AJ387*Z387</f>
        <v/>
      </c>
      <c r="AU387" s="66">
        <f>AK387*AA387</f>
        <v/>
      </c>
      <c r="AV387" s="66">
        <f>AL387*AB387</f>
        <v/>
      </c>
      <c r="AW387" s="66">
        <f>AM387*AC387</f>
        <v/>
      </c>
      <c r="AX387" s="66">
        <f>AN387*AD387</f>
        <v/>
      </c>
      <c r="AY387" s="66">
        <f>AO387*AE387</f>
        <v/>
      </c>
      <c r="AZ387" s="66">
        <f>'Project Database'!Z391</f>
        <v/>
      </c>
      <c r="BA387" s="66">
        <f>IF(OR(A387="",'Smart Search'!H13=0),"",MAX(0,BE387*BF387*MAX(0,1-BG387)))</f>
        <v/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66">
        <f>IF('Smart Search'!G13=1,IFERROR(1/'Smart Search'!H13,0),0)</f>
        <v/>
      </c>
      <c r="BD387" s="66">
        <f>BB387*BC387</f>
        <v/>
      </c>
      <c r="BE387" s="66">
        <f>AP387+AQ387+AR387+AS387+AT387+AU387+AV387+AW387+AX387+AY387+BD387</f>
        <v/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5">
        <f>IF(AND('Project Database'!A391&lt;&gt;"",OR('Smart Search'!$L$5="",'Smart Search'!$L$5="All",TRIM('Project Database'!D391)=TRIM('Smart Search'!$L$5)),OR(TRIM('Smart Search'!$L$6)="",TRIM('Smart Search'!$L$6)="All",ISNUMBER(SEARCH(SUBSTITUTE(SUBSTITUTE(SUBSTITUTE(TRIM('Smart Search'!$L$6),"~","~~"),"*","~*"),"?","~?"),'Project Database'!C391))),OR('Smart Search'!$L$7="",AND('Project Database'!E391&lt;&gt;"",'Project Database'!E391='Smart Search'!$L$7)),OR('Smart Search'!$L$8="",'Smart Search'!$L$8="All",TRIM('Project Database'!F391)=TRIM('Smart Search'!$L$8))),IF(BA387="","",BA387+ROW()*0.0000000001),"")</f>
        <v/>
      </c>
      <c r="BI387" s="5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>
        <f>IF('Project Database'!A391="","",N('Project Database'!AC391))</f>
        <v/>
      </c>
      <c r="BK387" s="5">
        <f>IF('Project Database'!A391="","",N('Project Database'!AD391))</f>
        <v/>
      </c>
      <c r="BL387" s="5">
        <f>IF('Project Database'!A391="","",N('Project Database'!AE391))</f>
        <v/>
      </c>
      <c r="BM387" s="5">
        <f>IF('Project Database'!A391="","",N('Project Database'!AF391))</f>
        <v/>
      </c>
      <c r="BN387" s="5">
        <f>IF('Project Database'!A391="","",N('Project Database'!AG391))</f>
        <v/>
      </c>
      <c r="BO387" s="5">
        <f>IF('Project Database'!A391="","",N('Project Database'!AH391))</f>
        <v/>
      </c>
      <c r="BP387" s="5">
        <f>IF('Project Database'!A391="","",N('Project Database'!AI391))</f>
        <v/>
      </c>
      <c r="BQ387" s="5">
        <f>IF('Project Database'!A391="","",N('Project Database'!AJ391))</f>
        <v/>
      </c>
      <c r="BR387" s="5">
        <f>IF('Project Database'!A391="","",N('Project Database'!AK391))</f>
        <v/>
      </c>
      <c r="BS387" s="5">
        <f>IF('Project Database'!A391="","",N('Project Database'!AL391))</f>
        <v/>
      </c>
      <c r="BT387" s="5">
        <f>IF('Project Database'!A391="","",N('Project Database'!AM391))</f>
        <v/>
      </c>
      <c r="BU387" s="5">
        <f>IF('Project Database'!A391="","",N('Project Database'!AN391))</f>
        <v/>
      </c>
      <c r="BV387" s="5">
        <f>IF('Project Database'!A391="","",N('Project Database'!AO391))</f>
        <v/>
      </c>
      <c r="BW387" s="5">
        <f>IF('Project Database'!A391="","",N('Project Database'!AP391))</f>
        <v/>
      </c>
      <c r="BX387" s="5">
        <f>IF(A387="","",SUM(BJ387:BW387))</f>
        <v/>
      </c>
      <c r="BY387" s="5">
        <f>IF(A387="","",IFERROR(IF(ISNUMBER(U387),U387,VALUE(SUBSTITUTE(SUBSTITUTE(SUBSTITUTE(UPPER(TRIM(U387)),"M",""),",","")," ",""))),0))</f>
        <v/>
      </c>
    </row>
    <row r="388" ht="15" customHeight="1" s="74">
      <c r="A388" s="66">
        <f>'Project Database'!A392</f>
        <v/>
      </c>
      <c r="B388" s="66">
        <f>'Project Database'!B392</f>
        <v/>
      </c>
      <c r="C388" s="66">
        <f>'Project Database'!G392</f>
        <v/>
      </c>
      <c r="D388" s="66">
        <f>'Project Database'!H392</f>
        <v/>
      </c>
      <c r="E388" s="66">
        <f>'Project Database'!I392</f>
        <v/>
      </c>
      <c r="F388" s="66">
        <f>'Project Database'!J392</f>
        <v/>
      </c>
      <c r="G388" s="66">
        <f>'Project Database'!K392</f>
        <v/>
      </c>
      <c r="H388" s="66">
        <f>'Project Database'!L392</f>
        <v/>
      </c>
      <c r="I388" s="66">
        <f>'Project Database'!M392</f>
        <v/>
      </c>
      <c r="J388" s="66">
        <f>'Project Database'!N392</f>
        <v/>
      </c>
      <c r="K388" s="66">
        <f>'Project Database'!O392</f>
        <v/>
      </c>
      <c r="L388" s="66">
        <f>'Project Database'!P392</f>
        <v/>
      </c>
      <c r="M388" s="66">
        <f>'Project Database'!Q392</f>
        <v/>
      </c>
      <c r="N388" s="66">
        <f>'Project Database'!R392</f>
        <v/>
      </c>
      <c r="O388" s="66">
        <f>'Project Database'!S392</f>
        <v/>
      </c>
      <c r="P388" s="66">
        <f>'Project Database'!T392</f>
        <v/>
      </c>
      <c r="Q388" s="66">
        <f>'Project Database'!U392</f>
        <v/>
      </c>
      <c r="R388" s="66">
        <f>'Project Database'!V392</f>
        <v/>
      </c>
      <c r="S388" s="66">
        <f>'Project Database'!W392</f>
        <v/>
      </c>
      <c r="T388" s="66">
        <f>'Project Database'!X392</f>
        <v/>
      </c>
      <c r="U388" s="67">
        <f>'Project Database'!Y392</f>
        <v/>
      </c>
      <c r="V388" s="66">
        <f>IF('Smart Search'!B13=1,IFERROR(1/'Smart Search'!H13,0),0)</f>
        <v/>
      </c>
      <c r="W388" s="66">
        <f>IF('Smart Search'!B13=1,IFERROR(1/'Smart Search'!H13,0),0)</f>
        <v/>
      </c>
      <c r="X388" s="66">
        <f>IF('Smart Search'!C13=1,IFERROR(1/'Smart Search'!H13,0),0)</f>
        <v/>
      </c>
      <c r="Y388" s="66">
        <f>IF('Smart Search'!C13=1,IFERROR(1/'Smart Search'!H13,0),0)</f>
        <v/>
      </c>
      <c r="Z388" s="66">
        <f>IF('Smart Search'!D13=1,IFERROR(1/'Smart Search'!H13,0),0)</f>
        <v/>
      </c>
      <c r="AA388" s="66">
        <f>IF('Smart Search'!D13=1,IFERROR(1/'Smart Search'!H13,0),0)</f>
        <v/>
      </c>
      <c r="AB388" s="66">
        <f>IF('Smart Search'!E13=1,IFERROR(1/'Smart Search'!H13,0),0)</f>
        <v/>
      </c>
      <c r="AC388" s="66">
        <f>IF('Smart Search'!E13=1,IFERROR(1/'Smart Search'!H13,0),0)</f>
        <v/>
      </c>
      <c r="AD388" s="66">
        <f>IF('Smart Search'!F13=1,IFERROR(1/'Smart Search'!H13,0),0)</f>
        <v/>
      </c>
      <c r="AE388" s="66">
        <f>IF('Smart Search'!F13=1,IFERROR(1/'Smart Search'!H13,0),0)</f>
        <v/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66">
        <f>AF388*V388</f>
        <v/>
      </c>
      <c r="AQ388" s="66">
        <f>AG388*W388</f>
        <v/>
      </c>
      <c r="AR388" s="66">
        <f>AH388*X388</f>
        <v/>
      </c>
      <c r="AS388" s="66">
        <f>AI388*Y388</f>
        <v/>
      </c>
      <c r="AT388" s="66">
        <f>AJ388*Z388</f>
        <v/>
      </c>
      <c r="AU388" s="66">
        <f>AK388*AA388</f>
        <v/>
      </c>
      <c r="AV388" s="66">
        <f>AL388*AB388</f>
        <v/>
      </c>
      <c r="AW388" s="66">
        <f>AM388*AC388</f>
        <v/>
      </c>
      <c r="AX388" s="66">
        <f>AN388*AD388</f>
        <v/>
      </c>
      <c r="AY388" s="66">
        <f>AO388*AE388</f>
        <v/>
      </c>
      <c r="AZ388" s="66">
        <f>'Project Database'!Z392</f>
        <v/>
      </c>
      <c r="BA388" s="66">
        <f>IF(OR(A388="",'Smart Search'!H13=0),"",MAX(0,BE388*BF388*MAX(0,1-BG388)))</f>
        <v/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66">
        <f>IF('Smart Search'!G13=1,IFERROR(1/'Smart Search'!H13,0),0)</f>
        <v/>
      </c>
      <c r="BD388" s="66">
        <f>BB388*BC388</f>
        <v/>
      </c>
      <c r="BE388" s="66">
        <f>AP388+AQ388+AR388+AS388+AT388+AU388+AV388+AW388+AX388+AY388+BD388</f>
        <v/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5">
        <f>IF(AND('Project Database'!A392&lt;&gt;"",OR('Smart Search'!$L$5="",'Smart Search'!$L$5="All",TRIM('Project Database'!D392)=TRIM('Smart Search'!$L$5)),OR(TRIM('Smart Search'!$L$6)="",TRIM('Smart Search'!$L$6)="All",ISNUMBER(SEARCH(SUBSTITUTE(SUBSTITUTE(SUBSTITUTE(TRIM('Smart Search'!$L$6),"~","~~"),"*","~*"),"?","~?"),'Project Database'!C392))),OR('Smart Search'!$L$7="",AND('Project Database'!E392&lt;&gt;"",'Project Database'!E392='Smart Search'!$L$7)),OR('Smart Search'!$L$8="",'Smart Search'!$L$8="All",TRIM('Project Database'!F392)=TRIM('Smart Search'!$L$8))),IF(BA388="","",BA388+ROW()*0.0000000001),"")</f>
        <v/>
      </c>
      <c r="BI388" s="5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>
        <f>IF('Project Database'!A392="","",N('Project Database'!AC392))</f>
        <v/>
      </c>
      <c r="BK388" s="5">
        <f>IF('Project Database'!A392="","",N('Project Database'!AD392))</f>
        <v/>
      </c>
      <c r="BL388" s="5">
        <f>IF('Project Database'!A392="","",N('Project Database'!AE392))</f>
        <v/>
      </c>
      <c r="BM388" s="5">
        <f>IF('Project Database'!A392="","",N('Project Database'!AF392))</f>
        <v/>
      </c>
      <c r="BN388" s="5">
        <f>IF('Project Database'!A392="","",N('Project Database'!AG392))</f>
        <v/>
      </c>
      <c r="BO388" s="5">
        <f>IF('Project Database'!A392="","",N('Project Database'!AH392))</f>
        <v/>
      </c>
      <c r="BP388" s="5">
        <f>IF('Project Database'!A392="","",N('Project Database'!AI392))</f>
        <v/>
      </c>
      <c r="BQ388" s="5">
        <f>IF('Project Database'!A392="","",N('Project Database'!AJ392))</f>
        <v/>
      </c>
      <c r="BR388" s="5">
        <f>IF('Project Database'!A392="","",N('Project Database'!AK392))</f>
        <v/>
      </c>
      <c r="BS388" s="5">
        <f>IF('Project Database'!A392="","",N('Project Database'!AL392))</f>
        <v/>
      </c>
      <c r="BT388" s="5">
        <f>IF('Project Database'!A392="","",N('Project Database'!AM392))</f>
        <v/>
      </c>
      <c r="BU388" s="5">
        <f>IF('Project Database'!A392="","",N('Project Database'!AN392))</f>
        <v/>
      </c>
      <c r="BV388" s="5">
        <f>IF('Project Database'!A392="","",N('Project Database'!AO392))</f>
        <v/>
      </c>
      <c r="BW388" s="5">
        <f>IF('Project Database'!A392="","",N('Project Database'!AP392))</f>
        <v/>
      </c>
      <c r="BX388" s="5">
        <f>IF(A388="","",SUM(BJ388:BW388))</f>
        <v/>
      </c>
      <c r="BY388" s="5">
        <f>IF(A388="","",IFERROR(IF(ISNUMBER(U388),U388,VALUE(SUBSTITUTE(SUBSTITUTE(SUBSTITUTE(UPPER(TRIM(U388)),"M",""),",","")," ",""))),0))</f>
        <v/>
      </c>
    </row>
    <row r="389" ht="15" customHeight="1" s="74">
      <c r="A389" s="66">
        <f>'Project Database'!A393</f>
        <v/>
      </c>
      <c r="B389" s="66">
        <f>'Project Database'!B393</f>
        <v/>
      </c>
      <c r="C389" s="66">
        <f>'Project Database'!G393</f>
        <v/>
      </c>
      <c r="D389" s="66">
        <f>'Project Database'!H393</f>
        <v/>
      </c>
      <c r="E389" s="66">
        <f>'Project Database'!I393</f>
        <v/>
      </c>
      <c r="F389" s="66">
        <f>'Project Database'!J393</f>
        <v/>
      </c>
      <c r="G389" s="66">
        <f>'Project Database'!K393</f>
        <v/>
      </c>
      <c r="H389" s="66">
        <f>'Project Database'!L393</f>
        <v/>
      </c>
      <c r="I389" s="66">
        <f>'Project Database'!M393</f>
        <v/>
      </c>
      <c r="J389" s="66">
        <f>'Project Database'!N393</f>
        <v/>
      </c>
      <c r="K389" s="66">
        <f>'Project Database'!O393</f>
        <v/>
      </c>
      <c r="L389" s="66">
        <f>'Project Database'!P393</f>
        <v/>
      </c>
      <c r="M389" s="66">
        <f>'Project Database'!Q393</f>
        <v/>
      </c>
      <c r="N389" s="66">
        <f>'Project Database'!R393</f>
        <v/>
      </c>
      <c r="O389" s="66">
        <f>'Project Database'!S393</f>
        <v/>
      </c>
      <c r="P389" s="66">
        <f>'Project Database'!T393</f>
        <v/>
      </c>
      <c r="Q389" s="66">
        <f>'Project Database'!U393</f>
        <v/>
      </c>
      <c r="R389" s="66">
        <f>'Project Database'!V393</f>
        <v/>
      </c>
      <c r="S389" s="66">
        <f>'Project Database'!W393</f>
        <v/>
      </c>
      <c r="T389" s="66">
        <f>'Project Database'!X393</f>
        <v/>
      </c>
      <c r="U389" s="67">
        <f>'Project Database'!Y393</f>
        <v/>
      </c>
      <c r="V389" s="66">
        <f>IF('Smart Search'!B13=1,IFERROR(1/'Smart Search'!H13,0),0)</f>
        <v/>
      </c>
      <c r="W389" s="66">
        <f>IF('Smart Search'!B13=1,IFERROR(1/'Smart Search'!H13,0),0)</f>
        <v/>
      </c>
      <c r="X389" s="66">
        <f>IF('Smart Search'!C13=1,IFERROR(1/'Smart Search'!H13,0),0)</f>
        <v/>
      </c>
      <c r="Y389" s="66">
        <f>IF('Smart Search'!C13=1,IFERROR(1/'Smart Search'!H13,0),0)</f>
        <v/>
      </c>
      <c r="Z389" s="66">
        <f>IF('Smart Search'!D13=1,IFERROR(1/'Smart Search'!H13,0),0)</f>
        <v/>
      </c>
      <c r="AA389" s="66">
        <f>IF('Smart Search'!D13=1,IFERROR(1/'Smart Search'!H13,0),0)</f>
        <v/>
      </c>
      <c r="AB389" s="66">
        <f>IF('Smart Search'!E13=1,IFERROR(1/'Smart Search'!H13,0),0)</f>
        <v/>
      </c>
      <c r="AC389" s="66">
        <f>IF('Smart Search'!E13=1,IFERROR(1/'Smart Search'!H13,0),0)</f>
        <v/>
      </c>
      <c r="AD389" s="66">
        <f>IF('Smart Search'!F13=1,IFERROR(1/'Smart Search'!H13,0),0)</f>
        <v/>
      </c>
      <c r="AE389" s="66">
        <f>IF('Smart Search'!F13=1,IFERROR(1/'Smart Search'!H13,0),0)</f>
        <v/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66">
        <f>AF389*V389</f>
        <v/>
      </c>
      <c r="AQ389" s="66">
        <f>AG389*W389</f>
        <v/>
      </c>
      <c r="AR389" s="66">
        <f>AH389*X389</f>
        <v/>
      </c>
      <c r="AS389" s="66">
        <f>AI389*Y389</f>
        <v/>
      </c>
      <c r="AT389" s="66">
        <f>AJ389*Z389</f>
        <v/>
      </c>
      <c r="AU389" s="66">
        <f>AK389*AA389</f>
        <v/>
      </c>
      <c r="AV389" s="66">
        <f>AL389*AB389</f>
        <v/>
      </c>
      <c r="AW389" s="66">
        <f>AM389*AC389</f>
        <v/>
      </c>
      <c r="AX389" s="66">
        <f>AN389*AD389</f>
        <v/>
      </c>
      <c r="AY389" s="66">
        <f>AO389*AE389</f>
        <v/>
      </c>
      <c r="AZ389" s="66">
        <f>'Project Database'!Z393</f>
        <v/>
      </c>
      <c r="BA389" s="66">
        <f>IF(OR(A389="",'Smart Search'!H13=0),"",MAX(0,BE389*BF389*MAX(0,1-BG389)))</f>
        <v/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66">
        <f>IF('Smart Search'!G13=1,IFERROR(1/'Smart Search'!H13,0),0)</f>
        <v/>
      </c>
      <c r="BD389" s="66">
        <f>BB389*BC389</f>
        <v/>
      </c>
      <c r="BE389" s="66">
        <f>AP389+AQ389+AR389+AS389+AT389+AU389+AV389+AW389+AX389+AY389+BD389</f>
        <v/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5">
        <f>IF(AND('Project Database'!A393&lt;&gt;"",OR('Smart Search'!$L$5="",'Smart Search'!$L$5="All",TRIM('Project Database'!D393)=TRIM('Smart Search'!$L$5)),OR(TRIM('Smart Search'!$L$6)="",TRIM('Smart Search'!$L$6)="All",ISNUMBER(SEARCH(SUBSTITUTE(SUBSTITUTE(SUBSTITUTE(TRIM('Smart Search'!$L$6),"~","~~"),"*","~*"),"?","~?"),'Project Database'!C393))),OR('Smart Search'!$L$7="",AND('Project Database'!E393&lt;&gt;"",'Project Database'!E393='Smart Search'!$L$7)),OR('Smart Search'!$L$8="",'Smart Search'!$L$8="All",TRIM('Project Database'!F393)=TRIM('Smart Search'!$L$8))),IF(BA389="","",BA389+ROW()*0.0000000001),"")</f>
        <v/>
      </c>
      <c r="BI389" s="5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>
        <f>IF('Project Database'!A393="","",N('Project Database'!AC393))</f>
        <v/>
      </c>
      <c r="BK389" s="5">
        <f>IF('Project Database'!A393="","",N('Project Database'!AD393))</f>
        <v/>
      </c>
      <c r="BL389" s="5">
        <f>IF('Project Database'!A393="","",N('Project Database'!AE393))</f>
        <v/>
      </c>
      <c r="BM389" s="5">
        <f>IF('Project Database'!A393="","",N('Project Database'!AF393))</f>
        <v/>
      </c>
      <c r="BN389" s="5">
        <f>IF('Project Database'!A393="","",N('Project Database'!AG393))</f>
        <v/>
      </c>
      <c r="BO389" s="5">
        <f>IF('Project Database'!A393="","",N('Project Database'!AH393))</f>
        <v/>
      </c>
      <c r="BP389" s="5">
        <f>IF('Project Database'!A393="","",N('Project Database'!AI393))</f>
        <v/>
      </c>
      <c r="BQ389" s="5">
        <f>IF('Project Database'!A393="","",N('Project Database'!AJ393))</f>
        <v/>
      </c>
      <c r="BR389" s="5">
        <f>IF('Project Database'!A393="","",N('Project Database'!AK393))</f>
        <v/>
      </c>
      <c r="BS389" s="5">
        <f>IF('Project Database'!A393="","",N('Project Database'!AL393))</f>
        <v/>
      </c>
      <c r="BT389" s="5">
        <f>IF('Project Database'!A393="","",N('Project Database'!AM393))</f>
        <v/>
      </c>
      <c r="BU389" s="5">
        <f>IF('Project Database'!A393="","",N('Project Database'!AN393))</f>
        <v/>
      </c>
      <c r="BV389" s="5">
        <f>IF('Project Database'!A393="","",N('Project Database'!AO393))</f>
        <v/>
      </c>
      <c r="BW389" s="5">
        <f>IF('Project Database'!A393="","",N('Project Database'!AP393))</f>
        <v/>
      </c>
      <c r="BX389" s="5">
        <f>IF(A389="","",SUM(BJ389:BW389))</f>
        <v/>
      </c>
      <c r="BY389" s="5">
        <f>IF(A389="","",IFERROR(IF(ISNUMBER(U389),U389,VALUE(SUBSTITUTE(SUBSTITUTE(SUBSTITUTE(UPPER(TRIM(U389)),"M",""),",","")," ",""))),0))</f>
        <v/>
      </c>
    </row>
    <row r="390" ht="15" customHeight="1" s="74">
      <c r="A390" s="66">
        <f>'Project Database'!A394</f>
        <v/>
      </c>
      <c r="B390" s="66">
        <f>'Project Database'!B394</f>
        <v/>
      </c>
      <c r="C390" s="66">
        <f>'Project Database'!G394</f>
        <v/>
      </c>
      <c r="D390" s="66">
        <f>'Project Database'!H394</f>
        <v/>
      </c>
      <c r="E390" s="66">
        <f>'Project Database'!I394</f>
        <v/>
      </c>
      <c r="F390" s="66">
        <f>'Project Database'!J394</f>
        <v/>
      </c>
      <c r="G390" s="66">
        <f>'Project Database'!K394</f>
        <v/>
      </c>
      <c r="H390" s="66">
        <f>'Project Database'!L394</f>
        <v/>
      </c>
      <c r="I390" s="66">
        <f>'Project Database'!M394</f>
        <v/>
      </c>
      <c r="J390" s="66">
        <f>'Project Database'!N394</f>
        <v/>
      </c>
      <c r="K390" s="66">
        <f>'Project Database'!O394</f>
        <v/>
      </c>
      <c r="L390" s="66">
        <f>'Project Database'!P394</f>
        <v/>
      </c>
      <c r="M390" s="66">
        <f>'Project Database'!Q394</f>
        <v/>
      </c>
      <c r="N390" s="66">
        <f>'Project Database'!R394</f>
        <v/>
      </c>
      <c r="O390" s="66">
        <f>'Project Database'!S394</f>
        <v/>
      </c>
      <c r="P390" s="66">
        <f>'Project Database'!T394</f>
        <v/>
      </c>
      <c r="Q390" s="66">
        <f>'Project Database'!U394</f>
        <v/>
      </c>
      <c r="R390" s="66">
        <f>'Project Database'!V394</f>
        <v/>
      </c>
      <c r="S390" s="66">
        <f>'Project Database'!W394</f>
        <v/>
      </c>
      <c r="T390" s="66">
        <f>'Project Database'!X394</f>
        <v/>
      </c>
      <c r="U390" s="67">
        <f>'Project Database'!Y394</f>
        <v/>
      </c>
      <c r="V390" s="66">
        <f>IF('Smart Search'!B13=1,IFERROR(1/'Smart Search'!H13,0),0)</f>
        <v/>
      </c>
      <c r="W390" s="66">
        <f>IF('Smart Search'!B13=1,IFERROR(1/'Smart Search'!H13,0),0)</f>
        <v/>
      </c>
      <c r="X390" s="66">
        <f>IF('Smart Search'!C13=1,IFERROR(1/'Smart Search'!H13,0),0)</f>
        <v/>
      </c>
      <c r="Y390" s="66">
        <f>IF('Smart Search'!C13=1,IFERROR(1/'Smart Search'!H13,0),0)</f>
        <v/>
      </c>
      <c r="Z390" s="66">
        <f>IF('Smart Search'!D13=1,IFERROR(1/'Smart Search'!H13,0),0)</f>
        <v/>
      </c>
      <c r="AA390" s="66">
        <f>IF('Smart Search'!D13=1,IFERROR(1/'Smart Search'!H13,0),0)</f>
        <v/>
      </c>
      <c r="AB390" s="66">
        <f>IF('Smart Search'!E13=1,IFERROR(1/'Smart Search'!H13,0),0)</f>
        <v/>
      </c>
      <c r="AC390" s="66">
        <f>IF('Smart Search'!E13=1,IFERROR(1/'Smart Search'!H13,0),0)</f>
        <v/>
      </c>
      <c r="AD390" s="66">
        <f>IF('Smart Search'!F13=1,IFERROR(1/'Smart Search'!H13,0),0)</f>
        <v/>
      </c>
      <c r="AE390" s="66">
        <f>IF('Smart Search'!F13=1,IFERROR(1/'Smart Search'!H13,0),0)</f>
        <v/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66">
        <f>AF390*V390</f>
        <v/>
      </c>
      <c r="AQ390" s="66">
        <f>AG390*W390</f>
        <v/>
      </c>
      <c r="AR390" s="66">
        <f>AH390*X390</f>
        <v/>
      </c>
      <c r="AS390" s="66">
        <f>AI390*Y390</f>
        <v/>
      </c>
      <c r="AT390" s="66">
        <f>AJ390*Z390</f>
        <v/>
      </c>
      <c r="AU390" s="66">
        <f>AK390*AA390</f>
        <v/>
      </c>
      <c r="AV390" s="66">
        <f>AL390*AB390</f>
        <v/>
      </c>
      <c r="AW390" s="66">
        <f>AM390*AC390</f>
        <v/>
      </c>
      <c r="AX390" s="66">
        <f>AN390*AD390</f>
        <v/>
      </c>
      <c r="AY390" s="66">
        <f>AO390*AE390</f>
        <v/>
      </c>
      <c r="AZ390" s="66">
        <f>'Project Database'!Z394</f>
        <v/>
      </c>
      <c r="BA390" s="66">
        <f>IF(OR(A390="",'Smart Search'!H13=0),"",MAX(0,BE390*BF390*MAX(0,1-BG390)))</f>
        <v/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66">
        <f>IF('Smart Search'!G13=1,IFERROR(1/'Smart Search'!H13,0),0)</f>
        <v/>
      </c>
      <c r="BD390" s="66">
        <f>BB390*BC390</f>
        <v/>
      </c>
      <c r="BE390" s="66">
        <f>AP390+AQ390+AR390+AS390+AT390+AU390+AV390+AW390+AX390+AY390+BD390</f>
        <v/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5">
        <f>IF(AND('Project Database'!A394&lt;&gt;"",OR('Smart Search'!$L$5="",'Smart Search'!$L$5="All",TRIM('Project Database'!D394)=TRIM('Smart Search'!$L$5)),OR(TRIM('Smart Search'!$L$6)="",TRIM('Smart Search'!$L$6)="All",ISNUMBER(SEARCH(SUBSTITUTE(SUBSTITUTE(SUBSTITUTE(TRIM('Smart Search'!$L$6),"~","~~"),"*","~*"),"?","~?"),'Project Database'!C394))),OR('Smart Search'!$L$7="",AND('Project Database'!E394&lt;&gt;"",'Project Database'!E394='Smart Search'!$L$7)),OR('Smart Search'!$L$8="",'Smart Search'!$L$8="All",TRIM('Project Database'!F394)=TRIM('Smart Search'!$L$8))),IF(BA390="","",BA390+ROW()*0.0000000001),"")</f>
        <v/>
      </c>
      <c r="BI390" s="5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>
        <f>IF('Project Database'!A394="","",N('Project Database'!AC394))</f>
        <v/>
      </c>
      <c r="BK390" s="5">
        <f>IF('Project Database'!A394="","",N('Project Database'!AD394))</f>
        <v/>
      </c>
      <c r="BL390" s="5">
        <f>IF('Project Database'!A394="","",N('Project Database'!AE394))</f>
        <v/>
      </c>
      <c r="BM390" s="5">
        <f>IF('Project Database'!A394="","",N('Project Database'!AF394))</f>
        <v/>
      </c>
      <c r="BN390" s="5">
        <f>IF('Project Database'!A394="","",N('Project Database'!AG394))</f>
        <v/>
      </c>
      <c r="BO390" s="5">
        <f>IF('Project Database'!A394="","",N('Project Database'!AH394))</f>
        <v/>
      </c>
      <c r="BP390" s="5">
        <f>IF('Project Database'!A394="","",N('Project Database'!AI394))</f>
        <v/>
      </c>
      <c r="BQ390" s="5">
        <f>IF('Project Database'!A394="","",N('Project Database'!AJ394))</f>
        <v/>
      </c>
      <c r="BR390" s="5">
        <f>IF('Project Database'!A394="","",N('Project Database'!AK394))</f>
        <v/>
      </c>
      <c r="BS390" s="5">
        <f>IF('Project Database'!A394="","",N('Project Database'!AL394))</f>
        <v/>
      </c>
      <c r="BT390" s="5">
        <f>IF('Project Database'!A394="","",N('Project Database'!AM394))</f>
        <v/>
      </c>
      <c r="BU390" s="5">
        <f>IF('Project Database'!A394="","",N('Project Database'!AN394))</f>
        <v/>
      </c>
      <c r="BV390" s="5">
        <f>IF('Project Database'!A394="","",N('Project Database'!AO394))</f>
        <v/>
      </c>
      <c r="BW390" s="5">
        <f>IF('Project Database'!A394="","",N('Project Database'!AP394))</f>
        <v/>
      </c>
      <c r="BX390" s="5">
        <f>IF(A390="","",SUM(BJ390:BW390))</f>
        <v/>
      </c>
      <c r="BY390" s="5">
        <f>IF(A390="","",IFERROR(IF(ISNUMBER(U390),U390,VALUE(SUBSTITUTE(SUBSTITUTE(SUBSTITUTE(UPPER(TRIM(U390)),"M",""),",","")," ",""))),0))</f>
        <v/>
      </c>
    </row>
    <row r="391" ht="15" customHeight="1" s="74">
      <c r="A391" s="66">
        <f>'Project Database'!A395</f>
        <v/>
      </c>
      <c r="B391" s="66">
        <f>'Project Database'!B395</f>
        <v/>
      </c>
      <c r="C391" s="66">
        <f>'Project Database'!G395</f>
        <v/>
      </c>
      <c r="D391" s="66">
        <f>'Project Database'!H395</f>
        <v/>
      </c>
      <c r="E391" s="66">
        <f>'Project Database'!I395</f>
        <v/>
      </c>
      <c r="F391" s="66">
        <f>'Project Database'!J395</f>
        <v/>
      </c>
      <c r="G391" s="66">
        <f>'Project Database'!K395</f>
        <v/>
      </c>
      <c r="H391" s="66">
        <f>'Project Database'!L395</f>
        <v/>
      </c>
      <c r="I391" s="66">
        <f>'Project Database'!M395</f>
        <v/>
      </c>
      <c r="J391" s="66">
        <f>'Project Database'!N395</f>
        <v/>
      </c>
      <c r="K391" s="66">
        <f>'Project Database'!O395</f>
        <v/>
      </c>
      <c r="L391" s="66">
        <f>'Project Database'!P395</f>
        <v/>
      </c>
      <c r="M391" s="66">
        <f>'Project Database'!Q395</f>
        <v/>
      </c>
      <c r="N391" s="66">
        <f>'Project Database'!R395</f>
        <v/>
      </c>
      <c r="O391" s="66">
        <f>'Project Database'!S395</f>
        <v/>
      </c>
      <c r="P391" s="66">
        <f>'Project Database'!T395</f>
        <v/>
      </c>
      <c r="Q391" s="66">
        <f>'Project Database'!U395</f>
        <v/>
      </c>
      <c r="R391" s="66">
        <f>'Project Database'!V395</f>
        <v/>
      </c>
      <c r="S391" s="66">
        <f>'Project Database'!W395</f>
        <v/>
      </c>
      <c r="T391" s="66">
        <f>'Project Database'!X395</f>
        <v/>
      </c>
      <c r="U391" s="67">
        <f>'Project Database'!Y395</f>
        <v/>
      </c>
      <c r="V391" s="66">
        <f>IF('Smart Search'!B13=1,IFERROR(1/'Smart Search'!H13,0),0)</f>
        <v/>
      </c>
      <c r="W391" s="66">
        <f>IF('Smart Search'!B13=1,IFERROR(1/'Smart Search'!H13,0),0)</f>
        <v/>
      </c>
      <c r="X391" s="66">
        <f>IF('Smart Search'!C13=1,IFERROR(1/'Smart Search'!H13,0),0)</f>
        <v/>
      </c>
      <c r="Y391" s="66">
        <f>IF('Smart Search'!C13=1,IFERROR(1/'Smart Search'!H13,0),0)</f>
        <v/>
      </c>
      <c r="Z391" s="66">
        <f>IF('Smart Search'!D13=1,IFERROR(1/'Smart Search'!H13,0),0)</f>
        <v/>
      </c>
      <c r="AA391" s="66">
        <f>IF('Smart Search'!D13=1,IFERROR(1/'Smart Search'!H13,0),0)</f>
        <v/>
      </c>
      <c r="AB391" s="66">
        <f>IF('Smart Search'!E13=1,IFERROR(1/'Smart Search'!H13,0),0)</f>
        <v/>
      </c>
      <c r="AC391" s="66">
        <f>IF('Smart Search'!E13=1,IFERROR(1/'Smart Search'!H13,0),0)</f>
        <v/>
      </c>
      <c r="AD391" s="66">
        <f>IF('Smart Search'!F13=1,IFERROR(1/'Smart Search'!H13,0),0)</f>
        <v/>
      </c>
      <c r="AE391" s="66">
        <f>IF('Smart Search'!F13=1,IFERROR(1/'Smart Search'!H13,0),0)</f>
        <v/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66">
        <f>AF391*V391</f>
        <v/>
      </c>
      <c r="AQ391" s="66">
        <f>AG391*W391</f>
        <v/>
      </c>
      <c r="AR391" s="66">
        <f>AH391*X391</f>
        <v/>
      </c>
      <c r="AS391" s="66">
        <f>AI391*Y391</f>
        <v/>
      </c>
      <c r="AT391" s="66">
        <f>AJ391*Z391</f>
        <v/>
      </c>
      <c r="AU391" s="66">
        <f>AK391*AA391</f>
        <v/>
      </c>
      <c r="AV391" s="66">
        <f>AL391*AB391</f>
        <v/>
      </c>
      <c r="AW391" s="66">
        <f>AM391*AC391</f>
        <v/>
      </c>
      <c r="AX391" s="66">
        <f>AN391*AD391</f>
        <v/>
      </c>
      <c r="AY391" s="66">
        <f>AO391*AE391</f>
        <v/>
      </c>
      <c r="AZ391" s="66">
        <f>'Project Database'!Z395</f>
        <v/>
      </c>
      <c r="BA391" s="66">
        <f>IF(OR(A391="",'Smart Search'!H13=0),"",MAX(0,BE391*BF391*MAX(0,1-BG391)))</f>
        <v/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66">
        <f>IF('Smart Search'!G13=1,IFERROR(1/'Smart Search'!H13,0),0)</f>
        <v/>
      </c>
      <c r="BD391" s="66">
        <f>BB391*BC391</f>
        <v/>
      </c>
      <c r="BE391" s="66">
        <f>AP391+AQ391+AR391+AS391+AT391+AU391+AV391+AW391+AX391+AY391+BD391</f>
        <v/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5">
        <f>IF(AND('Project Database'!A395&lt;&gt;"",OR('Smart Search'!$L$5="",'Smart Search'!$L$5="All",TRIM('Project Database'!D395)=TRIM('Smart Search'!$L$5)),OR(TRIM('Smart Search'!$L$6)="",TRIM('Smart Search'!$L$6)="All",ISNUMBER(SEARCH(SUBSTITUTE(SUBSTITUTE(SUBSTITUTE(TRIM('Smart Search'!$L$6),"~","~~"),"*","~*"),"?","~?"),'Project Database'!C395))),OR('Smart Search'!$L$7="",AND('Project Database'!E395&lt;&gt;"",'Project Database'!E395='Smart Search'!$L$7)),OR('Smart Search'!$L$8="",'Smart Search'!$L$8="All",TRIM('Project Database'!F395)=TRIM('Smart Search'!$L$8))),IF(BA391="","",BA391+ROW()*0.0000000001),"")</f>
        <v/>
      </c>
      <c r="BI391" s="5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>
        <f>IF('Project Database'!A395="","",N('Project Database'!AC395))</f>
        <v/>
      </c>
      <c r="BK391" s="5">
        <f>IF('Project Database'!A395="","",N('Project Database'!AD395))</f>
        <v/>
      </c>
      <c r="BL391" s="5">
        <f>IF('Project Database'!A395="","",N('Project Database'!AE395))</f>
        <v/>
      </c>
      <c r="BM391" s="5">
        <f>IF('Project Database'!A395="","",N('Project Database'!AF395))</f>
        <v/>
      </c>
      <c r="BN391" s="5">
        <f>IF('Project Database'!A395="","",N('Project Database'!AG395))</f>
        <v/>
      </c>
      <c r="BO391" s="5">
        <f>IF('Project Database'!A395="","",N('Project Database'!AH395))</f>
        <v/>
      </c>
      <c r="BP391" s="5">
        <f>IF('Project Database'!A395="","",N('Project Database'!AI395))</f>
        <v/>
      </c>
      <c r="BQ391" s="5">
        <f>IF('Project Database'!A395="","",N('Project Database'!AJ395))</f>
        <v/>
      </c>
      <c r="BR391" s="5">
        <f>IF('Project Database'!A395="","",N('Project Database'!AK395))</f>
        <v/>
      </c>
      <c r="BS391" s="5">
        <f>IF('Project Database'!A395="","",N('Project Database'!AL395))</f>
        <v/>
      </c>
      <c r="BT391" s="5">
        <f>IF('Project Database'!A395="","",N('Project Database'!AM395))</f>
        <v/>
      </c>
      <c r="BU391" s="5">
        <f>IF('Project Database'!A395="","",N('Project Database'!AN395))</f>
        <v/>
      </c>
      <c r="BV391" s="5">
        <f>IF('Project Database'!A395="","",N('Project Database'!AO395))</f>
        <v/>
      </c>
      <c r="BW391" s="5">
        <f>IF('Project Database'!A395="","",N('Project Database'!AP395))</f>
        <v/>
      </c>
      <c r="BX391" s="5">
        <f>IF(A391="","",SUM(BJ391:BW391))</f>
        <v/>
      </c>
      <c r="BY391" s="5">
        <f>IF(A391="","",IFERROR(IF(ISNUMBER(U391),U391,VALUE(SUBSTITUTE(SUBSTITUTE(SUBSTITUTE(UPPER(TRIM(U391)),"M",""),",","")," ",""))),0))</f>
        <v/>
      </c>
    </row>
    <row r="392" ht="15" customHeight="1" s="74">
      <c r="A392" s="66">
        <f>'Project Database'!A396</f>
        <v/>
      </c>
      <c r="B392" s="66">
        <f>'Project Database'!B396</f>
        <v/>
      </c>
      <c r="C392" s="66">
        <f>'Project Database'!G396</f>
        <v/>
      </c>
      <c r="D392" s="66">
        <f>'Project Database'!H396</f>
        <v/>
      </c>
      <c r="E392" s="66">
        <f>'Project Database'!I396</f>
        <v/>
      </c>
      <c r="F392" s="66">
        <f>'Project Database'!J396</f>
        <v/>
      </c>
      <c r="G392" s="66">
        <f>'Project Database'!K396</f>
        <v/>
      </c>
      <c r="H392" s="66">
        <f>'Project Database'!L396</f>
        <v/>
      </c>
      <c r="I392" s="66">
        <f>'Project Database'!M396</f>
        <v/>
      </c>
      <c r="J392" s="66">
        <f>'Project Database'!N396</f>
        <v/>
      </c>
      <c r="K392" s="66">
        <f>'Project Database'!O396</f>
        <v/>
      </c>
      <c r="L392" s="66">
        <f>'Project Database'!P396</f>
        <v/>
      </c>
      <c r="M392" s="66">
        <f>'Project Database'!Q396</f>
        <v/>
      </c>
      <c r="N392" s="66">
        <f>'Project Database'!R396</f>
        <v/>
      </c>
      <c r="O392" s="66">
        <f>'Project Database'!S396</f>
        <v/>
      </c>
      <c r="P392" s="66">
        <f>'Project Database'!T396</f>
        <v/>
      </c>
      <c r="Q392" s="66">
        <f>'Project Database'!U396</f>
        <v/>
      </c>
      <c r="R392" s="66">
        <f>'Project Database'!V396</f>
        <v/>
      </c>
      <c r="S392" s="66">
        <f>'Project Database'!W396</f>
        <v/>
      </c>
      <c r="T392" s="66">
        <f>'Project Database'!X396</f>
        <v/>
      </c>
      <c r="U392" s="67">
        <f>'Project Database'!Y396</f>
        <v/>
      </c>
      <c r="V392" s="66">
        <f>IF('Smart Search'!B13=1,IFERROR(1/'Smart Search'!H13,0),0)</f>
        <v/>
      </c>
      <c r="W392" s="66">
        <f>IF('Smart Search'!B13=1,IFERROR(1/'Smart Search'!H13,0),0)</f>
        <v/>
      </c>
      <c r="X392" s="66">
        <f>IF('Smart Search'!C13=1,IFERROR(1/'Smart Search'!H13,0),0)</f>
        <v/>
      </c>
      <c r="Y392" s="66">
        <f>IF('Smart Search'!C13=1,IFERROR(1/'Smart Search'!H13,0),0)</f>
        <v/>
      </c>
      <c r="Z392" s="66">
        <f>IF('Smart Search'!D13=1,IFERROR(1/'Smart Search'!H13,0),0)</f>
        <v/>
      </c>
      <c r="AA392" s="66">
        <f>IF('Smart Search'!D13=1,IFERROR(1/'Smart Search'!H13,0),0)</f>
        <v/>
      </c>
      <c r="AB392" s="66">
        <f>IF('Smart Search'!E13=1,IFERROR(1/'Smart Search'!H13,0),0)</f>
        <v/>
      </c>
      <c r="AC392" s="66">
        <f>IF('Smart Search'!E13=1,IFERROR(1/'Smart Search'!H13,0),0)</f>
        <v/>
      </c>
      <c r="AD392" s="66">
        <f>IF('Smart Search'!F13=1,IFERROR(1/'Smart Search'!H13,0),0)</f>
        <v/>
      </c>
      <c r="AE392" s="66">
        <f>IF('Smart Search'!F13=1,IFERROR(1/'Smart Search'!H13,0),0)</f>
        <v/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66">
        <f>AF392*V392</f>
        <v/>
      </c>
      <c r="AQ392" s="66">
        <f>AG392*W392</f>
        <v/>
      </c>
      <c r="AR392" s="66">
        <f>AH392*X392</f>
        <v/>
      </c>
      <c r="AS392" s="66">
        <f>AI392*Y392</f>
        <v/>
      </c>
      <c r="AT392" s="66">
        <f>AJ392*Z392</f>
        <v/>
      </c>
      <c r="AU392" s="66">
        <f>AK392*AA392</f>
        <v/>
      </c>
      <c r="AV392" s="66">
        <f>AL392*AB392</f>
        <v/>
      </c>
      <c r="AW392" s="66">
        <f>AM392*AC392</f>
        <v/>
      </c>
      <c r="AX392" s="66">
        <f>AN392*AD392</f>
        <v/>
      </c>
      <c r="AY392" s="66">
        <f>AO392*AE392</f>
        <v/>
      </c>
      <c r="AZ392" s="66">
        <f>'Project Database'!Z396</f>
        <v/>
      </c>
      <c r="BA392" s="66">
        <f>IF(OR(A392="",'Smart Search'!H13=0),"",MAX(0,BE392*BF392*MAX(0,1-BG392)))</f>
        <v/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66">
        <f>IF('Smart Search'!G13=1,IFERROR(1/'Smart Search'!H13,0),0)</f>
        <v/>
      </c>
      <c r="BD392" s="66">
        <f>BB392*BC392</f>
        <v/>
      </c>
      <c r="BE392" s="66">
        <f>AP392+AQ392+AR392+AS392+AT392+AU392+AV392+AW392+AX392+AY392+BD392</f>
        <v/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5">
        <f>IF(AND('Project Database'!A396&lt;&gt;"",OR('Smart Search'!$L$5="",'Smart Search'!$L$5="All",TRIM('Project Database'!D396)=TRIM('Smart Search'!$L$5)),OR(TRIM('Smart Search'!$L$6)="",TRIM('Smart Search'!$L$6)="All",ISNUMBER(SEARCH(SUBSTITUTE(SUBSTITUTE(SUBSTITUTE(TRIM('Smart Search'!$L$6),"~","~~"),"*","~*"),"?","~?"),'Project Database'!C396))),OR('Smart Search'!$L$7="",AND('Project Database'!E396&lt;&gt;"",'Project Database'!E396='Smart Search'!$L$7)),OR('Smart Search'!$L$8="",'Smart Search'!$L$8="All",TRIM('Project Database'!F396)=TRIM('Smart Search'!$L$8))),IF(BA392="","",BA392+ROW()*0.0000000001),"")</f>
        <v/>
      </c>
      <c r="BI392" s="5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>
        <f>IF('Project Database'!A396="","",N('Project Database'!AC396))</f>
        <v/>
      </c>
      <c r="BK392" s="5">
        <f>IF('Project Database'!A396="","",N('Project Database'!AD396))</f>
        <v/>
      </c>
      <c r="BL392" s="5">
        <f>IF('Project Database'!A396="","",N('Project Database'!AE396))</f>
        <v/>
      </c>
      <c r="BM392" s="5">
        <f>IF('Project Database'!A396="","",N('Project Database'!AF396))</f>
        <v/>
      </c>
      <c r="BN392" s="5">
        <f>IF('Project Database'!A396="","",N('Project Database'!AG396))</f>
        <v/>
      </c>
      <c r="BO392" s="5">
        <f>IF('Project Database'!A396="","",N('Project Database'!AH396))</f>
        <v/>
      </c>
      <c r="BP392" s="5">
        <f>IF('Project Database'!A396="","",N('Project Database'!AI396))</f>
        <v/>
      </c>
      <c r="BQ392" s="5">
        <f>IF('Project Database'!A396="","",N('Project Database'!AJ396))</f>
        <v/>
      </c>
      <c r="BR392" s="5">
        <f>IF('Project Database'!A396="","",N('Project Database'!AK396))</f>
        <v/>
      </c>
      <c r="BS392" s="5">
        <f>IF('Project Database'!A396="","",N('Project Database'!AL396))</f>
        <v/>
      </c>
      <c r="BT392" s="5">
        <f>IF('Project Database'!A396="","",N('Project Database'!AM396))</f>
        <v/>
      </c>
      <c r="BU392" s="5">
        <f>IF('Project Database'!A396="","",N('Project Database'!AN396))</f>
        <v/>
      </c>
      <c r="BV392" s="5">
        <f>IF('Project Database'!A396="","",N('Project Database'!AO396))</f>
        <v/>
      </c>
      <c r="BW392" s="5">
        <f>IF('Project Database'!A396="","",N('Project Database'!AP396))</f>
        <v/>
      </c>
      <c r="BX392" s="5">
        <f>IF(A392="","",SUM(BJ392:BW392))</f>
        <v/>
      </c>
      <c r="BY392" s="5">
        <f>IF(A392="","",IFERROR(IF(ISNUMBER(U392),U392,VALUE(SUBSTITUTE(SUBSTITUTE(SUBSTITUTE(UPPER(TRIM(U392)),"M",""),",","")," ",""))),0))</f>
        <v/>
      </c>
    </row>
    <row r="393" ht="15" customHeight="1" s="74">
      <c r="A393" s="66">
        <f>'Project Database'!A397</f>
        <v/>
      </c>
      <c r="B393" s="66">
        <f>'Project Database'!B397</f>
        <v/>
      </c>
      <c r="C393" s="66">
        <f>'Project Database'!G397</f>
        <v/>
      </c>
      <c r="D393" s="66">
        <f>'Project Database'!H397</f>
        <v/>
      </c>
      <c r="E393" s="66">
        <f>'Project Database'!I397</f>
        <v/>
      </c>
      <c r="F393" s="66">
        <f>'Project Database'!J397</f>
        <v/>
      </c>
      <c r="G393" s="66">
        <f>'Project Database'!K397</f>
        <v/>
      </c>
      <c r="H393" s="66">
        <f>'Project Database'!L397</f>
        <v/>
      </c>
      <c r="I393" s="66">
        <f>'Project Database'!M397</f>
        <v/>
      </c>
      <c r="J393" s="66">
        <f>'Project Database'!N397</f>
        <v/>
      </c>
      <c r="K393" s="66">
        <f>'Project Database'!O397</f>
        <v/>
      </c>
      <c r="L393" s="66">
        <f>'Project Database'!P397</f>
        <v/>
      </c>
      <c r="M393" s="66">
        <f>'Project Database'!Q397</f>
        <v/>
      </c>
      <c r="N393" s="66">
        <f>'Project Database'!R397</f>
        <v/>
      </c>
      <c r="O393" s="66">
        <f>'Project Database'!S397</f>
        <v/>
      </c>
      <c r="P393" s="66">
        <f>'Project Database'!T397</f>
        <v/>
      </c>
      <c r="Q393" s="66">
        <f>'Project Database'!U397</f>
        <v/>
      </c>
      <c r="R393" s="66">
        <f>'Project Database'!V397</f>
        <v/>
      </c>
      <c r="S393" s="66">
        <f>'Project Database'!W397</f>
        <v/>
      </c>
      <c r="T393" s="66">
        <f>'Project Database'!X397</f>
        <v/>
      </c>
      <c r="U393" s="67">
        <f>'Project Database'!Y397</f>
        <v/>
      </c>
      <c r="V393" s="66">
        <f>IF('Smart Search'!B13=1,IFERROR(1/'Smart Search'!H13,0),0)</f>
        <v/>
      </c>
      <c r="W393" s="66">
        <f>IF('Smart Search'!B13=1,IFERROR(1/'Smart Search'!H13,0),0)</f>
        <v/>
      </c>
      <c r="X393" s="66">
        <f>IF('Smart Search'!C13=1,IFERROR(1/'Smart Search'!H13,0),0)</f>
        <v/>
      </c>
      <c r="Y393" s="66">
        <f>IF('Smart Search'!C13=1,IFERROR(1/'Smart Search'!H13,0),0)</f>
        <v/>
      </c>
      <c r="Z393" s="66">
        <f>IF('Smart Search'!D13=1,IFERROR(1/'Smart Search'!H13,0),0)</f>
        <v/>
      </c>
      <c r="AA393" s="66">
        <f>IF('Smart Search'!D13=1,IFERROR(1/'Smart Search'!H13,0),0)</f>
        <v/>
      </c>
      <c r="AB393" s="66">
        <f>IF('Smart Search'!E13=1,IFERROR(1/'Smart Search'!H13,0),0)</f>
        <v/>
      </c>
      <c r="AC393" s="66">
        <f>IF('Smart Search'!E13=1,IFERROR(1/'Smart Search'!H13,0),0)</f>
        <v/>
      </c>
      <c r="AD393" s="66">
        <f>IF('Smart Search'!F13=1,IFERROR(1/'Smart Search'!H13,0),0)</f>
        <v/>
      </c>
      <c r="AE393" s="66">
        <f>IF('Smart Search'!F13=1,IFERROR(1/'Smart Search'!H13,0),0)</f>
        <v/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66">
        <f>AF393*V393</f>
        <v/>
      </c>
      <c r="AQ393" s="66">
        <f>AG393*W393</f>
        <v/>
      </c>
      <c r="AR393" s="66">
        <f>AH393*X393</f>
        <v/>
      </c>
      <c r="AS393" s="66">
        <f>AI393*Y393</f>
        <v/>
      </c>
      <c r="AT393" s="66">
        <f>AJ393*Z393</f>
        <v/>
      </c>
      <c r="AU393" s="66">
        <f>AK393*AA393</f>
        <v/>
      </c>
      <c r="AV393" s="66">
        <f>AL393*AB393</f>
        <v/>
      </c>
      <c r="AW393" s="66">
        <f>AM393*AC393</f>
        <v/>
      </c>
      <c r="AX393" s="66">
        <f>AN393*AD393</f>
        <v/>
      </c>
      <c r="AY393" s="66">
        <f>AO393*AE393</f>
        <v/>
      </c>
      <c r="AZ393" s="66">
        <f>'Project Database'!Z397</f>
        <v/>
      </c>
      <c r="BA393" s="66">
        <f>IF(OR(A393="",'Smart Search'!H13=0),"",MAX(0,BE393*BF393*MAX(0,1-BG393)))</f>
        <v/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66">
        <f>IF('Smart Search'!G13=1,IFERROR(1/'Smart Search'!H13,0),0)</f>
        <v/>
      </c>
      <c r="BD393" s="66">
        <f>BB393*BC393</f>
        <v/>
      </c>
      <c r="BE393" s="66">
        <f>AP393+AQ393+AR393+AS393+AT393+AU393+AV393+AW393+AX393+AY393+BD393</f>
        <v/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5">
        <f>IF(AND('Project Database'!A397&lt;&gt;"",OR('Smart Search'!$L$5="",'Smart Search'!$L$5="All",TRIM('Project Database'!D397)=TRIM('Smart Search'!$L$5)),OR(TRIM('Smart Search'!$L$6)="",TRIM('Smart Search'!$L$6)="All",ISNUMBER(SEARCH(SUBSTITUTE(SUBSTITUTE(SUBSTITUTE(TRIM('Smart Search'!$L$6),"~","~~"),"*","~*"),"?","~?"),'Project Database'!C397))),OR('Smart Search'!$L$7="",AND('Project Database'!E397&lt;&gt;"",'Project Database'!E397='Smart Search'!$L$7)),OR('Smart Search'!$L$8="",'Smart Search'!$L$8="All",TRIM('Project Database'!F397)=TRIM('Smart Search'!$L$8))),IF(BA393="","",BA393+ROW()*0.0000000001),"")</f>
        <v/>
      </c>
      <c r="BI393" s="5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>
        <f>IF('Project Database'!A397="","",N('Project Database'!AC397))</f>
        <v/>
      </c>
      <c r="BK393" s="5">
        <f>IF('Project Database'!A397="","",N('Project Database'!AD397))</f>
        <v/>
      </c>
      <c r="BL393" s="5">
        <f>IF('Project Database'!A397="","",N('Project Database'!AE397))</f>
        <v/>
      </c>
      <c r="BM393" s="5">
        <f>IF('Project Database'!A397="","",N('Project Database'!AF397))</f>
        <v/>
      </c>
      <c r="BN393" s="5">
        <f>IF('Project Database'!A397="","",N('Project Database'!AG397))</f>
        <v/>
      </c>
      <c r="BO393" s="5">
        <f>IF('Project Database'!A397="","",N('Project Database'!AH397))</f>
        <v/>
      </c>
      <c r="BP393" s="5">
        <f>IF('Project Database'!A397="","",N('Project Database'!AI397))</f>
        <v/>
      </c>
      <c r="BQ393" s="5">
        <f>IF('Project Database'!A397="","",N('Project Database'!AJ397))</f>
        <v/>
      </c>
      <c r="BR393" s="5">
        <f>IF('Project Database'!A397="","",N('Project Database'!AK397))</f>
        <v/>
      </c>
      <c r="BS393" s="5">
        <f>IF('Project Database'!A397="","",N('Project Database'!AL397))</f>
        <v/>
      </c>
      <c r="BT393" s="5">
        <f>IF('Project Database'!A397="","",N('Project Database'!AM397))</f>
        <v/>
      </c>
      <c r="BU393" s="5">
        <f>IF('Project Database'!A397="","",N('Project Database'!AN397))</f>
        <v/>
      </c>
      <c r="BV393" s="5">
        <f>IF('Project Database'!A397="","",N('Project Database'!AO397))</f>
        <v/>
      </c>
      <c r="BW393" s="5">
        <f>IF('Project Database'!A397="","",N('Project Database'!AP397))</f>
        <v/>
      </c>
      <c r="BX393" s="5">
        <f>IF(A393="","",SUM(BJ393:BW393))</f>
        <v/>
      </c>
      <c r="BY393" s="5">
        <f>IF(A393="","",IFERROR(IF(ISNUMBER(U393),U393,VALUE(SUBSTITUTE(SUBSTITUTE(SUBSTITUTE(UPPER(TRIM(U393)),"M",""),",","")," ",""))),0))</f>
        <v/>
      </c>
    </row>
    <row r="394" ht="15" customHeight="1" s="74">
      <c r="A394" s="66">
        <f>'Project Database'!A398</f>
        <v/>
      </c>
      <c r="B394" s="66">
        <f>'Project Database'!B398</f>
        <v/>
      </c>
      <c r="C394" s="66">
        <f>'Project Database'!G398</f>
        <v/>
      </c>
      <c r="D394" s="66">
        <f>'Project Database'!H398</f>
        <v/>
      </c>
      <c r="E394" s="66">
        <f>'Project Database'!I398</f>
        <v/>
      </c>
      <c r="F394" s="66">
        <f>'Project Database'!J398</f>
        <v/>
      </c>
      <c r="G394" s="66">
        <f>'Project Database'!K398</f>
        <v/>
      </c>
      <c r="H394" s="66">
        <f>'Project Database'!L398</f>
        <v/>
      </c>
      <c r="I394" s="66">
        <f>'Project Database'!M398</f>
        <v/>
      </c>
      <c r="J394" s="66">
        <f>'Project Database'!N398</f>
        <v/>
      </c>
      <c r="K394" s="66">
        <f>'Project Database'!O398</f>
        <v/>
      </c>
      <c r="L394" s="66">
        <f>'Project Database'!P398</f>
        <v/>
      </c>
      <c r="M394" s="66">
        <f>'Project Database'!Q398</f>
        <v/>
      </c>
      <c r="N394" s="66">
        <f>'Project Database'!R398</f>
        <v/>
      </c>
      <c r="O394" s="66">
        <f>'Project Database'!S398</f>
        <v/>
      </c>
      <c r="P394" s="66">
        <f>'Project Database'!T398</f>
        <v/>
      </c>
      <c r="Q394" s="66">
        <f>'Project Database'!U398</f>
        <v/>
      </c>
      <c r="R394" s="66">
        <f>'Project Database'!V398</f>
        <v/>
      </c>
      <c r="S394" s="66">
        <f>'Project Database'!W398</f>
        <v/>
      </c>
      <c r="T394" s="66">
        <f>'Project Database'!X398</f>
        <v/>
      </c>
      <c r="U394" s="67">
        <f>'Project Database'!Y398</f>
        <v/>
      </c>
      <c r="V394" s="66">
        <f>IF('Smart Search'!B13=1,IFERROR(1/'Smart Search'!H13,0),0)</f>
        <v/>
      </c>
      <c r="W394" s="66">
        <f>IF('Smart Search'!B13=1,IFERROR(1/'Smart Search'!H13,0),0)</f>
        <v/>
      </c>
      <c r="X394" s="66">
        <f>IF('Smart Search'!C13=1,IFERROR(1/'Smart Search'!H13,0),0)</f>
        <v/>
      </c>
      <c r="Y394" s="66">
        <f>IF('Smart Search'!C13=1,IFERROR(1/'Smart Search'!H13,0),0)</f>
        <v/>
      </c>
      <c r="Z394" s="66">
        <f>IF('Smart Search'!D13=1,IFERROR(1/'Smart Search'!H13,0),0)</f>
        <v/>
      </c>
      <c r="AA394" s="66">
        <f>IF('Smart Search'!D13=1,IFERROR(1/'Smart Search'!H13,0),0)</f>
        <v/>
      </c>
      <c r="AB394" s="66">
        <f>IF('Smart Search'!E13=1,IFERROR(1/'Smart Search'!H13,0),0)</f>
        <v/>
      </c>
      <c r="AC394" s="66">
        <f>IF('Smart Search'!E13=1,IFERROR(1/'Smart Search'!H13,0),0)</f>
        <v/>
      </c>
      <c r="AD394" s="66">
        <f>IF('Smart Search'!F13=1,IFERROR(1/'Smart Search'!H13,0),0)</f>
        <v/>
      </c>
      <c r="AE394" s="66">
        <f>IF('Smart Search'!F13=1,IFERROR(1/'Smart Search'!H13,0),0)</f>
        <v/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66">
        <f>AF394*V394</f>
        <v/>
      </c>
      <c r="AQ394" s="66">
        <f>AG394*W394</f>
        <v/>
      </c>
      <c r="AR394" s="66">
        <f>AH394*X394</f>
        <v/>
      </c>
      <c r="AS394" s="66">
        <f>AI394*Y394</f>
        <v/>
      </c>
      <c r="AT394" s="66">
        <f>AJ394*Z394</f>
        <v/>
      </c>
      <c r="AU394" s="66">
        <f>AK394*AA394</f>
        <v/>
      </c>
      <c r="AV394" s="66">
        <f>AL394*AB394</f>
        <v/>
      </c>
      <c r="AW394" s="66">
        <f>AM394*AC394</f>
        <v/>
      </c>
      <c r="AX394" s="66">
        <f>AN394*AD394</f>
        <v/>
      </c>
      <c r="AY394" s="66">
        <f>AO394*AE394</f>
        <v/>
      </c>
      <c r="AZ394" s="66">
        <f>'Project Database'!Z398</f>
        <v/>
      </c>
      <c r="BA394" s="66">
        <f>IF(OR(A394="",'Smart Search'!H13=0),"",MAX(0,BE394*BF394*MAX(0,1-BG394)))</f>
        <v/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66">
        <f>IF('Smart Search'!G13=1,IFERROR(1/'Smart Search'!H13,0),0)</f>
        <v/>
      </c>
      <c r="BD394" s="66">
        <f>BB394*BC394</f>
        <v/>
      </c>
      <c r="BE394" s="66">
        <f>AP394+AQ394+AR394+AS394+AT394+AU394+AV394+AW394+AX394+AY394+BD394</f>
        <v/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5">
        <f>IF(AND('Project Database'!A398&lt;&gt;"",OR('Smart Search'!$L$5="",'Smart Search'!$L$5="All",TRIM('Project Database'!D398)=TRIM('Smart Search'!$L$5)),OR(TRIM('Smart Search'!$L$6)="",TRIM('Smart Search'!$L$6)="All",ISNUMBER(SEARCH(SUBSTITUTE(SUBSTITUTE(SUBSTITUTE(TRIM('Smart Search'!$L$6),"~","~~"),"*","~*"),"?","~?"),'Project Database'!C398))),OR('Smart Search'!$L$7="",AND('Project Database'!E398&lt;&gt;"",'Project Database'!E398='Smart Search'!$L$7)),OR('Smart Search'!$L$8="",'Smart Search'!$L$8="All",TRIM('Project Database'!F398)=TRIM('Smart Search'!$L$8))),IF(BA394="","",BA394+ROW()*0.0000000001),"")</f>
        <v/>
      </c>
      <c r="BI394" s="5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>
        <f>IF('Project Database'!A398="","",N('Project Database'!AC398))</f>
        <v/>
      </c>
      <c r="BK394" s="5">
        <f>IF('Project Database'!A398="","",N('Project Database'!AD398))</f>
        <v/>
      </c>
      <c r="BL394" s="5">
        <f>IF('Project Database'!A398="","",N('Project Database'!AE398))</f>
        <v/>
      </c>
      <c r="BM394" s="5">
        <f>IF('Project Database'!A398="","",N('Project Database'!AF398))</f>
        <v/>
      </c>
      <c r="BN394" s="5">
        <f>IF('Project Database'!A398="","",N('Project Database'!AG398))</f>
        <v/>
      </c>
      <c r="BO394" s="5">
        <f>IF('Project Database'!A398="","",N('Project Database'!AH398))</f>
        <v/>
      </c>
      <c r="BP394" s="5">
        <f>IF('Project Database'!A398="","",N('Project Database'!AI398))</f>
        <v/>
      </c>
      <c r="BQ394" s="5">
        <f>IF('Project Database'!A398="","",N('Project Database'!AJ398))</f>
        <v/>
      </c>
      <c r="BR394" s="5">
        <f>IF('Project Database'!A398="","",N('Project Database'!AK398))</f>
        <v/>
      </c>
      <c r="BS394" s="5">
        <f>IF('Project Database'!A398="","",N('Project Database'!AL398))</f>
        <v/>
      </c>
      <c r="BT394" s="5">
        <f>IF('Project Database'!A398="","",N('Project Database'!AM398))</f>
        <v/>
      </c>
      <c r="BU394" s="5">
        <f>IF('Project Database'!A398="","",N('Project Database'!AN398))</f>
        <v/>
      </c>
      <c r="BV394" s="5">
        <f>IF('Project Database'!A398="","",N('Project Database'!AO398))</f>
        <v/>
      </c>
      <c r="BW394" s="5">
        <f>IF('Project Database'!A398="","",N('Project Database'!AP398))</f>
        <v/>
      </c>
      <c r="BX394" s="5">
        <f>IF(A394="","",SUM(BJ394:BW394))</f>
        <v/>
      </c>
      <c r="BY394" s="5">
        <f>IF(A394="","",IFERROR(IF(ISNUMBER(U394),U394,VALUE(SUBSTITUTE(SUBSTITUTE(SUBSTITUTE(UPPER(TRIM(U394)),"M",""),",","")," ",""))),0))</f>
        <v/>
      </c>
    </row>
    <row r="395" ht="15" customHeight="1" s="74">
      <c r="A395" s="66">
        <f>'Project Database'!A399</f>
        <v/>
      </c>
      <c r="B395" s="66">
        <f>'Project Database'!B399</f>
        <v/>
      </c>
      <c r="C395" s="66">
        <f>'Project Database'!G399</f>
        <v/>
      </c>
      <c r="D395" s="66">
        <f>'Project Database'!H399</f>
        <v/>
      </c>
      <c r="E395" s="66">
        <f>'Project Database'!I399</f>
        <v/>
      </c>
      <c r="F395" s="66">
        <f>'Project Database'!J399</f>
        <v/>
      </c>
      <c r="G395" s="66">
        <f>'Project Database'!K399</f>
        <v/>
      </c>
      <c r="H395" s="66">
        <f>'Project Database'!L399</f>
        <v/>
      </c>
      <c r="I395" s="66">
        <f>'Project Database'!M399</f>
        <v/>
      </c>
      <c r="J395" s="66">
        <f>'Project Database'!N399</f>
        <v/>
      </c>
      <c r="K395" s="66">
        <f>'Project Database'!O399</f>
        <v/>
      </c>
      <c r="L395" s="66">
        <f>'Project Database'!P399</f>
        <v/>
      </c>
      <c r="M395" s="66">
        <f>'Project Database'!Q399</f>
        <v/>
      </c>
      <c r="N395" s="66">
        <f>'Project Database'!R399</f>
        <v/>
      </c>
      <c r="O395" s="66">
        <f>'Project Database'!S399</f>
        <v/>
      </c>
      <c r="P395" s="66">
        <f>'Project Database'!T399</f>
        <v/>
      </c>
      <c r="Q395" s="66">
        <f>'Project Database'!U399</f>
        <v/>
      </c>
      <c r="R395" s="66">
        <f>'Project Database'!V399</f>
        <v/>
      </c>
      <c r="S395" s="66">
        <f>'Project Database'!W399</f>
        <v/>
      </c>
      <c r="T395" s="66">
        <f>'Project Database'!X399</f>
        <v/>
      </c>
      <c r="U395" s="67">
        <f>'Project Database'!Y399</f>
        <v/>
      </c>
      <c r="V395" s="66">
        <f>IF('Smart Search'!B13=1,IFERROR(1/'Smart Search'!H13,0),0)</f>
        <v/>
      </c>
      <c r="W395" s="66">
        <f>IF('Smart Search'!B13=1,IFERROR(1/'Smart Search'!H13,0),0)</f>
        <v/>
      </c>
      <c r="X395" s="66">
        <f>IF('Smart Search'!C13=1,IFERROR(1/'Smart Search'!H13,0),0)</f>
        <v/>
      </c>
      <c r="Y395" s="66">
        <f>IF('Smart Search'!C13=1,IFERROR(1/'Smart Search'!H13,0),0)</f>
        <v/>
      </c>
      <c r="Z395" s="66">
        <f>IF('Smart Search'!D13=1,IFERROR(1/'Smart Search'!H13,0),0)</f>
        <v/>
      </c>
      <c r="AA395" s="66">
        <f>IF('Smart Search'!D13=1,IFERROR(1/'Smart Search'!H13,0),0)</f>
        <v/>
      </c>
      <c r="AB395" s="66">
        <f>IF('Smart Search'!E13=1,IFERROR(1/'Smart Search'!H13,0),0)</f>
        <v/>
      </c>
      <c r="AC395" s="66">
        <f>IF('Smart Search'!E13=1,IFERROR(1/'Smart Search'!H13,0),0)</f>
        <v/>
      </c>
      <c r="AD395" s="66">
        <f>IF('Smart Search'!F13=1,IFERROR(1/'Smart Search'!H13,0),0)</f>
        <v/>
      </c>
      <c r="AE395" s="66">
        <f>IF('Smart Search'!F13=1,IFERROR(1/'Smart Search'!H13,0),0)</f>
        <v/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66">
        <f>AF395*V395</f>
        <v/>
      </c>
      <c r="AQ395" s="66">
        <f>AG395*W395</f>
        <v/>
      </c>
      <c r="AR395" s="66">
        <f>AH395*X395</f>
        <v/>
      </c>
      <c r="AS395" s="66">
        <f>AI395*Y395</f>
        <v/>
      </c>
      <c r="AT395" s="66">
        <f>AJ395*Z395</f>
        <v/>
      </c>
      <c r="AU395" s="66">
        <f>AK395*AA395</f>
        <v/>
      </c>
      <c r="AV395" s="66">
        <f>AL395*AB395</f>
        <v/>
      </c>
      <c r="AW395" s="66">
        <f>AM395*AC395</f>
        <v/>
      </c>
      <c r="AX395" s="66">
        <f>AN395*AD395</f>
        <v/>
      </c>
      <c r="AY395" s="66">
        <f>AO395*AE395</f>
        <v/>
      </c>
      <c r="AZ395" s="66">
        <f>'Project Database'!Z399</f>
        <v/>
      </c>
      <c r="BA395" s="66">
        <f>IF(OR(A395="",'Smart Search'!H13=0),"",MAX(0,BE395*BF395*MAX(0,1-BG395)))</f>
        <v/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66">
        <f>IF('Smart Search'!G13=1,IFERROR(1/'Smart Search'!H13,0),0)</f>
        <v/>
      </c>
      <c r="BD395" s="66">
        <f>BB395*BC395</f>
        <v/>
      </c>
      <c r="BE395" s="66">
        <f>AP395+AQ395+AR395+AS395+AT395+AU395+AV395+AW395+AX395+AY395+BD395</f>
        <v/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5">
        <f>IF(AND('Project Database'!A399&lt;&gt;"",OR('Smart Search'!$L$5="",'Smart Search'!$L$5="All",TRIM('Project Database'!D399)=TRIM('Smart Search'!$L$5)),OR(TRIM('Smart Search'!$L$6)="",TRIM('Smart Search'!$L$6)="All",ISNUMBER(SEARCH(SUBSTITUTE(SUBSTITUTE(SUBSTITUTE(TRIM('Smart Search'!$L$6),"~","~~"),"*","~*"),"?","~?"),'Project Database'!C399))),OR('Smart Search'!$L$7="",AND('Project Database'!E399&lt;&gt;"",'Project Database'!E399='Smart Search'!$L$7)),OR('Smart Search'!$L$8="",'Smart Search'!$L$8="All",TRIM('Project Database'!F399)=TRIM('Smart Search'!$L$8))),IF(BA395="","",BA395+ROW()*0.0000000001),"")</f>
        <v/>
      </c>
      <c r="BI395" s="5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>
        <f>IF('Project Database'!A399="","",N('Project Database'!AC399))</f>
        <v/>
      </c>
      <c r="BK395" s="5">
        <f>IF('Project Database'!A399="","",N('Project Database'!AD399))</f>
        <v/>
      </c>
      <c r="BL395" s="5">
        <f>IF('Project Database'!A399="","",N('Project Database'!AE399))</f>
        <v/>
      </c>
      <c r="BM395" s="5">
        <f>IF('Project Database'!A399="","",N('Project Database'!AF399))</f>
        <v/>
      </c>
      <c r="BN395" s="5">
        <f>IF('Project Database'!A399="","",N('Project Database'!AG399))</f>
        <v/>
      </c>
      <c r="BO395" s="5">
        <f>IF('Project Database'!A399="","",N('Project Database'!AH399))</f>
        <v/>
      </c>
      <c r="BP395" s="5">
        <f>IF('Project Database'!A399="","",N('Project Database'!AI399))</f>
        <v/>
      </c>
      <c r="BQ395" s="5">
        <f>IF('Project Database'!A399="","",N('Project Database'!AJ399))</f>
        <v/>
      </c>
      <c r="BR395" s="5">
        <f>IF('Project Database'!A399="","",N('Project Database'!AK399))</f>
        <v/>
      </c>
      <c r="BS395" s="5">
        <f>IF('Project Database'!A399="","",N('Project Database'!AL399))</f>
        <v/>
      </c>
      <c r="BT395" s="5">
        <f>IF('Project Database'!A399="","",N('Project Database'!AM399))</f>
        <v/>
      </c>
      <c r="BU395" s="5">
        <f>IF('Project Database'!A399="","",N('Project Database'!AN399))</f>
        <v/>
      </c>
      <c r="BV395" s="5">
        <f>IF('Project Database'!A399="","",N('Project Database'!AO399))</f>
        <v/>
      </c>
      <c r="BW395" s="5">
        <f>IF('Project Database'!A399="","",N('Project Database'!AP399))</f>
        <v/>
      </c>
      <c r="BX395" s="5">
        <f>IF(A395="","",SUM(BJ395:BW395))</f>
        <v/>
      </c>
      <c r="BY395" s="5">
        <f>IF(A395="","",IFERROR(IF(ISNUMBER(U395),U395,VALUE(SUBSTITUTE(SUBSTITUTE(SUBSTITUTE(UPPER(TRIM(U395)),"M",""),",","")," ",""))),0))</f>
        <v/>
      </c>
    </row>
    <row r="396" ht="15" customHeight="1" s="74">
      <c r="A396" s="66">
        <f>'Project Database'!A400</f>
        <v/>
      </c>
      <c r="B396" s="66">
        <f>'Project Database'!B400</f>
        <v/>
      </c>
      <c r="C396" s="66">
        <f>'Project Database'!G400</f>
        <v/>
      </c>
      <c r="D396" s="66">
        <f>'Project Database'!H400</f>
        <v/>
      </c>
      <c r="E396" s="66">
        <f>'Project Database'!I400</f>
        <v/>
      </c>
      <c r="F396" s="66">
        <f>'Project Database'!J400</f>
        <v/>
      </c>
      <c r="G396" s="66">
        <f>'Project Database'!K400</f>
        <v/>
      </c>
      <c r="H396" s="66">
        <f>'Project Database'!L400</f>
        <v/>
      </c>
      <c r="I396" s="66">
        <f>'Project Database'!M400</f>
        <v/>
      </c>
      <c r="J396" s="66">
        <f>'Project Database'!N400</f>
        <v/>
      </c>
      <c r="K396" s="66">
        <f>'Project Database'!O400</f>
        <v/>
      </c>
      <c r="L396" s="66">
        <f>'Project Database'!P400</f>
        <v/>
      </c>
      <c r="M396" s="66">
        <f>'Project Database'!Q400</f>
        <v/>
      </c>
      <c r="N396" s="66">
        <f>'Project Database'!R400</f>
        <v/>
      </c>
      <c r="O396" s="66">
        <f>'Project Database'!S400</f>
        <v/>
      </c>
      <c r="P396" s="66">
        <f>'Project Database'!T400</f>
        <v/>
      </c>
      <c r="Q396" s="66">
        <f>'Project Database'!U400</f>
        <v/>
      </c>
      <c r="R396" s="66">
        <f>'Project Database'!V400</f>
        <v/>
      </c>
      <c r="S396" s="66">
        <f>'Project Database'!W400</f>
        <v/>
      </c>
      <c r="T396" s="66">
        <f>'Project Database'!X400</f>
        <v/>
      </c>
      <c r="U396" s="67">
        <f>'Project Database'!Y400</f>
        <v/>
      </c>
      <c r="V396" s="66">
        <f>IF('Smart Search'!B13=1,IFERROR(1/'Smart Search'!H13,0),0)</f>
        <v/>
      </c>
      <c r="W396" s="66">
        <f>IF('Smart Search'!B13=1,IFERROR(1/'Smart Search'!H13,0),0)</f>
        <v/>
      </c>
      <c r="X396" s="66">
        <f>IF('Smart Search'!C13=1,IFERROR(1/'Smart Search'!H13,0),0)</f>
        <v/>
      </c>
      <c r="Y396" s="66">
        <f>IF('Smart Search'!C13=1,IFERROR(1/'Smart Search'!H13,0),0)</f>
        <v/>
      </c>
      <c r="Z396" s="66">
        <f>IF('Smart Search'!D13=1,IFERROR(1/'Smart Search'!H13,0),0)</f>
        <v/>
      </c>
      <c r="AA396" s="66">
        <f>IF('Smart Search'!D13=1,IFERROR(1/'Smart Search'!H13,0),0)</f>
        <v/>
      </c>
      <c r="AB396" s="66">
        <f>IF('Smart Search'!E13=1,IFERROR(1/'Smart Search'!H13,0),0)</f>
        <v/>
      </c>
      <c r="AC396" s="66">
        <f>IF('Smart Search'!E13=1,IFERROR(1/'Smart Search'!H13,0),0)</f>
        <v/>
      </c>
      <c r="AD396" s="66">
        <f>IF('Smart Search'!F13=1,IFERROR(1/'Smart Search'!H13,0),0)</f>
        <v/>
      </c>
      <c r="AE396" s="66">
        <f>IF('Smart Search'!F13=1,IFERROR(1/'Smart Search'!H13,0),0)</f>
        <v/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66">
        <f>AF396*V396</f>
        <v/>
      </c>
      <c r="AQ396" s="66">
        <f>AG396*W396</f>
        <v/>
      </c>
      <c r="AR396" s="66">
        <f>AH396*X396</f>
        <v/>
      </c>
      <c r="AS396" s="66">
        <f>AI396*Y396</f>
        <v/>
      </c>
      <c r="AT396" s="66">
        <f>AJ396*Z396</f>
        <v/>
      </c>
      <c r="AU396" s="66">
        <f>AK396*AA396</f>
        <v/>
      </c>
      <c r="AV396" s="66">
        <f>AL396*AB396</f>
        <v/>
      </c>
      <c r="AW396" s="66">
        <f>AM396*AC396</f>
        <v/>
      </c>
      <c r="AX396" s="66">
        <f>AN396*AD396</f>
        <v/>
      </c>
      <c r="AY396" s="66">
        <f>AO396*AE396</f>
        <v/>
      </c>
      <c r="AZ396" s="66">
        <f>'Project Database'!Z400</f>
        <v/>
      </c>
      <c r="BA396" s="66">
        <f>IF(OR(A396="",'Smart Search'!H13=0),"",MAX(0,BE396*BF396*MAX(0,1-BG396)))</f>
        <v/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66">
        <f>IF('Smart Search'!G13=1,IFERROR(1/'Smart Search'!H13,0),0)</f>
        <v/>
      </c>
      <c r="BD396" s="66">
        <f>BB396*BC396</f>
        <v/>
      </c>
      <c r="BE396" s="66">
        <f>AP396+AQ396+AR396+AS396+AT396+AU396+AV396+AW396+AX396+AY396+BD396</f>
        <v/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5">
        <f>IF(AND('Project Database'!A400&lt;&gt;"",OR('Smart Search'!$L$5="",'Smart Search'!$L$5="All",TRIM('Project Database'!D400)=TRIM('Smart Search'!$L$5)),OR(TRIM('Smart Search'!$L$6)="",TRIM('Smart Search'!$L$6)="All",ISNUMBER(SEARCH(SUBSTITUTE(SUBSTITUTE(SUBSTITUTE(TRIM('Smart Search'!$L$6),"~","~~"),"*","~*"),"?","~?"),'Project Database'!C400))),OR('Smart Search'!$L$7="",AND('Project Database'!E400&lt;&gt;"",'Project Database'!E400='Smart Search'!$L$7)),OR('Smart Search'!$L$8="",'Smart Search'!$L$8="All",TRIM('Project Database'!F400)=TRIM('Smart Search'!$L$8))),IF(BA396="","",BA396+ROW()*0.0000000001),"")</f>
        <v/>
      </c>
      <c r="BI396" s="5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>
        <f>IF('Project Database'!A400="","",N('Project Database'!AC400))</f>
        <v/>
      </c>
      <c r="BK396" s="5">
        <f>IF('Project Database'!A400="","",N('Project Database'!AD400))</f>
        <v/>
      </c>
      <c r="BL396" s="5">
        <f>IF('Project Database'!A400="","",N('Project Database'!AE400))</f>
        <v/>
      </c>
      <c r="BM396" s="5">
        <f>IF('Project Database'!A400="","",N('Project Database'!AF400))</f>
        <v/>
      </c>
      <c r="BN396" s="5">
        <f>IF('Project Database'!A400="","",N('Project Database'!AG400))</f>
        <v/>
      </c>
      <c r="BO396" s="5">
        <f>IF('Project Database'!A400="","",N('Project Database'!AH400))</f>
        <v/>
      </c>
      <c r="BP396" s="5">
        <f>IF('Project Database'!A400="","",N('Project Database'!AI400))</f>
        <v/>
      </c>
      <c r="BQ396" s="5">
        <f>IF('Project Database'!A400="","",N('Project Database'!AJ400))</f>
        <v/>
      </c>
      <c r="BR396" s="5">
        <f>IF('Project Database'!A400="","",N('Project Database'!AK400))</f>
        <v/>
      </c>
      <c r="BS396" s="5">
        <f>IF('Project Database'!A400="","",N('Project Database'!AL400))</f>
        <v/>
      </c>
      <c r="BT396" s="5">
        <f>IF('Project Database'!A400="","",N('Project Database'!AM400))</f>
        <v/>
      </c>
      <c r="BU396" s="5">
        <f>IF('Project Database'!A400="","",N('Project Database'!AN400))</f>
        <v/>
      </c>
      <c r="BV396" s="5">
        <f>IF('Project Database'!A400="","",N('Project Database'!AO400))</f>
        <v/>
      </c>
      <c r="BW396" s="5">
        <f>IF('Project Database'!A400="","",N('Project Database'!AP400))</f>
        <v/>
      </c>
      <c r="BX396" s="5">
        <f>IF(A396="","",SUM(BJ396:BW396))</f>
        <v/>
      </c>
      <c r="BY396" s="5">
        <f>IF(A396="","",IFERROR(IF(ISNUMBER(U396),U396,VALUE(SUBSTITUTE(SUBSTITUTE(SUBSTITUTE(UPPER(TRIM(U396)),"M",""),",","")," ",""))),0))</f>
        <v/>
      </c>
    </row>
    <row r="397" ht="15" customHeight="1" s="74">
      <c r="A397" s="66">
        <f>'Project Database'!A401</f>
        <v/>
      </c>
      <c r="B397" s="66">
        <f>'Project Database'!B401</f>
        <v/>
      </c>
      <c r="C397" s="66">
        <f>'Project Database'!G401</f>
        <v/>
      </c>
      <c r="D397" s="66">
        <f>'Project Database'!H401</f>
        <v/>
      </c>
      <c r="E397" s="66">
        <f>'Project Database'!I401</f>
        <v/>
      </c>
      <c r="F397" s="66">
        <f>'Project Database'!J401</f>
        <v/>
      </c>
      <c r="G397" s="66">
        <f>'Project Database'!K401</f>
        <v/>
      </c>
      <c r="H397" s="66">
        <f>'Project Database'!L401</f>
        <v/>
      </c>
      <c r="I397" s="66">
        <f>'Project Database'!M401</f>
        <v/>
      </c>
      <c r="J397" s="66">
        <f>'Project Database'!N401</f>
        <v/>
      </c>
      <c r="K397" s="66">
        <f>'Project Database'!O401</f>
        <v/>
      </c>
      <c r="L397" s="66">
        <f>'Project Database'!P401</f>
        <v/>
      </c>
      <c r="M397" s="66">
        <f>'Project Database'!Q401</f>
        <v/>
      </c>
      <c r="N397" s="66">
        <f>'Project Database'!R401</f>
        <v/>
      </c>
      <c r="O397" s="66">
        <f>'Project Database'!S401</f>
        <v/>
      </c>
      <c r="P397" s="66">
        <f>'Project Database'!T401</f>
        <v/>
      </c>
      <c r="Q397" s="66">
        <f>'Project Database'!U401</f>
        <v/>
      </c>
      <c r="R397" s="66">
        <f>'Project Database'!V401</f>
        <v/>
      </c>
      <c r="S397" s="66">
        <f>'Project Database'!W401</f>
        <v/>
      </c>
      <c r="T397" s="66">
        <f>'Project Database'!X401</f>
        <v/>
      </c>
      <c r="U397" s="67">
        <f>'Project Database'!Y401</f>
        <v/>
      </c>
      <c r="V397" s="66">
        <f>IF('Smart Search'!B13=1,IFERROR(1/'Smart Search'!H13,0),0)</f>
        <v/>
      </c>
      <c r="W397" s="66">
        <f>IF('Smart Search'!B13=1,IFERROR(1/'Smart Search'!H13,0),0)</f>
        <v/>
      </c>
      <c r="X397" s="66">
        <f>IF('Smart Search'!C13=1,IFERROR(1/'Smart Search'!H13,0),0)</f>
        <v/>
      </c>
      <c r="Y397" s="66">
        <f>IF('Smart Search'!C13=1,IFERROR(1/'Smart Search'!H13,0),0)</f>
        <v/>
      </c>
      <c r="Z397" s="66">
        <f>IF('Smart Search'!D13=1,IFERROR(1/'Smart Search'!H13,0),0)</f>
        <v/>
      </c>
      <c r="AA397" s="66">
        <f>IF('Smart Search'!D13=1,IFERROR(1/'Smart Search'!H13,0),0)</f>
        <v/>
      </c>
      <c r="AB397" s="66">
        <f>IF('Smart Search'!E13=1,IFERROR(1/'Smart Search'!H13,0),0)</f>
        <v/>
      </c>
      <c r="AC397" s="66">
        <f>IF('Smart Search'!E13=1,IFERROR(1/'Smart Search'!H13,0),0)</f>
        <v/>
      </c>
      <c r="AD397" s="66">
        <f>IF('Smart Search'!F13=1,IFERROR(1/'Smart Search'!H13,0),0)</f>
        <v/>
      </c>
      <c r="AE397" s="66">
        <f>IF('Smart Search'!F13=1,IFERROR(1/'Smart Search'!H13,0),0)</f>
        <v/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66">
        <f>AF397*V397</f>
        <v/>
      </c>
      <c r="AQ397" s="66">
        <f>AG397*W397</f>
        <v/>
      </c>
      <c r="AR397" s="66">
        <f>AH397*X397</f>
        <v/>
      </c>
      <c r="AS397" s="66">
        <f>AI397*Y397</f>
        <v/>
      </c>
      <c r="AT397" s="66">
        <f>AJ397*Z397</f>
        <v/>
      </c>
      <c r="AU397" s="66">
        <f>AK397*AA397</f>
        <v/>
      </c>
      <c r="AV397" s="66">
        <f>AL397*AB397</f>
        <v/>
      </c>
      <c r="AW397" s="66">
        <f>AM397*AC397</f>
        <v/>
      </c>
      <c r="AX397" s="66">
        <f>AN397*AD397</f>
        <v/>
      </c>
      <c r="AY397" s="66">
        <f>AO397*AE397</f>
        <v/>
      </c>
      <c r="AZ397" s="66">
        <f>'Project Database'!Z401</f>
        <v/>
      </c>
      <c r="BA397" s="66">
        <f>IF(OR(A397="",'Smart Search'!H13=0),"",MAX(0,BE397*BF397*MAX(0,1-BG397)))</f>
        <v/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66">
        <f>IF('Smart Search'!G13=1,IFERROR(1/'Smart Search'!H13,0),0)</f>
        <v/>
      </c>
      <c r="BD397" s="66">
        <f>BB397*BC397</f>
        <v/>
      </c>
      <c r="BE397" s="66">
        <f>AP397+AQ397+AR397+AS397+AT397+AU397+AV397+AW397+AX397+AY397+BD397</f>
        <v/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5">
        <f>IF(AND('Project Database'!A401&lt;&gt;"",OR('Smart Search'!$L$5="",'Smart Search'!$L$5="All",TRIM('Project Database'!D401)=TRIM('Smart Search'!$L$5)),OR(TRIM('Smart Search'!$L$6)="",TRIM('Smart Search'!$L$6)="All",ISNUMBER(SEARCH(SUBSTITUTE(SUBSTITUTE(SUBSTITUTE(TRIM('Smart Search'!$L$6),"~","~~"),"*","~*"),"?","~?"),'Project Database'!C401))),OR('Smart Search'!$L$7="",AND('Project Database'!E401&lt;&gt;"",'Project Database'!E401='Smart Search'!$L$7)),OR('Smart Search'!$L$8="",'Smart Search'!$L$8="All",TRIM('Project Database'!F401)=TRIM('Smart Search'!$L$8))),IF(BA397="","",BA397+ROW()*0.0000000001),"")</f>
        <v/>
      </c>
      <c r="BI397" s="5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>
        <f>IF('Project Database'!A401="","",N('Project Database'!AC401))</f>
        <v/>
      </c>
      <c r="BK397" s="5">
        <f>IF('Project Database'!A401="","",N('Project Database'!AD401))</f>
        <v/>
      </c>
      <c r="BL397" s="5">
        <f>IF('Project Database'!A401="","",N('Project Database'!AE401))</f>
        <v/>
      </c>
      <c r="BM397" s="5">
        <f>IF('Project Database'!A401="","",N('Project Database'!AF401))</f>
        <v/>
      </c>
      <c r="BN397" s="5">
        <f>IF('Project Database'!A401="","",N('Project Database'!AG401))</f>
        <v/>
      </c>
      <c r="BO397" s="5">
        <f>IF('Project Database'!A401="","",N('Project Database'!AH401))</f>
        <v/>
      </c>
      <c r="BP397" s="5">
        <f>IF('Project Database'!A401="","",N('Project Database'!AI401))</f>
        <v/>
      </c>
      <c r="BQ397" s="5">
        <f>IF('Project Database'!A401="","",N('Project Database'!AJ401))</f>
        <v/>
      </c>
      <c r="BR397" s="5">
        <f>IF('Project Database'!A401="","",N('Project Database'!AK401))</f>
        <v/>
      </c>
      <c r="BS397" s="5">
        <f>IF('Project Database'!A401="","",N('Project Database'!AL401))</f>
        <v/>
      </c>
      <c r="BT397" s="5">
        <f>IF('Project Database'!A401="","",N('Project Database'!AM401))</f>
        <v/>
      </c>
      <c r="BU397" s="5">
        <f>IF('Project Database'!A401="","",N('Project Database'!AN401))</f>
        <v/>
      </c>
      <c r="BV397" s="5">
        <f>IF('Project Database'!A401="","",N('Project Database'!AO401))</f>
        <v/>
      </c>
      <c r="BW397" s="5">
        <f>IF('Project Database'!A401="","",N('Project Database'!AP401))</f>
        <v/>
      </c>
      <c r="BX397" s="5">
        <f>IF(A397="","",SUM(BJ397:BW397))</f>
        <v/>
      </c>
      <c r="BY397" s="5">
        <f>IF(A397="","",IFERROR(IF(ISNUMBER(U397),U397,VALUE(SUBSTITUTE(SUBSTITUTE(SUBSTITUTE(UPPER(TRIM(U397)),"M",""),",","")," ",""))),0))</f>
        <v/>
      </c>
    </row>
    <row r="398" ht="15" customHeight="1" s="74">
      <c r="A398" s="66">
        <f>'Project Database'!A402</f>
        <v/>
      </c>
      <c r="B398" s="66">
        <f>'Project Database'!B402</f>
        <v/>
      </c>
      <c r="C398" s="66">
        <f>'Project Database'!G402</f>
        <v/>
      </c>
      <c r="D398" s="66">
        <f>'Project Database'!H402</f>
        <v/>
      </c>
      <c r="E398" s="66">
        <f>'Project Database'!I402</f>
        <v/>
      </c>
      <c r="F398" s="66">
        <f>'Project Database'!J402</f>
        <v/>
      </c>
      <c r="G398" s="66">
        <f>'Project Database'!K402</f>
        <v/>
      </c>
      <c r="H398" s="66">
        <f>'Project Database'!L402</f>
        <v/>
      </c>
      <c r="I398" s="66">
        <f>'Project Database'!M402</f>
        <v/>
      </c>
      <c r="J398" s="66">
        <f>'Project Database'!N402</f>
        <v/>
      </c>
      <c r="K398" s="66">
        <f>'Project Database'!O402</f>
        <v/>
      </c>
      <c r="L398" s="66">
        <f>'Project Database'!P402</f>
        <v/>
      </c>
      <c r="M398" s="66">
        <f>'Project Database'!Q402</f>
        <v/>
      </c>
      <c r="N398" s="66">
        <f>'Project Database'!R402</f>
        <v/>
      </c>
      <c r="O398" s="66">
        <f>'Project Database'!S402</f>
        <v/>
      </c>
      <c r="P398" s="66">
        <f>'Project Database'!T402</f>
        <v/>
      </c>
      <c r="Q398" s="66">
        <f>'Project Database'!U402</f>
        <v/>
      </c>
      <c r="R398" s="66">
        <f>'Project Database'!V402</f>
        <v/>
      </c>
      <c r="S398" s="66">
        <f>'Project Database'!W402</f>
        <v/>
      </c>
      <c r="T398" s="66">
        <f>'Project Database'!X402</f>
        <v/>
      </c>
      <c r="U398" s="67">
        <f>'Project Database'!Y402</f>
        <v/>
      </c>
      <c r="V398" s="66">
        <f>IF('Smart Search'!B13=1,IFERROR(1/'Smart Search'!H13,0),0)</f>
        <v/>
      </c>
      <c r="W398" s="66">
        <f>IF('Smart Search'!B13=1,IFERROR(1/'Smart Search'!H13,0),0)</f>
        <v/>
      </c>
      <c r="X398" s="66">
        <f>IF('Smart Search'!C13=1,IFERROR(1/'Smart Search'!H13,0),0)</f>
        <v/>
      </c>
      <c r="Y398" s="66">
        <f>IF('Smart Search'!C13=1,IFERROR(1/'Smart Search'!H13,0),0)</f>
        <v/>
      </c>
      <c r="Z398" s="66">
        <f>IF('Smart Search'!D13=1,IFERROR(1/'Smart Search'!H13,0),0)</f>
        <v/>
      </c>
      <c r="AA398" s="66">
        <f>IF('Smart Search'!D13=1,IFERROR(1/'Smart Search'!H13,0),0)</f>
        <v/>
      </c>
      <c r="AB398" s="66">
        <f>IF('Smart Search'!E13=1,IFERROR(1/'Smart Search'!H13,0),0)</f>
        <v/>
      </c>
      <c r="AC398" s="66">
        <f>IF('Smart Search'!E13=1,IFERROR(1/'Smart Search'!H13,0),0)</f>
        <v/>
      </c>
      <c r="AD398" s="66">
        <f>IF('Smart Search'!F13=1,IFERROR(1/'Smart Search'!H13,0),0)</f>
        <v/>
      </c>
      <c r="AE398" s="66">
        <f>IF('Smart Search'!F13=1,IFERROR(1/'Smart Search'!H13,0),0)</f>
        <v/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66">
        <f>AF398*V398</f>
        <v/>
      </c>
      <c r="AQ398" s="66">
        <f>AG398*W398</f>
        <v/>
      </c>
      <c r="AR398" s="66">
        <f>AH398*X398</f>
        <v/>
      </c>
      <c r="AS398" s="66">
        <f>AI398*Y398</f>
        <v/>
      </c>
      <c r="AT398" s="66">
        <f>AJ398*Z398</f>
        <v/>
      </c>
      <c r="AU398" s="66">
        <f>AK398*AA398</f>
        <v/>
      </c>
      <c r="AV398" s="66">
        <f>AL398*AB398</f>
        <v/>
      </c>
      <c r="AW398" s="66">
        <f>AM398*AC398</f>
        <v/>
      </c>
      <c r="AX398" s="66">
        <f>AN398*AD398</f>
        <v/>
      </c>
      <c r="AY398" s="66">
        <f>AO398*AE398</f>
        <v/>
      </c>
      <c r="AZ398" s="66">
        <f>'Project Database'!Z402</f>
        <v/>
      </c>
      <c r="BA398" s="66">
        <f>IF(OR(A398="",'Smart Search'!H13=0),"",MAX(0,BE398*BF398*MAX(0,1-BG398)))</f>
        <v/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66">
        <f>IF('Smart Search'!G13=1,IFERROR(1/'Smart Search'!H13,0),0)</f>
        <v/>
      </c>
      <c r="BD398" s="66">
        <f>BB398*BC398</f>
        <v/>
      </c>
      <c r="BE398" s="66">
        <f>AP398+AQ398+AR398+AS398+AT398+AU398+AV398+AW398+AX398+AY398+BD398</f>
        <v/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5">
        <f>IF(AND('Project Database'!A402&lt;&gt;"",OR('Smart Search'!$L$5="",'Smart Search'!$L$5="All",TRIM('Project Database'!D402)=TRIM('Smart Search'!$L$5)),OR(TRIM('Smart Search'!$L$6)="",TRIM('Smart Search'!$L$6)="All",ISNUMBER(SEARCH(SUBSTITUTE(SUBSTITUTE(SUBSTITUTE(TRIM('Smart Search'!$L$6),"~","~~"),"*","~*"),"?","~?"),'Project Database'!C402))),OR('Smart Search'!$L$7="",AND('Project Database'!E402&lt;&gt;"",'Project Database'!E402='Smart Search'!$L$7)),OR('Smart Search'!$L$8="",'Smart Search'!$L$8="All",TRIM('Project Database'!F402)=TRIM('Smart Search'!$L$8))),IF(BA398="","",BA398+ROW()*0.0000000001),"")</f>
        <v/>
      </c>
      <c r="BI398" s="5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>
        <f>IF('Project Database'!A402="","",N('Project Database'!AC402))</f>
        <v/>
      </c>
      <c r="BK398" s="5">
        <f>IF('Project Database'!A402="","",N('Project Database'!AD402))</f>
        <v/>
      </c>
      <c r="BL398" s="5">
        <f>IF('Project Database'!A402="","",N('Project Database'!AE402))</f>
        <v/>
      </c>
      <c r="BM398" s="5">
        <f>IF('Project Database'!A402="","",N('Project Database'!AF402))</f>
        <v/>
      </c>
      <c r="BN398" s="5">
        <f>IF('Project Database'!A402="","",N('Project Database'!AG402))</f>
        <v/>
      </c>
      <c r="BO398" s="5">
        <f>IF('Project Database'!A402="","",N('Project Database'!AH402))</f>
        <v/>
      </c>
      <c r="BP398" s="5">
        <f>IF('Project Database'!A402="","",N('Project Database'!AI402))</f>
        <v/>
      </c>
      <c r="BQ398" s="5">
        <f>IF('Project Database'!A402="","",N('Project Database'!AJ402))</f>
        <v/>
      </c>
      <c r="BR398" s="5">
        <f>IF('Project Database'!A402="","",N('Project Database'!AK402))</f>
        <v/>
      </c>
      <c r="BS398" s="5">
        <f>IF('Project Database'!A402="","",N('Project Database'!AL402))</f>
        <v/>
      </c>
      <c r="BT398" s="5">
        <f>IF('Project Database'!A402="","",N('Project Database'!AM402))</f>
        <v/>
      </c>
      <c r="BU398" s="5">
        <f>IF('Project Database'!A402="","",N('Project Database'!AN402))</f>
        <v/>
      </c>
      <c r="BV398" s="5">
        <f>IF('Project Database'!A402="","",N('Project Database'!AO402))</f>
        <v/>
      </c>
      <c r="BW398" s="5">
        <f>IF('Project Database'!A402="","",N('Project Database'!AP402))</f>
        <v/>
      </c>
      <c r="BX398" s="5">
        <f>IF(A398="","",SUM(BJ398:BW398))</f>
        <v/>
      </c>
      <c r="BY398" s="5">
        <f>IF(A398="","",IFERROR(IF(ISNUMBER(U398),U398,VALUE(SUBSTITUTE(SUBSTITUTE(SUBSTITUTE(UPPER(TRIM(U398)),"M",""),",","")," ",""))),0))</f>
        <v/>
      </c>
    </row>
    <row r="399" ht="15" customHeight="1" s="74">
      <c r="A399" s="66">
        <f>'Project Database'!A403</f>
        <v/>
      </c>
      <c r="B399" s="66">
        <f>'Project Database'!B403</f>
        <v/>
      </c>
      <c r="C399" s="66">
        <f>'Project Database'!G403</f>
        <v/>
      </c>
      <c r="D399" s="66">
        <f>'Project Database'!H403</f>
        <v/>
      </c>
      <c r="E399" s="66">
        <f>'Project Database'!I403</f>
        <v/>
      </c>
      <c r="F399" s="66">
        <f>'Project Database'!J403</f>
        <v/>
      </c>
      <c r="G399" s="66">
        <f>'Project Database'!K403</f>
        <v/>
      </c>
      <c r="H399" s="66">
        <f>'Project Database'!L403</f>
        <v/>
      </c>
      <c r="I399" s="66">
        <f>'Project Database'!M403</f>
        <v/>
      </c>
      <c r="J399" s="66">
        <f>'Project Database'!N403</f>
        <v/>
      </c>
      <c r="K399" s="66">
        <f>'Project Database'!O403</f>
        <v/>
      </c>
      <c r="L399" s="66">
        <f>'Project Database'!P403</f>
        <v/>
      </c>
      <c r="M399" s="66">
        <f>'Project Database'!Q403</f>
        <v/>
      </c>
      <c r="N399" s="66">
        <f>'Project Database'!R403</f>
        <v/>
      </c>
      <c r="O399" s="66">
        <f>'Project Database'!S403</f>
        <v/>
      </c>
      <c r="P399" s="66">
        <f>'Project Database'!T403</f>
        <v/>
      </c>
      <c r="Q399" s="66">
        <f>'Project Database'!U403</f>
        <v/>
      </c>
      <c r="R399" s="66">
        <f>'Project Database'!V403</f>
        <v/>
      </c>
      <c r="S399" s="66">
        <f>'Project Database'!W403</f>
        <v/>
      </c>
      <c r="T399" s="66">
        <f>'Project Database'!X403</f>
        <v/>
      </c>
      <c r="U399" s="67">
        <f>'Project Database'!Y403</f>
        <v/>
      </c>
      <c r="V399" s="66">
        <f>IF('Smart Search'!B13=1,IFERROR(1/'Smart Search'!H13,0),0)</f>
        <v/>
      </c>
      <c r="W399" s="66">
        <f>IF('Smart Search'!B13=1,IFERROR(1/'Smart Search'!H13,0),0)</f>
        <v/>
      </c>
      <c r="X399" s="66">
        <f>IF('Smart Search'!C13=1,IFERROR(1/'Smart Search'!H13,0),0)</f>
        <v/>
      </c>
      <c r="Y399" s="66">
        <f>IF('Smart Search'!C13=1,IFERROR(1/'Smart Search'!H13,0),0)</f>
        <v/>
      </c>
      <c r="Z399" s="66">
        <f>IF('Smart Search'!D13=1,IFERROR(1/'Smart Search'!H13,0),0)</f>
        <v/>
      </c>
      <c r="AA399" s="66">
        <f>IF('Smart Search'!D13=1,IFERROR(1/'Smart Search'!H13,0),0)</f>
        <v/>
      </c>
      <c r="AB399" s="66">
        <f>IF('Smart Search'!E13=1,IFERROR(1/'Smart Search'!H13,0),0)</f>
        <v/>
      </c>
      <c r="AC399" s="66">
        <f>IF('Smart Search'!E13=1,IFERROR(1/'Smart Search'!H13,0),0)</f>
        <v/>
      </c>
      <c r="AD399" s="66">
        <f>IF('Smart Search'!F13=1,IFERROR(1/'Smart Search'!H13,0),0)</f>
        <v/>
      </c>
      <c r="AE399" s="66">
        <f>IF('Smart Search'!F13=1,IFERROR(1/'Smart Search'!H13,0),0)</f>
        <v/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66">
        <f>AF399*V399</f>
        <v/>
      </c>
      <c r="AQ399" s="66">
        <f>AG399*W399</f>
        <v/>
      </c>
      <c r="AR399" s="66">
        <f>AH399*X399</f>
        <v/>
      </c>
      <c r="AS399" s="66">
        <f>AI399*Y399</f>
        <v/>
      </c>
      <c r="AT399" s="66">
        <f>AJ399*Z399</f>
        <v/>
      </c>
      <c r="AU399" s="66">
        <f>AK399*AA399</f>
        <v/>
      </c>
      <c r="AV399" s="66">
        <f>AL399*AB399</f>
        <v/>
      </c>
      <c r="AW399" s="66">
        <f>AM399*AC399</f>
        <v/>
      </c>
      <c r="AX399" s="66">
        <f>AN399*AD399</f>
        <v/>
      </c>
      <c r="AY399" s="66">
        <f>AO399*AE399</f>
        <v/>
      </c>
      <c r="AZ399" s="66">
        <f>'Project Database'!Z403</f>
        <v/>
      </c>
      <c r="BA399" s="66">
        <f>IF(OR(A399="",'Smart Search'!H13=0),"",MAX(0,BE399*BF399*MAX(0,1-BG399)))</f>
        <v/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66">
        <f>IF('Smart Search'!G13=1,IFERROR(1/'Smart Search'!H13,0),0)</f>
        <v/>
      </c>
      <c r="BD399" s="66">
        <f>BB399*BC399</f>
        <v/>
      </c>
      <c r="BE399" s="66">
        <f>AP399+AQ399+AR399+AS399+AT399+AU399+AV399+AW399+AX399+AY399+BD399</f>
        <v/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5">
        <f>IF(AND('Project Database'!A403&lt;&gt;"",OR('Smart Search'!$L$5="",'Smart Search'!$L$5="All",TRIM('Project Database'!D403)=TRIM('Smart Search'!$L$5)),OR(TRIM('Smart Search'!$L$6)="",TRIM('Smart Search'!$L$6)="All",ISNUMBER(SEARCH(SUBSTITUTE(SUBSTITUTE(SUBSTITUTE(TRIM('Smart Search'!$L$6),"~","~~"),"*","~*"),"?","~?"),'Project Database'!C403))),OR('Smart Search'!$L$7="",AND('Project Database'!E403&lt;&gt;"",'Project Database'!E403='Smart Search'!$L$7)),OR('Smart Search'!$L$8="",'Smart Search'!$L$8="All",TRIM('Project Database'!F403)=TRIM('Smart Search'!$L$8))),IF(BA399="","",BA399+ROW()*0.0000000001),"")</f>
        <v/>
      </c>
      <c r="BI399" s="5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>
        <f>IF('Project Database'!A403="","",N('Project Database'!AC403))</f>
        <v/>
      </c>
      <c r="BK399" s="5">
        <f>IF('Project Database'!A403="","",N('Project Database'!AD403))</f>
        <v/>
      </c>
      <c r="BL399" s="5">
        <f>IF('Project Database'!A403="","",N('Project Database'!AE403))</f>
        <v/>
      </c>
      <c r="BM399" s="5">
        <f>IF('Project Database'!A403="","",N('Project Database'!AF403))</f>
        <v/>
      </c>
      <c r="BN399" s="5">
        <f>IF('Project Database'!A403="","",N('Project Database'!AG403))</f>
        <v/>
      </c>
      <c r="BO399" s="5">
        <f>IF('Project Database'!A403="","",N('Project Database'!AH403))</f>
        <v/>
      </c>
      <c r="BP399" s="5">
        <f>IF('Project Database'!A403="","",N('Project Database'!AI403))</f>
        <v/>
      </c>
      <c r="BQ399" s="5">
        <f>IF('Project Database'!A403="","",N('Project Database'!AJ403))</f>
        <v/>
      </c>
      <c r="BR399" s="5">
        <f>IF('Project Database'!A403="","",N('Project Database'!AK403))</f>
        <v/>
      </c>
      <c r="BS399" s="5">
        <f>IF('Project Database'!A403="","",N('Project Database'!AL403))</f>
        <v/>
      </c>
      <c r="BT399" s="5">
        <f>IF('Project Database'!A403="","",N('Project Database'!AM403))</f>
        <v/>
      </c>
      <c r="BU399" s="5">
        <f>IF('Project Database'!A403="","",N('Project Database'!AN403))</f>
        <v/>
      </c>
      <c r="BV399" s="5">
        <f>IF('Project Database'!A403="","",N('Project Database'!AO403))</f>
        <v/>
      </c>
      <c r="BW399" s="5">
        <f>IF('Project Database'!A403="","",N('Project Database'!AP403))</f>
        <v/>
      </c>
      <c r="BX399" s="5">
        <f>IF(A399="","",SUM(BJ399:BW399))</f>
        <v/>
      </c>
      <c r="BY399" s="5">
        <f>IF(A399="","",IFERROR(IF(ISNUMBER(U399),U399,VALUE(SUBSTITUTE(SUBSTITUTE(SUBSTITUTE(UPPER(TRIM(U399)),"M",""),",","")," ",""))),0))</f>
        <v/>
      </c>
    </row>
    <row r="400" ht="15" customHeight="1" s="74">
      <c r="A400" s="66">
        <f>'Project Database'!A404</f>
        <v/>
      </c>
      <c r="B400" s="66">
        <f>'Project Database'!B404</f>
        <v/>
      </c>
      <c r="C400" s="66">
        <f>'Project Database'!G404</f>
        <v/>
      </c>
      <c r="D400" s="66">
        <f>'Project Database'!H404</f>
        <v/>
      </c>
      <c r="E400" s="66">
        <f>'Project Database'!I404</f>
        <v/>
      </c>
      <c r="F400" s="66">
        <f>'Project Database'!J404</f>
        <v/>
      </c>
      <c r="G400" s="66">
        <f>'Project Database'!K404</f>
        <v/>
      </c>
      <c r="H400" s="66">
        <f>'Project Database'!L404</f>
        <v/>
      </c>
      <c r="I400" s="66">
        <f>'Project Database'!M404</f>
        <v/>
      </c>
      <c r="J400" s="66">
        <f>'Project Database'!N404</f>
        <v/>
      </c>
      <c r="K400" s="66">
        <f>'Project Database'!O404</f>
        <v/>
      </c>
      <c r="L400" s="66">
        <f>'Project Database'!P404</f>
        <v/>
      </c>
      <c r="M400" s="66">
        <f>'Project Database'!Q404</f>
        <v/>
      </c>
      <c r="N400" s="66">
        <f>'Project Database'!R404</f>
        <v/>
      </c>
      <c r="O400" s="66">
        <f>'Project Database'!S404</f>
        <v/>
      </c>
      <c r="P400" s="66">
        <f>'Project Database'!T404</f>
        <v/>
      </c>
      <c r="Q400" s="66">
        <f>'Project Database'!U404</f>
        <v/>
      </c>
      <c r="R400" s="66">
        <f>'Project Database'!V404</f>
        <v/>
      </c>
      <c r="S400" s="66">
        <f>'Project Database'!W404</f>
        <v/>
      </c>
      <c r="T400" s="66">
        <f>'Project Database'!X404</f>
        <v/>
      </c>
      <c r="U400" s="67">
        <f>'Project Database'!Y404</f>
        <v/>
      </c>
      <c r="V400" s="66">
        <f>IF('Smart Search'!B13=1,IFERROR(1/'Smart Search'!H13,0),0)</f>
        <v/>
      </c>
      <c r="W400" s="66">
        <f>IF('Smart Search'!B13=1,IFERROR(1/'Smart Search'!H13,0),0)</f>
        <v/>
      </c>
      <c r="X400" s="66">
        <f>IF('Smart Search'!C13=1,IFERROR(1/'Smart Search'!H13,0),0)</f>
        <v/>
      </c>
      <c r="Y400" s="66">
        <f>IF('Smart Search'!C13=1,IFERROR(1/'Smart Search'!H13,0),0)</f>
        <v/>
      </c>
      <c r="Z400" s="66">
        <f>IF('Smart Search'!D13=1,IFERROR(1/'Smart Search'!H13,0),0)</f>
        <v/>
      </c>
      <c r="AA400" s="66">
        <f>IF('Smart Search'!D13=1,IFERROR(1/'Smart Search'!H13,0),0)</f>
        <v/>
      </c>
      <c r="AB400" s="66">
        <f>IF('Smart Search'!E13=1,IFERROR(1/'Smart Search'!H13,0),0)</f>
        <v/>
      </c>
      <c r="AC400" s="66">
        <f>IF('Smart Search'!E13=1,IFERROR(1/'Smart Search'!H13,0),0)</f>
        <v/>
      </c>
      <c r="AD400" s="66">
        <f>IF('Smart Search'!F13=1,IFERROR(1/'Smart Search'!H13,0),0)</f>
        <v/>
      </c>
      <c r="AE400" s="66">
        <f>IF('Smart Search'!F13=1,IFERROR(1/'Smart Search'!H13,0),0)</f>
        <v/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66">
        <f>AF400*V400</f>
        <v/>
      </c>
      <c r="AQ400" s="66">
        <f>AG400*W400</f>
        <v/>
      </c>
      <c r="AR400" s="66">
        <f>AH400*X400</f>
        <v/>
      </c>
      <c r="AS400" s="66">
        <f>AI400*Y400</f>
        <v/>
      </c>
      <c r="AT400" s="66">
        <f>AJ400*Z400</f>
        <v/>
      </c>
      <c r="AU400" s="66">
        <f>AK400*AA400</f>
        <v/>
      </c>
      <c r="AV400" s="66">
        <f>AL400*AB400</f>
        <v/>
      </c>
      <c r="AW400" s="66">
        <f>AM400*AC400</f>
        <v/>
      </c>
      <c r="AX400" s="66">
        <f>AN400*AD400</f>
        <v/>
      </c>
      <c r="AY400" s="66">
        <f>AO400*AE400</f>
        <v/>
      </c>
      <c r="AZ400" s="66">
        <f>'Project Database'!Z404</f>
        <v/>
      </c>
      <c r="BA400" s="66">
        <f>IF(OR(A400="",'Smart Search'!H13=0),"",MAX(0,BE400*BF400*MAX(0,1-BG400)))</f>
        <v/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66">
        <f>IF('Smart Search'!G13=1,IFERROR(1/'Smart Search'!H13,0),0)</f>
        <v/>
      </c>
      <c r="BD400" s="66">
        <f>BB400*BC400</f>
        <v/>
      </c>
      <c r="BE400" s="66">
        <f>AP400+AQ400+AR400+AS400+AT400+AU400+AV400+AW400+AX400+AY400+BD400</f>
        <v/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5">
        <f>IF(AND('Project Database'!A404&lt;&gt;"",OR('Smart Search'!$L$5="",'Smart Search'!$L$5="All",TRIM('Project Database'!D404)=TRIM('Smart Search'!$L$5)),OR(TRIM('Smart Search'!$L$6)="",TRIM('Smart Search'!$L$6)="All",ISNUMBER(SEARCH(SUBSTITUTE(SUBSTITUTE(SUBSTITUTE(TRIM('Smart Search'!$L$6),"~","~~"),"*","~*"),"?","~?"),'Project Database'!C404))),OR('Smart Search'!$L$7="",AND('Project Database'!E404&lt;&gt;"",'Project Database'!E404='Smart Search'!$L$7)),OR('Smart Search'!$L$8="",'Smart Search'!$L$8="All",TRIM('Project Database'!F404)=TRIM('Smart Search'!$L$8))),IF(BA400="","",BA400+ROW()*0.0000000001),"")</f>
        <v/>
      </c>
      <c r="BI400" s="5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>
        <f>IF('Project Database'!A404="","",N('Project Database'!AC404))</f>
        <v/>
      </c>
      <c r="BK400" s="5">
        <f>IF('Project Database'!A404="","",N('Project Database'!AD404))</f>
        <v/>
      </c>
      <c r="BL400" s="5">
        <f>IF('Project Database'!A404="","",N('Project Database'!AE404))</f>
        <v/>
      </c>
      <c r="BM400" s="5">
        <f>IF('Project Database'!A404="","",N('Project Database'!AF404))</f>
        <v/>
      </c>
      <c r="BN400" s="5">
        <f>IF('Project Database'!A404="","",N('Project Database'!AG404))</f>
        <v/>
      </c>
      <c r="BO400" s="5">
        <f>IF('Project Database'!A404="","",N('Project Database'!AH404))</f>
        <v/>
      </c>
      <c r="BP400" s="5">
        <f>IF('Project Database'!A404="","",N('Project Database'!AI404))</f>
        <v/>
      </c>
      <c r="BQ400" s="5">
        <f>IF('Project Database'!A404="","",N('Project Database'!AJ404))</f>
        <v/>
      </c>
      <c r="BR400" s="5">
        <f>IF('Project Database'!A404="","",N('Project Database'!AK404))</f>
        <v/>
      </c>
      <c r="BS400" s="5">
        <f>IF('Project Database'!A404="","",N('Project Database'!AL404))</f>
        <v/>
      </c>
      <c r="BT400" s="5">
        <f>IF('Project Database'!A404="","",N('Project Database'!AM404))</f>
        <v/>
      </c>
      <c r="BU400" s="5">
        <f>IF('Project Database'!A404="","",N('Project Database'!AN404))</f>
        <v/>
      </c>
      <c r="BV400" s="5">
        <f>IF('Project Database'!A404="","",N('Project Database'!AO404))</f>
        <v/>
      </c>
      <c r="BW400" s="5">
        <f>IF('Project Database'!A404="","",N('Project Database'!AP404))</f>
        <v/>
      </c>
      <c r="BX400" s="5">
        <f>IF(A400="","",SUM(BJ400:BW400))</f>
        <v/>
      </c>
      <c r="BY400" s="5">
        <f>IF(A400="","",IFERROR(IF(ISNUMBER(U400),U400,VALUE(SUBSTITUTE(SUBSTITUTE(SUBSTITUTE(UPPER(TRIM(U400)),"M",""),",","")," ",""))),0))</f>
        <v/>
      </c>
    </row>
    <row r="401" ht="15" customHeight="1" s="74">
      <c r="A401" s="66">
        <f>'Project Database'!A405</f>
        <v/>
      </c>
      <c r="B401" s="66">
        <f>'Project Database'!B405</f>
        <v/>
      </c>
      <c r="C401" s="66">
        <f>'Project Database'!G405</f>
        <v/>
      </c>
      <c r="D401" s="66">
        <f>'Project Database'!H405</f>
        <v/>
      </c>
      <c r="E401" s="66">
        <f>'Project Database'!I405</f>
        <v/>
      </c>
      <c r="F401" s="66">
        <f>'Project Database'!J405</f>
        <v/>
      </c>
      <c r="G401" s="66">
        <f>'Project Database'!K405</f>
        <v/>
      </c>
      <c r="H401" s="66">
        <f>'Project Database'!L405</f>
        <v/>
      </c>
      <c r="I401" s="66">
        <f>'Project Database'!M405</f>
        <v/>
      </c>
      <c r="J401" s="66">
        <f>'Project Database'!N405</f>
        <v/>
      </c>
      <c r="K401" s="66">
        <f>'Project Database'!O405</f>
        <v/>
      </c>
      <c r="L401" s="66">
        <f>'Project Database'!P405</f>
        <v/>
      </c>
      <c r="M401" s="66">
        <f>'Project Database'!Q405</f>
        <v/>
      </c>
      <c r="N401" s="66">
        <f>'Project Database'!R405</f>
        <v/>
      </c>
      <c r="O401" s="66">
        <f>'Project Database'!S405</f>
        <v/>
      </c>
      <c r="P401" s="66">
        <f>'Project Database'!T405</f>
        <v/>
      </c>
      <c r="Q401" s="66">
        <f>'Project Database'!U405</f>
        <v/>
      </c>
      <c r="R401" s="66">
        <f>'Project Database'!V405</f>
        <v/>
      </c>
      <c r="S401" s="66">
        <f>'Project Database'!W405</f>
        <v/>
      </c>
      <c r="T401" s="66">
        <f>'Project Database'!X405</f>
        <v/>
      </c>
      <c r="U401" s="67">
        <f>'Project Database'!Y405</f>
        <v/>
      </c>
      <c r="V401" s="66">
        <f>IF('Smart Search'!B13=1,IFERROR(1/'Smart Search'!H13,0),0)</f>
        <v/>
      </c>
      <c r="W401" s="66">
        <f>IF('Smart Search'!B13=1,IFERROR(1/'Smart Search'!H13,0),0)</f>
        <v/>
      </c>
      <c r="X401" s="66">
        <f>IF('Smart Search'!C13=1,IFERROR(1/'Smart Search'!H13,0),0)</f>
        <v/>
      </c>
      <c r="Y401" s="66">
        <f>IF('Smart Search'!C13=1,IFERROR(1/'Smart Search'!H13,0),0)</f>
        <v/>
      </c>
      <c r="Z401" s="66">
        <f>IF('Smart Search'!D13=1,IFERROR(1/'Smart Search'!H13,0),0)</f>
        <v/>
      </c>
      <c r="AA401" s="66">
        <f>IF('Smart Search'!D13=1,IFERROR(1/'Smart Search'!H13,0),0)</f>
        <v/>
      </c>
      <c r="AB401" s="66">
        <f>IF('Smart Search'!E13=1,IFERROR(1/'Smart Search'!H13,0),0)</f>
        <v/>
      </c>
      <c r="AC401" s="66">
        <f>IF('Smart Search'!E13=1,IFERROR(1/'Smart Search'!H13,0),0)</f>
        <v/>
      </c>
      <c r="AD401" s="66">
        <f>IF('Smart Search'!F13=1,IFERROR(1/'Smart Search'!H13,0),0)</f>
        <v/>
      </c>
      <c r="AE401" s="66">
        <f>IF('Smart Search'!F13=1,IFERROR(1/'Smart Search'!H13,0),0)</f>
        <v/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66">
        <f>AF401*V401</f>
        <v/>
      </c>
      <c r="AQ401" s="66">
        <f>AG401*W401</f>
        <v/>
      </c>
      <c r="AR401" s="66">
        <f>AH401*X401</f>
        <v/>
      </c>
      <c r="AS401" s="66">
        <f>AI401*Y401</f>
        <v/>
      </c>
      <c r="AT401" s="66">
        <f>AJ401*Z401</f>
        <v/>
      </c>
      <c r="AU401" s="66">
        <f>AK401*AA401</f>
        <v/>
      </c>
      <c r="AV401" s="66">
        <f>AL401*AB401</f>
        <v/>
      </c>
      <c r="AW401" s="66">
        <f>AM401*AC401</f>
        <v/>
      </c>
      <c r="AX401" s="66">
        <f>AN401*AD401</f>
        <v/>
      </c>
      <c r="AY401" s="66">
        <f>AO401*AE401</f>
        <v/>
      </c>
      <c r="AZ401" s="66">
        <f>'Project Database'!Z405</f>
        <v/>
      </c>
      <c r="BA401" s="66">
        <f>IF(OR(A401="",'Smart Search'!H13=0),"",MAX(0,BE401*BF401*MAX(0,1-BG401)))</f>
        <v/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66">
        <f>IF('Smart Search'!G13=1,IFERROR(1/'Smart Search'!H13,0),0)</f>
        <v/>
      </c>
      <c r="BD401" s="66">
        <f>BB401*BC401</f>
        <v/>
      </c>
      <c r="BE401" s="66">
        <f>AP401+AQ401+AR401+AS401+AT401+AU401+AV401+AW401+AX401+AY401+BD401</f>
        <v/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5">
        <f>IF(AND('Project Database'!A405&lt;&gt;"",OR('Smart Search'!$L$5="",'Smart Search'!$L$5="All",TRIM('Project Database'!D405)=TRIM('Smart Search'!$L$5)),OR(TRIM('Smart Search'!$L$6)="",TRIM('Smart Search'!$L$6)="All",ISNUMBER(SEARCH(SUBSTITUTE(SUBSTITUTE(SUBSTITUTE(TRIM('Smart Search'!$L$6),"~","~~"),"*","~*"),"?","~?"),'Project Database'!C405))),OR('Smart Search'!$L$7="",AND('Project Database'!E405&lt;&gt;"",'Project Database'!E405='Smart Search'!$L$7)),OR('Smart Search'!$L$8="",'Smart Search'!$L$8="All",TRIM('Project Database'!F405)=TRIM('Smart Search'!$L$8))),IF(BA401="","",BA401+ROW()*0.0000000001),"")</f>
        <v/>
      </c>
      <c r="BI401" s="5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>
        <f>IF('Project Database'!A405="","",N('Project Database'!AC405))</f>
        <v/>
      </c>
      <c r="BK401" s="5">
        <f>IF('Project Database'!A405="","",N('Project Database'!AD405))</f>
        <v/>
      </c>
      <c r="BL401" s="5">
        <f>IF('Project Database'!A405="","",N('Project Database'!AE405))</f>
        <v/>
      </c>
      <c r="BM401" s="5">
        <f>IF('Project Database'!A405="","",N('Project Database'!AF405))</f>
        <v/>
      </c>
      <c r="BN401" s="5">
        <f>IF('Project Database'!A405="","",N('Project Database'!AG405))</f>
        <v/>
      </c>
      <c r="BO401" s="5">
        <f>IF('Project Database'!A405="","",N('Project Database'!AH405))</f>
        <v/>
      </c>
      <c r="BP401" s="5">
        <f>IF('Project Database'!A405="","",N('Project Database'!AI405))</f>
        <v/>
      </c>
      <c r="BQ401" s="5">
        <f>IF('Project Database'!A405="","",N('Project Database'!AJ405))</f>
        <v/>
      </c>
      <c r="BR401" s="5">
        <f>IF('Project Database'!A405="","",N('Project Database'!AK405))</f>
        <v/>
      </c>
      <c r="BS401" s="5">
        <f>IF('Project Database'!A405="","",N('Project Database'!AL405))</f>
        <v/>
      </c>
      <c r="BT401" s="5">
        <f>IF('Project Database'!A405="","",N('Project Database'!AM405))</f>
        <v/>
      </c>
      <c r="BU401" s="5">
        <f>IF('Project Database'!A405="","",N('Project Database'!AN405))</f>
        <v/>
      </c>
      <c r="BV401" s="5">
        <f>IF('Project Database'!A405="","",N('Project Database'!AO405))</f>
        <v/>
      </c>
      <c r="BW401" s="5">
        <f>IF('Project Database'!A405="","",N('Project Database'!AP405))</f>
        <v/>
      </c>
      <c r="BX401" s="5">
        <f>IF(A401="","",SUM(BJ401:BW401))</f>
        <v/>
      </c>
      <c r="BY401" s="5">
        <f>IF(A401="","",IFERROR(IF(ISNUMBER(U401),U401,VALUE(SUBSTITUTE(SUBSTITUTE(SUBSTITUTE(UPPER(TRIM(U401)),"M",""),",","")," ",""))),0))</f>
        <v/>
      </c>
    </row>
    <row r="402" ht="15" customHeight="1" s="74">
      <c r="A402" s="66">
        <f>'Project Database'!A406</f>
        <v/>
      </c>
      <c r="B402" s="66">
        <f>'Project Database'!B406</f>
        <v/>
      </c>
      <c r="C402" s="66">
        <f>'Project Database'!G406</f>
        <v/>
      </c>
      <c r="D402" s="66">
        <f>'Project Database'!H406</f>
        <v/>
      </c>
      <c r="E402" s="66">
        <f>'Project Database'!I406</f>
        <v/>
      </c>
      <c r="F402" s="66">
        <f>'Project Database'!J406</f>
        <v/>
      </c>
      <c r="G402" s="66">
        <f>'Project Database'!K406</f>
        <v/>
      </c>
      <c r="H402" s="66">
        <f>'Project Database'!L406</f>
        <v/>
      </c>
      <c r="I402" s="66">
        <f>'Project Database'!M406</f>
        <v/>
      </c>
      <c r="J402" s="66">
        <f>'Project Database'!N406</f>
        <v/>
      </c>
      <c r="K402" s="66">
        <f>'Project Database'!O406</f>
        <v/>
      </c>
      <c r="L402" s="66">
        <f>'Project Database'!P406</f>
        <v/>
      </c>
      <c r="M402" s="66">
        <f>'Project Database'!Q406</f>
        <v/>
      </c>
      <c r="N402" s="66">
        <f>'Project Database'!R406</f>
        <v/>
      </c>
      <c r="O402" s="66">
        <f>'Project Database'!S406</f>
        <v/>
      </c>
      <c r="P402" s="66">
        <f>'Project Database'!T406</f>
        <v/>
      </c>
      <c r="Q402" s="66">
        <f>'Project Database'!U406</f>
        <v/>
      </c>
      <c r="R402" s="66">
        <f>'Project Database'!V406</f>
        <v/>
      </c>
      <c r="S402" s="66">
        <f>'Project Database'!W406</f>
        <v/>
      </c>
      <c r="T402" s="66">
        <f>'Project Database'!X406</f>
        <v/>
      </c>
      <c r="U402" s="67">
        <f>'Project Database'!Y406</f>
        <v/>
      </c>
      <c r="V402" s="66">
        <f>IF('Smart Search'!B13=1,IFERROR(1/'Smart Search'!H13,0),0)</f>
        <v/>
      </c>
      <c r="W402" s="66">
        <f>IF('Smart Search'!B13=1,IFERROR(1/'Smart Search'!H13,0),0)</f>
        <v/>
      </c>
      <c r="X402" s="66">
        <f>IF('Smart Search'!C13=1,IFERROR(1/'Smart Search'!H13,0),0)</f>
        <v/>
      </c>
      <c r="Y402" s="66">
        <f>IF('Smart Search'!C13=1,IFERROR(1/'Smart Search'!H13,0),0)</f>
        <v/>
      </c>
      <c r="Z402" s="66">
        <f>IF('Smart Search'!D13=1,IFERROR(1/'Smart Search'!H13,0),0)</f>
        <v/>
      </c>
      <c r="AA402" s="66">
        <f>IF('Smart Search'!D13=1,IFERROR(1/'Smart Search'!H13,0),0)</f>
        <v/>
      </c>
      <c r="AB402" s="66">
        <f>IF('Smart Search'!E13=1,IFERROR(1/'Smart Search'!H13,0),0)</f>
        <v/>
      </c>
      <c r="AC402" s="66">
        <f>IF('Smart Search'!E13=1,IFERROR(1/'Smart Search'!H13,0),0)</f>
        <v/>
      </c>
      <c r="AD402" s="66">
        <f>IF('Smart Search'!F13=1,IFERROR(1/'Smart Search'!H13,0),0)</f>
        <v/>
      </c>
      <c r="AE402" s="66">
        <f>IF('Smart Search'!F13=1,IFERROR(1/'Smart Search'!H13,0),0)</f>
        <v/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66">
        <f>AF402*V402</f>
        <v/>
      </c>
      <c r="AQ402" s="66">
        <f>AG402*W402</f>
        <v/>
      </c>
      <c r="AR402" s="66">
        <f>AH402*X402</f>
        <v/>
      </c>
      <c r="AS402" s="66">
        <f>AI402*Y402</f>
        <v/>
      </c>
      <c r="AT402" s="66">
        <f>AJ402*Z402</f>
        <v/>
      </c>
      <c r="AU402" s="66">
        <f>AK402*AA402</f>
        <v/>
      </c>
      <c r="AV402" s="66">
        <f>AL402*AB402</f>
        <v/>
      </c>
      <c r="AW402" s="66">
        <f>AM402*AC402</f>
        <v/>
      </c>
      <c r="AX402" s="66">
        <f>AN402*AD402</f>
        <v/>
      </c>
      <c r="AY402" s="66">
        <f>AO402*AE402</f>
        <v/>
      </c>
      <c r="AZ402" s="66">
        <f>'Project Database'!Z406</f>
        <v/>
      </c>
      <c r="BA402" s="66">
        <f>IF(OR(A402="",'Smart Search'!H13=0),"",MAX(0,BE402*BF402*MAX(0,1-BG402)))</f>
        <v/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66">
        <f>IF('Smart Search'!G13=1,IFERROR(1/'Smart Search'!H13,0),0)</f>
        <v/>
      </c>
      <c r="BD402" s="66">
        <f>BB402*BC402</f>
        <v/>
      </c>
      <c r="BE402" s="66">
        <f>AP402+AQ402+AR402+AS402+AT402+AU402+AV402+AW402+AX402+AY402+BD402</f>
        <v/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5">
        <f>IF(AND('Project Database'!A406&lt;&gt;"",OR('Smart Search'!$L$5="",'Smart Search'!$L$5="All",TRIM('Project Database'!D406)=TRIM('Smart Search'!$L$5)),OR(TRIM('Smart Search'!$L$6)="",TRIM('Smart Search'!$L$6)="All",ISNUMBER(SEARCH(SUBSTITUTE(SUBSTITUTE(SUBSTITUTE(TRIM('Smart Search'!$L$6),"~","~~"),"*","~*"),"?","~?"),'Project Database'!C406))),OR('Smart Search'!$L$7="",AND('Project Database'!E406&lt;&gt;"",'Project Database'!E406='Smart Search'!$L$7)),OR('Smart Search'!$L$8="",'Smart Search'!$L$8="All",TRIM('Project Database'!F406)=TRIM('Smart Search'!$L$8))),IF(BA402="","",BA402+ROW()*0.0000000001),"")</f>
        <v/>
      </c>
      <c r="BI402" s="5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>
        <f>IF('Project Database'!A406="","",N('Project Database'!AC406))</f>
        <v/>
      </c>
      <c r="BK402" s="5">
        <f>IF('Project Database'!A406="","",N('Project Database'!AD406))</f>
        <v/>
      </c>
      <c r="BL402" s="5">
        <f>IF('Project Database'!A406="","",N('Project Database'!AE406))</f>
        <v/>
      </c>
      <c r="BM402" s="5">
        <f>IF('Project Database'!A406="","",N('Project Database'!AF406))</f>
        <v/>
      </c>
      <c r="BN402" s="5">
        <f>IF('Project Database'!A406="","",N('Project Database'!AG406))</f>
        <v/>
      </c>
      <c r="BO402" s="5">
        <f>IF('Project Database'!A406="","",N('Project Database'!AH406))</f>
        <v/>
      </c>
      <c r="BP402" s="5">
        <f>IF('Project Database'!A406="","",N('Project Database'!AI406))</f>
        <v/>
      </c>
      <c r="BQ402" s="5">
        <f>IF('Project Database'!A406="","",N('Project Database'!AJ406))</f>
        <v/>
      </c>
      <c r="BR402" s="5">
        <f>IF('Project Database'!A406="","",N('Project Database'!AK406))</f>
        <v/>
      </c>
      <c r="BS402" s="5">
        <f>IF('Project Database'!A406="","",N('Project Database'!AL406))</f>
        <v/>
      </c>
      <c r="BT402" s="5">
        <f>IF('Project Database'!A406="","",N('Project Database'!AM406))</f>
        <v/>
      </c>
      <c r="BU402" s="5">
        <f>IF('Project Database'!A406="","",N('Project Database'!AN406))</f>
        <v/>
      </c>
      <c r="BV402" s="5">
        <f>IF('Project Database'!A406="","",N('Project Database'!AO406))</f>
        <v/>
      </c>
      <c r="BW402" s="5">
        <f>IF('Project Database'!A406="","",N('Project Database'!AP406))</f>
        <v/>
      </c>
      <c r="BX402" s="5">
        <f>IF(A402="","",SUM(BJ402:BW402))</f>
        <v/>
      </c>
      <c r="BY402" s="5">
        <f>IF(A402="","",IFERROR(IF(ISNUMBER(U402),U402,VALUE(SUBSTITUTE(SUBSTITUTE(SUBSTITUTE(UPPER(TRIM(U402)),"M",""),",","")," ",""))),0))</f>
        <v/>
      </c>
    </row>
    <row r="403" ht="15" customHeight="1" s="74">
      <c r="A403" s="66">
        <f>'Project Database'!A407</f>
        <v/>
      </c>
      <c r="B403" s="66">
        <f>'Project Database'!B407</f>
        <v/>
      </c>
      <c r="C403" s="66">
        <f>'Project Database'!G407</f>
        <v/>
      </c>
      <c r="D403" s="66">
        <f>'Project Database'!H407</f>
        <v/>
      </c>
      <c r="E403" s="66">
        <f>'Project Database'!I407</f>
        <v/>
      </c>
      <c r="F403" s="66">
        <f>'Project Database'!J407</f>
        <v/>
      </c>
      <c r="G403" s="66">
        <f>'Project Database'!K407</f>
        <v/>
      </c>
      <c r="H403" s="66">
        <f>'Project Database'!L407</f>
        <v/>
      </c>
      <c r="I403" s="66">
        <f>'Project Database'!M407</f>
        <v/>
      </c>
      <c r="J403" s="66">
        <f>'Project Database'!N407</f>
        <v/>
      </c>
      <c r="K403" s="66">
        <f>'Project Database'!O407</f>
        <v/>
      </c>
      <c r="L403" s="66">
        <f>'Project Database'!P407</f>
        <v/>
      </c>
      <c r="M403" s="66">
        <f>'Project Database'!Q407</f>
        <v/>
      </c>
      <c r="N403" s="66">
        <f>'Project Database'!R407</f>
        <v/>
      </c>
      <c r="O403" s="66">
        <f>'Project Database'!S407</f>
        <v/>
      </c>
      <c r="P403" s="66">
        <f>'Project Database'!T407</f>
        <v/>
      </c>
      <c r="Q403" s="66">
        <f>'Project Database'!U407</f>
        <v/>
      </c>
      <c r="R403" s="66">
        <f>'Project Database'!V407</f>
        <v/>
      </c>
      <c r="S403" s="66">
        <f>'Project Database'!W407</f>
        <v/>
      </c>
      <c r="T403" s="66">
        <f>'Project Database'!X407</f>
        <v/>
      </c>
      <c r="U403" s="67">
        <f>'Project Database'!Y407</f>
        <v/>
      </c>
      <c r="V403" s="66">
        <f>IF('Smart Search'!B13=1,IFERROR(1/'Smart Search'!H13,0),0)</f>
        <v/>
      </c>
      <c r="W403" s="66">
        <f>IF('Smart Search'!B13=1,IFERROR(1/'Smart Search'!H13,0),0)</f>
        <v/>
      </c>
      <c r="X403" s="66">
        <f>IF('Smart Search'!C13=1,IFERROR(1/'Smart Search'!H13,0),0)</f>
        <v/>
      </c>
      <c r="Y403" s="66">
        <f>IF('Smart Search'!C13=1,IFERROR(1/'Smart Search'!H13,0),0)</f>
        <v/>
      </c>
      <c r="Z403" s="66">
        <f>IF('Smart Search'!D13=1,IFERROR(1/'Smart Search'!H13,0),0)</f>
        <v/>
      </c>
      <c r="AA403" s="66">
        <f>IF('Smart Search'!D13=1,IFERROR(1/'Smart Search'!H13,0),0)</f>
        <v/>
      </c>
      <c r="AB403" s="66">
        <f>IF('Smart Search'!E13=1,IFERROR(1/'Smart Search'!H13,0),0)</f>
        <v/>
      </c>
      <c r="AC403" s="66">
        <f>IF('Smart Search'!E13=1,IFERROR(1/'Smart Search'!H13,0),0)</f>
        <v/>
      </c>
      <c r="AD403" s="66">
        <f>IF('Smart Search'!F13=1,IFERROR(1/'Smart Search'!H13,0),0)</f>
        <v/>
      </c>
      <c r="AE403" s="66">
        <f>IF('Smart Search'!F13=1,IFERROR(1/'Smart Search'!H13,0),0)</f>
        <v/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66">
        <f>AF403*V403</f>
        <v/>
      </c>
      <c r="AQ403" s="66">
        <f>AG403*W403</f>
        <v/>
      </c>
      <c r="AR403" s="66">
        <f>AH403*X403</f>
        <v/>
      </c>
      <c r="AS403" s="66">
        <f>AI403*Y403</f>
        <v/>
      </c>
      <c r="AT403" s="66">
        <f>AJ403*Z403</f>
        <v/>
      </c>
      <c r="AU403" s="66">
        <f>AK403*AA403</f>
        <v/>
      </c>
      <c r="AV403" s="66">
        <f>AL403*AB403</f>
        <v/>
      </c>
      <c r="AW403" s="66">
        <f>AM403*AC403</f>
        <v/>
      </c>
      <c r="AX403" s="66">
        <f>AN403*AD403</f>
        <v/>
      </c>
      <c r="AY403" s="66">
        <f>AO403*AE403</f>
        <v/>
      </c>
      <c r="AZ403" s="66">
        <f>'Project Database'!Z407</f>
        <v/>
      </c>
      <c r="BA403" s="66">
        <f>IF(OR(A403="",'Smart Search'!H13=0),"",MAX(0,BE403*BF403*MAX(0,1-BG403)))</f>
        <v/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66">
        <f>IF('Smart Search'!G13=1,IFERROR(1/'Smart Search'!H13,0),0)</f>
        <v/>
      </c>
      <c r="BD403" s="66">
        <f>BB403*BC403</f>
        <v/>
      </c>
      <c r="BE403" s="66">
        <f>AP403+AQ403+AR403+AS403+AT403+AU403+AV403+AW403+AX403+AY403+BD403</f>
        <v/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5">
        <f>IF(AND('Project Database'!A407&lt;&gt;"",OR('Smart Search'!$L$5="",'Smart Search'!$L$5="All",TRIM('Project Database'!D407)=TRIM('Smart Search'!$L$5)),OR(TRIM('Smart Search'!$L$6)="",TRIM('Smart Search'!$L$6)="All",ISNUMBER(SEARCH(SUBSTITUTE(SUBSTITUTE(SUBSTITUTE(TRIM('Smart Search'!$L$6),"~","~~"),"*","~*"),"?","~?"),'Project Database'!C407))),OR('Smart Search'!$L$7="",AND('Project Database'!E407&lt;&gt;"",'Project Database'!E407='Smart Search'!$L$7)),OR('Smart Search'!$L$8="",'Smart Search'!$L$8="All",TRIM('Project Database'!F407)=TRIM('Smart Search'!$L$8))),IF(BA403="","",BA403+ROW()*0.0000000001),"")</f>
        <v/>
      </c>
      <c r="BI403" s="5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>
        <f>IF('Project Database'!A407="","",N('Project Database'!AC407))</f>
        <v/>
      </c>
      <c r="BK403" s="5">
        <f>IF('Project Database'!A407="","",N('Project Database'!AD407))</f>
        <v/>
      </c>
      <c r="BL403" s="5">
        <f>IF('Project Database'!A407="","",N('Project Database'!AE407))</f>
        <v/>
      </c>
      <c r="BM403" s="5">
        <f>IF('Project Database'!A407="","",N('Project Database'!AF407))</f>
        <v/>
      </c>
      <c r="BN403" s="5">
        <f>IF('Project Database'!A407="","",N('Project Database'!AG407))</f>
        <v/>
      </c>
      <c r="BO403" s="5">
        <f>IF('Project Database'!A407="","",N('Project Database'!AH407))</f>
        <v/>
      </c>
      <c r="BP403" s="5">
        <f>IF('Project Database'!A407="","",N('Project Database'!AI407))</f>
        <v/>
      </c>
      <c r="BQ403" s="5">
        <f>IF('Project Database'!A407="","",N('Project Database'!AJ407))</f>
        <v/>
      </c>
      <c r="BR403" s="5">
        <f>IF('Project Database'!A407="","",N('Project Database'!AK407))</f>
        <v/>
      </c>
      <c r="BS403" s="5">
        <f>IF('Project Database'!A407="","",N('Project Database'!AL407))</f>
        <v/>
      </c>
      <c r="BT403" s="5">
        <f>IF('Project Database'!A407="","",N('Project Database'!AM407))</f>
        <v/>
      </c>
      <c r="BU403" s="5">
        <f>IF('Project Database'!A407="","",N('Project Database'!AN407))</f>
        <v/>
      </c>
      <c r="BV403" s="5">
        <f>IF('Project Database'!A407="","",N('Project Database'!AO407))</f>
        <v/>
      </c>
      <c r="BW403" s="5">
        <f>IF('Project Database'!A407="","",N('Project Database'!AP407))</f>
        <v/>
      </c>
      <c r="BX403" s="5">
        <f>IF(A403="","",SUM(BJ403:BW403))</f>
        <v/>
      </c>
      <c r="BY403" s="5">
        <f>IF(A403="","",IFERROR(IF(ISNUMBER(U403),U403,VALUE(SUBSTITUTE(SUBSTITUTE(SUBSTITUTE(UPPER(TRIM(U403)),"M",""),",","")," ",""))),0))</f>
        <v/>
      </c>
    </row>
    <row r="404" ht="15" customHeight="1" s="74">
      <c r="A404" s="66">
        <f>'Project Database'!A408</f>
        <v/>
      </c>
      <c r="B404" s="66">
        <f>'Project Database'!B408</f>
        <v/>
      </c>
      <c r="C404" s="66">
        <f>'Project Database'!G408</f>
        <v/>
      </c>
      <c r="D404" s="66">
        <f>'Project Database'!H408</f>
        <v/>
      </c>
      <c r="E404" s="66">
        <f>'Project Database'!I408</f>
        <v/>
      </c>
      <c r="F404" s="66">
        <f>'Project Database'!J408</f>
        <v/>
      </c>
      <c r="G404" s="66">
        <f>'Project Database'!K408</f>
        <v/>
      </c>
      <c r="H404" s="66">
        <f>'Project Database'!L408</f>
        <v/>
      </c>
      <c r="I404" s="66">
        <f>'Project Database'!M408</f>
        <v/>
      </c>
      <c r="J404" s="66">
        <f>'Project Database'!N408</f>
        <v/>
      </c>
      <c r="K404" s="66">
        <f>'Project Database'!O408</f>
        <v/>
      </c>
      <c r="L404" s="66">
        <f>'Project Database'!P408</f>
        <v/>
      </c>
      <c r="M404" s="66">
        <f>'Project Database'!Q408</f>
        <v/>
      </c>
      <c r="N404" s="66">
        <f>'Project Database'!R408</f>
        <v/>
      </c>
      <c r="O404" s="66">
        <f>'Project Database'!S408</f>
        <v/>
      </c>
      <c r="P404" s="66">
        <f>'Project Database'!T408</f>
        <v/>
      </c>
      <c r="Q404" s="66">
        <f>'Project Database'!U408</f>
        <v/>
      </c>
      <c r="R404" s="66">
        <f>'Project Database'!V408</f>
        <v/>
      </c>
      <c r="S404" s="66">
        <f>'Project Database'!W408</f>
        <v/>
      </c>
      <c r="T404" s="66">
        <f>'Project Database'!X408</f>
        <v/>
      </c>
      <c r="U404" s="67">
        <f>'Project Database'!Y408</f>
        <v/>
      </c>
      <c r="V404" s="66">
        <f>IF('Smart Search'!B13=1,IFERROR(1/'Smart Search'!H13,0),0)</f>
        <v/>
      </c>
      <c r="W404" s="66">
        <f>IF('Smart Search'!B13=1,IFERROR(1/'Smart Search'!H13,0),0)</f>
        <v/>
      </c>
      <c r="X404" s="66">
        <f>IF('Smart Search'!C13=1,IFERROR(1/'Smart Search'!H13,0),0)</f>
        <v/>
      </c>
      <c r="Y404" s="66">
        <f>IF('Smart Search'!C13=1,IFERROR(1/'Smart Search'!H13,0),0)</f>
        <v/>
      </c>
      <c r="Z404" s="66">
        <f>IF('Smart Search'!D13=1,IFERROR(1/'Smart Search'!H13,0),0)</f>
        <v/>
      </c>
      <c r="AA404" s="66">
        <f>IF('Smart Search'!D13=1,IFERROR(1/'Smart Search'!H13,0),0)</f>
        <v/>
      </c>
      <c r="AB404" s="66">
        <f>IF('Smart Search'!E13=1,IFERROR(1/'Smart Search'!H13,0),0)</f>
        <v/>
      </c>
      <c r="AC404" s="66">
        <f>IF('Smart Search'!E13=1,IFERROR(1/'Smart Search'!H13,0),0)</f>
        <v/>
      </c>
      <c r="AD404" s="66">
        <f>IF('Smart Search'!F13=1,IFERROR(1/'Smart Search'!H13,0),0)</f>
        <v/>
      </c>
      <c r="AE404" s="66">
        <f>IF('Smart Search'!F13=1,IFERROR(1/'Smart Search'!H13,0),0)</f>
        <v/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66">
        <f>AF404*V404</f>
        <v/>
      </c>
      <c r="AQ404" s="66">
        <f>AG404*W404</f>
        <v/>
      </c>
      <c r="AR404" s="66">
        <f>AH404*X404</f>
        <v/>
      </c>
      <c r="AS404" s="66">
        <f>AI404*Y404</f>
        <v/>
      </c>
      <c r="AT404" s="66">
        <f>AJ404*Z404</f>
        <v/>
      </c>
      <c r="AU404" s="66">
        <f>AK404*AA404</f>
        <v/>
      </c>
      <c r="AV404" s="66">
        <f>AL404*AB404</f>
        <v/>
      </c>
      <c r="AW404" s="66">
        <f>AM404*AC404</f>
        <v/>
      </c>
      <c r="AX404" s="66">
        <f>AN404*AD404</f>
        <v/>
      </c>
      <c r="AY404" s="66">
        <f>AO404*AE404</f>
        <v/>
      </c>
      <c r="AZ404" s="66">
        <f>'Project Database'!Z408</f>
        <v/>
      </c>
      <c r="BA404" s="66">
        <f>IF(OR(A404="",'Smart Search'!H13=0),"",MAX(0,BE404*BF404*MAX(0,1-BG404)))</f>
        <v/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66">
        <f>IF('Smart Search'!G13=1,IFERROR(1/'Smart Search'!H13,0),0)</f>
        <v/>
      </c>
      <c r="BD404" s="66">
        <f>BB404*BC404</f>
        <v/>
      </c>
      <c r="BE404" s="66">
        <f>AP404+AQ404+AR404+AS404+AT404+AU404+AV404+AW404+AX404+AY404+BD404</f>
        <v/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5">
        <f>IF(AND('Project Database'!A408&lt;&gt;"",OR('Smart Search'!$L$5="",'Smart Search'!$L$5="All",TRIM('Project Database'!D408)=TRIM('Smart Search'!$L$5)),OR(TRIM('Smart Search'!$L$6)="",TRIM('Smart Search'!$L$6)="All",ISNUMBER(SEARCH(SUBSTITUTE(SUBSTITUTE(SUBSTITUTE(TRIM('Smart Search'!$L$6),"~","~~"),"*","~*"),"?","~?"),'Project Database'!C408))),OR('Smart Search'!$L$7="",AND('Project Database'!E408&lt;&gt;"",'Project Database'!E408='Smart Search'!$L$7)),OR('Smart Search'!$L$8="",'Smart Search'!$L$8="All",TRIM('Project Database'!F408)=TRIM('Smart Search'!$L$8))),IF(BA404="","",BA404+ROW()*0.0000000001),"")</f>
        <v/>
      </c>
      <c r="BI404" s="5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>
        <f>IF('Project Database'!A408="","",N('Project Database'!AC408))</f>
        <v/>
      </c>
      <c r="BK404" s="5">
        <f>IF('Project Database'!A408="","",N('Project Database'!AD408))</f>
        <v/>
      </c>
      <c r="BL404" s="5">
        <f>IF('Project Database'!A408="","",N('Project Database'!AE408))</f>
        <v/>
      </c>
      <c r="BM404" s="5">
        <f>IF('Project Database'!A408="","",N('Project Database'!AF408))</f>
        <v/>
      </c>
      <c r="BN404" s="5">
        <f>IF('Project Database'!A408="","",N('Project Database'!AG408))</f>
        <v/>
      </c>
      <c r="BO404" s="5">
        <f>IF('Project Database'!A408="","",N('Project Database'!AH408))</f>
        <v/>
      </c>
      <c r="BP404" s="5">
        <f>IF('Project Database'!A408="","",N('Project Database'!AI408))</f>
        <v/>
      </c>
      <c r="BQ404" s="5">
        <f>IF('Project Database'!A408="","",N('Project Database'!AJ408))</f>
        <v/>
      </c>
      <c r="BR404" s="5">
        <f>IF('Project Database'!A408="","",N('Project Database'!AK408))</f>
        <v/>
      </c>
      <c r="BS404" s="5">
        <f>IF('Project Database'!A408="","",N('Project Database'!AL408))</f>
        <v/>
      </c>
      <c r="BT404" s="5">
        <f>IF('Project Database'!A408="","",N('Project Database'!AM408))</f>
        <v/>
      </c>
      <c r="BU404" s="5">
        <f>IF('Project Database'!A408="","",N('Project Database'!AN408))</f>
        <v/>
      </c>
      <c r="BV404" s="5">
        <f>IF('Project Database'!A408="","",N('Project Database'!AO408))</f>
        <v/>
      </c>
      <c r="BW404" s="5">
        <f>IF('Project Database'!A408="","",N('Project Database'!AP408))</f>
        <v/>
      </c>
      <c r="BX404" s="5">
        <f>IF(A404="","",SUM(BJ404:BW404))</f>
        <v/>
      </c>
      <c r="BY404" s="5">
        <f>IF(A404="","",IFERROR(IF(ISNUMBER(U404),U404,VALUE(SUBSTITUTE(SUBSTITUTE(SUBSTITUTE(UPPER(TRIM(U404)),"M",""),",","")," ",""))),0))</f>
        <v/>
      </c>
    </row>
    <row r="405" ht="15" customHeight="1" s="74">
      <c r="A405" s="66">
        <f>'Project Database'!A409</f>
        <v/>
      </c>
      <c r="B405" s="66">
        <f>'Project Database'!B409</f>
        <v/>
      </c>
      <c r="C405" s="66">
        <f>'Project Database'!G409</f>
        <v/>
      </c>
      <c r="D405" s="66">
        <f>'Project Database'!H409</f>
        <v/>
      </c>
      <c r="E405" s="66">
        <f>'Project Database'!I409</f>
        <v/>
      </c>
      <c r="F405" s="66">
        <f>'Project Database'!J409</f>
        <v/>
      </c>
      <c r="G405" s="66">
        <f>'Project Database'!K409</f>
        <v/>
      </c>
      <c r="H405" s="66">
        <f>'Project Database'!L409</f>
        <v/>
      </c>
      <c r="I405" s="66">
        <f>'Project Database'!M409</f>
        <v/>
      </c>
      <c r="J405" s="66">
        <f>'Project Database'!N409</f>
        <v/>
      </c>
      <c r="K405" s="66">
        <f>'Project Database'!O409</f>
        <v/>
      </c>
      <c r="L405" s="66">
        <f>'Project Database'!P409</f>
        <v/>
      </c>
      <c r="M405" s="66">
        <f>'Project Database'!Q409</f>
        <v/>
      </c>
      <c r="N405" s="66">
        <f>'Project Database'!R409</f>
        <v/>
      </c>
      <c r="O405" s="66">
        <f>'Project Database'!S409</f>
        <v/>
      </c>
      <c r="P405" s="66">
        <f>'Project Database'!T409</f>
        <v/>
      </c>
      <c r="Q405" s="66">
        <f>'Project Database'!U409</f>
        <v/>
      </c>
      <c r="R405" s="66">
        <f>'Project Database'!V409</f>
        <v/>
      </c>
      <c r="S405" s="66">
        <f>'Project Database'!W409</f>
        <v/>
      </c>
      <c r="T405" s="66">
        <f>'Project Database'!X409</f>
        <v/>
      </c>
      <c r="U405" s="67">
        <f>'Project Database'!Y409</f>
        <v/>
      </c>
      <c r="V405" s="66">
        <f>IF('Smart Search'!B13=1,IFERROR(1/'Smart Search'!H13,0),0)</f>
        <v/>
      </c>
      <c r="W405" s="66">
        <f>IF('Smart Search'!B13=1,IFERROR(1/'Smart Search'!H13,0),0)</f>
        <v/>
      </c>
      <c r="X405" s="66">
        <f>IF('Smart Search'!C13=1,IFERROR(1/'Smart Search'!H13,0),0)</f>
        <v/>
      </c>
      <c r="Y405" s="66">
        <f>IF('Smart Search'!C13=1,IFERROR(1/'Smart Search'!H13,0),0)</f>
        <v/>
      </c>
      <c r="Z405" s="66">
        <f>IF('Smart Search'!D13=1,IFERROR(1/'Smart Search'!H13,0),0)</f>
        <v/>
      </c>
      <c r="AA405" s="66">
        <f>IF('Smart Search'!D13=1,IFERROR(1/'Smart Search'!H13,0),0)</f>
        <v/>
      </c>
      <c r="AB405" s="66">
        <f>IF('Smart Search'!E13=1,IFERROR(1/'Smart Search'!H13,0),0)</f>
        <v/>
      </c>
      <c r="AC405" s="66">
        <f>IF('Smart Search'!E13=1,IFERROR(1/'Smart Search'!H13,0),0)</f>
        <v/>
      </c>
      <c r="AD405" s="66">
        <f>IF('Smart Search'!F13=1,IFERROR(1/'Smart Search'!H13,0),0)</f>
        <v/>
      </c>
      <c r="AE405" s="66">
        <f>IF('Smart Search'!F13=1,IFERROR(1/'Smart Search'!H13,0),0)</f>
        <v/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66">
        <f>AF405*V405</f>
        <v/>
      </c>
      <c r="AQ405" s="66">
        <f>AG405*W405</f>
        <v/>
      </c>
      <c r="AR405" s="66">
        <f>AH405*X405</f>
        <v/>
      </c>
      <c r="AS405" s="66">
        <f>AI405*Y405</f>
        <v/>
      </c>
      <c r="AT405" s="66">
        <f>AJ405*Z405</f>
        <v/>
      </c>
      <c r="AU405" s="66">
        <f>AK405*AA405</f>
        <v/>
      </c>
      <c r="AV405" s="66">
        <f>AL405*AB405</f>
        <v/>
      </c>
      <c r="AW405" s="66">
        <f>AM405*AC405</f>
        <v/>
      </c>
      <c r="AX405" s="66">
        <f>AN405*AD405</f>
        <v/>
      </c>
      <c r="AY405" s="66">
        <f>AO405*AE405</f>
        <v/>
      </c>
      <c r="AZ405" s="66">
        <f>'Project Database'!Z409</f>
        <v/>
      </c>
      <c r="BA405" s="66">
        <f>IF(OR(A405="",'Smart Search'!H13=0),"",MAX(0,BE405*BF405*MAX(0,1-BG405)))</f>
        <v/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66">
        <f>IF('Smart Search'!G13=1,IFERROR(1/'Smart Search'!H13,0),0)</f>
        <v/>
      </c>
      <c r="BD405" s="66">
        <f>BB405*BC405</f>
        <v/>
      </c>
      <c r="BE405" s="66">
        <f>AP405+AQ405+AR405+AS405+AT405+AU405+AV405+AW405+AX405+AY405+BD405</f>
        <v/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5">
        <f>IF(AND('Project Database'!A409&lt;&gt;"",OR('Smart Search'!$L$5="",'Smart Search'!$L$5="All",TRIM('Project Database'!D409)=TRIM('Smart Search'!$L$5)),OR(TRIM('Smart Search'!$L$6)="",TRIM('Smart Search'!$L$6)="All",ISNUMBER(SEARCH(SUBSTITUTE(SUBSTITUTE(SUBSTITUTE(TRIM('Smart Search'!$L$6),"~","~~"),"*","~*"),"?","~?"),'Project Database'!C409))),OR('Smart Search'!$L$7="",AND('Project Database'!E409&lt;&gt;"",'Project Database'!E409='Smart Search'!$L$7)),OR('Smart Search'!$L$8="",'Smart Search'!$L$8="All",TRIM('Project Database'!F409)=TRIM('Smart Search'!$L$8))),IF(BA405="","",BA405+ROW()*0.0000000001),"")</f>
        <v/>
      </c>
      <c r="BI405" s="5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>
        <f>IF('Project Database'!A409="","",N('Project Database'!AC409))</f>
        <v/>
      </c>
      <c r="BK405" s="5">
        <f>IF('Project Database'!A409="","",N('Project Database'!AD409))</f>
        <v/>
      </c>
      <c r="BL405" s="5">
        <f>IF('Project Database'!A409="","",N('Project Database'!AE409))</f>
        <v/>
      </c>
      <c r="BM405" s="5">
        <f>IF('Project Database'!A409="","",N('Project Database'!AF409))</f>
        <v/>
      </c>
      <c r="BN405" s="5">
        <f>IF('Project Database'!A409="","",N('Project Database'!AG409))</f>
        <v/>
      </c>
      <c r="BO405" s="5">
        <f>IF('Project Database'!A409="","",N('Project Database'!AH409))</f>
        <v/>
      </c>
      <c r="BP405" s="5">
        <f>IF('Project Database'!A409="","",N('Project Database'!AI409))</f>
        <v/>
      </c>
      <c r="BQ405" s="5">
        <f>IF('Project Database'!A409="","",N('Project Database'!AJ409))</f>
        <v/>
      </c>
      <c r="BR405" s="5">
        <f>IF('Project Database'!A409="","",N('Project Database'!AK409))</f>
        <v/>
      </c>
      <c r="BS405" s="5">
        <f>IF('Project Database'!A409="","",N('Project Database'!AL409))</f>
        <v/>
      </c>
      <c r="BT405" s="5">
        <f>IF('Project Database'!A409="","",N('Project Database'!AM409))</f>
        <v/>
      </c>
      <c r="BU405" s="5">
        <f>IF('Project Database'!A409="","",N('Project Database'!AN409))</f>
        <v/>
      </c>
      <c r="BV405" s="5">
        <f>IF('Project Database'!A409="","",N('Project Database'!AO409))</f>
        <v/>
      </c>
      <c r="BW405" s="5">
        <f>IF('Project Database'!A409="","",N('Project Database'!AP409))</f>
        <v/>
      </c>
      <c r="BX405" s="5">
        <f>IF(A405="","",SUM(BJ405:BW405))</f>
        <v/>
      </c>
      <c r="BY405" s="5">
        <f>IF(A405="","",IFERROR(IF(ISNUMBER(U405),U405,VALUE(SUBSTITUTE(SUBSTITUTE(SUBSTITUTE(UPPER(TRIM(U405)),"M",""),",","")," ",""))),0))</f>
        <v/>
      </c>
    </row>
    <row r="406" ht="15" customHeight="1" s="74">
      <c r="A406" s="66">
        <f>'Project Database'!A410</f>
        <v/>
      </c>
      <c r="B406" s="66">
        <f>'Project Database'!B410</f>
        <v/>
      </c>
      <c r="C406" s="66">
        <f>'Project Database'!G410</f>
        <v/>
      </c>
      <c r="D406" s="66">
        <f>'Project Database'!H410</f>
        <v/>
      </c>
      <c r="E406" s="66">
        <f>'Project Database'!I410</f>
        <v/>
      </c>
      <c r="F406" s="66">
        <f>'Project Database'!J410</f>
        <v/>
      </c>
      <c r="G406" s="66">
        <f>'Project Database'!K410</f>
        <v/>
      </c>
      <c r="H406" s="66">
        <f>'Project Database'!L410</f>
        <v/>
      </c>
      <c r="I406" s="66">
        <f>'Project Database'!M410</f>
        <v/>
      </c>
      <c r="J406" s="66">
        <f>'Project Database'!N410</f>
        <v/>
      </c>
      <c r="K406" s="66">
        <f>'Project Database'!O410</f>
        <v/>
      </c>
      <c r="L406" s="66">
        <f>'Project Database'!P410</f>
        <v/>
      </c>
      <c r="M406" s="66">
        <f>'Project Database'!Q410</f>
        <v/>
      </c>
      <c r="N406" s="66">
        <f>'Project Database'!R410</f>
        <v/>
      </c>
      <c r="O406" s="66">
        <f>'Project Database'!S410</f>
        <v/>
      </c>
      <c r="P406" s="66">
        <f>'Project Database'!T410</f>
        <v/>
      </c>
      <c r="Q406" s="66">
        <f>'Project Database'!U410</f>
        <v/>
      </c>
      <c r="R406" s="66">
        <f>'Project Database'!V410</f>
        <v/>
      </c>
      <c r="S406" s="66">
        <f>'Project Database'!W410</f>
        <v/>
      </c>
      <c r="T406" s="66">
        <f>'Project Database'!X410</f>
        <v/>
      </c>
      <c r="U406" s="67">
        <f>'Project Database'!Y410</f>
        <v/>
      </c>
      <c r="V406" s="66">
        <f>IF('Smart Search'!B13=1,IFERROR(1/'Smart Search'!H13,0),0)</f>
        <v/>
      </c>
      <c r="W406" s="66">
        <f>IF('Smart Search'!B13=1,IFERROR(1/'Smart Search'!H13,0),0)</f>
        <v/>
      </c>
      <c r="X406" s="66">
        <f>IF('Smart Search'!C13=1,IFERROR(1/'Smart Search'!H13,0),0)</f>
        <v/>
      </c>
      <c r="Y406" s="66">
        <f>IF('Smart Search'!C13=1,IFERROR(1/'Smart Search'!H13,0),0)</f>
        <v/>
      </c>
      <c r="Z406" s="66">
        <f>IF('Smart Search'!D13=1,IFERROR(1/'Smart Search'!H13,0),0)</f>
        <v/>
      </c>
      <c r="AA406" s="66">
        <f>IF('Smart Search'!D13=1,IFERROR(1/'Smart Search'!H13,0),0)</f>
        <v/>
      </c>
      <c r="AB406" s="66">
        <f>IF('Smart Search'!E13=1,IFERROR(1/'Smart Search'!H13,0),0)</f>
        <v/>
      </c>
      <c r="AC406" s="66">
        <f>IF('Smart Search'!E13=1,IFERROR(1/'Smart Search'!H13,0),0)</f>
        <v/>
      </c>
      <c r="AD406" s="66">
        <f>IF('Smart Search'!F13=1,IFERROR(1/'Smart Search'!H13,0),0)</f>
        <v/>
      </c>
      <c r="AE406" s="66">
        <f>IF('Smart Search'!F13=1,IFERROR(1/'Smart Search'!H13,0),0)</f>
        <v/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66">
        <f>AF406*V406</f>
        <v/>
      </c>
      <c r="AQ406" s="66">
        <f>AG406*W406</f>
        <v/>
      </c>
      <c r="AR406" s="66">
        <f>AH406*X406</f>
        <v/>
      </c>
      <c r="AS406" s="66">
        <f>AI406*Y406</f>
        <v/>
      </c>
      <c r="AT406" s="66">
        <f>AJ406*Z406</f>
        <v/>
      </c>
      <c r="AU406" s="66">
        <f>AK406*AA406</f>
        <v/>
      </c>
      <c r="AV406" s="66">
        <f>AL406*AB406</f>
        <v/>
      </c>
      <c r="AW406" s="66">
        <f>AM406*AC406</f>
        <v/>
      </c>
      <c r="AX406" s="66">
        <f>AN406*AD406</f>
        <v/>
      </c>
      <c r="AY406" s="66">
        <f>AO406*AE406</f>
        <v/>
      </c>
      <c r="AZ406" s="66">
        <f>'Project Database'!Z410</f>
        <v/>
      </c>
      <c r="BA406" s="66">
        <f>IF(OR(A406="",'Smart Search'!H13=0),"",MAX(0,BE406*BF406*MAX(0,1-BG406)))</f>
        <v/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66">
        <f>IF('Smart Search'!G13=1,IFERROR(1/'Smart Search'!H13,0),0)</f>
        <v/>
      </c>
      <c r="BD406" s="66">
        <f>BB406*BC406</f>
        <v/>
      </c>
      <c r="BE406" s="66">
        <f>AP406+AQ406+AR406+AS406+AT406+AU406+AV406+AW406+AX406+AY406+BD406</f>
        <v/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5">
        <f>IF(AND('Project Database'!A410&lt;&gt;"",OR('Smart Search'!$L$5="",'Smart Search'!$L$5="All",TRIM('Project Database'!D410)=TRIM('Smart Search'!$L$5)),OR(TRIM('Smart Search'!$L$6)="",TRIM('Smart Search'!$L$6)="All",ISNUMBER(SEARCH(SUBSTITUTE(SUBSTITUTE(SUBSTITUTE(TRIM('Smart Search'!$L$6),"~","~~"),"*","~*"),"?","~?"),'Project Database'!C410))),OR('Smart Search'!$L$7="",AND('Project Database'!E410&lt;&gt;"",'Project Database'!E410='Smart Search'!$L$7)),OR('Smart Search'!$L$8="",'Smart Search'!$L$8="All",TRIM('Project Database'!F410)=TRIM('Smart Search'!$L$8))),IF(BA406="","",BA406+ROW()*0.0000000001),"")</f>
        <v/>
      </c>
      <c r="BI406" s="5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>
        <f>IF('Project Database'!A410="","",N('Project Database'!AC410))</f>
        <v/>
      </c>
      <c r="BK406" s="5">
        <f>IF('Project Database'!A410="","",N('Project Database'!AD410))</f>
        <v/>
      </c>
      <c r="BL406" s="5">
        <f>IF('Project Database'!A410="","",N('Project Database'!AE410))</f>
        <v/>
      </c>
      <c r="BM406" s="5">
        <f>IF('Project Database'!A410="","",N('Project Database'!AF410))</f>
        <v/>
      </c>
      <c r="BN406" s="5">
        <f>IF('Project Database'!A410="","",N('Project Database'!AG410))</f>
        <v/>
      </c>
      <c r="BO406" s="5">
        <f>IF('Project Database'!A410="","",N('Project Database'!AH410))</f>
        <v/>
      </c>
      <c r="BP406" s="5">
        <f>IF('Project Database'!A410="","",N('Project Database'!AI410))</f>
        <v/>
      </c>
      <c r="BQ406" s="5">
        <f>IF('Project Database'!A410="","",N('Project Database'!AJ410))</f>
        <v/>
      </c>
      <c r="BR406" s="5">
        <f>IF('Project Database'!A410="","",N('Project Database'!AK410))</f>
        <v/>
      </c>
      <c r="BS406" s="5">
        <f>IF('Project Database'!A410="","",N('Project Database'!AL410))</f>
        <v/>
      </c>
      <c r="BT406" s="5">
        <f>IF('Project Database'!A410="","",N('Project Database'!AM410))</f>
        <v/>
      </c>
      <c r="BU406" s="5">
        <f>IF('Project Database'!A410="","",N('Project Database'!AN410))</f>
        <v/>
      </c>
      <c r="BV406" s="5">
        <f>IF('Project Database'!A410="","",N('Project Database'!AO410))</f>
        <v/>
      </c>
      <c r="BW406" s="5">
        <f>IF('Project Database'!A410="","",N('Project Database'!AP410))</f>
        <v/>
      </c>
      <c r="BX406" s="5">
        <f>IF(A406="","",SUM(BJ406:BW406))</f>
        <v/>
      </c>
      <c r="BY406" s="5">
        <f>IF(A406="","",IFERROR(IF(ISNUMBER(U406),U406,VALUE(SUBSTITUTE(SUBSTITUTE(SUBSTITUTE(UPPER(TRIM(U406)),"M",""),",","")," ",""))),0))</f>
        <v/>
      </c>
    </row>
    <row r="407" ht="15" customHeight="1" s="74">
      <c r="A407" s="66">
        <f>'Project Database'!A411</f>
        <v/>
      </c>
      <c r="B407" s="66">
        <f>'Project Database'!B411</f>
        <v/>
      </c>
      <c r="C407" s="66">
        <f>'Project Database'!G411</f>
        <v/>
      </c>
      <c r="D407" s="66">
        <f>'Project Database'!H411</f>
        <v/>
      </c>
      <c r="E407" s="66">
        <f>'Project Database'!I411</f>
        <v/>
      </c>
      <c r="F407" s="66">
        <f>'Project Database'!J411</f>
        <v/>
      </c>
      <c r="G407" s="66">
        <f>'Project Database'!K411</f>
        <v/>
      </c>
      <c r="H407" s="66">
        <f>'Project Database'!L411</f>
        <v/>
      </c>
      <c r="I407" s="66">
        <f>'Project Database'!M411</f>
        <v/>
      </c>
      <c r="J407" s="66">
        <f>'Project Database'!N411</f>
        <v/>
      </c>
      <c r="K407" s="66">
        <f>'Project Database'!O411</f>
        <v/>
      </c>
      <c r="L407" s="66">
        <f>'Project Database'!P411</f>
        <v/>
      </c>
      <c r="M407" s="66">
        <f>'Project Database'!Q411</f>
        <v/>
      </c>
      <c r="N407" s="66">
        <f>'Project Database'!R411</f>
        <v/>
      </c>
      <c r="O407" s="66">
        <f>'Project Database'!S411</f>
        <v/>
      </c>
      <c r="P407" s="66">
        <f>'Project Database'!T411</f>
        <v/>
      </c>
      <c r="Q407" s="66">
        <f>'Project Database'!U411</f>
        <v/>
      </c>
      <c r="R407" s="66">
        <f>'Project Database'!V411</f>
        <v/>
      </c>
      <c r="S407" s="66">
        <f>'Project Database'!W411</f>
        <v/>
      </c>
      <c r="T407" s="66">
        <f>'Project Database'!X411</f>
        <v/>
      </c>
      <c r="U407" s="67">
        <f>'Project Database'!Y411</f>
        <v/>
      </c>
      <c r="V407" s="66">
        <f>IF('Smart Search'!B13=1,IFERROR(1/'Smart Search'!H13,0),0)</f>
        <v/>
      </c>
      <c r="W407" s="66">
        <f>IF('Smart Search'!B13=1,IFERROR(1/'Smart Search'!H13,0),0)</f>
        <v/>
      </c>
      <c r="X407" s="66">
        <f>IF('Smart Search'!C13=1,IFERROR(1/'Smart Search'!H13,0),0)</f>
        <v/>
      </c>
      <c r="Y407" s="66">
        <f>IF('Smart Search'!C13=1,IFERROR(1/'Smart Search'!H13,0),0)</f>
        <v/>
      </c>
      <c r="Z407" s="66">
        <f>IF('Smart Search'!D13=1,IFERROR(1/'Smart Search'!H13,0),0)</f>
        <v/>
      </c>
      <c r="AA407" s="66">
        <f>IF('Smart Search'!D13=1,IFERROR(1/'Smart Search'!H13,0),0)</f>
        <v/>
      </c>
      <c r="AB407" s="66">
        <f>IF('Smart Search'!E13=1,IFERROR(1/'Smart Search'!H13,0),0)</f>
        <v/>
      </c>
      <c r="AC407" s="66">
        <f>IF('Smart Search'!E13=1,IFERROR(1/'Smart Search'!H13,0),0)</f>
        <v/>
      </c>
      <c r="AD407" s="66">
        <f>IF('Smart Search'!F13=1,IFERROR(1/'Smart Search'!H13,0),0)</f>
        <v/>
      </c>
      <c r="AE407" s="66">
        <f>IF('Smart Search'!F13=1,IFERROR(1/'Smart Search'!H13,0),0)</f>
        <v/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66">
        <f>AF407*V407</f>
        <v/>
      </c>
      <c r="AQ407" s="66">
        <f>AG407*W407</f>
        <v/>
      </c>
      <c r="AR407" s="66">
        <f>AH407*X407</f>
        <v/>
      </c>
      <c r="AS407" s="66">
        <f>AI407*Y407</f>
        <v/>
      </c>
      <c r="AT407" s="66">
        <f>AJ407*Z407</f>
        <v/>
      </c>
      <c r="AU407" s="66">
        <f>AK407*AA407</f>
        <v/>
      </c>
      <c r="AV407" s="66">
        <f>AL407*AB407</f>
        <v/>
      </c>
      <c r="AW407" s="66">
        <f>AM407*AC407</f>
        <v/>
      </c>
      <c r="AX407" s="66">
        <f>AN407*AD407</f>
        <v/>
      </c>
      <c r="AY407" s="66">
        <f>AO407*AE407</f>
        <v/>
      </c>
      <c r="AZ407" s="66">
        <f>'Project Database'!Z411</f>
        <v/>
      </c>
      <c r="BA407" s="66">
        <f>IF(OR(A407="",'Smart Search'!H13=0),"",MAX(0,BE407*BF407*MAX(0,1-BG407)))</f>
        <v/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66">
        <f>IF('Smart Search'!G13=1,IFERROR(1/'Smart Search'!H13,0),0)</f>
        <v/>
      </c>
      <c r="BD407" s="66">
        <f>BB407*BC407</f>
        <v/>
      </c>
      <c r="BE407" s="66">
        <f>AP407+AQ407+AR407+AS407+AT407+AU407+AV407+AW407+AX407+AY407+BD407</f>
        <v/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5">
        <f>IF(AND('Project Database'!A411&lt;&gt;"",OR('Smart Search'!$L$5="",'Smart Search'!$L$5="All",TRIM('Project Database'!D411)=TRIM('Smart Search'!$L$5)),OR(TRIM('Smart Search'!$L$6)="",TRIM('Smart Search'!$L$6)="All",ISNUMBER(SEARCH(SUBSTITUTE(SUBSTITUTE(SUBSTITUTE(TRIM('Smart Search'!$L$6),"~","~~"),"*","~*"),"?","~?"),'Project Database'!C411))),OR('Smart Search'!$L$7="",AND('Project Database'!E411&lt;&gt;"",'Project Database'!E411='Smart Search'!$L$7)),OR('Smart Search'!$L$8="",'Smart Search'!$L$8="All",TRIM('Project Database'!F411)=TRIM('Smart Search'!$L$8))),IF(BA407="","",BA407+ROW()*0.0000000001),"")</f>
        <v/>
      </c>
      <c r="BI407" s="5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>
        <f>IF('Project Database'!A411="","",N('Project Database'!AC411))</f>
        <v/>
      </c>
      <c r="BK407" s="5">
        <f>IF('Project Database'!A411="","",N('Project Database'!AD411))</f>
        <v/>
      </c>
      <c r="BL407" s="5">
        <f>IF('Project Database'!A411="","",N('Project Database'!AE411))</f>
        <v/>
      </c>
      <c r="BM407" s="5">
        <f>IF('Project Database'!A411="","",N('Project Database'!AF411))</f>
        <v/>
      </c>
      <c r="BN407" s="5">
        <f>IF('Project Database'!A411="","",N('Project Database'!AG411))</f>
        <v/>
      </c>
      <c r="BO407" s="5">
        <f>IF('Project Database'!A411="","",N('Project Database'!AH411))</f>
        <v/>
      </c>
      <c r="BP407" s="5">
        <f>IF('Project Database'!A411="","",N('Project Database'!AI411))</f>
        <v/>
      </c>
      <c r="BQ407" s="5">
        <f>IF('Project Database'!A411="","",N('Project Database'!AJ411))</f>
        <v/>
      </c>
      <c r="BR407" s="5">
        <f>IF('Project Database'!A411="","",N('Project Database'!AK411))</f>
        <v/>
      </c>
      <c r="BS407" s="5">
        <f>IF('Project Database'!A411="","",N('Project Database'!AL411))</f>
        <v/>
      </c>
      <c r="BT407" s="5">
        <f>IF('Project Database'!A411="","",N('Project Database'!AM411))</f>
        <v/>
      </c>
      <c r="BU407" s="5">
        <f>IF('Project Database'!A411="","",N('Project Database'!AN411))</f>
        <v/>
      </c>
      <c r="BV407" s="5">
        <f>IF('Project Database'!A411="","",N('Project Database'!AO411))</f>
        <v/>
      </c>
      <c r="BW407" s="5">
        <f>IF('Project Database'!A411="","",N('Project Database'!AP411))</f>
        <v/>
      </c>
      <c r="BX407" s="5">
        <f>IF(A407="","",SUM(BJ407:BW407))</f>
        <v/>
      </c>
      <c r="BY407" s="5">
        <f>IF(A407="","",IFERROR(IF(ISNUMBER(U407),U407,VALUE(SUBSTITUTE(SUBSTITUTE(SUBSTITUTE(UPPER(TRIM(U407)),"M",""),",","")," ",""))),0))</f>
        <v/>
      </c>
    </row>
    <row r="408" ht="15" customHeight="1" s="74">
      <c r="A408" s="66">
        <f>'Project Database'!A412</f>
        <v/>
      </c>
      <c r="B408" s="66">
        <f>'Project Database'!B412</f>
        <v/>
      </c>
      <c r="C408" s="66">
        <f>'Project Database'!G412</f>
        <v/>
      </c>
      <c r="D408" s="66">
        <f>'Project Database'!H412</f>
        <v/>
      </c>
      <c r="E408" s="66">
        <f>'Project Database'!I412</f>
        <v/>
      </c>
      <c r="F408" s="66">
        <f>'Project Database'!J412</f>
        <v/>
      </c>
      <c r="G408" s="66">
        <f>'Project Database'!K412</f>
        <v/>
      </c>
      <c r="H408" s="66">
        <f>'Project Database'!L412</f>
        <v/>
      </c>
      <c r="I408" s="66">
        <f>'Project Database'!M412</f>
        <v/>
      </c>
      <c r="J408" s="66">
        <f>'Project Database'!N412</f>
        <v/>
      </c>
      <c r="K408" s="66">
        <f>'Project Database'!O412</f>
        <v/>
      </c>
      <c r="L408" s="66">
        <f>'Project Database'!P412</f>
        <v/>
      </c>
      <c r="M408" s="66">
        <f>'Project Database'!Q412</f>
        <v/>
      </c>
      <c r="N408" s="66">
        <f>'Project Database'!R412</f>
        <v/>
      </c>
      <c r="O408" s="66">
        <f>'Project Database'!S412</f>
        <v/>
      </c>
      <c r="P408" s="66">
        <f>'Project Database'!T412</f>
        <v/>
      </c>
      <c r="Q408" s="66">
        <f>'Project Database'!U412</f>
        <v/>
      </c>
      <c r="R408" s="66">
        <f>'Project Database'!V412</f>
        <v/>
      </c>
      <c r="S408" s="66">
        <f>'Project Database'!W412</f>
        <v/>
      </c>
      <c r="T408" s="66">
        <f>'Project Database'!X412</f>
        <v/>
      </c>
      <c r="U408" s="67">
        <f>'Project Database'!Y412</f>
        <v/>
      </c>
      <c r="V408" s="66">
        <f>IF('Smart Search'!B13=1,IFERROR(1/'Smart Search'!H13,0),0)</f>
        <v/>
      </c>
      <c r="W408" s="66">
        <f>IF('Smart Search'!B13=1,IFERROR(1/'Smart Search'!H13,0),0)</f>
        <v/>
      </c>
      <c r="X408" s="66">
        <f>IF('Smart Search'!C13=1,IFERROR(1/'Smart Search'!H13,0),0)</f>
        <v/>
      </c>
      <c r="Y408" s="66">
        <f>IF('Smart Search'!C13=1,IFERROR(1/'Smart Search'!H13,0),0)</f>
        <v/>
      </c>
      <c r="Z408" s="66">
        <f>IF('Smart Search'!D13=1,IFERROR(1/'Smart Search'!H13,0),0)</f>
        <v/>
      </c>
      <c r="AA408" s="66">
        <f>IF('Smart Search'!D13=1,IFERROR(1/'Smart Search'!H13,0),0)</f>
        <v/>
      </c>
      <c r="AB408" s="66">
        <f>IF('Smart Search'!E13=1,IFERROR(1/'Smart Search'!H13,0),0)</f>
        <v/>
      </c>
      <c r="AC408" s="66">
        <f>IF('Smart Search'!E13=1,IFERROR(1/'Smart Search'!H13,0),0)</f>
        <v/>
      </c>
      <c r="AD408" s="66">
        <f>IF('Smart Search'!F13=1,IFERROR(1/'Smart Search'!H13,0),0)</f>
        <v/>
      </c>
      <c r="AE408" s="66">
        <f>IF('Smart Search'!F13=1,IFERROR(1/'Smart Search'!H13,0),0)</f>
        <v/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66">
        <f>AF408*V408</f>
        <v/>
      </c>
      <c r="AQ408" s="66">
        <f>AG408*W408</f>
        <v/>
      </c>
      <c r="AR408" s="66">
        <f>AH408*X408</f>
        <v/>
      </c>
      <c r="AS408" s="66">
        <f>AI408*Y408</f>
        <v/>
      </c>
      <c r="AT408" s="66">
        <f>AJ408*Z408</f>
        <v/>
      </c>
      <c r="AU408" s="66">
        <f>AK408*AA408</f>
        <v/>
      </c>
      <c r="AV408" s="66">
        <f>AL408*AB408</f>
        <v/>
      </c>
      <c r="AW408" s="66">
        <f>AM408*AC408</f>
        <v/>
      </c>
      <c r="AX408" s="66">
        <f>AN408*AD408</f>
        <v/>
      </c>
      <c r="AY408" s="66">
        <f>AO408*AE408</f>
        <v/>
      </c>
      <c r="AZ408" s="66">
        <f>'Project Database'!Z412</f>
        <v/>
      </c>
      <c r="BA408" s="66">
        <f>IF(OR(A408="",'Smart Search'!H13=0),"",MAX(0,BE408*BF408*MAX(0,1-BG408)))</f>
        <v/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66">
        <f>IF('Smart Search'!G13=1,IFERROR(1/'Smart Search'!H13,0),0)</f>
        <v/>
      </c>
      <c r="BD408" s="66">
        <f>BB408*BC408</f>
        <v/>
      </c>
      <c r="BE408" s="66">
        <f>AP408+AQ408+AR408+AS408+AT408+AU408+AV408+AW408+AX408+AY408+BD408</f>
        <v/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5">
        <f>IF(AND('Project Database'!A412&lt;&gt;"",OR('Smart Search'!$L$5="",'Smart Search'!$L$5="All",TRIM('Project Database'!D412)=TRIM('Smart Search'!$L$5)),OR(TRIM('Smart Search'!$L$6)="",TRIM('Smart Search'!$L$6)="All",ISNUMBER(SEARCH(SUBSTITUTE(SUBSTITUTE(SUBSTITUTE(TRIM('Smart Search'!$L$6),"~","~~"),"*","~*"),"?","~?"),'Project Database'!C412))),OR('Smart Search'!$L$7="",AND('Project Database'!E412&lt;&gt;"",'Project Database'!E412='Smart Search'!$L$7)),OR('Smart Search'!$L$8="",'Smart Search'!$L$8="All",TRIM('Project Database'!F412)=TRIM('Smart Search'!$L$8))),IF(BA408="","",BA408+ROW()*0.0000000001),"")</f>
        <v/>
      </c>
      <c r="BI408" s="5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>
        <f>IF('Project Database'!A412="","",N('Project Database'!AC412))</f>
        <v/>
      </c>
      <c r="BK408" s="5">
        <f>IF('Project Database'!A412="","",N('Project Database'!AD412))</f>
        <v/>
      </c>
      <c r="BL408" s="5">
        <f>IF('Project Database'!A412="","",N('Project Database'!AE412))</f>
        <v/>
      </c>
      <c r="BM408" s="5">
        <f>IF('Project Database'!A412="","",N('Project Database'!AF412))</f>
        <v/>
      </c>
      <c r="BN408" s="5">
        <f>IF('Project Database'!A412="","",N('Project Database'!AG412))</f>
        <v/>
      </c>
      <c r="BO408" s="5">
        <f>IF('Project Database'!A412="","",N('Project Database'!AH412))</f>
        <v/>
      </c>
      <c r="BP408" s="5">
        <f>IF('Project Database'!A412="","",N('Project Database'!AI412))</f>
        <v/>
      </c>
      <c r="BQ408" s="5">
        <f>IF('Project Database'!A412="","",N('Project Database'!AJ412))</f>
        <v/>
      </c>
      <c r="BR408" s="5">
        <f>IF('Project Database'!A412="","",N('Project Database'!AK412))</f>
        <v/>
      </c>
      <c r="BS408" s="5">
        <f>IF('Project Database'!A412="","",N('Project Database'!AL412))</f>
        <v/>
      </c>
      <c r="BT408" s="5">
        <f>IF('Project Database'!A412="","",N('Project Database'!AM412))</f>
        <v/>
      </c>
      <c r="BU408" s="5">
        <f>IF('Project Database'!A412="","",N('Project Database'!AN412))</f>
        <v/>
      </c>
      <c r="BV408" s="5">
        <f>IF('Project Database'!A412="","",N('Project Database'!AO412))</f>
        <v/>
      </c>
      <c r="BW408" s="5">
        <f>IF('Project Database'!A412="","",N('Project Database'!AP412))</f>
        <v/>
      </c>
      <c r="BX408" s="5">
        <f>IF(A408="","",SUM(BJ408:BW408))</f>
        <v/>
      </c>
      <c r="BY408" s="5">
        <f>IF(A408="","",IFERROR(IF(ISNUMBER(U408),U408,VALUE(SUBSTITUTE(SUBSTITUTE(SUBSTITUTE(UPPER(TRIM(U408)),"M",""),",","")," ",""))),0))</f>
        <v/>
      </c>
    </row>
    <row r="409" ht="15" customHeight="1" s="74">
      <c r="A409" s="66">
        <f>'Project Database'!A413</f>
        <v/>
      </c>
      <c r="B409" s="66">
        <f>'Project Database'!B413</f>
        <v/>
      </c>
      <c r="C409" s="66">
        <f>'Project Database'!G413</f>
        <v/>
      </c>
      <c r="D409" s="66">
        <f>'Project Database'!H413</f>
        <v/>
      </c>
      <c r="E409" s="66">
        <f>'Project Database'!I413</f>
        <v/>
      </c>
      <c r="F409" s="66">
        <f>'Project Database'!J413</f>
        <v/>
      </c>
      <c r="G409" s="66">
        <f>'Project Database'!K413</f>
        <v/>
      </c>
      <c r="H409" s="66">
        <f>'Project Database'!L413</f>
        <v/>
      </c>
      <c r="I409" s="66">
        <f>'Project Database'!M413</f>
        <v/>
      </c>
      <c r="J409" s="66">
        <f>'Project Database'!N413</f>
        <v/>
      </c>
      <c r="K409" s="66">
        <f>'Project Database'!O413</f>
        <v/>
      </c>
      <c r="L409" s="66">
        <f>'Project Database'!P413</f>
        <v/>
      </c>
      <c r="M409" s="66">
        <f>'Project Database'!Q413</f>
        <v/>
      </c>
      <c r="N409" s="66">
        <f>'Project Database'!R413</f>
        <v/>
      </c>
      <c r="O409" s="66">
        <f>'Project Database'!S413</f>
        <v/>
      </c>
      <c r="P409" s="66">
        <f>'Project Database'!T413</f>
        <v/>
      </c>
      <c r="Q409" s="66">
        <f>'Project Database'!U413</f>
        <v/>
      </c>
      <c r="R409" s="66">
        <f>'Project Database'!V413</f>
        <v/>
      </c>
      <c r="S409" s="66">
        <f>'Project Database'!W413</f>
        <v/>
      </c>
      <c r="T409" s="66">
        <f>'Project Database'!X413</f>
        <v/>
      </c>
      <c r="U409" s="67">
        <f>'Project Database'!Y413</f>
        <v/>
      </c>
      <c r="V409" s="66">
        <f>IF('Smart Search'!B13=1,IFERROR(1/'Smart Search'!H13,0),0)</f>
        <v/>
      </c>
      <c r="W409" s="66">
        <f>IF('Smart Search'!B13=1,IFERROR(1/'Smart Search'!H13,0),0)</f>
        <v/>
      </c>
      <c r="X409" s="66">
        <f>IF('Smart Search'!C13=1,IFERROR(1/'Smart Search'!H13,0),0)</f>
        <v/>
      </c>
      <c r="Y409" s="66">
        <f>IF('Smart Search'!C13=1,IFERROR(1/'Smart Search'!H13,0),0)</f>
        <v/>
      </c>
      <c r="Z409" s="66">
        <f>IF('Smart Search'!D13=1,IFERROR(1/'Smart Search'!H13,0),0)</f>
        <v/>
      </c>
      <c r="AA409" s="66">
        <f>IF('Smart Search'!D13=1,IFERROR(1/'Smart Search'!H13,0),0)</f>
        <v/>
      </c>
      <c r="AB409" s="66">
        <f>IF('Smart Search'!E13=1,IFERROR(1/'Smart Search'!H13,0),0)</f>
        <v/>
      </c>
      <c r="AC409" s="66">
        <f>IF('Smart Search'!E13=1,IFERROR(1/'Smart Search'!H13,0),0)</f>
        <v/>
      </c>
      <c r="AD409" s="66">
        <f>IF('Smart Search'!F13=1,IFERROR(1/'Smart Search'!H13,0),0)</f>
        <v/>
      </c>
      <c r="AE409" s="66">
        <f>IF('Smart Search'!F13=1,IFERROR(1/'Smart Search'!H13,0),0)</f>
        <v/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66">
        <f>AF409*V409</f>
        <v/>
      </c>
      <c r="AQ409" s="66">
        <f>AG409*W409</f>
        <v/>
      </c>
      <c r="AR409" s="66">
        <f>AH409*X409</f>
        <v/>
      </c>
      <c r="AS409" s="66">
        <f>AI409*Y409</f>
        <v/>
      </c>
      <c r="AT409" s="66">
        <f>AJ409*Z409</f>
        <v/>
      </c>
      <c r="AU409" s="66">
        <f>AK409*AA409</f>
        <v/>
      </c>
      <c r="AV409" s="66">
        <f>AL409*AB409</f>
        <v/>
      </c>
      <c r="AW409" s="66">
        <f>AM409*AC409</f>
        <v/>
      </c>
      <c r="AX409" s="66">
        <f>AN409*AD409</f>
        <v/>
      </c>
      <c r="AY409" s="66">
        <f>AO409*AE409</f>
        <v/>
      </c>
      <c r="AZ409" s="66">
        <f>'Project Database'!Z413</f>
        <v/>
      </c>
      <c r="BA409" s="66">
        <f>IF(OR(A409="",'Smart Search'!H13=0),"",MAX(0,BE409*BF409*MAX(0,1-BG409)))</f>
        <v/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66">
        <f>IF('Smart Search'!G13=1,IFERROR(1/'Smart Search'!H13,0),0)</f>
        <v/>
      </c>
      <c r="BD409" s="66">
        <f>BB409*BC409</f>
        <v/>
      </c>
      <c r="BE409" s="66">
        <f>AP409+AQ409+AR409+AS409+AT409+AU409+AV409+AW409+AX409+AY409+BD409</f>
        <v/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5">
        <f>IF(AND('Project Database'!A413&lt;&gt;"",OR('Smart Search'!$L$5="",'Smart Search'!$L$5="All",TRIM('Project Database'!D413)=TRIM('Smart Search'!$L$5)),OR(TRIM('Smart Search'!$L$6)="",TRIM('Smart Search'!$L$6)="All",ISNUMBER(SEARCH(SUBSTITUTE(SUBSTITUTE(SUBSTITUTE(TRIM('Smart Search'!$L$6),"~","~~"),"*","~*"),"?","~?"),'Project Database'!C413))),OR('Smart Search'!$L$7="",AND('Project Database'!E413&lt;&gt;"",'Project Database'!E413='Smart Search'!$L$7)),OR('Smart Search'!$L$8="",'Smart Search'!$L$8="All",TRIM('Project Database'!F413)=TRIM('Smart Search'!$L$8))),IF(BA409="","",BA409+ROW()*0.0000000001),"")</f>
        <v/>
      </c>
      <c r="BI409" s="5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>
        <f>IF('Project Database'!A413="","",N('Project Database'!AC413))</f>
        <v/>
      </c>
      <c r="BK409" s="5">
        <f>IF('Project Database'!A413="","",N('Project Database'!AD413))</f>
        <v/>
      </c>
      <c r="BL409" s="5">
        <f>IF('Project Database'!A413="","",N('Project Database'!AE413))</f>
        <v/>
      </c>
      <c r="BM409" s="5">
        <f>IF('Project Database'!A413="","",N('Project Database'!AF413))</f>
        <v/>
      </c>
      <c r="BN409" s="5">
        <f>IF('Project Database'!A413="","",N('Project Database'!AG413))</f>
        <v/>
      </c>
      <c r="BO409" s="5">
        <f>IF('Project Database'!A413="","",N('Project Database'!AH413))</f>
        <v/>
      </c>
      <c r="BP409" s="5">
        <f>IF('Project Database'!A413="","",N('Project Database'!AI413))</f>
        <v/>
      </c>
      <c r="BQ409" s="5">
        <f>IF('Project Database'!A413="","",N('Project Database'!AJ413))</f>
        <v/>
      </c>
      <c r="BR409" s="5">
        <f>IF('Project Database'!A413="","",N('Project Database'!AK413))</f>
        <v/>
      </c>
      <c r="BS409" s="5">
        <f>IF('Project Database'!A413="","",N('Project Database'!AL413))</f>
        <v/>
      </c>
      <c r="BT409" s="5">
        <f>IF('Project Database'!A413="","",N('Project Database'!AM413))</f>
        <v/>
      </c>
      <c r="BU409" s="5">
        <f>IF('Project Database'!A413="","",N('Project Database'!AN413))</f>
        <v/>
      </c>
      <c r="BV409" s="5">
        <f>IF('Project Database'!A413="","",N('Project Database'!AO413))</f>
        <v/>
      </c>
      <c r="BW409" s="5">
        <f>IF('Project Database'!A413="","",N('Project Database'!AP413))</f>
        <v/>
      </c>
      <c r="BX409" s="5">
        <f>IF(A409="","",SUM(BJ409:BW409))</f>
        <v/>
      </c>
      <c r="BY409" s="5">
        <f>IF(A409="","",IFERROR(IF(ISNUMBER(U409),U409,VALUE(SUBSTITUTE(SUBSTITUTE(SUBSTITUTE(UPPER(TRIM(U409)),"M",""),",","")," ",""))),0))</f>
        <v/>
      </c>
    </row>
    <row r="410" ht="15" customHeight="1" s="74">
      <c r="A410" s="66">
        <f>'Project Database'!A414</f>
        <v/>
      </c>
      <c r="B410" s="66">
        <f>'Project Database'!B414</f>
        <v/>
      </c>
      <c r="C410" s="66">
        <f>'Project Database'!G414</f>
        <v/>
      </c>
      <c r="D410" s="66">
        <f>'Project Database'!H414</f>
        <v/>
      </c>
      <c r="E410" s="66">
        <f>'Project Database'!I414</f>
        <v/>
      </c>
      <c r="F410" s="66">
        <f>'Project Database'!J414</f>
        <v/>
      </c>
      <c r="G410" s="66">
        <f>'Project Database'!K414</f>
        <v/>
      </c>
      <c r="H410" s="66">
        <f>'Project Database'!L414</f>
        <v/>
      </c>
      <c r="I410" s="66">
        <f>'Project Database'!M414</f>
        <v/>
      </c>
      <c r="J410" s="66">
        <f>'Project Database'!N414</f>
        <v/>
      </c>
      <c r="K410" s="66">
        <f>'Project Database'!O414</f>
        <v/>
      </c>
      <c r="L410" s="66">
        <f>'Project Database'!P414</f>
        <v/>
      </c>
      <c r="M410" s="66">
        <f>'Project Database'!Q414</f>
        <v/>
      </c>
      <c r="N410" s="66">
        <f>'Project Database'!R414</f>
        <v/>
      </c>
      <c r="O410" s="66">
        <f>'Project Database'!S414</f>
        <v/>
      </c>
      <c r="P410" s="66">
        <f>'Project Database'!T414</f>
        <v/>
      </c>
      <c r="Q410" s="66">
        <f>'Project Database'!U414</f>
        <v/>
      </c>
      <c r="R410" s="66">
        <f>'Project Database'!V414</f>
        <v/>
      </c>
      <c r="S410" s="66">
        <f>'Project Database'!W414</f>
        <v/>
      </c>
      <c r="T410" s="66">
        <f>'Project Database'!X414</f>
        <v/>
      </c>
      <c r="U410" s="67">
        <f>'Project Database'!Y414</f>
        <v/>
      </c>
      <c r="V410" s="66">
        <f>IF('Smart Search'!B13=1,IFERROR(1/'Smart Search'!H13,0),0)</f>
        <v/>
      </c>
      <c r="W410" s="66">
        <f>IF('Smart Search'!B13=1,IFERROR(1/'Smart Search'!H13,0),0)</f>
        <v/>
      </c>
      <c r="X410" s="66">
        <f>IF('Smart Search'!C13=1,IFERROR(1/'Smart Search'!H13,0),0)</f>
        <v/>
      </c>
      <c r="Y410" s="66">
        <f>IF('Smart Search'!C13=1,IFERROR(1/'Smart Search'!H13,0),0)</f>
        <v/>
      </c>
      <c r="Z410" s="66">
        <f>IF('Smart Search'!D13=1,IFERROR(1/'Smart Search'!H13,0),0)</f>
        <v/>
      </c>
      <c r="AA410" s="66">
        <f>IF('Smart Search'!D13=1,IFERROR(1/'Smart Search'!H13,0),0)</f>
        <v/>
      </c>
      <c r="AB410" s="66">
        <f>IF('Smart Search'!E13=1,IFERROR(1/'Smart Search'!H13,0),0)</f>
        <v/>
      </c>
      <c r="AC410" s="66">
        <f>IF('Smart Search'!E13=1,IFERROR(1/'Smart Search'!H13,0),0)</f>
        <v/>
      </c>
      <c r="AD410" s="66">
        <f>IF('Smart Search'!F13=1,IFERROR(1/'Smart Search'!H13,0),0)</f>
        <v/>
      </c>
      <c r="AE410" s="66">
        <f>IF('Smart Search'!F13=1,IFERROR(1/'Smart Search'!H13,0),0)</f>
        <v/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66">
        <f>AF410*V410</f>
        <v/>
      </c>
      <c r="AQ410" s="66">
        <f>AG410*W410</f>
        <v/>
      </c>
      <c r="AR410" s="66">
        <f>AH410*X410</f>
        <v/>
      </c>
      <c r="AS410" s="66">
        <f>AI410*Y410</f>
        <v/>
      </c>
      <c r="AT410" s="66">
        <f>AJ410*Z410</f>
        <v/>
      </c>
      <c r="AU410" s="66">
        <f>AK410*AA410</f>
        <v/>
      </c>
      <c r="AV410" s="66">
        <f>AL410*AB410</f>
        <v/>
      </c>
      <c r="AW410" s="66">
        <f>AM410*AC410</f>
        <v/>
      </c>
      <c r="AX410" s="66">
        <f>AN410*AD410</f>
        <v/>
      </c>
      <c r="AY410" s="66">
        <f>AO410*AE410</f>
        <v/>
      </c>
      <c r="AZ410" s="66">
        <f>'Project Database'!Z414</f>
        <v/>
      </c>
      <c r="BA410" s="66">
        <f>IF(OR(A410="",'Smart Search'!H13=0),"",MAX(0,BE410*BF410*MAX(0,1-BG410)))</f>
        <v/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66">
        <f>IF('Smart Search'!G13=1,IFERROR(1/'Smart Search'!H13,0),0)</f>
        <v/>
      </c>
      <c r="BD410" s="66">
        <f>BB410*BC410</f>
        <v/>
      </c>
      <c r="BE410" s="66">
        <f>AP410+AQ410+AR410+AS410+AT410+AU410+AV410+AW410+AX410+AY410+BD410</f>
        <v/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5">
        <f>IF(AND('Project Database'!A414&lt;&gt;"",OR('Smart Search'!$L$5="",'Smart Search'!$L$5="All",TRIM('Project Database'!D414)=TRIM('Smart Search'!$L$5)),OR(TRIM('Smart Search'!$L$6)="",TRIM('Smart Search'!$L$6)="All",ISNUMBER(SEARCH(SUBSTITUTE(SUBSTITUTE(SUBSTITUTE(TRIM('Smart Search'!$L$6),"~","~~"),"*","~*"),"?","~?"),'Project Database'!C414))),OR('Smart Search'!$L$7="",AND('Project Database'!E414&lt;&gt;"",'Project Database'!E414='Smart Search'!$L$7)),OR('Smart Search'!$L$8="",'Smart Search'!$L$8="All",TRIM('Project Database'!F414)=TRIM('Smart Search'!$L$8))),IF(BA410="","",BA410+ROW()*0.0000000001),"")</f>
        <v/>
      </c>
      <c r="BI410" s="5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>
        <f>IF('Project Database'!A414="","",N('Project Database'!AC414))</f>
        <v/>
      </c>
      <c r="BK410" s="5">
        <f>IF('Project Database'!A414="","",N('Project Database'!AD414))</f>
        <v/>
      </c>
      <c r="BL410" s="5">
        <f>IF('Project Database'!A414="","",N('Project Database'!AE414))</f>
        <v/>
      </c>
      <c r="BM410" s="5">
        <f>IF('Project Database'!A414="","",N('Project Database'!AF414))</f>
        <v/>
      </c>
      <c r="BN410" s="5">
        <f>IF('Project Database'!A414="","",N('Project Database'!AG414))</f>
        <v/>
      </c>
      <c r="BO410" s="5">
        <f>IF('Project Database'!A414="","",N('Project Database'!AH414))</f>
        <v/>
      </c>
      <c r="BP410" s="5">
        <f>IF('Project Database'!A414="","",N('Project Database'!AI414))</f>
        <v/>
      </c>
      <c r="BQ410" s="5">
        <f>IF('Project Database'!A414="","",N('Project Database'!AJ414))</f>
        <v/>
      </c>
      <c r="BR410" s="5">
        <f>IF('Project Database'!A414="","",N('Project Database'!AK414))</f>
        <v/>
      </c>
      <c r="BS410" s="5">
        <f>IF('Project Database'!A414="","",N('Project Database'!AL414))</f>
        <v/>
      </c>
      <c r="BT410" s="5">
        <f>IF('Project Database'!A414="","",N('Project Database'!AM414))</f>
        <v/>
      </c>
      <c r="BU410" s="5">
        <f>IF('Project Database'!A414="","",N('Project Database'!AN414))</f>
        <v/>
      </c>
      <c r="BV410" s="5">
        <f>IF('Project Database'!A414="","",N('Project Database'!AO414))</f>
        <v/>
      </c>
      <c r="BW410" s="5">
        <f>IF('Project Database'!A414="","",N('Project Database'!AP414))</f>
        <v/>
      </c>
      <c r="BX410" s="5">
        <f>IF(A410="","",SUM(BJ410:BW410))</f>
        <v/>
      </c>
      <c r="BY410" s="5">
        <f>IF(A410="","",IFERROR(IF(ISNUMBER(U410),U410,VALUE(SUBSTITUTE(SUBSTITUTE(SUBSTITUTE(UPPER(TRIM(U410)),"M",""),",","")," ",""))),0))</f>
        <v/>
      </c>
    </row>
    <row r="411" ht="15" customHeight="1" s="74">
      <c r="A411" s="66">
        <f>'Project Database'!A415</f>
        <v/>
      </c>
      <c r="B411" s="66">
        <f>'Project Database'!B415</f>
        <v/>
      </c>
      <c r="C411" s="66">
        <f>'Project Database'!G415</f>
        <v/>
      </c>
      <c r="D411" s="66">
        <f>'Project Database'!H415</f>
        <v/>
      </c>
      <c r="E411" s="66">
        <f>'Project Database'!I415</f>
        <v/>
      </c>
      <c r="F411" s="66">
        <f>'Project Database'!J415</f>
        <v/>
      </c>
      <c r="G411" s="66">
        <f>'Project Database'!K415</f>
        <v/>
      </c>
      <c r="H411" s="66">
        <f>'Project Database'!L415</f>
        <v/>
      </c>
      <c r="I411" s="66">
        <f>'Project Database'!M415</f>
        <v/>
      </c>
      <c r="J411" s="66">
        <f>'Project Database'!N415</f>
        <v/>
      </c>
      <c r="K411" s="66">
        <f>'Project Database'!O415</f>
        <v/>
      </c>
      <c r="L411" s="66">
        <f>'Project Database'!P415</f>
        <v/>
      </c>
      <c r="M411" s="66">
        <f>'Project Database'!Q415</f>
        <v/>
      </c>
      <c r="N411" s="66">
        <f>'Project Database'!R415</f>
        <v/>
      </c>
      <c r="O411" s="66">
        <f>'Project Database'!S415</f>
        <v/>
      </c>
      <c r="P411" s="66">
        <f>'Project Database'!T415</f>
        <v/>
      </c>
      <c r="Q411" s="66">
        <f>'Project Database'!U415</f>
        <v/>
      </c>
      <c r="R411" s="66">
        <f>'Project Database'!V415</f>
        <v/>
      </c>
      <c r="S411" s="66">
        <f>'Project Database'!W415</f>
        <v/>
      </c>
      <c r="T411" s="66">
        <f>'Project Database'!X415</f>
        <v/>
      </c>
      <c r="U411" s="67">
        <f>'Project Database'!Y415</f>
        <v/>
      </c>
      <c r="V411" s="66">
        <f>IF('Smart Search'!B13=1,IFERROR(1/'Smart Search'!H13,0),0)</f>
        <v/>
      </c>
      <c r="W411" s="66">
        <f>IF('Smart Search'!B13=1,IFERROR(1/'Smart Search'!H13,0),0)</f>
        <v/>
      </c>
      <c r="X411" s="66">
        <f>IF('Smart Search'!C13=1,IFERROR(1/'Smart Search'!H13,0),0)</f>
        <v/>
      </c>
      <c r="Y411" s="66">
        <f>IF('Smart Search'!C13=1,IFERROR(1/'Smart Search'!H13,0),0)</f>
        <v/>
      </c>
      <c r="Z411" s="66">
        <f>IF('Smart Search'!D13=1,IFERROR(1/'Smart Search'!H13,0),0)</f>
        <v/>
      </c>
      <c r="AA411" s="66">
        <f>IF('Smart Search'!D13=1,IFERROR(1/'Smart Search'!H13,0),0)</f>
        <v/>
      </c>
      <c r="AB411" s="66">
        <f>IF('Smart Search'!E13=1,IFERROR(1/'Smart Search'!H13,0),0)</f>
        <v/>
      </c>
      <c r="AC411" s="66">
        <f>IF('Smart Search'!E13=1,IFERROR(1/'Smart Search'!H13,0),0)</f>
        <v/>
      </c>
      <c r="AD411" s="66">
        <f>IF('Smart Search'!F13=1,IFERROR(1/'Smart Search'!H13,0),0)</f>
        <v/>
      </c>
      <c r="AE411" s="66">
        <f>IF('Smart Search'!F13=1,IFERROR(1/'Smart Search'!H13,0),0)</f>
        <v/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66">
        <f>AF411*V411</f>
        <v/>
      </c>
      <c r="AQ411" s="66">
        <f>AG411*W411</f>
        <v/>
      </c>
      <c r="AR411" s="66">
        <f>AH411*X411</f>
        <v/>
      </c>
      <c r="AS411" s="66">
        <f>AI411*Y411</f>
        <v/>
      </c>
      <c r="AT411" s="66">
        <f>AJ411*Z411</f>
        <v/>
      </c>
      <c r="AU411" s="66">
        <f>AK411*AA411</f>
        <v/>
      </c>
      <c r="AV411" s="66">
        <f>AL411*AB411</f>
        <v/>
      </c>
      <c r="AW411" s="66">
        <f>AM411*AC411</f>
        <v/>
      </c>
      <c r="AX411" s="66">
        <f>AN411*AD411</f>
        <v/>
      </c>
      <c r="AY411" s="66">
        <f>AO411*AE411</f>
        <v/>
      </c>
      <c r="AZ411" s="66">
        <f>'Project Database'!Z415</f>
        <v/>
      </c>
      <c r="BA411" s="66">
        <f>IF(OR(A411="",'Smart Search'!H13=0),"",MAX(0,BE411*BF411*MAX(0,1-BG411)))</f>
        <v/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66">
        <f>IF('Smart Search'!G13=1,IFERROR(1/'Smart Search'!H13,0),0)</f>
        <v/>
      </c>
      <c r="BD411" s="66">
        <f>BB411*BC411</f>
        <v/>
      </c>
      <c r="BE411" s="66">
        <f>AP411+AQ411+AR411+AS411+AT411+AU411+AV411+AW411+AX411+AY411+BD411</f>
        <v/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5">
        <f>IF(AND('Project Database'!A415&lt;&gt;"",OR('Smart Search'!$L$5="",'Smart Search'!$L$5="All",TRIM('Project Database'!D415)=TRIM('Smart Search'!$L$5)),OR(TRIM('Smart Search'!$L$6)="",TRIM('Smart Search'!$L$6)="All",ISNUMBER(SEARCH(SUBSTITUTE(SUBSTITUTE(SUBSTITUTE(TRIM('Smart Search'!$L$6),"~","~~"),"*","~*"),"?","~?"),'Project Database'!C415))),OR('Smart Search'!$L$7="",AND('Project Database'!E415&lt;&gt;"",'Project Database'!E415='Smart Search'!$L$7)),OR('Smart Search'!$L$8="",'Smart Search'!$L$8="All",TRIM('Project Database'!F415)=TRIM('Smart Search'!$L$8))),IF(BA411="","",BA411+ROW()*0.0000000001),"")</f>
        <v/>
      </c>
      <c r="BI411" s="5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>
        <f>IF('Project Database'!A415="","",N('Project Database'!AC415))</f>
        <v/>
      </c>
      <c r="BK411" s="5">
        <f>IF('Project Database'!A415="","",N('Project Database'!AD415))</f>
        <v/>
      </c>
      <c r="BL411" s="5">
        <f>IF('Project Database'!A415="","",N('Project Database'!AE415))</f>
        <v/>
      </c>
      <c r="BM411" s="5">
        <f>IF('Project Database'!A415="","",N('Project Database'!AF415))</f>
        <v/>
      </c>
      <c r="BN411" s="5">
        <f>IF('Project Database'!A415="","",N('Project Database'!AG415))</f>
        <v/>
      </c>
      <c r="BO411" s="5">
        <f>IF('Project Database'!A415="","",N('Project Database'!AH415))</f>
        <v/>
      </c>
      <c r="BP411" s="5">
        <f>IF('Project Database'!A415="","",N('Project Database'!AI415))</f>
        <v/>
      </c>
      <c r="BQ411" s="5">
        <f>IF('Project Database'!A415="","",N('Project Database'!AJ415))</f>
        <v/>
      </c>
      <c r="BR411" s="5">
        <f>IF('Project Database'!A415="","",N('Project Database'!AK415))</f>
        <v/>
      </c>
      <c r="BS411" s="5">
        <f>IF('Project Database'!A415="","",N('Project Database'!AL415))</f>
        <v/>
      </c>
      <c r="BT411" s="5">
        <f>IF('Project Database'!A415="","",N('Project Database'!AM415))</f>
        <v/>
      </c>
      <c r="BU411" s="5">
        <f>IF('Project Database'!A415="","",N('Project Database'!AN415))</f>
        <v/>
      </c>
      <c r="BV411" s="5">
        <f>IF('Project Database'!A415="","",N('Project Database'!AO415))</f>
        <v/>
      </c>
      <c r="BW411" s="5">
        <f>IF('Project Database'!A415="","",N('Project Database'!AP415))</f>
        <v/>
      </c>
      <c r="BX411" s="5">
        <f>IF(A411="","",SUM(BJ411:BW411))</f>
        <v/>
      </c>
      <c r="BY411" s="5">
        <f>IF(A411="","",IFERROR(IF(ISNUMBER(U411),U411,VALUE(SUBSTITUTE(SUBSTITUTE(SUBSTITUTE(UPPER(TRIM(U411)),"M",""),",","")," ",""))),0))</f>
        <v/>
      </c>
    </row>
    <row r="412" ht="15" customHeight="1" s="74">
      <c r="A412" s="66">
        <f>'Project Database'!A416</f>
        <v/>
      </c>
      <c r="B412" s="66">
        <f>'Project Database'!B416</f>
        <v/>
      </c>
      <c r="C412" s="66">
        <f>'Project Database'!G416</f>
        <v/>
      </c>
      <c r="D412" s="66">
        <f>'Project Database'!H416</f>
        <v/>
      </c>
      <c r="E412" s="66">
        <f>'Project Database'!I416</f>
        <v/>
      </c>
      <c r="F412" s="66">
        <f>'Project Database'!J416</f>
        <v/>
      </c>
      <c r="G412" s="66">
        <f>'Project Database'!K416</f>
        <v/>
      </c>
      <c r="H412" s="66">
        <f>'Project Database'!L416</f>
        <v/>
      </c>
      <c r="I412" s="66">
        <f>'Project Database'!M416</f>
        <v/>
      </c>
      <c r="J412" s="66">
        <f>'Project Database'!N416</f>
        <v/>
      </c>
      <c r="K412" s="66">
        <f>'Project Database'!O416</f>
        <v/>
      </c>
      <c r="L412" s="66">
        <f>'Project Database'!P416</f>
        <v/>
      </c>
      <c r="M412" s="66">
        <f>'Project Database'!Q416</f>
        <v/>
      </c>
      <c r="N412" s="66">
        <f>'Project Database'!R416</f>
        <v/>
      </c>
      <c r="O412" s="66">
        <f>'Project Database'!S416</f>
        <v/>
      </c>
      <c r="P412" s="66">
        <f>'Project Database'!T416</f>
        <v/>
      </c>
      <c r="Q412" s="66">
        <f>'Project Database'!U416</f>
        <v/>
      </c>
      <c r="R412" s="66">
        <f>'Project Database'!V416</f>
        <v/>
      </c>
      <c r="S412" s="66">
        <f>'Project Database'!W416</f>
        <v/>
      </c>
      <c r="T412" s="66">
        <f>'Project Database'!X416</f>
        <v/>
      </c>
      <c r="U412" s="67">
        <f>'Project Database'!Y416</f>
        <v/>
      </c>
      <c r="V412" s="66">
        <f>IF('Smart Search'!B13=1,IFERROR(1/'Smart Search'!H13,0),0)</f>
        <v/>
      </c>
      <c r="W412" s="66">
        <f>IF('Smart Search'!B13=1,IFERROR(1/'Smart Search'!H13,0),0)</f>
        <v/>
      </c>
      <c r="X412" s="66">
        <f>IF('Smart Search'!C13=1,IFERROR(1/'Smart Search'!H13,0),0)</f>
        <v/>
      </c>
      <c r="Y412" s="66">
        <f>IF('Smart Search'!C13=1,IFERROR(1/'Smart Search'!H13,0),0)</f>
        <v/>
      </c>
      <c r="Z412" s="66">
        <f>IF('Smart Search'!D13=1,IFERROR(1/'Smart Search'!H13,0),0)</f>
        <v/>
      </c>
      <c r="AA412" s="66">
        <f>IF('Smart Search'!D13=1,IFERROR(1/'Smart Search'!H13,0),0)</f>
        <v/>
      </c>
      <c r="AB412" s="66">
        <f>IF('Smart Search'!E13=1,IFERROR(1/'Smart Search'!H13,0),0)</f>
        <v/>
      </c>
      <c r="AC412" s="66">
        <f>IF('Smart Search'!E13=1,IFERROR(1/'Smart Search'!H13,0),0)</f>
        <v/>
      </c>
      <c r="AD412" s="66">
        <f>IF('Smart Search'!F13=1,IFERROR(1/'Smart Search'!H13,0),0)</f>
        <v/>
      </c>
      <c r="AE412" s="66">
        <f>IF('Smart Search'!F13=1,IFERROR(1/'Smart Search'!H13,0),0)</f>
        <v/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66">
        <f>AF412*V412</f>
        <v/>
      </c>
      <c r="AQ412" s="66">
        <f>AG412*W412</f>
        <v/>
      </c>
      <c r="AR412" s="66">
        <f>AH412*X412</f>
        <v/>
      </c>
      <c r="AS412" s="66">
        <f>AI412*Y412</f>
        <v/>
      </c>
      <c r="AT412" s="66">
        <f>AJ412*Z412</f>
        <v/>
      </c>
      <c r="AU412" s="66">
        <f>AK412*AA412</f>
        <v/>
      </c>
      <c r="AV412" s="66">
        <f>AL412*AB412</f>
        <v/>
      </c>
      <c r="AW412" s="66">
        <f>AM412*AC412</f>
        <v/>
      </c>
      <c r="AX412" s="66">
        <f>AN412*AD412</f>
        <v/>
      </c>
      <c r="AY412" s="66">
        <f>AO412*AE412</f>
        <v/>
      </c>
      <c r="AZ412" s="66">
        <f>'Project Database'!Z416</f>
        <v/>
      </c>
      <c r="BA412" s="66">
        <f>IF(OR(A412="",'Smart Search'!H13=0),"",MAX(0,BE412*BF412*MAX(0,1-BG412)))</f>
        <v/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66">
        <f>IF('Smart Search'!G13=1,IFERROR(1/'Smart Search'!H13,0),0)</f>
        <v/>
      </c>
      <c r="BD412" s="66">
        <f>BB412*BC412</f>
        <v/>
      </c>
      <c r="BE412" s="66">
        <f>AP412+AQ412+AR412+AS412+AT412+AU412+AV412+AW412+AX412+AY412+BD412</f>
        <v/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5">
        <f>IF(AND('Project Database'!A416&lt;&gt;"",OR('Smart Search'!$L$5="",'Smart Search'!$L$5="All",TRIM('Project Database'!D416)=TRIM('Smart Search'!$L$5)),OR(TRIM('Smart Search'!$L$6)="",TRIM('Smart Search'!$L$6)="All",ISNUMBER(SEARCH(SUBSTITUTE(SUBSTITUTE(SUBSTITUTE(TRIM('Smart Search'!$L$6),"~","~~"),"*","~*"),"?","~?"),'Project Database'!C416))),OR('Smart Search'!$L$7="",AND('Project Database'!E416&lt;&gt;"",'Project Database'!E416='Smart Search'!$L$7)),OR('Smart Search'!$L$8="",'Smart Search'!$L$8="All",TRIM('Project Database'!F416)=TRIM('Smart Search'!$L$8))),IF(BA412="","",BA412+ROW()*0.0000000001),"")</f>
        <v/>
      </c>
      <c r="BI412" s="5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>
        <f>IF('Project Database'!A416="","",N('Project Database'!AC416))</f>
        <v/>
      </c>
      <c r="BK412" s="5">
        <f>IF('Project Database'!A416="","",N('Project Database'!AD416))</f>
        <v/>
      </c>
      <c r="BL412" s="5">
        <f>IF('Project Database'!A416="","",N('Project Database'!AE416))</f>
        <v/>
      </c>
      <c r="BM412" s="5">
        <f>IF('Project Database'!A416="","",N('Project Database'!AF416))</f>
        <v/>
      </c>
      <c r="BN412" s="5">
        <f>IF('Project Database'!A416="","",N('Project Database'!AG416))</f>
        <v/>
      </c>
      <c r="BO412" s="5">
        <f>IF('Project Database'!A416="","",N('Project Database'!AH416))</f>
        <v/>
      </c>
      <c r="BP412" s="5">
        <f>IF('Project Database'!A416="","",N('Project Database'!AI416))</f>
        <v/>
      </c>
      <c r="BQ412" s="5">
        <f>IF('Project Database'!A416="","",N('Project Database'!AJ416))</f>
        <v/>
      </c>
      <c r="BR412" s="5">
        <f>IF('Project Database'!A416="","",N('Project Database'!AK416))</f>
        <v/>
      </c>
      <c r="BS412" s="5">
        <f>IF('Project Database'!A416="","",N('Project Database'!AL416))</f>
        <v/>
      </c>
      <c r="BT412" s="5">
        <f>IF('Project Database'!A416="","",N('Project Database'!AM416))</f>
        <v/>
      </c>
      <c r="BU412" s="5">
        <f>IF('Project Database'!A416="","",N('Project Database'!AN416))</f>
        <v/>
      </c>
      <c r="BV412" s="5">
        <f>IF('Project Database'!A416="","",N('Project Database'!AO416))</f>
        <v/>
      </c>
      <c r="BW412" s="5">
        <f>IF('Project Database'!A416="","",N('Project Database'!AP416))</f>
        <v/>
      </c>
      <c r="BX412" s="5">
        <f>IF(A412="","",SUM(BJ412:BW412))</f>
        <v/>
      </c>
      <c r="BY412" s="5">
        <f>IF(A412="","",IFERROR(IF(ISNUMBER(U412),U412,VALUE(SUBSTITUTE(SUBSTITUTE(SUBSTITUTE(UPPER(TRIM(U412)),"M",""),",","")," ",""))),0))</f>
        <v/>
      </c>
    </row>
    <row r="413" ht="15" customHeight="1" s="74">
      <c r="A413" s="66">
        <f>'Project Database'!A417</f>
        <v/>
      </c>
      <c r="B413" s="66">
        <f>'Project Database'!B417</f>
        <v/>
      </c>
      <c r="C413" s="66">
        <f>'Project Database'!G417</f>
        <v/>
      </c>
      <c r="D413" s="66">
        <f>'Project Database'!H417</f>
        <v/>
      </c>
      <c r="E413" s="66">
        <f>'Project Database'!I417</f>
        <v/>
      </c>
      <c r="F413" s="66">
        <f>'Project Database'!J417</f>
        <v/>
      </c>
      <c r="G413" s="66">
        <f>'Project Database'!K417</f>
        <v/>
      </c>
      <c r="H413" s="66">
        <f>'Project Database'!L417</f>
        <v/>
      </c>
      <c r="I413" s="66">
        <f>'Project Database'!M417</f>
        <v/>
      </c>
      <c r="J413" s="66">
        <f>'Project Database'!N417</f>
        <v/>
      </c>
      <c r="K413" s="66">
        <f>'Project Database'!O417</f>
        <v/>
      </c>
      <c r="L413" s="66">
        <f>'Project Database'!P417</f>
        <v/>
      </c>
      <c r="M413" s="66">
        <f>'Project Database'!Q417</f>
        <v/>
      </c>
      <c r="N413" s="66">
        <f>'Project Database'!R417</f>
        <v/>
      </c>
      <c r="O413" s="66">
        <f>'Project Database'!S417</f>
        <v/>
      </c>
      <c r="P413" s="66">
        <f>'Project Database'!T417</f>
        <v/>
      </c>
      <c r="Q413" s="66">
        <f>'Project Database'!U417</f>
        <v/>
      </c>
      <c r="R413" s="66">
        <f>'Project Database'!V417</f>
        <v/>
      </c>
      <c r="S413" s="66">
        <f>'Project Database'!W417</f>
        <v/>
      </c>
      <c r="T413" s="66">
        <f>'Project Database'!X417</f>
        <v/>
      </c>
      <c r="U413" s="67">
        <f>'Project Database'!Y417</f>
        <v/>
      </c>
      <c r="V413" s="66">
        <f>IF('Smart Search'!B13=1,IFERROR(1/'Smart Search'!H13,0),0)</f>
        <v/>
      </c>
      <c r="W413" s="66">
        <f>IF('Smart Search'!B13=1,IFERROR(1/'Smart Search'!H13,0),0)</f>
        <v/>
      </c>
      <c r="X413" s="66">
        <f>IF('Smart Search'!C13=1,IFERROR(1/'Smart Search'!H13,0),0)</f>
        <v/>
      </c>
      <c r="Y413" s="66">
        <f>IF('Smart Search'!C13=1,IFERROR(1/'Smart Search'!H13,0),0)</f>
        <v/>
      </c>
      <c r="Z413" s="66">
        <f>IF('Smart Search'!D13=1,IFERROR(1/'Smart Search'!H13,0),0)</f>
        <v/>
      </c>
      <c r="AA413" s="66">
        <f>IF('Smart Search'!D13=1,IFERROR(1/'Smart Search'!H13,0),0)</f>
        <v/>
      </c>
      <c r="AB413" s="66">
        <f>IF('Smart Search'!E13=1,IFERROR(1/'Smart Search'!H13,0),0)</f>
        <v/>
      </c>
      <c r="AC413" s="66">
        <f>IF('Smart Search'!E13=1,IFERROR(1/'Smart Search'!H13,0),0)</f>
        <v/>
      </c>
      <c r="AD413" s="66">
        <f>IF('Smart Search'!F13=1,IFERROR(1/'Smart Search'!H13,0),0)</f>
        <v/>
      </c>
      <c r="AE413" s="66">
        <f>IF('Smart Search'!F13=1,IFERROR(1/'Smart Search'!H13,0),0)</f>
        <v/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66">
        <f>AF413*V413</f>
        <v/>
      </c>
      <c r="AQ413" s="66">
        <f>AG413*W413</f>
        <v/>
      </c>
      <c r="AR413" s="66">
        <f>AH413*X413</f>
        <v/>
      </c>
      <c r="AS413" s="66">
        <f>AI413*Y413</f>
        <v/>
      </c>
      <c r="AT413" s="66">
        <f>AJ413*Z413</f>
        <v/>
      </c>
      <c r="AU413" s="66">
        <f>AK413*AA413</f>
        <v/>
      </c>
      <c r="AV413" s="66">
        <f>AL413*AB413</f>
        <v/>
      </c>
      <c r="AW413" s="66">
        <f>AM413*AC413</f>
        <v/>
      </c>
      <c r="AX413" s="66">
        <f>AN413*AD413</f>
        <v/>
      </c>
      <c r="AY413" s="66">
        <f>AO413*AE413</f>
        <v/>
      </c>
      <c r="AZ413" s="66">
        <f>'Project Database'!Z417</f>
        <v/>
      </c>
      <c r="BA413" s="66">
        <f>IF(OR(A413="",'Smart Search'!H13=0),"",MAX(0,BE413*BF413*MAX(0,1-BG413)))</f>
        <v/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66">
        <f>IF('Smart Search'!G13=1,IFERROR(1/'Smart Search'!H13,0),0)</f>
        <v/>
      </c>
      <c r="BD413" s="66">
        <f>BB413*BC413</f>
        <v/>
      </c>
      <c r="BE413" s="66">
        <f>AP413+AQ413+AR413+AS413+AT413+AU413+AV413+AW413+AX413+AY413+BD413</f>
        <v/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5">
        <f>IF(AND('Project Database'!A417&lt;&gt;"",OR('Smart Search'!$L$5="",'Smart Search'!$L$5="All",TRIM('Project Database'!D417)=TRIM('Smart Search'!$L$5)),OR(TRIM('Smart Search'!$L$6)="",TRIM('Smart Search'!$L$6)="All",ISNUMBER(SEARCH(SUBSTITUTE(SUBSTITUTE(SUBSTITUTE(TRIM('Smart Search'!$L$6),"~","~~"),"*","~*"),"?","~?"),'Project Database'!C417))),OR('Smart Search'!$L$7="",AND('Project Database'!E417&lt;&gt;"",'Project Database'!E417='Smart Search'!$L$7)),OR('Smart Search'!$L$8="",'Smart Search'!$L$8="All",TRIM('Project Database'!F417)=TRIM('Smart Search'!$L$8))),IF(BA413="","",BA413+ROW()*0.0000000001),"")</f>
        <v/>
      </c>
      <c r="BI413" s="5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>
        <f>IF('Project Database'!A417="","",N('Project Database'!AC417))</f>
        <v/>
      </c>
      <c r="BK413" s="5">
        <f>IF('Project Database'!A417="","",N('Project Database'!AD417))</f>
        <v/>
      </c>
      <c r="BL413" s="5">
        <f>IF('Project Database'!A417="","",N('Project Database'!AE417))</f>
        <v/>
      </c>
      <c r="BM413" s="5">
        <f>IF('Project Database'!A417="","",N('Project Database'!AF417))</f>
        <v/>
      </c>
      <c r="BN413" s="5">
        <f>IF('Project Database'!A417="","",N('Project Database'!AG417))</f>
        <v/>
      </c>
      <c r="BO413" s="5">
        <f>IF('Project Database'!A417="","",N('Project Database'!AH417))</f>
        <v/>
      </c>
      <c r="BP413" s="5">
        <f>IF('Project Database'!A417="","",N('Project Database'!AI417))</f>
        <v/>
      </c>
      <c r="BQ413" s="5">
        <f>IF('Project Database'!A417="","",N('Project Database'!AJ417))</f>
        <v/>
      </c>
      <c r="BR413" s="5">
        <f>IF('Project Database'!A417="","",N('Project Database'!AK417))</f>
        <v/>
      </c>
      <c r="BS413" s="5">
        <f>IF('Project Database'!A417="","",N('Project Database'!AL417))</f>
        <v/>
      </c>
      <c r="BT413" s="5">
        <f>IF('Project Database'!A417="","",N('Project Database'!AM417))</f>
        <v/>
      </c>
      <c r="BU413" s="5">
        <f>IF('Project Database'!A417="","",N('Project Database'!AN417))</f>
        <v/>
      </c>
      <c r="BV413" s="5">
        <f>IF('Project Database'!A417="","",N('Project Database'!AO417))</f>
        <v/>
      </c>
      <c r="BW413" s="5">
        <f>IF('Project Database'!A417="","",N('Project Database'!AP417))</f>
        <v/>
      </c>
      <c r="BX413" s="5">
        <f>IF(A413="","",SUM(BJ413:BW413))</f>
        <v/>
      </c>
      <c r="BY413" s="5">
        <f>IF(A413="","",IFERROR(IF(ISNUMBER(U413),U413,VALUE(SUBSTITUTE(SUBSTITUTE(SUBSTITUTE(UPPER(TRIM(U413)),"M",""),",","")," ",""))),0))</f>
        <v/>
      </c>
    </row>
    <row r="414" ht="15" customHeight="1" s="74">
      <c r="A414" s="66">
        <f>'Project Database'!A418</f>
        <v/>
      </c>
      <c r="B414" s="66">
        <f>'Project Database'!B418</f>
        <v/>
      </c>
      <c r="C414" s="66">
        <f>'Project Database'!G418</f>
        <v/>
      </c>
      <c r="D414" s="66">
        <f>'Project Database'!H418</f>
        <v/>
      </c>
      <c r="E414" s="66">
        <f>'Project Database'!I418</f>
        <v/>
      </c>
      <c r="F414" s="66">
        <f>'Project Database'!J418</f>
        <v/>
      </c>
      <c r="G414" s="66">
        <f>'Project Database'!K418</f>
        <v/>
      </c>
      <c r="H414" s="66">
        <f>'Project Database'!L418</f>
        <v/>
      </c>
      <c r="I414" s="66">
        <f>'Project Database'!M418</f>
        <v/>
      </c>
      <c r="J414" s="66">
        <f>'Project Database'!N418</f>
        <v/>
      </c>
      <c r="K414" s="66">
        <f>'Project Database'!O418</f>
        <v/>
      </c>
      <c r="L414" s="66">
        <f>'Project Database'!P418</f>
        <v/>
      </c>
      <c r="M414" s="66">
        <f>'Project Database'!Q418</f>
        <v/>
      </c>
      <c r="N414" s="66">
        <f>'Project Database'!R418</f>
        <v/>
      </c>
      <c r="O414" s="66">
        <f>'Project Database'!S418</f>
        <v/>
      </c>
      <c r="P414" s="66">
        <f>'Project Database'!T418</f>
        <v/>
      </c>
      <c r="Q414" s="66">
        <f>'Project Database'!U418</f>
        <v/>
      </c>
      <c r="R414" s="66">
        <f>'Project Database'!V418</f>
        <v/>
      </c>
      <c r="S414" s="66">
        <f>'Project Database'!W418</f>
        <v/>
      </c>
      <c r="T414" s="66">
        <f>'Project Database'!X418</f>
        <v/>
      </c>
      <c r="U414" s="67">
        <f>'Project Database'!Y418</f>
        <v/>
      </c>
      <c r="V414" s="66">
        <f>IF('Smart Search'!B13=1,IFERROR(1/'Smart Search'!H13,0),0)</f>
        <v/>
      </c>
      <c r="W414" s="66">
        <f>IF('Smart Search'!B13=1,IFERROR(1/'Smart Search'!H13,0),0)</f>
        <v/>
      </c>
      <c r="X414" s="66">
        <f>IF('Smart Search'!C13=1,IFERROR(1/'Smart Search'!H13,0),0)</f>
        <v/>
      </c>
      <c r="Y414" s="66">
        <f>IF('Smart Search'!C13=1,IFERROR(1/'Smart Search'!H13,0),0)</f>
        <v/>
      </c>
      <c r="Z414" s="66">
        <f>IF('Smart Search'!D13=1,IFERROR(1/'Smart Search'!H13,0),0)</f>
        <v/>
      </c>
      <c r="AA414" s="66">
        <f>IF('Smart Search'!D13=1,IFERROR(1/'Smart Search'!H13,0),0)</f>
        <v/>
      </c>
      <c r="AB414" s="66">
        <f>IF('Smart Search'!E13=1,IFERROR(1/'Smart Search'!H13,0),0)</f>
        <v/>
      </c>
      <c r="AC414" s="66">
        <f>IF('Smart Search'!E13=1,IFERROR(1/'Smart Search'!H13,0),0)</f>
        <v/>
      </c>
      <c r="AD414" s="66">
        <f>IF('Smart Search'!F13=1,IFERROR(1/'Smart Search'!H13,0),0)</f>
        <v/>
      </c>
      <c r="AE414" s="66">
        <f>IF('Smart Search'!F13=1,IFERROR(1/'Smart Search'!H13,0),0)</f>
        <v/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66">
        <f>AF414*V414</f>
        <v/>
      </c>
      <c r="AQ414" s="66">
        <f>AG414*W414</f>
        <v/>
      </c>
      <c r="AR414" s="66">
        <f>AH414*X414</f>
        <v/>
      </c>
      <c r="AS414" s="66">
        <f>AI414*Y414</f>
        <v/>
      </c>
      <c r="AT414" s="66">
        <f>AJ414*Z414</f>
        <v/>
      </c>
      <c r="AU414" s="66">
        <f>AK414*AA414</f>
        <v/>
      </c>
      <c r="AV414" s="66">
        <f>AL414*AB414</f>
        <v/>
      </c>
      <c r="AW414" s="66">
        <f>AM414*AC414</f>
        <v/>
      </c>
      <c r="AX414" s="66">
        <f>AN414*AD414</f>
        <v/>
      </c>
      <c r="AY414" s="66">
        <f>AO414*AE414</f>
        <v/>
      </c>
      <c r="AZ414" s="66">
        <f>'Project Database'!Z418</f>
        <v/>
      </c>
      <c r="BA414" s="66">
        <f>IF(OR(A414="",'Smart Search'!H13=0),"",MAX(0,BE414*BF414*MAX(0,1-BG414)))</f>
        <v/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66">
        <f>IF('Smart Search'!G13=1,IFERROR(1/'Smart Search'!H13,0),0)</f>
        <v/>
      </c>
      <c r="BD414" s="66">
        <f>BB414*BC414</f>
        <v/>
      </c>
      <c r="BE414" s="66">
        <f>AP414+AQ414+AR414+AS414+AT414+AU414+AV414+AW414+AX414+AY414+BD414</f>
        <v/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5">
        <f>IF(AND('Project Database'!A418&lt;&gt;"",OR('Smart Search'!$L$5="",'Smart Search'!$L$5="All",TRIM('Project Database'!D418)=TRIM('Smart Search'!$L$5)),OR(TRIM('Smart Search'!$L$6)="",TRIM('Smart Search'!$L$6)="All",ISNUMBER(SEARCH(SUBSTITUTE(SUBSTITUTE(SUBSTITUTE(TRIM('Smart Search'!$L$6),"~","~~"),"*","~*"),"?","~?"),'Project Database'!C418))),OR('Smart Search'!$L$7="",AND('Project Database'!E418&lt;&gt;"",'Project Database'!E418='Smart Search'!$L$7)),OR('Smart Search'!$L$8="",'Smart Search'!$L$8="All",TRIM('Project Database'!F418)=TRIM('Smart Search'!$L$8))),IF(BA414="","",BA414+ROW()*0.0000000001),"")</f>
        <v/>
      </c>
      <c r="BI414" s="5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>
        <f>IF('Project Database'!A418="","",N('Project Database'!AC418))</f>
        <v/>
      </c>
      <c r="BK414" s="5">
        <f>IF('Project Database'!A418="","",N('Project Database'!AD418))</f>
        <v/>
      </c>
      <c r="BL414" s="5">
        <f>IF('Project Database'!A418="","",N('Project Database'!AE418))</f>
        <v/>
      </c>
      <c r="BM414" s="5">
        <f>IF('Project Database'!A418="","",N('Project Database'!AF418))</f>
        <v/>
      </c>
      <c r="BN414" s="5">
        <f>IF('Project Database'!A418="","",N('Project Database'!AG418))</f>
        <v/>
      </c>
      <c r="BO414" s="5">
        <f>IF('Project Database'!A418="","",N('Project Database'!AH418))</f>
        <v/>
      </c>
      <c r="BP414" s="5">
        <f>IF('Project Database'!A418="","",N('Project Database'!AI418))</f>
        <v/>
      </c>
      <c r="BQ414" s="5">
        <f>IF('Project Database'!A418="","",N('Project Database'!AJ418))</f>
        <v/>
      </c>
      <c r="BR414" s="5">
        <f>IF('Project Database'!A418="","",N('Project Database'!AK418))</f>
        <v/>
      </c>
      <c r="BS414" s="5">
        <f>IF('Project Database'!A418="","",N('Project Database'!AL418))</f>
        <v/>
      </c>
      <c r="BT414" s="5">
        <f>IF('Project Database'!A418="","",N('Project Database'!AM418))</f>
        <v/>
      </c>
      <c r="BU414" s="5">
        <f>IF('Project Database'!A418="","",N('Project Database'!AN418))</f>
        <v/>
      </c>
      <c r="BV414" s="5">
        <f>IF('Project Database'!A418="","",N('Project Database'!AO418))</f>
        <v/>
      </c>
      <c r="BW414" s="5">
        <f>IF('Project Database'!A418="","",N('Project Database'!AP418))</f>
        <v/>
      </c>
      <c r="BX414" s="5">
        <f>IF(A414="","",SUM(BJ414:BW414))</f>
        <v/>
      </c>
      <c r="BY414" s="5">
        <f>IF(A414="","",IFERROR(IF(ISNUMBER(U414),U414,VALUE(SUBSTITUTE(SUBSTITUTE(SUBSTITUTE(UPPER(TRIM(U414)),"M",""),",","")," ",""))),0))</f>
        <v/>
      </c>
    </row>
    <row r="415" ht="15" customHeight="1" s="74">
      <c r="A415" s="66">
        <f>'Project Database'!A419</f>
        <v/>
      </c>
      <c r="B415" s="66">
        <f>'Project Database'!B419</f>
        <v/>
      </c>
      <c r="C415" s="66">
        <f>'Project Database'!G419</f>
        <v/>
      </c>
      <c r="D415" s="66">
        <f>'Project Database'!H419</f>
        <v/>
      </c>
      <c r="E415" s="66">
        <f>'Project Database'!I419</f>
        <v/>
      </c>
      <c r="F415" s="66">
        <f>'Project Database'!J419</f>
        <v/>
      </c>
      <c r="G415" s="66">
        <f>'Project Database'!K419</f>
        <v/>
      </c>
      <c r="H415" s="66">
        <f>'Project Database'!L419</f>
        <v/>
      </c>
      <c r="I415" s="66">
        <f>'Project Database'!M419</f>
        <v/>
      </c>
      <c r="J415" s="66">
        <f>'Project Database'!N419</f>
        <v/>
      </c>
      <c r="K415" s="66">
        <f>'Project Database'!O419</f>
        <v/>
      </c>
      <c r="L415" s="66">
        <f>'Project Database'!P419</f>
        <v/>
      </c>
      <c r="M415" s="66">
        <f>'Project Database'!Q419</f>
        <v/>
      </c>
      <c r="N415" s="66">
        <f>'Project Database'!R419</f>
        <v/>
      </c>
      <c r="O415" s="66">
        <f>'Project Database'!S419</f>
        <v/>
      </c>
      <c r="P415" s="66">
        <f>'Project Database'!T419</f>
        <v/>
      </c>
      <c r="Q415" s="66">
        <f>'Project Database'!U419</f>
        <v/>
      </c>
      <c r="R415" s="66">
        <f>'Project Database'!V419</f>
        <v/>
      </c>
      <c r="S415" s="66">
        <f>'Project Database'!W419</f>
        <v/>
      </c>
      <c r="T415" s="66">
        <f>'Project Database'!X419</f>
        <v/>
      </c>
      <c r="U415" s="67">
        <f>'Project Database'!Y419</f>
        <v/>
      </c>
      <c r="V415" s="66">
        <f>IF('Smart Search'!B13=1,IFERROR(1/'Smart Search'!H13,0),0)</f>
        <v/>
      </c>
      <c r="W415" s="66">
        <f>IF('Smart Search'!B13=1,IFERROR(1/'Smart Search'!H13,0),0)</f>
        <v/>
      </c>
      <c r="X415" s="66">
        <f>IF('Smart Search'!C13=1,IFERROR(1/'Smart Search'!H13,0),0)</f>
        <v/>
      </c>
      <c r="Y415" s="66">
        <f>IF('Smart Search'!C13=1,IFERROR(1/'Smart Search'!H13,0),0)</f>
        <v/>
      </c>
      <c r="Z415" s="66">
        <f>IF('Smart Search'!D13=1,IFERROR(1/'Smart Search'!H13,0),0)</f>
        <v/>
      </c>
      <c r="AA415" s="66">
        <f>IF('Smart Search'!D13=1,IFERROR(1/'Smart Search'!H13,0),0)</f>
        <v/>
      </c>
      <c r="AB415" s="66">
        <f>IF('Smart Search'!E13=1,IFERROR(1/'Smart Search'!H13,0),0)</f>
        <v/>
      </c>
      <c r="AC415" s="66">
        <f>IF('Smart Search'!E13=1,IFERROR(1/'Smart Search'!H13,0),0)</f>
        <v/>
      </c>
      <c r="AD415" s="66">
        <f>IF('Smart Search'!F13=1,IFERROR(1/'Smart Search'!H13,0),0)</f>
        <v/>
      </c>
      <c r="AE415" s="66">
        <f>IF('Smart Search'!F13=1,IFERROR(1/'Smart Search'!H13,0),0)</f>
        <v/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66">
        <f>AF415*V415</f>
        <v/>
      </c>
      <c r="AQ415" s="66">
        <f>AG415*W415</f>
        <v/>
      </c>
      <c r="AR415" s="66">
        <f>AH415*X415</f>
        <v/>
      </c>
      <c r="AS415" s="66">
        <f>AI415*Y415</f>
        <v/>
      </c>
      <c r="AT415" s="66">
        <f>AJ415*Z415</f>
        <v/>
      </c>
      <c r="AU415" s="66">
        <f>AK415*AA415</f>
        <v/>
      </c>
      <c r="AV415" s="66">
        <f>AL415*AB415</f>
        <v/>
      </c>
      <c r="AW415" s="66">
        <f>AM415*AC415</f>
        <v/>
      </c>
      <c r="AX415" s="66">
        <f>AN415*AD415</f>
        <v/>
      </c>
      <c r="AY415" s="66">
        <f>AO415*AE415</f>
        <v/>
      </c>
      <c r="AZ415" s="66">
        <f>'Project Database'!Z419</f>
        <v/>
      </c>
      <c r="BA415" s="66">
        <f>IF(OR(A415="",'Smart Search'!H13=0),"",MAX(0,BE415*BF415*MAX(0,1-BG415)))</f>
        <v/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66">
        <f>IF('Smart Search'!G13=1,IFERROR(1/'Smart Search'!H13,0),0)</f>
        <v/>
      </c>
      <c r="BD415" s="66">
        <f>BB415*BC415</f>
        <v/>
      </c>
      <c r="BE415" s="66">
        <f>AP415+AQ415+AR415+AS415+AT415+AU415+AV415+AW415+AX415+AY415+BD415</f>
        <v/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5">
        <f>IF(AND('Project Database'!A419&lt;&gt;"",OR('Smart Search'!$L$5="",'Smart Search'!$L$5="All",TRIM('Project Database'!D419)=TRIM('Smart Search'!$L$5)),OR(TRIM('Smart Search'!$L$6)="",TRIM('Smart Search'!$L$6)="All",ISNUMBER(SEARCH(SUBSTITUTE(SUBSTITUTE(SUBSTITUTE(TRIM('Smart Search'!$L$6),"~","~~"),"*","~*"),"?","~?"),'Project Database'!C419))),OR('Smart Search'!$L$7="",AND('Project Database'!E419&lt;&gt;"",'Project Database'!E419='Smart Search'!$L$7)),OR('Smart Search'!$L$8="",'Smart Search'!$L$8="All",TRIM('Project Database'!F419)=TRIM('Smart Search'!$L$8))),IF(BA415="","",BA415+ROW()*0.0000000001),"")</f>
        <v/>
      </c>
      <c r="BI415" s="5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>
        <f>IF('Project Database'!A419="","",N('Project Database'!AC419))</f>
        <v/>
      </c>
      <c r="BK415" s="5">
        <f>IF('Project Database'!A419="","",N('Project Database'!AD419))</f>
        <v/>
      </c>
      <c r="BL415" s="5">
        <f>IF('Project Database'!A419="","",N('Project Database'!AE419))</f>
        <v/>
      </c>
      <c r="BM415" s="5">
        <f>IF('Project Database'!A419="","",N('Project Database'!AF419))</f>
        <v/>
      </c>
      <c r="BN415" s="5">
        <f>IF('Project Database'!A419="","",N('Project Database'!AG419))</f>
        <v/>
      </c>
      <c r="BO415" s="5">
        <f>IF('Project Database'!A419="","",N('Project Database'!AH419))</f>
        <v/>
      </c>
      <c r="BP415" s="5">
        <f>IF('Project Database'!A419="","",N('Project Database'!AI419))</f>
        <v/>
      </c>
      <c r="BQ415" s="5">
        <f>IF('Project Database'!A419="","",N('Project Database'!AJ419))</f>
        <v/>
      </c>
      <c r="BR415" s="5">
        <f>IF('Project Database'!A419="","",N('Project Database'!AK419))</f>
        <v/>
      </c>
      <c r="BS415" s="5">
        <f>IF('Project Database'!A419="","",N('Project Database'!AL419))</f>
        <v/>
      </c>
      <c r="BT415" s="5">
        <f>IF('Project Database'!A419="","",N('Project Database'!AM419))</f>
        <v/>
      </c>
      <c r="BU415" s="5">
        <f>IF('Project Database'!A419="","",N('Project Database'!AN419))</f>
        <v/>
      </c>
      <c r="BV415" s="5">
        <f>IF('Project Database'!A419="","",N('Project Database'!AO419))</f>
        <v/>
      </c>
      <c r="BW415" s="5">
        <f>IF('Project Database'!A419="","",N('Project Database'!AP419))</f>
        <v/>
      </c>
      <c r="BX415" s="5">
        <f>IF(A415="","",SUM(BJ415:BW415))</f>
        <v/>
      </c>
      <c r="BY415" s="5">
        <f>IF(A415="","",IFERROR(IF(ISNUMBER(U415),U415,VALUE(SUBSTITUTE(SUBSTITUTE(SUBSTITUTE(UPPER(TRIM(U415)),"M",""),",","")," ",""))),0))</f>
        <v/>
      </c>
    </row>
    <row r="416" ht="15" customHeight="1" s="74">
      <c r="A416" s="66">
        <f>'Project Database'!A420</f>
        <v/>
      </c>
      <c r="B416" s="66">
        <f>'Project Database'!B420</f>
        <v/>
      </c>
      <c r="C416" s="66">
        <f>'Project Database'!G420</f>
        <v/>
      </c>
      <c r="D416" s="66">
        <f>'Project Database'!H420</f>
        <v/>
      </c>
      <c r="E416" s="66">
        <f>'Project Database'!I420</f>
        <v/>
      </c>
      <c r="F416" s="66">
        <f>'Project Database'!J420</f>
        <v/>
      </c>
      <c r="G416" s="66">
        <f>'Project Database'!K420</f>
        <v/>
      </c>
      <c r="H416" s="66">
        <f>'Project Database'!L420</f>
        <v/>
      </c>
      <c r="I416" s="66">
        <f>'Project Database'!M420</f>
        <v/>
      </c>
      <c r="J416" s="66">
        <f>'Project Database'!N420</f>
        <v/>
      </c>
      <c r="K416" s="66">
        <f>'Project Database'!O420</f>
        <v/>
      </c>
      <c r="L416" s="66">
        <f>'Project Database'!P420</f>
        <v/>
      </c>
      <c r="M416" s="66">
        <f>'Project Database'!Q420</f>
        <v/>
      </c>
      <c r="N416" s="66">
        <f>'Project Database'!R420</f>
        <v/>
      </c>
      <c r="O416" s="66">
        <f>'Project Database'!S420</f>
        <v/>
      </c>
      <c r="P416" s="66">
        <f>'Project Database'!T420</f>
        <v/>
      </c>
      <c r="Q416" s="66">
        <f>'Project Database'!U420</f>
        <v/>
      </c>
      <c r="R416" s="66">
        <f>'Project Database'!V420</f>
        <v/>
      </c>
      <c r="S416" s="66">
        <f>'Project Database'!W420</f>
        <v/>
      </c>
      <c r="T416" s="66">
        <f>'Project Database'!X420</f>
        <v/>
      </c>
      <c r="U416" s="67">
        <f>'Project Database'!Y420</f>
        <v/>
      </c>
      <c r="V416" s="66">
        <f>IF('Smart Search'!B13=1,IFERROR(1/'Smart Search'!H13,0),0)</f>
        <v/>
      </c>
      <c r="W416" s="66">
        <f>IF('Smart Search'!B13=1,IFERROR(1/'Smart Search'!H13,0),0)</f>
        <v/>
      </c>
      <c r="X416" s="66">
        <f>IF('Smart Search'!C13=1,IFERROR(1/'Smart Search'!H13,0),0)</f>
        <v/>
      </c>
      <c r="Y416" s="66">
        <f>IF('Smart Search'!C13=1,IFERROR(1/'Smart Search'!H13,0),0)</f>
        <v/>
      </c>
      <c r="Z416" s="66">
        <f>IF('Smart Search'!D13=1,IFERROR(1/'Smart Search'!H13,0),0)</f>
        <v/>
      </c>
      <c r="AA416" s="66">
        <f>IF('Smart Search'!D13=1,IFERROR(1/'Smart Search'!H13,0),0)</f>
        <v/>
      </c>
      <c r="AB416" s="66">
        <f>IF('Smart Search'!E13=1,IFERROR(1/'Smart Search'!H13,0),0)</f>
        <v/>
      </c>
      <c r="AC416" s="66">
        <f>IF('Smart Search'!E13=1,IFERROR(1/'Smart Search'!H13,0),0)</f>
        <v/>
      </c>
      <c r="AD416" s="66">
        <f>IF('Smart Search'!F13=1,IFERROR(1/'Smart Search'!H13,0),0)</f>
        <v/>
      </c>
      <c r="AE416" s="66">
        <f>IF('Smart Search'!F13=1,IFERROR(1/'Smart Search'!H13,0),0)</f>
        <v/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66">
        <f>AF416*V416</f>
        <v/>
      </c>
      <c r="AQ416" s="66">
        <f>AG416*W416</f>
        <v/>
      </c>
      <c r="AR416" s="66">
        <f>AH416*X416</f>
        <v/>
      </c>
      <c r="AS416" s="66">
        <f>AI416*Y416</f>
        <v/>
      </c>
      <c r="AT416" s="66">
        <f>AJ416*Z416</f>
        <v/>
      </c>
      <c r="AU416" s="66">
        <f>AK416*AA416</f>
        <v/>
      </c>
      <c r="AV416" s="66">
        <f>AL416*AB416</f>
        <v/>
      </c>
      <c r="AW416" s="66">
        <f>AM416*AC416</f>
        <v/>
      </c>
      <c r="AX416" s="66">
        <f>AN416*AD416</f>
        <v/>
      </c>
      <c r="AY416" s="66">
        <f>AO416*AE416</f>
        <v/>
      </c>
      <c r="AZ416" s="66">
        <f>'Project Database'!Z420</f>
        <v/>
      </c>
      <c r="BA416" s="66">
        <f>IF(OR(A416="",'Smart Search'!H13=0),"",MAX(0,BE416*BF416*MAX(0,1-BG416)))</f>
        <v/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66">
        <f>IF('Smart Search'!G13=1,IFERROR(1/'Smart Search'!H13,0),0)</f>
        <v/>
      </c>
      <c r="BD416" s="66">
        <f>BB416*BC416</f>
        <v/>
      </c>
      <c r="BE416" s="66">
        <f>AP416+AQ416+AR416+AS416+AT416+AU416+AV416+AW416+AX416+AY416+BD416</f>
        <v/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5">
        <f>IF(AND('Project Database'!A420&lt;&gt;"",OR('Smart Search'!$L$5="",'Smart Search'!$L$5="All",TRIM('Project Database'!D420)=TRIM('Smart Search'!$L$5)),OR(TRIM('Smart Search'!$L$6)="",TRIM('Smart Search'!$L$6)="All",ISNUMBER(SEARCH(SUBSTITUTE(SUBSTITUTE(SUBSTITUTE(TRIM('Smart Search'!$L$6),"~","~~"),"*","~*"),"?","~?"),'Project Database'!C420))),OR('Smart Search'!$L$7="",AND('Project Database'!E420&lt;&gt;"",'Project Database'!E420='Smart Search'!$L$7)),OR('Smart Search'!$L$8="",'Smart Search'!$L$8="All",TRIM('Project Database'!F420)=TRIM('Smart Search'!$L$8))),IF(BA416="","",BA416+ROW()*0.0000000001),"")</f>
        <v/>
      </c>
      <c r="BI416" s="5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>
        <f>IF('Project Database'!A420="","",N('Project Database'!AC420))</f>
        <v/>
      </c>
      <c r="BK416" s="5">
        <f>IF('Project Database'!A420="","",N('Project Database'!AD420))</f>
        <v/>
      </c>
      <c r="BL416" s="5">
        <f>IF('Project Database'!A420="","",N('Project Database'!AE420))</f>
        <v/>
      </c>
      <c r="BM416" s="5">
        <f>IF('Project Database'!A420="","",N('Project Database'!AF420))</f>
        <v/>
      </c>
      <c r="BN416" s="5">
        <f>IF('Project Database'!A420="","",N('Project Database'!AG420))</f>
        <v/>
      </c>
      <c r="BO416" s="5">
        <f>IF('Project Database'!A420="","",N('Project Database'!AH420))</f>
        <v/>
      </c>
      <c r="BP416" s="5">
        <f>IF('Project Database'!A420="","",N('Project Database'!AI420))</f>
        <v/>
      </c>
      <c r="BQ416" s="5">
        <f>IF('Project Database'!A420="","",N('Project Database'!AJ420))</f>
        <v/>
      </c>
      <c r="BR416" s="5">
        <f>IF('Project Database'!A420="","",N('Project Database'!AK420))</f>
        <v/>
      </c>
      <c r="BS416" s="5">
        <f>IF('Project Database'!A420="","",N('Project Database'!AL420))</f>
        <v/>
      </c>
      <c r="BT416" s="5">
        <f>IF('Project Database'!A420="","",N('Project Database'!AM420))</f>
        <v/>
      </c>
      <c r="BU416" s="5">
        <f>IF('Project Database'!A420="","",N('Project Database'!AN420))</f>
        <v/>
      </c>
      <c r="BV416" s="5">
        <f>IF('Project Database'!A420="","",N('Project Database'!AO420))</f>
        <v/>
      </c>
      <c r="BW416" s="5">
        <f>IF('Project Database'!A420="","",N('Project Database'!AP420))</f>
        <v/>
      </c>
      <c r="BX416" s="5">
        <f>IF(A416="","",SUM(BJ416:BW416))</f>
        <v/>
      </c>
      <c r="BY416" s="5">
        <f>IF(A416="","",IFERROR(IF(ISNUMBER(U416),U416,VALUE(SUBSTITUTE(SUBSTITUTE(SUBSTITUTE(UPPER(TRIM(U416)),"M",""),",","")," ",""))),0))</f>
        <v/>
      </c>
    </row>
    <row r="417" ht="15" customHeight="1" s="74">
      <c r="A417" s="66">
        <f>'Project Database'!A421</f>
        <v/>
      </c>
      <c r="B417" s="66">
        <f>'Project Database'!B421</f>
        <v/>
      </c>
      <c r="C417" s="66">
        <f>'Project Database'!G421</f>
        <v/>
      </c>
      <c r="D417" s="66">
        <f>'Project Database'!H421</f>
        <v/>
      </c>
      <c r="E417" s="66">
        <f>'Project Database'!I421</f>
        <v/>
      </c>
      <c r="F417" s="66">
        <f>'Project Database'!J421</f>
        <v/>
      </c>
      <c r="G417" s="66">
        <f>'Project Database'!K421</f>
        <v/>
      </c>
      <c r="H417" s="66">
        <f>'Project Database'!L421</f>
        <v/>
      </c>
      <c r="I417" s="66">
        <f>'Project Database'!M421</f>
        <v/>
      </c>
      <c r="J417" s="66">
        <f>'Project Database'!N421</f>
        <v/>
      </c>
      <c r="K417" s="66">
        <f>'Project Database'!O421</f>
        <v/>
      </c>
      <c r="L417" s="66">
        <f>'Project Database'!P421</f>
        <v/>
      </c>
      <c r="M417" s="66">
        <f>'Project Database'!Q421</f>
        <v/>
      </c>
      <c r="N417" s="66">
        <f>'Project Database'!R421</f>
        <v/>
      </c>
      <c r="O417" s="66">
        <f>'Project Database'!S421</f>
        <v/>
      </c>
      <c r="P417" s="66">
        <f>'Project Database'!T421</f>
        <v/>
      </c>
      <c r="Q417" s="66">
        <f>'Project Database'!U421</f>
        <v/>
      </c>
      <c r="R417" s="66">
        <f>'Project Database'!V421</f>
        <v/>
      </c>
      <c r="S417" s="66">
        <f>'Project Database'!W421</f>
        <v/>
      </c>
      <c r="T417" s="66">
        <f>'Project Database'!X421</f>
        <v/>
      </c>
      <c r="U417" s="67">
        <f>'Project Database'!Y421</f>
        <v/>
      </c>
      <c r="V417" s="66">
        <f>IF('Smart Search'!B13=1,IFERROR(1/'Smart Search'!H13,0),0)</f>
        <v/>
      </c>
      <c r="W417" s="66">
        <f>IF('Smart Search'!B13=1,IFERROR(1/'Smart Search'!H13,0),0)</f>
        <v/>
      </c>
      <c r="X417" s="66">
        <f>IF('Smart Search'!C13=1,IFERROR(1/'Smart Search'!H13,0),0)</f>
        <v/>
      </c>
      <c r="Y417" s="66">
        <f>IF('Smart Search'!C13=1,IFERROR(1/'Smart Search'!H13,0),0)</f>
        <v/>
      </c>
      <c r="Z417" s="66">
        <f>IF('Smart Search'!D13=1,IFERROR(1/'Smart Search'!H13,0),0)</f>
        <v/>
      </c>
      <c r="AA417" s="66">
        <f>IF('Smart Search'!D13=1,IFERROR(1/'Smart Search'!H13,0),0)</f>
        <v/>
      </c>
      <c r="AB417" s="66">
        <f>IF('Smart Search'!E13=1,IFERROR(1/'Smart Search'!H13,0),0)</f>
        <v/>
      </c>
      <c r="AC417" s="66">
        <f>IF('Smart Search'!E13=1,IFERROR(1/'Smart Search'!H13,0),0)</f>
        <v/>
      </c>
      <c r="AD417" s="66">
        <f>IF('Smart Search'!F13=1,IFERROR(1/'Smart Search'!H13,0),0)</f>
        <v/>
      </c>
      <c r="AE417" s="66">
        <f>IF('Smart Search'!F13=1,IFERROR(1/'Smart Search'!H13,0),0)</f>
        <v/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66">
        <f>AF417*V417</f>
        <v/>
      </c>
      <c r="AQ417" s="66">
        <f>AG417*W417</f>
        <v/>
      </c>
      <c r="AR417" s="66">
        <f>AH417*X417</f>
        <v/>
      </c>
      <c r="AS417" s="66">
        <f>AI417*Y417</f>
        <v/>
      </c>
      <c r="AT417" s="66">
        <f>AJ417*Z417</f>
        <v/>
      </c>
      <c r="AU417" s="66">
        <f>AK417*AA417</f>
        <v/>
      </c>
      <c r="AV417" s="66">
        <f>AL417*AB417</f>
        <v/>
      </c>
      <c r="AW417" s="66">
        <f>AM417*AC417</f>
        <v/>
      </c>
      <c r="AX417" s="66">
        <f>AN417*AD417</f>
        <v/>
      </c>
      <c r="AY417" s="66">
        <f>AO417*AE417</f>
        <v/>
      </c>
      <c r="AZ417" s="66">
        <f>'Project Database'!Z421</f>
        <v/>
      </c>
      <c r="BA417" s="66">
        <f>IF(OR(A417="",'Smart Search'!H13=0),"",MAX(0,BE417*BF417*MAX(0,1-BG417)))</f>
        <v/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66">
        <f>IF('Smart Search'!G13=1,IFERROR(1/'Smart Search'!H13,0),0)</f>
        <v/>
      </c>
      <c r="BD417" s="66">
        <f>BB417*BC417</f>
        <v/>
      </c>
      <c r="BE417" s="66">
        <f>AP417+AQ417+AR417+AS417+AT417+AU417+AV417+AW417+AX417+AY417+BD417</f>
        <v/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5">
        <f>IF(AND('Project Database'!A421&lt;&gt;"",OR('Smart Search'!$L$5="",'Smart Search'!$L$5="All",TRIM('Project Database'!D421)=TRIM('Smart Search'!$L$5)),OR(TRIM('Smart Search'!$L$6)="",TRIM('Smart Search'!$L$6)="All",ISNUMBER(SEARCH(SUBSTITUTE(SUBSTITUTE(SUBSTITUTE(TRIM('Smart Search'!$L$6),"~","~~"),"*","~*"),"?","~?"),'Project Database'!C421))),OR('Smart Search'!$L$7="",AND('Project Database'!E421&lt;&gt;"",'Project Database'!E421='Smart Search'!$L$7)),OR('Smart Search'!$L$8="",'Smart Search'!$L$8="All",TRIM('Project Database'!F421)=TRIM('Smart Search'!$L$8))),IF(BA417="","",BA417+ROW()*0.0000000001),"")</f>
        <v/>
      </c>
      <c r="BI417" s="5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>
        <f>IF('Project Database'!A421="","",N('Project Database'!AC421))</f>
        <v/>
      </c>
      <c r="BK417" s="5">
        <f>IF('Project Database'!A421="","",N('Project Database'!AD421))</f>
        <v/>
      </c>
      <c r="BL417" s="5">
        <f>IF('Project Database'!A421="","",N('Project Database'!AE421))</f>
        <v/>
      </c>
      <c r="BM417" s="5">
        <f>IF('Project Database'!A421="","",N('Project Database'!AF421))</f>
        <v/>
      </c>
      <c r="BN417" s="5">
        <f>IF('Project Database'!A421="","",N('Project Database'!AG421))</f>
        <v/>
      </c>
      <c r="BO417" s="5">
        <f>IF('Project Database'!A421="","",N('Project Database'!AH421))</f>
        <v/>
      </c>
      <c r="BP417" s="5">
        <f>IF('Project Database'!A421="","",N('Project Database'!AI421))</f>
        <v/>
      </c>
      <c r="BQ417" s="5">
        <f>IF('Project Database'!A421="","",N('Project Database'!AJ421))</f>
        <v/>
      </c>
      <c r="BR417" s="5">
        <f>IF('Project Database'!A421="","",N('Project Database'!AK421))</f>
        <v/>
      </c>
      <c r="BS417" s="5">
        <f>IF('Project Database'!A421="","",N('Project Database'!AL421))</f>
        <v/>
      </c>
      <c r="BT417" s="5">
        <f>IF('Project Database'!A421="","",N('Project Database'!AM421))</f>
        <v/>
      </c>
      <c r="BU417" s="5">
        <f>IF('Project Database'!A421="","",N('Project Database'!AN421))</f>
        <v/>
      </c>
      <c r="BV417" s="5">
        <f>IF('Project Database'!A421="","",N('Project Database'!AO421))</f>
        <v/>
      </c>
      <c r="BW417" s="5">
        <f>IF('Project Database'!A421="","",N('Project Database'!AP421))</f>
        <v/>
      </c>
      <c r="BX417" s="5">
        <f>IF(A417="","",SUM(BJ417:BW417))</f>
        <v/>
      </c>
      <c r="BY417" s="5">
        <f>IF(A417="","",IFERROR(IF(ISNUMBER(U417),U417,VALUE(SUBSTITUTE(SUBSTITUTE(SUBSTITUTE(UPPER(TRIM(U417)),"M",""),",","")," ",""))),0))</f>
        <v/>
      </c>
    </row>
    <row r="418" ht="15" customHeight="1" s="74">
      <c r="A418" s="66">
        <f>'Project Database'!A422</f>
        <v/>
      </c>
      <c r="B418" s="66">
        <f>'Project Database'!B422</f>
        <v/>
      </c>
      <c r="C418" s="66">
        <f>'Project Database'!G422</f>
        <v/>
      </c>
      <c r="D418" s="66">
        <f>'Project Database'!H422</f>
        <v/>
      </c>
      <c r="E418" s="66">
        <f>'Project Database'!I422</f>
        <v/>
      </c>
      <c r="F418" s="66">
        <f>'Project Database'!J422</f>
        <v/>
      </c>
      <c r="G418" s="66">
        <f>'Project Database'!K422</f>
        <v/>
      </c>
      <c r="H418" s="66">
        <f>'Project Database'!L422</f>
        <v/>
      </c>
      <c r="I418" s="66">
        <f>'Project Database'!M422</f>
        <v/>
      </c>
      <c r="J418" s="66">
        <f>'Project Database'!N422</f>
        <v/>
      </c>
      <c r="K418" s="66">
        <f>'Project Database'!O422</f>
        <v/>
      </c>
      <c r="L418" s="66">
        <f>'Project Database'!P422</f>
        <v/>
      </c>
      <c r="M418" s="66">
        <f>'Project Database'!Q422</f>
        <v/>
      </c>
      <c r="N418" s="66">
        <f>'Project Database'!R422</f>
        <v/>
      </c>
      <c r="O418" s="66">
        <f>'Project Database'!S422</f>
        <v/>
      </c>
      <c r="P418" s="66">
        <f>'Project Database'!T422</f>
        <v/>
      </c>
      <c r="Q418" s="66">
        <f>'Project Database'!U422</f>
        <v/>
      </c>
      <c r="R418" s="66">
        <f>'Project Database'!V422</f>
        <v/>
      </c>
      <c r="S418" s="66">
        <f>'Project Database'!W422</f>
        <v/>
      </c>
      <c r="T418" s="66">
        <f>'Project Database'!X422</f>
        <v/>
      </c>
      <c r="U418" s="67">
        <f>'Project Database'!Y422</f>
        <v/>
      </c>
      <c r="V418" s="66">
        <f>IF('Smart Search'!B13=1,IFERROR(1/'Smart Search'!H13,0),0)</f>
        <v/>
      </c>
      <c r="W418" s="66">
        <f>IF('Smart Search'!B13=1,IFERROR(1/'Smart Search'!H13,0),0)</f>
        <v/>
      </c>
      <c r="X418" s="66">
        <f>IF('Smart Search'!C13=1,IFERROR(1/'Smart Search'!H13,0),0)</f>
        <v/>
      </c>
      <c r="Y418" s="66">
        <f>IF('Smart Search'!C13=1,IFERROR(1/'Smart Search'!H13,0),0)</f>
        <v/>
      </c>
      <c r="Z418" s="66">
        <f>IF('Smart Search'!D13=1,IFERROR(1/'Smart Search'!H13,0),0)</f>
        <v/>
      </c>
      <c r="AA418" s="66">
        <f>IF('Smart Search'!D13=1,IFERROR(1/'Smart Search'!H13,0),0)</f>
        <v/>
      </c>
      <c r="AB418" s="66">
        <f>IF('Smart Search'!E13=1,IFERROR(1/'Smart Search'!H13,0),0)</f>
        <v/>
      </c>
      <c r="AC418" s="66">
        <f>IF('Smart Search'!E13=1,IFERROR(1/'Smart Search'!H13,0),0)</f>
        <v/>
      </c>
      <c r="AD418" s="66">
        <f>IF('Smart Search'!F13=1,IFERROR(1/'Smart Search'!H13,0),0)</f>
        <v/>
      </c>
      <c r="AE418" s="66">
        <f>IF('Smart Search'!F13=1,IFERROR(1/'Smart Search'!H13,0),0)</f>
        <v/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66">
        <f>AF418*V418</f>
        <v/>
      </c>
      <c r="AQ418" s="66">
        <f>AG418*W418</f>
        <v/>
      </c>
      <c r="AR418" s="66">
        <f>AH418*X418</f>
        <v/>
      </c>
      <c r="AS418" s="66">
        <f>AI418*Y418</f>
        <v/>
      </c>
      <c r="AT418" s="66">
        <f>AJ418*Z418</f>
        <v/>
      </c>
      <c r="AU418" s="66">
        <f>AK418*AA418</f>
        <v/>
      </c>
      <c r="AV418" s="66">
        <f>AL418*AB418</f>
        <v/>
      </c>
      <c r="AW418" s="66">
        <f>AM418*AC418</f>
        <v/>
      </c>
      <c r="AX418" s="66">
        <f>AN418*AD418</f>
        <v/>
      </c>
      <c r="AY418" s="66">
        <f>AO418*AE418</f>
        <v/>
      </c>
      <c r="AZ418" s="66">
        <f>'Project Database'!Z422</f>
        <v/>
      </c>
      <c r="BA418" s="66">
        <f>IF(OR(A418="",'Smart Search'!H13=0),"",MAX(0,BE418*BF418*MAX(0,1-BG418)))</f>
        <v/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66">
        <f>IF('Smart Search'!G13=1,IFERROR(1/'Smart Search'!H13,0),0)</f>
        <v/>
      </c>
      <c r="BD418" s="66">
        <f>BB418*BC418</f>
        <v/>
      </c>
      <c r="BE418" s="66">
        <f>AP418+AQ418+AR418+AS418+AT418+AU418+AV418+AW418+AX418+AY418+BD418</f>
        <v/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5">
        <f>IF(AND('Project Database'!A422&lt;&gt;"",OR('Smart Search'!$L$5="",'Smart Search'!$L$5="All",TRIM('Project Database'!D422)=TRIM('Smart Search'!$L$5)),OR(TRIM('Smart Search'!$L$6)="",TRIM('Smart Search'!$L$6)="All",ISNUMBER(SEARCH(SUBSTITUTE(SUBSTITUTE(SUBSTITUTE(TRIM('Smart Search'!$L$6),"~","~~"),"*","~*"),"?","~?"),'Project Database'!C422))),OR('Smart Search'!$L$7="",AND('Project Database'!E422&lt;&gt;"",'Project Database'!E422='Smart Search'!$L$7)),OR('Smart Search'!$L$8="",'Smart Search'!$L$8="All",TRIM('Project Database'!F422)=TRIM('Smart Search'!$L$8))),IF(BA418="","",BA418+ROW()*0.0000000001),"")</f>
        <v/>
      </c>
      <c r="BI418" s="5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>
        <f>IF('Project Database'!A422="","",N('Project Database'!AC422))</f>
        <v/>
      </c>
      <c r="BK418" s="5">
        <f>IF('Project Database'!A422="","",N('Project Database'!AD422))</f>
        <v/>
      </c>
      <c r="BL418" s="5">
        <f>IF('Project Database'!A422="","",N('Project Database'!AE422))</f>
        <v/>
      </c>
      <c r="BM418" s="5">
        <f>IF('Project Database'!A422="","",N('Project Database'!AF422))</f>
        <v/>
      </c>
      <c r="BN418" s="5">
        <f>IF('Project Database'!A422="","",N('Project Database'!AG422))</f>
        <v/>
      </c>
      <c r="BO418" s="5">
        <f>IF('Project Database'!A422="","",N('Project Database'!AH422))</f>
        <v/>
      </c>
      <c r="BP418" s="5">
        <f>IF('Project Database'!A422="","",N('Project Database'!AI422))</f>
        <v/>
      </c>
      <c r="BQ418" s="5">
        <f>IF('Project Database'!A422="","",N('Project Database'!AJ422))</f>
        <v/>
      </c>
      <c r="BR418" s="5">
        <f>IF('Project Database'!A422="","",N('Project Database'!AK422))</f>
        <v/>
      </c>
      <c r="BS418" s="5">
        <f>IF('Project Database'!A422="","",N('Project Database'!AL422))</f>
        <v/>
      </c>
      <c r="BT418" s="5">
        <f>IF('Project Database'!A422="","",N('Project Database'!AM422))</f>
        <v/>
      </c>
      <c r="BU418" s="5">
        <f>IF('Project Database'!A422="","",N('Project Database'!AN422))</f>
        <v/>
      </c>
      <c r="BV418" s="5">
        <f>IF('Project Database'!A422="","",N('Project Database'!AO422))</f>
        <v/>
      </c>
      <c r="BW418" s="5">
        <f>IF('Project Database'!A422="","",N('Project Database'!AP422))</f>
        <v/>
      </c>
      <c r="BX418" s="5">
        <f>IF(A418="","",SUM(BJ418:BW418))</f>
        <v/>
      </c>
      <c r="BY418" s="5">
        <f>IF(A418="","",IFERROR(IF(ISNUMBER(U418),U418,VALUE(SUBSTITUTE(SUBSTITUTE(SUBSTITUTE(UPPER(TRIM(U418)),"M",""),",","")," ",""))),0))</f>
        <v/>
      </c>
    </row>
    <row r="419" ht="15" customHeight="1" s="74">
      <c r="A419" s="66">
        <f>'Project Database'!A423</f>
        <v/>
      </c>
      <c r="B419" s="66">
        <f>'Project Database'!B423</f>
        <v/>
      </c>
      <c r="C419" s="66">
        <f>'Project Database'!G423</f>
        <v/>
      </c>
      <c r="D419" s="66">
        <f>'Project Database'!H423</f>
        <v/>
      </c>
      <c r="E419" s="66">
        <f>'Project Database'!I423</f>
        <v/>
      </c>
      <c r="F419" s="66">
        <f>'Project Database'!J423</f>
        <v/>
      </c>
      <c r="G419" s="66">
        <f>'Project Database'!K423</f>
        <v/>
      </c>
      <c r="H419" s="66">
        <f>'Project Database'!L423</f>
        <v/>
      </c>
      <c r="I419" s="66">
        <f>'Project Database'!M423</f>
        <v/>
      </c>
      <c r="J419" s="66">
        <f>'Project Database'!N423</f>
        <v/>
      </c>
      <c r="K419" s="66">
        <f>'Project Database'!O423</f>
        <v/>
      </c>
      <c r="L419" s="66">
        <f>'Project Database'!P423</f>
        <v/>
      </c>
      <c r="M419" s="66">
        <f>'Project Database'!Q423</f>
        <v/>
      </c>
      <c r="N419" s="66">
        <f>'Project Database'!R423</f>
        <v/>
      </c>
      <c r="O419" s="66">
        <f>'Project Database'!S423</f>
        <v/>
      </c>
      <c r="P419" s="66">
        <f>'Project Database'!T423</f>
        <v/>
      </c>
      <c r="Q419" s="66">
        <f>'Project Database'!U423</f>
        <v/>
      </c>
      <c r="R419" s="66">
        <f>'Project Database'!V423</f>
        <v/>
      </c>
      <c r="S419" s="66">
        <f>'Project Database'!W423</f>
        <v/>
      </c>
      <c r="T419" s="66">
        <f>'Project Database'!X423</f>
        <v/>
      </c>
      <c r="U419" s="67">
        <f>'Project Database'!Y423</f>
        <v/>
      </c>
      <c r="V419" s="66">
        <f>IF('Smart Search'!B13=1,IFERROR(1/'Smart Search'!H13,0),0)</f>
        <v/>
      </c>
      <c r="W419" s="66">
        <f>IF('Smart Search'!B13=1,IFERROR(1/'Smart Search'!H13,0),0)</f>
        <v/>
      </c>
      <c r="X419" s="66">
        <f>IF('Smart Search'!C13=1,IFERROR(1/'Smart Search'!H13,0),0)</f>
        <v/>
      </c>
      <c r="Y419" s="66">
        <f>IF('Smart Search'!C13=1,IFERROR(1/'Smart Search'!H13,0),0)</f>
        <v/>
      </c>
      <c r="Z419" s="66">
        <f>IF('Smart Search'!D13=1,IFERROR(1/'Smart Search'!H13,0),0)</f>
        <v/>
      </c>
      <c r="AA419" s="66">
        <f>IF('Smart Search'!D13=1,IFERROR(1/'Smart Search'!H13,0),0)</f>
        <v/>
      </c>
      <c r="AB419" s="66">
        <f>IF('Smart Search'!E13=1,IFERROR(1/'Smart Search'!H13,0),0)</f>
        <v/>
      </c>
      <c r="AC419" s="66">
        <f>IF('Smart Search'!E13=1,IFERROR(1/'Smart Search'!H13,0),0)</f>
        <v/>
      </c>
      <c r="AD419" s="66">
        <f>IF('Smart Search'!F13=1,IFERROR(1/'Smart Search'!H13,0),0)</f>
        <v/>
      </c>
      <c r="AE419" s="66">
        <f>IF('Smart Search'!F13=1,IFERROR(1/'Smart Search'!H13,0),0)</f>
        <v/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66">
        <f>AF419*V419</f>
        <v/>
      </c>
      <c r="AQ419" s="66">
        <f>AG419*W419</f>
        <v/>
      </c>
      <c r="AR419" s="66">
        <f>AH419*X419</f>
        <v/>
      </c>
      <c r="AS419" s="66">
        <f>AI419*Y419</f>
        <v/>
      </c>
      <c r="AT419" s="66">
        <f>AJ419*Z419</f>
        <v/>
      </c>
      <c r="AU419" s="66">
        <f>AK419*AA419</f>
        <v/>
      </c>
      <c r="AV419" s="66">
        <f>AL419*AB419</f>
        <v/>
      </c>
      <c r="AW419" s="66">
        <f>AM419*AC419</f>
        <v/>
      </c>
      <c r="AX419" s="66">
        <f>AN419*AD419</f>
        <v/>
      </c>
      <c r="AY419" s="66">
        <f>AO419*AE419</f>
        <v/>
      </c>
      <c r="AZ419" s="66">
        <f>'Project Database'!Z423</f>
        <v/>
      </c>
      <c r="BA419" s="66">
        <f>IF(OR(A419="",'Smart Search'!H13=0),"",MAX(0,BE419*BF419*MAX(0,1-BG419)))</f>
        <v/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66">
        <f>IF('Smart Search'!G13=1,IFERROR(1/'Smart Search'!H13,0),0)</f>
        <v/>
      </c>
      <c r="BD419" s="66">
        <f>BB419*BC419</f>
        <v/>
      </c>
      <c r="BE419" s="66">
        <f>AP419+AQ419+AR419+AS419+AT419+AU419+AV419+AW419+AX419+AY419+BD419</f>
        <v/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5">
        <f>IF(AND('Project Database'!A423&lt;&gt;"",OR('Smart Search'!$L$5="",'Smart Search'!$L$5="All",TRIM('Project Database'!D423)=TRIM('Smart Search'!$L$5)),OR(TRIM('Smart Search'!$L$6)="",TRIM('Smart Search'!$L$6)="All",ISNUMBER(SEARCH(SUBSTITUTE(SUBSTITUTE(SUBSTITUTE(TRIM('Smart Search'!$L$6),"~","~~"),"*","~*"),"?","~?"),'Project Database'!C423))),OR('Smart Search'!$L$7="",AND('Project Database'!E423&lt;&gt;"",'Project Database'!E423='Smart Search'!$L$7)),OR('Smart Search'!$L$8="",'Smart Search'!$L$8="All",TRIM('Project Database'!F423)=TRIM('Smart Search'!$L$8))),IF(BA419="","",BA419+ROW()*0.0000000001),"")</f>
        <v/>
      </c>
      <c r="BI419" s="5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>
        <f>IF('Project Database'!A423="","",N('Project Database'!AC423))</f>
        <v/>
      </c>
      <c r="BK419" s="5">
        <f>IF('Project Database'!A423="","",N('Project Database'!AD423))</f>
        <v/>
      </c>
      <c r="BL419" s="5">
        <f>IF('Project Database'!A423="","",N('Project Database'!AE423))</f>
        <v/>
      </c>
      <c r="BM419" s="5">
        <f>IF('Project Database'!A423="","",N('Project Database'!AF423))</f>
        <v/>
      </c>
      <c r="BN419" s="5">
        <f>IF('Project Database'!A423="","",N('Project Database'!AG423))</f>
        <v/>
      </c>
      <c r="BO419" s="5">
        <f>IF('Project Database'!A423="","",N('Project Database'!AH423))</f>
        <v/>
      </c>
      <c r="BP419" s="5">
        <f>IF('Project Database'!A423="","",N('Project Database'!AI423))</f>
        <v/>
      </c>
      <c r="BQ419" s="5">
        <f>IF('Project Database'!A423="","",N('Project Database'!AJ423))</f>
        <v/>
      </c>
      <c r="BR419" s="5">
        <f>IF('Project Database'!A423="","",N('Project Database'!AK423))</f>
        <v/>
      </c>
      <c r="BS419" s="5">
        <f>IF('Project Database'!A423="","",N('Project Database'!AL423))</f>
        <v/>
      </c>
      <c r="BT419" s="5">
        <f>IF('Project Database'!A423="","",N('Project Database'!AM423))</f>
        <v/>
      </c>
      <c r="BU419" s="5">
        <f>IF('Project Database'!A423="","",N('Project Database'!AN423))</f>
        <v/>
      </c>
      <c r="BV419" s="5">
        <f>IF('Project Database'!A423="","",N('Project Database'!AO423))</f>
        <v/>
      </c>
      <c r="BW419" s="5">
        <f>IF('Project Database'!A423="","",N('Project Database'!AP423))</f>
        <v/>
      </c>
      <c r="BX419" s="5">
        <f>IF(A419="","",SUM(BJ419:BW419))</f>
        <v/>
      </c>
      <c r="BY419" s="5">
        <f>IF(A419="","",IFERROR(IF(ISNUMBER(U419),U419,VALUE(SUBSTITUTE(SUBSTITUTE(SUBSTITUTE(UPPER(TRIM(U419)),"M",""),",","")," ",""))),0))</f>
        <v/>
      </c>
    </row>
    <row r="420" ht="15" customHeight="1" s="74">
      <c r="A420" s="66">
        <f>'Project Database'!A424</f>
        <v/>
      </c>
      <c r="B420" s="66">
        <f>'Project Database'!B424</f>
        <v/>
      </c>
      <c r="C420" s="66">
        <f>'Project Database'!G424</f>
        <v/>
      </c>
      <c r="D420" s="66">
        <f>'Project Database'!H424</f>
        <v/>
      </c>
      <c r="E420" s="66">
        <f>'Project Database'!I424</f>
        <v/>
      </c>
      <c r="F420" s="66">
        <f>'Project Database'!J424</f>
        <v/>
      </c>
      <c r="G420" s="66">
        <f>'Project Database'!K424</f>
        <v/>
      </c>
      <c r="H420" s="66">
        <f>'Project Database'!L424</f>
        <v/>
      </c>
      <c r="I420" s="66">
        <f>'Project Database'!M424</f>
        <v/>
      </c>
      <c r="J420" s="66">
        <f>'Project Database'!N424</f>
        <v/>
      </c>
      <c r="K420" s="66">
        <f>'Project Database'!O424</f>
        <v/>
      </c>
      <c r="L420" s="66">
        <f>'Project Database'!P424</f>
        <v/>
      </c>
      <c r="M420" s="66">
        <f>'Project Database'!Q424</f>
        <v/>
      </c>
      <c r="N420" s="66">
        <f>'Project Database'!R424</f>
        <v/>
      </c>
      <c r="O420" s="66">
        <f>'Project Database'!S424</f>
        <v/>
      </c>
      <c r="P420" s="66">
        <f>'Project Database'!T424</f>
        <v/>
      </c>
      <c r="Q420" s="66">
        <f>'Project Database'!U424</f>
        <v/>
      </c>
      <c r="R420" s="66">
        <f>'Project Database'!V424</f>
        <v/>
      </c>
      <c r="S420" s="66">
        <f>'Project Database'!W424</f>
        <v/>
      </c>
      <c r="T420" s="66">
        <f>'Project Database'!X424</f>
        <v/>
      </c>
      <c r="U420" s="67">
        <f>'Project Database'!Y424</f>
        <v/>
      </c>
      <c r="V420" s="66">
        <f>IF('Smart Search'!B13=1,IFERROR(1/'Smart Search'!H13,0),0)</f>
        <v/>
      </c>
      <c r="W420" s="66">
        <f>IF('Smart Search'!B13=1,IFERROR(1/'Smart Search'!H13,0),0)</f>
        <v/>
      </c>
      <c r="X420" s="66">
        <f>IF('Smart Search'!C13=1,IFERROR(1/'Smart Search'!H13,0),0)</f>
        <v/>
      </c>
      <c r="Y420" s="66">
        <f>IF('Smart Search'!C13=1,IFERROR(1/'Smart Search'!H13,0),0)</f>
        <v/>
      </c>
      <c r="Z420" s="66">
        <f>IF('Smart Search'!D13=1,IFERROR(1/'Smart Search'!H13,0),0)</f>
        <v/>
      </c>
      <c r="AA420" s="66">
        <f>IF('Smart Search'!D13=1,IFERROR(1/'Smart Search'!H13,0),0)</f>
        <v/>
      </c>
      <c r="AB420" s="66">
        <f>IF('Smart Search'!E13=1,IFERROR(1/'Smart Search'!H13,0),0)</f>
        <v/>
      </c>
      <c r="AC420" s="66">
        <f>IF('Smart Search'!E13=1,IFERROR(1/'Smart Search'!H13,0),0)</f>
        <v/>
      </c>
      <c r="AD420" s="66">
        <f>IF('Smart Search'!F13=1,IFERROR(1/'Smart Search'!H13,0),0)</f>
        <v/>
      </c>
      <c r="AE420" s="66">
        <f>IF('Smart Search'!F13=1,IFERROR(1/'Smart Search'!H13,0),0)</f>
        <v/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66">
        <f>AF420*V420</f>
        <v/>
      </c>
      <c r="AQ420" s="66">
        <f>AG420*W420</f>
        <v/>
      </c>
      <c r="AR420" s="66">
        <f>AH420*X420</f>
        <v/>
      </c>
      <c r="AS420" s="66">
        <f>AI420*Y420</f>
        <v/>
      </c>
      <c r="AT420" s="66">
        <f>AJ420*Z420</f>
        <v/>
      </c>
      <c r="AU420" s="66">
        <f>AK420*AA420</f>
        <v/>
      </c>
      <c r="AV420" s="66">
        <f>AL420*AB420</f>
        <v/>
      </c>
      <c r="AW420" s="66">
        <f>AM420*AC420</f>
        <v/>
      </c>
      <c r="AX420" s="66">
        <f>AN420*AD420</f>
        <v/>
      </c>
      <c r="AY420" s="66">
        <f>AO420*AE420</f>
        <v/>
      </c>
      <c r="AZ420" s="66">
        <f>'Project Database'!Z424</f>
        <v/>
      </c>
      <c r="BA420" s="66">
        <f>IF(OR(A420="",'Smart Search'!H13=0),"",MAX(0,BE420*BF420*MAX(0,1-BG420)))</f>
        <v/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66">
        <f>IF('Smart Search'!G13=1,IFERROR(1/'Smart Search'!H13,0),0)</f>
        <v/>
      </c>
      <c r="BD420" s="66">
        <f>BB420*BC420</f>
        <v/>
      </c>
      <c r="BE420" s="66">
        <f>AP420+AQ420+AR420+AS420+AT420+AU420+AV420+AW420+AX420+AY420+BD420</f>
        <v/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5">
        <f>IF(AND('Project Database'!A424&lt;&gt;"",OR('Smart Search'!$L$5="",'Smart Search'!$L$5="All",TRIM('Project Database'!D424)=TRIM('Smart Search'!$L$5)),OR(TRIM('Smart Search'!$L$6)="",TRIM('Smart Search'!$L$6)="All",ISNUMBER(SEARCH(SUBSTITUTE(SUBSTITUTE(SUBSTITUTE(TRIM('Smart Search'!$L$6),"~","~~"),"*","~*"),"?","~?"),'Project Database'!C424))),OR('Smart Search'!$L$7="",AND('Project Database'!E424&lt;&gt;"",'Project Database'!E424='Smart Search'!$L$7)),OR('Smart Search'!$L$8="",'Smart Search'!$L$8="All",TRIM('Project Database'!F424)=TRIM('Smart Search'!$L$8))),IF(BA420="","",BA420+ROW()*0.0000000001),"")</f>
        <v/>
      </c>
      <c r="BI420" s="5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>
        <f>IF('Project Database'!A424="","",N('Project Database'!AC424))</f>
        <v/>
      </c>
      <c r="BK420" s="5">
        <f>IF('Project Database'!A424="","",N('Project Database'!AD424))</f>
        <v/>
      </c>
      <c r="BL420" s="5">
        <f>IF('Project Database'!A424="","",N('Project Database'!AE424))</f>
        <v/>
      </c>
      <c r="BM420" s="5">
        <f>IF('Project Database'!A424="","",N('Project Database'!AF424))</f>
        <v/>
      </c>
      <c r="BN420" s="5">
        <f>IF('Project Database'!A424="","",N('Project Database'!AG424))</f>
        <v/>
      </c>
      <c r="BO420" s="5">
        <f>IF('Project Database'!A424="","",N('Project Database'!AH424))</f>
        <v/>
      </c>
      <c r="BP420" s="5">
        <f>IF('Project Database'!A424="","",N('Project Database'!AI424))</f>
        <v/>
      </c>
      <c r="BQ420" s="5">
        <f>IF('Project Database'!A424="","",N('Project Database'!AJ424))</f>
        <v/>
      </c>
      <c r="BR420" s="5">
        <f>IF('Project Database'!A424="","",N('Project Database'!AK424))</f>
        <v/>
      </c>
      <c r="BS420" s="5">
        <f>IF('Project Database'!A424="","",N('Project Database'!AL424))</f>
        <v/>
      </c>
      <c r="BT420" s="5">
        <f>IF('Project Database'!A424="","",N('Project Database'!AM424))</f>
        <v/>
      </c>
      <c r="BU420" s="5">
        <f>IF('Project Database'!A424="","",N('Project Database'!AN424))</f>
        <v/>
      </c>
      <c r="BV420" s="5">
        <f>IF('Project Database'!A424="","",N('Project Database'!AO424))</f>
        <v/>
      </c>
      <c r="BW420" s="5">
        <f>IF('Project Database'!A424="","",N('Project Database'!AP424))</f>
        <v/>
      </c>
      <c r="BX420" s="5">
        <f>IF(A420="","",SUM(BJ420:BW420))</f>
        <v/>
      </c>
      <c r="BY420" s="5">
        <f>IF(A420="","",IFERROR(IF(ISNUMBER(U420),U420,VALUE(SUBSTITUTE(SUBSTITUTE(SUBSTITUTE(UPPER(TRIM(U420)),"M",""),",","")," ",""))),0))</f>
        <v/>
      </c>
    </row>
    <row r="421" ht="15" customHeight="1" s="74">
      <c r="A421" s="66">
        <f>'Project Database'!A425</f>
        <v/>
      </c>
      <c r="B421" s="66">
        <f>'Project Database'!B425</f>
        <v/>
      </c>
      <c r="C421" s="66">
        <f>'Project Database'!G425</f>
        <v/>
      </c>
      <c r="D421" s="66">
        <f>'Project Database'!H425</f>
        <v/>
      </c>
      <c r="E421" s="66">
        <f>'Project Database'!I425</f>
        <v/>
      </c>
      <c r="F421" s="66">
        <f>'Project Database'!J425</f>
        <v/>
      </c>
      <c r="G421" s="66">
        <f>'Project Database'!K425</f>
        <v/>
      </c>
      <c r="H421" s="66">
        <f>'Project Database'!L425</f>
        <v/>
      </c>
      <c r="I421" s="66">
        <f>'Project Database'!M425</f>
        <v/>
      </c>
      <c r="J421" s="66">
        <f>'Project Database'!N425</f>
        <v/>
      </c>
      <c r="K421" s="66">
        <f>'Project Database'!O425</f>
        <v/>
      </c>
      <c r="L421" s="66">
        <f>'Project Database'!P425</f>
        <v/>
      </c>
      <c r="M421" s="66">
        <f>'Project Database'!Q425</f>
        <v/>
      </c>
      <c r="N421" s="66">
        <f>'Project Database'!R425</f>
        <v/>
      </c>
      <c r="O421" s="66">
        <f>'Project Database'!S425</f>
        <v/>
      </c>
      <c r="P421" s="66">
        <f>'Project Database'!T425</f>
        <v/>
      </c>
      <c r="Q421" s="66">
        <f>'Project Database'!U425</f>
        <v/>
      </c>
      <c r="R421" s="66">
        <f>'Project Database'!V425</f>
        <v/>
      </c>
      <c r="S421" s="66">
        <f>'Project Database'!W425</f>
        <v/>
      </c>
      <c r="T421" s="66">
        <f>'Project Database'!X425</f>
        <v/>
      </c>
      <c r="U421" s="67">
        <f>'Project Database'!Y425</f>
        <v/>
      </c>
      <c r="V421" s="66">
        <f>IF('Smart Search'!B13=1,IFERROR(1/'Smart Search'!H13,0),0)</f>
        <v/>
      </c>
      <c r="W421" s="66">
        <f>IF('Smart Search'!B13=1,IFERROR(1/'Smart Search'!H13,0),0)</f>
        <v/>
      </c>
      <c r="X421" s="66">
        <f>IF('Smart Search'!C13=1,IFERROR(1/'Smart Search'!H13,0),0)</f>
        <v/>
      </c>
      <c r="Y421" s="66">
        <f>IF('Smart Search'!C13=1,IFERROR(1/'Smart Search'!H13,0),0)</f>
        <v/>
      </c>
      <c r="Z421" s="66">
        <f>IF('Smart Search'!D13=1,IFERROR(1/'Smart Search'!H13,0),0)</f>
        <v/>
      </c>
      <c r="AA421" s="66">
        <f>IF('Smart Search'!D13=1,IFERROR(1/'Smart Search'!H13,0),0)</f>
        <v/>
      </c>
      <c r="AB421" s="66">
        <f>IF('Smart Search'!E13=1,IFERROR(1/'Smart Search'!H13,0),0)</f>
        <v/>
      </c>
      <c r="AC421" s="66">
        <f>IF('Smart Search'!E13=1,IFERROR(1/'Smart Search'!H13,0),0)</f>
        <v/>
      </c>
      <c r="AD421" s="66">
        <f>IF('Smart Search'!F13=1,IFERROR(1/'Smart Search'!H13,0),0)</f>
        <v/>
      </c>
      <c r="AE421" s="66">
        <f>IF('Smart Search'!F13=1,IFERROR(1/'Smart Search'!H13,0),0)</f>
        <v/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66">
        <f>AF421*V421</f>
        <v/>
      </c>
      <c r="AQ421" s="66">
        <f>AG421*W421</f>
        <v/>
      </c>
      <c r="AR421" s="66">
        <f>AH421*X421</f>
        <v/>
      </c>
      <c r="AS421" s="66">
        <f>AI421*Y421</f>
        <v/>
      </c>
      <c r="AT421" s="66">
        <f>AJ421*Z421</f>
        <v/>
      </c>
      <c r="AU421" s="66">
        <f>AK421*AA421</f>
        <v/>
      </c>
      <c r="AV421" s="66">
        <f>AL421*AB421</f>
        <v/>
      </c>
      <c r="AW421" s="66">
        <f>AM421*AC421</f>
        <v/>
      </c>
      <c r="AX421" s="66">
        <f>AN421*AD421</f>
        <v/>
      </c>
      <c r="AY421" s="66">
        <f>AO421*AE421</f>
        <v/>
      </c>
      <c r="AZ421" s="66">
        <f>'Project Database'!Z425</f>
        <v/>
      </c>
      <c r="BA421" s="66">
        <f>IF(OR(A421="",'Smart Search'!H13=0),"",MAX(0,BE421*BF421*MAX(0,1-BG421)))</f>
        <v/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66">
        <f>IF('Smart Search'!G13=1,IFERROR(1/'Smart Search'!H13,0),0)</f>
        <v/>
      </c>
      <c r="BD421" s="66">
        <f>BB421*BC421</f>
        <v/>
      </c>
      <c r="BE421" s="66">
        <f>AP421+AQ421+AR421+AS421+AT421+AU421+AV421+AW421+AX421+AY421+BD421</f>
        <v/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5">
        <f>IF(AND('Project Database'!A425&lt;&gt;"",OR('Smart Search'!$L$5="",'Smart Search'!$L$5="All",TRIM('Project Database'!D425)=TRIM('Smart Search'!$L$5)),OR(TRIM('Smart Search'!$L$6)="",TRIM('Smart Search'!$L$6)="All",ISNUMBER(SEARCH(SUBSTITUTE(SUBSTITUTE(SUBSTITUTE(TRIM('Smart Search'!$L$6),"~","~~"),"*","~*"),"?","~?"),'Project Database'!C425))),OR('Smart Search'!$L$7="",AND('Project Database'!E425&lt;&gt;"",'Project Database'!E425='Smart Search'!$L$7)),OR('Smart Search'!$L$8="",'Smart Search'!$L$8="All",TRIM('Project Database'!F425)=TRIM('Smart Search'!$L$8))),IF(BA421="","",BA421+ROW()*0.0000000001),"")</f>
        <v/>
      </c>
      <c r="BI421" s="5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>
        <f>IF('Project Database'!A425="","",N('Project Database'!AC425))</f>
        <v/>
      </c>
      <c r="BK421" s="5">
        <f>IF('Project Database'!A425="","",N('Project Database'!AD425))</f>
        <v/>
      </c>
      <c r="BL421" s="5">
        <f>IF('Project Database'!A425="","",N('Project Database'!AE425))</f>
        <v/>
      </c>
      <c r="BM421" s="5">
        <f>IF('Project Database'!A425="","",N('Project Database'!AF425))</f>
        <v/>
      </c>
      <c r="BN421" s="5">
        <f>IF('Project Database'!A425="","",N('Project Database'!AG425))</f>
        <v/>
      </c>
      <c r="BO421" s="5">
        <f>IF('Project Database'!A425="","",N('Project Database'!AH425))</f>
        <v/>
      </c>
      <c r="BP421" s="5">
        <f>IF('Project Database'!A425="","",N('Project Database'!AI425))</f>
        <v/>
      </c>
      <c r="BQ421" s="5">
        <f>IF('Project Database'!A425="","",N('Project Database'!AJ425))</f>
        <v/>
      </c>
      <c r="BR421" s="5">
        <f>IF('Project Database'!A425="","",N('Project Database'!AK425))</f>
        <v/>
      </c>
      <c r="BS421" s="5">
        <f>IF('Project Database'!A425="","",N('Project Database'!AL425))</f>
        <v/>
      </c>
      <c r="BT421" s="5">
        <f>IF('Project Database'!A425="","",N('Project Database'!AM425))</f>
        <v/>
      </c>
      <c r="BU421" s="5">
        <f>IF('Project Database'!A425="","",N('Project Database'!AN425))</f>
        <v/>
      </c>
      <c r="BV421" s="5">
        <f>IF('Project Database'!A425="","",N('Project Database'!AO425))</f>
        <v/>
      </c>
      <c r="BW421" s="5">
        <f>IF('Project Database'!A425="","",N('Project Database'!AP425))</f>
        <v/>
      </c>
      <c r="BX421" s="5">
        <f>IF(A421="","",SUM(BJ421:BW421))</f>
        <v/>
      </c>
      <c r="BY421" s="5">
        <f>IF(A421="","",IFERROR(IF(ISNUMBER(U421),U421,VALUE(SUBSTITUTE(SUBSTITUTE(SUBSTITUTE(UPPER(TRIM(U421)),"M",""),",","")," ",""))),0))</f>
        <v/>
      </c>
    </row>
    <row r="422" ht="15" customHeight="1" s="74">
      <c r="A422" s="66">
        <f>'Project Database'!A426</f>
        <v/>
      </c>
      <c r="B422" s="66">
        <f>'Project Database'!B426</f>
        <v/>
      </c>
      <c r="C422" s="66">
        <f>'Project Database'!G426</f>
        <v/>
      </c>
      <c r="D422" s="66">
        <f>'Project Database'!H426</f>
        <v/>
      </c>
      <c r="E422" s="66">
        <f>'Project Database'!I426</f>
        <v/>
      </c>
      <c r="F422" s="66">
        <f>'Project Database'!J426</f>
        <v/>
      </c>
      <c r="G422" s="66">
        <f>'Project Database'!K426</f>
        <v/>
      </c>
      <c r="H422" s="66">
        <f>'Project Database'!L426</f>
        <v/>
      </c>
      <c r="I422" s="66">
        <f>'Project Database'!M426</f>
        <v/>
      </c>
      <c r="J422" s="66">
        <f>'Project Database'!N426</f>
        <v/>
      </c>
      <c r="K422" s="66">
        <f>'Project Database'!O426</f>
        <v/>
      </c>
      <c r="L422" s="66">
        <f>'Project Database'!P426</f>
        <v/>
      </c>
      <c r="M422" s="66">
        <f>'Project Database'!Q426</f>
        <v/>
      </c>
      <c r="N422" s="66">
        <f>'Project Database'!R426</f>
        <v/>
      </c>
      <c r="O422" s="66">
        <f>'Project Database'!S426</f>
        <v/>
      </c>
      <c r="P422" s="66">
        <f>'Project Database'!T426</f>
        <v/>
      </c>
      <c r="Q422" s="66">
        <f>'Project Database'!U426</f>
        <v/>
      </c>
      <c r="R422" s="66">
        <f>'Project Database'!V426</f>
        <v/>
      </c>
      <c r="S422" s="66">
        <f>'Project Database'!W426</f>
        <v/>
      </c>
      <c r="T422" s="66">
        <f>'Project Database'!X426</f>
        <v/>
      </c>
      <c r="U422" s="67">
        <f>'Project Database'!Y426</f>
        <v/>
      </c>
      <c r="V422" s="66">
        <f>IF('Smart Search'!B13=1,IFERROR(1/'Smart Search'!H13,0),0)</f>
        <v/>
      </c>
      <c r="W422" s="66">
        <f>IF('Smart Search'!B13=1,IFERROR(1/'Smart Search'!H13,0),0)</f>
        <v/>
      </c>
      <c r="X422" s="66">
        <f>IF('Smart Search'!C13=1,IFERROR(1/'Smart Search'!H13,0),0)</f>
        <v/>
      </c>
      <c r="Y422" s="66">
        <f>IF('Smart Search'!C13=1,IFERROR(1/'Smart Search'!H13,0),0)</f>
        <v/>
      </c>
      <c r="Z422" s="66">
        <f>IF('Smart Search'!D13=1,IFERROR(1/'Smart Search'!H13,0),0)</f>
        <v/>
      </c>
      <c r="AA422" s="66">
        <f>IF('Smart Search'!D13=1,IFERROR(1/'Smart Search'!H13,0),0)</f>
        <v/>
      </c>
      <c r="AB422" s="66">
        <f>IF('Smart Search'!E13=1,IFERROR(1/'Smart Search'!H13,0),0)</f>
        <v/>
      </c>
      <c r="AC422" s="66">
        <f>IF('Smart Search'!E13=1,IFERROR(1/'Smart Search'!H13,0),0)</f>
        <v/>
      </c>
      <c r="AD422" s="66">
        <f>IF('Smart Search'!F13=1,IFERROR(1/'Smart Search'!H13,0),0)</f>
        <v/>
      </c>
      <c r="AE422" s="66">
        <f>IF('Smart Search'!F13=1,IFERROR(1/'Smart Search'!H13,0),0)</f>
        <v/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66">
        <f>AF422*V422</f>
        <v/>
      </c>
      <c r="AQ422" s="66">
        <f>AG422*W422</f>
        <v/>
      </c>
      <c r="AR422" s="66">
        <f>AH422*X422</f>
        <v/>
      </c>
      <c r="AS422" s="66">
        <f>AI422*Y422</f>
        <v/>
      </c>
      <c r="AT422" s="66">
        <f>AJ422*Z422</f>
        <v/>
      </c>
      <c r="AU422" s="66">
        <f>AK422*AA422</f>
        <v/>
      </c>
      <c r="AV422" s="66">
        <f>AL422*AB422</f>
        <v/>
      </c>
      <c r="AW422" s="66">
        <f>AM422*AC422</f>
        <v/>
      </c>
      <c r="AX422" s="66">
        <f>AN422*AD422</f>
        <v/>
      </c>
      <c r="AY422" s="66">
        <f>AO422*AE422</f>
        <v/>
      </c>
      <c r="AZ422" s="66">
        <f>'Project Database'!Z426</f>
        <v/>
      </c>
      <c r="BA422" s="66">
        <f>IF(OR(A422="",'Smart Search'!H13=0),"",MAX(0,BE422*BF422*MAX(0,1-BG422)))</f>
        <v/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66">
        <f>IF('Smart Search'!G13=1,IFERROR(1/'Smart Search'!H13,0),0)</f>
        <v/>
      </c>
      <c r="BD422" s="66">
        <f>BB422*BC422</f>
        <v/>
      </c>
      <c r="BE422" s="66">
        <f>AP422+AQ422+AR422+AS422+AT422+AU422+AV422+AW422+AX422+AY422+BD422</f>
        <v/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5">
        <f>IF(AND('Project Database'!A426&lt;&gt;"",OR('Smart Search'!$L$5="",'Smart Search'!$L$5="All",TRIM('Project Database'!D426)=TRIM('Smart Search'!$L$5)),OR(TRIM('Smart Search'!$L$6)="",TRIM('Smart Search'!$L$6)="All",ISNUMBER(SEARCH(SUBSTITUTE(SUBSTITUTE(SUBSTITUTE(TRIM('Smart Search'!$L$6),"~","~~"),"*","~*"),"?","~?"),'Project Database'!C426))),OR('Smart Search'!$L$7="",AND('Project Database'!E426&lt;&gt;"",'Project Database'!E426='Smart Search'!$L$7)),OR('Smart Search'!$L$8="",'Smart Search'!$L$8="All",TRIM('Project Database'!F426)=TRIM('Smart Search'!$L$8))),IF(BA422="","",BA422+ROW()*0.0000000001),"")</f>
        <v/>
      </c>
      <c r="BI422" s="5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>
        <f>IF('Project Database'!A426="","",N('Project Database'!AC426))</f>
        <v/>
      </c>
      <c r="BK422" s="5">
        <f>IF('Project Database'!A426="","",N('Project Database'!AD426))</f>
        <v/>
      </c>
      <c r="BL422" s="5">
        <f>IF('Project Database'!A426="","",N('Project Database'!AE426))</f>
        <v/>
      </c>
      <c r="BM422" s="5">
        <f>IF('Project Database'!A426="","",N('Project Database'!AF426))</f>
        <v/>
      </c>
      <c r="BN422" s="5">
        <f>IF('Project Database'!A426="","",N('Project Database'!AG426))</f>
        <v/>
      </c>
      <c r="BO422" s="5">
        <f>IF('Project Database'!A426="","",N('Project Database'!AH426))</f>
        <v/>
      </c>
      <c r="BP422" s="5">
        <f>IF('Project Database'!A426="","",N('Project Database'!AI426))</f>
        <v/>
      </c>
      <c r="BQ422" s="5">
        <f>IF('Project Database'!A426="","",N('Project Database'!AJ426))</f>
        <v/>
      </c>
      <c r="BR422" s="5">
        <f>IF('Project Database'!A426="","",N('Project Database'!AK426))</f>
        <v/>
      </c>
      <c r="BS422" s="5">
        <f>IF('Project Database'!A426="","",N('Project Database'!AL426))</f>
        <v/>
      </c>
      <c r="BT422" s="5">
        <f>IF('Project Database'!A426="","",N('Project Database'!AM426))</f>
        <v/>
      </c>
      <c r="BU422" s="5">
        <f>IF('Project Database'!A426="","",N('Project Database'!AN426))</f>
        <v/>
      </c>
      <c r="BV422" s="5">
        <f>IF('Project Database'!A426="","",N('Project Database'!AO426))</f>
        <v/>
      </c>
      <c r="BW422" s="5">
        <f>IF('Project Database'!A426="","",N('Project Database'!AP426))</f>
        <v/>
      </c>
      <c r="BX422" s="5">
        <f>IF(A422="","",SUM(BJ422:BW422))</f>
        <v/>
      </c>
      <c r="BY422" s="5">
        <f>IF(A422="","",IFERROR(IF(ISNUMBER(U422),U422,VALUE(SUBSTITUTE(SUBSTITUTE(SUBSTITUTE(UPPER(TRIM(U422)),"M",""),",","")," ",""))),0))</f>
        <v/>
      </c>
    </row>
    <row r="423" ht="15" customHeight="1" s="74">
      <c r="A423" s="66">
        <f>'Project Database'!A427</f>
        <v/>
      </c>
      <c r="B423" s="66">
        <f>'Project Database'!B427</f>
        <v/>
      </c>
      <c r="C423" s="66">
        <f>'Project Database'!G427</f>
        <v/>
      </c>
      <c r="D423" s="66">
        <f>'Project Database'!H427</f>
        <v/>
      </c>
      <c r="E423" s="66">
        <f>'Project Database'!I427</f>
        <v/>
      </c>
      <c r="F423" s="66">
        <f>'Project Database'!J427</f>
        <v/>
      </c>
      <c r="G423" s="66">
        <f>'Project Database'!K427</f>
        <v/>
      </c>
      <c r="H423" s="66">
        <f>'Project Database'!L427</f>
        <v/>
      </c>
      <c r="I423" s="66">
        <f>'Project Database'!M427</f>
        <v/>
      </c>
      <c r="J423" s="66">
        <f>'Project Database'!N427</f>
        <v/>
      </c>
      <c r="K423" s="66">
        <f>'Project Database'!O427</f>
        <v/>
      </c>
      <c r="L423" s="66">
        <f>'Project Database'!P427</f>
        <v/>
      </c>
      <c r="M423" s="66">
        <f>'Project Database'!Q427</f>
        <v/>
      </c>
      <c r="N423" s="66">
        <f>'Project Database'!R427</f>
        <v/>
      </c>
      <c r="O423" s="66">
        <f>'Project Database'!S427</f>
        <v/>
      </c>
      <c r="P423" s="66">
        <f>'Project Database'!T427</f>
        <v/>
      </c>
      <c r="Q423" s="66">
        <f>'Project Database'!U427</f>
        <v/>
      </c>
      <c r="R423" s="66">
        <f>'Project Database'!V427</f>
        <v/>
      </c>
      <c r="S423" s="66">
        <f>'Project Database'!W427</f>
        <v/>
      </c>
      <c r="T423" s="66">
        <f>'Project Database'!X427</f>
        <v/>
      </c>
      <c r="U423" s="67">
        <f>'Project Database'!Y427</f>
        <v/>
      </c>
      <c r="V423" s="66">
        <f>IF('Smart Search'!B13=1,IFERROR(1/'Smart Search'!H13,0),0)</f>
        <v/>
      </c>
      <c r="W423" s="66">
        <f>IF('Smart Search'!B13=1,IFERROR(1/'Smart Search'!H13,0),0)</f>
        <v/>
      </c>
      <c r="X423" s="66">
        <f>IF('Smart Search'!C13=1,IFERROR(1/'Smart Search'!H13,0),0)</f>
        <v/>
      </c>
      <c r="Y423" s="66">
        <f>IF('Smart Search'!C13=1,IFERROR(1/'Smart Search'!H13,0),0)</f>
        <v/>
      </c>
      <c r="Z423" s="66">
        <f>IF('Smart Search'!D13=1,IFERROR(1/'Smart Search'!H13,0),0)</f>
        <v/>
      </c>
      <c r="AA423" s="66">
        <f>IF('Smart Search'!D13=1,IFERROR(1/'Smart Search'!H13,0),0)</f>
        <v/>
      </c>
      <c r="AB423" s="66">
        <f>IF('Smart Search'!E13=1,IFERROR(1/'Smart Search'!H13,0),0)</f>
        <v/>
      </c>
      <c r="AC423" s="66">
        <f>IF('Smart Search'!E13=1,IFERROR(1/'Smart Search'!H13,0),0)</f>
        <v/>
      </c>
      <c r="AD423" s="66">
        <f>IF('Smart Search'!F13=1,IFERROR(1/'Smart Search'!H13,0),0)</f>
        <v/>
      </c>
      <c r="AE423" s="66">
        <f>IF('Smart Search'!F13=1,IFERROR(1/'Smart Search'!H13,0),0)</f>
        <v/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66">
        <f>AF423*V423</f>
        <v/>
      </c>
      <c r="AQ423" s="66">
        <f>AG423*W423</f>
        <v/>
      </c>
      <c r="AR423" s="66">
        <f>AH423*X423</f>
        <v/>
      </c>
      <c r="AS423" s="66">
        <f>AI423*Y423</f>
        <v/>
      </c>
      <c r="AT423" s="66">
        <f>AJ423*Z423</f>
        <v/>
      </c>
      <c r="AU423" s="66">
        <f>AK423*AA423</f>
        <v/>
      </c>
      <c r="AV423" s="66">
        <f>AL423*AB423</f>
        <v/>
      </c>
      <c r="AW423" s="66">
        <f>AM423*AC423</f>
        <v/>
      </c>
      <c r="AX423" s="66">
        <f>AN423*AD423</f>
        <v/>
      </c>
      <c r="AY423" s="66">
        <f>AO423*AE423</f>
        <v/>
      </c>
      <c r="AZ423" s="66">
        <f>'Project Database'!Z427</f>
        <v/>
      </c>
      <c r="BA423" s="66">
        <f>IF(OR(A423="",'Smart Search'!H13=0),"",MAX(0,BE423*BF423*MAX(0,1-BG423)))</f>
        <v/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66">
        <f>IF('Smart Search'!G13=1,IFERROR(1/'Smart Search'!H13,0),0)</f>
        <v/>
      </c>
      <c r="BD423" s="66">
        <f>BB423*BC423</f>
        <v/>
      </c>
      <c r="BE423" s="66">
        <f>AP423+AQ423+AR423+AS423+AT423+AU423+AV423+AW423+AX423+AY423+BD423</f>
        <v/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5">
        <f>IF(AND('Project Database'!A427&lt;&gt;"",OR('Smart Search'!$L$5="",'Smart Search'!$L$5="All",TRIM('Project Database'!D427)=TRIM('Smart Search'!$L$5)),OR(TRIM('Smart Search'!$L$6)="",TRIM('Smart Search'!$L$6)="All",ISNUMBER(SEARCH(SUBSTITUTE(SUBSTITUTE(SUBSTITUTE(TRIM('Smart Search'!$L$6),"~","~~"),"*","~*"),"?","~?"),'Project Database'!C427))),OR('Smart Search'!$L$7="",AND('Project Database'!E427&lt;&gt;"",'Project Database'!E427='Smart Search'!$L$7)),OR('Smart Search'!$L$8="",'Smart Search'!$L$8="All",TRIM('Project Database'!F427)=TRIM('Smart Search'!$L$8))),IF(BA423="","",BA423+ROW()*0.0000000001),"")</f>
        <v/>
      </c>
      <c r="BI423" s="5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>
        <f>IF('Project Database'!A427="","",N('Project Database'!AC427))</f>
        <v/>
      </c>
      <c r="BK423" s="5">
        <f>IF('Project Database'!A427="","",N('Project Database'!AD427))</f>
        <v/>
      </c>
      <c r="BL423" s="5">
        <f>IF('Project Database'!A427="","",N('Project Database'!AE427))</f>
        <v/>
      </c>
      <c r="BM423" s="5">
        <f>IF('Project Database'!A427="","",N('Project Database'!AF427))</f>
        <v/>
      </c>
      <c r="BN423" s="5">
        <f>IF('Project Database'!A427="","",N('Project Database'!AG427))</f>
        <v/>
      </c>
      <c r="BO423" s="5">
        <f>IF('Project Database'!A427="","",N('Project Database'!AH427))</f>
        <v/>
      </c>
      <c r="BP423" s="5">
        <f>IF('Project Database'!A427="","",N('Project Database'!AI427))</f>
        <v/>
      </c>
      <c r="BQ423" s="5">
        <f>IF('Project Database'!A427="","",N('Project Database'!AJ427))</f>
        <v/>
      </c>
      <c r="BR423" s="5">
        <f>IF('Project Database'!A427="","",N('Project Database'!AK427))</f>
        <v/>
      </c>
      <c r="BS423" s="5">
        <f>IF('Project Database'!A427="","",N('Project Database'!AL427))</f>
        <v/>
      </c>
      <c r="BT423" s="5">
        <f>IF('Project Database'!A427="","",N('Project Database'!AM427))</f>
        <v/>
      </c>
      <c r="BU423" s="5">
        <f>IF('Project Database'!A427="","",N('Project Database'!AN427))</f>
        <v/>
      </c>
      <c r="BV423" s="5">
        <f>IF('Project Database'!A427="","",N('Project Database'!AO427))</f>
        <v/>
      </c>
      <c r="BW423" s="5">
        <f>IF('Project Database'!A427="","",N('Project Database'!AP427))</f>
        <v/>
      </c>
      <c r="BX423" s="5">
        <f>IF(A423="","",SUM(BJ423:BW423))</f>
        <v/>
      </c>
      <c r="BY423" s="5">
        <f>IF(A423="","",IFERROR(IF(ISNUMBER(U423),U423,VALUE(SUBSTITUTE(SUBSTITUTE(SUBSTITUTE(UPPER(TRIM(U423)),"M",""),",","")," ",""))),0))</f>
        <v/>
      </c>
    </row>
    <row r="424" ht="15" customHeight="1" s="74">
      <c r="A424" s="66">
        <f>'Project Database'!A428</f>
        <v/>
      </c>
      <c r="B424" s="66">
        <f>'Project Database'!B428</f>
        <v/>
      </c>
      <c r="C424" s="66">
        <f>'Project Database'!G428</f>
        <v/>
      </c>
      <c r="D424" s="66">
        <f>'Project Database'!H428</f>
        <v/>
      </c>
      <c r="E424" s="66">
        <f>'Project Database'!I428</f>
        <v/>
      </c>
      <c r="F424" s="66">
        <f>'Project Database'!J428</f>
        <v/>
      </c>
      <c r="G424" s="66">
        <f>'Project Database'!K428</f>
        <v/>
      </c>
      <c r="H424" s="66">
        <f>'Project Database'!L428</f>
        <v/>
      </c>
      <c r="I424" s="66">
        <f>'Project Database'!M428</f>
        <v/>
      </c>
      <c r="J424" s="66">
        <f>'Project Database'!N428</f>
        <v/>
      </c>
      <c r="K424" s="66">
        <f>'Project Database'!O428</f>
        <v/>
      </c>
      <c r="L424" s="66">
        <f>'Project Database'!P428</f>
        <v/>
      </c>
      <c r="M424" s="66">
        <f>'Project Database'!Q428</f>
        <v/>
      </c>
      <c r="N424" s="66">
        <f>'Project Database'!R428</f>
        <v/>
      </c>
      <c r="O424" s="66">
        <f>'Project Database'!S428</f>
        <v/>
      </c>
      <c r="P424" s="66">
        <f>'Project Database'!T428</f>
        <v/>
      </c>
      <c r="Q424" s="66">
        <f>'Project Database'!U428</f>
        <v/>
      </c>
      <c r="R424" s="66">
        <f>'Project Database'!V428</f>
        <v/>
      </c>
      <c r="S424" s="66">
        <f>'Project Database'!W428</f>
        <v/>
      </c>
      <c r="T424" s="66">
        <f>'Project Database'!X428</f>
        <v/>
      </c>
      <c r="U424" s="67">
        <f>'Project Database'!Y428</f>
        <v/>
      </c>
      <c r="V424" s="66">
        <f>IF('Smart Search'!B13=1,IFERROR(1/'Smart Search'!H13,0),0)</f>
        <v/>
      </c>
      <c r="W424" s="66">
        <f>IF('Smart Search'!B13=1,IFERROR(1/'Smart Search'!H13,0),0)</f>
        <v/>
      </c>
      <c r="X424" s="66">
        <f>IF('Smart Search'!C13=1,IFERROR(1/'Smart Search'!H13,0),0)</f>
        <v/>
      </c>
      <c r="Y424" s="66">
        <f>IF('Smart Search'!C13=1,IFERROR(1/'Smart Search'!H13,0),0)</f>
        <v/>
      </c>
      <c r="Z424" s="66">
        <f>IF('Smart Search'!D13=1,IFERROR(1/'Smart Search'!H13,0),0)</f>
        <v/>
      </c>
      <c r="AA424" s="66">
        <f>IF('Smart Search'!D13=1,IFERROR(1/'Smart Search'!H13,0),0)</f>
        <v/>
      </c>
      <c r="AB424" s="66">
        <f>IF('Smart Search'!E13=1,IFERROR(1/'Smart Search'!H13,0),0)</f>
        <v/>
      </c>
      <c r="AC424" s="66">
        <f>IF('Smart Search'!E13=1,IFERROR(1/'Smart Search'!H13,0),0)</f>
        <v/>
      </c>
      <c r="AD424" s="66">
        <f>IF('Smart Search'!F13=1,IFERROR(1/'Smart Search'!H13,0),0)</f>
        <v/>
      </c>
      <c r="AE424" s="66">
        <f>IF('Smart Search'!F13=1,IFERROR(1/'Smart Search'!H13,0),0)</f>
        <v/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66">
        <f>AF424*V424</f>
        <v/>
      </c>
      <c r="AQ424" s="66">
        <f>AG424*W424</f>
        <v/>
      </c>
      <c r="AR424" s="66">
        <f>AH424*X424</f>
        <v/>
      </c>
      <c r="AS424" s="66">
        <f>AI424*Y424</f>
        <v/>
      </c>
      <c r="AT424" s="66">
        <f>AJ424*Z424</f>
        <v/>
      </c>
      <c r="AU424" s="66">
        <f>AK424*AA424</f>
        <v/>
      </c>
      <c r="AV424" s="66">
        <f>AL424*AB424</f>
        <v/>
      </c>
      <c r="AW424" s="66">
        <f>AM424*AC424</f>
        <v/>
      </c>
      <c r="AX424" s="66">
        <f>AN424*AD424</f>
        <v/>
      </c>
      <c r="AY424" s="66">
        <f>AO424*AE424</f>
        <v/>
      </c>
      <c r="AZ424" s="66">
        <f>'Project Database'!Z428</f>
        <v/>
      </c>
      <c r="BA424" s="66">
        <f>IF(OR(A424="",'Smart Search'!H13=0),"",MAX(0,BE424*BF424*MAX(0,1-BG424)))</f>
        <v/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66">
        <f>IF('Smart Search'!G13=1,IFERROR(1/'Smart Search'!H13,0),0)</f>
        <v/>
      </c>
      <c r="BD424" s="66">
        <f>BB424*BC424</f>
        <v/>
      </c>
      <c r="BE424" s="66">
        <f>AP424+AQ424+AR424+AS424+AT424+AU424+AV424+AW424+AX424+AY424+BD424</f>
        <v/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5">
        <f>IF(AND('Project Database'!A428&lt;&gt;"",OR('Smart Search'!$L$5="",'Smart Search'!$L$5="All",TRIM('Project Database'!D428)=TRIM('Smart Search'!$L$5)),OR(TRIM('Smart Search'!$L$6)="",TRIM('Smart Search'!$L$6)="All",ISNUMBER(SEARCH(SUBSTITUTE(SUBSTITUTE(SUBSTITUTE(TRIM('Smart Search'!$L$6),"~","~~"),"*","~*"),"?","~?"),'Project Database'!C428))),OR('Smart Search'!$L$7="",AND('Project Database'!E428&lt;&gt;"",'Project Database'!E428='Smart Search'!$L$7)),OR('Smart Search'!$L$8="",'Smart Search'!$L$8="All",TRIM('Project Database'!F428)=TRIM('Smart Search'!$L$8))),IF(BA424="","",BA424+ROW()*0.0000000001),"")</f>
        <v/>
      </c>
      <c r="BI424" s="5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>
        <f>IF('Project Database'!A428="","",N('Project Database'!AC428))</f>
        <v/>
      </c>
      <c r="BK424" s="5">
        <f>IF('Project Database'!A428="","",N('Project Database'!AD428))</f>
        <v/>
      </c>
      <c r="BL424" s="5">
        <f>IF('Project Database'!A428="","",N('Project Database'!AE428))</f>
        <v/>
      </c>
      <c r="BM424" s="5">
        <f>IF('Project Database'!A428="","",N('Project Database'!AF428))</f>
        <v/>
      </c>
      <c r="BN424" s="5">
        <f>IF('Project Database'!A428="","",N('Project Database'!AG428))</f>
        <v/>
      </c>
      <c r="BO424" s="5">
        <f>IF('Project Database'!A428="","",N('Project Database'!AH428))</f>
        <v/>
      </c>
      <c r="BP424" s="5">
        <f>IF('Project Database'!A428="","",N('Project Database'!AI428))</f>
        <v/>
      </c>
      <c r="BQ424" s="5">
        <f>IF('Project Database'!A428="","",N('Project Database'!AJ428))</f>
        <v/>
      </c>
      <c r="BR424" s="5">
        <f>IF('Project Database'!A428="","",N('Project Database'!AK428))</f>
        <v/>
      </c>
      <c r="BS424" s="5">
        <f>IF('Project Database'!A428="","",N('Project Database'!AL428))</f>
        <v/>
      </c>
      <c r="BT424" s="5">
        <f>IF('Project Database'!A428="","",N('Project Database'!AM428))</f>
        <v/>
      </c>
      <c r="BU424" s="5">
        <f>IF('Project Database'!A428="","",N('Project Database'!AN428))</f>
        <v/>
      </c>
      <c r="BV424" s="5">
        <f>IF('Project Database'!A428="","",N('Project Database'!AO428))</f>
        <v/>
      </c>
      <c r="BW424" s="5">
        <f>IF('Project Database'!A428="","",N('Project Database'!AP428))</f>
        <v/>
      </c>
      <c r="BX424" s="5">
        <f>IF(A424="","",SUM(BJ424:BW424))</f>
        <v/>
      </c>
      <c r="BY424" s="5">
        <f>IF(A424="","",IFERROR(IF(ISNUMBER(U424),U424,VALUE(SUBSTITUTE(SUBSTITUTE(SUBSTITUTE(UPPER(TRIM(U424)),"M",""),",","")," ",""))),0))</f>
        <v/>
      </c>
    </row>
    <row r="425" ht="15" customHeight="1" s="74">
      <c r="A425" s="66">
        <f>'Project Database'!A429</f>
        <v/>
      </c>
      <c r="B425" s="66">
        <f>'Project Database'!B429</f>
        <v/>
      </c>
      <c r="C425" s="66">
        <f>'Project Database'!G429</f>
        <v/>
      </c>
      <c r="D425" s="66">
        <f>'Project Database'!H429</f>
        <v/>
      </c>
      <c r="E425" s="66">
        <f>'Project Database'!I429</f>
        <v/>
      </c>
      <c r="F425" s="66">
        <f>'Project Database'!J429</f>
        <v/>
      </c>
      <c r="G425" s="66">
        <f>'Project Database'!K429</f>
        <v/>
      </c>
      <c r="H425" s="66">
        <f>'Project Database'!L429</f>
        <v/>
      </c>
      <c r="I425" s="66">
        <f>'Project Database'!M429</f>
        <v/>
      </c>
      <c r="J425" s="66">
        <f>'Project Database'!N429</f>
        <v/>
      </c>
      <c r="K425" s="66">
        <f>'Project Database'!O429</f>
        <v/>
      </c>
      <c r="L425" s="66">
        <f>'Project Database'!P429</f>
        <v/>
      </c>
      <c r="M425" s="66">
        <f>'Project Database'!Q429</f>
        <v/>
      </c>
      <c r="N425" s="66">
        <f>'Project Database'!R429</f>
        <v/>
      </c>
      <c r="O425" s="66">
        <f>'Project Database'!S429</f>
        <v/>
      </c>
      <c r="P425" s="66">
        <f>'Project Database'!T429</f>
        <v/>
      </c>
      <c r="Q425" s="66">
        <f>'Project Database'!U429</f>
        <v/>
      </c>
      <c r="R425" s="66">
        <f>'Project Database'!V429</f>
        <v/>
      </c>
      <c r="S425" s="66">
        <f>'Project Database'!W429</f>
        <v/>
      </c>
      <c r="T425" s="66">
        <f>'Project Database'!X429</f>
        <v/>
      </c>
      <c r="U425" s="67">
        <f>'Project Database'!Y429</f>
        <v/>
      </c>
      <c r="V425" s="66">
        <f>IF('Smart Search'!B13=1,IFERROR(1/'Smart Search'!H13,0),0)</f>
        <v/>
      </c>
      <c r="W425" s="66">
        <f>IF('Smart Search'!B13=1,IFERROR(1/'Smart Search'!H13,0),0)</f>
        <v/>
      </c>
      <c r="X425" s="66">
        <f>IF('Smart Search'!C13=1,IFERROR(1/'Smart Search'!H13,0),0)</f>
        <v/>
      </c>
      <c r="Y425" s="66">
        <f>IF('Smart Search'!C13=1,IFERROR(1/'Smart Search'!H13,0),0)</f>
        <v/>
      </c>
      <c r="Z425" s="66">
        <f>IF('Smart Search'!D13=1,IFERROR(1/'Smart Search'!H13,0),0)</f>
        <v/>
      </c>
      <c r="AA425" s="66">
        <f>IF('Smart Search'!D13=1,IFERROR(1/'Smart Search'!H13,0),0)</f>
        <v/>
      </c>
      <c r="AB425" s="66">
        <f>IF('Smart Search'!E13=1,IFERROR(1/'Smart Search'!H13,0),0)</f>
        <v/>
      </c>
      <c r="AC425" s="66">
        <f>IF('Smart Search'!E13=1,IFERROR(1/'Smart Search'!H13,0),0)</f>
        <v/>
      </c>
      <c r="AD425" s="66">
        <f>IF('Smart Search'!F13=1,IFERROR(1/'Smart Search'!H13,0),0)</f>
        <v/>
      </c>
      <c r="AE425" s="66">
        <f>IF('Smart Search'!F13=1,IFERROR(1/'Smart Search'!H13,0),0)</f>
        <v/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66">
        <f>AF425*V425</f>
        <v/>
      </c>
      <c r="AQ425" s="66">
        <f>AG425*W425</f>
        <v/>
      </c>
      <c r="AR425" s="66">
        <f>AH425*X425</f>
        <v/>
      </c>
      <c r="AS425" s="66">
        <f>AI425*Y425</f>
        <v/>
      </c>
      <c r="AT425" s="66">
        <f>AJ425*Z425</f>
        <v/>
      </c>
      <c r="AU425" s="66">
        <f>AK425*AA425</f>
        <v/>
      </c>
      <c r="AV425" s="66">
        <f>AL425*AB425</f>
        <v/>
      </c>
      <c r="AW425" s="66">
        <f>AM425*AC425</f>
        <v/>
      </c>
      <c r="AX425" s="66">
        <f>AN425*AD425</f>
        <v/>
      </c>
      <c r="AY425" s="66">
        <f>AO425*AE425</f>
        <v/>
      </c>
      <c r="AZ425" s="66">
        <f>'Project Database'!Z429</f>
        <v/>
      </c>
      <c r="BA425" s="66">
        <f>IF(OR(A425="",'Smart Search'!H13=0),"",MAX(0,BE425*BF425*MAX(0,1-BG425)))</f>
        <v/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66">
        <f>IF('Smart Search'!G13=1,IFERROR(1/'Smart Search'!H13,0),0)</f>
        <v/>
      </c>
      <c r="BD425" s="66">
        <f>BB425*BC425</f>
        <v/>
      </c>
      <c r="BE425" s="66">
        <f>AP425+AQ425+AR425+AS425+AT425+AU425+AV425+AW425+AX425+AY425+BD425</f>
        <v/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5">
        <f>IF(AND('Project Database'!A429&lt;&gt;"",OR('Smart Search'!$L$5="",'Smart Search'!$L$5="All",TRIM('Project Database'!D429)=TRIM('Smart Search'!$L$5)),OR(TRIM('Smart Search'!$L$6)="",TRIM('Smart Search'!$L$6)="All",ISNUMBER(SEARCH(SUBSTITUTE(SUBSTITUTE(SUBSTITUTE(TRIM('Smart Search'!$L$6),"~","~~"),"*","~*"),"?","~?"),'Project Database'!C429))),OR('Smart Search'!$L$7="",AND('Project Database'!E429&lt;&gt;"",'Project Database'!E429='Smart Search'!$L$7)),OR('Smart Search'!$L$8="",'Smart Search'!$L$8="All",TRIM('Project Database'!F429)=TRIM('Smart Search'!$L$8))),IF(BA425="","",BA425+ROW()*0.0000000001),"")</f>
        <v/>
      </c>
      <c r="BI425" s="5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>
        <f>IF('Project Database'!A429="","",N('Project Database'!AC429))</f>
        <v/>
      </c>
      <c r="BK425" s="5">
        <f>IF('Project Database'!A429="","",N('Project Database'!AD429))</f>
        <v/>
      </c>
      <c r="BL425" s="5">
        <f>IF('Project Database'!A429="","",N('Project Database'!AE429))</f>
        <v/>
      </c>
      <c r="BM425" s="5">
        <f>IF('Project Database'!A429="","",N('Project Database'!AF429))</f>
        <v/>
      </c>
      <c r="BN425" s="5">
        <f>IF('Project Database'!A429="","",N('Project Database'!AG429))</f>
        <v/>
      </c>
      <c r="BO425" s="5">
        <f>IF('Project Database'!A429="","",N('Project Database'!AH429))</f>
        <v/>
      </c>
      <c r="BP425" s="5">
        <f>IF('Project Database'!A429="","",N('Project Database'!AI429))</f>
        <v/>
      </c>
      <c r="BQ425" s="5">
        <f>IF('Project Database'!A429="","",N('Project Database'!AJ429))</f>
        <v/>
      </c>
      <c r="BR425" s="5">
        <f>IF('Project Database'!A429="","",N('Project Database'!AK429))</f>
        <v/>
      </c>
      <c r="BS425" s="5">
        <f>IF('Project Database'!A429="","",N('Project Database'!AL429))</f>
        <v/>
      </c>
      <c r="BT425" s="5">
        <f>IF('Project Database'!A429="","",N('Project Database'!AM429))</f>
        <v/>
      </c>
      <c r="BU425" s="5">
        <f>IF('Project Database'!A429="","",N('Project Database'!AN429))</f>
        <v/>
      </c>
      <c r="BV425" s="5">
        <f>IF('Project Database'!A429="","",N('Project Database'!AO429))</f>
        <v/>
      </c>
      <c r="BW425" s="5">
        <f>IF('Project Database'!A429="","",N('Project Database'!AP429))</f>
        <v/>
      </c>
      <c r="BX425" s="5">
        <f>IF(A425="","",SUM(BJ425:BW425))</f>
        <v/>
      </c>
      <c r="BY425" s="5">
        <f>IF(A425="","",IFERROR(IF(ISNUMBER(U425),U425,VALUE(SUBSTITUTE(SUBSTITUTE(SUBSTITUTE(UPPER(TRIM(U425)),"M",""),",","")," ",""))),0))</f>
        <v/>
      </c>
    </row>
    <row r="426" ht="15" customHeight="1" s="74">
      <c r="A426" s="66">
        <f>'Project Database'!A430</f>
        <v/>
      </c>
      <c r="B426" s="66">
        <f>'Project Database'!B430</f>
        <v/>
      </c>
      <c r="C426" s="66">
        <f>'Project Database'!G430</f>
        <v/>
      </c>
      <c r="D426" s="66">
        <f>'Project Database'!H430</f>
        <v/>
      </c>
      <c r="E426" s="66">
        <f>'Project Database'!I430</f>
        <v/>
      </c>
      <c r="F426" s="66">
        <f>'Project Database'!J430</f>
        <v/>
      </c>
      <c r="G426" s="66">
        <f>'Project Database'!K430</f>
        <v/>
      </c>
      <c r="H426" s="66">
        <f>'Project Database'!L430</f>
        <v/>
      </c>
      <c r="I426" s="66">
        <f>'Project Database'!M430</f>
        <v/>
      </c>
      <c r="J426" s="66">
        <f>'Project Database'!N430</f>
        <v/>
      </c>
      <c r="K426" s="66">
        <f>'Project Database'!O430</f>
        <v/>
      </c>
      <c r="L426" s="66">
        <f>'Project Database'!P430</f>
        <v/>
      </c>
      <c r="M426" s="66">
        <f>'Project Database'!Q430</f>
        <v/>
      </c>
      <c r="N426" s="66">
        <f>'Project Database'!R430</f>
        <v/>
      </c>
      <c r="O426" s="66">
        <f>'Project Database'!S430</f>
        <v/>
      </c>
      <c r="P426" s="66">
        <f>'Project Database'!T430</f>
        <v/>
      </c>
      <c r="Q426" s="66">
        <f>'Project Database'!U430</f>
        <v/>
      </c>
      <c r="R426" s="66">
        <f>'Project Database'!V430</f>
        <v/>
      </c>
      <c r="S426" s="66">
        <f>'Project Database'!W430</f>
        <v/>
      </c>
      <c r="T426" s="66">
        <f>'Project Database'!X430</f>
        <v/>
      </c>
      <c r="U426" s="67">
        <f>'Project Database'!Y430</f>
        <v/>
      </c>
      <c r="V426" s="66">
        <f>IF('Smart Search'!B13=1,IFERROR(1/'Smart Search'!H13,0),0)</f>
        <v/>
      </c>
      <c r="W426" s="66">
        <f>IF('Smart Search'!B13=1,IFERROR(1/'Smart Search'!H13,0),0)</f>
        <v/>
      </c>
      <c r="X426" s="66">
        <f>IF('Smart Search'!C13=1,IFERROR(1/'Smart Search'!H13,0),0)</f>
        <v/>
      </c>
      <c r="Y426" s="66">
        <f>IF('Smart Search'!C13=1,IFERROR(1/'Smart Search'!H13,0),0)</f>
        <v/>
      </c>
      <c r="Z426" s="66">
        <f>IF('Smart Search'!D13=1,IFERROR(1/'Smart Search'!H13,0),0)</f>
        <v/>
      </c>
      <c r="AA426" s="66">
        <f>IF('Smart Search'!D13=1,IFERROR(1/'Smart Search'!H13,0),0)</f>
        <v/>
      </c>
      <c r="AB426" s="66">
        <f>IF('Smart Search'!E13=1,IFERROR(1/'Smart Search'!H13,0),0)</f>
        <v/>
      </c>
      <c r="AC426" s="66">
        <f>IF('Smart Search'!E13=1,IFERROR(1/'Smart Search'!H13,0),0)</f>
        <v/>
      </c>
      <c r="AD426" s="66">
        <f>IF('Smart Search'!F13=1,IFERROR(1/'Smart Search'!H13,0),0)</f>
        <v/>
      </c>
      <c r="AE426" s="66">
        <f>IF('Smart Search'!F13=1,IFERROR(1/'Smart Search'!H13,0),0)</f>
        <v/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66">
        <f>AF426*V426</f>
        <v/>
      </c>
      <c r="AQ426" s="66">
        <f>AG426*W426</f>
        <v/>
      </c>
      <c r="AR426" s="66">
        <f>AH426*X426</f>
        <v/>
      </c>
      <c r="AS426" s="66">
        <f>AI426*Y426</f>
        <v/>
      </c>
      <c r="AT426" s="66">
        <f>AJ426*Z426</f>
        <v/>
      </c>
      <c r="AU426" s="66">
        <f>AK426*AA426</f>
        <v/>
      </c>
      <c r="AV426" s="66">
        <f>AL426*AB426</f>
        <v/>
      </c>
      <c r="AW426" s="66">
        <f>AM426*AC426</f>
        <v/>
      </c>
      <c r="AX426" s="66">
        <f>AN426*AD426</f>
        <v/>
      </c>
      <c r="AY426" s="66">
        <f>AO426*AE426</f>
        <v/>
      </c>
      <c r="AZ426" s="66">
        <f>'Project Database'!Z430</f>
        <v/>
      </c>
      <c r="BA426" s="66">
        <f>IF(OR(A426="",'Smart Search'!H13=0),"",MAX(0,BE426*BF426*MAX(0,1-BG426)))</f>
        <v/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66">
        <f>IF('Smart Search'!G13=1,IFERROR(1/'Smart Search'!H13,0),0)</f>
        <v/>
      </c>
      <c r="BD426" s="66">
        <f>BB426*BC426</f>
        <v/>
      </c>
      <c r="BE426" s="66">
        <f>AP426+AQ426+AR426+AS426+AT426+AU426+AV426+AW426+AX426+AY426+BD426</f>
        <v/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5">
        <f>IF(AND('Project Database'!A430&lt;&gt;"",OR('Smart Search'!$L$5="",'Smart Search'!$L$5="All",TRIM('Project Database'!D430)=TRIM('Smart Search'!$L$5)),OR(TRIM('Smart Search'!$L$6)="",TRIM('Smart Search'!$L$6)="All",ISNUMBER(SEARCH(SUBSTITUTE(SUBSTITUTE(SUBSTITUTE(TRIM('Smart Search'!$L$6),"~","~~"),"*","~*"),"?","~?"),'Project Database'!C430))),OR('Smart Search'!$L$7="",AND('Project Database'!E430&lt;&gt;"",'Project Database'!E430='Smart Search'!$L$7)),OR('Smart Search'!$L$8="",'Smart Search'!$L$8="All",TRIM('Project Database'!F430)=TRIM('Smart Search'!$L$8))),IF(BA426="","",BA426+ROW()*0.0000000001),"")</f>
        <v/>
      </c>
      <c r="BI426" s="5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>
        <f>IF('Project Database'!A430="","",N('Project Database'!AC430))</f>
        <v/>
      </c>
      <c r="BK426" s="5">
        <f>IF('Project Database'!A430="","",N('Project Database'!AD430))</f>
        <v/>
      </c>
      <c r="BL426" s="5">
        <f>IF('Project Database'!A430="","",N('Project Database'!AE430))</f>
        <v/>
      </c>
      <c r="BM426" s="5">
        <f>IF('Project Database'!A430="","",N('Project Database'!AF430))</f>
        <v/>
      </c>
      <c r="BN426" s="5">
        <f>IF('Project Database'!A430="","",N('Project Database'!AG430))</f>
        <v/>
      </c>
      <c r="BO426" s="5">
        <f>IF('Project Database'!A430="","",N('Project Database'!AH430))</f>
        <v/>
      </c>
      <c r="BP426" s="5">
        <f>IF('Project Database'!A430="","",N('Project Database'!AI430))</f>
        <v/>
      </c>
      <c r="BQ426" s="5">
        <f>IF('Project Database'!A430="","",N('Project Database'!AJ430))</f>
        <v/>
      </c>
      <c r="BR426" s="5">
        <f>IF('Project Database'!A430="","",N('Project Database'!AK430))</f>
        <v/>
      </c>
      <c r="BS426" s="5">
        <f>IF('Project Database'!A430="","",N('Project Database'!AL430))</f>
        <v/>
      </c>
      <c r="BT426" s="5">
        <f>IF('Project Database'!A430="","",N('Project Database'!AM430))</f>
        <v/>
      </c>
      <c r="BU426" s="5">
        <f>IF('Project Database'!A430="","",N('Project Database'!AN430))</f>
        <v/>
      </c>
      <c r="BV426" s="5">
        <f>IF('Project Database'!A430="","",N('Project Database'!AO430))</f>
        <v/>
      </c>
      <c r="BW426" s="5">
        <f>IF('Project Database'!A430="","",N('Project Database'!AP430))</f>
        <v/>
      </c>
      <c r="BX426" s="5">
        <f>IF(A426="","",SUM(BJ426:BW426))</f>
        <v/>
      </c>
      <c r="BY426" s="5">
        <f>IF(A426="","",IFERROR(IF(ISNUMBER(U426),U426,VALUE(SUBSTITUTE(SUBSTITUTE(SUBSTITUTE(UPPER(TRIM(U426)),"M",""),",","")," ",""))),0))</f>
        <v/>
      </c>
    </row>
    <row r="427" ht="15" customHeight="1" s="74">
      <c r="A427" s="66">
        <f>'Project Database'!A431</f>
        <v/>
      </c>
      <c r="B427" s="66">
        <f>'Project Database'!B431</f>
        <v/>
      </c>
      <c r="C427" s="66">
        <f>'Project Database'!G431</f>
        <v/>
      </c>
      <c r="D427" s="66">
        <f>'Project Database'!H431</f>
        <v/>
      </c>
      <c r="E427" s="66">
        <f>'Project Database'!I431</f>
        <v/>
      </c>
      <c r="F427" s="66">
        <f>'Project Database'!J431</f>
        <v/>
      </c>
      <c r="G427" s="66">
        <f>'Project Database'!K431</f>
        <v/>
      </c>
      <c r="H427" s="66">
        <f>'Project Database'!L431</f>
        <v/>
      </c>
      <c r="I427" s="66">
        <f>'Project Database'!M431</f>
        <v/>
      </c>
      <c r="J427" s="66">
        <f>'Project Database'!N431</f>
        <v/>
      </c>
      <c r="K427" s="66">
        <f>'Project Database'!O431</f>
        <v/>
      </c>
      <c r="L427" s="66">
        <f>'Project Database'!P431</f>
        <v/>
      </c>
      <c r="M427" s="66">
        <f>'Project Database'!Q431</f>
        <v/>
      </c>
      <c r="N427" s="66">
        <f>'Project Database'!R431</f>
        <v/>
      </c>
      <c r="O427" s="66">
        <f>'Project Database'!S431</f>
        <v/>
      </c>
      <c r="P427" s="66">
        <f>'Project Database'!T431</f>
        <v/>
      </c>
      <c r="Q427" s="66">
        <f>'Project Database'!U431</f>
        <v/>
      </c>
      <c r="R427" s="66">
        <f>'Project Database'!V431</f>
        <v/>
      </c>
      <c r="S427" s="66">
        <f>'Project Database'!W431</f>
        <v/>
      </c>
      <c r="T427" s="66">
        <f>'Project Database'!X431</f>
        <v/>
      </c>
      <c r="U427" s="67">
        <f>'Project Database'!Y431</f>
        <v/>
      </c>
      <c r="V427" s="66">
        <f>IF('Smart Search'!B13=1,IFERROR(1/'Smart Search'!H13,0),0)</f>
        <v/>
      </c>
      <c r="W427" s="66">
        <f>IF('Smart Search'!B13=1,IFERROR(1/'Smart Search'!H13,0),0)</f>
        <v/>
      </c>
      <c r="X427" s="66">
        <f>IF('Smart Search'!C13=1,IFERROR(1/'Smart Search'!H13,0),0)</f>
        <v/>
      </c>
      <c r="Y427" s="66">
        <f>IF('Smart Search'!C13=1,IFERROR(1/'Smart Search'!H13,0),0)</f>
        <v/>
      </c>
      <c r="Z427" s="66">
        <f>IF('Smart Search'!D13=1,IFERROR(1/'Smart Search'!H13,0),0)</f>
        <v/>
      </c>
      <c r="AA427" s="66">
        <f>IF('Smart Search'!D13=1,IFERROR(1/'Smart Search'!H13,0),0)</f>
        <v/>
      </c>
      <c r="AB427" s="66">
        <f>IF('Smart Search'!E13=1,IFERROR(1/'Smart Search'!H13,0),0)</f>
        <v/>
      </c>
      <c r="AC427" s="66">
        <f>IF('Smart Search'!E13=1,IFERROR(1/'Smart Search'!H13,0),0)</f>
        <v/>
      </c>
      <c r="AD427" s="66">
        <f>IF('Smart Search'!F13=1,IFERROR(1/'Smart Search'!H13,0),0)</f>
        <v/>
      </c>
      <c r="AE427" s="66">
        <f>IF('Smart Search'!F13=1,IFERROR(1/'Smart Search'!H13,0),0)</f>
        <v/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66">
        <f>AF427*V427</f>
        <v/>
      </c>
      <c r="AQ427" s="66">
        <f>AG427*W427</f>
        <v/>
      </c>
      <c r="AR427" s="66">
        <f>AH427*X427</f>
        <v/>
      </c>
      <c r="AS427" s="66">
        <f>AI427*Y427</f>
        <v/>
      </c>
      <c r="AT427" s="66">
        <f>AJ427*Z427</f>
        <v/>
      </c>
      <c r="AU427" s="66">
        <f>AK427*AA427</f>
        <v/>
      </c>
      <c r="AV427" s="66">
        <f>AL427*AB427</f>
        <v/>
      </c>
      <c r="AW427" s="66">
        <f>AM427*AC427</f>
        <v/>
      </c>
      <c r="AX427" s="66">
        <f>AN427*AD427</f>
        <v/>
      </c>
      <c r="AY427" s="66">
        <f>AO427*AE427</f>
        <v/>
      </c>
      <c r="AZ427" s="66">
        <f>'Project Database'!Z431</f>
        <v/>
      </c>
      <c r="BA427" s="66">
        <f>IF(OR(A427="",'Smart Search'!H13=0),"",MAX(0,BE427*BF427*MAX(0,1-BG427)))</f>
        <v/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66">
        <f>IF('Smart Search'!G13=1,IFERROR(1/'Smart Search'!H13,0),0)</f>
        <v/>
      </c>
      <c r="BD427" s="66">
        <f>BB427*BC427</f>
        <v/>
      </c>
      <c r="BE427" s="66">
        <f>AP427+AQ427+AR427+AS427+AT427+AU427+AV427+AW427+AX427+AY427+BD427</f>
        <v/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5">
        <f>IF(AND('Project Database'!A431&lt;&gt;"",OR('Smart Search'!$L$5="",'Smart Search'!$L$5="All",TRIM('Project Database'!D431)=TRIM('Smart Search'!$L$5)),OR(TRIM('Smart Search'!$L$6)="",TRIM('Smart Search'!$L$6)="All",ISNUMBER(SEARCH(SUBSTITUTE(SUBSTITUTE(SUBSTITUTE(TRIM('Smart Search'!$L$6),"~","~~"),"*","~*"),"?","~?"),'Project Database'!C431))),OR('Smart Search'!$L$7="",AND('Project Database'!E431&lt;&gt;"",'Project Database'!E431='Smart Search'!$L$7)),OR('Smart Search'!$L$8="",'Smart Search'!$L$8="All",TRIM('Project Database'!F431)=TRIM('Smart Search'!$L$8))),IF(BA427="","",BA427+ROW()*0.0000000001),"")</f>
        <v/>
      </c>
      <c r="BI427" s="5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>
        <f>IF('Project Database'!A431="","",N('Project Database'!AC431))</f>
        <v/>
      </c>
      <c r="BK427" s="5">
        <f>IF('Project Database'!A431="","",N('Project Database'!AD431))</f>
        <v/>
      </c>
      <c r="BL427" s="5">
        <f>IF('Project Database'!A431="","",N('Project Database'!AE431))</f>
        <v/>
      </c>
      <c r="BM427" s="5">
        <f>IF('Project Database'!A431="","",N('Project Database'!AF431))</f>
        <v/>
      </c>
      <c r="BN427" s="5">
        <f>IF('Project Database'!A431="","",N('Project Database'!AG431))</f>
        <v/>
      </c>
      <c r="BO427" s="5">
        <f>IF('Project Database'!A431="","",N('Project Database'!AH431))</f>
        <v/>
      </c>
      <c r="BP427" s="5">
        <f>IF('Project Database'!A431="","",N('Project Database'!AI431))</f>
        <v/>
      </c>
      <c r="BQ427" s="5">
        <f>IF('Project Database'!A431="","",N('Project Database'!AJ431))</f>
        <v/>
      </c>
      <c r="BR427" s="5">
        <f>IF('Project Database'!A431="","",N('Project Database'!AK431))</f>
        <v/>
      </c>
      <c r="BS427" s="5">
        <f>IF('Project Database'!A431="","",N('Project Database'!AL431))</f>
        <v/>
      </c>
      <c r="BT427" s="5">
        <f>IF('Project Database'!A431="","",N('Project Database'!AM431))</f>
        <v/>
      </c>
      <c r="BU427" s="5">
        <f>IF('Project Database'!A431="","",N('Project Database'!AN431))</f>
        <v/>
      </c>
      <c r="BV427" s="5">
        <f>IF('Project Database'!A431="","",N('Project Database'!AO431))</f>
        <v/>
      </c>
      <c r="BW427" s="5">
        <f>IF('Project Database'!A431="","",N('Project Database'!AP431))</f>
        <v/>
      </c>
      <c r="BX427" s="5">
        <f>IF(A427="","",SUM(BJ427:BW427))</f>
        <v/>
      </c>
      <c r="BY427" s="5">
        <f>IF(A427="","",IFERROR(IF(ISNUMBER(U427),U427,VALUE(SUBSTITUTE(SUBSTITUTE(SUBSTITUTE(UPPER(TRIM(U427)),"M",""),",","")," ",""))),0))</f>
        <v/>
      </c>
    </row>
    <row r="428" ht="15" customHeight="1" s="74">
      <c r="A428" s="66">
        <f>'Project Database'!A432</f>
        <v/>
      </c>
      <c r="B428" s="66">
        <f>'Project Database'!B432</f>
        <v/>
      </c>
      <c r="C428" s="66">
        <f>'Project Database'!G432</f>
        <v/>
      </c>
      <c r="D428" s="66">
        <f>'Project Database'!H432</f>
        <v/>
      </c>
      <c r="E428" s="66">
        <f>'Project Database'!I432</f>
        <v/>
      </c>
      <c r="F428" s="66">
        <f>'Project Database'!J432</f>
        <v/>
      </c>
      <c r="G428" s="66">
        <f>'Project Database'!K432</f>
        <v/>
      </c>
      <c r="H428" s="66">
        <f>'Project Database'!L432</f>
        <v/>
      </c>
      <c r="I428" s="66">
        <f>'Project Database'!M432</f>
        <v/>
      </c>
      <c r="J428" s="66">
        <f>'Project Database'!N432</f>
        <v/>
      </c>
      <c r="K428" s="66">
        <f>'Project Database'!O432</f>
        <v/>
      </c>
      <c r="L428" s="66">
        <f>'Project Database'!P432</f>
        <v/>
      </c>
      <c r="M428" s="66">
        <f>'Project Database'!Q432</f>
        <v/>
      </c>
      <c r="N428" s="66">
        <f>'Project Database'!R432</f>
        <v/>
      </c>
      <c r="O428" s="66">
        <f>'Project Database'!S432</f>
        <v/>
      </c>
      <c r="P428" s="66">
        <f>'Project Database'!T432</f>
        <v/>
      </c>
      <c r="Q428" s="66">
        <f>'Project Database'!U432</f>
        <v/>
      </c>
      <c r="R428" s="66">
        <f>'Project Database'!V432</f>
        <v/>
      </c>
      <c r="S428" s="66">
        <f>'Project Database'!W432</f>
        <v/>
      </c>
      <c r="T428" s="66">
        <f>'Project Database'!X432</f>
        <v/>
      </c>
      <c r="U428" s="67">
        <f>'Project Database'!Y432</f>
        <v/>
      </c>
      <c r="V428" s="66">
        <f>IF('Smart Search'!B13=1,IFERROR(1/'Smart Search'!H13,0),0)</f>
        <v/>
      </c>
      <c r="W428" s="66">
        <f>IF('Smart Search'!B13=1,IFERROR(1/'Smart Search'!H13,0),0)</f>
        <v/>
      </c>
      <c r="X428" s="66">
        <f>IF('Smart Search'!C13=1,IFERROR(1/'Smart Search'!H13,0),0)</f>
        <v/>
      </c>
      <c r="Y428" s="66">
        <f>IF('Smart Search'!C13=1,IFERROR(1/'Smart Search'!H13,0),0)</f>
        <v/>
      </c>
      <c r="Z428" s="66">
        <f>IF('Smart Search'!D13=1,IFERROR(1/'Smart Search'!H13,0),0)</f>
        <v/>
      </c>
      <c r="AA428" s="66">
        <f>IF('Smart Search'!D13=1,IFERROR(1/'Smart Search'!H13,0),0)</f>
        <v/>
      </c>
      <c r="AB428" s="66">
        <f>IF('Smart Search'!E13=1,IFERROR(1/'Smart Search'!H13,0),0)</f>
        <v/>
      </c>
      <c r="AC428" s="66">
        <f>IF('Smart Search'!E13=1,IFERROR(1/'Smart Search'!H13,0),0)</f>
        <v/>
      </c>
      <c r="AD428" s="66">
        <f>IF('Smart Search'!F13=1,IFERROR(1/'Smart Search'!H13,0),0)</f>
        <v/>
      </c>
      <c r="AE428" s="66">
        <f>IF('Smart Search'!F13=1,IFERROR(1/'Smart Search'!H13,0),0)</f>
        <v/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66">
        <f>AF428*V428</f>
        <v/>
      </c>
      <c r="AQ428" s="66">
        <f>AG428*W428</f>
        <v/>
      </c>
      <c r="AR428" s="66">
        <f>AH428*X428</f>
        <v/>
      </c>
      <c r="AS428" s="66">
        <f>AI428*Y428</f>
        <v/>
      </c>
      <c r="AT428" s="66">
        <f>AJ428*Z428</f>
        <v/>
      </c>
      <c r="AU428" s="66">
        <f>AK428*AA428</f>
        <v/>
      </c>
      <c r="AV428" s="66">
        <f>AL428*AB428</f>
        <v/>
      </c>
      <c r="AW428" s="66">
        <f>AM428*AC428</f>
        <v/>
      </c>
      <c r="AX428" s="66">
        <f>AN428*AD428</f>
        <v/>
      </c>
      <c r="AY428" s="66">
        <f>AO428*AE428</f>
        <v/>
      </c>
      <c r="AZ428" s="66">
        <f>'Project Database'!Z432</f>
        <v/>
      </c>
      <c r="BA428" s="66">
        <f>IF(OR(A428="",'Smart Search'!H13=0),"",MAX(0,BE428*BF428*MAX(0,1-BG428)))</f>
        <v/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66">
        <f>IF('Smart Search'!G13=1,IFERROR(1/'Smart Search'!H13,0),0)</f>
        <v/>
      </c>
      <c r="BD428" s="66">
        <f>BB428*BC428</f>
        <v/>
      </c>
      <c r="BE428" s="66">
        <f>AP428+AQ428+AR428+AS428+AT428+AU428+AV428+AW428+AX428+AY428+BD428</f>
        <v/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5">
        <f>IF(AND('Project Database'!A432&lt;&gt;"",OR('Smart Search'!$L$5="",'Smart Search'!$L$5="All",TRIM('Project Database'!D432)=TRIM('Smart Search'!$L$5)),OR(TRIM('Smart Search'!$L$6)="",TRIM('Smart Search'!$L$6)="All",ISNUMBER(SEARCH(SUBSTITUTE(SUBSTITUTE(SUBSTITUTE(TRIM('Smart Search'!$L$6),"~","~~"),"*","~*"),"?","~?"),'Project Database'!C432))),OR('Smart Search'!$L$7="",AND('Project Database'!E432&lt;&gt;"",'Project Database'!E432='Smart Search'!$L$7)),OR('Smart Search'!$L$8="",'Smart Search'!$L$8="All",TRIM('Project Database'!F432)=TRIM('Smart Search'!$L$8))),IF(BA428="","",BA428+ROW()*0.0000000001),"")</f>
        <v/>
      </c>
      <c r="BI428" s="5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>
        <f>IF('Project Database'!A432="","",N('Project Database'!AC432))</f>
        <v/>
      </c>
      <c r="BK428" s="5">
        <f>IF('Project Database'!A432="","",N('Project Database'!AD432))</f>
        <v/>
      </c>
      <c r="BL428" s="5">
        <f>IF('Project Database'!A432="","",N('Project Database'!AE432))</f>
        <v/>
      </c>
      <c r="BM428" s="5">
        <f>IF('Project Database'!A432="","",N('Project Database'!AF432))</f>
        <v/>
      </c>
      <c r="BN428" s="5">
        <f>IF('Project Database'!A432="","",N('Project Database'!AG432))</f>
        <v/>
      </c>
      <c r="BO428" s="5">
        <f>IF('Project Database'!A432="","",N('Project Database'!AH432))</f>
        <v/>
      </c>
      <c r="BP428" s="5">
        <f>IF('Project Database'!A432="","",N('Project Database'!AI432))</f>
        <v/>
      </c>
      <c r="BQ428" s="5">
        <f>IF('Project Database'!A432="","",N('Project Database'!AJ432))</f>
        <v/>
      </c>
      <c r="BR428" s="5">
        <f>IF('Project Database'!A432="","",N('Project Database'!AK432))</f>
        <v/>
      </c>
      <c r="BS428" s="5">
        <f>IF('Project Database'!A432="","",N('Project Database'!AL432))</f>
        <v/>
      </c>
      <c r="BT428" s="5">
        <f>IF('Project Database'!A432="","",N('Project Database'!AM432))</f>
        <v/>
      </c>
      <c r="BU428" s="5">
        <f>IF('Project Database'!A432="","",N('Project Database'!AN432))</f>
        <v/>
      </c>
      <c r="BV428" s="5">
        <f>IF('Project Database'!A432="","",N('Project Database'!AO432))</f>
        <v/>
      </c>
      <c r="BW428" s="5">
        <f>IF('Project Database'!A432="","",N('Project Database'!AP432))</f>
        <v/>
      </c>
      <c r="BX428" s="5">
        <f>IF(A428="","",SUM(BJ428:BW428))</f>
        <v/>
      </c>
      <c r="BY428" s="5">
        <f>IF(A428="","",IFERROR(IF(ISNUMBER(U428),U428,VALUE(SUBSTITUTE(SUBSTITUTE(SUBSTITUTE(UPPER(TRIM(U428)),"M",""),",","")," ",""))),0))</f>
        <v/>
      </c>
    </row>
    <row r="429" ht="15" customHeight="1" s="74">
      <c r="A429" s="66">
        <f>'Project Database'!A433</f>
        <v/>
      </c>
      <c r="B429" s="66">
        <f>'Project Database'!B433</f>
        <v/>
      </c>
      <c r="C429" s="66">
        <f>'Project Database'!G433</f>
        <v/>
      </c>
      <c r="D429" s="66">
        <f>'Project Database'!H433</f>
        <v/>
      </c>
      <c r="E429" s="66">
        <f>'Project Database'!I433</f>
        <v/>
      </c>
      <c r="F429" s="66">
        <f>'Project Database'!J433</f>
        <v/>
      </c>
      <c r="G429" s="66">
        <f>'Project Database'!K433</f>
        <v/>
      </c>
      <c r="H429" s="66">
        <f>'Project Database'!L433</f>
        <v/>
      </c>
      <c r="I429" s="66">
        <f>'Project Database'!M433</f>
        <v/>
      </c>
      <c r="J429" s="66">
        <f>'Project Database'!N433</f>
        <v/>
      </c>
      <c r="K429" s="66">
        <f>'Project Database'!O433</f>
        <v/>
      </c>
      <c r="L429" s="66">
        <f>'Project Database'!P433</f>
        <v/>
      </c>
      <c r="M429" s="66">
        <f>'Project Database'!Q433</f>
        <v/>
      </c>
      <c r="N429" s="66">
        <f>'Project Database'!R433</f>
        <v/>
      </c>
      <c r="O429" s="66">
        <f>'Project Database'!S433</f>
        <v/>
      </c>
      <c r="P429" s="66">
        <f>'Project Database'!T433</f>
        <v/>
      </c>
      <c r="Q429" s="66">
        <f>'Project Database'!U433</f>
        <v/>
      </c>
      <c r="R429" s="66">
        <f>'Project Database'!V433</f>
        <v/>
      </c>
      <c r="S429" s="66">
        <f>'Project Database'!W433</f>
        <v/>
      </c>
      <c r="T429" s="66">
        <f>'Project Database'!X433</f>
        <v/>
      </c>
      <c r="U429" s="67">
        <f>'Project Database'!Y433</f>
        <v/>
      </c>
      <c r="V429" s="66">
        <f>IF('Smart Search'!B13=1,IFERROR(1/'Smart Search'!H13,0),0)</f>
        <v/>
      </c>
      <c r="W429" s="66">
        <f>IF('Smart Search'!B13=1,IFERROR(1/'Smart Search'!H13,0),0)</f>
        <v/>
      </c>
      <c r="X429" s="66">
        <f>IF('Smart Search'!C13=1,IFERROR(1/'Smart Search'!H13,0),0)</f>
        <v/>
      </c>
      <c r="Y429" s="66">
        <f>IF('Smart Search'!C13=1,IFERROR(1/'Smart Search'!H13,0),0)</f>
        <v/>
      </c>
      <c r="Z429" s="66">
        <f>IF('Smart Search'!D13=1,IFERROR(1/'Smart Search'!H13,0),0)</f>
        <v/>
      </c>
      <c r="AA429" s="66">
        <f>IF('Smart Search'!D13=1,IFERROR(1/'Smart Search'!H13,0),0)</f>
        <v/>
      </c>
      <c r="AB429" s="66">
        <f>IF('Smart Search'!E13=1,IFERROR(1/'Smart Search'!H13,0),0)</f>
        <v/>
      </c>
      <c r="AC429" s="66">
        <f>IF('Smart Search'!E13=1,IFERROR(1/'Smart Search'!H13,0),0)</f>
        <v/>
      </c>
      <c r="AD429" s="66">
        <f>IF('Smart Search'!F13=1,IFERROR(1/'Smart Search'!H13,0),0)</f>
        <v/>
      </c>
      <c r="AE429" s="66">
        <f>IF('Smart Search'!F13=1,IFERROR(1/'Smart Search'!H13,0),0)</f>
        <v/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66">
        <f>AF429*V429</f>
        <v/>
      </c>
      <c r="AQ429" s="66">
        <f>AG429*W429</f>
        <v/>
      </c>
      <c r="AR429" s="66">
        <f>AH429*X429</f>
        <v/>
      </c>
      <c r="AS429" s="66">
        <f>AI429*Y429</f>
        <v/>
      </c>
      <c r="AT429" s="66">
        <f>AJ429*Z429</f>
        <v/>
      </c>
      <c r="AU429" s="66">
        <f>AK429*AA429</f>
        <v/>
      </c>
      <c r="AV429" s="66">
        <f>AL429*AB429</f>
        <v/>
      </c>
      <c r="AW429" s="66">
        <f>AM429*AC429</f>
        <v/>
      </c>
      <c r="AX429" s="66">
        <f>AN429*AD429</f>
        <v/>
      </c>
      <c r="AY429" s="66">
        <f>AO429*AE429</f>
        <v/>
      </c>
      <c r="AZ429" s="66">
        <f>'Project Database'!Z433</f>
        <v/>
      </c>
      <c r="BA429" s="66">
        <f>IF(OR(A429="",'Smart Search'!H13=0),"",MAX(0,BE429*BF429*MAX(0,1-BG429)))</f>
        <v/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66">
        <f>IF('Smart Search'!G13=1,IFERROR(1/'Smart Search'!H13,0),0)</f>
        <v/>
      </c>
      <c r="BD429" s="66">
        <f>BB429*BC429</f>
        <v/>
      </c>
      <c r="BE429" s="66">
        <f>AP429+AQ429+AR429+AS429+AT429+AU429+AV429+AW429+AX429+AY429+BD429</f>
        <v/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5">
        <f>IF(AND('Project Database'!A433&lt;&gt;"",OR('Smart Search'!$L$5="",'Smart Search'!$L$5="All",TRIM('Project Database'!D433)=TRIM('Smart Search'!$L$5)),OR(TRIM('Smart Search'!$L$6)="",TRIM('Smart Search'!$L$6)="All",ISNUMBER(SEARCH(SUBSTITUTE(SUBSTITUTE(SUBSTITUTE(TRIM('Smart Search'!$L$6),"~","~~"),"*","~*"),"?","~?"),'Project Database'!C433))),OR('Smart Search'!$L$7="",AND('Project Database'!E433&lt;&gt;"",'Project Database'!E433='Smart Search'!$L$7)),OR('Smart Search'!$L$8="",'Smart Search'!$L$8="All",TRIM('Project Database'!F433)=TRIM('Smart Search'!$L$8))),IF(BA429="","",BA429+ROW()*0.0000000001),"")</f>
        <v/>
      </c>
      <c r="BI429" s="5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>
        <f>IF('Project Database'!A433="","",N('Project Database'!AC433))</f>
        <v/>
      </c>
      <c r="BK429" s="5">
        <f>IF('Project Database'!A433="","",N('Project Database'!AD433))</f>
        <v/>
      </c>
      <c r="BL429" s="5">
        <f>IF('Project Database'!A433="","",N('Project Database'!AE433))</f>
        <v/>
      </c>
      <c r="BM429" s="5">
        <f>IF('Project Database'!A433="","",N('Project Database'!AF433))</f>
        <v/>
      </c>
      <c r="BN429" s="5">
        <f>IF('Project Database'!A433="","",N('Project Database'!AG433))</f>
        <v/>
      </c>
      <c r="BO429" s="5">
        <f>IF('Project Database'!A433="","",N('Project Database'!AH433))</f>
        <v/>
      </c>
      <c r="BP429" s="5">
        <f>IF('Project Database'!A433="","",N('Project Database'!AI433))</f>
        <v/>
      </c>
      <c r="BQ429" s="5">
        <f>IF('Project Database'!A433="","",N('Project Database'!AJ433))</f>
        <v/>
      </c>
      <c r="BR429" s="5">
        <f>IF('Project Database'!A433="","",N('Project Database'!AK433))</f>
        <v/>
      </c>
      <c r="BS429" s="5">
        <f>IF('Project Database'!A433="","",N('Project Database'!AL433))</f>
        <v/>
      </c>
      <c r="BT429" s="5">
        <f>IF('Project Database'!A433="","",N('Project Database'!AM433))</f>
        <v/>
      </c>
      <c r="BU429" s="5">
        <f>IF('Project Database'!A433="","",N('Project Database'!AN433))</f>
        <v/>
      </c>
      <c r="BV429" s="5">
        <f>IF('Project Database'!A433="","",N('Project Database'!AO433))</f>
        <v/>
      </c>
      <c r="BW429" s="5">
        <f>IF('Project Database'!A433="","",N('Project Database'!AP433))</f>
        <v/>
      </c>
      <c r="BX429" s="5">
        <f>IF(A429="","",SUM(BJ429:BW429))</f>
        <v/>
      </c>
      <c r="BY429" s="5">
        <f>IF(A429="","",IFERROR(IF(ISNUMBER(U429),U429,VALUE(SUBSTITUTE(SUBSTITUTE(SUBSTITUTE(UPPER(TRIM(U429)),"M",""),",","")," ",""))),0))</f>
        <v/>
      </c>
    </row>
    <row r="430" ht="15" customHeight="1" s="74">
      <c r="A430" s="66">
        <f>'Project Database'!A434</f>
        <v/>
      </c>
      <c r="B430" s="66">
        <f>'Project Database'!B434</f>
        <v/>
      </c>
      <c r="C430" s="66">
        <f>'Project Database'!G434</f>
        <v/>
      </c>
      <c r="D430" s="66">
        <f>'Project Database'!H434</f>
        <v/>
      </c>
      <c r="E430" s="66">
        <f>'Project Database'!I434</f>
        <v/>
      </c>
      <c r="F430" s="66">
        <f>'Project Database'!J434</f>
        <v/>
      </c>
      <c r="G430" s="66">
        <f>'Project Database'!K434</f>
        <v/>
      </c>
      <c r="H430" s="66">
        <f>'Project Database'!L434</f>
        <v/>
      </c>
      <c r="I430" s="66">
        <f>'Project Database'!M434</f>
        <v/>
      </c>
      <c r="J430" s="66">
        <f>'Project Database'!N434</f>
        <v/>
      </c>
      <c r="K430" s="66">
        <f>'Project Database'!O434</f>
        <v/>
      </c>
      <c r="L430" s="66">
        <f>'Project Database'!P434</f>
        <v/>
      </c>
      <c r="M430" s="66">
        <f>'Project Database'!Q434</f>
        <v/>
      </c>
      <c r="N430" s="66">
        <f>'Project Database'!R434</f>
        <v/>
      </c>
      <c r="O430" s="66">
        <f>'Project Database'!S434</f>
        <v/>
      </c>
      <c r="P430" s="66">
        <f>'Project Database'!T434</f>
        <v/>
      </c>
      <c r="Q430" s="66">
        <f>'Project Database'!U434</f>
        <v/>
      </c>
      <c r="R430" s="66">
        <f>'Project Database'!V434</f>
        <v/>
      </c>
      <c r="S430" s="66">
        <f>'Project Database'!W434</f>
        <v/>
      </c>
      <c r="T430" s="66">
        <f>'Project Database'!X434</f>
        <v/>
      </c>
      <c r="U430" s="67">
        <f>'Project Database'!Y434</f>
        <v/>
      </c>
      <c r="V430" s="66">
        <f>IF('Smart Search'!B13=1,IFERROR(1/'Smart Search'!H13,0),0)</f>
        <v/>
      </c>
      <c r="W430" s="66">
        <f>IF('Smart Search'!B13=1,IFERROR(1/'Smart Search'!H13,0),0)</f>
        <v/>
      </c>
      <c r="X430" s="66">
        <f>IF('Smart Search'!C13=1,IFERROR(1/'Smart Search'!H13,0),0)</f>
        <v/>
      </c>
      <c r="Y430" s="66">
        <f>IF('Smart Search'!C13=1,IFERROR(1/'Smart Search'!H13,0),0)</f>
        <v/>
      </c>
      <c r="Z430" s="66">
        <f>IF('Smart Search'!D13=1,IFERROR(1/'Smart Search'!H13,0),0)</f>
        <v/>
      </c>
      <c r="AA430" s="66">
        <f>IF('Smart Search'!D13=1,IFERROR(1/'Smart Search'!H13,0),0)</f>
        <v/>
      </c>
      <c r="AB430" s="66">
        <f>IF('Smart Search'!E13=1,IFERROR(1/'Smart Search'!H13,0),0)</f>
        <v/>
      </c>
      <c r="AC430" s="66">
        <f>IF('Smart Search'!E13=1,IFERROR(1/'Smart Search'!H13,0),0)</f>
        <v/>
      </c>
      <c r="AD430" s="66">
        <f>IF('Smart Search'!F13=1,IFERROR(1/'Smart Search'!H13,0),0)</f>
        <v/>
      </c>
      <c r="AE430" s="66">
        <f>IF('Smart Search'!F13=1,IFERROR(1/'Smart Search'!H13,0),0)</f>
        <v/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66">
        <f>AF430*V430</f>
        <v/>
      </c>
      <c r="AQ430" s="66">
        <f>AG430*W430</f>
        <v/>
      </c>
      <c r="AR430" s="66">
        <f>AH430*X430</f>
        <v/>
      </c>
      <c r="AS430" s="66">
        <f>AI430*Y430</f>
        <v/>
      </c>
      <c r="AT430" s="66">
        <f>AJ430*Z430</f>
        <v/>
      </c>
      <c r="AU430" s="66">
        <f>AK430*AA430</f>
        <v/>
      </c>
      <c r="AV430" s="66">
        <f>AL430*AB430</f>
        <v/>
      </c>
      <c r="AW430" s="66">
        <f>AM430*AC430</f>
        <v/>
      </c>
      <c r="AX430" s="66">
        <f>AN430*AD430</f>
        <v/>
      </c>
      <c r="AY430" s="66">
        <f>AO430*AE430</f>
        <v/>
      </c>
      <c r="AZ430" s="66">
        <f>'Project Database'!Z434</f>
        <v/>
      </c>
      <c r="BA430" s="66">
        <f>IF(OR(A430="",'Smart Search'!H13=0),"",MAX(0,BE430*BF430*MAX(0,1-BG430)))</f>
        <v/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66">
        <f>IF('Smart Search'!G13=1,IFERROR(1/'Smart Search'!H13,0),0)</f>
        <v/>
      </c>
      <c r="BD430" s="66">
        <f>BB430*BC430</f>
        <v/>
      </c>
      <c r="BE430" s="66">
        <f>AP430+AQ430+AR430+AS430+AT430+AU430+AV430+AW430+AX430+AY430+BD430</f>
        <v/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5">
        <f>IF(AND('Project Database'!A434&lt;&gt;"",OR('Smart Search'!$L$5="",'Smart Search'!$L$5="All",TRIM('Project Database'!D434)=TRIM('Smart Search'!$L$5)),OR(TRIM('Smart Search'!$L$6)="",TRIM('Smart Search'!$L$6)="All",ISNUMBER(SEARCH(SUBSTITUTE(SUBSTITUTE(SUBSTITUTE(TRIM('Smart Search'!$L$6),"~","~~"),"*","~*"),"?","~?"),'Project Database'!C434))),OR('Smart Search'!$L$7="",AND('Project Database'!E434&lt;&gt;"",'Project Database'!E434='Smart Search'!$L$7)),OR('Smart Search'!$L$8="",'Smart Search'!$L$8="All",TRIM('Project Database'!F434)=TRIM('Smart Search'!$L$8))),IF(BA430="","",BA430+ROW()*0.0000000001),"")</f>
        <v/>
      </c>
      <c r="BI430" s="5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>
        <f>IF('Project Database'!A434="","",N('Project Database'!AC434))</f>
        <v/>
      </c>
      <c r="BK430" s="5">
        <f>IF('Project Database'!A434="","",N('Project Database'!AD434))</f>
        <v/>
      </c>
      <c r="BL430" s="5">
        <f>IF('Project Database'!A434="","",N('Project Database'!AE434))</f>
        <v/>
      </c>
      <c r="BM430" s="5">
        <f>IF('Project Database'!A434="","",N('Project Database'!AF434))</f>
        <v/>
      </c>
      <c r="BN430" s="5">
        <f>IF('Project Database'!A434="","",N('Project Database'!AG434))</f>
        <v/>
      </c>
      <c r="BO430" s="5">
        <f>IF('Project Database'!A434="","",N('Project Database'!AH434))</f>
        <v/>
      </c>
      <c r="BP430" s="5">
        <f>IF('Project Database'!A434="","",N('Project Database'!AI434))</f>
        <v/>
      </c>
      <c r="BQ430" s="5">
        <f>IF('Project Database'!A434="","",N('Project Database'!AJ434))</f>
        <v/>
      </c>
      <c r="BR430" s="5">
        <f>IF('Project Database'!A434="","",N('Project Database'!AK434))</f>
        <v/>
      </c>
      <c r="BS430" s="5">
        <f>IF('Project Database'!A434="","",N('Project Database'!AL434))</f>
        <v/>
      </c>
      <c r="BT430" s="5">
        <f>IF('Project Database'!A434="","",N('Project Database'!AM434))</f>
        <v/>
      </c>
      <c r="BU430" s="5">
        <f>IF('Project Database'!A434="","",N('Project Database'!AN434))</f>
        <v/>
      </c>
      <c r="BV430" s="5">
        <f>IF('Project Database'!A434="","",N('Project Database'!AO434))</f>
        <v/>
      </c>
      <c r="BW430" s="5">
        <f>IF('Project Database'!A434="","",N('Project Database'!AP434))</f>
        <v/>
      </c>
      <c r="BX430" s="5">
        <f>IF(A430="","",SUM(BJ430:BW430))</f>
        <v/>
      </c>
      <c r="BY430" s="5">
        <f>IF(A430="","",IFERROR(IF(ISNUMBER(U430),U430,VALUE(SUBSTITUTE(SUBSTITUTE(SUBSTITUTE(UPPER(TRIM(U430)),"M",""),",","")," ",""))),0))</f>
        <v/>
      </c>
    </row>
    <row r="431" ht="15" customHeight="1" s="74">
      <c r="A431" s="66">
        <f>'Project Database'!A435</f>
        <v/>
      </c>
      <c r="B431" s="66">
        <f>'Project Database'!B435</f>
        <v/>
      </c>
      <c r="C431" s="66">
        <f>'Project Database'!G435</f>
        <v/>
      </c>
      <c r="D431" s="66">
        <f>'Project Database'!H435</f>
        <v/>
      </c>
      <c r="E431" s="66">
        <f>'Project Database'!I435</f>
        <v/>
      </c>
      <c r="F431" s="66">
        <f>'Project Database'!J435</f>
        <v/>
      </c>
      <c r="G431" s="66">
        <f>'Project Database'!K435</f>
        <v/>
      </c>
      <c r="H431" s="66">
        <f>'Project Database'!L435</f>
        <v/>
      </c>
      <c r="I431" s="66">
        <f>'Project Database'!M435</f>
        <v/>
      </c>
      <c r="J431" s="66">
        <f>'Project Database'!N435</f>
        <v/>
      </c>
      <c r="K431" s="66">
        <f>'Project Database'!O435</f>
        <v/>
      </c>
      <c r="L431" s="66">
        <f>'Project Database'!P435</f>
        <v/>
      </c>
      <c r="M431" s="66">
        <f>'Project Database'!Q435</f>
        <v/>
      </c>
      <c r="N431" s="66">
        <f>'Project Database'!R435</f>
        <v/>
      </c>
      <c r="O431" s="66">
        <f>'Project Database'!S435</f>
        <v/>
      </c>
      <c r="P431" s="66">
        <f>'Project Database'!T435</f>
        <v/>
      </c>
      <c r="Q431" s="66">
        <f>'Project Database'!U435</f>
        <v/>
      </c>
      <c r="R431" s="66">
        <f>'Project Database'!V435</f>
        <v/>
      </c>
      <c r="S431" s="66">
        <f>'Project Database'!W435</f>
        <v/>
      </c>
      <c r="T431" s="66">
        <f>'Project Database'!X435</f>
        <v/>
      </c>
      <c r="U431" s="67">
        <f>'Project Database'!Y435</f>
        <v/>
      </c>
      <c r="V431" s="66">
        <f>IF('Smart Search'!B13=1,IFERROR(1/'Smart Search'!H13,0),0)</f>
        <v/>
      </c>
      <c r="W431" s="66">
        <f>IF('Smart Search'!B13=1,IFERROR(1/'Smart Search'!H13,0),0)</f>
        <v/>
      </c>
      <c r="X431" s="66">
        <f>IF('Smart Search'!C13=1,IFERROR(1/'Smart Search'!H13,0),0)</f>
        <v/>
      </c>
      <c r="Y431" s="66">
        <f>IF('Smart Search'!C13=1,IFERROR(1/'Smart Search'!H13,0),0)</f>
        <v/>
      </c>
      <c r="Z431" s="66">
        <f>IF('Smart Search'!D13=1,IFERROR(1/'Smart Search'!H13,0),0)</f>
        <v/>
      </c>
      <c r="AA431" s="66">
        <f>IF('Smart Search'!D13=1,IFERROR(1/'Smart Search'!H13,0),0)</f>
        <v/>
      </c>
      <c r="AB431" s="66">
        <f>IF('Smart Search'!E13=1,IFERROR(1/'Smart Search'!H13,0),0)</f>
        <v/>
      </c>
      <c r="AC431" s="66">
        <f>IF('Smart Search'!E13=1,IFERROR(1/'Smart Search'!H13,0),0)</f>
        <v/>
      </c>
      <c r="AD431" s="66">
        <f>IF('Smart Search'!F13=1,IFERROR(1/'Smart Search'!H13,0),0)</f>
        <v/>
      </c>
      <c r="AE431" s="66">
        <f>IF('Smart Search'!F13=1,IFERROR(1/'Smart Search'!H13,0),0)</f>
        <v/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66">
        <f>AF431*V431</f>
        <v/>
      </c>
      <c r="AQ431" s="66">
        <f>AG431*W431</f>
        <v/>
      </c>
      <c r="AR431" s="66">
        <f>AH431*X431</f>
        <v/>
      </c>
      <c r="AS431" s="66">
        <f>AI431*Y431</f>
        <v/>
      </c>
      <c r="AT431" s="66">
        <f>AJ431*Z431</f>
        <v/>
      </c>
      <c r="AU431" s="66">
        <f>AK431*AA431</f>
        <v/>
      </c>
      <c r="AV431" s="66">
        <f>AL431*AB431</f>
        <v/>
      </c>
      <c r="AW431" s="66">
        <f>AM431*AC431</f>
        <v/>
      </c>
      <c r="AX431" s="66">
        <f>AN431*AD431</f>
        <v/>
      </c>
      <c r="AY431" s="66">
        <f>AO431*AE431</f>
        <v/>
      </c>
      <c r="AZ431" s="66">
        <f>'Project Database'!Z435</f>
        <v/>
      </c>
      <c r="BA431" s="66">
        <f>IF(OR(A431="",'Smart Search'!H13=0),"",MAX(0,BE431*BF431*MAX(0,1-BG431)))</f>
        <v/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66">
        <f>IF('Smart Search'!G13=1,IFERROR(1/'Smart Search'!H13,0),0)</f>
        <v/>
      </c>
      <c r="BD431" s="66">
        <f>BB431*BC431</f>
        <v/>
      </c>
      <c r="BE431" s="66">
        <f>AP431+AQ431+AR431+AS431+AT431+AU431+AV431+AW431+AX431+AY431+BD431</f>
        <v/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5">
        <f>IF(AND('Project Database'!A435&lt;&gt;"",OR('Smart Search'!$L$5="",'Smart Search'!$L$5="All",TRIM('Project Database'!D435)=TRIM('Smart Search'!$L$5)),OR(TRIM('Smart Search'!$L$6)="",TRIM('Smart Search'!$L$6)="All",ISNUMBER(SEARCH(SUBSTITUTE(SUBSTITUTE(SUBSTITUTE(TRIM('Smart Search'!$L$6),"~","~~"),"*","~*"),"?","~?"),'Project Database'!C435))),OR('Smart Search'!$L$7="",AND('Project Database'!E435&lt;&gt;"",'Project Database'!E435='Smart Search'!$L$7)),OR('Smart Search'!$L$8="",'Smart Search'!$L$8="All",TRIM('Project Database'!F435)=TRIM('Smart Search'!$L$8))),IF(BA431="","",BA431+ROW()*0.0000000001),"")</f>
        <v/>
      </c>
      <c r="BI431" s="5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>
        <f>IF('Project Database'!A435="","",N('Project Database'!AC435))</f>
        <v/>
      </c>
      <c r="BK431" s="5">
        <f>IF('Project Database'!A435="","",N('Project Database'!AD435))</f>
        <v/>
      </c>
      <c r="BL431" s="5">
        <f>IF('Project Database'!A435="","",N('Project Database'!AE435))</f>
        <v/>
      </c>
      <c r="BM431" s="5">
        <f>IF('Project Database'!A435="","",N('Project Database'!AF435))</f>
        <v/>
      </c>
      <c r="BN431" s="5">
        <f>IF('Project Database'!A435="","",N('Project Database'!AG435))</f>
        <v/>
      </c>
      <c r="BO431" s="5">
        <f>IF('Project Database'!A435="","",N('Project Database'!AH435))</f>
        <v/>
      </c>
      <c r="BP431" s="5">
        <f>IF('Project Database'!A435="","",N('Project Database'!AI435))</f>
        <v/>
      </c>
      <c r="BQ431" s="5">
        <f>IF('Project Database'!A435="","",N('Project Database'!AJ435))</f>
        <v/>
      </c>
      <c r="BR431" s="5">
        <f>IF('Project Database'!A435="","",N('Project Database'!AK435))</f>
        <v/>
      </c>
      <c r="BS431" s="5">
        <f>IF('Project Database'!A435="","",N('Project Database'!AL435))</f>
        <v/>
      </c>
      <c r="BT431" s="5">
        <f>IF('Project Database'!A435="","",N('Project Database'!AM435))</f>
        <v/>
      </c>
      <c r="BU431" s="5">
        <f>IF('Project Database'!A435="","",N('Project Database'!AN435))</f>
        <v/>
      </c>
      <c r="BV431" s="5">
        <f>IF('Project Database'!A435="","",N('Project Database'!AO435))</f>
        <v/>
      </c>
      <c r="BW431" s="5">
        <f>IF('Project Database'!A435="","",N('Project Database'!AP435))</f>
        <v/>
      </c>
      <c r="BX431" s="5">
        <f>IF(A431="","",SUM(BJ431:BW431))</f>
        <v/>
      </c>
      <c r="BY431" s="5">
        <f>IF(A431="","",IFERROR(IF(ISNUMBER(U431),U431,VALUE(SUBSTITUTE(SUBSTITUTE(SUBSTITUTE(UPPER(TRIM(U431)),"M",""),",","")," ",""))),0))</f>
        <v/>
      </c>
    </row>
    <row r="432" ht="15" customHeight="1" s="74">
      <c r="A432" s="66">
        <f>'Project Database'!A436</f>
        <v/>
      </c>
      <c r="B432" s="66">
        <f>'Project Database'!B436</f>
        <v/>
      </c>
      <c r="C432" s="66">
        <f>'Project Database'!G436</f>
        <v/>
      </c>
      <c r="D432" s="66">
        <f>'Project Database'!H436</f>
        <v/>
      </c>
      <c r="E432" s="66">
        <f>'Project Database'!I436</f>
        <v/>
      </c>
      <c r="F432" s="66">
        <f>'Project Database'!J436</f>
        <v/>
      </c>
      <c r="G432" s="66">
        <f>'Project Database'!K436</f>
        <v/>
      </c>
      <c r="H432" s="66">
        <f>'Project Database'!L436</f>
        <v/>
      </c>
      <c r="I432" s="66">
        <f>'Project Database'!M436</f>
        <v/>
      </c>
      <c r="J432" s="66">
        <f>'Project Database'!N436</f>
        <v/>
      </c>
      <c r="K432" s="66">
        <f>'Project Database'!O436</f>
        <v/>
      </c>
      <c r="L432" s="66">
        <f>'Project Database'!P436</f>
        <v/>
      </c>
      <c r="M432" s="66">
        <f>'Project Database'!Q436</f>
        <v/>
      </c>
      <c r="N432" s="66">
        <f>'Project Database'!R436</f>
        <v/>
      </c>
      <c r="O432" s="66">
        <f>'Project Database'!S436</f>
        <v/>
      </c>
      <c r="P432" s="66">
        <f>'Project Database'!T436</f>
        <v/>
      </c>
      <c r="Q432" s="66">
        <f>'Project Database'!U436</f>
        <v/>
      </c>
      <c r="R432" s="66">
        <f>'Project Database'!V436</f>
        <v/>
      </c>
      <c r="S432" s="66">
        <f>'Project Database'!W436</f>
        <v/>
      </c>
      <c r="T432" s="66">
        <f>'Project Database'!X436</f>
        <v/>
      </c>
      <c r="U432" s="67">
        <f>'Project Database'!Y436</f>
        <v/>
      </c>
      <c r="V432" s="66">
        <f>IF('Smart Search'!B13=1,IFERROR(1/'Smart Search'!H13,0),0)</f>
        <v/>
      </c>
      <c r="W432" s="66">
        <f>IF('Smart Search'!B13=1,IFERROR(1/'Smart Search'!H13,0),0)</f>
        <v/>
      </c>
      <c r="X432" s="66">
        <f>IF('Smart Search'!C13=1,IFERROR(1/'Smart Search'!H13,0),0)</f>
        <v/>
      </c>
      <c r="Y432" s="66">
        <f>IF('Smart Search'!C13=1,IFERROR(1/'Smart Search'!H13,0),0)</f>
        <v/>
      </c>
      <c r="Z432" s="66">
        <f>IF('Smart Search'!D13=1,IFERROR(1/'Smart Search'!H13,0),0)</f>
        <v/>
      </c>
      <c r="AA432" s="66">
        <f>IF('Smart Search'!D13=1,IFERROR(1/'Smart Search'!H13,0),0)</f>
        <v/>
      </c>
      <c r="AB432" s="66">
        <f>IF('Smart Search'!E13=1,IFERROR(1/'Smart Search'!H13,0),0)</f>
        <v/>
      </c>
      <c r="AC432" s="66">
        <f>IF('Smart Search'!E13=1,IFERROR(1/'Smart Search'!H13,0),0)</f>
        <v/>
      </c>
      <c r="AD432" s="66">
        <f>IF('Smart Search'!F13=1,IFERROR(1/'Smart Search'!H13,0),0)</f>
        <v/>
      </c>
      <c r="AE432" s="66">
        <f>IF('Smart Search'!F13=1,IFERROR(1/'Smart Search'!H13,0),0)</f>
        <v/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66">
        <f>AF432*V432</f>
        <v/>
      </c>
      <c r="AQ432" s="66">
        <f>AG432*W432</f>
        <v/>
      </c>
      <c r="AR432" s="66">
        <f>AH432*X432</f>
        <v/>
      </c>
      <c r="AS432" s="66">
        <f>AI432*Y432</f>
        <v/>
      </c>
      <c r="AT432" s="66">
        <f>AJ432*Z432</f>
        <v/>
      </c>
      <c r="AU432" s="66">
        <f>AK432*AA432</f>
        <v/>
      </c>
      <c r="AV432" s="66">
        <f>AL432*AB432</f>
        <v/>
      </c>
      <c r="AW432" s="66">
        <f>AM432*AC432</f>
        <v/>
      </c>
      <c r="AX432" s="66">
        <f>AN432*AD432</f>
        <v/>
      </c>
      <c r="AY432" s="66">
        <f>AO432*AE432</f>
        <v/>
      </c>
      <c r="AZ432" s="66">
        <f>'Project Database'!Z436</f>
        <v/>
      </c>
      <c r="BA432" s="66">
        <f>IF(OR(A432="",'Smart Search'!H13=0),"",MAX(0,BE432*BF432*MAX(0,1-BG432)))</f>
        <v/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66">
        <f>IF('Smart Search'!G13=1,IFERROR(1/'Smart Search'!H13,0),0)</f>
        <v/>
      </c>
      <c r="BD432" s="66">
        <f>BB432*BC432</f>
        <v/>
      </c>
      <c r="BE432" s="66">
        <f>AP432+AQ432+AR432+AS432+AT432+AU432+AV432+AW432+AX432+AY432+BD432</f>
        <v/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5">
        <f>IF(AND('Project Database'!A436&lt;&gt;"",OR('Smart Search'!$L$5="",'Smart Search'!$L$5="All",TRIM('Project Database'!D436)=TRIM('Smart Search'!$L$5)),OR(TRIM('Smart Search'!$L$6)="",TRIM('Smart Search'!$L$6)="All",ISNUMBER(SEARCH(SUBSTITUTE(SUBSTITUTE(SUBSTITUTE(TRIM('Smart Search'!$L$6),"~","~~"),"*","~*"),"?","~?"),'Project Database'!C436))),OR('Smart Search'!$L$7="",AND('Project Database'!E436&lt;&gt;"",'Project Database'!E436='Smart Search'!$L$7)),OR('Smart Search'!$L$8="",'Smart Search'!$L$8="All",TRIM('Project Database'!F436)=TRIM('Smart Search'!$L$8))),IF(BA432="","",BA432+ROW()*0.0000000001),"")</f>
        <v/>
      </c>
      <c r="BI432" s="5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>
        <f>IF('Project Database'!A436="","",N('Project Database'!AC436))</f>
        <v/>
      </c>
      <c r="BK432" s="5">
        <f>IF('Project Database'!A436="","",N('Project Database'!AD436))</f>
        <v/>
      </c>
      <c r="BL432" s="5">
        <f>IF('Project Database'!A436="","",N('Project Database'!AE436))</f>
        <v/>
      </c>
      <c r="BM432" s="5">
        <f>IF('Project Database'!A436="","",N('Project Database'!AF436))</f>
        <v/>
      </c>
      <c r="BN432" s="5">
        <f>IF('Project Database'!A436="","",N('Project Database'!AG436))</f>
        <v/>
      </c>
      <c r="BO432" s="5">
        <f>IF('Project Database'!A436="","",N('Project Database'!AH436))</f>
        <v/>
      </c>
      <c r="BP432" s="5">
        <f>IF('Project Database'!A436="","",N('Project Database'!AI436))</f>
        <v/>
      </c>
      <c r="BQ432" s="5">
        <f>IF('Project Database'!A436="","",N('Project Database'!AJ436))</f>
        <v/>
      </c>
      <c r="BR432" s="5">
        <f>IF('Project Database'!A436="","",N('Project Database'!AK436))</f>
        <v/>
      </c>
      <c r="BS432" s="5">
        <f>IF('Project Database'!A436="","",N('Project Database'!AL436))</f>
        <v/>
      </c>
      <c r="BT432" s="5">
        <f>IF('Project Database'!A436="","",N('Project Database'!AM436))</f>
        <v/>
      </c>
      <c r="BU432" s="5">
        <f>IF('Project Database'!A436="","",N('Project Database'!AN436))</f>
        <v/>
      </c>
      <c r="BV432" s="5">
        <f>IF('Project Database'!A436="","",N('Project Database'!AO436))</f>
        <v/>
      </c>
      <c r="BW432" s="5">
        <f>IF('Project Database'!A436="","",N('Project Database'!AP436))</f>
        <v/>
      </c>
      <c r="BX432" s="5">
        <f>IF(A432="","",SUM(BJ432:BW432))</f>
        <v/>
      </c>
      <c r="BY432" s="5">
        <f>IF(A432="","",IFERROR(IF(ISNUMBER(U432),U432,VALUE(SUBSTITUTE(SUBSTITUTE(SUBSTITUTE(UPPER(TRIM(U432)),"M",""),",","")," ",""))),0))</f>
        <v/>
      </c>
    </row>
    <row r="433" ht="15" customHeight="1" s="74">
      <c r="A433" s="66">
        <f>'Project Database'!A437</f>
        <v/>
      </c>
      <c r="B433" s="66">
        <f>'Project Database'!B437</f>
        <v/>
      </c>
      <c r="C433" s="66">
        <f>'Project Database'!G437</f>
        <v/>
      </c>
      <c r="D433" s="66">
        <f>'Project Database'!H437</f>
        <v/>
      </c>
      <c r="E433" s="66">
        <f>'Project Database'!I437</f>
        <v/>
      </c>
      <c r="F433" s="66">
        <f>'Project Database'!J437</f>
        <v/>
      </c>
      <c r="G433" s="66">
        <f>'Project Database'!K437</f>
        <v/>
      </c>
      <c r="H433" s="66">
        <f>'Project Database'!L437</f>
        <v/>
      </c>
      <c r="I433" s="66">
        <f>'Project Database'!M437</f>
        <v/>
      </c>
      <c r="J433" s="66">
        <f>'Project Database'!N437</f>
        <v/>
      </c>
      <c r="K433" s="66">
        <f>'Project Database'!O437</f>
        <v/>
      </c>
      <c r="L433" s="66">
        <f>'Project Database'!P437</f>
        <v/>
      </c>
      <c r="M433" s="66">
        <f>'Project Database'!Q437</f>
        <v/>
      </c>
      <c r="N433" s="66">
        <f>'Project Database'!R437</f>
        <v/>
      </c>
      <c r="O433" s="66">
        <f>'Project Database'!S437</f>
        <v/>
      </c>
      <c r="P433" s="66">
        <f>'Project Database'!T437</f>
        <v/>
      </c>
      <c r="Q433" s="66">
        <f>'Project Database'!U437</f>
        <v/>
      </c>
      <c r="R433" s="66">
        <f>'Project Database'!V437</f>
        <v/>
      </c>
      <c r="S433" s="66">
        <f>'Project Database'!W437</f>
        <v/>
      </c>
      <c r="T433" s="66">
        <f>'Project Database'!X437</f>
        <v/>
      </c>
      <c r="U433" s="67">
        <f>'Project Database'!Y437</f>
        <v/>
      </c>
      <c r="V433" s="66">
        <f>IF('Smart Search'!B13=1,IFERROR(1/'Smart Search'!H13,0),0)</f>
        <v/>
      </c>
      <c r="W433" s="66">
        <f>IF('Smart Search'!B13=1,IFERROR(1/'Smart Search'!H13,0),0)</f>
        <v/>
      </c>
      <c r="X433" s="66">
        <f>IF('Smart Search'!C13=1,IFERROR(1/'Smart Search'!H13,0),0)</f>
        <v/>
      </c>
      <c r="Y433" s="66">
        <f>IF('Smart Search'!C13=1,IFERROR(1/'Smart Search'!H13,0),0)</f>
        <v/>
      </c>
      <c r="Z433" s="66">
        <f>IF('Smart Search'!D13=1,IFERROR(1/'Smart Search'!H13,0),0)</f>
        <v/>
      </c>
      <c r="AA433" s="66">
        <f>IF('Smart Search'!D13=1,IFERROR(1/'Smart Search'!H13,0),0)</f>
        <v/>
      </c>
      <c r="AB433" s="66">
        <f>IF('Smart Search'!E13=1,IFERROR(1/'Smart Search'!H13,0),0)</f>
        <v/>
      </c>
      <c r="AC433" s="66">
        <f>IF('Smart Search'!E13=1,IFERROR(1/'Smart Search'!H13,0),0)</f>
        <v/>
      </c>
      <c r="AD433" s="66">
        <f>IF('Smart Search'!F13=1,IFERROR(1/'Smart Search'!H13,0),0)</f>
        <v/>
      </c>
      <c r="AE433" s="66">
        <f>IF('Smart Search'!F13=1,IFERROR(1/'Smart Search'!H13,0),0)</f>
        <v/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66">
        <f>AF433*V433</f>
        <v/>
      </c>
      <c r="AQ433" s="66">
        <f>AG433*W433</f>
        <v/>
      </c>
      <c r="AR433" s="66">
        <f>AH433*X433</f>
        <v/>
      </c>
      <c r="AS433" s="66">
        <f>AI433*Y433</f>
        <v/>
      </c>
      <c r="AT433" s="66">
        <f>AJ433*Z433</f>
        <v/>
      </c>
      <c r="AU433" s="66">
        <f>AK433*AA433</f>
        <v/>
      </c>
      <c r="AV433" s="66">
        <f>AL433*AB433</f>
        <v/>
      </c>
      <c r="AW433" s="66">
        <f>AM433*AC433</f>
        <v/>
      </c>
      <c r="AX433" s="66">
        <f>AN433*AD433</f>
        <v/>
      </c>
      <c r="AY433" s="66">
        <f>AO433*AE433</f>
        <v/>
      </c>
      <c r="AZ433" s="66">
        <f>'Project Database'!Z437</f>
        <v/>
      </c>
      <c r="BA433" s="66">
        <f>IF(OR(A433="",'Smart Search'!H13=0),"",MAX(0,BE433*BF433*MAX(0,1-BG433)))</f>
        <v/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66">
        <f>IF('Smart Search'!G13=1,IFERROR(1/'Smart Search'!H13,0),0)</f>
        <v/>
      </c>
      <c r="BD433" s="66">
        <f>BB433*BC433</f>
        <v/>
      </c>
      <c r="BE433" s="66">
        <f>AP433+AQ433+AR433+AS433+AT433+AU433+AV433+AW433+AX433+AY433+BD433</f>
        <v/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5">
        <f>IF(AND('Project Database'!A437&lt;&gt;"",OR('Smart Search'!$L$5="",'Smart Search'!$L$5="All",TRIM('Project Database'!D437)=TRIM('Smart Search'!$L$5)),OR(TRIM('Smart Search'!$L$6)="",TRIM('Smart Search'!$L$6)="All",ISNUMBER(SEARCH(SUBSTITUTE(SUBSTITUTE(SUBSTITUTE(TRIM('Smart Search'!$L$6),"~","~~"),"*","~*"),"?","~?"),'Project Database'!C437))),OR('Smart Search'!$L$7="",AND('Project Database'!E437&lt;&gt;"",'Project Database'!E437='Smart Search'!$L$7)),OR('Smart Search'!$L$8="",'Smart Search'!$L$8="All",TRIM('Project Database'!F437)=TRIM('Smart Search'!$L$8))),IF(BA433="","",BA433+ROW()*0.0000000001),"")</f>
        <v/>
      </c>
      <c r="BI433" s="5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>
        <f>IF('Project Database'!A437="","",N('Project Database'!AC437))</f>
        <v/>
      </c>
      <c r="BK433" s="5">
        <f>IF('Project Database'!A437="","",N('Project Database'!AD437))</f>
        <v/>
      </c>
      <c r="BL433" s="5">
        <f>IF('Project Database'!A437="","",N('Project Database'!AE437))</f>
        <v/>
      </c>
      <c r="BM433" s="5">
        <f>IF('Project Database'!A437="","",N('Project Database'!AF437))</f>
        <v/>
      </c>
      <c r="BN433" s="5">
        <f>IF('Project Database'!A437="","",N('Project Database'!AG437))</f>
        <v/>
      </c>
      <c r="BO433" s="5">
        <f>IF('Project Database'!A437="","",N('Project Database'!AH437))</f>
        <v/>
      </c>
      <c r="BP433" s="5">
        <f>IF('Project Database'!A437="","",N('Project Database'!AI437))</f>
        <v/>
      </c>
      <c r="BQ433" s="5">
        <f>IF('Project Database'!A437="","",N('Project Database'!AJ437))</f>
        <v/>
      </c>
      <c r="BR433" s="5">
        <f>IF('Project Database'!A437="","",N('Project Database'!AK437))</f>
        <v/>
      </c>
      <c r="BS433" s="5">
        <f>IF('Project Database'!A437="","",N('Project Database'!AL437))</f>
        <v/>
      </c>
      <c r="BT433" s="5">
        <f>IF('Project Database'!A437="","",N('Project Database'!AM437))</f>
        <v/>
      </c>
      <c r="BU433" s="5">
        <f>IF('Project Database'!A437="","",N('Project Database'!AN437))</f>
        <v/>
      </c>
      <c r="BV433" s="5">
        <f>IF('Project Database'!A437="","",N('Project Database'!AO437))</f>
        <v/>
      </c>
      <c r="BW433" s="5">
        <f>IF('Project Database'!A437="","",N('Project Database'!AP437))</f>
        <v/>
      </c>
      <c r="BX433" s="5">
        <f>IF(A433="","",SUM(BJ433:BW433))</f>
        <v/>
      </c>
      <c r="BY433" s="5">
        <f>IF(A433="","",IFERROR(IF(ISNUMBER(U433),U433,VALUE(SUBSTITUTE(SUBSTITUTE(SUBSTITUTE(UPPER(TRIM(U433)),"M",""),",","")," ",""))),0))</f>
        <v/>
      </c>
    </row>
    <row r="434" ht="15" customHeight="1" s="74">
      <c r="A434" s="66">
        <f>'Project Database'!A438</f>
        <v/>
      </c>
      <c r="B434" s="66">
        <f>'Project Database'!B438</f>
        <v/>
      </c>
      <c r="C434" s="66">
        <f>'Project Database'!G438</f>
        <v/>
      </c>
      <c r="D434" s="66">
        <f>'Project Database'!H438</f>
        <v/>
      </c>
      <c r="E434" s="66">
        <f>'Project Database'!I438</f>
        <v/>
      </c>
      <c r="F434" s="66">
        <f>'Project Database'!J438</f>
        <v/>
      </c>
      <c r="G434" s="66">
        <f>'Project Database'!K438</f>
        <v/>
      </c>
      <c r="H434" s="66">
        <f>'Project Database'!L438</f>
        <v/>
      </c>
      <c r="I434" s="66">
        <f>'Project Database'!M438</f>
        <v/>
      </c>
      <c r="J434" s="66">
        <f>'Project Database'!N438</f>
        <v/>
      </c>
      <c r="K434" s="66">
        <f>'Project Database'!O438</f>
        <v/>
      </c>
      <c r="L434" s="66">
        <f>'Project Database'!P438</f>
        <v/>
      </c>
      <c r="M434" s="66">
        <f>'Project Database'!Q438</f>
        <v/>
      </c>
      <c r="N434" s="66">
        <f>'Project Database'!R438</f>
        <v/>
      </c>
      <c r="O434" s="66">
        <f>'Project Database'!S438</f>
        <v/>
      </c>
      <c r="P434" s="66">
        <f>'Project Database'!T438</f>
        <v/>
      </c>
      <c r="Q434" s="66">
        <f>'Project Database'!U438</f>
        <v/>
      </c>
      <c r="R434" s="66">
        <f>'Project Database'!V438</f>
        <v/>
      </c>
      <c r="S434" s="66">
        <f>'Project Database'!W438</f>
        <v/>
      </c>
      <c r="T434" s="66">
        <f>'Project Database'!X438</f>
        <v/>
      </c>
      <c r="U434" s="67">
        <f>'Project Database'!Y438</f>
        <v/>
      </c>
      <c r="V434" s="66">
        <f>IF('Smart Search'!B13=1,IFERROR(1/'Smart Search'!H13,0),0)</f>
        <v/>
      </c>
      <c r="W434" s="66">
        <f>IF('Smart Search'!B13=1,IFERROR(1/'Smart Search'!H13,0),0)</f>
        <v/>
      </c>
      <c r="X434" s="66">
        <f>IF('Smart Search'!C13=1,IFERROR(1/'Smart Search'!H13,0),0)</f>
        <v/>
      </c>
      <c r="Y434" s="66">
        <f>IF('Smart Search'!C13=1,IFERROR(1/'Smart Search'!H13,0),0)</f>
        <v/>
      </c>
      <c r="Z434" s="66">
        <f>IF('Smart Search'!D13=1,IFERROR(1/'Smart Search'!H13,0),0)</f>
        <v/>
      </c>
      <c r="AA434" s="66">
        <f>IF('Smart Search'!D13=1,IFERROR(1/'Smart Search'!H13,0),0)</f>
        <v/>
      </c>
      <c r="AB434" s="66">
        <f>IF('Smart Search'!E13=1,IFERROR(1/'Smart Search'!H13,0),0)</f>
        <v/>
      </c>
      <c r="AC434" s="66">
        <f>IF('Smart Search'!E13=1,IFERROR(1/'Smart Search'!H13,0),0)</f>
        <v/>
      </c>
      <c r="AD434" s="66">
        <f>IF('Smart Search'!F13=1,IFERROR(1/'Smart Search'!H13,0),0)</f>
        <v/>
      </c>
      <c r="AE434" s="66">
        <f>IF('Smart Search'!F13=1,IFERROR(1/'Smart Search'!H13,0),0)</f>
        <v/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66">
        <f>AF434*V434</f>
        <v/>
      </c>
      <c r="AQ434" s="66">
        <f>AG434*W434</f>
        <v/>
      </c>
      <c r="AR434" s="66">
        <f>AH434*X434</f>
        <v/>
      </c>
      <c r="AS434" s="66">
        <f>AI434*Y434</f>
        <v/>
      </c>
      <c r="AT434" s="66">
        <f>AJ434*Z434</f>
        <v/>
      </c>
      <c r="AU434" s="66">
        <f>AK434*AA434</f>
        <v/>
      </c>
      <c r="AV434" s="66">
        <f>AL434*AB434</f>
        <v/>
      </c>
      <c r="AW434" s="66">
        <f>AM434*AC434</f>
        <v/>
      </c>
      <c r="AX434" s="66">
        <f>AN434*AD434</f>
        <v/>
      </c>
      <c r="AY434" s="66">
        <f>AO434*AE434</f>
        <v/>
      </c>
      <c r="AZ434" s="66">
        <f>'Project Database'!Z438</f>
        <v/>
      </c>
      <c r="BA434" s="66">
        <f>IF(OR(A434="",'Smart Search'!H13=0),"",MAX(0,BE434*BF434*MAX(0,1-BG434)))</f>
        <v/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66">
        <f>IF('Smart Search'!G13=1,IFERROR(1/'Smart Search'!H13,0),0)</f>
        <v/>
      </c>
      <c r="BD434" s="66">
        <f>BB434*BC434</f>
        <v/>
      </c>
      <c r="BE434" s="66">
        <f>AP434+AQ434+AR434+AS434+AT434+AU434+AV434+AW434+AX434+AY434+BD434</f>
        <v/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5">
        <f>IF(AND('Project Database'!A438&lt;&gt;"",OR('Smart Search'!$L$5="",'Smart Search'!$L$5="All",TRIM('Project Database'!D438)=TRIM('Smart Search'!$L$5)),OR(TRIM('Smart Search'!$L$6)="",TRIM('Smart Search'!$L$6)="All",ISNUMBER(SEARCH(SUBSTITUTE(SUBSTITUTE(SUBSTITUTE(TRIM('Smart Search'!$L$6),"~","~~"),"*","~*"),"?","~?"),'Project Database'!C438))),OR('Smart Search'!$L$7="",AND('Project Database'!E438&lt;&gt;"",'Project Database'!E438='Smart Search'!$L$7)),OR('Smart Search'!$L$8="",'Smart Search'!$L$8="All",TRIM('Project Database'!F438)=TRIM('Smart Search'!$L$8))),IF(BA434="","",BA434+ROW()*0.0000000001),"")</f>
        <v/>
      </c>
      <c r="BI434" s="5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>
        <f>IF('Project Database'!A438="","",N('Project Database'!AC438))</f>
        <v/>
      </c>
      <c r="BK434" s="5">
        <f>IF('Project Database'!A438="","",N('Project Database'!AD438))</f>
        <v/>
      </c>
      <c r="BL434" s="5">
        <f>IF('Project Database'!A438="","",N('Project Database'!AE438))</f>
        <v/>
      </c>
      <c r="BM434" s="5">
        <f>IF('Project Database'!A438="","",N('Project Database'!AF438))</f>
        <v/>
      </c>
      <c r="BN434" s="5">
        <f>IF('Project Database'!A438="","",N('Project Database'!AG438))</f>
        <v/>
      </c>
      <c r="BO434" s="5">
        <f>IF('Project Database'!A438="","",N('Project Database'!AH438))</f>
        <v/>
      </c>
      <c r="BP434" s="5">
        <f>IF('Project Database'!A438="","",N('Project Database'!AI438))</f>
        <v/>
      </c>
      <c r="BQ434" s="5">
        <f>IF('Project Database'!A438="","",N('Project Database'!AJ438))</f>
        <v/>
      </c>
      <c r="BR434" s="5">
        <f>IF('Project Database'!A438="","",N('Project Database'!AK438))</f>
        <v/>
      </c>
      <c r="BS434" s="5">
        <f>IF('Project Database'!A438="","",N('Project Database'!AL438))</f>
        <v/>
      </c>
      <c r="BT434" s="5">
        <f>IF('Project Database'!A438="","",N('Project Database'!AM438))</f>
        <v/>
      </c>
      <c r="BU434" s="5">
        <f>IF('Project Database'!A438="","",N('Project Database'!AN438))</f>
        <v/>
      </c>
      <c r="BV434" s="5">
        <f>IF('Project Database'!A438="","",N('Project Database'!AO438))</f>
        <v/>
      </c>
      <c r="BW434" s="5">
        <f>IF('Project Database'!A438="","",N('Project Database'!AP438))</f>
        <v/>
      </c>
      <c r="BX434" s="5">
        <f>IF(A434="","",SUM(BJ434:BW434))</f>
        <v/>
      </c>
      <c r="BY434" s="5">
        <f>IF(A434="","",IFERROR(IF(ISNUMBER(U434),U434,VALUE(SUBSTITUTE(SUBSTITUTE(SUBSTITUTE(UPPER(TRIM(U434)),"M",""),",","")," ",""))),0))</f>
        <v/>
      </c>
    </row>
    <row r="435" ht="15" customHeight="1" s="74">
      <c r="A435" s="66">
        <f>'Project Database'!A439</f>
        <v/>
      </c>
      <c r="B435" s="66">
        <f>'Project Database'!B439</f>
        <v/>
      </c>
      <c r="C435" s="66">
        <f>'Project Database'!G439</f>
        <v/>
      </c>
      <c r="D435" s="66">
        <f>'Project Database'!H439</f>
        <v/>
      </c>
      <c r="E435" s="66">
        <f>'Project Database'!I439</f>
        <v/>
      </c>
      <c r="F435" s="66">
        <f>'Project Database'!J439</f>
        <v/>
      </c>
      <c r="G435" s="66">
        <f>'Project Database'!K439</f>
        <v/>
      </c>
      <c r="H435" s="66">
        <f>'Project Database'!L439</f>
        <v/>
      </c>
      <c r="I435" s="66">
        <f>'Project Database'!M439</f>
        <v/>
      </c>
      <c r="J435" s="66">
        <f>'Project Database'!N439</f>
        <v/>
      </c>
      <c r="K435" s="66">
        <f>'Project Database'!O439</f>
        <v/>
      </c>
      <c r="L435" s="66">
        <f>'Project Database'!P439</f>
        <v/>
      </c>
      <c r="M435" s="66">
        <f>'Project Database'!Q439</f>
        <v/>
      </c>
      <c r="N435" s="66">
        <f>'Project Database'!R439</f>
        <v/>
      </c>
      <c r="O435" s="66">
        <f>'Project Database'!S439</f>
        <v/>
      </c>
      <c r="P435" s="66">
        <f>'Project Database'!T439</f>
        <v/>
      </c>
      <c r="Q435" s="66">
        <f>'Project Database'!U439</f>
        <v/>
      </c>
      <c r="R435" s="66">
        <f>'Project Database'!V439</f>
        <v/>
      </c>
      <c r="S435" s="66">
        <f>'Project Database'!W439</f>
        <v/>
      </c>
      <c r="T435" s="66">
        <f>'Project Database'!X439</f>
        <v/>
      </c>
      <c r="U435" s="67">
        <f>'Project Database'!Y439</f>
        <v/>
      </c>
      <c r="V435" s="66">
        <f>IF('Smart Search'!B13=1,IFERROR(1/'Smart Search'!H13,0),0)</f>
        <v/>
      </c>
      <c r="W435" s="66">
        <f>IF('Smart Search'!B13=1,IFERROR(1/'Smart Search'!H13,0),0)</f>
        <v/>
      </c>
      <c r="X435" s="66">
        <f>IF('Smart Search'!C13=1,IFERROR(1/'Smart Search'!H13,0),0)</f>
        <v/>
      </c>
      <c r="Y435" s="66">
        <f>IF('Smart Search'!C13=1,IFERROR(1/'Smart Search'!H13,0),0)</f>
        <v/>
      </c>
      <c r="Z435" s="66">
        <f>IF('Smart Search'!D13=1,IFERROR(1/'Smart Search'!H13,0),0)</f>
        <v/>
      </c>
      <c r="AA435" s="66">
        <f>IF('Smart Search'!D13=1,IFERROR(1/'Smart Search'!H13,0),0)</f>
        <v/>
      </c>
      <c r="AB435" s="66">
        <f>IF('Smart Search'!E13=1,IFERROR(1/'Smart Search'!H13,0),0)</f>
        <v/>
      </c>
      <c r="AC435" s="66">
        <f>IF('Smart Search'!E13=1,IFERROR(1/'Smart Search'!H13,0),0)</f>
        <v/>
      </c>
      <c r="AD435" s="66">
        <f>IF('Smart Search'!F13=1,IFERROR(1/'Smart Search'!H13,0),0)</f>
        <v/>
      </c>
      <c r="AE435" s="66">
        <f>IF('Smart Search'!F13=1,IFERROR(1/'Smart Search'!H13,0),0)</f>
        <v/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66">
        <f>AF435*V435</f>
        <v/>
      </c>
      <c r="AQ435" s="66">
        <f>AG435*W435</f>
        <v/>
      </c>
      <c r="AR435" s="66">
        <f>AH435*X435</f>
        <v/>
      </c>
      <c r="AS435" s="66">
        <f>AI435*Y435</f>
        <v/>
      </c>
      <c r="AT435" s="66">
        <f>AJ435*Z435</f>
        <v/>
      </c>
      <c r="AU435" s="66">
        <f>AK435*AA435</f>
        <v/>
      </c>
      <c r="AV435" s="66">
        <f>AL435*AB435</f>
        <v/>
      </c>
      <c r="AW435" s="66">
        <f>AM435*AC435</f>
        <v/>
      </c>
      <c r="AX435" s="66">
        <f>AN435*AD435</f>
        <v/>
      </c>
      <c r="AY435" s="66">
        <f>AO435*AE435</f>
        <v/>
      </c>
      <c r="AZ435" s="66">
        <f>'Project Database'!Z439</f>
        <v/>
      </c>
      <c r="BA435" s="66">
        <f>IF(OR(A435="",'Smart Search'!H13=0),"",MAX(0,BE435*BF435*MAX(0,1-BG435)))</f>
        <v/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66">
        <f>IF('Smart Search'!G13=1,IFERROR(1/'Smart Search'!H13,0),0)</f>
        <v/>
      </c>
      <c r="BD435" s="66">
        <f>BB435*BC435</f>
        <v/>
      </c>
      <c r="BE435" s="66">
        <f>AP435+AQ435+AR435+AS435+AT435+AU435+AV435+AW435+AX435+AY435+BD435</f>
        <v/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5">
        <f>IF(AND('Project Database'!A439&lt;&gt;"",OR('Smart Search'!$L$5="",'Smart Search'!$L$5="All",TRIM('Project Database'!D439)=TRIM('Smart Search'!$L$5)),OR(TRIM('Smart Search'!$L$6)="",TRIM('Smart Search'!$L$6)="All",ISNUMBER(SEARCH(SUBSTITUTE(SUBSTITUTE(SUBSTITUTE(TRIM('Smart Search'!$L$6),"~","~~"),"*","~*"),"?","~?"),'Project Database'!C439))),OR('Smart Search'!$L$7="",AND('Project Database'!E439&lt;&gt;"",'Project Database'!E439='Smart Search'!$L$7)),OR('Smart Search'!$L$8="",'Smart Search'!$L$8="All",TRIM('Project Database'!F439)=TRIM('Smart Search'!$L$8))),IF(BA435="","",BA435+ROW()*0.0000000001),"")</f>
        <v/>
      </c>
      <c r="BI435" s="5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>
        <f>IF('Project Database'!A439="","",N('Project Database'!AC439))</f>
        <v/>
      </c>
      <c r="BK435" s="5">
        <f>IF('Project Database'!A439="","",N('Project Database'!AD439))</f>
        <v/>
      </c>
      <c r="BL435" s="5">
        <f>IF('Project Database'!A439="","",N('Project Database'!AE439))</f>
        <v/>
      </c>
      <c r="BM435" s="5">
        <f>IF('Project Database'!A439="","",N('Project Database'!AF439))</f>
        <v/>
      </c>
      <c r="BN435" s="5">
        <f>IF('Project Database'!A439="","",N('Project Database'!AG439))</f>
        <v/>
      </c>
      <c r="BO435" s="5">
        <f>IF('Project Database'!A439="","",N('Project Database'!AH439))</f>
        <v/>
      </c>
      <c r="BP435" s="5">
        <f>IF('Project Database'!A439="","",N('Project Database'!AI439))</f>
        <v/>
      </c>
      <c r="BQ435" s="5">
        <f>IF('Project Database'!A439="","",N('Project Database'!AJ439))</f>
        <v/>
      </c>
      <c r="BR435" s="5">
        <f>IF('Project Database'!A439="","",N('Project Database'!AK439))</f>
        <v/>
      </c>
      <c r="BS435" s="5">
        <f>IF('Project Database'!A439="","",N('Project Database'!AL439))</f>
        <v/>
      </c>
      <c r="BT435" s="5">
        <f>IF('Project Database'!A439="","",N('Project Database'!AM439))</f>
        <v/>
      </c>
      <c r="BU435" s="5">
        <f>IF('Project Database'!A439="","",N('Project Database'!AN439))</f>
        <v/>
      </c>
      <c r="BV435" s="5">
        <f>IF('Project Database'!A439="","",N('Project Database'!AO439))</f>
        <v/>
      </c>
      <c r="BW435" s="5">
        <f>IF('Project Database'!A439="","",N('Project Database'!AP439))</f>
        <v/>
      </c>
      <c r="BX435" s="5">
        <f>IF(A435="","",SUM(BJ435:BW435))</f>
        <v/>
      </c>
      <c r="BY435" s="5">
        <f>IF(A435="","",IFERROR(IF(ISNUMBER(U435),U435,VALUE(SUBSTITUTE(SUBSTITUTE(SUBSTITUTE(UPPER(TRIM(U435)),"M",""),",","")," ",""))),0))</f>
        <v/>
      </c>
    </row>
    <row r="436" ht="15" customHeight="1" s="74">
      <c r="A436" s="66">
        <f>'Project Database'!A440</f>
        <v/>
      </c>
      <c r="B436" s="66">
        <f>'Project Database'!B440</f>
        <v/>
      </c>
      <c r="C436" s="66">
        <f>'Project Database'!G440</f>
        <v/>
      </c>
      <c r="D436" s="66">
        <f>'Project Database'!H440</f>
        <v/>
      </c>
      <c r="E436" s="66">
        <f>'Project Database'!I440</f>
        <v/>
      </c>
      <c r="F436" s="66">
        <f>'Project Database'!J440</f>
        <v/>
      </c>
      <c r="G436" s="66">
        <f>'Project Database'!K440</f>
        <v/>
      </c>
      <c r="H436" s="66">
        <f>'Project Database'!L440</f>
        <v/>
      </c>
      <c r="I436" s="66">
        <f>'Project Database'!M440</f>
        <v/>
      </c>
      <c r="J436" s="66">
        <f>'Project Database'!N440</f>
        <v/>
      </c>
      <c r="K436" s="66">
        <f>'Project Database'!O440</f>
        <v/>
      </c>
      <c r="L436" s="66">
        <f>'Project Database'!P440</f>
        <v/>
      </c>
      <c r="M436" s="66">
        <f>'Project Database'!Q440</f>
        <v/>
      </c>
      <c r="N436" s="66">
        <f>'Project Database'!R440</f>
        <v/>
      </c>
      <c r="O436" s="66">
        <f>'Project Database'!S440</f>
        <v/>
      </c>
      <c r="P436" s="66">
        <f>'Project Database'!T440</f>
        <v/>
      </c>
      <c r="Q436" s="66">
        <f>'Project Database'!U440</f>
        <v/>
      </c>
      <c r="R436" s="66">
        <f>'Project Database'!V440</f>
        <v/>
      </c>
      <c r="S436" s="66">
        <f>'Project Database'!W440</f>
        <v/>
      </c>
      <c r="T436" s="66">
        <f>'Project Database'!X440</f>
        <v/>
      </c>
      <c r="U436" s="67">
        <f>'Project Database'!Y440</f>
        <v/>
      </c>
      <c r="V436" s="66">
        <f>IF('Smart Search'!B13=1,IFERROR(1/'Smart Search'!H13,0),0)</f>
        <v/>
      </c>
      <c r="W436" s="66">
        <f>IF('Smart Search'!B13=1,IFERROR(1/'Smart Search'!H13,0),0)</f>
        <v/>
      </c>
      <c r="X436" s="66">
        <f>IF('Smart Search'!C13=1,IFERROR(1/'Smart Search'!H13,0),0)</f>
        <v/>
      </c>
      <c r="Y436" s="66">
        <f>IF('Smart Search'!C13=1,IFERROR(1/'Smart Search'!H13,0),0)</f>
        <v/>
      </c>
      <c r="Z436" s="66">
        <f>IF('Smart Search'!D13=1,IFERROR(1/'Smart Search'!H13,0),0)</f>
        <v/>
      </c>
      <c r="AA436" s="66">
        <f>IF('Smart Search'!D13=1,IFERROR(1/'Smart Search'!H13,0),0)</f>
        <v/>
      </c>
      <c r="AB436" s="66">
        <f>IF('Smart Search'!E13=1,IFERROR(1/'Smart Search'!H13,0),0)</f>
        <v/>
      </c>
      <c r="AC436" s="66">
        <f>IF('Smart Search'!E13=1,IFERROR(1/'Smart Search'!H13,0),0)</f>
        <v/>
      </c>
      <c r="AD436" s="66">
        <f>IF('Smart Search'!F13=1,IFERROR(1/'Smart Search'!H13,0),0)</f>
        <v/>
      </c>
      <c r="AE436" s="66">
        <f>IF('Smart Search'!F13=1,IFERROR(1/'Smart Search'!H13,0),0)</f>
        <v/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66">
        <f>AF436*V436</f>
        <v/>
      </c>
      <c r="AQ436" s="66">
        <f>AG436*W436</f>
        <v/>
      </c>
      <c r="AR436" s="66">
        <f>AH436*X436</f>
        <v/>
      </c>
      <c r="AS436" s="66">
        <f>AI436*Y436</f>
        <v/>
      </c>
      <c r="AT436" s="66">
        <f>AJ436*Z436</f>
        <v/>
      </c>
      <c r="AU436" s="66">
        <f>AK436*AA436</f>
        <v/>
      </c>
      <c r="AV436" s="66">
        <f>AL436*AB436</f>
        <v/>
      </c>
      <c r="AW436" s="66">
        <f>AM436*AC436</f>
        <v/>
      </c>
      <c r="AX436" s="66">
        <f>AN436*AD436</f>
        <v/>
      </c>
      <c r="AY436" s="66">
        <f>AO436*AE436</f>
        <v/>
      </c>
      <c r="AZ436" s="66">
        <f>'Project Database'!Z440</f>
        <v/>
      </c>
      <c r="BA436" s="66">
        <f>IF(OR(A436="",'Smart Search'!H13=0),"",MAX(0,BE436*BF436*MAX(0,1-BG436)))</f>
        <v/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66">
        <f>IF('Smart Search'!G13=1,IFERROR(1/'Smart Search'!H13,0),0)</f>
        <v/>
      </c>
      <c r="BD436" s="66">
        <f>BB436*BC436</f>
        <v/>
      </c>
      <c r="BE436" s="66">
        <f>AP436+AQ436+AR436+AS436+AT436+AU436+AV436+AW436+AX436+AY436+BD436</f>
        <v/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5">
        <f>IF(AND('Project Database'!A440&lt;&gt;"",OR('Smart Search'!$L$5="",'Smart Search'!$L$5="All",TRIM('Project Database'!D440)=TRIM('Smart Search'!$L$5)),OR(TRIM('Smart Search'!$L$6)="",TRIM('Smart Search'!$L$6)="All",ISNUMBER(SEARCH(SUBSTITUTE(SUBSTITUTE(SUBSTITUTE(TRIM('Smart Search'!$L$6),"~","~~"),"*","~*"),"?","~?"),'Project Database'!C440))),OR('Smart Search'!$L$7="",AND('Project Database'!E440&lt;&gt;"",'Project Database'!E440='Smart Search'!$L$7)),OR('Smart Search'!$L$8="",'Smart Search'!$L$8="All",TRIM('Project Database'!F440)=TRIM('Smart Search'!$L$8))),IF(BA436="","",BA436+ROW()*0.0000000001),"")</f>
        <v/>
      </c>
      <c r="BI436" s="5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>
        <f>IF('Project Database'!A440="","",N('Project Database'!AC440))</f>
        <v/>
      </c>
      <c r="BK436" s="5">
        <f>IF('Project Database'!A440="","",N('Project Database'!AD440))</f>
        <v/>
      </c>
      <c r="BL436" s="5">
        <f>IF('Project Database'!A440="","",N('Project Database'!AE440))</f>
        <v/>
      </c>
      <c r="BM436" s="5">
        <f>IF('Project Database'!A440="","",N('Project Database'!AF440))</f>
        <v/>
      </c>
      <c r="BN436" s="5">
        <f>IF('Project Database'!A440="","",N('Project Database'!AG440))</f>
        <v/>
      </c>
      <c r="BO436" s="5">
        <f>IF('Project Database'!A440="","",N('Project Database'!AH440))</f>
        <v/>
      </c>
      <c r="BP436" s="5">
        <f>IF('Project Database'!A440="","",N('Project Database'!AI440))</f>
        <v/>
      </c>
      <c r="BQ436" s="5">
        <f>IF('Project Database'!A440="","",N('Project Database'!AJ440))</f>
        <v/>
      </c>
      <c r="BR436" s="5">
        <f>IF('Project Database'!A440="","",N('Project Database'!AK440))</f>
        <v/>
      </c>
      <c r="BS436" s="5">
        <f>IF('Project Database'!A440="","",N('Project Database'!AL440))</f>
        <v/>
      </c>
      <c r="BT436" s="5">
        <f>IF('Project Database'!A440="","",N('Project Database'!AM440))</f>
        <v/>
      </c>
      <c r="BU436" s="5">
        <f>IF('Project Database'!A440="","",N('Project Database'!AN440))</f>
        <v/>
      </c>
      <c r="BV436" s="5">
        <f>IF('Project Database'!A440="","",N('Project Database'!AO440))</f>
        <v/>
      </c>
      <c r="BW436" s="5">
        <f>IF('Project Database'!A440="","",N('Project Database'!AP440))</f>
        <v/>
      </c>
      <c r="BX436" s="5">
        <f>IF(A436="","",SUM(BJ436:BW436))</f>
        <v/>
      </c>
      <c r="BY436" s="5">
        <f>IF(A436="","",IFERROR(IF(ISNUMBER(U436),U436,VALUE(SUBSTITUTE(SUBSTITUTE(SUBSTITUTE(UPPER(TRIM(U436)),"M",""),",","")," ",""))),0))</f>
        <v/>
      </c>
    </row>
    <row r="437" ht="15" customHeight="1" s="74">
      <c r="A437" s="66">
        <f>'Project Database'!A441</f>
        <v/>
      </c>
      <c r="B437" s="66">
        <f>'Project Database'!B441</f>
        <v/>
      </c>
      <c r="C437" s="66">
        <f>'Project Database'!G441</f>
        <v/>
      </c>
      <c r="D437" s="66">
        <f>'Project Database'!H441</f>
        <v/>
      </c>
      <c r="E437" s="66">
        <f>'Project Database'!I441</f>
        <v/>
      </c>
      <c r="F437" s="66">
        <f>'Project Database'!J441</f>
        <v/>
      </c>
      <c r="G437" s="66">
        <f>'Project Database'!K441</f>
        <v/>
      </c>
      <c r="H437" s="66">
        <f>'Project Database'!L441</f>
        <v/>
      </c>
      <c r="I437" s="66">
        <f>'Project Database'!M441</f>
        <v/>
      </c>
      <c r="J437" s="66">
        <f>'Project Database'!N441</f>
        <v/>
      </c>
      <c r="K437" s="66">
        <f>'Project Database'!O441</f>
        <v/>
      </c>
      <c r="L437" s="66">
        <f>'Project Database'!P441</f>
        <v/>
      </c>
      <c r="M437" s="66">
        <f>'Project Database'!Q441</f>
        <v/>
      </c>
      <c r="N437" s="66">
        <f>'Project Database'!R441</f>
        <v/>
      </c>
      <c r="O437" s="66">
        <f>'Project Database'!S441</f>
        <v/>
      </c>
      <c r="P437" s="66">
        <f>'Project Database'!T441</f>
        <v/>
      </c>
      <c r="Q437" s="66">
        <f>'Project Database'!U441</f>
        <v/>
      </c>
      <c r="R437" s="66">
        <f>'Project Database'!V441</f>
        <v/>
      </c>
      <c r="S437" s="66">
        <f>'Project Database'!W441</f>
        <v/>
      </c>
      <c r="T437" s="66">
        <f>'Project Database'!X441</f>
        <v/>
      </c>
      <c r="U437" s="67">
        <f>'Project Database'!Y441</f>
        <v/>
      </c>
      <c r="V437" s="66">
        <f>IF('Smart Search'!B13=1,IFERROR(1/'Smart Search'!H13,0),0)</f>
        <v/>
      </c>
      <c r="W437" s="66">
        <f>IF('Smart Search'!B13=1,IFERROR(1/'Smart Search'!H13,0),0)</f>
        <v/>
      </c>
      <c r="X437" s="66">
        <f>IF('Smart Search'!C13=1,IFERROR(1/'Smart Search'!H13,0),0)</f>
        <v/>
      </c>
      <c r="Y437" s="66">
        <f>IF('Smart Search'!C13=1,IFERROR(1/'Smart Search'!H13,0),0)</f>
        <v/>
      </c>
      <c r="Z437" s="66">
        <f>IF('Smart Search'!D13=1,IFERROR(1/'Smart Search'!H13,0),0)</f>
        <v/>
      </c>
      <c r="AA437" s="66">
        <f>IF('Smart Search'!D13=1,IFERROR(1/'Smart Search'!H13,0),0)</f>
        <v/>
      </c>
      <c r="AB437" s="66">
        <f>IF('Smart Search'!E13=1,IFERROR(1/'Smart Search'!H13,0),0)</f>
        <v/>
      </c>
      <c r="AC437" s="66">
        <f>IF('Smart Search'!E13=1,IFERROR(1/'Smart Search'!H13,0),0)</f>
        <v/>
      </c>
      <c r="AD437" s="66">
        <f>IF('Smart Search'!F13=1,IFERROR(1/'Smart Search'!H13,0),0)</f>
        <v/>
      </c>
      <c r="AE437" s="66">
        <f>IF('Smart Search'!F13=1,IFERROR(1/'Smart Search'!H13,0),0)</f>
        <v/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66">
        <f>AF437*V437</f>
        <v/>
      </c>
      <c r="AQ437" s="66">
        <f>AG437*W437</f>
        <v/>
      </c>
      <c r="AR437" s="66">
        <f>AH437*X437</f>
        <v/>
      </c>
      <c r="AS437" s="66">
        <f>AI437*Y437</f>
        <v/>
      </c>
      <c r="AT437" s="66">
        <f>AJ437*Z437</f>
        <v/>
      </c>
      <c r="AU437" s="66">
        <f>AK437*AA437</f>
        <v/>
      </c>
      <c r="AV437" s="66">
        <f>AL437*AB437</f>
        <v/>
      </c>
      <c r="AW437" s="66">
        <f>AM437*AC437</f>
        <v/>
      </c>
      <c r="AX437" s="66">
        <f>AN437*AD437</f>
        <v/>
      </c>
      <c r="AY437" s="66">
        <f>AO437*AE437</f>
        <v/>
      </c>
      <c r="AZ437" s="66">
        <f>'Project Database'!Z441</f>
        <v/>
      </c>
      <c r="BA437" s="66">
        <f>IF(OR(A437="",'Smart Search'!H13=0),"",MAX(0,BE437*BF437*MAX(0,1-BG437)))</f>
        <v/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66">
        <f>IF('Smart Search'!G13=1,IFERROR(1/'Smart Search'!H13,0),0)</f>
        <v/>
      </c>
      <c r="BD437" s="66">
        <f>BB437*BC437</f>
        <v/>
      </c>
      <c r="BE437" s="66">
        <f>AP437+AQ437+AR437+AS437+AT437+AU437+AV437+AW437+AX437+AY437+BD437</f>
        <v/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5">
        <f>IF(AND('Project Database'!A441&lt;&gt;"",OR('Smart Search'!$L$5="",'Smart Search'!$L$5="All",TRIM('Project Database'!D441)=TRIM('Smart Search'!$L$5)),OR(TRIM('Smart Search'!$L$6)="",TRIM('Smart Search'!$L$6)="All",ISNUMBER(SEARCH(SUBSTITUTE(SUBSTITUTE(SUBSTITUTE(TRIM('Smart Search'!$L$6),"~","~~"),"*","~*"),"?","~?"),'Project Database'!C441))),OR('Smart Search'!$L$7="",AND('Project Database'!E441&lt;&gt;"",'Project Database'!E441='Smart Search'!$L$7)),OR('Smart Search'!$L$8="",'Smart Search'!$L$8="All",TRIM('Project Database'!F441)=TRIM('Smart Search'!$L$8))),IF(BA437="","",BA437+ROW()*0.0000000001),"")</f>
        <v/>
      </c>
      <c r="BI437" s="5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>
        <f>IF('Project Database'!A441="","",N('Project Database'!AC441))</f>
        <v/>
      </c>
      <c r="BK437" s="5">
        <f>IF('Project Database'!A441="","",N('Project Database'!AD441))</f>
        <v/>
      </c>
      <c r="BL437" s="5">
        <f>IF('Project Database'!A441="","",N('Project Database'!AE441))</f>
        <v/>
      </c>
      <c r="BM437" s="5">
        <f>IF('Project Database'!A441="","",N('Project Database'!AF441))</f>
        <v/>
      </c>
      <c r="BN437" s="5">
        <f>IF('Project Database'!A441="","",N('Project Database'!AG441))</f>
        <v/>
      </c>
      <c r="BO437" s="5">
        <f>IF('Project Database'!A441="","",N('Project Database'!AH441))</f>
        <v/>
      </c>
      <c r="BP437" s="5">
        <f>IF('Project Database'!A441="","",N('Project Database'!AI441))</f>
        <v/>
      </c>
      <c r="BQ437" s="5">
        <f>IF('Project Database'!A441="","",N('Project Database'!AJ441))</f>
        <v/>
      </c>
      <c r="BR437" s="5">
        <f>IF('Project Database'!A441="","",N('Project Database'!AK441))</f>
        <v/>
      </c>
      <c r="BS437" s="5">
        <f>IF('Project Database'!A441="","",N('Project Database'!AL441))</f>
        <v/>
      </c>
      <c r="BT437" s="5">
        <f>IF('Project Database'!A441="","",N('Project Database'!AM441))</f>
        <v/>
      </c>
      <c r="BU437" s="5">
        <f>IF('Project Database'!A441="","",N('Project Database'!AN441))</f>
        <v/>
      </c>
      <c r="BV437" s="5">
        <f>IF('Project Database'!A441="","",N('Project Database'!AO441))</f>
        <v/>
      </c>
      <c r="BW437" s="5">
        <f>IF('Project Database'!A441="","",N('Project Database'!AP441))</f>
        <v/>
      </c>
      <c r="BX437" s="5">
        <f>IF(A437="","",SUM(BJ437:BW437))</f>
        <v/>
      </c>
      <c r="BY437" s="5">
        <f>IF(A437="","",IFERROR(IF(ISNUMBER(U437),U437,VALUE(SUBSTITUTE(SUBSTITUTE(SUBSTITUTE(UPPER(TRIM(U437)),"M",""),",","")," ",""))),0))</f>
        <v/>
      </c>
    </row>
    <row r="438" ht="15" customHeight="1" s="74">
      <c r="A438" s="66">
        <f>'Project Database'!A442</f>
        <v/>
      </c>
      <c r="B438" s="66">
        <f>'Project Database'!B442</f>
        <v/>
      </c>
      <c r="C438" s="66">
        <f>'Project Database'!G442</f>
        <v/>
      </c>
      <c r="D438" s="66">
        <f>'Project Database'!H442</f>
        <v/>
      </c>
      <c r="E438" s="66">
        <f>'Project Database'!I442</f>
        <v/>
      </c>
      <c r="F438" s="66">
        <f>'Project Database'!J442</f>
        <v/>
      </c>
      <c r="G438" s="66">
        <f>'Project Database'!K442</f>
        <v/>
      </c>
      <c r="H438" s="66">
        <f>'Project Database'!L442</f>
        <v/>
      </c>
      <c r="I438" s="66">
        <f>'Project Database'!M442</f>
        <v/>
      </c>
      <c r="J438" s="66">
        <f>'Project Database'!N442</f>
        <v/>
      </c>
      <c r="K438" s="66">
        <f>'Project Database'!O442</f>
        <v/>
      </c>
      <c r="L438" s="66">
        <f>'Project Database'!P442</f>
        <v/>
      </c>
      <c r="M438" s="66">
        <f>'Project Database'!Q442</f>
        <v/>
      </c>
      <c r="N438" s="66">
        <f>'Project Database'!R442</f>
        <v/>
      </c>
      <c r="O438" s="66">
        <f>'Project Database'!S442</f>
        <v/>
      </c>
      <c r="P438" s="66">
        <f>'Project Database'!T442</f>
        <v/>
      </c>
      <c r="Q438" s="66">
        <f>'Project Database'!U442</f>
        <v/>
      </c>
      <c r="R438" s="66">
        <f>'Project Database'!V442</f>
        <v/>
      </c>
      <c r="S438" s="66">
        <f>'Project Database'!W442</f>
        <v/>
      </c>
      <c r="T438" s="66">
        <f>'Project Database'!X442</f>
        <v/>
      </c>
      <c r="U438" s="67">
        <f>'Project Database'!Y442</f>
        <v/>
      </c>
      <c r="V438" s="66">
        <f>IF('Smart Search'!B13=1,IFERROR(1/'Smart Search'!H13,0),0)</f>
        <v/>
      </c>
      <c r="W438" s="66">
        <f>IF('Smart Search'!B13=1,IFERROR(1/'Smart Search'!H13,0),0)</f>
        <v/>
      </c>
      <c r="X438" s="66">
        <f>IF('Smart Search'!C13=1,IFERROR(1/'Smart Search'!H13,0),0)</f>
        <v/>
      </c>
      <c r="Y438" s="66">
        <f>IF('Smart Search'!C13=1,IFERROR(1/'Smart Search'!H13,0),0)</f>
        <v/>
      </c>
      <c r="Z438" s="66">
        <f>IF('Smart Search'!D13=1,IFERROR(1/'Smart Search'!H13,0),0)</f>
        <v/>
      </c>
      <c r="AA438" s="66">
        <f>IF('Smart Search'!D13=1,IFERROR(1/'Smart Search'!H13,0),0)</f>
        <v/>
      </c>
      <c r="AB438" s="66">
        <f>IF('Smart Search'!E13=1,IFERROR(1/'Smart Search'!H13,0),0)</f>
        <v/>
      </c>
      <c r="AC438" s="66">
        <f>IF('Smart Search'!E13=1,IFERROR(1/'Smart Search'!H13,0),0)</f>
        <v/>
      </c>
      <c r="AD438" s="66">
        <f>IF('Smart Search'!F13=1,IFERROR(1/'Smart Search'!H13,0),0)</f>
        <v/>
      </c>
      <c r="AE438" s="66">
        <f>IF('Smart Search'!F13=1,IFERROR(1/'Smart Search'!H13,0),0)</f>
        <v/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66">
        <f>AF438*V438</f>
        <v/>
      </c>
      <c r="AQ438" s="66">
        <f>AG438*W438</f>
        <v/>
      </c>
      <c r="AR438" s="66">
        <f>AH438*X438</f>
        <v/>
      </c>
      <c r="AS438" s="66">
        <f>AI438*Y438</f>
        <v/>
      </c>
      <c r="AT438" s="66">
        <f>AJ438*Z438</f>
        <v/>
      </c>
      <c r="AU438" s="66">
        <f>AK438*AA438</f>
        <v/>
      </c>
      <c r="AV438" s="66">
        <f>AL438*AB438</f>
        <v/>
      </c>
      <c r="AW438" s="66">
        <f>AM438*AC438</f>
        <v/>
      </c>
      <c r="AX438" s="66">
        <f>AN438*AD438</f>
        <v/>
      </c>
      <c r="AY438" s="66">
        <f>AO438*AE438</f>
        <v/>
      </c>
      <c r="AZ438" s="66">
        <f>'Project Database'!Z442</f>
        <v/>
      </c>
      <c r="BA438" s="66">
        <f>IF(OR(A438="",'Smart Search'!H13=0),"",MAX(0,BE438*BF438*MAX(0,1-BG438)))</f>
        <v/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66">
        <f>IF('Smart Search'!G13=1,IFERROR(1/'Smart Search'!H13,0),0)</f>
        <v/>
      </c>
      <c r="BD438" s="66">
        <f>BB438*BC438</f>
        <v/>
      </c>
      <c r="BE438" s="66">
        <f>AP438+AQ438+AR438+AS438+AT438+AU438+AV438+AW438+AX438+AY438+BD438</f>
        <v/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5">
        <f>IF(AND('Project Database'!A442&lt;&gt;"",OR('Smart Search'!$L$5="",'Smart Search'!$L$5="All",TRIM('Project Database'!D442)=TRIM('Smart Search'!$L$5)),OR(TRIM('Smart Search'!$L$6)="",TRIM('Smart Search'!$L$6)="All",ISNUMBER(SEARCH(SUBSTITUTE(SUBSTITUTE(SUBSTITUTE(TRIM('Smart Search'!$L$6),"~","~~"),"*","~*"),"?","~?"),'Project Database'!C442))),OR('Smart Search'!$L$7="",AND('Project Database'!E442&lt;&gt;"",'Project Database'!E442='Smart Search'!$L$7)),OR('Smart Search'!$L$8="",'Smart Search'!$L$8="All",TRIM('Project Database'!F442)=TRIM('Smart Search'!$L$8))),IF(BA438="","",BA438+ROW()*0.0000000001),"")</f>
        <v/>
      </c>
      <c r="BI438" s="5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>
        <f>IF('Project Database'!A442="","",N('Project Database'!AC442))</f>
        <v/>
      </c>
      <c r="BK438" s="5">
        <f>IF('Project Database'!A442="","",N('Project Database'!AD442))</f>
        <v/>
      </c>
      <c r="BL438" s="5">
        <f>IF('Project Database'!A442="","",N('Project Database'!AE442))</f>
        <v/>
      </c>
      <c r="BM438" s="5">
        <f>IF('Project Database'!A442="","",N('Project Database'!AF442))</f>
        <v/>
      </c>
      <c r="BN438" s="5">
        <f>IF('Project Database'!A442="","",N('Project Database'!AG442))</f>
        <v/>
      </c>
      <c r="BO438" s="5">
        <f>IF('Project Database'!A442="","",N('Project Database'!AH442))</f>
        <v/>
      </c>
      <c r="BP438" s="5">
        <f>IF('Project Database'!A442="","",N('Project Database'!AI442))</f>
        <v/>
      </c>
      <c r="BQ438" s="5">
        <f>IF('Project Database'!A442="","",N('Project Database'!AJ442))</f>
        <v/>
      </c>
      <c r="BR438" s="5">
        <f>IF('Project Database'!A442="","",N('Project Database'!AK442))</f>
        <v/>
      </c>
      <c r="BS438" s="5">
        <f>IF('Project Database'!A442="","",N('Project Database'!AL442))</f>
        <v/>
      </c>
      <c r="BT438" s="5">
        <f>IF('Project Database'!A442="","",N('Project Database'!AM442))</f>
        <v/>
      </c>
      <c r="BU438" s="5">
        <f>IF('Project Database'!A442="","",N('Project Database'!AN442))</f>
        <v/>
      </c>
      <c r="BV438" s="5">
        <f>IF('Project Database'!A442="","",N('Project Database'!AO442))</f>
        <v/>
      </c>
      <c r="BW438" s="5">
        <f>IF('Project Database'!A442="","",N('Project Database'!AP442))</f>
        <v/>
      </c>
      <c r="BX438" s="5">
        <f>IF(A438="","",SUM(BJ438:BW438))</f>
        <v/>
      </c>
      <c r="BY438" s="5">
        <f>IF(A438="","",IFERROR(IF(ISNUMBER(U438),U438,VALUE(SUBSTITUTE(SUBSTITUTE(SUBSTITUTE(UPPER(TRIM(U438)),"M",""),",","")," ",""))),0))</f>
        <v/>
      </c>
    </row>
    <row r="439" ht="15" customHeight="1" s="74">
      <c r="A439" s="66">
        <f>'Project Database'!A443</f>
        <v/>
      </c>
      <c r="B439" s="66">
        <f>'Project Database'!B443</f>
        <v/>
      </c>
      <c r="C439" s="66">
        <f>'Project Database'!G443</f>
        <v/>
      </c>
      <c r="D439" s="66">
        <f>'Project Database'!H443</f>
        <v/>
      </c>
      <c r="E439" s="66">
        <f>'Project Database'!I443</f>
        <v/>
      </c>
      <c r="F439" s="66">
        <f>'Project Database'!J443</f>
        <v/>
      </c>
      <c r="G439" s="66">
        <f>'Project Database'!K443</f>
        <v/>
      </c>
      <c r="H439" s="66">
        <f>'Project Database'!L443</f>
        <v/>
      </c>
      <c r="I439" s="66">
        <f>'Project Database'!M443</f>
        <v/>
      </c>
      <c r="J439" s="66">
        <f>'Project Database'!N443</f>
        <v/>
      </c>
      <c r="K439" s="66">
        <f>'Project Database'!O443</f>
        <v/>
      </c>
      <c r="L439" s="66">
        <f>'Project Database'!P443</f>
        <v/>
      </c>
      <c r="M439" s="66">
        <f>'Project Database'!Q443</f>
        <v/>
      </c>
      <c r="N439" s="66">
        <f>'Project Database'!R443</f>
        <v/>
      </c>
      <c r="O439" s="66">
        <f>'Project Database'!S443</f>
        <v/>
      </c>
      <c r="P439" s="66">
        <f>'Project Database'!T443</f>
        <v/>
      </c>
      <c r="Q439" s="66">
        <f>'Project Database'!U443</f>
        <v/>
      </c>
      <c r="R439" s="66">
        <f>'Project Database'!V443</f>
        <v/>
      </c>
      <c r="S439" s="66">
        <f>'Project Database'!W443</f>
        <v/>
      </c>
      <c r="T439" s="66">
        <f>'Project Database'!X443</f>
        <v/>
      </c>
      <c r="U439" s="67">
        <f>'Project Database'!Y443</f>
        <v/>
      </c>
      <c r="V439" s="66">
        <f>IF('Smart Search'!B13=1,IFERROR(1/'Smart Search'!H13,0),0)</f>
        <v/>
      </c>
      <c r="W439" s="66">
        <f>IF('Smart Search'!B13=1,IFERROR(1/'Smart Search'!H13,0),0)</f>
        <v/>
      </c>
      <c r="X439" s="66">
        <f>IF('Smart Search'!C13=1,IFERROR(1/'Smart Search'!H13,0),0)</f>
        <v/>
      </c>
      <c r="Y439" s="66">
        <f>IF('Smart Search'!C13=1,IFERROR(1/'Smart Search'!H13,0),0)</f>
        <v/>
      </c>
      <c r="Z439" s="66">
        <f>IF('Smart Search'!D13=1,IFERROR(1/'Smart Search'!H13,0),0)</f>
        <v/>
      </c>
      <c r="AA439" s="66">
        <f>IF('Smart Search'!D13=1,IFERROR(1/'Smart Search'!H13,0),0)</f>
        <v/>
      </c>
      <c r="AB439" s="66">
        <f>IF('Smart Search'!E13=1,IFERROR(1/'Smart Search'!H13,0),0)</f>
        <v/>
      </c>
      <c r="AC439" s="66">
        <f>IF('Smart Search'!E13=1,IFERROR(1/'Smart Search'!H13,0),0)</f>
        <v/>
      </c>
      <c r="AD439" s="66">
        <f>IF('Smart Search'!F13=1,IFERROR(1/'Smart Search'!H13,0),0)</f>
        <v/>
      </c>
      <c r="AE439" s="66">
        <f>IF('Smart Search'!F13=1,IFERROR(1/'Smart Search'!H13,0),0)</f>
        <v/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66">
        <f>AF439*V439</f>
        <v/>
      </c>
      <c r="AQ439" s="66">
        <f>AG439*W439</f>
        <v/>
      </c>
      <c r="AR439" s="66">
        <f>AH439*X439</f>
        <v/>
      </c>
      <c r="AS439" s="66">
        <f>AI439*Y439</f>
        <v/>
      </c>
      <c r="AT439" s="66">
        <f>AJ439*Z439</f>
        <v/>
      </c>
      <c r="AU439" s="66">
        <f>AK439*AA439</f>
        <v/>
      </c>
      <c r="AV439" s="66">
        <f>AL439*AB439</f>
        <v/>
      </c>
      <c r="AW439" s="66">
        <f>AM439*AC439</f>
        <v/>
      </c>
      <c r="AX439" s="66">
        <f>AN439*AD439</f>
        <v/>
      </c>
      <c r="AY439" s="66">
        <f>AO439*AE439</f>
        <v/>
      </c>
      <c r="AZ439" s="66">
        <f>'Project Database'!Z443</f>
        <v/>
      </c>
      <c r="BA439" s="66">
        <f>IF(OR(A439="",'Smart Search'!H13=0),"",MAX(0,BE439*BF439*MAX(0,1-BG439)))</f>
        <v/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66">
        <f>IF('Smart Search'!G13=1,IFERROR(1/'Smart Search'!H13,0),0)</f>
        <v/>
      </c>
      <c r="BD439" s="66">
        <f>BB439*BC439</f>
        <v/>
      </c>
      <c r="BE439" s="66">
        <f>AP439+AQ439+AR439+AS439+AT439+AU439+AV439+AW439+AX439+AY439+BD439</f>
        <v/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5">
        <f>IF(AND('Project Database'!A443&lt;&gt;"",OR('Smart Search'!$L$5="",'Smart Search'!$L$5="All",TRIM('Project Database'!D443)=TRIM('Smart Search'!$L$5)),OR(TRIM('Smart Search'!$L$6)="",TRIM('Smart Search'!$L$6)="All",ISNUMBER(SEARCH(SUBSTITUTE(SUBSTITUTE(SUBSTITUTE(TRIM('Smart Search'!$L$6),"~","~~"),"*","~*"),"?","~?"),'Project Database'!C443))),OR('Smart Search'!$L$7="",AND('Project Database'!E443&lt;&gt;"",'Project Database'!E443='Smart Search'!$L$7)),OR('Smart Search'!$L$8="",'Smart Search'!$L$8="All",TRIM('Project Database'!F443)=TRIM('Smart Search'!$L$8))),IF(BA439="","",BA439+ROW()*0.0000000001),"")</f>
        <v/>
      </c>
      <c r="BI439" s="5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>
        <f>IF('Project Database'!A443="","",N('Project Database'!AC443))</f>
        <v/>
      </c>
      <c r="BK439" s="5">
        <f>IF('Project Database'!A443="","",N('Project Database'!AD443))</f>
        <v/>
      </c>
      <c r="BL439" s="5">
        <f>IF('Project Database'!A443="","",N('Project Database'!AE443))</f>
        <v/>
      </c>
      <c r="BM439" s="5">
        <f>IF('Project Database'!A443="","",N('Project Database'!AF443))</f>
        <v/>
      </c>
      <c r="BN439" s="5">
        <f>IF('Project Database'!A443="","",N('Project Database'!AG443))</f>
        <v/>
      </c>
      <c r="BO439" s="5">
        <f>IF('Project Database'!A443="","",N('Project Database'!AH443))</f>
        <v/>
      </c>
      <c r="BP439" s="5">
        <f>IF('Project Database'!A443="","",N('Project Database'!AI443))</f>
        <v/>
      </c>
      <c r="BQ439" s="5">
        <f>IF('Project Database'!A443="","",N('Project Database'!AJ443))</f>
        <v/>
      </c>
      <c r="BR439" s="5">
        <f>IF('Project Database'!A443="","",N('Project Database'!AK443))</f>
        <v/>
      </c>
      <c r="BS439" s="5">
        <f>IF('Project Database'!A443="","",N('Project Database'!AL443))</f>
        <v/>
      </c>
      <c r="BT439" s="5">
        <f>IF('Project Database'!A443="","",N('Project Database'!AM443))</f>
        <v/>
      </c>
      <c r="BU439" s="5">
        <f>IF('Project Database'!A443="","",N('Project Database'!AN443))</f>
        <v/>
      </c>
      <c r="BV439" s="5">
        <f>IF('Project Database'!A443="","",N('Project Database'!AO443))</f>
        <v/>
      </c>
      <c r="BW439" s="5">
        <f>IF('Project Database'!A443="","",N('Project Database'!AP443))</f>
        <v/>
      </c>
      <c r="BX439" s="5">
        <f>IF(A439="","",SUM(BJ439:BW439))</f>
        <v/>
      </c>
      <c r="BY439" s="5">
        <f>IF(A439="","",IFERROR(IF(ISNUMBER(U439),U439,VALUE(SUBSTITUTE(SUBSTITUTE(SUBSTITUTE(UPPER(TRIM(U439)),"M",""),",","")," ",""))),0))</f>
        <v/>
      </c>
    </row>
    <row r="440" ht="15" customHeight="1" s="74">
      <c r="A440" s="66">
        <f>'Project Database'!A444</f>
        <v/>
      </c>
      <c r="B440" s="66">
        <f>'Project Database'!B444</f>
        <v/>
      </c>
      <c r="C440" s="66">
        <f>'Project Database'!G444</f>
        <v/>
      </c>
      <c r="D440" s="66">
        <f>'Project Database'!H444</f>
        <v/>
      </c>
      <c r="E440" s="66">
        <f>'Project Database'!I444</f>
        <v/>
      </c>
      <c r="F440" s="66">
        <f>'Project Database'!J444</f>
        <v/>
      </c>
      <c r="G440" s="66">
        <f>'Project Database'!K444</f>
        <v/>
      </c>
      <c r="H440" s="66">
        <f>'Project Database'!L444</f>
        <v/>
      </c>
      <c r="I440" s="66">
        <f>'Project Database'!M444</f>
        <v/>
      </c>
      <c r="J440" s="66">
        <f>'Project Database'!N444</f>
        <v/>
      </c>
      <c r="K440" s="66">
        <f>'Project Database'!O444</f>
        <v/>
      </c>
      <c r="L440" s="66">
        <f>'Project Database'!P444</f>
        <v/>
      </c>
      <c r="M440" s="66">
        <f>'Project Database'!Q444</f>
        <v/>
      </c>
      <c r="N440" s="66">
        <f>'Project Database'!R444</f>
        <v/>
      </c>
      <c r="O440" s="66">
        <f>'Project Database'!S444</f>
        <v/>
      </c>
      <c r="P440" s="66">
        <f>'Project Database'!T444</f>
        <v/>
      </c>
      <c r="Q440" s="66">
        <f>'Project Database'!U444</f>
        <v/>
      </c>
      <c r="R440" s="66">
        <f>'Project Database'!V444</f>
        <v/>
      </c>
      <c r="S440" s="66">
        <f>'Project Database'!W444</f>
        <v/>
      </c>
      <c r="T440" s="66">
        <f>'Project Database'!X444</f>
        <v/>
      </c>
      <c r="U440" s="67">
        <f>'Project Database'!Y444</f>
        <v/>
      </c>
      <c r="V440" s="66">
        <f>IF('Smart Search'!B13=1,IFERROR(1/'Smart Search'!H13,0),0)</f>
        <v/>
      </c>
      <c r="W440" s="66">
        <f>IF('Smart Search'!B13=1,IFERROR(1/'Smart Search'!H13,0),0)</f>
        <v/>
      </c>
      <c r="X440" s="66">
        <f>IF('Smart Search'!C13=1,IFERROR(1/'Smart Search'!H13,0),0)</f>
        <v/>
      </c>
      <c r="Y440" s="66">
        <f>IF('Smart Search'!C13=1,IFERROR(1/'Smart Search'!H13,0),0)</f>
        <v/>
      </c>
      <c r="Z440" s="66">
        <f>IF('Smart Search'!D13=1,IFERROR(1/'Smart Search'!H13,0),0)</f>
        <v/>
      </c>
      <c r="AA440" s="66">
        <f>IF('Smart Search'!D13=1,IFERROR(1/'Smart Search'!H13,0),0)</f>
        <v/>
      </c>
      <c r="AB440" s="66">
        <f>IF('Smart Search'!E13=1,IFERROR(1/'Smart Search'!H13,0),0)</f>
        <v/>
      </c>
      <c r="AC440" s="66">
        <f>IF('Smart Search'!E13=1,IFERROR(1/'Smart Search'!H13,0),0)</f>
        <v/>
      </c>
      <c r="AD440" s="66">
        <f>IF('Smart Search'!F13=1,IFERROR(1/'Smart Search'!H13,0),0)</f>
        <v/>
      </c>
      <c r="AE440" s="66">
        <f>IF('Smart Search'!F13=1,IFERROR(1/'Smart Search'!H13,0),0)</f>
        <v/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66">
        <f>AF440*V440</f>
        <v/>
      </c>
      <c r="AQ440" s="66">
        <f>AG440*W440</f>
        <v/>
      </c>
      <c r="AR440" s="66">
        <f>AH440*X440</f>
        <v/>
      </c>
      <c r="AS440" s="66">
        <f>AI440*Y440</f>
        <v/>
      </c>
      <c r="AT440" s="66">
        <f>AJ440*Z440</f>
        <v/>
      </c>
      <c r="AU440" s="66">
        <f>AK440*AA440</f>
        <v/>
      </c>
      <c r="AV440" s="66">
        <f>AL440*AB440</f>
        <v/>
      </c>
      <c r="AW440" s="66">
        <f>AM440*AC440</f>
        <v/>
      </c>
      <c r="AX440" s="66">
        <f>AN440*AD440</f>
        <v/>
      </c>
      <c r="AY440" s="66">
        <f>AO440*AE440</f>
        <v/>
      </c>
      <c r="AZ440" s="66">
        <f>'Project Database'!Z444</f>
        <v/>
      </c>
      <c r="BA440" s="66">
        <f>IF(OR(A440="",'Smart Search'!H13=0),"",MAX(0,BE440*BF440*MAX(0,1-BG440)))</f>
        <v/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66">
        <f>IF('Smart Search'!G13=1,IFERROR(1/'Smart Search'!H13,0),0)</f>
        <v/>
      </c>
      <c r="BD440" s="66">
        <f>BB440*BC440</f>
        <v/>
      </c>
      <c r="BE440" s="66">
        <f>AP440+AQ440+AR440+AS440+AT440+AU440+AV440+AW440+AX440+AY440+BD440</f>
        <v/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5">
        <f>IF(AND('Project Database'!A444&lt;&gt;"",OR('Smart Search'!$L$5="",'Smart Search'!$L$5="All",TRIM('Project Database'!D444)=TRIM('Smart Search'!$L$5)),OR(TRIM('Smart Search'!$L$6)="",TRIM('Smart Search'!$L$6)="All",ISNUMBER(SEARCH(SUBSTITUTE(SUBSTITUTE(SUBSTITUTE(TRIM('Smart Search'!$L$6),"~","~~"),"*","~*"),"?","~?"),'Project Database'!C444))),OR('Smart Search'!$L$7="",AND('Project Database'!E444&lt;&gt;"",'Project Database'!E444='Smart Search'!$L$7)),OR('Smart Search'!$L$8="",'Smart Search'!$L$8="All",TRIM('Project Database'!F444)=TRIM('Smart Search'!$L$8))),IF(BA440="","",BA440+ROW()*0.0000000001),"")</f>
        <v/>
      </c>
      <c r="BI440" s="5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>
        <f>IF('Project Database'!A444="","",N('Project Database'!AC444))</f>
        <v/>
      </c>
      <c r="BK440" s="5">
        <f>IF('Project Database'!A444="","",N('Project Database'!AD444))</f>
        <v/>
      </c>
      <c r="BL440" s="5">
        <f>IF('Project Database'!A444="","",N('Project Database'!AE444))</f>
        <v/>
      </c>
      <c r="BM440" s="5">
        <f>IF('Project Database'!A444="","",N('Project Database'!AF444))</f>
        <v/>
      </c>
      <c r="BN440" s="5">
        <f>IF('Project Database'!A444="","",N('Project Database'!AG444))</f>
        <v/>
      </c>
      <c r="BO440" s="5">
        <f>IF('Project Database'!A444="","",N('Project Database'!AH444))</f>
        <v/>
      </c>
      <c r="BP440" s="5">
        <f>IF('Project Database'!A444="","",N('Project Database'!AI444))</f>
        <v/>
      </c>
      <c r="BQ440" s="5">
        <f>IF('Project Database'!A444="","",N('Project Database'!AJ444))</f>
        <v/>
      </c>
      <c r="BR440" s="5">
        <f>IF('Project Database'!A444="","",N('Project Database'!AK444))</f>
        <v/>
      </c>
      <c r="BS440" s="5">
        <f>IF('Project Database'!A444="","",N('Project Database'!AL444))</f>
        <v/>
      </c>
      <c r="BT440" s="5">
        <f>IF('Project Database'!A444="","",N('Project Database'!AM444))</f>
        <v/>
      </c>
      <c r="BU440" s="5">
        <f>IF('Project Database'!A444="","",N('Project Database'!AN444))</f>
        <v/>
      </c>
      <c r="BV440" s="5">
        <f>IF('Project Database'!A444="","",N('Project Database'!AO444))</f>
        <v/>
      </c>
      <c r="BW440" s="5">
        <f>IF('Project Database'!A444="","",N('Project Database'!AP444))</f>
        <v/>
      </c>
      <c r="BX440" s="5">
        <f>IF(A440="","",SUM(BJ440:BW440))</f>
        <v/>
      </c>
      <c r="BY440" s="5">
        <f>IF(A440="","",IFERROR(IF(ISNUMBER(U440),U440,VALUE(SUBSTITUTE(SUBSTITUTE(SUBSTITUTE(UPPER(TRIM(U440)),"M",""),",","")," ",""))),0))</f>
        <v/>
      </c>
    </row>
    <row r="441" ht="15" customHeight="1" s="74">
      <c r="A441" s="66">
        <f>'Project Database'!A445</f>
        <v/>
      </c>
      <c r="B441" s="66">
        <f>'Project Database'!B445</f>
        <v/>
      </c>
      <c r="C441" s="66">
        <f>'Project Database'!G445</f>
        <v/>
      </c>
      <c r="D441" s="66">
        <f>'Project Database'!H445</f>
        <v/>
      </c>
      <c r="E441" s="66">
        <f>'Project Database'!I445</f>
        <v/>
      </c>
      <c r="F441" s="66">
        <f>'Project Database'!J445</f>
        <v/>
      </c>
      <c r="G441" s="66">
        <f>'Project Database'!K445</f>
        <v/>
      </c>
      <c r="H441" s="66">
        <f>'Project Database'!L445</f>
        <v/>
      </c>
      <c r="I441" s="66">
        <f>'Project Database'!M445</f>
        <v/>
      </c>
      <c r="J441" s="66">
        <f>'Project Database'!N445</f>
        <v/>
      </c>
      <c r="K441" s="66">
        <f>'Project Database'!O445</f>
        <v/>
      </c>
      <c r="L441" s="66">
        <f>'Project Database'!P445</f>
        <v/>
      </c>
      <c r="M441" s="66">
        <f>'Project Database'!Q445</f>
        <v/>
      </c>
      <c r="N441" s="66">
        <f>'Project Database'!R445</f>
        <v/>
      </c>
      <c r="O441" s="66">
        <f>'Project Database'!S445</f>
        <v/>
      </c>
      <c r="P441" s="66">
        <f>'Project Database'!T445</f>
        <v/>
      </c>
      <c r="Q441" s="66">
        <f>'Project Database'!U445</f>
        <v/>
      </c>
      <c r="R441" s="66">
        <f>'Project Database'!V445</f>
        <v/>
      </c>
      <c r="S441" s="66">
        <f>'Project Database'!W445</f>
        <v/>
      </c>
      <c r="T441" s="66">
        <f>'Project Database'!X445</f>
        <v/>
      </c>
      <c r="U441" s="67">
        <f>'Project Database'!Y445</f>
        <v/>
      </c>
      <c r="V441" s="66">
        <f>IF('Smart Search'!B13=1,IFERROR(1/'Smart Search'!H13,0),0)</f>
        <v/>
      </c>
      <c r="W441" s="66">
        <f>IF('Smart Search'!B13=1,IFERROR(1/'Smart Search'!H13,0),0)</f>
        <v/>
      </c>
      <c r="X441" s="66">
        <f>IF('Smart Search'!C13=1,IFERROR(1/'Smart Search'!H13,0),0)</f>
        <v/>
      </c>
      <c r="Y441" s="66">
        <f>IF('Smart Search'!C13=1,IFERROR(1/'Smart Search'!H13,0),0)</f>
        <v/>
      </c>
      <c r="Z441" s="66">
        <f>IF('Smart Search'!D13=1,IFERROR(1/'Smart Search'!H13,0),0)</f>
        <v/>
      </c>
      <c r="AA441" s="66">
        <f>IF('Smart Search'!D13=1,IFERROR(1/'Smart Search'!H13,0),0)</f>
        <v/>
      </c>
      <c r="AB441" s="66">
        <f>IF('Smart Search'!E13=1,IFERROR(1/'Smart Search'!H13,0),0)</f>
        <v/>
      </c>
      <c r="AC441" s="66">
        <f>IF('Smart Search'!E13=1,IFERROR(1/'Smart Search'!H13,0),0)</f>
        <v/>
      </c>
      <c r="AD441" s="66">
        <f>IF('Smart Search'!F13=1,IFERROR(1/'Smart Search'!H13,0),0)</f>
        <v/>
      </c>
      <c r="AE441" s="66">
        <f>IF('Smart Search'!F13=1,IFERROR(1/'Smart Search'!H13,0),0)</f>
        <v/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66">
        <f>AF441*V441</f>
        <v/>
      </c>
      <c r="AQ441" s="66">
        <f>AG441*W441</f>
        <v/>
      </c>
      <c r="AR441" s="66">
        <f>AH441*X441</f>
        <v/>
      </c>
      <c r="AS441" s="66">
        <f>AI441*Y441</f>
        <v/>
      </c>
      <c r="AT441" s="66">
        <f>AJ441*Z441</f>
        <v/>
      </c>
      <c r="AU441" s="66">
        <f>AK441*AA441</f>
        <v/>
      </c>
      <c r="AV441" s="66">
        <f>AL441*AB441</f>
        <v/>
      </c>
      <c r="AW441" s="66">
        <f>AM441*AC441</f>
        <v/>
      </c>
      <c r="AX441" s="66">
        <f>AN441*AD441</f>
        <v/>
      </c>
      <c r="AY441" s="66">
        <f>AO441*AE441</f>
        <v/>
      </c>
      <c r="AZ441" s="66">
        <f>'Project Database'!Z445</f>
        <v/>
      </c>
      <c r="BA441" s="66">
        <f>IF(OR(A441="",'Smart Search'!H13=0),"",MAX(0,BE441*BF441*MAX(0,1-BG441)))</f>
        <v/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66">
        <f>IF('Smart Search'!G13=1,IFERROR(1/'Smart Search'!H13,0),0)</f>
        <v/>
      </c>
      <c r="BD441" s="66">
        <f>BB441*BC441</f>
        <v/>
      </c>
      <c r="BE441" s="66">
        <f>AP441+AQ441+AR441+AS441+AT441+AU441+AV441+AW441+AX441+AY441+BD441</f>
        <v/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5">
        <f>IF(AND('Project Database'!A445&lt;&gt;"",OR('Smart Search'!$L$5="",'Smart Search'!$L$5="All",TRIM('Project Database'!D445)=TRIM('Smart Search'!$L$5)),OR(TRIM('Smart Search'!$L$6)="",TRIM('Smart Search'!$L$6)="All",ISNUMBER(SEARCH(SUBSTITUTE(SUBSTITUTE(SUBSTITUTE(TRIM('Smart Search'!$L$6),"~","~~"),"*","~*"),"?","~?"),'Project Database'!C445))),OR('Smart Search'!$L$7="",AND('Project Database'!E445&lt;&gt;"",'Project Database'!E445='Smart Search'!$L$7)),OR('Smart Search'!$L$8="",'Smart Search'!$L$8="All",TRIM('Project Database'!F445)=TRIM('Smart Search'!$L$8))),IF(BA441="","",BA441+ROW()*0.0000000001),"")</f>
        <v/>
      </c>
      <c r="BI441" s="5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>
        <f>IF('Project Database'!A445="","",N('Project Database'!AC445))</f>
        <v/>
      </c>
      <c r="BK441" s="5">
        <f>IF('Project Database'!A445="","",N('Project Database'!AD445))</f>
        <v/>
      </c>
      <c r="BL441" s="5">
        <f>IF('Project Database'!A445="","",N('Project Database'!AE445))</f>
        <v/>
      </c>
      <c r="BM441" s="5">
        <f>IF('Project Database'!A445="","",N('Project Database'!AF445))</f>
        <v/>
      </c>
      <c r="BN441" s="5">
        <f>IF('Project Database'!A445="","",N('Project Database'!AG445))</f>
        <v/>
      </c>
      <c r="BO441" s="5">
        <f>IF('Project Database'!A445="","",N('Project Database'!AH445))</f>
        <v/>
      </c>
      <c r="BP441" s="5">
        <f>IF('Project Database'!A445="","",N('Project Database'!AI445))</f>
        <v/>
      </c>
      <c r="BQ441" s="5">
        <f>IF('Project Database'!A445="","",N('Project Database'!AJ445))</f>
        <v/>
      </c>
      <c r="BR441" s="5">
        <f>IF('Project Database'!A445="","",N('Project Database'!AK445))</f>
        <v/>
      </c>
      <c r="BS441" s="5">
        <f>IF('Project Database'!A445="","",N('Project Database'!AL445))</f>
        <v/>
      </c>
      <c r="BT441" s="5">
        <f>IF('Project Database'!A445="","",N('Project Database'!AM445))</f>
        <v/>
      </c>
      <c r="BU441" s="5">
        <f>IF('Project Database'!A445="","",N('Project Database'!AN445))</f>
        <v/>
      </c>
      <c r="BV441" s="5">
        <f>IF('Project Database'!A445="","",N('Project Database'!AO445))</f>
        <v/>
      </c>
      <c r="BW441" s="5">
        <f>IF('Project Database'!A445="","",N('Project Database'!AP445))</f>
        <v/>
      </c>
      <c r="BX441" s="5">
        <f>IF(A441="","",SUM(BJ441:BW441))</f>
        <v/>
      </c>
      <c r="BY441" s="5">
        <f>IF(A441="","",IFERROR(IF(ISNUMBER(U441),U441,VALUE(SUBSTITUTE(SUBSTITUTE(SUBSTITUTE(UPPER(TRIM(U441)),"M",""),",","")," ",""))),0))</f>
        <v/>
      </c>
    </row>
    <row r="442" ht="15" customHeight="1" s="74">
      <c r="A442" s="66">
        <f>'Project Database'!A446</f>
        <v/>
      </c>
      <c r="B442" s="66">
        <f>'Project Database'!B446</f>
        <v/>
      </c>
      <c r="C442" s="66">
        <f>'Project Database'!G446</f>
        <v/>
      </c>
      <c r="D442" s="66">
        <f>'Project Database'!H446</f>
        <v/>
      </c>
      <c r="E442" s="66">
        <f>'Project Database'!I446</f>
        <v/>
      </c>
      <c r="F442" s="66">
        <f>'Project Database'!J446</f>
        <v/>
      </c>
      <c r="G442" s="66">
        <f>'Project Database'!K446</f>
        <v/>
      </c>
      <c r="H442" s="66">
        <f>'Project Database'!L446</f>
        <v/>
      </c>
      <c r="I442" s="66">
        <f>'Project Database'!M446</f>
        <v/>
      </c>
      <c r="J442" s="66">
        <f>'Project Database'!N446</f>
        <v/>
      </c>
      <c r="K442" s="66">
        <f>'Project Database'!O446</f>
        <v/>
      </c>
      <c r="L442" s="66">
        <f>'Project Database'!P446</f>
        <v/>
      </c>
      <c r="M442" s="66">
        <f>'Project Database'!Q446</f>
        <v/>
      </c>
      <c r="N442" s="66">
        <f>'Project Database'!R446</f>
        <v/>
      </c>
      <c r="O442" s="66">
        <f>'Project Database'!S446</f>
        <v/>
      </c>
      <c r="P442" s="66">
        <f>'Project Database'!T446</f>
        <v/>
      </c>
      <c r="Q442" s="66">
        <f>'Project Database'!U446</f>
        <v/>
      </c>
      <c r="R442" s="66">
        <f>'Project Database'!V446</f>
        <v/>
      </c>
      <c r="S442" s="66">
        <f>'Project Database'!W446</f>
        <v/>
      </c>
      <c r="T442" s="66">
        <f>'Project Database'!X446</f>
        <v/>
      </c>
      <c r="U442" s="67">
        <f>'Project Database'!Y446</f>
        <v/>
      </c>
      <c r="V442" s="66">
        <f>IF('Smart Search'!B13=1,IFERROR(1/'Smart Search'!H13,0),0)</f>
        <v/>
      </c>
      <c r="W442" s="66">
        <f>IF('Smart Search'!B13=1,IFERROR(1/'Smart Search'!H13,0),0)</f>
        <v/>
      </c>
      <c r="X442" s="66">
        <f>IF('Smart Search'!C13=1,IFERROR(1/'Smart Search'!H13,0),0)</f>
        <v/>
      </c>
      <c r="Y442" s="66">
        <f>IF('Smart Search'!C13=1,IFERROR(1/'Smart Search'!H13,0),0)</f>
        <v/>
      </c>
      <c r="Z442" s="66">
        <f>IF('Smart Search'!D13=1,IFERROR(1/'Smart Search'!H13,0),0)</f>
        <v/>
      </c>
      <c r="AA442" s="66">
        <f>IF('Smart Search'!D13=1,IFERROR(1/'Smart Search'!H13,0),0)</f>
        <v/>
      </c>
      <c r="AB442" s="66">
        <f>IF('Smart Search'!E13=1,IFERROR(1/'Smart Search'!H13,0),0)</f>
        <v/>
      </c>
      <c r="AC442" s="66">
        <f>IF('Smart Search'!E13=1,IFERROR(1/'Smart Search'!H13,0),0)</f>
        <v/>
      </c>
      <c r="AD442" s="66">
        <f>IF('Smart Search'!F13=1,IFERROR(1/'Smart Search'!H13,0),0)</f>
        <v/>
      </c>
      <c r="AE442" s="66">
        <f>IF('Smart Search'!F13=1,IFERROR(1/'Smart Search'!H13,0),0)</f>
        <v/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66">
        <f>AF442*V442</f>
        <v/>
      </c>
      <c r="AQ442" s="66">
        <f>AG442*W442</f>
        <v/>
      </c>
      <c r="AR442" s="66">
        <f>AH442*X442</f>
        <v/>
      </c>
      <c r="AS442" s="66">
        <f>AI442*Y442</f>
        <v/>
      </c>
      <c r="AT442" s="66">
        <f>AJ442*Z442</f>
        <v/>
      </c>
      <c r="AU442" s="66">
        <f>AK442*AA442</f>
        <v/>
      </c>
      <c r="AV442" s="66">
        <f>AL442*AB442</f>
        <v/>
      </c>
      <c r="AW442" s="66">
        <f>AM442*AC442</f>
        <v/>
      </c>
      <c r="AX442" s="66">
        <f>AN442*AD442</f>
        <v/>
      </c>
      <c r="AY442" s="66">
        <f>AO442*AE442</f>
        <v/>
      </c>
      <c r="AZ442" s="66">
        <f>'Project Database'!Z446</f>
        <v/>
      </c>
      <c r="BA442" s="66">
        <f>IF(OR(A442="",'Smart Search'!H13=0),"",MAX(0,BE442*BF442*MAX(0,1-BG442)))</f>
        <v/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66">
        <f>IF('Smart Search'!G13=1,IFERROR(1/'Smart Search'!H13,0),0)</f>
        <v/>
      </c>
      <c r="BD442" s="66">
        <f>BB442*BC442</f>
        <v/>
      </c>
      <c r="BE442" s="66">
        <f>AP442+AQ442+AR442+AS442+AT442+AU442+AV442+AW442+AX442+AY442+BD442</f>
        <v/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5">
        <f>IF(AND('Project Database'!A446&lt;&gt;"",OR('Smart Search'!$L$5="",'Smart Search'!$L$5="All",TRIM('Project Database'!D446)=TRIM('Smart Search'!$L$5)),OR(TRIM('Smart Search'!$L$6)="",TRIM('Smart Search'!$L$6)="All",ISNUMBER(SEARCH(SUBSTITUTE(SUBSTITUTE(SUBSTITUTE(TRIM('Smart Search'!$L$6),"~","~~"),"*","~*"),"?","~?"),'Project Database'!C446))),OR('Smart Search'!$L$7="",AND('Project Database'!E446&lt;&gt;"",'Project Database'!E446='Smart Search'!$L$7)),OR('Smart Search'!$L$8="",'Smart Search'!$L$8="All",TRIM('Project Database'!F446)=TRIM('Smart Search'!$L$8))),IF(BA442="","",BA442+ROW()*0.0000000001),"")</f>
        <v/>
      </c>
      <c r="BI442" s="5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>
        <f>IF('Project Database'!A446="","",N('Project Database'!AC446))</f>
        <v/>
      </c>
      <c r="BK442" s="5">
        <f>IF('Project Database'!A446="","",N('Project Database'!AD446))</f>
        <v/>
      </c>
      <c r="BL442" s="5">
        <f>IF('Project Database'!A446="","",N('Project Database'!AE446))</f>
        <v/>
      </c>
      <c r="BM442" s="5">
        <f>IF('Project Database'!A446="","",N('Project Database'!AF446))</f>
        <v/>
      </c>
      <c r="BN442" s="5">
        <f>IF('Project Database'!A446="","",N('Project Database'!AG446))</f>
        <v/>
      </c>
      <c r="BO442" s="5">
        <f>IF('Project Database'!A446="","",N('Project Database'!AH446))</f>
        <v/>
      </c>
      <c r="BP442" s="5">
        <f>IF('Project Database'!A446="","",N('Project Database'!AI446))</f>
        <v/>
      </c>
      <c r="BQ442" s="5">
        <f>IF('Project Database'!A446="","",N('Project Database'!AJ446))</f>
        <v/>
      </c>
      <c r="BR442" s="5">
        <f>IF('Project Database'!A446="","",N('Project Database'!AK446))</f>
        <v/>
      </c>
      <c r="BS442" s="5">
        <f>IF('Project Database'!A446="","",N('Project Database'!AL446))</f>
        <v/>
      </c>
      <c r="BT442" s="5">
        <f>IF('Project Database'!A446="","",N('Project Database'!AM446))</f>
        <v/>
      </c>
      <c r="BU442" s="5">
        <f>IF('Project Database'!A446="","",N('Project Database'!AN446))</f>
        <v/>
      </c>
      <c r="BV442" s="5">
        <f>IF('Project Database'!A446="","",N('Project Database'!AO446))</f>
        <v/>
      </c>
      <c r="BW442" s="5">
        <f>IF('Project Database'!A446="","",N('Project Database'!AP446))</f>
        <v/>
      </c>
      <c r="BX442" s="5">
        <f>IF(A442="","",SUM(BJ442:BW442))</f>
        <v/>
      </c>
      <c r="BY442" s="5">
        <f>IF(A442="","",IFERROR(IF(ISNUMBER(U442),U442,VALUE(SUBSTITUTE(SUBSTITUTE(SUBSTITUTE(UPPER(TRIM(U442)),"M",""),",","")," ",""))),0))</f>
        <v/>
      </c>
    </row>
    <row r="443" ht="15" customHeight="1" s="74">
      <c r="A443" s="66">
        <f>'Project Database'!A447</f>
        <v/>
      </c>
      <c r="B443" s="66">
        <f>'Project Database'!B447</f>
        <v/>
      </c>
      <c r="C443" s="66">
        <f>'Project Database'!G447</f>
        <v/>
      </c>
      <c r="D443" s="66">
        <f>'Project Database'!H447</f>
        <v/>
      </c>
      <c r="E443" s="66">
        <f>'Project Database'!I447</f>
        <v/>
      </c>
      <c r="F443" s="66">
        <f>'Project Database'!J447</f>
        <v/>
      </c>
      <c r="G443" s="66">
        <f>'Project Database'!K447</f>
        <v/>
      </c>
      <c r="H443" s="66">
        <f>'Project Database'!L447</f>
        <v/>
      </c>
      <c r="I443" s="66">
        <f>'Project Database'!M447</f>
        <v/>
      </c>
      <c r="J443" s="66">
        <f>'Project Database'!N447</f>
        <v/>
      </c>
      <c r="K443" s="66">
        <f>'Project Database'!O447</f>
        <v/>
      </c>
      <c r="L443" s="66">
        <f>'Project Database'!P447</f>
        <v/>
      </c>
      <c r="M443" s="66">
        <f>'Project Database'!Q447</f>
        <v/>
      </c>
      <c r="N443" s="66">
        <f>'Project Database'!R447</f>
        <v/>
      </c>
      <c r="O443" s="66">
        <f>'Project Database'!S447</f>
        <v/>
      </c>
      <c r="P443" s="66">
        <f>'Project Database'!T447</f>
        <v/>
      </c>
      <c r="Q443" s="66">
        <f>'Project Database'!U447</f>
        <v/>
      </c>
      <c r="R443" s="66">
        <f>'Project Database'!V447</f>
        <v/>
      </c>
      <c r="S443" s="66">
        <f>'Project Database'!W447</f>
        <v/>
      </c>
      <c r="T443" s="66">
        <f>'Project Database'!X447</f>
        <v/>
      </c>
      <c r="U443" s="67">
        <f>'Project Database'!Y447</f>
        <v/>
      </c>
      <c r="V443" s="66">
        <f>IF('Smart Search'!B13=1,IFERROR(1/'Smart Search'!H13,0),0)</f>
        <v/>
      </c>
      <c r="W443" s="66">
        <f>IF('Smart Search'!B13=1,IFERROR(1/'Smart Search'!H13,0),0)</f>
        <v/>
      </c>
      <c r="X443" s="66">
        <f>IF('Smart Search'!C13=1,IFERROR(1/'Smart Search'!H13,0),0)</f>
        <v/>
      </c>
      <c r="Y443" s="66">
        <f>IF('Smart Search'!C13=1,IFERROR(1/'Smart Search'!H13,0),0)</f>
        <v/>
      </c>
      <c r="Z443" s="66">
        <f>IF('Smart Search'!D13=1,IFERROR(1/'Smart Search'!H13,0),0)</f>
        <v/>
      </c>
      <c r="AA443" s="66">
        <f>IF('Smart Search'!D13=1,IFERROR(1/'Smart Search'!H13,0),0)</f>
        <v/>
      </c>
      <c r="AB443" s="66">
        <f>IF('Smart Search'!E13=1,IFERROR(1/'Smart Search'!H13,0),0)</f>
        <v/>
      </c>
      <c r="AC443" s="66">
        <f>IF('Smart Search'!E13=1,IFERROR(1/'Smart Search'!H13,0),0)</f>
        <v/>
      </c>
      <c r="AD443" s="66">
        <f>IF('Smart Search'!F13=1,IFERROR(1/'Smart Search'!H13,0),0)</f>
        <v/>
      </c>
      <c r="AE443" s="66">
        <f>IF('Smart Search'!F13=1,IFERROR(1/'Smart Search'!H13,0),0)</f>
        <v/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66">
        <f>AF443*V443</f>
        <v/>
      </c>
      <c r="AQ443" s="66">
        <f>AG443*W443</f>
        <v/>
      </c>
      <c r="AR443" s="66">
        <f>AH443*X443</f>
        <v/>
      </c>
      <c r="AS443" s="66">
        <f>AI443*Y443</f>
        <v/>
      </c>
      <c r="AT443" s="66">
        <f>AJ443*Z443</f>
        <v/>
      </c>
      <c r="AU443" s="66">
        <f>AK443*AA443</f>
        <v/>
      </c>
      <c r="AV443" s="66">
        <f>AL443*AB443</f>
        <v/>
      </c>
      <c r="AW443" s="66">
        <f>AM443*AC443</f>
        <v/>
      </c>
      <c r="AX443" s="66">
        <f>AN443*AD443</f>
        <v/>
      </c>
      <c r="AY443" s="66">
        <f>AO443*AE443</f>
        <v/>
      </c>
      <c r="AZ443" s="66">
        <f>'Project Database'!Z447</f>
        <v/>
      </c>
      <c r="BA443" s="66">
        <f>IF(OR(A443="",'Smart Search'!H13=0),"",MAX(0,BE443*BF443*MAX(0,1-BG443)))</f>
        <v/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66">
        <f>IF('Smart Search'!G13=1,IFERROR(1/'Smart Search'!H13,0),0)</f>
        <v/>
      </c>
      <c r="BD443" s="66">
        <f>BB443*BC443</f>
        <v/>
      </c>
      <c r="BE443" s="66">
        <f>AP443+AQ443+AR443+AS443+AT443+AU443+AV443+AW443+AX443+AY443+BD443</f>
        <v/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5">
        <f>IF(AND('Project Database'!A447&lt;&gt;"",OR('Smart Search'!$L$5="",'Smart Search'!$L$5="All",TRIM('Project Database'!D447)=TRIM('Smart Search'!$L$5)),OR(TRIM('Smart Search'!$L$6)="",TRIM('Smart Search'!$L$6)="All",ISNUMBER(SEARCH(SUBSTITUTE(SUBSTITUTE(SUBSTITUTE(TRIM('Smart Search'!$L$6),"~","~~"),"*","~*"),"?","~?"),'Project Database'!C447))),OR('Smart Search'!$L$7="",AND('Project Database'!E447&lt;&gt;"",'Project Database'!E447='Smart Search'!$L$7)),OR('Smart Search'!$L$8="",'Smart Search'!$L$8="All",TRIM('Project Database'!F447)=TRIM('Smart Search'!$L$8))),IF(BA443="","",BA443+ROW()*0.0000000001),"")</f>
        <v/>
      </c>
      <c r="BI443" s="5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>
        <f>IF('Project Database'!A447="","",N('Project Database'!AC447))</f>
        <v/>
      </c>
      <c r="BK443" s="5">
        <f>IF('Project Database'!A447="","",N('Project Database'!AD447))</f>
        <v/>
      </c>
      <c r="BL443" s="5">
        <f>IF('Project Database'!A447="","",N('Project Database'!AE447))</f>
        <v/>
      </c>
      <c r="BM443" s="5">
        <f>IF('Project Database'!A447="","",N('Project Database'!AF447))</f>
        <v/>
      </c>
      <c r="BN443" s="5">
        <f>IF('Project Database'!A447="","",N('Project Database'!AG447))</f>
        <v/>
      </c>
      <c r="BO443" s="5">
        <f>IF('Project Database'!A447="","",N('Project Database'!AH447))</f>
        <v/>
      </c>
      <c r="BP443" s="5">
        <f>IF('Project Database'!A447="","",N('Project Database'!AI447))</f>
        <v/>
      </c>
      <c r="BQ443" s="5">
        <f>IF('Project Database'!A447="","",N('Project Database'!AJ447))</f>
        <v/>
      </c>
      <c r="BR443" s="5">
        <f>IF('Project Database'!A447="","",N('Project Database'!AK447))</f>
        <v/>
      </c>
      <c r="BS443" s="5">
        <f>IF('Project Database'!A447="","",N('Project Database'!AL447))</f>
        <v/>
      </c>
      <c r="BT443" s="5">
        <f>IF('Project Database'!A447="","",N('Project Database'!AM447))</f>
        <v/>
      </c>
      <c r="BU443" s="5">
        <f>IF('Project Database'!A447="","",N('Project Database'!AN447))</f>
        <v/>
      </c>
      <c r="BV443" s="5">
        <f>IF('Project Database'!A447="","",N('Project Database'!AO447))</f>
        <v/>
      </c>
      <c r="BW443" s="5">
        <f>IF('Project Database'!A447="","",N('Project Database'!AP447))</f>
        <v/>
      </c>
      <c r="BX443" s="5">
        <f>IF(A443="","",SUM(BJ443:BW443))</f>
        <v/>
      </c>
      <c r="BY443" s="5">
        <f>IF(A443="","",IFERROR(IF(ISNUMBER(U443),U443,VALUE(SUBSTITUTE(SUBSTITUTE(SUBSTITUTE(UPPER(TRIM(U443)),"M",""),",","")," ",""))),0))</f>
        <v/>
      </c>
    </row>
    <row r="444" ht="15" customHeight="1" s="74">
      <c r="A444" s="66">
        <f>'Project Database'!A448</f>
        <v/>
      </c>
      <c r="B444" s="66">
        <f>'Project Database'!B448</f>
        <v/>
      </c>
      <c r="C444" s="66">
        <f>'Project Database'!G448</f>
        <v/>
      </c>
      <c r="D444" s="66">
        <f>'Project Database'!H448</f>
        <v/>
      </c>
      <c r="E444" s="66">
        <f>'Project Database'!I448</f>
        <v/>
      </c>
      <c r="F444" s="66">
        <f>'Project Database'!J448</f>
        <v/>
      </c>
      <c r="G444" s="66">
        <f>'Project Database'!K448</f>
        <v/>
      </c>
      <c r="H444" s="66">
        <f>'Project Database'!L448</f>
        <v/>
      </c>
      <c r="I444" s="66">
        <f>'Project Database'!M448</f>
        <v/>
      </c>
      <c r="J444" s="66">
        <f>'Project Database'!N448</f>
        <v/>
      </c>
      <c r="K444" s="66">
        <f>'Project Database'!O448</f>
        <v/>
      </c>
      <c r="L444" s="66">
        <f>'Project Database'!P448</f>
        <v/>
      </c>
      <c r="M444" s="66">
        <f>'Project Database'!Q448</f>
        <v/>
      </c>
      <c r="N444" s="66">
        <f>'Project Database'!R448</f>
        <v/>
      </c>
      <c r="O444" s="66">
        <f>'Project Database'!S448</f>
        <v/>
      </c>
      <c r="P444" s="66">
        <f>'Project Database'!T448</f>
        <v/>
      </c>
      <c r="Q444" s="66">
        <f>'Project Database'!U448</f>
        <v/>
      </c>
      <c r="R444" s="66">
        <f>'Project Database'!V448</f>
        <v/>
      </c>
      <c r="S444" s="66">
        <f>'Project Database'!W448</f>
        <v/>
      </c>
      <c r="T444" s="66">
        <f>'Project Database'!X448</f>
        <v/>
      </c>
      <c r="U444" s="67">
        <f>'Project Database'!Y448</f>
        <v/>
      </c>
      <c r="V444" s="66">
        <f>IF('Smart Search'!B13=1,IFERROR(1/'Smart Search'!H13,0),0)</f>
        <v/>
      </c>
      <c r="W444" s="66">
        <f>IF('Smart Search'!B13=1,IFERROR(1/'Smart Search'!H13,0),0)</f>
        <v/>
      </c>
      <c r="X444" s="66">
        <f>IF('Smart Search'!C13=1,IFERROR(1/'Smart Search'!H13,0),0)</f>
        <v/>
      </c>
      <c r="Y444" s="66">
        <f>IF('Smart Search'!C13=1,IFERROR(1/'Smart Search'!H13,0),0)</f>
        <v/>
      </c>
      <c r="Z444" s="66">
        <f>IF('Smart Search'!D13=1,IFERROR(1/'Smart Search'!H13,0),0)</f>
        <v/>
      </c>
      <c r="AA444" s="66">
        <f>IF('Smart Search'!D13=1,IFERROR(1/'Smart Search'!H13,0),0)</f>
        <v/>
      </c>
      <c r="AB444" s="66">
        <f>IF('Smart Search'!E13=1,IFERROR(1/'Smart Search'!H13,0),0)</f>
        <v/>
      </c>
      <c r="AC444" s="66">
        <f>IF('Smart Search'!E13=1,IFERROR(1/'Smart Search'!H13,0),0)</f>
        <v/>
      </c>
      <c r="AD444" s="66">
        <f>IF('Smart Search'!F13=1,IFERROR(1/'Smart Search'!H13,0),0)</f>
        <v/>
      </c>
      <c r="AE444" s="66">
        <f>IF('Smart Search'!F13=1,IFERROR(1/'Smart Search'!H13,0),0)</f>
        <v/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66">
        <f>AF444*V444</f>
        <v/>
      </c>
      <c r="AQ444" s="66">
        <f>AG444*W444</f>
        <v/>
      </c>
      <c r="AR444" s="66">
        <f>AH444*X444</f>
        <v/>
      </c>
      <c r="AS444" s="66">
        <f>AI444*Y444</f>
        <v/>
      </c>
      <c r="AT444" s="66">
        <f>AJ444*Z444</f>
        <v/>
      </c>
      <c r="AU444" s="66">
        <f>AK444*AA444</f>
        <v/>
      </c>
      <c r="AV444" s="66">
        <f>AL444*AB444</f>
        <v/>
      </c>
      <c r="AW444" s="66">
        <f>AM444*AC444</f>
        <v/>
      </c>
      <c r="AX444" s="66">
        <f>AN444*AD444</f>
        <v/>
      </c>
      <c r="AY444" s="66">
        <f>AO444*AE444</f>
        <v/>
      </c>
      <c r="AZ444" s="66">
        <f>'Project Database'!Z448</f>
        <v/>
      </c>
      <c r="BA444" s="66">
        <f>IF(OR(A444="",'Smart Search'!H13=0),"",MAX(0,BE444*BF444*MAX(0,1-BG444)))</f>
        <v/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66">
        <f>IF('Smart Search'!G13=1,IFERROR(1/'Smart Search'!H13,0),0)</f>
        <v/>
      </c>
      <c r="BD444" s="66">
        <f>BB444*BC444</f>
        <v/>
      </c>
      <c r="BE444" s="66">
        <f>AP444+AQ444+AR444+AS444+AT444+AU444+AV444+AW444+AX444+AY444+BD444</f>
        <v/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5">
        <f>IF(AND('Project Database'!A448&lt;&gt;"",OR('Smart Search'!$L$5="",'Smart Search'!$L$5="All",TRIM('Project Database'!D448)=TRIM('Smart Search'!$L$5)),OR(TRIM('Smart Search'!$L$6)="",TRIM('Smart Search'!$L$6)="All",ISNUMBER(SEARCH(SUBSTITUTE(SUBSTITUTE(SUBSTITUTE(TRIM('Smart Search'!$L$6),"~","~~"),"*","~*"),"?","~?"),'Project Database'!C448))),OR('Smart Search'!$L$7="",AND('Project Database'!E448&lt;&gt;"",'Project Database'!E448='Smart Search'!$L$7)),OR('Smart Search'!$L$8="",'Smart Search'!$L$8="All",TRIM('Project Database'!F448)=TRIM('Smart Search'!$L$8))),IF(BA444="","",BA444+ROW()*0.0000000001),"")</f>
        <v/>
      </c>
      <c r="BI444" s="5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>
        <f>IF('Project Database'!A448="","",N('Project Database'!AC448))</f>
        <v/>
      </c>
      <c r="BK444" s="5">
        <f>IF('Project Database'!A448="","",N('Project Database'!AD448))</f>
        <v/>
      </c>
      <c r="BL444" s="5">
        <f>IF('Project Database'!A448="","",N('Project Database'!AE448))</f>
        <v/>
      </c>
      <c r="BM444" s="5">
        <f>IF('Project Database'!A448="","",N('Project Database'!AF448))</f>
        <v/>
      </c>
      <c r="BN444" s="5">
        <f>IF('Project Database'!A448="","",N('Project Database'!AG448))</f>
        <v/>
      </c>
      <c r="BO444" s="5">
        <f>IF('Project Database'!A448="","",N('Project Database'!AH448))</f>
        <v/>
      </c>
      <c r="BP444" s="5">
        <f>IF('Project Database'!A448="","",N('Project Database'!AI448))</f>
        <v/>
      </c>
      <c r="BQ444" s="5">
        <f>IF('Project Database'!A448="","",N('Project Database'!AJ448))</f>
        <v/>
      </c>
      <c r="BR444" s="5">
        <f>IF('Project Database'!A448="","",N('Project Database'!AK448))</f>
        <v/>
      </c>
      <c r="BS444" s="5">
        <f>IF('Project Database'!A448="","",N('Project Database'!AL448))</f>
        <v/>
      </c>
      <c r="BT444" s="5">
        <f>IF('Project Database'!A448="","",N('Project Database'!AM448))</f>
        <v/>
      </c>
      <c r="BU444" s="5">
        <f>IF('Project Database'!A448="","",N('Project Database'!AN448))</f>
        <v/>
      </c>
      <c r="BV444" s="5">
        <f>IF('Project Database'!A448="","",N('Project Database'!AO448))</f>
        <v/>
      </c>
      <c r="BW444" s="5">
        <f>IF('Project Database'!A448="","",N('Project Database'!AP448))</f>
        <v/>
      </c>
      <c r="BX444" s="5">
        <f>IF(A444="","",SUM(BJ444:BW444))</f>
        <v/>
      </c>
      <c r="BY444" s="5">
        <f>IF(A444="","",IFERROR(IF(ISNUMBER(U444),U444,VALUE(SUBSTITUTE(SUBSTITUTE(SUBSTITUTE(UPPER(TRIM(U444)),"M",""),",","")," ",""))),0))</f>
        <v/>
      </c>
    </row>
    <row r="445" ht="15" customHeight="1" s="74">
      <c r="A445" s="66">
        <f>'Project Database'!A449</f>
        <v/>
      </c>
      <c r="B445" s="66">
        <f>'Project Database'!B449</f>
        <v/>
      </c>
      <c r="C445" s="66">
        <f>'Project Database'!G449</f>
        <v/>
      </c>
      <c r="D445" s="66">
        <f>'Project Database'!H449</f>
        <v/>
      </c>
      <c r="E445" s="66">
        <f>'Project Database'!I449</f>
        <v/>
      </c>
      <c r="F445" s="66">
        <f>'Project Database'!J449</f>
        <v/>
      </c>
      <c r="G445" s="66">
        <f>'Project Database'!K449</f>
        <v/>
      </c>
      <c r="H445" s="66">
        <f>'Project Database'!L449</f>
        <v/>
      </c>
      <c r="I445" s="66">
        <f>'Project Database'!M449</f>
        <v/>
      </c>
      <c r="J445" s="66">
        <f>'Project Database'!N449</f>
        <v/>
      </c>
      <c r="K445" s="66">
        <f>'Project Database'!O449</f>
        <v/>
      </c>
      <c r="L445" s="66">
        <f>'Project Database'!P449</f>
        <v/>
      </c>
      <c r="M445" s="66">
        <f>'Project Database'!Q449</f>
        <v/>
      </c>
      <c r="N445" s="66">
        <f>'Project Database'!R449</f>
        <v/>
      </c>
      <c r="O445" s="66">
        <f>'Project Database'!S449</f>
        <v/>
      </c>
      <c r="P445" s="66">
        <f>'Project Database'!T449</f>
        <v/>
      </c>
      <c r="Q445" s="66">
        <f>'Project Database'!U449</f>
        <v/>
      </c>
      <c r="R445" s="66">
        <f>'Project Database'!V449</f>
        <v/>
      </c>
      <c r="S445" s="66">
        <f>'Project Database'!W449</f>
        <v/>
      </c>
      <c r="T445" s="66">
        <f>'Project Database'!X449</f>
        <v/>
      </c>
      <c r="U445" s="67">
        <f>'Project Database'!Y449</f>
        <v/>
      </c>
      <c r="V445" s="66">
        <f>IF('Smart Search'!B13=1,IFERROR(1/'Smart Search'!H13,0),0)</f>
        <v/>
      </c>
      <c r="W445" s="66">
        <f>IF('Smart Search'!B13=1,IFERROR(1/'Smart Search'!H13,0),0)</f>
        <v/>
      </c>
      <c r="X445" s="66">
        <f>IF('Smart Search'!C13=1,IFERROR(1/'Smart Search'!H13,0),0)</f>
        <v/>
      </c>
      <c r="Y445" s="66">
        <f>IF('Smart Search'!C13=1,IFERROR(1/'Smart Search'!H13,0),0)</f>
        <v/>
      </c>
      <c r="Z445" s="66">
        <f>IF('Smart Search'!D13=1,IFERROR(1/'Smart Search'!H13,0),0)</f>
        <v/>
      </c>
      <c r="AA445" s="66">
        <f>IF('Smart Search'!D13=1,IFERROR(1/'Smart Search'!H13,0),0)</f>
        <v/>
      </c>
      <c r="AB445" s="66">
        <f>IF('Smart Search'!E13=1,IFERROR(1/'Smart Search'!H13,0),0)</f>
        <v/>
      </c>
      <c r="AC445" s="66">
        <f>IF('Smart Search'!E13=1,IFERROR(1/'Smart Search'!H13,0),0)</f>
        <v/>
      </c>
      <c r="AD445" s="66">
        <f>IF('Smart Search'!F13=1,IFERROR(1/'Smart Search'!H13,0),0)</f>
        <v/>
      </c>
      <c r="AE445" s="66">
        <f>IF('Smart Search'!F13=1,IFERROR(1/'Smart Search'!H13,0),0)</f>
        <v/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66">
        <f>AF445*V445</f>
        <v/>
      </c>
      <c r="AQ445" s="66">
        <f>AG445*W445</f>
        <v/>
      </c>
      <c r="AR445" s="66">
        <f>AH445*X445</f>
        <v/>
      </c>
      <c r="AS445" s="66">
        <f>AI445*Y445</f>
        <v/>
      </c>
      <c r="AT445" s="66">
        <f>AJ445*Z445</f>
        <v/>
      </c>
      <c r="AU445" s="66">
        <f>AK445*AA445</f>
        <v/>
      </c>
      <c r="AV445" s="66">
        <f>AL445*AB445</f>
        <v/>
      </c>
      <c r="AW445" s="66">
        <f>AM445*AC445</f>
        <v/>
      </c>
      <c r="AX445" s="66">
        <f>AN445*AD445</f>
        <v/>
      </c>
      <c r="AY445" s="66">
        <f>AO445*AE445</f>
        <v/>
      </c>
      <c r="AZ445" s="66">
        <f>'Project Database'!Z449</f>
        <v/>
      </c>
      <c r="BA445" s="66">
        <f>IF(OR(A445="",'Smart Search'!H13=0),"",MAX(0,BE445*BF445*MAX(0,1-BG445)))</f>
        <v/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66">
        <f>IF('Smart Search'!G13=1,IFERROR(1/'Smart Search'!H13,0),0)</f>
        <v/>
      </c>
      <c r="BD445" s="66">
        <f>BB445*BC445</f>
        <v/>
      </c>
      <c r="BE445" s="66">
        <f>AP445+AQ445+AR445+AS445+AT445+AU445+AV445+AW445+AX445+AY445+BD445</f>
        <v/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5">
        <f>IF(AND('Project Database'!A449&lt;&gt;"",OR('Smart Search'!$L$5="",'Smart Search'!$L$5="All",TRIM('Project Database'!D449)=TRIM('Smart Search'!$L$5)),OR(TRIM('Smart Search'!$L$6)="",TRIM('Smart Search'!$L$6)="All",ISNUMBER(SEARCH(SUBSTITUTE(SUBSTITUTE(SUBSTITUTE(TRIM('Smart Search'!$L$6),"~","~~"),"*","~*"),"?","~?"),'Project Database'!C449))),OR('Smart Search'!$L$7="",AND('Project Database'!E449&lt;&gt;"",'Project Database'!E449='Smart Search'!$L$7)),OR('Smart Search'!$L$8="",'Smart Search'!$L$8="All",TRIM('Project Database'!F449)=TRIM('Smart Search'!$L$8))),IF(BA445="","",BA445+ROW()*0.0000000001),"")</f>
        <v/>
      </c>
      <c r="BI445" s="5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>
        <f>IF('Project Database'!A449="","",N('Project Database'!AC449))</f>
        <v/>
      </c>
      <c r="BK445" s="5">
        <f>IF('Project Database'!A449="","",N('Project Database'!AD449))</f>
        <v/>
      </c>
      <c r="BL445" s="5">
        <f>IF('Project Database'!A449="","",N('Project Database'!AE449))</f>
        <v/>
      </c>
      <c r="BM445" s="5">
        <f>IF('Project Database'!A449="","",N('Project Database'!AF449))</f>
        <v/>
      </c>
      <c r="BN445" s="5">
        <f>IF('Project Database'!A449="","",N('Project Database'!AG449))</f>
        <v/>
      </c>
      <c r="BO445" s="5">
        <f>IF('Project Database'!A449="","",N('Project Database'!AH449))</f>
        <v/>
      </c>
      <c r="BP445" s="5">
        <f>IF('Project Database'!A449="","",N('Project Database'!AI449))</f>
        <v/>
      </c>
      <c r="BQ445" s="5">
        <f>IF('Project Database'!A449="","",N('Project Database'!AJ449))</f>
        <v/>
      </c>
      <c r="BR445" s="5">
        <f>IF('Project Database'!A449="","",N('Project Database'!AK449))</f>
        <v/>
      </c>
      <c r="BS445" s="5">
        <f>IF('Project Database'!A449="","",N('Project Database'!AL449))</f>
        <v/>
      </c>
      <c r="BT445" s="5">
        <f>IF('Project Database'!A449="","",N('Project Database'!AM449))</f>
        <v/>
      </c>
      <c r="BU445" s="5">
        <f>IF('Project Database'!A449="","",N('Project Database'!AN449))</f>
        <v/>
      </c>
      <c r="BV445" s="5">
        <f>IF('Project Database'!A449="","",N('Project Database'!AO449))</f>
        <v/>
      </c>
      <c r="BW445" s="5">
        <f>IF('Project Database'!A449="","",N('Project Database'!AP449))</f>
        <v/>
      </c>
      <c r="BX445" s="5">
        <f>IF(A445="","",SUM(BJ445:BW445))</f>
        <v/>
      </c>
      <c r="BY445" s="5">
        <f>IF(A445="","",IFERROR(IF(ISNUMBER(U445),U445,VALUE(SUBSTITUTE(SUBSTITUTE(SUBSTITUTE(UPPER(TRIM(U445)),"M",""),",","")," ",""))),0))</f>
        <v/>
      </c>
    </row>
    <row r="446" ht="15" customHeight="1" s="74">
      <c r="A446" s="66">
        <f>'Project Database'!A450</f>
        <v/>
      </c>
      <c r="B446" s="66">
        <f>'Project Database'!B450</f>
        <v/>
      </c>
      <c r="C446" s="66">
        <f>'Project Database'!G450</f>
        <v/>
      </c>
      <c r="D446" s="66">
        <f>'Project Database'!H450</f>
        <v/>
      </c>
      <c r="E446" s="66">
        <f>'Project Database'!I450</f>
        <v/>
      </c>
      <c r="F446" s="66">
        <f>'Project Database'!J450</f>
        <v/>
      </c>
      <c r="G446" s="66">
        <f>'Project Database'!K450</f>
        <v/>
      </c>
      <c r="H446" s="66">
        <f>'Project Database'!L450</f>
        <v/>
      </c>
      <c r="I446" s="66">
        <f>'Project Database'!M450</f>
        <v/>
      </c>
      <c r="J446" s="66">
        <f>'Project Database'!N450</f>
        <v/>
      </c>
      <c r="K446" s="66">
        <f>'Project Database'!O450</f>
        <v/>
      </c>
      <c r="L446" s="66">
        <f>'Project Database'!P450</f>
        <v/>
      </c>
      <c r="M446" s="66">
        <f>'Project Database'!Q450</f>
        <v/>
      </c>
      <c r="N446" s="66">
        <f>'Project Database'!R450</f>
        <v/>
      </c>
      <c r="O446" s="66">
        <f>'Project Database'!S450</f>
        <v/>
      </c>
      <c r="P446" s="66">
        <f>'Project Database'!T450</f>
        <v/>
      </c>
      <c r="Q446" s="66">
        <f>'Project Database'!U450</f>
        <v/>
      </c>
      <c r="R446" s="66">
        <f>'Project Database'!V450</f>
        <v/>
      </c>
      <c r="S446" s="66">
        <f>'Project Database'!W450</f>
        <v/>
      </c>
      <c r="T446" s="66">
        <f>'Project Database'!X450</f>
        <v/>
      </c>
      <c r="U446" s="67">
        <f>'Project Database'!Y450</f>
        <v/>
      </c>
      <c r="V446" s="66">
        <f>IF('Smart Search'!B13=1,IFERROR(1/'Smart Search'!H13,0),0)</f>
        <v/>
      </c>
      <c r="W446" s="66">
        <f>IF('Smart Search'!B13=1,IFERROR(1/'Smart Search'!H13,0),0)</f>
        <v/>
      </c>
      <c r="X446" s="66">
        <f>IF('Smart Search'!C13=1,IFERROR(1/'Smart Search'!H13,0),0)</f>
        <v/>
      </c>
      <c r="Y446" s="66">
        <f>IF('Smart Search'!C13=1,IFERROR(1/'Smart Search'!H13,0),0)</f>
        <v/>
      </c>
      <c r="Z446" s="66">
        <f>IF('Smart Search'!D13=1,IFERROR(1/'Smart Search'!H13,0),0)</f>
        <v/>
      </c>
      <c r="AA446" s="66">
        <f>IF('Smart Search'!D13=1,IFERROR(1/'Smart Search'!H13,0),0)</f>
        <v/>
      </c>
      <c r="AB446" s="66">
        <f>IF('Smart Search'!E13=1,IFERROR(1/'Smart Search'!H13,0),0)</f>
        <v/>
      </c>
      <c r="AC446" s="66">
        <f>IF('Smart Search'!E13=1,IFERROR(1/'Smart Search'!H13,0),0)</f>
        <v/>
      </c>
      <c r="AD446" s="66">
        <f>IF('Smart Search'!F13=1,IFERROR(1/'Smart Search'!H13,0),0)</f>
        <v/>
      </c>
      <c r="AE446" s="66">
        <f>IF('Smart Search'!F13=1,IFERROR(1/'Smart Search'!H13,0),0)</f>
        <v/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66">
        <f>AF446*V446</f>
        <v/>
      </c>
      <c r="AQ446" s="66">
        <f>AG446*W446</f>
        <v/>
      </c>
      <c r="AR446" s="66">
        <f>AH446*X446</f>
        <v/>
      </c>
      <c r="AS446" s="66">
        <f>AI446*Y446</f>
        <v/>
      </c>
      <c r="AT446" s="66">
        <f>AJ446*Z446</f>
        <v/>
      </c>
      <c r="AU446" s="66">
        <f>AK446*AA446</f>
        <v/>
      </c>
      <c r="AV446" s="66">
        <f>AL446*AB446</f>
        <v/>
      </c>
      <c r="AW446" s="66">
        <f>AM446*AC446</f>
        <v/>
      </c>
      <c r="AX446" s="66">
        <f>AN446*AD446</f>
        <v/>
      </c>
      <c r="AY446" s="66">
        <f>AO446*AE446</f>
        <v/>
      </c>
      <c r="AZ446" s="66">
        <f>'Project Database'!Z450</f>
        <v/>
      </c>
      <c r="BA446" s="66">
        <f>IF(OR(A446="",'Smart Search'!H13=0),"",MAX(0,BE446*BF446*MAX(0,1-BG446)))</f>
        <v/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66">
        <f>IF('Smart Search'!G13=1,IFERROR(1/'Smart Search'!H13,0),0)</f>
        <v/>
      </c>
      <c r="BD446" s="66">
        <f>BB446*BC446</f>
        <v/>
      </c>
      <c r="BE446" s="66">
        <f>AP446+AQ446+AR446+AS446+AT446+AU446+AV446+AW446+AX446+AY446+BD446</f>
        <v/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5">
        <f>IF(AND('Project Database'!A450&lt;&gt;"",OR('Smart Search'!$L$5="",'Smart Search'!$L$5="All",TRIM('Project Database'!D450)=TRIM('Smart Search'!$L$5)),OR(TRIM('Smart Search'!$L$6)="",TRIM('Smart Search'!$L$6)="All",ISNUMBER(SEARCH(SUBSTITUTE(SUBSTITUTE(SUBSTITUTE(TRIM('Smart Search'!$L$6),"~","~~"),"*","~*"),"?","~?"),'Project Database'!C450))),OR('Smart Search'!$L$7="",AND('Project Database'!E450&lt;&gt;"",'Project Database'!E450='Smart Search'!$L$7)),OR('Smart Search'!$L$8="",'Smart Search'!$L$8="All",TRIM('Project Database'!F450)=TRIM('Smart Search'!$L$8))),IF(BA446="","",BA446+ROW()*0.0000000001),"")</f>
        <v/>
      </c>
      <c r="BI446" s="5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>
        <f>IF('Project Database'!A450="","",N('Project Database'!AC450))</f>
        <v/>
      </c>
      <c r="BK446" s="5">
        <f>IF('Project Database'!A450="","",N('Project Database'!AD450))</f>
        <v/>
      </c>
      <c r="BL446" s="5">
        <f>IF('Project Database'!A450="","",N('Project Database'!AE450))</f>
        <v/>
      </c>
      <c r="BM446" s="5">
        <f>IF('Project Database'!A450="","",N('Project Database'!AF450))</f>
        <v/>
      </c>
      <c r="BN446" s="5">
        <f>IF('Project Database'!A450="","",N('Project Database'!AG450))</f>
        <v/>
      </c>
      <c r="BO446" s="5">
        <f>IF('Project Database'!A450="","",N('Project Database'!AH450))</f>
        <v/>
      </c>
      <c r="BP446" s="5">
        <f>IF('Project Database'!A450="","",N('Project Database'!AI450))</f>
        <v/>
      </c>
      <c r="BQ446" s="5">
        <f>IF('Project Database'!A450="","",N('Project Database'!AJ450))</f>
        <v/>
      </c>
      <c r="BR446" s="5">
        <f>IF('Project Database'!A450="","",N('Project Database'!AK450))</f>
        <v/>
      </c>
      <c r="BS446" s="5">
        <f>IF('Project Database'!A450="","",N('Project Database'!AL450))</f>
        <v/>
      </c>
      <c r="BT446" s="5">
        <f>IF('Project Database'!A450="","",N('Project Database'!AM450))</f>
        <v/>
      </c>
      <c r="BU446" s="5">
        <f>IF('Project Database'!A450="","",N('Project Database'!AN450))</f>
        <v/>
      </c>
      <c r="BV446" s="5">
        <f>IF('Project Database'!A450="","",N('Project Database'!AO450))</f>
        <v/>
      </c>
      <c r="BW446" s="5">
        <f>IF('Project Database'!A450="","",N('Project Database'!AP450))</f>
        <v/>
      </c>
      <c r="BX446" s="5">
        <f>IF(A446="","",SUM(BJ446:BW446))</f>
        <v/>
      </c>
      <c r="BY446" s="5">
        <f>IF(A446="","",IFERROR(IF(ISNUMBER(U446),U446,VALUE(SUBSTITUTE(SUBSTITUTE(SUBSTITUTE(UPPER(TRIM(U446)),"M",""),",","")," ",""))),0))</f>
        <v/>
      </c>
    </row>
    <row r="447" ht="15" customHeight="1" s="74">
      <c r="A447" s="66">
        <f>'Project Database'!A451</f>
        <v/>
      </c>
      <c r="B447" s="66">
        <f>'Project Database'!B451</f>
        <v/>
      </c>
      <c r="C447" s="66">
        <f>'Project Database'!G451</f>
        <v/>
      </c>
      <c r="D447" s="66">
        <f>'Project Database'!H451</f>
        <v/>
      </c>
      <c r="E447" s="66">
        <f>'Project Database'!I451</f>
        <v/>
      </c>
      <c r="F447" s="66">
        <f>'Project Database'!J451</f>
        <v/>
      </c>
      <c r="G447" s="66">
        <f>'Project Database'!K451</f>
        <v/>
      </c>
      <c r="H447" s="66">
        <f>'Project Database'!L451</f>
        <v/>
      </c>
      <c r="I447" s="66">
        <f>'Project Database'!M451</f>
        <v/>
      </c>
      <c r="J447" s="66">
        <f>'Project Database'!N451</f>
        <v/>
      </c>
      <c r="K447" s="66">
        <f>'Project Database'!O451</f>
        <v/>
      </c>
      <c r="L447" s="66">
        <f>'Project Database'!P451</f>
        <v/>
      </c>
      <c r="M447" s="66">
        <f>'Project Database'!Q451</f>
        <v/>
      </c>
      <c r="N447" s="66">
        <f>'Project Database'!R451</f>
        <v/>
      </c>
      <c r="O447" s="66">
        <f>'Project Database'!S451</f>
        <v/>
      </c>
      <c r="P447" s="66">
        <f>'Project Database'!T451</f>
        <v/>
      </c>
      <c r="Q447" s="66">
        <f>'Project Database'!U451</f>
        <v/>
      </c>
      <c r="R447" s="66">
        <f>'Project Database'!V451</f>
        <v/>
      </c>
      <c r="S447" s="66">
        <f>'Project Database'!W451</f>
        <v/>
      </c>
      <c r="T447" s="66">
        <f>'Project Database'!X451</f>
        <v/>
      </c>
      <c r="U447" s="67">
        <f>'Project Database'!Y451</f>
        <v/>
      </c>
      <c r="V447" s="66">
        <f>IF('Smart Search'!B13=1,IFERROR(1/'Smart Search'!H13,0),0)</f>
        <v/>
      </c>
      <c r="W447" s="66">
        <f>IF('Smart Search'!B13=1,IFERROR(1/'Smart Search'!H13,0),0)</f>
        <v/>
      </c>
      <c r="X447" s="66">
        <f>IF('Smart Search'!C13=1,IFERROR(1/'Smart Search'!H13,0),0)</f>
        <v/>
      </c>
      <c r="Y447" s="66">
        <f>IF('Smart Search'!C13=1,IFERROR(1/'Smart Search'!H13,0),0)</f>
        <v/>
      </c>
      <c r="Z447" s="66">
        <f>IF('Smart Search'!D13=1,IFERROR(1/'Smart Search'!H13,0),0)</f>
        <v/>
      </c>
      <c r="AA447" s="66">
        <f>IF('Smart Search'!D13=1,IFERROR(1/'Smart Search'!H13,0),0)</f>
        <v/>
      </c>
      <c r="AB447" s="66">
        <f>IF('Smart Search'!E13=1,IFERROR(1/'Smart Search'!H13,0),0)</f>
        <v/>
      </c>
      <c r="AC447" s="66">
        <f>IF('Smart Search'!E13=1,IFERROR(1/'Smart Search'!H13,0),0)</f>
        <v/>
      </c>
      <c r="AD447" s="66">
        <f>IF('Smart Search'!F13=1,IFERROR(1/'Smart Search'!H13,0),0)</f>
        <v/>
      </c>
      <c r="AE447" s="66">
        <f>IF('Smart Search'!F13=1,IFERROR(1/'Smart Search'!H13,0),0)</f>
        <v/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66">
        <f>AF447*V447</f>
        <v/>
      </c>
      <c r="AQ447" s="66">
        <f>AG447*W447</f>
        <v/>
      </c>
      <c r="AR447" s="66">
        <f>AH447*X447</f>
        <v/>
      </c>
      <c r="AS447" s="66">
        <f>AI447*Y447</f>
        <v/>
      </c>
      <c r="AT447" s="66">
        <f>AJ447*Z447</f>
        <v/>
      </c>
      <c r="AU447" s="66">
        <f>AK447*AA447</f>
        <v/>
      </c>
      <c r="AV447" s="66">
        <f>AL447*AB447</f>
        <v/>
      </c>
      <c r="AW447" s="66">
        <f>AM447*AC447</f>
        <v/>
      </c>
      <c r="AX447" s="66">
        <f>AN447*AD447</f>
        <v/>
      </c>
      <c r="AY447" s="66">
        <f>AO447*AE447</f>
        <v/>
      </c>
      <c r="AZ447" s="66">
        <f>'Project Database'!Z451</f>
        <v/>
      </c>
      <c r="BA447" s="66">
        <f>IF(OR(A447="",'Smart Search'!H13=0),"",MAX(0,BE447*BF447*MAX(0,1-BG447)))</f>
        <v/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66">
        <f>IF('Smart Search'!G13=1,IFERROR(1/'Smart Search'!H13,0),0)</f>
        <v/>
      </c>
      <c r="BD447" s="66">
        <f>BB447*BC447</f>
        <v/>
      </c>
      <c r="BE447" s="66">
        <f>AP447+AQ447+AR447+AS447+AT447+AU447+AV447+AW447+AX447+AY447+BD447</f>
        <v/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5">
        <f>IF(AND('Project Database'!A451&lt;&gt;"",OR('Smart Search'!$L$5="",'Smart Search'!$L$5="All",TRIM('Project Database'!D451)=TRIM('Smart Search'!$L$5)),OR(TRIM('Smart Search'!$L$6)="",TRIM('Smart Search'!$L$6)="All",ISNUMBER(SEARCH(SUBSTITUTE(SUBSTITUTE(SUBSTITUTE(TRIM('Smart Search'!$L$6),"~","~~"),"*","~*"),"?","~?"),'Project Database'!C451))),OR('Smart Search'!$L$7="",AND('Project Database'!E451&lt;&gt;"",'Project Database'!E451='Smart Search'!$L$7)),OR('Smart Search'!$L$8="",'Smart Search'!$L$8="All",TRIM('Project Database'!F451)=TRIM('Smart Search'!$L$8))),IF(BA447="","",BA447+ROW()*0.0000000001),"")</f>
        <v/>
      </c>
      <c r="BI447" s="5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>
        <f>IF('Project Database'!A451="","",N('Project Database'!AC451))</f>
        <v/>
      </c>
      <c r="BK447" s="5">
        <f>IF('Project Database'!A451="","",N('Project Database'!AD451))</f>
        <v/>
      </c>
      <c r="BL447" s="5">
        <f>IF('Project Database'!A451="","",N('Project Database'!AE451))</f>
        <v/>
      </c>
      <c r="BM447" s="5">
        <f>IF('Project Database'!A451="","",N('Project Database'!AF451))</f>
        <v/>
      </c>
      <c r="BN447" s="5">
        <f>IF('Project Database'!A451="","",N('Project Database'!AG451))</f>
        <v/>
      </c>
      <c r="BO447" s="5">
        <f>IF('Project Database'!A451="","",N('Project Database'!AH451))</f>
        <v/>
      </c>
      <c r="BP447" s="5">
        <f>IF('Project Database'!A451="","",N('Project Database'!AI451))</f>
        <v/>
      </c>
      <c r="BQ447" s="5">
        <f>IF('Project Database'!A451="","",N('Project Database'!AJ451))</f>
        <v/>
      </c>
      <c r="BR447" s="5">
        <f>IF('Project Database'!A451="","",N('Project Database'!AK451))</f>
        <v/>
      </c>
      <c r="BS447" s="5">
        <f>IF('Project Database'!A451="","",N('Project Database'!AL451))</f>
        <v/>
      </c>
      <c r="BT447" s="5">
        <f>IF('Project Database'!A451="","",N('Project Database'!AM451))</f>
        <v/>
      </c>
      <c r="BU447" s="5">
        <f>IF('Project Database'!A451="","",N('Project Database'!AN451))</f>
        <v/>
      </c>
      <c r="BV447" s="5">
        <f>IF('Project Database'!A451="","",N('Project Database'!AO451))</f>
        <v/>
      </c>
      <c r="BW447" s="5">
        <f>IF('Project Database'!A451="","",N('Project Database'!AP451))</f>
        <v/>
      </c>
      <c r="BX447" s="5">
        <f>IF(A447="","",SUM(BJ447:BW447))</f>
        <v/>
      </c>
      <c r="BY447" s="5">
        <f>IF(A447="","",IFERROR(IF(ISNUMBER(U447),U447,VALUE(SUBSTITUTE(SUBSTITUTE(SUBSTITUTE(UPPER(TRIM(U447)),"M",""),",","")," ",""))),0))</f>
        <v/>
      </c>
    </row>
    <row r="448" ht="15" customHeight="1" s="74">
      <c r="A448" s="66">
        <f>'Project Database'!A452</f>
        <v/>
      </c>
      <c r="B448" s="66">
        <f>'Project Database'!B452</f>
        <v/>
      </c>
      <c r="C448" s="66">
        <f>'Project Database'!G452</f>
        <v/>
      </c>
      <c r="D448" s="66">
        <f>'Project Database'!H452</f>
        <v/>
      </c>
      <c r="E448" s="66">
        <f>'Project Database'!I452</f>
        <v/>
      </c>
      <c r="F448" s="66">
        <f>'Project Database'!J452</f>
        <v/>
      </c>
      <c r="G448" s="66">
        <f>'Project Database'!K452</f>
        <v/>
      </c>
      <c r="H448" s="66">
        <f>'Project Database'!L452</f>
        <v/>
      </c>
      <c r="I448" s="66">
        <f>'Project Database'!M452</f>
        <v/>
      </c>
      <c r="J448" s="66">
        <f>'Project Database'!N452</f>
        <v/>
      </c>
      <c r="K448" s="66">
        <f>'Project Database'!O452</f>
        <v/>
      </c>
      <c r="L448" s="66">
        <f>'Project Database'!P452</f>
        <v/>
      </c>
      <c r="M448" s="66">
        <f>'Project Database'!Q452</f>
        <v/>
      </c>
      <c r="N448" s="66">
        <f>'Project Database'!R452</f>
        <v/>
      </c>
      <c r="O448" s="66">
        <f>'Project Database'!S452</f>
        <v/>
      </c>
      <c r="P448" s="66">
        <f>'Project Database'!T452</f>
        <v/>
      </c>
      <c r="Q448" s="66">
        <f>'Project Database'!U452</f>
        <v/>
      </c>
      <c r="R448" s="66">
        <f>'Project Database'!V452</f>
        <v/>
      </c>
      <c r="S448" s="66">
        <f>'Project Database'!W452</f>
        <v/>
      </c>
      <c r="T448" s="66">
        <f>'Project Database'!X452</f>
        <v/>
      </c>
      <c r="U448" s="67">
        <f>'Project Database'!Y452</f>
        <v/>
      </c>
      <c r="V448" s="66">
        <f>IF('Smart Search'!B13=1,IFERROR(1/'Smart Search'!H13,0),0)</f>
        <v/>
      </c>
      <c r="W448" s="66">
        <f>IF('Smart Search'!B13=1,IFERROR(1/'Smart Search'!H13,0),0)</f>
        <v/>
      </c>
      <c r="X448" s="66">
        <f>IF('Smart Search'!C13=1,IFERROR(1/'Smart Search'!H13,0),0)</f>
        <v/>
      </c>
      <c r="Y448" s="66">
        <f>IF('Smart Search'!C13=1,IFERROR(1/'Smart Search'!H13,0),0)</f>
        <v/>
      </c>
      <c r="Z448" s="66">
        <f>IF('Smart Search'!D13=1,IFERROR(1/'Smart Search'!H13,0),0)</f>
        <v/>
      </c>
      <c r="AA448" s="66">
        <f>IF('Smart Search'!D13=1,IFERROR(1/'Smart Search'!H13,0),0)</f>
        <v/>
      </c>
      <c r="AB448" s="66">
        <f>IF('Smart Search'!E13=1,IFERROR(1/'Smart Search'!H13,0),0)</f>
        <v/>
      </c>
      <c r="AC448" s="66">
        <f>IF('Smart Search'!E13=1,IFERROR(1/'Smart Search'!H13,0),0)</f>
        <v/>
      </c>
      <c r="AD448" s="66">
        <f>IF('Smart Search'!F13=1,IFERROR(1/'Smart Search'!H13,0),0)</f>
        <v/>
      </c>
      <c r="AE448" s="66">
        <f>IF('Smart Search'!F13=1,IFERROR(1/'Smart Search'!H13,0),0)</f>
        <v/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66">
        <f>AF448*V448</f>
        <v/>
      </c>
      <c r="AQ448" s="66">
        <f>AG448*W448</f>
        <v/>
      </c>
      <c r="AR448" s="66">
        <f>AH448*X448</f>
        <v/>
      </c>
      <c r="AS448" s="66">
        <f>AI448*Y448</f>
        <v/>
      </c>
      <c r="AT448" s="66">
        <f>AJ448*Z448</f>
        <v/>
      </c>
      <c r="AU448" s="66">
        <f>AK448*AA448</f>
        <v/>
      </c>
      <c r="AV448" s="66">
        <f>AL448*AB448</f>
        <v/>
      </c>
      <c r="AW448" s="66">
        <f>AM448*AC448</f>
        <v/>
      </c>
      <c r="AX448" s="66">
        <f>AN448*AD448</f>
        <v/>
      </c>
      <c r="AY448" s="66">
        <f>AO448*AE448</f>
        <v/>
      </c>
      <c r="AZ448" s="66">
        <f>'Project Database'!Z452</f>
        <v/>
      </c>
      <c r="BA448" s="66">
        <f>IF(OR(A448="",'Smart Search'!H13=0),"",MAX(0,BE448*BF448*MAX(0,1-BG448)))</f>
        <v/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66">
        <f>IF('Smart Search'!G13=1,IFERROR(1/'Smart Search'!H13,0),0)</f>
        <v/>
      </c>
      <c r="BD448" s="66">
        <f>BB448*BC448</f>
        <v/>
      </c>
      <c r="BE448" s="66">
        <f>AP448+AQ448+AR448+AS448+AT448+AU448+AV448+AW448+AX448+AY448+BD448</f>
        <v/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5">
        <f>IF(AND('Project Database'!A452&lt;&gt;"",OR('Smart Search'!$L$5="",'Smart Search'!$L$5="All",TRIM('Project Database'!D452)=TRIM('Smart Search'!$L$5)),OR(TRIM('Smart Search'!$L$6)="",TRIM('Smart Search'!$L$6)="All",ISNUMBER(SEARCH(SUBSTITUTE(SUBSTITUTE(SUBSTITUTE(TRIM('Smart Search'!$L$6),"~","~~"),"*","~*"),"?","~?"),'Project Database'!C452))),OR('Smart Search'!$L$7="",AND('Project Database'!E452&lt;&gt;"",'Project Database'!E452='Smart Search'!$L$7)),OR('Smart Search'!$L$8="",'Smart Search'!$L$8="All",TRIM('Project Database'!F452)=TRIM('Smart Search'!$L$8))),IF(BA448="","",BA448+ROW()*0.0000000001),"")</f>
        <v/>
      </c>
      <c r="BI448" s="5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>
        <f>IF('Project Database'!A452="","",N('Project Database'!AC452))</f>
        <v/>
      </c>
      <c r="BK448" s="5">
        <f>IF('Project Database'!A452="","",N('Project Database'!AD452))</f>
        <v/>
      </c>
      <c r="BL448" s="5">
        <f>IF('Project Database'!A452="","",N('Project Database'!AE452))</f>
        <v/>
      </c>
      <c r="BM448" s="5">
        <f>IF('Project Database'!A452="","",N('Project Database'!AF452))</f>
        <v/>
      </c>
      <c r="BN448" s="5">
        <f>IF('Project Database'!A452="","",N('Project Database'!AG452))</f>
        <v/>
      </c>
      <c r="BO448" s="5">
        <f>IF('Project Database'!A452="","",N('Project Database'!AH452))</f>
        <v/>
      </c>
      <c r="BP448" s="5">
        <f>IF('Project Database'!A452="","",N('Project Database'!AI452))</f>
        <v/>
      </c>
      <c r="BQ448" s="5">
        <f>IF('Project Database'!A452="","",N('Project Database'!AJ452))</f>
        <v/>
      </c>
      <c r="BR448" s="5">
        <f>IF('Project Database'!A452="","",N('Project Database'!AK452))</f>
        <v/>
      </c>
      <c r="BS448" s="5">
        <f>IF('Project Database'!A452="","",N('Project Database'!AL452))</f>
        <v/>
      </c>
      <c r="BT448" s="5">
        <f>IF('Project Database'!A452="","",N('Project Database'!AM452))</f>
        <v/>
      </c>
      <c r="BU448" s="5">
        <f>IF('Project Database'!A452="","",N('Project Database'!AN452))</f>
        <v/>
      </c>
      <c r="BV448" s="5">
        <f>IF('Project Database'!A452="","",N('Project Database'!AO452))</f>
        <v/>
      </c>
      <c r="BW448" s="5">
        <f>IF('Project Database'!A452="","",N('Project Database'!AP452))</f>
        <v/>
      </c>
      <c r="BX448" s="5">
        <f>IF(A448="","",SUM(BJ448:BW448))</f>
        <v/>
      </c>
      <c r="BY448" s="5">
        <f>IF(A448="","",IFERROR(IF(ISNUMBER(U448),U448,VALUE(SUBSTITUTE(SUBSTITUTE(SUBSTITUTE(UPPER(TRIM(U448)),"M",""),",","")," ",""))),0))</f>
        <v/>
      </c>
    </row>
    <row r="449" ht="15" customHeight="1" s="74">
      <c r="A449" s="66">
        <f>'Project Database'!A453</f>
        <v/>
      </c>
      <c r="B449" s="66">
        <f>'Project Database'!B453</f>
        <v/>
      </c>
      <c r="C449" s="66">
        <f>'Project Database'!G453</f>
        <v/>
      </c>
      <c r="D449" s="66">
        <f>'Project Database'!H453</f>
        <v/>
      </c>
      <c r="E449" s="66">
        <f>'Project Database'!I453</f>
        <v/>
      </c>
      <c r="F449" s="66">
        <f>'Project Database'!J453</f>
        <v/>
      </c>
      <c r="G449" s="66">
        <f>'Project Database'!K453</f>
        <v/>
      </c>
      <c r="H449" s="66">
        <f>'Project Database'!L453</f>
        <v/>
      </c>
      <c r="I449" s="66">
        <f>'Project Database'!M453</f>
        <v/>
      </c>
      <c r="J449" s="66">
        <f>'Project Database'!N453</f>
        <v/>
      </c>
      <c r="K449" s="66">
        <f>'Project Database'!O453</f>
        <v/>
      </c>
      <c r="L449" s="66">
        <f>'Project Database'!P453</f>
        <v/>
      </c>
      <c r="M449" s="66">
        <f>'Project Database'!Q453</f>
        <v/>
      </c>
      <c r="N449" s="66">
        <f>'Project Database'!R453</f>
        <v/>
      </c>
      <c r="O449" s="66">
        <f>'Project Database'!S453</f>
        <v/>
      </c>
      <c r="P449" s="66">
        <f>'Project Database'!T453</f>
        <v/>
      </c>
      <c r="Q449" s="66">
        <f>'Project Database'!U453</f>
        <v/>
      </c>
      <c r="R449" s="66">
        <f>'Project Database'!V453</f>
        <v/>
      </c>
      <c r="S449" s="66">
        <f>'Project Database'!W453</f>
        <v/>
      </c>
      <c r="T449" s="66">
        <f>'Project Database'!X453</f>
        <v/>
      </c>
      <c r="U449" s="67">
        <f>'Project Database'!Y453</f>
        <v/>
      </c>
      <c r="V449" s="66">
        <f>IF('Smart Search'!B13=1,IFERROR(1/'Smart Search'!H13,0),0)</f>
        <v/>
      </c>
      <c r="W449" s="66">
        <f>IF('Smart Search'!B13=1,IFERROR(1/'Smart Search'!H13,0),0)</f>
        <v/>
      </c>
      <c r="X449" s="66">
        <f>IF('Smart Search'!C13=1,IFERROR(1/'Smart Search'!H13,0),0)</f>
        <v/>
      </c>
      <c r="Y449" s="66">
        <f>IF('Smart Search'!C13=1,IFERROR(1/'Smart Search'!H13,0),0)</f>
        <v/>
      </c>
      <c r="Z449" s="66">
        <f>IF('Smart Search'!D13=1,IFERROR(1/'Smart Search'!H13,0),0)</f>
        <v/>
      </c>
      <c r="AA449" s="66">
        <f>IF('Smart Search'!D13=1,IFERROR(1/'Smart Search'!H13,0),0)</f>
        <v/>
      </c>
      <c r="AB449" s="66">
        <f>IF('Smart Search'!E13=1,IFERROR(1/'Smart Search'!H13,0),0)</f>
        <v/>
      </c>
      <c r="AC449" s="66">
        <f>IF('Smart Search'!E13=1,IFERROR(1/'Smart Search'!H13,0),0)</f>
        <v/>
      </c>
      <c r="AD449" s="66">
        <f>IF('Smart Search'!F13=1,IFERROR(1/'Smart Search'!H13,0),0)</f>
        <v/>
      </c>
      <c r="AE449" s="66">
        <f>IF('Smart Search'!F13=1,IFERROR(1/'Smart Search'!H13,0),0)</f>
        <v/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66">
        <f>AF449*V449</f>
        <v/>
      </c>
      <c r="AQ449" s="66">
        <f>AG449*W449</f>
        <v/>
      </c>
      <c r="AR449" s="66">
        <f>AH449*X449</f>
        <v/>
      </c>
      <c r="AS449" s="66">
        <f>AI449*Y449</f>
        <v/>
      </c>
      <c r="AT449" s="66">
        <f>AJ449*Z449</f>
        <v/>
      </c>
      <c r="AU449" s="66">
        <f>AK449*AA449</f>
        <v/>
      </c>
      <c r="AV449" s="66">
        <f>AL449*AB449</f>
        <v/>
      </c>
      <c r="AW449" s="66">
        <f>AM449*AC449</f>
        <v/>
      </c>
      <c r="AX449" s="66">
        <f>AN449*AD449</f>
        <v/>
      </c>
      <c r="AY449" s="66">
        <f>AO449*AE449</f>
        <v/>
      </c>
      <c r="AZ449" s="66">
        <f>'Project Database'!Z453</f>
        <v/>
      </c>
      <c r="BA449" s="66">
        <f>IF(OR(A449="",'Smart Search'!H13=0),"",MAX(0,BE449*BF449*MAX(0,1-BG449)))</f>
        <v/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66">
        <f>IF('Smart Search'!G13=1,IFERROR(1/'Smart Search'!H13,0),0)</f>
        <v/>
      </c>
      <c r="BD449" s="66">
        <f>BB449*BC449</f>
        <v/>
      </c>
      <c r="BE449" s="66">
        <f>AP449+AQ449+AR449+AS449+AT449+AU449+AV449+AW449+AX449+AY449+BD449</f>
        <v/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5">
        <f>IF(AND('Project Database'!A453&lt;&gt;"",OR('Smart Search'!$L$5="",'Smart Search'!$L$5="All",TRIM('Project Database'!D453)=TRIM('Smart Search'!$L$5)),OR(TRIM('Smart Search'!$L$6)="",TRIM('Smart Search'!$L$6)="All",ISNUMBER(SEARCH(SUBSTITUTE(SUBSTITUTE(SUBSTITUTE(TRIM('Smart Search'!$L$6),"~","~~"),"*","~*"),"?","~?"),'Project Database'!C453))),OR('Smart Search'!$L$7="",AND('Project Database'!E453&lt;&gt;"",'Project Database'!E453='Smart Search'!$L$7)),OR('Smart Search'!$L$8="",'Smart Search'!$L$8="All",TRIM('Project Database'!F453)=TRIM('Smart Search'!$L$8))),IF(BA449="","",BA449+ROW()*0.0000000001),"")</f>
        <v/>
      </c>
      <c r="BI449" s="5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>
        <f>IF('Project Database'!A453="","",N('Project Database'!AC453))</f>
        <v/>
      </c>
      <c r="BK449" s="5">
        <f>IF('Project Database'!A453="","",N('Project Database'!AD453))</f>
        <v/>
      </c>
      <c r="BL449" s="5">
        <f>IF('Project Database'!A453="","",N('Project Database'!AE453))</f>
        <v/>
      </c>
      <c r="BM449" s="5">
        <f>IF('Project Database'!A453="","",N('Project Database'!AF453))</f>
        <v/>
      </c>
      <c r="BN449" s="5">
        <f>IF('Project Database'!A453="","",N('Project Database'!AG453))</f>
        <v/>
      </c>
      <c r="BO449" s="5">
        <f>IF('Project Database'!A453="","",N('Project Database'!AH453))</f>
        <v/>
      </c>
      <c r="BP449" s="5">
        <f>IF('Project Database'!A453="","",N('Project Database'!AI453))</f>
        <v/>
      </c>
      <c r="BQ449" s="5">
        <f>IF('Project Database'!A453="","",N('Project Database'!AJ453))</f>
        <v/>
      </c>
      <c r="BR449" s="5">
        <f>IF('Project Database'!A453="","",N('Project Database'!AK453))</f>
        <v/>
      </c>
      <c r="BS449" s="5">
        <f>IF('Project Database'!A453="","",N('Project Database'!AL453))</f>
        <v/>
      </c>
      <c r="BT449" s="5">
        <f>IF('Project Database'!A453="","",N('Project Database'!AM453))</f>
        <v/>
      </c>
      <c r="BU449" s="5">
        <f>IF('Project Database'!A453="","",N('Project Database'!AN453))</f>
        <v/>
      </c>
      <c r="BV449" s="5">
        <f>IF('Project Database'!A453="","",N('Project Database'!AO453))</f>
        <v/>
      </c>
      <c r="BW449" s="5">
        <f>IF('Project Database'!A453="","",N('Project Database'!AP453))</f>
        <v/>
      </c>
      <c r="BX449" s="5">
        <f>IF(A449="","",SUM(BJ449:BW449))</f>
        <v/>
      </c>
      <c r="BY449" s="5">
        <f>IF(A449="","",IFERROR(IF(ISNUMBER(U449),U449,VALUE(SUBSTITUTE(SUBSTITUTE(SUBSTITUTE(UPPER(TRIM(U449)),"M",""),",","")," ",""))),0))</f>
        <v/>
      </c>
    </row>
    <row r="450" ht="15" customHeight="1" s="74">
      <c r="A450" s="66">
        <f>'Project Database'!A454</f>
        <v/>
      </c>
      <c r="B450" s="66">
        <f>'Project Database'!B454</f>
        <v/>
      </c>
      <c r="C450" s="66">
        <f>'Project Database'!G454</f>
        <v/>
      </c>
      <c r="D450" s="66">
        <f>'Project Database'!H454</f>
        <v/>
      </c>
      <c r="E450" s="66">
        <f>'Project Database'!I454</f>
        <v/>
      </c>
      <c r="F450" s="66">
        <f>'Project Database'!J454</f>
        <v/>
      </c>
      <c r="G450" s="66">
        <f>'Project Database'!K454</f>
        <v/>
      </c>
      <c r="H450" s="66">
        <f>'Project Database'!L454</f>
        <v/>
      </c>
      <c r="I450" s="66">
        <f>'Project Database'!M454</f>
        <v/>
      </c>
      <c r="J450" s="66">
        <f>'Project Database'!N454</f>
        <v/>
      </c>
      <c r="K450" s="66">
        <f>'Project Database'!O454</f>
        <v/>
      </c>
      <c r="L450" s="66">
        <f>'Project Database'!P454</f>
        <v/>
      </c>
      <c r="M450" s="66">
        <f>'Project Database'!Q454</f>
        <v/>
      </c>
      <c r="N450" s="66">
        <f>'Project Database'!R454</f>
        <v/>
      </c>
      <c r="O450" s="66">
        <f>'Project Database'!S454</f>
        <v/>
      </c>
      <c r="P450" s="66">
        <f>'Project Database'!T454</f>
        <v/>
      </c>
      <c r="Q450" s="66">
        <f>'Project Database'!U454</f>
        <v/>
      </c>
      <c r="R450" s="66">
        <f>'Project Database'!V454</f>
        <v/>
      </c>
      <c r="S450" s="66">
        <f>'Project Database'!W454</f>
        <v/>
      </c>
      <c r="T450" s="66">
        <f>'Project Database'!X454</f>
        <v/>
      </c>
      <c r="U450" s="67">
        <f>'Project Database'!Y454</f>
        <v/>
      </c>
      <c r="V450" s="66">
        <f>IF('Smart Search'!B13=1,IFERROR(1/'Smart Search'!H13,0),0)</f>
        <v/>
      </c>
      <c r="W450" s="66">
        <f>IF('Smart Search'!B13=1,IFERROR(1/'Smart Search'!H13,0),0)</f>
        <v/>
      </c>
      <c r="X450" s="66">
        <f>IF('Smart Search'!C13=1,IFERROR(1/'Smart Search'!H13,0),0)</f>
        <v/>
      </c>
      <c r="Y450" s="66">
        <f>IF('Smart Search'!C13=1,IFERROR(1/'Smart Search'!H13,0),0)</f>
        <v/>
      </c>
      <c r="Z450" s="66">
        <f>IF('Smart Search'!D13=1,IFERROR(1/'Smart Search'!H13,0),0)</f>
        <v/>
      </c>
      <c r="AA450" s="66">
        <f>IF('Smart Search'!D13=1,IFERROR(1/'Smart Search'!H13,0),0)</f>
        <v/>
      </c>
      <c r="AB450" s="66">
        <f>IF('Smart Search'!E13=1,IFERROR(1/'Smart Search'!H13,0),0)</f>
        <v/>
      </c>
      <c r="AC450" s="66">
        <f>IF('Smart Search'!E13=1,IFERROR(1/'Smart Search'!H13,0),0)</f>
        <v/>
      </c>
      <c r="AD450" s="66">
        <f>IF('Smart Search'!F13=1,IFERROR(1/'Smart Search'!H13,0),0)</f>
        <v/>
      </c>
      <c r="AE450" s="66">
        <f>IF('Smart Search'!F13=1,IFERROR(1/'Smart Search'!H13,0),0)</f>
        <v/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66">
        <f>AF450*V450</f>
        <v/>
      </c>
      <c r="AQ450" s="66">
        <f>AG450*W450</f>
        <v/>
      </c>
      <c r="AR450" s="66">
        <f>AH450*X450</f>
        <v/>
      </c>
      <c r="AS450" s="66">
        <f>AI450*Y450</f>
        <v/>
      </c>
      <c r="AT450" s="66">
        <f>AJ450*Z450</f>
        <v/>
      </c>
      <c r="AU450" s="66">
        <f>AK450*AA450</f>
        <v/>
      </c>
      <c r="AV450" s="66">
        <f>AL450*AB450</f>
        <v/>
      </c>
      <c r="AW450" s="66">
        <f>AM450*AC450</f>
        <v/>
      </c>
      <c r="AX450" s="66">
        <f>AN450*AD450</f>
        <v/>
      </c>
      <c r="AY450" s="66">
        <f>AO450*AE450</f>
        <v/>
      </c>
      <c r="AZ450" s="66">
        <f>'Project Database'!Z454</f>
        <v/>
      </c>
      <c r="BA450" s="66">
        <f>IF(OR(A450="",'Smart Search'!H13=0),"",MAX(0,BE450*BF450*MAX(0,1-BG450)))</f>
        <v/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66">
        <f>IF('Smart Search'!G13=1,IFERROR(1/'Smart Search'!H13,0),0)</f>
        <v/>
      </c>
      <c r="BD450" s="66">
        <f>BB450*BC450</f>
        <v/>
      </c>
      <c r="BE450" s="66">
        <f>AP450+AQ450+AR450+AS450+AT450+AU450+AV450+AW450+AX450+AY450+BD450</f>
        <v/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5">
        <f>IF(AND('Project Database'!A454&lt;&gt;"",OR('Smart Search'!$L$5="",'Smart Search'!$L$5="All",TRIM('Project Database'!D454)=TRIM('Smart Search'!$L$5)),OR(TRIM('Smart Search'!$L$6)="",TRIM('Smart Search'!$L$6)="All",ISNUMBER(SEARCH(SUBSTITUTE(SUBSTITUTE(SUBSTITUTE(TRIM('Smart Search'!$L$6),"~","~~"),"*","~*"),"?","~?"),'Project Database'!C454))),OR('Smart Search'!$L$7="",AND('Project Database'!E454&lt;&gt;"",'Project Database'!E454='Smart Search'!$L$7)),OR('Smart Search'!$L$8="",'Smart Search'!$L$8="All",TRIM('Project Database'!F454)=TRIM('Smart Search'!$L$8))),IF(BA450="","",BA450+ROW()*0.0000000001),"")</f>
        <v/>
      </c>
      <c r="BI450" s="5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>
        <f>IF('Project Database'!A454="","",N('Project Database'!AC454))</f>
        <v/>
      </c>
      <c r="BK450" s="5">
        <f>IF('Project Database'!A454="","",N('Project Database'!AD454))</f>
        <v/>
      </c>
      <c r="BL450" s="5">
        <f>IF('Project Database'!A454="","",N('Project Database'!AE454))</f>
        <v/>
      </c>
      <c r="BM450" s="5">
        <f>IF('Project Database'!A454="","",N('Project Database'!AF454))</f>
        <v/>
      </c>
      <c r="BN450" s="5">
        <f>IF('Project Database'!A454="","",N('Project Database'!AG454))</f>
        <v/>
      </c>
      <c r="BO450" s="5">
        <f>IF('Project Database'!A454="","",N('Project Database'!AH454))</f>
        <v/>
      </c>
      <c r="BP450" s="5">
        <f>IF('Project Database'!A454="","",N('Project Database'!AI454))</f>
        <v/>
      </c>
      <c r="BQ450" s="5">
        <f>IF('Project Database'!A454="","",N('Project Database'!AJ454))</f>
        <v/>
      </c>
      <c r="BR450" s="5">
        <f>IF('Project Database'!A454="","",N('Project Database'!AK454))</f>
        <v/>
      </c>
      <c r="BS450" s="5">
        <f>IF('Project Database'!A454="","",N('Project Database'!AL454))</f>
        <v/>
      </c>
      <c r="BT450" s="5">
        <f>IF('Project Database'!A454="","",N('Project Database'!AM454))</f>
        <v/>
      </c>
      <c r="BU450" s="5">
        <f>IF('Project Database'!A454="","",N('Project Database'!AN454))</f>
        <v/>
      </c>
      <c r="BV450" s="5">
        <f>IF('Project Database'!A454="","",N('Project Database'!AO454))</f>
        <v/>
      </c>
      <c r="BW450" s="5">
        <f>IF('Project Database'!A454="","",N('Project Database'!AP454))</f>
        <v/>
      </c>
      <c r="BX450" s="5">
        <f>IF(A450="","",SUM(BJ450:BW450))</f>
        <v/>
      </c>
      <c r="BY450" s="5">
        <f>IF(A450="","",IFERROR(IF(ISNUMBER(U450),U450,VALUE(SUBSTITUTE(SUBSTITUTE(SUBSTITUTE(UPPER(TRIM(U450)),"M",""),",","")," ",""))),0))</f>
        <v/>
      </c>
    </row>
    <row r="451" ht="15" customHeight="1" s="74">
      <c r="A451" s="66">
        <f>'Project Database'!A455</f>
        <v/>
      </c>
      <c r="B451" s="66">
        <f>'Project Database'!B455</f>
        <v/>
      </c>
      <c r="C451" s="66">
        <f>'Project Database'!G455</f>
        <v/>
      </c>
      <c r="D451" s="66">
        <f>'Project Database'!H455</f>
        <v/>
      </c>
      <c r="E451" s="66">
        <f>'Project Database'!I455</f>
        <v/>
      </c>
      <c r="F451" s="66">
        <f>'Project Database'!J455</f>
        <v/>
      </c>
      <c r="G451" s="66">
        <f>'Project Database'!K455</f>
        <v/>
      </c>
      <c r="H451" s="66">
        <f>'Project Database'!L455</f>
        <v/>
      </c>
      <c r="I451" s="66">
        <f>'Project Database'!M455</f>
        <v/>
      </c>
      <c r="J451" s="66">
        <f>'Project Database'!N455</f>
        <v/>
      </c>
      <c r="K451" s="66">
        <f>'Project Database'!O455</f>
        <v/>
      </c>
      <c r="L451" s="66">
        <f>'Project Database'!P455</f>
        <v/>
      </c>
      <c r="M451" s="66">
        <f>'Project Database'!Q455</f>
        <v/>
      </c>
      <c r="N451" s="66">
        <f>'Project Database'!R455</f>
        <v/>
      </c>
      <c r="O451" s="66">
        <f>'Project Database'!S455</f>
        <v/>
      </c>
      <c r="P451" s="66">
        <f>'Project Database'!T455</f>
        <v/>
      </c>
      <c r="Q451" s="66">
        <f>'Project Database'!U455</f>
        <v/>
      </c>
      <c r="R451" s="66">
        <f>'Project Database'!V455</f>
        <v/>
      </c>
      <c r="S451" s="66">
        <f>'Project Database'!W455</f>
        <v/>
      </c>
      <c r="T451" s="66">
        <f>'Project Database'!X455</f>
        <v/>
      </c>
      <c r="U451" s="67">
        <f>'Project Database'!Y455</f>
        <v/>
      </c>
      <c r="V451" s="66">
        <f>IF('Smart Search'!B13=1,IFERROR(1/'Smart Search'!H13,0),0)</f>
        <v/>
      </c>
      <c r="W451" s="66">
        <f>IF('Smart Search'!B13=1,IFERROR(1/'Smart Search'!H13,0),0)</f>
        <v/>
      </c>
      <c r="X451" s="66">
        <f>IF('Smart Search'!C13=1,IFERROR(1/'Smart Search'!H13,0),0)</f>
        <v/>
      </c>
      <c r="Y451" s="66">
        <f>IF('Smart Search'!C13=1,IFERROR(1/'Smart Search'!H13,0),0)</f>
        <v/>
      </c>
      <c r="Z451" s="66">
        <f>IF('Smart Search'!D13=1,IFERROR(1/'Smart Search'!H13,0),0)</f>
        <v/>
      </c>
      <c r="AA451" s="66">
        <f>IF('Smart Search'!D13=1,IFERROR(1/'Smart Search'!H13,0),0)</f>
        <v/>
      </c>
      <c r="AB451" s="66">
        <f>IF('Smart Search'!E13=1,IFERROR(1/'Smart Search'!H13,0),0)</f>
        <v/>
      </c>
      <c r="AC451" s="66">
        <f>IF('Smart Search'!E13=1,IFERROR(1/'Smart Search'!H13,0),0)</f>
        <v/>
      </c>
      <c r="AD451" s="66">
        <f>IF('Smart Search'!F13=1,IFERROR(1/'Smart Search'!H13,0),0)</f>
        <v/>
      </c>
      <c r="AE451" s="66">
        <f>IF('Smart Search'!F13=1,IFERROR(1/'Smart Search'!H13,0),0)</f>
        <v/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66">
        <f>AF451*V451</f>
        <v/>
      </c>
      <c r="AQ451" s="66">
        <f>AG451*W451</f>
        <v/>
      </c>
      <c r="AR451" s="66">
        <f>AH451*X451</f>
        <v/>
      </c>
      <c r="AS451" s="66">
        <f>AI451*Y451</f>
        <v/>
      </c>
      <c r="AT451" s="66">
        <f>AJ451*Z451</f>
        <v/>
      </c>
      <c r="AU451" s="66">
        <f>AK451*AA451</f>
        <v/>
      </c>
      <c r="AV451" s="66">
        <f>AL451*AB451</f>
        <v/>
      </c>
      <c r="AW451" s="66">
        <f>AM451*AC451</f>
        <v/>
      </c>
      <c r="AX451" s="66">
        <f>AN451*AD451</f>
        <v/>
      </c>
      <c r="AY451" s="66">
        <f>AO451*AE451</f>
        <v/>
      </c>
      <c r="AZ451" s="66">
        <f>'Project Database'!Z455</f>
        <v/>
      </c>
      <c r="BA451" s="66">
        <f>IF(OR(A451="",'Smart Search'!H13=0),"",MAX(0,BE451*BF451*MAX(0,1-BG451)))</f>
        <v/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66">
        <f>IF('Smart Search'!G13=1,IFERROR(1/'Smart Search'!H13,0),0)</f>
        <v/>
      </c>
      <c r="BD451" s="66">
        <f>BB451*BC451</f>
        <v/>
      </c>
      <c r="BE451" s="66">
        <f>AP451+AQ451+AR451+AS451+AT451+AU451+AV451+AW451+AX451+AY451+BD451</f>
        <v/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5">
        <f>IF(AND('Project Database'!A455&lt;&gt;"",OR('Smart Search'!$L$5="",'Smart Search'!$L$5="All",TRIM('Project Database'!D455)=TRIM('Smart Search'!$L$5)),OR(TRIM('Smart Search'!$L$6)="",TRIM('Smart Search'!$L$6)="All",ISNUMBER(SEARCH(SUBSTITUTE(SUBSTITUTE(SUBSTITUTE(TRIM('Smart Search'!$L$6),"~","~~"),"*","~*"),"?","~?"),'Project Database'!C455))),OR('Smart Search'!$L$7="",AND('Project Database'!E455&lt;&gt;"",'Project Database'!E455='Smart Search'!$L$7)),OR('Smart Search'!$L$8="",'Smart Search'!$L$8="All",TRIM('Project Database'!F455)=TRIM('Smart Search'!$L$8))),IF(BA451="","",BA451+ROW()*0.0000000001),"")</f>
        <v/>
      </c>
      <c r="BI451" s="5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>
        <f>IF('Project Database'!A455="","",N('Project Database'!AC455))</f>
        <v/>
      </c>
      <c r="BK451" s="5">
        <f>IF('Project Database'!A455="","",N('Project Database'!AD455))</f>
        <v/>
      </c>
      <c r="BL451" s="5">
        <f>IF('Project Database'!A455="","",N('Project Database'!AE455))</f>
        <v/>
      </c>
      <c r="BM451" s="5">
        <f>IF('Project Database'!A455="","",N('Project Database'!AF455))</f>
        <v/>
      </c>
      <c r="BN451" s="5">
        <f>IF('Project Database'!A455="","",N('Project Database'!AG455))</f>
        <v/>
      </c>
      <c r="BO451" s="5">
        <f>IF('Project Database'!A455="","",N('Project Database'!AH455))</f>
        <v/>
      </c>
      <c r="BP451" s="5">
        <f>IF('Project Database'!A455="","",N('Project Database'!AI455))</f>
        <v/>
      </c>
      <c r="BQ451" s="5">
        <f>IF('Project Database'!A455="","",N('Project Database'!AJ455))</f>
        <v/>
      </c>
      <c r="BR451" s="5">
        <f>IF('Project Database'!A455="","",N('Project Database'!AK455))</f>
        <v/>
      </c>
      <c r="BS451" s="5">
        <f>IF('Project Database'!A455="","",N('Project Database'!AL455))</f>
        <v/>
      </c>
      <c r="BT451" s="5">
        <f>IF('Project Database'!A455="","",N('Project Database'!AM455))</f>
        <v/>
      </c>
      <c r="BU451" s="5">
        <f>IF('Project Database'!A455="","",N('Project Database'!AN455))</f>
        <v/>
      </c>
      <c r="BV451" s="5">
        <f>IF('Project Database'!A455="","",N('Project Database'!AO455))</f>
        <v/>
      </c>
      <c r="BW451" s="5">
        <f>IF('Project Database'!A455="","",N('Project Database'!AP455))</f>
        <v/>
      </c>
      <c r="BX451" s="5">
        <f>IF(A451="","",SUM(BJ451:BW451))</f>
        <v/>
      </c>
      <c r="BY451" s="5">
        <f>IF(A451="","",IFERROR(IF(ISNUMBER(U451),U451,VALUE(SUBSTITUTE(SUBSTITUTE(SUBSTITUTE(UPPER(TRIM(U451)),"M",""),",","")," ",""))),0))</f>
        <v/>
      </c>
    </row>
    <row r="452" ht="15" customHeight="1" s="74">
      <c r="A452" s="66">
        <f>'Project Database'!A456</f>
        <v/>
      </c>
      <c r="B452" s="66">
        <f>'Project Database'!B456</f>
        <v/>
      </c>
      <c r="C452" s="66">
        <f>'Project Database'!G456</f>
        <v/>
      </c>
      <c r="D452" s="66">
        <f>'Project Database'!H456</f>
        <v/>
      </c>
      <c r="E452" s="66">
        <f>'Project Database'!I456</f>
        <v/>
      </c>
      <c r="F452" s="66">
        <f>'Project Database'!J456</f>
        <v/>
      </c>
      <c r="G452" s="66">
        <f>'Project Database'!K456</f>
        <v/>
      </c>
      <c r="H452" s="66">
        <f>'Project Database'!L456</f>
        <v/>
      </c>
      <c r="I452" s="66">
        <f>'Project Database'!M456</f>
        <v/>
      </c>
      <c r="J452" s="66">
        <f>'Project Database'!N456</f>
        <v/>
      </c>
      <c r="K452" s="66">
        <f>'Project Database'!O456</f>
        <v/>
      </c>
      <c r="L452" s="66">
        <f>'Project Database'!P456</f>
        <v/>
      </c>
      <c r="M452" s="66">
        <f>'Project Database'!Q456</f>
        <v/>
      </c>
      <c r="N452" s="66">
        <f>'Project Database'!R456</f>
        <v/>
      </c>
      <c r="O452" s="66">
        <f>'Project Database'!S456</f>
        <v/>
      </c>
      <c r="P452" s="66">
        <f>'Project Database'!T456</f>
        <v/>
      </c>
      <c r="Q452" s="66">
        <f>'Project Database'!U456</f>
        <v/>
      </c>
      <c r="R452" s="66">
        <f>'Project Database'!V456</f>
        <v/>
      </c>
      <c r="S452" s="66">
        <f>'Project Database'!W456</f>
        <v/>
      </c>
      <c r="T452" s="66">
        <f>'Project Database'!X456</f>
        <v/>
      </c>
      <c r="U452" s="67">
        <f>'Project Database'!Y456</f>
        <v/>
      </c>
      <c r="V452" s="66">
        <f>IF('Smart Search'!B13=1,IFERROR(1/'Smart Search'!H13,0),0)</f>
        <v/>
      </c>
      <c r="W452" s="66">
        <f>IF('Smart Search'!B13=1,IFERROR(1/'Smart Search'!H13,0),0)</f>
        <v/>
      </c>
      <c r="X452" s="66">
        <f>IF('Smart Search'!C13=1,IFERROR(1/'Smart Search'!H13,0),0)</f>
        <v/>
      </c>
      <c r="Y452" s="66">
        <f>IF('Smart Search'!C13=1,IFERROR(1/'Smart Search'!H13,0),0)</f>
        <v/>
      </c>
      <c r="Z452" s="66">
        <f>IF('Smart Search'!D13=1,IFERROR(1/'Smart Search'!H13,0),0)</f>
        <v/>
      </c>
      <c r="AA452" s="66">
        <f>IF('Smart Search'!D13=1,IFERROR(1/'Smart Search'!H13,0),0)</f>
        <v/>
      </c>
      <c r="AB452" s="66">
        <f>IF('Smart Search'!E13=1,IFERROR(1/'Smart Search'!H13,0),0)</f>
        <v/>
      </c>
      <c r="AC452" s="66">
        <f>IF('Smart Search'!E13=1,IFERROR(1/'Smart Search'!H13,0),0)</f>
        <v/>
      </c>
      <c r="AD452" s="66">
        <f>IF('Smart Search'!F13=1,IFERROR(1/'Smart Search'!H13,0),0)</f>
        <v/>
      </c>
      <c r="AE452" s="66">
        <f>IF('Smart Search'!F13=1,IFERROR(1/'Smart Search'!H13,0),0)</f>
        <v/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66">
        <f>AF452*V452</f>
        <v/>
      </c>
      <c r="AQ452" s="66">
        <f>AG452*W452</f>
        <v/>
      </c>
      <c r="AR452" s="66">
        <f>AH452*X452</f>
        <v/>
      </c>
      <c r="AS452" s="66">
        <f>AI452*Y452</f>
        <v/>
      </c>
      <c r="AT452" s="66">
        <f>AJ452*Z452</f>
        <v/>
      </c>
      <c r="AU452" s="66">
        <f>AK452*AA452</f>
        <v/>
      </c>
      <c r="AV452" s="66">
        <f>AL452*AB452</f>
        <v/>
      </c>
      <c r="AW452" s="66">
        <f>AM452*AC452</f>
        <v/>
      </c>
      <c r="AX452" s="66">
        <f>AN452*AD452</f>
        <v/>
      </c>
      <c r="AY452" s="66">
        <f>AO452*AE452</f>
        <v/>
      </c>
      <c r="AZ452" s="66">
        <f>'Project Database'!Z456</f>
        <v/>
      </c>
      <c r="BA452" s="66">
        <f>IF(OR(A452="",'Smart Search'!H13=0),"",MAX(0,BE452*BF452*MAX(0,1-BG452)))</f>
        <v/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66">
        <f>IF('Smart Search'!G13=1,IFERROR(1/'Smart Search'!H13,0),0)</f>
        <v/>
      </c>
      <c r="BD452" s="66">
        <f>BB452*BC452</f>
        <v/>
      </c>
      <c r="BE452" s="66">
        <f>AP452+AQ452+AR452+AS452+AT452+AU452+AV452+AW452+AX452+AY452+BD452</f>
        <v/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5">
        <f>IF(AND('Project Database'!A456&lt;&gt;"",OR('Smart Search'!$L$5="",'Smart Search'!$L$5="All",TRIM('Project Database'!D456)=TRIM('Smart Search'!$L$5)),OR(TRIM('Smart Search'!$L$6)="",TRIM('Smart Search'!$L$6)="All",ISNUMBER(SEARCH(SUBSTITUTE(SUBSTITUTE(SUBSTITUTE(TRIM('Smart Search'!$L$6),"~","~~"),"*","~*"),"?","~?"),'Project Database'!C456))),OR('Smart Search'!$L$7="",AND('Project Database'!E456&lt;&gt;"",'Project Database'!E456='Smart Search'!$L$7)),OR('Smart Search'!$L$8="",'Smart Search'!$L$8="All",TRIM('Project Database'!F456)=TRIM('Smart Search'!$L$8))),IF(BA452="","",BA452+ROW()*0.0000000001),"")</f>
        <v/>
      </c>
      <c r="BI452" s="5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>
        <f>IF('Project Database'!A456="","",N('Project Database'!AC456))</f>
        <v/>
      </c>
      <c r="BK452" s="5">
        <f>IF('Project Database'!A456="","",N('Project Database'!AD456))</f>
        <v/>
      </c>
      <c r="BL452" s="5">
        <f>IF('Project Database'!A456="","",N('Project Database'!AE456))</f>
        <v/>
      </c>
      <c r="BM452" s="5">
        <f>IF('Project Database'!A456="","",N('Project Database'!AF456))</f>
        <v/>
      </c>
      <c r="BN452" s="5">
        <f>IF('Project Database'!A456="","",N('Project Database'!AG456))</f>
        <v/>
      </c>
      <c r="BO452" s="5">
        <f>IF('Project Database'!A456="","",N('Project Database'!AH456))</f>
        <v/>
      </c>
      <c r="BP452" s="5">
        <f>IF('Project Database'!A456="","",N('Project Database'!AI456))</f>
        <v/>
      </c>
      <c r="BQ452" s="5">
        <f>IF('Project Database'!A456="","",N('Project Database'!AJ456))</f>
        <v/>
      </c>
      <c r="BR452" s="5">
        <f>IF('Project Database'!A456="","",N('Project Database'!AK456))</f>
        <v/>
      </c>
      <c r="BS452" s="5">
        <f>IF('Project Database'!A456="","",N('Project Database'!AL456))</f>
        <v/>
      </c>
      <c r="BT452" s="5">
        <f>IF('Project Database'!A456="","",N('Project Database'!AM456))</f>
        <v/>
      </c>
      <c r="BU452" s="5">
        <f>IF('Project Database'!A456="","",N('Project Database'!AN456))</f>
        <v/>
      </c>
      <c r="BV452" s="5">
        <f>IF('Project Database'!A456="","",N('Project Database'!AO456))</f>
        <v/>
      </c>
      <c r="BW452" s="5">
        <f>IF('Project Database'!A456="","",N('Project Database'!AP456))</f>
        <v/>
      </c>
      <c r="BX452" s="5">
        <f>IF(A452="","",SUM(BJ452:BW452))</f>
        <v/>
      </c>
      <c r="BY452" s="5">
        <f>IF(A452="","",IFERROR(IF(ISNUMBER(U452),U452,VALUE(SUBSTITUTE(SUBSTITUTE(SUBSTITUTE(UPPER(TRIM(U452)),"M",""),",","")," ",""))),0))</f>
        <v/>
      </c>
    </row>
    <row r="453" ht="15" customHeight="1" s="74">
      <c r="A453" s="66">
        <f>'Project Database'!A457</f>
        <v/>
      </c>
      <c r="B453" s="66">
        <f>'Project Database'!B457</f>
        <v/>
      </c>
      <c r="C453" s="66">
        <f>'Project Database'!G457</f>
        <v/>
      </c>
      <c r="D453" s="66">
        <f>'Project Database'!H457</f>
        <v/>
      </c>
      <c r="E453" s="66">
        <f>'Project Database'!I457</f>
        <v/>
      </c>
      <c r="F453" s="66">
        <f>'Project Database'!J457</f>
        <v/>
      </c>
      <c r="G453" s="66">
        <f>'Project Database'!K457</f>
        <v/>
      </c>
      <c r="H453" s="66">
        <f>'Project Database'!L457</f>
        <v/>
      </c>
      <c r="I453" s="66">
        <f>'Project Database'!M457</f>
        <v/>
      </c>
      <c r="J453" s="66">
        <f>'Project Database'!N457</f>
        <v/>
      </c>
      <c r="K453" s="66">
        <f>'Project Database'!O457</f>
        <v/>
      </c>
      <c r="L453" s="66">
        <f>'Project Database'!P457</f>
        <v/>
      </c>
      <c r="M453" s="66">
        <f>'Project Database'!Q457</f>
        <v/>
      </c>
      <c r="N453" s="66">
        <f>'Project Database'!R457</f>
        <v/>
      </c>
      <c r="O453" s="66">
        <f>'Project Database'!S457</f>
        <v/>
      </c>
      <c r="P453" s="66">
        <f>'Project Database'!T457</f>
        <v/>
      </c>
      <c r="Q453" s="66">
        <f>'Project Database'!U457</f>
        <v/>
      </c>
      <c r="R453" s="66">
        <f>'Project Database'!V457</f>
        <v/>
      </c>
      <c r="S453" s="66">
        <f>'Project Database'!W457</f>
        <v/>
      </c>
      <c r="T453" s="66">
        <f>'Project Database'!X457</f>
        <v/>
      </c>
      <c r="U453" s="67">
        <f>'Project Database'!Y457</f>
        <v/>
      </c>
      <c r="V453" s="66">
        <f>IF('Smart Search'!B13=1,IFERROR(1/'Smart Search'!H13,0),0)</f>
        <v/>
      </c>
      <c r="W453" s="66">
        <f>IF('Smart Search'!B13=1,IFERROR(1/'Smart Search'!H13,0),0)</f>
        <v/>
      </c>
      <c r="X453" s="66">
        <f>IF('Smart Search'!C13=1,IFERROR(1/'Smart Search'!H13,0),0)</f>
        <v/>
      </c>
      <c r="Y453" s="66">
        <f>IF('Smart Search'!C13=1,IFERROR(1/'Smart Search'!H13,0),0)</f>
        <v/>
      </c>
      <c r="Z453" s="66">
        <f>IF('Smart Search'!D13=1,IFERROR(1/'Smart Search'!H13,0),0)</f>
        <v/>
      </c>
      <c r="AA453" s="66">
        <f>IF('Smart Search'!D13=1,IFERROR(1/'Smart Search'!H13,0),0)</f>
        <v/>
      </c>
      <c r="AB453" s="66">
        <f>IF('Smart Search'!E13=1,IFERROR(1/'Smart Search'!H13,0),0)</f>
        <v/>
      </c>
      <c r="AC453" s="66">
        <f>IF('Smart Search'!E13=1,IFERROR(1/'Smart Search'!H13,0),0)</f>
        <v/>
      </c>
      <c r="AD453" s="66">
        <f>IF('Smart Search'!F13=1,IFERROR(1/'Smart Search'!H13,0),0)</f>
        <v/>
      </c>
      <c r="AE453" s="66">
        <f>IF('Smart Search'!F13=1,IFERROR(1/'Smart Search'!H13,0),0)</f>
        <v/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66">
        <f>AF453*V453</f>
        <v/>
      </c>
      <c r="AQ453" s="66">
        <f>AG453*W453</f>
        <v/>
      </c>
      <c r="AR453" s="66">
        <f>AH453*X453</f>
        <v/>
      </c>
      <c r="AS453" s="66">
        <f>AI453*Y453</f>
        <v/>
      </c>
      <c r="AT453" s="66">
        <f>AJ453*Z453</f>
        <v/>
      </c>
      <c r="AU453" s="66">
        <f>AK453*AA453</f>
        <v/>
      </c>
      <c r="AV453" s="66">
        <f>AL453*AB453</f>
        <v/>
      </c>
      <c r="AW453" s="66">
        <f>AM453*AC453</f>
        <v/>
      </c>
      <c r="AX453" s="66">
        <f>AN453*AD453</f>
        <v/>
      </c>
      <c r="AY453" s="66">
        <f>AO453*AE453</f>
        <v/>
      </c>
      <c r="AZ453" s="66">
        <f>'Project Database'!Z457</f>
        <v/>
      </c>
      <c r="BA453" s="66">
        <f>IF(OR(A453="",'Smart Search'!H13=0),"",MAX(0,BE453*BF453*MAX(0,1-BG453)))</f>
        <v/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66">
        <f>IF('Smart Search'!G13=1,IFERROR(1/'Smart Search'!H13,0),0)</f>
        <v/>
      </c>
      <c r="BD453" s="66">
        <f>BB453*BC453</f>
        <v/>
      </c>
      <c r="BE453" s="66">
        <f>AP453+AQ453+AR453+AS453+AT453+AU453+AV453+AW453+AX453+AY453+BD453</f>
        <v/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5">
        <f>IF(AND('Project Database'!A457&lt;&gt;"",OR('Smart Search'!$L$5="",'Smart Search'!$L$5="All",TRIM('Project Database'!D457)=TRIM('Smart Search'!$L$5)),OR(TRIM('Smart Search'!$L$6)="",TRIM('Smart Search'!$L$6)="All",ISNUMBER(SEARCH(SUBSTITUTE(SUBSTITUTE(SUBSTITUTE(TRIM('Smart Search'!$L$6),"~","~~"),"*","~*"),"?","~?"),'Project Database'!C457))),OR('Smart Search'!$L$7="",AND('Project Database'!E457&lt;&gt;"",'Project Database'!E457='Smart Search'!$L$7)),OR('Smart Search'!$L$8="",'Smart Search'!$L$8="All",TRIM('Project Database'!F457)=TRIM('Smart Search'!$L$8))),IF(BA453="","",BA453+ROW()*0.0000000001),"")</f>
        <v/>
      </c>
      <c r="BI453" s="5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>
        <f>IF('Project Database'!A457="","",N('Project Database'!AC457))</f>
        <v/>
      </c>
      <c r="BK453" s="5">
        <f>IF('Project Database'!A457="","",N('Project Database'!AD457))</f>
        <v/>
      </c>
      <c r="BL453" s="5">
        <f>IF('Project Database'!A457="","",N('Project Database'!AE457))</f>
        <v/>
      </c>
      <c r="BM453" s="5">
        <f>IF('Project Database'!A457="","",N('Project Database'!AF457))</f>
        <v/>
      </c>
      <c r="BN453" s="5">
        <f>IF('Project Database'!A457="","",N('Project Database'!AG457))</f>
        <v/>
      </c>
      <c r="BO453" s="5">
        <f>IF('Project Database'!A457="","",N('Project Database'!AH457))</f>
        <v/>
      </c>
      <c r="BP453" s="5">
        <f>IF('Project Database'!A457="","",N('Project Database'!AI457))</f>
        <v/>
      </c>
      <c r="BQ453" s="5">
        <f>IF('Project Database'!A457="","",N('Project Database'!AJ457))</f>
        <v/>
      </c>
      <c r="BR453" s="5">
        <f>IF('Project Database'!A457="","",N('Project Database'!AK457))</f>
        <v/>
      </c>
      <c r="BS453" s="5">
        <f>IF('Project Database'!A457="","",N('Project Database'!AL457))</f>
        <v/>
      </c>
      <c r="BT453" s="5">
        <f>IF('Project Database'!A457="","",N('Project Database'!AM457))</f>
        <v/>
      </c>
      <c r="BU453" s="5">
        <f>IF('Project Database'!A457="","",N('Project Database'!AN457))</f>
        <v/>
      </c>
      <c r="BV453" s="5">
        <f>IF('Project Database'!A457="","",N('Project Database'!AO457))</f>
        <v/>
      </c>
      <c r="BW453" s="5">
        <f>IF('Project Database'!A457="","",N('Project Database'!AP457))</f>
        <v/>
      </c>
      <c r="BX453" s="5">
        <f>IF(A453="","",SUM(BJ453:BW453))</f>
        <v/>
      </c>
      <c r="BY453" s="5">
        <f>IF(A453="","",IFERROR(IF(ISNUMBER(U453),U453,VALUE(SUBSTITUTE(SUBSTITUTE(SUBSTITUTE(UPPER(TRIM(U453)),"M",""),",","")," ",""))),0))</f>
        <v/>
      </c>
    </row>
    <row r="454" ht="15" customHeight="1" s="74">
      <c r="A454" s="66">
        <f>'Project Database'!A458</f>
        <v/>
      </c>
      <c r="B454" s="66">
        <f>'Project Database'!B458</f>
        <v/>
      </c>
      <c r="C454" s="66">
        <f>'Project Database'!G458</f>
        <v/>
      </c>
      <c r="D454" s="66">
        <f>'Project Database'!H458</f>
        <v/>
      </c>
      <c r="E454" s="66">
        <f>'Project Database'!I458</f>
        <v/>
      </c>
      <c r="F454" s="66">
        <f>'Project Database'!J458</f>
        <v/>
      </c>
      <c r="G454" s="66">
        <f>'Project Database'!K458</f>
        <v/>
      </c>
      <c r="H454" s="66">
        <f>'Project Database'!L458</f>
        <v/>
      </c>
      <c r="I454" s="66">
        <f>'Project Database'!M458</f>
        <v/>
      </c>
      <c r="J454" s="66">
        <f>'Project Database'!N458</f>
        <v/>
      </c>
      <c r="K454" s="66">
        <f>'Project Database'!O458</f>
        <v/>
      </c>
      <c r="L454" s="66">
        <f>'Project Database'!P458</f>
        <v/>
      </c>
      <c r="M454" s="66">
        <f>'Project Database'!Q458</f>
        <v/>
      </c>
      <c r="N454" s="66">
        <f>'Project Database'!R458</f>
        <v/>
      </c>
      <c r="O454" s="66">
        <f>'Project Database'!S458</f>
        <v/>
      </c>
      <c r="P454" s="66">
        <f>'Project Database'!T458</f>
        <v/>
      </c>
      <c r="Q454" s="66">
        <f>'Project Database'!U458</f>
        <v/>
      </c>
      <c r="R454" s="66">
        <f>'Project Database'!V458</f>
        <v/>
      </c>
      <c r="S454" s="66">
        <f>'Project Database'!W458</f>
        <v/>
      </c>
      <c r="T454" s="66">
        <f>'Project Database'!X458</f>
        <v/>
      </c>
      <c r="U454" s="67">
        <f>'Project Database'!Y458</f>
        <v/>
      </c>
      <c r="V454" s="66">
        <f>IF('Smart Search'!B13=1,IFERROR(1/'Smart Search'!H13,0),0)</f>
        <v/>
      </c>
      <c r="W454" s="66">
        <f>IF('Smart Search'!B13=1,IFERROR(1/'Smart Search'!H13,0),0)</f>
        <v/>
      </c>
      <c r="X454" s="66">
        <f>IF('Smart Search'!C13=1,IFERROR(1/'Smart Search'!H13,0),0)</f>
        <v/>
      </c>
      <c r="Y454" s="66">
        <f>IF('Smart Search'!C13=1,IFERROR(1/'Smart Search'!H13,0),0)</f>
        <v/>
      </c>
      <c r="Z454" s="66">
        <f>IF('Smart Search'!D13=1,IFERROR(1/'Smart Search'!H13,0),0)</f>
        <v/>
      </c>
      <c r="AA454" s="66">
        <f>IF('Smart Search'!D13=1,IFERROR(1/'Smart Search'!H13,0),0)</f>
        <v/>
      </c>
      <c r="AB454" s="66">
        <f>IF('Smart Search'!E13=1,IFERROR(1/'Smart Search'!H13,0),0)</f>
        <v/>
      </c>
      <c r="AC454" s="66">
        <f>IF('Smart Search'!E13=1,IFERROR(1/'Smart Search'!H13,0),0)</f>
        <v/>
      </c>
      <c r="AD454" s="66">
        <f>IF('Smart Search'!F13=1,IFERROR(1/'Smart Search'!H13,0),0)</f>
        <v/>
      </c>
      <c r="AE454" s="66">
        <f>IF('Smart Search'!F13=1,IFERROR(1/'Smart Search'!H13,0),0)</f>
        <v/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66">
        <f>AF454*V454</f>
        <v/>
      </c>
      <c r="AQ454" s="66">
        <f>AG454*W454</f>
        <v/>
      </c>
      <c r="AR454" s="66">
        <f>AH454*X454</f>
        <v/>
      </c>
      <c r="AS454" s="66">
        <f>AI454*Y454</f>
        <v/>
      </c>
      <c r="AT454" s="66">
        <f>AJ454*Z454</f>
        <v/>
      </c>
      <c r="AU454" s="66">
        <f>AK454*AA454</f>
        <v/>
      </c>
      <c r="AV454" s="66">
        <f>AL454*AB454</f>
        <v/>
      </c>
      <c r="AW454" s="66">
        <f>AM454*AC454</f>
        <v/>
      </c>
      <c r="AX454" s="66">
        <f>AN454*AD454</f>
        <v/>
      </c>
      <c r="AY454" s="66">
        <f>AO454*AE454</f>
        <v/>
      </c>
      <c r="AZ454" s="66">
        <f>'Project Database'!Z458</f>
        <v/>
      </c>
      <c r="BA454" s="66">
        <f>IF(OR(A454="",'Smart Search'!H13=0),"",MAX(0,BE454*BF454*MAX(0,1-BG454)))</f>
        <v/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66">
        <f>IF('Smart Search'!G13=1,IFERROR(1/'Smart Search'!H13,0),0)</f>
        <v/>
      </c>
      <c r="BD454" s="66">
        <f>BB454*BC454</f>
        <v/>
      </c>
      <c r="BE454" s="66">
        <f>AP454+AQ454+AR454+AS454+AT454+AU454+AV454+AW454+AX454+AY454+BD454</f>
        <v/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5">
        <f>IF(AND('Project Database'!A458&lt;&gt;"",OR('Smart Search'!$L$5="",'Smart Search'!$L$5="All",TRIM('Project Database'!D458)=TRIM('Smart Search'!$L$5)),OR(TRIM('Smart Search'!$L$6)="",TRIM('Smart Search'!$L$6)="All",ISNUMBER(SEARCH(SUBSTITUTE(SUBSTITUTE(SUBSTITUTE(TRIM('Smart Search'!$L$6),"~","~~"),"*","~*"),"?","~?"),'Project Database'!C458))),OR('Smart Search'!$L$7="",AND('Project Database'!E458&lt;&gt;"",'Project Database'!E458='Smart Search'!$L$7)),OR('Smart Search'!$L$8="",'Smart Search'!$L$8="All",TRIM('Project Database'!F458)=TRIM('Smart Search'!$L$8))),IF(BA454="","",BA454+ROW()*0.0000000001),"")</f>
        <v/>
      </c>
      <c r="BI454" s="5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>
        <f>IF('Project Database'!A458="","",N('Project Database'!AC458))</f>
        <v/>
      </c>
      <c r="BK454" s="5">
        <f>IF('Project Database'!A458="","",N('Project Database'!AD458))</f>
        <v/>
      </c>
      <c r="BL454" s="5">
        <f>IF('Project Database'!A458="","",N('Project Database'!AE458))</f>
        <v/>
      </c>
      <c r="BM454" s="5">
        <f>IF('Project Database'!A458="","",N('Project Database'!AF458))</f>
        <v/>
      </c>
      <c r="BN454" s="5">
        <f>IF('Project Database'!A458="","",N('Project Database'!AG458))</f>
        <v/>
      </c>
      <c r="BO454" s="5">
        <f>IF('Project Database'!A458="","",N('Project Database'!AH458))</f>
        <v/>
      </c>
      <c r="BP454" s="5">
        <f>IF('Project Database'!A458="","",N('Project Database'!AI458))</f>
        <v/>
      </c>
      <c r="BQ454" s="5">
        <f>IF('Project Database'!A458="","",N('Project Database'!AJ458))</f>
        <v/>
      </c>
      <c r="BR454" s="5">
        <f>IF('Project Database'!A458="","",N('Project Database'!AK458))</f>
        <v/>
      </c>
      <c r="BS454" s="5">
        <f>IF('Project Database'!A458="","",N('Project Database'!AL458))</f>
        <v/>
      </c>
      <c r="BT454" s="5">
        <f>IF('Project Database'!A458="","",N('Project Database'!AM458))</f>
        <v/>
      </c>
      <c r="BU454" s="5">
        <f>IF('Project Database'!A458="","",N('Project Database'!AN458))</f>
        <v/>
      </c>
      <c r="BV454" s="5">
        <f>IF('Project Database'!A458="","",N('Project Database'!AO458))</f>
        <v/>
      </c>
      <c r="BW454" s="5">
        <f>IF('Project Database'!A458="","",N('Project Database'!AP458))</f>
        <v/>
      </c>
      <c r="BX454" s="5">
        <f>IF(A454="","",SUM(BJ454:BW454))</f>
        <v/>
      </c>
      <c r="BY454" s="5">
        <f>IF(A454="","",IFERROR(IF(ISNUMBER(U454),U454,VALUE(SUBSTITUTE(SUBSTITUTE(SUBSTITUTE(UPPER(TRIM(U454)),"M",""),",","")," ",""))),0))</f>
        <v/>
      </c>
    </row>
    <row r="455" ht="15" customHeight="1" s="74">
      <c r="A455" s="66">
        <f>'Project Database'!A459</f>
        <v/>
      </c>
      <c r="B455" s="66">
        <f>'Project Database'!B459</f>
        <v/>
      </c>
      <c r="C455" s="66">
        <f>'Project Database'!G459</f>
        <v/>
      </c>
      <c r="D455" s="66">
        <f>'Project Database'!H459</f>
        <v/>
      </c>
      <c r="E455" s="66">
        <f>'Project Database'!I459</f>
        <v/>
      </c>
      <c r="F455" s="66">
        <f>'Project Database'!J459</f>
        <v/>
      </c>
      <c r="G455" s="66">
        <f>'Project Database'!K459</f>
        <v/>
      </c>
      <c r="H455" s="66">
        <f>'Project Database'!L459</f>
        <v/>
      </c>
      <c r="I455" s="66">
        <f>'Project Database'!M459</f>
        <v/>
      </c>
      <c r="J455" s="66">
        <f>'Project Database'!N459</f>
        <v/>
      </c>
      <c r="K455" s="66">
        <f>'Project Database'!O459</f>
        <v/>
      </c>
      <c r="L455" s="66">
        <f>'Project Database'!P459</f>
        <v/>
      </c>
      <c r="M455" s="66">
        <f>'Project Database'!Q459</f>
        <v/>
      </c>
      <c r="N455" s="66">
        <f>'Project Database'!R459</f>
        <v/>
      </c>
      <c r="O455" s="66">
        <f>'Project Database'!S459</f>
        <v/>
      </c>
      <c r="P455" s="66">
        <f>'Project Database'!T459</f>
        <v/>
      </c>
      <c r="Q455" s="66">
        <f>'Project Database'!U459</f>
        <v/>
      </c>
      <c r="R455" s="66">
        <f>'Project Database'!V459</f>
        <v/>
      </c>
      <c r="S455" s="66">
        <f>'Project Database'!W459</f>
        <v/>
      </c>
      <c r="T455" s="66">
        <f>'Project Database'!X459</f>
        <v/>
      </c>
      <c r="U455" s="67">
        <f>'Project Database'!Y459</f>
        <v/>
      </c>
      <c r="V455" s="66">
        <f>IF('Smart Search'!B13=1,IFERROR(1/'Smart Search'!H13,0),0)</f>
        <v/>
      </c>
      <c r="W455" s="66">
        <f>IF('Smart Search'!B13=1,IFERROR(1/'Smart Search'!H13,0),0)</f>
        <v/>
      </c>
      <c r="X455" s="66">
        <f>IF('Smart Search'!C13=1,IFERROR(1/'Smart Search'!H13,0),0)</f>
        <v/>
      </c>
      <c r="Y455" s="66">
        <f>IF('Smart Search'!C13=1,IFERROR(1/'Smart Search'!H13,0),0)</f>
        <v/>
      </c>
      <c r="Z455" s="66">
        <f>IF('Smart Search'!D13=1,IFERROR(1/'Smart Search'!H13,0),0)</f>
        <v/>
      </c>
      <c r="AA455" s="66">
        <f>IF('Smart Search'!D13=1,IFERROR(1/'Smart Search'!H13,0),0)</f>
        <v/>
      </c>
      <c r="AB455" s="66">
        <f>IF('Smart Search'!E13=1,IFERROR(1/'Smart Search'!H13,0),0)</f>
        <v/>
      </c>
      <c r="AC455" s="66">
        <f>IF('Smart Search'!E13=1,IFERROR(1/'Smart Search'!H13,0),0)</f>
        <v/>
      </c>
      <c r="AD455" s="66">
        <f>IF('Smart Search'!F13=1,IFERROR(1/'Smart Search'!H13,0),0)</f>
        <v/>
      </c>
      <c r="AE455" s="66">
        <f>IF('Smart Search'!F13=1,IFERROR(1/'Smart Search'!H13,0),0)</f>
        <v/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66">
        <f>AF455*V455</f>
        <v/>
      </c>
      <c r="AQ455" s="66">
        <f>AG455*W455</f>
        <v/>
      </c>
      <c r="AR455" s="66">
        <f>AH455*X455</f>
        <v/>
      </c>
      <c r="AS455" s="66">
        <f>AI455*Y455</f>
        <v/>
      </c>
      <c r="AT455" s="66">
        <f>AJ455*Z455</f>
        <v/>
      </c>
      <c r="AU455" s="66">
        <f>AK455*AA455</f>
        <v/>
      </c>
      <c r="AV455" s="66">
        <f>AL455*AB455</f>
        <v/>
      </c>
      <c r="AW455" s="66">
        <f>AM455*AC455</f>
        <v/>
      </c>
      <c r="AX455" s="66">
        <f>AN455*AD455</f>
        <v/>
      </c>
      <c r="AY455" s="66">
        <f>AO455*AE455</f>
        <v/>
      </c>
      <c r="AZ455" s="66">
        <f>'Project Database'!Z459</f>
        <v/>
      </c>
      <c r="BA455" s="66">
        <f>IF(OR(A455="",'Smart Search'!H13=0),"",MAX(0,BE455*BF455*MAX(0,1-BG455)))</f>
        <v/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66">
        <f>IF('Smart Search'!G13=1,IFERROR(1/'Smart Search'!H13,0),0)</f>
        <v/>
      </c>
      <c r="BD455" s="66">
        <f>BB455*BC455</f>
        <v/>
      </c>
      <c r="BE455" s="66">
        <f>AP455+AQ455+AR455+AS455+AT455+AU455+AV455+AW455+AX455+AY455+BD455</f>
        <v/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5">
        <f>IF(AND('Project Database'!A459&lt;&gt;"",OR('Smart Search'!$L$5="",'Smart Search'!$L$5="All",TRIM('Project Database'!D459)=TRIM('Smart Search'!$L$5)),OR(TRIM('Smart Search'!$L$6)="",TRIM('Smart Search'!$L$6)="All",ISNUMBER(SEARCH(SUBSTITUTE(SUBSTITUTE(SUBSTITUTE(TRIM('Smart Search'!$L$6),"~","~~"),"*","~*"),"?","~?"),'Project Database'!C459))),OR('Smart Search'!$L$7="",AND('Project Database'!E459&lt;&gt;"",'Project Database'!E459='Smart Search'!$L$7)),OR('Smart Search'!$L$8="",'Smart Search'!$L$8="All",TRIM('Project Database'!F459)=TRIM('Smart Search'!$L$8))),IF(BA455="","",BA455+ROW()*0.0000000001),"")</f>
        <v/>
      </c>
      <c r="BI455" s="5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>
        <f>IF('Project Database'!A459="","",N('Project Database'!AC459))</f>
        <v/>
      </c>
      <c r="BK455" s="5">
        <f>IF('Project Database'!A459="","",N('Project Database'!AD459))</f>
        <v/>
      </c>
      <c r="BL455" s="5">
        <f>IF('Project Database'!A459="","",N('Project Database'!AE459))</f>
        <v/>
      </c>
      <c r="BM455" s="5">
        <f>IF('Project Database'!A459="","",N('Project Database'!AF459))</f>
        <v/>
      </c>
      <c r="BN455" s="5">
        <f>IF('Project Database'!A459="","",N('Project Database'!AG459))</f>
        <v/>
      </c>
      <c r="BO455" s="5">
        <f>IF('Project Database'!A459="","",N('Project Database'!AH459))</f>
        <v/>
      </c>
      <c r="BP455" s="5">
        <f>IF('Project Database'!A459="","",N('Project Database'!AI459))</f>
        <v/>
      </c>
      <c r="BQ455" s="5">
        <f>IF('Project Database'!A459="","",N('Project Database'!AJ459))</f>
        <v/>
      </c>
      <c r="BR455" s="5">
        <f>IF('Project Database'!A459="","",N('Project Database'!AK459))</f>
        <v/>
      </c>
      <c r="BS455" s="5">
        <f>IF('Project Database'!A459="","",N('Project Database'!AL459))</f>
        <v/>
      </c>
      <c r="BT455" s="5">
        <f>IF('Project Database'!A459="","",N('Project Database'!AM459))</f>
        <v/>
      </c>
      <c r="BU455" s="5">
        <f>IF('Project Database'!A459="","",N('Project Database'!AN459))</f>
        <v/>
      </c>
      <c r="BV455" s="5">
        <f>IF('Project Database'!A459="","",N('Project Database'!AO459))</f>
        <v/>
      </c>
      <c r="BW455" s="5">
        <f>IF('Project Database'!A459="","",N('Project Database'!AP459))</f>
        <v/>
      </c>
      <c r="BX455" s="5">
        <f>IF(A455="","",SUM(BJ455:BW455))</f>
        <v/>
      </c>
      <c r="BY455" s="5">
        <f>IF(A455="","",IFERROR(IF(ISNUMBER(U455),U455,VALUE(SUBSTITUTE(SUBSTITUTE(SUBSTITUTE(UPPER(TRIM(U455)),"M",""),",","")," ",""))),0))</f>
        <v/>
      </c>
    </row>
    <row r="456" ht="15" customHeight="1" s="74">
      <c r="A456" s="66">
        <f>'Project Database'!A460</f>
        <v/>
      </c>
      <c r="B456" s="66">
        <f>'Project Database'!B460</f>
        <v/>
      </c>
      <c r="C456" s="66">
        <f>'Project Database'!G460</f>
        <v/>
      </c>
      <c r="D456" s="66">
        <f>'Project Database'!H460</f>
        <v/>
      </c>
      <c r="E456" s="66">
        <f>'Project Database'!I460</f>
        <v/>
      </c>
      <c r="F456" s="66">
        <f>'Project Database'!J460</f>
        <v/>
      </c>
      <c r="G456" s="66">
        <f>'Project Database'!K460</f>
        <v/>
      </c>
      <c r="H456" s="66">
        <f>'Project Database'!L460</f>
        <v/>
      </c>
      <c r="I456" s="66">
        <f>'Project Database'!M460</f>
        <v/>
      </c>
      <c r="J456" s="66">
        <f>'Project Database'!N460</f>
        <v/>
      </c>
      <c r="K456" s="66">
        <f>'Project Database'!O460</f>
        <v/>
      </c>
      <c r="L456" s="66">
        <f>'Project Database'!P460</f>
        <v/>
      </c>
      <c r="M456" s="66">
        <f>'Project Database'!Q460</f>
        <v/>
      </c>
      <c r="N456" s="66">
        <f>'Project Database'!R460</f>
        <v/>
      </c>
      <c r="O456" s="66">
        <f>'Project Database'!S460</f>
        <v/>
      </c>
      <c r="P456" s="66">
        <f>'Project Database'!T460</f>
        <v/>
      </c>
      <c r="Q456" s="66">
        <f>'Project Database'!U460</f>
        <v/>
      </c>
      <c r="R456" s="66">
        <f>'Project Database'!V460</f>
        <v/>
      </c>
      <c r="S456" s="66">
        <f>'Project Database'!W460</f>
        <v/>
      </c>
      <c r="T456" s="66">
        <f>'Project Database'!X460</f>
        <v/>
      </c>
      <c r="U456" s="67">
        <f>'Project Database'!Y460</f>
        <v/>
      </c>
      <c r="V456" s="66">
        <f>IF('Smart Search'!B13=1,IFERROR(1/'Smart Search'!H13,0),0)</f>
        <v/>
      </c>
      <c r="W456" s="66">
        <f>IF('Smart Search'!B13=1,IFERROR(1/'Smart Search'!H13,0),0)</f>
        <v/>
      </c>
      <c r="X456" s="66">
        <f>IF('Smart Search'!C13=1,IFERROR(1/'Smart Search'!H13,0),0)</f>
        <v/>
      </c>
      <c r="Y456" s="66">
        <f>IF('Smart Search'!C13=1,IFERROR(1/'Smart Search'!H13,0),0)</f>
        <v/>
      </c>
      <c r="Z456" s="66">
        <f>IF('Smart Search'!D13=1,IFERROR(1/'Smart Search'!H13,0),0)</f>
        <v/>
      </c>
      <c r="AA456" s="66">
        <f>IF('Smart Search'!D13=1,IFERROR(1/'Smart Search'!H13,0),0)</f>
        <v/>
      </c>
      <c r="AB456" s="66">
        <f>IF('Smart Search'!E13=1,IFERROR(1/'Smart Search'!H13,0),0)</f>
        <v/>
      </c>
      <c r="AC456" s="66">
        <f>IF('Smart Search'!E13=1,IFERROR(1/'Smart Search'!H13,0),0)</f>
        <v/>
      </c>
      <c r="AD456" s="66">
        <f>IF('Smart Search'!F13=1,IFERROR(1/'Smart Search'!H13,0),0)</f>
        <v/>
      </c>
      <c r="AE456" s="66">
        <f>IF('Smart Search'!F13=1,IFERROR(1/'Smart Search'!H13,0),0)</f>
        <v/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66">
        <f>AF456*V456</f>
        <v/>
      </c>
      <c r="AQ456" s="66">
        <f>AG456*W456</f>
        <v/>
      </c>
      <c r="AR456" s="66">
        <f>AH456*X456</f>
        <v/>
      </c>
      <c r="AS456" s="66">
        <f>AI456*Y456</f>
        <v/>
      </c>
      <c r="AT456" s="66">
        <f>AJ456*Z456</f>
        <v/>
      </c>
      <c r="AU456" s="66">
        <f>AK456*AA456</f>
        <v/>
      </c>
      <c r="AV456" s="66">
        <f>AL456*AB456</f>
        <v/>
      </c>
      <c r="AW456" s="66">
        <f>AM456*AC456</f>
        <v/>
      </c>
      <c r="AX456" s="66">
        <f>AN456*AD456</f>
        <v/>
      </c>
      <c r="AY456" s="66">
        <f>AO456*AE456</f>
        <v/>
      </c>
      <c r="AZ456" s="66">
        <f>'Project Database'!Z460</f>
        <v/>
      </c>
      <c r="BA456" s="66">
        <f>IF(OR(A456="",'Smart Search'!H13=0),"",MAX(0,BE456*BF456*MAX(0,1-BG456)))</f>
        <v/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66">
        <f>IF('Smart Search'!G13=1,IFERROR(1/'Smart Search'!H13,0),0)</f>
        <v/>
      </c>
      <c r="BD456" s="66">
        <f>BB456*BC456</f>
        <v/>
      </c>
      <c r="BE456" s="66">
        <f>AP456+AQ456+AR456+AS456+AT456+AU456+AV456+AW456+AX456+AY456+BD456</f>
        <v/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5">
        <f>IF(AND('Project Database'!A460&lt;&gt;"",OR('Smart Search'!$L$5="",'Smart Search'!$L$5="All",TRIM('Project Database'!D460)=TRIM('Smart Search'!$L$5)),OR(TRIM('Smart Search'!$L$6)="",TRIM('Smart Search'!$L$6)="All",ISNUMBER(SEARCH(SUBSTITUTE(SUBSTITUTE(SUBSTITUTE(TRIM('Smart Search'!$L$6),"~","~~"),"*","~*"),"?","~?"),'Project Database'!C460))),OR('Smart Search'!$L$7="",AND('Project Database'!E460&lt;&gt;"",'Project Database'!E460='Smart Search'!$L$7)),OR('Smart Search'!$L$8="",'Smart Search'!$L$8="All",TRIM('Project Database'!F460)=TRIM('Smart Search'!$L$8))),IF(BA456="","",BA456+ROW()*0.0000000001),"")</f>
        <v/>
      </c>
      <c r="BI456" s="5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>
        <f>IF('Project Database'!A460="","",N('Project Database'!AC460))</f>
        <v/>
      </c>
      <c r="BK456" s="5">
        <f>IF('Project Database'!A460="","",N('Project Database'!AD460))</f>
        <v/>
      </c>
      <c r="BL456" s="5">
        <f>IF('Project Database'!A460="","",N('Project Database'!AE460))</f>
        <v/>
      </c>
      <c r="BM456" s="5">
        <f>IF('Project Database'!A460="","",N('Project Database'!AF460))</f>
        <v/>
      </c>
      <c r="BN456" s="5">
        <f>IF('Project Database'!A460="","",N('Project Database'!AG460))</f>
        <v/>
      </c>
      <c r="BO456" s="5">
        <f>IF('Project Database'!A460="","",N('Project Database'!AH460))</f>
        <v/>
      </c>
      <c r="BP456" s="5">
        <f>IF('Project Database'!A460="","",N('Project Database'!AI460))</f>
        <v/>
      </c>
      <c r="BQ456" s="5">
        <f>IF('Project Database'!A460="","",N('Project Database'!AJ460))</f>
        <v/>
      </c>
      <c r="BR456" s="5">
        <f>IF('Project Database'!A460="","",N('Project Database'!AK460))</f>
        <v/>
      </c>
      <c r="BS456" s="5">
        <f>IF('Project Database'!A460="","",N('Project Database'!AL460))</f>
        <v/>
      </c>
      <c r="BT456" s="5">
        <f>IF('Project Database'!A460="","",N('Project Database'!AM460))</f>
        <v/>
      </c>
      <c r="BU456" s="5">
        <f>IF('Project Database'!A460="","",N('Project Database'!AN460))</f>
        <v/>
      </c>
      <c r="BV456" s="5">
        <f>IF('Project Database'!A460="","",N('Project Database'!AO460))</f>
        <v/>
      </c>
      <c r="BW456" s="5">
        <f>IF('Project Database'!A460="","",N('Project Database'!AP460))</f>
        <v/>
      </c>
      <c r="BX456" s="5">
        <f>IF(A456="","",SUM(BJ456:BW456))</f>
        <v/>
      </c>
      <c r="BY456" s="5">
        <f>IF(A456="","",IFERROR(IF(ISNUMBER(U456),U456,VALUE(SUBSTITUTE(SUBSTITUTE(SUBSTITUTE(UPPER(TRIM(U456)),"M",""),",","")," ",""))),0))</f>
        <v/>
      </c>
    </row>
    <row r="457" ht="15" customHeight="1" s="74">
      <c r="A457" s="66">
        <f>'Project Database'!A461</f>
        <v/>
      </c>
      <c r="B457" s="66">
        <f>'Project Database'!B461</f>
        <v/>
      </c>
      <c r="C457" s="66">
        <f>'Project Database'!G461</f>
        <v/>
      </c>
      <c r="D457" s="66">
        <f>'Project Database'!H461</f>
        <v/>
      </c>
      <c r="E457" s="66">
        <f>'Project Database'!I461</f>
        <v/>
      </c>
      <c r="F457" s="66">
        <f>'Project Database'!J461</f>
        <v/>
      </c>
      <c r="G457" s="66">
        <f>'Project Database'!K461</f>
        <v/>
      </c>
      <c r="H457" s="66">
        <f>'Project Database'!L461</f>
        <v/>
      </c>
      <c r="I457" s="66">
        <f>'Project Database'!M461</f>
        <v/>
      </c>
      <c r="J457" s="66">
        <f>'Project Database'!N461</f>
        <v/>
      </c>
      <c r="K457" s="66">
        <f>'Project Database'!O461</f>
        <v/>
      </c>
      <c r="L457" s="66">
        <f>'Project Database'!P461</f>
        <v/>
      </c>
      <c r="M457" s="66">
        <f>'Project Database'!Q461</f>
        <v/>
      </c>
      <c r="N457" s="66">
        <f>'Project Database'!R461</f>
        <v/>
      </c>
      <c r="O457" s="66">
        <f>'Project Database'!S461</f>
        <v/>
      </c>
      <c r="P457" s="66">
        <f>'Project Database'!T461</f>
        <v/>
      </c>
      <c r="Q457" s="66">
        <f>'Project Database'!U461</f>
        <v/>
      </c>
      <c r="R457" s="66">
        <f>'Project Database'!V461</f>
        <v/>
      </c>
      <c r="S457" s="66">
        <f>'Project Database'!W461</f>
        <v/>
      </c>
      <c r="T457" s="66">
        <f>'Project Database'!X461</f>
        <v/>
      </c>
      <c r="U457" s="67">
        <f>'Project Database'!Y461</f>
        <v/>
      </c>
      <c r="V457" s="66">
        <f>IF('Smart Search'!B13=1,IFERROR(1/'Smart Search'!H13,0),0)</f>
        <v/>
      </c>
      <c r="W457" s="66">
        <f>IF('Smart Search'!B13=1,IFERROR(1/'Smart Search'!H13,0),0)</f>
        <v/>
      </c>
      <c r="X457" s="66">
        <f>IF('Smart Search'!C13=1,IFERROR(1/'Smart Search'!H13,0),0)</f>
        <v/>
      </c>
      <c r="Y457" s="66">
        <f>IF('Smart Search'!C13=1,IFERROR(1/'Smart Search'!H13,0),0)</f>
        <v/>
      </c>
      <c r="Z457" s="66">
        <f>IF('Smart Search'!D13=1,IFERROR(1/'Smart Search'!H13,0),0)</f>
        <v/>
      </c>
      <c r="AA457" s="66">
        <f>IF('Smart Search'!D13=1,IFERROR(1/'Smart Search'!H13,0),0)</f>
        <v/>
      </c>
      <c r="AB457" s="66">
        <f>IF('Smart Search'!E13=1,IFERROR(1/'Smart Search'!H13,0),0)</f>
        <v/>
      </c>
      <c r="AC457" s="66">
        <f>IF('Smart Search'!E13=1,IFERROR(1/'Smart Search'!H13,0),0)</f>
        <v/>
      </c>
      <c r="AD457" s="66">
        <f>IF('Smart Search'!F13=1,IFERROR(1/'Smart Search'!H13,0),0)</f>
        <v/>
      </c>
      <c r="AE457" s="66">
        <f>IF('Smart Search'!F13=1,IFERROR(1/'Smart Search'!H13,0),0)</f>
        <v/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66">
        <f>AF457*V457</f>
        <v/>
      </c>
      <c r="AQ457" s="66">
        <f>AG457*W457</f>
        <v/>
      </c>
      <c r="AR457" s="66">
        <f>AH457*X457</f>
        <v/>
      </c>
      <c r="AS457" s="66">
        <f>AI457*Y457</f>
        <v/>
      </c>
      <c r="AT457" s="66">
        <f>AJ457*Z457</f>
        <v/>
      </c>
      <c r="AU457" s="66">
        <f>AK457*AA457</f>
        <v/>
      </c>
      <c r="AV457" s="66">
        <f>AL457*AB457</f>
        <v/>
      </c>
      <c r="AW457" s="66">
        <f>AM457*AC457</f>
        <v/>
      </c>
      <c r="AX457" s="66">
        <f>AN457*AD457</f>
        <v/>
      </c>
      <c r="AY457" s="66">
        <f>AO457*AE457</f>
        <v/>
      </c>
      <c r="AZ457" s="66">
        <f>'Project Database'!Z461</f>
        <v/>
      </c>
      <c r="BA457" s="66">
        <f>IF(OR(A457="",'Smart Search'!H13=0),"",MAX(0,BE457*BF457*MAX(0,1-BG457)))</f>
        <v/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66">
        <f>IF('Smart Search'!G13=1,IFERROR(1/'Smart Search'!H13,0),0)</f>
        <v/>
      </c>
      <c r="BD457" s="66">
        <f>BB457*BC457</f>
        <v/>
      </c>
      <c r="BE457" s="66">
        <f>AP457+AQ457+AR457+AS457+AT457+AU457+AV457+AW457+AX457+AY457+BD457</f>
        <v/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5">
        <f>IF(AND('Project Database'!A461&lt;&gt;"",OR('Smart Search'!$L$5="",'Smart Search'!$L$5="All",TRIM('Project Database'!D461)=TRIM('Smart Search'!$L$5)),OR(TRIM('Smart Search'!$L$6)="",TRIM('Smart Search'!$L$6)="All",ISNUMBER(SEARCH(SUBSTITUTE(SUBSTITUTE(SUBSTITUTE(TRIM('Smart Search'!$L$6),"~","~~"),"*","~*"),"?","~?"),'Project Database'!C461))),OR('Smart Search'!$L$7="",AND('Project Database'!E461&lt;&gt;"",'Project Database'!E461='Smart Search'!$L$7)),OR('Smart Search'!$L$8="",'Smart Search'!$L$8="All",TRIM('Project Database'!F461)=TRIM('Smart Search'!$L$8))),IF(BA457="","",BA457+ROW()*0.0000000001),"")</f>
        <v/>
      </c>
      <c r="BI457" s="5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>
        <f>IF('Project Database'!A461="","",N('Project Database'!AC461))</f>
        <v/>
      </c>
      <c r="BK457" s="5">
        <f>IF('Project Database'!A461="","",N('Project Database'!AD461))</f>
        <v/>
      </c>
      <c r="BL457" s="5">
        <f>IF('Project Database'!A461="","",N('Project Database'!AE461))</f>
        <v/>
      </c>
      <c r="BM457" s="5">
        <f>IF('Project Database'!A461="","",N('Project Database'!AF461))</f>
        <v/>
      </c>
      <c r="BN457" s="5">
        <f>IF('Project Database'!A461="","",N('Project Database'!AG461))</f>
        <v/>
      </c>
      <c r="BO457" s="5">
        <f>IF('Project Database'!A461="","",N('Project Database'!AH461))</f>
        <v/>
      </c>
      <c r="BP457" s="5">
        <f>IF('Project Database'!A461="","",N('Project Database'!AI461))</f>
        <v/>
      </c>
      <c r="BQ457" s="5">
        <f>IF('Project Database'!A461="","",N('Project Database'!AJ461))</f>
        <v/>
      </c>
      <c r="BR457" s="5">
        <f>IF('Project Database'!A461="","",N('Project Database'!AK461))</f>
        <v/>
      </c>
      <c r="BS457" s="5">
        <f>IF('Project Database'!A461="","",N('Project Database'!AL461))</f>
        <v/>
      </c>
      <c r="BT457" s="5">
        <f>IF('Project Database'!A461="","",N('Project Database'!AM461))</f>
        <v/>
      </c>
      <c r="BU457" s="5">
        <f>IF('Project Database'!A461="","",N('Project Database'!AN461))</f>
        <v/>
      </c>
      <c r="BV457" s="5">
        <f>IF('Project Database'!A461="","",N('Project Database'!AO461))</f>
        <v/>
      </c>
      <c r="BW457" s="5">
        <f>IF('Project Database'!A461="","",N('Project Database'!AP461))</f>
        <v/>
      </c>
      <c r="BX457" s="5">
        <f>IF(A457="","",SUM(BJ457:BW457))</f>
        <v/>
      </c>
      <c r="BY457" s="5">
        <f>IF(A457="","",IFERROR(IF(ISNUMBER(U457),U457,VALUE(SUBSTITUTE(SUBSTITUTE(SUBSTITUTE(UPPER(TRIM(U457)),"M",""),",","")," ",""))),0))</f>
        <v/>
      </c>
    </row>
    <row r="458" ht="15" customHeight="1" s="74">
      <c r="A458" s="66">
        <f>'Project Database'!A462</f>
        <v/>
      </c>
      <c r="B458" s="66">
        <f>'Project Database'!B462</f>
        <v/>
      </c>
      <c r="C458" s="66">
        <f>'Project Database'!G462</f>
        <v/>
      </c>
      <c r="D458" s="66">
        <f>'Project Database'!H462</f>
        <v/>
      </c>
      <c r="E458" s="66">
        <f>'Project Database'!I462</f>
        <v/>
      </c>
      <c r="F458" s="66">
        <f>'Project Database'!J462</f>
        <v/>
      </c>
      <c r="G458" s="66">
        <f>'Project Database'!K462</f>
        <v/>
      </c>
      <c r="H458" s="66">
        <f>'Project Database'!L462</f>
        <v/>
      </c>
      <c r="I458" s="66">
        <f>'Project Database'!M462</f>
        <v/>
      </c>
      <c r="J458" s="66">
        <f>'Project Database'!N462</f>
        <v/>
      </c>
      <c r="K458" s="66">
        <f>'Project Database'!O462</f>
        <v/>
      </c>
      <c r="L458" s="66">
        <f>'Project Database'!P462</f>
        <v/>
      </c>
      <c r="M458" s="66">
        <f>'Project Database'!Q462</f>
        <v/>
      </c>
      <c r="N458" s="66">
        <f>'Project Database'!R462</f>
        <v/>
      </c>
      <c r="O458" s="66">
        <f>'Project Database'!S462</f>
        <v/>
      </c>
      <c r="P458" s="66">
        <f>'Project Database'!T462</f>
        <v/>
      </c>
      <c r="Q458" s="66">
        <f>'Project Database'!U462</f>
        <v/>
      </c>
      <c r="R458" s="66">
        <f>'Project Database'!V462</f>
        <v/>
      </c>
      <c r="S458" s="66">
        <f>'Project Database'!W462</f>
        <v/>
      </c>
      <c r="T458" s="66">
        <f>'Project Database'!X462</f>
        <v/>
      </c>
      <c r="U458" s="67">
        <f>'Project Database'!Y462</f>
        <v/>
      </c>
      <c r="V458" s="66">
        <f>IF('Smart Search'!B13=1,IFERROR(1/'Smart Search'!H13,0),0)</f>
        <v/>
      </c>
      <c r="W458" s="66">
        <f>IF('Smart Search'!B13=1,IFERROR(1/'Smart Search'!H13,0),0)</f>
        <v/>
      </c>
      <c r="X458" s="66">
        <f>IF('Smart Search'!C13=1,IFERROR(1/'Smart Search'!H13,0),0)</f>
        <v/>
      </c>
      <c r="Y458" s="66">
        <f>IF('Smart Search'!C13=1,IFERROR(1/'Smart Search'!H13,0),0)</f>
        <v/>
      </c>
      <c r="Z458" s="66">
        <f>IF('Smart Search'!D13=1,IFERROR(1/'Smart Search'!H13,0),0)</f>
        <v/>
      </c>
      <c r="AA458" s="66">
        <f>IF('Smart Search'!D13=1,IFERROR(1/'Smart Search'!H13,0),0)</f>
        <v/>
      </c>
      <c r="AB458" s="66">
        <f>IF('Smart Search'!E13=1,IFERROR(1/'Smart Search'!H13,0),0)</f>
        <v/>
      </c>
      <c r="AC458" s="66">
        <f>IF('Smart Search'!E13=1,IFERROR(1/'Smart Search'!H13,0),0)</f>
        <v/>
      </c>
      <c r="AD458" s="66">
        <f>IF('Smart Search'!F13=1,IFERROR(1/'Smart Search'!H13,0),0)</f>
        <v/>
      </c>
      <c r="AE458" s="66">
        <f>IF('Smart Search'!F13=1,IFERROR(1/'Smart Search'!H13,0),0)</f>
        <v/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66">
        <f>AF458*V458</f>
        <v/>
      </c>
      <c r="AQ458" s="66">
        <f>AG458*W458</f>
        <v/>
      </c>
      <c r="AR458" s="66">
        <f>AH458*X458</f>
        <v/>
      </c>
      <c r="AS458" s="66">
        <f>AI458*Y458</f>
        <v/>
      </c>
      <c r="AT458" s="66">
        <f>AJ458*Z458</f>
        <v/>
      </c>
      <c r="AU458" s="66">
        <f>AK458*AA458</f>
        <v/>
      </c>
      <c r="AV458" s="66">
        <f>AL458*AB458</f>
        <v/>
      </c>
      <c r="AW458" s="66">
        <f>AM458*AC458</f>
        <v/>
      </c>
      <c r="AX458" s="66">
        <f>AN458*AD458</f>
        <v/>
      </c>
      <c r="AY458" s="66">
        <f>AO458*AE458</f>
        <v/>
      </c>
      <c r="AZ458" s="66">
        <f>'Project Database'!Z462</f>
        <v/>
      </c>
      <c r="BA458" s="66">
        <f>IF(OR(A458="",'Smart Search'!H13=0),"",MAX(0,BE458*BF458*MAX(0,1-BG458)))</f>
        <v/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66">
        <f>IF('Smart Search'!G13=1,IFERROR(1/'Smart Search'!H13,0),0)</f>
        <v/>
      </c>
      <c r="BD458" s="66">
        <f>BB458*BC458</f>
        <v/>
      </c>
      <c r="BE458" s="66">
        <f>AP458+AQ458+AR458+AS458+AT458+AU458+AV458+AW458+AX458+AY458+BD458</f>
        <v/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5">
        <f>IF(AND('Project Database'!A462&lt;&gt;"",OR('Smart Search'!$L$5="",'Smart Search'!$L$5="All",TRIM('Project Database'!D462)=TRIM('Smart Search'!$L$5)),OR(TRIM('Smart Search'!$L$6)="",TRIM('Smart Search'!$L$6)="All",ISNUMBER(SEARCH(SUBSTITUTE(SUBSTITUTE(SUBSTITUTE(TRIM('Smart Search'!$L$6),"~","~~"),"*","~*"),"?","~?"),'Project Database'!C462))),OR('Smart Search'!$L$7="",AND('Project Database'!E462&lt;&gt;"",'Project Database'!E462='Smart Search'!$L$7)),OR('Smart Search'!$L$8="",'Smart Search'!$L$8="All",TRIM('Project Database'!F462)=TRIM('Smart Search'!$L$8))),IF(BA458="","",BA458+ROW()*0.0000000001),"")</f>
        <v/>
      </c>
      <c r="BI458" s="5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>
        <f>IF('Project Database'!A462="","",N('Project Database'!AC462))</f>
        <v/>
      </c>
      <c r="BK458" s="5">
        <f>IF('Project Database'!A462="","",N('Project Database'!AD462))</f>
        <v/>
      </c>
      <c r="BL458" s="5">
        <f>IF('Project Database'!A462="","",N('Project Database'!AE462))</f>
        <v/>
      </c>
      <c r="BM458" s="5">
        <f>IF('Project Database'!A462="","",N('Project Database'!AF462))</f>
        <v/>
      </c>
      <c r="BN458" s="5">
        <f>IF('Project Database'!A462="","",N('Project Database'!AG462))</f>
        <v/>
      </c>
      <c r="BO458" s="5">
        <f>IF('Project Database'!A462="","",N('Project Database'!AH462))</f>
        <v/>
      </c>
      <c r="BP458" s="5">
        <f>IF('Project Database'!A462="","",N('Project Database'!AI462))</f>
        <v/>
      </c>
      <c r="BQ458" s="5">
        <f>IF('Project Database'!A462="","",N('Project Database'!AJ462))</f>
        <v/>
      </c>
      <c r="BR458" s="5">
        <f>IF('Project Database'!A462="","",N('Project Database'!AK462))</f>
        <v/>
      </c>
      <c r="BS458" s="5">
        <f>IF('Project Database'!A462="","",N('Project Database'!AL462))</f>
        <v/>
      </c>
      <c r="BT458" s="5">
        <f>IF('Project Database'!A462="","",N('Project Database'!AM462))</f>
        <v/>
      </c>
      <c r="BU458" s="5">
        <f>IF('Project Database'!A462="","",N('Project Database'!AN462))</f>
        <v/>
      </c>
      <c r="BV458" s="5">
        <f>IF('Project Database'!A462="","",N('Project Database'!AO462))</f>
        <v/>
      </c>
      <c r="BW458" s="5">
        <f>IF('Project Database'!A462="","",N('Project Database'!AP462))</f>
        <v/>
      </c>
      <c r="BX458" s="5">
        <f>IF(A458="","",SUM(BJ458:BW458))</f>
        <v/>
      </c>
      <c r="BY458" s="5">
        <f>IF(A458="","",IFERROR(IF(ISNUMBER(U458),U458,VALUE(SUBSTITUTE(SUBSTITUTE(SUBSTITUTE(UPPER(TRIM(U458)),"M",""),",","")," ",""))),0))</f>
        <v/>
      </c>
    </row>
    <row r="459" ht="15" customHeight="1" s="74">
      <c r="A459" s="66">
        <f>'Project Database'!A463</f>
        <v/>
      </c>
      <c r="B459" s="66">
        <f>'Project Database'!B463</f>
        <v/>
      </c>
      <c r="C459" s="66">
        <f>'Project Database'!G463</f>
        <v/>
      </c>
      <c r="D459" s="66">
        <f>'Project Database'!H463</f>
        <v/>
      </c>
      <c r="E459" s="66">
        <f>'Project Database'!I463</f>
        <v/>
      </c>
      <c r="F459" s="66">
        <f>'Project Database'!J463</f>
        <v/>
      </c>
      <c r="G459" s="66">
        <f>'Project Database'!K463</f>
        <v/>
      </c>
      <c r="H459" s="66">
        <f>'Project Database'!L463</f>
        <v/>
      </c>
      <c r="I459" s="66">
        <f>'Project Database'!M463</f>
        <v/>
      </c>
      <c r="J459" s="66">
        <f>'Project Database'!N463</f>
        <v/>
      </c>
      <c r="K459" s="66">
        <f>'Project Database'!O463</f>
        <v/>
      </c>
      <c r="L459" s="66">
        <f>'Project Database'!P463</f>
        <v/>
      </c>
      <c r="M459" s="66">
        <f>'Project Database'!Q463</f>
        <v/>
      </c>
      <c r="N459" s="66">
        <f>'Project Database'!R463</f>
        <v/>
      </c>
      <c r="O459" s="66">
        <f>'Project Database'!S463</f>
        <v/>
      </c>
      <c r="P459" s="66">
        <f>'Project Database'!T463</f>
        <v/>
      </c>
      <c r="Q459" s="66">
        <f>'Project Database'!U463</f>
        <v/>
      </c>
      <c r="R459" s="66">
        <f>'Project Database'!V463</f>
        <v/>
      </c>
      <c r="S459" s="66">
        <f>'Project Database'!W463</f>
        <v/>
      </c>
      <c r="T459" s="66">
        <f>'Project Database'!X463</f>
        <v/>
      </c>
      <c r="U459" s="67">
        <f>'Project Database'!Y463</f>
        <v/>
      </c>
      <c r="V459" s="66">
        <f>IF('Smart Search'!B13=1,IFERROR(1/'Smart Search'!H13,0),0)</f>
        <v/>
      </c>
      <c r="W459" s="66">
        <f>IF('Smart Search'!B13=1,IFERROR(1/'Smart Search'!H13,0),0)</f>
        <v/>
      </c>
      <c r="X459" s="66">
        <f>IF('Smart Search'!C13=1,IFERROR(1/'Smart Search'!H13,0),0)</f>
        <v/>
      </c>
      <c r="Y459" s="66">
        <f>IF('Smart Search'!C13=1,IFERROR(1/'Smart Search'!H13,0),0)</f>
        <v/>
      </c>
      <c r="Z459" s="66">
        <f>IF('Smart Search'!D13=1,IFERROR(1/'Smart Search'!H13,0),0)</f>
        <v/>
      </c>
      <c r="AA459" s="66">
        <f>IF('Smart Search'!D13=1,IFERROR(1/'Smart Search'!H13,0),0)</f>
        <v/>
      </c>
      <c r="AB459" s="66">
        <f>IF('Smart Search'!E13=1,IFERROR(1/'Smart Search'!H13,0),0)</f>
        <v/>
      </c>
      <c r="AC459" s="66">
        <f>IF('Smart Search'!E13=1,IFERROR(1/'Smart Search'!H13,0),0)</f>
        <v/>
      </c>
      <c r="AD459" s="66">
        <f>IF('Smart Search'!F13=1,IFERROR(1/'Smart Search'!H13,0),0)</f>
        <v/>
      </c>
      <c r="AE459" s="66">
        <f>IF('Smart Search'!F13=1,IFERROR(1/'Smart Search'!H13,0),0)</f>
        <v/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66">
        <f>AF459*V459</f>
        <v/>
      </c>
      <c r="AQ459" s="66">
        <f>AG459*W459</f>
        <v/>
      </c>
      <c r="AR459" s="66">
        <f>AH459*X459</f>
        <v/>
      </c>
      <c r="AS459" s="66">
        <f>AI459*Y459</f>
        <v/>
      </c>
      <c r="AT459" s="66">
        <f>AJ459*Z459</f>
        <v/>
      </c>
      <c r="AU459" s="66">
        <f>AK459*AA459</f>
        <v/>
      </c>
      <c r="AV459" s="66">
        <f>AL459*AB459</f>
        <v/>
      </c>
      <c r="AW459" s="66">
        <f>AM459*AC459</f>
        <v/>
      </c>
      <c r="AX459" s="66">
        <f>AN459*AD459</f>
        <v/>
      </c>
      <c r="AY459" s="66">
        <f>AO459*AE459</f>
        <v/>
      </c>
      <c r="AZ459" s="66">
        <f>'Project Database'!Z463</f>
        <v/>
      </c>
      <c r="BA459" s="66">
        <f>IF(OR(A459="",'Smart Search'!H13=0),"",MAX(0,BE459*BF459*MAX(0,1-BG459)))</f>
        <v/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66">
        <f>IF('Smart Search'!G13=1,IFERROR(1/'Smart Search'!H13,0),0)</f>
        <v/>
      </c>
      <c r="BD459" s="66">
        <f>BB459*BC459</f>
        <v/>
      </c>
      <c r="BE459" s="66">
        <f>AP459+AQ459+AR459+AS459+AT459+AU459+AV459+AW459+AX459+AY459+BD459</f>
        <v/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5">
        <f>IF(AND('Project Database'!A463&lt;&gt;"",OR('Smart Search'!$L$5="",'Smart Search'!$L$5="All",TRIM('Project Database'!D463)=TRIM('Smart Search'!$L$5)),OR(TRIM('Smart Search'!$L$6)="",TRIM('Smart Search'!$L$6)="All",ISNUMBER(SEARCH(SUBSTITUTE(SUBSTITUTE(SUBSTITUTE(TRIM('Smart Search'!$L$6),"~","~~"),"*","~*"),"?","~?"),'Project Database'!C463))),OR('Smart Search'!$L$7="",AND('Project Database'!E463&lt;&gt;"",'Project Database'!E463='Smart Search'!$L$7)),OR('Smart Search'!$L$8="",'Smart Search'!$L$8="All",TRIM('Project Database'!F463)=TRIM('Smart Search'!$L$8))),IF(BA459="","",BA459+ROW()*0.0000000001),"")</f>
        <v/>
      </c>
      <c r="BI459" s="5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>
        <f>IF('Project Database'!A463="","",N('Project Database'!AC463))</f>
        <v/>
      </c>
      <c r="BK459" s="5">
        <f>IF('Project Database'!A463="","",N('Project Database'!AD463))</f>
        <v/>
      </c>
      <c r="BL459" s="5">
        <f>IF('Project Database'!A463="","",N('Project Database'!AE463))</f>
        <v/>
      </c>
      <c r="BM459" s="5">
        <f>IF('Project Database'!A463="","",N('Project Database'!AF463))</f>
        <v/>
      </c>
      <c r="BN459" s="5">
        <f>IF('Project Database'!A463="","",N('Project Database'!AG463))</f>
        <v/>
      </c>
      <c r="BO459" s="5">
        <f>IF('Project Database'!A463="","",N('Project Database'!AH463))</f>
        <v/>
      </c>
      <c r="BP459" s="5">
        <f>IF('Project Database'!A463="","",N('Project Database'!AI463))</f>
        <v/>
      </c>
      <c r="BQ459" s="5">
        <f>IF('Project Database'!A463="","",N('Project Database'!AJ463))</f>
        <v/>
      </c>
      <c r="BR459" s="5">
        <f>IF('Project Database'!A463="","",N('Project Database'!AK463))</f>
        <v/>
      </c>
      <c r="BS459" s="5">
        <f>IF('Project Database'!A463="","",N('Project Database'!AL463))</f>
        <v/>
      </c>
      <c r="BT459" s="5">
        <f>IF('Project Database'!A463="","",N('Project Database'!AM463))</f>
        <v/>
      </c>
      <c r="BU459" s="5">
        <f>IF('Project Database'!A463="","",N('Project Database'!AN463))</f>
        <v/>
      </c>
      <c r="BV459" s="5">
        <f>IF('Project Database'!A463="","",N('Project Database'!AO463))</f>
        <v/>
      </c>
      <c r="BW459" s="5">
        <f>IF('Project Database'!A463="","",N('Project Database'!AP463))</f>
        <v/>
      </c>
      <c r="BX459" s="5">
        <f>IF(A459="","",SUM(BJ459:BW459))</f>
        <v/>
      </c>
      <c r="BY459" s="5">
        <f>IF(A459="","",IFERROR(IF(ISNUMBER(U459),U459,VALUE(SUBSTITUTE(SUBSTITUTE(SUBSTITUTE(UPPER(TRIM(U459)),"M",""),",","")," ",""))),0))</f>
        <v/>
      </c>
    </row>
    <row r="460" ht="15" customHeight="1" s="74">
      <c r="A460" s="66">
        <f>'Project Database'!A464</f>
        <v/>
      </c>
      <c r="B460" s="66">
        <f>'Project Database'!B464</f>
        <v/>
      </c>
      <c r="C460" s="66">
        <f>'Project Database'!G464</f>
        <v/>
      </c>
      <c r="D460" s="66">
        <f>'Project Database'!H464</f>
        <v/>
      </c>
      <c r="E460" s="66">
        <f>'Project Database'!I464</f>
        <v/>
      </c>
      <c r="F460" s="66">
        <f>'Project Database'!J464</f>
        <v/>
      </c>
      <c r="G460" s="66">
        <f>'Project Database'!K464</f>
        <v/>
      </c>
      <c r="H460" s="66">
        <f>'Project Database'!L464</f>
        <v/>
      </c>
      <c r="I460" s="66">
        <f>'Project Database'!M464</f>
        <v/>
      </c>
      <c r="J460" s="66">
        <f>'Project Database'!N464</f>
        <v/>
      </c>
      <c r="K460" s="66">
        <f>'Project Database'!O464</f>
        <v/>
      </c>
      <c r="L460" s="66">
        <f>'Project Database'!P464</f>
        <v/>
      </c>
      <c r="M460" s="66">
        <f>'Project Database'!Q464</f>
        <v/>
      </c>
      <c r="N460" s="66">
        <f>'Project Database'!R464</f>
        <v/>
      </c>
      <c r="O460" s="66">
        <f>'Project Database'!S464</f>
        <v/>
      </c>
      <c r="P460" s="66">
        <f>'Project Database'!T464</f>
        <v/>
      </c>
      <c r="Q460" s="66">
        <f>'Project Database'!U464</f>
        <v/>
      </c>
      <c r="R460" s="66">
        <f>'Project Database'!V464</f>
        <v/>
      </c>
      <c r="S460" s="66">
        <f>'Project Database'!W464</f>
        <v/>
      </c>
      <c r="T460" s="66">
        <f>'Project Database'!X464</f>
        <v/>
      </c>
      <c r="U460" s="67">
        <f>'Project Database'!Y464</f>
        <v/>
      </c>
      <c r="V460" s="66">
        <f>IF('Smart Search'!B13=1,IFERROR(1/'Smart Search'!H13,0),0)</f>
        <v/>
      </c>
      <c r="W460" s="66">
        <f>IF('Smart Search'!B13=1,IFERROR(1/'Smart Search'!H13,0),0)</f>
        <v/>
      </c>
      <c r="X460" s="66">
        <f>IF('Smart Search'!C13=1,IFERROR(1/'Smart Search'!H13,0),0)</f>
        <v/>
      </c>
      <c r="Y460" s="66">
        <f>IF('Smart Search'!C13=1,IFERROR(1/'Smart Search'!H13,0),0)</f>
        <v/>
      </c>
      <c r="Z460" s="66">
        <f>IF('Smart Search'!D13=1,IFERROR(1/'Smart Search'!H13,0),0)</f>
        <v/>
      </c>
      <c r="AA460" s="66">
        <f>IF('Smart Search'!D13=1,IFERROR(1/'Smart Search'!H13,0),0)</f>
        <v/>
      </c>
      <c r="AB460" s="66">
        <f>IF('Smart Search'!E13=1,IFERROR(1/'Smart Search'!H13,0),0)</f>
        <v/>
      </c>
      <c r="AC460" s="66">
        <f>IF('Smart Search'!E13=1,IFERROR(1/'Smart Search'!H13,0),0)</f>
        <v/>
      </c>
      <c r="AD460" s="66">
        <f>IF('Smart Search'!F13=1,IFERROR(1/'Smart Search'!H13,0),0)</f>
        <v/>
      </c>
      <c r="AE460" s="66">
        <f>IF('Smart Search'!F13=1,IFERROR(1/'Smart Search'!H13,0),0)</f>
        <v/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66">
        <f>AF460*V460</f>
        <v/>
      </c>
      <c r="AQ460" s="66">
        <f>AG460*W460</f>
        <v/>
      </c>
      <c r="AR460" s="66">
        <f>AH460*X460</f>
        <v/>
      </c>
      <c r="AS460" s="66">
        <f>AI460*Y460</f>
        <v/>
      </c>
      <c r="AT460" s="66">
        <f>AJ460*Z460</f>
        <v/>
      </c>
      <c r="AU460" s="66">
        <f>AK460*AA460</f>
        <v/>
      </c>
      <c r="AV460" s="66">
        <f>AL460*AB460</f>
        <v/>
      </c>
      <c r="AW460" s="66">
        <f>AM460*AC460</f>
        <v/>
      </c>
      <c r="AX460" s="66">
        <f>AN460*AD460</f>
        <v/>
      </c>
      <c r="AY460" s="66">
        <f>AO460*AE460</f>
        <v/>
      </c>
      <c r="AZ460" s="66">
        <f>'Project Database'!Z464</f>
        <v/>
      </c>
      <c r="BA460" s="66">
        <f>IF(OR(A460="",'Smart Search'!H13=0),"",MAX(0,BE460*BF460*MAX(0,1-BG460)))</f>
        <v/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66">
        <f>IF('Smart Search'!G13=1,IFERROR(1/'Smart Search'!H13,0),0)</f>
        <v/>
      </c>
      <c r="BD460" s="66">
        <f>BB460*BC460</f>
        <v/>
      </c>
      <c r="BE460" s="66">
        <f>AP460+AQ460+AR460+AS460+AT460+AU460+AV460+AW460+AX460+AY460+BD460</f>
        <v/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5">
        <f>IF(AND('Project Database'!A464&lt;&gt;"",OR('Smart Search'!$L$5="",'Smart Search'!$L$5="All",TRIM('Project Database'!D464)=TRIM('Smart Search'!$L$5)),OR(TRIM('Smart Search'!$L$6)="",TRIM('Smart Search'!$L$6)="All",ISNUMBER(SEARCH(SUBSTITUTE(SUBSTITUTE(SUBSTITUTE(TRIM('Smart Search'!$L$6),"~","~~"),"*","~*"),"?","~?"),'Project Database'!C464))),OR('Smart Search'!$L$7="",AND('Project Database'!E464&lt;&gt;"",'Project Database'!E464='Smart Search'!$L$7)),OR('Smart Search'!$L$8="",'Smart Search'!$L$8="All",TRIM('Project Database'!F464)=TRIM('Smart Search'!$L$8))),IF(BA460="","",BA460+ROW()*0.0000000001),"")</f>
        <v/>
      </c>
      <c r="BI460" s="5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>
        <f>IF('Project Database'!A464="","",N('Project Database'!AC464))</f>
        <v/>
      </c>
      <c r="BK460" s="5">
        <f>IF('Project Database'!A464="","",N('Project Database'!AD464))</f>
        <v/>
      </c>
      <c r="BL460" s="5">
        <f>IF('Project Database'!A464="","",N('Project Database'!AE464))</f>
        <v/>
      </c>
      <c r="BM460" s="5">
        <f>IF('Project Database'!A464="","",N('Project Database'!AF464))</f>
        <v/>
      </c>
      <c r="BN460" s="5">
        <f>IF('Project Database'!A464="","",N('Project Database'!AG464))</f>
        <v/>
      </c>
      <c r="BO460" s="5">
        <f>IF('Project Database'!A464="","",N('Project Database'!AH464))</f>
        <v/>
      </c>
      <c r="BP460" s="5">
        <f>IF('Project Database'!A464="","",N('Project Database'!AI464))</f>
        <v/>
      </c>
      <c r="BQ460" s="5">
        <f>IF('Project Database'!A464="","",N('Project Database'!AJ464))</f>
        <v/>
      </c>
      <c r="BR460" s="5">
        <f>IF('Project Database'!A464="","",N('Project Database'!AK464))</f>
        <v/>
      </c>
      <c r="BS460" s="5">
        <f>IF('Project Database'!A464="","",N('Project Database'!AL464))</f>
        <v/>
      </c>
      <c r="BT460" s="5">
        <f>IF('Project Database'!A464="","",N('Project Database'!AM464))</f>
        <v/>
      </c>
      <c r="BU460" s="5">
        <f>IF('Project Database'!A464="","",N('Project Database'!AN464))</f>
        <v/>
      </c>
      <c r="BV460" s="5">
        <f>IF('Project Database'!A464="","",N('Project Database'!AO464))</f>
        <v/>
      </c>
      <c r="BW460" s="5">
        <f>IF('Project Database'!A464="","",N('Project Database'!AP464))</f>
        <v/>
      </c>
      <c r="BX460" s="5">
        <f>IF(A460="","",SUM(BJ460:BW460))</f>
        <v/>
      </c>
      <c r="BY460" s="5">
        <f>IF(A460="","",IFERROR(IF(ISNUMBER(U460),U460,VALUE(SUBSTITUTE(SUBSTITUTE(SUBSTITUTE(UPPER(TRIM(U460)),"M",""),",","")," ",""))),0))</f>
        <v/>
      </c>
    </row>
    <row r="461" ht="15" customHeight="1" s="74">
      <c r="A461" s="66">
        <f>'Project Database'!A465</f>
        <v/>
      </c>
      <c r="B461" s="66">
        <f>'Project Database'!B465</f>
        <v/>
      </c>
      <c r="C461" s="66">
        <f>'Project Database'!G465</f>
        <v/>
      </c>
      <c r="D461" s="66">
        <f>'Project Database'!H465</f>
        <v/>
      </c>
      <c r="E461" s="66">
        <f>'Project Database'!I465</f>
        <v/>
      </c>
      <c r="F461" s="66">
        <f>'Project Database'!J465</f>
        <v/>
      </c>
      <c r="G461" s="66">
        <f>'Project Database'!K465</f>
        <v/>
      </c>
      <c r="H461" s="66">
        <f>'Project Database'!L465</f>
        <v/>
      </c>
      <c r="I461" s="66">
        <f>'Project Database'!M465</f>
        <v/>
      </c>
      <c r="J461" s="66">
        <f>'Project Database'!N465</f>
        <v/>
      </c>
      <c r="K461" s="66">
        <f>'Project Database'!O465</f>
        <v/>
      </c>
      <c r="L461" s="66">
        <f>'Project Database'!P465</f>
        <v/>
      </c>
      <c r="M461" s="66">
        <f>'Project Database'!Q465</f>
        <v/>
      </c>
      <c r="N461" s="66">
        <f>'Project Database'!R465</f>
        <v/>
      </c>
      <c r="O461" s="66">
        <f>'Project Database'!S465</f>
        <v/>
      </c>
      <c r="P461" s="66">
        <f>'Project Database'!T465</f>
        <v/>
      </c>
      <c r="Q461" s="66">
        <f>'Project Database'!U465</f>
        <v/>
      </c>
      <c r="R461" s="66">
        <f>'Project Database'!V465</f>
        <v/>
      </c>
      <c r="S461" s="66">
        <f>'Project Database'!W465</f>
        <v/>
      </c>
      <c r="T461" s="66">
        <f>'Project Database'!X465</f>
        <v/>
      </c>
      <c r="U461" s="67">
        <f>'Project Database'!Y465</f>
        <v/>
      </c>
      <c r="V461" s="66">
        <f>IF('Smart Search'!B13=1,IFERROR(1/'Smart Search'!H13,0),0)</f>
        <v/>
      </c>
      <c r="W461" s="66">
        <f>IF('Smart Search'!B13=1,IFERROR(1/'Smart Search'!H13,0),0)</f>
        <v/>
      </c>
      <c r="X461" s="66">
        <f>IF('Smart Search'!C13=1,IFERROR(1/'Smart Search'!H13,0),0)</f>
        <v/>
      </c>
      <c r="Y461" s="66">
        <f>IF('Smart Search'!C13=1,IFERROR(1/'Smart Search'!H13,0),0)</f>
        <v/>
      </c>
      <c r="Z461" s="66">
        <f>IF('Smart Search'!D13=1,IFERROR(1/'Smart Search'!H13,0),0)</f>
        <v/>
      </c>
      <c r="AA461" s="66">
        <f>IF('Smart Search'!D13=1,IFERROR(1/'Smart Search'!H13,0),0)</f>
        <v/>
      </c>
      <c r="AB461" s="66">
        <f>IF('Smart Search'!E13=1,IFERROR(1/'Smart Search'!H13,0),0)</f>
        <v/>
      </c>
      <c r="AC461" s="66">
        <f>IF('Smart Search'!E13=1,IFERROR(1/'Smart Search'!H13,0),0)</f>
        <v/>
      </c>
      <c r="AD461" s="66">
        <f>IF('Smart Search'!F13=1,IFERROR(1/'Smart Search'!H13,0),0)</f>
        <v/>
      </c>
      <c r="AE461" s="66">
        <f>IF('Smart Search'!F13=1,IFERROR(1/'Smart Search'!H13,0),0)</f>
        <v/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66">
        <f>AF461*V461</f>
        <v/>
      </c>
      <c r="AQ461" s="66">
        <f>AG461*W461</f>
        <v/>
      </c>
      <c r="AR461" s="66">
        <f>AH461*X461</f>
        <v/>
      </c>
      <c r="AS461" s="66">
        <f>AI461*Y461</f>
        <v/>
      </c>
      <c r="AT461" s="66">
        <f>AJ461*Z461</f>
        <v/>
      </c>
      <c r="AU461" s="66">
        <f>AK461*AA461</f>
        <v/>
      </c>
      <c r="AV461" s="66">
        <f>AL461*AB461</f>
        <v/>
      </c>
      <c r="AW461" s="66">
        <f>AM461*AC461</f>
        <v/>
      </c>
      <c r="AX461" s="66">
        <f>AN461*AD461</f>
        <v/>
      </c>
      <c r="AY461" s="66">
        <f>AO461*AE461</f>
        <v/>
      </c>
      <c r="AZ461" s="66">
        <f>'Project Database'!Z465</f>
        <v/>
      </c>
      <c r="BA461" s="66">
        <f>IF(OR(A461="",'Smart Search'!H13=0),"",MAX(0,BE461*BF461*MAX(0,1-BG461)))</f>
        <v/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66">
        <f>IF('Smart Search'!G13=1,IFERROR(1/'Smart Search'!H13,0),0)</f>
        <v/>
      </c>
      <c r="BD461" s="66">
        <f>BB461*BC461</f>
        <v/>
      </c>
      <c r="BE461" s="66">
        <f>AP461+AQ461+AR461+AS461+AT461+AU461+AV461+AW461+AX461+AY461+BD461</f>
        <v/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5">
        <f>IF(AND('Project Database'!A465&lt;&gt;"",OR('Smart Search'!$L$5="",'Smart Search'!$L$5="All",TRIM('Project Database'!D465)=TRIM('Smart Search'!$L$5)),OR(TRIM('Smart Search'!$L$6)="",TRIM('Smart Search'!$L$6)="All",ISNUMBER(SEARCH(SUBSTITUTE(SUBSTITUTE(SUBSTITUTE(TRIM('Smart Search'!$L$6),"~","~~"),"*","~*"),"?","~?"),'Project Database'!C465))),OR('Smart Search'!$L$7="",AND('Project Database'!E465&lt;&gt;"",'Project Database'!E465='Smart Search'!$L$7)),OR('Smart Search'!$L$8="",'Smart Search'!$L$8="All",TRIM('Project Database'!F465)=TRIM('Smart Search'!$L$8))),IF(BA461="","",BA461+ROW()*0.0000000001),"")</f>
        <v/>
      </c>
      <c r="BI461" s="5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>
        <f>IF('Project Database'!A465="","",N('Project Database'!AC465))</f>
        <v/>
      </c>
      <c r="BK461" s="5">
        <f>IF('Project Database'!A465="","",N('Project Database'!AD465))</f>
        <v/>
      </c>
      <c r="BL461" s="5">
        <f>IF('Project Database'!A465="","",N('Project Database'!AE465))</f>
        <v/>
      </c>
      <c r="BM461" s="5">
        <f>IF('Project Database'!A465="","",N('Project Database'!AF465))</f>
        <v/>
      </c>
      <c r="BN461" s="5">
        <f>IF('Project Database'!A465="","",N('Project Database'!AG465))</f>
        <v/>
      </c>
      <c r="BO461" s="5">
        <f>IF('Project Database'!A465="","",N('Project Database'!AH465))</f>
        <v/>
      </c>
      <c r="BP461" s="5">
        <f>IF('Project Database'!A465="","",N('Project Database'!AI465))</f>
        <v/>
      </c>
      <c r="BQ461" s="5">
        <f>IF('Project Database'!A465="","",N('Project Database'!AJ465))</f>
        <v/>
      </c>
      <c r="BR461" s="5">
        <f>IF('Project Database'!A465="","",N('Project Database'!AK465))</f>
        <v/>
      </c>
      <c r="BS461" s="5">
        <f>IF('Project Database'!A465="","",N('Project Database'!AL465))</f>
        <v/>
      </c>
      <c r="BT461" s="5">
        <f>IF('Project Database'!A465="","",N('Project Database'!AM465))</f>
        <v/>
      </c>
      <c r="BU461" s="5">
        <f>IF('Project Database'!A465="","",N('Project Database'!AN465))</f>
        <v/>
      </c>
      <c r="BV461" s="5">
        <f>IF('Project Database'!A465="","",N('Project Database'!AO465))</f>
        <v/>
      </c>
      <c r="BW461" s="5">
        <f>IF('Project Database'!A465="","",N('Project Database'!AP465))</f>
        <v/>
      </c>
      <c r="BX461" s="5">
        <f>IF(A461="","",SUM(BJ461:BW461))</f>
        <v/>
      </c>
      <c r="BY461" s="5">
        <f>IF(A461="","",IFERROR(IF(ISNUMBER(U461),U461,VALUE(SUBSTITUTE(SUBSTITUTE(SUBSTITUTE(UPPER(TRIM(U461)),"M",""),",","")," ",""))),0))</f>
        <v/>
      </c>
    </row>
    <row r="462" ht="15" customHeight="1" s="74">
      <c r="A462" s="66">
        <f>'Project Database'!A466</f>
        <v/>
      </c>
      <c r="B462" s="66">
        <f>'Project Database'!B466</f>
        <v/>
      </c>
      <c r="C462" s="66">
        <f>'Project Database'!G466</f>
        <v/>
      </c>
      <c r="D462" s="66">
        <f>'Project Database'!H466</f>
        <v/>
      </c>
      <c r="E462" s="66">
        <f>'Project Database'!I466</f>
        <v/>
      </c>
      <c r="F462" s="66">
        <f>'Project Database'!J466</f>
        <v/>
      </c>
      <c r="G462" s="66">
        <f>'Project Database'!K466</f>
        <v/>
      </c>
      <c r="H462" s="66">
        <f>'Project Database'!L466</f>
        <v/>
      </c>
      <c r="I462" s="66">
        <f>'Project Database'!M466</f>
        <v/>
      </c>
      <c r="J462" s="66">
        <f>'Project Database'!N466</f>
        <v/>
      </c>
      <c r="K462" s="66">
        <f>'Project Database'!O466</f>
        <v/>
      </c>
      <c r="L462" s="66">
        <f>'Project Database'!P466</f>
        <v/>
      </c>
      <c r="M462" s="66">
        <f>'Project Database'!Q466</f>
        <v/>
      </c>
      <c r="N462" s="66">
        <f>'Project Database'!R466</f>
        <v/>
      </c>
      <c r="O462" s="66">
        <f>'Project Database'!S466</f>
        <v/>
      </c>
      <c r="P462" s="66">
        <f>'Project Database'!T466</f>
        <v/>
      </c>
      <c r="Q462" s="66">
        <f>'Project Database'!U466</f>
        <v/>
      </c>
      <c r="R462" s="66">
        <f>'Project Database'!V466</f>
        <v/>
      </c>
      <c r="S462" s="66">
        <f>'Project Database'!W466</f>
        <v/>
      </c>
      <c r="T462" s="66">
        <f>'Project Database'!X466</f>
        <v/>
      </c>
      <c r="U462" s="67">
        <f>'Project Database'!Y466</f>
        <v/>
      </c>
      <c r="V462" s="66">
        <f>IF('Smart Search'!B13=1,IFERROR(1/'Smart Search'!H13,0),0)</f>
        <v/>
      </c>
      <c r="W462" s="66">
        <f>IF('Smart Search'!B13=1,IFERROR(1/'Smart Search'!H13,0),0)</f>
        <v/>
      </c>
      <c r="X462" s="66">
        <f>IF('Smart Search'!C13=1,IFERROR(1/'Smart Search'!H13,0),0)</f>
        <v/>
      </c>
      <c r="Y462" s="66">
        <f>IF('Smart Search'!C13=1,IFERROR(1/'Smart Search'!H13,0),0)</f>
        <v/>
      </c>
      <c r="Z462" s="66">
        <f>IF('Smart Search'!D13=1,IFERROR(1/'Smart Search'!H13,0),0)</f>
        <v/>
      </c>
      <c r="AA462" s="66">
        <f>IF('Smart Search'!D13=1,IFERROR(1/'Smart Search'!H13,0),0)</f>
        <v/>
      </c>
      <c r="AB462" s="66">
        <f>IF('Smart Search'!E13=1,IFERROR(1/'Smart Search'!H13,0),0)</f>
        <v/>
      </c>
      <c r="AC462" s="66">
        <f>IF('Smart Search'!E13=1,IFERROR(1/'Smart Search'!H13,0),0)</f>
        <v/>
      </c>
      <c r="AD462" s="66">
        <f>IF('Smart Search'!F13=1,IFERROR(1/'Smart Search'!H13,0),0)</f>
        <v/>
      </c>
      <c r="AE462" s="66">
        <f>IF('Smart Search'!F13=1,IFERROR(1/'Smart Search'!H13,0),0)</f>
        <v/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66">
        <f>AF462*V462</f>
        <v/>
      </c>
      <c r="AQ462" s="66">
        <f>AG462*W462</f>
        <v/>
      </c>
      <c r="AR462" s="66">
        <f>AH462*X462</f>
        <v/>
      </c>
      <c r="AS462" s="66">
        <f>AI462*Y462</f>
        <v/>
      </c>
      <c r="AT462" s="66">
        <f>AJ462*Z462</f>
        <v/>
      </c>
      <c r="AU462" s="66">
        <f>AK462*AA462</f>
        <v/>
      </c>
      <c r="AV462" s="66">
        <f>AL462*AB462</f>
        <v/>
      </c>
      <c r="AW462" s="66">
        <f>AM462*AC462</f>
        <v/>
      </c>
      <c r="AX462" s="66">
        <f>AN462*AD462</f>
        <v/>
      </c>
      <c r="AY462" s="66">
        <f>AO462*AE462</f>
        <v/>
      </c>
      <c r="AZ462" s="66">
        <f>'Project Database'!Z466</f>
        <v/>
      </c>
      <c r="BA462" s="66">
        <f>IF(OR(A462="",'Smart Search'!H13=0),"",MAX(0,BE462*BF462*MAX(0,1-BG462)))</f>
        <v/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66">
        <f>IF('Smart Search'!G13=1,IFERROR(1/'Smart Search'!H13,0),0)</f>
        <v/>
      </c>
      <c r="BD462" s="66">
        <f>BB462*BC462</f>
        <v/>
      </c>
      <c r="BE462" s="66">
        <f>AP462+AQ462+AR462+AS462+AT462+AU462+AV462+AW462+AX462+AY462+BD462</f>
        <v/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5">
        <f>IF(AND('Project Database'!A466&lt;&gt;"",OR('Smart Search'!$L$5="",'Smart Search'!$L$5="All",TRIM('Project Database'!D466)=TRIM('Smart Search'!$L$5)),OR(TRIM('Smart Search'!$L$6)="",TRIM('Smart Search'!$L$6)="All",ISNUMBER(SEARCH(SUBSTITUTE(SUBSTITUTE(SUBSTITUTE(TRIM('Smart Search'!$L$6),"~","~~"),"*","~*"),"?","~?"),'Project Database'!C466))),OR('Smart Search'!$L$7="",AND('Project Database'!E466&lt;&gt;"",'Project Database'!E466='Smart Search'!$L$7)),OR('Smart Search'!$L$8="",'Smart Search'!$L$8="All",TRIM('Project Database'!F466)=TRIM('Smart Search'!$L$8))),IF(BA462="","",BA462+ROW()*0.0000000001),"")</f>
        <v/>
      </c>
      <c r="BI462" s="5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>
        <f>IF('Project Database'!A466="","",N('Project Database'!AC466))</f>
        <v/>
      </c>
      <c r="BK462" s="5">
        <f>IF('Project Database'!A466="","",N('Project Database'!AD466))</f>
        <v/>
      </c>
      <c r="BL462" s="5">
        <f>IF('Project Database'!A466="","",N('Project Database'!AE466))</f>
        <v/>
      </c>
      <c r="BM462" s="5">
        <f>IF('Project Database'!A466="","",N('Project Database'!AF466))</f>
        <v/>
      </c>
      <c r="BN462" s="5">
        <f>IF('Project Database'!A466="","",N('Project Database'!AG466))</f>
        <v/>
      </c>
      <c r="BO462" s="5">
        <f>IF('Project Database'!A466="","",N('Project Database'!AH466))</f>
        <v/>
      </c>
      <c r="BP462" s="5">
        <f>IF('Project Database'!A466="","",N('Project Database'!AI466))</f>
        <v/>
      </c>
      <c r="BQ462" s="5">
        <f>IF('Project Database'!A466="","",N('Project Database'!AJ466))</f>
        <v/>
      </c>
      <c r="BR462" s="5">
        <f>IF('Project Database'!A466="","",N('Project Database'!AK466))</f>
        <v/>
      </c>
      <c r="BS462" s="5">
        <f>IF('Project Database'!A466="","",N('Project Database'!AL466))</f>
        <v/>
      </c>
      <c r="BT462" s="5">
        <f>IF('Project Database'!A466="","",N('Project Database'!AM466))</f>
        <v/>
      </c>
      <c r="BU462" s="5">
        <f>IF('Project Database'!A466="","",N('Project Database'!AN466))</f>
        <v/>
      </c>
      <c r="BV462" s="5">
        <f>IF('Project Database'!A466="","",N('Project Database'!AO466))</f>
        <v/>
      </c>
      <c r="BW462" s="5">
        <f>IF('Project Database'!A466="","",N('Project Database'!AP466))</f>
        <v/>
      </c>
      <c r="BX462" s="5">
        <f>IF(A462="","",SUM(BJ462:BW462))</f>
        <v/>
      </c>
      <c r="BY462" s="5">
        <f>IF(A462="","",IFERROR(IF(ISNUMBER(U462),U462,VALUE(SUBSTITUTE(SUBSTITUTE(SUBSTITUTE(UPPER(TRIM(U462)),"M",""),",","")," ",""))),0))</f>
        <v/>
      </c>
    </row>
    <row r="463" ht="15" customHeight="1" s="74">
      <c r="A463" s="66">
        <f>'Project Database'!A467</f>
        <v/>
      </c>
      <c r="B463" s="66">
        <f>'Project Database'!B467</f>
        <v/>
      </c>
      <c r="C463" s="66">
        <f>'Project Database'!G467</f>
        <v/>
      </c>
      <c r="D463" s="66">
        <f>'Project Database'!H467</f>
        <v/>
      </c>
      <c r="E463" s="66">
        <f>'Project Database'!I467</f>
        <v/>
      </c>
      <c r="F463" s="66">
        <f>'Project Database'!J467</f>
        <v/>
      </c>
      <c r="G463" s="66">
        <f>'Project Database'!K467</f>
        <v/>
      </c>
      <c r="H463" s="66">
        <f>'Project Database'!L467</f>
        <v/>
      </c>
      <c r="I463" s="66">
        <f>'Project Database'!M467</f>
        <v/>
      </c>
      <c r="J463" s="66">
        <f>'Project Database'!N467</f>
        <v/>
      </c>
      <c r="K463" s="66">
        <f>'Project Database'!O467</f>
        <v/>
      </c>
      <c r="L463" s="66">
        <f>'Project Database'!P467</f>
        <v/>
      </c>
      <c r="M463" s="66">
        <f>'Project Database'!Q467</f>
        <v/>
      </c>
      <c r="N463" s="66">
        <f>'Project Database'!R467</f>
        <v/>
      </c>
      <c r="O463" s="66">
        <f>'Project Database'!S467</f>
        <v/>
      </c>
      <c r="P463" s="66">
        <f>'Project Database'!T467</f>
        <v/>
      </c>
      <c r="Q463" s="66">
        <f>'Project Database'!U467</f>
        <v/>
      </c>
      <c r="R463" s="66">
        <f>'Project Database'!V467</f>
        <v/>
      </c>
      <c r="S463" s="66">
        <f>'Project Database'!W467</f>
        <v/>
      </c>
      <c r="T463" s="66">
        <f>'Project Database'!X467</f>
        <v/>
      </c>
      <c r="U463" s="67">
        <f>'Project Database'!Y467</f>
        <v/>
      </c>
      <c r="V463" s="66">
        <f>IF('Smart Search'!B13=1,IFERROR(1/'Smart Search'!H13,0),0)</f>
        <v/>
      </c>
      <c r="W463" s="66">
        <f>IF('Smart Search'!B13=1,IFERROR(1/'Smart Search'!H13,0),0)</f>
        <v/>
      </c>
      <c r="X463" s="66">
        <f>IF('Smart Search'!C13=1,IFERROR(1/'Smart Search'!H13,0),0)</f>
        <v/>
      </c>
      <c r="Y463" s="66">
        <f>IF('Smart Search'!C13=1,IFERROR(1/'Smart Search'!H13,0),0)</f>
        <v/>
      </c>
      <c r="Z463" s="66">
        <f>IF('Smart Search'!D13=1,IFERROR(1/'Smart Search'!H13,0),0)</f>
        <v/>
      </c>
      <c r="AA463" s="66">
        <f>IF('Smart Search'!D13=1,IFERROR(1/'Smart Search'!H13,0),0)</f>
        <v/>
      </c>
      <c r="AB463" s="66">
        <f>IF('Smart Search'!E13=1,IFERROR(1/'Smart Search'!H13,0),0)</f>
        <v/>
      </c>
      <c r="AC463" s="66">
        <f>IF('Smart Search'!E13=1,IFERROR(1/'Smart Search'!H13,0),0)</f>
        <v/>
      </c>
      <c r="AD463" s="66">
        <f>IF('Smart Search'!F13=1,IFERROR(1/'Smart Search'!H13,0),0)</f>
        <v/>
      </c>
      <c r="AE463" s="66">
        <f>IF('Smart Search'!F13=1,IFERROR(1/'Smart Search'!H13,0),0)</f>
        <v/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66">
        <f>AF463*V463</f>
        <v/>
      </c>
      <c r="AQ463" s="66">
        <f>AG463*W463</f>
        <v/>
      </c>
      <c r="AR463" s="66">
        <f>AH463*X463</f>
        <v/>
      </c>
      <c r="AS463" s="66">
        <f>AI463*Y463</f>
        <v/>
      </c>
      <c r="AT463" s="66">
        <f>AJ463*Z463</f>
        <v/>
      </c>
      <c r="AU463" s="66">
        <f>AK463*AA463</f>
        <v/>
      </c>
      <c r="AV463" s="66">
        <f>AL463*AB463</f>
        <v/>
      </c>
      <c r="AW463" s="66">
        <f>AM463*AC463</f>
        <v/>
      </c>
      <c r="AX463" s="66">
        <f>AN463*AD463</f>
        <v/>
      </c>
      <c r="AY463" s="66">
        <f>AO463*AE463</f>
        <v/>
      </c>
      <c r="AZ463" s="66">
        <f>'Project Database'!Z467</f>
        <v/>
      </c>
      <c r="BA463" s="66">
        <f>IF(OR(A463="",'Smart Search'!H13=0),"",MAX(0,BE463*BF463*MAX(0,1-BG463)))</f>
        <v/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66">
        <f>IF('Smart Search'!G13=1,IFERROR(1/'Smart Search'!H13,0),0)</f>
        <v/>
      </c>
      <c r="BD463" s="66">
        <f>BB463*BC463</f>
        <v/>
      </c>
      <c r="BE463" s="66">
        <f>AP463+AQ463+AR463+AS463+AT463+AU463+AV463+AW463+AX463+AY463+BD463</f>
        <v/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5">
        <f>IF(AND('Project Database'!A467&lt;&gt;"",OR('Smart Search'!$L$5="",'Smart Search'!$L$5="All",TRIM('Project Database'!D467)=TRIM('Smart Search'!$L$5)),OR(TRIM('Smart Search'!$L$6)="",TRIM('Smart Search'!$L$6)="All",ISNUMBER(SEARCH(SUBSTITUTE(SUBSTITUTE(SUBSTITUTE(TRIM('Smart Search'!$L$6),"~","~~"),"*","~*"),"?","~?"),'Project Database'!C467))),OR('Smart Search'!$L$7="",AND('Project Database'!E467&lt;&gt;"",'Project Database'!E467='Smart Search'!$L$7)),OR('Smart Search'!$L$8="",'Smart Search'!$L$8="All",TRIM('Project Database'!F467)=TRIM('Smart Search'!$L$8))),IF(BA463="","",BA463+ROW()*0.0000000001),"")</f>
        <v/>
      </c>
      <c r="BI463" s="5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>
        <f>IF('Project Database'!A467="","",N('Project Database'!AC467))</f>
        <v/>
      </c>
      <c r="BK463" s="5">
        <f>IF('Project Database'!A467="","",N('Project Database'!AD467))</f>
        <v/>
      </c>
      <c r="BL463" s="5">
        <f>IF('Project Database'!A467="","",N('Project Database'!AE467))</f>
        <v/>
      </c>
      <c r="BM463" s="5">
        <f>IF('Project Database'!A467="","",N('Project Database'!AF467))</f>
        <v/>
      </c>
      <c r="BN463" s="5">
        <f>IF('Project Database'!A467="","",N('Project Database'!AG467))</f>
        <v/>
      </c>
      <c r="BO463" s="5">
        <f>IF('Project Database'!A467="","",N('Project Database'!AH467))</f>
        <v/>
      </c>
      <c r="BP463" s="5">
        <f>IF('Project Database'!A467="","",N('Project Database'!AI467))</f>
        <v/>
      </c>
      <c r="BQ463" s="5">
        <f>IF('Project Database'!A467="","",N('Project Database'!AJ467))</f>
        <v/>
      </c>
      <c r="BR463" s="5">
        <f>IF('Project Database'!A467="","",N('Project Database'!AK467))</f>
        <v/>
      </c>
      <c r="BS463" s="5">
        <f>IF('Project Database'!A467="","",N('Project Database'!AL467))</f>
        <v/>
      </c>
      <c r="BT463" s="5">
        <f>IF('Project Database'!A467="","",N('Project Database'!AM467))</f>
        <v/>
      </c>
      <c r="BU463" s="5">
        <f>IF('Project Database'!A467="","",N('Project Database'!AN467))</f>
        <v/>
      </c>
      <c r="BV463" s="5">
        <f>IF('Project Database'!A467="","",N('Project Database'!AO467))</f>
        <v/>
      </c>
      <c r="BW463" s="5">
        <f>IF('Project Database'!A467="","",N('Project Database'!AP467))</f>
        <v/>
      </c>
      <c r="BX463" s="5">
        <f>IF(A463="","",SUM(BJ463:BW463))</f>
        <v/>
      </c>
      <c r="BY463" s="5">
        <f>IF(A463="","",IFERROR(IF(ISNUMBER(U463),U463,VALUE(SUBSTITUTE(SUBSTITUTE(SUBSTITUTE(UPPER(TRIM(U463)),"M",""),",","")," ",""))),0))</f>
        <v/>
      </c>
    </row>
    <row r="464" ht="15" customHeight="1" s="74">
      <c r="A464" s="66">
        <f>'Project Database'!A468</f>
        <v/>
      </c>
      <c r="B464" s="66">
        <f>'Project Database'!B468</f>
        <v/>
      </c>
      <c r="C464" s="66">
        <f>'Project Database'!G468</f>
        <v/>
      </c>
      <c r="D464" s="66">
        <f>'Project Database'!H468</f>
        <v/>
      </c>
      <c r="E464" s="66">
        <f>'Project Database'!I468</f>
        <v/>
      </c>
      <c r="F464" s="66">
        <f>'Project Database'!J468</f>
        <v/>
      </c>
      <c r="G464" s="66">
        <f>'Project Database'!K468</f>
        <v/>
      </c>
      <c r="H464" s="66">
        <f>'Project Database'!L468</f>
        <v/>
      </c>
      <c r="I464" s="66">
        <f>'Project Database'!M468</f>
        <v/>
      </c>
      <c r="J464" s="66">
        <f>'Project Database'!N468</f>
        <v/>
      </c>
      <c r="K464" s="66">
        <f>'Project Database'!O468</f>
        <v/>
      </c>
      <c r="L464" s="66">
        <f>'Project Database'!P468</f>
        <v/>
      </c>
      <c r="M464" s="66">
        <f>'Project Database'!Q468</f>
        <v/>
      </c>
      <c r="N464" s="66">
        <f>'Project Database'!R468</f>
        <v/>
      </c>
      <c r="O464" s="66">
        <f>'Project Database'!S468</f>
        <v/>
      </c>
      <c r="P464" s="66">
        <f>'Project Database'!T468</f>
        <v/>
      </c>
      <c r="Q464" s="66">
        <f>'Project Database'!U468</f>
        <v/>
      </c>
      <c r="R464" s="66">
        <f>'Project Database'!V468</f>
        <v/>
      </c>
      <c r="S464" s="66">
        <f>'Project Database'!W468</f>
        <v/>
      </c>
      <c r="T464" s="66">
        <f>'Project Database'!X468</f>
        <v/>
      </c>
      <c r="U464" s="67">
        <f>'Project Database'!Y468</f>
        <v/>
      </c>
      <c r="V464" s="66">
        <f>IF('Smart Search'!B13=1,IFERROR(1/'Smart Search'!H13,0),0)</f>
        <v/>
      </c>
      <c r="W464" s="66">
        <f>IF('Smart Search'!B13=1,IFERROR(1/'Smart Search'!H13,0),0)</f>
        <v/>
      </c>
      <c r="X464" s="66">
        <f>IF('Smart Search'!C13=1,IFERROR(1/'Smart Search'!H13,0),0)</f>
        <v/>
      </c>
      <c r="Y464" s="66">
        <f>IF('Smart Search'!C13=1,IFERROR(1/'Smart Search'!H13,0),0)</f>
        <v/>
      </c>
      <c r="Z464" s="66">
        <f>IF('Smart Search'!D13=1,IFERROR(1/'Smart Search'!H13,0),0)</f>
        <v/>
      </c>
      <c r="AA464" s="66">
        <f>IF('Smart Search'!D13=1,IFERROR(1/'Smart Search'!H13,0),0)</f>
        <v/>
      </c>
      <c r="AB464" s="66">
        <f>IF('Smart Search'!E13=1,IFERROR(1/'Smart Search'!H13,0),0)</f>
        <v/>
      </c>
      <c r="AC464" s="66">
        <f>IF('Smart Search'!E13=1,IFERROR(1/'Smart Search'!H13,0),0)</f>
        <v/>
      </c>
      <c r="AD464" s="66">
        <f>IF('Smart Search'!F13=1,IFERROR(1/'Smart Search'!H13,0),0)</f>
        <v/>
      </c>
      <c r="AE464" s="66">
        <f>IF('Smart Search'!F13=1,IFERROR(1/'Smart Search'!H13,0),0)</f>
        <v/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66">
        <f>AF464*V464</f>
        <v/>
      </c>
      <c r="AQ464" s="66">
        <f>AG464*W464</f>
        <v/>
      </c>
      <c r="AR464" s="66">
        <f>AH464*X464</f>
        <v/>
      </c>
      <c r="AS464" s="66">
        <f>AI464*Y464</f>
        <v/>
      </c>
      <c r="AT464" s="66">
        <f>AJ464*Z464</f>
        <v/>
      </c>
      <c r="AU464" s="66">
        <f>AK464*AA464</f>
        <v/>
      </c>
      <c r="AV464" s="66">
        <f>AL464*AB464</f>
        <v/>
      </c>
      <c r="AW464" s="66">
        <f>AM464*AC464</f>
        <v/>
      </c>
      <c r="AX464" s="66">
        <f>AN464*AD464</f>
        <v/>
      </c>
      <c r="AY464" s="66">
        <f>AO464*AE464</f>
        <v/>
      </c>
      <c r="AZ464" s="66">
        <f>'Project Database'!Z468</f>
        <v/>
      </c>
      <c r="BA464" s="66">
        <f>IF(OR(A464="",'Smart Search'!H13=0),"",MAX(0,BE464*BF464*MAX(0,1-BG464)))</f>
        <v/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66">
        <f>IF('Smart Search'!G13=1,IFERROR(1/'Smart Search'!H13,0),0)</f>
        <v/>
      </c>
      <c r="BD464" s="66">
        <f>BB464*BC464</f>
        <v/>
      </c>
      <c r="BE464" s="66">
        <f>AP464+AQ464+AR464+AS464+AT464+AU464+AV464+AW464+AX464+AY464+BD464</f>
        <v/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5">
        <f>IF(AND('Project Database'!A468&lt;&gt;"",OR('Smart Search'!$L$5="",'Smart Search'!$L$5="All",TRIM('Project Database'!D468)=TRIM('Smart Search'!$L$5)),OR(TRIM('Smart Search'!$L$6)="",TRIM('Smart Search'!$L$6)="All",ISNUMBER(SEARCH(SUBSTITUTE(SUBSTITUTE(SUBSTITUTE(TRIM('Smart Search'!$L$6),"~","~~"),"*","~*"),"?","~?"),'Project Database'!C468))),OR('Smart Search'!$L$7="",AND('Project Database'!E468&lt;&gt;"",'Project Database'!E468='Smart Search'!$L$7)),OR('Smart Search'!$L$8="",'Smart Search'!$L$8="All",TRIM('Project Database'!F468)=TRIM('Smart Search'!$L$8))),IF(BA464="","",BA464+ROW()*0.0000000001),"")</f>
        <v/>
      </c>
      <c r="BI464" s="5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>
        <f>IF('Project Database'!A468="","",N('Project Database'!AC468))</f>
        <v/>
      </c>
      <c r="BK464" s="5">
        <f>IF('Project Database'!A468="","",N('Project Database'!AD468))</f>
        <v/>
      </c>
      <c r="BL464" s="5">
        <f>IF('Project Database'!A468="","",N('Project Database'!AE468))</f>
        <v/>
      </c>
      <c r="BM464" s="5">
        <f>IF('Project Database'!A468="","",N('Project Database'!AF468))</f>
        <v/>
      </c>
      <c r="BN464" s="5">
        <f>IF('Project Database'!A468="","",N('Project Database'!AG468))</f>
        <v/>
      </c>
      <c r="BO464" s="5">
        <f>IF('Project Database'!A468="","",N('Project Database'!AH468))</f>
        <v/>
      </c>
      <c r="BP464" s="5">
        <f>IF('Project Database'!A468="","",N('Project Database'!AI468))</f>
        <v/>
      </c>
      <c r="BQ464" s="5">
        <f>IF('Project Database'!A468="","",N('Project Database'!AJ468))</f>
        <v/>
      </c>
      <c r="BR464" s="5">
        <f>IF('Project Database'!A468="","",N('Project Database'!AK468))</f>
        <v/>
      </c>
      <c r="BS464" s="5">
        <f>IF('Project Database'!A468="","",N('Project Database'!AL468))</f>
        <v/>
      </c>
      <c r="BT464" s="5">
        <f>IF('Project Database'!A468="","",N('Project Database'!AM468))</f>
        <v/>
      </c>
      <c r="BU464" s="5">
        <f>IF('Project Database'!A468="","",N('Project Database'!AN468))</f>
        <v/>
      </c>
      <c r="BV464" s="5">
        <f>IF('Project Database'!A468="","",N('Project Database'!AO468))</f>
        <v/>
      </c>
      <c r="BW464" s="5">
        <f>IF('Project Database'!A468="","",N('Project Database'!AP468))</f>
        <v/>
      </c>
      <c r="BX464" s="5">
        <f>IF(A464="","",SUM(BJ464:BW464))</f>
        <v/>
      </c>
      <c r="BY464" s="5">
        <f>IF(A464="","",IFERROR(IF(ISNUMBER(U464),U464,VALUE(SUBSTITUTE(SUBSTITUTE(SUBSTITUTE(UPPER(TRIM(U464)),"M",""),",","")," ",""))),0))</f>
        <v/>
      </c>
    </row>
    <row r="465" ht="15" customHeight="1" s="74">
      <c r="A465" s="66">
        <f>'Project Database'!A469</f>
        <v/>
      </c>
      <c r="B465" s="66">
        <f>'Project Database'!B469</f>
        <v/>
      </c>
      <c r="C465" s="66">
        <f>'Project Database'!G469</f>
        <v/>
      </c>
      <c r="D465" s="66">
        <f>'Project Database'!H469</f>
        <v/>
      </c>
      <c r="E465" s="66">
        <f>'Project Database'!I469</f>
        <v/>
      </c>
      <c r="F465" s="66">
        <f>'Project Database'!J469</f>
        <v/>
      </c>
      <c r="G465" s="66">
        <f>'Project Database'!K469</f>
        <v/>
      </c>
      <c r="H465" s="66">
        <f>'Project Database'!L469</f>
        <v/>
      </c>
      <c r="I465" s="66">
        <f>'Project Database'!M469</f>
        <v/>
      </c>
      <c r="J465" s="66">
        <f>'Project Database'!N469</f>
        <v/>
      </c>
      <c r="K465" s="66">
        <f>'Project Database'!O469</f>
        <v/>
      </c>
      <c r="L465" s="66">
        <f>'Project Database'!P469</f>
        <v/>
      </c>
      <c r="M465" s="66">
        <f>'Project Database'!Q469</f>
        <v/>
      </c>
      <c r="N465" s="66">
        <f>'Project Database'!R469</f>
        <v/>
      </c>
      <c r="O465" s="66">
        <f>'Project Database'!S469</f>
        <v/>
      </c>
      <c r="P465" s="66">
        <f>'Project Database'!T469</f>
        <v/>
      </c>
      <c r="Q465" s="66">
        <f>'Project Database'!U469</f>
        <v/>
      </c>
      <c r="R465" s="66">
        <f>'Project Database'!V469</f>
        <v/>
      </c>
      <c r="S465" s="66">
        <f>'Project Database'!W469</f>
        <v/>
      </c>
      <c r="T465" s="66">
        <f>'Project Database'!X469</f>
        <v/>
      </c>
      <c r="U465" s="67">
        <f>'Project Database'!Y469</f>
        <v/>
      </c>
      <c r="V465" s="66">
        <f>IF('Smart Search'!B13=1,IFERROR(1/'Smart Search'!H13,0),0)</f>
        <v/>
      </c>
      <c r="W465" s="66">
        <f>IF('Smart Search'!B13=1,IFERROR(1/'Smart Search'!H13,0),0)</f>
        <v/>
      </c>
      <c r="X465" s="66">
        <f>IF('Smart Search'!C13=1,IFERROR(1/'Smart Search'!H13,0),0)</f>
        <v/>
      </c>
      <c r="Y465" s="66">
        <f>IF('Smart Search'!C13=1,IFERROR(1/'Smart Search'!H13,0),0)</f>
        <v/>
      </c>
      <c r="Z465" s="66">
        <f>IF('Smart Search'!D13=1,IFERROR(1/'Smart Search'!H13,0),0)</f>
        <v/>
      </c>
      <c r="AA465" s="66">
        <f>IF('Smart Search'!D13=1,IFERROR(1/'Smart Search'!H13,0),0)</f>
        <v/>
      </c>
      <c r="AB465" s="66">
        <f>IF('Smart Search'!E13=1,IFERROR(1/'Smart Search'!H13,0),0)</f>
        <v/>
      </c>
      <c r="AC465" s="66">
        <f>IF('Smart Search'!E13=1,IFERROR(1/'Smart Search'!H13,0),0)</f>
        <v/>
      </c>
      <c r="AD465" s="66">
        <f>IF('Smart Search'!F13=1,IFERROR(1/'Smart Search'!H13,0),0)</f>
        <v/>
      </c>
      <c r="AE465" s="66">
        <f>IF('Smart Search'!F13=1,IFERROR(1/'Smart Search'!H13,0),0)</f>
        <v/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66">
        <f>AF465*V465</f>
        <v/>
      </c>
      <c r="AQ465" s="66">
        <f>AG465*W465</f>
        <v/>
      </c>
      <c r="AR465" s="66">
        <f>AH465*X465</f>
        <v/>
      </c>
      <c r="AS465" s="66">
        <f>AI465*Y465</f>
        <v/>
      </c>
      <c r="AT465" s="66">
        <f>AJ465*Z465</f>
        <v/>
      </c>
      <c r="AU465" s="66">
        <f>AK465*AA465</f>
        <v/>
      </c>
      <c r="AV465" s="66">
        <f>AL465*AB465</f>
        <v/>
      </c>
      <c r="AW465" s="66">
        <f>AM465*AC465</f>
        <v/>
      </c>
      <c r="AX465" s="66">
        <f>AN465*AD465</f>
        <v/>
      </c>
      <c r="AY465" s="66">
        <f>AO465*AE465</f>
        <v/>
      </c>
      <c r="AZ465" s="66">
        <f>'Project Database'!Z469</f>
        <v/>
      </c>
      <c r="BA465" s="66">
        <f>IF(OR(A465="",'Smart Search'!H13=0),"",MAX(0,BE465*BF465*MAX(0,1-BG465)))</f>
        <v/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66">
        <f>IF('Smart Search'!G13=1,IFERROR(1/'Smart Search'!H13,0),0)</f>
        <v/>
      </c>
      <c r="BD465" s="66">
        <f>BB465*BC465</f>
        <v/>
      </c>
      <c r="BE465" s="66">
        <f>AP465+AQ465+AR465+AS465+AT465+AU465+AV465+AW465+AX465+AY465+BD465</f>
        <v/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5">
        <f>IF(AND('Project Database'!A469&lt;&gt;"",OR('Smart Search'!$L$5="",'Smart Search'!$L$5="All",TRIM('Project Database'!D469)=TRIM('Smart Search'!$L$5)),OR(TRIM('Smart Search'!$L$6)="",TRIM('Smart Search'!$L$6)="All",ISNUMBER(SEARCH(SUBSTITUTE(SUBSTITUTE(SUBSTITUTE(TRIM('Smart Search'!$L$6),"~","~~"),"*","~*"),"?","~?"),'Project Database'!C469))),OR('Smart Search'!$L$7="",AND('Project Database'!E469&lt;&gt;"",'Project Database'!E469='Smart Search'!$L$7)),OR('Smart Search'!$L$8="",'Smart Search'!$L$8="All",TRIM('Project Database'!F469)=TRIM('Smart Search'!$L$8))),IF(BA465="","",BA465+ROW()*0.0000000001),"")</f>
        <v/>
      </c>
      <c r="BI465" s="5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>
        <f>IF('Project Database'!A469="","",N('Project Database'!AC469))</f>
        <v/>
      </c>
      <c r="BK465" s="5">
        <f>IF('Project Database'!A469="","",N('Project Database'!AD469))</f>
        <v/>
      </c>
      <c r="BL465" s="5">
        <f>IF('Project Database'!A469="","",N('Project Database'!AE469))</f>
        <v/>
      </c>
      <c r="BM465" s="5">
        <f>IF('Project Database'!A469="","",N('Project Database'!AF469))</f>
        <v/>
      </c>
      <c r="BN465" s="5">
        <f>IF('Project Database'!A469="","",N('Project Database'!AG469))</f>
        <v/>
      </c>
      <c r="BO465" s="5">
        <f>IF('Project Database'!A469="","",N('Project Database'!AH469))</f>
        <v/>
      </c>
      <c r="BP465" s="5">
        <f>IF('Project Database'!A469="","",N('Project Database'!AI469))</f>
        <v/>
      </c>
      <c r="BQ465" s="5">
        <f>IF('Project Database'!A469="","",N('Project Database'!AJ469))</f>
        <v/>
      </c>
      <c r="BR465" s="5">
        <f>IF('Project Database'!A469="","",N('Project Database'!AK469))</f>
        <v/>
      </c>
      <c r="BS465" s="5">
        <f>IF('Project Database'!A469="","",N('Project Database'!AL469))</f>
        <v/>
      </c>
      <c r="BT465" s="5">
        <f>IF('Project Database'!A469="","",N('Project Database'!AM469))</f>
        <v/>
      </c>
      <c r="BU465" s="5">
        <f>IF('Project Database'!A469="","",N('Project Database'!AN469))</f>
        <v/>
      </c>
      <c r="BV465" s="5">
        <f>IF('Project Database'!A469="","",N('Project Database'!AO469))</f>
        <v/>
      </c>
      <c r="BW465" s="5">
        <f>IF('Project Database'!A469="","",N('Project Database'!AP469))</f>
        <v/>
      </c>
      <c r="BX465" s="5">
        <f>IF(A465="","",SUM(BJ465:BW465))</f>
        <v/>
      </c>
      <c r="BY465" s="5">
        <f>IF(A465="","",IFERROR(IF(ISNUMBER(U465),U465,VALUE(SUBSTITUTE(SUBSTITUTE(SUBSTITUTE(UPPER(TRIM(U465)),"M",""),",","")," ",""))),0))</f>
        <v/>
      </c>
    </row>
    <row r="466" ht="15" customHeight="1" s="74">
      <c r="A466" s="66">
        <f>'Project Database'!A470</f>
        <v/>
      </c>
      <c r="B466" s="66">
        <f>'Project Database'!B470</f>
        <v/>
      </c>
      <c r="C466" s="66">
        <f>'Project Database'!G470</f>
        <v/>
      </c>
      <c r="D466" s="66">
        <f>'Project Database'!H470</f>
        <v/>
      </c>
      <c r="E466" s="66">
        <f>'Project Database'!I470</f>
        <v/>
      </c>
      <c r="F466" s="66">
        <f>'Project Database'!J470</f>
        <v/>
      </c>
      <c r="G466" s="66">
        <f>'Project Database'!K470</f>
        <v/>
      </c>
      <c r="H466" s="66">
        <f>'Project Database'!L470</f>
        <v/>
      </c>
      <c r="I466" s="66">
        <f>'Project Database'!M470</f>
        <v/>
      </c>
      <c r="J466" s="66">
        <f>'Project Database'!N470</f>
        <v/>
      </c>
      <c r="K466" s="66">
        <f>'Project Database'!O470</f>
        <v/>
      </c>
      <c r="L466" s="66">
        <f>'Project Database'!P470</f>
        <v/>
      </c>
      <c r="M466" s="66">
        <f>'Project Database'!Q470</f>
        <v/>
      </c>
      <c r="N466" s="66">
        <f>'Project Database'!R470</f>
        <v/>
      </c>
      <c r="O466" s="66">
        <f>'Project Database'!S470</f>
        <v/>
      </c>
      <c r="P466" s="66">
        <f>'Project Database'!T470</f>
        <v/>
      </c>
      <c r="Q466" s="66">
        <f>'Project Database'!U470</f>
        <v/>
      </c>
      <c r="R466" s="66">
        <f>'Project Database'!V470</f>
        <v/>
      </c>
      <c r="S466" s="66">
        <f>'Project Database'!W470</f>
        <v/>
      </c>
      <c r="T466" s="66">
        <f>'Project Database'!X470</f>
        <v/>
      </c>
      <c r="U466" s="67">
        <f>'Project Database'!Y470</f>
        <v/>
      </c>
      <c r="V466" s="66">
        <f>IF('Smart Search'!B13=1,IFERROR(1/'Smart Search'!H13,0),0)</f>
        <v/>
      </c>
      <c r="W466" s="66">
        <f>IF('Smart Search'!B13=1,IFERROR(1/'Smart Search'!H13,0),0)</f>
        <v/>
      </c>
      <c r="X466" s="66">
        <f>IF('Smart Search'!C13=1,IFERROR(1/'Smart Search'!H13,0),0)</f>
        <v/>
      </c>
      <c r="Y466" s="66">
        <f>IF('Smart Search'!C13=1,IFERROR(1/'Smart Search'!H13,0),0)</f>
        <v/>
      </c>
      <c r="Z466" s="66">
        <f>IF('Smart Search'!D13=1,IFERROR(1/'Smart Search'!H13,0),0)</f>
        <v/>
      </c>
      <c r="AA466" s="66">
        <f>IF('Smart Search'!D13=1,IFERROR(1/'Smart Search'!H13,0),0)</f>
        <v/>
      </c>
      <c r="AB466" s="66">
        <f>IF('Smart Search'!E13=1,IFERROR(1/'Smart Search'!H13,0),0)</f>
        <v/>
      </c>
      <c r="AC466" s="66">
        <f>IF('Smart Search'!E13=1,IFERROR(1/'Smart Search'!H13,0),0)</f>
        <v/>
      </c>
      <c r="AD466" s="66">
        <f>IF('Smart Search'!F13=1,IFERROR(1/'Smart Search'!H13,0),0)</f>
        <v/>
      </c>
      <c r="AE466" s="66">
        <f>IF('Smart Search'!F13=1,IFERROR(1/'Smart Search'!H13,0),0)</f>
        <v/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66">
        <f>AF466*V466</f>
        <v/>
      </c>
      <c r="AQ466" s="66">
        <f>AG466*W466</f>
        <v/>
      </c>
      <c r="AR466" s="66">
        <f>AH466*X466</f>
        <v/>
      </c>
      <c r="AS466" s="66">
        <f>AI466*Y466</f>
        <v/>
      </c>
      <c r="AT466" s="66">
        <f>AJ466*Z466</f>
        <v/>
      </c>
      <c r="AU466" s="66">
        <f>AK466*AA466</f>
        <v/>
      </c>
      <c r="AV466" s="66">
        <f>AL466*AB466</f>
        <v/>
      </c>
      <c r="AW466" s="66">
        <f>AM466*AC466</f>
        <v/>
      </c>
      <c r="AX466" s="66">
        <f>AN466*AD466</f>
        <v/>
      </c>
      <c r="AY466" s="66">
        <f>AO466*AE466</f>
        <v/>
      </c>
      <c r="AZ466" s="66">
        <f>'Project Database'!Z470</f>
        <v/>
      </c>
      <c r="BA466" s="66">
        <f>IF(OR(A466="",'Smart Search'!H13=0),"",MAX(0,BE466*BF466*MAX(0,1-BG466)))</f>
        <v/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66">
        <f>IF('Smart Search'!G13=1,IFERROR(1/'Smart Search'!H13,0),0)</f>
        <v/>
      </c>
      <c r="BD466" s="66">
        <f>BB466*BC466</f>
        <v/>
      </c>
      <c r="BE466" s="66">
        <f>AP466+AQ466+AR466+AS466+AT466+AU466+AV466+AW466+AX466+AY466+BD466</f>
        <v/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5">
        <f>IF(AND('Project Database'!A470&lt;&gt;"",OR('Smart Search'!$L$5="",'Smart Search'!$L$5="All",TRIM('Project Database'!D470)=TRIM('Smart Search'!$L$5)),OR(TRIM('Smart Search'!$L$6)="",TRIM('Smart Search'!$L$6)="All",ISNUMBER(SEARCH(SUBSTITUTE(SUBSTITUTE(SUBSTITUTE(TRIM('Smart Search'!$L$6),"~","~~"),"*","~*"),"?","~?"),'Project Database'!C470))),OR('Smart Search'!$L$7="",AND('Project Database'!E470&lt;&gt;"",'Project Database'!E470='Smart Search'!$L$7)),OR('Smart Search'!$L$8="",'Smart Search'!$L$8="All",TRIM('Project Database'!F470)=TRIM('Smart Search'!$L$8))),IF(BA466="","",BA466+ROW()*0.0000000001),"")</f>
        <v/>
      </c>
      <c r="BI466" s="5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>
        <f>IF('Project Database'!A470="","",N('Project Database'!AC470))</f>
        <v/>
      </c>
      <c r="BK466" s="5">
        <f>IF('Project Database'!A470="","",N('Project Database'!AD470))</f>
        <v/>
      </c>
      <c r="BL466" s="5">
        <f>IF('Project Database'!A470="","",N('Project Database'!AE470))</f>
        <v/>
      </c>
      <c r="BM466" s="5">
        <f>IF('Project Database'!A470="","",N('Project Database'!AF470))</f>
        <v/>
      </c>
      <c r="BN466" s="5">
        <f>IF('Project Database'!A470="","",N('Project Database'!AG470))</f>
        <v/>
      </c>
      <c r="BO466" s="5">
        <f>IF('Project Database'!A470="","",N('Project Database'!AH470))</f>
        <v/>
      </c>
      <c r="BP466" s="5">
        <f>IF('Project Database'!A470="","",N('Project Database'!AI470))</f>
        <v/>
      </c>
      <c r="BQ466" s="5">
        <f>IF('Project Database'!A470="","",N('Project Database'!AJ470))</f>
        <v/>
      </c>
      <c r="BR466" s="5">
        <f>IF('Project Database'!A470="","",N('Project Database'!AK470))</f>
        <v/>
      </c>
      <c r="BS466" s="5">
        <f>IF('Project Database'!A470="","",N('Project Database'!AL470))</f>
        <v/>
      </c>
      <c r="BT466" s="5">
        <f>IF('Project Database'!A470="","",N('Project Database'!AM470))</f>
        <v/>
      </c>
      <c r="BU466" s="5">
        <f>IF('Project Database'!A470="","",N('Project Database'!AN470))</f>
        <v/>
      </c>
      <c r="BV466" s="5">
        <f>IF('Project Database'!A470="","",N('Project Database'!AO470))</f>
        <v/>
      </c>
      <c r="BW466" s="5">
        <f>IF('Project Database'!A470="","",N('Project Database'!AP470))</f>
        <v/>
      </c>
      <c r="BX466" s="5">
        <f>IF(A466="","",SUM(BJ466:BW466))</f>
        <v/>
      </c>
      <c r="BY466" s="5">
        <f>IF(A466="","",IFERROR(IF(ISNUMBER(U466),U466,VALUE(SUBSTITUTE(SUBSTITUTE(SUBSTITUTE(UPPER(TRIM(U466)),"M",""),",","")," ",""))),0))</f>
        <v/>
      </c>
    </row>
    <row r="467" ht="15" customHeight="1" s="74">
      <c r="A467" s="66">
        <f>'Project Database'!A471</f>
        <v/>
      </c>
      <c r="B467" s="66">
        <f>'Project Database'!B471</f>
        <v/>
      </c>
      <c r="C467" s="66">
        <f>'Project Database'!G471</f>
        <v/>
      </c>
      <c r="D467" s="66">
        <f>'Project Database'!H471</f>
        <v/>
      </c>
      <c r="E467" s="66">
        <f>'Project Database'!I471</f>
        <v/>
      </c>
      <c r="F467" s="66">
        <f>'Project Database'!J471</f>
        <v/>
      </c>
      <c r="G467" s="66">
        <f>'Project Database'!K471</f>
        <v/>
      </c>
      <c r="H467" s="66">
        <f>'Project Database'!L471</f>
        <v/>
      </c>
      <c r="I467" s="66">
        <f>'Project Database'!M471</f>
        <v/>
      </c>
      <c r="J467" s="66">
        <f>'Project Database'!N471</f>
        <v/>
      </c>
      <c r="K467" s="66">
        <f>'Project Database'!O471</f>
        <v/>
      </c>
      <c r="L467" s="66">
        <f>'Project Database'!P471</f>
        <v/>
      </c>
      <c r="M467" s="66">
        <f>'Project Database'!Q471</f>
        <v/>
      </c>
      <c r="N467" s="66">
        <f>'Project Database'!R471</f>
        <v/>
      </c>
      <c r="O467" s="66">
        <f>'Project Database'!S471</f>
        <v/>
      </c>
      <c r="P467" s="66">
        <f>'Project Database'!T471</f>
        <v/>
      </c>
      <c r="Q467" s="66">
        <f>'Project Database'!U471</f>
        <v/>
      </c>
      <c r="R467" s="66">
        <f>'Project Database'!V471</f>
        <v/>
      </c>
      <c r="S467" s="66">
        <f>'Project Database'!W471</f>
        <v/>
      </c>
      <c r="T467" s="66">
        <f>'Project Database'!X471</f>
        <v/>
      </c>
      <c r="U467" s="67">
        <f>'Project Database'!Y471</f>
        <v/>
      </c>
      <c r="V467" s="66">
        <f>IF('Smart Search'!B13=1,IFERROR(1/'Smart Search'!H13,0),0)</f>
        <v/>
      </c>
      <c r="W467" s="66">
        <f>IF('Smart Search'!B13=1,IFERROR(1/'Smart Search'!H13,0),0)</f>
        <v/>
      </c>
      <c r="X467" s="66">
        <f>IF('Smart Search'!C13=1,IFERROR(1/'Smart Search'!H13,0),0)</f>
        <v/>
      </c>
      <c r="Y467" s="66">
        <f>IF('Smart Search'!C13=1,IFERROR(1/'Smart Search'!H13,0),0)</f>
        <v/>
      </c>
      <c r="Z467" s="66">
        <f>IF('Smart Search'!D13=1,IFERROR(1/'Smart Search'!H13,0),0)</f>
        <v/>
      </c>
      <c r="AA467" s="66">
        <f>IF('Smart Search'!D13=1,IFERROR(1/'Smart Search'!H13,0),0)</f>
        <v/>
      </c>
      <c r="AB467" s="66">
        <f>IF('Smart Search'!E13=1,IFERROR(1/'Smart Search'!H13,0),0)</f>
        <v/>
      </c>
      <c r="AC467" s="66">
        <f>IF('Smart Search'!E13=1,IFERROR(1/'Smart Search'!H13,0),0)</f>
        <v/>
      </c>
      <c r="AD467" s="66">
        <f>IF('Smart Search'!F13=1,IFERROR(1/'Smart Search'!H13,0),0)</f>
        <v/>
      </c>
      <c r="AE467" s="66">
        <f>IF('Smart Search'!F13=1,IFERROR(1/'Smart Search'!H13,0),0)</f>
        <v/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66">
        <f>AF467*V467</f>
        <v/>
      </c>
      <c r="AQ467" s="66">
        <f>AG467*W467</f>
        <v/>
      </c>
      <c r="AR467" s="66">
        <f>AH467*X467</f>
        <v/>
      </c>
      <c r="AS467" s="66">
        <f>AI467*Y467</f>
        <v/>
      </c>
      <c r="AT467" s="66">
        <f>AJ467*Z467</f>
        <v/>
      </c>
      <c r="AU467" s="66">
        <f>AK467*AA467</f>
        <v/>
      </c>
      <c r="AV467" s="66">
        <f>AL467*AB467</f>
        <v/>
      </c>
      <c r="AW467" s="66">
        <f>AM467*AC467</f>
        <v/>
      </c>
      <c r="AX467" s="66">
        <f>AN467*AD467</f>
        <v/>
      </c>
      <c r="AY467" s="66">
        <f>AO467*AE467</f>
        <v/>
      </c>
      <c r="AZ467" s="66">
        <f>'Project Database'!Z471</f>
        <v/>
      </c>
      <c r="BA467" s="66">
        <f>IF(OR(A467="",'Smart Search'!H13=0),"",MAX(0,BE467*BF467*MAX(0,1-BG467)))</f>
        <v/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66">
        <f>IF('Smart Search'!G13=1,IFERROR(1/'Smart Search'!H13,0),0)</f>
        <v/>
      </c>
      <c r="BD467" s="66">
        <f>BB467*BC467</f>
        <v/>
      </c>
      <c r="BE467" s="66">
        <f>AP467+AQ467+AR467+AS467+AT467+AU467+AV467+AW467+AX467+AY467+BD467</f>
        <v/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5">
        <f>IF(AND('Project Database'!A471&lt;&gt;"",OR('Smart Search'!$L$5="",'Smart Search'!$L$5="All",TRIM('Project Database'!D471)=TRIM('Smart Search'!$L$5)),OR(TRIM('Smart Search'!$L$6)="",TRIM('Smart Search'!$L$6)="All",ISNUMBER(SEARCH(SUBSTITUTE(SUBSTITUTE(SUBSTITUTE(TRIM('Smart Search'!$L$6),"~","~~"),"*","~*"),"?","~?"),'Project Database'!C471))),OR('Smart Search'!$L$7="",AND('Project Database'!E471&lt;&gt;"",'Project Database'!E471='Smart Search'!$L$7)),OR('Smart Search'!$L$8="",'Smart Search'!$L$8="All",TRIM('Project Database'!F471)=TRIM('Smart Search'!$L$8))),IF(BA467="","",BA467+ROW()*0.0000000001),"")</f>
        <v/>
      </c>
      <c r="BI467" s="5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>
        <f>IF('Project Database'!A471="","",N('Project Database'!AC471))</f>
        <v/>
      </c>
      <c r="BK467" s="5">
        <f>IF('Project Database'!A471="","",N('Project Database'!AD471))</f>
        <v/>
      </c>
      <c r="BL467" s="5">
        <f>IF('Project Database'!A471="","",N('Project Database'!AE471))</f>
        <v/>
      </c>
      <c r="BM467" s="5">
        <f>IF('Project Database'!A471="","",N('Project Database'!AF471))</f>
        <v/>
      </c>
      <c r="BN467" s="5">
        <f>IF('Project Database'!A471="","",N('Project Database'!AG471))</f>
        <v/>
      </c>
      <c r="BO467" s="5">
        <f>IF('Project Database'!A471="","",N('Project Database'!AH471))</f>
        <v/>
      </c>
      <c r="BP467" s="5">
        <f>IF('Project Database'!A471="","",N('Project Database'!AI471))</f>
        <v/>
      </c>
      <c r="BQ467" s="5">
        <f>IF('Project Database'!A471="","",N('Project Database'!AJ471))</f>
        <v/>
      </c>
      <c r="BR467" s="5">
        <f>IF('Project Database'!A471="","",N('Project Database'!AK471))</f>
        <v/>
      </c>
      <c r="BS467" s="5">
        <f>IF('Project Database'!A471="","",N('Project Database'!AL471))</f>
        <v/>
      </c>
      <c r="BT467" s="5">
        <f>IF('Project Database'!A471="","",N('Project Database'!AM471))</f>
        <v/>
      </c>
      <c r="BU467" s="5">
        <f>IF('Project Database'!A471="","",N('Project Database'!AN471))</f>
        <v/>
      </c>
      <c r="BV467" s="5">
        <f>IF('Project Database'!A471="","",N('Project Database'!AO471))</f>
        <v/>
      </c>
      <c r="BW467" s="5">
        <f>IF('Project Database'!A471="","",N('Project Database'!AP471))</f>
        <v/>
      </c>
      <c r="BX467" s="5">
        <f>IF(A467="","",SUM(BJ467:BW467))</f>
        <v/>
      </c>
      <c r="BY467" s="5">
        <f>IF(A467="","",IFERROR(IF(ISNUMBER(U467),U467,VALUE(SUBSTITUTE(SUBSTITUTE(SUBSTITUTE(UPPER(TRIM(U467)),"M",""),",","")," ",""))),0))</f>
        <v/>
      </c>
    </row>
    <row r="468" ht="15" customHeight="1" s="74">
      <c r="A468" s="66">
        <f>'Project Database'!A472</f>
        <v/>
      </c>
      <c r="B468" s="66">
        <f>'Project Database'!B472</f>
        <v/>
      </c>
      <c r="C468" s="66">
        <f>'Project Database'!G472</f>
        <v/>
      </c>
      <c r="D468" s="66">
        <f>'Project Database'!H472</f>
        <v/>
      </c>
      <c r="E468" s="66">
        <f>'Project Database'!I472</f>
        <v/>
      </c>
      <c r="F468" s="66">
        <f>'Project Database'!J472</f>
        <v/>
      </c>
      <c r="G468" s="66">
        <f>'Project Database'!K472</f>
        <v/>
      </c>
      <c r="H468" s="66">
        <f>'Project Database'!L472</f>
        <v/>
      </c>
      <c r="I468" s="66">
        <f>'Project Database'!M472</f>
        <v/>
      </c>
      <c r="J468" s="66">
        <f>'Project Database'!N472</f>
        <v/>
      </c>
      <c r="K468" s="66">
        <f>'Project Database'!O472</f>
        <v/>
      </c>
      <c r="L468" s="66">
        <f>'Project Database'!P472</f>
        <v/>
      </c>
      <c r="M468" s="66">
        <f>'Project Database'!Q472</f>
        <v/>
      </c>
      <c r="N468" s="66">
        <f>'Project Database'!R472</f>
        <v/>
      </c>
      <c r="O468" s="66">
        <f>'Project Database'!S472</f>
        <v/>
      </c>
      <c r="P468" s="66">
        <f>'Project Database'!T472</f>
        <v/>
      </c>
      <c r="Q468" s="66">
        <f>'Project Database'!U472</f>
        <v/>
      </c>
      <c r="R468" s="66">
        <f>'Project Database'!V472</f>
        <v/>
      </c>
      <c r="S468" s="66">
        <f>'Project Database'!W472</f>
        <v/>
      </c>
      <c r="T468" s="66">
        <f>'Project Database'!X472</f>
        <v/>
      </c>
      <c r="U468" s="67">
        <f>'Project Database'!Y472</f>
        <v/>
      </c>
      <c r="V468" s="66">
        <f>IF('Smart Search'!B13=1,IFERROR(1/'Smart Search'!H13,0),0)</f>
        <v/>
      </c>
      <c r="W468" s="66">
        <f>IF('Smart Search'!B13=1,IFERROR(1/'Smart Search'!H13,0),0)</f>
        <v/>
      </c>
      <c r="X468" s="66">
        <f>IF('Smart Search'!C13=1,IFERROR(1/'Smart Search'!H13,0),0)</f>
        <v/>
      </c>
      <c r="Y468" s="66">
        <f>IF('Smart Search'!C13=1,IFERROR(1/'Smart Search'!H13,0),0)</f>
        <v/>
      </c>
      <c r="Z468" s="66">
        <f>IF('Smart Search'!D13=1,IFERROR(1/'Smart Search'!H13,0),0)</f>
        <v/>
      </c>
      <c r="AA468" s="66">
        <f>IF('Smart Search'!D13=1,IFERROR(1/'Smart Search'!H13,0),0)</f>
        <v/>
      </c>
      <c r="AB468" s="66">
        <f>IF('Smart Search'!E13=1,IFERROR(1/'Smart Search'!H13,0),0)</f>
        <v/>
      </c>
      <c r="AC468" s="66">
        <f>IF('Smart Search'!E13=1,IFERROR(1/'Smart Search'!H13,0),0)</f>
        <v/>
      </c>
      <c r="AD468" s="66">
        <f>IF('Smart Search'!F13=1,IFERROR(1/'Smart Search'!H13,0),0)</f>
        <v/>
      </c>
      <c r="AE468" s="66">
        <f>IF('Smart Search'!F13=1,IFERROR(1/'Smart Search'!H13,0),0)</f>
        <v/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66">
        <f>AF468*V468</f>
        <v/>
      </c>
      <c r="AQ468" s="66">
        <f>AG468*W468</f>
        <v/>
      </c>
      <c r="AR468" s="66">
        <f>AH468*X468</f>
        <v/>
      </c>
      <c r="AS468" s="66">
        <f>AI468*Y468</f>
        <v/>
      </c>
      <c r="AT468" s="66">
        <f>AJ468*Z468</f>
        <v/>
      </c>
      <c r="AU468" s="66">
        <f>AK468*AA468</f>
        <v/>
      </c>
      <c r="AV468" s="66">
        <f>AL468*AB468</f>
        <v/>
      </c>
      <c r="AW468" s="66">
        <f>AM468*AC468</f>
        <v/>
      </c>
      <c r="AX468" s="66">
        <f>AN468*AD468</f>
        <v/>
      </c>
      <c r="AY468" s="66">
        <f>AO468*AE468</f>
        <v/>
      </c>
      <c r="AZ468" s="66">
        <f>'Project Database'!Z472</f>
        <v/>
      </c>
      <c r="BA468" s="66">
        <f>IF(OR(A468="",'Smart Search'!H13=0),"",MAX(0,BE468*BF468*MAX(0,1-BG468)))</f>
        <v/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66">
        <f>IF('Smart Search'!G13=1,IFERROR(1/'Smart Search'!H13,0),0)</f>
        <v/>
      </c>
      <c r="BD468" s="66">
        <f>BB468*BC468</f>
        <v/>
      </c>
      <c r="BE468" s="66">
        <f>AP468+AQ468+AR468+AS468+AT468+AU468+AV468+AW468+AX468+AY468+BD468</f>
        <v/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5">
        <f>IF(AND('Project Database'!A472&lt;&gt;"",OR('Smart Search'!$L$5="",'Smart Search'!$L$5="All",TRIM('Project Database'!D472)=TRIM('Smart Search'!$L$5)),OR(TRIM('Smart Search'!$L$6)="",TRIM('Smart Search'!$L$6)="All",ISNUMBER(SEARCH(SUBSTITUTE(SUBSTITUTE(SUBSTITUTE(TRIM('Smart Search'!$L$6),"~","~~"),"*","~*"),"?","~?"),'Project Database'!C472))),OR('Smart Search'!$L$7="",AND('Project Database'!E472&lt;&gt;"",'Project Database'!E472='Smart Search'!$L$7)),OR('Smart Search'!$L$8="",'Smart Search'!$L$8="All",TRIM('Project Database'!F472)=TRIM('Smart Search'!$L$8))),IF(BA468="","",BA468+ROW()*0.0000000001),"")</f>
        <v/>
      </c>
      <c r="BI468" s="5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>
        <f>IF('Project Database'!A472="","",N('Project Database'!AC472))</f>
        <v/>
      </c>
      <c r="BK468" s="5">
        <f>IF('Project Database'!A472="","",N('Project Database'!AD472))</f>
        <v/>
      </c>
      <c r="BL468" s="5">
        <f>IF('Project Database'!A472="","",N('Project Database'!AE472))</f>
        <v/>
      </c>
      <c r="BM468" s="5">
        <f>IF('Project Database'!A472="","",N('Project Database'!AF472))</f>
        <v/>
      </c>
      <c r="BN468" s="5">
        <f>IF('Project Database'!A472="","",N('Project Database'!AG472))</f>
        <v/>
      </c>
      <c r="BO468" s="5">
        <f>IF('Project Database'!A472="","",N('Project Database'!AH472))</f>
        <v/>
      </c>
      <c r="BP468" s="5">
        <f>IF('Project Database'!A472="","",N('Project Database'!AI472))</f>
        <v/>
      </c>
      <c r="BQ468" s="5">
        <f>IF('Project Database'!A472="","",N('Project Database'!AJ472))</f>
        <v/>
      </c>
      <c r="BR468" s="5">
        <f>IF('Project Database'!A472="","",N('Project Database'!AK472))</f>
        <v/>
      </c>
      <c r="BS468" s="5">
        <f>IF('Project Database'!A472="","",N('Project Database'!AL472))</f>
        <v/>
      </c>
      <c r="BT468" s="5">
        <f>IF('Project Database'!A472="","",N('Project Database'!AM472))</f>
        <v/>
      </c>
      <c r="BU468" s="5">
        <f>IF('Project Database'!A472="","",N('Project Database'!AN472))</f>
        <v/>
      </c>
      <c r="BV468" s="5">
        <f>IF('Project Database'!A472="","",N('Project Database'!AO472))</f>
        <v/>
      </c>
      <c r="BW468" s="5">
        <f>IF('Project Database'!A472="","",N('Project Database'!AP472))</f>
        <v/>
      </c>
      <c r="BX468" s="5">
        <f>IF(A468="","",SUM(BJ468:BW468))</f>
        <v/>
      </c>
      <c r="BY468" s="5">
        <f>IF(A468="","",IFERROR(IF(ISNUMBER(U468),U468,VALUE(SUBSTITUTE(SUBSTITUTE(SUBSTITUTE(UPPER(TRIM(U468)),"M",""),",","")," ",""))),0))</f>
        <v/>
      </c>
    </row>
    <row r="469" ht="15" customHeight="1" s="74">
      <c r="A469" s="66">
        <f>'Project Database'!A473</f>
        <v/>
      </c>
      <c r="B469" s="66">
        <f>'Project Database'!B473</f>
        <v/>
      </c>
      <c r="C469" s="66">
        <f>'Project Database'!G473</f>
        <v/>
      </c>
      <c r="D469" s="66">
        <f>'Project Database'!H473</f>
        <v/>
      </c>
      <c r="E469" s="66">
        <f>'Project Database'!I473</f>
        <v/>
      </c>
      <c r="F469" s="66">
        <f>'Project Database'!J473</f>
        <v/>
      </c>
      <c r="G469" s="66">
        <f>'Project Database'!K473</f>
        <v/>
      </c>
      <c r="H469" s="66">
        <f>'Project Database'!L473</f>
        <v/>
      </c>
      <c r="I469" s="66">
        <f>'Project Database'!M473</f>
        <v/>
      </c>
      <c r="J469" s="66">
        <f>'Project Database'!N473</f>
        <v/>
      </c>
      <c r="K469" s="66">
        <f>'Project Database'!O473</f>
        <v/>
      </c>
      <c r="L469" s="66">
        <f>'Project Database'!P473</f>
        <v/>
      </c>
      <c r="M469" s="66">
        <f>'Project Database'!Q473</f>
        <v/>
      </c>
      <c r="N469" s="66">
        <f>'Project Database'!R473</f>
        <v/>
      </c>
      <c r="O469" s="66">
        <f>'Project Database'!S473</f>
        <v/>
      </c>
      <c r="P469" s="66">
        <f>'Project Database'!T473</f>
        <v/>
      </c>
      <c r="Q469" s="66">
        <f>'Project Database'!U473</f>
        <v/>
      </c>
      <c r="R469" s="66">
        <f>'Project Database'!V473</f>
        <v/>
      </c>
      <c r="S469" s="66">
        <f>'Project Database'!W473</f>
        <v/>
      </c>
      <c r="T469" s="66">
        <f>'Project Database'!X473</f>
        <v/>
      </c>
      <c r="U469" s="67">
        <f>'Project Database'!Y473</f>
        <v/>
      </c>
      <c r="V469" s="66">
        <f>IF('Smart Search'!B13=1,IFERROR(1/'Smart Search'!H13,0),0)</f>
        <v/>
      </c>
      <c r="W469" s="66">
        <f>IF('Smart Search'!B13=1,IFERROR(1/'Smart Search'!H13,0),0)</f>
        <v/>
      </c>
      <c r="X469" s="66">
        <f>IF('Smart Search'!C13=1,IFERROR(1/'Smart Search'!H13,0),0)</f>
        <v/>
      </c>
      <c r="Y469" s="66">
        <f>IF('Smart Search'!C13=1,IFERROR(1/'Smart Search'!H13,0),0)</f>
        <v/>
      </c>
      <c r="Z469" s="66">
        <f>IF('Smart Search'!D13=1,IFERROR(1/'Smart Search'!H13,0),0)</f>
        <v/>
      </c>
      <c r="AA469" s="66">
        <f>IF('Smart Search'!D13=1,IFERROR(1/'Smart Search'!H13,0),0)</f>
        <v/>
      </c>
      <c r="AB469" s="66">
        <f>IF('Smart Search'!E13=1,IFERROR(1/'Smart Search'!H13,0),0)</f>
        <v/>
      </c>
      <c r="AC469" s="66">
        <f>IF('Smart Search'!E13=1,IFERROR(1/'Smart Search'!H13,0),0)</f>
        <v/>
      </c>
      <c r="AD469" s="66">
        <f>IF('Smart Search'!F13=1,IFERROR(1/'Smart Search'!H13,0),0)</f>
        <v/>
      </c>
      <c r="AE469" s="66">
        <f>IF('Smart Search'!F13=1,IFERROR(1/'Smart Search'!H13,0),0)</f>
        <v/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66">
        <f>AF469*V469</f>
        <v/>
      </c>
      <c r="AQ469" s="66">
        <f>AG469*W469</f>
        <v/>
      </c>
      <c r="AR469" s="66">
        <f>AH469*X469</f>
        <v/>
      </c>
      <c r="AS469" s="66">
        <f>AI469*Y469</f>
        <v/>
      </c>
      <c r="AT469" s="66">
        <f>AJ469*Z469</f>
        <v/>
      </c>
      <c r="AU469" s="66">
        <f>AK469*AA469</f>
        <v/>
      </c>
      <c r="AV469" s="66">
        <f>AL469*AB469</f>
        <v/>
      </c>
      <c r="AW469" s="66">
        <f>AM469*AC469</f>
        <v/>
      </c>
      <c r="AX469" s="66">
        <f>AN469*AD469</f>
        <v/>
      </c>
      <c r="AY469" s="66">
        <f>AO469*AE469</f>
        <v/>
      </c>
      <c r="AZ469" s="66">
        <f>'Project Database'!Z473</f>
        <v/>
      </c>
      <c r="BA469" s="66">
        <f>IF(OR(A469="",'Smart Search'!H13=0),"",MAX(0,BE469*BF469*MAX(0,1-BG469)))</f>
        <v/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66">
        <f>IF('Smart Search'!G13=1,IFERROR(1/'Smart Search'!H13,0),0)</f>
        <v/>
      </c>
      <c r="BD469" s="66">
        <f>BB469*BC469</f>
        <v/>
      </c>
      <c r="BE469" s="66">
        <f>AP469+AQ469+AR469+AS469+AT469+AU469+AV469+AW469+AX469+AY469+BD469</f>
        <v/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5">
        <f>IF(AND('Project Database'!A473&lt;&gt;"",OR('Smart Search'!$L$5="",'Smart Search'!$L$5="All",TRIM('Project Database'!D473)=TRIM('Smart Search'!$L$5)),OR(TRIM('Smart Search'!$L$6)="",TRIM('Smart Search'!$L$6)="All",ISNUMBER(SEARCH(SUBSTITUTE(SUBSTITUTE(SUBSTITUTE(TRIM('Smart Search'!$L$6),"~","~~"),"*","~*"),"?","~?"),'Project Database'!C473))),OR('Smart Search'!$L$7="",AND('Project Database'!E473&lt;&gt;"",'Project Database'!E473='Smart Search'!$L$7)),OR('Smart Search'!$L$8="",'Smart Search'!$L$8="All",TRIM('Project Database'!F473)=TRIM('Smart Search'!$L$8))),IF(BA469="","",BA469+ROW()*0.0000000001),"")</f>
        <v/>
      </c>
      <c r="BI469" s="5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>
        <f>IF('Project Database'!A473="","",N('Project Database'!AC473))</f>
        <v/>
      </c>
      <c r="BK469" s="5">
        <f>IF('Project Database'!A473="","",N('Project Database'!AD473))</f>
        <v/>
      </c>
      <c r="BL469" s="5">
        <f>IF('Project Database'!A473="","",N('Project Database'!AE473))</f>
        <v/>
      </c>
      <c r="BM469" s="5">
        <f>IF('Project Database'!A473="","",N('Project Database'!AF473))</f>
        <v/>
      </c>
      <c r="BN469" s="5">
        <f>IF('Project Database'!A473="","",N('Project Database'!AG473))</f>
        <v/>
      </c>
      <c r="BO469" s="5">
        <f>IF('Project Database'!A473="","",N('Project Database'!AH473))</f>
        <v/>
      </c>
      <c r="BP469" s="5">
        <f>IF('Project Database'!A473="","",N('Project Database'!AI473))</f>
        <v/>
      </c>
      <c r="BQ469" s="5">
        <f>IF('Project Database'!A473="","",N('Project Database'!AJ473))</f>
        <v/>
      </c>
      <c r="BR469" s="5">
        <f>IF('Project Database'!A473="","",N('Project Database'!AK473))</f>
        <v/>
      </c>
      <c r="BS469" s="5">
        <f>IF('Project Database'!A473="","",N('Project Database'!AL473))</f>
        <v/>
      </c>
      <c r="BT469" s="5">
        <f>IF('Project Database'!A473="","",N('Project Database'!AM473))</f>
        <v/>
      </c>
      <c r="BU469" s="5">
        <f>IF('Project Database'!A473="","",N('Project Database'!AN473))</f>
        <v/>
      </c>
      <c r="BV469" s="5">
        <f>IF('Project Database'!A473="","",N('Project Database'!AO473))</f>
        <v/>
      </c>
      <c r="BW469" s="5">
        <f>IF('Project Database'!A473="","",N('Project Database'!AP473))</f>
        <v/>
      </c>
      <c r="BX469" s="5">
        <f>IF(A469="","",SUM(BJ469:BW469))</f>
        <v/>
      </c>
      <c r="BY469" s="5">
        <f>IF(A469="","",IFERROR(IF(ISNUMBER(U469),U469,VALUE(SUBSTITUTE(SUBSTITUTE(SUBSTITUTE(UPPER(TRIM(U469)),"M",""),",","")," ",""))),0))</f>
        <v/>
      </c>
    </row>
    <row r="470" ht="15" customHeight="1" s="74">
      <c r="A470" s="66">
        <f>'Project Database'!A474</f>
        <v/>
      </c>
      <c r="B470" s="66">
        <f>'Project Database'!B474</f>
        <v/>
      </c>
      <c r="C470" s="66">
        <f>'Project Database'!G474</f>
        <v/>
      </c>
      <c r="D470" s="66">
        <f>'Project Database'!H474</f>
        <v/>
      </c>
      <c r="E470" s="66">
        <f>'Project Database'!I474</f>
        <v/>
      </c>
      <c r="F470" s="66">
        <f>'Project Database'!J474</f>
        <v/>
      </c>
      <c r="G470" s="66">
        <f>'Project Database'!K474</f>
        <v/>
      </c>
      <c r="H470" s="66">
        <f>'Project Database'!L474</f>
        <v/>
      </c>
      <c r="I470" s="66">
        <f>'Project Database'!M474</f>
        <v/>
      </c>
      <c r="J470" s="66">
        <f>'Project Database'!N474</f>
        <v/>
      </c>
      <c r="K470" s="66">
        <f>'Project Database'!O474</f>
        <v/>
      </c>
      <c r="L470" s="66">
        <f>'Project Database'!P474</f>
        <v/>
      </c>
      <c r="M470" s="66">
        <f>'Project Database'!Q474</f>
        <v/>
      </c>
      <c r="N470" s="66">
        <f>'Project Database'!R474</f>
        <v/>
      </c>
      <c r="O470" s="66">
        <f>'Project Database'!S474</f>
        <v/>
      </c>
      <c r="P470" s="66">
        <f>'Project Database'!T474</f>
        <v/>
      </c>
      <c r="Q470" s="66">
        <f>'Project Database'!U474</f>
        <v/>
      </c>
      <c r="R470" s="66">
        <f>'Project Database'!V474</f>
        <v/>
      </c>
      <c r="S470" s="66">
        <f>'Project Database'!W474</f>
        <v/>
      </c>
      <c r="T470" s="66">
        <f>'Project Database'!X474</f>
        <v/>
      </c>
      <c r="U470" s="67">
        <f>'Project Database'!Y474</f>
        <v/>
      </c>
      <c r="V470" s="66">
        <f>IF('Smart Search'!B13=1,IFERROR(1/'Smart Search'!H13,0),0)</f>
        <v/>
      </c>
      <c r="W470" s="66">
        <f>IF('Smart Search'!B13=1,IFERROR(1/'Smart Search'!H13,0),0)</f>
        <v/>
      </c>
      <c r="X470" s="66">
        <f>IF('Smart Search'!C13=1,IFERROR(1/'Smart Search'!H13,0),0)</f>
        <v/>
      </c>
      <c r="Y470" s="66">
        <f>IF('Smart Search'!C13=1,IFERROR(1/'Smart Search'!H13,0),0)</f>
        <v/>
      </c>
      <c r="Z470" s="66">
        <f>IF('Smart Search'!D13=1,IFERROR(1/'Smart Search'!H13,0),0)</f>
        <v/>
      </c>
      <c r="AA470" s="66">
        <f>IF('Smart Search'!D13=1,IFERROR(1/'Smart Search'!H13,0),0)</f>
        <v/>
      </c>
      <c r="AB470" s="66">
        <f>IF('Smart Search'!E13=1,IFERROR(1/'Smart Search'!H13,0),0)</f>
        <v/>
      </c>
      <c r="AC470" s="66">
        <f>IF('Smart Search'!E13=1,IFERROR(1/'Smart Search'!H13,0),0)</f>
        <v/>
      </c>
      <c r="AD470" s="66">
        <f>IF('Smart Search'!F13=1,IFERROR(1/'Smart Search'!H13,0),0)</f>
        <v/>
      </c>
      <c r="AE470" s="66">
        <f>IF('Smart Search'!F13=1,IFERROR(1/'Smart Search'!H13,0),0)</f>
        <v/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66">
        <f>AF470*V470</f>
        <v/>
      </c>
      <c r="AQ470" s="66">
        <f>AG470*W470</f>
        <v/>
      </c>
      <c r="AR470" s="66">
        <f>AH470*X470</f>
        <v/>
      </c>
      <c r="AS470" s="66">
        <f>AI470*Y470</f>
        <v/>
      </c>
      <c r="AT470" s="66">
        <f>AJ470*Z470</f>
        <v/>
      </c>
      <c r="AU470" s="66">
        <f>AK470*AA470</f>
        <v/>
      </c>
      <c r="AV470" s="66">
        <f>AL470*AB470</f>
        <v/>
      </c>
      <c r="AW470" s="66">
        <f>AM470*AC470</f>
        <v/>
      </c>
      <c r="AX470" s="66">
        <f>AN470*AD470</f>
        <v/>
      </c>
      <c r="AY470" s="66">
        <f>AO470*AE470</f>
        <v/>
      </c>
      <c r="AZ470" s="66">
        <f>'Project Database'!Z474</f>
        <v/>
      </c>
      <c r="BA470" s="66">
        <f>IF(OR(A470="",'Smart Search'!H13=0),"",MAX(0,BE470*BF470*MAX(0,1-BG470)))</f>
        <v/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66">
        <f>IF('Smart Search'!G13=1,IFERROR(1/'Smart Search'!H13,0),0)</f>
        <v/>
      </c>
      <c r="BD470" s="66">
        <f>BB470*BC470</f>
        <v/>
      </c>
      <c r="BE470" s="66">
        <f>AP470+AQ470+AR470+AS470+AT470+AU470+AV470+AW470+AX470+AY470+BD470</f>
        <v/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5">
        <f>IF(AND('Project Database'!A474&lt;&gt;"",OR('Smart Search'!$L$5="",'Smart Search'!$L$5="All",TRIM('Project Database'!D474)=TRIM('Smart Search'!$L$5)),OR(TRIM('Smart Search'!$L$6)="",TRIM('Smart Search'!$L$6)="All",ISNUMBER(SEARCH(SUBSTITUTE(SUBSTITUTE(SUBSTITUTE(TRIM('Smart Search'!$L$6),"~","~~"),"*","~*"),"?","~?"),'Project Database'!C474))),OR('Smart Search'!$L$7="",AND('Project Database'!E474&lt;&gt;"",'Project Database'!E474='Smart Search'!$L$7)),OR('Smart Search'!$L$8="",'Smart Search'!$L$8="All",TRIM('Project Database'!F474)=TRIM('Smart Search'!$L$8))),IF(BA470="","",BA470+ROW()*0.0000000001),"")</f>
        <v/>
      </c>
      <c r="BI470" s="5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>
        <f>IF('Project Database'!A474="","",N('Project Database'!AC474))</f>
        <v/>
      </c>
      <c r="BK470" s="5">
        <f>IF('Project Database'!A474="","",N('Project Database'!AD474))</f>
        <v/>
      </c>
      <c r="BL470" s="5">
        <f>IF('Project Database'!A474="","",N('Project Database'!AE474))</f>
        <v/>
      </c>
      <c r="BM470" s="5">
        <f>IF('Project Database'!A474="","",N('Project Database'!AF474))</f>
        <v/>
      </c>
      <c r="BN470" s="5">
        <f>IF('Project Database'!A474="","",N('Project Database'!AG474))</f>
        <v/>
      </c>
      <c r="BO470" s="5">
        <f>IF('Project Database'!A474="","",N('Project Database'!AH474))</f>
        <v/>
      </c>
      <c r="BP470" s="5">
        <f>IF('Project Database'!A474="","",N('Project Database'!AI474))</f>
        <v/>
      </c>
      <c r="BQ470" s="5">
        <f>IF('Project Database'!A474="","",N('Project Database'!AJ474))</f>
        <v/>
      </c>
      <c r="BR470" s="5">
        <f>IF('Project Database'!A474="","",N('Project Database'!AK474))</f>
        <v/>
      </c>
      <c r="BS470" s="5">
        <f>IF('Project Database'!A474="","",N('Project Database'!AL474))</f>
        <v/>
      </c>
      <c r="BT470" s="5">
        <f>IF('Project Database'!A474="","",N('Project Database'!AM474))</f>
        <v/>
      </c>
      <c r="BU470" s="5">
        <f>IF('Project Database'!A474="","",N('Project Database'!AN474))</f>
        <v/>
      </c>
      <c r="BV470" s="5">
        <f>IF('Project Database'!A474="","",N('Project Database'!AO474))</f>
        <v/>
      </c>
      <c r="BW470" s="5">
        <f>IF('Project Database'!A474="","",N('Project Database'!AP474))</f>
        <v/>
      </c>
      <c r="BX470" s="5">
        <f>IF(A470="","",SUM(BJ470:BW470))</f>
        <v/>
      </c>
      <c r="BY470" s="5">
        <f>IF(A470="","",IFERROR(IF(ISNUMBER(U470),U470,VALUE(SUBSTITUTE(SUBSTITUTE(SUBSTITUTE(UPPER(TRIM(U470)),"M",""),",","")," ",""))),0))</f>
        <v/>
      </c>
    </row>
    <row r="471" ht="15" customHeight="1" s="74">
      <c r="A471" s="66">
        <f>'Project Database'!A475</f>
        <v/>
      </c>
      <c r="B471" s="66">
        <f>'Project Database'!B475</f>
        <v/>
      </c>
      <c r="C471" s="66">
        <f>'Project Database'!G475</f>
        <v/>
      </c>
      <c r="D471" s="66">
        <f>'Project Database'!H475</f>
        <v/>
      </c>
      <c r="E471" s="66">
        <f>'Project Database'!I475</f>
        <v/>
      </c>
      <c r="F471" s="66">
        <f>'Project Database'!J475</f>
        <v/>
      </c>
      <c r="G471" s="66">
        <f>'Project Database'!K475</f>
        <v/>
      </c>
      <c r="H471" s="66">
        <f>'Project Database'!L475</f>
        <v/>
      </c>
      <c r="I471" s="66">
        <f>'Project Database'!M475</f>
        <v/>
      </c>
      <c r="J471" s="66">
        <f>'Project Database'!N475</f>
        <v/>
      </c>
      <c r="K471" s="66">
        <f>'Project Database'!O475</f>
        <v/>
      </c>
      <c r="L471" s="66">
        <f>'Project Database'!P475</f>
        <v/>
      </c>
      <c r="M471" s="66">
        <f>'Project Database'!Q475</f>
        <v/>
      </c>
      <c r="N471" s="66">
        <f>'Project Database'!R475</f>
        <v/>
      </c>
      <c r="O471" s="66">
        <f>'Project Database'!S475</f>
        <v/>
      </c>
      <c r="P471" s="66">
        <f>'Project Database'!T475</f>
        <v/>
      </c>
      <c r="Q471" s="66">
        <f>'Project Database'!U475</f>
        <v/>
      </c>
      <c r="R471" s="66">
        <f>'Project Database'!V475</f>
        <v/>
      </c>
      <c r="S471" s="66">
        <f>'Project Database'!W475</f>
        <v/>
      </c>
      <c r="T471" s="66">
        <f>'Project Database'!X475</f>
        <v/>
      </c>
      <c r="U471" s="67">
        <f>'Project Database'!Y475</f>
        <v/>
      </c>
      <c r="V471" s="66">
        <f>IF('Smart Search'!B13=1,IFERROR(1/'Smart Search'!H13,0),0)</f>
        <v/>
      </c>
      <c r="W471" s="66">
        <f>IF('Smart Search'!B13=1,IFERROR(1/'Smart Search'!H13,0),0)</f>
        <v/>
      </c>
      <c r="X471" s="66">
        <f>IF('Smart Search'!C13=1,IFERROR(1/'Smart Search'!H13,0),0)</f>
        <v/>
      </c>
      <c r="Y471" s="66">
        <f>IF('Smart Search'!C13=1,IFERROR(1/'Smart Search'!H13,0),0)</f>
        <v/>
      </c>
      <c r="Z471" s="66">
        <f>IF('Smart Search'!D13=1,IFERROR(1/'Smart Search'!H13,0),0)</f>
        <v/>
      </c>
      <c r="AA471" s="66">
        <f>IF('Smart Search'!D13=1,IFERROR(1/'Smart Search'!H13,0),0)</f>
        <v/>
      </c>
      <c r="AB471" s="66">
        <f>IF('Smart Search'!E13=1,IFERROR(1/'Smart Search'!H13,0),0)</f>
        <v/>
      </c>
      <c r="AC471" s="66">
        <f>IF('Smart Search'!E13=1,IFERROR(1/'Smart Search'!H13,0),0)</f>
        <v/>
      </c>
      <c r="AD471" s="66">
        <f>IF('Smart Search'!F13=1,IFERROR(1/'Smart Search'!H13,0),0)</f>
        <v/>
      </c>
      <c r="AE471" s="66">
        <f>IF('Smart Search'!F13=1,IFERROR(1/'Smart Search'!H13,0),0)</f>
        <v/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66">
        <f>AF471*V471</f>
        <v/>
      </c>
      <c r="AQ471" s="66">
        <f>AG471*W471</f>
        <v/>
      </c>
      <c r="AR471" s="66">
        <f>AH471*X471</f>
        <v/>
      </c>
      <c r="AS471" s="66">
        <f>AI471*Y471</f>
        <v/>
      </c>
      <c r="AT471" s="66">
        <f>AJ471*Z471</f>
        <v/>
      </c>
      <c r="AU471" s="66">
        <f>AK471*AA471</f>
        <v/>
      </c>
      <c r="AV471" s="66">
        <f>AL471*AB471</f>
        <v/>
      </c>
      <c r="AW471" s="66">
        <f>AM471*AC471</f>
        <v/>
      </c>
      <c r="AX471" s="66">
        <f>AN471*AD471</f>
        <v/>
      </c>
      <c r="AY471" s="66">
        <f>AO471*AE471</f>
        <v/>
      </c>
      <c r="AZ471" s="66">
        <f>'Project Database'!Z475</f>
        <v/>
      </c>
      <c r="BA471" s="66">
        <f>IF(OR(A471="",'Smart Search'!H13=0),"",MAX(0,BE471*BF471*MAX(0,1-BG471)))</f>
        <v/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66">
        <f>IF('Smart Search'!G13=1,IFERROR(1/'Smart Search'!H13,0),0)</f>
        <v/>
      </c>
      <c r="BD471" s="66">
        <f>BB471*BC471</f>
        <v/>
      </c>
      <c r="BE471" s="66">
        <f>AP471+AQ471+AR471+AS471+AT471+AU471+AV471+AW471+AX471+AY471+BD471</f>
        <v/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5">
        <f>IF(AND('Project Database'!A475&lt;&gt;"",OR('Smart Search'!$L$5="",'Smart Search'!$L$5="All",TRIM('Project Database'!D475)=TRIM('Smart Search'!$L$5)),OR(TRIM('Smart Search'!$L$6)="",TRIM('Smart Search'!$L$6)="All",ISNUMBER(SEARCH(SUBSTITUTE(SUBSTITUTE(SUBSTITUTE(TRIM('Smart Search'!$L$6),"~","~~"),"*","~*"),"?","~?"),'Project Database'!C475))),OR('Smart Search'!$L$7="",AND('Project Database'!E475&lt;&gt;"",'Project Database'!E475='Smart Search'!$L$7)),OR('Smart Search'!$L$8="",'Smart Search'!$L$8="All",TRIM('Project Database'!F475)=TRIM('Smart Search'!$L$8))),IF(BA471="","",BA471+ROW()*0.0000000001),"")</f>
        <v/>
      </c>
      <c r="BI471" s="5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>
        <f>IF('Project Database'!A475="","",N('Project Database'!AC475))</f>
        <v/>
      </c>
      <c r="BK471" s="5">
        <f>IF('Project Database'!A475="","",N('Project Database'!AD475))</f>
        <v/>
      </c>
      <c r="BL471" s="5">
        <f>IF('Project Database'!A475="","",N('Project Database'!AE475))</f>
        <v/>
      </c>
      <c r="BM471" s="5">
        <f>IF('Project Database'!A475="","",N('Project Database'!AF475))</f>
        <v/>
      </c>
      <c r="BN471" s="5">
        <f>IF('Project Database'!A475="","",N('Project Database'!AG475))</f>
        <v/>
      </c>
      <c r="BO471" s="5">
        <f>IF('Project Database'!A475="","",N('Project Database'!AH475))</f>
        <v/>
      </c>
      <c r="BP471" s="5">
        <f>IF('Project Database'!A475="","",N('Project Database'!AI475))</f>
        <v/>
      </c>
      <c r="BQ471" s="5">
        <f>IF('Project Database'!A475="","",N('Project Database'!AJ475))</f>
        <v/>
      </c>
      <c r="BR471" s="5">
        <f>IF('Project Database'!A475="","",N('Project Database'!AK475))</f>
        <v/>
      </c>
      <c r="BS471" s="5">
        <f>IF('Project Database'!A475="","",N('Project Database'!AL475))</f>
        <v/>
      </c>
      <c r="BT471" s="5">
        <f>IF('Project Database'!A475="","",N('Project Database'!AM475))</f>
        <v/>
      </c>
      <c r="BU471" s="5">
        <f>IF('Project Database'!A475="","",N('Project Database'!AN475))</f>
        <v/>
      </c>
      <c r="BV471" s="5">
        <f>IF('Project Database'!A475="","",N('Project Database'!AO475))</f>
        <v/>
      </c>
      <c r="BW471" s="5">
        <f>IF('Project Database'!A475="","",N('Project Database'!AP475))</f>
        <v/>
      </c>
      <c r="BX471" s="5">
        <f>IF(A471="","",SUM(BJ471:BW471))</f>
        <v/>
      </c>
      <c r="BY471" s="5">
        <f>IF(A471="","",IFERROR(IF(ISNUMBER(U471),U471,VALUE(SUBSTITUTE(SUBSTITUTE(SUBSTITUTE(UPPER(TRIM(U471)),"M",""),",","")," ",""))),0))</f>
        <v/>
      </c>
    </row>
    <row r="472" ht="15" customHeight="1" s="74">
      <c r="A472" s="66">
        <f>'Project Database'!A476</f>
        <v/>
      </c>
      <c r="B472" s="66">
        <f>'Project Database'!B476</f>
        <v/>
      </c>
      <c r="C472" s="66">
        <f>'Project Database'!G476</f>
        <v/>
      </c>
      <c r="D472" s="66">
        <f>'Project Database'!H476</f>
        <v/>
      </c>
      <c r="E472" s="66">
        <f>'Project Database'!I476</f>
        <v/>
      </c>
      <c r="F472" s="66">
        <f>'Project Database'!J476</f>
        <v/>
      </c>
      <c r="G472" s="66">
        <f>'Project Database'!K476</f>
        <v/>
      </c>
      <c r="H472" s="66">
        <f>'Project Database'!L476</f>
        <v/>
      </c>
      <c r="I472" s="66">
        <f>'Project Database'!M476</f>
        <v/>
      </c>
      <c r="J472" s="66">
        <f>'Project Database'!N476</f>
        <v/>
      </c>
      <c r="K472" s="66">
        <f>'Project Database'!O476</f>
        <v/>
      </c>
      <c r="L472" s="66">
        <f>'Project Database'!P476</f>
        <v/>
      </c>
      <c r="M472" s="66">
        <f>'Project Database'!Q476</f>
        <v/>
      </c>
      <c r="N472" s="66">
        <f>'Project Database'!R476</f>
        <v/>
      </c>
      <c r="O472" s="66">
        <f>'Project Database'!S476</f>
        <v/>
      </c>
      <c r="P472" s="66">
        <f>'Project Database'!T476</f>
        <v/>
      </c>
      <c r="Q472" s="66">
        <f>'Project Database'!U476</f>
        <v/>
      </c>
      <c r="R472" s="66">
        <f>'Project Database'!V476</f>
        <v/>
      </c>
      <c r="S472" s="66">
        <f>'Project Database'!W476</f>
        <v/>
      </c>
      <c r="T472" s="66">
        <f>'Project Database'!X476</f>
        <v/>
      </c>
      <c r="U472" s="67">
        <f>'Project Database'!Y476</f>
        <v/>
      </c>
      <c r="V472" s="66">
        <f>IF('Smart Search'!B13=1,IFERROR(1/'Smart Search'!H13,0),0)</f>
        <v/>
      </c>
      <c r="W472" s="66">
        <f>IF('Smart Search'!B13=1,IFERROR(1/'Smart Search'!H13,0),0)</f>
        <v/>
      </c>
      <c r="X472" s="66">
        <f>IF('Smart Search'!C13=1,IFERROR(1/'Smart Search'!H13,0),0)</f>
        <v/>
      </c>
      <c r="Y472" s="66">
        <f>IF('Smart Search'!C13=1,IFERROR(1/'Smart Search'!H13,0),0)</f>
        <v/>
      </c>
      <c r="Z472" s="66">
        <f>IF('Smart Search'!D13=1,IFERROR(1/'Smart Search'!H13,0),0)</f>
        <v/>
      </c>
      <c r="AA472" s="66">
        <f>IF('Smart Search'!D13=1,IFERROR(1/'Smart Search'!H13,0),0)</f>
        <v/>
      </c>
      <c r="AB472" s="66">
        <f>IF('Smart Search'!E13=1,IFERROR(1/'Smart Search'!H13,0),0)</f>
        <v/>
      </c>
      <c r="AC472" s="66">
        <f>IF('Smart Search'!E13=1,IFERROR(1/'Smart Search'!H13,0),0)</f>
        <v/>
      </c>
      <c r="AD472" s="66">
        <f>IF('Smart Search'!F13=1,IFERROR(1/'Smart Search'!H13,0),0)</f>
        <v/>
      </c>
      <c r="AE472" s="66">
        <f>IF('Smart Search'!F13=1,IFERROR(1/'Smart Search'!H13,0),0)</f>
        <v/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66">
        <f>AF472*V472</f>
        <v/>
      </c>
      <c r="AQ472" s="66">
        <f>AG472*W472</f>
        <v/>
      </c>
      <c r="AR472" s="66">
        <f>AH472*X472</f>
        <v/>
      </c>
      <c r="AS472" s="66">
        <f>AI472*Y472</f>
        <v/>
      </c>
      <c r="AT472" s="66">
        <f>AJ472*Z472</f>
        <v/>
      </c>
      <c r="AU472" s="66">
        <f>AK472*AA472</f>
        <v/>
      </c>
      <c r="AV472" s="66">
        <f>AL472*AB472</f>
        <v/>
      </c>
      <c r="AW472" s="66">
        <f>AM472*AC472</f>
        <v/>
      </c>
      <c r="AX472" s="66">
        <f>AN472*AD472</f>
        <v/>
      </c>
      <c r="AY472" s="66">
        <f>AO472*AE472</f>
        <v/>
      </c>
      <c r="AZ472" s="66">
        <f>'Project Database'!Z476</f>
        <v/>
      </c>
      <c r="BA472" s="66">
        <f>IF(OR(A472="",'Smart Search'!H13=0),"",MAX(0,BE472*BF472*MAX(0,1-BG472)))</f>
        <v/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66">
        <f>IF('Smart Search'!G13=1,IFERROR(1/'Smart Search'!H13,0),0)</f>
        <v/>
      </c>
      <c r="BD472" s="66">
        <f>BB472*BC472</f>
        <v/>
      </c>
      <c r="BE472" s="66">
        <f>AP472+AQ472+AR472+AS472+AT472+AU472+AV472+AW472+AX472+AY472+BD472</f>
        <v/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5">
        <f>IF(AND('Project Database'!A476&lt;&gt;"",OR('Smart Search'!$L$5="",'Smart Search'!$L$5="All",TRIM('Project Database'!D476)=TRIM('Smart Search'!$L$5)),OR(TRIM('Smart Search'!$L$6)="",TRIM('Smart Search'!$L$6)="All",ISNUMBER(SEARCH(SUBSTITUTE(SUBSTITUTE(SUBSTITUTE(TRIM('Smart Search'!$L$6),"~","~~"),"*","~*"),"?","~?"),'Project Database'!C476))),OR('Smart Search'!$L$7="",AND('Project Database'!E476&lt;&gt;"",'Project Database'!E476='Smart Search'!$L$7)),OR('Smart Search'!$L$8="",'Smart Search'!$L$8="All",TRIM('Project Database'!F476)=TRIM('Smart Search'!$L$8))),IF(BA472="","",BA472+ROW()*0.0000000001),"")</f>
        <v/>
      </c>
      <c r="BI472" s="5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>
        <f>IF('Project Database'!A476="","",N('Project Database'!AC476))</f>
        <v/>
      </c>
      <c r="BK472" s="5">
        <f>IF('Project Database'!A476="","",N('Project Database'!AD476))</f>
        <v/>
      </c>
      <c r="BL472" s="5">
        <f>IF('Project Database'!A476="","",N('Project Database'!AE476))</f>
        <v/>
      </c>
      <c r="BM472" s="5">
        <f>IF('Project Database'!A476="","",N('Project Database'!AF476))</f>
        <v/>
      </c>
      <c r="BN472" s="5">
        <f>IF('Project Database'!A476="","",N('Project Database'!AG476))</f>
        <v/>
      </c>
      <c r="BO472" s="5">
        <f>IF('Project Database'!A476="","",N('Project Database'!AH476))</f>
        <v/>
      </c>
      <c r="BP472" s="5">
        <f>IF('Project Database'!A476="","",N('Project Database'!AI476))</f>
        <v/>
      </c>
      <c r="BQ472" s="5">
        <f>IF('Project Database'!A476="","",N('Project Database'!AJ476))</f>
        <v/>
      </c>
      <c r="BR472" s="5">
        <f>IF('Project Database'!A476="","",N('Project Database'!AK476))</f>
        <v/>
      </c>
      <c r="BS472" s="5">
        <f>IF('Project Database'!A476="","",N('Project Database'!AL476))</f>
        <v/>
      </c>
      <c r="BT472" s="5">
        <f>IF('Project Database'!A476="","",N('Project Database'!AM476))</f>
        <v/>
      </c>
      <c r="BU472" s="5">
        <f>IF('Project Database'!A476="","",N('Project Database'!AN476))</f>
        <v/>
      </c>
      <c r="BV472" s="5">
        <f>IF('Project Database'!A476="","",N('Project Database'!AO476))</f>
        <v/>
      </c>
      <c r="BW472" s="5">
        <f>IF('Project Database'!A476="","",N('Project Database'!AP476))</f>
        <v/>
      </c>
      <c r="BX472" s="5">
        <f>IF(A472="","",SUM(BJ472:BW472))</f>
        <v/>
      </c>
      <c r="BY472" s="5">
        <f>IF(A472="","",IFERROR(IF(ISNUMBER(U472),U472,VALUE(SUBSTITUTE(SUBSTITUTE(SUBSTITUTE(UPPER(TRIM(U472)),"M",""),",","")," ",""))),0))</f>
        <v/>
      </c>
    </row>
    <row r="473" ht="15" customHeight="1" s="74">
      <c r="A473" s="66">
        <f>'Project Database'!A477</f>
        <v/>
      </c>
      <c r="B473" s="66">
        <f>'Project Database'!B477</f>
        <v/>
      </c>
      <c r="C473" s="66">
        <f>'Project Database'!G477</f>
        <v/>
      </c>
      <c r="D473" s="66">
        <f>'Project Database'!H477</f>
        <v/>
      </c>
      <c r="E473" s="66">
        <f>'Project Database'!I477</f>
        <v/>
      </c>
      <c r="F473" s="66">
        <f>'Project Database'!J477</f>
        <v/>
      </c>
      <c r="G473" s="66">
        <f>'Project Database'!K477</f>
        <v/>
      </c>
      <c r="H473" s="66">
        <f>'Project Database'!L477</f>
        <v/>
      </c>
      <c r="I473" s="66">
        <f>'Project Database'!M477</f>
        <v/>
      </c>
      <c r="J473" s="66">
        <f>'Project Database'!N477</f>
        <v/>
      </c>
      <c r="K473" s="66">
        <f>'Project Database'!O477</f>
        <v/>
      </c>
      <c r="L473" s="66">
        <f>'Project Database'!P477</f>
        <v/>
      </c>
      <c r="M473" s="66">
        <f>'Project Database'!Q477</f>
        <v/>
      </c>
      <c r="N473" s="66">
        <f>'Project Database'!R477</f>
        <v/>
      </c>
      <c r="O473" s="66">
        <f>'Project Database'!S477</f>
        <v/>
      </c>
      <c r="P473" s="66">
        <f>'Project Database'!T477</f>
        <v/>
      </c>
      <c r="Q473" s="66">
        <f>'Project Database'!U477</f>
        <v/>
      </c>
      <c r="R473" s="66">
        <f>'Project Database'!V477</f>
        <v/>
      </c>
      <c r="S473" s="66">
        <f>'Project Database'!W477</f>
        <v/>
      </c>
      <c r="T473" s="66">
        <f>'Project Database'!X477</f>
        <v/>
      </c>
      <c r="U473" s="67">
        <f>'Project Database'!Y477</f>
        <v/>
      </c>
      <c r="V473" s="66">
        <f>IF('Smart Search'!B13=1,IFERROR(1/'Smart Search'!H13,0),0)</f>
        <v/>
      </c>
      <c r="W473" s="66">
        <f>IF('Smart Search'!B13=1,IFERROR(1/'Smart Search'!H13,0),0)</f>
        <v/>
      </c>
      <c r="X473" s="66">
        <f>IF('Smart Search'!C13=1,IFERROR(1/'Smart Search'!H13,0),0)</f>
        <v/>
      </c>
      <c r="Y473" s="66">
        <f>IF('Smart Search'!C13=1,IFERROR(1/'Smart Search'!H13,0),0)</f>
        <v/>
      </c>
      <c r="Z473" s="66">
        <f>IF('Smart Search'!D13=1,IFERROR(1/'Smart Search'!H13,0),0)</f>
        <v/>
      </c>
      <c r="AA473" s="66">
        <f>IF('Smart Search'!D13=1,IFERROR(1/'Smart Search'!H13,0),0)</f>
        <v/>
      </c>
      <c r="AB473" s="66">
        <f>IF('Smart Search'!E13=1,IFERROR(1/'Smart Search'!H13,0),0)</f>
        <v/>
      </c>
      <c r="AC473" s="66">
        <f>IF('Smart Search'!E13=1,IFERROR(1/'Smart Search'!H13,0),0)</f>
        <v/>
      </c>
      <c r="AD473" s="66">
        <f>IF('Smart Search'!F13=1,IFERROR(1/'Smart Search'!H13,0),0)</f>
        <v/>
      </c>
      <c r="AE473" s="66">
        <f>IF('Smart Search'!F13=1,IFERROR(1/'Smart Search'!H13,0),0)</f>
        <v/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66">
        <f>AF473*V473</f>
        <v/>
      </c>
      <c r="AQ473" s="66">
        <f>AG473*W473</f>
        <v/>
      </c>
      <c r="AR473" s="66">
        <f>AH473*X473</f>
        <v/>
      </c>
      <c r="AS473" s="66">
        <f>AI473*Y473</f>
        <v/>
      </c>
      <c r="AT473" s="66">
        <f>AJ473*Z473</f>
        <v/>
      </c>
      <c r="AU473" s="66">
        <f>AK473*AA473</f>
        <v/>
      </c>
      <c r="AV473" s="66">
        <f>AL473*AB473</f>
        <v/>
      </c>
      <c r="AW473" s="66">
        <f>AM473*AC473</f>
        <v/>
      </c>
      <c r="AX473" s="66">
        <f>AN473*AD473</f>
        <v/>
      </c>
      <c r="AY473" s="66">
        <f>AO473*AE473</f>
        <v/>
      </c>
      <c r="AZ473" s="66">
        <f>'Project Database'!Z477</f>
        <v/>
      </c>
      <c r="BA473" s="66">
        <f>IF(OR(A473="",'Smart Search'!H13=0),"",MAX(0,BE473*BF473*MAX(0,1-BG473)))</f>
        <v/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66">
        <f>IF('Smart Search'!G13=1,IFERROR(1/'Smart Search'!H13,0),0)</f>
        <v/>
      </c>
      <c r="BD473" s="66">
        <f>BB473*BC473</f>
        <v/>
      </c>
      <c r="BE473" s="66">
        <f>AP473+AQ473+AR473+AS473+AT473+AU473+AV473+AW473+AX473+AY473+BD473</f>
        <v/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5">
        <f>IF(AND('Project Database'!A477&lt;&gt;"",OR('Smart Search'!$L$5="",'Smart Search'!$L$5="All",TRIM('Project Database'!D477)=TRIM('Smart Search'!$L$5)),OR(TRIM('Smart Search'!$L$6)="",TRIM('Smart Search'!$L$6)="All",ISNUMBER(SEARCH(SUBSTITUTE(SUBSTITUTE(SUBSTITUTE(TRIM('Smart Search'!$L$6),"~","~~"),"*","~*"),"?","~?"),'Project Database'!C477))),OR('Smart Search'!$L$7="",AND('Project Database'!E477&lt;&gt;"",'Project Database'!E477='Smart Search'!$L$7)),OR('Smart Search'!$L$8="",'Smart Search'!$L$8="All",TRIM('Project Database'!F477)=TRIM('Smart Search'!$L$8))),IF(BA473="","",BA473+ROW()*0.0000000001),"")</f>
        <v/>
      </c>
      <c r="BI473" s="5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>
        <f>IF('Project Database'!A477="","",N('Project Database'!AC477))</f>
        <v/>
      </c>
      <c r="BK473" s="5">
        <f>IF('Project Database'!A477="","",N('Project Database'!AD477))</f>
        <v/>
      </c>
      <c r="BL473" s="5">
        <f>IF('Project Database'!A477="","",N('Project Database'!AE477))</f>
        <v/>
      </c>
      <c r="BM473" s="5">
        <f>IF('Project Database'!A477="","",N('Project Database'!AF477))</f>
        <v/>
      </c>
      <c r="BN473" s="5">
        <f>IF('Project Database'!A477="","",N('Project Database'!AG477))</f>
        <v/>
      </c>
      <c r="BO473" s="5">
        <f>IF('Project Database'!A477="","",N('Project Database'!AH477))</f>
        <v/>
      </c>
      <c r="BP473" s="5">
        <f>IF('Project Database'!A477="","",N('Project Database'!AI477))</f>
        <v/>
      </c>
      <c r="BQ473" s="5">
        <f>IF('Project Database'!A477="","",N('Project Database'!AJ477))</f>
        <v/>
      </c>
      <c r="BR473" s="5">
        <f>IF('Project Database'!A477="","",N('Project Database'!AK477))</f>
        <v/>
      </c>
      <c r="BS473" s="5">
        <f>IF('Project Database'!A477="","",N('Project Database'!AL477))</f>
        <v/>
      </c>
      <c r="BT473" s="5">
        <f>IF('Project Database'!A477="","",N('Project Database'!AM477))</f>
        <v/>
      </c>
      <c r="BU473" s="5">
        <f>IF('Project Database'!A477="","",N('Project Database'!AN477))</f>
        <v/>
      </c>
      <c r="BV473" s="5">
        <f>IF('Project Database'!A477="","",N('Project Database'!AO477))</f>
        <v/>
      </c>
      <c r="BW473" s="5">
        <f>IF('Project Database'!A477="","",N('Project Database'!AP477))</f>
        <v/>
      </c>
      <c r="BX473" s="5">
        <f>IF(A473="","",SUM(BJ473:BW473))</f>
        <v/>
      </c>
      <c r="BY473" s="5">
        <f>IF(A473="","",IFERROR(IF(ISNUMBER(U473),U473,VALUE(SUBSTITUTE(SUBSTITUTE(SUBSTITUTE(UPPER(TRIM(U473)),"M",""),",","")," ",""))),0))</f>
        <v/>
      </c>
    </row>
    <row r="474" ht="15" customHeight="1" s="74">
      <c r="A474" s="66">
        <f>'Project Database'!A478</f>
        <v/>
      </c>
      <c r="B474" s="66">
        <f>'Project Database'!B478</f>
        <v/>
      </c>
      <c r="C474" s="66">
        <f>'Project Database'!G478</f>
        <v/>
      </c>
      <c r="D474" s="66">
        <f>'Project Database'!H478</f>
        <v/>
      </c>
      <c r="E474" s="66">
        <f>'Project Database'!I478</f>
        <v/>
      </c>
      <c r="F474" s="66">
        <f>'Project Database'!J478</f>
        <v/>
      </c>
      <c r="G474" s="66">
        <f>'Project Database'!K478</f>
        <v/>
      </c>
      <c r="H474" s="66">
        <f>'Project Database'!L478</f>
        <v/>
      </c>
      <c r="I474" s="66">
        <f>'Project Database'!M478</f>
        <v/>
      </c>
      <c r="J474" s="66">
        <f>'Project Database'!N478</f>
        <v/>
      </c>
      <c r="K474" s="66">
        <f>'Project Database'!O478</f>
        <v/>
      </c>
      <c r="L474" s="66">
        <f>'Project Database'!P478</f>
        <v/>
      </c>
      <c r="M474" s="66">
        <f>'Project Database'!Q478</f>
        <v/>
      </c>
      <c r="N474" s="66">
        <f>'Project Database'!R478</f>
        <v/>
      </c>
      <c r="O474" s="66">
        <f>'Project Database'!S478</f>
        <v/>
      </c>
      <c r="P474" s="66">
        <f>'Project Database'!T478</f>
        <v/>
      </c>
      <c r="Q474" s="66">
        <f>'Project Database'!U478</f>
        <v/>
      </c>
      <c r="R474" s="66">
        <f>'Project Database'!V478</f>
        <v/>
      </c>
      <c r="S474" s="66">
        <f>'Project Database'!W478</f>
        <v/>
      </c>
      <c r="T474" s="66">
        <f>'Project Database'!X478</f>
        <v/>
      </c>
      <c r="U474" s="67">
        <f>'Project Database'!Y478</f>
        <v/>
      </c>
      <c r="V474" s="66">
        <f>IF('Smart Search'!B13=1,IFERROR(1/'Smart Search'!H13,0),0)</f>
        <v/>
      </c>
      <c r="W474" s="66">
        <f>IF('Smart Search'!B13=1,IFERROR(1/'Smart Search'!H13,0),0)</f>
        <v/>
      </c>
      <c r="X474" s="66">
        <f>IF('Smart Search'!C13=1,IFERROR(1/'Smart Search'!H13,0),0)</f>
        <v/>
      </c>
      <c r="Y474" s="66">
        <f>IF('Smart Search'!C13=1,IFERROR(1/'Smart Search'!H13,0),0)</f>
        <v/>
      </c>
      <c r="Z474" s="66">
        <f>IF('Smart Search'!D13=1,IFERROR(1/'Smart Search'!H13,0),0)</f>
        <v/>
      </c>
      <c r="AA474" s="66">
        <f>IF('Smart Search'!D13=1,IFERROR(1/'Smart Search'!H13,0),0)</f>
        <v/>
      </c>
      <c r="AB474" s="66">
        <f>IF('Smart Search'!E13=1,IFERROR(1/'Smart Search'!H13,0),0)</f>
        <v/>
      </c>
      <c r="AC474" s="66">
        <f>IF('Smart Search'!E13=1,IFERROR(1/'Smart Search'!H13,0),0)</f>
        <v/>
      </c>
      <c r="AD474" s="66">
        <f>IF('Smart Search'!F13=1,IFERROR(1/'Smart Search'!H13,0),0)</f>
        <v/>
      </c>
      <c r="AE474" s="66">
        <f>IF('Smart Search'!F13=1,IFERROR(1/'Smart Search'!H13,0),0)</f>
        <v/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66">
        <f>AF474*V474</f>
        <v/>
      </c>
      <c r="AQ474" s="66">
        <f>AG474*W474</f>
        <v/>
      </c>
      <c r="AR474" s="66">
        <f>AH474*X474</f>
        <v/>
      </c>
      <c r="AS474" s="66">
        <f>AI474*Y474</f>
        <v/>
      </c>
      <c r="AT474" s="66">
        <f>AJ474*Z474</f>
        <v/>
      </c>
      <c r="AU474" s="66">
        <f>AK474*AA474</f>
        <v/>
      </c>
      <c r="AV474" s="66">
        <f>AL474*AB474</f>
        <v/>
      </c>
      <c r="AW474" s="66">
        <f>AM474*AC474</f>
        <v/>
      </c>
      <c r="AX474" s="66">
        <f>AN474*AD474</f>
        <v/>
      </c>
      <c r="AY474" s="66">
        <f>AO474*AE474</f>
        <v/>
      </c>
      <c r="AZ474" s="66">
        <f>'Project Database'!Z478</f>
        <v/>
      </c>
      <c r="BA474" s="66">
        <f>IF(OR(A474="",'Smart Search'!H13=0),"",MAX(0,BE474*BF474*MAX(0,1-BG474)))</f>
        <v/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66">
        <f>IF('Smart Search'!G13=1,IFERROR(1/'Smart Search'!H13,0),0)</f>
        <v/>
      </c>
      <c r="BD474" s="66">
        <f>BB474*BC474</f>
        <v/>
      </c>
      <c r="BE474" s="66">
        <f>AP474+AQ474+AR474+AS474+AT474+AU474+AV474+AW474+AX474+AY474+BD474</f>
        <v/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5">
        <f>IF(AND('Project Database'!A478&lt;&gt;"",OR('Smart Search'!$L$5="",'Smart Search'!$L$5="All",TRIM('Project Database'!D478)=TRIM('Smart Search'!$L$5)),OR(TRIM('Smart Search'!$L$6)="",TRIM('Smart Search'!$L$6)="All",ISNUMBER(SEARCH(SUBSTITUTE(SUBSTITUTE(SUBSTITUTE(TRIM('Smart Search'!$L$6),"~","~~"),"*","~*"),"?","~?"),'Project Database'!C478))),OR('Smart Search'!$L$7="",AND('Project Database'!E478&lt;&gt;"",'Project Database'!E478='Smart Search'!$L$7)),OR('Smart Search'!$L$8="",'Smart Search'!$L$8="All",TRIM('Project Database'!F478)=TRIM('Smart Search'!$L$8))),IF(BA474="","",BA474+ROW()*0.0000000001),"")</f>
        <v/>
      </c>
      <c r="BI474" s="5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>
        <f>IF('Project Database'!A478="","",N('Project Database'!AC478))</f>
        <v/>
      </c>
      <c r="BK474" s="5">
        <f>IF('Project Database'!A478="","",N('Project Database'!AD478))</f>
        <v/>
      </c>
      <c r="BL474" s="5">
        <f>IF('Project Database'!A478="","",N('Project Database'!AE478))</f>
        <v/>
      </c>
      <c r="BM474" s="5">
        <f>IF('Project Database'!A478="","",N('Project Database'!AF478))</f>
        <v/>
      </c>
      <c r="BN474" s="5">
        <f>IF('Project Database'!A478="","",N('Project Database'!AG478))</f>
        <v/>
      </c>
      <c r="BO474" s="5">
        <f>IF('Project Database'!A478="","",N('Project Database'!AH478))</f>
        <v/>
      </c>
      <c r="BP474" s="5">
        <f>IF('Project Database'!A478="","",N('Project Database'!AI478))</f>
        <v/>
      </c>
      <c r="BQ474" s="5">
        <f>IF('Project Database'!A478="","",N('Project Database'!AJ478))</f>
        <v/>
      </c>
      <c r="BR474" s="5">
        <f>IF('Project Database'!A478="","",N('Project Database'!AK478))</f>
        <v/>
      </c>
      <c r="BS474" s="5">
        <f>IF('Project Database'!A478="","",N('Project Database'!AL478))</f>
        <v/>
      </c>
      <c r="BT474" s="5">
        <f>IF('Project Database'!A478="","",N('Project Database'!AM478))</f>
        <v/>
      </c>
      <c r="BU474" s="5">
        <f>IF('Project Database'!A478="","",N('Project Database'!AN478))</f>
        <v/>
      </c>
      <c r="BV474" s="5">
        <f>IF('Project Database'!A478="","",N('Project Database'!AO478))</f>
        <v/>
      </c>
      <c r="BW474" s="5">
        <f>IF('Project Database'!A478="","",N('Project Database'!AP478))</f>
        <v/>
      </c>
      <c r="BX474" s="5">
        <f>IF(A474="","",SUM(BJ474:BW474))</f>
        <v/>
      </c>
      <c r="BY474" s="5">
        <f>IF(A474="","",IFERROR(IF(ISNUMBER(U474),U474,VALUE(SUBSTITUTE(SUBSTITUTE(SUBSTITUTE(UPPER(TRIM(U474)),"M",""),",","")," ",""))),0))</f>
        <v/>
      </c>
    </row>
    <row r="475" ht="15" customHeight="1" s="74">
      <c r="A475" s="66">
        <f>'Project Database'!A479</f>
        <v/>
      </c>
      <c r="B475" s="66">
        <f>'Project Database'!B479</f>
        <v/>
      </c>
      <c r="C475" s="66">
        <f>'Project Database'!G479</f>
        <v/>
      </c>
      <c r="D475" s="66">
        <f>'Project Database'!H479</f>
        <v/>
      </c>
      <c r="E475" s="66">
        <f>'Project Database'!I479</f>
        <v/>
      </c>
      <c r="F475" s="66">
        <f>'Project Database'!J479</f>
        <v/>
      </c>
      <c r="G475" s="66">
        <f>'Project Database'!K479</f>
        <v/>
      </c>
      <c r="H475" s="66">
        <f>'Project Database'!L479</f>
        <v/>
      </c>
      <c r="I475" s="66">
        <f>'Project Database'!M479</f>
        <v/>
      </c>
      <c r="J475" s="66">
        <f>'Project Database'!N479</f>
        <v/>
      </c>
      <c r="K475" s="66">
        <f>'Project Database'!O479</f>
        <v/>
      </c>
      <c r="L475" s="66">
        <f>'Project Database'!P479</f>
        <v/>
      </c>
      <c r="M475" s="66">
        <f>'Project Database'!Q479</f>
        <v/>
      </c>
      <c r="N475" s="66">
        <f>'Project Database'!R479</f>
        <v/>
      </c>
      <c r="O475" s="66">
        <f>'Project Database'!S479</f>
        <v/>
      </c>
      <c r="P475" s="66">
        <f>'Project Database'!T479</f>
        <v/>
      </c>
      <c r="Q475" s="66">
        <f>'Project Database'!U479</f>
        <v/>
      </c>
      <c r="R475" s="66">
        <f>'Project Database'!V479</f>
        <v/>
      </c>
      <c r="S475" s="66">
        <f>'Project Database'!W479</f>
        <v/>
      </c>
      <c r="T475" s="66">
        <f>'Project Database'!X479</f>
        <v/>
      </c>
      <c r="U475" s="67">
        <f>'Project Database'!Y479</f>
        <v/>
      </c>
      <c r="V475" s="66">
        <f>IF('Smart Search'!B13=1,IFERROR(1/'Smart Search'!H13,0),0)</f>
        <v/>
      </c>
      <c r="W475" s="66">
        <f>IF('Smart Search'!B13=1,IFERROR(1/'Smart Search'!H13,0),0)</f>
        <v/>
      </c>
      <c r="X475" s="66">
        <f>IF('Smart Search'!C13=1,IFERROR(1/'Smart Search'!H13,0),0)</f>
        <v/>
      </c>
      <c r="Y475" s="66">
        <f>IF('Smart Search'!C13=1,IFERROR(1/'Smart Search'!H13,0),0)</f>
        <v/>
      </c>
      <c r="Z475" s="66">
        <f>IF('Smart Search'!D13=1,IFERROR(1/'Smart Search'!H13,0),0)</f>
        <v/>
      </c>
      <c r="AA475" s="66">
        <f>IF('Smart Search'!D13=1,IFERROR(1/'Smart Search'!H13,0),0)</f>
        <v/>
      </c>
      <c r="AB475" s="66">
        <f>IF('Smart Search'!E13=1,IFERROR(1/'Smart Search'!H13,0),0)</f>
        <v/>
      </c>
      <c r="AC475" s="66">
        <f>IF('Smart Search'!E13=1,IFERROR(1/'Smart Search'!H13,0),0)</f>
        <v/>
      </c>
      <c r="AD475" s="66">
        <f>IF('Smart Search'!F13=1,IFERROR(1/'Smart Search'!H13,0),0)</f>
        <v/>
      </c>
      <c r="AE475" s="66">
        <f>IF('Smart Search'!F13=1,IFERROR(1/'Smart Search'!H13,0),0)</f>
        <v/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66">
        <f>AF475*V475</f>
        <v/>
      </c>
      <c r="AQ475" s="66">
        <f>AG475*W475</f>
        <v/>
      </c>
      <c r="AR475" s="66">
        <f>AH475*X475</f>
        <v/>
      </c>
      <c r="AS475" s="66">
        <f>AI475*Y475</f>
        <v/>
      </c>
      <c r="AT475" s="66">
        <f>AJ475*Z475</f>
        <v/>
      </c>
      <c r="AU475" s="66">
        <f>AK475*AA475</f>
        <v/>
      </c>
      <c r="AV475" s="66">
        <f>AL475*AB475</f>
        <v/>
      </c>
      <c r="AW475" s="66">
        <f>AM475*AC475</f>
        <v/>
      </c>
      <c r="AX475" s="66">
        <f>AN475*AD475</f>
        <v/>
      </c>
      <c r="AY475" s="66">
        <f>AO475*AE475</f>
        <v/>
      </c>
      <c r="AZ475" s="66">
        <f>'Project Database'!Z479</f>
        <v/>
      </c>
      <c r="BA475" s="66">
        <f>IF(OR(A475="",'Smart Search'!H13=0),"",MAX(0,BE475*BF475*MAX(0,1-BG475)))</f>
        <v/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66">
        <f>IF('Smart Search'!G13=1,IFERROR(1/'Smart Search'!H13,0),0)</f>
        <v/>
      </c>
      <c r="BD475" s="66">
        <f>BB475*BC475</f>
        <v/>
      </c>
      <c r="BE475" s="66">
        <f>AP475+AQ475+AR475+AS475+AT475+AU475+AV475+AW475+AX475+AY475+BD475</f>
        <v/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5">
        <f>IF(AND('Project Database'!A479&lt;&gt;"",OR('Smart Search'!$L$5="",'Smart Search'!$L$5="All",TRIM('Project Database'!D479)=TRIM('Smart Search'!$L$5)),OR(TRIM('Smart Search'!$L$6)="",TRIM('Smart Search'!$L$6)="All",ISNUMBER(SEARCH(SUBSTITUTE(SUBSTITUTE(SUBSTITUTE(TRIM('Smart Search'!$L$6),"~","~~"),"*","~*"),"?","~?"),'Project Database'!C479))),OR('Smart Search'!$L$7="",AND('Project Database'!E479&lt;&gt;"",'Project Database'!E479='Smart Search'!$L$7)),OR('Smart Search'!$L$8="",'Smart Search'!$L$8="All",TRIM('Project Database'!F479)=TRIM('Smart Search'!$L$8))),IF(BA475="","",BA475+ROW()*0.0000000001),"")</f>
        <v/>
      </c>
      <c r="BI475" s="5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>
        <f>IF('Project Database'!A479="","",N('Project Database'!AC479))</f>
        <v/>
      </c>
      <c r="BK475" s="5">
        <f>IF('Project Database'!A479="","",N('Project Database'!AD479))</f>
        <v/>
      </c>
      <c r="BL475" s="5">
        <f>IF('Project Database'!A479="","",N('Project Database'!AE479))</f>
        <v/>
      </c>
      <c r="BM475" s="5">
        <f>IF('Project Database'!A479="","",N('Project Database'!AF479))</f>
        <v/>
      </c>
      <c r="BN475" s="5">
        <f>IF('Project Database'!A479="","",N('Project Database'!AG479))</f>
        <v/>
      </c>
      <c r="BO475" s="5">
        <f>IF('Project Database'!A479="","",N('Project Database'!AH479))</f>
        <v/>
      </c>
      <c r="BP475" s="5">
        <f>IF('Project Database'!A479="","",N('Project Database'!AI479))</f>
        <v/>
      </c>
      <c r="BQ475" s="5">
        <f>IF('Project Database'!A479="","",N('Project Database'!AJ479))</f>
        <v/>
      </c>
      <c r="BR475" s="5">
        <f>IF('Project Database'!A479="","",N('Project Database'!AK479))</f>
        <v/>
      </c>
      <c r="BS475" s="5">
        <f>IF('Project Database'!A479="","",N('Project Database'!AL479))</f>
        <v/>
      </c>
      <c r="BT475" s="5">
        <f>IF('Project Database'!A479="","",N('Project Database'!AM479))</f>
        <v/>
      </c>
      <c r="BU475" s="5">
        <f>IF('Project Database'!A479="","",N('Project Database'!AN479))</f>
        <v/>
      </c>
      <c r="BV475" s="5">
        <f>IF('Project Database'!A479="","",N('Project Database'!AO479))</f>
        <v/>
      </c>
      <c r="BW475" s="5">
        <f>IF('Project Database'!A479="","",N('Project Database'!AP479))</f>
        <v/>
      </c>
      <c r="BX475" s="5">
        <f>IF(A475="","",SUM(BJ475:BW475))</f>
        <v/>
      </c>
      <c r="BY475" s="5">
        <f>IF(A475="","",IFERROR(IF(ISNUMBER(U475),U475,VALUE(SUBSTITUTE(SUBSTITUTE(SUBSTITUTE(UPPER(TRIM(U475)),"M",""),",","")," ",""))),0))</f>
        <v/>
      </c>
    </row>
    <row r="476" ht="15" customHeight="1" s="74">
      <c r="A476" s="66">
        <f>'Project Database'!A480</f>
        <v/>
      </c>
      <c r="B476" s="66">
        <f>'Project Database'!B480</f>
        <v/>
      </c>
      <c r="C476" s="66">
        <f>'Project Database'!G480</f>
        <v/>
      </c>
      <c r="D476" s="66">
        <f>'Project Database'!H480</f>
        <v/>
      </c>
      <c r="E476" s="66">
        <f>'Project Database'!I480</f>
        <v/>
      </c>
      <c r="F476" s="66">
        <f>'Project Database'!J480</f>
        <v/>
      </c>
      <c r="G476" s="66">
        <f>'Project Database'!K480</f>
        <v/>
      </c>
      <c r="H476" s="66">
        <f>'Project Database'!L480</f>
        <v/>
      </c>
      <c r="I476" s="66">
        <f>'Project Database'!M480</f>
        <v/>
      </c>
      <c r="J476" s="66">
        <f>'Project Database'!N480</f>
        <v/>
      </c>
      <c r="K476" s="66">
        <f>'Project Database'!O480</f>
        <v/>
      </c>
      <c r="L476" s="66">
        <f>'Project Database'!P480</f>
        <v/>
      </c>
      <c r="M476" s="66">
        <f>'Project Database'!Q480</f>
        <v/>
      </c>
      <c r="N476" s="66">
        <f>'Project Database'!R480</f>
        <v/>
      </c>
      <c r="O476" s="66">
        <f>'Project Database'!S480</f>
        <v/>
      </c>
      <c r="P476" s="66">
        <f>'Project Database'!T480</f>
        <v/>
      </c>
      <c r="Q476" s="66">
        <f>'Project Database'!U480</f>
        <v/>
      </c>
      <c r="R476" s="66">
        <f>'Project Database'!V480</f>
        <v/>
      </c>
      <c r="S476" s="66">
        <f>'Project Database'!W480</f>
        <v/>
      </c>
      <c r="T476" s="66">
        <f>'Project Database'!X480</f>
        <v/>
      </c>
      <c r="U476" s="67">
        <f>'Project Database'!Y480</f>
        <v/>
      </c>
      <c r="V476" s="66">
        <f>IF('Smart Search'!B13=1,IFERROR(1/'Smart Search'!H13,0),0)</f>
        <v/>
      </c>
      <c r="W476" s="66">
        <f>IF('Smart Search'!B13=1,IFERROR(1/'Smart Search'!H13,0),0)</f>
        <v/>
      </c>
      <c r="X476" s="66">
        <f>IF('Smart Search'!C13=1,IFERROR(1/'Smart Search'!H13,0),0)</f>
        <v/>
      </c>
      <c r="Y476" s="66">
        <f>IF('Smart Search'!C13=1,IFERROR(1/'Smart Search'!H13,0),0)</f>
        <v/>
      </c>
      <c r="Z476" s="66">
        <f>IF('Smart Search'!D13=1,IFERROR(1/'Smart Search'!H13,0),0)</f>
        <v/>
      </c>
      <c r="AA476" s="66">
        <f>IF('Smart Search'!D13=1,IFERROR(1/'Smart Search'!H13,0),0)</f>
        <v/>
      </c>
      <c r="AB476" s="66">
        <f>IF('Smart Search'!E13=1,IFERROR(1/'Smart Search'!H13,0),0)</f>
        <v/>
      </c>
      <c r="AC476" s="66">
        <f>IF('Smart Search'!E13=1,IFERROR(1/'Smart Search'!H13,0),0)</f>
        <v/>
      </c>
      <c r="AD476" s="66">
        <f>IF('Smart Search'!F13=1,IFERROR(1/'Smart Search'!H13,0),0)</f>
        <v/>
      </c>
      <c r="AE476" s="66">
        <f>IF('Smart Search'!F13=1,IFERROR(1/'Smart Search'!H13,0),0)</f>
        <v/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66">
        <f>AF476*V476</f>
        <v/>
      </c>
      <c r="AQ476" s="66">
        <f>AG476*W476</f>
        <v/>
      </c>
      <c r="AR476" s="66">
        <f>AH476*X476</f>
        <v/>
      </c>
      <c r="AS476" s="66">
        <f>AI476*Y476</f>
        <v/>
      </c>
      <c r="AT476" s="66">
        <f>AJ476*Z476</f>
        <v/>
      </c>
      <c r="AU476" s="66">
        <f>AK476*AA476</f>
        <v/>
      </c>
      <c r="AV476" s="66">
        <f>AL476*AB476</f>
        <v/>
      </c>
      <c r="AW476" s="66">
        <f>AM476*AC476</f>
        <v/>
      </c>
      <c r="AX476" s="66">
        <f>AN476*AD476</f>
        <v/>
      </c>
      <c r="AY476" s="66">
        <f>AO476*AE476</f>
        <v/>
      </c>
      <c r="AZ476" s="66">
        <f>'Project Database'!Z480</f>
        <v/>
      </c>
      <c r="BA476" s="66">
        <f>IF(OR(A476="",'Smart Search'!H13=0),"",MAX(0,BE476*BF476*MAX(0,1-BG476)))</f>
        <v/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66">
        <f>IF('Smart Search'!G13=1,IFERROR(1/'Smart Search'!H13,0),0)</f>
        <v/>
      </c>
      <c r="BD476" s="66">
        <f>BB476*BC476</f>
        <v/>
      </c>
      <c r="BE476" s="66">
        <f>AP476+AQ476+AR476+AS476+AT476+AU476+AV476+AW476+AX476+AY476+BD476</f>
        <v/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5">
        <f>IF(AND('Project Database'!A480&lt;&gt;"",OR('Smart Search'!$L$5="",'Smart Search'!$L$5="All",TRIM('Project Database'!D480)=TRIM('Smart Search'!$L$5)),OR(TRIM('Smart Search'!$L$6)="",TRIM('Smart Search'!$L$6)="All",ISNUMBER(SEARCH(SUBSTITUTE(SUBSTITUTE(SUBSTITUTE(TRIM('Smart Search'!$L$6),"~","~~"),"*","~*"),"?","~?"),'Project Database'!C480))),OR('Smart Search'!$L$7="",AND('Project Database'!E480&lt;&gt;"",'Project Database'!E480='Smart Search'!$L$7)),OR('Smart Search'!$L$8="",'Smart Search'!$L$8="All",TRIM('Project Database'!F480)=TRIM('Smart Search'!$L$8))),IF(BA476="","",BA476+ROW()*0.0000000001),"")</f>
        <v/>
      </c>
      <c r="BI476" s="5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>
        <f>IF('Project Database'!A480="","",N('Project Database'!AC480))</f>
        <v/>
      </c>
      <c r="BK476" s="5">
        <f>IF('Project Database'!A480="","",N('Project Database'!AD480))</f>
        <v/>
      </c>
      <c r="BL476" s="5">
        <f>IF('Project Database'!A480="","",N('Project Database'!AE480))</f>
        <v/>
      </c>
      <c r="BM476" s="5">
        <f>IF('Project Database'!A480="","",N('Project Database'!AF480))</f>
        <v/>
      </c>
      <c r="BN476" s="5">
        <f>IF('Project Database'!A480="","",N('Project Database'!AG480))</f>
        <v/>
      </c>
      <c r="BO476" s="5">
        <f>IF('Project Database'!A480="","",N('Project Database'!AH480))</f>
        <v/>
      </c>
      <c r="BP476" s="5">
        <f>IF('Project Database'!A480="","",N('Project Database'!AI480))</f>
        <v/>
      </c>
      <c r="BQ476" s="5">
        <f>IF('Project Database'!A480="","",N('Project Database'!AJ480))</f>
        <v/>
      </c>
      <c r="BR476" s="5">
        <f>IF('Project Database'!A480="","",N('Project Database'!AK480))</f>
        <v/>
      </c>
      <c r="BS476" s="5">
        <f>IF('Project Database'!A480="","",N('Project Database'!AL480))</f>
        <v/>
      </c>
      <c r="BT476" s="5">
        <f>IF('Project Database'!A480="","",N('Project Database'!AM480))</f>
        <v/>
      </c>
      <c r="BU476" s="5">
        <f>IF('Project Database'!A480="","",N('Project Database'!AN480))</f>
        <v/>
      </c>
      <c r="BV476" s="5">
        <f>IF('Project Database'!A480="","",N('Project Database'!AO480))</f>
        <v/>
      </c>
      <c r="BW476" s="5">
        <f>IF('Project Database'!A480="","",N('Project Database'!AP480))</f>
        <v/>
      </c>
      <c r="BX476" s="5">
        <f>IF(A476="","",SUM(BJ476:BW476))</f>
        <v/>
      </c>
      <c r="BY476" s="5">
        <f>IF(A476="","",IFERROR(IF(ISNUMBER(U476),U476,VALUE(SUBSTITUTE(SUBSTITUTE(SUBSTITUTE(UPPER(TRIM(U476)),"M",""),",","")," ",""))),0))</f>
        <v/>
      </c>
    </row>
    <row r="477" ht="15" customHeight="1" s="74">
      <c r="A477" s="66">
        <f>'Project Database'!A481</f>
        <v/>
      </c>
      <c r="B477" s="66">
        <f>'Project Database'!B481</f>
        <v/>
      </c>
      <c r="C477" s="66">
        <f>'Project Database'!G481</f>
        <v/>
      </c>
      <c r="D477" s="66">
        <f>'Project Database'!H481</f>
        <v/>
      </c>
      <c r="E477" s="66">
        <f>'Project Database'!I481</f>
        <v/>
      </c>
      <c r="F477" s="66">
        <f>'Project Database'!J481</f>
        <v/>
      </c>
      <c r="G477" s="66">
        <f>'Project Database'!K481</f>
        <v/>
      </c>
      <c r="H477" s="66">
        <f>'Project Database'!L481</f>
        <v/>
      </c>
      <c r="I477" s="66">
        <f>'Project Database'!M481</f>
        <v/>
      </c>
      <c r="J477" s="66">
        <f>'Project Database'!N481</f>
        <v/>
      </c>
      <c r="K477" s="66">
        <f>'Project Database'!O481</f>
        <v/>
      </c>
      <c r="L477" s="66">
        <f>'Project Database'!P481</f>
        <v/>
      </c>
      <c r="M477" s="66">
        <f>'Project Database'!Q481</f>
        <v/>
      </c>
      <c r="N477" s="66">
        <f>'Project Database'!R481</f>
        <v/>
      </c>
      <c r="O477" s="66">
        <f>'Project Database'!S481</f>
        <v/>
      </c>
      <c r="P477" s="66">
        <f>'Project Database'!T481</f>
        <v/>
      </c>
      <c r="Q477" s="66">
        <f>'Project Database'!U481</f>
        <v/>
      </c>
      <c r="R477" s="66">
        <f>'Project Database'!V481</f>
        <v/>
      </c>
      <c r="S477" s="66">
        <f>'Project Database'!W481</f>
        <v/>
      </c>
      <c r="T477" s="66">
        <f>'Project Database'!X481</f>
        <v/>
      </c>
      <c r="U477" s="67">
        <f>'Project Database'!Y481</f>
        <v/>
      </c>
      <c r="V477" s="66">
        <f>IF('Smart Search'!B13=1,IFERROR(1/'Smart Search'!H13,0),0)</f>
        <v/>
      </c>
      <c r="W477" s="66">
        <f>IF('Smart Search'!B13=1,IFERROR(1/'Smart Search'!H13,0),0)</f>
        <v/>
      </c>
      <c r="X477" s="66">
        <f>IF('Smart Search'!C13=1,IFERROR(1/'Smart Search'!H13,0),0)</f>
        <v/>
      </c>
      <c r="Y477" s="66">
        <f>IF('Smart Search'!C13=1,IFERROR(1/'Smart Search'!H13,0),0)</f>
        <v/>
      </c>
      <c r="Z477" s="66">
        <f>IF('Smart Search'!D13=1,IFERROR(1/'Smart Search'!H13,0),0)</f>
        <v/>
      </c>
      <c r="AA477" s="66">
        <f>IF('Smart Search'!D13=1,IFERROR(1/'Smart Search'!H13,0),0)</f>
        <v/>
      </c>
      <c r="AB477" s="66">
        <f>IF('Smart Search'!E13=1,IFERROR(1/'Smart Search'!H13,0),0)</f>
        <v/>
      </c>
      <c r="AC477" s="66">
        <f>IF('Smart Search'!E13=1,IFERROR(1/'Smart Search'!H13,0),0)</f>
        <v/>
      </c>
      <c r="AD477" s="66">
        <f>IF('Smart Search'!F13=1,IFERROR(1/'Smart Search'!H13,0),0)</f>
        <v/>
      </c>
      <c r="AE477" s="66">
        <f>IF('Smart Search'!F13=1,IFERROR(1/'Smart Search'!H13,0),0)</f>
        <v/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66">
        <f>AF477*V477</f>
        <v/>
      </c>
      <c r="AQ477" s="66">
        <f>AG477*W477</f>
        <v/>
      </c>
      <c r="AR477" s="66">
        <f>AH477*X477</f>
        <v/>
      </c>
      <c r="AS477" s="66">
        <f>AI477*Y477</f>
        <v/>
      </c>
      <c r="AT477" s="66">
        <f>AJ477*Z477</f>
        <v/>
      </c>
      <c r="AU477" s="66">
        <f>AK477*AA477</f>
        <v/>
      </c>
      <c r="AV477" s="66">
        <f>AL477*AB477</f>
        <v/>
      </c>
      <c r="AW477" s="66">
        <f>AM477*AC477</f>
        <v/>
      </c>
      <c r="AX477" s="66">
        <f>AN477*AD477</f>
        <v/>
      </c>
      <c r="AY477" s="66">
        <f>AO477*AE477</f>
        <v/>
      </c>
      <c r="AZ477" s="66">
        <f>'Project Database'!Z481</f>
        <v/>
      </c>
      <c r="BA477" s="66">
        <f>IF(OR(A477="",'Smart Search'!H13=0),"",MAX(0,BE477*BF477*MAX(0,1-BG477)))</f>
        <v/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66">
        <f>IF('Smart Search'!G13=1,IFERROR(1/'Smart Search'!H13,0),0)</f>
        <v/>
      </c>
      <c r="BD477" s="66">
        <f>BB477*BC477</f>
        <v/>
      </c>
      <c r="BE477" s="66">
        <f>AP477+AQ477+AR477+AS477+AT477+AU477+AV477+AW477+AX477+AY477+BD477</f>
        <v/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5">
        <f>IF(AND('Project Database'!A481&lt;&gt;"",OR('Smart Search'!$L$5="",'Smart Search'!$L$5="All",TRIM('Project Database'!D481)=TRIM('Smart Search'!$L$5)),OR(TRIM('Smart Search'!$L$6)="",TRIM('Smart Search'!$L$6)="All",ISNUMBER(SEARCH(SUBSTITUTE(SUBSTITUTE(SUBSTITUTE(TRIM('Smart Search'!$L$6),"~","~~"),"*","~*"),"?","~?"),'Project Database'!C481))),OR('Smart Search'!$L$7="",AND('Project Database'!E481&lt;&gt;"",'Project Database'!E481='Smart Search'!$L$7)),OR('Smart Search'!$L$8="",'Smart Search'!$L$8="All",TRIM('Project Database'!F481)=TRIM('Smart Search'!$L$8))),IF(BA477="","",BA477+ROW()*0.0000000001),"")</f>
        <v/>
      </c>
      <c r="BI477" s="5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>
        <f>IF('Project Database'!A481="","",N('Project Database'!AC481))</f>
        <v/>
      </c>
      <c r="BK477" s="5">
        <f>IF('Project Database'!A481="","",N('Project Database'!AD481))</f>
        <v/>
      </c>
      <c r="BL477" s="5">
        <f>IF('Project Database'!A481="","",N('Project Database'!AE481))</f>
        <v/>
      </c>
      <c r="BM477" s="5">
        <f>IF('Project Database'!A481="","",N('Project Database'!AF481))</f>
        <v/>
      </c>
      <c r="BN477" s="5">
        <f>IF('Project Database'!A481="","",N('Project Database'!AG481))</f>
        <v/>
      </c>
      <c r="BO477" s="5">
        <f>IF('Project Database'!A481="","",N('Project Database'!AH481))</f>
        <v/>
      </c>
      <c r="BP477" s="5">
        <f>IF('Project Database'!A481="","",N('Project Database'!AI481))</f>
        <v/>
      </c>
      <c r="BQ477" s="5">
        <f>IF('Project Database'!A481="","",N('Project Database'!AJ481))</f>
        <v/>
      </c>
      <c r="BR477" s="5">
        <f>IF('Project Database'!A481="","",N('Project Database'!AK481))</f>
        <v/>
      </c>
      <c r="BS477" s="5">
        <f>IF('Project Database'!A481="","",N('Project Database'!AL481))</f>
        <v/>
      </c>
      <c r="BT477" s="5">
        <f>IF('Project Database'!A481="","",N('Project Database'!AM481))</f>
        <v/>
      </c>
      <c r="BU477" s="5">
        <f>IF('Project Database'!A481="","",N('Project Database'!AN481))</f>
        <v/>
      </c>
      <c r="BV477" s="5">
        <f>IF('Project Database'!A481="","",N('Project Database'!AO481))</f>
        <v/>
      </c>
      <c r="BW477" s="5">
        <f>IF('Project Database'!A481="","",N('Project Database'!AP481))</f>
        <v/>
      </c>
      <c r="BX477" s="5">
        <f>IF(A477="","",SUM(BJ477:BW477))</f>
        <v/>
      </c>
      <c r="BY477" s="5">
        <f>IF(A477="","",IFERROR(IF(ISNUMBER(U477),U477,VALUE(SUBSTITUTE(SUBSTITUTE(SUBSTITUTE(UPPER(TRIM(U477)),"M",""),",","")," ",""))),0))</f>
        <v/>
      </c>
    </row>
    <row r="478" ht="15" customHeight="1" s="74">
      <c r="A478" s="66">
        <f>'Project Database'!A482</f>
        <v/>
      </c>
      <c r="B478" s="66">
        <f>'Project Database'!B482</f>
        <v/>
      </c>
      <c r="C478" s="66">
        <f>'Project Database'!G482</f>
        <v/>
      </c>
      <c r="D478" s="66">
        <f>'Project Database'!H482</f>
        <v/>
      </c>
      <c r="E478" s="66">
        <f>'Project Database'!I482</f>
        <v/>
      </c>
      <c r="F478" s="66">
        <f>'Project Database'!J482</f>
        <v/>
      </c>
      <c r="G478" s="66">
        <f>'Project Database'!K482</f>
        <v/>
      </c>
      <c r="H478" s="66">
        <f>'Project Database'!L482</f>
        <v/>
      </c>
      <c r="I478" s="66">
        <f>'Project Database'!M482</f>
        <v/>
      </c>
      <c r="J478" s="66">
        <f>'Project Database'!N482</f>
        <v/>
      </c>
      <c r="K478" s="66">
        <f>'Project Database'!O482</f>
        <v/>
      </c>
      <c r="L478" s="66">
        <f>'Project Database'!P482</f>
        <v/>
      </c>
      <c r="M478" s="66">
        <f>'Project Database'!Q482</f>
        <v/>
      </c>
      <c r="N478" s="66">
        <f>'Project Database'!R482</f>
        <v/>
      </c>
      <c r="O478" s="66">
        <f>'Project Database'!S482</f>
        <v/>
      </c>
      <c r="P478" s="66">
        <f>'Project Database'!T482</f>
        <v/>
      </c>
      <c r="Q478" s="66">
        <f>'Project Database'!U482</f>
        <v/>
      </c>
      <c r="R478" s="66">
        <f>'Project Database'!V482</f>
        <v/>
      </c>
      <c r="S478" s="66">
        <f>'Project Database'!W482</f>
        <v/>
      </c>
      <c r="T478" s="66">
        <f>'Project Database'!X482</f>
        <v/>
      </c>
      <c r="U478" s="67">
        <f>'Project Database'!Y482</f>
        <v/>
      </c>
      <c r="V478" s="66">
        <f>IF('Smart Search'!B13=1,IFERROR(1/'Smart Search'!H13,0),0)</f>
        <v/>
      </c>
      <c r="W478" s="66">
        <f>IF('Smart Search'!B13=1,IFERROR(1/'Smart Search'!H13,0),0)</f>
        <v/>
      </c>
      <c r="X478" s="66">
        <f>IF('Smart Search'!C13=1,IFERROR(1/'Smart Search'!H13,0),0)</f>
        <v/>
      </c>
      <c r="Y478" s="66">
        <f>IF('Smart Search'!C13=1,IFERROR(1/'Smart Search'!H13,0),0)</f>
        <v/>
      </c>
      <c r="Z478" s="66">
        <f>IF('Smart Search'!D13=1,IFERROR(1/'Smart Search'!H13,0),0)</f>
        <v/>
      </c>
      <c r="AA478" s="66">
        <f>IF('Smart Search'!D13=1,IFERROR(1/'Smart Search'!H13,0),0)</f>
        <v/>
      </c>
      <c r="AB478" s="66">
        <f>IF('Smart Search'!E13=1,IFERROR(1/'Smart Search'!H13,0),0)</f>
        <v/>
      </c>
      <c r="AC478" s="66">
        <f>IF('Smart Search'!E13=1,IFERROR(1/'Smart Search'!H13,0),0)</f>
        <v/>
      </c>
      <c r="AD478" s="66">
        <f>IF('Smart Search'!F13=1,IFERROR(1/'Smart Search'!H13,0),0)</f>
        <v/>
      </c>
      <c r="AE478" s="66">
        <f>IF('Smart Search'!F13=1,IFERROR(1/'Smart Search'!H13,0),0)</f>
        <v/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66">
        <f>AF478*V478</f>
        <v/>
      </c>
      <c r="AQ478" s="66">
        <f>AG478*W478</f>
        <v/>
      </c>
      <c r="AR478" s="66">
        <f>AH478*X478</f>
        <v/>
      </c>
      <c r="AS478" s="66">
        <f>AI478*Y478</f>
        <v/>
      </c>
      <c r="AT478" s="66">
        <f>AJ478*Z478</f>
        <v/>
      </c>
      <c r="AU478" s="66">
        <f>AK478*AA478</f>
        <v/>
      </c>
      <c r="AV478" s="66">
        <f>AL478*AB478</f>
        <v/>
      </c>
      <c r="AW478" s="66">
        <f>AM478*AC478</f>
        <v/>
      </c>
      <c r="AX478" s="66">
        <f>AN478*AD478</f>
        <v/>
      </c>
      <c r="AY478" s="66">
        <f>AO478*AE478</f>
        <v/>
      </c>
      <c r="AZ478" s="66">
        <f>'Project Database'!Z482</f>
        <v/>
      </c>
      <c r="BA478" s="66">
        <f>IF(OR(A478="",'Smart Search'!H13=0),"",MAX(0,BE478*BF478*MAX(0,1-BG478)))</f>
        <v/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66">
        <f>IF('Smart Search'!G13=1,IFERROR(1/'Smart Search'!H13,0),0)</f>
        <v/>
      </c>
      <c r="BD478" s="66">
        <f>BB478*BC478</f>
        <v/>
      </c>
      <c r="BE478" s="66">
        <f>AP478+AQ478+AR478+AS478+AT478+AU478+AV478+AW478+AX478+AY478+BD478</f>
        <v/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5">
        <f>IF(AND('Project Database'!A482&lt;&gt;"",OR('Smart Search'!$L$5="",'Smart Search'!$L$5="All",TRIM('Project Database'!D482)=TRIM('Smart Search'!$L$5)),OR(TRIM('Smart Search'!$L$6)="",TRIM('Smart Search'!$L$6)="All",ISNUMBER(SEARCH(SUBSTITUTE(SUBSTITUTE(SUBSTITUTE(TRIM('Smart Search'!$L$6),"~","~~"),"*","~*"),"?","~?"),'Project Database'!C482))),OR('Smart Search'!$L$7="",AND('Project Database'!E482&lt;&gt;"",'Project Database'!E482='Smart Search'!$L$7)),OR('Smart Search'!$L$8="",'Smart Search'!$L$8="All",TRIM('Project Database'!F482)=TRIM('Smart Search'!$L$8))),IF(BA478="","",BA478+ROW()*0.0000000001),"")</f>
        <v/>
      </c>
      <c r="BI478" s="5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>
        <f>IF('Project Database'!A482="","",N('Project Database'!AC482))</f>
        <v/>
      </c>
      <c r="BK478" s="5">
        <f>IF('Project Database'!A482="","",N('Project Database'!AD482))</f>
        <v/>
      </c>
      <c r="BL478" s="5">
        <f>IF('Project Database'!A482="","",N('Project Database'!AE482))</f>
        <v/>
      </c>
      <c r="BM478" s="5">
        <f>IF('Project Database'!A482="","",N('Project Database'!AF482))</f>
        <v/>
      </c>
      <c r="BN478" s="5">
        <f>IF('Project Database'!A482="","",N('Project Database'!AG482))</f>
        <v/>
      </c>
      <c r="BO478" s="5">
        <f>IF('Project Database'!A482="","",N('Project Database'!AH482))</f>
        <v/>
      </c>
      <c r="BP478" s="5">
        <f>IF('Project Database'!A482="","",N('Project Database'!AI482))</f>
        <v/>
      </c>
      <c r="BQ478" s="5">
        <f>IF('Project Database'!A482="","",N('Project Database'!AJ482))</f>
        <v/>
      </c>
      <c r="BR478" s="5">
        <f>IF('Project Database'!A482="","",N('Project Database'!AK482))</f>
        <v/>
      </c>
      <c r="BS478" s="5">
        <f>IF('Project Database'!A482="","",N('Project Database'!AL482))</f>
        <v/>
      </c>
      <c r="BT478" s="5">
        <f>IF('Project Database'!A482="","",N('Project Database'!AM482))</f>
        <v/>
      </c>
      <c r="BU478" s="5">
        <f>IF('Project Database'!A482="","",N('Project Database'!AN482))</f>
        <v/>
      </c>
      <c r="BV478" s="5">
        <f>IF('Project Database'!A482="","",N('Project Database'!AO482))</f>
        <v/>
      </c>
      <c r="BW478" s="5">
        <f>IF('Project Database'!A482="","",N('Project Database'!AP482))</f>
        <v/>
      </c>
      <c r="BX478" s="5">
        <f>IF(A478="","",SUM(BJ478:BW478))</f>
        <v/>
      </c>
      <c r="BY478" s="5">
        <f>IF(A478="","",IFERROR(IF(ISNUMBER(U478),U478,VALUE(SUBSTITUTE(SUBSTITUTE(SUBSTITUTE(UPPER(TRIM(U478)),"M",""),",","")," ",""))),0))</f>
        <v/>
      </c>
    </row>
    <row r="479" ht="15" customHeight="1" s="74">
      <c r="A479" s="66">
        <f>'Project Database'!A483</f>
        <v/>
      </c>
      <c r="B479" s="66">
        <f>'Project Database'!B483</f>
        <v/>
      </c>
      <c r="C479" s="66">
        <f>'Project Database'!G483</f>
        <v/>
      </c>
      <c r="D479" s="66">
        <f>'Project Database'!H483</f>
        <v/>
      </c>
      <c r="E479" s="66">
        <f>'Project Database'!I483</f>
        <v/>
      </c>
      <c r="F479" s="66">
        <f>'Project Database'!J483</f>
        <v/>
      </c>
      <c r="G479" s="66">
        <f>'Project Database'!K483</f>
        <v/>
      </c>
      <c r="H479" s="66">
        <f>'Project Database'!L483</f>
        <v/>
      </c>
      <c r="I479" s="66">
        <f>'Project Database'!M483</f>
        <v/>
      </c>
      <c r="J479" s="66">
        <f>'Project Database'!N483</f>
        <v/>
      </c>
      <c r="K479" s="66">
        <f>'Project Database'!O483</f>
        <v/>
      </c>
      <c r="L479" s="66">
        <f>'Project Database'!P483</f>
        <v/>
      </c>
      <c r="M479" s="66">
        <f>'Project Database'!Q483</f>
        <v/>
      </c>
      <c r="N479" s="66">
        <f>'Project Database'!R483</f>
        <v/>
      </c>
      <c r="O479" s="66">
        <f>'Project Database'!S483</f>
        <v/>
      </c>
      <c r="P479" s="66">
        <f>'Project Database'!T483</f>
        <v/>
      </c>
      <c r="Q479" s="66">
        <f>'Project Database'!U483</f>
        <v/>
      </c>
      <c r="R479" s="66">
        <f>'Project Database'!V483</f>
        <v/>
      </c>
      <c r="S479" s="66">
        <f>'Project Database'!W483</f>
        <v/>
      </c>
      <c r="T479" s="66">
        <f>'Project Database'!X483</f>
        <v/>
      </c>
      <c r="U479" s="67">
        <f>'Project Database'!Y483</f>
        <v/>
      </c>
      <c r="V479" s="66">
        <f>IF('Smart Search'!B13=1,IFERROR(1/'Smart Search'!H13,0),0)</f>
        <v/>
      </c>
      <c r="W479" s="66">
        <f>IF('Smart Search'!B13=1,IFERROR(1/'Smart Search'!H13,0),0)</f>
        <v/>
      </c>
      <c r="X479" s="66">
        <f>IF('Smart Search'!C13=1,IFERROR(1/'Smart Search'!H13,0),0)</f>
        <v/>
      </c>
      <c r="Y479" s="66">
        <f>IF('Smart Search'!C13=1,IFERROR(1/'Smart Search'!H13,0),0)</f>
        <v/>
      </c>
      <c r="Z479" s="66">
        <f>IF('Smart Search'!D13=1,IFERROR(1/'Smart Search'!H13,0),0)</f>
        <v/>
      </c>
      <c r="AA479" s="66">
        <f>IF('Smart Search'!D13=1,IFERROR(1/'Smart Search'!H13,0),0)</f>
        <v/>
      </c>
      <c r="AB479" s="66">
        <f>IF('Smart Search'!E13=1,IFERROR(1/'Smart Search'!H13,0),0)</f>
        <v/>
      </c>
      <c r="AC479" s="66">
        <f>IF('Smart Search'!E13=1,IFERROR(1/'Smart Search'!H13,0),0)</f>
        <v/>
      </c>
      <c r="AD479" s="66">
        <f>IF('Smart Search'!F13=1,IFERROR(1/'Smart Search'!H13,0),0)</f>
        <v/>
      </c>
      <c r="AE479" s="66">
        <f>IF('Smart Search'!F13=1,IFERROR(1/'Smart Search'!H13,0),0)</f>
        <v/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66">
        <f>AF479*V479</f>
        <v/>
      </c>
      <c r="AQ479" s="66">
        <f>AG479*W479</f>
        <v/>
      </c>
      <c r="AR479" s="66">
        <f>AH479*X479</f>
        <v/>
      </c>
      <c r="AS479" s="66">
        <f>AI479*Y479</f>
        <v/>
      </c>
      <c r="AT479" s="66">
        <f>AJ479*Z479</f>
        <v/>
      </c>
      <c r="AU479" s="66">
        <f>AK479*AA479</f>
        <v/>
      </c>
      <c r="AV479" s="66">
        <f>AL479*AB479</f>
        <v/>
      </c>
      <c r="AW479" s="66">
        <f>AM479*AC479</f>
        <v/>
      </c>
      <c r="AX479" s="66">
        <f>AN479*AD479</f>
        <v/>
      </c>
      <c r="AY479" s="66">
        <f>AO479*AE479</f>
        <v/>
      </c>
      <c r="AZ479" s="66">
        <f>'Project Database'!Z483</f>
        <v/>
      </c>
      <c r="BA479" s="66">
        <f>IF(OR(A479="",'Smart Search'!H13=0),"",MAX(0,BE479*BF479*MAX(0,1-BG479)))</f>
        <v/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66">
        <f>IF('Smart Search'!G13=1,IFERROR(1/'Smart Search'!H13,0),0)</f>
        <v/>
      </c>
      <c r="BD479" s="66">
        <f>BB479*BC479</f>
        <v/>
      </c>
      <c r="BE479" s="66">
        <f>AP479+AQ479+AR479+AS479+AT479+AU479+AV479+AW479+AX479+AY479+BD479</f>
        <v/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5">
        <f>IF(AND('Project Database'!A483&lt;&gt;"",OR('Smart Search'!$L$5="",'Smart Search'!$L$5="All",TRIM('Project Database'!D483)=TRIM('Smart Search'!$L$5)),OR(TRIM('Smart Search'!$L$6)="",TRIM('Smart Search'!$L$6)="All",ISNUMBER(SEARCH(SUBSTITUTE(SUBSTITUTE(SUBSTITUTE(TRIM('Smart Search'!$L$6),"~","~~"),"*","~*"),"?","~?"),'Project Database'!C483))),OR('Smart Search'!$L$7="",AND('Project Database'!E483&lt;&gt;"",'Project Database'!E483='Smart Search'!$L$7)),OR('Smart Search'!$L$8="",'Smart Search'!$L$8="All",TRIM('Project Database'!F483)=TRIM('Smart Search'!$L$8))),IF(BA479="","",BA479+ROW()*0.0000000001),"")</f>
        <v/>
      </c>
      <c r="BI479" s="5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>
        <f>IF('Project Database'!A483="","",N('Project Database'!AC483))</f>
        <v/>
      </c>
      <c r="BK479" s="5">
        <f>IF('Project Database'!A483="","",N('Project Database'!AD483))</f>
        <v/>
      </c>
      <c r="BL479" s="5">
        <f>IF('Project Database'!A483="","",N('Project Database'!AE483))</f>
        <v/>
      </c>
      <c r="BM479" s="5">
        <f>IF('Project Database'!A483="","",N('Project Database'!AF483))</f>
        <v/>
      </c>
      <c r="BN479" s="5">
        <f>IF('Project Database'!A483="","",N('Project Database'!AG483))</f>
        <v/>
      </c>
      <c r="BO479" s="5">
        <f>IF('Project Database'!A483="","",N('Project Database'!AH483))</f>
        <v/>
      </c>
      <c r="BP479" s="5">
        <f>IF('Project Database'!A483="","",N('Project Database'!AI483))</f>
        <v/>
      </c>
      <c r="BQ479" s="5">
        <f>IF('Project Database'!A483="","",N('Project Database'!AJ483))</f>
        <v/>
      </c>
      <c r="BR479" s="5">
        <f>IF('Project Database'!A483="","",N('Project Database'!AK483))</f>
        <v/>
      </c>
      <c r="BS479" s="5">
        <f>IF('Project Database'!A483="","",N('Project Database'!AL483))</f>
        <v/>
      </c>
      <c r="BT479" s="5">
        <f>IF('Project Database'!A483="","",N('Project Database'!AM483))</f>
        <v/>
      </c>
      <c r="BU479" s="5">
        <f>IF('Project Database'!A483="","",N('Project Database'!AN483))</f>
        <v/>
      </c>
      <c r="BV479" s="5">
        <f>IF('Project Database'!A483="","",N('Project Database'!AO483))</f>
        <v/>
      </c>
      <c r="BW479" s="5">
        <f>IF('Project Database'!A483="","",N('Project Database'!AP483))</f>
        <v/>
      </c>
      <c r="BX479" s="5">
        <f>IF(A479="","",SUM(BJ479:BW479))</f>
        <v/>
      </c>
      <c r="BY479" s="5">
        <f>IF(A479="","",IFERROR(IF(ISNUMBER(U479),U479,VALUE(SUBSTITUTE(SUBSTITUTE(SUBSTITUTE(UPPER(TRIM(U479)),"M",""),",","")," ",""))),0))</f>
        <v/>
      </c>
    </row>
    <row r="480" ht="15" customHeight="1" s="74">
      <c r="A480" s="66">
        <f>'Project Database'!A484</f>
        <v/>
      </c>
      <c r="B480" s="66">
        <f>'Project Database'!B484</f>
        <v/>
      </c>
      <c r="C480" s="66">
        <f>'Project Database'!G484</f>
        <v/>
      </c>
      <c r="D480" s="66">
        <f>'Project Database'!H484</f>
        <v/>
      </c>
      <c r="E480" s="66">
        <f>'Project Database'!I484</f>
        <v/>
      </c>
      <c r="F480" s="66">
        <f>'Project Database'!J484</f>
        <v/>
      </c>
      <c r="G480" s="66">
        <f>'Project Database'!K484</f>
        <v/>
      </c>
      <c r="H480" s="66">
        <f>'Project Database'!L484</f>
        <v/>
      </c>
      <c r="I480" s="66">
        <f>'Project Database'!M484</f>
        <v/>
      </c>
      <c r="J480" s="66">
        <f>'Project Database'!N484</f>
        <v/>
      </c>
      <c r="K480" s="66">
        <f>'Project Database'!O484</f>
        <v/>
      </c>
      <c r="L480" s="66">
        <f>'Project Database'!P484</f>
        <v/>
      </c>
      <c r="M480" s="66">
        <f>'Project Database'!Q484</f>
        <v/>
      </c>
      <c r="N480" s="66">
        <f>'Project Database'!R484</f>
        <v/>
      </c>
      <c r="O480" s="66">
        <f>'Project Database'!S484</f>
        <v/>
      </c>
      <c r="P480" s="66">
        <f>'Project Database'!T484</f>
        <v/>
      </c>
      <c r="Q480" s="66">
        <f>'Project Database'!U484</f>
        <v/>
      </c>
      <c r="R480" s="66">
        <f>'Project Database'!V484</f>
        <v/>
      </c>
      <c r="S480" s="66">
        <f>'Project Database'!W484</f>
        <v/>
      </c>
      <c r="T480" s="66">
        <f>'Project Database'!X484</f>
        <v/>
      </c>
      <c r="U480" s="67">
        <f>'Project Database'!Y484</f>
        <v/>
      </c>
      <c r="V480" s="66">
        <f>IF('Smart Search'!B13=1,IFERROR(1/'Smart Search'!H13,0),0)</f>
        <v/>
      </c>
      <c r="W480" s="66">
        <f>IF('Smart Search'!B13=1,IFERROR(1/'Smart Search'!H13,0),0)</f>
        <v/>
      </c>
      <c r="X480" s="66">
        <f>IF('Smart Search'!C13=1,IFERROR(1/'Smart Search'!H13,0),0)</f>
        <v/>
      </c>
      <c r="Y480" s="66">
        <f>IF('Smart Search'!C13=1,IFERROR(1/'Smart Search'!H13,0),0)</f>
        <v/>
      </c>
      <c r="Z480" s="66">
        <f>IF('Smart Search'!D13=1,IFERROR(1/'Smart Search'!H13,0),0)</f>
        <v/>
      </c>
      <c r="AA480" s="66">
        <f>IF('Smart Search'!D13=1,IFERROR(1/'Smart Search'!H13,0),0)</f>
        <v/>
      </c>
      <c r="AB480" s="66">
        <f>IF('Smart Search'!E13=1,IFERROR(1/'Smart Search'!H13,0),0)</f>
        <v/>
      </c>
      <c r="AC480" s="66">
        <f>IF('Smart Search'!E13=1,IFERROR(1/'Smart Search'!H13,0),0)</f>
        <v/>
      </c>
      <c r="AD480" s="66">
        <f>IF('Smart Search'!F13=1,IFERROR(1/'Smart Search'!H13,0),0)</f>
        <v/>
      </c>
      <c r="AE480" s="66">
        <f>IF('Smart Search'!F13=1,IFERROR(1/'Smart Search'!H13,0),0)</f>
        <v/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66">
        <f>AF480*V480</f>
        <v/>
      </c>
      <c r="AQ480" s="66">
        <f>AG480*W480</f>
        <v/>
      </c>
      <c r="AR480" s="66">
        <f>AH480*X480</f>
        <v/>
      </c>
      <c r="AS480" s="66">
        <f>AI480*Y480</f>
        <v/>
      </c>
      <c r="AT480" s="66">
        <f>AJ480*Z480</f>
        <v/>
      </c>
      <c r="AU480" s="66">
        <f>AK480*AA480</f>
        <v/>
      </c>
      <c r="AV480" s="66">
        <f>AL480*AB480</f>
        <v/>
      </c>
      <c r="AW480" s="66">
        <f>AM480*AC480</f>
        <v/>
      </c>
      <c r="AX480" s="66">
        <f>AN480*AD480</f>
        <v/>
      </c>
      <c r="AY480" s="66">
        <f>AO480*AE480</f>
        <v/>
      </c>
      <c r="AZ480" s="66">
        <f>'Project Database'!Z484</f>
        <v/>
      </c>
      <c r="BA480" s="66">
        <f>IF(OR(A480="",'Smart Search'!H13=0),"",MAX(0,BE480*BF480*MAX(0,1-BG480)))</f>
        <v/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66">
        <f>IF('Smart Search'!G13=1,IFERROR(1/'Smart Search'!H13,0),0)</f>
        <v/>
      </c>
      <c r="BD480" s="66">
        <f>BB480*BC480</f>
        <v/>
      </c>
      <c r="BE480" s="66">
        <f>AP480+AQ480+AR480+AS480+AT480+AU480+AV480+AW480+AX480+AY480+BD480</f>
        <v/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5">
        <f>IF(AND('Project Database'!A484&lt;&gt;"",OR('Smart Search'!$L$5="",'Smart Search'!$L$5="All",TRIM('Project Database'!D484)=TRIM('Smart Search'!$L$5)),OR(TRIM('Smart Search'!$L$6)="",TRIM('Smart Search'!$L$6)="All",ISNUMBER(SEARCH(SUBSTITUTE(SUBSTITUTE(SUBSTITUTE(TRIM('Smart Search'!$L$6),"~","~~"),"*","~*"),"?","~?"),'Project Database'!C484))),OR('Smart Search'!$L$7="",AND('Project Database'!E484&lt;&gt;"",'Project Database'!E484='Smart Search'!$L$7)),OR('Smart Search'!$L$8="",'Smart Search'!$L$8="All",TRIM('Project Database'!F484)=TRIM('Smart Search'!$L$8))),IF(BA480="","",BA480+ROW()*0.0000000001),"")</f>
        <v/>
      </c>
      <c r="BI480" s="5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>
        <f>IF('Project Database'!A484="","",N('Project Database'!AC484))</f>
        <v/>
      </c>
      <c r="BK480" s="5">
        <f>IF('Project Database'!A484="","",N('Project Database'!AD484))</f>
        <v/>
      </c>
      <c r="BL480" s="5">
        <f>IF('Project Database'!A484="","",N('Project Database'!AE484))</f>
        <v/>
      </c>
      <c r="BM480" s="5">
        <f>IF('Project Database'!A484="","",N('Project Database'!AF484))</f>
        <v/>
      </c>
      <c r="BN480" s="5">
        <f>IF('Project Database'!A484="","",N('Project Database'!AG484))</f>
        <v/>
      </c>
      <c r="BO480" s="5">
        <f>IF('Project Database'!A484="","",N('Project Database'!AH484))</f>
        <v/>
      </c>
      <c r="BP480" s="5">
        <f>IF('Project Database'!A484="","",N('Project Database'!AI484))</f>
        <v/>
      </c>
      <c r="BQ480" s="5">
        <f>IF('Project Database'!A484="","",N('Project Database'!AJ484))</f>
        <v/>
      </c>
      <c r="BR480" s="5">
        <f>IF('Project Database'!A484="","",N('Project Database'!AK484))</f>
        <v/>
      </c>
      <c r="BS480" s="5">
        <f>IF('Project Database'!A484="","",N('Project Database'!AL484))</f>
        <v/>
      </c>
      <c r="BT480" s="5">
        <f>IF('Project Database'!A484="","",N('Project Database'!AM484))</f>
        <v/>
      </c>
      <c r="BU480" s="5">
        <f>IF('Project Database'!A484="","",N('Project Database'!AN484))</f>
        <v/>
      </c>
      <c r="BV480" s="5">
        <f>IF('Project Database'!A484="","",N('Project Database'!AO484))</f>
        <v/>
      </c>
      <c r="BW480" s="5">
        <f>IF('Project Database'!A484="","",N('Project Database'!AP484))</f>
        <v/>
      </c>
      <c r="BX480" s="5">
        <f>IF(A480="","",SUM(BJ480:BW480))</f>
        <v/>
      </c>
      <c r="BY480" s="5">
        <f>IF(A480="","",IFERROR(IF(ISNUMBER(U480),U480,VALUE(SUBSTITUTE(SUBSTITUTE(SUBSTITUTE(UPPER(TRIM(U480)),"M",""),",","")," ",""))),0))</f>
        <v/>
      </c>
    </row>
    <row r="481" ht="15" customHeight="1" s="74">
      <c r="A481" s="66">
        <f>'Project Database'!A485</f>
        <v/>
      </c>
      <c r="B481" s="66">
        <f>'Project Database'!B485</f>
        <v/>
      </c>
      <c r="C481" s="66">
        <f>'Project Database'!G485</f>
        <v/>
      </c>
      <c r="D481" s="66">
        <f>'Project Database'!H485</f>
        <v/>
      </c>
      <c r="E481" s="66">
        <f>'Project Database'!I485</f>
        <v/>
      </c>
      <c r="F481" s="66">
        <f>'Project Database'!J485</f>
        <v/>
      </c>
      <c r="G481" s="66">
        <f>'Project Database'!K485</f>
        <v/>
      </c>
      <c r="H481" s="66">
        <f>'Project Database'!L485</f>
        <v/>
      </c>
      <c r="I481" s="66">
        <f>'Project Database'!M485</f>
        <v/>
      </c>
      <c r="J481" s="66">
        <f>'Project Database'!N485</f>
        <v/>
      </c>
      <c r="K481" s="66">
        <f>'Project Database'!O485</f>
        <v/>
      </c>
      <c r="L481" s="66">
        <f>'Project Database'!P485</f>
        <v/>
      </c>
      <c r="M481" s="66">
        <f>'Project Database'!Q485</f>
        <v/>
      </c>
      <c r="N481" s="66">
        <f>'Project Database'!R485</f>
        <v/>
      </c>
      <c r="O481" s="66">
        <f>'Project Database'!S485</f>
        <v/>
      </c>
      <c r="P481" s="66">
        <f>'Project Database'!T485</f>
        <v/>
      </c>
      <c r="Q481" s="66">
        <f>'Project Database'!U485</f>
        <v/>
      </c>
      <c r="R481" s="66">
        <f>'Project Database'!V485</f>
        <v/>
      </c>
      <c r="S481" s="66">
        <f>'Project Database'!W485</f>
        <v/>
      </c>
      <c r="T481" s="66">
        <f>'Project Database'!X485</f>
        <v/>
      </c>
      <c r="U481" s="67">
        <f>'Project Database'!Y485</f>
        <v/>
      </c>
      <c r="V481" s="66">
        <f>IF('Smart Search'!B13=1,IFERROR(1/'Smart Search'!H13,0),0)</f>
        <v/>
      </c>
      <c r="W481" s="66">
        <f>IF('Smart Search'!B13=1,IFERROR(1/'Smart Search'!H13,0),0)</f>
        <v/>
      </c>
      <c r="X481" s="66">
        <f>IF('Smart Search'!C13=1,IFERROR(1/'Smart Search'!H13,0),0)</f>
        <v/>
      </c>
      <c r="Y481" s="66">
        <f>IF('Smart Search'!C13=1,IFERROR(1/'Smart Search'!H13,0),0)</f>
        <v/>
      </c>
      <c r="Z481" s="66">
        <f>IF('Smart Search'!D13=1,IFERROR(1/'Smart Search'!H13,0),0)</f>
        <v/>
      </c>
      <c r="AA481" s="66">
        <f>IF('Smart Search'!D13=1,IFERROR(1/'Smart Search'!H13,0),0)</f>
        <v/>
      </c>
      <c r="AB481" s="66">
        <f>IF('Smart Search'!E13=1,IFERROR(1/'Smart Search'!H13,0),0)</f>
        <v/>
      </c>
      <c r="AC481" s="66">
        <f>IF('Smart Search'!E13=1,IFERROR(1/'Smart Search'!H13,0),0)</f>
        <v/>
      </c>
      <c r="AD481" s="66">
        <f>IF('Smart Search'!F13=1,IFERROR(1/'Smart Search'!H13,0),0)</f>
        <v/>
      </c>
      <c r="AE481" s="66">
        <f>IF('Smart Search'!F13=1,IFERROR(1/'Smart Search'!H13,0),0)</f>
        <v/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66">
        <f>AF481*V481</f>
        <v/>
      </c>
      <c r="AQ481" s="66">
        <f>AG481*W481</f>
        <v/>
      </c>
      <c r="AR481" s="66">
        <f>AH481*X481</f>
        <v/>
      </c>
      <c r="AS481" s="66">
        <f>AI481*Y481</f>
        <v/>
      </c>
      <c r="AT481" s="66">
        <f>AJ481*Z481</f>
        <v/>
      </c>
      <c r="AU481" s="66">
        <f>AK481*AA481</f>
        <v/>
      </c>
      <c r="AV481" s="66">
        <f>AL481*AB481</f>
        <v/>
      </c>
      <c r="AW481" s="66">
        <f>AM481*AC481</f>
        <v/>
      </c>
      <c r="AX481" s="66">
        <f>AN481*AD481</f>
        <v/>
      </c>
      <c r="AY481" s="66">
        <f>AO481*AE481</f>
        <v/>
      </c>
      <c r="AZ481" s="66">
        <f>'Project Database'!Z485</f>
        <v/>
      </c>
      <c r="BA481" s="66">
        <f>IF(OR(A481="",'Smart Search'!H13=0),"",MAX(0,BE481*BF481*MAX(0,1-BG481)))</f>
        <v/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66">
        <f>IF('Smart Search'!G13=1,IFERROR(1/'Smart Search'!H13,0),0)</f>
        <v/>
      </c>
      <c r="BD481" s="66">
        <f>BB481*BC481</f>
        <v/>
      </c>
      <c r="BE481" s="66">
        <f>AP481+AQ481+AR481+AS481+AT481+AU481+AV481+AW481+AX481+AY481+BD481</f>
        <v/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5">
        <f>IF(AND('Project Database'!A485&lt;&gt;"",OR('Smart Search'!$L$5="",'Smart Search'!$L$5="All",TRIM('Project Database'!D485)=TRIM('Smart Search'!$L$5)),OR(TRIM('Smart Search'!$L$6)="",TRIM('Smart Search'!$L$6)="All",ISNUMBER(SEARCH(SUBSTITUTE(SUBSTITUTE(SUBSTITUTE(TRIM('Smart Search'!$L$6),"~","~~"),"*","~*"),"?","~?"),'Project Database'!C485))),OR('Smart Search'!$L$7="",AND('Project Database'!E485&lt;&gt;"",'Project Database'!E485='Smart Search'!$L$7)),OR('Smart Search'!$L$8="",'Smart Search'!$L$8="All",TRIM('Project Database'!F485)=TRIM('Smart Search'!$L$8))),IF(BA481="","",BA481+ROW()*0.0000000001),"")</f>
        <v/>
      </c>
      <c r="BI481" s="5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>
        <f>IF('Project Database'!A485="","",N('Project Database'!AC485))</f>
        <v/>
      </c>
      <c r="BK481" s="5">
        <f>IF('Project Database'!A485="","",N('Project Database'!AD485))</f>
        <v/>
      </c>
      <c r="BL481" s="5">
        <f>IF('Project Database'!A485="","",N('Project Database'!AE485))</f>
        <v/>
      </c>
      <c r="BM481" s="5">
        <f>IF('Project Database'!A485="","",N('Project Database'!AF485))</f>
        <v/>
      </c>
      <c r="BN481" s="5">
        <f>IF('Project Database'!A485="","",N('Project Database'!AG485))</f>
        <v/>
      </c>
      <c r="BO481" s="5">
        <f>IF('Project Database'!A485="","",N('Project Database'!AH485))</f>
        <v/>
      </c>
      <c r="BP481" s="5">
        <f>IF('Project Database'!A485="","",N('Project Database'!AI485))</f>
        <v/>
      </c>
      <c r="BQ481" s="5">
        <f>IF('Project Database'!A485="","",N('Project Database'!AJ485))</f>
        <v/>
      </c>
      <c r="BR481" s="5">
        <f>IF('Project Database'!A485="","",N('Project Database'!AK485))</f>
        <v/>
      </c>
      <c r="BS481" s="5">
        <f>IF('Project Database'!A485="","",N('Project Database'!AL485))</f>
        <v/>
      </c>
      <c r="BT481" s="5">
        <f>IF('Project Database'!A485="","",N('Project Database'!AM485))</f>
        <v/>
      </c>
      <c r="BU481" s="5">
        <f>IF('Project Database'!A485="","",N('Project Database'!AN485))</f>
        <v/>
      </c>
      <c r="BV481" s="5">
        <f>IF('Project Database'!A485="","",N('Project Database'!AO485))</f>
        <v/>
      </c>
      <c r="BW481" s="5">
        <f>IF('Project Database'!A485="","",N('Project Database'!AP485))</f>
        <v/>
      </c>
      <c r="BX481" s="5">
        <f>IF(A481="","",SUM(BJ481:BW481))</f>
        <v/>
      </c>
      <c r="BY481" s="5">
        <f>IF(A481="","",IFERROR(IF(ISNUMBER(U481),U481,VALUE(SUBSTITUTE(SUBSTITUTE(SUBSTITUTE(UPPER(TRIM(U481)),"M",""),",","")," ",""))),0))</f>
        <v/>
      </c>
    </row>
    <row r="482" ht="15" customHeight="1" s="74">
      <c r="A482" s="66">
        <f>'Project Database'!A486</f>
        <v/>
      </c>
      <c r="B482" s="66">
        <f>'Project Database'!B486</f>
        <v/>
      </c>
      <c r="C482" s="66">
        <f>'Project Database'!G486</f>
        <v/>
      </c>
      <c r="D482" s="66">
        <f>'Project Database'!H486</f>
        <v/>
      </c>
      <c r="E482" s="66">
        <f>'Project Database'!I486</f>
        <v/>
      </c>
      <c r="F482" s="66">
        <f>'Project Database'!J486</f>
        <v/>
      </c>
      <c r="G482" s="66">
        <f>'Project Database'!K486</f>
        <v/>
      </c>
      <c r="H482" s="66">
        <f>'Project Database'!L486</f>
        <v/>
      </c>
      <c r="I482" s="66">
        <f>'Project Database'!M486</f>
        <v/>
      </c>
      <c r="J482" s="66">
        <f>'Project Database'!N486</f>
        <v/>
      </c>
      <c r="K482" s="66">
        <f>'Project Database'!O486</f>
        <v/>
      </c>
      <c r="L482" s="66">
        <f>'Project Database'!P486</f>
        <v/>
      </c>
      <c r="M482" s="66">
        <f>'Project Database'!Q486</f>
        <v/>
      </c>
      <c r="N482" s="66">
        <f>'Project Database'!R486</f>
        <v/>
      </c>
      <c r="O482" s="66">
        <f>'Project Database'!S486</f>
        <v/>
      </c>
      <c r="P482" s="66">
        <f>'Project Database'!T486</f>
        <v/>
      </c>
      <c r="Q482" s="66">
        <f>'Project Database'!U486</f>
        <v/>
      </c>
      <c r="R482" s="66">
        <f>'Project Database'!V486</f>
        <v/>
      </c>
      <c r="S482" s="66">
        <f>'Project Database'!W486</f>
        <v/>
      </c>
      <c r="T482" s="66">
        <f>'Project Database'!X486</f>
        <v/>
      </c>
      <c r="U482" s="67">
        <f>'Project Database'!Y486</f>
        <v/>
      </c>
      <c r="V482" s="66">
        <f>IF('Smart Search'!B13=1,IFERROR(1/'Smart Search'!H13,0),0)</f>
        <v/>
      </c>
      <c r="W482" s="66">
        <f>IF('Smart Search'!B13=1,IFERROR(1/'Smart Search'!H13,0),0)</f>
        <v/>
      </c>
      <c r="X482" s="66">
        <f>IF('Smart Search'!C13=1,IFERROR(1/'Smart Search'!H13,0),0)</f>
        <v/>
      </c>
      <c r="Y482" s="66">
        <f>IF('Smart Search'!C13=1,IFERROR(1/'Smart Search'!H13,0),0)</f>
        <v/>
      </c>
      <c r="Z482" s="66">
        <f>IF('Smart Search'!D13=1,IFERROR(1/'Smart Search'!H13,0),0)</f>
        <v/>
      </c>
      <c r="AA482" s="66">
        <f>IF('Smart Search'!D13=1,IFERROR(1/'Smart Search'!H13,0),0)</f>
        <v/>
      </c>
      <c r="AB482" s="66">
        <f>IF('Smart Search'!E13=1,IFERROR(1/'Smart Search'!H13,0),0)</f>
        <v/>
      </c>
      <c r="AC482" s="66">
        <f>IF('Smart Search'!E13=1,IFERROR(1/'Smart Search'!H13,0),0)</f>
        <v/>
      </c>
      <c r="AD482" s="66">
        <f>IF('Smart Search'!F13=1,IFERROR(1/'Smart Search'!H13,0),0)</f>
        <v/>
      </c>
      <c r="AE482" s="66">
        <f>IF('Smart Search'!F13=1,IFERROR(1/'Smart Search'!H13,0),0)</f>
        <v/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66">
        <f>AF482*V482</f>
        <v/>
      </c>
      <c r="AQ482" s="66">
        <f>AG482*W482</f>
        <v/>
      </c>
      <c r="AR482" s="66">
        <f>AH482*X482</f>
        <v/>
      </c>
      <c r="AS482" s="66">
        <f>AI482*Y482</f>
        <v/>
      </c>
      <c r="AT482" s="66">
        <f>AJ482*Z482</f>
        <v/>
      </c>
      <c r="AU482" s="66">
        <f>AK482*AA482</f>
        <v/>
      </c>
      <c r="AV482" s="66">
        <f>AL482*AB482</f>
        <v/>
      </c>
      <c r="AW482" s="66">
        <f>AM482*AC482</f>
        <v/>
      </c>
      <c r="AX482" s="66">
        <f>AN482*AD482</f>
        <v/>
      </c>
      <c r="AY482" s="66">
        <f>AO482*AE482</f>
        <v/>
      </c>
      <c r="AZ482" s="66">
        <f>'Project Database'!Z486</f>
        <v/>
      </c>
      <c r="BA482" s="66">
        <f>IF(OR(A482="",'Smart Search'!H13=0),"",MAX(0,BE482*BF482*MAX(0,1-BG482)))</f>
        <v/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66">
        <f>IF('Smart Search'!G13=1,IFERROR(1/'Smart Search'!H13,0),0)</f>
        <v/>
      </c>
      <c r="BD482" s="66">
        <f>BB482*BC482</f>
        <v/>
      </c>
      <c r="BE482" s="66">
        <f>AP482+AQ482+AR482+AS482+AT482+AU482+AV482+AW482+AX482+AY482+BD482</f>
        <v/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5">
        <f>IF(AND('Project Database'!A486&lt;&gt;"",OR('Smart Search'!$L$5="",'Smart Search'!$L$5="All",TRIM('Project Database'!D486)=TRIM('Smart Search'!$L$5)),OR(TRIM('Smart Search'!$L$6)="",TRIM('Smart Search'!$L$6)="All",ISNUMBER(SEARCH(SUBSTITUTE(SUBSTITUTE(SUBSTITUTE(TRIM('Smart Search'!$L$6),"~","~~"),"*","~*"),"?","~?"),'Project Database'!C486))),OR('Smart Search'!$L$7="",AND('Project Database'!E486&lt;&gt;"",'Project Database'!E486='Smart Search'!$L$7)),OR('Smart Search'!$L$8="",'Smart Search'!$L$8="All",TRIM('Project Database'!F486)=TRIM('Smart Search'!$L$8))),IF(BA482="","",BA482+ROW()*0.0000000001),"")</f>
        <v/>
      </c>
      <c r="BI482" s="5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>
        <f>IF('Project Database'!A486="","",N('Project Database'!AC486))</f>
        <v/>
      </c>
      <c r="BK482" s="5">
        <f>IF('Project Database'!A486="","",N('Project Database'!AD486))</f>
        <v/>
      </c>
      <c r="BL482" s="5">
        <f>IF('Project Database'!A486="","",N('Project Database'!AE486))</f>
        <v/>
      </c>
      <c r="BM482" s="5">
        <f>IF('Project Database'!A486="","",N('Project Database'!AF486))</f>
        <v/>
      </c>
      <c r="BN482" s="5">
        <f>IF('Project Database'!A486="","",N('Project Database'!AG486))</f>
        <v/>
      </c>
      <c r="BO482" s="5">
        <f>IF('Project Database'!A486="","",N('Project Database'!AH486))</f>
        <v/>
      </c>
      <c r="BP482" s="5">
        <f>IF('Project Database'!A486="","",N('Project Database'!AI486))</f>
        <v/>
      </c>
      <c r="BQ482" s="5">
        <f>IF('Project Database'!A486="","",N('Project Database'!AJ486))</f>
        <v/>
      </c>
      <c r="BR482" s="5">
        <f>IF('Project Database'!A486="","",N('Project Database'!AK486))</f>
        <v/>
      </c>
      <c r="BS482" s="5">
        <f>IF('Project Database'!A486="","",N('Project Database'!AL486))</f>
        <v/>
      </c>
      <c r="BT482" s="5">
        <f>IF('Project Database'!A486="","",N('Project Database'!AM486))</f>
        <v/>
      </c>
      <c r="BU482" s="5">
        <f>IF('Project Database'!A486="","",N('Project Database'!AN486))</f>
        <v/>
      </c>
      <c r="BV482" s="5">
        <f>IF('Project Database'!A486="","",N('Project Database'!AO486))</f>
        <v/>
      </c>
      <c r="BW482" s="5">
        <f>IF('Project Database'!A486="","",N('Project Database'!AP486))</f>
        <v/>
      </c>
      <c r="BX482" s="5">
        <f>IF(A482="","",SUM(BJ482:BW482))</f>
        <v/>
      </c>
      <c r="BY482" s="5">
        <f>IF(A482="","",IFERROR(IF(ISNUMBER(U482),U482,VALUE(SUBSTITUTE(SUBSTITUTE(SUBSTITUTE(UPPER(TRIM(U482)),"M",""),",","")," ",""))),0))</f>
        <v/>
      </c>
    </row>
    <row r="483" ht="15" customHeight="1" s="74">
      <c r="A483" s="66">
        <f>'Project Database'!A487</f>
        <v/>
      </c>
      <c r="B483" s="66">
        <f>'Project Database'!B487</f>
        <v/>
      </c>
      <c r="C483" s="66">
        <f>'Project Database'!G487</f>
        <v/>
      </c>
      <c r="D483" s="66">
        <f>'Project Database'!H487</f>
        <v/>
      </c>
      <c r="E483" s="66">
        <f>'Project Database'!I487</f>
        <v/>
      </c>
      <c r="F483" s="66">
        <f>'Project Database'!J487</f>
        <v/>
      </c>
      <c r="G483" s="66">
        <f>'Project Database'!K487</f>
        <v/>
      </c>
      <c r="H483" s="66">
        <f>'Project Database'!L487</f>
        <v/>
      </c>
      <c r="I483" s="66">
        <f>'Project Database'!M487</f>
        <v/>
      </c>
      <c r="J483" s="66">
        <f>'Project Database'!N487</f>
        <v/>
      </c>
      <c r="K483" s="66">
        <f>'Project Database'!O487</f>
        <v/>
      </c>
      <c r="L483" s="66">
        <f>'Project Database'!P487</f>
        <v/>
      </c>
      <c r="M483" s="66">
        <f>'Project Database'!Q487</f>
        <v/>
      </c>
      <c r="N483" s="66">
        <f>'Project Database'!R487</f>
        <v/>
      </c>
      <c r="O483" s="66">
        <f>'Project Database'!S487</f>
        <v/>
      </c>
      <c r="P483" s="66">
        <f>'Project Database'!T487</f>
        <v/>
      </c>
      <c r="Q483" s="66">
        <f>'Project Database'!U487</f>
        <v/>
      </c>
      <c r="R483" s="66">
        <f>'Project Database'!V487</f>
        <v/>
      </c>
      <c r="S483" s="66">
        <f>'Project Database'!W487</f>
        <v/>
      </c>
      <c r="T483" s="66">
        <f>'Project Database'!X487</f>
        <v/>
      </c>
      <c r="U483" s="67">
        <f>'Project Database'!Y487</f>
        <v/>
      </c>
      <c r="V483" s="66">
        <f>IF('Smart Search'!B13=1,IFERROR(1/'Smart Search'!H13,0),0)</f>
        <v/>
      </c>
      <c r="W483" s="66">
        <f>IF('Smart Search'!B13=1,IFERROR(1/'Smart Search'!H13,0),0)</f>
        <v/>
      </c>
      <c r="X483" s="66">
        <f>IF('Smart Search'!C13=1,IFERROR(1/'Smart Search'!H13,0),0)</f>
        <v/>
      </c>
      <c r="Y483" s="66">
        <f>IF('Smart Search'!C13=1,IFERROR(1/'Smart Search'!H13,0),0)</f>
        <v/>
      </c>
      <c r="Z483" s="66">
        <f>IF('Smart Search'!D13=1,IFERROR(1/'Smart Search'!H13,0),0)</f>
        <v/>
      </c>
      <c r="AA483" s="66">
        <f>IF('Smart Search'!D13=1,IFERROR(1/'Smart Search'!H13,0),0)</f>
        <v/>
      </c>
      <c r="AB483" s="66">
        <f>IF('Smart Search'!E13=1,IFERROR(1/'Smart Search'!H13,0),0)</f>
        <v/>
      </c>
      <c r="AC483" s="66">
        <f>IF('Smart Search'!E13=1,IFERROR(1/'Smart Search'!H13,0),0)</f>
        <v/>
      </c>
      <c r="AD483" s="66">
        <f>IF('Smart Search'!F13=1,IFERROR(1/'Smart Search'!H13,0),0)</f>
        <v/>
      </c>
      <c r="AE483" s="66">
        <f>IF('Smart Search'!F13=1,IFERROR(1/'Smart Search'!H13,0),0)</f>
        <v/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66">
        <f>AF483*V483</f>
        <v/>
      </c>
      <c r="AQ483" s="66">
        <f>AG483*W483</f>
        <v/>
      </c>
      <c r="AR483" s="66">
        <f>AH483*X483</f>
        <v/>
      </c>
      <c r="AS483" s="66">
        <f>AI483*Y483</f>
        <v/>
      </c>
      <c r="AT483" s="66">
        <f>AJ483*Z483</f>
        <v/>
      </c>
      <c r="AU483" s="66">
        <f>AK483*AA483</f>
        <v/>
      </c>
      <c r="AV483" s="66">
        <f>AL483*AB483</f>
        <v/>
      </c>
      <c r="AW483" s="66">
        <f>AM483*AC483</f>
        <v/>
      </c>
      <c r="AX483" s="66">
        <f>AN483*AD483</f>
        <v/>
      </c>
      <c r="AY483" s="66">
        <f>AO483*AE483</f>
        <v/>
      </c>
      <c r="AZ483" s="66">
        <f>'Project Database'!Z487</f>
        <v/>
      </c>
      <c r="BA483" s="66">
        <f>IF(OR(A483="",'Smart Search'!H13=0),"",MAX(0,BE483*BF483*MAX(0,1-BG483)))</f>
        <v/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66">
        <f>IF('Smart Search'!G13=1,IFERROR(1/'Smart Search'!H13,0),0)</f>
        <v/>
      </c>
      <c r="BD483" s="66">
        <f>BB483*BC483</f>
        <v/>
      </c>
      <c r="BE483" s="66">
        <f>AP483+AQ483+AR483+AS483+AT483+AU483+AV483+AW483+AX483+AY483+BD483</f>
        <v/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5">
        <f>IF(AND('Project Database'!A487&lt;&gt;"",OR('Smart Search'!$L$5="",'Smart Search'!$L$5="All",TRIM('Project Database'!D487)=TRIM('Smart Search'!$L$5)),OR(TRIM('Smart Search'!$L$6)="",TRIM('Smart Search'!$L$6)="All",ISNUMBER(SEARCH(SUBSTITUTE(SUBSTITUTE(SUBSTITUTE(TRIM('Smart Search'!$L$6),"~","~~"),"*","~*"),"?","~?"),'Project Database'!C487))),OR('Smart Search'!$L$7="",AND('Project Database'!E487&lt;&gt;"",'Project Database'!E487='Smart Search'!$L$7)),OR('Smart Search'!$L$8="",'Smart Search'!$L$8="All",TRIM('Project Database'!F487)=TRIM('Smart Search'!$L$8))),IF(BA483="","",BA483+ROW()*0.0000000001),"")</f>
        <v/>
      </c>
      <c r="BI483" s="5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>
        <f>IF('Project Database'!A487="","",N('Project Database'!AC487))</f>
        <v/>
      </c>
      <c r="BK483" s="5">
        <f>IF('Project Database'!A487="","",N('Project Database'!AD487))</f>
        <v/>
      </c>
      <c r="BL483" s="5">
        <f>IF('Project Database'!A487="","",N('Project Database'!AE487))</f>
        <v/>
      </c>
      <c r="BM483" s="5">
        <f>IF('Project Database'!A487="","",N('Project Database'!AF487))</f>
        <v/>
      </c>
      <c r="BN483" s="5">
        <f>IF('Project Database'!A487="","",N('Project Database'!AG487))</f>
        <v/>
      </c>
      <c r="BO483" s="5">
        <f>IF('Project Database'!A487="","",N('Project Database'!AH487))</f>
        <v/>
      </c>
      <c r="BP483" s="5">
        <f>IF('Project Database'!A487="","",N('Project Database'!AI487))</f>
        <v/>
      </c>
      <c r="BQ483" s="5">
        <f>IF('Project Database'!A487="","",N('Project Database'!AJ487))</f>
        <v/>
      </c>
      <c r="BR483" s="5">
        <f>IF('Project Database'!A487="","",N('Project Database'!AK487))</f>
        <v/>
      </c>
      <c r="BS483" s="5">
        <f>IF('Project Database'!A487="","",N('Project Database'!AL487))</f>
        <v/>
      </c>
      <c r="BT483" s="5">
        <f>IF('Project Database'!A487="","",N('Project Database'!AM487))</f>
        <v/>
      </c>
      <c r="BU483" s="5">
        <f>IF('Project Database'!A487="","",N('Project Database'!AN487))</f>
        <v/>
      </c>
      <c r="BV483" s="5">
        <f>IF('Project Database'!A487="","",N('Project Database'!AO487))</f>
        <v/>
      </c>
      <c r="BW483" s="5">
        <f>IF('Project Database'!A487="","",N('Project Database'!AP487))</f>
        <v/>
      </c>
      <c r="BX483" s="5">
        <f>IF(A483="","",SUM(BJ483:BW483))</f>
        <v/>
      </c>
      <c r="BY483" s="5">
        <f>IF(A483="","",IFERROR(IF(ISNUMBER(U483),U483,VALUE(SUBSTITUTE(SUBSTITUTE(SUBSTITUTE(UPPER(TRIM(U483)),"M",""),",","")," ",""))),0))</f>
        <v/>
      </c>
    </row>
    <row r="484" ht="15" customHeight="1" s="74">
      <c r="A484" s="66">
        <f>'Project Database'!A488</f>
        <v/>
      </c>
      <c r="B484" s="66">
        <f>'Project Database'!B488</f>
        <v/>
      </c>
      <c r="C484" s="66">
        <f>'Project Database'!G488</f>
        <v/>
      </c>
      <c r="D484" s="66">
        <f>'Project Database'!H488</f>
        <v/>
      </c>
      <c r="E484" s="66">
        <f>'Project Database'!I488</f>
        <v/>
      </c>
      <c r="F484" s="66">
        <f>'Project Database'!J488</f>
        <v/>
      </c>
      <c r="G484" s="66">
        <f>'Project Database'!K488</f>
        <v/>
      </c>
      <c r="H484" s="66">
        <f>'Project Database'!L488</f>
        <v/>
      </c>
      <c r="I484" s="66">
        <f>'Project Database'!M488</f>
        <v/>
      </c>
      <c r="J484" s="66">
        <f>'Project Database'!N488</f>
        <v/>
      </c>
      <c r="K484" s="66">
        <f>'Project Database'!O488</f>
        <v/>
      </c>
      <c r="L484" s="66">
        <f>'Project Database'!P488</f>
        <v/>
      </c>
      <c r="M484" s="66">
        <f>'Project Database'!Q488</f>
        <v/>
      </c>
      <c r="N484" s="66">
        <f>'Project Database'!R488</f>
        <v/>
      </c>
      <c r="O484" s="66">
        <f>'Project Database'!S488</f>
        <v/>
      </c>
      <c r="P484" s="66">
        <f>'Project Database'!T488</f>
        <v/>
      </c>
      <c r="Q484" s="66">
        <f>'Project Database'!U488</f>
        <v/>
      </c>
      <c r="R484" s="66">
        <f>'Project Database'!V488</f>
        <v/>
      </c>
      <c r="S484" s="66">
        <f>'Project Database'!W488</f>
        <v/>
      </c>
      <c r="T484" s="66">
        <f>'Project Database'!X488</f>
        <v/>
      </c>
      <c r="U484" s="67">
        <f>'Project Database'!Y488</f>
        <v/>
      </c>
      <c r="V484" s="66">
        <f>IF('Smart Search'!B13=1,IFERROR(1/'Smart Search'!H13,0),0)</f>
        <v/>
      </c>
      <c r="W484" s="66">
        <f>IF('Smart Search'!B13=1,IFERROR(1/'Smart Search'!H13,0),0)</f>
        <v/>
      </c>
      <c r="X484" s="66">
        <f>IF('Smart Search'!C13=1,IFERROR(1/'Smart Search'!H13,0),0)</f>
        <v/>
      </c>
      <c r="Y484" s="66">
        <f>IF('Smart Search'!C13=1,IFERROR(1/'Smart Search'!H13,0),0)</f>
        <v/>
      </c>
      <c r="Z484" s="66">
        <f>IF('Smart Search'!D13=1,IFERROR(1/'Smart Search'!H13,0),0)</f>
        <v/>
      </c>
      <c r="AA484" s="66">
        <f>IF('Smart Search'!D13=1,IFERROR(1/'Smart Search'!H13,0),0)</f>
        <v/>
      </c>
      <c r="AB484" s="66">
        <f>IF('Smart Search'!E13=1,IFERROR(1/'Smart Search'!H13,0),0)</f>
        <v/>
      </c>
      <c r="AC484" s="66">
        <f>IF('Smart Search'!E13=1,IFERROR(1/'Smart Search'!H13,0),0)</f>
        <v/>
      </c>
      <c r="AD484" s="66">
        <f>IF('Smart Search'!F13=1,IFERROR(1/'Smart Search'!H13,0),0)</f>
        <v/>
      </c>
      <c r="AE484" s="66">
        <f>IF('Smart Search'!F13=1,IFERROR(1/'Smart Search'!H13,0),0)</f>
        <v/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66">
        <f>AF484*V484</f>
        <v/>
      </c>
      <c r="AQ484" s="66">
        <f>AG484*W484</f>
        <v/>
      </c>
      <c r="AR484" s="66">
        <f>AH484*X484</f>
        <v/>
      </c>
      <c r="AS484" s="66">
        <f>AI484*Y484</f>
        <v/>
      </c>
      <c r="AT484" s="66">
        <f>AJ484*Z484</f>
        <v/>
      </c>
      <c r="AU484" s="66">
        <f>AK484*AA484</f>
        <v/>
      </c>
      <c r="AV484" s="66">
        <f>AL484*AB484</f>
        <v/>
      </c>
      <c r="AW484" s="66">
        <f>AM484*AC484</f>
        <v/>
      </c>
      <c r="AX484" s="66">
        <f>AN484*AD484</f>
        <v/>
      </c>
      <c r="AY484" s="66">
        <f>AO484*AE484</f>
        <v/>
      </c>
      <c r="AZ484" s="66">
        <f>'Project Database'!Z488</f>
        <v/>
      </c>
      <c r="BA484" s="66">
        <f>IF(OR(A484="",'Smart Search'!H13=0),"",MAX(0,BE484*BF484*MAX(0,1-BG484)))</f>
        <v/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66">
        <f>IF('Smart Search'!G13=1,IFERROR(1/'Smart Search'!H13,0),0)</f>
        <v/>
      </c>
      <c r="BD484" s="66">
        <f>BB484*BC484</f>
        <v/>
      </c>
      <c r="BE484" s="66">
        <f>AP484+AQ484+AR484+AS484+AT484+AU484+AV484+AW484+AX484+AY484+BD484</f>
        <v/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5">
        <f>IF(AND('Project Database'!A488&lt;&gt;"",OR('Smart Search'!$L$5="",'Smart Search'!$L$5="All",TRIM('Project Database'!D488)=TRIM('Smart Search'!$L$5)),OR(TRIM('Smart Search'!$L$6)="",TRIM('Smart Search'!$L$6)="All",ISNUMBER(SEARCH(SUBSTITUTE(SUBSTITUTE(SUBSTITUTE(TRIM('Smart Search'!$L$6),"~","~~"),"*","~*"),"?","~?"),'Project Database'!C488))),OR('Smart Search'!$L$7="",AND('Project Database'!E488&lt;&gt;"",'Project Database'!E488='Smart Search'!$L$7)),OR('Smart Search'!$L$8="",'Smart Search'!$L$8="All",TRIM('Project Database'!F488)=TRIM('Smart Search'!$L$8))),IF(BA484="","",BA484+ROW()*0.0000000001),"")</f>
        <v/>
      </c>
      <c r="BI484" s="5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>
        <f>IF('Project Database'!A488="","",N('Project Database'!AC488))</f>
        <v/>
      </c>
      <c r="BK484" s="5">
        <f>IF('Project Database'!A488="","",N('Project Database'!AD488))</f>
        <v/>
      </c>
      <c r="BL484" s="5">
        <f>IF('Project Database'!A488="","",N('Project Database'!AE488))</f>
        <v/>
      </c>
      <c r="BM484" s="5">
        <f>IF('Project Database'!A488="","",N('Project Database'!AF488))</f>
        <v/>
      </c>
      <c r="BN484" s="5">
        <f>IF('Project Database'!A488="","",N('Project Database'!AG488))</f>
        <v/>
      </c>
      <c r="BO484" s="5">
        <f>IF('Project Database'!A488="","",N('Project Database'!AH488))</f>
        <v/>
      </c>
      <c r="BP484" s="5">
        <f>IF('Project Database'!A488="","",N('Project Database'!AI488))</f>
        <v/>
      </c>
      <c r="BQ484" s="5">
        <f>IF('Project Database'!A488="","",N('Project Database'!AJ488))</f>
        <v/>
      </c>
      <c r="BR484" s="5">
        <f>IF('Project Database'!A488="","",N('Project Database'!AK488))</f>
        <v/>
      </c>
      <c r="BS484" s="5">
        <f>IF('Project Database'!A488="","",N('Project Database'!AL488))</f>
        <v/>
      </c>
      <c r="BT484" s="5">
        <f>IF('Project Database'!A488="","",N('Project Database'!AM488))</f>
        <v/>
      </c>
      <c r="BU484" s="5">
        <f>IF('Project Database'!A488="","",N('Project Database'!AN488))</f>
        <v/>
      </c>
      <c r="BV484" s="5">
        <f>IF('Project Database'!A488="","",N('Project Database'!AO488))</f>
        <v/>
      </c>
      <c r="BW484" s="5">
        <f>IF('Project Database'!A488="","",N('Project Database'!AP488))</f>
        <v/>
      </c>
      <c r="BX484" s="5">
        <f>IF(A484="","",SUM(BJ484:BW484))</f>
        <v/>
      </c>
      <c r="BY484" s="5">
        <f>IF(A484="","",IFERROR(IF(ISNUMBER(U484),U484,VALUE(SUBSTITUTE(SUBSTITUTE(SUBSTITUTE(UPPER(TRIM(U484)),"M",""),",","")," ",""))),0))</f>
        <v/>
      </c>
    </row>
    <row r="485" ht="15" customHeight="1" s="74">
      <c r="A485" s="66">
        <f>'Project Database'!A489</f>
        <v/>
      </c>
      <c r="B485" s="66">
        <f>'Project Database'!B489</f>
        <v/>
      </c>
      <c r="C485" s="66">
        <f>'Project Database'!G489</f>
        <v/>
      </c>
      <c r="D485" s="66">
        <f>'Project Database'!H489</f>
        <v/>
      </c>
      <c r="E485" s="66">
        <f>'Project Database'!I489</f>
        <v/>
      </c>
      <c r="F485" s="66">
        <f>'Project Database'!J489</f>
        <v/>
      </c>
      <c r="G485" s="66">
        <f>'Project Database'!K489</f>
        <v/>
      </c>
      <c r="H485" s="66">
        <f>'Project Database'!L489</f>
        <v/>
      </c>
      <c r="I485" s="66">
        <f>'Project Database'!M489</f>
        <v/>
      </c>
      <c r="J485" s="66">
        <f>'Project Database'!N489</f>
        <v/>
      </c>
      <c r="K485" s="66">
        <f>'Project Database'!O489</f>
        <v/>
      </c>
      <c r="L485" s="66">
        <f>'Project Database'!P489</f>
        <v/>
      </c>
      <c r="M485" s="66">
        <f>'Project Database'!Q489</f>
        <v/>
      </c>
      <c r="N485" s="66">
        <f>'Project Database'!R489</f>
        <v/>
      </c>
      <c r="O485" s="66">
        <f>'Project Database'!S489</f>
        <v/>
      </c>
      <c r="P485" s="66">
        <f>'Project Database'!T489</f>
        <v/>
      </c>
      <c r="Q485" s="66">
        <f>'Project Database'!U489</f>
        <v/>
      </c>
      <c r="R485" s="66">
        <f>'Project Database'!V489</f>
        <v/>
      </c>
      <c r="S485" s="66">
        <f>'Project Database'!W489</f>
        <v/>
      </c>
      <c r="T485" s="66">
        <f>'Project Database'!X489</f>
        <v/>
      </c>
      <c r="U485" s="67">
        <f>'Project Database'!Y489</f>
        <v/>
      </c>
      <c r="V485" s="66">
        <f>IF('Smart Search'!B13=1,IFERROR(1/'Smart Search'!H13,0),0)</f>
        <v/>
      </c>
      <c r="W485" s="66">
        <f>IF('Smart Search'!B13=1,IFERROR(1/'Smart Search'!H13,0),0)</f>
        <v/>
      </c>
      <c r="X485" s="66">
        <f>IF('Smart Search'!C13=1,IFERROR(1/'Smart Search'!H13,0),0)</f>
        <v/>
      </c>
      <c r="Y485" s="66">
        <f>IF('Smart Search'!C13=1,IFERROR(1/'Smart Search'!H13,0),0)</f>
        <v/>
      </c>
      <c r="Z485" s="66">
        <f>IF('Smart Search'!D13=1,IFERROR(1/'Smart Search'!H13,0),0)</f>
        <v/>
      </c>
      <c r="AA485" s="66">
        <f>IF('Smart Search'!D13=1,IFERROR(1/'Smart Search'!H13,0),0)</f>
        <v/>
      </c>
      <c r="AB485" s="66">
        <f>IF('Smart Search'!E13=1,IFERROR(1/'Smart Search'!H13,0),0)</f>
        <v/>
      </c>
      <c r="AC485" s="66">
        <f>IF('Smart Search'!E13=1,IFERROR(1/'Smart Search'!H13,0),0)</f>
        <v/>
      </c>
      <c r="AD485" s="66">
        <f>IF('Smart Search'!F13=1,IFERROR(1/'Smart Search'!H13,0),0)</f>
        <v/>
      </c>
      <c r="AE485" s="66">
        <f>IF('Smart Search'!F13=1,IFERROR(1/'Smart Search'!H13,0),0)</f>
        <v/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66">
        <f>AF485*V485</f>
        <v/>
      </c>
      <c r="AQ485" s="66">
        <f>AG485*W485</f>
        <v/>
      </c>
      <c r="AR485" s="66">
        <f>AH485*X485</f>
        <v/>
      </c>
      <c r="AS485" s="66">
        <f>AI485*Y485</f>
        <v/>
      </c>
      <c r="AT485" s="66">
        <f>AJ485*Z485</f>
        <v/>
      </c>
      <c r="AU485" s="66">
        <f>AK485*AA485</f>
        <v/>
      </c>
      <c r="AV485" s="66">
        <f>AL485*AB485</f>
        <v/>
      </c>
      <c r="AW485" s="66">
        <f>AM485*AC485</f>
        <v/>
      </c>
      <c r="AX485" s="66">
        <f>AN485*AD485</f>
        <v/>
      </c>
      <c r="AY485" s="66">
        <f>AO485*AE485</f>
        <v/>
      </c>
      <c r="AZ485" s="66">
        <f>'Project Database'!Z489</f>
        <v/>
      </c>
      <c r="BA485" s="66">
        <f>IF(OR(A485="",'Smart Search'!H13=0),"",MAX(0,BE485*BF485*MAX(0,1-BG485)))</f>
        <v/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66">
        <f>IF('Smart Search'!G13=1,IFERROR(1/'Smart Search'!H13,0),0)</f>
        <v/>
      </c>
      <c r="BD485" s="66">
        <f>BB485*BC485</f>
        <v/>
      </c>
      <c r="BE485" s="66">
        <f>AP485+AQ485+AR485+AS485+AT485+AU485+AV485+AW485+AX485+AY485+BD485</f>
        <v/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5">
        <f>IF(AND('Project Database'!A489&lt;&gt;"",OR('Smart Search'!$L$5="",'Smart Search'!$L$5="All",TRIM('Project Database'!D489)=TRIM('Smart Search'!$L$5)),OR(TRIM('Smart Search'!$L$6)="",TRIM('Smart Search'!$L$6)="All",ISNUMBER(SEARCH(SUBSTITUTE(SUBSTITUTE(SUBSTITUTE(TRIM('Smart Search'!$L$6),"~","~~"),"*","~*"),"?","~?"),'Project Database'!C489))),OR('Smart Search'!$L$7="",AND('Project Database'!E489&lt;&gt;"",'Project Database'!E489='Smart Search'!$L$7)),OR('Smart Search'!$L$8="",'Smart Search'!$L$8="All",TRIM('Project Database'!F489)=TRIM('Smart Search'!$L$8))),IF(BA485="","",BA485+ROW()*0.0000000001),"")</f>
        <v/>
      </c>
      <c r="BI485" s="5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>
        <f>IF('Project Database'!A489="","",N('Project Database'!AC489))</f>
        <v/>
      </c>
      <c r="BK485" s="5">
        <f>IF('Project Database'!A489="","",N('Project Database'!AD489))</f>
        <v/>
      </c>
      <c r="BL485" s="5">
        <f>IF('Project Database'!A489="","",N('Project Database'!AE489))</f>
        <v/>
      </c>
      <c r="BM485" s="5">
        <f>IF('Project Database'!A489="","",N('Project Database'!AF489))</f>
        <v/>
      </c>
      <c r="BN485" s="5">
        <f>IF('Project Database'!A489="","",N('Project Database'!AG489))</f>
        <v/>
      </c>
      <c r="BO485" s="5">
        <f>IF('Project Database'!A489="","",N('Project Database'!AH489))</f>
        <v/>
      </c>
      <c r="BP485" s="5">
        <f>IF('Project Database'!A489="","",N('Project Database'!AI489))</f>
        <v/>
      </c>
      <c r="BQ485" s="5">
        <f>IF('Project Database'!A489="","",N('Project Database'!AJ489))</f>
        <v/>
      </c>
      <c r="BR485" s="5">
        <f>IF('Project Database'!A489="","",N('Project Database'!AK489))</f>
        <v/>
      </c>
      <c r="BS485" s="5">
        <f>IF('Project Database'!A489="","",N('Project Database'!AL489))</f>
        <v/>
      </c>
      <c r="BT485" s="5">
        <f>IF('Project Database'!A489="","",N('Project Database'!AM489))</f>
        <v/>
      </c>
      <c r="BU485" s="5">
        <f>IF('Project Database'!A489="","",N('Project Database'!AN489))</f>
        <v/>
      </c>
      <c r="BV485" s="5">
        <f>IF('Project Database'!A489="","",N('Project Database'!AO489))</f>
        <v/>
      </c>
      <c r="BW485" s="5">
        <f>IF('Project Database'!A489="","",N('Project Database'!AP489))</f>
        <v/>
      </c>
      <c r="BX485" s="5">
        <f>IF(A485="","",SUM(BJ485:BW485))</f>
        <v/>
      </c>
      <c r="BY485" s="5">
        <f>IF(A485="","",IFERROR(IF(ISNUMBER(U485),U485,VALUE(SUBSTITUTE(SUBSTITUTE(SUBSTITUTE(UPPER(TRIM(U485)),"M",""),",","")," ",""))),0))</f>
        <v/>
      </c>
    </row>
    <row r="486" ht="15" customHeight="1" s="74">
      <c r="A486" s="66">
        <f>'Project Database'!A490</f>
        <v/>
      </c>
      <c r="B486" s="66">
        <f>'Project Database'!B490</f>
        <v/>
      </c>
      <c r="C486" s="66">
        <f>'Project Database'!G490</f>
        <v/>
      </c>
      <c r="D486" s="66">
        <f>'Project Database'!H490</f>
        <v/>
      </c>
      <c r="E486" s="66">
        <f>'Project Database'!I490</f>
        <v/>
      </c>
      <c r="F486" s="66">
        <f>'Project Database'!J490</f>
        <v/>
      </c>
      <c r="G486" s="66">
        <f>'Project Database'!K490</f>
        <v/>
      </c>
      <c r="H486" s="66">
        <f>'Project Database'!L490</f>
        <v/>
      </c>
      <c r="I486" s="66">
        <f>'Project Database'!M490</f>
        <v/>
      </c>
      <c r="J486" s="66">
        <f>'Project Database'!N490</f>
        <v/>
      </c>
      <c r="K486" s="66">
        <f>'Project Database'!O490</f>
        <v/>
      </c>
      <c r="L486" s="66">
        <f>'Project Database'!P490</f>
        <v/>
      </c>
      <c r="M486" s="66">
        <f>'Project Database'!Q490</f>
        <v/>
      </c>
      <c r="N486" s="66">
        <f>'Project Database'!R490</f>
        <v/>
      </c>
      <c r="O486" s="66">
        <f>'Project Database'!S490</f>
        <v/>
      </c>
      <c r="P486" s="66">
        <f>'Project Database'!T490</f>
        <v/>
      </c>
      <c r="Q486" s="66">
        <f>'Project Database'!U490</f>
        <v/>
      </c>
      <c r="R486" s="66">
        <f>'Project Database'!V490</f>
        <v/>
      </c>
      <c r="S486" s="66">
        <f>'Project Database'!W490</f>
        <v/>
      </c>
      <c r="T486" s="66">
        <f>'Project Database'!X490</f>
        <v/>
      </c>
      <c r="U486" s="67">
        <f>'Project Database'!Y490</f>
        <v/>
      </c>
      <c r="V486" s="66">
        <f>IF('Smart Search'!B13=1,IFERROR(1/'Smart Search'!H13,0),0)</f>
        <v/>
      </c>
      <c r="W486" s="66">
        <f>IF('Smart Search'!B13=1,IFERROR(1/'Smart Search'!H13,0),0)</f>
        <v/>
      </c>
      <c r="X486" s="66">
        <f>IF('Smart Search'!C13=1,IFERROR(1/'Smart Search'!H13,0),0)</f>
        <v/>
      </c>
      <c r="Y486" s="66">
        <f>IF('Smart Search'!C13=1,IFERROR(1/'Smart Search'!H13,0),0)</f>
        <v/>
      </c>
      <c r="Z486" s="66">
        <f>IF('Smart Search'!D13=1,IFERROR(1/'Smart Search'!H13,0),0)</f>
        <v/>
      </c>
      <c r="AA486" s="66">
        <f>IF('Smart Search'!D13=1,IFERROR(1/'Smart Search'!H13,0),0)</f>
        <v/>
      </c>
      <c r="AB486" s="66">
        <f>IF('Smart Search'!E13=1,IFERROR(1/'Smart Search'!H13,0),0)</f>
        <v/>
      </c>
      <c r="AC486" s="66">
        <f>IF('Smart Search'!E13=1,IFERROR(1/'Smart Search'!H13,0),0)</f>
        <v/>
      </c>
      <c r="AD486" s="66">
        <f>IF('Smart Search'!F13=1,IFERROR(1/'Smart Search'!H13,0),0)</f>
        <v/>
      </c>
      <c r="AE486" s="66">
        <f>IF('Smart Search'!F13=1,IFERROR(1/'Smart Search'!H13,0),0)</f>
        <v/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66">
        <f>AF486*V486</f>
        <v/>
      </c>
      <c r="AQ486" s="66">
        <f>AG486*W486</f>
        <v/>
      </c>
      <c r="AR486" s="66">
        <f>AH486*X486</f>
        <v/>
      </c>
      <c r="AS486" s="66">
        <f>AI486*Y486</f>
        <v/>
      </c>
      <c r="AT486" s="66">
        <f>AJ486*Z486</f>
        <v/>
      </c>
      <c r="AU486" s="66">
        <f>AK486*AA486</f>
        <v/>
      </c>
      <c r="AV486" s="66">
        <f>AL486*AB486</f>
        <v/>
      </c>
      <c r="AW486" s="66">
        <f>AM486*AC486</f>
        <v/>
      </c>
      <c r="AX486" s="66">
        <f>AN486*AD486</f>
        <v/>
      </c>
      <c r="AY486" s="66">
        <f>AO486*AE486</f>
        <v/>
      </c>
      <c r="AZ486" s="66">
        <f>'Project Database'!Z490</f>
        <v/>
      </c>
      <c r="BA486" s="66">
        <f>IF(OR(A486="",'Smart Search'!H13=0),"",MAX(0,BE486*BF486*MAX(0,1-BG486)))</f>
        <v/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66">
        <f>IF('Smart Search'!G13=1,IFERROR(1/'Smart Search'!H13,0),0)</f>
        <v/>
      </c>
      <c r="BD486" s="66">
        <f>BB486*BC486</f>
        <v/>
      </c>
      <c r="BE486" s="66">
        <f>AP486+AQ486+AR486+AS486+AT486+AU486+AV486+AW486+AX486+AY486+BD486</f>
        <v/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5">
        <f>IF(AND('Project Database'!A490&lt;&gt;"",OR('Smart Search'!$L$5="",'Smart Search'!$L$5="All",TRIM('Project Database'!D490)=TRIM('Smart Search'!$L$5)),OR(TRIM('Smart Search'!$L$6)="",TRIM('Smart Search'!$L$6)="All",ISNUMBER(SEARCH(SUBSTITUTE(SUBSTITUTE(SUBSTITUTE(TRIM('Smart Search'!$L$6),"~","~~"),"*","~*"),"?","~?"),'Project Database'!C490))),OR('Smart Search'!$L$7="",AND('Project Database'!E490&lt;&gt;"",'Project Database'!E490='Smart Search'!$L$7)),OR('Smart Search'!$L$8="",'Smart Search'!$L$8="All",TRIM('Project Database'!F490)=TRIM('Smart Search'!$L$8))),IF(BA486="","",BA486+ROW()*0.0000000001),"")</f>
        <v/>
      </c>
      <c r="BI486" s="5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>
        <f>IF('Project Database'!A490="","",N('Project Database'!AC490))</f>
        <v/>
      </c>
      <c r="BK486" s="5">
        <f>IF('Project Database'!A490="","",N('Project Database'!AD490))</f>
        <v/>
      </c>
      <c r="BL486" s="5">
        <f>IF('Project Database'!A490="","",N('Project Database'!AE490))</f>
        <v/>
      </c>
      <c r="BM486" s="5">
        <f>IF('Project Database'!A490="","",N('Project Database'!AF490))</f>
        <v/>
      </c>
      <c r="BN486" s="5">
        <f>IF('Project Database'!A490="","",N('Project Database'!AG490))</f>
        <v/>
      </c>
      <c r="BO486" s="5">
        <f>IF('Project Database'!A490="","",N('Project Database'!AH490))</f>
        <v/>
      </c>
      <c r="BP486" s="5">
        <f>IF('Project Database'!A490="","",N('Project Database'!AI490))</f>
        <v/>
      </c>
      <c r="BQ486" s="5">
        <f>IF('Project Database'!A490="","",N('Project Database'!AJ490))</f>
        <v/>
      </c>
      <c r="BR486" s="5">
        <f>IF('Project Database'!A490="","",N('Project Database'!AK490))</f>
        <v/>
      </c>
      <c r="BS486" s="5">
        <f>IF('Project Database'!A490="","",N('Project Database'!AL490))</f>
        <v/>
      </c>
      <c r="BT486" s="5">
        <f>IF('Project Database'!A490="","",N('Project Database'!AM490))</f>
        <v/>
      </c>
      <c r="BU486" s="5">
        <f>IF('Project Database'!A490="","",N('Project Database'!AN490))</f>
        <v/>
      </c>
      <c r="BV486" s="5">
        <f>IF('Project Database'!A490="","",N('Project Database'!AO490))</f>
        <v/>
      </c>
      <c r="BW486" s="5">
        <f>IF('Project Database'!A490="","",N('Project Database'!AP490))</f>
        <v/>
      </c>
      <c r="BX486" s="5">
        <f>IF(A486="","",SUM(BJ486:BW486))</f>
        <v/>
      </c>
      <c r="BY486" s="5">
        <f>IF(A486="","",IFERROR(IF(ISNUMBER(U486),U486,VALUE(SUBSTITUTE(SUBSTITUTE(SUBSTITUTE(UPPER(TRIM(U486)),"M",""),",","")," ",""))),0))</f>
        <v/>
      </c>
    </row>
    <row r="487" ht="15" customHeight="1" s="74">
      <c r="A487" s="66">
        <f>'Project Database'!A491</f>
        <v/>
      </c>
      <c r="B487" s="66">
        <f>'Project Database'!B491</f>
        <v/>
      </c>
      <c r="C487" s="66">
        <f>'Project Database'!G491</f>
        <v/>
      </c>
      <c r="D487" s="66">
        <f>'Project Database'!H491</f>
        <v/>
      </c>
      <c r="E487" s="66">
        <f>'Project Database'!I491</f>
        <v/>
      </c>
      <c r="F487" s="66">
        <f>'Project Database'!J491</f>
        <v/>
      </c>
      <c r="G487" s="66">
        <f>'Project Database'!K491</f>
        <v/>
      </c>
      <c r="H487" s="66">
        <f>'Project Database'!L491</f>
        <v/>
      </c>
      <c r="I487" s="66">
        <f>'Project Database'!M491</f>
        <v/>
      </c>
      <c r="J487" s="66">
        <f>'Project Database'!N491</f>
        <v/>
      </c>
      <c r="K487" s="66">
        <f>'Project Database'!O491</f>
        <v/>
      </c>
      <c r="L487" s="66">
        <f>'Project Database'!P491</f>
        <v/>
      </c>
      <c r="M487" s="66">
        <f>'Project Database'!Q491</f>
        <v/>
      </c>
      <c r="N487" s="66">
        <f>'Project Database'!R491</f>
        <v/>
      </c>
      <c r="O487" s="66">
        <f>'Project Database'!S491</f>
        <v/>
      </c>
      <c r="P487" s="66">
        <f>'Project Database'!T491</f>
        <v/>
      </c>
      <c r="Q487" s="66">
        <f>'Project Database'!U491</f>
        <v/>
      </c>
      <c r="R487" s="66">
        <f>'Project Database'!V491</f>
        <v/>
      </c>
      <c r="S487" s="66">
        <f>'Project Database'!W491</f>
        <v/>
      </c>
      <c r="T487" s="66">
        <f>'Project Database'!X491</f>
        <v/>
      </c>
      <c r="U487" s="67">
        <f>'Project Database'!Y491</f>
        <v/>
      </c>
      <c r="V487" s="66">
        <f>IF('Smart Search'!B13=1,IFERROR(1/'Smart Search'!H13,0),0)</f>
        <v/>
      </c>
      <c r="W487" s="66">
        <f>IF('Smart Search'!B13=1,IFERROR(1/'Smart Search'!H13,0),0)</f>
        <v/>
      </c>
      <c r="X487" s="66">
        <f>IF('Smart Search'!C13=1,IFERROR(1/'Smart Search'!H13,0),0)</f>
        <v/>
      </c>
      <c r="Y487" s="66">
        <f>IF('Smart Search'!C13=1,IFERROR(1/'Smart Search'!H13,0),0)</f>
        <v/>
      </c>
      <c r="Z487" s="66">
        <f>IF('Smart Search'!D13=1,IFERROR(1/'Smart Search'!H13,0),0)</f>
        <v/>
      </c>
      <c r="AA487" s="66">
        <f>IF('Smart Search'!D13=1,IFERROR(1/'Smart Search'!H13,0),0)</f>
        <v/>
      </c>
      <c r="AB487" s="66">
        <f>IF('Smart Search'!E13=1,IFERROR(1/'Smart Search'!H13,0),0)</f>
        <v/>
      </c>
      <c r="AC487" s="66">
        <f>IF('Smart Search'!E13=1,IFERROR(1/'Smart Search'!H13,0),0)</f>
        <v/>
      </c>
      <c r="AD487" s="66">
        <f>IF('Smart Search'!F13=1,IFERROR(1/'Smart Search'!H13,0),0)</f>
        <v/>
      </c>
      <c r="AE487" s="66">
        <f>IF('Smart Search'!F13=1,IFERROR(1/'Smart Search'!H13,0),0)</f>
        <v/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66">
        <f>AF487*V487</f>
        <v/>
      </c>
      <c r="AQ487" s="66">
        <f>AG487*W487</f>
        <v/>
      </c>
      <c r="AR487" s="66">
        <f>AH487*X487</f>
        <v/>
      </c>
      <c r="AS487" s="66">
        <f>AI487*Y487</f>
        <v/>
      </c>
      <c r="AT487" s="66">
        <f>AJ487*Z487</f>
        <v/>
      </c>
      <c r="AU487" s="66">
        <f>AK487*AA487</f>
        <v/>
      </c>
      <c r="AV487" s="66">
        <f>AL487*AB487</f>
        <v/>
      </c>
      <c r="AW487" s="66">
        <f>AM487*AC487</f>
        <v/>
      </c>
      <c r="AX487" s="66">
        <f>AN487*AD487</f>
        <v/>
      </c>
      <c r="AY487" s="66">
        <f>AO487*AE487</f>
        <v/>
      </c>
      <c r="AZ487" s="66">
        <f>'Project Database'!Z491</f>
        <v/>
      </c>
      <c r="BA487" s="66">
        <f>IF(OR(A487="",'Smart Search'!H13=0),"",MAX(0,BE487*BF487*MAX(0,1-BG487)))</f>
        <v/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66">
        <f>IF('Smart Search'!G13=1,IFERROR(1/'Smart Search'!H13,0),0)</f>
        <v/>
      </c>
      <c r="BD487" s="66">
        <f>BB487*BC487</f>
        <v/>
      </c>
      <c r="BE487" s="66">
        <f>AP487+AQ487+AR487+AS487+AT487+AU487+AV487+AW487+AX487+AY487+BD487</f>
        <v/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5">
        <f>IF(AND('Project Database'!A491&lt;&gt;"",OR('Smart Search'!$L$5="",'Smart Search'!$L$5="All",TRIM('Project Database'!D491)=TRIM('Smart Search'!$L$5)),OR(TRIM('Smart Search'!$L$6)="",TRIM('Smart Search'!$L$6)="All",ISNUMBER(SEARCH(SUBSTITUTE(SUBSTITUTE(SUBSTITUTE(TRIM('Smart Search'!$L$6),"~","~~"),"*","~*"),"?","~?"),'Project Database'!C491))),OR('Smart Search'!$L$7="",AND('Project Database'!E491&lt;&gt;"",'Project Database'!E491='Smart Search'!$L$7)),OR('Smart Search'!$L$8="",'Smart Search'!$L$8="All",TRIM('Project Database'!F491)=TRIM('Smart Search'!$L$8))),IF(BA487="","",BA487+ROW()*0.0000000001),"")</f>
        <v/>
      </c>
      <c r="BI487" s="5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>
        <f>IF('Project Database'!A491="","",N('Project Database'!AC491))</f>
        <v/>
      </c>
      <c r="BK487" s="5">
        <f>IF('Project Database'!A491="","",N('Project Database'!AD491))</f>
        <v/>
      </c>
      <c r="BL487" s="5">
        <f>IF('Project Database'!A491="","",N('Project Database'!AE491))</f>
        <v/>
      </c>
      <c r="BM487" s="5">
        <f>IF('Project Database'!A491="","",N('Project Database'!AF491))</f>
        <v/>
      </c>
      <c r="BN487" s="5">
        <f>IF('Project Database'!A491="","",N('Project Database'!AG491))</f>
        <v/>
      </c>
      <c r="BO487" s="5">
        <f>IF('Project Database'!A491="","",N('Project Database'!AH491))</f>
        <v/>
      </c>
      <c r="BP487" s="5">
        <f>IF('Project Database'!A491="","",N('Project Database'!AI491))</f>
        <v/>
      </c>
      <c r="BQ487" s="5">
        <f>IF('Project Database'!A491="","",N('Project Database'!AJ491))</f>
        <v/>
      </c>
      <c r="BR487" s="5">
        <f>IF('Project Database'!A491="","",N('Project Database'!AK491))</f>
        <v/>
      </c>
      <c r="BS487" s="5">
        <f>IF('Project Database'!A491="","",N('Project Database'!AL491))</f>
        <v/>
      </c>
      <c r="BT487" s="5">
        <f>IF('Project Database'!A491="","",N('Project Database'!AM491))</f>
        <v/>
      </c>
      <c r="BU487" s="5">
        <f>IF('Project Database'!A491="","",N('Project Database'!AN491))</f>
        <v/>
      </c>
      <c r="BV487" s="5">
        <f>IF('Project Database'!A491="","",N('Project Database'!AO491))</f>
        <v/>
      </c>
      <c r="BW487" s="5">
        <f>IF('Project Database'!A491="","",N('Project Database'!AP491))</f>
        <v/>
      </c>
      <c r="BX487" s="5">
        <f>IF(A487="","",SUM(BJ487:BW487))</f>
        <v/>
      </c>
      <c r="BY487" s="5">
        <f>IF(A487="","",IFERROR(IF(ISNUMBER(U487),U487,VALUE(SUBSTITUTE(SUBSTITUTE(SUBSTITUTE(UPPER(TRIM(U487)),"M",""),",","")," ",""))),0))</f>
        <v/>
      </c>
    </row>
    <row r="488" ht="15" customHeight="1" s="74">
      <c r="A488" s="66">
        <f>'Project Database'!A492</f>
        <v/>
      </c>
      <c r="B488" s="66">
        <f>'Project Database'!B492</f>
        <v/>
      </c>
      <c r="C488" s="66">
        <f>'Project Database'!G492</f>
        <v/>
      </c>
      <c r="D488" s="66">
        <f>'Project Database'!H492</f>
        <v/>
      </c>
      <c r="E488" s="66">
        <f>'Project Database'!I492</f>
        <v/>
      </c>
      <c r="F488" s="66">
        <f>'Project Database'!J492</f>
        <v/>
      </c>
      <c r="G488" s="66">
        <f>'Project Database'!K492</f>
        <v/>
      </c>
      <c r="H488" s="66">
        <f>'Project Database'!L492</f>
        <v/>
      </c>
      <c r="I488" s="66">
        <f>'Project Database'!M492</f>
        <v/>
      </c>
      <c r="J488" s="66">
        <f>'Project Database'!N492</f>
        <v/>
      </c>
      <c r="K488" s="66">
        <f>'Project Database'!O492</f>
        <v/>
      </c>
      <c r="L488" s="66">
        <f>'Project Database'!P492</f>
        <v/>
      </c>
      <c r="M488" s="66">
        <f>'Project Database'!Q492</f>
        <v/>
      </c>
      <c r="N488" s="66">
        <f>'Project Database'!R492</f>
        <v/>
      </c>
      <c r="O488" s="66">
        <f>'Project Database'!S492</f>
        <v/>
      </c>
      <c r="P488" s="66">
        <f>'Project Database'!T492</f>
        <v/>
      </c>
      <c r="Q488" s="66">
        <f>'Project Database'!U492</f>
        <v/>
      </c>
      <c r="R488" s="66">
        <f>'Project Database'!V492</f>
        <v/>
      </c>
      <c r="S488" s="66">
        <f>'Project Database'!W492</f>
        <v/>
      </c>
      <c r="T488" s="66">
        <f>'Project Database'!X492</f>
        <v/>
      </c>
      <c r="U488" s="67">
        <f>'Project Database'!Y492</f>
        <v/>
      </c>
      <c r="V488" s="66">
        <f>IF('Smart Search'!B13=1,IFERROR(1/'Smart Search'!H13,0),0)</f>
        <v/>
      </c>
      <c r="W488" s="66">
        <f>IF('Smart Search'!B13=1,IFERROR(1/'Smart Search'!H13,0),0)</f>
        <v/>
      </c>
      <c r="X488" s="66">
        <f>IF('Smart Search'!C13=1,IFERROR(1/'Smart Search'!H13,0),0)</f>
        <v/>
      </c>
      <c r="Y488" s="66">
        <f>IF('Smart Search'!C13=1,IFERROR(1/'Smart Search'!H13,0),0)</f>
        <v/>
      </c>
      <c r="Z488" s="66">
        <f>IF('Smart Search'!D13=1,IFERROR(1/'Smart Search'!H13,0),0)</f>
        <v/>
      </c>
      <c r="AA488" s="66">
        <f>IF('Smart Search'!D13=1,IFERROR(1/'Smart Search'!H13,0),0)</f>
        <v/>
      </c>
      <c r="AB488" s="66">
        <f>IF('Smart Search'!E13=1,IFERROR(1/'Smart Search'!H13,0),0)</f>
        <v/>
      </c>
      <c r="AC488" s="66">
        <f>IF('Smart Search'!E13=1,IFERROR(1/'Smart Search'!H13,0),0)</f>
        <v/>
      </c>
      <c r="AD488" s="66">
        <f>IF('Smart Search'!F13=1,IFERROR(1/'Smart Search'!H13,0),0)</f>
        <v/>
      </c>
      <c r="AE488" s="66">
        <f>IF('Smart Search'!F13=1,IFERROR(1/'Smart Search'!H13,0),0)</f>
        <v/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66">
        <f>AF488*V488</f>
        <v/>
      </c>
      <c r="AQ488" s="66">
        <f>AG488*W488</f>
        <v/>
      </c>
      <c r="AR488" s="66">
        <f>AH488*X488</f>
        <v/>
      </c>
      <c r="AS488" s="66">
        <f>AI488*Y488</f>
        <v/>
      </c>
      <c r="AT488" s="66">
        <f>AJ488*Z488</f>
        <v/>
      </c>
      <c r="AU488" s="66">
        <f>AK488*AA488</f>
        <v/>
      </c>
      <c r="AV488" s="66">
        <f>AL488*AB488</f>
        <v/>
      </c>
      <c r="AW488" s="66">
        <f>AM488*AC488</f>
        <v/>
      </c>
      <c r="AX488" s="66">
        <f>AN488*AD488</f>
        <v/>
      </c>
      <c r="AY488" s="66">
        <f>AO488*AE488</f>
        <v/>
      </c>
      <c r="AZ488" s="66">
        <f>'Project Database'!Z492</f>
        <v/>
      </c>
      <c r="BA488" s="66">
        <f>IF(OR(A488="",'Smart Search'!H13=0),"",MAX(0,BE488*BF488*MAX(0,1-BG488)))</f>
        <v/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66">
        <f>IF('Smart Search'!G13=1,IFERROR(1/'Smart Search'!H13,0),0)</f>
        <v/>
      </c>
      <c r="BD488" s="66">
        <f>BB488*BC488</f>
        <v/>
      </c>
      <c r="BE488" s="66">
        <f>AP488+AQ488+AR488+AS488+AT488+AU488+AV488+AW488+AX488+AY488+BD488</f>
        <v/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5">
        <f>IF(AND('Project Database'!A492&lt;&gt;"",OR('Smart Search'!$L$5="",'Smart Search'!$L$5="All",TRIM('Project Database'!D492)=TRIM('Smart Search'!$L$5)),OR(TRIM('Smart Search'!$L$6)="",TRIM('Smart Search'!$L$6)="All",ISNUMBER(SEARCH(SUBSTITUTE(SUBSTITUTE(SUBSTITUTE(TRIM('Smart Search'!$L$6),"~","~~"),"*","~*"),"?","~?"),'Project Database'!C492))),OR('Smart Search'!$L$7="",AND('Project Database'!E492&lt;&gt;"",'Project Database'!E492='Smart Search'!$L$7)),OR('Smart Search'!$L$8="",'Smart Search'!$L$8="All",TRIM('Project Database'!F492)=TRIM('Smart Search'!$L$8))),IF(BA488="","",BA488+ROW()*0.0000000001),"")</f>
        <v/>
      </c>
      <c r="BI488" s="5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>
        <f>IF('Project Database'!A492="","",N('Project Database'!AC492))</f>
        <v/>
      </c>
      <c r="BK488" s="5">
        <f>IF('Project Database'!A492="","",N('Project Database'!AD492))</f>
        <v/>
      </c>
      <c r="BL488" s="5">
        <f>IF('Project Database'!A492="","",N('Project Database'!AE492))</f>
        <v/>
      </c>
      <c r="BM488" s="5">
        <f>IF('Project Database'!A492="","",N('Project Database'!AF492))</f>
        <v/>
      </c>
      <c r="BN488" s="5">
        <f>IF('Project Database'!A492="","",N('Project Database'!AG492))</f>
        <v/>
      </c>
      <c r="BO488" s="5">
        <f>IF('Project Database'!A492="","",N('Project Database'!AH492))</f>
        <v/>
      </c>
      <c r="BP488" s="5">
        <f>IF('Project Database'!A492="","",N('Project Database'!AI492))</f>
        <v/>
      </c>
      <c r="BQ488" s="5">
        <f>IF('Project Database'!A492="","",N('Project Database'!AJ492))</f>
        <v/>
      </c>
      <c r="BR488" s="5">
        <f>IF('Project Database'!A492="","",N('Project Database'!AK492))</f>
        <v/>
      </c>
      <c r="BS488" s="5">
        <f>IF('Project Database'!A492="","",N('Project Database'!AL492))</f>
        <v/>
      </c>
      <c r="BT488" s="5">
        <f>IF('Project Database'!A492="","",N('Project Database'!AM492))</f>
        <v/>
      </c>
      <c r="BU488" s="5">
        <f>IF('Project Database'!A492="","",N('Project Database'!AN492))</f>
        <v/>
      </c>
      <c r="BV488" s="5">
        <f>IF('Project Database'!A492="","",N('Project Database'!AO492))</f>
        <v/>
      </c>
      <c r="BW488" s="5">
        <f>IF('Project Database'!A492="","",N('Project Database'!AP492))</f>
        <v/>
      </c>
      <c r="BX488" s="5">
        <f>IF(A488="","",SUM(BJ488:BW488))</f>
        <v/>
      </c>
      <c r="BY488" s="5">
        <f>IF(A488="","",IFERROR(IF(ISNUMBER(U488),U488,VALUE(SUBSTITUTE(SUBSTITUTE(SUBSTITUTE(UPPER(TRIM(U488)),"M",""),",","")," ",""))),0))</f>
        <v/>
      </c>
    </row>
    <row r="489" ht="15" customHeight="1" s="74">
      <c r="A489" s="66">
        <f>'Project Database'!A493</f>
        <v/>
      </c>
      <c r="B489" s="66">
        <f>'Project Database'!B493</f>
        <v/>
      </c>
      <c r="C489" s="66">
        <f>'Project Database'!G493</f>
        <v/>
      </c>
      <c r="D489" s="66">
        <f>'Project Database'!H493</f>
        <v/>
      </c>
      <c r="E489" s="66">
        <f>'Project Database'!I493</f>
        <v/>
      </c>
      <c r="F489" s="66">
        <f>'Project Database'!J493</f>
        <v/>
      </c>
      <c r="G489" s="66">
        <f>'Project Database'!K493</f>
        <v/>
      </c>
      <c r="H489" s="66">
        <f>'Project Database'!L493</f>
        <v/>
      </c>
      <c r="I489" s="66">
        <f>'Project Database'!M493</f>
        <v/>
      </c>
      <c r="J489" s="66">
        <f>'Project Database'!N493</f>
        <v/>
      </c>
      <c r="K489" s="66">
        <f>'Project Database'!O493</f>
        <v/>
      </c>
      <c r="L489" s="66">
        <f>'Project Database'!P493</f>
        <v/>
      </c>
      <c r="M489" s="66">
        <f>'Project Database'!Q493</f>
        <v/>
      </c>
      <c r="N489" s="66">
        <f>'Project Database'!R493</f>
        <v/>
      </c>
      <c r="O489" s="66">
        <f>'Project Database'!S493</f>
        <v/>
      </c>
      <c r="P489" s="66">
        <f>'Project Database'!T493</f>
        <v/>
      </c>
      <c r="Q489" s="66">
        <f>'Project Database'!U493</f>
        <v/>
      </c>
      <c r="R489" s="66">
        <f>'Project Database'!V493</f>
        <v/>
      </c>
      <c r="S489" s="66">
        <f>'Project Database'!W493</f>
        <v/>
      </c>
      <c r="T489" s="66">
        <f>'Project Database'!X493</f>
        <v/>
      </c>
      <c r="U489" s="67">
        <f>'Project Database'!Y493</f>
        <v/>
      </c>
      <c r="V489" s="66">
        <f>IF('Smart Search'!B13=1,IFERROR(1/'Smart Search'!H13,0),0)</f>
        <v/>
      </c>
      <c r="W489" s="66">
        <f>IF('Smart Search'!B13=1,IFERROR(1/'Smart Search'!H13,0),0)</f>
        <v/>
      </c>
      <c r="X489" s="66">
        <f>IF('Smart Search'!C13=1,IFERROR(1/'Smart Search'!H13,0),0)</f>
        <v/>
      </c>
      <c r="Y489" s="66">
        <f>IF('Smart Search'!C13=1,IFERROR(1/'Smart Search'!H13,0),0)</f>
        <v/>
      </c>
      <c r="Z489" s="66">
        <f>IF('Smart Search'!D13=1,IFERROR(1/'Smart Search'!H13,0),0)</f>
        <v/>
      </c>
      <c r="AA489" s="66">
        <f>IF('Smart Search'!D13=1,IFERROR(1/'Smart Search'!H13,0),0)</f>
        <v/>
      </c>
      <c r="AB489" s="66">
        <f>IF('Smart Search'!E13=1,IFERROR(1/'Smart Search'!H13,0),0)</f>
        <v/>
      </c>
      <c r="AC489" s="66">
        <f>IF('Smart Search'!E13=1,IFERROR(1/'Smart Search'!H13,0),0)</f>
        <v/>
      </c>
      <c r="AD489" s="66">
        <f>IF('Smart Search'!F13=1,IFERROR(1/'Smart Search'!H13,0),0)</f>
        <v/>
      </c>
      <c r="AE489" s="66">
        <f>IF('Smart Search'!F13=1,IFERROR(1/'Smart Search'!H13,0),0)</f>
        <v/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66">
        <f>AF489*V489</f>
        <v/>
      </c>
      <c r="AQ489" s="66">
        <f>AG489*W489</f>
        <v/>
      </c>
      <c r="AR489" s="66">
        <f>AH489*X489</f>
        <v/>
      </c>
      <c r="AS489" s="66">
        <f>AI489*Y489</f>
        <v/>
      </c>
      <c r="AT489" s="66">
        <f>AJ489*Z489</f>
        <v/>
      </c>
      <c r="AU489" s="66">
        <f>AK489*AA489</f>
        <v/>
      </c>
      <c r="AV489" s="66">
        <f>AL489*AB489</f>
        <v/>
      </c>
      <c r="AW489" s="66">
        <f>AM489*AC489</f>
        <v/>
      </c>
      <c r="AX489" s="66">
        <f>AN489*AD489</f>
        <v/>
      </c>
      <c r="AY489" s="66">
        <f>AO489*AE489</f>
        <v/>
      </c>
      <c r="AZ489" s="66">
        <f>'Project Database'!Z493</f>
        <v/>
      </c>
      <c r="BA489" s="66">
        <f>IF(OR(A489="",'Smart Search'!H13=0),"",MAX(0,BE489*BF489*MAX(0,1-BG489)))</f>
        <v/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66">
        <f>IF('Smart Search'!G13=1,IFERROR(1/'Smart Search'!H13,0),0)</f>
        <v/>
      </c>
      <c r="BD489" s="66">
        <f>BB489*BC489</f>
        <v/>
      </c>
      <c r="BE489" s="66">
        <f>AP489+AQ489+AR489+AS489+AT489+AU489+AV489+AW489+AX489+AY489+BD489</f>
        <v/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5">
        <f>IF(AND('Project Database'!A493&lt;&gt;"",OR('Smart Search'!$L$5="",'Smart Search'!$L$5="All",TRIM('Project Database'!D493)=TRIM('Smart Search'!$L$5)),OR(TRIM('Smart Search'!$L$6)="",TRIM('Smart Search'!$L$6)="All",ISNUMBER(SEARCH(SUBSTITUTE(SUBSTITUTE(SUBSTITUTE(TRIM('Smart Search'!$L$6),"~","~~"),"*","~*"),"?","~?"),'Project Database'!C493))),OR('Smart Search'!$L$7="",AND('Project Database'!E493&lt;&gt;"",'Project Database'!E493='Smart Search'!$L$7)),OR('Smart Search'!$L$8="",'Smart Search'!$L$8="All",TRIM('Project Database'!F493)=TRIM('Smart Search'!$L$8))),IF(BA489="","",BA489+ROW()*0.0000000001),"")</f>
        <v/>
      </c>
      <c r="BI489" s="5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>
        <f>IF('Project Database'!A493="","",N('Project Database'!AC493))</f>
        <v/>
      </c>
      <c r="BK489" s="5">
        <f>IF('Project Database'!A493="","",N('Project Database'!AD493))</f>
        <v/>
      </c>
      <c r="BL489" s="5">
        <f>IF('Project Database'!A493="","",N('Project Database'!AE493))</f>
        <v/>
      </c>
      <c r="BM489" s="5">
        <f>IF('Project Database'!A493="","",N('Project Database'!AF493))</f>
        <v/>
      </c>
      <c r="BN489" s="5">
        <f>IF('Project Database'!A493="","",N('Project Database'!AG493))</f>
        <v/>
      </c>
      <c r="BO489" s="5">
        <f>IF('Project Database'!A493="","",N('Project Database'!AH493))</f>
        <v/>
      </c>
      <c r="BP489" s="5">
        <f>IF('Project Database'!A493="","",N('Project Database'!AI493))</f>
        <v/>
      </c>
      <c r="BQ489" s="5">
        <f>IF('Project Database'!A493="","",N('Project Database'!AJ493))</f>
        <v/>
      </c>
      <c r="BR489" s="5">
        <f>IF('Project Database'!A493="","",N('Project Database'!AK493))</f>
        <v/>
      </c>
      <c r="BS489" s="5">
        <f>IF('Project Database'!A493="","",N('Project Database'!AL493))</f>
        <v/>
      </c>
      <c r="BT489" s="5">
        <f>IF('Project Database'!A493="","",N('Project Database'!AM493))</f>
        <v/>
      </c>
      <c r="BU489" s="5">
        <f>IF('Project Database'!A493="","",N('Project Database'!AN493))</f>
        <v/>
      </c>
      <c r="BV489" s="5">
        <f>IF('Project Database'!A493="","",N('Project Database'!AO493))</f>
        <v/>
      </c>
      <c r="BW489" s="5">
        <f>IF('Project Database'!A493="","",N('Project Database'!AP493))</f>
        <v/>
      </c>
      <c r="BX489" s="5">
        <f>IF(A489="","",SUM(BJ489:BW489))</f>
        <v/>
      </c>
      <c r="BY489" s="5">
        <f>IF(A489="","",IFERROR(IF(ISNUMBER(U489),U489,VALUE(SUBSTITUTE(SUBSTITUTE(SUBSTITUTE(UPPER(TRIM(U489)),"M",""),",","")," ",""))),0))</f>
        <v/>
      </c>
    </row>
    <row r="490" ht="15" customHeight="1" s="74">
      <c r="A490" s="66">
        <f>'Project Database'!A494</f>
        <v/>
      </c>
      <c r="B490" s="66">
        <f>'Project Database'!B494</f>
        <v/>
      </c>
      <c r="C490" s="66">
        <f>'Project Database'!G494</f>
        <v/>
      </c>
      <c r="D490" s="66">
        <f>'Project Database'!H494</f>
        <v/>
      </c>
      <c r="E490" s="66">
        <f>'Project Database'!I494</f>
        <v/>
      </c>
      <c r="F490" s="66">
        <f>'Project Database'!J494</f>
        <v/>
      </c>
      <c r="G490" s="66">
        <f>'Project Database'!K494</f>
        <v/>
      </c>
      <c r="H490" s="66">
        <f>'Project Database'!L494</f>
        <v/>
      </c>
      <c r="I490" s="66">
        <f>'Project Database'!M494</f>
        <v/>
      </c>
      <c r="J490" s="66">
        <f>'Project Database'!N494</f>
        <v/>
      </c>
      <c r="K490" s="66">
        <f>'Project Database'!O494</f>
        <v/>
      </c>
      <c r="L490" s="66">
        <f>'Project Database'!P494</f>
        <v/>
      </c>
      <c r="M490" s="66">
        <f>'Project Database'!Q494</f>
        <v/>
      </c>
      <c r="N490" s="66">
        <f>'Project Database'!R494</f>
        <v/>
      </c>
      <c r="O490" s="66">
        <f>'Project Database'!S494</f>
        <v/>
      </c>
      <c r="P490" s="66">
        <f>'Project Database'!T494</f>
        <v/>
      </c>
      <c r="Q490" s="66">
        <f>'Project Database'!U494</f>
        <v/>
      </c>
      <c r="R490" s="66">
        <f>'Project Database'!V494</f>
        <v/>
      </c>
      <c r="S490" s="66">
        <f>'Project Database'!W494</f>
        <v/>
      </c>
      <c r="T490" s="66">
        <f>'Project Database'!X494</f>
        <v/>
      </c>
      <c r="U490" s="67">
        <f>'Project Database'!Y494</f>
        <v/>
      </c>
      <c r="V490" s="66">
        <f>IF('Smart Search'!B13=1,IFERROR(1/'Smart Search'!H13,0),0)</f>
        <v/>
      </c>
      <c r="W490" s="66">
        <f>IF('Smart Search'!B13=1,IFERROR(1/'Smart Search'!H13,0),0)</f>
        <v/>
      </c>
      <c r="X490" s="66">
        <f>IF('Smart Search'!C13=1,IFERROR(1/'Smart Search'!H13,0),0)</f>
        <v/>
      </c>
      <c r="Y490" s="66">
        <f>IF('Smart Search'!C13=1,IFERROR(1/'Smart Search'!H13,0),0)</f>
        <v/>
      </c>
      <c r="Z490" s="66">
        <f>IF('Smart Search'!D13=1,IFERROR(1/'Smart Search'!H13,0),0)</f>
        <v/>
      </c>
      <c r="AA490" s="66">
        <f>IF('Smart Search'!D13=1,IFERROR(1/'Smart Search'!H13,0),0)</f>
        <v/>
      </c>
      <c r="AB490" s="66">
        <f>IF('Smart Search'!E13=1,IFERROR(1/'Smart Search'!H13,0),0)</f>
        <v/>
      </c>
      <c r="AC490" s="66">
        <f>IF('Smart Search'!E13=1,IFERROR(1/'Smart Search'!H13,0),0)</f>
        <v/>
      </c>
      <c r="AD490" s="66">
        <f>IF('Smart Search'!F13=1,IFERROR(1/'Smart Search'!H13,0),0)</f>
        <v/>
      </c>
      <c r="AE490" s="66">
        <f>IF('Smart Search'!F13=1,IFERROR(1/'Smart Search'!H13,0),0)</f>
        <v/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66">
        <f>AF490*V490</f>
        <v/>
      </c>
      <c r="AQ490" s="66">
        <f>AG490*W490</f>
        <v/>
      </c>
      <c r="AR490" s="66">
        <f>AH490*X490</f>
        <v/>
      </c>
      <c r="AS490" s="66">
        <f>AI490*Y490</f>
        <v/>
      </c>
      <c r="AT490" s="66">
        <f>AJ490*Z490</f>
        <v/>
      </c>
      <c r="AU490" s="66">
        <f>AK490*AA490</f>
        <v/>
      </c>
      <c r="AV490" s="66">
        <f>AL490*AB490</f>
        <v/>
      </c>
      <c r="AW490" s="66">
        <f>AM490*AC490</f>
        <v/>
      </c>
      <c r="AX490" s="66">
        <f>AN490*AD490</f>
        <v/>
      </c>
      <c r="AY490" s="66">
        <f>AO490*AE490</f>
        <v/>
      </c>
      <c r="AZ490" s="66">
        <f>'Project Database'!Z494</f>
        <v/>
      </c>
      <c r="BA490" s="66">
        <f>IF(OR(A490="",'Smart Search'!H13=0),"",MAX(0,BE490*BF490*MAX(0,1-BG490)))</f>
        <v/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66">
        <f>IF('Smart Search'!G13=1,IFERROR(1/'Smart Search'!H13,0),0)</f>
        <v/>
      </c>
      <c r="BD490" s="66">
        <f>BB490*BC490</f>
        <v/>
      </c>
      <c r="BE490" s="66">
        <f>AP490+AQ490+AR490+AS490+AT490+AU490+AV490+AW490+AX490+AY490+BD490</f>
        <v/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5">
        <f>IF(AND('Project Database'!A494&lt;&gt;"",OR('Smart Search'!$L$5="",'Smart Search'!$L$5="All",TRIM('Project Database'!D494)=TRIM('Smart Search'!$L$5)),OR(TRIM('Smart Search'!$L$6)="",TRIM('Smart Search'!$L$6)="All",ISNUMBER(SEARCH(SUBSTITUTE(SUBSTITUTE(SUBSTITUTE(TRIM('Smart Search'!$L$6),"~","~~"),"*","~*"),"?","~?"),'Project Database'!C494))),OR('Smart Search'!$L$7="",AND('Project Database'!E494&lt;&gt;"",'Project Database'!E494='Smart Search'!$L$7)),OR('Smart Search'!$L$8="",'Smart Search'!$L$8="All",TRIM('Project Database'!F494)=TRIM('Smart Search'!$L$8))),IF(BA490="","",BA490+ROW()*0.0000000001),"")</f>
        <v/>
      </c>
      <c r="BI490" s="5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>
        <f>IF('Project Database'!A494="","",N('Project Database'!AC494))</f>
        <v/>
      </c>
      <c r="BK490" s="5">
        <f>IF('Project Database'!A494="","",N('Project Database'!AD494))</f>
        <v/>
      </c>
      <c r="BL490" s="5">
        <f>IF('Project Database'!A494="","",N('Project Database'!AE494))</f>
        <v/>
      </c>
      <c r="BM490" s="5">
        <f>IF('Project Database'!A494="","",N('Project Database'!AF494))</f>
        <v/>
      </c>
      <c r="BN490" s="5">
        <f>IF('Project Database'!A494="","",N('Project Database'!AG494))</f>
        <v/>
      </c>
      <c r="BO490" s="5">
        <f>IF('Project Database'!A494="","",N('Project Database'!AH494))</f>
        <v/>
      </c>
      <c r="BP490" s="5">
        <f>IF('Project Database'!A494="","",N('Project Database'!AI494))</f>
        <v/>
      </c>
      <c r="BQ490" s="5">
        <f>IF('Project Database'!A494="","",N('Project Database'!AJ494))</f>
        <v/>
      </c>
      <c r="BR490" s="5">
        <f>IF('Project Database'!A494="","",N('Project Database'!AK494))</f>
        <v/>
      </c>
      <c r="BS490" s="5">
        <f>IF('Project Database'!A494="","",N('Project Database'!AL494))</f>
        <v/>
      </c>
      <c r="BT490" s="5">
        <f>IF('Project Database'!A494="","",N('Project Database'!AM494))</f>
        <v/>
      </c>
      <c r="BU490" s="5">
        <f>IF('Project Database'!A494="","",N('Project Database'!AN494))</f>
        <v/>
      </c>
      <c r="BV490" s="5">
        <f>IF('Project Database'!A494="","",N('Project Database'!AO494))</f>
        <v/>
      </c>
      <c r="BW490" s="5">
        <f>IF('Project Database'!A494="","",N('Project Database'!AP494))</f>
        <v/>
      </c>
      <c r="BX490" s="5">
        <f>IF(A490="","",SUM(BJ490:BW490))</f>
        <v/>
      </c>
      <c r="BY490" s="5">
        <f>IF(A490="","",IFERROR(IF(ISNUMBER(U490),U490,VALUE(SUBSTITUTE(SUBSTITUTE(SUBSTITUTE(UPPER(TRIM(U490)),"M",""),",","")," ",""))),0))</f>
        <v/>
      </c>
    </row>
    <row r="491" ht="15" customHeight="1" s="74">
      <c r="A491" s="66">
        <f>'Project Database'!A495</f>
        <v/>
      </c>
      <c r="B491" s="66">
        <f>'Project Database'!B495</f>
        <v/>
      </c>
      <c r="C491" s="66">
        <f>'Project Database'!G495</f>
        <v/>
      </c>
      <c r="D491" s="66">
        <f>'Project Database'!H495</f>
        <v/>
      </c>
      <c r="E491" s="66">
        <f>'Project Database'!I495</f>
        <v/>
      </c>
      <c r="F491" s="66">
        <f>'Project Database'!J495</f>
        <v/>
      </c>
      <c r="G491" s="66">
        <f>'Project Database'!K495</f>
        <v/>
      </c>
      <c r="H491" s="66">
        <f>'Project Database'!L495</f>
        <v/>
      </c>
      <c r="I491" s="66">
        <f>'Project Database'!M495</f>
        <v/>
      </c>
      <c r="J491" s="66">
        <f>'Project Database'!N495</f>
        <v/>
      </c>
      <c r="K491" s="66">
        <f>'Project Database'!O495</f>
        <v/>
      </c>
      <c r="L491" s="66">
        <f>'Project Database'!P495</f>
        <v/>
      </c>
      <c r="M491" s="66">
        <f>'Project Database'!Q495</f>
        <v/>
      </c>
      <c r="N491" s="66">
        <f>'Project Database'!R495</f>
        <v/>
      </c>
      <c r="O491" s="66">
        <f>'Project Database'!S495</f>
        <v/>
      </c>
      <c r="P491" s="66">
        <f>'Project Database'!T495</f>
        <v/>
      </c>
      <c r="Q491" s="66">
        <f>'Project Database'!U495</f>
        <v/>
      </c>
      <c r="R491" s="66">
        <f>'Project Database'!V495</f>
        <v/>
      </c>
      <c r="S491" s="66">
        <f>'Project Database'!W495</f>
        <v/>
      </c>
      <c r="T491" s="66">
        <f>'Project Database'!X495</f>
        <v/>
      </c>
      <c r="U491" s="67">
        <f>'Project Database'!Y495</f>
        <v/>
      </c>
      <c r="V491" s="66">
        <f>IF('Smart Search'!B13=1,IFERROR(1/'Smart Search'!H13,0),0)</f>
        <v/>
      </c>
      <c r="W491" s="66">
        <f>IF('Smart Search'!B13=1,IFERROR(1/'Smart Search'!H13,0),0)</f>
        <v/>
      </c>
      <c r="X491" s="66">
        <f>IF('Smart Search'!C13=1,IFERROR(1/'Smart Search'!H13,0),0)</f>
        <v/>
      </c>
      <c r="Y491" s="66">
        <f>IF('Smart Search'!C13=1,IFERROR(1/'Smart Search'!H13,0),0)</f>
        <v/>
      </c>
      <c r="Z491" s="66">
        <f>IF('Smart Search'!D13=1,IFERROR(1/'Smart Search'!H13,0),0)</f>
        <v/>
      </c>
      <c r="AA491" s="66">
        <f>IF('Smart Search'!D13=1,IFERROR(1/'Smart Search'!H13,0),0)</f>
        <v/>
      </c>
      <c r="AB491" s="66">
        <f>IF('Smart Search'!E13=1,IFERROR(1/'Smart Search'!H13,0),0)</f>
        <v/>
      </c>
      <c r="AC491" s="66">
        <f>IF('Smart Search'!E13=1,IFERROR(1/'Smart Search'!H13,0),0)</f>
        <v/>
      </c>
      <c r="AD491" s="66">
        <f>IF('Smart Search'!F13=1,IFERROR(1/'Smart Search'!H13,0),0)</f>
        <v/>
      </c>
      <c r="AE491" s="66">
        <f>IF('Smart Search'!F13=1,IFERROR(1/'Smart Search'!H13,0),0)</f>
        <v/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66">
        <f>AF491*V491</f>
        <v/>
      </c>
      <c r="AQ491" s="66">
        <f>AG491*W491</f>
        <v/>
      </c>
      <c r="AR491" s="66">
        <f>AH491*X491</f>
        <v/>
      </c>
      <c r="AS491" s="66">
        <f>AI491*Y491</f>
        <v/>
      </c>
      <c r="AT491" s="66">
        <f>AJ491*Z491</f>
        <v/>
      </c>
      <c r="AU491" s="66">
        <f>AK491*AA491</f>
        <v/>
      </c>
      <c r="AV491" s="66">
        <f>AL491*AB491</f>
        <v/>
      </c>
      <c r="AW491" s="66">
        <f>AM491*AC491</f>
        <v/>
      </c>
      <c r="AX491" s="66">
        <f>AN491*AD491</f>
        <v/>
      </c>
      <c r="AY491" s="66">
        <f>AO491*AE491</f>
        <v/>
      </c>
      <c r="AZ491" s="66">
        <f>'Project Database'!Z495</f>
        <v/>
      </c>
      <c r="BA491" s="66">
        <f>IF(OR(A491="",'Smart Search'!H13=0),"",MAX(0,BE491*BF491*MAX(0,1-BG491)))</f>
        <v/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66">
        <f>IF('Smart Search'!G13=1,IFERROR(1/'Smart Search'!H13,0),0)</f>
        <v/>
      </c>
      <c r="BD491" s="66">
        <f>BB491*BC491</f>
        <v/>
      </c>
      <c r="BE491" s="66">
        <f>AP491+AQ491+AR491+AS491+AT491+AU491+AV491+AW491+AX491+AY491+BD491</f>
        <v/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5">
        <f>IF(AND('Project Database'!A495&lt;&gt;"",OR('Smart Search'!$L$5="",'Smart Search'!$L$5="All",TRIM('Project Database'!D495)=TRIM('Smart Search'!$L$5)),OR(TRIM('Smart Search'!$L$6)="",TRIM('Smart Search'!$L$6)="All",ISNUMBER(SEARCH(SUBSTITUTE(SUBSTITUTE(SUBSTITUTE(TRIM('Smart Search'!$L$6),"~","~~"),"*","~*"),"?","~?"),'Project Database'!C495))),OR('Smart Search'!$L$7="",AND('Project Database'!E495&lt;&gt;"",'Project Database'!E495='Smart Search'!$L$7)),OR('Smart Search'!$L$8="",'Smart Search'!$L$8="All",TRIM('Project Database'!F495)=TRIM('Smart Search'!$L$8))),IF(BA491="","",BA491+ROW()*0.0000000001),"")</f>
        <v/>
      </c>
      <c r="BI491" s="5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>
        <f>IF('Project Database'!A495="","",N('Project Database'!AC495))</f>
        <v/>
      </c>
      <c r="BK491" s="5">
        <f>IF('Project Database'!A495="","",N('Project Database'!AD495))</f>
        <v/>
      </c>
      <c r="BL491" s="5">
        <f>IF('Project Database'!A495="","",N('Project Database'!AE495))</f>
        <v/>
      </c>
      <c r="BM491" s="5">
        <f>IF('Project Database'!A495="","",N('Project Database'!AF495))</f>
        <v/>
      </c>
      <c r="BN491" s="5">
        <f>IF('Project Database'!A495="","",N('Project Database'!AG495))</f>
        <v/>
      </c>
      <c r="BO491" s="5">
        <f>IF('Project Database'!A495="","",N('Project Database'!AH495))</f>
        <v/>
      </c>
      <c r="BP491" s="5">
        <f>IF('Project Database'!A495="","",N('Project Database'!AI495))</f>
        <v/>
      </c>
      <c r="BQ491" s="5">
        <f>IF('Project Database'!A495="","",N('Project Database'!AJ495))</f>
        <v/>
      </c>
      <c r="BR491" s="5">
        <f>IF('Project Database'!A495="","",N('Project Database'!AK495))</f>
        <v/>
      </c>
      <c r="BS491" s="5">
        <f>IF('Project Database'!A495="","",N('Project Database'!AL495))</f>
        <v/>
      </c>
      <c r="BT491" s="5">
        <f>IF('Project Database'!A495="","",N('Project Database'!AM495))</f>
        <v/>
      </c>
      <c r="BU491" s="5">
        <f>IF('Project Database'!A495="","",N('Project Database'!AN495))</f>
        <v/>
      </c>
      <c r="BV491" s="5">
        <f>IF('Project Database'!A495="","",N('Project Database'!AO495))</f>
        <v/>
      </c>
      <c r="BW491" s="5">
        <f>IF('Project Database'!A495="","",N('Project Database'!AP495))</f>
        <v/>
      </c>
      <c r="BX491" s="5">
        <f>IF(A491="","",SUM(BJ491:BW491))</f>
        <v/>
      </c>
      <c r="BY491" s="5">
        <f>IF(A491="","",IFERROR(IF(ISNUMBER(U491),U491,VALUE(SUBSTITUTE(SUBSTITUTE(SUBSTITUTE(UPPER(TRIM(U491)),"M",""),",","")," ",""))),0))</f>
        <v/>
      </c>
    </row>
    <row r="492" ht="15" customHeight="1" s="74">
      <c r="A492" s="66">
        <f>'Project Database'!A496</f>
        <v/>
      </c>
      <c r="B492" s="66">
        <f>'Project Database'!B496</f>
        <v/>
      </c>
      <c r="C492" s="66">
        <f>'Project Database'!G496</f>
        <v/>
      </c>
      <c r="D492" s="66">
        <f>'Project Database'!H496</f>
        <v/>
      </c>
      <c r="E492" s="66">
        <f>'Project Database'!I496</f>
        <v/>
      </c>
      <c r="F492" s="66">
        <f>'Project Database'!J496</f>
        <v/>
      </c>
      <c r="G492" s="66">
        <f>'Project Database'!K496</f>
        <v/>
      </c>
      <c r="H492" s="66">
        <f>'Project Database'!L496</f>
        <v/>
      </c>
      <c r="I492" s="66">
        <f>'Project Database'!M496</f>
        <v/>
      </c>
      <c r="J492" s="66">
        <f>'Project Database'!N496</f>
        <v/>
      </c>
      <c r="K492" s="66">
        <f>'Project Database'!O496</f>
        <v/>
      </c>
      <c r="L492" s="66">
        <f>'Project Database'!P496</f>
        <v/>
      </c>
      <c r="M492" s="66">
        <f>'Project Database'!Q496</f>
        <v/>
      </c>
      <c r="N492" s="66">
        <f>'Project Database'!R496</f>
        <v/>
      </c>
      <c r="O492" s="66">
        <f>'Project Database'!S496</f>
        <v/>
      </c>
      <c r="P492" s="66">
        <f>'Project Database'!T496</f>
        <v/>
      </c>
      <c r="Q492" s="66">
        <f>'Project Database'!U496</f>
        <v/>
      </c>
      <c r="R492" s="66">
        <f>'Project Database'!V496</f>
        <v/>
      </c>
      <c r="S492" s="66">
        <f>'Project Database'!W496</f>
        <v/>
      </c>
      <c r="T492" s="66">
        <f>'Project Database'!X496</f>
        <v/>
      </c>
      <c r="U492" s="67">
        <f>'Project Database'!Y496</f>
        <v/>
      </c>
      <c r="V492" s="66">
        <f>IF('Smart Search'!B13=1,IFERROR(1/'Smart Search'!H13,0),0)</f>
        <v/>
      </c>
      <c r="W492" s="66">
        <f>IF('Smart Search'!B13=1,IFERROR(1/'Smart Search'!H13,0),0)</f>
        <v/>
      </c>
      <c r="X492" s="66">
        <f>IF('Smart Search'!C13=1,IFERROR(1/'Smart Search'!H13,0),0)</f>
        <v/>
      </c>
      <c r="Y492" s="66">
        <f>IF('Smart Search'!C13=1,IFERROR(1/'Smart Search'!H13,0),0)</f>
        <v/>
      </c>
      <c r="Z492" s="66">
        <f>IF('Smart Search'!D13=1,IFERROR(1/'Smart Search'!H13,0),0)</f>
        <v/>
      </c>
      <c r="AA492" s="66">
        <f>IF('Smart Search'!D13=1,IFERROR(1/'Smart Search'!H13,0),0)</f>
        <v/>
      </c>
      <c r="AB492" s="66">
        <f>IF('Smart Search'!E13=1,IFERROR(1/'Smart Search'!H13,0),0)</f>
        <v/>
      </c>
      <c r="AC492" s="66">
        <f>IF('Smart Search'!E13=1,IFERROR(1/'Smart Search'!H13,0),0)</f>
        <v/>
      </c>
      <c r="AD492" s="66">
        <f>IF('Smart Search'!F13=1,IFERROR(1/'Smart Search'!H13,0),0)</f>
        <v/>
      </c>
      <c r="AE492" s="66">
        <f>IF('Smart Search'!F13=1,IFERROR(1/'Smart Search'!H13,0),0)</f>
        <v/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66">
        <f>AF492*V492</f>
        <v/>
      </c>
      <c r="AQ492" s="66">
        <f>AG492*W492</f>
        <v/>
      </c>
      <c r="AR492" s="66">
        <f>AH492*X492</f>
        <v/>
      </c>
      <c r="AS492" s="66">
        <f>AI492*Y492</f>
        <v/>
      </c>
      <c r="AT492" s="66">
        <f>AJ492*Z492</f>
        <v/>
      </c>
      <c r="AU492" s="66">
        <f>AK492*AA492</f>
        <v/>
      </c>
      <c r="AV492" s="66">
        <f>AL492*AB492</f>
        <v/>
      </c>
      <c r="AW492" s="66">
        <f>AM492*AC492</f>
        <v/>
      </c>
      <c r="AX492" s="66">
        <f>AN492*AD492</f>
        <v/>
      </c>
      <c r="AY492" s="66">
        <f>AO492*AE492</f>
        <v/>
      </c>
      <c r="AZ492" s="66">
        <f>'Project Database'!Z496</f>
        <v/>
      </c>
      <c r="BA492" s="66">
        <f>IF(OR(A492="",'Smart Search'!H13=0),"",MAX(0,BE492*BF492*MAX(0,1-BG492)))</f>
        <v/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66">
        <f>IF('Smart Search'!G13=1,IFERROR(1/'Smart Search'!H13,0),0)</f>
        <v/>
      </c>
      <c r="BD492" s="66">
        <f>BB492*BC492</f>
        <v/>
      </c>
      <c r="BE492" s="66">
        <f>AP492+AQ492+AR492+AS492+AT492+AU492+AV492+AW492+AX492+AY492+BD492</f>
        <v/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5">
        <f>IF(AND('Project Database'!A496&lt;&gt;"",OR('Smart Search'!$L$5="",'Smart Search'!$L$5="All",TRIM('Project Database'!D496)=TRIM('Smart Search'!$L$5)),OR(TRIM('Smart Search'!$L$6)="",TRIM('Smart Search'!$L$6)="All",ISNUMBER(SEARCH(SUBSTITUTE(SUBSTITUTE(SUBSTITUTE(TRIM('Smart Search'!$L$6),"~","~~"),"*","~*"),"?","~?"),'Project Database'!C496))),OR('Smart Search'!$L$7="",AND('Project Database'!E496&lt;&gt;"",'Project Database'!E496='Smart Search'!$L$7)),OR('Smart Search'!$L$8="",'Smart Search'!$L$8="All",TRIM('Project Database'!F496)=TRIM('Smart Search'!$L$8))),IF(BA492="","",BA492+ROW()*0.0000000001),"")</f>
        <v/>
      </c>
      <c r="BI492" s="5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>
        <f>IF('Project Database'!A496="","",N('Project Database'!AC496))</f>
        <v/>
      </c>
      <c r="BK492" s="5">
        <f>IF('Project Database'!A496="","",N('Project Database'!AD496))</f>
        <v/>
      </c>
      <c r="BL492" s="5">
        <f>IF('Project Database'!A496="","",N('Project Database'!AE496))</f>
        <v/>
      </c>
      <c r="BM492" s="5">
        <f>IF('Project Database'!A496="","",N('Project Database'!AF496))</f>
        <v/>
      </c>
      <c r="BN492" s="5">
        <f>IF('Project Database'!A496="","",N('Project Database'!AG496))</f>
        <v/>
      </c>
      <c r="BO492" s="5">
        <f>IF('Project Database'!A496="","",N('Project Database'!AH496))</f>
        <v/>
      </c>
      <c r="BP492" s="5">
        <f>IF('Project Database'!A496="","",N('Project Database'!AI496))</f>
        <v/>
      </c>
      <c r="BQ492" s="5">
        <f>IF('Project Database'!A496="","",N('Project Database'!AJ496))</f>
        <v/>
      </c>
      <c r="BR492" s="5">
        <f>IF('Project Database'!A496="","",N('Project Database'!AK496))</f>
        <v/>
      </c>
      <c r="BS492" s="5">
        <f>IF('Project Database'!A496="","",N('Project Database'!AL496))</f>
        <v/>
      </c>
      <c r="BT492" s="5">
        <f>IF('Project Database'!A496="","",N('Project Database'!AM496))</f>
        <v/>
      </c>
      <c r="BU492" s="5">
        <f>IF('Project Database'!A496="","",N('Project Database'!AN496))</f>
        <v/>
      </c>
      <c r="BV492" s="5">
        <f>IF('Project Database'!A496="","",N('Project Database'!AO496))</f>
        <v/>
      </c>
      <c r="BW492" s="5">
        <f>IF('Project Database'!A496="","",N('Project Database'!AP496))</f>
        <v/>
      </c>
      <c r="BX492" s="5">
        <f>IF(A492="","",SUM(BJ492:BW492))</f>
        <v/>
      </c>
      <c r="BY492" s="5">
        <f>IF(A492="","",IFERROR(IF(ISNUMBER(U492),U492,VALUE(SUBSTITUTE(SUBSTITUTE(SUBSTITUTE(UPPER(TRIM(U492)),"M",""),",","")," ",""))),0))</f>
        <v/>
      </c>
    </row>
    <row r="493" ht="15" customHeight="1" s="74">
      <c r="A493" s="66">
        <f>'Project Database'!A497</f>
        <v/>
      </c>
      <c r="B493" s="66">
        <f>'Project Database'!B497</f>
        <v/>
      </c>
      <c r="C493" s="66">
        <f>'Project Database'!G497</f>
        <v/>
      </c>
      <c r="D493" s="66">
        <f>'Project Database'!H497</f>
        <v/>
      </c>
      <c r="E493" s="66">
        <f>'Project Database'!I497</f>
        <v/>
      </c>
      <c r="F493" s="66">
        <f>'Project Database'!J497</f>
        <v/>
      </c>
      <c r="G493" s="66">
        <f>'Project Database'!K497</f>
        <v/>
      </c>
      <c r="H493" s="66">
        <f>'Project Database'!L497</f>
        <v/>
      </c>
      <c r="I493" s="66">
        <f>'Project Database'!M497</f>
        <v/>
      </c>
      <c r="J493" s="66">
        <f>'Project Database'!N497</f>
        <v/>
      </c>
      <c r="K493" s="66">
        <f>'Project Database'!O497</f>
        <v/>
      </c>
      <c r="L493" s="66">
        <f>'Project Database'!P497</f>
        <v/>
      </c>
      <c r="M493" s="66">
        <f>'Project Database'!Q497</f>
        <v/>
      </c>
      <c r="N493" s="66">
        <f>'Project Database'!R497</f>
        <v/>
      </c>
      <c r="O493" s="66">
        <f>'Project Database'!S497</f>
        <v/>
      </c>
      <c r="P493" s="66">
        <f>'Project Database'!T497</f>
        <v/>
      </c>
      <c r="Q493" s="66">
        <f>'Project Database'!U497</f>
        <v/>
      </c>
      <c r="R493" s="66">
        <f>'Project Database'!V497</f>
        <v/>
      </c>
      <c r="S493" s="66">
        <f>'Project Database'!W497</f>
        <v/>
      </c>
      <c r="T493" s="66">
        <f>'Project Database'!X497</f>
        <v/>
      </c>
      <c r="U493" s="67">
        <f>'Project Database'!Y497</f>
        <v/>
      </c>
      <c r="V493" s="66">
        <f>IF('Smart Search'!B13=1,IFERROR(1/'Smart Search'!H13,0),0)</f>
        <v/>
      </c>
      <c r="W493" s="66">
        <f>IF('Smart Search'!B13=1,IFERROR(1/'Smart Search'!H13,0),0)</f>
        <v/>
      </c>
      <c r="X493" s="66">
        <f>IF('Smart Search'!C13=1,IFERROR(1/'Smart Search'!H13,0),0)</f>
        <v/>
      </c>
      <c r="Y493" s="66">
        <f>IF('Smart Search'!C13=1,IFERROR(1/'Smart Search'!H13,0),0)</f>
        <v/>
      </c>
      <c r="Z493" s="66">
        <f>IF('Smart Search'!D13=1,IFERROR(1/'Smart Search'!H13,0),0)</f>
        <v/>
      </c>
      <c r="AA493" s="66">
        <f>IF('Smart Search'!D13=1,IFERROR(1/'Smart Search'!H13,0),0)</f>
        <v/>
      </c>
      <c r="AB493" s="66">
        <f>IF('Smart Search'!E13=1,IFERROR(1/'Smart Search'!H13,0),0)</f>
        <v/>
      </c>
      <c r="AC493" s="66">
        <f>IF('Smart Search'!E13=1,IFERROR(1/'Smart Search'!H13,0),0)</f>
        <v/>
      </c>
      <c r="AD493" s="66">
        <f>IF('Smart Search'!F13=1,IFERROR(1/'Smart Search'!H13,0),0)</f>
        <v/>
      </c>
      <c r="AE493" s="66">
        <f>IF('Smart Search'!F13=1,IFERROR(1/'Smart Search'!H13,0),0)</f>
        <v/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66">
        <f>AF493*V493</f>
        <v/>
      </c>
      <c r="AQ493" s="66">
        <f>AG493*W493</f>
        <v/>
      </c>
      <c r="AR493" s="66">
        <f>AH493*X493</f>
        <v/>
      </c>
      <c r="AS493" s="66">
        <f>AI493*Y493</f>
        <v/>
      </c>
      <c r="AT493" s="66">
        <f>AJ493*Z493</f>
        <v/>
      </c>
      <c r="AU493" s="66">
        <f>AK493*AA493</f>
        <v/>
      </c>
      <c r="AV493" s="66">
        <f>AL493*AB493</f>
        <v/>
      </c>
      <c r="AW493" s="66">
        <f>AM493*AC493</f>
        <v/>
      </c>
      <c r="AX493" s="66">
        <f>AN493*AD493</f>
        <v/>
      </c>
      <c r="AY493" s="66">
        <f>AO493*AE493</f>
        <v/>
      </c>
      <c r="AZ493" s="66">
        <f>'Project Database'!Z497</f>
        <v/>
      </c>
      <c r="BA493" s="66">
        <f>IF(OR(A493="",'Smart Search'!H13=0),"",MAX(0,BE493*BF493*MAX(0,1-BG493)))</f>
        <v/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66">
        <f>IF('Smart Search'!G13=1,IFERROR(1/'Smart Search'!H13,0),0)</f>
        <v/>
      </c>
      <c r="BD493" s="66">
        <f>BB493*BC493</f>
        <v/>
      </c>
      <c r="BE493" s="66">
        <f>AP493+AQ493+AR493+AS493+AT493+AU493+AV493+AW493+AX493+AY493+BD493</f>
        <v/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5">
        <f>IF(AND('Project Database'!A497&lt;&gt;"",OR('Smart Search'!$L$5="",'Smart Search'!$L$5="All",TRIM('Project Database'!D497)=TRIM('Smart Search'!$L$5)),OR(TRIM('Smart Search'!$L$6)="",TRIM('Smart Search'!$L$6)="All",ISNUMBER(SEARCH(SUBSTITUTE(SUBSTITUTE(SUBSTITUTE(TRIM('Smart Search'!$L$6),"~","~~"),"*","~*"),"?","~?"),'Project Database'!C497))),OR('Smart Search'!$L$7="",AND('Project Database'!E497&lt;&gt;"",'Project Database'!E497='Smart Search'!$L$7)),OR('Smart Search'!$L$8="",'Smart Search'!$L$8="All",TRIM('Project Database'!F497)=TRIM('Smart Search'!$L$8))),IF(BA493="","",BA493+ROW()*0.0000000001),"")</f>
        <v/>
      </c>
      <c r="BI493" s="5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>
        <f>IF('Project Database'!A497="","",N('Project Database'!AC497))</f>
        <v/>
      </c>
      <c r="BK493" s="5">
        <f>IF('Project Database'!A497="","",N('Project Database'!AD497))</f>
        <v/>
      </c>
      <c r="BL493" s="5">
        <f>IF('Project Database'!A497="","",N('Project Database'!AE497))</f>
        <v/>
      </c>
      <c r="BM493" s="5">
        <f>IF('Project Database'!A497="","",N('Project Database'!AF497))</f>
        <v/>
      </c>
      <c r="BN493" s="5">
        <f>IF('Project Database'!A497="","",N('Project Database'!AG497))</f>
        <v/>
      </c>
      <c r="BO493" s="5">
        <f>IF('Project Database'!A497="","",N('Project Database'!AH497))</f>
        <v/>
      </c>
      <c r="BP493" s="5">
        <f>IF('Project Database'!A497="","",N('Project Database'!AI497))</f>
        <v/>
      </c>
      <c r="BQ493" s="5">
        <f>IF('Project Database'!A497="","",N('Project Database'!AJ497))</f>
        <v/>
      </c>
      <c r="BR493" s="5">
        <f>IF('Project Database'!A497="","",N('Project Database'!AK497))</f>
        <v/>
      </c>
      <c r="BS493" s="5">
        <f>IF('Project Database'!A497="","",N('Project Database'!AL497))</f>
        <v/>
      </c>
      <c r="BT493" s="5">
        <f>IF('Project Database'!A497="","",N('Project Database'!AM497))</f>
        <v/>
      </c>
      <c r="BU493" s="5">
        <f>IF('Project Database'!A497="","",N('Project Database'!AN497))</f>
        <v/>
      </c>
      <c r="BV493" s="5">
        <f>IF('Project Database'!A497="","",N('Project Database'!AO497))</f>
        <v/>
      </c>
      <c r="BW493" s="5">
        <f>IF('Project Database'!A497="","",N('Project Database'!AP497))</f>
        <v/>
      </c>
      <c r="BX493" s="5">
        <f>IF(A493="","",SUM(BJ493:BW493))</f>
        <v/>
      </c>
      <c r="BY493" s="5">
        <f>IF(A493="","",IFERROR(IF(ISNUMBER(U493),U493,VALUE(SUBSTITUTE(SUBSTITUTE(SUBSTITUTE(UPPER(TRIM(U493)),"M",""),",","")," ",""))),0))</f>
        <v/>
      </c>
    </row>
    <row r="494" ht="15" customHeight="1" s="74">
      <c r="A494" s="66">
        <f>'Project Database'!A498</f>
        <v/>
      </c>
      <c r="B494" s="66">
        <f>'Project Database'!B498</f>
        <v/>
      </c>
      <c r="C494" s="66">
        <f>'Project Database'!G498</f>
        <v/>
      </c>
      <c r="D494" s="66">
        <f>'Project Database'!H498</f>
        <v/>
      </c>
      <c r="E494" s="66">
        <f>'Project Database'!I498</f>
        <v/>
      </c>
      <c r="F494" s="66">
        <f>'Project Database'!J498</f>
        <v/>
      </c>
      <c r="G494" s="66">
        <f>'Project Database'!K498</f>
        <v/>
      </c>
      <c r="H494" s="66">
        <f>'Project Database'!L498</f>
        <v/>
      </c>
      <c r="I494" s="66">
        <f>'Project Database'!M498</f>
        <v/>
      </c>
      <c r="J494" s="66">
        <f>'Project Database'!N498</f>
        <v/>
      </c>
      <c r="K494" s="66">
        <f>'Project Database'!O498</f>
        <v/>
      </c>
      <c r="L494" s="66">
        <f>'Project Database'!P498</f>
        <v/>
      </c>
      <c r="M494" s="66">
        <f>'Project Database'!Q498</f>
        <v/>
      </c>
      <c r="N494" s="66">
        <f>'Project Database'!R498</f>
        <v/>
      </c>
      <c r="O494" s="66">
        <f>'Project Database'!S498</f>
        <v/>
      </c>
      <c r="P494" s="66">
        <f>'Project Database'!T498</f>
        <v/>
      </c>
      <c r="Q494" s="66">
        <f>'Project Database'!U498</f>
        <v/>
      </c>
      <c r="R494" s="66">
        <f>'Project Database'!V498</f>
        <v/>
      </c>
      <c r="S494" s="66">
        <f>'Project Database'!W498</f>
        <v/>
      </c>
      <c r="T494" s="66">
        <f>'Project Database'!X498</f>
        <v/>
      </c>
      <c r="U494" s="67">
        <f>'Project Database'!Y498</f>
        <v/>
      </c>
      <c r="V494" s="66">
        <f>IF('Smart Search'!B13=1,IFERROR(1/'Smart Search'!H13,0),0)</f>
        <v/>
      </c>
      <c r="W494" s="66">
        <f>IF('Smart Search'!B13=1,IFERROR(1/'Smart Search'!H13,0),0)</f>
        <v/>
      </c>
      <c r="X494" s="66">
        <f>IF('Smart Search'!C13=1,IFERROR(1/'Smart Search'!H13,0),0)</f>
        <v/>
      </c>
      <c r="Y494" s="66">
        <f>IF('Smart Search'!C13=1,IFERROR(1/'Smart Search'!H13,0),0)</f>
        <v/>
      </c>
      <c r="Z494" s="66">
        <f>IF('Smart Search'!D13=1,IFERROR(1/'Smart Search'!H13,0),0)</f>
        <v/>
      </c>
      <c r="AA494" s="66">
        <f>IF('Smart Search'!D13=1,IFERROR(1/'Smart Search'!H13,0),0)</f>
        <v/>
      </c>
      <c r="AB494" s="66">
        <f>IF('Smart Search'!E13=1,IFERROR(1/'Smart Search'!H13,0),0)</f>
        <v/>
      </c>
      <c r="AC494" s="66">
        <f>IF('Smart Search'!E13=1,IFERROR(1/'Smart Search'!H13,0),0)</f>
        <v/>
      </c>
      <c r="AD494" s="66">
        <f>IF('Smart Search'!F13=1,IFERROR(1/'Smart Search'!H13,0),0)</f>
        <v/>
      </c>
      <c r="AE494" s="66">
        <f>IF('Smart Search'!F13=1,IFERROR(1/'Smart Search'!H13,0),0)</f>
        <v/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66">
        <f>AF494*V494</f>
        <v/>
      </c>
      <c r="AQ494" s="66">
        <f>AG494*W494</f>
        <v/>
      </c>
      <c r="AR494" s="66">
        <f>AH494*X494</f>
        <v/>
      </c>
      <c r="AS494" s="66">
        <f>AI494*Y494</f>
        <v/>
      </c>
      <c r="AT494" s="66">
        <f>AJ494*Z494</f>
        <v/>
      </c>
      <c r="AU494" s="66">
        <f>AK494*AA494</f>
        <v/>
      </c>
      <c r="AV494" s="66">
        <f>AL494*AB494</f>
        <v/>
      </c>
      <c r="AW494" s="66">
        <f>AM494*AC494</f>
        <v/>
      </c>
      <c r="AX494" s="66">
        <f>AN494*AD494</f>
        <v/>
      </c>
      <c r="AY494" s="66">
        <f>AO494*AE494</f>
        <v/>
      </c>
      <c r="AZ494" s="66">
        <f>'Project Database'!Z498</f>
        <v/>
      </c>
      <c r="BA494" s="66">
        <f>IF(OR(A494="",'Smart Search'!H13=0),"",MAX(0,BE494*BF494*MAX(0,1-BG494)))</f>
        <v/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66">
        <f>IF('Smart Search'!G13=1,IFERROR(1/'Smart Search'!H13,0),0)</f>
        <v/>
      </c>
      <c r="BD494" s="66">
        <f>BB494*BC494</f>
        <v/>
      </c>
      <c r="BE494" s="66">
        <f>AP494+AQ494+AR494+AS494+AT494+AU494+AV494+AW494+AX494+AY494+BD494</f>
        <v/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5">
        <f>IF(AND('Project Database'!A498&lt;&gt;"",OR('Smart Search'!$L$5="",'Smart Search'!$L$5="All",TRIM('Project Database'!D498)=TRIM('Smart Search'!$L$5)),OR(TRIM('Smart Search'!$L$6)="",TRIM('Smart Search'!$L$6)="All",ISNUMBER(SEARCH(SUBSTITUTE(SUBSTITUTE(SUBSTITUTE(TRIM('Smart Search'!$L$6),"~","~~"),"*","~*"),"?","~?"),'Project Database'!C498))),OR('Smart Search'!$L$7="",AND('Project Database'!E498&lt;&gt;"",'Project Database'!E498='Smart Search'!$L$7)),OR('Smart Search'!$L$8="",'Smart Search'!$L$8="All",TRIM('Project Database'!F498)=TRIM('Smart Search'!$L$8))),IF(BA494="","",BA494+ROW()*0.0000000001),"")</f>
        <v/>
      </c>
      <c r="BI494" s="5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>
        <f>IF('Project Database'!A498="","",N('Project Database'!AC498))</f>
        <v/>
      </c>
      <c r="BK494" s="5">
        <f>IF('Project Database'!A498="","",N('Project Database'!AD498))</f>
        <v/>
      </c>
      <c r="BL494" s="5">
        <f>IF('Project Database'!A498="","",N('Project Database'!AE498))</f>
        <v/>
      </c>
      <c r="BM494" s="5">
        <f>IF('Project Database'!A498="","",N('Project Database'!AF498))</f>
        <v/>
      </c>
      <c r="BN494" s="5">
        <f>IF('Project Database'!A498="","",N('Project Database'!AG498))</f>
        <v/>
      </c>
      <c r="BO494" s="5">
        <f>IF('Project Database'!A498="","",N('Project Database'!AH498))</f>
        <v/>
      </c>
      <c r="BP494" s="5">
        <f>IF('Project Database'!A498="","",N('Project Database'!AI498))</f>
        <v/>
      </c>
      <c r="BQ494" s="5">
        <f>IF('Project Database'!A498="","",N('Project Database'!AJ498))</f>
        <v/>
      </c>
      <c r="BR494" s="5">
        <f>IF('Project Database'!A498="","",N('Project Database'!AK498))</f>
        <v/>
      </c>
      <c r="BS494" s="5">
        <f>IF('Project Database'!A498="","",N('Project Database'!AL498))</f>
        <v/>
      </c>
      <c r="BT494" s="5">
        <f>IF('Project Database'!A498="","",N('Project Database'!AM498))</f>
        <v/>
      </c>
      <c r="BU494" s="5">
        <f>IF('Project Database'!A498="","",N('Project Database'!AN498))</f>
        <v/>
      </c>
      <c r="BV494" s="5">
        <f>IF('Project Database'!A498="","",N('Project Database'!AO498))</f>
        <v/>
      </c>
      <c r="BW494" s="5">
        <f>IF('Project Database'!A498="","",N('Project Database'!AP498))</f>
        <v/>
      </c>
      <c r="BX494" s="5">
        <f>IF(A494="","",SUM(BJ494:BW494))</f>
        <v/>
      </c>
      <c r="BY494" s="5">
        <f>IF(A494="","",IFERROR(IF(ISNUMBER(U494),U494,VALUE(SUBSTITUTE(SUBSTITUTE(SUBSTITUTE(UPPER(TRIM(U494)),"M",""),",","")," ",""))),0))</f>
        <v/>
      </c>
    </row>
    <row r="495" ht="15" customHeight="1" s="74">
      <c r="A495" s="66">
        <f>'Project Database'!A499</f>
        <v/>
      </c>
      <c r="B495" s="66">
        <f>'Project Database'!B499</f>
        <v/>
      </c>
      <c r="C495" s="66">
        <f>'Project Database'!G499</f>
        <v/>
      </c>
      <c r="D495" s="66">
        <f>'Project Database'!H499</f>
        <v/>
      </c>
      <c r="E495" s="66">
        <f>'Project Database'!I499</f>
        <v/>
      </c>
      <c r="F495" s="66">
        <f>'Project Database'!J499</f>
        <v/>
      </c>
      <c r="G495" s="66">
        <f>'Project Database'!K499</f>
        <v/>
      </c>
      <c r="H495" s="66">
        <f>'Project Database'!L499</f>
        <v/>
      </c>
      <c r="I495" s="66">
        <f>'Project Database'!M499</f>
        <v/>
      </c>
      <c r="J495" s="66">
        <f>'Project Database'!N499</f>
        <v/>
      </c>
      <c r="K495" s="66">
        <f>'Project Database'!O499</f>
        <v/>
      </c>
      <c r="L495" s="66">
        <f>'Project Database'!P499</f>
        <v/>
      </c>
      <c r="M495" s="66">
        <f>'Project Database'!Q499</f>
        <v/>
      </c>
      <c r="N495" s="66">
        <f>'Project Database'!R499</f>
        <v/>
      </c>
      <c r="O495" s="66">
        <f>'Project Database'!S499</f>
        <v/>
      </c>
      <c r="P495" s="66">
        <f>'Project Database'!T499</f>
        <v/>
      </c>
      <c r="Q495" s="66">
        <f>'Project Database'!U499</f>
        <v/>
      </c>
      <c r="R495" s="66">
        <f>'Project Database'!V499</f>
        <v/>
      </c>
      <c r="S495" s="66">
        <f>'Project Database'!W499</f>
        <v/>
      </c>
      <c r="T495" s="66">
        <f>'Project Database'!X499</f>
        <v/>
      </c>
      <c r="U495" s="67">
        <f>'Project Database'!Y499</f>
        <v/>
      </c>
      <c r="V495" s="66">
        <f>IF('Smart Search'!B13=1,IFERROR(1/'Smart Search'!H13,0),0)</f>
        <v/>
      </c>
      <c r="W495" s="66">
        <f>IF('Smart Search'!B13=1,IFERROR(1/'Smart Search'!H13,0),0)</f>
        <v/>
      </c>
      <c r="X495" s="66">
        <f>IF('Smart Search'!C13=1,IFERROR(1/'Smart Search'!H13,0),0)</f>
        <v/>
      </c>
      <c r="Y495" s="66">
        <f>IF('Smart Search'!C13=1,IFERROR(1/'Smart Search'!H13,0),0)</f>
        <v/>
      </c>
      <c r="Z495" s="66">
        <f>IF('Smart Search'!D13=1,IFERROR(1/'Smart Search'!H13,0),0)</f>
        <v/>
      </c>
      <c r="AA495" s="66">
        <f>IF('Smart Search'!D13=1,IFERROR(1/'Smart Search'!H13,0),0)</f>
        <v/>
      </c>
      <c r="AB495" s="66">
        <f>IF('Smart Search'!E13=1,IFERROR(1/'Smart Search'!H13,0),0)</f>
        <v/>
      </c>
      <c r="AC495" s="66">
        <f>IF('Smart Search'!E13=1,IFERROR(1/'Smart Search'!H13,0),0)</f>
        <v/>
      </c>
      <c r="AD495" s="66">
        <f>IF('Smart Search'!F13=1,IFERROR(1/'Smart Search'!H13,0),0)</f>
        <v/>
      </c>
      <c r="AE495" s="66">
        <f>IF('Smart Search'!F13=1,IFERROR(1/'Smart Search'!H13,0),0)</f>
        <v/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66">
        <f>AF495*V495</f>
        <v/>
      </c>
      <c r="AQ495" s="66">
        <f>AG495*W495</f>
        <v/>
      </c>
      <c r="AR495" s="66">
        <f>AH495*X495</f>
        <v/>
      </c>
      <c r="AS495" s="66">
        <f>AI495*Y495</f>
        <v/>
      </c>
      <c r="AT495" s="66">
        <f>AJ495*Z495</f>
        <v/>
      </c>
      <c r="AU495" s="66">
        <f>AK495*AA495</f>
        <v/>
      </c>
      <c r="AV495" s="66">
        <f>AL495*AB495</f>
        <v/>
      </c>
      <c r="AW495" s="66">
        <f>AM495*AC495</f>
        <v/>
      </c>
      <c r="AX495" s="66">
        <f>AN495*AD495</f>
        <v/>
      </c>
      <c r="AY495" s="66">
        <f>AO495*AE495</f>
        <v/>
      </c>
      <c r="AZ495" s="66">
        <f>'Project Database'!Z499</f>
        <v/>
      </c>
      <c r="BA495" s="66">
        <f>IF(OR(A495="",'Smart Search'!H13=0),"",MAX(0,BE495*BF495*MAX(0,1-BG495)))</f>
        <v/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66">
        <f>IF('Smart Search'!G13=1,IFERROR(1/'Smart Search'!H13,0),0)</f>
        <v/>
      </c>
      <c r="BD495" s="66">
        <f>BB495*BC495</f>
        <v/>
      </c>
      <c r="BE495" s="66">
        <f>AP495+AQ495+AR495+AS495+AT495+AU495+AV495+AW495+AX495+AY495+BD495</f>
        <v/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5">
        <f>IF(AND('Project Database'!A499&lt;&gt;"",OR('Smart Search'!$L$5="",'Smart Search'!$L$5="All",TRIM('Project Database'!D499)=TRIM('Smart Search'!$L$5)),OR(TRIM('Smart Search'!$L$6)="",TRIM('Smart Search'!$L$6)="All",ISNUMBER(SEARCH(SUBSTITUTE(SUBSTITUTE(SUBSTITUTE(TRIM('Smart Search'!$L$6),"~","~~"),"*","~*"),"?","~?"),'Project Database'!C499))),OR('Smart Search'!$L$7="",AND('Project Database'!E499&lt;&gt;"",'Project Database'!E499='Smart Search'!$L$7)),OR('Smart Search'!$L$8="",'Smart Search'!$L$8="All",TRIM('Project Database'!F499)=TRIM('Smart Search'!$L$8))),IF(BA495="","",BA495+ROW()*0.0000000001),"")</f>
        <v/>
      </c>
      <c r="BI495" s="5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>
        <f>IF('Project Database'!A499="","",N('Project Database'!AC499))</f>
        <v/>
      </c>
      <c r="BK495" s="5">
        <f>IF('Project Database'!A499="","",N('Project Database'!AD499))</f>
        <v/>
      </c>
      <c r="BL495" s="5">
        <f>IF('Project Database'!A499="","",N('Project Database'!AE499))</f>
        <v/>
      </c>
      <c r="BM495" s="5">
        <f>IF('Project Database'!A499="","",N('Project Database'!AF499))</f>
        <v/>
      </c>
      <c r="BN495" s="5">
        <f>IF('Project Database'!A499="","",N('Project Database'!AG499))</f>
        <v/>
      </c>
      <c r="BO495" s="5">
        <f>IF('Project Database'!A499="","",N('Project Database'!AH499))</f>
        <v/>
      </c>
      <c r="BP495" s="5">
        <f>IF('Project Database'!A499="","",N('Project Database'!AI499))</f>
        <v/>
      </c>
      <c r="BQ495" s="5">
        <f>IF('Project Database'!A499="","",N('Project Database'!AJ499))</f>
        <v/>
      </c>
      <c r="BR495" s="5">
        <f>IF('Project Database'!A499="","",N('Project Database'!AK499))</f>
        <v/>
      </c>
      <c r="BS495" s="5">
        <f>IF('Project Database'!A499="","",N('Project Database'!AL499))</f>
        <v/>
      </c>
      <c r="BT495" s="5">
        <f>IF('Project Database'!A499="","",N('Project Database'!AM499))</f>
        <v/>
      </c>
      <c r="BU495" s="5">
        <f>IF('Project Database'!A499="","",N('Project Database'!AN499))</f>
        <v/>
      </c>
      <c r="BV495" s="5">
        <f>IF('Project Database'!A499="","",N('Project Database'!AO499))</f>
        <v/>
      </c>
      <c r="BW495" s="5">
        <f>IF('Project Database'!A499="","",N('Project Database'!AP499))</f>
        <v/>
      </c>
      <c r="BX495" s="5">
        <f>IF(A495="","",SUM(BJ495:BW495))</f>
        <v/>
      </c>
      <c r="BY495" s="5">
        <f>IF(A495="","",IFERROR(IF(ISNUMBER(U495),U495,VALUE(SUBSTITUTE(SUBSTITUTE(SUBSTITUTE(UPPER(TRIM(U495)),"M",""),",","")," ",""))),0))</f>
        <v/>
      </c>
    </row>
    <row r="496" ht="15" customHeight="1" s="74">
      <c r="A496" s="66">
        <f>'Project Database'!A500</f>
        <v/>
      </c>
      <c r="B496" s="66">
        <f>'Project Database'!B500</f>
        <v/>
      </c>
      <c r="C496" s="66">
        <f>'Project Database'!G500</f>
        <v/>
      </c>
      <c r="D496" s="66">
        <f>'Project Database'!H500</f>
        <v/>
      </c>
      <c r="E496" s="66">
        <f>'Project Database'!I500</f>
        <v/>
      </c>
      <c r="F496" s="66">
        <f>'Project Database'!J500</f>
        <v/>
      </c>
      <c r="G496" s="66">
        <f>'Project Database'!K500</f>
        <v/>
      </c>
      <c r="H496" s="66">
        <f>'Project Database'!L500</f>
        <v/>
      </c>
      <c r="I496" s="66">
        <f>'Project Database'!M500</f>
        <v/>
      </c>
      <c r="J496" s="66">
        <f>'Project Database'!N500</f>
        <v/>
      </c>
      <c r="K496" s="66">
        <f>'Project Database'!O500</f>
        <v/>
      </c>
      <c r="L496" s="66">
        <f>'Project Database'!P500</f>
        <v/>
      </c>
      <c r="M496" s="66">
        <f>'Project Database'!Q500</f>
        <v/>
      </c>
      <c r="N496" s="66">
        <f>'Project Database'!R500</f>
        <v/>
      </c>
      <c r="O496" s="66">
        <f>'Project Database'!S500</f>
        <v/>
      </c>
      <c r="P496" s="66">
        <f>'Project Database'!T500</f>
        <v/>
      </c>
      <c r="Q496" s="66">
        <f>'Project Database'!U500</f>
        <v/>
      </c>
      <c r="R496" s="66">
        <f>'Project Database'!V500</f>
        <v/>
      </c>
      <c r="S496" s="66">
        <f>'Project Database'!W500</f>
        <v/>
      </c>
      <c r="T496" s="66">
        <f>'Project Database'!X500</f>
        <v/>
      </c>
      <c r="U496" s="67">
        <f>'Project Database'!Y500</f>
        <v/>
      </c>
      <c r="V496" s="66">
        <f>IF('Smart Search'!B13=1,IFERROR(1/'Smart Search'!H13,0),0)</f>
        <v/>
      </c>
      <c r="W496" s="66">
        <f>IF('Smart Search'!B13=1,IFERROR(1/'Smart Search'!H13,0),0)</f>
        <v/>
      </c>
      <c r="X496" s="66">
        <f>IF('Smart Search'!C13=1,IFERROR(1/'Smart Search'!H13,0),0)</f>
        <v/>
      </c>
      <c r="Y496" s="66">
        <f>IF('Smart Search'!C13=1,IFERROR(1/'Smart Search'!H13,0),0)</f>
        <v/>
      </c>
      <c r="Z496" s="66">
        <f>IF('Smart Search'!D13=1,IFERROR(1/'Smart Search'!H13,0),0)</f>
        <v/>
      </c>
      <c r="AA496" s="66">
        <f>IF('Smart Search'!D13=1,IFERROR(1/'Smart Search'!H13,0),0)</f>
        <v/>
      </c>
      <c r="AB496" s="66">
        <f>IF('Smart Search'!E13=1,IFERROR(1/'Smart Search'!H13,0),0)</f>
        <v/>
      </c>
      <c r="AC496" s="66">
        <f>IF('Smart Search'!E13=1,IFERROR(1/'Smart Search'!H13,0),0)</f>
        <v/>
      </c>
      <c r="AD496" s="66">
        <f>IF('Smart Search'!F13=1,IFERROR(1/'Smart Search'!H13,0),0)</f>
        <v/>
      </c>
      <c r="AE496" s="66">
        <f>IF('Smart Search'!F13=1,IFERROR(1/'Smart Search'!H13,0),0)</f>
        <v/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66">
        <f>AF496*V496</f>
        <v/>
      </c>
      <c r="AQ496" s="66">
        <f>AG496*W496</f>
        <v/>
      </c>
      <c r="AR496" s="66">
        <f>AH496*X496</f>
        <v/>
      </c>
      <c r="AS496" s="66">
        <f>AI496*Y496</f>
        <v/>
      </c>
      <c r="AT496" s="66">
        <f>AJ496*Z496</f>
        <v/>
      </c>
      <c r="AU496" s="66">
        <f>AK496*AA496</f>
        <v/>
      </c>
      <c r="AV496" s="66">
        <f>AL496*AB496</f>
        <v/>
      </c>
      <c r="AW496" s="66">
        <f>AM496*AC496</f>
        <v/>
      </c>
      <c r="AX496" s="66">
        <f>AN496*AD496</f>
        <v/>
      </c>
      <c r="AY496" s="66">
        <f>AO496*AE496</f>
        <v/>
      </c>
      <c r="AZ496" s="66">
        <f>'Project Database'!Z500</f>
        <v/>
      </c>
      <c r="BA496" s="66">
        <f>IF(OR(A496="",'Smart Search'!H13=0),"",MAX(0,BE496*BF496*MAX(0,1-BG496)))</f>
        <v/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66">
        <f>IF('Smart Search'!G13=1,IFERROR(1/'Smart Search'!H13,0),0)</f>
        <v/>
      </c>
      <c r="BD496" s="66">
        <f>BB496*BC496</f>
        <v/>
      </c>
      <c r="BE496" s="66">
        <f>AP496+AQ496+AR496+AS496+AT496+AU496+AV496+AW496+AX496+AY496+BD496</f>
        <v/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5">
        <f>IF(AND('Project Database'!A500&lt;&gt;"",OR('Smart Search'!$L$5="",'Smart Search'!$L$5="All",TRIM('Project Database'!D500)=TRIM('Smart Search'!$L$5)),OR(TRIM('Smart Search'!$L$6)="",TRIM('Smart Search'!$L$6)="All",ISNUMBER(SEARCH(SUBSTITUTE(SUBSTITUTE(SUBSTITUTE(TRIM('Smart Search'!$L$6),"~","~~"),"*","~*"),"?","~?"),'Project Database'!C500))),OR('Smart Search'!$L$7="",AND('Project Database'!E500&lt;&gt;"",'Project Database'!E500='Smart Search'!$L$7)),OR('Smart Search'!$L$8="",'Smart Search'!$L$8="All",TRIM('Project Database'!F500)=TRIM('Smart Search'!$L$8))),IF(BA496="","",BA496+ROW()*0.0000000001),"")</f>
        <v/>
      </c>
      <c r="BI496" s="5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>
        <f>IF('Project Database'!A500="","",N('Project Database'!AC500))</f>
        <v/>
      </c>
      <c r="BK496" s="5">
        <f>IF('Project Database'!A500="","",N('Project Database'!AD500))</f>
        <v/>
      </c>
      <c r="BL496" s="5">
        <f>IF('Project Database'!A500="","",N('Project Database'!AE500))</f>
        <v/>
      </c>
      <c r="BM496" s="5">
        <f>IF('Project Database'!A500="","",N('Project Database'!AF500))</f>
        <v/>
      </c>
      <c r="BN496" s="5">
        <f>IF('Project Database'!A500="","",N('Project Database'!AG500))</f>
        <v/>
      </c>
      <c r="BO496" s="5">
        <f>IF('Project Database'!A500="","",N('Project Database'!AH500))</f>
        <v/>
      </c>
      <c r="BP496" s="5">
        <f>IF('Project Database'!A500="","",N('Project Database'!AI500))</f>
        <v/>
      </c>
      <c r="BQ496" s="5">
        <f>IF('Project Database'!A500="","",N('Project Database'!AJ500))</f>
        <v/>
      </c>
      <c r="BR496" s="5">
        <f>IF('Project Database'!A500="","",N('Project Database'!AK500))</f>
        <v/>
      </c>
      <c r="BS496" s="5">
        <f>IF('Project Database'!A500="","",N('Project Database'!AL500))</f>
        <v/>
      </c>
      <c r="BT496" s="5">
        <f>IF('Project Database'!A500="","",N('Project Database'!AM500))</f>
        <v/>
      </c>
      <c r="BU496" s="5">
        <f>IF('Project Database'!A500="","",N('Project Database'!AN500))</f>
        <v/>
      </c>
      <c r="BV496" s="5">
        <f>IF('Project Database'!A500="","",N('Project Database'!AO500))</f>
        <v/>
      </c>
      <c r="BW496" s="5">
        <f>IF('Project Database'!A500="","",N('Project Database'!AP500))</f>
        <v/>
      </c>
      <c r="BX496" s="5">
        <f>IF(A496="","",SUM(BJ496:BW496))</f>
        <v/>
      </c>
      <c r="BY496" s="5">
        <f>IF(A496="","",IFERROR(IF(ISNUMBER(U496),U496,VALUE(SUBSTITUTE(SUBSTITUTE(SUBSTITUTE(UPPER(TRIM(U496)),"M",""),",","")," ",""))),0))</f>
        <v/>
      </c>
    </row>
    <row r="497" ht="15" customHeight="1" s="74">
      <c r="A497" s="66">
        <f>'Project Database'!A501</f>
        <v/>
      </c>
      <c r="B497" s="66">
        <f>'Project Database'!B501</f>
        <v/>
      </c>
      <c r="C497" s="66">
        <f>'Project Database'!G501</f>
        <v/>
      </c>
      <c r="D497" s="66">
        <f>'Project Database'!H501</f>
        <v/>
      </c>
      <c r="E497" s="66">
        <f>'Project Database'!I501</f>
        <v/>
      </c>
      <c r="F497" s="66">
        <f>'Project Database'!J501</f>
        <v/>
      </c>
      <c r="G497" s="66">
        <f>'Project Database'!K501</f>
        <v/>
      </c>
      <c r="H497" s="66">
        <f>'Project Database'!L501</f>
        <v/>
      </c>
      <c r="I497" s="66">
        <f>'Project Database'!M501</f>
        <v/>
      </c>
      <c r="J497" s="66">
        <f>'Project Database'!N501</f>
        <v/>
      </c>
      <c r="K497" s="66">
        <f>'Project Database'!O501</f>
        <v/>
      </c>
      <c r="L497" s="66">
        <f>'Project Database'!P501</f>
        <v/>
      </c>
      <c r="M497" s="66">
        <f>'Project Database'!Q501</f>
        <v/>
      </c>
      <c r="N497" s="66">
        <f>'Project Database'!R501</f>
        <v/>
      </c>
      <c r="O497" s="66">
        <f>'Project Database'!S501</f>
        <v/>
      </c>
      <c r="P497" s="66">
        <f>'Project Database'!T501</f>
        <v/>
      </c>
      <c r="Q497" s="66">
        <f>'Project Database'!U501</f>
        <v/>
      </c>
      <c r="R497" s="66">
        <f>'Project Database'!V501</f>
        <v/>
      </c>
      <c r="S497" s="66">
        <f>'Project Database'!W501</f>
        <v/>
      </c>
      <c r="T497" s="66">
        <f>'Project Database'!X501</f>
        <v/>
      </c>
      <c r="U497" s="67">
        <f>'Project Database'!Y501</f>
        <v/>
      </c>
      <c r="V497" s="66">
        <f>IF('Smart Search'!B13=1,IFERROR(1/'Smart Search'!H13,0),0)</f>
        <v/>
      </c>
      <c r="W497" s="66">
        <f>IF('Smart Search'!B13=1,IFERROR(1/'Smart Search'!H13,0),0)</f>
        <v/>
      </c>
      <c r="X497" s="66">
        <f>IF('Smart Search'!C13=1,IFERROR(1/'Smart Search'!H13,0),0)</f>
        <v/>
      </c>
      <c r="Y497" s="66">
        <f>IF('Smart Search'!C13=1,IFERROR(1/'Smart Search'!H13,0),0)</f>
        <v/>
      </c>
      <c r="Z497" s="66">
        <f>IF('Smart Search'!D13=1,IFERROR(1/'Smart Search'!H13,0),0)</f>
        <v/>
      </c>
      <c r="AA497" s="66">
        <f>IF('Smart Search'!D13=1,IFERROR(1/'Smart Search'!H13,0),0)</f>
        <v/>
      </c>
      <c r="AB497" s="66">
        <f>IF('Smart Search'!E13=1,IFERROR(1/'Smart Search'!H13,0),0)</f>
        <v/>
      </c>
      <c r="AC497" s="66">
        <f>IF('Smart Search'!E13=1,IFERROR(1/'Smart Search'!H13,0),0)</f>
        <v/>
      </c>
      <c r="AD497" s="66">
        <f>IF('Smart Search'!F13=1,IFERROR(1/'Smart Search'!H13,0),0)</f>
        <v/>
      </c>
      <c r="AE497" s="66">
        <f>IF('Smart Search'!F13=1,IFERROR(1/'Smart Search'!H13,0),0)</f>
        <v/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66">
        <f>AF497*V497</f>
        <v/>
      </c>
      <c r="AQ497" s="66">
        <f>AG497*W497</f>
        <v/>
      </c>
      <c r="AR497" s="66">
        <f>AH497*X497</f>
        <v/>
      </c>
      <c r="AS497" s="66">
        <f>AI497*Y497</f>
        <v/>
      </c>
      <c r="AT497" s="66">
        <f>AJ497*Z497</f>
        <v/>
      </c>
      <c r="AU497" s="66">
        <f>AK497*AA497</f>
        <v/>
      </c>
      <c r="AV497" s="66">
        <f>AL497*AB497</f>
        <v/>
      </c>
      <c r="AW497" s="66">
        <f>AM497*AC497</f>
        <v/>
      </c>
      <c r="AX497" s="66">
        <f>AN497*AD497</f>
        <v/>
      </c>
      <c r="AY497" s="66">
        <f>AO497*AE497</f>
        <v/>
      </c>
      <c r="AZ497" s="66">
        <f>'Project Database'!Z501</f>
        <v/>
      </c>
      <c r="BA497" s="66">
        <f>IF(OR(A497="",'Smart Search'!H13=0),"",MAX(0,BE497*BF497*MAX(0,1-BG497)))</f>
        <v/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66">
        <f>IF('Smart Search'!G13=1,IFERROR(1/'Smart Search'!H13,0),0)</f>
        <v/>
      </c>
      <c r="BD497" s="66">
        <f>BB497*BC497</f>
        <v/>
      </c>
      <c r="BE497" s="66">
        <f>AP497+AQ497+AR497+AS497+AT497+AU497+AV497+AW497+AX497+AY497+BD497</f>
        <v/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5">
        <f>IF(AND('Project Database'!A501&lt;&gt;"",OR('Smart Search'!$L$5="",'Smart Search'!$L$5="All",TRIM('Project Database'!D501)=TRIM('Smart Search'!$L$5)),OR(TRIM('Smart Search'!$L$6)="",TRIM('Smart Search'!$L$6)="All",ISNUMBER(SEARCH(SUBSTITUTE(SUBSTITUTE(SUBSTITUTE(TRIM('Smart Search'!$L$6),"~","~~"),"*","~*"),"?","~?"),'Project Database'!C501))),OR('Smart Search'!$L$7="",AND('Project Database'!E501&lt;&gt;"",'Project Database'!E501='Smart Search'!$L$7)),OR('Smart Search'!$L$8="",'Smart Search'!$L$8="All",TRIM('Project Database'!F501)=TRIM('Smart Search'!$L$8))),IF(BA497="","",BA497+ROW()*0.0000000001),"")</f>
        <v/>
      </c>
      <c r="BI497" s="5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>
        <f>IF('Project Database'!A501="","",N('Project Database'!AC501))</f>
        <v/>
      </c>
      <c r="BK497" s="5">
        <f>IF('Project Database'!A501="","",N('Project Database'!AD501))</f>
        <v/>
      </c>
      <c r="BL497" s="5">
        <f>IF('Project Database'!A501="","",N('Project Database'!AE501))</f>
        <v/>
      </c>
      <c r="BM497" s="5">
        <f>IF('Project Database'!A501="","",N('Project Database'!AF501))</f>
        <v/>
      </c>
      <c r="BN497" s="5">
        <f>IF('Project Database'!A501="","",N('Project Database'!AG501))</f>
        <v/>
      </c>
      <c r="BO497" s="5">
        <f>IF('Project Database'!A501="","",N('Project Database'!AH501))</f>
        <v/>
      </c>
      <c r="BP497" s="5">
        <f>IF('Project Database'!A501="","",N('Project Database'!AI501))</f>
        <v/>
      </c>
      <c r="BQ497" s="5">
        <f>IF('Project Database'!A501="","",N('Project Database'!AJ501))</f>
        <v/>
      </c>
      <c r="BR497" s="5">
        <f>IF('Project Database'!A501="","",N('Project Database'!AK501))</f>
        <v/>
      </c>
      <c r="BS497" s="5">
        <f>IF('Project Database'!A501="","",N('Project Database'!AL501))</f>
        <v/>
      </c>
      <c r="BT497" s="5">
        <f>IF('Project Database'!A501="","",N('Project Database'!AM501))</f>
        <v/>
      </c>
      <c r="BU497" s="5">
        <f>IF('Project Database'!A501="","",N('Project Database'!AN501))</f>
        <v/>
      </c>
      <c r="BV497" s="5">
        <f>IF('Project Database'!A501="","",N('Project Database'!AO501))</f>
        <v/>
      </c>
      <c r="BW497" s="5">
        <f>IF('Project Database'!A501="","",N('Project Database'!AP501))</f>
        <v/>
      </c>
      <c r="BX497" s="5">
        <f>IF(A497="","",SUM(BJ497:BW497))</f>
        <v/>
      </c>
      <c r="BY497" s="5">
        <f>IF(A497="","",IFERROR(IF(ISNUMBER(U497),U497,VALUE(SUBSTITUTE(SUBSTITUTE(SUBSTITUTE(UPPER(TRIM(U497)),"M",""),",","")," ",""))),0))</f>
        <v/>
      </c>
    </row>
    <row r="498" ht="15" customHeight="1" s="74">
      <c r="A498" s="66">
        <f>'Project Database'!A502</f>
        <v/>
      </c>
      <c r="B498" s="66">
        <f>'Project Database'!B502</f>
        <v/>
      </c>
      <c r="C498" s="66">
        <f>'Project Database'!G502</f>
        <v/>
      </c>
      <c r="D498" s="66">
        <f>'Project Database'!H502</f>
        <v/>
      </c>
      <c r="E498" s="66">
        <f>'Project Database'!I502</f>
        <v/>
      </c>
      <c r="F498" s="66">
        <f>'Project Database'!J502</f>
        <v/>
      </c>
      <c r="G498" s="66">
        <f>'Project Database'!K502</f>
        <v/>
      </c>
      <c r="H498" s="66">
        <f>'Project Database'!L502</f>
        <v/>
      </c>
      <c r="I498" s="66">
        <f>'Project Database'!M502</f>
        <v/>
      </c>
      <c r="J498" s="66">
        <f>'Project Database'!N502</f>
        <v/>
      </c>
      <c r="K498" s="66">
        <f>'Project Database'!O502</f>
        <v/>
      </c>
      <c r="L498" s="66">
        <f>'Project Database'!P502</f>
        <v/>
      </c>
      <c r="M498" s="66">
        <f>'Project Database'!Q502</f>
        <v/>
      </c>
      <c r="N498" s="66">
        <f>'Project Database'!R502</f>
        <v/>
      </c>
      <c r="O498" s="66">
        <f>'Project Database'!S502</f>
        <v/>
      </c>
      <c r="P498" s="66">
        <f>'Project Database'!T502</f>
        <v/>
      </c>
      <c r="Q498" s="66">
        <f>'Project Database'!U502</f>
        <v/>
      </c>
      <c r="R498" s="66">
        <f>'Project Database'!V502</f>
        <v/>
      </c>
      <c r="S498" s="66">
        <f>'Project Database'!W502</f>
        <v/>
      </c>
      <c r="T498" s="66">
        <f>'Project Database'!X502</f>
        <v/>
      </c>
      <c r="U498" s="67">
        <f>'Project Database'!Y502</f>
        <v/>
      </c>
      <c r="V498" s="66">
        <f>IF('Smart Search'!B13=1,IFERROR(1/'Smart Search'!H13,0),0)</f>
        <v/>
      </c>
      <c r="W498" s="66">
        <f>IF('Smart Search'!B13=1,IFERROR(1/'Smart Search'!H13,0),0)</f>
        <v/>
      </c>
      <c r="X498" s="66">
        <f>IF('Smart Search'!C13=1,IFERROR(1/'Smart Search'!H13,0),0)</f>
        <v/>
      </c>
      <c r="Y498" s="66">
        <f>IF('Smart Search'!C13=1,IFERROR(1/'Smart Search'!H13,0),0)</f>
        <v/>
      </c>
      <c r="Z498" s="66">
        <f>IF('Smart Search'!D13=1,IFERROR(1/'Smart Search'!H13,0),0)</f>
        <v/>
      </c>
      <c r="AA498" s="66">
        <f>IF('Smart Search'!D13=1,IFERROR(1/'Smart Search'!H13,0),0)</f>
        <v/>
      </c>
      <c r="AB498" s="66">
        <f>IF('Smart Search'!E13=1,IFERROR(1/'Smart Search'!H13,0),0)</f>
        <v/>
      </c>
      <c r="AC498" s="66">
        <f>IF('Smart Search'!E13=1,IFERROR(1/'Smart Search'!H13,0),0)</f>
        <v/>
      </c>
      <c r="AD498" s="66">
        <f>IF('Smart Search'!F13=1,IFERROR(1/'Smart Search'!H13,0),0)</f>
        <v/>
      </c>
      <c r="AE498" s="66">
        <f>IF('Smart Search'!F13=1,IFERROR(1/'Smart Search'!H13,0),0)</f>
        <v/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66">
        <f>AF498*V498</f>
        <v/>
      </c>
      <c r="AQ498" s="66">
        <f>AG498*W498</f>
        <v/>
      </c>
      <c r="AR498" s="66">
        <f>AH498*X498</f>
        <v/>
      </c>
      <c r="AS498" s="66">
        <f>AI498*Y498</f>
        <v/>
      </c>
      <c r="AT498" s="66">
        <f>AJ498*Z498</f>
        <v/>
      </c>
      <c r="AU498" s="66">
        <f>AK498*AA498</f>
        <v/>
      </c>
      <c r="AV498" s="66">
        <f>AL498*AB498</f>
        <v/>
      </c>
      <c r="AW498" s="66">
        <f>AM498*AC498</f>
        <v/>
      </c>
      <c r="AX498" s="66">
        <f>AN498*AD498</f>
        <v/>
      </c>
      <c r="AY498" s="66">
        <f>AO498*AE498</f>
        <v/>
      </c>
      <c r="AZ498" s="66">
        <f>'Project Database'!Z502</f>
        <v/>
      </c>
      <c r="BA498" s="66">
        <f>IF(OR(A498="",'Smart Search'!H13=0),"",MAX(0,BE498*BF498*MAX(0,1-BG498)))</f>
        <v/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66">
        <f>IF('Smart Search'!G13=1,IFERROR(1/'Smart Search'!H13,0),0)</f>
        <v/>
      </c>
      <c r="BD498" s="66">
        <f>BB498*BC498</f>
        <v/>
      </c>
      <c r="BE498" s="66">
        <f>AP498+AQ498+AR498+AS498+AT498+AU498+AV498+AW498+AX498+AY498+BD498</f>
        <v/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5">
        <f>IF(AND('Project Database'!A502&lt;&gt;"",OR('Smart Search'!$L$5="",'Smart Search'!$L$5="All",TRIM('Project Database'!D502)=TRIM('Smart Search'!$L$5)),OR(TRIM('Smart Search'!$L$6)="",TRIM('Smart Search'!$L$6)="All",ISNUMBER(SEARCH(SUBSTITUTE(SUBSTITUTE(SUBSTITUTE(TRIM('Smart Search'!$L$6),"~","~~"),"*","~*"),"?","~?"),'Project Database'!C502))),OR('Smart Search'!$L$7="",AND('Project Database'!E502&lt;&gt;"",'Project Database'!E502='Smart Search'!$L$7)),OR('Smart Search'!$L$8="",'Smart Search'!$L$8="All",TRIM('Project Database'!F502)=TRIM('Smart Search'!$L$8))),IF(BA498="","",BA498+ROW()*0.0000000001),"")</f>
        <v/>
      </c>
      <c r="BI498" s="5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>
        <f>IF('Project Database'!A502="","",N('Project Database'!AC502))</f>
        <v/>
      </c>
      <c r="BK498" s="5">
        <f>IF('Project Database'!A502="","",N('Project Database'!AD502))</f>
        <v/>
      </c>
      <c r="BL498" s="5">
        <f>IF('Project Database'!A502="","",N('Project Database'!AE502))</f>
        <v/>
      </c>
      <c r="BM498" s="5">
        <f>IF('Project Database'!A502="","",N('Project Database'!AF502))</f>
        <v/>
      </c>
      <c r="BN498" s="5">
        <f>IF('Project Database'!A502="","",N('Project Database'!AG502))</f>
        <v/>
      </c>
      <c r="BO498" s="5">
        <f>IF('Project Database'!A502="","",N('Project Database'!AH502))</f>
        <v/>
      </c>
      <c r="BP498" s="5">
        <f>IF('Project Database'!A502="","",N('Project Database'!AI502))</f>
        <v/>
      </c>
      <c r="BQ498" s="5">
        <f>IF('Project Database'!A502="","",N('Project Database'!AJ502))</f>
        <v/>
      </c>
      <c r="BR498" s="5">
        <f>IF('Project Database'!A502="","",N('Project Database'!AK502))</f>
        <v/>
      </c>
      <c r="BS498" s="5">
        <f>IF('Project Database'!A502="","",N('Project Database'!AL502))</f>
        <v/>
      </c>
      <c r="BT498" s="5">
        <f>IF('Project Database'!A502="","",N('Project Database'!AM502))</f>
        <v/>
      </c>
      <c r="BU498" s="5">
        <f>IF('Project Database'!A502="","",N('Project Database'!AN502))</f>
        <v/>
      </c>
      <c r="BV498" s="5">
        <f>IF('Project Database'!A502="","",N('Project Database'!AO502))</f>
        <v/>
      </c>
      <c r="BW498" s="5">
        <f>IF('Project Database'!A502="","",N('Project Database'!AP502))</f>
        <v/>
      </c>
      <c r="BX498" s="5">
        <f>IF(A498="","",SUM(BJ498:BW498))</f>
        <v/>
      </c>
      <c r="BY498" s="5">
        <f>IF(A498="","",IFERROR(IF(ISNUMBER(U498),U498,VALUE(SUBSTITUTE(SUBSTITUTE(SUBSTITUTE(UPPER(TRIM(U498)),"M",""),",","")," ",""))),0))</f>
        <v/>
      </c>
    </row>
    <row r="499" ht="15" customHeight="1" s="74">
      <c r="A499" s="66">
        <f>'Project Database'!A503</f>
        <v/>
      </c>
      <c r="B499" s="66">
        <f>'Project Database'!B503</f>
        <v/>
      </c>
      <c r="C499" s="66">
        <f>'Project Database'!G503</f>
        <v/>
      </c>
      <c r="D499" s="66">
        <f>'Project Database'!H503</f>
        <v/>
      </c>
      <c r="E499" s="66">
        <f>'Project Database'!I503</f>
        <v/>
      </c>
      <c r="F499" s="66">
        <f>'Project Database'!J503</f>
        <v/>
      </c>
      <c r="G499" s="66">
        <f>'Project Database'!K503</f>
        <v/>
      </c>
      <c r="H499" s="66">
        <f>'Project Database'!L503</f>
        <v/>
      </c>
      <c r="I499" s="66">
        <f>'Project Database'!M503</f>
        <v/>
      </c>
      <c r="J499" s="66">
        <f>'Project Database'!N503</f>
        <v/>
      </c>
      <c r="K499" s="66">
        <f>'Project Database'!O503</f>
        <v/>
      </c>
      <c r="L499" s="66">
        <f>'Project Database'!P503</f>
        <v/>
      </c>
      <c r="M499" s="66">
        <f>'Project Database'!Q503</f>
        <v/>
      </c>
      <c r="N499" s="66">
        <f>'Project Database'!R503</f>
        <v/>
      </c>
      <c r="O499" s="66">
        <f>'Project Database'!S503</f>
        <v/>
      </c>
      <c r="P499" s="66">
        <f>'Project Database'!T503</f>
        <v/>
      </c>
      <c r="Q499" s="66">
        <f>'Project Database'!U503</f>
        <v/>
      </c>
      <c r="R499" s="66">
        <f>'Project Database'!V503</f>
        <v/>
      </c>
      <c r="S499" s="66">
        <f>'Project Database'!W503</f>
        <v/>
      </c>
      <c r="T499" s="66">
        <f>'Project Database'!X503</f>
        <v/>
      </c>
      <c r="U499" s="67">
        <f>'Project Database'!Y503</f>
        <v/>
      </c>
      <c r="V499" s="66">
        <f>IF('Smart Search'!B13=1,IFERROR(1/'Smart Search'!H13,0),0)</f>
        <v/>
      </c>
      <c r="W499" s="66">
        <f>IF('Smart Search'!B13=1,IFERROR(1/'Smart Search'!H13,0),0)</f>
        <v/>
      </c>
      <c r="X499" s="66">
        <f>IF('Smart Search'!C13=1,IFERROR(1/'Smart Search'!H13,0),0)</f>
        <v/>
      </c>
      <c r="Y499" s="66">
        <f>IF('Smart Search'!C13=1,IFERROR(1/'Smart Search'!H13,0),0)</f>
        <v/>
      </c>
      <c r="Z499" s="66">
        <f>IF('Smart Search'!D13=1,IFERROR(1/'Smart Search'!H13,0),0)</f>
        <v/>
      </c>
      <c r="AA499" s="66">
        <f>IF('Smart Search'!D13=1,IFERROR(1/'Smart Search'!H13,0),0)</f>
        <v/>
      </c>
      <c r="AB499" s="66">
        <f>IF('Smart Search'!E13=1,IFERROR(1/'Smart Search'!H13,0),0)</f>
        <v/>
      </c>
      <c r="AC499" s="66">
        <f>IF('Smart Search'!E13=1,IFERROR(1/'Smart Search'!H13,0),0)</f>
        <v/>
      </c>
      <c r="AD499" s="66">
        <f>IF('Smart Search'!F13=1,IFERROR(1/'Smart Search'!H13,0),0)</f>
        <v/>
      </c>
      <c r="AE499" s="66">
        <f>IF('Smart Search'!F13=1,IFERROR(1/'Smart Search'!H13,0),0)</f>
        <v/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66">
        <f>AF499*V499</f>
        <v/>
      </c>
      <c r="AQ499" s="66">
        <f>AG499*W499</f>
        <v/>
      </c>
      <c r="AR499" s="66">
        <f>AH499*X499</f>
        <v/>
      </c>
      <c r="AS499" s="66">
        <f>AI499*Y499</f>
        <v/>
      </c>
      <c r="AT499" s="66">
        <f>AJ499*Z499</f>
        <v/>
      </c>
      <c r="AU499" s="66">
        <f>AK499*AA499</f>
        <v/>
      </c>
      <c r="AV499" s="66">
        <f>AL499*AB499</f>
        <v/>
      </c>
      <c r="AW499" s="66">
        <f>AM499*AC499</f>
        <v/>
      </c>
      <c r="AX499" s="66">
        <f>AN499*AD499</f>
        <v/>
      </c>
      <c r="AY499" s="66">
        <f>AO499*AE499</f>
        <v/>
      </c>
      <c r="AZ499" s="66">
        <f>'Project Database'!Z503</f>
        <v/>
      </c>
      <c r="BA499" s="66">
        <f>IF(OR(A499="",'Smart Search'!H13=0),"",MAX(0,BE499*BF499*MAX(0,1-BG499)))</f>
        <v/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66">
        <f>IF('Smart Search'!G13=1,IFERROR(1/'Smart Search'!H13,0),0)</f>
        <v/>
      </c>
      <c r="BD499" s="66">
        <f>BB499*BC499</f>
        <v/>
      </c>
      <c r="BE499" s="66">
        <f>AP499+AQ499+AR499+AS499+AT499+AU499+AV499+AW499+AX499+AY499+BD499</f>
        <v/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5">
        <f>IF(AND('Project Database'!A503&lt;&gt;"",OR('Smart Search'!$L$5="",'Smart Search'!$L$5="All",TRIM('Project Database'!D503)=TRIM('Smart Search'!$L$5)),OR(TRIM('Smart Search'!$L$6)="",TRIM('Smart Search'!$L$6)="All",ISNUMBER(SEARCH(SUBSTITUTE(SUBSTITUTE(SUBSTITUTE(TRIM('Smart Search'!$L$6),"~","~~"),"*","~*"),"?","~?"),'Project Database'!C503))),OR('Smart Search'!$L$7="",AND('Project Database'!E503&lt;&gt;"",'Project Database'!E503='Smart Search'!$L$7)),OR('Smart Search'!$L$8="",'Smart Search'!$L$8="All",TRIM('Project Database'!F503)=TRIM('Smart Search'!$L$8))),IF(BA499="","",BA499+ROW()*0.0000000001),"")</f>
        <v/>
      </c>
      <c r="BI499" s="5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>
        <f>IF('Project Database'!A503="","",N('Project Database'!AC503))</f>
        <v/>
      </c>
      <c r="BK499" s="5">
        <f>IF('Project Database'!A503="","",N('Project Database'!AD503))</f>
        <v/>
      </c>
      <c r="BL499" s="5">
        <f>IF('Project Database'!A503="","",N('Project Database'!AE503))</f>
        <v/>
      </c>
      <c r="BM499" s="5">
        <f>IF('Project Database'!A503="","",N('Project Database'!AF503))</f>
        <v/>
      </c>
      <c r="BN499" s="5">
        <f>IF('Project Database'!A503="","",N('Project Database'!AG503))</f>
        <v/>
      </c>
      <c r="BO499" s="5">
        <f>IF('Project Database'!A503="","",N('Project Database'!AH503))</f>
        <v/>
      </c>
      <c r="BP499" s="5">
        <f>IF('Project Database'!A503="","",N('Project Database'!AI503))</f>
        <v/>
      </c>
      <c r="BQ499" s="5">
        <f>IF('Project Database'!A503="","",N('Project Database'!AJ503))</f>
        <v/>
      </c>
      <c r="BR499" s="5">
        <f>IF('Project Database'!A503="","",N('Project Database'!AK503))</f>
        <v/>
      </c>
      <c r="BS499" s="5">
        <f>IF('Project Database'!A503="","",N('Project Database'!AL503))</f>
        <v/>
      </c>
      <c r="BT499" s="5">
        <f>IF('Project Database'!A503="","",N('Project Database'!AM503))</f>
        <v/>
      </c>
      <c r="BU499" s="5">
        <f>IF('Project Database'!A503="","",N('Project Database'!AN503))</f>
        <v/>
      </c>
      <c r="BV499" s="5">
        <f>IF('Project Database'!A503="","",N('Project Database'!AO503))</f>
        <v/>
      </c>
      <c r="BW499" s="5">
        <f>IF('Project Database'!A503="","",N('Project Database'!AP503))</f>
        <v/>
      </c>
      <c r="BX499" s="5">
        <f>IF(A499="","",SUM(BJ499:BW499))</f>
        <v/>
      </c>
      <c r="BY499" s="5">
        <f>IF(A499="","",IFERROR(IF(ISNUMBER(U499),U499,VALUE(SUBSTITUTE(SUBSTITUTE(SUBSTITUTE(UPPER(TRIM(U499)),"M",""),",","")," ",""))),0))</f>
        <v/>
      </c>
    </row>
    <row r="500" ht="15" customHeight="1" s="74">
      <c r="A500" s="66">
        <f>'Project Database'!A504</f>
        <v/>
      </c>
      <c r="B500" s="66">
        <f>'Project Database'!B504</f>
        <v/>
      </c>
      <c r="C500" s="66">
        <f>'Project Database'!G504</f>
        <v/>
      </c>
      <c r="D500" s="66">
        <f>'Project Database'!H504</f>
        <v/>
      </c>
      <c r="E500" s="66">
        <f>'Project Database'!I504</f>
        <v/>
      </c>
      <c r="F500" s="66">
        <f>'Project Database'!J504</f>
        <v/>
      </c>
      <c r="G500" s="66">
        <f>'Project Database'!K504</f>
        <v/>
      </c>
      <c r="H500" s="66">
        <f>'Project Database'!L504</f>
        <v/>
      </c>
      <c r="I500" s="66">
        <f>'Project Database'!M504</f>
        <v/>
      </c>
      <c r="J500" s="66">
        <f>'Project Database'!N504</f>
        <v/>
      </c>
      <c r="K500" s="66">
        <f>'Project Database'!O504</f>
        <v/>
      </c>
      <c r="L500" s="66">
        <f>'Project Database'!P504</f>
        <v/>
      </c>
      <c r="M500" s="66">
        <f>'Project Database'!Q504</f>
        <v/>
      </c>
      <c r="N500" s="66">
        <f>'Project Database'!R504</f>
        <v/>
      </c>
      <c r="O500" s="66">
        <f>'Project Database'!S504</f>
        <v/>
      </c>
      <c r="P500" s="66">
        <f>'Project Database'!T504</f>
        <v/>
      </c>
      <c r="Q500" s="66">
        <f>'Project Database'!U504</f>
        <v/>
      </c>
      <c r="R500" s="66">
        <f>'Project Database'!V504</f>
        <v/>
      </c>
      <c r="S500" s="66">
        <f>'Project Database'!W504</f>
        <v/>
      </c>
      <c r="T500" s="66">
        <f>'Project Database'!X504</f>
        <v/>
      </c>
      <c r="U500" s="67">
        <f>'Project Database'!Y504</f>
        <v/>
      </c>
      <c r="V500" s="66">
        <f>IF('Smart Search'!B13=1,IFERROR(1/'Smart Search'!H13,0),0)</f>
        <v/>
      </c>
      <c r="W500" s="66">
        <f>IF('Smart Search'!B13=1,IFERROR(1/'Smart Search'!H13,0),0)</f>
        <v/>
      </c>
      <c r="X500" s="66">
        <f>IF('Smart Search'!C13=1,IFERROR(1/'Smart Search'!H13,0),0)</f>
        <v/>
      </c>
      <c r="Y500" s="66">
        <f>IF('Smart Search'!C13=1,IFERROR(1/'Smart Search'!H13,0),0)</f>
        <v/>
      </c>
      <c r="Z500" s="66">
        <f>IF('Smart Search'!D13=1,IFERROR(1/'Smart Search'!H13,0),0)</f>
        <v/>
      </c>
      <c r="AA500" s="66">
        <f>IF('Smart Search'!D13=1,IFERROR(1/'Smart Search'!H13,0),0)</f>
        <v/>
      </c>
      <c r="AB500" s="66">
        <f>IF('Smart Search'!E13=1,IFERROR(1/'Smart Search'!H13,0),0)</f>
        <v/>
      </c>
      <c r="AC500" s="66">
        <f>IF('Smart Search'!E13=1,IFERROR(1/'Smart Search'!H13,0),0)</f>
        <v/>
      </c>
      <c r="AD500" s="66">
        <f>IF('Smart Search'!F13=1,IFERROR(1/'Smart Search'!H13,0),0)</f>
        <v/>
      </c>
      <c r="AE500" s="66">
        <f>IF('Smart Search'!F13=1,IFERROR(1/'Smart Search'!H13,0),0)</f>
        <v/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66">
        <f>AF500*V500</f>
        <v/>
      </c>
      <c r="AQ500" s="66">
        <f>AG500*W500</f>
        <v/>
      </c>
      <c r="AR500" s="66">
        <f>AH500*X500</f>
        <v/>
      </c>
      <c r="AS500" s="66">
        <f>AI500*Y500</f>
        <v/>
      </c>
      <c r="AT500" s="66">
        <f>AJ500*Z500</f>
        <v/>
      </c>
      <c r="AU500" s="66">
        <f>AK500*AA500</f>
        <v/>
      </c>
      <c r="AV500" s="66">
        <f>AL500*AB500</f>
        <v/>
      </c>
      <c r="AW500" s="66">
        <f>AM500*AC500</f>
        <v/>
      </c>
      <c r="AX500" s="66">
        <f>AN500*AD500</f>
        <v/>
      </c>
      <c r="AY500" s="66">
        <f>AO500*AE500</f>
        <v/>
      </c>
      <c r="AZ500" s="66">
        <f>'Project Database'!Z504</f>
        <v/>
      </c>
      <c r="BA500" s="66">
        <f>IF(OR(A500="",'Smart Search'!H13=0),"",MAX(0,BE500*BF500*MAX(0,1-BG500)))</f>
        <v/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66">
        <f>IF('Smart Search'!G13=1,IFERROR(1/'Smart Search'!H13,0),0)</f>
        <v/>
      </c>
      <c r="BD500" s="66">
        <f>BB500*BC500</f>
        <v/>
      </c>
      <c r="BE500" s="66">
        <f>AP500+AQ500+AR500+AS500+AT500+AU500+AV500+AW500+AX500+AY500+BD500</f>
        <v/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5">
        <f>IF(AND('Project Database'!A504&lt;&gt;"",OR('Smart Search'!$L$5="",'Smart Search'!$L$5="All",TRIM('Project Database'!D504)=TRIM('Smart Search'!$L$5)),OR(TRIM('Smart Search'!$L$6)="",TRIM('Smart Search'!$L$6)="All",ISNUMBER(SEARCH(SUBSTITUTE(SUBSTITUTE(SUBSTITUTE(TRIM('Smart Search'!$L$6),"~","~~"),"*","~*"),"?","~?"),'Project Database'!C504))),OR('Smart Search'!$L$7="",AND('Project Database'!E504&lt;&gt;"",'Project Database'!E504='Smart Search'!$L$7)),OR('Smart Search'!$L$8="",'Smart Search'!$L$8="All",TRIM('Project Database'!F504)=TRIM('Smart Search'!$L$8))),IF(BA500="","",BA500+ROW()*0.0000000001),"")</f>
        <v/>
      </c>
      <c r="BI500" s="5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>
        <f>IF('Project Database'!A504="","",N('Project Database'!AC504))</f>
        <v/>
      </c>
      <c r="BK500" s="5">
        <f>IF('Project Database'!A504="","",N('Project Database'!AD504))</f>
        <v/>
      </c>
      <c r="BL500" s="5">
        <f>IF('Project Database'!A504="","",N('Project Database'!AE504))</f>
        <v/>
      </c>
      <c r="BM500" s="5">
        <f>IF('Project Database'!A504="","",N('Project Database'!AF504))</f>
        <v/>
      </c>
      <c r="BN500" s="5">
        <f>IF('Project Database'!A504="","",N('Project Database'!AG504))</f>
        <v/>
      </c>
      <c r="BO500" s="5">
        <f>IF('Project Database'!A504="","",N('Project Database'!AH504))</f>
        <v/>
      </c>
      <c r="BP500" s="5">
        <f>IF('Project Database'!A504="","",N('Project Database'!AI504))</f>
        <v/>
      </c>
      <c r="BQ500" s="5">
        <f>IF('Project Database'!A504="","",N('Project Database'!AJ504))</f>
        <v/>
      </c>
      <c r="BR500" s="5">
        <f>IF('Project Database'!A504="","",N('Project Database'!AK504))</f>
        <v/>
      </c>
      <c r="BS500" s="5">
        <f>IF('Project Database'!A504="","",N('Project Database'!AL504))</f>
        <v/>
      </c>
      <c r="BT500" s="5">
        <f>IF('Project Database'!A504="","",N('Project Database'!AM504))</f>
        <v/>
      </c>
      <c r="BU500" s="5">
        <f>IF('Project Database'!A504="","",N('Project Database'!AN504))</f>
        <v/>
      </c>
      <c r="BV500" s="5">
        <f>IF('Project Database'!A504="","",N('Project Database'!AO504))</f>
        <v/>
      </c>
      <c r="BW500" s="5">
        <f>IF('Project Database'!A504="","",N('Project Database'!AP504))</f>
        <v/>
      </c>
      <c r="BX500" s="5">
        <f>IF(A500="","",SUM(BJ500:BW500))</f>
        <v/>
      </c>
      <c r="BY500" s="5">
        <f>IF(A500="","",IFERROR(IF(ISNUMBER(U500),U500,VALUE(SUBSTITUTE(SUBSTITUTE(SUBSTITUTE(UPPER(TRIM(U500)),"M",""),",","")," ",""))),0))</f>
        <v/>
      </c>
    </row>
    <row r="501" ht="15" customHeight="1" s="74">
      <c r="A501" s="66">
        <f>'Project Database'!A505</f>
        <v/>
      </c>
      <c r="B501" s="66">
        <f>'Project Database'!B505</f>
        <v/>
      </c>
      <c r="C501" s="66">
        <f>'Project Database'!G505</f>
        <v/>
      </c>
      <c r="D501" s="66">
        <f>'Project Database'!H505</f>
        <v/>
      </c>
      <c r="E501" s="66">
        <f>'Project Database'!I505</f>
        <v/>
      </c>
      <c r="F501" s="66">
        <f>'Project Database'!J505</f>
        <v/>
      </c>
      <c r="G501" s="66">
        <f>'Project Database'!K505</f>
        <v/>
      </c>
      <c r="H501" s="66">
        <f>'Project Database'!L505</f>
        <v/>
      </c>
      <c r="I501" s="66">
        <f>'Project Database'!M505</f>
        <v/>
      </c>
      <c r="J501" s="66">
        <f>'Project Database'!N505</f>
        <v/>
      </c>
      <c r="K501" s="66">
        <f>'Project Database'!O505</f>
        <v/>
      </c>
      <c r="L501" s="66">
        <f>'Project Database'!P505</f>
        <v/>
      </c>
      <c r="M501" s="66">
        <f>'Project Database'!Q505</f>
        <v/>
      </c>
      <c r="N501" s="66">
        <f>'Project Database'!R505</f>
        <v/>
      </c>
      <c r="O501" s="66">
        <f>'Project Database'!S505</f>
        <v/>
      </c>
      <c r="P501" s="66">
        <f>'Project Database'!T505</f>
        <v/>
      </c>
      <c r="Q501" s="66">
        <f>'Project Database'!U505</f>
        <v/>
      </c>
      <c r="R501" s="66">
        <f>'Project Database'!V505</f>
        <v/>
      </c>
      <c r="S501" s="66">
        <f>'Project Database'!W505</f>
        <v/>
      </c>
      <c r="T501" s="66">
        <f>'Project Database'!X505</f>
        <v/>
      </c>
      <c r="U501" s="67">
        <f>'Project Database'!Y505</f>
        <v/>
      </c>
      <c r="V501" s="66">
        <f>IF('Smart Search'!B13=1,IFERROR(1/'Smart Search'!H13,0),0)</f>
        <v/>
      </c>
      <c r="W501" s="66">
        <f>IF('Smart Search'!B13=1,IFERROR(1/'Smart Search'!H13,0),0)</f>
        <v/>
      </c>
      <c r="X501" s="66">
        <f>IF('Smart Search'!C13=1,IFERROR(1/'Smart Search'!H13,0),0)</f>
        <v/>
      </c>
      <c r="Y501" s="66">
        <f>IF('Smart Search'!C13=1,IFERROR(1/'Smart Search'!H13,0),0)</f>
        <v/>
      </c>
      <c r="Z501" s="66">
        <f>IF('Smart Search'!D13=1,IFERROR(1/'Smart Search'!H13,0),0)</f>
        <v/>
      </c>
      <c r="AA501" s="66">
        <f>IF('Smart Search'!D13=1,IFERROR(1/'Smart Search'!H13,0),0)</f>
        <v/>
      </c>
      <c r="AB501" s="66">
        <f>IF('Smart Search'!E13=1,IFERROR(1/'Smart Search'!H13,0),0)</f>
        <v/>
      </c>
      <c r="AC501" s="66">
        <f>IF('Smart Search'!E13=1,IFERROR(1/'Smart Search'!H13,0),0)</f>
        <v/>
      </c>
      <c r="AD501" s="66">
        <f>IF('Smart Search'!F13=1,IFERROR(1/'Smart Search'!H13,0),0)</f>
        <v/>
      </c>
      <c r="AE501" s="66">
        <f>IF('Smart Search'!F13=1,IFERROR(1/'Smart Search'!H13,0),0)</f>
        <v/>
      </c>
      <c r="AF501" s="66">
        <f>IF('Smart Search'!B13=0,0,IF(AND(OR(C501="",C501=0),OR('Smart Search'!E5="",'Smart Search'!E5=0)),1,IF(OR(C501="",C501=0,'Smart Search'!E5="",'Smart Search'!E5=0),0,MAX(0,1-ABS(C501-'Smart Search'!E5)/MAX(ABS(C501),ABS('Smart Search'!E5))))))</f>
        <v/>
      </c>
      <c r="AG501" s="66">
        <f>IF('Smart Search'!B13=0,0,IF(AND(OR(D501="",D501=0),OR('Smart Search'!G5="",'Smart Search'!G5=0)),1,IF(OR(D501="",D501=0,'Smart Search'!G5="",'Smart Search'!G5=0),0,MAX(0,1-ABS(D501-'Smart Search'!G5)/MAX(ABS(D501),ABS('Smart Search'!G5))))))</f>
        <v/>
      </c>
      <c r="AH501" s="66">
        <f>IF('Smart Search'!C13=0,0,IF(AND(OR(E501="",E501=0),OR('Smart Search'!E6="",'Smart Search'!E6=0)),1,IF(OR(E501="",E501=0,'Smart Search'!E6="",'Smart Search'!E6=0),0,MAX(0,1-ABS(E501-'Smart Search'!E6)/MAX(ABS(E501),ABS('Smart Search'!E6))))))</f>
        <v/>
      </c>
      <c r="AI501" s="66">
        <f>IF('Smart Search'!C13=0,0,IF(AND(OR(F501="",F501=0),OR('Smart Search'!G6="",'Smart Search'!G6=0)),1,IF(OR(F501="",F501=0,'Smart Search'!G6="",'Smart Search'!G6=0),0,MAX(0,1-ABS(F501-'Smart Search'!G6)/MAX(ABS(F501),ABS('Smart Search'!G6))))))</f>
        <v/>
      </c>
      <c r="AJ501" s="66">
        <f>IF('Smart Search'!D13=0,0,IF(AND(OR(G501="",G501=0),OR('Smart Search'!E7="",'Smart Search'!E7=0)),1,IF(OR(G501="",G501=0,'Smart Search'!E7="",'Smart Search'!E7=0),0,MAX(0,1-ABS(G501-'Smart Search'!E7)/MAX(ABS(G501),ABS('Smart Search'!E7))))))</f>
        <v/>
      </c>
      <c r="AK501" s="66">
        <f>IF('Smart Search'!D13=0,0,IF(AND(OR(H501="",H501=0),OR('Smart Search'!G7="",'Smart Search'!G7=0)),1,IF(OR(H501="",H501=0,'Smart Search'!G7="",'Smart Search'!G7=0),0,MAX(0,1-ABS(H501-'Smart Search'!G7)/MAX(ABS(H501),ABS('Smart Search'!G7))))))</f>
        <v/>
      </c>
      <c r="AL501" s="66">
        <f>IF('Smart Search'!E13=0,0,IF(AND(OR(I501="",I501=0),OR('Smart Search'!E8="",'Smart Search'!E8=0)),1,IF(OR(I501="",I501=0,'Smart Search'!E8="",'Smart Search'!E8=0),0,MAX(0,1-ABS(I501-'Smart Search'!E8)/MAX(ABS(I501),ABS('Smart Search'!E8))))))</f>
        <v/>
      </c>
      <c r="AM501" s="66">
        <f>IF('Smart Search'!E13=0,0,IF(AND(OR(J501="",J501=0),OR('Smart Search'!G8="",'Smart Search'!G8=0)),1,IF(OR(J501="",J501=0,'Smart Search'!G8="",'Smart Search'!G8=0),0,MAX(0,1-ABS(J501-'Smart Search'!G8)/MAX(ABS(J501),ABS('Smart Search'!G8))))))</f>
        <v/>
      </c>
      <c r="AN501" s="66">
        <f>IF('Smart Search'!F13=0,0,IF(AND(OR(K501="",K501=0),OR('Smart Search'!E9="",'Smart Search'!E9=0)),1,IF(OR(K501="",K501=0,'Smart Search'!E9="",'Smart Search'!E9=0),0,MAX(0,1-ABS(K501-'Smart Search'!E9)/MAX(ABS(K501),ABS('Smart Search'!E9))))))</f>
        <v/>
      </c>
      <c r="AO501" s="66">
        <f>IF('Smart Search'!F13=0,0,IF(AND(OR(L501="",L501=0),OR('Smart Search'!G9="",'Smart Search'!G9=0)),1,IF(OR(L501="",L501=0,'Smart Search'!G9="",'Smart Search'!G9=0),0,MAX(0,1-ABS(L501-'Smart Search'!G9)/MAX(ABS(L501),ABS('Smart Search'!G9))))))</f>
        <v/>
      </c>
      <c r="AP501" s="66">
        <f>AF501*V501</f>
        <v/>
      </c>
      <c r="AQ501" s="66">
        <f>AG501*W501</f>
        <v/>
      </c>
      <c r="AR501" s="66">
        <f>AH501*X501</f>
        <v/>
      </c>
      <c r="AS501" s="66">
        <f>AI501*Y501</f>
        <v/>
      </c>
      <c r="AT501" s="66">
        <f>AJ501*Z501</f>
        <v/>
      </c>
      <c r="AU501" s="66">
        <f>AK501*AA501</f>
        <v/>
      </c>
      <c r="AV501" s="66">
        <f>AL501*AB501</f>
        <v/>
      </c>
      <c r="AW501" s="66">
        <f>AM501*AC501</f>
        <v/>
      </c>
      <c r="AX501" s="66">
        <f>AN501*AD501</f>
        <v/>
      </c>
      <c r="AY501" s="66">
        <f>AO501*AE501</f>
        <v/>
      </c>
      <c r="AZ501" s="66">
        <f>'Project Database'!Z505</f>
        <v/>
      </c>
      <c r="BA501" s="66">
        <f>IF(OR(A501="",'Smart Search'!H13=0),"",MAX(0,BE501*BF501*MAX(0,1-BG501)))</f>
        <v/>
      </c>
      <c r="BB501" s="66">
        <f>IF(OR('Smart Search'!G13=0,'Smart Search'!W13=0,AZ501=""),0,IFERROR(SUMPRODUCT((ISNUMBER(SEARCH(" "&amp;'Smart Search'!I13:V13&amp;" "," "&amp;AZ501&amp;" ")))*(LEN(TRIM('Smart Search'!I13:V13))&gt;0))/MAX('Smart Search'!W13,IF(TRIM(AZ501)="",0,LEN(TRIM(AZ501))-LEN(SUBSTITUTE(TRIM(AZ501)," ",""))+1)),0))</f>
        <v/>
      </c>
      <c r="BC501" s="66">
        <f>IF('Smart Search'!G13=1,IFERROR(1/'Smart Search'!H13,0),0)</f>
        <v/>
      </c>
      <c r="BD501" s="66">
        <f>BB501*BC501</f>
        <v/>
      </c>
      <c r="BE501" s="66">
        <f>AP501+AQ501+AR501+AS501+AT501+AU501+AV501+AW501+AX501+AY501+BD501</f>
        <v/>
      </c>
      <c r="BF501" s="5">
        <f>IFERROR((IF(AND('Smart Search'!B13=1,OR(C501&gt;0,D501&gt;0)),1,0)+IF(AND('Smart Search'!C13=1,OR(E501&gt;0,F501&gt;0)),1,0)+IF(AND('Smart Search'!D13=1,OR(G501&gt;0,H501&gt;0)),1,0)+IF(AND('Smart Search'!E13=1,OR(I501&gt;0,J501&gt;0)),1,0)+IF(AND('Smart Search'!F13=1,OR(K501&gt;0,L501&gt;0)),1,0))/('Smart Search'!B13+'Smart Search'!C13+'Smart Search'!D13+'Smart Search'!E13+'Smart Search'!F13),0)</f>
        <v/>
      </c>
      <c r="BG501" s="5">
        <f>IF(AND('Smart Search'!B13=0,OR(C501&gt;0,D501&gt;0)),0.25,0)+IF(AND('Smart Search'!C13=0,OR(E501&gt;0,F501&gt;0)),0.25,0)+IF(AND('Smart Search'!D13=0,OR(G501&gt;0,H501&gt;0)),0.25,0)+IF(AND('Smart Search'!E13=0,OR(I501&gt;0,J501&gt;0)),0.25,0)+IF(AND('Smart Search'!F13=0,OR(K501&gt;0,L501&gt;0)),0.25,0)</f>
        <v/>
      </c>
      <c r="BH501" s="5">
        <f>IF(AND('Project Database'!A505&lt;&gt;"",OR('Smart Search'!$L$5="",'Smart Search'!$L$5="All",TRIM('Project Database'!D505)=TRIM('Smart Search'!$L$5)),OR(TRIM('Smart Search'!$L$6)="",TRIM('Smart Search'!$L$6)="All",ISNUMBER(SEARCH(SUBSTITUTE(SUBSTITUTE(SUBSTITUTE(TRIM('Smart Search'!$L$6),"~","~~"),"*","~*"),"?","~?"),'Project Database'!C505))),OR('Smart Search'!$L$7="",AND('Project Database'!E505&lt;&gt;"",'Project Database'!E505='Smart Search'!$L$7)),OR('Smart Search'!$L$8="",'Smart Search'!$L$8="All",TRIM('Project Database'!F505)=TRIM('Smart Search'!$L$8))),IF(BA501="","",BA501+ROW()*0.0000000001),"")</f>
        <v/>
      </c>
      <c r="BI501" s="5">
        <f>IF(A501="","",IF(AND('Smart Search'!B13=0,OR(C501&gt;0,D501&gt;0)),"Multishuttle, ","")&amp;IF(AND('Smart Search'!C13=0,OR(E501&gt;0,F501&gt;0)),"AutoStore, ","")&amp;IF(AND('Smart Search'!D13=0,OR(G501&gt;0,H501&gt;0)),"Pallet Shuttle, ","")&amp;IF(AND('Smart Search'!E13=0,OR(I501&gt;0,J501&gt;0)),"SRM Crane, ",""))</f>
        <v/>
      </c>
      <c r="BJ501" s="5">
        <f>IF('Project Database'!A505="","",N('Project Database'!AC505))</f>
        <v/>
      </c>
      <c r="BK501" s="5">
        <f>IF('Project Database'!A505="","",N('Project Database'!AD505))</f>
        <v/>
      </c>
      <c r="BL501" s="5">
        <f>IF('Project Database'!A505="","",N('Project Database'!AE505))</f>
        <v/>
      </c>
      <c r="BM501" s="5">
        <f>IF('Project Database'!A505="","",N('Project Database'!AF505))</f>
        <v/>
      </c>
      <c r="BN501" s="5">
        <f>IF('Project Database'!A505="","",N('Project Database'!AG505))</f>
        <v/>
      </c>
      <c r="BO501" s="5">
        <f>IF('Project Database'!A505="","",N('Project Database'!AH505))</f>
        <v/>
      </c>
      <c r="BP501" s="5">
        <f>IF('Project Database'!A505="","",N('Project Database'!AI505))</f>
        <v/>
      </c>
      <c r="BQ501" s="5">
        <f>IF('Project Database'!A505="","",N('Project Database'!AJ505))</f>
        <v/>
      </c>
      <c r="BR501" s="5">
        <f>IF('Project Database'!A505="","",N('Project Database'!AK505))</f>
        <v/>
      </c>
      <c r="BS501" s="5">
        <f>IF('Project Database'!A505="","",N('Project Database'!AL505))</f>
        <v/>
      </c>
      <c r="BT501" s="5">
        <f>IF('Project Database'!A505="","",N('Project Database'!AM505))</f>
        <v/>
      </c>
      <c r="BU501" s="5">
        <f>IF('Project Database'!A505="","",N('Project Database'!AN505))</f>
        <v/>
      </c>
      <c r="BV501" s="5">
        <f>IF('Project Database'!A505="","",N('Project Database'!AO505))</f>
        <v/>
      </c>
      <c r="BW501" s="5">
        <f>IF('Project Database'!A505="","",N('Project Database'!AP505))</f>
        <v/>
      </c>
      <c r="BX501" s="5">
        <f>IF(A501="","",SUM(BJ501:BW501))</f>
        <v/>
      </c>
      <c r="BY501" s="5">
        <f>IF(A501="","",IFERROR(IF(ISNUMBER(U501),U501,VALUE(SUBSTITUTE(SUBSTITUTE(SUBSTITUTE(UPPER(TRIM(U501)),"M",""),",","")," ",""))),0))</f>
        <v/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33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4" min="1" max="1"/>
    <col width="2" customWidth="1" style="74" min="2" max="2"/>
    <col width="12" customWidth="1" style="74" min="3" max="8"/>
    <col width="2" customWidth="1" style="74" min="9" max="9"/>
    <col width="12" customWidth="1" style="74" min="10" max="15"/>
    <col width="2" customWidth="1" style="74" min="16" max="16"/>
    <col width="12" customWidth="1" style="74" min="17" max="22"/>
  </cols>
  <sheetData>
    <row r="1" ht="36" customHeight="1" s="74">
      <c r="A1" s="167" t="inlineStr">
        <is>
          <t>DEMATIC  |  Project Comparison  —  Top 3 Closest Matches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7.75" customHeight="1" s="74">
      <c r="A3" s="168" t="n"/>
      <c r="C3" s="169" t="inlineStr">
        <is>
          <t xml:space="preserve">  RANK 1  —  Best Match</t>
        </is>
      </c>
      <c r="I3" s="153" t="n"/>
      <c r="J3" s="170" t="inlineStr">
        <is>
          <t xml:space="preserve">  RANK 2  —  2nd Match</t>
        </is>
      </c>
      <c r="P3" s="153" t="n"/>
      <c r="Q3" s="171" t="inlineStr">
        <is>
          <t xml:space="preserve">  RANK 3  —  3rd Match</t>
        </is>
      </c>
    </row>
    <row r="4" ht="27.75" customHeight="1" s="74">
      <c r="A4" s="149" t="inlineStr">
        <is>
          <t>Match Score</t>
        </is>
      </c>
      <c r="B4" s="88" t="n"/>
      <c r="C4" s="143">
        <f>IFERROR(TEXT(LARGE(_Helper!BH2:BH501,1),"0%"),"-")</f>
        <v/>
      </c>
      <c r="D4" s="94" t="n"/>
      <c r="E4" s="94" t="n"/>
      <c r="F4" s="94" t="n"/>
      <c r="G4" s="94" t="n"/>
      <c r="H4" s="94" t="n"/>
      <c r="J4" s="141">
        <f>IFERROR(TEXT(LARGE(_Helper!BH2:BH501,2),"0%"),"-")</f>
        <v/>
      </c>
      <c r="K4" s="72" t="n"/>
      <c r="L4" s="72" t="n"/>
      <c r="M4" s="72" t="n"/>
      <c r="N4" s="72" t="n"/>
      <c r="O4" s="72" t="n"/>
      <c r="Q4" s="152">
        <f>IFERROR(TEXT(LARGE(_Helper!BH2:BH501,3),"0%"),"-")</f>
        <v/>
      </c>
      <c r="R4" s="72" t="n"/>
      <c r="S4" s="72" t="n"/>
      <c r="T4" s="72" t="n"/>
      <c r="U4" s="72" t="n"/>
      <c r="V4" s="72" t="n"/>
    </row>
    <row r="5" ht="19.5" customHeight="1" s="74">
      <c r="A5" s="172" t="inlineStr">
        <is>
          <t xml:space="preserve">  PROJECT INFORMATION</t>
        </is>
      </c>
    </row>
    <row r="6" ht="19.5" customHeight="1" s="74">
      <c r="A6" s="140" t="inlineStr">
        <is>
          <t>Project ID</t>
        </is>
      </c>
      <c r="B6" s="91" t="n"/>
      <c r="C6" s="135">
        <f>IFERROR(INDEX(_Helper!A2:A501,MATCH(LARGE(_Helper!BH2:BH501,1),_Helper!BH2:BH501,0)),"-")</f>
        <v/>
      </c>
      <c r="D6" s="91" t="n"/>
      <c r="E6" s="91" t="n"/>
      <c r="F6" s="91" t="n"/>
      <c r="G6" s="91" t="n"/>
      <c r="H6" s="91" t="n"/>
      <c r="I6" s="7" t="n"/>
      <c r="J6" s="136">
        <f>IFERROR(INDEX(_Helper!A2:A501,MATCH(LARGE(_Helper!BH2:BH501,2),_Helper!BH2:BH501,0)),"-")</f>
        <v/>
      </c>
      <c r="K6" s="91" t="n"/>
      <c r="L6" s="91" t="n"/>
      <c r="M6" s="91" t="n"/>
      <c r="N6" s="91" t="n"/>
      <c r="O6" s="91" t="n"/>
      <c r="P6" s="7" t="n"/>
      <c r="Q6" s="138">
        <f>IFERROR(INDEX(_Helper!A2:A501,MATCH(LARGE(_Helper!BH2:BH501,3),_Helper!BH2:BH501,0)),"-")</f>
        <v/>
      </c>
      <c r="R6" s="91" t="n"/>
      <c r="S6" s="91" t="n"/>
      <c r="T6" s="91" t="n"/>
      <c r="U6" s="91" t="n"/>
      <c r="V6" s="91" t="n"/>
    </row>
    <row r="7" ht="19.5" customHeight="1" s="74">
      <c r="A7" s="137" t="inlineStr">
        <is>
          <t>Project Name</t>
        </is>
      </c>
      <c r="B7" s="91" t="n"/>
      <c r="C7" s="135">
        <f>IFERROR(INDEX(_Helper!B2:B501,MATCH(LARGE(_Helper!BH2:BH501,1),_Helper!BH2:BH501,0)),"-")</f>
        <v/>
      </c>
      <c r="D7" s="91" t="n"/>
      <c r="E7" s="91" t="n"/>
      <c r="F7" s="91" t="n"/>
      <c r="G7" s="91" t="n"/>
      <c r="H7" s="91" t="n"/>
      <c r="I7" s="8" t="n"/>
      <c r="J7" s="136">
        <f>IFERROR(INDEX(_Helper!B2:B501,MATCH(LARGE(_Helper!BH2:BH501,2),_Helper!BH2:BH501,0)),"-")</f>
        <v/>
      </c>
      <c r="K7" s="91" t="n"/>
      <c r="L7" s="91" t="n"/>
      <c r="M7" s="91" t="n"/>
      <c r="N7" s="91" t="n"/>
      <c r="O7" s="91" t="n"/>
      <c r="P7" s="8" t="n"/>
      <c r="Q7" s="138">
        <f>IFERROR(INDEX(_Helper!B2:B501,MATCH(LARGE(_Helper!BH2:BH501,3),_Helper!BH2:BH501,0)),"-")</f>
        <v/>
      </c>
      <c r="R7" s="91" t="n"/>
      <c r="S7" s="91" t="n"/>
      <c r="T7" s="91" t="n"/>
      <c r="U7" s="91" t="n"/>
      <c r="V7" s="91" t="n"/>
    </row>
    <row r="8" ht="19.5" customHeight="1" s="74">
      <c r="A8" s="140" t="inlineStr">
        <is>
          <t>Client / Region</t>
        </is>
      </c>
      <c r="B8" s="91" t="n"/>
      <c r="C8" s="135">
        <f>IFERROR(INDEX('Project Database'!C:C,MATCH(INDEX(_Helper!A2:A501,MATCH(LARGE(_Helper!BH2:BH501,1),_Helper!BH2:BH501,0)),'Project Database'!A:A,0)),"-")</f>
        <v/>
      </c>
      <c r="D8" s="91" t="n"/>
      <c r="E8" s="91" t="n"/>
      <c r="F8" s="91" t="n"/>
      <c r="G8" s="91" t="n"/>
      <c r="H8" s="91" t="n"/>
      <c r="I8" s="7" t="n"/>
      <c r="J8" s="136">
        <f>IFERROR(INDEX('Project Database'!C:C,MATCH(INDEX(_Helper!A2:A501,MATCH(LARGE(_Helper!BH2:BH501,2),_Helper!BH2:BH501,0)),'Project Database'!A:A,0)),"-")</f>
        <v/>
      </c>
      <c r="K8" s="91" t="n"/>
      <c r="L8" s="91" t="n"/>
      <c r="M8" s="91" t="n"/>
      <c r="N8" s="91" t="n"/>
      <c r="O8" s="91" t="n"/>
      <c r="P8" s="7" t="n"/>
      <c r="Q8" s="138">
        <f>IFERROR(INDEX('Project Database'!C:C,MATCH(INDEX(_Helper!A2:A501,MATCH(LARGE(_Helper!BH2:BH501,3),_Helper!BH2:BH501,0)),'Project Database'!A:A,0)),"-")</f>
        <v/>
      </c>
      <c r="R8" s="91" t="n"/>
      <c r="S8" s="91" t="n"/>
      <c r="T8" s="91" t="n"/>
      <c r="U8" s="91" t="n"/>
      <c r="V8" s="91" t="n"/>
    </row>
    <row r="9" ht="19.5" customHeight="1" s="74">
      <c r="A9" s="137" t="inlineStr">
        <is>
          <t>Year</t>
        </is>
      </c>
      <c r="B9" s="91" t="n"/>
      <c r="C9" s="135">
        <f>IFERROR(INDEX('Project Database'!E:E,MATCH(INDEX(_Helper!A2:A501,MATCH(LARGE(_Helper!BH2:BH501,1),_Helper!BH2:BH501,0)),'Project Database'!A:A,0)),"-")</f>
        <v/>
      </c>
      <c r="D9" s="91" t="n"/>
      <c r="E9" s="91" t="n"/>
      <c r="F9" s="91" t="n"/>
      <c r="G9" s="91" t="n"/>
      <c r="H9" s="91" t="n"/>
      <c r="I9" s="8" t="n"/>
      <c r="J9" s="136">
        <f>IFERROR(INDEX('Project Database'!E:E,MATCH(INDEX(_Helper!A2:A501,MATCH(LARGE(_Helper!BH2:BH501,2),_Helper!BH2:BH501,0)),'Project Database'!A:A,0)),"-")</f>
        <v/>
      </c>
      <c r="K9" s="91" t="n"/>
      <c r="L9" s="91" t="n"/>
      <c r="M9" s="91" t="n"/>
      <c r="N9" s="91" t="n"/>
      <c r="O9" s="91" t="n"/>
      <c r="P9" s="8" t="n"/>
      <c r="Q9" s="138">
        <f>IFERROR(INDEX('Project Database'!E:E,MATCH(INDEX(_Helper!A2:A501,MATCH(LARGE(_Helper!BH2:BH501,3),_Helper!BH2:BH501,0)),'Project Database'!A:A,0)),"-")</f>
        <v/>
      </c>
      <c r="R9" s="91" t="n"/>
      <c r="S9" s="91" t="n"/>
      <c r="T9" s="91" t="n"/>
      <c r="U9" s="91" t="n"/>
      <c r="V9" s="91" t="n"/>
    </row>
    <row r="10" ht="19.5" customHeight="1" s="74">
      <c r="A10" s="140" t="inlineStr">
        <is>
          <t>Project Value</t>
        </is>
      </c>
      <c r="B10" s="91" t="n"/>
      <c r="C10" s="135">
        <f>IFERROR(INDEX(_Helper!T2:T501,MATCH(LARGE(_Helper!BH2:BH501,1),_Helper!BH2:BH501,0))&amp;" "&amp;TEXT(INDEX(_Helper!U2:U501,MATCH(LARGE(_Helper!BH2:BH501,1),_Helper!BH2:BH501,0)),"#,##0.00")&amp;" M","-")</f>
        <v/>
      </c>
      <c r="D10" s="91" t="n"/>
      <c r="E10" s="91" t="n"/>
      <c r="F10" s="91" t="n"/>
      <c r="G10" s="91" t="n"/>
      <c r="H10" s="91" t="n"/>
      <c r="I10" s="7" t="n"/>
      <c r="J10" s="136">
        <f>IFERROR(INDEX(_Helper!T2:T501,MATCH(LARGE(_Helper!BH2:BH501,2),_Helper!BH2:BH501,0))&amp;" "&amp;TEXT(INDEX(_Helper!U2:U501,MATCH(LARGE(_Helper!BH2:BH501,2),_Helper!BH2:BH501,0)),"#,##0.00")&amp;" M","-")</f>
        <v/>
      </c>
      <c r="K10" s="91" t="n"/>
      <c r="L10" s="91" t="n"/>
      <c r="M10" s="91" t="n"/>
      <c r="N10" s="91" t="n"/>
      <c r="O10" s="91" t="n"/>
      <c r="P10" s="7" t="n"/>
      <c r="Q10" s="138">
        <f>IFERROR(INDEX(_Helper!T2:T501,MATCH(LARGE(_Helper!BH2:BH501,3),_Helper!BH2:BH501,0))&amp;" "&amp;TEXT(INDEX(_Helper!U2:U501,MATCH(LARGE(_Helper!BH2:BH501,3),_Helper!BH2:BH501,0)),"#,##0.00")&amp;" M","-")</f>
        <v/>
      </c>
      <c r="R10" s="91" t="n"/>
      <c r="S10" s="91" t="n"/>
      <c r="T10" s="91" t="n"/>
      <c r="U10" s="91" t="n"/>
      <c r="V10" s="91" t="n"/>
    </row>
    <row r="11" ht="19.5" customHeight="1" s="74">
      <c r="A11" s="172" t="inlineStr">
        <is>
          <t xml:space="preserve">  SYSTEM SPECIFICATIONS</t>
        </is>
      </c>
    </row>
    <row r="12" ht="19.5" customHeight="1" s="74">
      <c r="A12" s="140" t="inlineStr">
        <is>
          <t>MS Shuttles</t>
        </is>
      </c>
      <c r="B12" s="91" t="n"/>
      <c r="C12" s="135">
        <f>IFERROR(INDEX(_Helper!C2:C501,MATCH(LARGE(_Helper!BH2:BH501,1),_Helper!BH2:BH501,0)),"-")</f>
        <v/>
      </c>
      <c r="D12" s="91" t="n"/>
      <c r="E12" s="91" t="n"/>
      <c r="F12" s="91" t="n"/>
      <c r="G12" s="91" t="n"/>
      <c r="H12" s="91" t="n"/>
      <c r="I12" s="7" t="n"/>
      <c r="J12" s="136">
        <f>IFERROR(INDEX(_Helper!C2:C501,MATCH(LARGE(_Helper!BH2:BH501,2),_Helper!BH2:BH501,0)),"-")</f>
        <v/>
      </c>
      <c r="K12" s="91" t="n"/>
      <c r="L12" s="91" t="n"/>
      <c r="M12" s="91" t="n"/>
      <c r="N12" s="91" t="n"/>
      <c r="O12" s="91" t="n"/>
      <c r="P12" s="7" t="n"/>
      <c r="Q12" s="138">
        <f>IFERROR(INDEX(_Helper!C2:C501,MATCH(LARGE(_Helper!BH2:BH501,3),_Helper!BH2:BH501,0)),"-")</f>
        <v/>
      </c>
      <c r="R12" s="91" t="n"/>
      <c r="S12" s="91" t="n"/>
      <c r="T12" s="91" t="n"/>
      <c r="U12" s="91" t="n"/>
      <c r="V12" s="91" t="n"/>
    </row>
    <row r="13" ht="19.5" customHeight="1" s="74">
      <c r="A13" s="137" t="inlineStr">
        <is>
          <t>MS Tote Locations</t>
        </is>
      </c>
      <c r="B13" s="91" t="n"/>
      <c r="C13" s="135">
        <f>IFERROR(INDEX(_Helper!D2:D501,MATCH(LARGE(_Helper!BH2:BH501,1),_Helper!BH2:BH501,0)),"-")</f>
        <v/>
      </c>
      <c r="D13" s="91" t="n"/>
      <c r="E13" s="91" t="n"/>
      <c r="F13" s="91" t="n"/>
      <c r="G13" s="91" t="n"/>
      <c r="H13" s="91" t="n"/>
      <c r="I13" s="8" t="n"/>
      <c r="J13" s="136">
        <f>IFERROR(INDEX(_Helper!D2:D501,MATCH(LARGE(_Helper!BH2:BH501,2),_Helper!BH2:BH501,0)),"-")</f>
        <v/>
      </c>
      <c r="K13" s="91" t="n"/>
      <c r="L13" s="91" t="n"/>
      <c r="M13" s="91" t="n"/>
      <c r="N13" s="91" t="n"/>
      <c r="O13" s="91" t="n"/>
      <c r="P13" s="8" t="n"/>
      <c r="Q13" s="138">
        <f>IFERROR(INDEX(_Helper!D2:D501,MATCH(LARGE(_Helper!BH2:BH501,3),_Helper!BH2:BH501,0)),"-")</f>
        <v/>
      </c>
      <c r="R13" s="91" t="n"/>
      <c r="S13" s="91" t="n"/>
      <c r="T13" s="91" t="n"/>
      <c r="U13" s="91" t="n"/>
      <c r="V13" s="91" t="n"/>
    </row>
    <row r="14" ht="19.5" customHeight="1" s="74">
      <c r="A14" s="140" t="inlineStr">
        <is>
          <t>AS Robots</t>
        </is>
      </c>
      <c r="B14" s="91" t="n"/>
      <c r="C14" s="135">
        <f>IFERROR(INDEX(_Helper!E2:E501,MATCH(LARGE(_Helper!BH2:BH501,1),_Helper!BH2:BH501,0)),"-")</f>
        <v/>
      </c>
      <c r="D14" s="91" t="n"/>
      <c r="E14" s="91" t="n"/>
      <c r="F14" s="91" t="n"/>
      <c r="G14" s="91" t="n"/>
      <c r="H14" s="91" t="n"/>
      <c r="I14" s="7" t="n"/>
      <c r="J14" s="136">
        <f>IFERROR(INDEX(_Helper!E2:E501,MATCH(LARGE(_Helper!BH2:BH501,2),_Helper!BH2:BH501,0)),"-")</f>
        <v/>
      </c>
      <c r="K14" s="91" t="n"/>
      <c r="L14" s="91" t="n"/>
      <c r="M14" s="91" t="n"/>
      <c r="N14" s="91" t="n"/>
      <c r="O14" s="91" t="n"/>
      <c r="P14" s="7" t="n"/>
      <c r="Q14" s="138">
        <f>IFERROR(INDEX(_Helper!E2:E501,MATCH(LARGE(_Helper!BH2:BH501,3),_Helper!BH2:BH501,0)),"-")</f>
        <v/>
      </c>
      <c r="R14" s="91" t="n"/>
      <c r="S14" s="91" t="n"/>
      <c r="T14" s="91" t="n"/>
      <c r="U14" s="91" t="n"/>
      <c r="V14" s="91" t="n"/>
    </row>
    <row r="15" ht="19.5" customHeight="1" s="74">
      <c r="A15" s="137" t="inlineStr">
        <is>
          <t>AS Tote Locations</t>
        </is>
      </c>
      <c r="B15" s="91" t="n"/>
      <c r="C15" s="135">
        <f>IFERROR(INDEX(_Helper!F2:F501,MATCH(LARGE(_Helper!BH2:BH501,1),_Helper!BH2:BH501,0)),"-")</f>
        <v/>
      </c>
      <c r="D15" s="91" t="n"/>
      <c r="E15" s="91" t="n"/>
      <c r="F15" s="91" t="n"/>
      <c r="G15" s="91" t="n"/>
      <c r="H15" s="91" t="n"/>
      <c r="I15" s="8" t="n"/>
      <c r="J15" s="136">
        <f>IFERROR(INDEX(_Helper!F2:F501,MATCH(LARGE(_Helper!BH2:BH501,2),_Helper!BH2:BH501,0)),"-")</f>
        <v/>
      </c>
      <c r="K15" s="91" t="n"/>
      <c r="L15" s="91" t="n"/>
      <c r="M15" s="91" t="n"/>
      <c r="N15" s="91" t="n"/>
      <c r="O15" s="91" t="n"/>
      <c r="P15" s="8" t="n"/>
      <c r="Q15" s="138">
        <f>IFERROR(INDEX(_Helper!F2:F501,MATCH(LARGE(_Helper!BH2:BH501,3),_Helper!BH2:BH501,0)),"-")</f>
        <v/>
      </c>
      <c r="R15" s="91" t="n"/>
      <c r="S15" s="91" t="n"/>
      <c r="T15" s="91" t="n"/>
      <c r="U15" s="91" t="n"/>
      <c r="V15" s="91" t="n"/>
    </row>
    <row r="16" ht="19.5" customHeight="1" s="74">
      <c r="A16" s="140" t="inlineStr">
        <is>
          <t>PS Shuttles</t>
        </is>
      </c>
      <c r="B16" s="91" t="n"/>
      <c r="C16" s="135">
        <f>IFERROR(INDEX(_Helper!G2:G501,MATCH(LARGE(_Helper!BH2:BH501,1),_Helper!BH2:BH501,0)),"-")</f>
        <v/>
      </c>
      <c r="D16" s="91" t="n"/>
      <c r="E16" s="91" t="n"/>
      <c r="F16" s="91" t="n"/>
      <c r="G16" s="91" t="n"/>
      <c r="H16" s="91" t="n"/>
      <c r="I16" s="7" t="n"/>
      <c r="J16" s="136">
        <f>IFERROR(INDEX(_Helper!G2:G501,MATCH(LARGE(_Helper!BH2:BH501,2),_Helper!BH2:BH501,0)),"-")</f>
        <v/>
      </c>
      <c r="K16" s="91" t="n"/>
      <c r="L16" s="91" t="n"/>
      <c r="M16" s="91" t="n"/>
      <c r="N16" s="91" t="n"/>
      <c r="O16" s="91" t="n"/>
      <c r="P16" s="7" t="n"/>
      <c r="Q16" s="138">
        <f>IFERROR(INDEX(_Helper!G2:G501,MATCH(LARGE(_Helper!BH2:BH501,3),_Helper!BH2:BH501,0)),"-")</f>
        <v/>
      </c>
      <c r="R16" s="91" t="n"/>
      <c r="S16" s="91" t="n"/>
      <c r="T16" s="91" t="n"/>
      <c r="U16" s="91" t="n"/>
      <c r="V16" s="91" t="n"/>
    </row>
    <row r="17" ht="19.5" customHeight="1" s="74">
      <c r="A17" s="137" t="inlineStr">
        <is>
          <t>PS Pallet Locations</t>
        </is>
      </c>
      <c r="B17" s="91" t="n"/>
      <c r="C17" s="135">
        <f>IFERROR(INDEX(_Helper!H2:H501,MATCH(LARGE(_Helper!BH2:BH501,1),_Helper!BH2:BH501,0)),"-")</f>
        <v/>
      </c>
      <c r="D17" s="91" t="n"/>
      <c r="E17" s="91" t="n"/>
      <c r="F17" s="91" t="n"/>
      <c r="G17" s="91" t="n"/>
      <c r="H17" s="91" t="n"/>
      <c r="I17" s="8" t="n"/>
      <c r="J17" s="136">
        <f>IFERROR(INDEX(_Helper!H2:H501,MATCH(LARGE(_Helper!BH2:BH501,2),_Helper!BH2:BH501,0)),"-")</f>
        <v/>
      </c>
      <c r="K17" s="91" t="n"/>
      <c r="L17" s="91" t="n"/>
      <c r="M17" s="91" t="n"/>
      <c r="N17" s="91" t="n"/>
      <c r="O17" s="91" t="n"/>
      <c r="P17" s="8" t="n"/>
      <c r="Q17" s="138">
        <f>IFERROR(INDEX(_Helper!H2:H501,MATCH(LARGE(_Helper!BH2:BH501,3),_Helper!BH2:BH501,0)),"-")</f>
        <v/>
      </c>
      <c r="R17" s="91" t="n"/>
      <c r="S17" s="91" t="n"/>
      <c r="T17" s="91" t="n"/>
      <c r="U17" s="91" t="n"/>
      <c r="V17" s="91" t="n"/>
    </row>
    <row r="18" ht="19.5" customHeight="1" s="74">
      <c r="A18" s="140" t="inlineStr">
        <is>
          <t>SRM Cranes</t>
        </is>
      </c>
      <c r="B18" s="91" t="n"/>
      <c r="C18" s="135">
        <f>IFERROR(INDEX(_Helper!I2:I501,MATCH(LARGE(_Helper!BH2:BH501,1),_Helper!BH2:BH501,0)),"-")</f>
        <v/>
      </c>
      <c r="D18" s="91" t="n"/>
      <c r="E18" s="91" t="n"/>
      <c r="F18" s="91" t="n"/>
      <c r="G18" s="91" t="n"/>
      <c r="H18" s="91" t="n"/>
      <c r="I18" s="7" t="n"/>
      <c r="J18" s="136">
        <f>IFERROR(INDEX(_Helper!I2:I501,MATCH(LARGE(_Helper!BH2:BH501,2),_Helper!BH2:BH501,0)),"-")</f>
        <v/>
      </c>
      <c r="K18" s="91" t="n"/>
      <c r="L18" s="91" t="n"/>
      <c r="M18" s="91" t="n"/>
      <c r="N18" s="91" t="n"/>
      <c r="O18" s="91" t="n"/>
      <c r="P18" s="7" t="n"/>
      <c r="Q18" s="138">
        <f>IFERROR(INDEX(_Helper!I2:I501,MATCH(LARGE(_Helper!BH2:BH501,3),_Helper!BH2:BH501,0)),"-")</f>
        <v/>
      </c>
      <c r="R18" s="91" t="n"/>
      <c r="S18" s="91" t="n"/>
      <c r="T18" s="91" t="n"/>
      <c r="U18" s="91" t="n"/>
      <c r="V18" s="91" t="n"/>
    </row>
    <row r="19" ht="19.5" customHeight="1" s="74">
      <c r="A19" s="137" t="inlineStr">
        <is>
          <t>SRM Pallet Locations</t>
        </is>
      </c>
      <c r="B19" s="91" t="n"/>
      <c r="C19" s="135">
        <f>IFERROR(INDEX(_Helper!J2:J501,MATCH(LARGE(_Helper!BH2:BH501,1),_Helper!BH2:BH501,0)),"-")</f>
        <v/>
      </c>
      <c r="D19" s="91" t="n"/>
      <c r="E19" s="91" t="n"/>
      <c r="F19" s="91" t="n"/>
      <c r="G19" s="91" t="n"/>
      <c r="H19" s="91" t="n"/>
      <c r="I19" s="8" t="n"/>
      <c r="J19" s="136">
        <f>IFERROR(INDEX(_Helper!J2:J501,MATCH(LARGE(_Helper!BH2:BH501,2),_Helper!BH2:BH501,0)),"-")</f>
        <v/>
      </c>
      <c r="K19" s="91" t="n"/>
      <c r="L19" s="91" t="n"/>
      <c r="M19" s="91" t="n"/>
      <c r="N19" s="91" t="n"/>
      <c r="O19" s="91" t="n"/>
      <c r="P19" s="8" t="n"/>
      <c r="Q19" s="138">
        <f>IFERROR(INDEX(_Helper!J2:J501,MATCH(LARGE(_Helper!BH2:BH501,3),_Helper!BH2:BH501,0)),"-")</f>
        <v/>
      </c>
      <c r="R19" s="91" t="n"/>
      <c r="S19" s="91" t="n"/>
      <c r="T19" s="91" t="n"/>
      <c r="U19" s="91" t="n"/>
      <c r="V19" s="91" t="n"/>
    </row>
    <row r="20" ht="19.5" customHeight="1" s="74">
      <c r="A20" s="140" t="inlineStr">
        <is>
          <t>Case Conveyor (m)</t>
        </is>
      </c>
      <c r="B20" s="91" t="n"/>
      <c r="C20" s="135">
        <f>IFERROR(INDEX(_Helper!K2:K501,MATCH(LARGE(_Helper!BH2:BH501,1),_Helper!BH2:BH501,0)),"-")</f>
        <v/>
      </c>
      <c r="D20" s="91" t="n"/>
      <c r="E20" s="91" t="n"/>
      <c r="F20" s="91" t="n"/>
      <c r="G20" s="91" t="n"/>
      <c r="H20" s="91" t="n"/>
      <c r="I20" s="7" t="n"/>
      <c r="J20" s="136">
        <f>IFERROR(INDEX(_Helper!K2:K501,MATCH(LARGE(_Helper!BH2:BH501,2),_Helper!BH2:BH501,0)),"-")</f>
        <v/>
      </c>
      <c r="K20" s="91" t="n"/>
      <c r="L20" s="91" t="n"/>
      <c r="M20" s="91" t="n"/>
      <c r="N20" s="91" t="n"/>
      <c r="O20" s="91" t="n"/>
      <c r="P20" s="7" t="n"/>
      <c r="Q20" s="138">
        <f>IFERROR(INDEX(_Helper!K2:K501,MATCH(LARGE(_Helper!BH2:BH501,3),_Helper!BH2:BH501,0)),"-")</f>
        <v/>
      </c>
      <c r="R20" s="91" t="n"/>
      <c r="S20" s="91" t="n"/>
      <c r="T20" s="91" t="n"/>
      <c r="U20" s="91" t="n"/>
      <c r="V20" s="91" t="n"/>
    </row>
    <row r="21" ht="19.5" customHeight="1" s="74">
      <c r="A21" s="137" t="inlineStr">
        <is>
          <t>Pallet Conveyor (m)</t>
        </is>
      </c>
      <c r="B21" s="91" t="n"/>
      <c r="C21" s="135">
        <f>IFERROR(INDEX(_Helper!L2:L501,MATCH(LARGE(_Helper!BH2:BH501,1),_Helper!BH2:BH501,0)),"-")</f>
        <v/>
      </c>
      <c r="D21" s="91" t="n"/>
      <c r="E21" s="91" t="n"/>
      <c r="F21" s="91" t="n"/>
      <c r="G21" s="91" t="n"/>
      <c r="H21" s="91" t="n"/>
      <c r="I21" s="8" t="n"/>
      <c r="J21" s="136">
        <f>IFERROR(INDEX(_Helper!L2:L501,MATCH(LARGE(_Helper!BH2:BH501,2),_Helper!BH2:BH501,0)),"-")</f>
        <v/>
      </c>
      <c r="K21" s="91" t="n"/>
      <c r="L21" s="91" t="n"/>
      <c r="M21" s="91" t="n"/>
      <c r="N21" s="91" t="n"/>
      <c r="O21" s="91" t="n"/>
      <c r="P21" s="8" t="n"/>
      <c r="Q21" s="138">
        <f>IFERROR(INDEX(_Helper!L2:L501,MATCH(LARGE(_Helper!BH2:BH501,3),_Helper!BH2:BH501,0)),"-")</f>
        <v/>
      </c>
      <c r="R21" s="91" t="n"/>
      <c r="S21" s="91" t="n"/>
      <c r="T21" s="91" t="n"/>
      <c r="U21" s="91" t="n"/>
      <c r="V21" s="91" t="n"/>
    </row>
    <row r="22" ht="19.5" customHeight="1" s="74">
      <c r="A22" s="172" t="inlineStr">
        <is>
          <t xml:space="preserve">  SCHEDULE  (weeks)</t>
        </is>
      </c>
    </row>
    <row r="23" ht="19.5" customHeight="1" s="74">
      <c r="A23" s="140" t="inlineStr">
        <is>
          <t>Mechanical Engineering</t>
        </is>
      </c>
      <c r="B23" s="91" t="n"/>
      <c r="C23" s="135">
        <f>IFERROR(INDEX(_Helper!M2:M501,MATCH(LARGE(_Helper!BH2:BH501,1),_Helper!BH2:BH501,0)),"-")</f>
        <v/>
      </c>
      <c r="D23" s="91" t="n"/>
      <c r="E23" s="91" t="n"/>
      <c r="F23" s="91" t="n"/>
      <c r="G23" s="91" t="n"/>
      <c r="H23" s="91" t="n"/>
      <c r="I23" s="7" t="n"/>
      <c r="J23" s="136">
        <f>IFERROR(INDEX(_Helper!M2:M501,MATCH(LARGE(_Helper!BH2:BH501,2),_Helper!BH2:BH501,0)),"-")</f>
        <v/>
      </c>
      <c r="K23" s="91" t="n"/>
      <c r="L23" s="91" t="n"/>
      <c r="M23" s="91" t="n"/>
      <c r="N23" s="91" t="n"/>
      <c r="O23" s="91" t="n"/>
      <c r="P23" s="7" t="n"/>
      <c r="Q23" s="138">
        <f>IFERROR(INDEX(_Helper!M2:M501,MATCH(LARGE(_Helper!BH2:BH501,3),_Helper!BH2:BH501,0)),"-")</f>
        <v/>
      </c>
      <c r="R23" s="91" t="n"/>
      <c r="S23" s="91" t="n"/>
      <c r="T23" s="91" t="n"/>
      <c r="U23" s="91" t="n"/>
      <c r="V23" s="91" t="n"/>
    </row>
    <row r="24" ht="19.5" customHeight="1" s="74">
      <c r="A24" s="137" t="inlineStr">
        <is>
          <t>Controls Engineering</t>
        </is>
      </c>
      <c r="B24" s="91" t="n"/>
      <c r="C24" s="135">
        <f>IFERROR(INDEX(_Helper!N2:N501,MATCH(LARGE(_Helper!BH2:BH501,1),_Helper!BH2:BH501,0)),"-")</f>
        <v/>
      </c>
      <c r="D24" s="91" t="n"/>
      <c r="E24" s="91" t="n"/>
      <c r="F24" s="91" t="n"/>
      <c r="G24" s="91" t="n"/>
      <c r="H24" s="91" t="n"/>
      <c r="I24" s="8" t="n"/>
      <c r="J24" s="136">
        <f>IFERROR(INDEX(_Helper!N2:N501,MATCH(LARGE(_Helper!BH2:BH501,2),_Helper!BH2:BH501,0)),"-")</f>
        <v/>
      </c>
      <c r="K24" s="91" t="n"/>
      <c r="L24" s="91" t="n"/>
      <c r="M24" s="91" t="n"/>
      <c r="N24" s="91" t="n"/>
      <c r="O24" s="91" t="n"/>
      <c r="P24" s="8" t="n"/>
      <c r="Q24" s="138">
        <f>IFERROR(INDEX(_Helper!N2:N501,MATCH(LARGE(_Helper!BH2:BH501,3),_Helper!BH2:BH501,0)),"-")</f>
        <v/>
      </c>
      <c r="R24" s="91" t="n"/>
      <c r="S24" s="91" t="n"/>
      <c r="T24" s="91" t="n"/>
      <c r="U24" s="91" t="n"/>
      <c r="V24" s="91" t="n"/>
    </row>
    <row r="25" ht="19.5" customHeight="1" s="74">
      <c r="A25" s="140" t="inlineStr">
        <is>
          <t>Systems Engineering</t>
        </is>
      </c>
      <c r="B25" s="91" t="n"/>
      <c r="C25" s="135">
        <f>IFERROR(INDEX(_Helper!O2:O501,MATCH(LARGE(_Helper!BH2:BH501,1),_Helper!BH2:BH501,0)),"-")</f>
        <v/>
      </c>
      <c r="D25" s="91" t="n"/>
      <c r="E25" s="91" t="n"/>
      <c r="F25" s="91" t="n"/>
      <c r="G25" s="91" t="n"/>
      <c r="H25" s="91" t="n"/>
      <c r="I25" s="7" t="n"/>
      <c r="J25" s="136">
        <f>IFERROR(INDEX(_Helper!O2:O501,MATCH(LARGE(_Helper!BH2:BH501,2),_Helper!BH2:BH501,0)),"-")</f>
        <v/>
      </c>
      <c r="K25" s="91" t="n"/>
      <c r="L25" s="91" t="n"/>
      <c r="M25" s="91" t="n"/>
      <c r="N25" s="91" t="n"/>
      <c r="O25" s="91" t="n"/>
      <c r="P25" s="7" t="n"/>
      <c r="Q25" s="138">
        <f>IFERROR(INDEX(_Helper!O2:O501,MATCH(LARGE(_Helper!BH2:BH501,3),_Helper!BH2:BH501,0)),"-")</f>
        <v/>
      </c>
      <c r="R25" s="91" t="n"/>
      <c r="S25" s="91" t="n"/>
      <c r="T25" s="91" t="n"/>
      <c r="U25" s="91" t="n"/>
      <c r="V25" s="91" t="n"/>
    </row>
    <row r="26" ht="19.5" customHeight="1" s="74">
      <c r="A26" s="137" t="inlineStr">
        <is>
          <t>Software Engineering</t>
        </is>
      </c>
      <c r="B26" s="91" t="n"/>
      <c r="C26" s="135">
        <f>IFERROR(INDEX(_Helper!P2:P501,MATCH(LARGE(_Helper!BH2:BH501,1),_Helper!BH2:BH501,0)),"-")</f>
        <v/>
      </c>
      <c r="D26" s="91" t="n"/>
      <c r="E26" s="91" t="n"/>
      <c r="F26" s="91" t="n"/>
      <c r="G26" s="91" t="n"/>
      <c r="H26" s="91" t="n"/>
      <c r="I26" s="8" t="n"/>
      <c r="J26" s="136">
        <f>IFERROR(INDEX(_Helper!P2:P501,MATCH(LARGE(_Helper!BH2:BH501,2),_Helper!BH2:BH501,0)),"-")</f>
        <v/>
      </c>
      <c r="K26" s="91" t="n"/>
      <c r="L26" s="91" t="n"/>
      <c r="M26" s="91" t="n"/>
      <c r="N26" s="91" t="n"/>
      <c r="O26" s="91" t="n"/>
      <c r="P26" s="8" t="n"/>
      <c r="Q26" s="138">
        <f>IFERROR(INDEX(_Helper!P2:P501,MATCH(LARGE(_Helper!BH2:BH501,3),_Helper!BH2:BH501,0)),"-")</f>
        <v/>
      </c>
      <c r="R26" s="91" t="n"/>
      <c r="S26" s="91" t="n"/>
      <c r="T26" s="91" t="n"/>
      <c r="U26" s="91" t="n"/>
      <c r="V26" s="91" t="n"/>
    </row>
    <row r="27" ht="19.5" customHeight="1" s="74">
      <c r="A27" s="140" t="inlineStr">
        <is>
          <t>M&amp;E Installation</t>
        </is>
      </c>
      <c r="B27" s="91" t="n"/>
      <c r="C27" s="135">
        <f>IFERROR(INDEX(_Helper!Q2:Q501,MATCH(LARGE(_Helper!BH2:BH501,1),_Helper!BH2:BH501,0)),"-")</f>
        <v/>
      </c>
      <c r="D27" s="91" t="n"/>
      <c r="E27" s="91" t="n"/>
      <c r="F27" s="91" t="n"/>
      <c r="G27" s="91" t="n"/>
      <c r="H27" s="91" t="n"/>
      <c r="I27" s="7" t="n"/>
      <c r="J27" s="136">
        <f>IFERROR(INDEX(_Helper!Q2:Q501,MATCH(LARGE(_Helper!BH2:BH501,2),_Helper!BH2:BH501,0)),"-")</f>
        <v/>
      </c>
      <c r="K27" s="91" t="n"/>
      <c r="L27" s="91" t="n"/>
      <c r="M27" s="91" t="n"/>
      <c r="N27" s="91" t="n"/>
      <c r="O27" s="91" t="n"/>
      <c r="P27" s="7" t="n"/>
      <c r="Q27" s="138">
        <f>IFERROR(INDEX(_Helper!Q2:Q501,MATCH(LARGE(_Helper!BH2:BH501,3),_Helper!BH2:BH501,0)),"-")</f>
        <v/>
      </c>
      <c r="R27" s="91" t="n"/>
      <c r="S27" s="91" t="n"/>
      <c r="T27" s="91" t="n"/>
      <c r="U27" s="91" t="n"/>
      <c r="V27" s="91" t="n"/>
    </row>
    <row r="28" ht="19.5" customHeight="1" s="74">
      <c r="A28" s="137" t="inlineStr">
        <is>
          <t>Commissioning</t>
        </is>
      </c>
      <c r="B28" s="91" t="n"/>
      <c r="C28" s="135">
        <f>IFERROR(INDEX(_Helper!R2:R501,MATCH(LARGE(_Helper!BH2:BH501,1),_Helper!BH2:BH501,0)),"-")</f>
        <v/>
      </c>
      <c r="D28" s="91" t="n"/>
      <c r="E28" s="91" t="n"/>
      <c r="F28" s="91" t="n"/>
      <c r="G28" s="91" t="n"/>
      <c r="H28" s="91" t="n"/>
      <c r="I28" s="8" t="n"/>
      <c r="J28" s="136">
        <f>IFERROR(INDEX(_Helper!R2:R501,MATCH(LARGE(_Helper!BH2:BH501,2),_Helper!BH2:BH501,0)),"-")</f>
        <v/>
      </c>
      <c r="K28" s="91" t="n"/>
      <c r="L28" s="91" t="n"/>
      <c r="M28" s="91" t="n"/>
      <c r="N28" s="91" t="n"/>
      <c r="O28" s="91" t="n"/>
      <c r="P28" s="8" t="n"/>
      <c r="Q28" s="138">
        <f>IFERROR(INDEX(_Helper!R2:R501,MATCH(LARGE(_Helper!BH2:BH501,3),_Helper!BH2:BH501,0)),"-")</f>
        <v/>
      </c>
      <c r="R28" s="91" t="n"/>
      <c r="S28" s="91" t="n"/>
      <c r="T28" s="91" t="n"/>
      <c r="U28" s="91" t="n"/>
      <c r="V28" s="91" t="n"/>
    </row>
    <row r="29" ht="19.5" customHeight="1" s="74">
      <c r="A29" s="134" t="inlineStr">
        <is>
          <t>TOTAL PROJECT TIMELINE</t>
        </is>
      </c>
      <c r="B29" s="91" t="n"/>
      <c r="C29" s="150">
        <f>IFERROR(INDEX(_Helper!S2:S501,MATCH(LARGE(_Helper!BH2:BH501,1),_Helper!BH2:BH501,0)),"-")</f>
        <v/>
      </c>
      <c r="D29" s="91" t="n"/>
      <c r="E29" s="91" t="n"/>
      <c r="F29" s="91" t="n"/>
      <c r="G29" s="91" t="n"/>
      <c r="H29" s="91" t="n"/>
      <c r="I29" s="9" t="n"/>
      <c r="J29" s="146">
        <f>IFERROR(INDEX(_Helper!S2:S501,MATCH(LARGE(_Helper!BH2:BH501,2),_Helper!BH2:BH501,0)),"-")</f>
        <v/>
      </c>
      <c r="K29" s="91" t="n"/>
      <c r="L29" s="91" t="n"/>
      <c r="M29" s="91" t="n"/>
      <c r="N29" s="91" t="n"/>
      <c r="O29" s="91" t="n"/>
      <c r="P29" s="9" t="n"/>
      <c r="Q29" s="151">
        <f>IFERROR(INDEX(_Helper!S2:S501,MATCH(LARGE(_Helper!BH2:BH501,3),_Helper!BH2:BH501,0)),"-")</f>
        <v/>
      </c>
      <c r="R29" s="91" t="n"/>
      <c r="S29" s="91" t="n"/>
      <c r="T29" s="91" t="n"/>
      <c r="U29" s="91" t="n"/>
      <c r="V29" s="91" t="n"/>
    </row>
    <row r="30" ht="19.5" customHeight="1" s="74">
      <c r="A30" s="172" t="inlineStr">
        <is>
          <t xml:space="preserve">  AUTOMATION EQUIPMENT &amp; NOTES</t>
        </is>
      </c>
    </row>
    <row r="31" ht="39.75" customHeight="1" s="74">
      <c r="A31" s="140" t="inlineStr">
        <is>
          <t>Automation Equipment</t>
        </is>
      </c>
      <c r="B31" s="91" t="n"/>
      <c r="C31" s="135">
        <f>IFERROR(INDEX('Project Database'!Z:Z,MATCH(INDEX(_Helper!A2:A501,MATCH(LARGE(_Helper!BH2:BH501,1),_Helper!BH2:BH501,0)),'Project Database'!A:A,0)),"-")</f>
        <v/>
      </c>
      <c r="D31" s="91" t="n"/>
      <c r="E31" s="91" t="n"/>
      <c r="F31" s="91" t="n"/>
      <c r="G31" s="91" t="n"/>
      <c r="H31" s="91" t="n"/>
      <c r="I31" s="7" t="n"/>
      <c r="J31" s="136">
        <f>IFERROR(INDEX('Project Database'!Z:Z,MATCH(INDEX(_Helper!A2:A501,MATCH(LARGE(_Helper!BH2:BH501,2),_Helper!BH2:BH501,0)),'Project Database'!A:A,0)),"-")</f>
        <v/>
      </c>
      <c r="K31" s="91" t="n"/>
      <c r="L31" s="91" t="n"/>
      <c r="M31" s="91" t="n"/>
      <c r="N31" s="91" t="n"/>
      <c r="O31" s="91" t="n"/>
      <c r="P31" s="7" t="n"/>
      <c r="Q31" s="138">
        <f>IFERROR(INDEX('Project Database'!Z:Z,MATCH(INDEX(_Helper!A2:A501,MATCH(LARGE(_Helper!BH2:BH501,3),_Helper!BH2:BH501,0)),'Project Database'!A:A,0)),"-")</f>
        <v/>
      </c>
      <c r="R31" s="91" t="n"/>
      <c r="S31" s="91" t="n"/>
      <c r="T31" s="91" t="n"/>
      <c r="U31" s="91" t="n"/>
      <c r="V31" s="91" t="n"/>
    </row>
    <row r="32" ht="49.5" customHeight="1" s="74">
      <c r="A32" s="137" t="inlineStr">
        <is>
          <t>Notes / Lessons Learned</t>
        </is>
      </c>
      <c r="B32" s="91" t="n"/>
      <c r="C32" s="135">
        <f>IFERROR(INDEX('Project Database'!AA:AA,MATCH(INDEX(_Helper!A2:A501,MATCH(LARGE(_Helper!BH2:BH501,1),_Helper!BH2:BH501,0)),'Project Database'!A:A,0)),"-")</f>
        <v/>
      </c>
      <c r="D32" s="91" t="n"/>
      <c r="E32" s="91" t="n"/>
      <c r="F32" s="91" t="n"/>
      <c r="G32" s="91" t="n"/>
      <c r="H32" s="91" t="n"/>
      <c r="I32" s="8" t="n"/>
      <c r="J32" s="136">
        <f>IFERROR(INDEX('Project Database'!AA:AA,MATCH(INDEX(_Helper!A2:A501,MATCH(LARGE(_Helper!BH2:BH501,2),_Helper!BH2:BH501,0)),'Project Database'!A:A,0)),"-")</f>
        <v/>
      </c>
      <c r="K32" s="91" t="n"/>
      <c r="L32" s="91" t="n"/>
      <c r="M32" s="91" t="n"/>
      <c r="N32" s="91" t="n"/>
      <c r="O32" s="91" t="n"/>
      <c r="P32" s="8" t="n"/>
      <c r="Q32" s="138">
        <f>IFERROR(INDEX('Project Database'!AA:AA,MATCH(INDEX(_Helper!A2:A501,MATCH(LARGE(_Helper!BH2:BH501,3),_Helper!BH2:BH501,0)),'Project Database'!A:A,0)),"-")</f>
        <v/>
      </c>
      <c r="R32" s="91" t="n"/>
      <c r="S32" s="91" t="n"/>
      <c r="T32" s="91" t="n"/>
      <c r="U32" s="91" t="n"/>
      <c r="V32" s="91" t="n"/>
    </row>
    <row r="33" ht="18" customHeight="1" s="74">
      <c r="A33" s="173" t="inlineStr">
        <is>
          <t>⚠  Results update automatically when search parameters change in the Smart Search tab.  Review all matches and apply engineering judgment before confirming schedules.</t>
        </is>
      </c>
    </row>
  </sheetData>
  <mergeCells count="111">
    <mergeCell ref="C25:H25"/>
    <mergeCell ref="J15:O15"/>
    <mergeCell ref="A15:B15"/>
    <mergeCell ref="Q10:V10"/>
    <mergeCell ref="A5:V5"/>
    <mergeCell ref="Q19:V19"/>
    <mergeCell ref="C9:H9"/>
    <mergeCell ref="J7:O7"/>
    <mergeCell ref="A7:B7"/>
    <mergeCell ref="A27:B27"/>
    <mergeCell ref="C32:H32"/>
    <mergeCell ref="C13:H13"/>
    <mergeCell ref="J17:O17"/>
    <mergeCell ref="Q13:V13"/>
    <mergeCell ref="A17:B17"/>
    <mergeCell ref="Q7:V7"/>
    <mergeCell ref="Q21:V21"/>
    <mergeCell ref="C15:H15"/>
    <mergeCell ref="C24:H24"/>
    <mergeCell ref="J19:O19"/>
    <mergeCell ref="A19:B19"/>
    <mergeCell ref="J28:O28"/>
    <mergeCell ref="A28:B28"/>
    <mergeCell ref="J9:O9"/>
    <mergeCell ref="C26:H26"/>
    <mergeCell ref="A9:B9"/>
    <mergeCell ref="Q8:V8"/>
    <mergeCell ref="A2:V2"/>
    <mergeCell ref="C10:H10"/>
    <mergeCell ref="C16:H16"/>
    <mergeCell ref="A22:V22"/>
    <mergeCell ref="J4:O4"/>
    <mergeCell ref="J32:O32"/>
    <mergeCell ref="Q9:V9"/>
    <mergeCell ref="Q27:V27"/>
    <mergeCell ref="A30:V30"/>
    <mergeCell ref="Q17:V17"/>
    <mergeCell ref="A26:B26"/>
    <mergeCell ref="C19:H19"/>
    <mergeCell ref="C28:H28"/>
    <mergeCell ref="J18:O18"/>
    <mergeCell ref="J8:O8"/>
    <mergeCell ref="A8:B8"/>
    <mergeCell ref="Q3:V3"/>
    <mergeCell ref="Q12:V12"/>
    <mergeCell ref="C6:H6"/>
    <mergeCell ref="C14:H14"/>
    <mergeCell ref="J10:O10"/>
    <mergeCell ref="A10:B10"/>
    <mergeCell ref="C4:H4"/>
    <mergeCell ref="A33:V33"/>
    <mergeCell ref="J27:O27"/>
    <mergeCell ref="Q26:V26"/>
    <mergeCell ref="J20:O20"/>
    <mergeCell ref="C27:H27"/>
    <mergeCell ref="J31:O31"/>
    <mergeCell ref="C8:H8"/>
    <mergeCell ref="C17:H17"/>
    <mergeCell ref="A3:B3"/>
    <mergeCell ref="J12:O12"/>
    <mergeCell ref="A12:B12"/>
    <mergeCell ref="J21:O21"/>
    <mergeCell ref="A21:B21"/>
    <mergeCell ref="A11:V11"/>
    <mergeCell ref="A1:V1"/>
    <mergeCell ref="A32:B32"/>
    <mergeCell ref="A14:B14"/>
    <mergeCell ref="J23:O23"/>
    <mergeCell ref="C3:H3"/>
    <mergeCell ref="A23:B23"/>
    <mergeCell ref="A4:B4"/>
    <mergeCell ref="Q28:V28"/>
    <mergeCell ref="C20:H20"/>
    <mergeCell ref="C29:H29"/>
    <mergeCell ref="J24:O24"/>
    <mergeCell ref="A24:B24"/>
    <mergeCell ref="Q20:V20"/>
    <mergeCell ref="Q14:V14"/>
    <mergeCell ref="Q29:V29"/>
    <mergeCell ref="Q23:V23"/>
    <mergeCell ref="C31:H31"/>
    <mergeCell ref="Q4:V4"/>
    <mergeCell ref="J26:O26"/>
    <mergeCell ref="C12:H12"/>
    <mergeCell ref="Q31:V31"/>
    <mergeCell ref="C21:H21"/>
    <mergeCell ref="A6:B6"/>
    <mergeCell ref="J16:O16"/>
    <mergeCell ref="Q6:V6"/>
    <mergeCell ref="A16:B16"/>
    <mergeCell ref="J25:O25"/>
    <mergeCell ref="Q15:V15"/>
    <mergeCell ref="A25:B25"/>
    <mergeCell ref="C23:H23"/>
    <mergeCell ref="A18:B18"/>
    <mergeCell ref="C7:H7"/>
    <mergeCell ref="J3:O3"/>
    <mergeCell ref="Q32:V32"/>
    <mergeCell ref="C18:H18"/>
    <mergeCell ref="Q16:V16"/>
    <mergeCell ref="Q25:V25"/>
    <mergeCell ref="A20:B20"/>
    <mergeCell ref="J29:O29"/>
    <mergeCell ref="J14:O14"/>
    <mergeCell ref="A29:B29"/>
    <mergeCell ref="Q24:V24"/>
    <mergeCell ref="Q18:V18"/>
    <mergeCell ref="J13:O13"/>
    <mergeCell ref="A13:B13"/>
    <mergeCell ref="A31:B31"/>
    <mergeCell ref="J6:O6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tabColor rgb="FF2E2E2C"/>
    <outlinePr summaryBelow="1" summaryRight="1"/>
    <pageSetUpPr/>
  </sheetPr>
  <dimension ref="A1:B44"/>
  <sheetViews>
    <sheetView showGridLines="0" topLeftCell="A2" zoomScaleNormal="100" workbookViewId="0">
      <selection activeCell="F18" sqref="F18"/>
    </sheetView>
  </sheetViews>
  <sheetFormatPr baseColWidth="8" defaultColWidth="8.6640625" defaultRowHeight="14.4"/>
  <cols>
    <col width="89" customWidth="1" style="74" min="1" max="1"/>
    <col width="78" customWidth="1" style="74" min="2" max="2"/>
  </cols>
  <sheetData>
    <row r="1" ht="36" customHeight="1" s="74">
      <c r="A1" s="167" t="inlineStr">
        <is>
          <t>DEMATIC  |  User Guide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1.75" customHeight="1" s="74">
      <c r="A3" s="165" t="inlineStr">
        <is>
          <t xml:space="preserve">  HOW THE SMART SEARCH WORKS</t>
        </is>
      </c>
    </row>
    <row r="4" ht="15.75" customHeight="1" s="74">
      <c r="A4" s="174" t="inlineStr">
        <is>
          <t xml:space="preserve">   Step 1:  Set Include? to YES for every system in your project, NO for the rest.</t>
        </is>
      </c>
    </row>
    <row r="5" ht="15.75" customHeight="1" s="74">
      <c r="A5" s="174" t="inlineStr">
        <is>
          <t xml:space="preserve">   Step 2:  Enter your quantities for the included systems.</t>
        </is>
      </c>
    </row>
    <row r="6" ht="15.75" customHeight="1" s="74">
      <c r="A6" s="174" t="inlineStr">
        <is>
          <t xml:space="preserve">   The tool automatically distributes equal weight across all active parameters and ranks the database.</t>
        </is>
      </c>
    </row>
    <row r="7" ht="15.75" customHeight="1" s="74">
      <c r="A7" s="174" t="inlineStr">
        <is>
          <t xml:space="preserve">   No manual weights or percentages needed — just select and type.</t>
        </is>
      </c>
    </row>
    <row r="8" ht="7.5" customHeight="1" s="74"/>
    <row r="9" ht="21.75" customHeight="1" s="74">
      <c r="A9" s="165" t="inlineStr">
        <is>
          <t xml:space="preserve">  MATCH SCORE EXPLAINED</t>
        </is>
      </c>
    </row>
    <row r="10" ht="15.75" customHeight="1" s="74">
      <c r="A10" s="174" t="inlineStr">
        <is>
          <t xml:space="preserve">   For each active parameter:  Score = 1 – |DB value – your value| / MAX(|DB value|, |your value|)  (minimum 0)</t>
        </is>
      </c>
    </row>
    <row r="11" ht="15.75" customHeight="1" s="74">
      <c r="A11" s="174" t="inlineStr">
        <is>
          <t xml:space="preserve">   All active parameters receive equal weight.  Final score = average of all active parameter scores.</t>
        </is>
      </c>
    </row>
    <row r="12" ht="15.75" customHeight="1" s="74">
      <c r="A12" s="174" t="inlineStr">
        <is>
          <t xml:space="preserve">   If both the DB and your input are zero or blank for a parameter, it scores as a perfect match (both have none).</t>
        </is>
      </c>
    </row>
    <row r="13" ht="15.75" customHeight="1" s="74">
      <c r="A13" s="174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4">
      <c r="A14" s="174" t="inlineStr">
        <is>
          <t xml:space="preserve">   Equal scores are resolved by row order (earlier entries ranked higher) to prevent duplicate results.</t>
        </is>
      </c>
    </row>
    <row r="15" ht="21.75" customHeight="1" s="74">
      <c r="A15" s="165" t="inlineStr">
        <is>
          <t xml:space="preserve">  SYSTEMS SUPPORTED</t>
        </is>
      </c>
    </row>
    <row r="16" ht="15.75" customHeight="1" s="74">
      <c r="A16" s="174" t="inlineStr">
        <is>
          <t xml:space="preserve">   Multishuttle    — Shuttles + Tote Locations</t>
        </is>
      </c>
    </row>
    <row r="17" ht="15.75" customHeight="1" s="74">
      <c r="A17" s="174" t="inlineStr">
        <is>
          <t xml:space="preserve">   AutoStore       — Robots + Tote Locations</t>
        </is>
      </c>
    </row>
    <row r="18" ht="15.75" customHeight="1" s="74">
      <c r="A18" s="174" t="inlineStr">
        <is>
          <t xml:space="preserve">   Pallet Shuttle  — Shuttles + Pallet Locations</t>
        </is>
      </c>
    </row>
    <row r="19" ht="15.75" customHeight="1" s="74">
      <c r="A19" s="174" t="inlineStr">
        <is>
          <t xml:space="preserve">   SRM Crane       — Cranes + Pallet Locations</t>
        </is>
      </c>
    </row>
    <row r="20" ht="15.75" customHeight="1" s="74">
      <c r="A20" s="174" t="inlineStr">
        <is>
          <t xml:space="preserve">   Conveyors       — Case Conveyor (m) + Pallet Conveyor (m)</t>
        </is>
      </c>
    </row>
    <row r="21" ht="7.5" customHeight="1" s="74"/>
    <row r="22" ht="21.75" customHeight="1" s="74">
      <c r="A22" s="165" t="inlineStr">
        <is>
          <t xml:space="preserve">  ADDING A PROJECT TO THE DATABASE</t>
        </is>
      </c>
    </row>
    <row r="23" ht="15.75" customHeight="1" s="74">
      <c r="A23" s="174" t="inlineStr">
        <is>
          <t xml:space="preserve">   1.  Go to 'Project Database' and fill in the next empty row.</t>
        </is>
      </c>
    </row>
    <row r="24" ht="15.75" customHeight="1" s="74">
      <c r="A24" s="174" t="inlineStr">
        <is>
          <t xml:space="preserve">   2.  Enter data only for systems used — leave other system columns blank.</t>
        </is>
      </c>
    </row>
    <row r="25" ht="15.75" customHeight="1" s="74">
      <c r="A25" s="174" t="inlineStr">
        <is>
          <t xml:space="preserve">   3.  All schedule phases are in WEEKS.</t>
        </is>
      </c>
    </row>
    <row r="26" ht="15.75" customHeight="1" s="74">
      <c r="A26" s="174" t="inlineStr">
        <is>
          <t xml:space="preserve">   4.  Total Timeline is the actual start-to-finish duration in weeks. Enter it yourself: phases overlap, so it is not a sum of the phase durations.</t>
        </is>
      </c>
    </row>
    <row r="27" ht="15.75" customHeight="1" s="74">
      <c r="A27" s="174" t="inlineStr">
        <is>
          <t xml:space="preserve">   5.  Project Value is in MILLIONS — enter a number only (22.9), not '22.9M'. Select Currency from the dropdown.</t>
        </is>
      </c>
    </row>
    <row r="28" ht="15.75" customHeight="1" s="74">
      <c r="A28" s="174" t="inlineStr">
        <is>
          <t xml:space="preserve">   6.  Select the Solution Type from the dropdown in column D.</t>
        </is>
      </c>
    </row>
    <row r="29" ht="21.75" customHeight="1" s="74">
      <c r="A29" s="175" t="n"/>
    </row>
    <row r="30" ht="15.75" customHeight="1" s="74">
      <c r="A30" s="165" t="inlineStr">
        <is>
          <t xml:space="preserve">  MANHOUR COST (% OF PROJECT COST)</t>
        </is>
      </c>
    </row>
    <row r="31" ht="15.75" customHeight="1" s="74">
      <c r="A31" s="174" t="inlineStr">
        <is>
          <t xml:space="preserve">   Database columns AC–AP hold fourteen manhour cost categories, each as a % of project cost:</t>
        </is>
      </c>
    </row>
    <row r="32" ht="15.75" customHeight="1" s="74">
      <c r="A32" s="174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4">
      <c r="A33" s="174" t="inlineStr">
        <is>
          <t xml:space="preserve">   Enter these as percentages (type 5% or 0.05 — not 5). Values must be between 0% and 100%.</t>
        </is>
      </c>
    </row>
    <row r="34" ht="15.75" customHeight="1" s="74">
      <c r="A34" s="174" t="inlineStr">
        <is>
          <t xml:space="preserve">   Smart Search shows all fourteen categories individually in the Estimated Schedule section,</t>
        </is>
      </c>
    </row>
    <row r="35" ht="15.75" customHeight="1" s="74">
      <c r="A35" s="174" t="inlineStr">
        <is>
          <t xml:space="preserve">   below Project Value, as a % of the closest match's project cost.</t>
        </is>
      </c>
    </row>
    <row r="36">
      <c r="A36" s="154" t="inlineStr">
        <is>
          <t xml:space="preserve">   A project with no manhour data entered (blank or 0) shows 0.0% for every category — check the TOTAL row.</t>
        </is>
      </c>
    </row>
    <row r="38" ht="26.1" customHeight="1" s="74">
      <c r="A38" s="175" t="inlineStr">
        <is>
          <t>OPTIONAL SEARCH FILTERS</t>
        </is>
      </c>
    </row>
    <row r="39" ht="26.1" customHeight="1" s="74">
      <c r="A39" s="175" t="inlineStr">
        <is>
          <t>Use the four optional filters beside the Smart Search inputs. Blank or All includes all projects.</t>
        </is>
      </c>
    </row>
    <row r="40" ht="26.1" customHeight="1" s="74">
      <c r="A40" s="175" t="inlineStr">
        <is>
          <t>Solution Type and Won status: select a dropdown value. Year: enter an exact year (2000-2099), or clear it.</t>
        </is>
      </c>
    </row>
    <row r="41" ht="26.1" customHeight="1" s="74">
      <c r="A41" s="175" t="inlineStr">
        <is>
          <t>Region: enter text found in Client / Region, e.g. ME matches Turkey ME and KSA ME. Matching ignores letter case.</t>
        </is>
      </c>
    </row>
    <row r="42" ht="26.1" customHeight="1" s="74">
      <c r="A42" s="175" t="inlineStr">
        <is>
          <t>All selected filters must match. Projects with missing data are excluded only when that field is filtered.</t>
        </is>
      </c>
    </row>
    <row r="43" ht="26.1" customHeight="1" s="74">
      <c r="A43" s="175" t="inlineStr">
        <is>
          <t>The top five, closest-match estimate and top-three comparison all use the filtered results.</t>
        </is>
      </c>
    </row>
    <row r="44" ht="26.1" customHeight="1" s="74">
      <c r="A44" s="175" t="inlineStr">
        <is>
          <t>If no projects match, broaden or clear filters. Populate Solution Type in the database before filtering by it.</t>
        </is>
      </c>
    </row>
  </sheetData>
  <mergeCells count="40">
    <mergeCell ref="A30:B30"/>
    <mergeCell ref="A24:B24"/>
    <mergeCell ref="A15:B15"/>
    <mergeCell ref="A11:B11"/>
    <mergeCell ref="A1:B1"/>
    <mergeCell ref="A6:B6"/>
    <mergeCell ref="A16:B16"/>
    <mergeCell ref="A7:B7"/>
    <mergeCell ref="A25:B25"/>
    <mergeCell ref="A41:B41"/>
    <mergeCell ref="A18:B18"/>
    <mergeCell ref="A27:B27"/>
    <mergeCell ref="A3:B3"/>
    <mergeCell ref="A12:B12"/>
    <mergeCell ref="A26:B26"/>
    <mergeCell ref="A2:B2"/>
    <mergeCell ref="A33:B33"/>
    <mergeCell ref="A42:B42"/>
    <mergeCell ref="A5:B5"/>
    <mergeCell ref="A32:B32"/>
    <mergeCell ref="A14:B14"/>
    <mergeCell ref="A23:B23"/>
    <mergeCell ref="A17:B17"/>
    <mergeCell ref="A22:B22"/>
    <mergeCell ref="A35:B35"/>
    <mergeCell ref="A4:B4"/>
    <mergeCell ref="A20:B20"/>
    <mergeCell ref="A38:B38"/>
    <mergeCell ref="A29:B29"/>
    <mergeCell ref="A43:B43"/>
    <mergeCell ref="A19:B19"/>
    <mergeCell ref="A10:B10"/>
    <mergeCell ref="A28:B28"/>
    <mergeCell ref="A13:B13"/>
    <mergeCell ref="A44:B44"/>
    <mergeCell ref="A40:B40"/>
    <mergeCell ref="A9:B9"/>
    <mergeCell ref="A31:B31"/>
    <mergeCell ref="A39:B39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2026-03-22T00:37:22Z</dcterms:created>
  <dcterms:modified xsi:type="dcterms:W3CDTF">2026-09-25T06:07:34Z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ca830056-0a89-4eae-acb2-75906cd5d3f2</vt:lpwstr>
  </property>
</Properties>
</file>