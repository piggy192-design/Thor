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6"/>
  <mc:AlternateContent xmlns:mc="http://schemas.openxmlformats.org/markup-compatibility/2006">
    <mc:Choice Requires="x15">
      <x15ac:absPath xmlns:x15ac="http://schemas.microsoft.com/office/spreadsheetml/2010/11/ac" url="https://kionnam.sharepoint.com/sites/scs_CTAPACSGSolutionDevelopment/Shared Documents/SCS CT ASIA APAC Design and Estimating/Project Thor/Jia Jin - Project Schedule/WIP/"/>
    </mc:Choice>
  </mc:AlternateContent>
  <xr:revisionPtr revIDLastSave="84" documentId="11_FA1544B09736DEA2033CB4DFCD6D824E300EC091" xr6:coauthVersionLast="47" xr6:coauthVersionMax="47" xr10:uidLastSave="{E8226960-D161-4B0B-B120-2C0F29C7E708}"/>
  <bookViews>
    <workbookView xWindow="-108" yWindow="-108" windowWidth="30936" windowHeight="16776" tabRatio="500" xr2:uid="{00000000-000D-0000-FFFF-FFFF00000000}"/>
  </bookViews>
  <sheets>
    <sheet name="Project Database" sheetId="1" r:id="rId1"/>
    <sheet name="Smart Search" sheetId="2" r:id="rId2"/>
    <sheet name="_Helper" sheetId="3" state="hidden" r:id="rId3"/>
    <sheet name="Project Comparison" sheetId="4" r:id="rId4"/>
    <sheet name="Instructions" sheetId="5" r:id="rId5"/>
  </sheets>
  <definedNames>
    <definedName name="_xlnm._FilterDatabase" localSheetId="0" hidden="1">'Project Database'!$A$1:$AP$504</definedName>
  </definedNames>
  <calcPr calcId="191028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W501" i="3" l="1"/>
  <c r="BV501" i="3"/>
  <c r="BU501" i="3"/>
  <c r="BT501" i="3"/>
  <c r="BS501" i="3"/>
  <c r="BR501" i="3"/>
  <c r="BQ501" i="3"/>
  <c r="BP501" i="3"/>
  <c r="BO501" i="3"/>
  <c r="BN501" i="3"/>
  <c r="BM501" i="3"/>
  <c r="BL501" i="3"/>
  <c r="BK501" i="3"/>
  <c r="BJ501" i="3"/>
  <c r="BH501" i="3"/>
  <c r="AZ501" i="3"/>
  <c r="U501" i="3"/>
  <c r="T501" i="3"/>
  <c r="S501" i="3"/>
  <c r="R501" i="3"/>
  <c r="Q501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BW500" i="3"/>
  <c r="BV500" i="3"/>
  <c r="BU500" i="3"/>
  <c r="BT500" i="3"/>
  <c r="BS500" i="3"/>
  <c r="BR500" i="3"/>
  <c r="BQ500" i="3"/>
  <c r="BP500" i="3"/>
  <c r="BO500" i="3"/>
  <c r="BN500" i="3"/>
  <c r="BM500" i="3"/>
  <c r="BL500" i="3"/>
  <c r="BK500" i="3"/>
  <c r="BJ500" i="3"/>
  <c r="BH500" i="3"/>
  <c r="AZ500" i="3"/>
  <c r="U500" i="3"/>
  <c r="T500" i="3"/>
  <c r="S500" i="3"/>
  <c r="R500" i="3"/>
  <c r="Q500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BW499" i="3"/>
  <c r="BV499" i="3"/>
  <c r="BU499" i="3"/>
  <c r="BT499" i="3"/>
  <c r="BS499" i="3"/>
  <c r="BR499" i="3"/>
  <c r="BQ499" i="3"/>
  <c r="BP499" i="3"/>
  <c r="BO499" i="3"/>
  <c r="BN499" i="3"/>
  <c r="BM499" i="3"/>
  <c r="BL499" i="3"/>
  <c r="BK499" i="3"/>
  <c r="BJ499" i="3"/>
  <c r="BH499" i="3"/>
  <c r="AZ499" i="3"/>
  <c r="U499" i="3"/>
  <c r="T499" i="3"/>
  <c r="S499" i="3"/>
  <c r="R499" i="3"/>
  <c r="Q499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BW498" i="3"/>
  <c r="BV498" i="3"/>
  <c r="BU498" i="3"/>
  <c r="BT498" i="3"/>
  <c r="BS498" i="3"/>
  <c r="BR498" i="3"/>
  <c r="BQ498" i="3"/>
  <c r="BP498" i="3"/>
  <c r="BO498" i="3"/>
  <c r="BN498" i="3"/>
  <c r="BM498" i="3"/>
  <c r="BL498" i="3"/>
  <c r="BK498" i="3"/>
  <c r="BJ498" i="3"/>
  <c r="BH498" i="3"/>
  <c r="AZ498" i="3"/>
  <c r="U498" i="3"/>
  <c r="T498" i="3"/>
  <c r="S498" i="3"/>
  <c r="R498" i="3"/>
  <c r="Q498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BW497" i="3"/>
  <c r="BV497" i="3"/>
  <c r="BU497" i="3"/>
  <c r="BT497" i="3"/>
  <c r="BS497" i="3"/>
  <c r="BR497" i="3"/>
  <c r="BQ497" i="3"/>
  <c r="BP497" i="3"/>
  <c r="BO497" i="3"/>
  <c r="BN497" i="3"/>
  <c r="BM497" i="3"/>
  <c r="BL497" i="3"/>
  <c r="BK497" i="3"/>
  <c r="BJ497" i="3"/>
  <c r="BH497" i="3"/>
  <c r="AZ497" i="3"/>
  <c r="U497" i="3"/>
  <c r="T497" i="3"/>
  <c r="S497" i="3"/>
  <c r="R497" i="3"/>
  <c r="Q497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BW496" i="3"/>
  <c r="BV496" i="3"/>
  <c r="BU496" i="3"/>
  <c r="BT496" i="3"/>
  <c r="BS496" i="3"/>
  <c r="BR496" i="3"/>
  <c r="BQ496" i="3"/>
  <c r="BP496" i="3"/>
  <c r="BO496" i="3"/>
  <c r="BN496" i="3"/>
  <c r="BM496" i="3"/>
  <c r="BL496" i="3"/>
  <c r="BK496" i="3"/>
  <c r="BJ496" i="3"/>
  <c r="BH496" i="3"/>
  <c r="AZ496" i="3"/>
  <c r="U496" i="3"/>
  <c r="T496" i="3"/>
  <c r="S496" i="3"/>
  <c r="R496" i="3"/>
  <c r="Q496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BW495" i="3"/>
  <c r="BV495" i="3"/>
  <c r="BU495" i="3"/>
  <c r="BT495" i="3"/>
  <c r="BS495" i="3"/>
  <c r="BR495" i="3"/>
  <c r="BQ495" i="3"/>
  <c r="BP495" i="3"/>
  <c r="BO495" i="3"/>
  <c r="BN495" i="3"/>
  <c r="BM495" i="3"/>
  <c r="BL495" i="3"/>
  <c r="BK495" i="3"/>
  <c r="BJ495" i="3"/>
  <c r="BH495" i="3"/>
  <c r="AZ495" i="3"/>
  <c r="U495" i="3"/>
  <c r="T495" i="3"/>
  <c r="S495" i="3"/>
  <c r="R495" i="3"/>
  <c r="Q495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BW494" i="3"/>
  <c r="BV494" i="3"/>
  <c r="BU494" i="3"/>
  <c r="BT494" i="3"/>
  <c r="BS494" i="3"/>
  <c r="BR494" i="3"/>
  <c r="BQ494" i="3"/>
  <c r="BP494" i="3"/>
  <c r="BO494" i="3"/>
  <c r="BN494" i="3"/>
  <c r="BM494" i="3"/>
  <c r="BL494" i="3"/>
  <c r="BK494" i="3"/>
  <c r="BJ494" i="3"/>
  <c r="BH494" i="3"/>
  <c r="AZ494" i="3"/>
  <c r="U494" i="3"/>
  <c r="T494" i="3"/>
  <c r="S494" i="3"/>
  <c r="R494" i="3"/>
  <c r="Q494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BW493" i="3"/>
  <c r="BV493" i="3"/>
  <c r="BU493" i="3"/>
  <c r="BT493" i="3"/>
  <c r="BS493" i="3"/>
  <c r="BR493" i="3"/>
  <c r="BQ493" i="3"/>
  <c r="BP493" i="3"/>
  <c r="BO493" i="3"/>
  <c r="BN493" i="3"/>
  <c r="BM493" i="3"/>
  <c r="BL493" i="3"/>
  <c r="BK493" i="3"/>
  <c r="BJ493" i="3"/>
  <c r="BH493" i="3"/>
  <c r="AZ493" i="3"/>
  <c r="U493" i="3"/>
  <c r="T493" i="3"/>
  <c r="S493" i="3"/>
  <c r="R493" i="3"/>
  <c r="Q493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BW492" i="3"/>
  <c r="BV492" i="3"/>
  <c r="BU492" i="3"/>
  <c r="BT492" i="3"/>
  <c r="BS492" i="3"/>
  <c r="BR492" i="3"/>
  <c r="BQ492" i="3"/>
  <c r="BP492" i="3"/>
  <c r="BO492" i="3"/>
  <c r="BN492" i="3"/>
  <c r="BM492" i="3"/>
  <c r="BL492" i="3"/>
  <c r="BK492" i="3"/>
  <c r="BJ492" i="3"/>
  <c r="BH492" i="3"/>
  <c r="AZ492" i="3"/>
  <c r="U492" i="3"/>
  <c r="T492" i="3"/>
  <c r="S492" i="3"/>
  <c r="R492" i="3"/>
  <c r="Q492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BW491" i="3"/>
  <c r="BV491" i="3"/>
  <c r="BU491" i="3"/>
  <c r="BT491" i="3"/>
  <c r="BS491" i="3"/>
  <c r="BR491" i="3"/>
  <c r="BQ491" i="3"/>
  <c r="BP491" i="3"/>
  <c r="BO491" i="3"/>
  <c r="BN491" i="3"/>
  <c r="BM491" i="3"/>
  <c r="BL491" i="3"/>
  <c r="BK491" i="3"/>
  <c r="BJ491" i="3"/>
  <c r="BH491" i="3"/>
  <c r="AZ491" i="3"/>
  <c r="U491" i="3"/>
  <c r="T491" i="3"/>
  <c r="S491" i="3"/>
  <c r="R491" i="3"/>
  <c r="Q491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BW490" i="3"/>
  <c r="BV490" i="3"/>
  <c r="BU490" i="3"/>
  <c r="BT490" i="3"/>
  <c r="BS490" i="3"/>
  <c r="BR490" i="3"/>
  <c r="BQ490" i="3"/>
  <c r="BP490" i="3"/>
  <c r="BO490" i="3"/>
  <c r="BN490" i="3"/>
  <c r="BM490" i="3"/>
  <c r="BL490" i="3"/>
  <c r="BK490" i="3"/>
  <c r="BJ490" i="3"/>
  <c r="BH490" i="3"/>
  <c r="AZ490" i="3"/>
  <c r="U490" i="3"/>
  <c r="T490" i="3"/>
  <c r="S490" i="3"/>
  <c r="R490" i="3"/>
  <c r="Q490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BW489" i="3"/>
  <c r="BV489" i="3"/>
  <c r="BU489" i="3"/>
  <c r="BT489" i="3"/>
  <c r="BS489" i="3"/>
  <c r="BR489" i="3"/>
  <c r="BQ489" i="3"/>
  <c r="BP489" i="3"/>
  <c r="BO489" i="3"/>
  <c r="BN489" i="3"/>
  <c r="BM489" i="3"/>
  <c r="BL489" i="3"/>
  <c r="BK489" i="3"/>
  <c r="BJ489" i="3"/>
  <c r="BH489" i="3"/>
  <c r="AZ489" i="3"/>
  <c r="U489" i="3"/>
  <c r="T489" i="3"/>
  <c r="S489" i="3"/>
  <c r="R489" i="3"/>
  <c r="Q489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BW488" i="3"/>
  <c r="BV488" i="3"/>
  <c r="BU488" i="3"/>
  <c r="BT488" i="3"/>
  <c r="BS488" i="3"/>
  <c r="BR488" i="3"/>
  <c r="BQ488" i="3"/>
  <c r="BP488" i="3"/>
  <c r="BO488" i="3"/>
  <c r="BN488" i="3"/>
  <c r="BM488" i="3"/>
  <c r="BL488" i="3"/>
  <c r="BK488" i="3"/>
  <c r="BJ488" i="3"/>
  <c r="BH488" i="3"/>
  <c r="AZ488" i="3"/>
  <c r="U488" i="3"/>
  <c r="T488" i="3"/>
  <c r="S488" i="3"/>
  <c r="R488" i="3"/>
  <c r="Q488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BW487" i="3"/>
  <c r="BV487" i="3"/>
  <c r="BU487" i="3"/>
  <c r="BT487" i="3"/>
  <c r="BS487" i="3"/>
  <c r="BR487" i="3"/>
  <c r="BQ487" i="3"/>
  <c r="BP487" i="3"/>
  <c r="BO487" i="3"/>
  <c r="BN487" i="3"/>
  <c r="BM487" i="3"/>
  <c r="BL487" i="3"/>
  <c r="BK487" i="3"/>
  <c r="BJ487" i="3"/>
  <c r="BH487" i="3"/>
  <c r="AZ487" i="3"/>
  <c r="U487" i="3"/>
  <c r="T487" i="3"/>
  <c r="S487" i="3"/>
  <c r="R487" i="3"/>
  <c r="Q487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BW486" i="3"/>
  <c r="BV486" i="3"/>
  <c r="BU486" i="3"/>
  <c r="BT486" i="3"/>
  <c r="BS486" i="3"/>
  <c r="BR486" i="3"/>
  <c r="BQ486" i="3"/>
  <c r="BP486" i="3"/>
  <c r="BO486" i="3"/>
  <c r="BN486" i="3"/>
  <c r="BM486" i="3"/>
  <c r="BL486" i="3"/>
  <c r="BK486" i="3"/>
  <c r="BJ486" i="3"/>
  <c r="BH486" i="3"/>
  <c r="AZ486" i="3"/>
  <c r="U486" i="3"/>
  <c r="T486" i="3"/>
  <c r="S486" i="3"/>
  <c r="R486" i="3"/>
  <c r="Q486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BW485" i="3"/>
  <c r="BV485" i="3"/>
  <c r="BU485" i="3"/>
  <c r="BT485" i="3"/>
  <c r="BS485" i="3"/>
  <c r="BR485" i="3"/>
  <c r="BQ485" i="3"/>
  <c r="BP485" i="3"/>
  <c r="BO485" i="3"/>
  <c r="BN485" i="3"/>
  <c r="BM485" i="3"/>
  <c r="BL485" i="3"/>
  <c r="BK485" i="3"/>
  <c r="BJ485" i="3"/>
  <c r="BH485" i="3"/>
  <c r="AZ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BW484" i="3"/>
  <c r="BV484" i="3"/>
  <c r="BU484" i="3"/>
  <c r="BT484" i="3"/>
  <c r="BS484" i="3"/>
  <c r="BR484" i="3"/>
  <c r="BQ484" i="3"/>
  <c r="BP484" i="3"/>
  <c r="BO484" i="3"/>
  <c r="BN484" i="3"/>
  <c r="BM484" i="3"/>
  <c r="BL484" i="3"/>
  <c r="BK484" i="3"/>
  <c r="BJ484" i="3"/>
  <c r="BH484" i="3"/>
  <c r="AZ484" i="3"/>
  <c r="U484" i="3"/>
  <c r="T484" i="3"/>
  <c r="S484" i="3"/>
  <c r="R484" i="3"/>
  <c r="Q484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BW483" i="3"/>
  <c r="BV483" i="3"/>
  <c r="BU483" i="3"/>
  <c r="BT483" i="3"/>
  <c r="BS483" i="3"/>
  <c r="BR483" i="3"/>
  <c r="BQ483" i="3"/>
  <c r="BP483" i="3"/>
  <c r="BO483" i="3"/>
  <c r="BN483" i="3"/>
  <c r="BM483" i="3"/>
  <c r="BL483" i="3"/>
  <c r="BK483" i="3"/>
  <c r="BJ483" i="3"/>
  <c r="BH483" i="3"/>
  <c r="AZ483" i="3"/>
  <c r="U483" i="3"/>
  <c r="T483" i="3"/>
  <c r="S483" i="3"/>
  <c r="R483" i="3"/>
  <c r="Q483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BW482" i="3"/>
  <c r="BV482" i="3"/>
  <c r="BU482" i="3"/>
  <c r="BT482" i="3"/>
  <c r="BS482" i="3"/>
  <c r="BR482" i="3"/>
  <c r="BQ482" i="3"/>
  <c r="BP482" i="3"/>
  <c r="BO482" i="3"/>
  <c r="BN482" i="3"/>
  <c r="BM482" i="3"/>
  <c r="BL482" i="3"/>
  <c r="BK482" i="3"/>
  <c r="BJ482" i="3"/>
  <c r="BH482" i="3"/>
  <c r="AZ482" i="3"/>
  <c r="U482" i="3"/>
  <c r="T482" i="3"/>
  <c r="S482" i="3"/>
  <c r="R482" i="3"/>
  <c r="Q482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BW481" i="3"/>
  <c r="BV481" i="3"/>
  <c r="BU481" i="3"/>
  <c r="BT481" i="3"/>
  <c r="BS481" i="3"/>
  <c r="BR481" i="3"/>
  <c r="BQ481" i="3"/>
  <c r="BP481" i="3"/>
  <c r="BO481" i="3"/>
  <c r="BN481" i="3"/>
  <c r="BM481" i="3"/>
  <c r="BL481" i="3"/>
  <c r="BK481" i="3"/>
  <c r="BJ481" i="3"/>
  <c r="BH481" i="3"/>
  <c r="AZ481" i="3"/>
  <c r="U481" i="3"/>
  <c r="T481" i="3"/>
  <c r="S481" i="3"/>
  <c r="R481" i="3"/>
  <c r="Q481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BW480" i="3"/>
  <c r="BV480" i="3"/>
  <c r="BU480" i="3"/>
  <c r="BT480" i="3"/>
  <c r="BS480" i="3"/>
  <c r="BR480" i="3"/>
  <c r="BQ480" i="3"/>
  <c r="BP480" i="3"/>
  <c r="BO480" i="3"/>
  <c r="BN480" i="3"/>
  <c r="BM480" i="3"/>
  <c r="BL480" i="3"/>
  <c r="BK480" i="3"/>
  <c r="BJ480" i="3"/>
  <c r="BH480" i="3"/>
  <c r="AZ480" i="3"/>
  <c r="U480" i="3"/>
  <c r="T480" i="3"/>
  <c r="S480" i="3"/>
  <c r="R480" i="3"/>
  <c r="Q480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BW479" i="3"/>
  <c r="BV479" i="3"/>
  <c r="BU479" i="3"/>
  <c r="BT479" i="3"/>
  <c r="BS479" i="3"/>
  <c r="BR479" i="3"/>
  <c r="BQ479" i="3"/>
  <c r="BP479" i="3"/>
  <c r="BO479" i="3"/>
  <c r="BN479" i="3"/>
  <c r="BM479" i="3"/>
  <c r="BL479" i="3"/>
  <c r="BK479" i="3"/>
  <c r="BJ479" i="3"/>
  <c r="BH479" i="3"/>
  <c r="AZ479" i="3"/>
  <c r="U479" i="3"/>
  <c r="T479" i="3"/>
  <c r="S479" i="3"/>
  <c r="R479" i="3"/>
  <c r="Q479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BW478" i="3"/>
  <c r="BV478" i="3"/>
  <c r="BU478" i="3"/>
  <c r="BT478" i="3"/>
  <c r="BS478" i="3"/>
  <c r="BR478" i="3"/>
  <c r="BQ478" i="3"/>
  <c r="BP478" i="3"/>
  <c r="BO478" i="3"/>
  <c r="BN478" i="3"/>
  <c r="BM478" i="3"/>
  <c r="BL478" i="3"/>
  <c r="BK478" i="3"/>
  <c r="BJ478" i="3"/>
  <c r="BH478" i="3"/>
  <c r="AZ478" i="3"/>
  <c r="U478" i="3"/>
  <c r="T478" i="3"/>
  <c r="S478" i="3"/>
  <c r="R478" i="3"/>
  <c r="Q478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BW477" i="3"/>
  <c r="BV477" i="3"/>
  <c r="BU477" i="3"/>
  <c r="BT477" i="3"/>
  <c r="BS477" i="3"/>
  <c r="BR477" i="3"/>
  <c r="BQ477" i="3"/>
  <c r="BP477" i="3"/>
  <c r="BO477" i="3"/>
  <c r="BN477" i="3"/>
  <c r="BM477" i="3"/>
  <c r="BL477" i="3"/>
  <c r="BK477" i="3"/>
  <c r="BJ477" i="3"/>
  <c r="BH477" i="3"/>
  <c r="AZ477" i="3"/>
  <c r="U477" i="3"/>
  <c r="T477" i="3"/>
  <c r="S477" i="3"/>
  <c r="R477" i="3"/>
  <c r="Q477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BW476" i="3"/>
  <c r="BV476" i="3"/>
  <c r="BU476" i="3"/>
  <c r="BT476" i="3"/>
  <c r="BS476" i="3"/>
  <c r="BR476" i="3"/>
  <c r="BQ476" i="3"/>
  <c r="BP476" i="3"/>
  <c r="BO476" i="3"/>
  <c r="BN476" i="3"/>
  <c r="BM476" i="3"/>
  <c r="BL476" i="3"/>
  <c r="BK476" i="3"/>
  <c r="BJ476" i="3"/>
  <c r="BH476" i="3"/>
  <c r="AZ476" i="3"/>
  <c r="U476" i="3"/>
  <c r="T476" i="3"/>
  <c r="S476" i="3"/>
  <c r="R476" i="3"/>
  <c r="Q476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BW475" i="3"/>
  <c r="BV475" i="3"/>
  <c r="BU475" i="3"/>
  <c r="BT475" i="3"/>
  <c r="BS475" i="3"/>
  <c r="BR475" i="3"/>
  <c r="BQ475" i="3"/>
  <c r="BP475" i="3"/>
  <c r="BO475" i="3"/>
  <c r="BN475" i="3"/>
  <c r="BM475" i="3"/>
  <c r="BL475" i="3"/>
  <c r="BK475" i="3"/>
  <c r="BJ475" i="3"/>
  <c r="BH475" i="3"/>
  <c r="AZ475" i="3"/>
  <c r="U475" i="3"/>
  <c r="T475" i="3"/>
  <c r="S475" i="3"/>
  <c r="R475" i="3"/>
  <c r="Q475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BW474" i="3"/>
  <c r="BV474" i="3"/>
  <c r="BU474" i="3"/>
  <c r="BT474" i="3"/>
  <c r="BS474" i="3"/>
  <c r="BR474" i="3"/>
  <c r="BQ474" i="3"/>
  <c r="BP474" i="3"/>
  <c r="BO474" i="3"/>
  <c r="BN474" i="3"/>
  <c r="BM474" i="3"/>
  <c r="BL474" i="3"/>
  <c r="BK474" i="3"/>
  <c r="BJ474" i="3"/>
  <c r="BH474" i="3"/>
  <c r="AZ474" i="3"/>
  <c r="U474" i="3"/>
  <c r="T474" i="3"/>
  <c r="S474" i="3"/>
  <c r="R474" i="3"/>
  <c r="Q474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BW473" i="3"/>
  <c r="BV473" i="3"/>
  <c r="BU473" i="3"/>
  <c r="BT473" i="3"/>
  <c r="BS473" i="3"/>
  <c r="BR473" i="3"/>
  <c r="BQ473" i="3"/>
  <c r="BP473" i="3"/>
  <c r="BO473" i="3"/>
  <c r="BN473" i="3"/>
  <c r="BM473" i="3"/>
  <c r="BL473" i="3"/>
  <c r="BK473" i="3"/>
  <c r="BJ473" i="3"/>
  <c r="BH473" i="3"/>
  <c r="AZ473" i="3"/>
  <c r="U473" i="3"/>
  <c r="T473" i="3"/>
  <c r="S473" i="3"/>
  <c r="R473" i="3"/>
  <c r="Q473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BW472" i="3"/>
  <c r="BV472" i="3"/>
  <c r="BU472" i="3"/>
  <c r="BT472" i="3"/>
  <c r="BS472" i="3"/>
  <c r="BR472" i="3"/>
  <c r="BQ472" i="3"/>
  <c r="BP472" i="3"/>
  <c r="BO472" i="3"/>
  <c r="BN472" i="3"/>
  <c r="BM472" i="3"/>
  <c r="BL472" i="3"/>
  <c r="BK472" i="3"/>
  <c r="BJ472" i="3"/>
  <c r="BH472" i="3"/>
  <c r="AZ472" i="3"/>
  <c r="U472" i="3"/>
  <c r="T472" i="3"/>
  <c r="S472" i="3"/>
  <c r="R472" i="3"/>
  <c r="Q472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BW471" i="3"/>
  <c r="BV471" i="3"/>
  <c r="BU471" i="3"/>
  <c r="BT471" i="3"/>
  <c r="BS471" i="3"/>
  <c r="BR471" i="3"/>
  <c r="BQ471" i="3"/>
  <c r="BP471" i="3"/>
  <c r="BO471" i="3"/>
  <c r="BN471" i="3"/>
  <c r="BM471" i="3"/>
  <c r="BL471" i="3"/>
  <c r="BK471" i="3"/>
  <c r="BJ471" i="3"/>
  <c r="BH471" i="3"/>
  <c r="AZ471" i="3"/>
  <c r="U471" i="3"/>
  <c r="T471" i="3"/>
  <c r="S471" i="3"/>
  <c r="R471" i="3"/>
  <c r="Q471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BW470" i="3"/>
  <c r="BV470" i="3"/>
  <c r="BU470" i="3"/>
  <c r="BT470" i="3"/>
  <c r="BS470" i="3"/>
  <c r="BR470" i="3"/>
  <c r="BQ470" i="3"/>
  <c r="BP470" i="3"/>
  <c r="BO470" i="3"/>
  <c r="BN470" i="3"/>
  <c r="BM470" i="3"/>
  <c r="BL470" i="3"/>
  <c r="BK470" i="3"/>
  <c r="BJ470" i="3"/>
  <c r="BH470" i="3"/>
  <c r="AZ470" i="3"/>
  <c r="U470" i="3"/>
  <c r="T470" i="3"/>
  <c r="S470" i="3"/>
  <c r="R470" i="3"/>
  <c r="Q470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BW469" i="3"/>
  <c r="BV469" i="3"/>
  <c r="BU469" i="3"/>
  <c r="BT469" i="3"/>
  <c r="BS469" i="3"/>
  <c r="BR469" i="3"/>
  <c r="BQ469" i="3"/>
  <c r="BP469" i="3"/>
  <c r="BO469" i="3"/>
  <c r="BN469" i="3"/>
  <c r="BM469" i="3"/>
  <c r="BL469" i="3"/>
  <c r="BK469" i="3"/>
  <c r="BJ469" i="3"/>
  <c r="BH469" i="3"/>
  <c r="AZ469" i="3"/>
  <c r="U469" i="3"/>
  <c r="T469" i="3"/>
  <c r="S469" i="3"/>
  <c r="R469" i="3"/>
  <c r="Q469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BW468" i="3"/>
  <c r="BV468" i="3"/>
  <c r="BU468" i="3"/>
  <c r="BT468" i="3"/>
  <c r="BS468" i="3"/>
  <c r="BR468" i="3"/>
  <c r="BQ468" i="3"/>
  <c r="BP468" i="3"/>
  <c r="BO468" i="3"/>
  <c r="BN468" i="3"/>
  <c r="BM468" i="3"/>
  <c r="BL468" i="3"/>
  <c r="BK468" i="3"/>
  <c r="BJ468" i="3"/>
  <c r="BH468" i="3"/>
  <c r="AZ468" i="3"/>
  <c r="U468" i="3"/>
  <c r="T468" i="3"/>
  <c r="S468" i="3"/>
  <c r="R468" i="3"/>
  <c r="Q468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BW467" i="3"/>
  <c r="BV467" i="3"/>
  <c r="BU467" i="3"/>
  <c r="BT467" i="3"/>
  <c r="BS467" i="3"/>
  <c r="BR467" i="3"/>
  <c r="BQ467" i="3"/>
  <c r="BP467" i="3"/>
  <c r="BO467" i="3"/>
  <c r="BN467" i="3"/>
  <c r="BM467" i="3"/>
  <c r="BL467" i="3"/>
  <c r="BK467" i="3"/>
  <c r="BJ467" i="3"/>
  <c r="BH467" i="3"/>
  <c r="AZ467" i="3"/>
  <c r="U467" i="3"/>
  <c r="T467" i="3"/>
  <c r="S467" i="3"/>
  <c r="R467" i="3"/>
  <c r="Q467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BW466" i="3"/>
  <c r="BV466" i="3"/>
  <c r="BU466" i="3"/>
  <c r="BT466" i="3"/>
  <c r="BS466" i="3"/>
  <c r="BR466" i="3"/>
  <c r="BQ466" i="3"/>
  <c r="BP466" i="3"/>
  <c r="BO466" i="3"/>
  <c r="BN466" i="3"/>
  <c r="BM466" i="3"/>
  <c r="BL466" i="3"/>
  <c r="BK466" i="3"/>
  <c r="BJ466" i="3"/>
  <c r="BH466" i="3"/>
  <c r="AZ466" i="3"/>
  <c r="U466" i="3"/>
  <c r="T466" i="3"/>
  <c r="S466" i="3"/>
  <c r="R466" i="3"/>
  <c r="Q466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BW465" i="3"/>
  <c r="BV465" i="3"/>
  <c r="BU465" i="3"/>
  <c r="BT465" i="3"/>
  <c r="BS465" i="3"/>
  <c r="BR465" i="3"/>
  <c r="BQ465" i="3"/>
  <c r="BP465" i="3"/>
  <c r="BO465" i="3"/>
  <c r="BN465" i="3"/>
  <c r="BM465" i="3"/>
  <c r="BL465" i="3"/>
  <c r="BK465" i="3"/>
  <c r="BJ465" i="3"/>
  <c r="BH465" i="3"/>
  <c r="AZ465" i="3"/>
  <c r="U465" i="3"/>
  <c r="T465" i="3"/>
  <c r="S465" i="3"/>
  <c r="R465" i="3"/>
  <c r="Q465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BW464" i="3"/>
  <c r="BV464" i="3"/>
  <c r="BU464" i="3"/>
  <c r="BT464" i="3"/>
  <c r="BS464" i="3"/>
  <c r="BR464" i="3"/>
  <c r="BQ464" i="3"/>
  <c r="BP464" i="3"/>
  <c r="BO464" i="3"/>
  <c r="BN464" i="3"/>
  <c r="BM464" i="3"/>
  <c r="BL464" i="3"/>
  <c r="BK464" i="3"/>
  <c r="BJ464" i="3"/>
  <c r="BH464" i="3"/>
  <c r="AZ464" i="3"/>
  <c r="U464" i="3"/>
  <c r="T464" i="3"/>
  <c r="S464" i="3"/>
  <c r="R464" i="3"/>
  <c r="Q464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BW463" i="3"/>
  <c r="BV463" i="3"/>
  <c r="BU463" i="3"/>
  <c r="BT463" i="3"/>
  <c r="BS463" i="3"/>
  <c r="BR463" i="3"/>
  <c r="BQ463" i="3"/>
  <c r="BP463" i="3"/>
  <c r="BO463" i="3"/>
  <c r="BN463" i="3"/>
  <c r="BM463" i="3"/>
  <c r="BL463" i="3"/>
  <c r="BK463" i="3"/>
  <c r="BJ463" i="3"/>
  <c r="BH463" i="3"/>
  <c r="AZ463" i="3"/>
  <c r="U463" i="3"/>
  <c r="T463" i="3"/>
  <c r="S463" i="3"/>
  <c r="R463" i="3"/>
  <c r="Q463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BW462" i="3"/>
  <c r="BV462" i="3"/>
  <c r="BU462" i="3"/>
  <c r="BT462" i="3"/>
  <c r="BS462" i="3"/>
  <c r="BR462" i="3"/>
  <c r="BQ462" i="3"/>
  <c r="BP462" i="3"/>
  <c r="BO462" i="3"/>
  <c r="BN462" i="3"/>
  <c r="BM462" i="3"/>
  <c r="BL462" i="3"/>
  <c r="BK462" i="3"/>
  <c r="BJ462" i="3"/>
  <c r="BH462" i="3"/>
  <c r="AZ462" i="3"/>
  <c r="U462" i="3"/>
  <c r="T462" i="3"/>
  <c r="S462" i="3"/>
  <c r="R462" i="3"/>
  <c r="Q462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BW461" i="3"/>
  <c r="BV461" i="3"/>
  <c r="BU461" i="3"/>
  <c r="BT461" i="3"/>
  <c r="BS461" i="3"/>
  <c r="BR461" i="3"/>
  <c r="BQ461" i="3"/>
  <c r="BP461" i="3"/>
  <c r="BO461" i="3"/>
  <c r="BN461" i="3"/>
  <c r="BM461" i="3"/>
  <c r="BL461" i="3"/>
  <c r="BK461" i="3"/>
  <c r="BJ461" i="3"/>
  <c r="BH461" i="3"/>
  <c r="AZ461" i="3"/>
  <c r="U461" i="3"/>
  <c r="T461" i="3"/>
  <c r="S461" i="3"/>
  <c r="R461" i="3"/>
  <c r="Q461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BW460" i="3"/>
  <c r="BV460" i="3"/>
  <c r="BU460" i="3"/>
  <c r="BT460" i="3"/>
  <c r="BS460" i="3"/>
  <c r="BR460" i="3"/>
  <c r="BQ460" i="3"/>
  <c r="BP460" i="3"/>
  <c r="BO460" i="3"/>
  <c r="BN460" i="3"/>
  <c r="BM460" i="3"/>
  <c r="BL460" i="3"/>
  <c r="BK460" i="3"/>
  <c r="BJ460" i="3"/>
  <c r="BH460" i="3"/>
  <c r="AZ460" i="3"/>
  <c r="U460" i="3"/>
  <c r="T460" i="3"/>
  <c r="S460" i="3"/>
  <c r="R460" i="3"/>
  <c r="Q460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BW459" i="3"/>
  <c r="BV459" i="3"/>
  <c r="BU459" i="3"/>
  <c r="BT459" i="3"/>
  <c r="BS459" i="3"/>
  <c r="BR459" i="3"/>
  <c r="BQ459" i="3"/>
  <c r="BP459" i="3"/>
  <c r="BO459" i="3"/>
  <c r="BN459" i="3"/>
  <c r="BM459" i="3"/>
  <c r="BL459" i="3"/>
  <c r="BK459" i="3"/>
  <c r="BJ459" i="3"/>
  <c r="BH459" i="3"/>
  <c r="AZ459" i="3"/>
  <c r="U459" i="3"/>
  <c r="T459" i="3"/>
  <c r="S459" i="3"/>
  <c r="R459" i="3"/>
  <c r="Q459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BW458" i="3"/>
  <c r="BV458" i="3"/>
  <c r="BU458" i="3"/>
  <c r="BT458" i="3"/>
  <c r="BS458" i="3"/>
  <c r="BR458" i="3"/>
  <c r="BQ458" i="3"/>
  <c r="BP458" i="3"/>
  <c r="BO458" i="3"/>
  <c r="BN458" i="3"/>
  <c r="BM458" i="3"/>
  <c r="BL458" i="3"/>
  <c r="BK458" i="3"/>
  <c r="BJ458" i="3"/>
  <c r="BH458" i="3"/>
  <c r="AZ458" i="3"/>
  <c r="U458" i="3"/>
  <c r="T458" i="3"/>
  <c r="S458" i="3"/>
  <c r="R458" i="3"/>
  <c r="Q458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BW457" i="3"/>
  <c r="BV457" i="3"/>
  <c r="BU457" i="3"/>
  <c r="BT457" i="3"/>
  <c r="BS457" i="3"/>
  <c r="BR457" i="3"/>
  <c r="BQ457" i="3"/>
  <c r="BP457" i="3"/>
  <c r="BO457" i="3"/>
  <c r="BN457" i="3"/>
  <c r="BM457" i="3"/>
  <c r="BL457" i="3"/>
  <c r="BK457" i="3"/>
  <c r="BJ457" i="3"/>
  <c r="BH457" i="3"/>
  <c r="AZ457" i="3"/>
  <c r="U457" i="3"/>
  <c r="T457" i="3"/>
  <c r="S457" i="3"/>
  <c r="R457" i="3"/>
  <c r="Q457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BW456" i="3"/>
  <c r="BV456" i="3"/>
  <c r="BU456" i="3"/>
  <c r="BT456" i="3"/>
  <c r="BS456" i="3"/>
  <c r="BR456" i="3"/>
  <c r="BQ456" i="3"/>
  <c r="BP456" i="3"/>
  <c r="BO456" i="3"/>
  <c r="BN456" i="3"/>
  <c r="BM456" i="3"/>
  <c r="BL456" i="3"/>
  <c r="BK456" i="3"/>
  <c r="BJ456" i="3"/>
  <c r="BH456" i="3"/>
  <c r="AZ456" i="3"/>
  <c r="U456" i="3"/>
  <c r="T456" i="3"/>
  <c r="S456" i="3"/>
  <c r="R456" i="3"/>
  <c r="Q456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BW455" i="3"/>
  <c r="BV455" i="3"/>
  <c r="BU455" i="3"/>
  <c r="BT455" i="3"/>
  <c r="BS455" i="3"/>
  <c r="BR455" i="3"/>
  <c r="BQ455" i="3"/>
  <c r="BP455" i="3"/>
  <c r="BO455" i="3"/>
  <c r="BN455" i="3"/>
  <c r="BM455" i="3"/>
  <c r="BL455" i="3"/>
  <c r="BK455" i="3"/>
  <c r="BJ455" i="3"/>
  <c r="BH455" i="3"/>
  <c r="AZ455" i="3"/>
  <c r="U455" i="3"/>
  <c r="T455" i="3"/>
  <c r="S455" i="3"/>
  <c r="R455" i="3"/>
  <c r="Q455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BW454" i="3"/>
  <c r="BV454" i="3"/>
  <c r="BU454" i="3"/>
  <c r="BT454" i="3"/>
  <c r="BS454" i="3"/>
  <c r="BR454" i="3"/>
  <c r="BQ454" i="3"/>
  <c r="BP454" i="3"/>
  <c r="BO454" i="3"/>
  <c r="BN454" i="3"/>
  <c r="BM454" i="3"/>
  <c r="BL454" i="3"/>
  <c r="BK454" i="3"/>
  <c r="BJ454" i="3"/>
  <c r="BH454" i="3"/>
  <c r="AZ454" i="3"/>
  <c r="U454" i="3"/>
  <c r="T454" i="3"/>
  <c r="S454" i="3"/>
  <c r="R454" i="3"/>
  <c r="Q454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BW453" i="3"/>
  <c r="BV453" i="3"/>
  <c r="BU453" i="3"/>
  <c r="BT453" i="3"/>
  <c r="BS453" i="3"/>
  <c r="BR453" i="3"/>
  <c r="BQ453" i="3"/>
  <c r="BP453" i="3"/>
  <c r="BO453" i="3"/>
  <c r="BN453" i="3"/>
  <c r="BM453" i="3"/>
  <c r="BL453" i="3"/>
  <c r="BK453" i="3"/>
  <c r="BJ453" i="3"/>
  <c r="BH453" i="3"/>
  <c r="AZ453" i="3"/>
  <c r="U453" i="3"/>
  <c r="T453" i="3"/>
  <c r="S453" i="3"/>
  <c r="R453" i="3"/>
  <c r="Q453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BW452" i="3"/>
  <c r="BV452" i="3"/>
  <c r="BU452" i="3"/>
  <c r="BT452" i="3"/>
  <c r="BS452" i="3"/>
  <c r="BR452" i="3"/>
  <c r="BQ452" i="3"/>
  <c r="BP452" i="3"/>
  <c r="BO452" i="3"/>
  <c r="BN452" i="3"/>
  <c r="BM452" i="3"/>
  <c r="BL452" i="3"/>
  <c r="BK452" i="3"/>
  <c r="BJ452" i="3"/>
  <c r="BH452" i="3"/>
  <c r="AZ452" i="3"/>
  <c r="U452" i="3"/>
  <c r="T452" i="3"/>
  <c r="S452" i="3"/>
  <c r="R452" i="3"/>
  <c r="Q452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BW451" i="3"/>
  <c r="BV451" i="3"/>
  <c r="BU451" i="3"/>
  <c r="BT451" i="3"/>
  <c r="BS451" i="3"/>
  <c r="BR451" i="3"/>
  <c r="BQ451" i="3"/>
  <c r="BP451" i="3"/>
  <c r="BO451" i="3"/>
  <c r="BN451" i="3"/>
  <c r="BM451" i="3"/>
  <c r="BL451" i="3"/>
  <c r="BK451" i="3"/>
  <c r="BJ451" i="3"/>
  <c r="BH451" i="3"/>
  <c r="AZ451" i="3"/>
  <c r="U451" i="3"/>
  <c r="T451" i="3"/>
  <c r="S451" i="3"/>
  <c r="R451" i="3"/>
  <c r="Q451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BW450" i="3"/>
  <c r="BV450" i="3"/>
  <c r="BU450" i="3"/>
  <c r="BT450" i="3"/>
  <c r="BS450" i="3"/>
  <c r="BR450" i="3"/>
  <c r="BQ450" i="3"/>
  <c r="BP450" i="3"/>
  <c r="BO450" i="3"/>
  <c r="BN450" i="3"/>
  <c r="BM450" i="3"/>
  <c r="BL450" i="3"/>
  <c r="BK450" i="3"/>
  <c r="BJ450" i="3"/>
  <c r="BH450" i="3"/>
  <c r="AZ450" i="3"/>
  <c r="U450" i="3"/>
  <c r="T450" i="3"/>
  <c r="S450" i="3"/>
  <c r="R450" i="3"/>
  <c r="Q450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BW449" i="3"/>
  <c r="BV449" i="3"/>
  <c r="BU449" i="3"/>
  <c r="BT449" i="3"/>
  <c r="BS449" i="3"/>
  <c r="BR449" i="3"/>
  <c r="BQ449" i="3"/>
  <c r="BP449" i="3"/>
  <c r="BO449" i="3"/>
  <c r="BN449" i="3"/>
  <c r="BM449" i="3"/>
  <c r="BL449" i="3"/>
  <c r="BK449" i="3"/>
  <c r="BJ449" i="3"/>
  <c r="BH449" i="3"/>
  <c r="AZ449" i="3"/>
  <c r="U449" i="3"/>
  <c r="T449" i="3"/>
  <c r="S449" i="3"/>
  <c r="R449" i="3"/>
  <c r="Q449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BW448" i="3"/>
  <c r="BV448" i="3"/>
  <c r="BU448" i="3"/>
  <c r="BT448" i="3"/>
  <c r="BS448" i="3"/>
  <c r="BR448" i="3"/>
  <c r="BQ448" i="3"/>
  <c r="BP448" i="3"/>
  <c r="BO448" i="3"/>
  <c r="BN448" i="3"/>
  <c r="BM448" i="3"/>
  <c r="BL448" i="3"/>
  <c r="BK448" i="3"/>
  <c r="BJ448" i="3"/>
  <c r="BH448" i="3"/>
  <c r="AZ448" i="3"/>
  <c r="U448" i="3"/>
  <c r="T448" i="3"/>
  <c r="S448" i="3"/>
  <c r="R448" i="3"/>
  <c r="Q448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BW447" i="3"/>
  <c r="BV447" i="3"/>
  <c r="BU447" i="3"/>
  <c r="BT447" i="3"/>
  <c r="BS447" i="3"/>
  <c r="BR447" i="3"/>
  <c r="BQ447" i="3"/>
  <c r="BP447" i="3"/>
  <c r="BO447" i="3"/>
  <c r="BN447" i="3"/>
  <c r="BM447" i="3"/>
  <c r="BL447" i="3"/>
  <c r="BK447" i="3"/>
  <c r="BJ447" i="3"/>
  <c r="BH447" i="3"/>
  <c r="AZ447" i="3"/>
  <c r="U447" i="3"/>
  <c r="T447" i="3"/>
  <c r="S447" i="3"/>
  <c r="R447" i="3"/>
  <c r="Q447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BW446" i="3"/>
  <c r="BV446" i="3"/>
  <c r="BU446" i="3"/>
  <c r="BT446" i="3"/>
  <c r="BS446" i="3"/>
  <c r="BR446" i="3"/>
  <c r="BQ446" i="3"/>
  <c r="BP446" i="3"/>
  <c r="BO446" i="3"/>
  <c r="BN446" i="3"/>
  <c r="BM446" i="3"/>
  <c r="BL446" i="3"/>
  <c r="BK446" i="3"/>
  <c r="BJ446" i="3"/>
  <c r="BH446" i="3"/>
  <c r="AZ446" i="3"/>
  <c r="U446" i="3"/>
  <c r="T446" i="3"/>
  <c r="S446" i="3"/>
  <c r="R446" i="3"/>
  <c r="Q446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BW445" i="3"/>
  <c r="BV445" i="3"/>
  <c r="BU445" i="3"/>
  <c r="BT445" i="3"/>
  <c r="BS445" i="3"/>
  <c r="BR445" i="3"/>
  <c r="BQ445" i="3"/>
  <c r="BP445" i="3"/>
  <c r="BO445" i="3"/>
  <c r="BN445" i="3"/>
  <c r="BM445" i="3"/>
  <c r="BL445" i="3"/>
  <c r="BK445" i="3"/>
  <c r="BJ445" i="3"/>
  <c r="BH445" i="3"/>
  <c r="AZ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BW444" i="3"/>
  <c r="BV444" i="3"/>
  <c r="BU444" i="3"/>
  <c r="BT444" i="3"/>
  <c r="BS444" i="3"/>
  <c r="BR444" i="3"/>
  <c r="BQ444" i="3"/>
  <c r="BP444" i="3"/>
  <c r="BO444" i="3"/>
  <c r="BN444" i="3"/>
  <c r="BM444" i="3"/>
  <c r="BL444" i="3"/>
  <c r="BK444" i="3"/>
  <c r="BJ444" i="3"/>
  <c r="BH444" i="3"/>
  <c r="AZ444" i="3"/>
  <c r="U444" i="3"/>
  <c r="T444" i="3"/>
  <c r="S444" i="3"/>
  <c r="R444" i="3"/>
  <c r="Q444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BW443" i="3"/>
  <c r="BV443" i="3"/>
  <c r="BU443" i="3"/>
  <c r="BT443" i="3"/>
  <c r="BS443" i="3"/>
  <c r="BR443" i="3"/>
  <c r="BQ443" i="3"/>
  <c r="BP443" i="3"/>
  <c r="BO443" i="3"/>
  <c r="BN443" i="3"/>
  <c r="BM443" i="3"/>
  <c r="BL443" i="3"/>
  <c r="BK443" i="3"/>
  <c r="BJ443" i="3"/>
  <c r="BH443" i="3"/>
  <c r="AZ443" i="3"/>
  <c r="U443" i="3"/>
  <c r="T443" i="3"/>
  <c r="S443" i="3"/>
  <c r="R443" i="3"/>
  <c r="Q443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BW442" i="3"/>
  <c r="BV442" i="3"/>
  <c r="BU442" i="3"/>
  <c r="BT442" i="3"/>
  <c r="BS442" i="3"/>
  <c r="BR442" i="3"/>
  <c r="BQ442" i="3"/>
  <c r="BP442" i="3"/>
  <c r="BO442" i="3"/>
  <c r="BN442" i="3"/>
  <c r="BM442" i="3"/>
  <c r="BL442" i="3"/>
  <c r="BK442" i="3"/>
  <c r="BJ442" i="3"/>
  <c r="BH442" i="3"/>
  <c r="AZ442" i="3"/>
  <c r="U442" i="3"/>
  <c r="T442" i="3"/>
  <c r="S442" i="3"/>
  <c r="R442" i="3"/>
  <c r="Q442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BW441" i="3"/>
  <c r="BV441" i="3"/>
  <c r="BU441" i="3"/>
  <c r="BT441" i="3"/>
  <c r="BS441" i="3"/>
  <c r="BR441" i="3"/>
  <c r="BQ441" i="3"/>
  <c r="BP441" i="3"/>
  <c r="BO441" i="3"/>
  <c r="BN441" i="3"/>
  <c r="BM441" i="3"/>
  <c r="BL441" i="3"/>
  <c r="BK441" i="3"/>
  <c r="BJ441" i="3"/>
  <c r="BH441" i="3"/>
  <c r="AZ441" i="3"/>
  <c r="U441" i="3"/>
  <c r="T441" i="3"/>
  <c r="S441" i="3"/>
  <c r="R441" i="3"/>
  <c r="Q441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BW440" i="3"/>
  <c r="BV440" i="3"/>
  <c r="BU440" i="3"/>
  <c r="BT440" i="3"/>
  <c r="BS440" i="3"/>
  <c r="BR440" i="3"/>
  <c r="BQ440" i="3"/>
  <c r="BP440" i="3"/>
  <c r="BO440" i="3"/>
  <c r="BN440" i="3"/>
  <c r="BM440" i="3"/>
  <c r="BL440" i="3"/>
  <c r="BK440" i="3"/>
  <c r="BJ440" i="3"/>
  <c r="BH440" i="3"/>
  <c r="AZ440" i="3"/>
  <c r="U440" i="3"/>
  <c r="T440" i="3"/>
  <c r="S440" i="3"/>
  <c r="R440" i="3"/>
  <c r="Q440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BW439" i="3"/>
  <c r="BV439" i="3"/>
  <c r="BU439" i="3"/>
  <c r="BT439" i="3"/>
  <c r="BS439" i="3"/>
  <c r="BR439" i="3"/>
  <c r="BQ439" i="3"/>
  <c r="BP439" i="3"/>
  <c r="BO439" i="3"/>
  <c r="BN439" i="3"/>
  <c r="BM439" i="3"/>
  <c r="BL439" i="3"/>
  <c r="BK439" i="3"/>
  <c r="BJ439" i="3"/>
  <c r="BH439" i="3"/>
  <c r="AZ439" i="3"/>
  <c r="U439" i="3"/>
  <c r="T439" i="3"/>
  <c r="S439" i="3"/>
  <c r="R439" i="3"/>
  <c r="Q439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BW438" i="3"/>
  <c r="BV438" i="3"/>
  <c r="BU438" i="3"/>
  <c r="BT438" i="3"/>
  <c r="BS438" i="3"/>
  <c r="BR438" i="3"/>
  <c r="BQ438" i="3"/>
  <c r="BP438" i="3"/>
  <c r="BO438" i="3"/>
  <c r="BN438" i="3"/>
  <c r="BM438" i="3"/>
  <c r="BL438" i="3"/>
  <c r="BK438" i="3"/>
  <c r="BJ438" i="3"/>
  <c r="BH438" i="3"/>
  <c r="AZ438" i="3"/>
  <c r="U438" i="3"/>
  <c r="T438" i="3"/>
  <c r="S438" i="3"/>
  <c r="R438" i="3"/>
  <c r="Q438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BW437" i="3"/>
  <c r="BV437" i="3"/>
  <c r="BU437" i="3"/>
  <c r="BT437" i="3"/>
  <c r="BS437" i="3"/>
  <c r="BR437" i="3"/>
  <c r="BQ437" i="3"/>
  <c r="BP437" i="3"/>
  <c r="BO437" i="3"/>
  <c r="BN437" i="3"/>
  <c r="BM437" i="3"/>
  <c r="BL437" i="3"/>
  <c r="BK437" i="3"/>
  <c r="BJ437" i="3"/>
  <c r="BH437" i="3"/>
  <c r="AZ437" i="3"/>
  <c r="U437" i="3"/>
  <c r="T437" i="3"/>
  <c r="S437" i="3"/>
  <c r="R437" i="3"/>
  <c r="Q437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BW436" i="3"/>
  <c r="BV436" i="3"/>
  <c r="BU436" i="3"/>
  <c r="BT436" i="3"/>
  <c r="BS436" i="3"/>
  <c r="BR436" i="3"/>
  <c r="BQ436" i="3"/>
  <c r="BP436" i="3"/>
  <c r="BO436" i="3"/>
  <c r="BN436" i="3"/>
  <c r="BM436" i="3"/>
  <c r="BL436" i="3"/>
  <c r="BK436" i="3"/>
  <c r="BJ436" i="3"/>
  <c r="BH436" i="3"/>
  <c r="AZ436" i="3"/>
  <c r="U436" i="3"/>
  <c r="T436" i="3"/>
  <c r="S436" i="3"/>
  <c r="R436" i="3"/>
  <c r="Q436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BW435" i="3"/>
  <c r="BV435" i="3"/>
  <c r="BU435" i="3"/>
  <c r="BT435" i="3"/>
  <c r="BS435" i="3"/>
  <c r="BR435" i="3"/>
  <c r="BQ435" i="3"/>
  <c r="BP435" i="3"/>
  <c r="BO435" i="3"/>
  <c r="BN435" i="3"/>
  <c r="BM435" i="3"/>
  <c r="BL435" i="3"/>
  <c r="BK435" i="3"/>
  <c r="BJ435" i="3"/>
  <c r="BH435" i="3"/>
  <c r="AZ435" i="3"/>
  <c r="U435" i="3"/>
  <c r="T435" i="3"/>
  <c r="S435" i="3"/>
  <c r="R435" i="3"/>
  <c r="Q435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BW434" i="3"/>
  <c r="BV434" i="3"/>
  <c r="BU434" i="3"/>
  <c r="BT434" i="3"/>
  <c r="BS434" i="3"/>
  <c r="BR434" i="3"/>
  <c r="BQ434" i="3"/>
  <c r="BP434" i="3"/>
  <c r="BO434" i="3"/>
  <c r="BN434" i="3"/>
  <c r="BM434" i="3"/>
  <c r="BL434" i="3"/>
  <c r="BK434" i="3"/>
  <c r="BJ434" i="3"/>
  <c r="BH434" i="3"/>
  <c r="AZ434" i="3"/>
  <c r="U434" i="3"/>
  <c r="T434" i="3"/>
  <c r="S434" i="3"/>
  <c r="R434" i="3"/>
  <c r="Q434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BW433" i="3"/>
  <c r="BV433" i="3"/>
  <c r="BU433" i="3"/>
  <c r="BT433" i="3"/>
  <c r="BS433" i="3"/>
  <c r="BR433" i="3"/>
  <c r="BQ433" i="3"/>
  <c r="BP433" i="3"/>
  <c r="BO433" i="3"/>
  <c r="BN433" i="3"/>
  <c r="BM433" i="3"/>
  <c r="BL433" i="3"/>
  <c r="BK433" i="3"/>
  <c r="BJ433" i="3"/>
  <c r="BH433" i="3"/>
  <c r="AZ433" i="3"/>
  <c r="U433" i="3"/>
  <c r="T433" i="3"/>
  <c r="S433" i="3"/>
  <c r="R433" i="3"/>
  <c r="Q433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BW432" i="3"/>
  <c r="BV432" i="3"/>
  <c r="BU432" i="3"/>
  <c r="BT432" i="3"/>
  <c r="BS432" i="3"/>
  <c r="BR432" i="3"/>
  <c r="BQ432" i="3"/>
  <c r="BP432" i="3"/>
  <c r="BO432" i="3"/>
  <c r="BN432" i="3"/>
  <c r="BM432" i="3"/>
  <c r="BL432" i="3"/>
  <c r="BK432" i="3"/>
  <c r="BJ432" i="3"/>
  <c r="BH432" i="3"/>
  <c r="AZ432" i="3"/>
  <c r="U432" i="3"/>
  <c r="T432" i="3"/>
  <c r="S432" i="3"/>
  <c r="R432" i="3"/>
  <c r="Q432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BW431" i="3"/>
  <c r="BV431" i="3"/>
  <c r="BU431" i="3"/>
  <c r="BT431" i="3"/>
  <c r="BS431" i="3"/>
  <c r="BR431" i="3"/>
  <c r="BQ431" i="3"/>
  <c r="BP431" i="3"/>
  <c r="BO431" i="3"/>
  <c r="BN431" i="3"/>
  <c r="BM431" i="3"/>
  <c r="BL431" i="3"/>
  <c r="BK431" i="3"/>
  <c r="BJ431" i="3"/>
  <c r="BH431" i="3"/>
  <c r="AZ431" i="3"/>
  <c r="U431" i="3"/>
  <c r="T431" i="3"/>
  <c r="S431" i="3"/>
  <c r="R431" i="3"/>
  <c r="Q431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BW430" i="3"/>
  <c r="BV430" i="3"/>
  <c r="BU430" i="3"/>
  <c r="BT430" i="3"/>
  <c r="BS430" i="3"/>
  <c r="BR430" i="3"/>
  <c r="BQ430" i="3"/>
  <c r="BP430" i="3"/>
  <c r="BO430" i="3"/>
  <c r="BN430" i="3"/>
  <c r="BM430" i="3"/>
  <c r="BL430" i="3"/>
  <c r="BK430" i="3"/>
  <c r="BJ430" i="3"/>
  <c r="BH430" i="3"/>
  <c r="AZ430" i="3"/>
  <c r="U430" i="3"/>
  <c r="T430" i="3"/>
  <c r="S430" i="3"/>
  <c r="R430" i="3"/>
  <c r="Q430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BW429" i="3"/>
  <c r="BV429" i="3"/>
  <c r="BU429" i="3"/>
  <c r="BT429" i="3"/>
  <c r="BS429" i="3"/>
  <c r="BR429" i="3"/>
  <c r="BQ429" i="3"/>
  <c r="BP429" i="3"/>
  <c r="BO429" i="3"/>
  <c r="BN429" i="3"/>
  <c r="BM429" i="3"/>
  <c r="BL429" i="3"/>
  <c r="BK429" i="3"/>
  <c r="BJ429" i="3"/>
  <c r="BH429" i="3"/>
  <c r="AZ429" i="3"/>
  <c r="U429" i="3"/>
  <c r="T429" i="3"/>
  <c r="S429" i="3"/>
  <c r="R429" i="3"/>
  <c r="Q429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BW428" i="3"/>
  <c r="BV428" i="3"/>
  <c r="BU428" i="3"/>
  <c r="BT428" i="3"/>
  <c r="BS428" i="3"/>
  <c r="BR428" i="3"/>
  <c r="BQ428" i="3"/>
  <c r="BP428" i="3"/>
  <c r="BO428" i="3"/>
  <c r="BN428" i="3"/>
  <c r="BM428" i="3"/>
  <c r="BL428" i="3"/>
  <c r="BK428" i="3"/>
  <c r="BJ428" i="3"/>
  <c r="BH428" i="3"/>
  <c r="AZ428" i="3"/>
  <c r="U428" i="3"/>
  <c r="T428" i="3"/>
  <c r="S428" i="3"/>
  <c r="R428" i="3"/>
  <c r="Q428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BW427" i="3"/>
  <c r="BV427" i="3"/>
  <c r="BU427" i="3"/>
  <c r="BT427" i="3"/>
  <c r="BS427" i="3"/>
  <c r="BR427" i="3"/>
  <c r="BQ427" i="3"/>
  <c r="BP427" i="3"/>
  <c r="BO427" i="3"/>
  <c r="BN427" i="3"/>
  <c r="BM427" i="3"/>
  <c r="BL427" i="3"/>
  <c r="BK427" i="3"/>
  <c r="BJ427" i="3"/>
  <c r="BH427" i="3"/>
  <c r="AZ427" i="3"/>
  <c r="U427" i="3"/>
  <c r="T427" i="3"/>
  <c r="S427" i="3"/>
  <c r="R427" i="3"/>
  <c r="Q427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BW426" i="3"/>
  <c r="BV426" i="3"/>
  <c r="BU426" i="3"/>
  <c r="BT426" i="3"/>
  <c r="BS426" i="3"/>
  <c r="BR426" i="3"/>
  <c r="BQ426" i="3"/>
  <c r="BP426" i="3"/>
  <c r="BO426" i="3"/>
  <c r="BN426" i="3"/>
  <c r="BM426" i="3"/>
  <c r="BL426" i="3"/>
  <c r="BK426" i="3"/>
  <c r="BJ426" i="3"/>
  <c r="BH426" i="3"/>
  <c r="AZ426" i="3"/>
  <c r="U426" i="3"/>
  <c r="T426" i="3"/>
  <c r="S426" i="3"/>
  <c r="R426" i="3"/>
  <c r="Q426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BW425" i="3"/>
  <c r="BV425" i="3"/>
  <c r="BU425" i="3"/>
  <c r="BT425" i="3"/>
  <c r="BS425" i="3"/>
  <c r="BR425" i="3"/>
  <c r="BQ425" i="3"/>
  <c r="BP425" i="3"/>
  <c r="BO425" i="3"/>
  <c r="BN425" i="3"/>
  <c r="BM425" i="3"/>
  <c r="BL425" i="3"/>
  <c r="BK425" i="3"/>
  <c r="BJ425" i="3"/>
  <c r="BH425" i="3"/>
  <c r="AZ425" i="3"/>
  <c r="U425" i="3"/>
  <c r="T425" i="3"/>
  <c r="S425" i="3"/>
  <c r="R425" i="3"/>
  <c r="Q425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BW424" i="3"/>
  <c r="BV424" i="3"/>
  <c r="BU424" i="3"/>
  <c r="BT424" i="3"/>
  <c r="BS424" i="3"/>
  <c r="BR424" i="3"/>
  <c r="BQ424" i="3"/>
  <c r="BP424" i="3"/>
  <c r="BO424" i="3"/>
  <c r="BN424" i="3"/>
  <c r="BM424" i="3"/>
  <c r="BL424" i="3"/>
  <c r="BK424" i="3"/>
  <c r="BJ424" i="3"/>
  <c r="BH424" i="3"/>
  <c r="AZ424" i="3"/>
  <c r="U424" i="3"/>
  <c r="T424" i="3"/>
  <c r="S424" i="3"/>
  <c r="R424" i="3"/>
  <c r="Q424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BW423" i="3"/>
  <c r="BV423" i="3"/>
  <c r="BU423" i="3"/>
  <c r="BT423" i="3"/>
  <c r="BS423" i="3"/>
  <c r="BR423" i="3"/>
  <c r="BQ423" i="3"/>
  <c r="BP423" i="3"/>
  <c r="BO423" i="3"/>
  <c r="BN423" i="3"/>
  <c r="BM423" i="3"/>
  <c r="BL423" i="3"/>
  <c r="BK423" i="3"/>
  <c r="BJ423" i="3"/>
  <c r="BH423" i="3"/>
  <c r="AZ423" i="3"/>
  <c r="U423" i="3"/>
  <c r="T423" i="3"/>
  <c r="S423" i="3"/>
  <c r="R423" i="3"/>
  <c r="Q423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BW422" i="3"/>
  <c r="BV422" i="3"/>
  <c r="BU422" i="3"/>
  <c r="BT422" i="3"/>
  <c r="BS422" i="3"/>
  <c r="BR422" i="3"/>
  <c r="BQ422" i="3"/>
  <c r="BP422" i="3"/>
  <c r="BO422" i="3"/>
  <c r="BN422" i="3"/>
  <c r="BM422" i="3"/>
  <c r="BL422" i="3"/>
  <c r="BK422" i="3"/>
  <c r="BJ422" i="3"/>
  <c r="BH422" i="3"/>
  <c r="AZ422" i="3"/>
  <c r="U422" i="3"/>
  <c r="T422" i="3"/>
  <c r="S422" i="3"/>
  <c r="R422" i="3"/>
  <c r="Q422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BW421" i="3"/>
  <c r="BV421" i="3"/>
  <c r="BU421" i="3"/>
  <c r="BT421" i="3"/>
  <c r="BS421" i="3"/>
  <c r="BR421" i="3"/>
  <c r="BQ421" i="3"/>
  <c r="BP421" i="3"/>
  <c r="BO421" i="3"/>
  <c r="BN421" i="3"/>
  <c r="BM421" i="3"/>
  <c r="BL421" i="3"/>
  <c r="BK421" i="3"/>
  <c r="BJ421" i="3"/>
  <c r="BH421" i="3"/>
  <c r="AZ421" i="3"/>
  <c r="U421" i="3"/>
  <c r="T421" i="3"/>
  <c r="S421" i="3"/>
  <c r="R421" i="3"/>
  <c r="Q421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BW420" i="3"/>
  <c r="BV420" i="3"/>
  <c r="BU420" i="3"/>
  <c r="BT420" i="3"/>
  <c r="BS420" i="3"/>
  <c r="BR420" i="3"/>
  <c r="BQ420" i="3"/>
  <c r="BP420" i="3"/>
  <c r="BO420" i="3"/>
  <c r="BN420" i="3"/>
  <c r="BM420" i="3"/>
  <c r="BL420" i="3"/>
  <c r="BK420" i="3"/>
  <c r="BJ420" i="3"/>
  <c r="BH420" i="3"/>
  <c r="AZ420" i="3"/>
  <c r="U420" i="3"/>
  <c r="T420" i="3"/>
  <c r="S420" i="3"/>
  <c r="R420" i="3"/>
  <c r="Q420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BW419" i="3"/>
  <c r="BV419" i="3"/>
  <c r="BU419" i="3"/>
  <c r="BT419" i="3"/>
  <c r="BS419" i="3"/>
  <c r="BR419" i="3"/>
  <c r="BQ419" i="3"/>
  <c r="BP419" i="3"/>
  <c r="BO419" i="3"/>
  <c r="BN419" i="3"/>
  <c r="BM419" i="3"/>
  <c r="BL419" i="3"/>
  <c r="BK419" i="3"/>
  <c r="BJ419" i="3"/>
  <c r="BH419" i="3"/>
  <c r="AZ419" i="3"/>
  <c r="U419" i="3"/>
  <c r="T419" i="3"/>
  <c r="S419" i="3"/>
  <c r="R419" i="3"/>
  <c r="Q419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BW418" i="3"/>
  <c r="BV418" i="3"/>
  <c r="BU418" i="3"/>
  <c r="BT418" i="3"/>
  <c r="BS418" i="3"/>
  <c r="BR418" i="3"/>
  <c r="BQ418" i="3"/>
  <c r="BP418" i="3"/>
  <c r="BO418" i="3"/>
  <c r="BN418" i="3"/>
  <c r="BM418" i="3"/>
  <c r="BL418" i="3"/>
  <c r="BK418" i="3"/>
  <c r="BJ418" i="3"/>
  <c r="BH418" i="3"/>
  <c r="AZ418" i="3"/>
  <c r="U418" i="3"/>
  <c r="T418" i="3"/>
  <c r="S418" i="3"/>
  <c r="R418" i="3"/>
  <c r="Q418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BW417" i="3"/>
  <c r="BV417" i="3"/>
  <c r="BU417" i="3"/>
  <c r="BT417" i="3"/>
  <c r="BS417" i="3"/>
  <c r="BR417" i="3"/>
  <c r="BQ417" i="3"/>
  <c r="BP417" i="3"/>
  <c r="BO417" i="3"/>
  <c r="BN417" i="3"/>
  <c r="BM417" i="3"/>
  <c r="BL417" i="3"/>
  <c r="BK417" i="3"/>
  <c r="BJ417" i="3"/>
  <c r="BH417" i="3"/>
  <c r="AZ417" i="3"/>
  <c r="U417" i="3"/>
  <c r="T417" i="3"/>
  <c r="S417" i="3"/>
  <c r="R417" i="3"/>
  <c r="Q417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BW416" i="3"/>
  <c r="BV416" i="3"/>
  <c r="BU416" i="3"/>
  <c r="BT416" i="3"/>
  <c r="BS416" i="3"/>
  <c r="BR416" i="3"/>
  <c r="BQ416" i="3"/>
  <c r="BP416" i="3"/>
  <c r="BO416" i="3"/>
  <c r="BN416" i="3"/>
  <c r="BM416" i="3"/>
  <c r="BL416" i="3"/>
  <c r="BK416" i="3"/>
  <c r="BJ416" i="3"/>
  <c r="BH416" i="3"/>
  <c r="AZ416" i="3"/>
  <c r="U416" i="3"/>
  <c r="T416" i="3"/>
  <c r="S416" i="3"/>
  <c r="R416" i="3"/>
  <c r="Q416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BW415" i="3"/>
  <c r="BV415" i="3"/>
  <c r="BU415" i="3"/>
  <c r="BT415" i="3"/>
  <c r="BS415" i="3"/>
  <c r="BR415" i="3"/>
  <c r="BQ415" i="3"/>
  <c r="BP415" i="3"/>
  <c r="BO415" i="3"/>
  <c r="BN415" i="3"/>
  <c r="BM415" i="3"/>
  <c r="BL415" i="3"/>
  <c r="BK415" i="3"/>
  <c r="BJ415" i="3"/>
  <c r="BH415" i="3"/>
  <c r="AZ415" i="3"/>
  <c r="U415" i="3"/>
  <c r="T415" i="3"/>
  <c r="S415" i="3"/>
  <c r="R415" i="3"/>
  <c r="Q415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BW414" i="3"/>
  <c r="BV414" i="3"/>
  <c r="BU414" i="3"/>
  <c r="BT414" i="3"/>
  <c r="BS414" i="3"/>
  <c r="BR414" i="3"/>
  <c r="BQ414" i="3"/>
  <c r="BP414" i="3"/>
  <c r="BO414" i="3"/>
  <c r="BN414" i="3"/>
  <c r="BM414" i="3"/>
  <c r="BL414" i="3"/>
  <c r="BK414" i="3"/>
  <c r="BJ414" i="3"/>
  <c r="BH414" i="3"/>
  <c r="AZ414" i="3"/>
  <c r="U414" i="3"/>
  <c r="T414" i="3"/>
  <c r="S414" i="3"/>
  <c r="R414" i="3"/>
  <c r="Q414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BW413" i="3"/>
  <c r="BV413" i="3"/>
  <c r="BU413" i="3"/>
  <c r="BT413" i="3"/>
  <c r="BS413" i="3"/>
  <c r="BR413" i="3"/>
  <c r="BQ413" i="3"/>
  <c r="BP413" i="3"/>
  <c r="BO413" i="3"/>
  <c r="BN413" i="3"/>
  <c r="BM413" i="3"/>
  <c r="BL413" i="3"/>
  <c r="BK413" i="3"/>
  <c r="BJ413" i="3"/>
  <c r="BH413" i="3"/>
  <c r="AZ413" i="3"/>
  <c r="U413" i="3"/>
  <c r="T413" i="3"/>
  <c r="S413" i="3"/>
  <c r="R413" i="3"/>
  <c r="Q413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BW412" i="3"/>
  <c r="BV412" i="3"/>
  <c r="BU412" i="3"/>
  <c r="BT412" i="3"/>
  <c r="BS412" i="3"/>
  <c r="BR412" i="3"/>
  <c r="BQ412" i="3"/>
  <c r="BP412" i="3"/>
  <c r="BO412" i="3"/>
  <c r="BN412" i="3"/>
  <c r="BM412" i="3"/>
  <c r="BL412" i="3"/>
  <c r="BK412" i="3"/>
  <c r="BJ412" i="3"/>
  <c r="BH412" i="3"/>
  <c r="AZ412" i="3"/>
  <c r="U412" i="3"/>
  <c r="T412" i="3"/>
  <c r="S412" i="3"/>
  <c r="R412" i="3"/>
  <c r="Q412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BW411" i="3"/>
  <c r="BV411" i="3"/>
  <c r="BU411" i="3"/>
  <c r="BT411" i="3"/>
  <c r="BS411" i="3"/>
  <c r="BR411" i="3"/>
  <c r="BQ411" i="3"/>
  <c r="BP411" i="3"/>
  <c r="BO411" i="3"/>
  <c r="BN411" i="3"/>
  <c r="BM411" i="3"/>
  <c r="BL411" i="3"/>
  <c r="BK411" i="3"/>
  <c r="BJ411" i="3"/>
  <c r="BH411" i="3"/>
  <c r="AZ411" i="3"/>
  <c r="U411" i="3"/>
  <c r="T411" i="3"/>
  <c r="S411" i="3"/>
  <c r="R411" i="3"/>
  <c r="Q411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BW410" i="3"/>
  <c r="BV410" i="3"/>
  <c r="BU410" i="3"/>
  <c r="BT410" i="3"/>
  <c r="BS410" i="3"/>
  <c r="BR410" i="3"/>
  <c r="BQ410" i="3"/>
  <c r="BP410" i="3"/>
  <c r="BO410" i="3"/>
  <c r="BN410" i="3"/>
  <c r="BM410" i="3"/>
  <c r="BL410" i="3"/>
  <c r="BK410" i="3"/>
  <c r="BJ410" i="3"/>
  <c r="BH410" i="3"/>
  <c r="AZ410" i="3"/>
  <c r="U410" i="3"/>
  <c r="T410" i="3"/>
  <c r="S410" i="3"/>
  <c r="R410" i="3"/>
  <c r="Q410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BW409" i="3"/>
  <c r="BV409" i="3"/>
  <c r="BU409" i="3"/>
  <c r="BT409" i="3"/>
  <c r="BS409" i="3"/>
  <c r="BR409" i="3"/>
  <c r="BQ409" i="3"/>
  <c r="BP409" i="3"/>
  <c r="BO409" i="3"/>
  <c r="BN409" i="3"/>
  <c r="BM409" i="3"/>
  <c r="BL409" i="3"/>
  <c r="BK409" i="3"/>
  <c r="BJ409" i="3"/>
  <c r="BH409" i="3"/>
  <c r="AZ409" i="3"/>
  <c r="U409" i="3"/>
  <c r="T409" i="3"/>
  <c r="S409" i="3"/>
  <c r="R409" i="3"/>
  <c r="Q409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BW408" i="3"/>
  <c r="BV408" i="3"/>
  <c r="BU408" i="3"/>
  <c r="BT408" i="3"/>
  <c r="BS408" i="3"/>
  <c r="BR408" i="3"/>
  <c r="BQ408" i="3"/>
  <c r="BP408" i="3"/>
  <c r="BO408" i="3"/>
  <c r="BN408" i="3"/>
  <c r="BM408" i="3"/>
  <c r="BL408" i="3"/>
  <c r="BK408" i="3"/>
  <c r="BJ408" i="3"/>
  <c r="BH408" i="3"/>
  <c r="AZ408" i="3"/>
  <c r="U408" i="3"/>
  <c r="T408" i="3"/>
  <c r="S408" i="3"/>
  <c r="R408" i="3"/>
  <c r="Q408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BW407" i="3"/>
  <c r="BV407" i="3"/>
  <c r="BU407" i="3"/>
  <c r="BT407" i="3"/>
  <c r="BS407" i="3"/>
  <c r="BR407" i="3"/>
  <c r="BQ407" i="3"/>
  <c r="BP407" i="3"/>
  <c r="BO407" i="3"/>
  <c r="BN407" i="3"/>
  <c r="BM407" i="3"/>
  <c r="BL407" i="3"/>
  <c r="BK407" i="3"/>
  <c r="BJ407" i="3"/>
  <c r="BH407" i="3"/>
  <c r="AZ407" i="3"/>
  <c r="U407" i="3"/>
  <c r="T407" i="3"/>
  <c r="S407" i="3"/>
  <c r="R407" i="3"/>
  <c r="Q407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BW406" i="3"/>
  <c r="BV406" i="3"/>
  <c r="BU406" i="3"/>
  <c r="BT406" i="3"/>
  <c r="BS406" i="3"/>
  <c r="BR406" i="3"/>
  <c r="BQ406" i="3"/>
  <c r="BP406" i="3"/>
  <c r="BO406" i="3"/>
  <c r="BN406" i="3"/>
  <c r="BM406" i="3"/>
  <c r="BL406" i="3"/>
  <c r="BK406" i="3"/>
  <c r="BJ406" i="3"/>
  <c r="BH406" i="3"/>
  <c r="AZ406" i="3"/>
  <c r="U406" i="3"/>
  <c r="T406" i="3"/>
  <c r="S406" i="3"/>
  <c r="R406" i="3"/>
  <c r="Q406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BW405" i="3"/>
  <c r="BV405" i="3"/>
  <c r="BU405" i="3"/>
  <c r="BT405" i="3"/>
  <c r="BS405" i="3"/>
  <c r="BR405" i="3"/>
  <c r="BQ405" i="3"/>
  <c r="BP405" i="3"/>
  <c r="BO405" i="3"/>
  <c r="BN405" i="3"/>
  <c r="BM405" i="3"/>
  <c r="BL405" i="3"/>
  <c r="BK405" i="3"/>
  <c r="BJ405" i="3"/>
  <c r="BH405" i="3"/>
  <c r="AZ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BW404" i="3"/>
  <c r="BV404" i="3"/>
  <c r="BU404" i="3"/>
  <c r="BT404" i="3"/>
  <c r="BS404" i="3"/>
  <c r="BR404" i="3"/>
  <c r="BQ404" i="3"/>
  <c r="BP404" i="3"/>
  <c r="BO404" i="3"/>
  <c r="BN404" i="3"/>
  <c r="BM404" i="3"/>
  <c r="BL404" i="3"/>
  <c r="BK404" i="3"/>
  <c r="BJ404" i="3"/>
  <c r="BH404" i="3"/>
  <c r="AZ404" i="3"/>
  <c r="U404" i="3"/>
  <c r="T404" i="3"/>
  <c r="S404" i="3"/>
  <c r="R404" i="3"/>
  <c r="Q404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BW403" i="3"/>
  <c r="BV403" i="3"/>
  <c r="BU403" i="3"/>
  <c r="BT403" i="3"/>
  <c r="BS403" i="3"/>
  <c r="BR403" i="3"/>
  <c r="BQ403" i="3"/>
  <c r="BP403" i="3"/>
  <c r="BO403" i="3"/>
  <c r="BN403" i="3"/>
  <c r="BM403" i="3"/>
  <c r="BL403" i="3"/>
  <c r="BK403" i="3"/>
  <c r="BJ403" i="3"/>
  <c r="BH403" i="3"/>
  <c r="AZ403" i="3"/>
  <c r="U403" i="3"/>
  <c r="T403" i="3"/>
  <c r="S403" i="3"/>
  <c r="R403" i="3"/>
  <c r="Q403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BW402" i="3"/>
  <c r="BV402" i="3"/>
  <c r="BU402" i="3"/>
  <c r="BT402" i="3"/>
  <c r="BS402" i="3"/>
  <c r="BR402" i="3"/>
  <c r="BQ402" i="3"/>
  <c r="BP402" i="3"/>
  <c r="BO402" i="3"/>
  <c r="BN402" i="3"/>
  <c r="BM402" i="3"/>
  <c r="BL402" i="3"/>
  <c r="BK402" i="3"/>
  <c r="BJ402" i="3"/>
  <c r="BH402" i="3"/>
  <c r="AZ402" i="3"/>
  <c r="U402" i="3"/>
  <c r="T402" i="3"/>
  <c r="S402" i="3"/>
  <c r="R402" i="3"/>
  <c r="Q402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BW401" i="3"/>
  <c r="BV401" i="3"/>
  <c r="BU401" i="3"/>
  <c r="BT401" i="3"/>
  <c r="BS401" i="3"/>
  <c r="BR401" i="3"/>
  <c r="BQ401" i="3"/>
  <c r="BP401" i="3"/>
  <c r="BO401" i="3"/>
  <c r="BN401" i="3"/>
  <c r="BM401" i="3"/>
  <c r="BL401" i="3"/>
  <c r="BK401" i="3"/>
  <c r="BJ401" i="3"/>
  <c r="BH401" i="3"/>
  <c r="AZ401" i="3"/>
  <c r="U401" i="3"/>
  <c r="T401" i="3"/>
  <c r="S401" i="3"/>
  <c r="R401" i="3"/>
  <c r="Q401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BW400" i="3"/>
  <c r="BV400" i="3"/>
  <c r="BU400" i="3"/>
  <c r="BT400" i="3"/>
  <c r="BS400" i="3"/>
  <c r="BR400" i="3"/>
  <c r="BQ400" i="3"/>
  <c r="BP400" i="3"/>
  <c r="BO400" i="3"/>
  <c r="BN400" i="3"/>
  <c r="BM400" i="3"/>
  <c r="BL400" i="3"/>
  <c r="BK400" i="3"/>
  <c r="BJ400" i="3"/>
  <c r="BH400" i="3"/>
  <c r="AZ400" i="3"/>
  <c r="U400" i="3"/>
  <c r="T400" i="3"/>
  <c r="S400" i="3"/>
  <c r="R400" i="3"/>
  <c r="Q400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BW399" i="3"/>
  <c r="BV399" i="3"/>
  <c r="BU399" i="3"/>
  <c r="BT399" i="3"/>
  <c r="BS399" i="3"/>
  <c r="BR399" i="3"/>
  <c r="BQ399" i="3"/>
  <c r="BP399" i="3"/>
  <c r="BO399" i="3"/>
  <c r="BN399" i="3"/>
  <c r="BM399" i="3"/>
  <c r="BL399" i="3"/>
  <c r="BK399" i="3"/>
  <c r="BJ399" i="3"/>
  <c r="BH399" i="3"/>
  <c r="AZ399" i="3"/>
  <c r="U399" i="3"/>
  <c r="T399" i="3"/>
  <c r="S399" i="3"/>
  <c r="R399" i="3"/>
  <c r="Q399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BW398" i="3"/>
  <c r="BV398" i="3"/>
  <c r="BU398" i="3"/>
  <c r="BT398" i="3"/>
  <c r="BS398" i="3"/>
  <c r="BR398" i="3"/>
  <c r="BQ398" i="3"/>
  <c r="BP398" i="3"/>
  <c r="BO398" i="3"/>
  <c r="BN398" i="3"/>
  <c r="BM398" i="3"/>
  <c r="BL398" i="3"/>
  <c r="BK398" i="3"/>
  <c r="BJ398" i="3"/>
  <c r="BH398" i="3"/>
  <c r="AZ398" i="3"/>
  <c r="U398" i="3"/>
  <c r="T398" i="3"/>
  <c r="S398" i="3"/>
  <c r="R398" i="3"/>
  <c r="Q398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BW397" i="3"/>
  <c r="BV397" i="3"/>
  <c r="BU397" i="3"/>
  <c r="BT397" i="3"/>
  <c r="BS397" i="3"/>
  <c r="BR397" i="3"/>
  <c r="BQ397" i="3"/>
  <c r="BP397" i="3"/>
  <c r="BO397" i="3"/>
  <c r="BN397" i="3"/>
  <c r="BM397" i="3"/>
  <c r="BL397" i="3"/>
  <c r="BK397" i="3"/>
  <c r="BJ397" i="3"/>
  <c r="BH397" i="3"/>
  <c r="AZ397" i="3"/>
  <c r="U397" i="3"/>
  <c r="T397" i="3"/>
  <c r="S397" i="3"/>
  <c r="R397" i="3"/>
  <c r="Q397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BW396" i="3"/>
  <c r="BV396" i="3"/>
  <c r="BU396" i="3"/>
  <c r="BT396" i="3"/>
  <c r="BS396" i="3"/>
  <c r="BR396" i="3"/>
  <c r="BQ396" i="3"/>
  <c r="BP396" i="3"/>
  <c r="BO396" i="3"/>
  <c r="BN396" i="3"/>
  <c r="BM396" i="3"/>
  <c r="BL396" i="3"/>
  <c r="BK396" i="3"/>
  <c r="BJ396" i="3"/>
  <c r="BH396" i="3"/>
  <c r="AZ396" i="3"/>
  <c r="U396" i="3"/>
  <c r="T396" i="3"/>
  <c r="S396" i="3"/>
  <c r="R396" i="3"/>
  <c r="Q396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BW395" i="3"/>
  <c r="BV395" i="3"/>
  <c r="BU395" i="3"/>
  <c r="BT395" i="3"/>
  <c r="BS395" i="3"/>
  <c r="BR395" i="3"/>
  <c r="BQ395" i="3"/>
  <c r="BP395" i="3"/>
  <c r="BO395" i="3"/>
  <c r="BN395" i="3"/>
  <c r="BM395" i="3"/>
  <c r="BL395" i="3"/>
  <c r="BK395" i="3"/>
  <c r="BJ395" i="3"/>
  <c r="BH395" i="3"/>
  <c r="AZ395" i="3"/>
  <c r="U395" i="3"/>
  <c r="T395" i="3"/>
  <c r="S395" i="3"/>
  <c r="R395" i="3"/>
  <c r="Q395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BW394" i="3"/>
  <c r="BV394" i="3"/>
  <c r="BU394" i="3"/>
  <c r="BT394" i="3"/>
  <c r="BS394" i="3"/>
  <c r="BR394" i="3"/>
  <c r="BQ394" i="3"/>
  <c r="BP394" i="3"/>
  <c r="BO394" i="3"/>
  <c r="BN394" i="3"/>
  <c r="BM394" i="3"/>
  <c r="BL394" i="3"/>
  <c r="BK394" i="3"/>
  <c r="BJ394" i="3"/>
  <c r="BH394" i="3"/>
  <c r="AZ394" i="3"/>
  <c r="U394" i="3"/>
  <c r="T394" i="3"/>
  <c r="S394" i="3"/>
  <c r="R394" i="3"/>
  <c r="Q394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BW393" i="3"/>
  <c r="BV393" i="3"/>
  <c r="BU393" i="3"/>
  <c r="BT393" i="3"/>
  <c r="BS393" i="3"/>
  <c r="BR393" i="3"/>
  <c r="BQ393" i="3"/>
  <c r="BP393" i="3"/>
  <c r="BO393" i="3"/>
  <c r="BN393" i="3"/>
  <c r="BM393" i="3"/>
  <c r="BL393" i="3"/>
  <c r="BK393" i="3"/>
  <c r="BJ393" i="3"/>
  <c r="BH393" i="3"/>
  <c r="AZ393" i="3"/>
  <c r="U393" i="3"/>
  <c r="T393" i="3"/>
  <c r="S393" i="3"/>
  <c r="R393" i="3"/>
  <c r="Q393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BW392" i="3"/>
  <c r="BV392" i="3"/>
  <c r="BU392" i="3"/>
  <c r="BT392" i="3"/>
  <c r="BS392" i="3"/>
  <c r="BR392" i="3"/>
  <c r="BQ392" i="3"/>
  <c r="BP392" i="3"/>
  <c r="BO392" i="3"/>
  <c r="BN392" i="3"/>
  <c r="BM392" i="3"/>
  <c r="BL392" i="3"/>
  <c r="BK392" i="3"/>
  <c r="BJ392" i="3"/>
  <c r="BH392" i="3"/>
  <c r="AZ392" i="3"/>
  <c r="U392" i="3"/>
  <c r="T392" i="3"/>
  <c r="S392" i="3"/>
  <c r="R392" i="3"/>
  <c r="Q392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BW391" i="3"/>
  <c r="BV391" i="3"/>
  <c r="BU391" i="3"/>
  <c r="BT391" i="3"/>
  <c r="BS391" i="3"/>
  <c r="BR391" i="3"/>
  <c r="BQ391" i="3"/>
  <c r="BP391" i="3"/>
  <c r="BO391" i="3"/>
  <c r="BN391" i="3"/>
  <c r="BM391" i="3"/>
  <c r="BL391" i="3"/>
  <c r="BK391" i="3"/>
  <c r="BJ391" i="3"/>
  <c r="BH391" i="3"/>
  <c r="AZ391" i="3"/>
  <c r="U391" i="3"/>
  <c r="T391" i="3"/>
  <c r="S391" i="3"/>
  <c r="R391" i="3"/>
  <c r="Q391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BW390" i="3"/>
  <c r="BV390" i="3"/>
  <c r="BU390" i="3"/>
  <c r="BT390" i="3"/>
  <c r="BS390" i="3"/>
  <c r="BR390" i="3"/>
  <c r="BQ390" i="3"/>
  <c r="BP390" i="3"/>
  <c r="BO390" i="3"/>
  <c r="BN390" i="3"/>
  <c r="BM390" i="3"/>
  <c r="BL390" i="3"/>
  <c r="BK390" i="3"/>
  <c r="BJ390" i="3"/>
  <c r="BH390" i="3"/>
  <c r="AZ390" i="3"/>
  <c r="U390" i="3"/>
  <c r="T390" i="3"/>
  <c r="S390" i="3"/>
  <c r="R390" i="3"/>
  <c r="Q390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BW389" i="3"/>
  <c r="BV389" i="3"/>
  <c r="BU389" i="3"/>
  <c r="BT389" i="3"/>
  <c r="BS389" i="3"/>
  <c r="BR389" i="3"/>
  <c r="BQ389" i="3"/>
  <c r="BP389" i="3"/>
  <c r="BO389" i="3"/>
  <c r="BN389" i="3"/>
  <c r="BM389" i="3"/>
  <c r="BL389" i="3"/>
  <c r="BK389" i="3"/>
  <c r="BJ389" i="3"/>
  <c r="BH389" i="3"/>
  <c r="AZ389" i="3"/>
  <c r="U389" i="3"/>
  <c r="T389" i="3"/>
  <c r="S389" i="3"/>
  <c r="R389" i="3"/>
  <c r="Q389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BW388" i="3"/>
  <c r="BV388" i="3"/>
  <c r="BU388" i="3"/>
  <c r="BT388" i="3"/>
  <c r="BS388" i="3"/>
  <c r="BR388" i="3"/>
  <c r="BQ388" i="3"/>
  <c r="BP388" i="3"/>
  <c r="BO388" i="3"/>
  <c r="BN388" i="3"/>
  <c r="BM388" i="3"/>
  <c r="BL388" i="3"/>
  <c r="BK388" i="3"/>
  <c r="BJ388" i="3"/>
  <c r="BH388" i="3"/>
  <c r="AZ388" i="3"/>
  <c r="U388" i="3"/>
  <c r="T388" i="3"/>
  <c r="S388" i="3"/>
  <c r="R388" i="3"/>
  <c r="Q388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BW387" i="3"/>
  <c r="BV387" i="3"/>
  <c r="BU387" i="3"/>
  <c r="BT387" i="3"/>
  <c r="BS387" i="3"/>
  <c r="BR387" i="3"/>
  <c r="BQ387" i="3"/>
  <c r="BP387" i="3"/>
  <c r="BO387" i="3"/>
  <c r="BN387" i="3"/>
  <c r="BM387" i="3"/>
  <c r="BL387" i="3"/>
  <c r="BK387" i="3"/>
  <c r="BJ387" i="3"/>
  <c r="BH387" i="3"/>
  <c r="AZ387" i="3"/>
  <c r="U387" i="3"/>
  <c r="T387" i="3"/>
  <c r="S387" i="3"/>
  <c r="R387" i="3"/>
  <c r="Q387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BW386" i="3"/>
  <c r="BV386" i="3"/>
  <c r="BU386" i="3"/>
  <c r="BT386" i="3"/>
  <c r="BS386" i="3"/>
  <c r="BR386" i="3"/>
  <c r="BQ386" i="3"/>
  <c r="BP386" i="3"/>
  <c r="BO386" i="3"/>
  <c r="BN386" i="3"/>
  <c r="BM386" i="3"/>
  <c r="BL386" i="3"/>
  <c r="BK386" i="3"/>
  <c r="BJ386" i="3"/>
  <c r="BH386" i="3"/>
  <c r="AZ386" i="3"/>
  <c r="U386" i="3"/>
  <c r="T386" i="3"/>
  <c r="S386" i="3"/>
  <c r="R386" i="3"/>
  <c r="Q386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BW385" i="3"/>
  <c r="BV385" i="3"/>
  <c r="BU385" i="3"/>
  <c r="BT385" i="3"/>
  <c r="BS385" i="3"/>
  <c r="BR385" i="3"/>
  <c r="BQ385" i="3"/>
  <c r="BP385" i="3"/>
  <c r="BO385" i="3"/>
  <c r="BN385" i="3"/>
  <c r="BM385" i="3"/>
  <c r="BL385" i="3"/>
  <c r="BK385" i="3"/>
  <c r="BJ385" i="3"/>
  <c r="BH385" i="3"/>
  <c r="AZ385" i="3"/>
  <c r="U385" i="3"/>
  <c r="T385" i="3"/>
  <c r="S385" i="3"/>
  <c r="R385" i="3"/>
  <c r="Q385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BW384" i="3"/>
  <c r="BV384" i="3"/>
  <c r="BU384" i="3"/>
  <c r="BT384" i="3"/>
  <c r="BS384" i="3"/>
  <c r="BR384" i="3"/>
  <c r="BQ384" i="3"/>
  <c r="BP384" i="3"/>
  <c r="BO384" i="3"/>
  <c r="BN384" i="3"/>
  <c r="BM384" i="3"/>
  <c r="BL384" i="3"/>
  <c r="BK384" i="3"/>
  <c r="BJ384" i="3"/>
  <c r="BH384" i="3"/>
  <c r="AZ384" i="3"/>
  <c r="U384" i="3"/>
  <c r="T384" i="3"/>
  <c r="S384" i="3"/>
  <c r="R384" i="3"/>
  <c r="Q384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BW383" i="3"/>
  <c r="BV383" i="3"/>
  <c r="BU383" i="3"/>
  <c r="BT383" i="3"/>
  <c r="BS383" i="3"/>
  <c r="BR383" i="3"/>
  <c r="BQ383" i="3"/>
  <c r="BP383" i="3"/>
  <c r="BO383" i="3"/>
  <c r="BN383" i="3"/>
  <c r="BM383" i="3"/>
  <c r="BL383" i="3"/>
  <c r="BK383" i="3"/>
  <c r="BJ383" i="3"/>
  <c r="BH383" i="3"/>
  <c r="AZ383" i="3"/>
  <c r="U383" i="3"/>
  <c r="T383" i="3"/>
  <c r="S383" i="3"/>
  <c r="R383" i="3"/>
  <c r="Q383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BW382" i="3"/>
  <c r="BV382" i="3"/>
  <c r="BU382" i="3"/>
  <c r="BT382" i="3"/>
  <c r="BS382" i="3"/>
  <c r="BR382" i="3"/>
  <c r="BQ382" i="3"/>
  <c r="BP382" i="3"/>
  <c r="BO382" i="3"/>
  <c r="BN382" i="3"/>
  <c r="BM382" i="3"/>
  <c r="BL382" i="3"/>
  <c r="BK382" i="3"/>
  <c r="BJ382" i="3"/>
  <c r="BH382" i="3"/>
  <c r="AZ382" i="3"/>
  <c r="U382" i="3"/>
  <c r="T382" i="3"/>
  <c r="S382" i="3"/>
  <c r="R382" i="3"/>
  <c r="Q382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BW381" i="3"/>
  <c r="BV381" i="3"/>
  <c r="BU381" i="3"/>
  <c r="BT381" i="3"/>
  <c r="BS381" i="3"/>
  <c r="BR381" i="3"/>
  <c r="BQ381" i="3"/>
  <c r="BP381" i="3"/>
  <c r="BO381" i="3"/>
  <c r="BN381" i="3"/>
  <c r="BM381" i="3"/>
  <c r="BL381" i="3"/>
  <c r="BK381" i="3"/>
  <c r="BJ381" i="3"/>
  <c r="BH381" i="3"/>
  <c r="AZ381" i="3"/>
  <c r="U381" i="3"/>
  <c r="T381" i="3"/>
  <c r="S381" i="3"/>
  <c r="R381" i="3"/>
  <c r="Q381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BW380" i="3"/>
  <c r="BV380" i="3"/>
  <c r="BU380" i="3"/>
  <c r="BT380" i="3"/>
  <c r="BS380" i="3"/>
  <c r="BR380" i="3"/>
  <c r="BQ380" i="3"/>
  <c r="BP380" i="3"/>
  <c r="BO380" i="3"/>
  <c r="BN380" i="3"/>
  <c r="BM380" i="3"/>
  <c r="BL380" i="3"/>
  <c r="BK380" i="3"/>
  <c r="BJ380" i="3"/>
  <c r="BH380" i="3"/>
  <c r="AZ380" i="3"/>
  <c r="U380" i="3"/>
  <c r="T380" i="3"/>
  <c r="S380" i="3"/>
  <c r="R380" i="3"/>
  <c r="Q380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BW379" i="3"/>
  <c r="BV379" i="3"/>
  <c r="BU379" i="3"/>
  <c r="BT379" i="3"/>
  <c r="BS379" i="3"/>
  <c r="BR379" i="3"/>
  <c r="BQ379" i="3"/>
  <c r="BP379" i="3"/>
  <c r="BO379" i="3"/>
  <c r="BN379" i="3"/>
  <c r="BM379" i="3"/>
  <c r="BL379" i="3"/>
  <c r="BK379" i="3"/>
  <c r="BJ379" i="3"/>
  <c r="BH379" i="3"/>
  <c r="AZ379" i="3"/>
  <c r="U379" i="3"/>
  <c r="T379" i="3"/>
  <c r="S379" i="3"/>
  <c r="R379" i="3"/>
  <c r="Q379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BW378" i="3"/>
  <c r="BV378" i="3"/>
  <c r="BU378" i="3"/>
  <c r="BT378" i="3"/>
  <c r="BS378" i="3"/>
  <c r="BR378" i="3"/>
  <c r="BQ378" i="3"/>
  <c r="BP378" i="3"/>
  <c r="BO378" i="3"/>
  <c r="BN378" i="3"/>
  <c r="BM378" i="3"/>
  <c r="BL378" i="3"/>
  <c r="BK378" i="3"/>
  <c r="BJ378" i="3"/>
  <c r="BH378" i="3"/>
  <c r="AZ378" i="3"/>
  <c r="U378" i="3"/>
  <c r="T378" i="3"/>
  <c r="S378" i="3"/>
  <c r="R378" i="3"/>
  <c r="Q378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BW377" i="3"/>
  <c r="BV377" i="3"/>
  <c r="BU377" i="3"/>
  <c r="BT377" i="3"/>
  <c r="BS377" i="3"/>
  <c r="BR377" i="3"/>
  <c r="BQ377" i="3"/>
  <c r="BP377" i="3"/>
  <c r="BO377" i="3"/>
  <c r="BN377" i="3"/>
  <c r="BM377" i="3"/>
  <c r="BL377" i="3"/>
  <c r="BK377" i="3"/>
  <c r="BJ377" i="3"/>
  <c r="BH377" i="3"/>
  <c r="AZ377" i="3"/>
  <c r="U377" i="3"/>
  <c r="T377" i="3"/>
  <c r="S377" i="3"/>
  <c r="R377" i="3"/>
  <c r="Q377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BW376" i="3"/>
  <c r="BV376" i="3"/>
  <c r="BU376" i="3"/>
  <c r="BT376" i="3"/>
  <c r="BS376" i="3"/>
  <c r="BR376" i="3"/>
  <c r="BQ376" i="3"/>
  <c r="BP376" i="3"/>
  <c r="BO376" i="3"/>
  <c r="BN376" i="3"/>
  <c r="BM376" i="3"/>
  <c r="BL376" i="3"/>
  <c r="BK376" i="3"/>
  <c r="BJ376" i="3"/>
  <c r="BH376" i="3"/>
  <c r="AZ376" i="3"/>
  <c r="U376" i="3"/>
  <c r="T376" i="3"/>
  <c r="S376" i="3"/>
  <c r="R376" i="3"/>
  <c r="Q376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BW375" i="3"/>
  <c r="BV375" i="3"/>
  <c r="BU375" i="3"/>
  <c r="BT375" i="3"/>
  <c r="BS375" i="3"/>
  <c r="BR375" i="3"/>
  <c r="BQ375" i="3"/>
  <c r="BP375" i="3"/>
  <c r="BO375" i="3"/>
  <c r="BN375" i="3"/>
  <c r="BM375" i="3"/>
  <c r="BL375" i="3"/>
  <c r="BK375" i="3"/>
  <c r="BJ375" i="3"/>
  <c r="BH375" i="3"/>
  <c r="AZ375" i="3"/>
  <c r="U375" i="3"/>
  <c r="T375" i="3"/>
  <c r="S375" i="3"/>
  <c r="R375" i="3"/>
  <c r="Q375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BW374" i="3"/>
  <c r="BV374" i="3"/>
  <c r="BU374" i="3"/>
  <c r="BT374" i="3"/>
  <c r="BS374" i="3"/>
  <c r="BR374" i="3"/>
  <c r="BQ374" i="3"/>
  <c r="BP374" i="3"/>
  <c r="BO374" i="3"/>
  <c r="BN374" i="3"/>
  <c r="BM374" i="3"/>
  <c r="BL374" i="3"/>
  <c r="BK374" i="3"/>
  <c r="BJ374" i="3"/>
  <c r="BH374" i="3"/>
  <c r="AZ374" i="3"/>
  <c r="U374" i="3"/>
  <c r="T374" i="3"/>
  <c r="S374" i="3"/>
  <c r="R374" i="3"/>
  <c r="Q374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BW373" i="3"/>
  <c r="BV373" i="3"/>
  <c r="BU373" i="3"/>
  <c r="BT373" i="3"/>
  <c r="BS373" i="3"/>
  <c r="BR373" i="3"/>
  <c r="BQ373" i="3"/>
  <c r="BP373" i="3"/>
  <c r="BO373" i="3"/>
  <c r="BN373" i="3"/>
  <c r="BM373" i="3"/>
  <c r="BL373" i="3"/>
  <c r="BK373" i="3"/>
  <c r="BJ373" i="3"/>
  <c r="BH373" i="3"/>
  <c r="AZ373" i="3"/>
  <c r="U373" i="3"/>
  <c r="T373" i="3"/>
  <c r="S373" i="3"/>
  <c r="R373" i="3"/>
  <c r="Q373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BW372" i="3"/>
  <c r="BV372" i="3"/>
  <c r="BU372" i="3"/>
  <c r="BT372" i="3"/>
  <c r="BS372" i="3"/>
  <c r="BR372" i="3"/>
  <c r="BQ372" i="3"/>
  <c r="BP372" i="3"/>
  <c r="BO372" i="3"/>
  <c r="BN372" i="3"/>
  <c r="BM372" i="3"/>
  <c r="BL372" i="3"/>
  <c r="BK372" i="3"/>
  <c r="BJ372" i="3"/>
  <c r="BH372" i="3"/>
  <c r="AZ372" i="3"/>
  <c r="U372" i="3"/>
  <c r="T372" i="3"/>
  <c r="S372" i="3"/>
  <c r="R372" i="3"/>
  <c r="Q372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BW371" i="3"/>
  <c r="BV371" i="3"/>
  <c r="BU371" i="3"/>
  <c r="BT371" i="3"/>
  <c r="BS371" i="3"/>
  <c r="BR371" i="3"/>
  <c r="BQ371" i="3"/>
  <c r="BP371" i="3"/>
  <c r="BO371" i="3"/>
  <c r="BN371" i="3"/>
  <c r="BM371" i="3"/>
  <c r="BL371" i="3"/>
  <c r="BK371" i="3"/>
  <c r="BJ371" i="3"/>
  <c r="BH371" i="3"/>
  <c r="AZ371" i="3"/>
  <c r="U371" i="3"/>
  <c r="T371" i="3"/>
  <c r="S371" i="3"/>
  <c r="R371" i="3"/>
  <c r="Q371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BW370" i="3"/>
  <c r="BV370" i="3"/>
  <c r="BU370" i="3"/>
  <c r="BT370" i="3"/>
  <c r="BS370" i="3"/>
  <c r="BR370" i="3"/>
  <c r="BQ370" i="3"/>
  <c r="BP370" i="3"/>
  <c r="BO370" i="3"/>
  <c r="BN370" i="3"/>
  <c r="BM370" i="3"/>
  <c r="BL370" i="3"/>
  <c r="BK370" i="3"/>
  <c r="BJ370" i="3"/>
  <c r="BH370" i="3"/>
  <c r="AZ370" i="3"/>
  <c r="U370" i="3"/>
  <c r="T370" i="3"/>
  <c r="S370" i="3"/>
  <c r="R370" i="3"/>
  <c r="Q370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BW369" i="3"/>
  <c r="BV369" i="3"/>
  <c r="BU369" i="3"/>
  <c r="BT369" i="3"/>
  <c r="BS369" i="3"/>
  <c r="BR369" i="3"/>
  <c r="BQ369" i="3"/>
  <c r="BP369" i="3"/>
  <c r="BO369" i="3"/>
  <c r="BN369" i="3"/>
  <c r="BM369" i="3"/>
  <c r="BL369" i="3"/>
  <c r="BK369" i="3"/>
  <c r="BJ369" i="3"/>
  <c r="BH369" i="3"/>
  <c r="AZ369" i="3"/>
  <c r="U369" i="3"/>
  <c r="T369" i="3"/>
  <c r="S369" i="3"/>
  <c r="R369" i="3"/>
  <c r="Q369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BW368" i="3"/>
  <c r="BV368" i="3"/>
  <c r="BU368" i="3"/>
  <c r="BT368" i="3"/>
  <c r="BS368" i="3"/>
  <c r="BR368" i="3"/>
  <c r="BQ368" i="3"/>
  <c r="BP368" i="3"/>
  <c r="BO368" i="3"/>
  <c r="BN368" i="3"/>
  <c r="BM368" i="3"/>
  <c r="BL368" i="3"/>
  <c r="BK368" i="3"/>
  <c r="BJ368" i="3"/>
  <c r="BH368" i="3"/>
  <c r="AZ368" i="3"/>
  <c r="U368" i="3"/>
  <c r="T368" i="3"/>
  <c r="S368" i="3"/>
  <c r="R368" i="3"/>
  <c r="Q368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BW367" i="3"/>
  <c r="BV367" i="3"/>
  <c r="BU367" i="3"/>
  <c r="BT367" i="3"/>
  <c r="BS367" i="3"/>
  <c r="BR367" i="3"/>
  <c r="BQ367" i="3"/>
  <c r="BP367" i="3"/>
  <c r="BO367" i="3"/>
  <c r="BN367" i="3"/>
  <c r="BM367" i="3"/>
  <c r="BL367" i="3"/>
  <c r="BK367" i="3"/>
  <c r="BJ367" i="3"/>
  <c r="BH367" i="3"/>
  <c r="AZ367" i="3"/>
  <c r="U367" i="3"/>
  <c r="T367" i="3"/>
  <c r="S367" i="3"/>
  <c r="R367" i="3"/>
  <c r="Q367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BW366" i="3"/>
  <c r="BV366" i="3"/>
  <c r="BU366" i="3"/>
  <c r="BT366" i="3"/>
  <c r="BS366" i="3"/>
  <c r="BR366" i="3"/>
  <c r="BQ366" i="3"/>
  <c r="BP366" i="3"/>
  <c r="BO366" i="3"/>
  <c r="BN366" i="3"/>
  <c r="BM366" i="3"/>
  <c r="BL366" i="3"/>
  <c r="BK366" i="3"/>
  <c r="BJ366" i="3"/>
  <c r="BH366" i="3"/>
  <c r="AZ366" i="3"/>
  <c r="U366" i="3"/>
  <c r="T366" i="3"/>
  <c r="S366" i="3"/>
  <c r="R366" i="3"/>
  <c r="Q366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BW365" i="3"/>
  <c r="BV365" i="3"/>
  <c r="BU365" i="3"/>
  <c r="BT365" i="3"/>
  <c r="BS365" i="3"/>
  <c r="BR365" i="3"/>
  <c r="BQ365" i="3"/>
  <c r="BP365" i="3"/>
  <c r="BO365" i="3"/>
  <c r="BN365" i="3"/>
  <c r="BM365" i="3"/>
  <c r="BL365" i="3"/>
  <c r="BK365" i="3"/>
  <c r="BJ365" i="3"/>
  <c r="BH365" i="3"/>
  <c r="AZ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BW364" i="3"/>
  <c r="BV364" i="3"/>
  <c r="BU364" i="3"/>
  <c r="BT364" i="3"/>
  <c r="BS364" i="3"/>
  <c r="BR364" i="3"/>
  <c r="BQ364" i="3"/>
  <c r="BP364" i="3"/>
  <c r="BO364" i="3"/>
  <c r="BN364" i="3"/>
  <c r="BM364" i="3"/>
  <c r="BL364" i="3"/>
  <c r="BK364" i="3"/>
  <c r="BJ364" i="3"/>
  <c r="BH364" i="3"/>
  <c r="AZ364" i="3"/>
  <c r="U364" i="3"/>
  <c r="T364" i="3"/>
  <c r="S364" i="3"/>
  <c r="R364" i="3"/>
  <c r="Q364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BW363" i="3"/>
  <c r="BV363" i="3"/>
  <c r="BU363" i="3"/>
  <c r="BT363" i="3"/>
  <c r="BS363" i="3"/>
  <c r="BR363" i="3"/>
  <c r="BQ363" i="3"/>
  <c r="BP363" i="3"/>
  <c r="BO363" i="3"/>
  <c r="BN363" i="3"/>
  <c r="BM363" i="3"/>
  <c r="BL363" i="3"/>
  <c r="BK363" i="3"/>
  <c r="BJ363" i="3"/>
  <c r="BH363" i="3"/>
  <c r="AZ363" i="3"/>
  <c r="U363" i="3"/>
  <c r="T363" i="3"/>
  <c r="S363" i="3"/>
  <c r="R363" i="3"/>
  <c r="Q363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BW362" i="3"/>
  <c r="BV362" i="3"/>
  <c r="BU362" i="3"/>
  <c r="BT362" i="3"/>
  <c r="BS362" i="3"/>
  <c r="BR362" i="3"/>
  <c r="BQ362" i="3"/>
  <c r="BP362" i="3"/>
  <c r="BO362" i="3"/>
  <c r="BN362" i="3"/>
  <c r="BM362" i="3"/>
  <c r="BL362" i="3"/>
  <c r="BK362" i="3"/>
  <c r="BJ362" i="3"/>
  <c r="BH362" i="3"/>
  <c r="AZ362" i="3"/>
  <c r="U362" i="3"/>
  <c r="T362" i="3"/>
  <c r="S362" i="3"/>
  <c r="R362" i="3"/>
  <c r="Q362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BW361" i="3"/>
  <c r="BV361" i="3"/>
  <c r="BU361" i="3"/>
  <c r="BT361" i="3"/>
  <c r="BS361" i="3"/>
  <c r="BR361" i="3"/>
  <c r="BQ361" i="3"/>
  <c r="BP361" i="3"/>
  <c r="BO361" i="3"/>
  <c r="BN361" i="3"/>
  <c r="BM361" i="3"/>
  <c r="BL361" i="3"/>
  <c r="BK361" i="3"/>
  <c r="BJ361" i="3"/>
  <c r="BH361" i="3"/>
  <c r="AZ361" i="3"/>
  <c r="U361" i="3"/>
  <c r="T361" i="3"/>
  <c r="S361" i="3"/>
  <c r="R361" i="3"/>
  <c r="Q361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BW360" i="3"/>
  <c r="BV360" i="3"/>
  <c r="BU360" i="3"/>
  <c r="BT360" i="3"/>
  <c r="BS360" i="3"/>
  <c r="BR360" i="3"/>
  <c r="BQ360" i="3"/>
  <c r="BP360" i="3"/>
  <c r="BO360" i="3"/>
  <c r="BN360" i="3"/>
  <c r="BM360" i="3"/>
  <c r="BL360" i="3"/>
  <c r="BK360" i="3"/>
  <c r="BJ360" i="3"/>
  <c r="BH360" i="3"/>
  <c r="AZ360" i="3"/>
  <c r="U360" i="3"/>
  <c r="T360" i="3"/>
  <c r="S360" i="3"/>
  <c r="R360" i="3"/>
  <c r="Q360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BW359" i="3"/>
  <c r="BV359" i="3"/>
  <c r="BU359" i="3"/>
  <c r="BT359" i="3"/>
  <c r="BS359" i="3"/>
  <c r="BR359" i="3"/>
  <c r="BQ359" i="3"/>
  <c r="BP359" i="3"/>
  <c r="BO359" i="3"/>
  <c r="BN359" i="3"/>
  <c r="BM359" i="3"/>
  <c r="BL359" i="3"/>
  <c r="BK359" i="3"/>
  <c r="BJ359" i="3"/>
  <c r="BH359" i="3"/>
  <c r="AZ359" i="3"/>
  <c r="U359" i="3"/>
  <c r="T359" i="3"/>
  <c r="S359" i="3"/>
  <c r="R359" i="3"/>
  <c r="Q359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BW358" i="3"/>
  <c r="BV358" i="3"/>
  <c r="BU358" i="3"/>
  <c r="BT358" i="3"/>
  <c r="BS358" i="3"/>
  <c r="BR358" i="3"/>
  <c r="BQ358" i="3"/>
  <c r="BP358" i="3"/>
  <c r="BO358" i="3"/>
  <c r="BN358" i="3"/>
  <c r="BM358" i="3"/>
  <c r="BL358" i="3"/>
  <c r="BK358" i="3"/>
  <c r="BJ358" i="3"/>
  <c r="BH358" i="3"/>
  <c r="AZ358" i="3"/>
  <c r="U358" i="3"/>
  <c r="T358" i="3"/>
  <c r="S358" i="3"/>
  <c r="R358" i="3"/>
  <c r="Q358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BW357" i="3"/>
  <c r="BV357" i="3"/>
  <c r="BU357" i="3"/>
  <c r="BT357" i="3"/>
  <c r="BS357" i="3"/>
  <c r="BR357" i="3"/>
  <c r="BQ357" i="3"/>
  <c r="BP357" i="3"/>
  <c r="BO357" i="3"/>
  <c r="BN357" i="3"/>
  <c r="BM357" i="3"/>
  <c r="BL357" i="3"/>
  <c r="BK357" i="3"/>
  <c r="BJ357" i="3"/>
  <c r="BH357" i="3"/>
  <c r="AZ357" i="3"/>
  <c r="U357" i="3"/>
  <c r="T357" i="3"/>
  <c r="S357" i="3"/>
  <c r="R357" i="3"/>
  <c r="Q357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BW356" i="3"/>
  <c r="BV356" i="3"/>
  <c r="BU356" i="3"/>
  <c r="BT356" i="3"/>
  <c r="BS356" i="3"/>
  <c r="BR356" i="3"/>
  <c r="BQ356" i="3"/>
  <c r="BP356" i="3"/>
  <c r="BO356" i="3"/>
  <c r="BN356" i="3"/>
  <c r="BM356" i="3"/>
  <c r="BL356" i="3"/>
  <c r="BK356" i="3"/>
  <c r="BJ356" i="3"/>
  <c r="BH356" i="3"/>
  <c r="AZ356" i="3"/>
  <c r="U356" i="3"/>
  <c r="T356" i="3"/>
  <c r="S356" i="3"/>
  <c r="R356" i="3"/>
  <c r="Q356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BW355" i="3"/>
  <c r="BV355" i="3"/>
  <c r="BU355" i="3"/>
  <c r="BT355" i="3"/>
  <c r="BS355" i="3"/>
  <c r="BR355" i="3"/>
  <c r="BQ355" i="3"/>
  <c r="BP355" i="3"/>
  <c r="BO355" i="3"/>
  <c r="BN355" i="3"/>
  <c r="BM355" i="3"/>
  <c r="BL355" i="3"/>
  <c r="BK355" i="3"/>
  <c r="BJ355" i="3"/>
  <c r="BH355" i="3"/>
  <c r="AZ355" i="3"/>
  <c r="U355" i="3"/>
  <c r="T355" i="3"/>
  <c r="S355" i="3"/>
  <c r="R355" i="3"/>
  <c r="Q355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BW354" i="3"/>
  <c r="BV354" i="3"/>
  <c r="BU354" i="3"/>
  <c r="BT354" i="3"/>
  <c r="BS354" i="3"/>
  <c r="BR354" i="3"/>
  <c r="BQ354" i="3"/>
  <c r="BP354" i="3"/>
  <c r="BO354" i="3"/>
  <c r="BN354" i="3"/>
  <c r="BM354" i="3"/>
  <c r="BL354" i="3"/>
  <c r="BK354" i="3"/>
  <c r="BJ354" i="3"/>
  <c r="BH354" i="3"/>
  <c r="AZ354" i="3"/>
  <c r="U354" i="3"/>
  <c r="T354" i="3"/>
  <c r="S354" i="3"/>
  <c r="R354" i="3"/>
  <c r="Q354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BW353" i="3"/>
  <c r="BV353" i="3"/>
  <c r="BU353" i="3"/>
  <c r="BT353" i="3"/>
  <c r="BS353" i="3"/>
  <c r="BR353" i="3"/>
  <c r="BQ353" i="3"/>
  <c r="BP353" i="3"/>
  <c r="BO353" i="3"/>
  <c r="BN353" i="3"/>
  <c r="BM353" i="3"/>
  <c r="BL353" i="3"/>
  <c r="BK353" i="3"/>
  <c r="BJ353" i="3"/>
  <c r="BH353" i="3"/>
  <c r="AZ353" i="3"/>
  <c r="U353" i="3"/>
  <c r="T353" i="3"/>
  <c r="S353" i="3"/>
  <c r="R353" i="3"/>
  <c r="Q353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BW352" i="3"/>
  <c r="BV352" i="3"/>
  <c r="BU352" i="3"/>
  <c r="BT352" i="3"/>
  <c r="BS352" i="3"/>
  <c r="BR352" i="3"/>
  <c r="BQ352" i="3"/>
  <c r="BP352" i="3"/>
  <c r="BO352" i="3"/>
  <c r="BN352" i="3"/>
  <c r="BM352" i="3"/>
  <c r="BL352" i="3"/>
  <c r="BK352" i="3"/>
  <c r="BJ352" i="3"/>
  <c r="BH352" i="3"/>
  <c r="AZ352" i="3"/>
  <c r="U352" i="3"/>
  <c r="T352" i="3"/>
  <c r="S352" i="3"/>
  <c r="R352" i="3"/>
  <c r="Q352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BW351" i="3"/>
  <c r="BV351" i="3"/>
  <c r="BU351" i="3"/>
  <c r="BT351" i="3"/>
  <c r="BS351" i="3"/>
  <c r="BR351" i="3"/>
  <c r="BQ351" i="3"/>
  <c r="BP351" i="3"/>
  <c r="BO351" i="3"/>
  <c r="BN351" i="3"/>
  <c r="BM351" i="3"/>
  <c r="BL351" i="3"/>
  <c r="BK351" i="3"/>
  <c r="BJ351" i="3"/>
  <c r="BH351" i="3"/>
  <c r="AZ351" i="3"/>
  <c r="U351" i="3"/>
  <c r="T351" i="3"/>
  <c r="S351" i="3"/>
  <c r="R351" i="3"/>
  <c r="Q351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BW350" i="3"/>
  <c r="BV350" i="3"/>
  <c r="BU350" i="3"/>
  <c r="BT350" i="3"/>
  <c r="BS350" i="3"/>
  <c r="BR350" i="3"/>
  <c r="BQ350" i="3"/>
  <c r="BP350" i="3"/>
  <c r="BO350" i="3"/>
  <c r="BN350" i="3"/>
  <c r="BM350" i="3"/>
  <c r="BL350" i="3"/>
  <c r="BK350" i="3"/>
  <c r="BJ350" i="3"/>
  <c r="BH350" i="3"/>
  <c r="AZ350" i="3"/>
  <c r="U350" i="3"/>
  <c r="T350" i="3"/>
  <c r="S350" i="3"/>
  <c r="R350" i="3"/>
  <c r="Q350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BW349" i="3"/>
  <c r="BV349" i="3"/>
  <c r="BU349" i="3"/>
  <c r="BT349" i="3"/>
  <c r="BS349" i="3"/>
  <c r="BR349" i="3"/>
  <c r="BQ349" i="3"/>
  <c r="BP349" i="3"/>
  <c r="BO349" i="3"/>
  <c r="BN349" i="3"/>
  <c r="BM349" i="3"/>
  <c r="BL349" i="3"/>
  <c r="BK349" i="3"/>
  <c r="BJ349" i="3"/>
  <c r="BH349" i="3"/>
  <c r="AZ349" i="3"/>
  <c r="U349" i="3"/>
  <c r="T349" i="3"/>
  <c r="S349" i="3"/>
  <c r="R349" i="3"/>
  <c r="Q349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BW348" i="3"/>
  <c r="BV348" i="3"/>
  <c r="BU348" i="3"/>
  <c r="BT348" i="3"/>
  <c r="BS348" i="3"/>
  <c r="BR348" i="3"/>
  <c r="BQ348" i="3"/>
  <c r="BP348" i="3"/>
  <c r="BO348" i="3"/>
  <c r="BN348" i="3"/>
  <c r="BM348" i="3"/>
  <c r="BL348" i="3"/>
  <c r="BK348" i="3"/>
  <c r="BJ348" i="3"/>
  <c r="BH348" i="3"/>
  <c r="AZ348" i="3"/>
  <c r="U348" i="3"/>
  <c r="T348" i="3"/>
  <c r="S348" i="3"/>
  <c r="R348" i="3"/>
  <c r="Q348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BW347" i="3"/>
  <c r="BV347" i="3"/>
  <c r="BU347" i="3"/>
  <c r="BT347" i="3"/>
  <c r="BS347" i="3"/>
  <c r="BR347" i="3"/>
  <c r="BQ347" i="3"/>
  <c r="BP347" i="3"/>
  <c r="BO347" i="3"/>
  <c r="BN347" i="3"/>
  <c r="BM347" i="3"/>
  <c r="BL347" i="3"/>
  <c r="BK347" i="3"/>
  <c r="BJ347" i="3"/>
  <c r="BH347" i="3"/>
  <c r="AZ347" i="3"/>
  <c r="U347" i="3"/>
  <c r="T347" i="3"/>
  <c r="S347" i="3"/>
  <c r="R347" i="3"/>
  <c r="Q347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BW346" i="3"/>
  <c r="BV346" i="3"/>
  <c r="BU346" i="3"/>
  <c r="BT346" i="3"/>
  <c r="BS346" i="3"/>
  <c r="BR346" i="3"/>
  <c r="BQ346" i="3"/>
  <c r="BP346" i="3"/>
  <c r="BO346" i="3"/>
  <c r="BN346" i="3"/>
  <c r="BM346" i="3"/>
  <c r="BL346" i="3"/>
  <c r="BK346" i="3"/>
  <c r="BJ346" i="3"/>
  <c r="BH346" i="3"/>
  <c r="AZ346" i="3"/>
  <c r="U346" i="3"/>
  <c r="T346" i="3"/>
  <c r="S346" i="3"/>
  <c r="R346" i="3"/>
  <c r="Q346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BW345" i="3"/>
  <c r="BV345" i="3"/>
  <c r="BU345" i="3"/>
  <c r="BT345" i="3"/>
  <c r="BS345" i="3"/>
  <c r="BR345" i="3"/>
  <c r="BQ345" i="3"/>
  <c r="BP345" i="3"/>
  <c r="BO345" i="3"/>
  <c r="BN345" i="3"/>
  <c r="BM345" i="3"/>
  <c r="BL345" i="3"/>
  <c r="BK345" i="3"/>
  <c r="BJ345" i="3"/>
  <c r="BH345" i="3"/>
  <c r="AZ345" i="3"/>
  <c r="U345" i="3"/>
  <c r="T345" i="3"/>
  <c r="S345" i="3"/>
  <c r="R345" i="3"/>
  <c r="Q345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BW344" i="3"/>
  <c r="BV344" i="3"/>
  <c r="BU344" i="3"/>
  <c r="BT344" i="3"/>
  <c r="BS344" i="3"/>
  <c r="BR344" i="3"/>
  <c r="BQ344" i="3"/>
  <c r="BP344" i="3"/>
  <c r="BO344" i="3"/>
  <c r="BN344" i="3"/>
  <c r="BM344" i="3"/>
  <c r="BL344" i="3"/>
  <c r="BK344" i="3"/>
  <c r="BJ344" i="3"/>
  <c r="BH344" i="3"/>
  <c r="AZ344" i="3"/>
  <c r="U344" i="3"/>
  <c r="T344" i="3"/>
  <c r="S344" i="3"/>
  <c r="R344" i="3"/>
  <c r="Q344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BW343" i="3"/>
  <c r="BV343" i="3"/>
  <c r="BU343" i="3"/>
  <c r="BT343" i="3"/>
  <c r="BS343" i="3"/>
  <c r="BR343" i="3"/>
  <c r="BQ343" i="3"/>
  <c r="BP343" i="3"/>
  <c r="BO343" i="3"/>
  <c r="BN343" i="3"/>
  <c r="BM343" i="3"/>
  <c r="BL343" i="3"/>
  <c r="BK343" i="3"/>
  <c r="BJ343" i="3"/>
  <c r="BH343" i="3"/>
  <c r="AZ343" i="3"/>
  <c r="U343" i="3"/>
  <c r="T343" i="3"/>
  <c r="S343" i="3"/>
  <c r="R343" i="3"/>
  <c r="Q343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BW342" i="3"/>
  <c r="BV342" i="3"/>
  <c r="BU342" i="3"/>
  <c r="BT342" i="3"/>
  <c r="BS342" i="3"/>
  <c r="BR342" i="3"/>
  <c r="BQ342" i="3"/>
  <c r="BP342" i="3"/>
  <c r="BO342" i="3"/>
  <c r="BN342" i="3"/>
  <c r="BM342" i="3"/>
  <c r="BL342" i="3"/>
  <c r="BK342" i="3"/>
  <c r="BJ342" i="3"/>
  <c r="BH342" i="3"/>
  <c r="AZ342" i="3"/>
  <c r="U342" i="3"/>
  <c r="T342" i="3"/>
  <c r="S342" i="3"/>
  <c r="R342" i="3"/>
  <c r="Q342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BW341" i="3"/>
  <c r="BV341" i="3"/>
  <c r="BU341" i="3"/>
  <c r="BT341" i="3"/>
  <c r="BS341" i="3"/>
  <c r="BR341" i="3"/>
  <c r="BQ341" i="3"/>
  <c r="BP341" i="3"/>
  <c r="BO341" i="3"/>
  <c r="BN341" i="3"/>
  <c r="BM341" i="3"/>
  <c r="BL341" i="3"/>
  <c r="BK341" i="3"/>
  <c r="BJ341" i="3"/>
  <c r="BH341" i="3"/>
  <c r="AZ341" i="3"/>
  <c r="U341" i="3"/>
  <c r="T341" i="3"/>
  <c r="S341" i="3"/>
  <c r="R341" i="3"/>
  <c r="Q341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BW340" i="3"/>
  <c r="BV340" i="3"/>
  <c r="BU340" i="3"/>
  <c r="BT340" i="3"/>
  <c r="BS340" i="3"/>
  <c r="BR340" i="3"/>
  <c r="BQ340" i="3"/>
  <c r="BP340" i="3"/>
  <c r="BO340" i="3"/>
  <c r="BN340" i="3"/>
  <c r="BM340" i="3"/>
  <c r="BL340" i="3"/>
  <c r="BK340" i="3"/>
  <c r="BJ340" i="3"/>
  <c r="BH340" i="3"/>
  <c r="AZ340" i="3"/>
  <c r="U340" i="3"/>
  <c r="T340" i="3"/>
  <c r="S340" i="3"/>
  <c r="R340" i="3"/>
  <c r="Q340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BW339" i="3"/>
  <c r="BV339" i="3"/>
  <c r="BU339" i="3"/>
  <c r="BT339" i="3"/>
  <c r="BS339" i="3"/>
  <c r="BR339" i="3"/>
  <c r="BQ339" i="3"/>
  <c r="BP339" i="3"/>
  <c r="BO339" i="3"/>
  <c r="BN339" i="3"/>
  <c r="BM339" i="3"/>
  <c r="BL339" i="3"/>
  <c r="BK339" i="3"/>
  <c r="BJ339" i="3"/>
  <c r="BH339" i="3"/>
  <c r="AZ339" i="3"/>
  <c r="U339" i="3"/>
  <c r="T339" i="3"/>
  <c r="S339" i="3"/>
  <c r="R339" i="3"/>
  <c r="Q339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BW338" i="3"/>
  <c r="BV338" i="3"/>
  <c r="BU338" i="3"/>
  <c r="BT338" i="3"/>
  <c r="BS338" i="3"/>
  <c r="BR338" i="3"/>
  <c r="BQ338" i="3"/>
  <c r="BP338" i="3"/>
  <c r="BO338" i="3"/>
  <c r="BN338" i="3"/>
  <c r="BM338" i="3"/>
  <c r="BL338" i="3"/>
  <c r="BK338" i="3"/>
  <c r="BJ338" i="3"/>
  <c r="BH338" i="3"/>
  <c r="AZ338" i="3"/>
  <c r="U338" i="3"/>
  <c r="T338" i="3"/>
  <c r="S338" i="3"/>
  <c r="R338" i="3"/>
  <c r="Q338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BW337" i="3"/>
  <c r="BV337" i="3"/>
  <c r="BU337" i="3"/>
  <c r="BT337" i="3"/>
  <c r="BS337" i="3"/>
  <c r="BR337" i="3"/>
  <c r="BQ337" i="3"/>
  <c r="BP337" i="3"/>
  <c r="BO337" i="3"/>
  <c r="BN337" i="3"/>
  <c r="BM337" i="3"/>
  <c r="BL337" i="3"/>
  <c r="BK337" i="3"/>
  <c r="BJ337" i="3"/>
  <c r="BH337" i="3"/>
  <c r="AZ337" i="3"/>
  <c r="U337" i="3"/>
  <c r="T337" i="3"/>
  <c r="S337" i="3"/>
  <c r="R337" i="3"/>
  <c r="Q337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BW336" i="3"/>
  <c r="BV336" i="3"/>
  <c r="BU336" i="3"/>
  <c r="BT336" i="3"/>
  <c r="BS336" i="3"/>
  <c r="BR336" i="3"/>
  <c r="BQ336" i="3"/>
  <c r="BP336" i="3"/>
  <c r="BO336" i="3"/>
  <c r="BN336" i="3"/>
  <c r="BM336" i="3"/>
  <c r="BL336" i="3"/>
  <c r="BK336" i="3"/>
  <c r="BJ336" i="3"/>
  <c r="BH336" i="3"/>
  <c r="AZ336" i="3"/>
  <c r="U336" i="3"/>
  <c r="T336" i="3"/>
  <c r="S336" i="3"/>
  <c r="R336" i="3"/>
  <c r="Q336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BW335" i="3"/>
  <c r="BV335" i="3"/>
  <c r="BU335" i="3"/>
  <c r="BT335" i="3"/>
  <c r="BS335" i="3"/>
  <c r="BR335" i="3"/>
  <c r="BQ335" i="3"/>
  <c r="BP335" i="3"/>
  <c r="BO335" i="3"/>
  <c r="BN335" i="3"/>
  <c r="BM335" i="3"/>
  <c r="BL335" i="3"/>
  <c r="BK335" i="3"/>
  <c r="BJ335" i="3"/>
  <c r="BH335" i="3"/>
  <c r="AZ335" i="3"/>
  <c r="U335" i="3"/>
  <c r="T335" i="3"/>
  <c r="S335" i="3"/>
  <c r="R335" i="3"/>
  <c r="Q335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BW334" i="3"/>
  <c r="BV334" i="3"/>
  <c r="BU334" i="3"/>
  <c r="BT334" i="3"/>
  <c r="BS334" i="3"/>
  <c r="BR334" i="3"/>
  <c r="BQ334" i="3"/>
  <c r="BP334" i="3"/>
  <c r="BO334" i="3"/>
  <c r="BN334" i="3"/>
  <c r="BM334" i="3"/>
  <c r="BL334" i="3"/>
  <c r="BK334" i="3"/>
  <c r="BJ334" i="3"/>
  <c r="BH334" i="3"/>
  <c r="AZ334" i="3"/>
  <c r="U334" i="3"/>
  <c r="T334" i="3"/>
  <c r="S334" i="3"/>
  <c r="R334" i="3"/>
  <c r="Q334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BW333" i="3"/>
  <c r="BV333" i="3"/>
  <c r="BU333" i="3"/>
  <c r="BT333" i="3"/>
  <c r="BS333" i="3"/>
  <c r="BR333" i="3"/>
  <c r="BQ333" i="3"/>
  <c r="BP333" i="3"/>
  <c r="BO333" i="3"/>
  <c r="BN333" i="3"/>
  <c r="BM333" i="3"/>
  <c r="BL333" i="3"/>
  <c r="BK333" i="3"/>
  <c r="BJ333" i="3"/>
  <c r="BH333" i="3"/>
  <c r="AZ333" i="3"/>
  <c r="U333" i="3"/>
  <c r="T333" i="3"/>
  <c r="S333" i="3"/>
  <c r="R333" i="3"/>
  <c r="Q333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BW332" i="3"/>
  <c r="BV332" i="3"/>
  <c r="BU332" i="3"/>
  <c r="BT332" i="3"/>
  <c r="BS332" i="3"/>
  <c r="BR332" i="3"/>
  <c r="BQ332" i="3"/>
  <c r="BP332" i="3"/>
  <c r="BO332" i="3"/>
  <c r="BN332" i="3"/>
  <c r="BM332" i="3"/>
  <c r="BL332" i="3"/>
  <c r="BK332" i="3"/>
  <c r="BJ332" i="3"/>
  <c r="BH332" i="3"/>
  <c r="AZ332" i="3"/>
  <c r="U332" i="3"/>
  <c r="T332" i="3"/>
  <c r="S332" i="3"/>
  <c r="R332" i="3"/>
  <c r="Q332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BW331" i="3"/>
  <c r="BV331" i="3"/>
  <c r="BU331" i="3"/>
  <c r="BT331" i="3"/>
  <c r="BS331" i="3"/>
  <c r="BR331" i="3"/>
  <c r="BQ331" i="3"/>
  <c r="BP331" i="3"/>
  <c r="BO331" i="3"/>
  <c r="BN331" i="3"/>
  <c r="BM331" i="3"/>
  <c r="BL331" i="3"/>
  <c r="BK331" i="3"/>
  <c r="BJ331" i="3"/>
  <c r="BH331" i="3"/>
  <c r="AZ331" i="3"/>
  <c r="U331" i="3"/>
  <c r="T331" i="3"/>
  <c r="S331" i="3"/>
  <c r="R331" i="3"/>
  <c r="Q331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BW330" i="3"/>
  <c r="BV330" i="3"/>
  <c r="BU330" i="3"/>
  <c r="BT330" i="3"/>
  <c r="BS330" i="3"/>
  <c r="BR330" i="3"/>
  <c r="BQ330" i="3"/>
  <c r="BP330" i="3"/>
  <c r="BO330" i="3"/>
  <c r="BN330" i="3"/>
  <c r="BM330" i="3"/>
  <c r="BL330" i="3"/>
  <c r="BK330" i="3"/>
  <c r="BJ330" i="3"/>
  <c r="BH330" i="3"/>
  <c r="AZ330" i="3"/>
  <c r="U330" i="3"/>
  <c r="T330" i="3"/>
  <c r="S330" i="3"/>
  <c r="R330" i="3"/>
  <c r="Q330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BW329" i="3"/>
  <c r="BV329" i="3"/>
  <c r="BU329" i="3"/>
  <c r="BT329" i="3"/>
  <c r="BS329" i="3"/>
  <c r="BR329" i="3"/>
  <c r="BQ329" i="3"/>
  <c r="BP329" i="3"/>
  <c r="BO329" i="3"/>
  <c r="BN329" i="3"/>
  <c r="BM329" i="3"/>
  <c r="BL329" i="3"/>
  <c r="BK329" i="3"/>
  <c r="BJ329" i="3"/>
  <c r="BH329" i="3"/>
  <c r="AZ329" i="3"/>
  <c r="U329" i="3"/>
  <c r="T329" i="3"/>
  <c r="S329" i="3"/>
  <c r="R329" i="3"/>
  <c r="Q329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BW328" i="3"/>
  <c r="BV328" i="3"/>
  <c r="BU328" i="3"/>
  <c r="BT328" i="3"/>
  <c r="BS328" i="3"/>
  <c r="BR328" i="3"/>
  <c r="BQ328" i="3"/>
  <c r="BP328" i="3"/>
  <c r="BO328" i="3"/>
  <c r="BN328" i="3"/>
  <c r="BM328" i="3"/>
  <c r="BL328" i="3"/>
  <c r="BK328" i="3"/>
  <c r="BJ328" i="3"/>
  <c r="BH328" i="3"/>
  <c r="AZ328" i="3"/>
  <c r="U328" i="3"/>
  <c r="T328" i="3"/>
  <c r="S328" i="3"/>
  <c r="R328" i="3"/>
  <c r="Q328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BW327" i="3"/>
  <c r="BV327" i="3"/>
  <c r="BU327" i="3"/>
  <c r="BT327" i="3"/>
  <c r="BS327" i="3"/>
  <c r="BR327" i="3"/>
  <c r="BQ327" i="3"/>
  <c r="BP327" i="3"/>
  <c r="BO327" i="3"/>
  <c r="BN327" i="3"/>
  <c r="BM327" i="3"/>
  <c r="BL327" i="3"/>
  <c r="BK327" i="3"/>
  <c r="BJ327" i="3"/>
  <c r="BH327" i="3"/>
  <c r="AZ327" i="3"/>
  <c r="U327" i="3"/>
  <c r="T327" i="3"/>
  <c r="S327" i="3"/>
  <c r="R327" i="3"/>
  <c r="Q327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BW326" i="3"/>
  <c r="BV326" i="3"/>
  <c r="BU326" i="3"/>
  <c r="BT326" i="3"/>
  <c r="BS326" i="3"/>
  <c r="BR326" i="3"/>
  <c r="BQ326" i="3"/>
  <c r="BP326" i="3"/>
  <c r="BO326" i="3"/>
  <c r="BN326" i="3"/>
  <c r="BM326" i="3"/>
  <c r="BL326" i="3"/>
  <c r="BK326" i="3"/>
  <c r="BJ326" i="3"/>
  <c r="BH326" i="3"/>
  <c r="AZ326" i="3"/>
  <c r="U326" i="3"/>
  <c r="T326" i="3"/>
  <c r="S326" i="3"/>
  <c r="R326" i="3"/>
  <c r="Q326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BW325" i="3"/>
  <c r="BV325" i="3"/>
  <c r="BU325" i="3"/>
  <c r="BT325" i="3"/>
  <c r="BS325" i="3"/>
  <c r="BR325" i="3"/>
  <c r="BQ325" i="3"/>
  <c r="BP325" i="3"/>
  <c r="BO325" i="3"/>
  <c r="BN325" i="3"/>
  <c r="BM325" i="3"/>
  <c r="BL325" i="3"/>
  <c r="BK325" i="3"/>
  <c r="BJ325" i="3"/>
  <c r="BH325" i="3"/>
  <c r="AZ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BW324" i="3"/>
  <c r="BV324" i="3"/>
  <c r="BU324" i="3"/>
  <c r="BT324" i="3"/>
  <c r="BS324" i="3"/>
  <c r="BR324" i="3"/>
  <c r="BQ324" i="3"/>
  <c r="BP324" i="3"/>
  <c r="BO324" i="3"/>
  <c r="BN324" i="3"/>
  <c r="BM324" i="3"/>
  <c r="BL324" i="3"/>
  <c r="BK324" i="3"/>
  <c r="BJ324" i="3"/>
  <c r="BH324" i="3"/>
  <c r="AZ324" i="3"/>
  <c r="U324" i="3"/>
  <c r="T324" i="3"/>
  <c r="S324" i="3"/>
  <c r="R324" i="3"/>
  <c r="Q324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BW323" i="3"/>
  <c r="BV323" i="3"/>
  <c r="BU323" i="3"/>
  <c r="BT323" i="3"/>
  <c r="BS323" i="3"/>
  <c r="BR323" i="3"/>
  <c r="BQ323" i="3"/>
  <c r="BP323" i="3"/>
  <c r="BO323" i="3"/>
  <c r="BN323" i="3"/>
  <c r="BM323" i="3"/>
  <c r="BL323" i="3"/>
  <c r="BK323" i="3"/>
  <c r="BJ323" i="3"/>
  <c r="BH323" i="3"/>
  <c r="AZ323" i="3"/>
  <c r="U323" i="3"/>
  <c r="T323" i="3"/>
  <c r="S323" i="3"/>
  <c r="R323" i="3"/>
  <c r="Q323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BW322" i="3"/>
  <c r="BV322" i="3"/>
  <c r="BU322" i="3"/>
  <c r="BT322" i="3"/>
  <c r="BS322" i="3"/>
  <c r="BR322" i="3"/>
  <c r="BQ322" i="3"/>
  <c r="BP322" i="3"/>
  <c r="BO322" i="3"/>
  <c r="BN322" i="3"/>
  <c r="BM322" i="3"/>
  <c r="BL322" i="3"/>
  <c r="BK322" i="3"/>
  <c r="BJ322" i="3"/>
  <c r="BH322" i="3"/>
  <c r="AZ322" i="3"/>
  <c r="U322" i="3"/>
  <c r="T322" i="3"/>
  <c r="S322" i="3"/>
  <c r="R322" i="3"/>
  <c r="Q322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BW321" i="3"/>
  <c r="BV321" i="3"/>
  <c r="BU321" i="3"/>
  <c r="BT321" i="3"/>
  <c r="BS321" i="3"/>
  <c r="BR321" i="3"/>
  <c r="BQ321" i="3"/>
  <c r="BP321" i="3"/>
  <c r="BO321" i="3"/>
  <c r="BN321" i="3"/>
  <c r="BM321" i="3"/>
  <c r="BL321" i="3"/>
  <c r="BK321" i="3"/>
  <c r="BJ321" i="3"/>
  <c r="BH321" i="3"/>
  <c r="AZ321" i="3"/>
  <c r="U321" i="3"/>
  <c r="T321" i="3"/>
  <c r="S321" i="3"/>
  <c r="R321" i="3"/>
  <c r="Q321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BW320" i="3"/>
  <c r="BV320" i="3"/>
  <c r="BU320" i="3"/>
  <c r="BT320" i="3"/>
  <c r="BS320" i="3"/>
  <c r="BR320" i="3"/>
  <c r="BQ320" i="3"/>
  <c r="BP320" i="3"/>
  <c r="BO320" i="3"/>
  <c r="BN320" i="3"/>
  <c r="BM320" i="3"/>
  <c r="BL320" i="3"/>
  <c r="BK320" i="3"/>
  <c r="BJ320" i="3"/>
  <c r="BH320" i="3"/>
  <c r="AZ320" i="3"/>
  <c r="U320" i="3"/>
  <c r="T320" i="3"/>
  <c r="S320" i="3"/>
  <c r="R320" i="3"/>
  <c r="Q320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BW319" i="3"/>
  <c r="BV319" i="3"/>
  <c r="BU319" i="3"/>
  <c r="BT319" i="3"/>
  <c r="BS319" i="3"/>
  <c r="BR319" i="3"/>
  <c r="BQ319" i="3"/>
  <c r="BP319" i="3"/>
  <c r="BO319" i="3"/>
  <c r="BN319" i="3"/>
  <c r="BM319" i="3"/>
  <c r="BL319" i="3"/>
  <c r="BK319" i="3"/>
  <c r="BJ319" i="3"/>
  <c r="BH319" i="3"/>
  <c r="AZ319" i="3"/>
  <c r="U319" i="3"/>
  <c r="T319" i="3"/>
  <c r="S319" i="3"/>
  <c r="R319" i="3"/>
  <c r="Q319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BW318" i="3"/>
  <c r="BV318" i="3"/>
  <c r="BU318" i="3"/>
  <c r="BT318" i="3"/>
  <c r="BS318" i="3"/>
  <c r="BR318" i="3"/>
  <c r="BQ318" i="3"/>
  <c r="BP318" i="3"/>
  <c r="BO318" i="3"/>
  <c r="BN318" i="3"/>
  <c r="BM318" i="3"/>
  <c r="BL318" i="3"/>
  <c r="BK318" i="3"/>
  <c r="BJ318" i="3"/>
  <c r="BH318" i="3"/>
  <c r="AZ318" i="3"/>
  <c r="U318" i="3"/>
  <c r="T318" i="3"/>
  <c r="S318" i="3"/>
  <c r="R318" i="3"/>
  <c r="Q318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BW317" i="3"/>
  <c r="BV317" i="3"/>
  <c r="BU317" i="3"/>
  <c r="BT317" i="3"/>
  <c r="BS317" i="3"/>
  <c r="BR317" i="3"/>
  <c r="BQ317" i="3"/>
  <c r="BP317" i="3"/>
  <c r="BO317" i="3"/>
  <c r="BN317" i="3"/>
  <c r="BM317" i="3"/>
  <c r="BL317" i="3"/>
  <c r="BK317" i="3"/>
  <c r="BJ317" i="3"/>
  <c r="BH317" i="3"/>
  <c r="AZ317" i="3"/>
  <c r="U317" i="3"/>
  <c r="T317" i="3"/>
  <c r="S317" i="3"/>
  <c r="R317" i="3"/>
  <c r="Q317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BW316" i="3"/>
  <c r="BV316" i="3"/>
  <c r="BU316" i="3"/>
  <c r="BT316" i="3"/>
  <c r="BS316" i="3"/>
  <c r="BR316" i="3"/>
  <c r="BQ316" i="3"/>
  <c r="BP316" i="3"/>
  <c r="BO316" i="3"/>
  <c r="BN316" i="3"/>
  <c r="BM316" i="3"/>
  <c r="BL316" i="3"/>
  <c r="BK316" i="3"/>
  <c r="BJ316" i="3"/>
  <c r="BH316" i="3"/>
  <c r="AZ316" i="3"/>
  <c r="U316" i="3"/>
  <c r="T316" i="3"/>
  <c r="S316" i="3"/>
  <c r="R316" i="3"/>
  <c r="Q316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BW315" i="3"/>
  <c r="BV315" i="3"/>
  <c r="BU315" i="3"/>
  <c r="BT315" i="3"/>
  <c r="BS315" i="3"/>
  <c r="BR315" i="3"/>
  <c r="BQ315" i="3"/>
  <c r="BP315" i="3"/>
  <c r="BO315" i="3"/>
  <c r="BN315" i="3"/>
  <c r="BM315" i="3"/>
  <c r="BL315" i="3"/>
  <c r="BK315" i="3"/>
  <c r="BJ315" i="3"/>
  <c r="BH315" i="3"/>
  <c r="AZ315" i="3"/>
  <c r="U315" i="3"/>
  <c r="T315" i="3"/>
  <c r="S315" i="3"/>
  <c r="R315" i="3"/>
  <c r="Q315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BW314" i="3"/>
  <c r="BV314" i="3"/>
  <c r="BU314" i="3"/>
  <c r="BT314" i="3"/>
  <c r="BS314" i="3"/>
  <c r="BR314" i="3"/>
  <c r="BQ314" i="3"/>
  <c r="BP314" i="3"/>
  <c r="BO314" i="3"/>
  <c r="BN314" i="3"/>
  <c r="BM314" i="3"/>
  <c r="BL314" i="3"/>
  <c r="BK314" i="3"/>
  <c r="BJ314" i="3"/>
  <c r="BH314" i="3"/>
  <c r="AZ314" i="3"/>
  <c r="U314" i="3"/>
  <c r="T314" i="3"/>
  <c r="S314" i="3"/>
  <c r="R314" i="3"/>
  <c r="Q314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BW313" i="3"/>
  <c r="BV313" i="3"/>
  <c r="BU313" i="3"/>
  <c r="BT313" i="3"/>
  <c r="BS313" i="3"/>
  <c r="BR313" i="3"/>
  <c r="BQ313" i="3"/>
  <c r="BP313" i="3"/>
  <c r="BO313" i="3"/>
  <c r="BN313" i="3"/>
  <c r="BM313" i="3"/>
  <c r="BL313" i="3"/>
  <c r="BK313" i="3"/>
  <c r="BJ313" i="3"/>
  <c r="BH313" i="3"/>
  <c r="AZ313" i="3"/>
  <c r="U313" i="3"/>
  <c r="T313" i="3"/>
  <c r="S313" i="3"/>
  <c r="R313" i="3"/>
  <c r="Q313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BW312" i="3"/>
  <c r="BV312" i="3"/>
  <c r="BU312" i="3"/>
  <c r="BT312" i="3"/>
  <c r="BS312" i="3"/>
  <c r="BR312" i="3"/>
  <c r="BQ312" i="3"/>
  <c r="BP312" i="3"/>
  <c r="BO312" i="3"/>
  <c r="BN312" i="3"/>
  <c r="BM312" i="3"/>
  <c r="BL312" i="3"/>
  <c r="BK312" i="3"/>
  <c r="BJ312" i="3"/>
  <c r="BH312" i="3"/>
  <c r="AZ312" i="3"/>
  <c r="U312" i="3"/>
  <c r="T312" i="3"/>
  <c r="S312" i="3"/>
  <c r="R312" i="3"/>
  <c r="Q312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BW311" i="3"/>
  <c r="BV311" i="3"/>
  <c r="BU311" i="3"/>
  <c r="BT311" i="3"/>
  <c r="BS311" i="3"/>
  <c r="BR311" i="3"/>
  <c r="BQ311" i="3"/>
  <c r="BP311" i="3"/>
  <c r="BO311" i="3"/>
  <c r="BN311" i="3"/>
  <c r="BM311" i="3"/>
  <c r="BL311" i="3"/>
  <c r="BK311" i="3"/>
  <c r="BJ311" i="3"/>
  <c r="BH311" i="3"/>
  <c r="AZ311" i="3"/>
  <c r="U311" i="3"/>
  <c r="T311" i="3"/>
  <c r="S311" i="3"/>
  <c r="R311" i="3"/>
  <c r="Q311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BW310" i="3"/>
  <c r="BV310" i="3"/>
  <c r="BU310" i="3"/>
  <c r="BT310" i="3"/>
  <c r="BS310" i="3"/>
  <c r="BR310" i="3"/>
  <c r="BQ310" i="3"/>
  <c r="BP310" i="3"/>
  <c r="BO310" i="3"/>
  <c r="BN310" i="3"/>
  <c r="BM310" i="3"/>
  <c r="BL310" i="3"/>
  <c r="BK310" i="3"/>
  <c r="BJ310" i="3"/>
  <c r="BH310" i="3"/>
  <c r="AZ310" i="3"/>
  <c r="U310" i="3"/>
  <c r="T310" i="3"/>
  <c r="S310" i="3"/>
  <c r="R310" i="3"/>
  <c r="Q310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BW309" i="3"/>
  <c r="BV309" i="3"/>
  <c r="BU309" i="3"/>
  <c r="BT309" i="3"/>
  <c r="BS309" i="3"/>
  <c r="BR309" i="3"/>
  <c r="BQ309" i="3"/>
  <c r="BP309" i="3"/>
  <c r="BO309" i="3"/>
  <c r="BN309" i="3"/>
  <c r="BM309" i="3"/>
  <c r="BL309" i="3"/>
  <c r="BK309" i="3"/>
  <c r="BJ309" i="3"/>
  <c r="BH309" i="3"/>
  <c r="AZ309" i="3"/>
  <c r="U309" i="3"/>
  <c r="T309" i="3"/>
  <c r="S309" i="3"/>
  <c r="R309" i="3"/>
  <c r="Q309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BW308" i="3"/>
  <c r="BV308" i="3"/>
  <c r="BU308" i="3"/>
  <c r="BT308" i="3"/>
  <c r="BS308" i="3"/>
  <c r="BR308" i="3"/>
  <c r="BQ308" i="3"/>
  <c r="BP308" i="3"/>
  <c r="BO308" i="3"/>
  <c r="BN308" i="3"/>
  <c r="BM308" i="3"/>
  <c r="BL308" i="3"/>
  <c r="BK308" i="3"/>
  <c r="BJ308" i="3"/>
  <c r="BH308" i="3"/>
  <c r="AZ308" i="3"/>
  <c r="U308" i="3"/>
  <c r="T308" i="3"/>
  <c r="S308" i="3"/>
  <c r="R308" i="3"/>
  <c r="Q308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BW307" i="3"/>
  <c r="BV307" i="3"/>
  <c r="BU307" i="3"/>
  <c r="BT307" i="3"/>
  <c r="BS307" i="3"/>
  <c r="BR307" i="3"/>
  <c r="BQ307" i="3"/>
  <c r="BP307" i="3"/>
  <c r="BO307" i="3"/>
  <c r="BN307" i="3"/>
  <c r="BM307" i="3"/>
  <c r="BL307" i="3"/>
  <c r="BK307" i="3"/>
  <c r="BJ307" i="3"/>
  <c r="BH307" i="3"/>
  <c r="AZ307" i="3"/>
  <c r="U307" i="3"/>
  <c r="T307" i="3"/>
  <c r="S307" i="3"/>
  <c r="R307" i="3"/>
  <c r="Q307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BW306" i="3"/>
  <c r="BV306" i="3"/>
  <c r="BU306" i="3"/>
  <c r="BT306" i="3"/>
  <c r="BS306" i="3"/>
  <c r="BR306" i="3"/>
  <c r="BQ306" i="3"/>
  <c r="BP306" i="3"/>
  <c r="BO306" i="3"/>
  <c r="BN306" i="3"/>
  <c r="BM306" i="3"/>
  <c r="BL306" i="3"/>
  <c r="BK306" i="3"/>
  <c r="BJ306" i="3"/>
  <c r="BH306" i="3"/>
  <c r="AZ306" i="3"/>
  <c r="U306" i="3"/>
  <c r="T306" i="3"/>
  <c r="S306" i="3"/>
  <c r="R306" i="3"/>
  <c r="Q306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BW305" i="3"/>
  <c r="BV305" i="3"/>
  <c r="BU305" i="3"/>
  <c r="BT305" i="3"/>
  <c r="BS305" i="3"/>
  <c r="BR305" i="3"/>
  <c r="BQ305" i="3"/>
  <c r="BP305" i="3"/>
  <c r="BO305" i="3"/>
  <c r="BN305" i="3"/>
  <c r="BM305" i="3"/>
  <c r="BL305" i="3"/>
  <c r="BK305" i="3"/>
  <c r="BJ305" i="3"/>
  <c r="BH305" i="3"/>
  <c r="AZ305" i="3"/>
  <c r="U305" i="3"/>
  <c r="T305" i="3"/>
  <c r="S305" i="3"/>
  <c r="R305" i="3"/>
  <c r="Q305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BW304" i="3"/>
  <c r="BV304" i="3"/>
  <c r="BU304" i="3"/>
  <c r="BT304" i="3"/>
  <c r="BS304" i="3"/>
  <c r="BR304" i="3"/>
  <c r="BQ304" i="3"/>
  <c r="BP304" i="3"/>
  <c r="BO304" i="3"/>
  <c r="BN304" i="3"/>
  <c r="BM304" i="3"/>
  <c r="BL304" i="3"/>
  <c r="BK304" i="3"/>
  <c r="BJ304" i="3"/>
  <c r="BH304" i="3"/>
  <c r="AZ304" i="3"/>
  <c r="U304" i="3"/>
  <c r="T304" i="3"/>
  <c r="S304" i="3"/>
  <c r="R304" i="3"/>
  <c r="Q304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BW303" i="3"/>
  <c r="BV303" i="3"/>
  <c r="BU303" i="3"/>
  <c r="BT303" i="3"/>
  <c r="BS303" i="3"/>
  <c r="BR303" i="3"/>
  <c r="BQ303" i="3"/>
  <c r="BP303" i="3"/>
  <c r="BO303" i="3"/>
  <c r="BN303" i="3"/>
  <c r="BM303" i="3"/>
  <c r="BL303" i="3"/>
  <c r="BK303" i="3"/>
  <c r="BJ303" i="3"/>
  <c r="BH303" i="3"/>
  <c r="AZ303" i="3"/>
  <c r="U303" i="3"/>
  <c r="T303" i="3"/>
  <c r="S303" i="3"/>
  <c r="R303" i="3"/>
  <c r="Q303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BW302" i="3"/>
  <c r="BV302" i="3"/>
  <c r="BU302" i="3"/>
  <c r="BT302" i="3"/>
  <c r="BS302" i="3"/>
  <c r="BR302" i="3"/>
  <c r="BQ302" i="3"/>
  <c r="BP302" i="3"/>
  <c r="BO302" i="3"/>
  <c r="BN302" i="3"/>
  <c r="BM302" i="3"/>
  <c r="BL302" i="3"/>
  <c r="BK302" i="3"/>
  <c r="BJ302" i="3"/>
  <c r="BH302" i="3"/>
  <c r="AZ302" i="3"/>
  <c r="U302" i="3"/>
  <c r="T302" i="3"/>
  <c r="S302" i="3"/>
  <c r="R302" i="3"/>
  <c r="Q302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BW301" i="3"/>
  <c r="BV301" i="3"/>
  <c r="BU301" i="3"/>
  <c r="BT301" i="3"/>
  <c r="BS301" i="3"/>
  <c r="BR301" i="3"/>
  <c r="BQ301" i="3"/>
  <c r="BP301" i="3"/>
  <c r="BO301" i="3"/>
  <c r="BN301" i="3"/>
  <c r="BM301" i="3"/>
  <c r="BL301" i="3"/>
  <c r="BK301" i="3"/>
  <c r="BJ301" i="3"/>
  <c r="BH301" i="3"/>
  <c r="AZ301" i="3"/>
  <c r="U301" i="3"/>
  <c r="T301" i="3"/>
  <c r="S301" i="3"/>
  <c r="R301" i="3"/>
  <c r="Q301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BW300" i="3"/>
  <c r="BV300" i="3"/>
  <c r="BU300" i="3"/>
  <c r="BT300" i="3"/>
  <c r="BS300" i="3"/>
  <c r="BR300" i="3"/>
  <c r="BQ300" i="3"/>
  <c r="BP300" i="3"/>
  <c r="BO300" i="3"/>
  <c r="BN300" i="3"/>
  <c r="BM300" i="3"/>
  <c r="BL300" i="3"/>
  <c r="BK300" i="3"/>
  <c r="BJ300" i="3"/>
  <c r="BH300" i="3"/>
  <c r="AZ300" i="3"/>
  <c r="U300" i="3"/>
  <c r="T300" i="3"/>
  <c r="S300" i="3"/>
  <c r="R300" i="3"/>
  <c r="Q300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BW299" i="3"/>
  <c r="BV299" i="3"/>
  <c r="BU299" i="3"/>
  <c r="BT299" i="3"/>
  <c r="BS299" i="3"/>
  <c r="BR299" i="3"/>
  <c r="BQ299" i="3"/>
  <c r="BP299" i="3"/>
  <c r="BO299" i="3"/>
  <c r="BN299" i="3"/>
  <c r="BM299" i="3"/>
  <c r="BL299" i="3"/>
  <c r="BK299" i="3"/>
  <c r="BJ299" i="3"/>
  <c r="BH299" i="3"/>
  <c r="AZ299" i="3"/>
  <c r="U299" i="3"/>
  <c r="T299" i="3"/>
  <c r="S299" i="3"/>
  <c r="R299" i="3"/>
  <c r="Q299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BW298" i="3"/>
  <c r="BV298" i="3"/>
  <c r="BU298" i="3"/>
  <c r="BT298" i="3"/>
  <c r="BS298" i="3"/>
  <c r="BR298" i="3"/>
  <c r="BQ298" i="3"/>
  <c r="BP298" i="3"/>
  <c r="BO298" i="3"/>
  <c r="BN298" i="3"/>
  <c r="BM298" i="3"/>
  <c r="BL298" i="3"/>
  <c r="BK298" i="3"/>
  <c r="BJ298" i="3"/>
  <c r="BH298" i="3"/>
  <c r="AZ298" i="3"/>
  <c r="U298" i="3"/>
  <c r="T298" i="3"/>
  <c r="S298" i="3"/>
  <c r="R298" i="3"/>
  <c r="Q298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BW297" i="3"/>
  <c r="BV297" i="3"/>
  <c r="BU297" i="3"/>
  <c r="BT297" i="3"/>
  <c r="BS297" i="3"/>
  <c r="BR297" i="3"/>
  <c r="BQ297" i="3"/>
  <c r="BP297" i="3"/>
  <c r="BO297" i="3"/>
  <c r="BN297" i="3"/>
  <c r="BM297" i="3"/>
  <c r="BL297" i="3"/>
  <c r="BK297" i="3"/>
  <c r="BJ297" i="3"/>
  <c r="BH297" i="3"/>
  <c r="AZ297" i="3"/>
  <c r="U297" i="3"/>
  <c r="T297" i="3"/>
  <c r="S297" i="3"/>
  <c r="R297" i="3"/>
  <c r="Q297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BW296" i="3"/>
  <c r="BV296" i="3"/>
  <c r="BU296" i="3"/>
  <c r="BT296" i="3"/>
  <c r="BS296" i="3"/>
  <c r="BR296" i="3"/>
  <c r="BQ296" i="3"/>
  <c r="BP296" i="3"/>
  <c r="BO296" i="3"/>
  <c r="BN296" i="3"/>
  <c r="BM296" i="3"/>
  <c r="BL296" i="3"/>
  <c r="BK296" i="3"/>
  <c r="BJ296" i="3"/>
  <c r="BH296" i="3"/>
  <c r="AZ296" i="3"/>
  <c r="U296" i="3"/>
  <c r="T296" i="3"/>
  <c r="S296" i="3"/>
  <c r="R296" i="3"/>
  <c r="Q296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BW295" i="3"/>
  <c r="BV295" i="3"/>
  <c r="BU295" i="3"/>
  <c r="BT295" i="3"/>
  <c r="BS295" i="3"/>
  <c r="BR295" i="3"/>
  <c r="BQ295" i="3"/>
  <c r="BP295" i="3"/>
  <c r="BO295" i="3"/>
  <c r="BN295" i="3"/>
  <c r="BM295" i="3"/>
  <c r="BL295" i="3"/>
  <c r="BK295" i="3"/>
  <c r="BJ295" i="3"/>
  <c r="BH295" i="3"/>
  <c r="AZ295" i="3"/>
  <c r="U295" i="3"/>
  <c r="T295" i="3"/>
  <c r="S295" i="3"/>
  <c r="R295" i="3"/>
  <c r="Q295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BW294" i="3"/>
  <c r="BV294" i="3"/>
  <c r="BU294" i="3"/>
  <c r="BT294" i="3"/>
  <c r="BS294" i="3"/>
  <c r="BR294" i="3"/>
  <c r="BQ294" i="3"/>
  <c r="BP294" i="3"/>
  <c r="BO294" i="3"/>
  <c r="BN294" i="3"/>
  <c r="BM294" i="3"/>
  <c r="BL294" i="3"/>
  <c r="BK294" i="3"/>
  <c r="BJ294" i="3"/>
  <c r="BH294" i="3"/>
  <c r="AZ294" i="3"/>
  <c r="U294" i="3"/>
  <c r="T294" i="3"/>
  <c r="S294" i="3"/>
  <c r="R294" i="3"/>
  <c r="Q294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BW293" i="3"/>
  <c r="BV293" i="3"/>
  <c r="BU293" i="3"/>
  <c r="BT293" i="3"/>
  <c r="BS293" i="3"/>
  <c r="BR293" i="3"/>
  <c r="BQ293" i="3"/>
  <c r="BP293" i="3"/>
  <c r="BO293" i="3"/>
  <c r="BN293" i="3"/>
  <c r="BM293" i="3"/>
  <c r="BL293" i="3"/>
  <c r="BK293" i="3"/>
  <c r="BJ293" i="3"/>
  <c r="BH293" i="3"/>
  <c r="AZ293" i="3"/>
  <c r="U293" i="3"/>
  <c r="T293" i="3"/>
  <c r="S293" i="3"/>
  <c r="R293" i="3"/>
  <c r="Q293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BW292" i="3"/>
  <c r="BV292" i="3"/>
  <c r="BU292" i="3"/>
  <c r="BT292" i="3"/>
  <c r="BS292" i="3"/>
  <c r="BR292" i="3"/>
  <c r="BQ292" i="3"/>
  <c r="BP292" i="3"/>
  <c r="BO292" i="3"/>
  <c r="BN292" i="3"/>
  <c r="BM292" i="3"/>
  <c r="BL292" i="3"/>
  <c r="BK292" i="3"/>
  <c r="BJ292" i="3"/>
  <c r="BH292" i="3"/>
  <c r="AZ292" i="3"/>
  <c r="U292" i="3"/>
  <c r="T292" i="3"/>
  <c r="S292" i="3"/>
  <c r="R292" i="3"/>
  <c r="Q292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BW291" i="3"/>
  <c r="BV291" i="3"/>
  <c r="BU291" i="3"/>
  <c r="BT291" i="3"/>
  <c r="BS291" i="3"/>
  <c r="BR291" i="3"/>
  <c r="BQ291" i="3"/>
  <c r="BP291" i="3"/>
  <c r="BO291" i="3"/>
  <c r="BN291" i="3"/>
  <c r="BM291" i="3"/>
  <c r="BL291" i="3"/>
  <c r="BK291" i="3"/>
  <c r="BJ291" i="3"/>
  <c r="BH291" i="3"/>
  <c r="AZ291" i="3"/>
  <c r="U291" i="3"/>
  <c r="T291" i="3"/>
  <c r="S291" i="3"/>
  <c r="R291" i="3"/>
  <c r="Q291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BW290" i="3"/>
  <c r="BV290" i="3"/>
  <c r="BU290" i="3"/>
  <c r="BT290" i="3"/>
  <c r="BS290" i="3"/>
  <c r="BR290" i="3"/>
  <c r="BQ290" i="3"/>
  <c r="BP290" i="3"/>
  <c r="BO290" i="3"/>
  <c r="BN290" i="3"/>
  <c r="BM290" i="3"/>
  <c r="BL290" i="3"/>
  <c r="BK290" i="3"/>
  <c r="BJ290" i="3"/>
  <c r="BH290" i="3"/>
  <c r="AZ290" i="3"/>
  <c r="U290" i="3"/>
  <c r="T290" i="3"/>
  <c r="S290" i="3"/>
  <c r="R290" i="3"/>
  <c r="Q290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BW289" i="3"/>
  <c r="BV289" i="3"/>
  <c r="BU289" i="3"/>
  <c r="BT289" i="3"/>
  <c r="BS289" i="3"/>
  <c r="BR289" i="3"/>
  <c r="BQ289" i="3"/>
  <c r="BP289" i="3"/>
  <c r="BO289" i="3"/>
  <c r="BN289" i="3"/>
  <c r="BM289" i="3"/>
  <c r="BL289" i="3"/>
  <c r="BK289" i="3"/>
  <c r="BJ289" i="3"/>
  <c r="BH289" i="3"/>
  <c r="AZ289" i="3"/>
  <c r="U289" i="3"/>
  <c r="T289" i="3"/>
  <c r="S289" i="3"/>
  <c r="R289" i="3"/>
  <c r="Q289" i="3"/>
  <c r="P289" i="3"/>
  <c r="O289" i="3"/>
  <c r="N289" i="3"/>
  <c r="M289" i="3"/>
  <c r="L289" i="3"/>
  <c r="K289" i="3"/>
  <c r="J289" i="3"/>
  <c r="I289" i="3"/>
  <c r="H289" i="3"/>
  <c r="G289" i="3"/>
  <c r="F289" i="3"/>
  <c r="E289" i="3"/>
  <c r="D289" i="3"/>
  <c r="C289" i="3"/>
  <c r="B289" i="3"/>
  <c r="A289" i="3"/>
  <c r="BW288" i="3"/>
  <c r="BV288" i="3"/>
  <c r="BU288" i="3"/>
  <c r="BT288" i="3"/>
  <c r="BS288" i="3"/>
  <c r="BR288" i="3"/>
  <c r="BQ288" i="3"/>
  <c r="BP288" i="3"/>
  <c r="BO288" i="3"/>
  <c r="BN288" i="3"/>
  <c r="BM288" i="3"/>
  <c r="BL288" i="3"/>
  <c r="BK288" i="3"/>
  <c r="BJ288" i="3"/>
  <c r="BH288" i="3"/>
  <c r="AZ288" i="3"/>
  <c r="U288" i="3"/>
  <c r="T288" i="3"/>
  <c r="S288" i="3"/>
  <c r="R288" i="3"/>
  <c r="Q288" i="3"/>
  <c r="P288" i="3"/>
  <c r="O288" i="3"/>
  <c r="N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BW287" i="3"/>
  <c r="BV287" i="3"/>
  <c r="BU287" i="3"/>
  <c r="BT287" i="3"/>
  <c r="BS287" i="3"/>
  <c r="BR287" i="3"/>
  <c r="BQ287" i="3"/>
  <c r="BP287" i="3"/>
  <c r="BO287" i="3"/>
  <c r="BN287" i="3"/>
  <c r="BM287" i="3"/>
  <c r="BL287" i="3"/>
  <c r="BK287" i="3"/>
  <c r="BJ287" i="3"/>
  <c r="BH287" i="3"/>
  <c r="AZ287" i="3"/>
  <c r="U287" i="3"/>
  <c r="T287" i="3"/>
  <c r="S287" i="3"/>
  <c r="R287" i="3"/>
  <c r="Q287" i="3"/>
  <c r="P287" i="3"/>
  <c r="O287" i="3"/>
  <c r="N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BW286" i="3"/>
  <c r="BV286" i="3"/>
  <c r="BU286" i="3"/>
  <c r="BT286" i="3"/>
  <c r="BS286" i="3"/>
  <c r="BR286" i="3"/>
  <c r="BQ286" i="3"/>
  <c r="BP286" i="3"/>
  <c r="BO286" i="3"/>
  <c r="BN286" i="3"/>
  <c r="BM286" i="3"/>
  <c r="BL286" i="3"/>
  <c r="BK286" i="3"/>
  <c r="BJ286" i="3"/>
  <c r="BH286" i="3"/>
  <c r="AZ286" i="3"/>
  <c r="U286" i="3"/>
  <c r="T286" i="3"/>
  <c r="S286" i="3"/>
  <c r="R286" i="3"/>
  <c r="Q286" i="3"/>
  <c r="P286" i="3"/>
  <c r="O286" i="3"/>
  <c r="N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A286" i="3"/>
  <c r="BW285" i="3"/>
  <c r="BV285" i="3"/>
  <c r="BU285" i="3"/>
  <c r="BT285" i="3"/>
  <c r="BS285" i="3"/>
  <c r="BR285" i="3"/>
  <c r="BQ285" i="3"/>
  <c r="BP285" i="3"/>
  <c r="BO285" i="3"/>
  <c r="BN285" i="3"/>
  <c r="BM285" i="3"/>
  <c r="BL285" i="3"/>
  <c r="BK285" i="3"/>
  <c r="BJ285" i="3"/>
  <c r="BH285" i="3"/>
  <c r="AZ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B285" i="3"/>
  <c r="A285" i="3"/>
  <c r="BW284" i="3"/>
  <c r="BV284" i="3"/>
  <c r="BU284" i="3"/>
  <c r="BT284" i="3"/>
  <c r="BS284" i="3"/>
  <c r="BR284" i="3"/>
  <c r="BQ284" i="3"/>
  <c r="BP284" i="3"/>
  <c r="BO284" i="3"/>
  <c r="BN284" i="3"/>
  <c r="BM284" i="3"/>
  <c r="BL284" i="3"/>
  <c r="BK284" i="3"/>
  <c r="BJ284" i="3"/>
  <c r="BH284" i="3"/>
  <c r="AZ284" i="3"/>
  <c r="U284" i="3"/>
  <c r="T284" i="3"/>
  <c r="S284" i="3"/>
  <c r="R284" i="3"/>
  <c r="Q284" i="3"/>
  <c r="P284" i="3"/>
  <c r="O284" i="3"/>
  <c r="N284" i="3"/>
  <c r="M284" i="3"/>
  <c r="L284" i="3"/>
  <c r="K284" i="3"/>
  <c r="J284" i="3"/>
  <c r="I284" i="3"/>
  <c r="H284" i="3"/>
  <c r="G284" i="3"/>
  <c r="F284" i="3"/>
  <c r="E284" i="3"/>
  <c r="D284" i="3"/>
  <c r="C284" i="3"/>
  <c r="B284" i="3"/>
  <c r="A284" i="3"/>
  <c r="BW283" i="3"/>
  <c r="BV283" i="3"/>
  <c r="BU283" i="3"/>
  <c r="BT283" i="3"/>
  <c r="BS283" i="3"/>
  <c r="BR283" i="3"/>
  <c r="BQ283" i="3"/>
  <c r="BP283" i="3"/>
  <c r="BO283" i="3"/>
  <c r="BN283" i="3"/>
  <c r="BM283" i="3"/>
  <c r="BL283" i="3"/>
  <c r="BK283" i="3"/>
  <c r="BJ283" i="3"/>
  <c r="BH283" i="3"/>
  <c r="AZ283" i="3"/>
  <c r="U283" i="3"/>
  <c r="T283" i="3"/>
  <c r="S283" i="3"/>
  <c r="R283" i="3"/>
  <c r="Q283" i="3"/>
  <c r="P283" i="3"/>
  <c r="O283" i="3"/>
  <c r="N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BW282" i="3"/>
  <c r="BV282" i="3"/>
  <c r="BU282" i="3"/>
  <c r="BT282" i="3"/>
  <c r="BS282" i="3"/>
  <c r="BR282" i="3"/>
  <c r="BQ282" i="3"/>
  <c r="BP282" i="3"/>
  <c r="BO282" i="3"/>
  <c r="BN282" i="3"/>
  <c r="BM282" i="3"/>
  <c r="BL282" i="3"/>
  <c r="BK282" i="3"/>
  <c r="BJ282" i="3"/>
  <c r="BH282" i="3"/>
  <c r="AZ282" i="3"/>
  <c r="U282" i="3"/>
  <c r="T282" i="3"/>
  <c r="S282" i="3"/>
  <c r="R282" i="3"/>
  <c r="Q282" i="3"/>
  <c r="P282" i="3"/>
  <c r="O282" i="3"/>
  <c r="N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A282" i="3"/>
  <c r="BW281" i="3"/>
  <c r="BV281" i="3"/>
  <c r="BU281" i="3"/>
  <c r="BT281" i="3"/>
  <c r="BS281" i="3"/>
  <c r="BR281" i="3"/>
  <c r="BQ281" i="3"/>
  <c r="BP281" i="3"/>
  <c r="BO281" i="3"/>
  <c r="BN281" i="3"/>
  <c r="BM281" i="3"/>
  <c r="BL281" i="3"/>
  <c r="BK281" i="3"/>
  <c r="BJ281" i="3"/>
  <c r="BH281" i="3"/>
  <c r="AZ281" i="3"/>
  <c r="U281" i="3"/>
  <c r="T281" i="3"/>
  <c r="S281" i="3"/>
  <c r="R281" i="3"/>
  <c r="Q281" i="3"/>
  <c r="P281" i="3"/>
  <c r="O281" i="3"/>
  <c r="N281" i="3"/>
  <c r="M281" i="3"/>
  <c r="L281" i="3"/>
  <c r="K281" i="3"/>
  <c r="J281" i="3"/>
  <c r="I281" i="3"/>
  <c r="H281" i="3"/>
  <c r="G281" i="3"/>
  <c r="F281" i="3"/>
  <c r="E281" i="3"/>
  <c r="D281" i="3"/>
  <c r="C281" i="3"/>
  <c r="B281" i="3"/>
  <c r="A281" i="3"/>
  <c r="BW280" i="3"/>
  <c r="BV280" i="3"/>
  <c r="BU280" i="3"/>
  <c r="BT280" i="3"/>
  <c r="BS280" i="3"/>
  <c r="BR280" i="3"/>
  <c r="BQ280" i="3"/>
  <c r="BP280" i="3"/>
  <c r="BO280" i="3"/>
  <c r="BN280" i="3"/>
  <c r="BM280" i="3"/>
  <c r="BL280" i="3"/>
  <c r="BK280" i="3"/>
  <c r="BJ280" i="3"/>
  <c r="BH280" i="3"/>
  <c r="AZ280" i="3"/>
  <c r="U280" i="3"/>
  <c r="T280" i="3"/>
  <c r="S280" i="3"/>
  <c r="R280" i="3"/>
  <c r="Q280" i="3"/>
  <c r="P280" i="3"/>
  <c r="O280" i="3"/>
  <c r="N280" i="3"/>
  <c r="M280" i="3"/>
  <c r="L280" i="3"/>
  <c r="K280" i="3"/>
  <c r="J280" i="3"/>
  <c r="I280" i="3"/>
  <c r="H280" i="3"/>
  <c r="G280" i="3"/>
  <c r="F280" i="3"/>
  <c r="E280" i="3"/>
  <c r="D280" i="3"/>
  <c r="C280" i="3"/>
  <c r="B280" i="3"/>
  <c r="A280" i="3"/>
  <c r="BW279" i="3"/>
  <c r="BV279" i="3"/>
  <c r="BU279" i="3"/>
  <c r="BT279" i="3"/>
  <c r="BS279" i="3"/>
  <c r="BR279" i="3"/>
  <c r="BQ279" i="3"/>
  <c r="BP279" i="3"/>
  <c r="BO279" i="3"/>
  <c r="BN279" i="3"/>
  <c r="BM279" i="3"/>
  <c r="BL279" i="3"/>
  <c r="BK279" i="3"/>
  <c r="BJ279" i="3"/>
  <c r="BH279" i="3"/>
  <c r="AZ279" i="3"/>
  <c r="U279" i="3"/>
  <c r="T279" i="3"/>
  <c r="S279" i="3"/>
  <c r="R279" i="3"/>
  <c r="Q279" i="3"/>
  <c r="P279" i="3"/>
  <c r="O279" i="3"/>
  <c r="N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BW278" i="3"/>
  <c r="BV278" i="3"/>
  <c r="BU278" i="3"/>
  <c r="BT278" i="3"/>
  <c r="BS278" i="3"/>
  <c r="BR278" i="3"/>
  <c r="BQ278" i="3"/>
  <c r="BP278" i="3"/>
  <c r="BO278" i="3"/>
  <c r="BN278" i="3"/>
  <c r="BM278" i="3"/>
  <c r="BL278" i="3"/>
  <c r="BK278" i="3"/>
  <c r="BJ278" i="3"/>
  <c r="BH278" i="3"/>
  <c r="AZ278" i="3"/>
  <c r="U278" i="3"/>
  <c r="T278" i="3"/>
  <c r="S278" i="3"/>
  <c r="R278" i="3"/>
  <c r="Q278" i="3"/>
  <c r="P278" i="3"/>
  <c r="O278" i="3"/>
  <c r="N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A278" i="3"/>
  <c r="BW277" i="3"/>
  <c r="BV277" i="3"/>
  <c r="BU277" i="3"/>
  <c r="BT277" i="3"/>
  <c r="BS277" i="3"/>
  <c r="BR277" i="3"/>
  <c r="BQ277" i="3"/>
  <c r="BP277" i="3"/>
  <c r="BO277" i="3"/>
  <c r="BN277" i="3"/>
  <c r="BM277" i="3"/>
  <c r="BL277" i="3"/>
  <c r="BK277" i="3"/>
  <c r="BJ277" i="3"/>
  <c r="BH277" i="3"/>
  <c r="AZ277" i="3"/>
  <c r="U277" i="3"/>
  <c r="T277" i="3"/>
  <c r="S277" i="3"/>
  <c r="R277" i="3"/>
  <c r="Q277" i="3"/>
  <c r="P277" i="3"/>
  <c r="O277" i="3"/>
  <c r="N277" i="3"/>
  <c r="M277" i="3"/>
  <c r="L277" i="3"/>
  <c r="K277" i="3"/>
  <c r="J277" i="3"/>
  <c r="I277" i="3"/>
  <c r="H277" i="3"/>
  <c r="G277" i="3"/>
  <c r="F277" i="3"/>
  <c r="E277" i="3"/>
  <c r="D277" i="3"/>
  <c r="C277" i="3"/>
  <c r="B277" i="3"/>
  <c r="A277" i="3"/>
  <c r="BW276" i="3"/>
  <c r="BV276" i="3"/>
  <c r="BU276" i="3"/>
  <c r="BT276" i="3"/>
  <c r="BS276" i="3"/>
  <c r="BR276" i="3"/>
  <c r="BQ276" i="3"/>
  <c r="BP276" i="3"/>
  <c r="BO276" i="3"/>
  <c r="BN276" i="3"/>
  <c r="BM276" i="3"/>
  <c r="BL276" i="3"/>
  <c r="BK276" i="3"/>
  <c r="BJ276" i="3"/>
  <c r="BH276" i="3"/>
  <c r="AZ276" i="3"/>
  <c r="U276" i="3"/>
  <c r="T276" i="3"/>
  <c r="S276" i="3"/>
  <c r="R276" i="3"/>
  <c r="Q276" i="3"/>
  <c r="P276" i="3"/>
  <c r="O276" i="3"/>
  <c r="N276" i="3"/>
  <c r="M276" i="3"/>
  <c r="L276" i="3"/>
  <c r="K276" i="3"/>
  <c r="J276" i="3"/>
  <c r="I276" i="3"/>
  <c r="H276" i="3"/>
  <c r="G276" i="3"/>
  <c r="F276" i="3"/>
  <c r="E276" i="3"/>
  <c r="D276" i="3"/>
  <c r="C276" i="3"/>
  <c r="B276" i="3"/>
  <c r="A276" i="3"/>
  <c r="BW275" i="3"/>
  <c r="BV275" i="3"/>
  <c r="BU275" i="3"/>
  <c r="BT275" i="3"/>
  <c r="BS275" i="3"/>
  <c r="BR275" i="3"/>
  <c r="BQ275" i="3"/>
  <c r="BP275" i="3"/>
  <c r="BO275" i="3"/>
  <c r="BN275" i="3"/>
  <c r="BM275" i="3"/>
  <c r="BL275" i="3"/>
  <c r="BK275" i="3"/>
  <c r="BJ275" i="3"/>
  <c r="BH275" i="3"/>
  <c r="AZ275" i="3"/>
  <c r="U275" i="3"/>
  <c r="T275" i="3"/>
  <c r="S275" i="3"/>
  <c r="R275" i="3"/>
  <c r="Q275" i="3"/>
  <c r="P275" i="3"/>
  <c r="O275" i="3"/>
  <c r="N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A275" i="3"/>
  <c r="BW274" i="3"/>
  <c r="BV274" i="3"/>
  <c r="BU274" i="3"/>
  <c r="BT274" i="3"/>
  <c r="BS274" i="3"/>
  <c r="BR274" i="3"/>
  <c r="BQ274" i="3"/>
  <c r="BP274" i="3"/>
  <c r="BO274" i="3"/>
  <c r="BN274" i="3"/>
  <c r="BM274" i="3"/>
  <c r="BL274" i="3"/>
  <c r="BK274" i="3"/>
  <c r="BJ274" i="3"/>
  <c r="BH274" i="3"/>
  <c r="AZ274" i="3"/>
  <c r="U274" i="3"/>
  <c r="T274" i="3"/>
  <c r="S274" i="3"/>
  <c r="R274" i="3"/>
  <c r="Q274" i="3"/>
  <c r="P274" i="3"/>
  <c r="O274" i="3"/>
  <c r="N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274" i="3"/>
  <c r="BW273" i="3"/>
  <c r="BV273" i="3"/>
  <c r="BU273" i="3"/>
  <c r="BT273" i="3"/>
  <c r="BS273" i="3"/>
  <c r="BR273" i="3"/>
  <c r="BQ273" i="3"/>
  <c r="BP273" i="3"/>
  <c r="BO273" i="3"/>
  <c r="BN273" i="3"/>
  <c r="BM273" i="3"/>
  <c r="BL273" i="3"/>
  <c r="BK273" i="3"/>
  <c r="BJ273" i="3"/>
  <c r="BH273" i="3"/>
  <c r="AZ273" i="3"/>
  <c r="U273" i="3"/>
  <c r="T273" i="3"/>
  <c r="S273" i="3"/>
  <c r="R273" i="3"/>
  <c r="Q273" i="3"/>
  <c r="P273" i="3"/>
  <c r="O273" i="3"/>
  <c r="N273" i="3"/>
  <c r="M273" i="3"/>
  <c r="L273" i="3"/>
  <c r="K273" i="3"/>
  <c r="J273" i="3"/>
  <c r="I273" i="3"/>
  <c r="H273" i="3"/>
  <c r="G273" i="3"/>
  <c r="F273" i="3"/>
  <c r="E273" i="3"/>
  <c r="D273" i="3"/>
  <c r="C273" i="3"/>
  <c r="B273" i="3"/>
  <c r="A273" i="3"/>
  <c r="BW272" i="3"/>
  <c r="BV272" i="3"/>
  <c r="BU272" i="3"/>
  <c r="BT272" i="3"/>
  <c r="BS272" i="3"/>
  <c r="BR272" i="3"/>
  <c r="BQ272" i="3"/>
  <c r="BP272" i="3"/>
  <c r="BO272" i="3"/>
  <c r="BN272" i="3"/>
  <c r="BM272" i="3"/>
  <c r="BL272" i="3"/>
  <c r="BK272" i="3"/>
  <c r="BJ272" i="3"/>
  <c r="BH272" i="3"/>
  <c r="AZ272" i="3"/>
  <c r="U272" i="3"/>
  <c r="T272" i="3"/>
  <c r="S272" i="3"/>
  <c r="R272" i="3"/>
  <c r="Q272" i="3"/>
  <c r="P272" i="3"/>
  <c r="O272" i="3"/>
  <c r="N272" i="3"/>
  <c r="M272" i="3"/>
  <c r="L272" i="3"/>
  <c r="K272" i="3"/>
  <c r="J272" i="3"/>
  <c r="I272" i="3"/>
  <c r="H272" i="3"/>
  <c r="G272" i="3"/>
  <c r="F272" i="3"/>
  <c r="E272" i="3"/>
  <c r="D272" i="3"/>
  <c r="C272" i="3"/>
  <c r="B272" i="3"/>
  <c r="A272" i="3"/>
  <c r="BW271" i="3"/>
  <c r="BV271" i="3"/>
  <c r="BU271" i="3"/>
  <c r="BT271" i="3"/>
  <c r="BS271" i="3"/>
  <c r="BR271" i="3"/>
  <c r="BQ271" i="3"/>
  <c r="BP271" i="3"/>
  <c r="BO271" i="3"/>
  <c r="BN271" i="3"/>
  <c r="BM271" i="3"/>
  <c r="BL271" i="3"/>
  <c r="BK271" i="3"/>
  <c r="BJ271" i="3"/>
  <c r="BH271" i="3"/>
  <c r="AZ271" i="3"/>
  <c r="U271" i="3"/>
  <c r="T271" i="3"/>
  <c r="S271" i="3"/>
  <c r="R271" i="3"/>
  <c r="Q271" i="3"/>
  <c r="P271" i="3"/>
  <c r="O271" i="3"/>
  <c r="N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A271" i="3"/>
  <c r="BW270" i="3"/>
  <c r="BV270" i="3"/>
  <c r="BU270" i="3"/>
  <c r="BT270" i="3"/>
  <c r="BS270" i="3"/>
  <c r="BR270" i="3"/>
  <c r="BQ270" i="3"/>
  <c r="BP270" i="3"/>
  <c r="BO270" i="3"/>
  <c r="BN270" i="3"/>
  <c r="BM270" i="3"/>
  <c r="BL270" i="3"/>
  <c r="BK270" i="3"/>
  <c r="BJ270" i="3"/>
  <c r="BH270" i="3"/>
  <c r="AZ270" i="3"/>
  <c r="U270" i="3"/>
  <c r="T270" i="3"/>
  <c r="S270" i="3"/>
  <c r="R270" i="3"/>
  <c r="Q270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BW269" i="3"/>
  <c r="BV269" i="3"/>
  <c r="BU269" i="3"/>
  <c r="BT269" i="3"/>
  <c r="BS269" i="3"/>
  <c r="BR269" i="3"/>
  <c r="BQ269" i="3"/>
  <c r="BP269" i="3"/>
  <c r="BO269" i="3"/>
  <c r="BN269" i="3"/>
  <c r="BM269" i="3"/>
  <c r="BL269" i="3"/>
  <c r="BK269" i="3"/>
  <c r="BJ269" i="3"/>
  <c r="BH269" i="3"/>
  <c r="AZ269" i="3"/>
  <c r="U269" i="3"/>
  <c r="T269" i="3"/>
  <c r="S269" i="3"/>
  <c r="R269" i="3"/>
  <c r="Q269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BW268" i="3"/>
  <c r="BV268" i="3"/>
  <c r="BU268" i="3"/>
  <c r="BT268" i="3"/>
  <c r="BS268" i="3"/>
  <c r="BR268" i="3"/>
  <c r="BQ268" i="3"/>
  <c r="BP268" i="3"/>
  <c r="BO268" i="3"/>
  <c r="BN268" i="3"/>
  <c r="BM268" i="3"/>
  <c r="BL268" i="3"/>
  <c r="BK268" i="3"/>
  <c r="BJ268" i="3"/>
  <c r="BH268" i="3"/>
  <c r="AZ268" i="3"/>
  <c r="U268" i="3"/>
  <c r="T268" i="3"/>
  <c r="S268" i="3"/>
  <c r="R268" i="3"/>
  <c r="Q268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BW267" i="3"/>
  <c r="BV267" i="3"/>
  <c r="BU267" i="3"/>
  <c r="BT267" i="3"/>
  <c r="BS267" i="3"/>
  <c r="BR267" i="3"/>
  <c r="BQ267" i="3"/>
  <c r="BP267" i="3"/>
  <c r="BO267" i="3"/>
  <c r="BN267" i="3"/>
  <c r="BM267" i="3"/>
  <c r="BL267" i="3"/>
  <c r="BK267" i="3"/>
  <c r="BJ267" i="3"/>
  <c r="BH267" i="3"/>
  <c r="AZ267" i="3"/>
  <c r="U267" i="3"/>
  <c r="T267" i="3"/>
  <c r="S267" i="3"/>
  <c r="R267" i="3"/>
  <c r="Q267" i="3"/>
  <c r="P267" i="3"/>
  <c r="O267" i="3"/>
  <c r="N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A267" i="3"/>
  <c r="BW266" i="3"/>
  <c r="BV266" i="3"/>
  <c r="BU266" i="3"/>
  <c r="BT266" i="3"/>
  <c r="BS266" i="3"/>
  <c r="BR266" i="3"/>
  <c r="BQ266" i="3"/>
  <c r="BP266" i="3"/>
  <c r="BO266" i="3"/>
  <c r="BN266" i="3"/>
  <c r="BM266" i="3"/>
  <c r="BL266" i="3"/>
  <c r="BK266" i="3"/>
  <c r="BJ266" i="3"/>
  <c r="BH266" i="3"/>
  <c r="AZ266" i="3"/>
  <c r="U266" i="3"/>
  <c r="T266" i="3"/>
  <c r="S266" i="3"/>
  <c r="R266" i="3"/>
  <c r="Q266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A266" i="3"/>
  <c r="BW265" i="3"/>
  <c r="BV265" i="3"/>
  <c r="BU265" i="3"/>
  <c r="BT265" i="3"/>
  <c r="BS265" i="3"/>
  <c r="BR265" i="3"/>
  <c r="BQ265" i="3"/>
  <c r="BP265" i="3"/>
  <c r="BO265" i="3"/>
  <c r="BN265" i="3"/>
  <c r="BM265" i="3"/>
  <c r="BL265" i="3"/>
  <c r="BK265" i="3"/>
  <c r="BJ265" i="3"/>
  <c r="BH265" i="3"/>
  <c r="AZ265" i="3"/>
  <c r="U265" i="3"/>
  <c r="T265" i="3"/>
  <c r="S265" i="3"/>
  <c r="R265" i="3"/>
  <c r="Q265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D265" i="3"/>
  <c r="C265" i="3"/>
  <c r="B265" i="3"/>
  <c r="A265" i="3"/>
  <c r="BW264" i="3"/>
  <c r="BV264" i="3"/>
  <c r="BU264" i="3"/>
  <c r="BT264" i="3"/>
  <c r="BS264" i="3"/>
  <c r="BR264" i="3"/>
  <c r="BQ264" i="3"/>
  <c r="BP264" i="3"/>
  <c r="BO264" i="3"/>
  <c r="BN264" i="3"/>
  <c r="BM264" i="3"/>
  <c r="BL264" i="3"/>
  <c r="BK264" i="3"/>
  <c r="BJ264" i="3"/>
  <c r="BH264" i="3"/>
  <c r="AZ264" i="3"/>
  <c r="U264" i="3"/>
  <c r="T264" i="3"/>
  <c r="S264" i="3"/>
  <c r="R264" i="3"/>
  <c r="Q264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D264" i="3"/>
  <c r="C264" i="3"/>
  <c r="B264" i="3"/>
  <c r="A264" i="3"/>
  <c r="BW263" i="3"/>
  <c r="BV263" i="3"/>
  <c r="BU263" i="3"/>
  <c r="BT263" i="3"/>
  <c r="BS263" i="3"/>
  <c r="BR263" i="3"/>
  <c r="BQ263" i="3"/>
  <c r="BP263" i="3"/>
  <c r="BO263" i="3"/>
  <c r="BN263" i="3"/>
  <c r="BM263" i="3"/>
  <c r="BL263" i="3"/>
  <c r="BK263" i="3"/>
  <c r="BJ263" i="3"/>
  <c r="BH263" i="3"/>
  <c r="AZ263" i="3"/>
  <c r="U263" i="3"/>
  <c r="T263" i="3"/>
  <c r="S263" i="3"/>
  <c r="R263" i="3"/>
  <c r="Q263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A263" i="3"/>
  <c r="BW262" i="3"/>
  <c r="BV262" i="3"/>
  <c r="BU262" i="3"/>
  <c r="BT262" i="3"/>
  <c r="BS262" i="3"/>
  <c r="BR262" i="3"/>
  <c r="BQ262" i="3"/>
  <c r="BP262" i="3"/>
  <c r="BO262" i="3"/>
  <c r="BN262" i="3"/>
  <c r="BM262" i="3"/>
  <c r="BL262" i="3"/>
  <c r="BK262" i="3"/>
  <c r="BJ262" i="3"/>
  <c r="BH262" i="3"/>
  <c r="AZ262" i="3"/>
  <c r="U262" i="3"/>
  <c r="T262" i="3"/>
  <c r="S262" i="3"/>
  <c r="R262" i="3"/>
  <c r="Q262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A262" i="3"/>
  <c r="BW261" i="3"/>
  <c r="BV261" i="3"/>
  <c r="BU261" i="3"/>
  <c r="BT261" i="3"/>
  <c r="BS261" i="3"/>
  <c r="BR261" i="3"/>
  <c r="BQ261" i="3"/>
  <c r="BP261" i="3"/>
  <c r="BO261" i="3"/>
  <c r="BN261" i="3"/>
  <c r="BM261" i="3"/>
  <c r="BL261" i="3"/>
  <c r="BK261" i="3"/>
  <c r="BJ261" i="3"/>
  <c r="BH261" i="3"/>
  <c r="AZ261" i="3"/>
  <c r="U261" i="3"/>
  <c r="T261" i="3"/>
  <c r="S261" i="3"/>
  <c r="R261" i="3"/>
  <c r="Q261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D261" i="3"/>
  <c r="C261" i="3"/>
  <c r="B261" i="3"/>
  <c r="A261" i="3"/>
  <c r="BW260" i="3"/>
  <c r="BV260" i="3"/>
  <c r="BU260" i="3"/>
  <c r="BT260" i="3"/>
  <c r="BS260" i="3"/>
  <c r="BR260" i="3"/>
  <c r="BQ260" i="3"/>
  <c r="BP260" i="3"/>
  <c r="BO260" i="3"/>
  <c r="BN260" i="3"/>
  <c r="BM260" i="3"/>
  <c r="BL260" i="3"/>
  <c r="BK260" i="3"/>
  <c r="BJ260" i="3"/>
  <c r="BH260" i="3"/>
  <c r="AZ260" i="3"/>
  <c r="U260" i="3"/>
  <c r="T260" i="3"/>
  <c r="S260" i="3"/>
  <c r="R260" i="3"/>
  <c r="Q260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D260" i="3"/>
  <c r="C260" i="3"/>
  <c r="B260" i="3"/>
  <c r="A260" i="3"/>
  <c r="BW259" i="3"/>
  <c r="BV259" i="3"/>
  <c r="BU259" i="3"/>
  <c r="BT259" i="3"/>
  <c r="BS259" i="3"/>
  <c r="BR259" i="3"/>
  <c r="BQ259" i="3"/>
  <c r="BP259" i="3"/>
  <c r="BO259" i="3"/>
  <c r="BN259" i="3"/>
  <c r="BM259" i="3"/>
  <c r="BL259" i="3"/>
  <c r="BK259" i="3"/>
  <c r="BJ259" i="3"/>
  <c r="BH259" i="3"/>
  <c r="AZ259" i="3"/>
  <c r="U259" i="3"/>
  <c r="T259" i="3"/>
  <c r="S259" i="3"/>
  <c r="R259" i="3"/>
  <c r="Q259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A259" i="3"/>
  <c r="BW258" i="3"/>
  <c r="BV258" i="3"/>
  <c r="BU258" i="3"/>
  <c r="BT258" i="3"/>
  <c r="BS258" i="3"/>
  <c r="BR258" i="3"/>
  <c r="BQ258" i="3"/>
  <c r="BP258" i="3"/>
  <c r="BO258" i="3"/>
  <c r="BN258" i="3"/>
  <c r="BM258" i="3"/>
  <c r="BL258" i="3"/>
  <c r="BK258" i="3"/>
  <c r="BJ258" i="3"/>
  <c r="BH258" i="3"/>
  <c r="AZ258" i="3"/>
  <c r="U258" i="3"/>
  <c r="T258" i="3"/>
  <c r="S258" i="3"/>
  <c r="R258" i="3"/>
  <c r="Q258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A258" i="3"/>
  <c r="BW257" i="3"/>
  <c r="BV257" i="3"/>
  <c r="BU257" i="3"/>
  <c r="BT257" i="3"/>
  <c r="BS257" i="3"/>
  <c r="BR257" i="3"/>
  <c r="BQ257" i="3"/>
  <c r="BP257" i="3"/>
  <c r="BO257" i="3"/>
  <c r="BN257" i="3"/>
  <c r="BM257" i="3"/>
  <c r="BL257" i="3"/>
  <c r="BK257" i="3"/>
  <c r="BJ257" i="3"/>
  <c r="BH257" i="3"/>
  <c r="AZ257" i="3"/>
  <c r="U257" i="3"/>
  <c r="T257" i="3"/>
  <c r="S257" i="3"/>
  <c r="R257" i="3"/>
  <c r="Q257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D257" i="3"/>
  <c r="C257" i="3"/>
  <c r="B257" i="3"/>
  <c r="A257" i="3"/>
  <c r="BW256" i="3"/>
  <c r="BV256" i="3"/>
  <c r="BU256" i="3"/>
  <c r="BT256" i="3"/>
  <c r="BS256" i="3"/>
  <c r="BR256" i="3"/>
  <c r="BQ256" i="3"/>
  <c r="BP256" i="3"/>
  <c r="BO256" i="3"/>
  <c r="BN256" i="3"/>
  <c r="BM256" i="3"/>
  <c r="BL256" i="3"/>
  <c r="BK256" i="3"/>
  <c r="BJ256" i="3"/>
  <c r="BH256" i="3"/>
  <c r="AZ256" i="3"/>
  <c r="U256" i="3"/>
  <c r="T256" i="3"/>
  <c r="S256" i="3"/>
  <c r="R256" i="3"/>
  <c r="Q256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D256" i="3"/>
  <c r="C256" i="3"/>
  <c r="B256" i="3"/>
  <c r="A256" i="3"/>
  <c r="BW255" i="3"/>
  <c r="BV255" i="3"/>
  <c r="BU255" i="3"/>
  <c r="BT255" i="3"/>
  <c r="BS255" i="3"/>
  <c r="BR255" i="3"/>
  <c r="BQ255" i="3"/>
  <c r="BP255" i="3"/>
  <c r="BO255" i="3"/>
  <c r="BN255" i="3"/>
  <c r="BM255" i="3"/>
  <c r="BL255" i="3"/>
  <c r="BK255" i="3"/>
  <c r="BJ255" i="3"/>
  <c r="BH255" i="3"/>
  <c r="AZ255" i="3"/>
  <c r="U255" i="3"/>
  <c r="T255" i="3"/>
  <c r="S255" i="3"/>
  <c r="R255" i="3"/>
  <c r="Q255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BW254" i="3"/>
  <c r="BV254" i="3"/>
  <c r="BU254" i="3"/>
  <c r="BT254" i="3"/>
  <c r="BS254" i="3"/>
  <c r="BR254" i="3"/>
  <c r="BQ254" i="3"/>
  <c r="BP254" i="3"/>
  <c r="BO254" i="3"/>
  <c r="BN254" i="3"/>
  <c r="BM254" i="3"/>
  <c r="BL254" i="3"/>
  <c r="BK254" i="3"/>
  <c r="BJ254" i="3"/>
  <c r="BH254" i="3"/>
  <c r="AZ254" i="3"/>
  <c r="U254" i="3"/>
  <c r="T254" i="3"/>
  <c r="S254" i="3"/>
  <c r="R254" i="3"/>
  <c r="Q254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BW253" i="3"/>
  <c r="BV253" i="3"/>
  <c r="BU253" i="3"/>
  <c r="BT253" i="3"/>
  <c r="BS253" i="3"/>
  <c r="BR253" i="3"/>
  <c r="BQ253" i="3"/>
  <c r="BP253" i="3"/>
  <c r="BO253" i="3"/>
  <c r="BN253" i="3"/>
  <c r="BM253" i="3"/>
  <c r="BL253" i="3"/>
  <c r="BK253" i="3"/>
  <c r="BJ253" i="3"/>
  <c r="BH253" i="3"/>
  <c r="AZ253" i="3"/>
  <c r="U253" i="3"/>
  <c r="T253" i="3"/>
  <c r="S253" i="3"/>
  <c r="R253" i="3"/>
  <c r="Q253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D253" i="3"/>
  <c r="C253" i="3"/>
  <c r="B253" i="3"/>
  <c r="A253" i="3"/>
  <c r="BW252" i="3"/>
  <c r="BV252" i="3"/>
  <c r="BU252" i="3"/>
  <c r="BT252" i="3"/>
  <c r="BS252" i="3"/>
  <c r="BR252" i="3"/>
  <c r="BQ252" i="3"/>
  <c r="BP252" i="3"/>
  <c r="BO252" i="3"/>
  <c r="BN252" i="3"/>
  <c r="BM252" i="3"/>
  <c r="BL252" i="3"/>
  <c r="BK252" i="3"/>
  <c r="BJ252" i="3"/>
  <c r="BH252" i="3"/>
  <c r="AZ252" i="3"/>
  <c r="U252" i="3"/>
  <c r="T252" i="3"/>
  <c r="S252" i="3"/>
  <c r="R252" i="3"/>
  <c r="Q252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D252" i="3"/>
  <c r="C252" i="3"/>
  <c r="B252" i="3"/>
  <c r="A252" i="3"/>
  <c r="BW251" i="3"/>
  <c r="BV251" i="3"/>
  <c r="BU251" i="3"/>
  <c r="BT251" i="3"/>
  <c r="BS251" i="3"/>
  <c r="BR251" i="3"/>
  <c r="BQ251" i="3"/>
  <c r="BP251" i="3"/>
  <c r="BO251" i="3"/>
  <c r="BN251" i="3"/>
  <c r="BM251" i="3"/>
  <c r="BL251" i="3"/>
  <c r="BK251" i="3"/>
  <c r="BJ251" i="3"/>
  <c r="BH251" i="3"/>
  <c r="AZ251" i="3"/>
  <c r="U251" i="3"/>
  <c r="T251" i="3"/>
  <c r="S251" i="3"/>
  <c r="R251" i="3"/>
  <c r="Q251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BW250" i="3"/>
  <c r="BV250" i="3"/>
  <c r="BU250" i="3"/>
  <c r="BT250" i="3"/>
  <c r="BS250" i="3"/>
  <c r="BR250" i="3"/>
  <c r="BQ250" i="3"/>
  <c r="BP250" i="3"/>
  <c r="BO250" i="3"/>
  <c r="BN250" i="3"/>
  <c r="BM250" i="3"/>
  <c r="BL250" i="3"/>
  <c r="BK250" i="3"/>
  <c r="BJ250" i="3"/>
  <c r="BH250" i="3"/>
  <c r="AZ250" i="3"/>
  <c r="U250" i="3"/>
  <c r="T250" i="3"/>
  <c r="S250" i="3"/>
  <c r="R250" i="3"/>
  <c r="Q250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250" i="3"/>
  <c r="BW249" i="3"/>
  <c r="BV249" i="3"/>
  <c r="BU249" i="3"/>
  <c r="BT249" i="3"/>
  <c r="BS249" i="3"/>
  <c r="BR249" i="3"/>
  <c r="BQ249" i="3"/>
  <c r="BP249" i="3"/>
  <c r="BO249" i="3"/>
  <c r="BN249" i="3"/>
  <c r="BM249" i="3"/>
  <c r="BL249" i="3"/>
  <c r="BK249" i="3"/>
  <c r="BJ249" i="3"/>
  <c r="BH249" i="3"/>
  <c r="AZ249" i="3"/>
  <c r="U249" i="3"/>
  <c r="T249" i="3"/>
  <c r="S249" i="3"/>
  <c r="R249" i="3"/>
  <c r="Q249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D249" i="3"/>
  <c r="C249" i="3"/>
  <c r="B249" i="3"/>
  <c r="A249" i="3"/>
  <c r="BW248" i="3"/>
  <c r="BV248" i="3"/>
  <c r="BU248" i="3"/>
  <c r="BT248" i="3"/>
  <c r="BS248" i="3"/>
  <c r="BR248" i="3"/>
  <c r="BQ248" i="3"/>
  <c r="BP248" i="3"/>
  <c r="BO248" i="3"/>
  <c r="BN248" i="3"/>
  <c r="BM248" i="3"/>
  <c r="BL248" i="3"/>
  <c r="BK248" i="3"/>
  <c r="BJ248" i="3"/>
  <c r="BH248" i="3"/>
  <c r="AZ248" i="3"/>
  <c r="U248" i="3"/>
  <c r="T248" i="3"/>
  <c r="S248" i="3"/>
  <c r="R248" i="3"/>
  <c r="Q248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D248" i="3"/>
  <c r="C248" i="3"/>
  <c r="B248" i="3"/>
  <c r="A248" i="3"/>
  <c r="BW247" i="3"/>
  <c r="BV247" i="3"/>
  <c r="BU247" i="3"/>
  <c r="BT247" i="3"/>
  <c r="BS247" i="3"/>
  <c r="BR247" i="3"/>
  <c r="BQ247" i="3"/>
  <c r="BP247" i="3"/>
  <c r="BO247" i="3"/>
  <c r="BN247" i="3"/>
  <c r="BM247" i="3"/>
  <c r="BL247" i="3"/>
  <c r="BK247" i="3"/>
  <c r="BJ247" i="3"/>
  <c r="BH247" i="3"/>
  <c r="AZ247" i="3"/>
  <c r="U247" i="3"/>
  <c r="T247" i="3"/>
  <c r="S247" i="3"/>
  <c r="R247" i="3"/>
  <c r="Q247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A247" i="3"/>
  <c r="BW246" i="3"/>
  <c r="BV246" i="3"/>
  <c r="BU246" i="3"/>
  <c r="BT246" i="3"/>
  <c r="BS246" i="3"/>
  <c r="BR246" i="3"/>
  <c r="BQ246" i="3"/>
  <c r="BP246" i="3"/>
  <c r="BO246" i="3"/>
  <c r="BN246" i="3"/>
  <c r="BM246" i="3"/>
  <c r="BL246" i="3"/>
  <c r="BK246" i="3"/>
  <c r="BJ246" i="3"/>
  <c r="BH246" i="3"/>
  <c r="AZ246" i="3"/>
  <c r="U246" i="3"/>
  <c r="T246" i="3"/>
  <c r="S246" i="3"/>
  <c r="R246" i="3"/>
  <c r="Q246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A246" i="3"/>
  <c r="BW245" i="3"/>
  <c r="BV245" i="3"/>
  <c r="BU245" i="3"/>
  <c r="BT245" i="3"/>
  <c r="BS245" i="3"/>
  <c r="BR245" i="3"/>
  <c r="BQ245" i="3"/>
  <c r="BP245" i="3"/>
  <c r="BO245" i="3"/>
  <c r="BN245" i="3"/>
  <c r="BM245" i="3"/>
  <c r="BL245" i="3"/>
  <c r="BK245" i="3"/>
  <c r="BJ245" i="3"/>
  <c r="BH245" i="3"/>
  <c r="AZ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B245" i="3"/>
  <c r="A245" i="3"/>
  <c r="BW244" i="3"/>
  <c r="BV244" i="3"/>
  <c r="BU244" i="3"/>
  <c r="BT244" i="3"/>
  <c r="BS244" i="3"/>
  <c r="BR244" i="3"/>
  <c r="BQ244" i="3"/>
  <c r="BP244" i="3"/>
  <c r="BO244" i="3"/>
  <c r="BN244" i="3"/>
  <c r="BM244" i="3"/>
  <c r="BL244" i="3"/>
  <c r="BK244" i="3"/>
  <c r="BJ244" i="3"/>
  <c r="BH244" i="3"/>
  <c r="AZ244" i="3"/>
  <c r="U244" i="3"/>
  <c r="T244" i="3"/>
  <c r="S244" i="3"/>
  <c r="R244" i="3"/>
  <c r="Q244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D244" i="3"/>
  <c r="C244" i="3"/>
  <c r="B244" i="3"/>
  <c r="A244" i="3"/>
  <c r="BW243" i="3"/>
  <c r="BV243" i="3"/>
  <c r="BU243" i="3"/>
  <c r="BT243" i="3"/>
  <c r="BS243" i="3"/>
  <c r="BR243" i="3"/>
  <c r="BQ243" i="3"/>
  <c r="BP243" i="3"/>
  <c r="BO243" i="3"/>
  <c r="BN243" i="3"/>
  <c r="BM243" i="3"/>
  <c r="BL243" i="3"/>
  <c r="BK243" i="3"/>
  <c r="BJ243" i="3"/>
  <c r="BH243" i="3"/>
  <c r="AZ243" i="3"/>
  <c r="U243" i="3"/>
  <c r="T243" i="3"/>
  <c r="S243" i="3"/>
  <c r="R243" i="3"/>
  <c r="Q243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BW242" i="3"/>
  <c r="BV242" i="3"/>
  <c r="BU242" i="3"/>
  <c r="BT242" i="3"/>
  <c r="BS242" i="3"/>
  <c r="BR242" i="3"/>
  <c r="BQ242" i="3"/>
  <c r="BP242" i="3"/>
  <c r="BO242" i="3"/>
  <c r="BN242" i="3"/>
  <c r="BM242" i="3"/>
  <c r="BL242" i="3"/>
  <c r="BK242" i="3"/>
  <c r="BJ242" i="3"/>
  <c r="BH242" i="3"/>
  <c r="AZ242" i="3"/>
  <c r="U242" i="3"/>
  <c r="T242" i="3"/>
  <c r="S242" i="3"/>
  <c r="R242" i="3"/>
  <c r="Q242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A242" i="3"/>
  <c r="BW241" i="3"/>
  <c r="BV241" i="3"/>
  <c r="BU241" i="3"/>
  <c r="BT241" i="3"/>
  <c r="BS241" i="3"/>
  <c r="BR241" i="3"/>
  <c r="BQ241" i="3"/>
  <c r="BP241" i="3"/>
  <c r="BO241" i="3"/>
  <c r="BN241" i="3"/>
  <c r="BM241" i="3"/>
  <c r="BL241" i="3"/>
  <c r="BK241" i="3"/>
  <c r="BJ241" i="3"/>
  <c r="BH241" i="3"/>
  <c r="AZ241" i="3"/>
  <c r="U241" i="3"/>
  <c r="T241" i="3"/>
  <c r="S241" i="3"/>
  <c r="R241" i="3"/>
  <c r="Q241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D241" i="3"/>
  <c r="C241" i="3"/>
  <c r="B241" i="3"/>
  <c r="A241" i="3"/>
  <c r="BW240" i="3"/>
  <c r="BV240" i="3"/>
  <c r="BU240" i="3"/>
  <c r="BT240" i="3"/>
  <c r="BS240" i="3"/>
  <c r="BR240" i="3"/>
  <c r="BQ240" i="3"/>
  <c r="BP240" i="3"/>
  <c r="BO240" i="3"/>
  <c r="BN240" i="3"/>
  <c r="BM240" i="3"/>
  <c r="BL240" i="3"/>
  <c r="BK240" i="3"/>
  <c r="BJ240" i="3"/>
  <c r="BH240" i="3"/>
  <c r="AZ240" i="3"/>
  <c r="U240" i="3"/>
  <c r="T240" i="3"/>
  <c r="S240" i="3"/>
  <c r="R240" i="3"/>
  <c r="Q240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D240" i="3"/>
  <c r="C240" i="3"/>
  <c r="B240" i="3"/>
  <c r="A240" i="3"/>
  <c r="BW239" i="3"/>
  <c r="BV239" i="3"/>
  <c r="BU239" i="3"/>
  <c r="BT239" i="3"/>
  <c r="BS239" i="3"/>
  <c r="BR239" i="3"/>
  <c r="BQ239" i="3"/>
  <c r="BP239" i="3"/>
  <c r="BO239" i="3"/>
  <c r="BN239" i="3"/>
  <c r="BM239" i="3"/>
  <c r="BL239" i="3"/>
  <c r="BK239" i="3"/>
  <c r="BJ239" i="3"/>
  <c r="BH239" i="3"/>
  <c r="AZ239" i="3"/>
  <c r="U239" i="3"/>
  <c r="T239" i="3"/>
  <c r="S239" i="3"/>
  <c r="R239" i="3"/>
  <c r="Q239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A239" i="3"/>
  <c r="BW238" i="3"/>
  <c r="BV238" i="3"/>
  <c r="BU238" i="3"/>
  <c r="BT238" i="3"/>
  <c r="BS238" i="3"/>
  <c r="BR238" i="3"/>
  <c r="BQ238" i="3"/>
  <c r="BP238" i="3"/>
  <c r="BO238" i="3"/>
  <c r="BN238" i="3"/>
  <c r="BM238" i="3"/>
  <c r="BL238" i="3"/>
  <c r="BK238" i="3"/>
  <c r="BJ238" i="3"/>
  <c r="BH238" i="3"/>
  <c r="AZ238" i="3"/>
  <c r="U238" i="3"/>
  <c r="T238" i="3"/>
  <c r="S238" i="3"/>
  <c r="R238" i="3"/>
  <c r="Q238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A238" i="3"/>
  <c r="BW237" i="3"/>
  <c r="BV237" i="3"/>
  <c r="BU237" i="3"/>
  <c r="BT237" i="3"/>
  <c r="BS237" i="3"/>
  <c r="BR237" i="3"/>
  <c r="BQ237" i="3"/>
  <c r="BP237" i="3"/>
  <c r="BO237" i="3"/>
  <c r="BN237" i="3"/>
  <c r="BM237" i="3"/>
  <c r="BL237" i="3"/>
  <c r="BK237" i="3"/>
  <c r="BJ237" i="3"/>
  <c r="BH237" i="3"/>
  <c r="AZ237" i="3"/>
  <c r="U237" i="3"/>
  <c r="T237" i="3"/>
  <c r="S237" i="3"/>
  <c r="R237" i="3"/>
  <c r="Q237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D237" i="3"/>
  <c r="C237" i="3"/>
  <c r="B237" i="3"/>
  <c r="A237" i="3"/>
  <c r="BW236" i="3"/>
  <c r="BV236" i="3"/>
  <c r="BU236" i="3"/>
  <c r="BT236" i="3"/>
  <c r="BS236" i="3"/>
  <c r="BR236" i="3"/>
  <c r="BQ236" i="3"/>
  <c r="BP236" i="3"/>
  <c r="BO236" i="3"/>
  <c r="BN236" i="3"/>
  <c r="BM236" i="3"/>
  <c r="BL236" i="3"/>
  <c r="BK236" i="3"/>
  <c r="BJ236" i="3"/>
  <c r="BH236" i="3"/>
  <c r="AZ236" i="3"/>
  <c r="U236" i="3"/>
  <c r="T236" i="3"/>
  <c r="S236" i="3"/>
  <c r="R236" i="3"/>
  <c r="Q236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D236" i="3"/>
  <c r="C236" i="3"/>
  <c r="B236" i="3"/>
  <c r="A236" i="3"/>
  <c r="BW235" i="3"/>
  <c r="BV235" i="3"/>
  <c r="BU235" i="3"/>
  <c r="BT235" i="3"/>
  <c r="BS235" i="3"/>
  <c r="BR235" i="3"/>
  <c r="BQ235" i="3"/>
  <c r="BP235" i="3"/>
  <c r="BO235" i="3"/>
  <c r="BN235" i="3"/>
  <c r="BM235" i="3"/>
  <c r="BL235" i="3"/>
  <c r="BK235" i="3"/>
  <c r="BJ235" i="3"/>
  <c r="BH235" i="3"/>
  <c r="AZ235" i="3"/>
  <c r="U235" i="3"/>
  <c r="T235" i="3"/>
  <c r="S235" i="3"/>
  <c r="R235" i="3"/>
  <c r="Q235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A235" i="3"/>
  <c r="BW234" i="3"/>
  <c r="BV234" i="3"/>
  <c r="BU234" i="3"/>
  <c r="BT234" i="3"/>
  <c r="BS234" i="3"/>
  <c r="BR234" i="3"/>
  <c r="BQ234" i="3"/>
  <c r="BP234" i="3"/>
  <c r="BO234" i="3"/>
  <c r="BN234" i="3"/>
  <c r="BM234" i="3"/>
  <c r="BL234" i="3"/>
  <c r="BK234" i="3"/>
  <c r="BJ234" i="3"/>
  <c r="BH234" i="3"/>
  <c r="AZ234" i="3"/>
  <c r="U234" i="3"/>
  <c r="T234" i="3"/>
  <c r="S234" i="3"/>
  <c r="R234" i="3"/>
  <c r="Q234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A234" i="3"/>
  <c r="BW233" i="3"/>
  <c r="BV233" i="3"/>
  <c r="BU233" i="3"/>
  <c r="BT233" i="3"/>
  <c r="BS233" i="3"/>
  <c r="BR233" i="3"/>
  <c r="BQ233" i="3"/>
  <c r="BP233" i="3"/>
  <c r="BO233" i="3"/>
  <c r="BN233" i="3"/>
  <c r="BM233" i="3"/>
  <c r="BL233" i="3"/>
  <c r="BK233" i="3"/>
  <c r="BJ233" i="3"/>
  <c r="BH233" i="3"/>
  <c r="AZ233" i="3"/>
  <c r="U233" i="3"/>
  <c r="T233" i="3"/>
  <c r="S233" i="3"/>
  <c r="R233" i="3"/>
  <c r="Q233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D233" i="3"/>
  <c r="C233" i="3"/>
  <c r="B233" i="3"/>
  <c r="A233" i="3"/>
  <c r="BW232" i="3"/>
  <c r="BV232" i="3"/>
  <c r="BU232" i="3"/>
  <c r="BT232" i="3"/>
  <c r="BS232" i="3"/>
  <c r="BR232" i="3"/>
  <c r="BQ232" i="3"/>
  <c r="BP232" i="3"/>
  <c r="BO232" i="3"/>
  <c r="BN232" i="3"/>
  <c r="BM232" i="3"/>
  <c r="BL232" i="3"/>
  <c r="BK232" i="3"/>
  <c r="BJ232" i="3"/>
  <c r="BH232" i="3"/>
  <c r="AZ232" i="3"/>
  <c r="U232" i="3"/>
  <c r="T232" i="3"/>
  <c r="S232" i="3"/>
  <c r="R232" i="3"/>
  <c r="Q232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D232" i="3"/>
  <c r="C232" i="3"/>
  <c r="B232" i="3"/>
  <c r="A232" i="3"/>
  <c r="BW231" i="3"/>
  <c r="BV231" i="3"/>
  <c r="BU231" i="3"/>
  <c r="BT231" i="3"/>
  <c r="BS231" i="3"/>
  <c r="BR231" i="3"/>
  <c r="BQ231" i="3"/>
  <c r="BP231" i="3"/>
  <c r="BO231" i="3"/>
  <c r="BN231" i="3"/>
  <c r="BM231" i="3"/>
  <c r="BL231" i="3"/>
  <c r="BK231" i="3"/>
  <c r="BJ231" i="3"/>
  <c r="BH231" i="3"/>
  <c r="AZ231" i="3"/>
  <c r="U231" i="3"/>
  <c r="T231" i="3"/>
  <c r="S231" i="3"/>
  <c r="R231" i="3"/>
  <c r="Q231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BW230" i="3"/>
  <c r="BV230" i="3"/>
  <c r="BU230" i="3"/>
  <c r="BT230" i="3"/>
  <c r="BS230" i="3"/>
  <c r="BR230" i="3"/>
  <c r="BQ230" i="3"/>
  <c r="BP230" i="3"/>
  <c r="BO230" i="3"/>
  <c r="BN230" i="3"/>
  <c r="BM230" i="3"/>
  <c r="BL230" i="3"/>
  <c r="BK230" i="3"/>
  <c r="BJ230" i="3"/>
  <c r="BH230" i="3"/>
  <c r="AZ230" i="3"/>
  <c r="U230" i="3"/>
  <c r="T230" i="3"/>
  <c r="S230" i="3"/>
  <c r="R230" i="3"/>
  <c r="Q230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A230" i="3"/>
  <c r="BW229" i="3"/>
  <c r="BV229" i="3"/>
  <c r="BU229" i="3"/>
  <c r="BT229" i="3"/>
  <c r="BS229" i="3"/>
  <c r="BR229" i="3"/>
  <c r="BQ229" i="3"/>
  <c r="BP229" i="3"/>
  <c r="BO229" i="3"/>
  <c r="BN229" i="3"/>
  <c r="BM229" i="3"/>
  <c r="BL229" i="3"/>
  <c r="BK229" i="3"/>
  <c r="BJ229" i="3"/>
  <c r="BH229" i="3"/>
  <c r="AZ229" i="3"/>
  <c r="U229" i="3"/>
  <c r="T229" i="3"/>
  <c r="S229" i="3"/>
  <c r="R229" i="3"/>
  <c r="Q229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D229" i="3"/>
  <c r="C229" i="3"/>
  <c r="B229" i="3"/>
  <c r="A229" i="3"/>
  <c r="BW228" i="3"/>
  <c r="BV228" i="3"/>
  <c r="BU228" i="3"/>
  <c r="BT228" i="3"/>
  <c r="BS228" i="3"/>
  <c r="BR228" i="3"/>
  <c r="BQ228" i="3"/>
  <c r="BP228" i="3"/>
  <c r="BO228" i="3"/>
  <c r="BN228" i="3"/>
  <c r="BM228" i="3"/>
  <c r="BL228" i="3"/>
  <c r="BK228" i="3"/>
  <c r="BJ228" i="3"/>
  <c r="BH228" i="3"/>
  <c r="AZ228" i="3"/>
  <c r="U228" i="3"/>
  <c r="T228" i="3"/>
  <c r="S228" i="3"/>
  <c r="R228" i="3"/>
  <c r="Q228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D228" i="3"/>
  <c r="C228" i="3"/>
  <c r="B228" i="3"/>
  <c r="A228" i="3"/>
  <c r="BW227" i="3"/>
  <c r="BV227" i="3"/>
  <c r="BU227" i="3"/>
  <c r="BT227" i="3"/>
  <c r="BS227" i="3"/>
  <c r="BR227" i="3"/>
  <c r="BQ227" i="3"/>
  <c r="BP227" i="3"/>
  <c r="BO227" i="3"/>
  <c r="BN227" i="3"/>
  <c r="BM227" i="3"/>
  <c r="BL227" i="3"/>
  <c r="BK227" i="3"/>
  <c r="BJ227" i="3"/>
  <c r="BH227" i="3"/>
  <c r="AZ227" i="3"/>
  <c r="U227" i="3"/>
  <c r="T227" i="3"/>
  <c r="S227" i="3"/>
  <c r="R227" i="3"/>
  <c r="Q227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227" i="3"/>
  <c r="BW226" i="3"/>
  <c r="BV226" i="3"/>
  <c r="BU226" i="3"/>
  <c r="BT226" i="3"/>
  <c r="BS226" i="3"/>
  <c r="BR226" i="3"/>
  <c r="BQ226" i="3"/>
  <c r="BP226" i="3"/>
  <c r="BO226" i="3"/>
  <c r="BN226" i="3"/>
  <c r="BM226" i="3"/>
  <c r="BL226" i="3"/>
  <c r="BK226" i="3"/>
  <c r="BJ226" i="3"/>
  <c r="BH226" i="3"/>
  <c r="AZ226" i="3"/>
  <c r="U226" i="3"/>
  <c r="T226" i="3"/>
  <c r="S226" i="3"/>
  <c r="R226" i="3"/>
  <c r="Q226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A226" i="3"/>
  <c r="BW225" i="3"/>
  <c r="BV225" i="3"/>
  <c r="BU225" i="3"/>
  <c r="BT225" i="3"/>
  <c r="BS225" i="3"/>
  <c r="BR225" i="3"/>
  <c r="BQ225" i="3"/>
  <c r="BP225" i="3"/>
  <c r="BO225" i="3"/>
  <c r="BN225" i="3"/>
  <c r="BM225" i="3"/>
  <c r="BL225" i="3"/>
  <c r="BK225" i="3"/>
  <c r="BJ225" i="3"/>
  <c r="BH225" i="3"/>
  <c r="AZ225" i="3"/>
  <c r="U225" i="3"/>
  <c r="T225" i="3"/>
  <c r="S225" i="3"/>
  <c r="R225" i="3"/>
  <c r="Q225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D225" i="3"/>
  <c r="C225" i="3"/>
  <c r="B225" i="3"/>
  <c r="A225" i="3"/>
  <c r="BW224" i="3"/>
  <c r="BV224" i="3"/>
  <c r="BU224" i="3"/>
  <c r="BT224" i="3"/>
  <c r="BS224" i="3"/>
  <c r="BR224" i="3"/>
  <c r="BQ224" i="3"/>
  <c r="BP224" i="3"/>
  <c r="BO224" i="3"/>
  <c r="BN224" i="3"/>
  <c r="BM224" i="3"/>
  <c r="BL224" i="3"/>
  <c r="BK224" i="3"/>
  <c r="BJ224" i="3"/>
  <c r="BH224" i="3"/>
  <c r="AZ224" i="3"/>
  <c r="U224" i="3"/>
  <c r="T224" i="3"/>
  <c r="S224" i="3"/>
  <c r="R224" i="3"/>
  <c r="Q224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D224" i="3"/>
  <c r="C224" i="3"/>
  <c r="B224" i="3"/>
  <c r="A224" i="3"/>
  <c r="BW223" i="3"/>
  <c r="BV223" i="3"/>
  <c r="BU223" i="3"/>
  <c r="BT223" i="3"/>
  <c r="BS223" i="3"/>
  <c r="BR223" i="3"/>
  <c r="BQ223" i="3"/>
  <c r="BP223" i="3"/>
  <c r="BO223" i="3"/>
  <c r="BN223" i="3"/>
  <c r="BM223" i="3"/>
  <c r="BL223" i="3"/>
  <c r="BK223" i="3"/>
  <c r="BJ223" i="3"/>
  <c r="BH223" i="3"/>
  <c r="AZ223" i="3"/>
  <c r="U223" i="3"/>
  <c r="T223" i="3"/>
  <c r="S223" i="3"/>
  <c r="R223" i="3"/>
  <c r="Q223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A223" i="3"/>
  <c r="BW222" i="3"/>
  <c r="BV222" i="3"/>
  <c r="BU222" i="3"/>
  <c r="BT222" i="3"/>
  <c r="BS222" i="3"/>
  <c r="BR222" i="3"/>
  <c r="BQ222" i="3"/>
  <c r="BP222" i="3"/>
  <c r="BO222" i="3"/>
  <c r="BN222" i="3"/>
  <c r="BM222" i="3"/>
  <c r="BL222" i="3"/>
  <c r="BK222" i="3"/>
  <c r="BJ222" i="3"/>
  <c r="BH222" i="3"/>
  <c r="AZ222" i="3"/>
  <c r="U222" i="3"/>
  <c r="T222" i="3"/>
  <c r="S222" i="3"/>
  <c r="R222" i="3"/>
  <c r="Q222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222" i="3"/>
  <c r="BW221" i="3"/>
  <c r="BV221" i="3"/>
  <c r="BU221" i="3"/>
  <c r="BT221" i="3"/>
  <c r="BS221" i="3"/>
  <c r="BR221" i="3"/>
  <c r="BQ221" i="3"/>
  <c r="BP221" i="3"/>
  <c r="BO221" i="3"/>
  <c r="BN221" i="3"/>
  <c r="BM221" i="3"/>
  <c r="BL221" i="3"/>
  <c r="BK221" i="3"/>
  <c r="BJ221" i="3"/>
  <c r="BH221" i="3"/>
  <c r="AZ221" i="3"/>
  <c r="U221" i="3"/>
  <c r="T221" i="3"/>
  <c r="S221" i="3"/>
  <c r="R221" i="3"/>
  <c r="Q221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D221" i="3"/>
  <c r="C221" i="3"/>
  <c r="B221" i="3"/>
  <c r="A221" i="3"/>
  <c r="BW220" i="3"/>
  <c r="BV220" i="3"/>
  <c r="BU220" i="3"/>
  <c r="BT220" i="3"/>
  <c r="BS220" i="3"/>
  <c r="BR220" i="3"/>
  <c r="BQ220" i="3"/>
  <c r="BP220" i="3"/>
  <c r="BO220" i="3"/>
  <c r="BN220" i="3"/>
  <c r="BM220" i="3"/>
  <c r="BL220" i="3"/>
  <c r="BK220" i="3"/>
  <c r="BJ220" i="3"/>
  <c r="BH220" i="3"/>
  <c r="AZ220" i="3"/>
  <c r="U220" i="3"/>
  <c r="T220" i="3"/>
  <c r="S220" i="3"/>
  <c r="R220" i="3"/>
  <c r="Q220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D220" i="3"/>
  <c r="C220" i="3"/>
  <c r="B220" i="3"/>
  <c r="A220" i="3"/>
  <c r="BW219" i="3"/>
  <c r="BV219" i="3"/>
  <c r="BU219" i="3"/>
  <c r="BT219" i="3"/>
  <c r="BS219" i="3"/>
  <c r="BR219" i="3"/>
  <c r="BQ219" i="3"/>
  <c r="BP219" i="3"/>
  <c r="BO219" i="3"/>
  <c r="BN219" i="3"/>
  <c r="BM219" i="3"/>
  <c r="BL219" i="3"/>
  <c r="BK219" i="3"/>
  <c r="BJ219" i="3"/>
  <c r="BH219" i="3"/>
  <c r="AZ219" i="3"/>
  <c r="U219" i="3"/>
  <c r="T219" i="3"/>
  <c r="S219" i="3"/>
  <c r="R219" i="3"/>
  <c r="Q219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219" i="3"/>
  <c r="BW218" i="3"/>
  <c r="BV218" i="3"/>
  <c r="BU218" i="3"/>
  <c r="BT218" i="3"/>
  <c r="BS218" i="3"/>
  <c r="BR218" i="3"/>
  <c r="BQ218" i="3"/>
  <c r="BP218" i="3"/>
  <c r="BO218" i="3"/>
  <c r="BN218" i="3"/>
  <c r="BM218" i="3"/>
  <c r="BL218" i="3"/>
  <c r="BK218" i="3"/>
  <c r="BJ218" i="3"/>
  <c r="BH218" i="3"/>
  <c r="AZ218" i="3"/>
  <c r="U218" i="3"/>
  <c r="T218" i="3"/>
  <c r="S218" i="3"/>
  <c r="R218" i="3"/>
  <c r="Q218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218" i="3"/>
  <c r="BW217" i="3"/>
  <c r="BV217" i="3"/>
  <c r="BU217" i="3"/>
  <c r="BT217" i="3"/>
  <c r="BS217" i="3"/>
  <c r="BR217" i="3"/>
  <c r="BQ217" i="3"/>
  <c r="BP217" i="3"/>
  <c r="BO217" i="3"/>
  <c r="BN217" i="3"/>
  <c r="BM217" i="3"/>
  <c r="BL217" i="3"/>
  <c r="BK217" i="3"/>
  <c r="BJ217" i="3"/>
  <c r="BH217" i="3"/>
  <c r="AZ217" i="3"/>
  <c r="U217" i="3"/>
  <c r="T217" i="3"/>
  <c r="S217" i="3"/>
  <c r="R217" i="3"/>
  <c r="Q217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D217" i="3"/>
  <c r="C217" i="3"/>
  <c r="B217" i="3"/>
  <c r="A217" i="3"/>
  <c r="BW216" i="3"/>
  <c r="BV216" i="3"/>
  <c r="BU216" i="3"/>
  <c r="BT216" i="3"/>
  <c r="BS216" i="3"/>
  <c r="BR216" i="3"/>
  <c r="BQ216" i="3"/>
  <c r="BP216" i="3"/>
  <c r="BO216" i="3"/>
  <c r="BN216" i="3"/>
  <c r="BM216" i="3"/>
  <c r="BL216" i="3"/>
  <c r="BK216" i="3"/>
  <c r="BJ216" i="3"/>
  <c r="BH216" i="3"/>
  <c r="AZ216" i="3"/>
  <c r="U216" i="3"/>
  <c r="T216" i="3"/>
  <c r="S216" i="3"/>
  <c r="R216" i="3"/>
  <c r="Q216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D216" i="3"/>
  <c r="C216" i="3"/>
  <c r="B216" i="3"/>
  <c r="A216" i="3"/>
  <c r="BW215" i="3"/>
  <c r="BV215" i="3"/>
  <c r="BU215" i="3"/>
  <c r="BT215" i="3"/>
  <c r="BS215" i="3"/>
  <c r="BR215" i="3"/>
  <c r="BQ215" i="3"/>
  <c r="BP215" i="3"/>
  <c r="BO215" i="3"/>
  <c r="BN215" i="3"/>
  <c r="BM215" i="3"/>
  <c r="BL215" i="3"/>
  <c r="BK215" i="3"/>
  <c r="BJ215" i="3"/>
  <c r="BH215" i="3"/>
  <c r="AZ215" i="3"/>
  <c r="U215" i="3"/>
  <c r="T215" i="3"/>
  <c r="S215" i="3"/>
  <c r="R215" i="3"/>
  <c r="Q215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215" i="3"/>
  <c r="BW214" i="3"/>
  <c r="BV214" i="3"/>
  <c r="BU214" i="3"/>
  <c r="BT214" i="3"/>
  <c r="BS214" i="3"/>
  <c r="BR214" i="3"/>
  <c r="BQ214" i="3"/>
  <c r="BP214" i="3"/>
  <c r="BO214" i="3"/>
  <c r="BN214" i="3"/>
  <c r="BM214" i="3"/>
  <c r="BL214" i="3"/>
  <c r="BK214" i="3"/>
  <c r="BJ214" i="3"/>
  <c r="BH214" i="3"/>
  <c r="AZ214" i="3"/>
  <c r="U214" i="3"/>
  <c r="T214" i="3"/>
  <c r="S214" i="3"/>
  <c r="R214" i="3"/>
  <c r="Q214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BW213" i="3"/>
  <c r="BV213" i="3"/>
  <c r="BU213" i="3"/>
  <c r="BT213" i="3"/>
  <c r="BS213" i="3"/>
  <c r="BR213" i="3"/>
  <c r="BQ213" i="3"/>
  <c r="BP213" i="3"/>
  <c r="BO213" i="3"/>
  <c r="BN213" i="3"/>
  <c r="BM213" i="3"/>
  <c r="BL213" i="3"/>
  <c r="BK213" i="3"/>
  <c r="BJ213" i="3"/>
  <c r="BH213" i="3"/>
  <c r="AZ213" i="3"/>
  <c r="U213" i="3"/>
  <c r="T213" i="3"/>
  <c r="S213" i="3"/>
  <c r="R213" i="3"/>
  <c r="Q213" i="3"/>
  <c r="P213" i="3"/>
  <c r="O213" i="3"/>
  <c r="N213" i="3"/>
  <c r="M213" i="3"/>
  <c r="L213" i="3"/>
  <c r="K213" i="3"/>
  <c r="J213" i="3"/>
  <c r="I213" i="3"/>
  <c r="H213" i="3"/>
  <c r="G213" i="3"/>
  <c r="F213" i="3"/>
  <c r="E213" i="3"/>
  <c r="D213" i="3"/>
  <c r="C213" i="3"/>
  <c r="B213" i="3"/>
  <c r="A213" i="3"/>
  <c r="BW212" i="3"/>
  <c r="BV212" i="3"/>
  <c r="BU212" i="3"/>
  <c r="BT212" i="3"/>
  <c r="BS212" i="3"/>
  <c r="BR212" i="3"/>
  <c r="BQ212" i="3"/>
  <c r="BP212" i="3"/>
  <c r="BO212" i="3"/>
  <c r="BN212" i="3"/>
  <c r="BM212" i="3"/>
  <c r="BL212" i="3"/>
  <c r="BK212" i="3"/>
  <c r="BJ212" i="3"/>
  <c r="BH212" i="3"/>
  <c r="AZ212" i="3"/>
  <c r="U212" i="3"/>
  <c r="T212" i="3"/>
  <c r="S212" i="3"/>
  <c r="R212" i="3"/>
  <c r="Q212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BW211" i="3"/>
  <c r="BV211" i="3"/>
  <c r="BU211" i="3"/>
  <c r="BT211" i="3"/>
  <c r="BS211" i="3"/>
  <c r="BR211" i="3"/>
  <c r="BQ211" i="3"/>
  <c r="BP211" i="3"/>
  <c r="BO211" i="3"/>
  <c r="BN211" i="3"/>
  <c r="BM211" i="3"/>
  <c r="BL211" i="3"/>
  <c r="BK211" i="3"/>
  <c r="BJ211" i="3"/>
  <c r="BH211" i="3"/>
  <c r="AZ211" i="3"/>
  <c r="U211" i="3"/>
  <c r="T211" i="3"/>
  <c r="S211" i="3"/>
  <c r="R211" i="3"/>
  <c r="Q211" i="3"/>
  <c r="P211" i="3"/>
  <c r="O211" i="3"/>
  <c r="N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A211" i="3"/>
  <c r="BW210" i="3"/>
  <c r="BV210" i="3"/>
  <c r="BU210" i="3"/>
  <c r="BT210" i="3"/>
  <c r="BS210" i="3"/>
  <c r="BR210" i="3"/>
  <c r="BQ210" i="3"/>
  <c r="BP210" i="3"/>
  <c r="BO210" i="3"/>
  <c r="BN210" i="3"/>
  <c r="BM210" i="3"/>
  <c r="BL210" i="3"/>
  <c r="BK210" i="3"/>
  <c r="BJ210" i="3"/>
  <c r="BH210" i="3"/>
  <c r="AZ210" i="3"/>
  <c r="U210" i="3"/>
  <c r="T210" i="3"/>
  <c r="S210" i="3"/>
  <c r="R210" i="3"/>
  <c r="Q210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210" i="3"/>
  <c r="BW209" i="3"/>
  <c r="BV209" i="3"/>
  <c r="BU209" i="3"/>
  <c r="BT209" i="3"/>
  <c r="BS209" i="3"/>
  <c r="BR209" i="3"/>
  <c r="BQ209" i="3"/>
  <c r="BP209" i="3"/>
  <c r="BO209" i="3"/>
  <c r="BN209" i="3"/>
  <c r="BM209" i="3"/>
  <c r="BL209" i="3"/>
  <c r="BK209" i="3"/>
  <c r="BJ209" i="3"/>
  <c r="BH209" i="3"/>
  <c r="AZ209" i="3"/>
  <c r="U209" i="3"/>
  <c r="T209" i="3"/>
  <c r="S209" i="3"/>
  <c r="R209" i="3"/>
  <c r="Q209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D209" i="3"/>
  <c r="C209" i="3"/>
  <c r="B209" i="3"/>
  <c r="A209" i="3"/>
  <c r="BW208" i="3"/>
  <c r="BV208" i="3"/>
  <c r="BU208" i="3"/>
  <c r="BT208" i="3"/>
  <c r="BS208" i="3"/>
  <c r="BR208" i="3"/>
  <c r="BQ208" i="3"/>
  <c r="BP208" i="3"/>
  <c r="BO208" i="3"/>
  <c r="BN208" i="3"/>
  <c r="BM208" i="3"/>
  <c r="BL208" i="3"/>
  <c r="BK208" i="3"/>
  <c r="BJ208" i="3"/>
  <c r="BH208" i="3"/>
  <c r="AZ208" i="3"/>
  <c r="U208" i="3"/>
  <c r="T208" i="3"/>
  <c r="S208" i="3"/>
  <c r="R208" i="3"/>
  <c r="Q208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D208" i="3"/>
  <c r="C208" i="3"/>
  <c r="B208" i="3"/>
  <c r="A208" i="3"/>
  <c r="BW207" i="3"/>
  <c r="BV207" i="3"/>
  <c r="BU207" i="3"/>
  <c r="BT207" i="3"/>
  <c r="BS207" i="3"/>
  <c r="BR207" i="3"/>
  <c r="BQ207" i="3"/>
  <c r="BP207" i="3"/>
  <c r="BO207" i="3"/>
  <c r="BN207" i="3"/>
  <c r="BM207" i="3"/>
  <c r="BL207" i="3"/>
  <c r="BK207" i="3"/>
  <c r="BJ207" i="3"/>
  <c r="BH207" i="3"/>
  <c r="AZ207" i="3"/>
  <c r="U207" i="3"/>
  <c r="T207" i="3"/>
  <c r="S207" i="3"/>
  <c r="R207" i="3"/>
  <c r="Q207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BW206" i="3"/>
  <c r="BV206" i="3"/>
  <c r="BU206" i="3"/>
  <c r="BT206" i="3"/>
  <c r="BS206" i="3"/>
  <c r="BR206" i="3"/>
  <c r="BQ206" i="3"/>
  <c r="BP206" i="3"/>
  <c r="BO206" i="3"/>
  <c r="BN206" i="3"/>
  <c r="BM206" i="3"/>
  <c r="BL206" i="3"/>
  <c r="BK206" i="3"/>
  <c r="BJ206" i="3"/>
  <c r="BH206" i="3"/>
  <c r="AZ206" i="3"/>
  <c r="U206" i="3"/>
  <c r="T206" i="3"/>
  <c r="S206" i="3"/>
  <c r="R206" i="3"/>
  <c r="Q206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206" i="3"/>
  <c r="BW205" i="3"/>
  <c r="BV205" i="3"/>
  <c r="BU205" i="3"/>
  <c r="BT205" i="3"/>
  <c r="BS205" i="3"/>
  <c r="BR205" i="3"/>
  <c r="BQ205" i="3"/>
  <c r="BP205" i="3"/>
  <c r="BO205" i="3"/>
  <c r="BN205" i="3"/>
  <c r="BM205" i="3"/>
  <c r="BL205" i="3"/>
  <c r="BK205" i="3"/>
  <c r="BJ205" i="3"/>
  <c r="BH205" i="3"/>
  <c r="AZ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B205" i="3"/>
  <c r="A205" i="3"/>
  <c r="BW204" i="3"/>
  <c r="BV204" i="3"/>
  <c r="BU204" i="3"/>
  <c r="BT204" i="3"/>
  <c r="BS204" i="3"/>
  <c r="BR204" i="3"/>
  <c r="BQ204" i="3"/>
  <c r="BP204" i="3"/>
  <c r="BO204" i="3"/>
  <c r="BN204" i="3"/>
  <c r="BM204" i="3"/>
  <c r="BL204" i="3"/>
  <c r="BK204" i="3"/>
  <c r="BJ204" i="3"/>
  <c r="BH204" i="3"/>
  <c r="AZ204" i="3"/>
  <c r="U204" i="3"/>
  <c r="T204" i="3"/>
  <c r="S204" i="3"/>
  <c r="R204" i="3"/>
  <c r="Q204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D204" i="3"/>
  <c r="C204" i="3"/>
  <c r="B204" i="3"/>
  <c r="A204" i="3"/>
  <c r="BW203" i="3"/>
  <c r="BV203" i="3"/>
  <c r="BU203" i="3"/>
  <c r="BT203" i="3"/>
  <c r="BS203" i="3"/>
  <c r="BR203" i="3"/>
  <c r="BQ203" i="3"/>
  <c r="BP203" i="3"/>
  <c r="BO203" i="3"/>
  <c r="BN203" i="3"/>
  <c r="BM203" i="3"/>
  <c r="BL203" i="3"/>
  <c r="BK203" i="3"/>
  <c r="BJ203" i="3"/>
  <c r="BH203" i="3"/>
  <c r="AZ203" i="3"/>
  <c r="U203" i="3"/>
  <c r="T203" i="3"/>
  <c r="S203" i="3"/>
  <c r="R203" i="3"/>
  <c r="Q203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203" i="3"/>
  <c r="BW202" i="3"/>
  <c r="BV202" i="3"/>
  <c r="BU202" i="3"/>
  <c r="BT202" i="3"/>
  <c r="BS202" i="3"/>
  <c r="BR202" i="3"/>
  <c r="BQ202" i="3"/>
  <c r="BP202" i="3"/>
  <c r="BO202" i="3"/>
  <c r="BN202" i="3"/>
  <c r="BM202" i="3"/>
  <c r="BL202" i="3"/>
  <c r="BK202" i="3"/>
  <c r="BJ202" i="3"/>
  <c r="BH202" i="3"/>
  <c r="AZ202" i="3"/>
  <c r="U202" i="3"/>
  <c r="T202" i="3"/>
  <c r="S202" i="3"/>
  <c r="R202" i="3"/>
  <c r="Q202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202" i="3"/>
  <c r="BW201" i="3"/>
  <c r="BV201" i="3"/>
  <c r="BU201" i="3"/>
  <c r="BT201" i="3"/>
  <c r="BS201" i="3"/>
  <c r="BR201" i="3"/>
  <c r="BQ201" i="3"/>
  <c r="BP201" i="3"/>
  <c r="BO201" i="3"/>
  <c r="BN201" i="3"/>
  <c r="BM201" i="3"/>
  <c r="BL201" i="3"/>
  <c r="BK201" i="3"/>
  <c r="BJ201" i="3"/>
  <c r="BH201" i="3"/>
  <c r="AZ201" i="3"/>
  <c r="U201" i="3"/>
  <c r="T201" i="3"/>
  <c r="S201" i="3"/>
  <c r="R201" i="3"/>
  <c r="Q201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A201" i="3"/>
  <c r="BW200" i="3"/>
  <c r="BV200" i="3"/>
  <c r="BU200" i="3"/>
  <c r="BT200" i="3"/>
  <c r="BS200" i="3"/>
  <c r="BR200" i="3"/>
  <c r="BQ200" i="3"/>
  <c r="BP200" i="3"/>
  <c r="BO200" i="3"/>
  <c r="BN200" i="3"/>
  <c r="BM200" i="3"/>
  <c r="BL200" i="3"/>
  <c r="BK200" i="3"/>
  <c r="BJ200" i="3"/>
  <c r="BH200" i="3"/>
  <c r="AZ200" i="3"/>
  <c r="U200" i="3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A200" i="3"/>
  <c r="BW199" i="3"/>
  <c r="BV199" i="3"/>
  <c r="BU199" i="3"/>
  <c r="BT199" i="3"/>
  <c r="BS199" i="3"/>
  <c r="BR199" i="3"/>
  <c r="BQ199" i="3"/>
  <c r="BP199" i="3"/>
  <c r="BO199" i="3"/>
  <c r="BN199" i="3"/>
  <c r="BM199" i="3"/>
  <c r="BL199" i="3"/>
  <c r="BK199" i="3"/>
  <c r="BJ199" i="3"/>
  <c r="BH199" i="3"/>
  <c r="AZ199" i="3"/>
  <c r="U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BW198" i="3"/>
  <c r="BV198" i="3"/>
  <c r="BU198" i="3"/>
  <c r="BT198" i="3"/>
  <c r="BS198" i="3"/>
  <c r="BR198" i="3"/>
  <c r="BQ198" i="3"/>
  <c r="BP198" i="3"/>
  <c r="BO198" i="3"/>
  <c r="BN198" i="3"/>
  <c r="BM198" i="3"/>
  <c r="BL198" i="3"/>
  <c r="BK198" i="3"/>
  <c r="BJ198" i="3"/>
  <c r="BH198" i="3"/>
  <c r="AZ198" i="3"/>
  <c r="U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198" i="3"/>
  <c r="BW197" i="3"/>
  <c r="BV197" i="3"/>
  <c r="BU197" i="3"/>
  <c r="BT197" i="3"/>
  <c r="BS197" i="3"/>
  <c r="BR197" i="3"/>
  <c r="BQ197" i="3"/>
  <c r="BP197" i="3"/>
  <c r="BO197" i="3"/>
  <c r="BN197" i="3"/>
  <c r="BM197" i="3"/>
  <c r="BL197" i="3"/>
  <c r="BK197" i="3"/>
  <c r="BJ197" i="3"/>
  <c r="BH197" i="3"/>
  <c r="AZ197" i="3"/>
  <c r="U197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A197" i="3"/>
  <c r="BW196" i="3"/>
  <c r="BV196" i="3"/>
  <c r="BU196" i="3"/>
  <c r="BT196" i="3"/>
  <c r="BS196" i="3"/>
  <c r="BR196" i="3"/>
  <c r="BQ196" i="3"/>
  <c r="BP196" i="3"/>
  <c r="BO196" i="3"/>
  <c r="BN196" i="3"/>
  <c r="BM196" i="3"/>
  <c r="BL196" i="3"/>
  <c r="BK196" i="3"/>
  <c r="BJ196" i="3"/>
  <c r="BH196" i="3"/>
  <c r="AZ196" i="3"/>
  <c r="U196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A196" i="3"/>
  <c r="BW195" i="3"/>
  <c r="BV195" i="3"/>
  <c r="BU195" i="3"/>
  <c r="BT195" i="3"/>
  <c r="BS195" i="3"/>
  <c r="BR195" i="3"/>
  <c r="BQ195" i="3"/>
  <c r="BP195" i="3"/>
  <c r="BO195" i="3"/>
  <c r="BN195" i="3"/>
  <c r="BM195" i="3"/>
  <c r="BL195" i="3"/>
  <c r="BK195" i="3"/>
  <c r="BJ195" i="3"/>
  <c r="BH195" i="3"/>
  <c r="AZ195" i="3"/>
  <c r="U195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195" i="3"/>
  <c r="BW194" i="3"/>
  <c r="BV194" i="3"/>
  <c r="BU194" i="3"/>
  <c r="BT194" i="3"/>
  <c r="BS194" i="3"/>
  <c r="BR194" i="3"/>
  <c r="BQ194" i="3"/>
  <c r="BP194" i="3"/>
  <c r="BO194" i="3"/>
  <c r="BN194" i="3"/>
  <c r="BM194" i="3"/>
  <c r="BL194" i="3"/>
  <c r="BK194" i="3"/>
  <c r="BJ194" i="3"/>
  <c r="BH194" i="3"/>
  <c r="AZ194" i="3"/>
  <c r="U194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194" i="3"/>
  <c r="BW193" i="3"/>
  <c r="BV193" i="3"/>
  <c r="BU193" i="3"/>
  <c r="BT193" i="3"/>
  <c r="BS193" i="3"/>
  <c r="BR193" i="3"/>
  <c r="BQ193" i="3"/>
  <c r="BP193" i="3"/>
  <c r="BO193" i="3"/>
  <c r="BN193" i="3"/>
  <c r="BM193" i="3"/>
  <c r="BL193" i="3"/>
  <c r="BK193" i="3"/>
  <c r="BJ193" i="3"/>
  <c r="BH193" i="3"/>
  <c r="AZ193" i="3"/>
  <c r="U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A193" i="3"/>
  <c r="BW192" i="3"/>
  <c r="BV192" i="3"/>
  <c r="BU192" i="3"/>
  <c r="BT192" i="3"/>
  <c r="BS192" i="3"/>
  <c r="BR192" i="3"/>
  <c r="BQ192" i="3"/>
  <c r="BP192" i="3"/>
  <c r="BO192" i="3"/>
  <c r="BN192" i="3"/>
  <c r="BM192" i="3"/>
  <c r="BL192" i="3"/>
  <c r="BK192" i="3"/>
  <c r="BJ192" i="3"/>
  <c r="BH192" i="3"/>
  <c r="AZ192" i="3"/>
  <c r="U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A192" i="3"/>
  <c r="BW191" i="3"/>
  <c r="BV191" i="3"/>
  <c r="BU191" i="3"/>
  <c r="BT191" i="3"/>
  <c r="BS191" i="3"/>
  <c r="BR191" i="3"/>
  <c r="BQ191" i="3"/>
  <c r="BP191" i="3"/>
  <c r="BO191" i="3"/>
  <c r="BN191" i="3"/>
  <c r="BM191" i="3"/>
  <c r="BL191" i="3"/>
  <c r="BK191" i="3"/>
  <c r="BJ191" i="3"/>
  <c r="BH191" i="3"/>
  <c r="AZ191" i="3"/>
  <c r="U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BW190" i="3"/>
  <c r="BV190" i="3"/>
  <c r="BU190" i="3"/>
  <c r="BT190" i="3"/>
  <c r="BS190" i="3"/>
  <c r="BR190" i="3"/>
  <c r="BQ190" i="3"/>
  <c r="BP190" i="3"/>
  <c r="BO190" i="3"/>
  <c r="BN190" i="3"/>
  <c r="BM190" i="3"/>
  <c r="BL190" i="3"/>
  <c r="BK190" i="3"/>
  <c r="BJ190" i="3"/>
  <c r="BH190" i="3"/>
  <c r="AZ190" i="3"/>
  <c r="U190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190" i="3"/>
  <c r="BW189" i="3"/>
  <c r="BV189" i="3"/>
  <c r="BU189" i="3"/>
  <c r="BT189" i="3"/>
  <c r="BS189" i="3"/>
  <c r="BR189" i="3"/>
  <c r="BQ189" i="3"/>
  <c r="BP189" i="3"/>
  <c r="BO189" i="3"/>
  <c r="BN189" i="3"/>
  <c r="BM189" i="3"/>
  <c r="BL189" i="3"/>
  <c r="BK189" i="3"/>
  <c r="BJ189" i="3"/>
  <c r="BH189" i="3"/>
  <c r="AZ189" i="3"/>
  <c r="U189" i="3"/>
  <c r="T189" i="3"/>
  <c r="S189" i="3"/>
  <c r="R189" i="3"/>
  <c r="Q189" i="3"/>
  <c r="P189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A189" i="3"/>
  <c r="BW188" i="3"/>
  <c r="BV188" i="3"/>
  <c r="BU188" i="3"/>
  <c r="BT188" i="3"/>
  <c r="BS188" i="3"/>
  <c r="BR188" i="3"/>
  <c r="BQ188" i="3"/>
  <c r="BP188" i="3"/>
  <c r="BO188" i="3"/>
  <c r="BN188" i="3"/>
  <c r="BM188" i="3"/>
  <c r="BL188" i="3"/>
  <c r="BK188" i="3"/>
  <c r="BJ188" i="3"/>
  <c r="BH188" i="3"/>
  <c r="AZ188" i="3"/>
  <c r="U188" i="3"/>
  <c r="T188" i="3"/>
  <c r="S188" i="3"/>
  <c r="R188" i="3"/>
  <c r="Q188" i="3"/>
  <c r="P188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A188" i="3"/>
  <c r="BW187" i="3"/>
  <c r="BV187" i="3"/>
  <c r="BU187" i="3"/>
  <c r="BT187" i="3"/>
  <c r="BS187" i="3"/>
  <c r="BR187" i="3"/>
  <c r="BQ187" i="3"/>
  <c r="BP187" i="3"/>
  <c r="BO187" i="3"/>
  <c r="BN187" i="3"/>
  <c r="BM187" i="3"/>
  <c r="BL187" i="3"/>
  <c r="BK187" i="3"/>
  <c r="BJ187" i="3"/>
  <c r="BH187" i="3"/>
  <c r="AZ187" i="3"/>
  <c r="U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187" i="3"/>
  <c r="BW186" i="3"/>
  <c r="BV186" i="3"/>
  <c r="BU186" i="3"/>
  <c r="BT186" i="3"/>
  <c r="BS186" i="3"/>
  <c r="BR186" i="3"/>
  <c r="BQ186" i="3"/>
  <c r="BP186" i="3"/>
  <c r="BO186" i="3"/>
  <c r="BN186" i="3"/>
  <c r="BM186" i="3"/>
  <c r="BL186" i="3"/>
  <c r="BK186" i="3"/>
  <c r="BJ186" i="3"/>
  <c r="BH186" i="3"/>
  <c r="AZ186" i="3"/>
  <c r="U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186" i="3"/>
  <c r="BW185" i="3"/>
  <c r="BV185" i="3"/>
  <c r="BU185" i="3"/>
  <c r="BT185" i="3"/>
  <c r="BS185" i="3"/>
  <c r="BR185" i="3"/>
  <c r="BQ185" i="3"/>
  <c r="BP185" i="3"/>
  <c r="BO185" i="3"/>
  <c r="BN185" i="3"/>
  <c r="BM185" i="3"/>
  <c r="BL185" i="3"/>
  <c r="BK185" i="3"/>
  <c r="BJ185" i="3"/>
  <c r="BH185" i="3"/>
  <c r="AZ185" i="3"/>
  <c r="U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BW184" i="3"/>
  <c r="BV184" i="3"/>
  <c r="BU184" i="3"/>
  <c r="BT184" i="3"/>
  <c r="BS184" i="3"/>
  <c r="BR184" i="3"/>
  <c r="BQ184" i="3"/>
  <c r="BP184" i="3"/>
  <c r="BO184" i="3"/>
  <c r="BN184" i="3"/>
  <c r="BM184" i="3"/>
  <c r="BL184" i="3"/>
  <c r="BK184" i="3"/>
  <c r="BJ184" i="3"/>
  <c r="BH184" i="3"/>
  <c r="AZ184" i="3"/>
  <c r="U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A184" i="3"/>
  <c r="BW183" i="3"/>
  <c r="BV183" i="3"/>
  <c r="BU183" i="3"/>
  <c r="BT183" i="3"/>
  <c r="BS183" i="3"/>
  <c r="BR183" i="3"/>
  <c r="BQ183" i="3"/>
  <c r="BP183" i="3"/>
  <c r="BO183" i="3"/>
  <c r="BN183" i="3"/>
  <c r="BM183" i="3"/>
  <c r="BL183" i="3"/>
  <c r="BK183" i="3"/>
  <c r="BJ183" i="3"/>
  <c r="BH183" i="3"/>
  <c r="AZ183" i="3"/>
  <c r="U183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183" i="3"/>
  <c r="BW182" i="3"/>
  <c r="BV182" i="3"/>
  <c r="BU182" i="3"/>
  <c r="BT182" i="3"/>
  <c r="BS182" i="3"/>
  <c r="BR182" i="3"/>
  <c r="BQ182" i="3"/>
  <c r="BP182" i="3"/>
  <c r="BO182" i="3"/>
  <c r="BN182" i="3"/>
  <c r="BM182" i="3"/>
  <c r="BL182" i="3"/>
  <c r="BK182" i="3"/>
  <c r="BJ182" i="3"/>
  <c r="BH182" i="3"/>
  <c r="AZ182" i="3"/>
  <c r="U182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BW181" i="3"/>
  <c r="BV181" i="3"/>
  <c r="BU181" i="3"/>
  <c r="BT181" i="3"/>
  <c r="BS181" i="3"/>
  <c r="BR181" i="3"/>
  <c r="BQ181" i="3"/>
  <c r="BP181" i="3"/>
  <c r="BO181" i="3"/>
  <c r="BN181" i="3"/>
  <c r="BM181" i="3"/>
  <c r="BL181" i="3"/>
  <c r="BK181" i="3"/>
  <c r="BJ181" i="3"/>
  <c r="BH181" i="3"/>
  <c r="AZ181" i="3"/>
  <c r="U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A181" i="3"/>
  <c r="BW180" i="3"/>
  <c r="BV180" i="3"/>
  <c r="BU180" i="3"/>
  <c r="BT180" i="3"/>
  <c r="BS180" i="3"/>
  <c r="BR180" i="3"/>
  <c r="BQ180" i="3"/>
  <c r="BP180" i="3"/>
  <c r="BO180" i="3"/>
  <c r="BN180" i="3"/>
  <c r="BM180" i="3"/>
  <c r="BL180" i="3"/>
  <c r="BK180" i="3"/>
  <c r="BJ180" i="3"/>
  <c r="BH180" i="3"/>
  <c r="AZ180" i="3"/>
  <c r="U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A180" i="3"/>
  <c r="BW179" i="3"/>
  <c r="BV179" i="3"/>
  <c r="BU179" i="3"/>
  <c r="BT179" i="3"/>
  <c r="BS179" i="3"/>
  <c r="BR179" i="3"/>
  <c r="BQ179" i="3"/>
  <c r="BP179" i="3"/>
  <c r="BO179" i="3"/>
  <c r="BN179" i="3"/>
  <c r="BM179" i="3"/>
  <c r="BL179" i="3"/>
  <c r="BK179" i="3"/>
  <c r="BJ179" i="3"/>
  <c r="BH179" i="3"/>
  <c r="AZ179" i="3"/>
  <c r="U179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179" i="3"/>
  <c r="BW178" i="3"/>
  <c r="BV178" i="3"/>
  <c r="BU178" i="3"/>
  <c r="BT178" i="3"/>
  <c r="BS178" i="3"/>
  <c r="BR178" i="3"/>
  <c r="BQ178" i="3"/>
  <c r="BP178" i="3"/>
  <c r="BO178" i="3"/>
  <c r="BN178" i="3"/>
  <c r="BM178" i="3"/>
  <c r="BL178" i="3"/>
  <c r="BK178" i="3"/>
  <c r="BJ178" i="3"/>
  <c r="BH178" i="3"/>
  <c r="AZ178" i="3"/>
  <c r="U178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178" i="3"/>
  <c r="BW177" i="3"/>
  <c r="BV177" i="3"/>
  <c r="BU177" i="3"/>
  <c r="BT177" i="3"/>
  <c r="BS177" i="3"/>
  <c r="BR177" i="3"/>
  <c r="BQ177" i="3"/>
  <c r="BP177" i="3"/>
  <c r="BO177" i="3"/>
  <c r="BN177" i="3"/>
  <c r="BM177" i="3"/>
  <c r="BL177" i="3"/>
  <c r="BK177" i="3"/>
  <c r="BJ177" i="3"/>
  <c r="BH177" i="3"/>
  <c r="AZ177" i="3"/>
  <c r="U177" i="3"/>
  <c r="T177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A177" i="3"/>
  <c r="BW176" i="3"/>
  <c r="BV176" i="3"/>
  <c r="BU176" i="3"/>
  <c r="BT176" i="3"/>
  <c r="BS176" i="3"/>
  <c r="BR176" i="3"/>
  <c r="BQ176" i="3"/>
  <c r="BP176" i="3"/>
  <c r="BO176" i="3"/>
  <c r="BN176" i="3"/>
  <c r="BM176" i="3"/>
  <c r="BL176" i="3"/>
  <c r="BK176" i="3"/>
  <c r="BJ176" i="3"/>
  <c r="BH176" i="3"/>
  <c r="AZ176" i="3"/>
  <c r="U176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A176" i="3"/>
  <c r="BW175" i="3"/>
  <c r="BV175" i="3"/>
  <c r="BU175" i="3"/>
  <c r="BT175" i="3"/>
  <c r="BS175" i="3"/>
  <c r="BR175" i="3"/>
  <c r="BQ175" i="3"/>
  <c r="BP175" i="3"/>
  <c r="BO175" i="3"/>
  <c r="BN175" i="3"/>
  <c r="BM175" i="3"/>
  <c r="BL175" i="3"/>
  <c r="BK175" i="3"/>
  <c r="BJ175" i="3"/>
  <c r="BH175" i="3"/>
  <c r="AZ175" i="3"/>
  <c r="U175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175" i="3"/>
  <c r="BW174" i="3"/>
  <c r="BV174" i="3"/>
  <c r="BU174" i="3"/>
  <c r="BT174" i="3"/>
  <c r="BS174" i="3"/>
  <c r="BR174" i="3"/>
  <c r="BQ174" i="3"/>
  <c r="BP174" i="3"/>
  <c r="BO174" i="3"/>
  <c r="BN174" i="3"/>
  <c r="BM174" i="3"/>
  <c r="BL174" i="3"/>
  <c r="BK174" i="3"/>
  <c r="BJ174" i="3"/>
  <c r="BH174" i="3"/>
  <c r="AZ174" i="3"/>
  <c r="U174" i="3"/>
  <c r="T174" i="3"/>
  <c r="S174" i="3"/>
  <c r="R174" i="3"/>
  <c r="Q174" i="3"/>
  <c r="P174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A174" i="3"/>
  <c r="BW173" i="3"/>
  <c r="BV173" i="3"/>
  <c r="BU173" i="3"/>
  <c r="BT173" i="3"/>
  <c r="BS173" i="3"/>
  <c r="BR173" i="3"/>
  <c r="BQ173" i="3"/>
  <c r="BP173" i="3"/>
  <c r="BO173" i="3"/>
  <c r="BN173" i="3"/>
  <c r="BM173" i="3"/>
  <c r="BL173" i="3"/>
  <c r="BK173" i="3"/>
  <c r="BJ173" i="3"/>
  <c r="BH173" i="3"/>
  <c r="AZ173" i="3"/>
  <c r="U173" i="3"/>
  <c r="T173" i="3"/>
  <c r="S173" i="3"/>
  <c r="R173" i="3"/>
  <c r="Q173" i="3"/>
  <c r="P173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A173" i="3"/>
  <c r="BW172" i="3"/>
  <c r="BV172" i="3"/>
  <c r="BU172" i="3"/>
  <c r="BT172" i="3"/>
  <c r="BS172" i="3"/>
  <c r="BR172" i="3"/>
  <c r="BQ172" i="3"/>
  <c r="BP172" i="3"/>
  <c r="BO172" i="3"/>
  <c r="BN172" i="3"/>
  <c r="BM172" i="3"/>
  <c r="BL172" i="3"/>
  <c r="BK172" i="3"/>
  <c r="BJ172" i="3"/>
  <c r="BH172" i="3"/>
  <c r="AZ172" i="3"/>
  <c r="U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A172" i="3"/>
  <c r="BW171" i="3"/>
  <c r="BV171" i="3"/>
  <c r="BU171" i="3"/>
  <c r="BT171" i="3"/>
  <c r="BS171" i="3"/>
  <c r="BR171" i="3"/>
  <c r="BQ171" i="3"/>
  <c r="BP171" i="3"/>
  <c r="BO171" i="3"/>
  <c r="BN171" i="3"/>
  <c r="BM171" i="3"/>
  <c r="BL171" i="3"/>
  <c r="BK171" i="3"/>
  <c r="BJ171" i="3"/>
  <c r="BH171" i="3"/>
  <c r="AZ171" i="3"/>
  <c r="U171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171" i="3"/>
  <c r="BW170" i="3"/>
  <c r="BV170" i="3"/>
  <c r="BU170" i="3"/>
  <c r="BT170" i="3"/>
  <c r="BS170" i="3"/>
  <c r="BR170" i="3"/>
  <c r="BQ170" i="3"/>
  <c r="BP170" i="3"/>
  <c r="BO170" i="3"/>
  <c r="BN170" i="3"/>
  <c r="BM170" i="3"/>
  <c r="BL170" i="3"/>
  <c r="BK170" i="3"/>
  <c r="BJ170" i="3"/>
  <c r="BH170" i="3"/>
  <c r="AZ170" i="3"/>
  <c r="U170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A170" i="3"/>
  <c r="BW169" i="3"/>
  <c r="BV169" i="3"/>
  <c r="BU169" i="3"/>
  <c r="BT169" i="3"/>
  <c r="BS169" i="3"/>
  <c r="BR169" i="3"/>
  <c r="BQ169" i="3"/>
  <c r="BP169" i="3"/>
  <c r="BO169" i="3"/>
  <c r="BN169" i="3"/>
  <c r="BM169" i="3"/>
  <c r="BL169" i="3"/>
  <c r="BK169" i="3"/>
  <c r="BJ169" i="3"/>
  <c r="BH169" i="3"/>
  <c r="AZ169" i="3"/>
  <c r="U169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A169" i="3"/>
  <c r="BW168" i="3"/>
  <c r="BV168" i="3"/>
  <c r="BU168" i="3"/>
  <c r="BT168" i="3"/>
  <c r="BS168" i="3"/>
  <c r="BR168" i="3"/>
  <c r="BQ168" i="3"/>
  <c r="BP168" i="3"/>
  <c r="BO168" i="3"/>
  <c r="BN168" i="3"/>
  <c r="BM168" i="3"/>
  <c r="BL168" i="3"/>
  <c r="BK168" i="3"/>
  <c r="BJ168" i="3"/>
  <c r="BH168" i="3"/>
  <c r="AZ168" i="3"/>
  <c r="U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A168" i="3"/>
  <c r="BW167" i="3"/>
  <c r="BV167" i="3"/>
  <c r="BU167" i="3"/>
  <c r="BT167" i="3"/>
  <c r="BS167" i="3"/>
  <c r="BR167" i="3"/>
  <c r="BQ167" i="3"/>
  <c r="BP167" i="3"/>
  <c r="BO167" i="3"/>
  <c r="BN167" i="3"/>
  <c r="BM167" i="3"/>
  <c r="BL167" i="3"/>
  <c r="BK167" i="3"/>
  <c r="BJ167" i="3"/>
  <c r="BH167" i="3"/>
  <c r="AZ167" i="3"/>
  <c r="U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167" i="3"/>
  <c r="BW166" i="3"/>
  <c r="BV166" i="3"/>
  <c r="BU166" i="3"/>
  <c r="BT166" i="3"/>
  <c r="BS166" i="3"/>
  <c r="BR166" i="3"/>
  <c r="BQ166" i="3"/>
  <c r="BP166" i="3"/>
  <c r="BO166" i="3"/>
  <c r="BN166" i="3"/>
  <c r="BM166" i="3"/>
  <c r="BL166" i="3"/>
  <c r="BK166" i="3"/>
  <c r="BJ166" i="3"/>
  <c r="BH166" i="3"/>
  <c r="AZ166" i="3"/>
  <c r="U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A166" i="3"/>
  <c r="BW165" i="3"/>
  <c r="BV165" i="3"/>
  <c r="BU165" i="3"/>
  <c r="BT165" i="3"/>
  <c r="BS165" i="3"/>
  <c r="BR165" i="3"/>
  <c r="BQ165" i="3"/>
  <c r="BP165" i="3"/>
  <c r="BO165" i="3"/>
  <c r="BN165" i="3"/>
  <c r="BM165" i="3"/>
  <c r="BL165" i="3"/>
  <c r="BK165" i="3"/>
  <c r="BJ165" i="3"/>
  <c r="BH165" i="3"/>
  <c r="AZ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BW164" i="3"/>
  <c r="BV164" i="3"/>
  <c r="BU164" i="3"/>
  <c r="BT164" i="3"/>
  <c r="BS164" i="3"/>
  <c r="BR164" i="3"/>
  <c r="BQ164" i="3"/>
  <c r="BP164" i="3"/>
  <c r="BO164" i="3"/>
  <c r="BN164" i="3"/>
  <c r="BM164" i="3"/>
  <c r="BL164" i="3"/>
  <c r="BK164" i="3"/>
  <c r="BJ164" i="3"/>
  <c r="BH164" i="3"/>
  <c r="AZ164" i="3"/>
  <c r="U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BW163" i="3"/>
  <c r="BV163" i="3"/>
  <c r="BU163" i="3"/>
  <c r="BT163" i="3"/>
  <c r="BS163" i="3"/>
  <c r="BR163" i="3"/>
  <c r="BQ163" i="3"/>
  <c r="BP163" i="3"/>
  <c r="BO163" i="3"/>
  <c r="BN163" i="3"/>
  <c r="BM163" i="3"/>
  <c r="BL163" i="3"/>
  <c r="BK163" i="3"/>
  <c r="BJ163" i="3"/>
  <c r="BH163" i="3"/>
  <c r="AZ163" i="3"/>
  <c r="U163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BW162" i="3"/>
  <c r="BV162" i="3"/>
  <c r="BU162" i="3"/>
  <c r="BT162" i="3"/>
  <c r="BS162" i="3"/>
  <c r="BR162" i="3"/>
  <c r="BQ162" i="3"/>
  <c r="BP162" i="3"/>
  <c r="BO162" i="3"/>
  <c r="BN162" i="3"/>
  <c r="BM162" i="3"/>
  <c r="BL162" i="3"/>
  <c r="BK162" i="3"/>
  <c r="BJ162" i="3"/>
  <c r="BH162" i="3"/>
  <c r="AZ162" i="3"/>
  <c r="U162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A162" i="3"/>
  <c r="BW161" i="3"/>
  <c r="BV161" i="3"/>
  <c r="BU161" i="3"/>
  <c r="BT161" i="3"/>
  <c r="BS161" i="3"/>
  <c r="BR161" i="3"/>
  <c r="BQ161" i="3"/>
  <c r="BP161" i="3"/>
  <c r="BO161" i="3"/>
  <c r="BN161" i="3"/>
  <c r="BM161" i="3"/>
  <c r="BL161" i="3"/>
  <c r="BK161" i="3"/>
  <c r="BJ161" i="3"/>
  <c r="BH161" i="3"/>
  <c r="AZ161" i="3"/>
  <c r="U161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A161" i="3"/>
  <c r="BW160" i="3"/>
  <c r="BV160" i="3"/>
  <c r="BU160" i="3"/>
  <c r="BT160" i="3"/>
  <c r="BS160" i="3"/>
  <c r="BR160" i="3"/>
  <c r="BQ160" i="3"/>
  <c r="BP160" i="3"/>
  <c r="BO160" i="3"/>
  <c r="BN160" i="3"/>
  <c r="BM160" i="3"/>
  <c r="BL160" i="3"/>
  <c r="BK160" i="3"/>
  <c r="BJ160" i="3"/>
  <c r="BH160" i="3"/>
  <c r="AZ160" i="3"/>
  <c r="U160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A160" i="3"/>
  <c r="BW159" i="3"/>
  <c r="BV159" i="3"/>
  <c r="BU159" i="3"/>
  <c r="BT159" i="3"/>
  <c r="BS159" i="3"/>
  <c r="BR159" i="3"/>
  <c r="BQ159" i="3"/>
  <c r="BP159" i="3"/>
  <c r="BO159" i="3"/>
  <c r="BN159" i="3"/>
  <c r="BM159" i="3"/>
  <c r="BL159" i="3"/>
  <c r="BK159" i="3"/>
  <c r="BJ159" i="3"/>
  <c r="BH159" i="3"/>
  <c r="AZ159" i="3"/>
  <c r="U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159" i="3"/>
  <c r="BW158" i="3"/>
  <c r="BV158" i="3"/>
  <c r="BU158" i="3"/>
  <c r="BT158" i="3"/>
  <c r="BS158" i="3"/>
  <c r="BR158" i="3"/>
  <c r="BQ158" i="3"/>
  <c r="BP158" i="3"/>
  <c r="BO158" i="3"/>
  <c r="BN158" i="3"/>
  <c r="BM158" i="3"/>
  <c r="BL158" i="3"/>
  <c r="BK158" i="3"/>
  <c r="BJ158" i="3"/>
  <c r="BH158" i="3"/>
  <c r="AZ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A158" i="3"/>
  <c r="BW157" i="3"/>
  <c r="BV157" i="3"/>
  <c r="BU157" i="3"/>
  <c r="BT157" i="3"/>
  <c r="BS157" i="3"/>
  <c r="BR157" i="3"/>
  <c r="BQ157" i="3"/>
  <c r="BP157" i="3"/>
  <c r="BO157" i="3"/>
  <c r="BN157" i="3"/>
  <c r="BM157" i="3"/>
  <c r="BL157" i="3"/>
  <c r="BK157" i="3"/>
  <c r="BJ157" i="3"/>
  <c r="BH157" i="3"/>
  <c r="AZ157" i="3"/>
  <c r="U157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A157" i="3"/>
  <c r="BW156" i="3"/>
  <c r="BV156" i="3"/>
  <c r="BU156" i="3"/>
  <c r="BT156" i="3"/>
  <c r="BS156" i="3"/>
  <c r="BR156" i="3"/>
  <c r="BQ156" i="3"/>
  <c r="BP156" i="3"/>
  <c r="BO156" i="3"/>
  <c r="BN156" i="3"/>
  <c r="BM156" i="3"/>
  <c r="BL156" i="3"/>
  <c r="BK156" i="3"/>
  <c r="BJ156" i="3"/>
  <c r="BH156" i="3"/>
  <c r="AZ156" i="3"/>
  <c r="U156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A156" i="3"/>
  <c r="BW155" i="3"/>
  <c r="BV155" i="3"/>
  <c r="BU155" i="3"/>
  <c r="BT155" i="3"/>
  <c r="BS155" i="3"/>
  <c r="BR155" i="3"/>
  <c r="BQ155" i="3"/>
  <c r="BP155" i="3"/>
  <c r="BO155" i="3"/>
  <c r="BN155" i="3"/>
  <c r="BM155" i="3"/>
  <c r="BL155" i="3"/>
  <c r="BK155" i="3"/>
  <c r="BJ155" i="3"/>
  <c r="BH155" i="3"/>
  <c r="AZ155" i="3"/>
  <c r="U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A155" i="3"/>
  <c r="BW154" i="3"/>
  <c r="BV154" i="3"/>
  <c r="BU154" i="3"/>
  <c r="BT154" i="3"/>
  <c r="BS154" i="3"/>
  <c r="BR154" i="3"/>
  <c r="BQ154" i="3"/>
  <c r="BP154" i="3"/>
  <c r="BO154" i="3"/>
  <c r="BN154" i="3"/>
  <c r="BM154" i="3"/>
  <c r="BL154" i="3"/>
  <c r="BK154" i="3"/>
  <c r="BJ154" i="3"/>
  <c r="BH154" i="3"/>
  <c r="AZ154" i="3"/>
  <c r="U154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A154" i="3"/>
  <c r="BW153" i="3"/>
  <c r="BV153" i="3"/>
  <c r="BU153" i="3"/>
  <c r="BT153" i="3"/>
  <c r="BS153" i="3"/>
  <c r="BR153" i="3"/>
  <c r="BQ153" i="3"/>
  <c r="BP153" i="3"/>
  <c r="BO153" i="3"/>
  <c r="BN153" i="3"/>
  <c r="BM153" i="3"/>
  <c r="BL153" i="3"/>
  <c r="BK153" i="3"/>
  <c r="BJ153" i="3"/>
  <c r="BH153" i="3"/>
  <c r="AZ153" i="3"/>
  <c r="U153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A153" i="3"/>
  <c r="BW152" i="3"/>
  <c r="BV152" i="3"/>
  <c r="BU152" i="3"/>
  <c r="BT152" i="3"/>
  <c r="BS152" i="3"/>
  <c r="BR152" i="3"/>
  <c r="BQ152" i="3"/>
  <c r="BP152" i="3"/>
  <c r="BO152" i="3"/>
  <c r="BN152" i="3"/>
  <c r="BM152" i="3"/>
  <c r="BL152" i="3"/>
  <c r="BK152" i="3"/>
  <c r="BJ152" i="3"/>
  <c r="BH152" i="3"/>
  <c r="AZ152" i="3"/>
  <c r="U152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A152" i="3"/>
  <c r="BW151" i="3"/>
  <c r="BV151" i="3"/>
  <c r="BU151" i="3"/>
  <c r="BT151" i="3"/>
  <c r="BS151" i="3"/>
  <c r="BR151" i="3"/>
  <c r="BQ151" i="3"/>
  <c r="BP151" i="3"/>
  <c r="BO151" i="3"/>
  <c r="BN151" i="3"/>
  <c r="BM151" i="3"/>
  <c r="BL151" i="3"/>
  <c r="BK151" i="3"/>
  <c r="BJ151" i="3"/>
  <c r="BH151" i="3"/>
  <c r="AZ151" i="3"/>
  <c r="U151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A151" i="3"/>
  <c r="BW150" i="3"/>
  <c r="BV150" i="3"/>
  <c r="BU150" i="3"/>
  <c r="BT150" i="3"/>
  <c r="BS150" i="3"/>
  <c r="BR150" i="3"/>
  <c r="BQ150" i="3"/>
  <c r="BP150" i="3"/>
  <c r="BO150" i="3"/>
  <c r="BN150" i="3"/>
  <c r="BM150" i="3"/>
  <c r="BL150" i="3"/>
  <c r="BK150" i="3"/>
  <c r="BJ150" i="3"/>
  <c r="BH150" i="3"/>
  <c r="AZ150" i="3"/>
  <c r="U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A150" i="3"/>
  <c r="BW149" i="3"/>
  <c r="BV149" i="3"/>
  <c r="BU149" i="3"/>
  <c r="BT149" i="3"/>
  <c r="BS149" i="3"/>
  <c r="BR149" i="3"/>
  <c r="BQ149" i="3"/>
  <c r="BP149" i="3"/>
  <c r="BO149" i="3"/>
  <c r="BN149" i="3"/>
  <c r="BM149" i="3"/>
  <c r="BL149" i="3"/>
  <c r="BK149" i="3"/>
  <c r="BJ149" i="3"/>
  <c r="BH149" i="3"/>
  <c r="AZ149" i="3"/>
  <c r="U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A149" i="3"/>
  <c r="BW148" i="3"/>
  <c r="BV148" i="3"/>
  <c r="BU148" i="3"/>
  <c r="BT148" i="3"/>
  <c r="BS148" i="3"/>
  <c r="BR148" i="3"/>
  <c r="BQ148" i="3"/>
  <c r="BP148" i="3"/>
  <c r="BO148" i="3"/>
  <c r="BN148" i="3"/>
  <c r="BM148" i="3"/>
  <c r="BL148" i="3"/>
  <c r="BK148" i="3"/>
  <c r="BJ148" i="3"/>
  <c r="BH148" i="3"/>
  <c r="AZ148" i="3"/>
  <c r="U148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A148" i="3"/>
  <c r="BW147" i="3"/>
  <c r="BV147" i="3"/>
  <c r="BU147" i="3"/>
  <c r="BT147" i="3"/>
  <c r="BS147" i="3"/>
  <c r="BR147" i="3"/>
  <c r="BQ147" i="3"/>
  <c r="BP147" i="3"/>
  <c r="BO147" i="3"/>
  <c r="BN147" i="3"/>
  <c r="BM147" i="3"/>
  <c r="BL147" i="3"/>
  <c r="BK147" i="3"/>
  <c r="BJ147" i="3"/>
  <c r="BH147" i="3"/>
  <c r="AZ147" i="3"/>
  <c r="U147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147" i="3"/>
  <c r="BW146" i="3"/>
  <c r="BV146" i="3"/>
  <c r="BU146" i="3"/>
  <c r="BT146" i="3"/>
  <c r="BS146" i="3"/>
  <c r="BR146" i="3"/>
  <c r="BQ146" i="3"/>
  <c r="BP146" i="3"/>
  <c r="BO146" i="3"/>
  <c r="BN146" i="3"/>
  <c r="BM146" i="3"/>
  <c r="BL146" i="3"/>
  <c r="BK146" i="3"/>
  <c r="BJ146" i="3"/>
  <c r="BH146" i="3"/>
  <c r="AZ146" i="3"/>
  <c r="U146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A146" i="3"/>
  <c r="BW145" i="3"/>
  <c r="BV145" i="3"/>
  <c r="BU145" i="3"/>
  <c r="BT145" i="3"/>
  <c r="BS145" i="3"/>
  <c r="BR145" i="3"/>
  <c r="BQ145" i="3"/>
  <c r="BP145" i="3"/>
  <c r="BO145" i="3"/>
  <c r="BN145" i="3"/>
  <c r="BM145" i="3"/>
  <c r="BL145" i="3"/>
  <c r="BK145" i="3"/>
  <c r="BJ145" i="3"/>
  <c r="BH145" i="3"/>
  <c r="AZ145" i="3"/>
  <c r="U145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A145" i="3"/>
  <c r="BW144" i="3"/>
  <c r="BV144" i="3"/>
  <c r="BU144" i="3"/>
  <c r="BT144" i="3"/>
  <c r="BS144" i="3"/>
  <c r="BR144" i="3"/>
  <c r="BQ144" i="3"/>
  <c r="BP144" i="3"/>
  <c r="BO144" i="3"/>
  <c r="BN144" i="3"/>
  <c r="BM144" i="3"/>
  <c r="BL144" i="3"/>
  <c r="BK144" i="3"/>
  <c r="BJ144" i="3"/>
  <c r="BH144" i="3"/>
  <c r="AZ144" i="3"/>
  <c r="U144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A144" i="3"/>
  <c r="BW143" i="3"/>
  <c r="BV143" i="3"/>
  <c r="BU143" i="3"/>
  <c r="BT143" i="3"/>
  <c r="BS143" i="3"/>
  <c r="BR143" i="3"/>
  <c r="BQ143" i="3"/>
  <c r="BP143" i="3"/>
  <c r="BO143" i="3"/>
  <c r="BN143" i="3"/>
  <c r="BM143" i="3"/>
  <c r="BL143" i="3"/>
  <c r="BK143" i="3"/>
  <c r="BJ143" i="3"/>
  <c r="BH143" i="3"/>
  <c r="AZ143" i="3"/>
  <c r="U143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A143" i="3"/>
  <c r="BW142" i="3"/>
  <c r="BV142" i="3"/>
  <c r="BU142" i="3"/>
  <c r="BT142" i="3"/>
  <c r="BS142" i="3"/>
  <c r="BR142" i="3"/>
  <c r="BQ142" i="3"/>
  <c r="BP142" i="3"/>
  <c r="BO142" i="3"/>
  <c r="BN142" i="3"/>
  <c r="BM142" i="3"/>
  <c r="BL142" i="3"/>
  <c r="BK142" i="3"/>
  <c r="BJ142" i="3"/>
  <c r="BH142" i="3"/>
  <c r="AZ142" i="3"/>
  <c r="U142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A142" i="3"/>
  <c r="BW141" i="3"/>
  <c r="BV141" i="3"/>
  <c r="BU141" i="3"/>
  <c r="BT141" i="3"/>
  <c r="BS141" i="3"/>
  <c r="BR141" i="3"/>
  <c r="BQ141" i="3"/>
  <c r="BP141" i="3"/>
  <c r="BO141" i="3"/>
  <c r="BN141" i="3"/>
  <c r="BM141" i="3"/>
  <c r="BL141" i="3"/>
  <c r="BK141" i="3"/>
  <c r="BJ141" i="3"/>
  <c r="BH141" i="3"/>
  <c r="AZ141" i="3"/>
  <c r="U141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A141" i="3"/>
  <c r="BW140" i="3"/>
  <c r="BV140" i="3"/>
  <c r="BU140" i="3"/>
  <c r="BT140" i="3"/>
  <c r="BS140" i="3"/>
  <c r="BR140" i="3"/>
  <c r="BQ140" i="3"/>
  <c r="BP140" i="3"/>
  <c r="BO140" i="3"/>
  <c r="BN140" i="3"/>
  <c r="BM140" i="3"/>
  <c r="BL140" i="3"/>
  <c r="BK140" i="3"/>
  <c r="BJ140" i="3"/>
  <c r="BH140" i="3"/>
  <c r="AZ140" i="3"/>
  <c r="U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A140" i="3"/>
  <c r="BW139" i="3"/>
  <c r="BV139" i="3"/>
  <c r="BU139" i="3"/>
  <c r="BT139" i="3"/>
  <c r="BS139" i="3"/>
  <c r="BR139" i="3"/>
  <c r="BQ139" i="3"/>
  <c r="BP139" i="3"/>
  <c r="BO139" i="3"/>
  <c r="BN139" i="3"/>
  <c r="BM139" i="3"/>
  <c r="BL139" i="3"/>
  <c r="BK139" i="3"/>
  <c r="BJ139" i="3"/>
  <c r="BH139" i="3"/>
  <c r="AZ139" i="3"/>
  <c r="U139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139" i="3"/>
  <c r="BW138" i="3"/>
  <c r="BV138" i="3"/>
  <c r="BU138" i="3"/>
  <c r="BT138" i="3"/>
  <c r="BS138" i="3"/>
  <c r="BR138" i="3"/>
  <c r="BQ138" i="3"/>
  <c r="BP138" i="3"/>
  <c r="BO138" i="3"/>
  <c r="BN138" i="3"/>
  <c r="BM138" i="3"/>
  <c r="BL138" i="3"/>
  <c r="BK138" i="3"/>
  <c r="BJ138" i="3"/>
  <c r="BH138" i="3"/>
  <c r="AZ138" i="3"/>
  <c r="U138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A138" i="3"/>
  <c r="BW137" i="3"/>
  <c r="BV137" i="3"/>
  <c r="BU137" i="3"/>
  <c r="BT137" i="3"/>
  <c r="BS137" i="3"/>
  <c r="BR137" i="3"/>
  <c r="BQ137" i="3"/>
  <c r="BP137" i="3"/>
  <c r="BO137" i="3"/>
  <c r="BN137" i="3"/>
  <c r="BM137" i="3"/>
  <c r="BL137" i="3"/>
  <c r="BK137" i="3"/>
  <c r="BJ137" i="3"/>
  <c r="BH137" i="3"/>
  <c r="AZ137" i="3"/>
  <c r="U137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A137" i="3"/>
  <c r="BW136" i="3"/>
  <c r="BV136" i="3"/>
  <c r="BU136" i="3"/>
  <c r="BT136" i="3"/>
  <c r="BS136" i="3"/>
  <c r="BR136" i="3"/>
  <c r="BQ136" i="3"/>
  <c r="BP136" i="3"/>
  <c r="BO136" i="3"/>
  <c r="BN136" i="3"/>
  <c r="BM136" i="3"/>
  <c r="BL136" i="3"/>
  <c r="BK136" i="3"/>
  <c r="BJ136" i="3"/>
  <c r="BH136" i="3"/>
  <c r="AZ136" i="3"/>
  <c r="U136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BW135" i="3"/>
  <c r="BV135" i="3"/>
  <c r="BU135" i="3"/>
  <c r="BT135" i="3"/>
  <c r="BS135" i="3"/>
  <c r="BR135" i="3"/>
  <c r="BQ135" i="3"/>
  <c r="BP135" i="3"/>
  <c r="BO135" i="3"/>
  <c r="BN135" i="3"/>
  <c r="BM135" i="3"/>
  <c r="BL135" i="3"/>
  <c r="BK135" i="3"/>
  <c r="BJ135" i="3"/>
  <c r="BH135" i="3"/>
  <c r="AZ135" i="3"/>
  <c r="U135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135" i="3"/>
  <c r="BW134" i="3"/>
  <c r="BV134" i="3"/>
  <c r="BU134" i="3"/>
  <c r="BT134" i="3"/>
  <c r="BS134" i="3"/>
  <c r="BR134" i="3"/>
  <c r="BQ134" i="3"/>
  <c r="BP134" i="3"/>
  <c r="BO134" i="3"/>
  <c r="BN134" i="3"/>
  <c r="BM134" i="3"/>
  <c r="BL134" i="3"/>
  <c r="BK134" i="3"/>
  <c r="BJ134" i="3"/>
  <c r="BH134" i="3"/>
  <c r="AZ134" i="3"/>
  <c r="U134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A134" i="3"/>
  <c r="BW133" i="3"/>
  <c r="BV133" i="3"/>
  <c r="BU133" i="3"/>
  <c r="BT133" i="3"/>
  <c r="BS133" i="3"/>
  <c r="BR133" i="3"/>
  <c r="BQ133" i="3"/>
  <c r="BP133" i="3"/>
  <c r="BO133" i="3"/>
  <c r="BN133" i="3"/>
  <c r="BM133" i="3"/>
  <c r="BL133" i="3"/>
  <c r="BK133" i="3"/>
  <c r="BJ133" i="3"/>
  <c r="BH133" i="3"/>
  <c r="AZ133" i="3"/>
  <c r="U133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A133" i="3"/>
  <c r="BW132" i="3"/>
  <c r="BV132" i="3"/>
  <c r="BU132" i="3"/>
  <c r="BT132" i="3"/>
  <c r="BS132" i="3"/>
  <c r="BR132" i="3"/>
  <c r="BQ132" i="3"/>
  <c r="BP132" i="3"/>
  <c r="BO132" i="3"/>
  <c r="BN132" i="3"/>
  <c r="BM132" i="3"/>
  <c r="BL132" i="3"/>
  <c r="BK132" i="3"/>
  <c r="BJ132" i="3"/>
  <c r="BH132" i="3"/>
  <c r="AZ132" i="3"/>
  <c r="U132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A132" i="3"/>
  <c r="BW131" i="3"/>
  <c r="BV131" i="3"/>
  <c r="BU131" i="3"/>
  <c r="BT131" i="3"/>
  <c r="BS131" i="3"/>
  <c r="BR131" i="3"/>
  <c r="BQ131" i="3"/>
  <c r="BP131" i="3"/>
  <c r="BO131" i="3"/>
  <c r="BN131" i="3"/>
  <c r="BM131" i="3"/>
  <c r="BL131" i="3"/>
  <c r="BK131" i="3"/>
  <c r="BJ131" i="3"/>
  <c r="BH131" i="3"/>
  <c r="AZ131" i="3"/>
  <c r="U131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131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H130" i="3"/>
  <c r="AZ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A130" i="3"/>
  <c r="BW129" i="3"/>
  <c r="BV129" i="3"/>
  <c r="BU129" i="3"/>
  <c r="BT129" i="3"/>
  <c r="BS129" i="3"/>
  <c r="BR129" i="3"/>
  <c r="BQ129" i="3"/>
  <c r="BP129" i="3"/>
  <c r="BO129" i="3"/>
  <c r="BN129" i="3"/>
  <c r="BM129" i="3"/>
  <c r="BL129" i="3"/>
  <c r="BK129" i="3"/>
  <c r="BJ129" i="3"/>
  <c r="BH129" i="3"/>
  <c r="AZ129" i="3"/>
  <c r="U129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A129" i="3"/>
  <c r="BW128" i="3"/>
  <c r="BV128" i="3"/>
  <c r="BU128" i="3"/>
  <c r="BT128" i="3"/>
  <c r="BS128" i="3"/>
  <c r="BR128" i="3"/>
  <c r="BQ128" i="3"/>
  <c r="BP128" i="3"/>
  <c r="BO128" i="3"/>
  <c r="BN128" i="3"/>
  <c r="BM128" i="3"/>
  <c r="BL128" i="3"/>
  <c r="BK128" i="3"/>
  <c r="BJ128" i="3"/>
  <c r="BH128" i="3"/>
  <c r="AZ128" i="3"/>
  <c r="U128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A128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H127" i="3"/>
  <c r="AZ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127" i="3"/>
  <c r="BW126" i="3"/>
  <c r="BV126" i="3"/>
  <c r="BU126" i="3"/>
  <c r="BT126" i="3"/>
  <c r="BS126" i="3"/>
  <c r="BR126" i="3"/>
  <c r="BQ126" i="3"/>
  <c r="BP126" i="3"/>
  <c r="BO126" i="3"/>
  <c r="BN126" i="3"/>
  <c r="BM126" i="3"/>
  <c r="BL126" i="3"/>
  <c r="BK126" i="3"/>
  <c r="BJ126" i="3"/>
  <c r="BH126" i="3"/>
  <c r="AZ126" i="3"/>
  <c r="U126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A126" i="3"/>
  <c r="BW125" i="3"/>
  <c r="BV125" i="3"/>
  <c r="BU125" i="3"/>
  <c r="BT125" i="3"/>
  <c r="BS125" i="3"/>
  <c r="BR125" i="3"/>
  <c r="BQ125" i="3"/>
  <c r="BP125" i="3"/>
  <c r="BO125" i="3"/>
  <c r="BN125" i="3"/>
  <c r="BM125" i="3"/>
  <c r="BL125" i="3"/>
  <c r="BK125" i="3"/>
  <c r="BJ125" i="3"/>
  <c r="BH125" i="3"/>
  <c r="AZ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A125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H124" i="3"/>
  <c r="AZ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A124" i="3"/>
  <c r="BW123" i="3"/>
  <c r="BV123" i="3"/>
  <c r="BU123" i="3"/>
  <c r="BT123" i="3"/>
  <c r="BS123" i="3"/>
  <c r="BR123" i="3"/>
  <c r="BQ123" i="3"/>
  <c r="BP123" i="3"/>
  <c r="BO123" i="3"/>
  <c r="BN123" i="3"/>
  <c r="BM123" i="3"/>
  <c r="BL123" i="3"/>
  <c r="BK123" i="3"/>
  <c r="BJ123" i="3"/>
  <c r="BH123" i="3"/>
  <c r="AZ123" i="3"/>
  <c r="U123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BW122" i="3"/>
  <c r="BV122" i="3"/>
  <c r="BU122" i="3"/>
  <c r="BT122" i="3"/>
  <c r="BS122" i="3"/>
  <c r="BR122" i="3"/>
  <c r="BQ122" i="3"/>
  <c r="BP122" i="3"/>
  <c r="BO122" i="3"/>
  <c r="BN122" i="3"/>
  <c r="BM122" i="3"/>
  <c r="BL122" i="3"/>
  <c r="BK122" i="3"/>
  <c r="BJ122" i="3"/>
  <c r="BH122" i="3"/>
  <c r="AZ122" i="3"/>
  <c r="U122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A122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H121" i="3"/>
  <c r="AZ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121" i="3"/>
  <c r="BW120" i="3"/>
  <c r="BV120" i="3"/>
  <c r="BU120" i="3"/>
  <c r="BT120" i="3"/>
  <c r="BS120" i="3"/>
  <c r="BR120" i="3"/>
  <c r="BQ120" i="3"/>
  <c r="BP120" i="3"/>
  <c r="BO120" i="3"/>
  <c r="BN120" i="3"/>
  <c r="BM120" i="3"/>
  <c r="BL120" i="3"/>
  <c r="BK120" i="3"/>
  <c r="BJ120" i="3"/>
  <c r="BH120" i="3"/>
  <c r="AZ120" i="3"/>
  <c r="U120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A120" i="3"/>
  <c r="BW119" i="3"/>
  <c r="BV119" i="3"/>
  <c r="BU119" i="3"/>
  <c r="BT119" i="3"/>
  <c r="BS119" i="3"/>
  <c r="BR119" i="3"/>
  <c r="BQ119" i="3"/>
  <c r="BP119" i="3"/>
  <c r="BO119" i="3"/>
  <c r="BN119" i="3"/>
  <c r="BM119" i="3"/>
  <c r="BL119" i="3"/>
  <c r="BK119" i="3"/>
  <c r="BJ119" i="3"/>
  <c r="BH119" i="3"/>
  <c r="AZ119" i="3"/>
  <c r="U119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H118" i="3"/>
  <c r="AZ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A118" i="3"/>
  <c r="BW117" i="3"/>
  <c r="BV117" i="3"/>
  <c r="BU117" i="3"/>
  <c r="BT117" i="3"/>
  <c r="BS117" i="3"/>
  <c r="BR117" i="3"/>
  <c r="BQ117" i="3"/>
  <c r="BP117" i="3"/>
  <c r="BO117" i="3"/>
  <c r="BN117" i="3"/>
  <c r="BM117" i="3"/>
  <c r="BL117" i="3"/>
  <c r="BK117" i="3"/>
  <c r="BJ117" i="3"/>
  <c r="BH117" i="3"/>
  <c r="AZ117" i="3"/>
  <c r="U117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BW116" i="3"/>
  <c r="BV116" i="3"/>
  <c r="BU116" i="3"/>
  <c r="BT116" i="3"/>
  <c r="BS116" i="3"/>
  <c r="BR116" i="3"/>
  <c r="BQ116" i="3"/>
  <c r="BP116" i="3"/>
  <c r="BO116" i="3"/>
  <c r="BN116" i="3"/>
  <c r="BM116" i="3"/>
  <c r="BL116" i="3"/>
  <c r="BK116" i="3"/>
  <c r="BJ116" i="3"/>
  <c r="BH116" i="3"/>
  <c r="AZ116" i="3"/>
  <c r="U116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A116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H115" i="3"/>
  <c r="AZ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BW114" i="3"/>
  <c r="BV114" i="3"/>
  <c r="BU114" i="3"/>
  <c r="BT114" i="3"/>
  <c r="BS114" i="3"/>
  <c r="BR114" i="3"/>
  <c r="BQ114" i="3"/>
  <c r="BP114" i="3"/>
  <c r="BO114" i="3"/>
  <c r="BN114" i="3"/>
  <c r="BM114" i="3"/>
  <c r="BL114" i="3"/>
  <c r="BK114" i="3"/>
  <c r="BJ114" i="3"/>
  <c r="BH114" i="3"/>
  <c r="AZ114" i="3"/>
  <c r="U114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BW113" i="3"/>
  <c r="BV113" i="3"/>
  <c r="BU113" i="3"/>
  <c r="BT113" i="3"/>
  <c r="BS113" i="3"/>
  <c r="BR113" i="3"/>
  <c r="BQ113" i="3"/>
  <c r="BP113" i="3"/>
  <c r="BO113" i="3"/>
  <c r="BN113" i="3"/>
  <c r="BM113" i="3"/>
  <c r="BL113" i="3"/>
  <c r="BK113" i="3"/>
  <c r="BJ113" i="3"/>
  <c r="BH113" i="3"/>
  <c r="AZ113" i="3"/>
  <c r="U113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H112" i="3"/>
  <c r="AZ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BW111" i="3"/>
  <c r="BV111" i="3"/>
  <c r="BU111" i="3"/>
  <c r="BT111" i="3"/>
  <c r="BS111" i="3"/>
  <c r="BR111" i="3"/>
  <c r="BQ111" i="3"/>
  <c r="BP111" i="3"/>
  <c r="BO111" i="3"/>
  <c r="BN111" i="3"/>
  <c r="BM111" i="3"/>
  <c r="BL111" i="3"/>
  <c r="BK111" i="3"/>
  <c r="BJ111" i="3"/>
  <c r="BH111" i="3"/>
  <c r="AZ111" i="3"/>
  <c r="U111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BW110" i="3"/>
  <c r="BV110" i="3"/>
  <c r="BU110" i="3"/>
  <c r="BT110" i="3"/>
  <c r="BS110" i="3"/>
  <c r="BR110" i="3"/>
  <c r="BQ110" i="3"/>
  <c r="BP110" i="3"/>
  <c r="BO110" i="3"/>
  <c r="BN110" i="3"/>
  <c r="BM110" i="3"/>
  <c r="BL110" i="3"/>
  <c r="BK110" i="3"/>
  <c r="BJ110" i="3"/>
  <c r="BH110" i="3"/>
  <c r="AZ110" i="3"/>
  <c r="U110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H109" i="3"/>
  <c r="AZ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BW108" i="3"/>
  <c r="BV108" i="3"/>
  <c r="BU108" i="3"/>
  <c r="BT108" i="3"/>
  <c r="BS108" i="3"/>
  <c r="BR108" i="3"/>
  <c r="BQ108" i="3"/>
  <c r="BP108" i="3"/>
  <c r="BO108" i="3"/>
  <c r="BN108" i="3"/>
  <c r="BM108" i="3"/>
  <c r="BL108" i="3"/>
  <c r="BK108" i="3"/>
  <c r="BJ108" i="3"/>
  <c r="BH108" i="3"/>
  <c r="AZ108" i="3"/>
  <c r="U108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A108" i="3"/>
  <c r="BW107" i="3"/>
  <c r="BV107" i="3"/>
  <c r="BU107" i="3"/>
  <c r="BT107" i="3"/>
  <c r="BS107" i="3"/>
  <c r="BR107" i="3"/>
  <c r="BQ107" i="3"/>
  <c r="BP107" i="3"/>
  <c r="BO107" i="3"/>
  <c r="BN107" i="3"/>
  <c r="BM107" i="3"/>
  <c r="BL107" i="3"/>
  <c r="BK107" i="3"/>
  <c r="BJ107" i="3"/>
  <c r="BH107" i="3"/>
  <c r="AZ107" i="3"/>
  <c r="U107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H106" i="3"/>
  <c r="AZ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A106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H105" i="3"/>
  <c r="AZ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105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H104" i="3"/>
  <c r="AZ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A104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H103" i="3"/>
  <c r="AZ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H102" i="3"/>
  <c r="AZ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A102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H101" i="3"/>
  <c r="AZ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A101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H100" i="3"/>
  <c r="AZ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A100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H99" i="3"/>
  <c r="AZ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A99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H98" i="3"/>
  <c r="AZ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A98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H97" i="3"/>
  <c r="AZ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A97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H96" i="3"/>
  <c r="AZ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A96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H95" i="3"/>
  <c r="AZ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A95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H94" i="3"/>
  <c r="AZ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A94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H93" i="3"/>
  <c r="AZ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A93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H92" i="3"/>
  <c r="AZ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A92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H91" i="3"/>
  <c r="AZ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A91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H90" i="3"/>
  <c r="AZ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A90" i="3"/>
  <c r="BW89" i="3"/>
  <c r="BV89" i="3"/>
  <c r="BU89" i="3"/>
  <c r="BT89" i="3"/>
  <c r="BS89" i="3"/>
  <c r="BR89" i="3"/>
  <c r="BQ89" i="3"/>
  <c r="BP89" i="3"/>
  <c r="BO89" i="3"/>
  <c r="BN89" i="3"/>
  <c r="BM89" i="3"/>
  <c r="BL89" i="3"/>
  <c r="BK89" i="3"/>
  <c r="BJ89" i="3"/>
  <c r="BH89" i="3"/>
  <c r="AZ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A89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H88" i="3"/>
  <c r="AZ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A88" i="3"/>
  <c r="BW87" i="3"/>
  <c r="BV87" i="3"/>
  <c r="BU87" i="3"/>
  <c r="BT87" i="3"/>
  <c r="BS87" i="3"/>
  <c r="BR87" i="3"/>
  <c r="BQ87" i="3"/>
  <c r="BP87" i="3"/>
  <c r="BO87" i="3"/>
  <c r="BN87" i="3"/>
  <c r="BM87" i="3"/>
  <c r="BL87" i="3"/>
  <c r="BK87" i="3"/>
  <c r="BJ87" i="3"/>
  <c r="BH87" i="3"/>
  <c r="AZ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A87" i="3"/>
  <c r="BW86" i="3"/>
  <c r="BV86" i="3"/>
  <c r="BU86" i="3"/>
  <c r="BT86" i="3"/>
  <c r="BS86" i="3"/>
  <c r="BR86" i="3"/>
  <c r="BQ86" i="3"/>
  <c r="BP86" i="3"/>
  <c r="BO86" i="3"/>
  <c r="BN86" i="3"/>
  <c r="BM86" i="3"/>
  <c r="BL86" i="3"/>
  <c r="BK86" i="3"/>
  <c r="BJ86" i="3"/>
  <c r="BH86" i="3"/>
  <c r="AZ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A86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H85" i="3"/>
  <c r="AZ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A85" i="3"/>
  <c r="BW84" i="3"/>
  <c r="BV84" i="3"/>
  <c r="BU84" i="3"/>
  <c r="BT84" i="3"/>
  <c r="BS84" i="3"/>
  <c r="BR84" i="3"/>
  <c r="BQ84" i="3"/>
  <c r="BP84" i="3"/>
  <c r="BO84" i="3"/>
  <c r="BN84" i="3"/>
  <c r="BM84" i="3"/>
  <c r="BL84" i="3"/>
  <c r="BK84" i="3"/>
  <c r="BJ84" i="3"/>
  <c r="BH84" i="3"/>
  <c r="AZ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A84" i="3"/>
  <c r="BW83" i="3"/>
  <c r="BV83" i="3"/>
  <c r="BU83" i="3"/>
  <c r="BT83" i="3"/>
  <c r="BS83" i="3"/>
  <c r="BR83" i="3"/>
  <c r="BQ83" i="3"/>
  <c r="BP83" i="3"/>
  <c r="BO83" i="3"/>
  <c r="BN83" i="3"/>
  <c r="BM83" i="3"/>
  <c r="BL83" i="3"/>
  <c r="BK83" i="3"/>
  <c r="BJ83" i="3"/>
  <c r="BH83" i="3"/>
  <c r="AZ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A83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H82" i="3"/>
  <c r="AZ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BW81" i="3"/>
  <c r="BV81" i="3"/>
  <c r="BU81" i="3"/>
  <c r="BT81" i="3"/>
  <c r="BS81" i="3"/>
  <c r="BR81" i="3"/>
  <c r="BQ81" i="3"/>
  <c r="BP81" i="3"/>
  <c r="BO81" i="3"/>
  <c r="BN81" i="3"/>
  <c r="BM81" i="3"/>
  <c r="BL81" i="3"/>
  <c r="BK81" i="3"/>
  <c r="BJ81" i="3"/>
  <c r="BH81" i="3"/>
  <c r="AZ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BW80" i="3"/>
  <c r="BV80" i="3"/>
  <c r="BU80" i="3"/>
  <c r="BT80" i="3"/>
  <c r="BS80" i="3"/>
  <c r="BR80" i="3"/>
  <c r="BQ80" i="3"/>
  <c r="BP80" i="3"/>
  <c r="BO80" i="3"/>
  <c r="BN80" i="3"/>
  <c r="BM80" i="3"/>
  <c r="BL80" i="3"/>
  <c r="BK80" i="3"/>
  <c r="BJ80" i="3"/>
  <c r="BH80" i="3"/>
  <c r="AZ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H79" i="3"/>
  <c r="AZ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BW78" i="3"/>
  <c r="BV78" i="3"/>
  <c r="BU78" i="3"/>
  <c r="BT78" i="3"/>
  <c r="BS78" i="3"/>
  <c r="BR78" i="3"/>
  <c r="BQ78" i="3"/>
  <c r="BP78" i="3"/>
  <c r="BO78" i="3"/>
  <c r="BN78" i="3"/>
  <c r="BM78" i="3"/>
  <c r="BL78" i="3"/>
  <c r="BK78" i="3"/>
  <c r="BJ78" i="3"/>
  <c r="BH78" i="3"/>
  <c r="AZ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BW77" i="3"/>
  <c r="BV77" i="3"/>
  <c r="BU77" i="3"/>
  <c r="BT77" i="3"/>
  <c r="BS77" i="3"/>
  <c r="BR77" i="3"/>
  <c r="BQ77" i="3"/>
  <c r="BP77" i="3"/>
  <c r="BO77" i="3"/>
  <c r="BN77" i="3"/>
  <c r="BM77" i="3"/>
  <c r="BL77" i="3"/>
  <c r="BK77" i="3"/>
  <c r="BJ77" i="3"/>
  <c r="BH77" i="3"/>
  <c r="AZ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H76" i="3"/>
  <c r="AZ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BW75" i="3"/>
  <c r="BV75" i="3"/>
  <c r="BU75" i="3"/>
  <c r="BT75" i="3"/>
  <c r="BS75" i="3"/>
  <c r="BR75" i="3"/>
  <c r="BQ75" i="3"/>
  <c r="BP75" i="3"/>
  <c r="BO75" i="3"/>
  <c r="BN75" i="3"/>
  <c r="BM75" i="3"/>
  <c r="BL75" i="3"/>
  <c r="BK75" i="3"/>
  <c r="BJ75" i="3"/>
  <c r="BH75" i="3"/>
  <c r="AZ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BW74" i="3"/>
  <c r="BV74" i="3"/>
  <c r="BU74" i="3"/>
  <c r="BT74" i="3"/>
  <c r="BS74" i="3"/>
  <c r="BR74" i="3"/>
  <c r="BQ74" i="3"/>
  <c r="BP74" i="3"/>
  <c r="BO74" i="3"/>
  <c r="BN74" i="3"/>
  <c r="BM74" i="3"/>
  <c r="BL74" i="3"/>
  <c r="BK74" i="3"/>
  <c r="BJ74" i="3"/>
  <c r="BH74" i="3"/>
  <c r="AZ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H73" i="3"/>
  <c r="AZ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BW72" i="3"/>
  <c r="BV72" i="3"/>
  <c r="BU72" i="3"/>
  <c r="BT72" i="3"/>
  <c r="BS72" i="3"/>
  <c r="BR72" i="3"/>
  <c r="BQ72" i="3"/>
  <c r="BP72" i="3"/>
  <c r="BO72" i="3"/>
  <c r="BN72" i="3"/>
  <c r="BM72" i="3"/>
  <c r="BL72" i="3"/>
  <c r="BK72" i="3"/>
  <c r="BJ72" i="3"/>
  <c r="BH72" i="3"/>
  <c r="AZ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BW71" i="3"/>
  <c r="BV71" i="3"/>
  <c r="BU71" i="3"/>
  <c r="BT71" i="3"/>
  <c r="BS71" i="3"/>
  <c r="BR71" i="3"/>
  <c r="BQ71" i="3"/>
  <c r="BP71" i="3"/>
  <c r="BO71" i="3"/>
  <c r="BN71" i="3"/>
  <c r="BM71" i="3"/>
  <c r="BL71" i="3"/>
  <c r="BK71" i="3"/>
  <c r="BJ71" i="3"/>
  <c r="BH71" i="3"/>
  <c r="AZ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H70" i="3"/>
  <c r="AZ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BW69" i="3"/>
  <c r="BV69" i="3"/>
  <c r="BU69" i="3"/>
  <c r="BT69" i="3"/>
  <c r="BS69" i="3"/>
  <c r="BR69" i="3"/>
  <c r="BQ69" i="3"/>
  <c r="BP69" i="3"/>
  <c r="BO69" i="3"/>
  <c r="BN69" i="3"/>
  <c r="BM69" i="3"/>
  <c r="BL69" i="3"/>
  <c r="BK69" i="3"/>
  <c r="BJ69" i="3"/>
  <c r="BH69" i="3"/>
  <c r="AZ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BW68" i="3"/>
  <c r="BV68" i="3"/>
  <c r="BU68" i="3"/>
  <c r="BT68" i="3"/>
  <c r="BS68" i="3"/>
  <c r="BR68" i="3"/>
  <c r="BQ68" i="3"/>
  <c r="BP68" i="3"/>
  <c r="BO68" i="3"/>
  <c r="BN68" i="3"/>
  <c r="BM68" i="3"/>
  <c r="BL68" i="3"/>
  <c r="BK68" i="3"/>
  <c r="BJ68" i="3"/>
  <c r="BH68" i="3"/>
  <c r="AZ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H67" i="3"/>
  <c r="AZ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BW66" i="3"/>
  <c r="BV66" i="3"/>
  <c r="BU66" i="3"/>
  <c r="BT66" i="3"/>
  <c r="BS66" i="3"/>
  <c r="BR66" i="3"/>
  <c r="BQ66" i="3"/>
  <c r="BP66" i="3"/>
  <c r="BO66" i="3"/>
  <c r="BN66" i="3"/>
  <c r="BM66" i="3"/>
  <c r="BL66" i="3"/>
  <c r="BK66" i="3"/>
  <c r="BJ66" i="3"/>
  <c r="BH66" i="3"/>
  <c r="AZ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BW65" i="3"/>
  <c r="BV65" i="3"/>
  <c r="BU65" i="3"/>
  <c r="BT65" i="3"/>
  <c r="BS65" i="3"/>
  <c r="BR65" i="3"/>
  <c r="BQ65" i="3"/>
  <c r="BP65" i="3"/>
  <c r="BO65" i="3"/>
  <c r="BN65" i="3"/>
  <c r="BM65" i="3"/>
  <c r="BL65" i="3"/>
  <c r="BK65" i="3"/>
  <c r="BJ65" i="3"/>
  <c r="BH65" i="3"/>
  <c r="AZ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H64" i="3"/>
  <c r="AZ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BW63" i="3"/>
  <c r="BV63" i="3"/>
  <c r="BU63" i="3"/>
  <c r="BT63" i="3"/>
  <c r="BS63" i="3"/>
  <c r="BR63" i="3"/>
  <c r="BQ63" i="3"/>
  <c r="BP63" i="3"/>
  <c r="BO63" i="3"/>
  <c r="BN63" i="3"/>
  <c r="BM63" i="3"/>
  <c r="BL63" i="3"/>
  <c r="BK63" i="3"/>
  <c r="BJ63" i="3"/>
  <c r="BH63" i="3"/>
  <c r="AZ63" i="3"/>
  <c r="U63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BW62" i="3"/>
  <c r="BV62" i="3"/>
  <c r="BU62" i="3"/>
  <c r="BT62" i="3"/>
  <c r="BS62" i="3"/>
  <c r="BR62" i="3"/>
  <c r="BQ62" i="3"/>
  <c r="BP62" i="3"/>
  <c r="BO62" i="3"/>
  <c r="BN62" i="3"/>
  <c r="BM62" i="3"/>
  <c r="BL62" i="3"/>
  <c r="BK62" i="3"/>
  <c r="BJ62" i="3"/>
  <c r="BH62" i="3"/>
  <c r="AZ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H61" i="3"/>
  <c r="AZ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BW60" i="3"/>
  <c r="BV60" i="3"/>
  <c r="BU60" i="3"/>
  <c r="BT60" i="3"/>
  <c r="BS60" i="3"/>
  <c r="BR60" i="3"/>
  <c r="BQ60" i="3"/>
  <c r="BP60" i="3"/>
  <c r="BO60" i="3"/>
  <c r="BN60" i="3"/>
  <c r="BM60" i="3"/>
  <c r="BL60" i="3"/>
  <c r="BK60" i="3"/>
  <c r="BJ60" i="3"/>
  <c r="BH60" i="3"/>
  <c r="AZ60" i="3"/>
  <c r="U60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BW59" i="3"/>
  <c r="BV59" i="3"/>
  <c r="BU59" i="3"/>
  <c r="BT59" i="3"/>
  <c r="BS59" i="3"/>
  <c r="BR59" i="3"/>
  <c r="BQ59" i="3"/>
  <c r="BP59" i="3"/>
  <c r="BO59" i="3"/>
  <c r="BN59" i="3"/>
  <c r="BM59" i="3"/>
  <c r="BL59" i="3"/>
  <c r="BK59" i="3"/>
  <c r="BJ59" i="3"/>
  <c r="BH59" i="3"/>
  <c r="AZ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H58" i="3"/>
  <c r="AZ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BW57" i="3"/>
  <c r="BV57" i="3"/>
  <c r="BU57" i="3"/>
  <c r="BT57" i="3"/>
  <c r="BS57" i="3"/>
  <c r="BR57" i="3"/>
  <c r="BQ57" i="3"/>
  <c r="BP57" i="3"/>
  <c r="BO57" i="3"/>
  <c r="BN57" i="3"/>
  <c r="BM57" i="3"/>
  <c r="BL57" i="3"/>
  <c r="BK57" i="3"/>
  <c r="BJ57" i="3"/>
  <c r="BH57" i="3"/>
  <c r="AZ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BW56" i="3"/>
  <c r="BV56" i="3"/>
  <c r="BU56" i="3"/>
  <c r="BT56" i="3"/>
  <c r="BS56" i="3"/>
  <c r="BR56" i="3"/>
  <c r="BQ56" i="3"/>
  <c r="BP56" i="3"/>
  <c r="BO56" i="3"/>
  <c r="BN56" i="3"/>
  <c r="BM56" i="3"/>
  <c r="BL56" i="3"/>
  <c r="BK56" i="3"/>
  <c r="BJ56" i="3"/>
  <c r="BH56" i="3"/>
  <c r="AZ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H55" i="3"/>
  <c r="AZ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BW54" i="3"/>
  <c r="BV54" i="3"/>
  <c r="BU54" i="3"/>
  <c r="BT54" i="3"/>
  <c r="BS54" i="3"/>
  <c r="BR54" i="3"/>
  <c r="BQ54" i="3"/>
  <c r="BP54" i="3"/>
  <c r="BO54" i="3"/>
  <c r="BN54" i="3"/>
  <c r="BM54" i="3"/>
  <c r="BL54" i="3"/>
  <c r="BK54" i="3"/>
  <c r="BJ54" i="3"/>
  <c r="BH54" i="3"/>
  <c r="AZ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BW53" i="3"/>
  <c r="BV53" i="3"/>
  <c r="BU53" i="3"/>
  <c r="BT53" i="3"/>
  <c r="BS53" i="3"/>
  <c r="BR53" i="3"/>
  <c r="BQ53" i="3"/>
  <c r="BP53" i="3"/>
  <c r="BO53" i="3"/>
  <c r="BN53" i="3"/>
  <c r="BM53" i="3"/>
  <c r="BL53" i="3"/>
  <c r="BK53" i="3"/>
  <c r="BJ53" i="3"/>
  <c r="BH53" i="3"/>
  <c r="AZ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A53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H52" i="3"/>
  <c r="AZ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A52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H51" i="3"/>
  <c r="AZ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H50" i="3"/>
  <c r="AZ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A50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H49" i="3"/>
  <c r="AZ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BW48" i="3"/>
  <c r="BV48" i="3"/>
  <c r="BU48" i="3"/>
  <c r="BT48" i="3"/>
  <c r="BS48" i="3"/>
  <c r="BR48" i="3"/>
  <c r="BQ48" i="3"/>
  <c r="BP48" i="3"/>
  <c r="BO48" i="3"/>
  <c r="BN48" i="3"/>
  <c r="BM48" i="3"/>
  <c r="BL48" i="3"/>
  <c r="BK48" i="3"/>
  <c r="BJ48" i="3"/>
  <c r="BH48" i="3"/>
  <c r="AZ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H47" i="3"/>
  <c r="AZ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H46" i="3"/>
  <c r="AZ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BW45" i="3"/>
  <c r="BV45" i="3"/>
  <c r="BU45" i="3"/>
  <c r="BT45" i="3"/>
  <c r="BS45" i="3"/>
  <c r="BR45" i="3"/>
  <c r="BQ45" i="3"/>
  <c r="BP45" i="3"/>
  <c r="BO45" i="3"/>
  <c r="BN45" i="3"/>
  <c r="BM45" i="3"/>
  <c r="BL45" i="3"/>
  <c r="BK45" i="3"/>
  <c r="BJ45" i="3"/>
  <c r="BH45" i="3"/>
  <c r="AZ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BW44" i="3"/>
  <c r="BV44" i="3"/>
  <c r="BU44" i="3"/>
  <c r="BT44" i="3"/>
  <c r="BS44" i="3"/>
  <c r="BR44" i="3"/>
  <c r="BQ44" i="3"/>
  <c r="BP44" i="3"/>
  <c r="BO44" i="3"/>
  <c r="BN44" i="3"/>
  <c r="BM44" i="3"/>
  <c r="BL44" i="3"/>
  <c r="BK44" i="3"/>
  <c r="BJ44" i="3"/>
  <c r="BH44" i="3"/>
  <c r="AZ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H43" i="3"/>
  <c r="AZ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H42" i="3"/>
  <c r="AZ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BW41" i="3"/>
  <c r="BV41" i="3"/>
  <c r="BU41" i="3"/>
  <c r="BT41" i="3"/>
  <c r="BS41" i="3"/>
  <c r="BR41" i="3"/>
  <c r="BQ41" i="3"/>
  <c r="BP41" i="3"/>
  <c r="BO41" i="3"/>
  <c r="BN41" i="3"/>
  <c r="BM41" i="3"/>
  <c r="BL41" i="3"/>
  <c r="BK41" i="3"/>
  <c r="BJ41" i="3"/>
  <c r="AZ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AZ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AZ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BW38" i="3"/>
  <c r="BV38" i="3"/>
  <c r="BU38" i="3"/>
  <c r="BT38" i="3"/>
  <c r="BS38" i="3"/>
  <c r="BR38" i="3"/>
  <c r="BQ38" i="3"/>
  <c r="BP38" i="3"/>
  <c r="BO38" i="3"/>
  <c r="BN38" i="3"/>
  <c r="BM38" i="3"/>
  <c r="BL38" i="3"/>
  <c r="BK38" i="3"/>
  <c r="BJ38" i="3"/>
  <c r="AZ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AZ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AZ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AZ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AZ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AZ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AZ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AZ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AZ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AZ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AZ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AZ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AZ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AZ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AZ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AZ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AZ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AZ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AZ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AZ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AZ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AZ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AZ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BW15" i="3"/>
  <c r="BV15" i="3"/>
  <c r="BU15" i="3"/>
  <c r="BT15" i="3"/>
  <c r="BS15" i="3"/>
  <c r="BR15" i="3"/>
  <c r="BQ15" i="3"/>
  <c r="BP15" i="3"/>
  <c r="BO15" i="3"/>
  <c r="BN15" i="3"/>
  <c r="BM15" i="3"/>
  <c r="BL15" i="3"/>
  <c r="BK15" i="3"/>
  <c r="BJ15" i="3"/>
  <c r="AZ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BW14" i="3"/>
  <c r="BV14" i="3"/>
  <c r="BU14" i="3"/>
  <c r="BT14" i="3"/>
  <c r="BS14" i="3"/>
  <c r="BR14" i="3"/>
  <c r="BQ14" i="3"/>
  <c r="BP14" i="3"/>
  <c r="BO14" i="3"/>
  <c r="BN14" i="3"/>
  <c r="BM14" i="3"/>
  <c r="BL14" i="3"/>
  <c r="BK14" i="3"/>
  <c r="BJ14" i="3"/>
  <c r="AZ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AZ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BW12" i="3"/>
  <c r="BV12" i="3"/>
  <c r="BU12" i="3"/>
  <c r="BT12" i="3"/>
  <c r="BS12" i="3"/>
  <c r="BR12" i="3"/>
  <c r="BQ12" i="3"/>
  <c r="BP12" i="3"/>
  <c r="BO12" i="3"/>
  <c r="BN12" i="3"/>
  <c r="BM12" i="3"/>
  <c r="BL12" i="3"/>
  <c r="BK12" i="3"/>
  <c r="BJ12" i="3"/>
  <c r="AZ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BW11" i="3"/>
  <c r="BV11" i="3"/>
  <c r="BU11" i="3"/>
  <c r="BT11" i="3"/>
  <c r="BS11" i="3"/>
  <c r="BR11" i="3"/>
  <c r="BQ11" i="3"/>
  <c r="BP11" i="3"/>
  <c r="BO11" i="3"/>
  <c r="BN11" i="3"/>
  <c r="BM11" i="3"/>
  <c r="BL11" i="3"/>
  <c r="BK11" i="3"/>
  <c r="BJ11" i="3"/>
  <c r="AZ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AZ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BW9" i="3"/>
  <c r="BV9" i="3"/>
  <c r="BU9" i="3"/>
  <c r="BT9" i="3"/>
  <c r="BS9" i="3"/>
  <c r="BR9" i="3"/>
  <c r="BQ9" i="3"/>
  <c r="BP9" i="3"/>
  <c r="BO9" i="3"/>
  <c r="BN9" i="3"/>
  <c r="BM9" i="3"/>
  <c r="BL9" i="3"/>
  <c r="BK9" i="3"/>
  <c r="BJ9" i="3"/>
  <c r="AZ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BW8" i="3"/>
  <c r="BV8" i="3"/>
  <c r="BU8" i="3"/>
  <c r="BT8" i="3"/>
  <c r="BS8" i="3"/>
  <c r="BR8" i="3"/>
  <c r="BQ8" i="3"/>
  <c r="BP8" i="3"/>
  <c r="BO8" i="3"/>
  <c r="BN8" i="3"/>
  <c r="BM8" i="3"/>
  <c r="BL8" i="3"/>
  <c r="BK8" i="3"/>
  <c r="BJ8" i="3"/>
  <c r="AZ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AZ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AZ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BW5" i="3"/>
  <c r="BV5" i="3"/>
  <c r="BU5" i="3"/>
  <c r="BT5" i="3"/>
  <c r="BS5" i="3"/>
  <c r="BR5" i="3"/>
  <c r="BQ5" i="3"/>
  <c r="BP5" i="3"/>
  <c r="BO5" i="3"/>
  <c r="BN5" i="3"/>
  <c r="BM5" i="3"/>
  <c r="BL5" i="3"/>
  <c r="BK5" i="3"/>
  <c r="BJ5" i="3"/>
  <c r="AZ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AZ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BW3" i="3"/>
  <c r="BV3" i="3"/>
  <c r="BU3" i="3"/>
  <c r="BT3" i="3"/>
  <c r="BS3" i="3"/>
  <c r="BR3" i="3"/>
  <c r="BQ3" i="3"/>
  <c r="BP3" i="3"/>
  <c r="BO3" i="3"/>
  <c r="BN3" i="3"/>
  <c r="BM3" i="3"/>
  <c r="BL3" i="3"/>
  <c r="BK3" i="3"/>
  <c r="BJ3" i="3"/>
  <c r="AZ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3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AZ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2" i="3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G13" i="2"/>
  <c r="F13" i="2"/>
  <c r="E13" i="2"/>
  <c r="D13" i="2"/>
  <c r="C13" i="2"/>
  <c r="B13" i="2"/>
  <c r="A12" i="2"/>
  <c r="A11" i="2"/>
  <c r="AB504" i="1"/>
  <c r="AB503" i="1"/>
  <c r="AB502" i="1"/>
  <c r="AB501" i="1"/>
  <c r="AB500" i="1"/>
  <c r="AB499" i="1"/>
  <c r="AB498" i="1"/>
  <c r="AB497" i="1"/>
  <c r="AB496" i="1"/>
  <c r="AB495" i="1"/>
  <c r="AB494" i="1"/>
  <c r="AB493" i="1"/>
  <c r="AB492" i="1"/>
  <c r="AB491" i="1"/>
  <c r="AB490" i="1"/>
  <c r="AB489" i="1"/>
  <c r="AB488" i="1"/>
  <c r="AB487" i="1"/>
  <c r="AB486" i="1"/>
  <c r="AB485" i="1"/>
  <c r="AB484" i="1"/>
  <c r="AB483" i="1"/>
  <c r="AB482" i="1"/>
  <c r="AB481" i="1"/>
  <c r="AB480" i="1"/>
  <c r="AB479" i="1"/>
  <c r="AB478" i="1"/>
  <c r="AB477" i="1"/>
  <c r="AB476" i="1"/>
  <c r="AB475" i="1"/>
  <c r="AB474" i="1"/>
  <c r="AB473" i="1"/>
  <c r="AB472" i="1"/>
  <c r="AB471" i="1"/>
  <c r="AB470" i="1"/>
  <c r="AB469" i="1"/>
  <c r="AB468" i="1"/>
  <c r="AB467" i="1"/>
  <c r="AB466" i="1"/>
  <c r="AB465" i="1"/>
  <c r="AB464" i="1"/>
  <c r="AB463" i="1"/>
  <c r="AB462" i="1"/>
  <c r="AB461" i="1"/>
  <c r="AB460" i="1"/>
  <c r="AB459" i="1"/>
  <c r="AB458" i="1"/>
  <c r="AB457" i="1"/>
  <c r="AB456" i="1"/>
  <c r="AB455" i="1"/>
  <c r="AB454" i="1"/>
  <c r="AB453" i="1"/>
  <c r="AB452" i="1"/>
  <c r="AB451" i="1"/>
  <c r="AB450" i="1"/>
  <c r="AB449" i="1"/>
  <c r="AB448" i="1"/>
  <c r="AB447" i="1"/>
  <c r="AB446" i="1"/>
  <c r="AB445" i="1"/>
  <c r="AB444" i="1"/>
  <c r="AB443" i="1"/>
  <c r="AB442" i="1"/>
  <c r="AB441" i="1"/>
  <c r="AB440" i="1"/>
  <c r="AB439" i="1"/>
  <c r="AB438" i="1"/>
  <c r="AB437" i="1"/>
  <c r="AB436" i="1"/>
  <c r="AB435" i="1"/>
  <c r="AB434" i="1"/>
  <c r="AB433" i="1"/>
  <c r="AB432" i="1"/>
  <c r="AB431" i="1"/>
  <c r="AB430" i="1"/>
  <c r="AB429" i="1"/>
  <c r="AB428" i="1"/>
  <c r="AB427" i="1"/>
  <c r="AB426" i="1"/>
  <c r="AB425" i="1"/>
  <c r="AB424" i="1"/>
  <c r="AB423" i="1"/>
  <c r="AB422" i="1"/>
  <c r="AB421" i="1"/>
  <c r="AB420" i="1"/>
  <c r="AB419" i="1"/>
  <c r="AB418" i="1"/>
  <c r="AB417" i="1"/>
  <c r="AB416" i="1"/>
  <c r="AB415" i="1"/>
  <c r="AB414" i="1"/>
  <c r="AB413" i="1"/>
  <c r="AB412" i="1"/>
  <c r="AB411" i="1"/>
  <c r="AB410" i="1"/>
  <c r="AB409" i="1"/>
  <c r="AB408" i="1"/>
  <c r="AB407" i="1"/>
  <c r="AB406" i="1"/>
  <c r="AB405" i="1"/>
  <c r="AB404" i="1"/>
  <c r="AB403" i="1"/>
  <c r="AB402" i="1"/>
  <c r="AB401" i="1"/>
  <c r="AB400" i="1"/>
  <c r="AB399" i="1"/>
  <c r="AB398" i="1"/>
  <c r="AB397" i="1"/>
  <c r="AB396" i="1"/>
  <c r="AB395" i="1"/>
  <c r="AB394" i="1"/>
  <c r="AB393" i="1"/>
  <c r="AB392" i="1"/>
  <c r="AB391" i="1"/>
  <c r="AB390" i="1"/>
  <c r="AB389" i="1"/>
  <c r="AB388" i="1"/>
  <c r="AB387" i="1"/>
  <c r="AB386" i="1"/>
  <c r="AB385" i="1"/>
  <c r="AB384" i="1"/>
  <c r="AB383" i="1"/>
  <c r="AB382" i="1"/>
  <c r="AB381" i="1"/>
  <c r="AB380" i="1"/>
  <c r="AB379" i="1"/>
  <c r="AB378" i="1"/>
  <c r="AB377" i="1"/>
  <c r="AB376" i="1"/>
  <c r="AB375" i="1"/>
  <c r="AB374" i="1"/>
  <c r="AB373" i="1"/>
  <c r="AB372" i="1"/>
  <c r="AB371" i="1"/>
  <c r="AB370" i="1"/>
  <c r="AB369" i="1"/>
  <c r="AB368" i="1"/>
  <c r="AB367" i="1"/>
  <c r="AB366" i="1"/>
  <c r="AB365" i="1"/>
  <c r="AB364" i="1"/>
  <c r="AB363" i="1"/>
  <c r="AB362" i="1"/>
  <c r="AB361" i="1"/>
  <c r="AB360" i="1"/>
  <c r="AB359" i="1"/>
  <c r="AB358" i="1"/>
  <c r="AB357" i="1"/>
  <c r="AB356" i="1"/>
  <c r="AB355" i="1"/>
  <c r="AB354" i="1"/>
  <c r="AB353" i="1"/>
  <c r="AB352" i="1"/>
  <c r="AB351" i="1"/>
  <c r="AB350" i="1"/>
  <c r="AB349" i="1"/>
  <c r="AB348" i="1"/>
  <c r="AB347" i="1"/>
  <c r="AB346" i="1"/>
  <c r="AB345" i="1"/>
  <c r="AB344" i="1"/>
  <c r="AB343" i="1"/>
  <c r="AB342" i="1"/>
  <c r="AB341" i="1"/>
  <c r="AB340" i="1"/>
  <c r="AB339" i="1"/>
  <c r="AB338" i="1"/>
  <c r="AB337" i="1"/>
  <c r="AB336" i="1"/>
  <c r="AB335" i="1"/>
  <c r="AB334" i="1"/>
  <c r="AB333" i="1"/>
  <c r="AB332" i="1"/>
  <c r="AB331" i="1"/>
  <c r="AB330" i="1"/>
  <c r="AB329" i="1"/>
  <c r="AB328" i="1"/>
  <c r="AB327" i="1"/>
  <c r="AB326" i="1"/>
  <c r="AB325" i="1"/>
  <c r="AB324" i="1"/>
  <c r="AB323" i="1"/>
  <c r="AB322" i="1"/>
  <c r="AB321" i="1"/>
  <c r="AB320" i="1"/>
  <c r="AB319" i="1"/>
  <c r="AB318" i="1"/>
  <c r="AB317" i="1"/>
  <c r="AB316" i="1"/>
  <c r="AB315" i="1"/>
  <c r="AB314" i="1"/>
  <c r="AB313" i="1"/>
  <c r="AB312" i="1"/>
  <c r="AB311" i="1"/>
  <c r="AB310" i="1"/>
  <c r="AB309" i="1"/>
  <c r="AB308" i="1"/>
  <c r="AB307" i="1"/>
  <c r="AB306" i="1"/>
  <c r="AB305" i="1"/>
  <c r="AB304" i="1"/>
  <c r="AB303" i="1"/>
  <c r="AB302" i="1"/>
  <c r="AB301" i="1"/>
  <c r="AB300" i="1"/>
  <c r="AB299" i="1"/>
  <c r="AB298" i="1"/>
  <c r="AB297" i="1"/>
  <c r="AB296" i="1"/>
  <c r="AB295" i="1"/>
  <c r="AB294" i="1"/>
  <c r="AB293" i="1"/>
  <c r="AB292" i="1"/>
  <c r="AB291" i="1"/>
  <c r="AB290" i="1"/>
  <c r="AB289" i="1"/>
  <c r="AB288" i="1"/>
  <c r="AB287" i="1"/>
  <c r="AB286" i="1"/>
  <c r="AB285" i="1"/>
  <c r="AB284" i="1"/>
  <c r="AB283" i="1"/>
  <c r="AB282" i="1"/>
  <c r="AB281" i="1"/>
  <c r="AB280" i="1"/>
  <c r="AB279" i="1"/>
  <c r="AB278" i="1"/>
  <c r="AB277" i="1"/>
  <c r="AB276" i="1"/>
  <c r="AB275" i="1"/>
  <c r="AB274" i="1"/>
  <c r="AB273" i="1"/>
  <c r="AB272" i="1"/>
  <c r="AB271" i="1"/>
  <c r="AB270" i="1"/>
  <c r="AB269" i="1"/>
  <c r="AB268" i="1"/>
  <c r="AB267" i="1"/>
  <c r="AB266" i="1"/>
  <c r="AB265" i="1"/>
  <c r="AB264" i="1"/>
  <c r="AB263" i="1"/>
  <c r="AB262" i="1"/>
  <c r="AB261" i="1"/>
  <c r="AB260" i="1"/>
  <c r="AB259" i="1"/>
  <c r="AB258" i="1"/>
  <c r="AB257" i="1"/>
  <c r="AB256" i="1"/>
  <c r="AB255" i="1"/>
  <c r="AB254" i="1"/>
  <c r="AB253" i="1"/>
  <c r="AB252" i="1"/>
  <c r="AB251" i="1"/>
  <c r="AB250" i="1"/>
  <c r="AB249" i="1"/>
  <c r="AB248" i="1"/>
  <c r="AB247" i="1"/>
  <c r="AB246" i="1"/>
  <c r="AB245" i="1"/>
  <c r="AB244" i="1"/>
  <c r="AB243" i="1"/>
  <c r="AB242" i="1"/>
  <c r="AB241" i="1"/>
  <c r="AB240" i="1"/>
  <c r="AB239" i="1"/>
  <c r="AB238" i="1"/>
  <c r="AB237" i="1"/>
  <c r="AB236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2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8" i="1"/>
  <c r="AB207" i="1"/>
  <c r="AB206" i="1"/>
  <c r="AB205" i="1"/>
  <c r="AB204" i="1"/>
  <c r="AB203" i="1"/>
  <c r="AB202" i="1"/>
  <c r="AB201" i="1"/>
  <c r="AB200" i="1"/>
  <c r="AB199" i="1"/>
  <c r="AB198" i="1"/>
  <c r="AB197" i="1"/>
  <c r="AB196" i="1"/>
  <c r="AB195" i="1"/>
  <c r="AB194" i="1"/>
  <c r="AB193" i="1"/>
  <c r="AB192" i="1"/>
  <c r="AB191" i="1"/>
  <c r="AB190" i="1"/>
  <c r="AB189" i="1"/>
  <c r="AB188" i="1"/>
  <c r="AB187" i="1"/>
  <c r="AB186" i="1"/>
  <c r="AB185" i="1"/>
  <c r="AB184" i="1"/>
  <c r="AB183" i="1"/>
  <c r="AB182" i="1"/>
  <c r="AB181" i="1"/>
  <c r="AB180" i="1"/>
  <c r="AB179" i="1"/>
  <c r="AB178" i="1"/>
  <c r="AB177" i="1"/>
  <c r="AB176" i="1"/>
  <c r="AB175" i="1"/>
  <c r="AB174" i="1"/>
  <c r="AB173" i="1"/>
  <c r="AB172" i="1"/>
  <c r="AB171" i="1"/>
  <c r="AB170" i="1"/>
  <c r="AB169" i="1"/>
  <c r="AB168" i="1"/>
  <c r="AB167" i="1"/>
  <c r="AB166" i="1"/>
  <c r="AB165" i="1"/>
  <c r="AB164" i="1"/>
  <c r="AB163" i="1"/>
  <c r="AB162" i="1"/>
  <c r="AB161" i="1"/>
  <c r="AB160" i="1"/>
  <c r="AB159" i="1"/>
  <c r="AB158" i="1"/>
  <c r="AB157" i="1"/>
  <c r="AB156" i="1"/>
  <c r="AB155" i="1"/>
  <c r="AB154" i="1"/>
  <c r="AB153" i="1"/>
  <c r="AB152" i="1"/>
  <c r="AB151" i="1"/>
  <c r="AB150" i="1"/>
  <c r="AB149" i="1"/>
  <c r="AB148" i="1"/>
  <c r="AB147" i="1"/>
  <c r="AB146" i="1"/>
  <c r="AB145" i="1"/>
  <c r="AB144" i="1"/>
  <c r="AB143" i="1"/>
  <c r="AB142" i="1"/>
  <c r="AB141" i="1"/>
  <c r="AB140" i="1"/>
  <c r="AB139" i="1"/>
  <c r="AB138" i="1"/>
  <c r="AB137" i="1"/>
  <c r="AB136" i="1"/>
  <c r="AB135" i="1"/>
  <c r="AB134" i="1"/>
  <c r="AB133" i="1"/>
  <c r="AB132" i="1"/>
  <c r="AB131" i="1"/>
  <c r="AB130" i="1"/>
  <c r="AB129" i="1"/>
  <c r="AB128" i="1"/>
  <c r="AB127" i="1"/>
  <c r="AB126" i="1"/>
  <c r="AB125" i="1"/>
  <c r="AB124" i="1"/>
  <c r="AB123" i="1"/>
  <c r="AB122" i="1"/>
  <c r="AB121" i="1"/>
  <c r="AB120" i="1"/>
  <c r="AB119" i="1"/>
  <c r="AB118" i="1"/>
  <c r="AB117" i="1"/>
  <c r="AB116" i="1"/>
  <c r="AB115" i="1"/>
  <c r="AB114" i="1"/>
  <c r="AB113" i="1"/>
  <c r="AB112" i="1"/>
  <c r="AB111" i="1"/>
  <c r="AB110" i="1"/>
  <c r="AB109" i="1"/>
  <c r="AB108" i="1"/>
  <c r="AB107" i="1"/>
  <c r="AB106" i="1"/>
  <c r="AB105" i="1"/>
  <c r="AB104" i="1"/>
  <c r="AB103" i="1"/>
  <c r="AB102" i="1"/>
  <c r="AB101" i="1"/>
  <c r="AB100" i="1"/>
  <c r="AB99" i="1"/>
  <c r="AB98" i="1"/>
  <c r="AB97" i="1"/>
  <c r="AB96" i="1"/>
  <c r="AB95" i="1"/>
  <c r="AB94" i="1"/>
  <c r="AB93" i="1"/>
  <c r="AB92" i="1"/>
  <c r="AB91" i="1"/>
  <c r="AB90" i="1"/>
  <c r="AB89" i="1"/>
  <c r="AB88" i="1"/>
  <c r="AB87" i="1"/>
  <c r="AB86" i="1"/>
  <c r="AB85" i="1"/>
  <c r="AB84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B9" i="1"/>
  <c r="AB8" i="1"/>
  <c r="AB7" i="1"/>
  <c r="AB6" i="1"/>
  <c r="BG501" i="3" l="1"/>
  <c r="BF501" i="3"/>
  <c r="AG501" i="3"/>
  <c r="AF501" i="3"/>
  <c r="BG500" i="3"/>
  <c r="BF500" i="3"/>
  <c r="AG500" i="3"/>
  <c r="AF500" i="3"/>
  <c r="BG499" i="3"/>
  <c r="BF499" i="3"/>
  <c r="AG499" i="3"/>
  <c r="AF499" i="3"/>
  <c r="BG498" i="3"/>
  <c r="BF498" i="3"/>
  <c r="AG498" i="3"/>
  <c r="AF498" i="3"/>
  <c r="BG497" i="3"/>
  <c r="BF497" i="3"/>
  <c r="AG497" i="3"/>
  <c r="AF497" i="3"/>
  <c r="BG496" i="3"/>
  <c r="BF496" i="3"/>
  <c r="AG496" i="3"/>
  <c r="AF496" i="3"/>
  <c r="BG495" i="3"/>
  <c r="BF495" i="3"/>
  <c r="AG495" i="3"/>
  <c r="AF495" i="3"/>
  <c r="BG494" i="3"/>
  <c r="BF494" i="3"/>
  <c r="AG494" i="3"/>
  <c r="AF494" i="3"/>
  <c r="BG493" i="3"/>
  <c r="BF493" i="3"/>
  <c r="AG493" i="3"/>
  <c r="AF493" i="3"/>
  <c r="BG492" i="3"/>
  <c r="BF492" i="3"/>
  <c r="AG492" i="3"/>
  <c r="AF492" i="3"/>
  <c r="BG491" i="3"/>
  <c r="BF491" i="3"/>
  <c r="AG491" i="3"/>
  <c r="AF491" i="3"/>
  <c r="BG490" i="3"/>
  <c r="BF490" i="3"/>
  <c r="AG490" i="3"/>
  <c r="AF490" i="3"/>
  <c r="BG489" i="3"/>
  <c r="BF489" i="3"/>
  <c r="AG489" i="3"/>
  <c r="AF489" i="3"/>
  <c r="BG488" i="3"/>
  <c r="BF488" i="3"/>
  <c r="AG488" i="3"/>
  <c r="AF488" i="3"/>
  <c r="BG487" i="3"/>
  <c r="BF487" i="3"/>
  <c r="AG487" i="3"/>
  <c r="AF487" i="3"/>
  <c r="BG486" i="3"/>
  <c r="BF486" i="3"/>
  <c r="AG486" i="3"/>
  <c r="AF486" i="3"/>
  <c r="BG485" i="3"/>
  <c r="BF485" i="3"/>
  <c r="AG485" i="3"/>
  <c r="AF485" i="3"/>
  <c r="BG484" i="3"/>
  <c r="BF484" i="3"/>
  <c r="AG484" i="3"/>
  <c r="AF484" i="3"/>
  <c r="BG483" i="3"/>
  <c r="BF483" i="3"/>
  <c r="AG483" i="3"/>
  <c r="AF483" i="3"/>
  <c r="BG482" i="3"/>
  <c r="BF482" i="3"/>
  <c r="AG482" i="3"/>
  <c r="AF482" i="3"/>
  <c r="BG481" i="3"/>
  <c r="BF481" i="3"/>
  <c r="AG481" i="3"/>
  <c r="AF481" i="3"/>
  <c r="BG480" i="3"/>
  <c r="BF480" i="3"/>
  <c r="AG480" i="3"/>
  <c r="AF480" i="3"/>
  <c r="BG479" i="3"/>
  <c r="BF479" i="3"/>
  <c r="AG479" i="3"/>
  <c r="AF479" i="3"/>
  <c r="BG478" i="3"/>
  <c r="BF478" i="3"/>
  <c r="AG478" i="3"/>
  <c r="AF478" i="3"/>
  <c r="BG477" i="3"/>
  <c r="BF477" i="3"/>
  <c r="AG477" i="3"/>
  <c r="AF477" i="3"/>
  <c r="BG476" i="3"/>
  <c r="BF476" i="3"/>
  <c r="AG476" i="3"/>
  <c r="AF476" i="3"/>
  <c r="BG475" i="3"/>
  <c r="BF475" i="3"/>
  <c r="AG475" i="3"/>
  <c r="AF475" i="3"/>
  <c r="BG474" i="3"/>
  <c r="BF474" i="3"/>
  <c r="AG474" i="3"/>
  <c r="AF474" i="3"/>
  <c r="BG473" i="3"/>
  <c r="BF473" i="3"/>
  <c r="AG473" i="3"/>
  <c r="AF473" i="3"/>
  <c r="BG472" i="3"/>
  <c r="BF472" i="3"/>
  <c r="AG472" i="3"/>
  <c r="AF472" i="3"/>
  <c r="BG471" i="3"/>
  <c r="BF471" i="3"/>
  <c r="AG471" i="3"/>
  <c r="AF471" i="3"/>
  <c r="BG470" i="3"/>
  <c r="BF470" i="3"/>
  <c r="AG470" i="3"/>
  <c r="AF470" i="3"/>
  <c r="BG469" i="3"/>
  <c r="BF469" i="3"/>
  <c r="AG469" i="3"/>
  <c r="AF469" i="3"/>
  <c r="BG468" i="3"/>
  <c r="BF468" i="3"/>
  <c r="AG468" i="3"/>
  <c r="AF468" i="3"/>
  <c r="BG467" i="3"/>
  <c r="BF467" i="3"/>
  <c r="AG467" i="3"/>
  <c r="AF467" i="3"/>
  <c r="BG466" i="3"/>
  <c r="BF466" i="3"/>
  <c r="AG466" i="3"/>
  <c r="AF466" i="3"/>
  <c r="BG465" i="3"/>
  <c r="BF465" i="3"/>
  <c r="AG465" i="3"/>
  <c r="AF465" i="3"/>
  <c r="BG464" i="3"/>
  <c r="BF464" i="3"/>
  <c r="AG464" i="3"/>
  <c r="AF464" i="3"/>
  <c r="BG463" i="3"/>
  <c r="BF463" i="3"/>
  <c r="AG463" i="3"/>
  <c r="AF463" i="3"/>
  <c r="BG462" i="3"/>
  <c r="BF462" i="3"/>
  <c r="AG462" i="3"/>
  <c r="AF462" i="3"/>
  <c r="BG461" i="3"/>
  <c r="BF461" i="3"/>
  <c r="AG461" i="3"/>
  <c r="AF461" i="3"/>
  <c r="BG460" i="3"/>
  <c r="BF460" i="3"/>
  <c r="AG460" i="3"/>
  <c r="AF460" i="3"/>
  <c r="BG459" i="3"/>
  <c r="BF459" i="3"/>
  <c r="AG459" i="3"/>
  <c r="AF459" i="3"/>
  <c r="BG458" i="3"/>
  <c r="BF458" i="3"/>
  <c r="AG458" i="3"/>
  <c r="AF458" i="3"/>
  <c r="BG457" i="3"/>
  <c r="BF457" i="3"/>
  <c r="AG457" i="3"/>
  <c r="AF457" i="3"/>
  <c r="BG456" i="3"/>
  <c r="BF456" i="3"/>
  <c r="AG456" i="3"/>
  <c r="AF456" i="3"/>
  <c r="BG455" i="3"/>
  <c r="BF455" i="3"/>
  <c r="AG455" i="3"/>
  <c r="AF455" i="3"/>
  <c r="BG454" i="3"/>
  <c r="BF454" i="3"/>
  <c r="AG454" i="3"/>
  <c r="AF454" i="3"/>
  <c r="BG453" i="3"/>
  <c r="BF453" i="3"/>
  <c r="AG453" i="3"/>
  <c r="AF453" i="3"/>
  <c r="BG452" i="3"/>
  <c r="BF452" i="3"/>
  <c r="AG452" i="3"/>
  <c r="AF452" i="3"/>
  <c r="BG451" i="3"/>
  <c r="BF451" i="3"/>
  <c r="AG451" i="3"/>
  <c r="AF451" i="3"/>
  <c r="BG450" i="3"/>
  <c r="BF450" i="3"/>
  <c r="AG450" i="3"/>
  <c r="AF450" i="3"/>
  <c r="BG449" i="3"/>
  <c r="BF449" i="3"/>
  <c r="AG449" i="3"/>
  <c r="AF449" i="3"/>
  <c r="BG448" i="3"/>
  <c r="BF448" i="3"/>
  <c r="AG448" i="3"/>
  <c r="AF448" i="3"/>
  <c r="BG447" i="3"/>
  <c r="BF447" i="3"/>
  <c r="AG447" i="3"/>
  <c r="AF447" i="3"/>
  <c r="BG446" i="3"/>
  <c r="BF446" i="3"/>
  <c r="AG446" i="3"/>
  <c r="AF446" i="3"/>
  <c r="BG445" i="3"/>
  <c r="BF445" i="3"/>
  <c r="AG445" i="3"/>
  <c r="AF445" i="3"/>
  <c r="BG444" i="3"/>
  <c r="BF444" i="3"/>
  <c r="AG444" i="3"/>
  <c r="AF444" i="3"/>
  <c r="BG443" i="3"/>
  <c r="BF443" i="3"/>
  <c r="AG443" i="3"/>
  <c r="AF443" i="3"/>
  <c r="BG442" i="3"/>
  <c r="BF442" i="3"/>
  <c r="AG442" i="3"/>
  <c r="AF442" i="3"/>
  <c r="BG441" i="3"/>
  <c r="BF441" i="3"/>
  <c r="AG441" i="3"/>
  <c r="AF441" i="3"/>
  <c r="BG440" i="3"/>
  <c r="BF440" i="3"/>
  <c r="AG440" i="3"/>
  <c r="AF440" i="3"/>
  <c r="BG439" i="3"/>
  <c r="BF439" i="3"/>
  <c r="AG439" i="3"/>
  <c r="AF439" i="3"/>
  <c r="BG438" i="3"/>
  <c r="BF438" i="3"/>
  <c r="AG438" i="3"/>
  <c r="AF438" i="3"/>
  <c r="BG437" i="3"/>
  <c r="BF437" i="3"/>
  <c r="AG437" i="3"/>
  <c r="AF437" i="3"/>
  <c r="BG436" i="3"/>
  <c r="BF436" i="3"/>
  <c r="AG436" i="3"/>
  <c r="AF436" i="3"/>
  <c r="BG435" i="3"/>
  <c r="BF435" i="3"/>
  <c r="AG435" i="3"/>
  <c r="AF435" i="3"/>
  <c r="BG434" i="3"/>
  <c r="BF434" i="3"/>
  <c r="AG434" i="3"/>
  <c r="AF434" i="3"/>
  <c r="BG433" i="3"/>
  <c r="BF433" i="3"/>
  <c r="AG433" i="3"/>
  <c r="AF433" i="3"/>
  <c r="BG432" i="3"/>
  <c r="BF432" i="3"/>
  <c r="AG432" i="3"/>
  <c r="AF432" i="3"/>
  <c r="BG431" i="3"/>
  <c r="BF431" i="3"/>
  <c r="AG431" i="3"/>
  <c r="AF431" i="3"/>
  <c r="BG430" i="3"/>
  <c r="BF430" i="3"/>
  <c r="AG430" i="3"/>
  <c r="AF430" i="3"/>
  <c r="BG429" i="3"/>
  <c r="BF429" i="3"/>
  <c r="AG429" i="3"/>
  <c r="AF429" i="3"/>
  <c r="BG428" i="3"/>
  <c r="BF428" i="3"/>
  <c r="AG428" i="3"/>
  <c r="AF428" i="3"/>
  <c r="BG427" i="3"/>
  <c r="BF427" i="3"/>
  <c r="AG427" i="3"/>
  <c r="AF427" i="3"/>
  <c r="BG426" i="3"/>
  <c r="BF426" i="3"/>
  <c r="AG426" i="3"/>
  <c r="AF426" i="3"/>
  <c r="BG425" i="3"/>
  <c r="BF425" i="3"/>
  <c r="AG425" i="3"/>
  <c r="AF425" i="3"/>
  <c r="BG424" i="3"/>
  <c r="BF424" i="3"/>
  <c r="AG424" i="3"/>
  <c r="AF424" i="3"/>
  <c r="BG423" i="3"/>
  <c r="BF423" i="3"/>
  <c r="AG423" i="3"/>
  <c r="AF423" i="3"/>
  <c r="BG422" i="3"/>
  <c r="BF422" i="3"/>
  <c r="AG422" i="3"/>
  <c r="AF422" i="3"/>
  <c r="BG421" i="3"/>
  <c r="BF421" i="3"/>
  <c r="AG421" i="3"/>
  <c r="AF421" i="3"/>
  <c r="BG420" i="3"/>
  <c r="BF420" i="3"/>
  <c r="AG420" i="3"/>
  <c r="AF420" i="3"/>
  <c r="BG419" i="3"/>
  <c r="BF419" i="3"/>
  <c r="AG419" i="3"/>
  <c r="AF419" i="3"/>
  <c r="BG418" i="3"/>
  <c r="BF418" i="3"/>
  <c r="AG418" i="3"/>
  <c r="AF418" i="3"/>
  <c r="BG417" i="3"/>
  <c r="BF417" i="3"/>
  <c r="AG417" i="3"/>
  <c r="AF417" i="3"/>
  <c r="BG416" i="3"/>
  <c r="BF416" i="3"/>
  <c r="AG416" i="3"/>
  <c r="AF416" i="3"/>
  <c r="BG415" i="3"/>
  <c r="BF415" i="3"/>
  <c r="AG415" i="3"/>
  <c r="AF415" i="3"/>
  <c r="BG414" i="3"/>
  <c r="BF414" i="3"/>
  <c r="AG414" i="3"/>
  <c r="AF414" i="3"/>
  <c r="BG413" i="3"/>
  <c r="BF413" i="3"/>
  <c r="AG413" i="3"/>
  <c r="AF413" i="3"/>
  <c r="BG412" i="3"/>
  <c r="BF412" i="3"/>
  <c r="AG412" i="3"/>
  <c r="AF412" i="3"/>
  <c r="BG411" i="3"/>
  <c r="BF411" i="3"/>
  <c r="AG411" i="3"/>
  <c r="AF411" i="3"/>
  <c r="BG410" i="3"/>
  <c r="BF410" i="3"/>
  <c r="AG410" i="3"/>
  <c r="AF410" i="3"/>
  <c r="BG409" i="3"/>
  <c r="BF409" i="3"/>
  <c r="AG409" i="3"/>
  <c r="AF409" i="3"/>
  <c r="BG408" i="3"/>
  <c r="BF408" i="3"/>
  <c r="AG408" i="3"/>
  <c r="AF408" i="3"/>
  <c r="BG407" i="3"/>
  <c r="BF407" i="3"/>
  <c r="AG407" i="3"/>
  <c r="AF407" i="3"/>
  <c r="BG406" i="3"/>
  <c r="BF406" i="3"/>
  <c r="AG406" i="3"/>
  <c r="AF406" i="3"/>
  <c r="BG405" i="3"/>
  <c r="BF405" i="3"/>
  <c r="AG405" i="3"/>
  <c r="AF405" i="3"/>
  <c r="BG404" i="3"/>
  <c r="BF404" i="3"/>
  <c r="AG404" i="3"/>
  <c r="AF404" i="3"/>
  <c r="BG403" i="3"/>
  <c r="BF403" i="3"/>
  <c r="AG403" i="3"/>
  <c r="AF403" i="3"/>
  <c r="BG402" i="3"/>
  <c r="BF402" i="3"/>
  <c r="AG402" i="3"/>
  <c r="AF402" i="3"/>
  <c r="BG401" i="3"/>
  <c r="BF401" i="3"/>
  <c r="AG401" i="3"/>
  <c r="AF401" i="3"/>
  <c r="BG400" i="3"/>
  <c r="BF400" i="3"/>
  <c r="AG400" i="3"/>
  <c r="AF400" i="3"/>
  <c r="BG399" i="3"/>
  <c r="BF399" i="3"/>
  <c r="AG399" i="3"/>
  <c r="AF399" i="3"/>
  <c r="BG398" i="3"/>
  <c r="BF398" i="3"/>
  <c r="AG398" i="3"/>
  <c r="AF398" i="3"/>
  <c r="BG397" i="3"/>
  <c r="BF397" i="3"/>
  <c r="AG397" i="3"/>
  <c r="AF397" i="3"/>
  <c r="BG396" i="3"/>
  <c r="BF396" i="3"/>
  <c r="AG396" i="3"/>
  <c r="AF396" i="3"/>
  <c r="BG395" i="3"/>
  <c r="BF395" i="3"/>
  <c r="AG395" i="3"/>
  <c r="AF395" i="3"/>
  <c r="BG394" i="3"/>
  <c r="BF394" i="3"/>
  <c r="AG394" i="3"/>
  <c r="AF394" i="3"/>
  <c r="BG393" i="3"/>
  <c r="BF393" i="3"/>
  <c r="AG393" i="3"/>
  <c r="AF393" i="3"/>
  <c r="BG392" i="3"/>
  <c r="BF392" i="3"/>
  <c r="AG392" i="3"/>
  <c r="AF392" i="3"/>
  <c r="BG391" i="3"/>
  <c r="BF391" i="3"/>
  <c r="AG391" i="3"/>
  <c r="AF391" i="3"/>
  <c r="BG390" i="3"/>
  <c r="BF390" i="3"/>
  <c r="AG390" i="3"/>
  <c r="AF390" i="3"/>
  <c r="BG389" i="3"/>
  <c r="BF389" i="3"/>
  <c r="AG389" i="3"/>
  <c r="AF389" i="3"/>
  <c r="BG388" i="3"/>
  <c r="BF388" i="3"/>
  <c r="AG388" i="3"/>
  <c r="AF388" i="3"/>
  <c r="BG387" i="3"/>
  <c r="BF387" i="3"/>
  <c r="AG387" i="3"/>
  <c r="AF387" i="3"/>
  <c r="BG386" i="3"/>
  <c r="BF386" i="3"/>
  <c r="AG386" i="3"/>
  <c r="AF386" i="3"/>
  <c r="BG385" i="3"/>
  <c r="BF385" i="3"/>
  <c r="AG385" i="3"/>
  <c r="AF385" i="3"/>
  <c r="BG384" i="3"/>
  <c r="BF384" i="3"/>
  <c r="AG384" i="3"/>
  <c r="AF384" i="3"/>
  <c r="BG383" i="3"/>
  <c r="BF383" i="3"/>
  <c r="AG383" i="3"/>
  <c r="AF383" i="3"/>
  <c r="BG382" i="3"/>
  <c r="BF382" i="3"/>
  <c r="AG382" i="3"/>
  <c r="AF382" i="3"/>
  <c r="BG381" i="3"/>
  <c r="BF381" i="3"/>
  <c r="AG381" i="3"/>
  <c r="AF381" i="3"/>
  <c r="BG380" i="3"/>
  <c r="BF380" i="3"/>
  <c r="AG380" i="3"/>
  <c r="AF380" i="3"/>
  <c r="BG379" i="3"/>
  <c r="BF379" i="3"/>
  <c r="AG379" i="3"/>
  <c r="AF379" i="3"/>
  <c r="BG378" i="3"/>
  <c r="BF378" i="3"/>
  <c r="AG378" i="3"/>
  <c r="AF378" i="3"/>
  <c r="BG377" i="3"/>
  <c r="BF377" i="3"/>
  <c r="AG377" i="3"/>
  <c r="AF377" i="3"/>
  <c r="BG376" i="3"/>
  <c r="BF376" i="3"/>
  <c r="AG376" i="3"/>
  <c r="AF376" i="3"/>
  <c r="BG375" i="3"/>
  <c r="BF375" i="3"/>
  <c r="AG375" i="3"/>
  <c r="AF375" i="3"/>
  <c r="BG374" i="3"/>
  <c r="BF374" i="3"/>
  <c r="AG374" i="3"/>
  <c r="AF374" i="3"/>
  <c r="BG373" i="3"/>
  <c r="BF373" i="3"/>
  <c r="AG373" i="3"/>
  <c r="AF373" i="3"/>
  <c r="BG372" i="3"/>
  <c r="BF372" i="3"/>
  <c r="AG372" i="3"/>
  <c r="AF372" i="3"/>
  <c r="BG371" i="3"/>
  <c r="BF371" i="3"/>
  <c r="AG371" i="3"/>
  <c r="AF371" i="3"/>
  <c r="BG370" i="3"/>
  <c r="BF370" i="3"/>
  <c r="AG370" i="3"/>
  <c r="AF370" i="3"/>
  <c r="BG369" i="3"/>
  <c r="BF369" i="3"/>
  <c r="AG369" i="3"/>
  <c r="AF369" i="3"/>
  <c r="BG368" i="3"/>
  <c r="BF368" i="3"/>
  <c r="AG368" i="3"/>
  <c r="AF368" i="3"/>
  <c r="BG367" i="3"/>
  <c r="BF367" i="3"/>
  <c r="AG367" i="3"/>
  <c r="AF367" i="3"/>
  <c r="BG366" i="3"/>
  <c r="BF366" i="3"/>
  <c r="AG366" i="3"/>
  <c r="AF366" i="3"/>
  <c r="BG365" i="3"/>
  <c r="BF365" i="3"/>
  <c r="AG365" i="3"/>
  <c r="AF365" i="3"/>
  <c r="BG364" i="3"/>
  <c r="BF364" i="3"/>
  <c r="AG364" i="3"/>
  <c r="AF364" i="3"/>
  <c r="BG363" i="3"/>
  <c r="BF363" i="3"/>
  <c r="AG363" i="3"/>
  <c r="AF363" i="3"/>
  <c r="BG362" i="3"/>
  <c r="BF362" i="3"/>
  <c r="AG362" i="3"/>
  <c r="AF362" i="3"/>
  <c r="BG361" i="3"/>
  <c r="BF361" i="3"/>
  <c r="AG361" i="3"/>
  <c r="AF361" i="3"/>
  <c r="BG360" i="3"/>
  <c r="BF360" i="3"/>
  <c r="AG360" i="3"/>
  <c r="AF360" i="3"/>
  <c r="BG359" i="3"/>
  <c r="BF359" i="3"/>
  <c r="AG359" i="3"/>
  <c r="AF359" i="3"/>
  <c r="BG358" i="3"/>
  <c r="BF358" i="3"/>
  <c r="AG358" i="3"/>
  <c r="AF358" i="3"/>
  <c r="BG357" i="3"/>
  <c r="BF357" i="3"/>
  <c r="AG357" i="3"/>
  <c r="AF357" i="3"/>
  <c r="BG356" i="3"/>
  <c r="BF356" i="3"/>
  <c r="AG356" i="3"/>
  <c r="AF356" i="3"/>
  <c r="BG355" i="3"/>
  <c r="BF355" i="3"/>
  <c r="AG355" i="3"/>
  <c r="AF355" i="3"/>
  <c r="BG354" i="3"/>
  <c r="BF354" i="3"/>
  <c r="AG354" i="3"/>
  <c r="AF354" i="3"/>
  <c r="BG353" i="3"/>
  <c r="BF353" i="3"/>
  <c r="AG353" i="3"/>
  <c r="AF353" i="3"/>
  <c r="BG352" i="3"/>
  <c r="BF352" i="3"/>
  <c r="AG352" i="3"/>
  <c r="AF352" i="3"/>
  <c r="BG351" i="3"/>
  <c r="BF351" i="3"/>
  <c r="AG351" i="3"/>
  <c r="AF351" i="3"/>
  <c r="BG350" i="3"/>
  <c r="BF350" i="3"/>
  <c r="AG350" i="3"/>
  <c r="AF350" i="3"/>
  <c r="BG349" i="3"/>
  <c r="BF349" i="3"/>
  <c r="AG349" i="3"/>
  <c r="AF349" i="3"/>
  <c r="BG348" i="3"/>
  <c r="BF348" i="3"/>
  <c r="AG348" i="3"/>
  <c r="AF348" i="3"/>
  <c r="BG347" i="3"/>
  <c r="BF347" i="3"/>
  <c r="AG347" i="3"/>
  <c r="AF347" i="3"/>
  <c r="BG346" i="3"/>
  <c r="BF346" i="3"/>
  <c r="AG346" i="3"/>
  <c r="AF346" i="3"/>
  <c r="BG345" i="3"/>
  <c r="BF345" i="3"/>
  <c r="AG345" i="3"/>
  <c r="AF345" i="3"/>
  <c r="BG344" i="3"/>
  <c r="BF344" i="3"/>
  <c r="AG344" i="3"/>
  <c r="AF344" i="3"/>
  <c r="BG343" i="3"/>
  <c r="BF343" i="3"/>
  <c r="AG343" i="3"/>
  <c r="AF343" i="3"/>
  <c r="BG342" i="3"/>
  <c r="BF342" i="3"/>
  <c r="AG342" i="3"/>
  <c r="AF342" i="3"/>
  <c r="BG341" i="3"/>
  <c r="BF341" i="3"/>
  <c r="AG341" i="3"/>
  <c r="AF341" i="3"/>
  <c r="BG340" i="3"/>
  <c r="BF340" i="3"/>
  <c r="AG340" i="3"/>
  <c r="AF340" i="3"/>
  <c r="BG339" i="3"/>
  <c r="BF339" i="3"/>
  <c r="AG339" i="3"/>
  <c r="AF339" i="3"/>
  <c r="BG338" i="3"/>
  <c r="BF338" i="3"/>
  <c r="AG338" i="3"/>
  <c r="AF338" i="3"/>
  <c r="BG337" i="3"/>
  <c r="BF337" i="3"/>
  <c r="AG337" i="3"/>
  <c r="AF337" i="3"/>
  <c r="BG336" i="3"/>
  <c r="BF336" i="3"/>
  <c r="AG336" i="3"/>
  <c r="AF336" i="3"/>
  <c r="BG335" i="3"/>
  <c r="BF335" i="3"/>
  <c r="AG335" i="3"/>
  <c r="AF335" i="3"/>
  <c r="BG334" i="3"/>
  <c r="BF334" i="3"/>
  <c r="AG334" i="3"/>
  <c r="AF334" i="3"/>
  <c r="BG333" i="3"/>
  <c r="BF333" i="3"/>
  <c r="AG333" i="3"/>
  <c r="AF333" i="3"/>
  <c r="BG332" i="3"/>
  <c r="BF332" i="3"/>
  <c r="AG332" i="3"/>
  <c r="AF332" i="3"/>
  <c r="BG331" i="3"/>
  <c r="BF331" i="3"/>
  <c r="AG331" i="3"/>
  <c r="AF331" i="3"/>
  <c r="BG330" i="3"/>
  <c r="BF330" i="3"/>
  <c r="AG330" i="3"/>
  <c r="AF330" i="3"/>
  <c r="BG329" i="3"/>
  <c r="BF329" i="3"/>
  <c r="AG329" i="3"/>
  <c r="AF329" i="3"/>
  <c r="BG328" i="3"/>
  <c r="BF328" i="3"/>
  <c r="AG328" i="3"/>
  <c r="AF328" i="3"/>
  <c r="BG327" i="3"/>
  <c r="BF327" i="3"/>
  <c r="AG327" i="3"/>
  <c r="AF327" i="3"/>
  <c r="BG326" i="3"/>
  <c r="BF326" i="3"/>
  <c r="AG326" i="3"/>
  <c r="AF326" i="3"/>
  <c r="BG325" i="3"/>
  <c r="BF325" i="3"/>
  <c r="AG325" i="3"/>
  <c r="AF325" i="3"/>
  <c r="BG324" i="3"/>
  <c r="BF324" i="3"/>
  <c r="AG324" i="3"/>
  <c r="AF324" i="3"/>
  <c r="BG323" i="3"/>
  <c r="BF323" i="3"/>
  <c r="AG323" i="3"/>
  <c r="AF323" i="3"/>
  <c r="BG322" i="3"/>
  <c r="BF322" i="3"/>
  <c r="AG322" i="3"/>
  <c r="AF322" i="3"/>
  <c r="BG321" i="3"/>
  <c r="BF321" i="3"/>
  <c r="AG321" i="3"/>
  <c r="AF321" i="3"/>
  <c r="BG320" i="3"/>
  <c r="BF320" i="3"/>
  <c r="AG320" i="3"/>
  <c r="AF320" i="3"/>
  <c r="BG319" i="3"/>
  <c r="BF319" i="3"/>
  <c r="AG319" i="3"/>
  <c r="AF319" i="3"/>
  <c r="BG318" i="3"/>
  <c r="BF318" i="3"/>
  <c r="AG318" i="3"/>
  <c r="AF318" i="3"/>
  <c r="BG317" i="3"/>
  <c r="BF317" i="3"/>
  <c r="AG317" i="3"/>
  <c r="AF317" i="3"/>
  <c r="BG316" i="3"/>
  <c r="BF316" i="3"/>
  <c r="AG316" i="3"/>
  <c r="AF316" i="3"/>
  <c r="BG315" i="3"/>
  <c r="BF315" i="3"/>
  <c r="AG315" i="3"/>
  <c r="AF315" i="3"/>
  <c r="BG314" i="3"/>
  <c r="BF314" i="3"/>
  <c r="AG314" i="3"/>
  <c r="AF314" i="3"/>
  <c r="BG313" i="3"/>
  <c r="BF313" i="3"/>
  <c r="AG313" i="3"/>
  <c r="AF313" i="3"/>
  <c r="BG312" i="3"/>
  <c r="BF312" i="3"/>
  <c r="AG312" i="3"/>
  <c r="AF312" i="3"/>
  <c r="BG311" i="3"/>
  <c r="BF311" i="3"/>
  <c r="AG311" i="3"/>
  <c r="AF311" i="3"/>
  <c r="BG310" i="3"/>
  <c r="BF310" i="3"/>
  <c r="AG310" i="3"/>
  <c r="AF310" i="3"/>
  <c r="BG309" i="3"/>
  <c r="BF309" i="3"/>
  <c r="AG309" i="3"/>
  <c r="AF309" i="3"/>
  <c r="BG308" i="3"/>
  <c r="BF308" i="3"/>
  <c r="AG308" i="3"/>
  <c r="AF308" i="3"/>
  <c r="BG307" i="3"/>
  <c r="BF307" i="3"/>
  <c r="AG307" i="3"/>
  <c r="AF307" i="3"/>
  <c r="BG306" i="3"/>
  <c r="BF306" i="3"/>
  <c r="AG306" i="3"/>
  <c r="AF306" i="3"/>
  <c r="BG305" i="3"/>
  <c r="BF305" i="3"/>
  <c r="AG305" i="3"/>
  <c r="AF305" i="3"/>
  <c r="BG304" i="3"/>
  <c r="BF304" i="3"/>
  <c r="AG304" i="3"/>
  <c r="AF304" i="3"/>
  <c r="BG303" i="3"/>
  <c r="BF303" i="3"/>
  <c r="AG303" i="3"/>
  <c r="AF303" i="3"/>
  <c r="BG302" i="3"/>
  <c r="BF302" i="3"/>
  <c r="AG302" i="3"/>
  <c r="AF302" i="3"/>
  <c r="BG301" i="3"/>
  <c r="BF301" i="3"/>
  <c r="AG301" i="3"/>
  <c r="AF301" i="3"/>
  <c r="BG300" i="3"/>
  <c r="BF300" i="3"/>
  <c r="AG300" i="3"/>
  <c r="AF300" i="3"/>
  <c r="BG299" i="3"/>
  <c r="BF299" i="3"/>
  <c r="AG299" i="3"/>
  <c r="AF299" i="3"/>
  <c r="BG298" i="3"/>
  <c r="BF298" i="3"/>
  <c r="AG298" i="3"/>
  <c r="AF298" i="3"/>
  <c r="BG297" i="3"/>
  <c r="BF297" i="3"/>
  <c r="AG297" i="3"/>
  <c r="AF297" i="3"/>
  <c r="BG296" i="3"/>
  <c r="BF296" i="3"/>
  <c r="AG296" i="3"/>
  <c r="AF296" i="3"/>
  <c r="BG295" i="3"/>
  <c r="BF295" i="3"/>
  <c r="AG295" i="3"/>
  <c r="AF295" i="3"/>
  <c r="BG294" i="3"/>
  <c r="BF294" i="3"/>
  <c r="AG294" i="3"/>
  <c r="AF294" i="3"/>
  <c r="BG293" i="3"/>
  <c r="BF293" i="3"/>
  <c r="AG293" i="3"/>
  <c r="AF293" i="3"/>
  <c r="BG292" i="3"/>
  <c r="BF292" i="3"/>
  <c r="AG292" i="3"/>
  <c r="AF292" i="3"/>
  <c r="BG291" i="3"/>
  <c r="BF291" i="3"/>
  <c r="AG291" i="3"/>
  <c r="AF291" i="3"/>
  <c r="BG290" i="3"/>
  <c r="BF290" i="3"/>
  <c r="AG290" i="3"/>
  <c r="AF290" i="3"/>
  <c r="BG289" i="3"/>
  <c r="BF289" i="3"/>
  <c r="AG289" i="3"/>
  <c r="AF289" i="3"/>
  <c r="BG288" i="3"/>
  <c r="BF288" i="3"/>
  <c r="AG288" i="3"/>
  <c r="AF288" i="3"/>
  <c r="BG287" i="3"/>
  <c r="BF287" i="3"/>
  <c r="AG287" i="3"/>
  <c r="AF287" i="3"/>
  <c r="BG286" i="3"/>
  <c r="BF286" i="3"/>
  <c r="AG286" i="3"/>
  <c r="AF286" i="3"/>
  <c r="BG285" i="3"/>
  <c r="BF285" i="3"/>
  <c r="AG285" i="3"/>
  <c r="AF285" i="3"/>
  <c r="BG284" i="3"/>
  <c r="BF284" i="3"/>
  <c r="AG284" i="3"/>
  <c r="AF284" i="3"/>
  <c r="BG283" i="3"/>
  <c r="BF283" i="3"/>
  <c r="AG283" i="3"/>
  <c r="AF283" i="3"/>
  <c r="BG282" i="3"/>
  <c r="BF282" i="3"/>
  <c r="AG282" i="3"/>
  <c r="AF282" i="3"/>
  <c r="BG281" i="3"/>
  <c r="BF281" i="3"/>
  <c r="AG281" i="3"/>
  <c r="AF281" i="3"/>
  <c r="BG280" i="3"/>
  <c r="BF280" i="3"/>
  <c r="AG280" i="3"/>
  <c r="AF280" i="3"/>
  <c r="BG279" i="3"/>
  <c r="BF279" i="3"/>
  <c r="AG279" i="3"/>
  <c r="AF279" i="3"/>
  <c r="BG278" i="3"/>
  <c r="BF278" i="3"/>
  <c r="AG278" i="3"/>
  <c r="AF278" i="3"/>
  <c r="BG277" i="3"/>
  <c r="BF277" i="3"/>
  <c r="AG277" i="3"/>
  <c r="AF277" i="3"/>
  <c r="BG276" i="3"/>
  <c r="BF276" i="3"/>
  <c r="AG276" i="3"/>
  <c r="AF276" i="3"/>
  <c r="BG275" i="3"/>
  <c r="BF275" i="3"/>
  <c r="AG275" i="3"/>
  <c r="AF275" i="3"/>
  <c r="BG274" i="3"/>
  <c r="BF274" i="3"/>
  <c r="AG274" i="3"/>
  <c r="AF274" i="3"/>
  <c r="BG273" i="3"/>
  <c r="BF273" i="3"/>
  <c r="AG273" i="3"/>
  <c r="AF273" i="3"/>
  <c r="BG272" i="3"/>
  <c r="BF272" i="3"/>
  <c r="AG272" i="3"/>
  <c r="AF272" i="3"/>
  <c r="BG271" i="3"/>
  <c r="BF271" i="3"/>
  <c r="AG271" i="3"/>
  <c r="AF271" i="3"/>
  <c r="BG270" i="3"/>
  <c r="BF270" i="3"/>
  <c r="AG270" i="3"/>
  <c r="AF270" i="3"/>
  <c r="BG269" i="3"/>
  <c r="BF269" i="3"/>
  <c r="AG269" i="3"/>
  <c r="AF269" i="3"/>
  <c r="BG268" i="3"/>
  <c r="BF268" i="3"/>
  <c r="AG268" i="3"/>
  <c r="AF268" i="3"/>
  <c r="BG267" i="3"/>
  <c r="BF267" i="3"/>
  <c r="AG267" i="3"/>
  <c r="AF267" i="3"/>
  <c r="BG266" i="3"/>
  <c r="BF266" i="3"/>
  <c r="AG266" i="3"/>
  <c r="AF266" i="3"/>
  <c r="BG265" i="3"/>
  <c r="BF265" i="3"/>
  <c r="AG265" i="3"/>
  <c r="AF265" i="3"/>
  <c r="BG264" i="3"/>
  <c r="BF264" i="3"/>
  <c r="AG264" i="3"/>
  <c r="AF264" i="3"/>
  <c r="BG263" i="3"/>
  <c r="BF263" i="3"/>
  <c r="AG263" i="3"/>
  <c r="AF263" i="3"/>
  <c r="BG262" i="3"/>
  <c r="BF262" i="3"/>
  <c r="AG262" i="3"/>
  <c r="AF262" i="3"/>
  <c r="BG261" i="3"/>
  <c r="BF261" i="3"/>
  <c r="AG261" i="3"/>
  <c r="AF261" i="3"/>
  <c r="BG260" i="3"/>
  <c r="BF260" i="3"/>
  <c r="AG260" i="3"/>
  <c r="AF260" i="3"/>
  <c r="BG259" i="3"/>
  <c r="BF259" i="3"/>
  <c r="AG259" i="3"/>
  <c r="AF259" i="3"/>
  <c r="BG258" i="3"/>
  <c r="BF258" i="3"/>
  <c r="AG258" i="3"/>
  <c r="AF258" i="3"/>
  <c r="BG257" i="3"/>
  <c r="BF257" i="3"/>
  <c r="AG257" i="3"/>
  <c r="AF257" i="3"/>
  <c r="BG256" i="3"/>
  <c r="BF256" i="3"/>
  <c r="AG256" i="3"/>
  <c r="AF256" i="3"/>
  <c r="BG255" i="3"/>
  <c r="BF255" i="3"/>
  <c r="AG255" i="3"/>
  <c r="AF255" i="3"/>
  <c r="BG254" i="3"/>
  <c r="BF254" i="3"/>
  <c r="AG254" i="3"/>
  <c r="AF254" i="3"/>
  <c r="BG253" i="3"/>
  <c r="BF253" i="3"/>
  <c r="AG253" i="3"/>
  <c r="AF253" i="3"/>
  <c r="BG252" i="3"/>
  <c r="BF252" i="3"/>
  <c r="AG252" i="3"/>
  <c r="AF252" i="3"/>
  <c r="BG251" i="3"/>
  <c r="BF251" i="3"/>
  <c r="AG251" i="3"/>
  <c r="AF251" i="3"/>
  <c r="BG250" i="3"/>
  <c r="BF250" i="3"/>
  <c r="AG250" i="3"/>
  <c r="AF250" i="3"/>
  <c r="BG249" i="3"/>
  <c r="BF249" i="3"/>
  <c r="AG249" i="3"/>
  <c r="AF249" i="3"/>
  <c r="BG248" i="3"/>
  <c r="BF248" i="3"/>
  <c r="AG248" i="3"/>
  <c r="AF248" i="3"/>
  <c r="BG247" i="3"/>
  <c r="BF247" i="3"/>
  <c r="AG247" i="3"/>
  <c r="AF247" i="3"/>
  <c r="BG246" i="3"/>
  <c r="BF246" i="3"/>
  <c r="AG246" i="3"/>
  <c r="AF246" i="3"/>
  <c r="BG245" i="3"/>
  <c r="BF245" i="3"/>
  <c r="AG245" i="3"/>
  <c r="AF245" i="3"/>
  <c r="BG244" i="3"/>
  <c r="BF244" i="3"/>
  <c r="AG244" i="3"/>
  <c r="AF244" i="3"/>
  <c r="BG243" i="3"/>
  <c r="BF243" i="3"/>
  <c r="AG243" i="3"/>
  <c r="AF243" i="3"/>
  <c r="BG242" i="3"/>
  <c r="BF242" i="3"/>
  <c r="AG242" i="3"/>
  <c r="AF242" i="3"/>
  <c r="BG241" i="3"/>
  <c r="BF241" i="3"/>
  <c r="AG241" i="3"/>
  <c r="AF241" i="3"/>
  <c r="BG240" i="3"/>
  <c r="BF240" i="3"/>
  <c r="AG240" i="3"/>
  <c r="AF240" i="3"/>
  <c r="BG239" i="3"/>
  <c r="BF239" i="3"/>
  <c r="AG239" i="3"/>
  <c r="AF239" i="3"/>
  <c r="BG238" i="3"/>
  <c r="BF238" i="3"/>
  <c r="AG238" i="3"/>
  <c r="AF238" i="3"/>
  <c r="BG237" i="3"/>
  <c r="BF237" i="3"/>
  <c r="AG237" i="3"/>
  <c r="AF237" i="3"/>
  <c r="BG236" i="3"/>
  <c r="BF236" i="3"/>
  <c r="AG236" i="3"/>
  <c r="AF236" i="3"/>
  <c r="BG235" i="3"/>
  <c r="BF235" i="3"/>
  <c r="AG235" i="3"/>
  <c r="AF235" i="3"/>
  <c r="BG234" i="3"/>
  <c r="BF234" i="3"/>
  <c r="AG234" i="3"/>
  <c r="AF234" i="3"/>
  <c r="BG233" i="3"/>
  <c r="BF233" i="3"/>
  <c r="AG233" i="3"/>
  <c r="AF233" i="3"/>
  <c r="BG232" i="3"/>
  <c r="BF232" i="3"/>
  <c r="AG232" i="3"/>
  <c r="AF232" i="3"/>
  <c r="BG231" i="3"/>
  <c r="BF231" i="3"/>
  <c r="AG231" i="3"/>
  <c r="AF231" i="3"/>
  <c r="BG230" i="3"/>
  <c r="BF230" i="3"/>
  <c r="AG230" i="3"/>
  <c r="AF230" i="3"/>
  <c r="BG229" i="3"/>
  <c r="BF229" i="3"/>
  <c r="AG229" i="3"/>
  <c r="AF229" i="3"/>
  <c r="BG228" i="3"/>
  <c r="BF228" i="3"/>
  <c r="AG228" i="3"/>
  <c r="AF228" i="3"/>
  <c r="BG227" i="3"/>
  <c r="BF227" i="3"/>
  <c r="AG227" i="3"/>
  <c r="AF227" i="3"/>
  <c r="BG226" i="3"/>
  <c r="BF226" i="3"/>
  <c r="AG226" i="3"/>
  <c r="AF226" i="3"/>
  <c r="BG225" i="3"/>
  <c r="BF225" i="3"/>
  <c r="AG225" i="3"/>
  <c r="AF225" i="3"/>
  <c r="BG224" i="3"/>
  <c r="BF224" i="3"/>
  <c r="AG224" i="3"/>
  <c r="AF224" i="3"/>
  <c r="BG223" i="3"/>
  <c r="BF223" i="3"/>
  <c r="AG223" i="3"/>
  <c r="AF223" i="3"/>
  <c r="BG222" i="3"/>
  <c r="BF222" i="3"/>
  <c r="AG222" i="3"/>
  <c r="AF222" i="3"/>
  <c r="BG221" i="3"/>
  <c r="BF221" i="3"/>
  <c r="AG221" i="3"/>
  <c r="AF221" i="3"/>
  <c r="BG220" i="3"/>
  <c r="BF220" i="3"/>
  <c r="AG220" i="3"/>
  <c r="AF220" i="3"/>
  <c r="BG219" i="3"/>
  <c r="BF219" i="3"/>
  <c r="AG219" i="3"/>
  <c r="AF219" i="3"/>
  <c r="BG218" i="3"/>
  <c r="BF218" i="3"/>
  <c r="AG218" i="3"/>
  <c r="AF218" i="3"/>
  <c r="BG217" i="3"/>
  <c r="BF217" i="3"/>
  <c r="AG217" i="3"/>
  <c r="AF217" i="3"/>
  <c r="BG216" i="3"/>
  <c r="BF216" i="3"/>
  <c r="AG216" i="3"/>
  <c r="AF216" i="3"/>
  <c r="BG215" i="3"/>
  <c r="BF215" i="3"/>
  <c r="AG215" i="3"/>
  <c r="AF215" i="3"/>
  <c r="BG214" i="3"/>
  <c r="BF214" i="3"/>
  <c r="AG214" i="3"/>
  <c r="AF214" i="3"/>
  <c r="BG213" i="3"/>
  <c r="BF213" i="3"/>
  <c r="AG213" i="3"/>
  <c r="AF213" i="3"/>
  <c r="BG212" i="3"/>
  <c r="BF212" i="3"/>
  <c r="AG212" i="3"/>
  <c r="AF212" i="3"/>
  <c r="BG211" i="3"/>
  <c r="BF211" i="3"/>
  <c r="AG211" i="3"/>
  <c r="AF211" i="3"/>
  <c r="BG210" i="3"/>
  <c r="BF210" i="3"/>
  <c r="AG210" i="3"/>
  <c r="AF210" i="3"/>
  <c r="BG209" i="3"/>
  <c r="BF209" i="3"/>
  <c r="AG209" i="3"/>
  <c r="AF209" i="3"/>
  <c r="BG208" i="3"/>
  <c r="BF208" i="3"/>
  <c r="AG208" i="3"/>
  <c r="AF208" i="3"/>
  <c r="BG207" i="3"/>
  <c r="BF207" i="3"/>
  <c r="AG207" i="3"/>
  <c r="AF207" i="3"/>
  <c r="BG206" i="3"/>
  <c r="BF206" i="3"/>
  <c r="AG206" i="3"/>
  <c r="AF206" i="3"/>
  <c r="BG205" i="3"/>
  <c r="BF205" i="3"/>
  <c r="AG205" i="3"/>
  <c r="AF205" i="3"/>
  <c r="BG204" i="3"/>
  <c r="BF204" i="3"/>
  <c r="AG204" i="3"/>
  <c r="AF204" i="3"/>
  <c r="BG203" i="3"/>
  <c r="BF203" i="3"/>
  <c r="AG203" i="3"/>
  <c r="AF203" i="3"/>
  <c r="BG202" i="3"/>
  <c r="BF202" i="3"/>
  <c r="AG202" i="3"/>
  <c r="AF202" i="3"/>
  <c r="BG201" i="3"/>
  <c r="BF201" i="3"/>
  <c r="AG201" i="3"/>
  <c r="AF201" i="3"/>
  <c r="BG200" i="3"/>
  <c r="BF200" i="3"/>
  <c r="AG200" i="3"/>
  <c r="AF200" i="3"/>
  <c r="BG199" i="3"/>
  <c r="BF199" i="3"/>
  <c r="AG199" i="3"/>
  <c r="AF199" i="3"/>
  <c r="BG198" i="3"/>
  <c r="BF198" i="3"/>
  <c r="AG198" i="3"/>
  <c r="AF198" i="3"/>
  <c r="BG197" i="3"/>
  <c r="BF197" i="3"/>
  <c r="AG197" i="3"/>
  <c r="AF197" i="3"/>
  <c r="BG196" i="3"/>
  <c r="BF196" i="3"/>
  <c r="AG196" i="3"/>
  <c r="AF196" i="3"/>
  <c r="BG195" i="3"/>
  <c r="BF195" i="3"/>
  <c r="AG195" i="3"/>
  <c r="AF195" i="3"/>
  <c r="BG194" i="3"/>
  <c r="BF194" i="3"/>
  <c r="AG194" i="3"/>
  <c r="AF194" i="3"/>
  <c r="BG193" i="3"/>
  <c r="BF193" i="3"/>
  <c r="AG193" i="3"/>
  <c r="AF193" i="3"/>
  <c r="BG192" i="3"/>
  <c r="BF192" i="3"/>
  <c r="AG192" i="3"/>
  <c r="AF192" i="3"/>
  <c r="BG191" i="3"/>
  <c r="BF191" i="3"/>
  <c r="AG191" i="3"/>
  <c r="AF191" i="3"/>
  <c r="BG190" i="3"/>
  <c r="BF190" i="3"/>
  <c r="AG190" i="3"/>
  <c r="AF190" i="3"/>
  <c r="BG189" i="3"/>
  <c r="BF189" i="3"/>
  <c r="AG189" i="3"/>
  <c r="AF189" i="3"/>
  <c r="BG188" i="3"/>
  <c r="BF188" i="3"/>
  <c r="AG188" i="3"/>
  <c r="AF188" i="3"/>
  <c r="BG187" i="3"/>
  <c r="BF187" i="3"/>
  <c r="AG187" i="3"/>
  <c r="AF187" i="3"/>
  <c r="BG186" i="3"/>
  <c r="BF186" i="3"/>
  <c r="AG186" i="3"/>
  <c r="AF186" i="3"/>
  <c r="BG185" i="3"/>
  <c r="BF185" i="3"/>
  <c r="AG185" i="3"/>
  <c r="AF185" i="3"/>
  <c r="BG184" i="3"/>
  <c r="BF184" i="3"/>
  <c r="AG184" i="3"/>
  <c r="AF184" i="3"/>
  <c r="BG183" i="3"/>
  <c r="BF183" i="3"/>
  <c r="AG183" i="3"/>
  <c r="AF183" i="3"/>
  <c r="BG182" i="3"/>
  <c r="BF182" i="3"/>
  <c r="AG182" i="3"/>
  <c r="AF182" i="3"/>
  <c r="BG181" i="3"/>
  <c r="BF181" i="3"/>
  <c r="AG181" i="3"/>
  <c r="AF181" i="3"/>
  <c r="BG180" i="3"/>
  <c r="BF180" i="3"/>
  <c r="AG180" i="3"/>
  <c r="AF180" i="3"/>
  <c r="BG179" i="3"/>
  <c r="BF179" i="3"/>
  <c r="AG179" i="3"/>
  <c r="AF179" i="3"/>
  <c r="BG178" i="3"/>
  <c r="BF178" i="3"/>
  <c r="AG178" i="3"/>
  <c r="AF178" i="3"/>
  <c r="BG177" i="3"/>
  <c r="BF177" i="3"/>
  <c r="AG177" i="3"/>
  <c r="AF177" i="3"/>
  <c r="BG176" i="3"/>
  <c r="BF176" i="3"/>
  <c r="AG176" i="3"/>
  <c r="AF176" i="3"/>
  <c r="BG175" i="3"/>
  <c r="BF175" i="3"/>
  <c r="AG175" i="3"/>
  <c r="AF175" i="3"/>
  <c r="BG174" i="3"/>
  <c r="BF174" i="3"/>
  <c r="AG174" i="3"/>
  <c r="AF174" i="3"/>
  <c r="BG173" i="3"/>
  <c r="BF173" i="3"/>
  <c r="AG173" i="3"/>
  <c r="AF173" i="3"/>
  <c r="BG172" i="3"/>
  <c r="BF172" i="3"/>
  <c r="AG172" i="3"/>
  <c r="AF172" i="3"/>
  <c r="BG171" i="3"/>
  <c r="BF171" i="3"/>
  <c r="AG171" i="3"/>
  <c r="AF171" i="3"/>
  <c r="BG170" i="3"/>
  <c r="BF170" i="3"/>
  <c r="AG170" i="3"/>
  <c r="AF170" i="3"/>
  <c r="BG169" i="3"/>
  <c r="BF169" i="3"/>
  <c r="AG169" i="3"/>
  <c r="AF169" i="3"/>
  <c r="BG168" i="3"/>
  <c r="BF168" i="3"/>
  <c r="AG168" i="3"/>
  <c r="AF168" i="3"/>
  <c r="BG167" i="3"/>
  <c r="BF167" i="3"/>
  <c r="AG167" i="3"/>
  <c r="AF167" i="3"/>
  <c r="BG166" i="3"/>
  <c r="BF166" i="3"/>
  <c r="AG166" i="3"/>
  <c r="AF166" i="3"/>
  <c r="BG165" i="3"/>
  <c r="BF165" i="3"/>
  <c r="AG165" i="3"/>
  <c r="AF165" i="3"/>
  <c r="BG164" i="3"/>
  <c r="BF164" i="3"/>
  <c r="AG164" i="3"/>
  <c r="AF164" i="3"/>
  <c r="BG163" i="3"/>
  <c r="BF163" i="3"/>
  <c r="AG163" i="3"/>
  <c r="AF163" i="3"/>
  <c r="BG162" i="3"/>
  <c r="BF162" i="3"/>
  <c r="AG162" i="3"/>
  <c r="AF162" i="3"/>
  <c r="BG161" i="3"/>
  <c r="BF161" i="3"/>
  <c r="AG161" i="3"/>
  <c r="AF161" i="3"/>
  <c r="BG160" i="3"/>
  <c r="BF160" i="3"/>
  <c r="AG160" i="3"/>
  <c r="AF160" i="3"/>
  <c r="BG159" i="3"/>
  <c r="BF159" i="3"/>
  <c r="AG159" i="3"/>
  <c r="AF159" i="3"/>
  <c r="BG158" i="3"/>
  <c r="BF158" i="3"/>
  <c r="AG158" i="3"/>
  <c r="AF158" i="3"/>
  <c r="BG157" i="3"/>
  <c r="BF157" i="3"/>
  <c r="AG157" i="3"/>
  <c r="AF157" i="3"/>
  <c r="BG156" i="3"/>
  <c r="BF156" i="3"/>
  <c r="AG156" i="3"/>
  <c r="AF156" i="3"/>
  <c r="BG155" i="3"/>
  <c r="BF155" i="3"/>
  <c r="AG155" i="3"/>
  <c r="AF155" i="3"/>
  <c r="BG154" i="3"/>
  <c r="BF154" i="3"/>
  <c r="AG154" i="3"/>
  <c r="AF154" i="3"/>
  <c r="BG153" i="3"/>
  <c r="BF153" i="3"/>
  <c r="AG153" i="3"/>
  <c r="AF153" i="3"/>
  <c r="BG152" i="3"/>
  <c r="BF152" i="3"/>
  <c r="AG152" i="3"/>
  <c r="AF152" i="3"/>
  <c r="BG151" i="3"/>
  <c r="BF151" i="3"/>
  <c r="AG151" i="3"/>
  <c r="AF151" i="3"/>
  <c r="BG150" i="3"/>
  <c r="BF150" i="3"/>
  <c r="AG150" i="3"/>
  <c r="AF150" i="3"/>
  <c r="BG149" i="3"/>
  <c r="BF149" i="3"/>
  <c r="AG149" i="3"/>
  <c r="AF149" i="3"/>
  <c r="BG148" i="3"/>
  <c r="BF148" i="3"/>
  <c r="AG148" i="3"/>
  <c r="AF148" i="3"/>
  <c r="BG147" i="3"/>
  <c r="BF147" i="3"/>
  <c r="AG147" i="3"/>
  <c r="AF147" i="3"/>
  <c r="BG146" i="3"/>
  <c r="BF146" i="3"/>
  <c r="AG146" i="3"/>
  <c r="AF146" i="3"/>
  <c r="BG145" i="3"/>
  <c r="BF145" i="3"/>
  <c r="AG145" i="3"/>
  <c r="AF145" i="3"/>
  <c r="BG144" i="3"/>
  <c r="BF144" i="3"/>
  <c r="AG144" i="3"/>
  <c r="AF144" i="3"/>
  <c r="BG143" i="3"/>
  <c r="BF143" i="3"/>
  <c r="AG143" i="3"/>
  <c r="AF143" i="3"/>
  <c r="BG142" i="3"/>
  <c r="BF142" i="3"/>
  <c r="AG142" i="3"/>
  <c r="AF142" i="3"/>
  <c r="BG141" i="3"/>
  <c r="BF141" i="3"/>
  <c r="AG141" i="3"/>
  <c r="AF141" i="3"/>
  <c r="BG140" i="3"/>
  <c r="BF140" i="3"/>
  <c r="AG140" i="3"/>
  <c r="AF140" i="3"/>
  <c r="BG139" i="3"/>
  <c r="BF139" i="3"/>
  <c r="AG139" i="3"/>
  <c r="AF139" i="3"/>
  <c r="BG138" i="3"/>
  <c r="BF138" i="3"/>
  <c r="AG138" i="3"/>
  <c r="AF138" i="3"/>
  <c r="BG137" i="3"/>
  <c r="BF137" i="3"/>
  <c r="AG137" i="3"/>
  <c r="AF137" i="3"/>
  <c r="BG136" i="3"/>
  <c r="BF136" i="3"/>
  <c r="AG136" i="3"/>
  <c r="AF136" i="3"/>
  <c r="BG135" i="3"/>
  <c r="BF135" i="3"/>
  <c r="AG135" i="3"/>
  <c r="AF135" i="3"/>
  <c r="BG134" i="3"/>
  <c r="BF134" i="3"/>
  <c r="AG134" i="3"/>
  <c r="AF134" i="3"/>
  <c r="BG133" i="3"/>
  <c r="BF133" i="3"/>
  <c r="AG133" i="3"/>
  <c r="AF133" i="3"/>
  <c r="BG132" i="3"/>
  <c r="BF132" i="3"/>
  <c r="AG132" i="3"/>
  <c r="AF132" i="3"/>
  <c r="BG131" i="3"/>
  <c r="BF131" i="3"/>
  <c r="AG131" i="3"/>
  <c r="AF131" i="3"/>
  <c r="BG130" i="3"/>
  <c r="BF130" i="3"/>
  <c r="AG130" i="3"/>
  <c r="AF130" i="3"/>
  <c r="BG129" i="3"/>
  <c r="BF129" i="3"/>
  <c r="AG129" i="3"/>
  <c r="AF129" i="3"/>
  <c r="BG128" i="3"/>
  <c r="BF128" i="3"/>
  <c r="AG128" i="3"/>
  <c r="AF128" i="3"/>
  <c r="BG127" i="3"/>
  <c r="BF127" i="3"/>
  <c r="AG127" i="3"/>
  <c r="AF127" i="3"/>
  <c r="BG126" i="3"/>
  <c r="BF126" i="3"/>
  <c r="AG126" i="3"/>
  <c r="AF126" i="3"/>
  <c r="BG125" i="3"/>
  <c r="BF125" i="3"/>
  <c r="AG125" i="3"/>
  <c r="AF125" i="3"/>
  <c r="BG124" i="3"/>
  <c r="BF124" i="3"/>
  <c r="AG124" i="3"/>
  <c r="AF124" i="3"/>
  <c r="BG123" i="3"/>
  <c r="BF123" i="3"/>
  <c r="AG123" i="3"/>
  <c r="AF123" i="3"/>
  <c r="BG122" i="3"/>
  <c r="BF122" i="3"/>
  <c r="AG122" i="3"/>
  <c r="AF122" i="3"/>
  <c r="BG121" i="3"/>
  <c r="BF121" i="3"/>
  <c r="AG121" i="3"/>
  <c r="AF121" i="3"/>
  <c r="BG120" i="3"/>
  <c r="BF120" i="3"/>
  <c r="AG120" i="3"/>
  <c r="AF120" i="3"/>
  <c r="BG119" i="3"/>
  <c r="BF119" i="3"/>
  <c r="AG119" i="3"/>
  <c r="AF119" i="3"/>
  <c r="BG118" i="3"/>
  <c r="BF118" i="3"/>
  <c r="AG118" i="3"/>
  <c r="AF118" i="3"/>
  <c r="BG117" i="3"/>
  <c r="BF117" i="3"/>
  <c r="AG117" i="3"/>
  <c r="AF117" i="3"/>
  <c r="BG116" i="3"/>
  <c r="BF116" i="3"/>
  <c r="AG116" i="3"/>
  <c r="AF116" i="3"/>
  <c r="BG115" i="3"/>
  <c r="BF115" i="3"/>
  <c r="AG115" i="3"/>
  <c r="AF115" i="3"/>
  <c r="BG114" i="3"/>
  <c r="BF114" i="3"/>
  <c r="AG114" i="3"/>
  <c r="AF114" i="3"/>
  <c r="BG113" i="3"/>
  <c r="BF113" i="3"/>
  <c r="AG113" i="3"/>
  <c r="AF113" i="3"/>
  <c r="BG112" i="3"/>
  <c r="BF112" i="3"/>
  <c r="AG112" i="3"/>
  <c r="AF112" i="3"/>
  <c r="BG111" i="3"/>
  <c r="BF111" i="3"/>
  <c r="AG111" i="3"/>
  <c r="AF111" i="3"/>
  <c r="BG110" i="3"/>
  <c r="BF110" i="3"/>
  <c r="AG110" i="3"/>
  <c r="AF110" i="3"/>
  <c r="BG109" i="3"/>
  <c r="BF109" i="3"/>
  <c r="AG109" i="3"/>
  <c r="AF109" i="3"/>
  <c r="BG108" i="3"/>
  <c r="BF108" i="3"/>
  <c r="AG108" i="3"/>
  <c r="AF108" i="3"/>
  <c r="BG107" i="3"/>
  <c r="BF107" i="3"/>
  <c r="AG107" i="3"/>
  <c r="AF107" i="3"/>
  <c r="BG106" i="3"/>
  <c r="BF106" i="3"/>
  <c r="AG106" i="3"/>
  <c r="AF106" i="3"/>
  <c r="BG105" i="3"/>
  <c r="BF105" i="3"/>
  <c r="AG105" i="3"/>
  <c r="AF105" i="3"/>
  <c r="BG104" i="3"/>
  <c r="BF104" i="3"/>
  <c r="AG104" i="3"/>
  <c r="AF104" i="3"/>
  <c r="BG103" i="3"/>
  <c r="BF103" i="3"/>
  <c r="AG103" i="3"/>
  <c r="AF103" i="3"/>
  <c r="BG102" i="3"/>
  <c r="BF102" i="3"/>
  <c r="AG102" i="3"/>
  <c r="AF102" i="3"/>
  <c r="BG101" i="3"/>
  <c r="BF101" i="3"/>
  <c r="AG101" i="3"/>
  <c r="AF101" i="3"/>
  <c r="BG100" i="3"/>
  <c r="BF100" i="3"/>
  <c r="AG100" i="3"/>
  <c r="AF100" i="3"/>
  <c r="BG99" i="3"/>
  <c r="BF99" i="3"/>
  <c r="AG99" i="3"/>
  <c r="AF99" i="3"/>
  <c r="BG98" i="3"/>
  <c r="BF98" i="3"/>
  <c r="AG98" i="3"/>
  <c r="AF98" i="3"/>
  <c r="BG97" i="3"/>
  <c r="BF97" i="3"/>
  <c r="AG97" i="3"/>
  <c r="AF97" i="3"/>
  <c r="BG96" i="3"/>
  <c r="BF96" i="3"/>
  <c r="AG96" i="3"/>
  <c r="AF96" i="3"/>
  <c r="BG95" i="3"/>
  <c r="BF95" i="3"/>
  <c r="AG95" i="3"/>
  <c r="AF95" i="3"/>
  <c r="BG94" i="3"/>
  <c r="BF94" i="3"/>
  <c r="AG94" i="3"/>
  <c r="AF94" i="3"/>
  <c r="BG93" i="3"/>
  <c r="BF93" i="3"/>
  <c r="AG93" i="3"/>
  <c r="AF93" i="3"/>
  <c r="BG92" i="3"/>
  <c r="BF92" i="3"/>
  <c r="AG92" i="3"/>
  <c r="AF92" i="3"/>
  <c r="BG91" i="3"/>
  <c r="BF91" i="3"/>
  <c r="AG91" i="3"/>
  <c r="AF91" i="3"/>
  <c r="BG90" i="3"/>
  <c r="BF90" i="3"/>
  <c r="AG90" i="3"/>
  <c r="AF90" i="3"/>
  <c r="BG89" i="3"/>
  <c r="BF89" i="3"/>
  <c r="AG89" i="3"/>
  <c r="AF89" i="3"/>
  <c r="BG88" i="3"/>
  <c r="BF88" i="3"/>
  <c r="AG88" i="3"/>
  <c r="AF88" i="3"/>
  <c r="BG87" i="3"/>
  <c r="BF87" i="3"/>
  <c r="AG87" i="3"/>
  <c r="AF87" i="3"/>
  <c r="BG86" i="3"/>
  <c r="BF86" i="3"/>
  <c r="AG86" i="3"/>
  <c r="AF86" i="3"/>
  <c r="BG85" i="3"/>
  <c r="BF85" i="3"/>
  <c r="AG85" i="3"/>
  <c r="AF85" i="3"/>
  <c r="BG84" i="3"/>
  <c r="BF84" i="3"/>
  <c r="AG84" i="3"/>
  <c r="AF84" i="3"/>
  <c r="BG83" i="3"/>
  <c r="BF83" i="3"/>
  <c r="AG83" i="3"/>
  <c r="AF83" i="3"/>
  <c r="BG82" i="3"/>
  <c r="BF82" i="3"/>
  <c r="AG82" i="3"/>
  <c r="AF82" i="3"/>
  <c r="BG81" i="3"/>
  <c r="BF81" i="3"/>
  <c r="AG81" i="3"/>
  <c r="AF81" i="3"/>
  <c r="BG80" i="3"/>
  <c r="BF80" i="3"/>
  <c r="AG80" i="3"/>
  <c r="AF80" i="3"/>
  <c r="BG79" i="3"/>
  <c r="BF79" i="3"/>
  <c r="AG79" i="3"/>
  <c r="AF79" i="3"/>
  <c r="BG78" i="3"/>
  <c r="BF78" i="3"/>
  <c r="AG78" i="3"/>
  <c r="AF78" i="3"/>
  <c r="BG77" i="3"/>
  <c r="BF77" i="3"/>
  <c r="AG77" i="3"/>
  <c r="AF77" i="3"/>
  <c r="BG76" i="3"/>
  <c r="BF76" i="3"/>
  <c r="AG76" i="3"/>
  <c r="AF76" i="3"/>
  <c r="BG75" i="3"/>
  <c r="BF75" i="3"/>
  <c r="AG75" i="3"/>
  <c r="AF75" i="3"/>
  <c r="BG74" i="3"/>
  <c r="BF74" i="3"/>
  <c r="AG74" i="3"/>
  <c r="AF74" i="3"/>
  <c r="BG73" i="3"/>
  <c r="BF73" i="3"/>
  <c r="AG73" i="3"/>
  <c r="AF73" i="3"/>
  <c r="BG72" i="3"/>
  <c r="BF72" i="3"/>
  <c r="AG72" i="3"/>
  <c r="AF72" i="3"/>
  <c r="BG71" i="3"/>
  <c r="BF71" i="3"/>
  <c r="AG71" i="3"/>
  <c r="AF71" i="3"/>
  <c r="BG70" i="3"/>
  <c r="BF70" i="3"/>
  <c r="AG70" i="3"/>
  <c r="AF70" i="3"/>
  <c r="BG69" i="3"/>
  <c r="BF69" i="3"/>
  <c r="AG69" i="3"/>
  <c r="AF69" i="3"/>
  <c r="BG68" i="3"/>
  <c r="BF68" i="3"/>
  <c r="AG68" i="3"/>
  <c r="AF68" i="3"/>
  <c r="BG67" i="3"/>
  <c r="BF67" i="3"/>
  <c r="AG67" i="3"/>
  <c r="AF67" i="3"/>
  <c r="BG66" i="3"/>
  <c r="BF66" i="3"/>
  <c r="AG66" i="3"/>
  <c r="AF66" i="3"/>
  <c r="BG65" i="3"/>
  <c r="BF65" i="3"/>
  <c r="AG65" i="3"/>
  <c r="AF65" i="3"/>
  <c r="BG64" i="3"/>
  <c r="BF64" i="3"/>
  <c r="AG64" i="3"/>
  <c r="AF64" i="3"/>
  <c r="BG63" i="3"/>
  <c r="BF63" i="3"/>
  <c r="AG63" i="3"/>
  <c r="AF63" i="3"/>
  <c r="BG62" i="3"/>
  <c r="BF62" i="3"/>
  <c r="AG62" i="3"/>
  <c r="AF62" i="3"/>
  <c r="BG61" i="3"/>
  <c r="BF61" i="3"/>
  <c r="AG61" i="3"/>
  <c r="AF61" i="3"/>
  <c r="BG60" i="3"/>
  <c r="BF60" i="3"/>
  <c r="AG60" i="3"/>
  <c r="AF60" i="3"/>
  <c r="BG59" i="3"/>
  <c r="BF59" i="3"/>
  <c r="AG59" i="3"/>
  <c r="AF59" i="3"/>
  <c r="BG58" i="3"/>
  <c r="BF58" i="3"/>
  <c r="AG58" i="3"/>
  <c r="AF58" i="3"/>
  <c r="BG57" i="3"/>
  <c r="BF57" i="3"/>
  <c r="AG57" i="3"/>
  <c r="AF57" i="3"/>
  <c r="BG56" i="3"/>
  <c r="BF56" i="3"/>
  <c r="AG56" i="3"/>
  <c r="AF56" i="3"/>
  <c r="BG55" i="3"/>
  <c r="BF55" i="3"/>
  <c r="AG55" i="3"/>
  <c r="AF55" i="3"/>
  <c r="BG54" i="3"/>
  <c r="BF54" i="3"/>
  <c r="AG54" i="3"/>
  <c r="AF54" i="3"/>
  <c r="BG53" i="3"/>
  <c r="BF53" i="3"/>
  <c r="AG53" i="3"/>
  <c r="AF53" i="3"/>
  <c r="BG52" i="3"/>
  <c r="BF52" i="3"/>
  <c r="AG52" i="3"/>
  <c r="AF52" i="3"/>
  <c r="BG51" i="3"/>
  <c r="BF51" i="3"/>
  <c r="AG51" i="3"/>
  <c r="AF51" i="3"/>
  <c r="BG50" i="3"/>
  <c r="BF50" i="3"/>
  <c r="AG50" i="3"/>
  <c r="AF50" i="3"/>
  <c r="BG49" i="3"/>
  <c r="BF49" i="3"/>
  <c r="AG49" i="3"/>
  <c r="AF49" i="3"/>
  <c r="BG48" i="3"/>
  <c r="BF48" i="3"/>
  <c r="AG48" i="3"/>
  <c r="AF48" i="3"/>
  <c r="BG47" i="3"/>
  <c r="BF47" i="3"/>
  <c r="AG47" i="3"/>
  <c r="AF47" i="3"/>
  <c r="BG46" i="3"/>
  <c r="BF46" i="3"/>
  <c r="AG46" i="3"/>
  <c r="AF46" i="3"/>
  <c r="BG45" i="3"/>
  <c r="BF45" i="3"/>
  <c r="AG45" i="3"/>
  <c r="AF45" i="3"/>
  <c r="BG44" i="3"/>
  <c r="BF44" i="3"/>
  <c r="AG44" i="3"/>
  <c r="AF44" i="3"/>
  <c r="BG43" i="3"/>
  <c r="BF43" i="3"/>
  <c r="AG43" i="3"/>
  <c r="AF43" i="3"/>
  <c r="BG42" i="3"/>
  <c r="BF42" i="3"/>
  <c r="AG42" i="3"/>
  <c r="AF42" i="3"/>
  <c r="BG41" i="3"/>
  <c r="BF41" i="3"/>
  <c r="AG41" i="3"/>
  <c r="AF41" i="3"/>
  <c r="BG40" i="3"/>
  <c r="BF40" i="3"/>
  <c r="AG40" i="3"/>
  <c r="AF40" i="3"/>
  <c r="BG39" i="3"/>
  <c r="BF39" i="3"/>
  <c r="AG39" i="3"/>
  <c r="AF39" i="3"/>
  <c r="BG38" i="3"/>
  <c r="BF38" i="3"/>
  <c r="AG38" i="3"/>
  <c r="AF38" i="3"/>
  <c r="BG37" i="3"/>
  <c r="BF37" i="3"/>
  <c r="AG37" i="3"/>
  <c r="AF37" i="3"/>
  <c r="BG36" i="3"/>
  <c r="BF36" i="3"/>
  <c r="AG36" i="3"/>
  <c r="AF36" i="3"/>
  <c r="BG35" i="3"/>
  <c r="BF35" i="3"/>
  <c r="AG35" i="3"/>
  <c r="AF35" i="3"/>
  <c r="BG34" i="3"/>
  <c r="BF34" i="3"/>
  <c r="AG34" i="3"/>
  <c r="AF34" i="3"/>
  <c r="BG33" i="3"/>
  <c r="BF33" i="3"/>
  <c r="AG33" i="3"/>
  <c r="AF33" i="3"/>
  <c r="BG32" i="3"/>
  <c r="BF32" i="3"/>
  <c r="AG32" i="3"/>
  <c r="AF32" i="3"/>
  <c r="BG31" i="3"/>
  <c r="BF31" i="3"/>
  <c r="AG31" i="3"/>
  <c r="AF31" i="3"/>
  <c r="BG30" i="3"/>
  <c r="BF30" i="3"/>
  <c r="AG30" i="3"/>
  <c r="AF30" i="3"/>
  <c r="BG29" i="3"/>
  <c r="BF29" i="3"/>
  <c r="AG29" i="3"/>
  <c r="AF29" i="3"/>
  <c r="BG28" i="3"/>
  <c r="BF28" i="3"/>
  <c r="AG28" i="3"/>
  <c r="AF28" i="3"/>
  <c r="BG27" i="3"/>
  <c r="BF27" i="3"/>
  <c r="AG27" i="3"/>
  <c r="AF27" i="3"/>
  <c r="BG26" i="3"/>
  <c r="BF26" i="3"/>
  <c r="AG26" i="3"/>
  <c r="AF26" i="3"/>
  <c r="BG25" i="3"/>
  <c r="BF25" i="3"/>
  <c r="AG25" i="3"/>
  <c r="AF25" i="3"/>
  <c r="BG24" i="3"/>
  <c r="BF24" i="3"/>
  <c r="AG24" i="3"/>
  <c r="AF24" i="3"/>
  <c r="BG23" i="3"/>
  <c r="BF23" i="3"/>
  <c r="AG23" i="3"/>
  <c r="AF23" i="3"/>
  <c r="BG22" i="3"/>
  <c r="BF22" i="3"/>
  <c r="AG22" i="3"/>
  <c r="AF22" i="3"/>
  <c r="BG21" i="3"/>
  <c r="BF21" i="3"/>
  <c r="AG21" i="3"/>
  <c r="AF21" i="3"/>
  <c r="BG20" i="3"/>
  <c r="BF20" i="3"/>
  <c r="AG20" i="3"/>
  <c r="AF20" i="3"/>
  <c r="BG19" i="3"/>
  <c r="BF19" i="3"/>
  <c r="AG19" i="3"/>
  <c r="AF19" i="3"/>
  <c r="BG18" i="3"/>
  <c r="BF18" i="3"/>
  <c r="AG18" i="3"/>
  <c r="AF18" i="3"/>
  <c r="BG17" i="3"/>
  <c r="BF17" i="3"/>
  <c r="AG17" i="3"/>
  <c r="AF17" i="3"/>
  <c r="BG16" i="3"/>
  <c r="BF16" i="3"/>
  <c r="AG16" i="3"/>
  <c r="AF16" i="3"/>
  <c r="BG15" i="3"/>
  <c r="BF15" i="3"/>
  <c r="AG15" i="3"/>
  <c r="AF15" i="3"/>
  <c r="BG14" i="3"/>
  <c r="BF14" i="3"/>
  <c r="AG14" i="3"/>
  <c r="AF14" i="3"/>
  <c r="BG13" i="3"/>
  <c r="BF13" i="3"/>
  <c r="AG13" i="3"/>
  <c r="AF13" i="3"/>
  <c r="BG12" i="3"/>
  <c r="BF12" i="3"/>
  <c r="AG12" i="3"/>
  <c r="AF12" i="3"/>
  <c r="BG11" i="3"/>
  <c r="BF11" i="3"/>
  <c r="AG11" i="3"/>
  <c r="AF11" i="3"/>
  <c r="BG10" i="3"/>
  <c r="BF10" i="3"/>
  <c r="AG10" i="3"/>
  <c r="AF10" i="3"/>
  <c r="BG9" i="3"/>
  <c r="BF9" i="3"/>
  <c r="AG9" i="3"/>
  <c r="AF9" i="3"/>
  <c r="BG8" i="3"/>
  <c r="BF8" i="3"/>
  <c r="AG8" i="3"/>
  <c r="AF8" i="3"/>
  <c r="BG7" i="3"/>
  <c r="BF7" i="3"/>
  <c r="AG7" i="3"/>
  <c r="AF7" i="3"/>
  <c r="BG6" i="3"/>
  <c r="BF6" i="3"/>
  <c r="AG6" i="3"/>
  <c r="AF6" i="3"/>
  <c r="BG5" i="3"/>
  <c r="BF5" i="3"/>
  <c r="AG5" i="3"/>
  <c r="AF5" i="3"/>
  <c r="BG4" i="3"/>
  <c r="BF4" i="3"/>
  <c r="AG4" i="3"/>
  <c r="AF4" i="3"/>
  <c r="BG3" i="3"/>
  <c r="BF3" i="3"/>
  <c r="AG3" i="3"/>
  <c r="AF3" i="3"/>
  <c r="BG2" i="3"/>
  <c r="BF2" i="3"/>
  <c r="AG2" i="3"/>
  <c r="AF2" i="3"/>
  <c r="H13" i="2"/>
  <c r="Y501" i="3" s="1"/>
  <c r="AI501" i="3"/>
  <c r="AH501" i="3"/>
  <c r="AI500" i="3"/>
  <c r="AH500" i="3"/>
  <c r="AI499" i="3"/>
  <c r="AH499" i="3"/>
  <c r="AI498" i="3"/>
  <c r="AH498" i="3"/>
  <c r="AI497" i="3"/>
  <c r="AH497" i="3"/>
  <c r="AI496" i="3"/>
  <c r="AH496" i="3"/>
  <c r="AI495" i="3"/>
  <c r="AH495" i="3"/>
  <c r="AI494" i="3"/>
  <c r="AH494" i="3"/>
  <c r="X494" i="3"/>
  <c r="AI493" i="3"/>
  <c r="AH493" i="3"/>
  <c r="Y493" i="3"/>
  <c r="AI492" i="3"/>
  <c r="AH492" i="3"/>
  <c r="AI491" i="3"/>
  <c r="AH491" i="3"/>
  <c r="AI490" i="3"/>
  <c r="AH490" i="3"/>
  <c r="AI489" i="3"/>
  <c r="AH489" i="3"/>
  <c r="AI488" i="3"/>
  <c r="AH488" i="3"/>
  <c r="AI487" i="3"/>
  <c r="AH487" i="3"/>
  <c r="AI486" i="3"/>
  <c r="AH486" i="3"/>
  <c r="AI485" i="3"/>
  <c r="AH485" i="3"/>
  <c r="AI484" i="3"/>
  <c r="AH484" i="3"/>
  <c r="AI483" i="3"/>
  <c r="AH483" i="3"/>
  <c r="AI482" i="3"/>
  <c r="AH482" i="3"/>
  <c r="AI481" i="3"/>
  <c r="AH481" i="3"/>
  <c r="AI480" i="3"/>
  <c r="AH480" i="3"/>
  <c r="AI479" i="3"/>
  <c r="AH479" i="3"/>
  <c r="AI478" i="3"/>
  <c r="AH478" i="3"/>
  <c r="AI477" i="3"/>
  <c r="AH477" i="3"/>
  <c r="AI476" i="3"/>
  <c r="AH476" i="3"/>
  <c r="AI475" i="3"/>
  <c r="AH475" i="3"/>
  <c r="AI474" i="3"/>
  <c r="AH474" i="3"/>
  <c r="AI473" i="3"/>
  <c r="AH473" i="3"/>
  <c r="AI472" i="3"/>
  <c r="AH472" i="3"/>
  <c r="AI471" i="3"/>
  <c r="AH471" i="3"/>
  <c r="AI470" i="3"/>
  <c r="AH470" i="3"/>
  <c r="AI469" i="3"/>
  <c r="AH469" i="3"/>
  <c r="AI468" i="3"/>
  <c r="AH468" i="3"/>
  <c r="AI467" i="3"/>
  <c r="AH467" i="3"/>
  <c r="AI466" i="3"/>
  <c r="AH466" i="3"/>
  <c r="AI465" i="3"/>
  <c r="AH465" i="3"/>
  <c r="AI464" i="3"/>
  <c r="AH464" i="3"/>
  <c r="X464" i="3"/>
  <c r="AI463" i="3"/>
  <c r="AH463" i="3"/>
  <c r="AI462" i="3"/>
  <c r="AH462" i="3"/>
  <c r="AI461" i="3"/>
  <c r="AH461" i="3"/>
  <c r="AI460" i="3"/>
  <c r="AH460" i="3"/>
  <c r="AI459" i="3"/>
  <c r="AH459" i="3"/>
  <c r="AI458" i="3"/>
  <c r="AH458" i="3"/>
  <c r="AI457" i="3"/>
  <c r="AH457" i="3"/>
  <c r="AI456" i="3"/>
  <c r="AH456" i="3"/>
  <c r="AI455" i="3"/>
  <c r="AH455" i="3"/>
  <c r="AI454" i="3"/>
  <c r="AH454" i="3"/>
  <c r="AI453" i="3"/>
  <c r="AH453" i="3"/>
  <c r="AI452" i="3"/>
  <c r="AH452" i="3"/>
  <c r="AI451" i="3"/>
  <c r="AH451" i="3"/>
  <c r="AI450" i="3"/>
  <c r="AH450" i="3"/>
  <c r="AI449" i="3"/>
  <c r="AH449" i="3"/>
  <c r="AI448" i="3"/>
  <c r="AH448" i="3"/>
  <c r="AI447" i="3"/>
  <c r="AH447" i="3"/>
  <c r="AI446" i="3"/>
  <c r="AH446" i="3"/>
  <c r="AI445" i="3"/>
  <c r="AH445" i="3"/>
  <c r="AI444" i="3"/>
  <c r="AH444" i="3"/>
  <c r="AI443" i="3"/>
  <c r="AH443" i="3"/>
  <c r="AI442" i="3"/>
  <c r="AH442" i="3"/>
  <c r="AI441" i="3"/>
  <c r="AH441" i="3"/>
  <c r="AI440" i="3"/>
  <c r="AH440" i="3"/>
  <c r="AI439" i="3"/>
  <c r="AH439" i="3"/>
  <c r="AI438" i="3"/>
  <c r="AH438" i="3"/>
  <c r="AI437" i="3"/>
  <c r="AH437" i="3"/>
  <c r="AI436" i="3"/>
  <c r="AH436" i="3"/>
  <c r="AI435" i="3"/>
  <c r="AH435" i="3"/>
  <c r="AI434" i="3"/>
  <c r="AH434" i="3"/>
  <c r="AI433" i="3"/>
  <c r="AH433" i="3"/>
  <c r="AI432" i="3"/>
  <c r="AH432" i="3"/>
  <c r="AI431" i="3"/>
  <c r="AH431" i="3"/>
  <c r="AI430" i="3"/>
  <c r="AH430" i="3"/>
  <c r="AI429" i="3"/>
  <c r="AH429" i="3"/>
  <c r="AI428" i="3"/>
  <c r="AH428" i="3"/>
  <c r="AI427" i="3"/>
  <c r="AH427" i="3"/>
  <c r="AI426" i="3"/>
  <c r="AH426" i="3"/>
  <c r="AI425" i="3"/>
  <c r="AH425" i="3"/>
  <c r="AI424" i="3"/>
  <c r="AH424" i="3"/>
  <c r="AI423" i="3"/>
  <c r="AH423" i="3"/>
  <c r="AI422" i="3"/>
  <c r="AH422" i="3"/>
  <c r="AI421" i="3"/>
  <c r="AH421" i="3"/>
  <c r="AI420" i="3"/>
  <c r="AH420" i="3"/>
  <c r="AI419" i="3"/>
  <c r="AH419" i="3"/>
  <c r="AI418" i="3"/>
  <c r="AH418" i="3"/>
  <c r="AI417" i="3"/>
  <c r="AH417" i="3"/>
  <c r="AI416" i="3"/>
  <c r="AH416" i="3"/>
  <c r="AI415" i="3"/>
  <c r="AH415" i="3"/>
  <c r="AI414" i="3"/>
  <c r="AH414" i="3"/>
  <c r="AI413" i="3"/>
  <c r="AH413" i="3"/>
  <c r="AI412" i="3"/>
  <c r="AH412" i="3"/>
  <c r="AI411" i="3"/>
  <c r="AH411" i="3"/>
  <c r="AI410" i="3"/>
  <c r="AH410" i="3"/>
  <c r="AI409" i="3"/>
  <c r="AH409" i="3"/>
  <c r="AI408" i="3"/>
  <c r="AH408" i="3"/>
  <c r="AI407" i="3"/>
  <c r="AH407" i="3"/>
  <c r="AI406" i="3"/>
  <c r="AH406" i="3"/>
  <c r="AI405" i="3"/>
  <c r="AH405" i="3"/>
  <c r="AI404" i="3"/>
  <c r="AH404" i="3"/>
  <c r="AI403" i="3"/>
  <c r="AH403" i="3"/>
  <c r="AI402" i="3"/>
  <c r="AH402" i="3"/>
  <c r="AI401" i="3"/>
  <c r="AH401" i="3"/>
  <c r="AI400" i="3"/>
  <c r="AH400" i="3"/>
  <c r="AI399" i="3"/>
  <c r="AH399" i="3"/>
  <c r="AI398" i="3"/>
  <c r="AH398" i="3"/>
  <c r="AI397" i="3"/>
  <c r="AH397" i="3"/>
  <c r="AI396" i="3"/>
  <c r="AH396" i="3"/>
  <c r="AI395" i="3"/>
  <c r="AH395" i="3"/>
  <c r="AI394" i="3"/>
  <c r="AH394" i="3"/>
  <c r="AI393" i="3"/>
  <c r="AH393" i="3"/>
  <c r="AI392" i="3"/>
  <c r="AH392" i="3"/>
  <c r="AI391" i="3"/>
  <c r="AH391" i="3"/>
  <c r="AI390" i="3"/>
  <c r="AH390" i="3"/>
  <c r="AI389" i="3"/>
  <c r="AH389" i="3"/>
  <c r="AI388" i="3"/>
  <c r="AH388" i="3"/>
  <c r="AI387" i="3"/>
  <c r="AH387" i="3"/>
  <c r="AI386" i="3"/>
  <c r="AH386" i="3"/>
  <c r="AI385" i="3"/>
  <c r="AH385" i="3"/>
  <c r="AI384" i="3"/>
  <c r="AH384" i="3"/>
  <c r="AI383" i="3"/>
  <c r="AH383" i="3"/>
  <c r="AI382" i="3"/>
  <c r="AH382" i="3"/>
  <c r="AI381" i="3"/>
  <c r="AH381" i="3"/>
  <c r="AI380" i="3"/>
  <c r="AH380" i="3"/>
  <c r="AI379" i="3"/>
  <c r="AH379" i="3"/>
  <c r="AI378" i="3"/>
  <c r="AH378" i="3"/>
  <c r="AI377" i="3"/>
  <c r="AH377" i="3"/>
  <c r="AI376" i="3"/>
  <c r="AH376" i="3"/>
  <c r="AI375" i="3"/>
  <c r="AH375" i="3"/>
  <c r="AI374" i="3"/>
  <c r="AH374" i="3"/>
  <c r="AI373" i="3"/>
  <c r="AH373" i="3"/>
  <c r="AI372" i="3"/>
  <c r="AH372" i="3"/>
  <c r="AI371" i="3"/>
  <c r="AH371" i="3"/>
  <c r="AI370" i="3"/>
  <c r="AH370" i="3"/>
  <c r="AI369" i="3"/>
  <c r="AH369" i="3"/>
  <c r="AI368" i="3"/>
  <c r="AH368" i="3"/>
  <c r="AI367" i="3"/>
  <c r="AH367" i="3"/>
  <c r="AI366" i="3"/>
  <c r="AH366" i="3"/>
  <c r="AI365" i="3"/>
  <c r="AH365" i="3"/>
  <c r="AI364" i="3"/>
  <c r="AH364" i="3"/>
  <c r="AI363" i="3"/>
  <c r="AH363" i="3"/>
  <c r="AI362" i="3"/>
  <c r="AH362" i="3"/>
  <c r="AI361" i="3"/>
  <c r="AH361" i="3"/>
  <c r="AI360" i="3"/>
  <c r="AH360" i="3"/>
  <c r="AI359" i="3"/>
  <c r="AH359" i="3"/>
  <c r="AI358" i="3"/>
  <c r="AH358" i="3"/>
  <c r="AI357" i="3"/>
  <c r="AH357" i="3"/>
  <c r="AI356" i="3"/>
  <c r="AH356" i="3"/>
  <c r="AI355" i="3"/>
  <c r="AH355" i="3"/>
  <c r="AI354" i="3"/>
  <c r="AH354" i="3"/>
  <c r="AI353" i="3"/>
  <c r="AH353" i="3"/>
  <c r="AI352" i="3"/>
  <c r="AH352" i="3"/>
  <c r="AI351" i="3"/>
  <c r="AH351" i="3"/>
  <c r="AI350" i="3"/>
  <c r="AH350" i="3"/>
  <c r="AI349" i="3"/>
  <c r="AH349" i="3"/>
  <c r="AI348" i="3"/>
  <c r="AH348" i="3"/>
  <c r="AI347" i="3"/>
  <c r="AH347" i="3"/>
  <c r="AI346" i="3"/>
  <c r="AH346" i="3"/>
  <c r="AI345" i="3"/>
  <c r="AH345" i="3"/>
  <c r="AI344" i="3"/>
  <c r="AH344" i="3"/>
  <c r="AI343" i="3"/>
  <c r="AH343" i="3"/>
  <c r="AI342" i="3"/>
  <c r="AH342" i="3"/>
  <c r="AI341" i="3"/>
  <c r="AH341" i="3"/>
  <c r="AI340" i="3"/>
  <c r="AH340" i="3"/>
  <c r="AI339" i="3"/>
  <c r="AH339" i="3"/>
  <c r="AI338" i="3"/>
  <c r="AH338" i="3"/>
  <c r="AI337" i="3"/>
  <c r="AH337" i="3"/>
  <c r="AI336" i="3"/>
  <c r="AH336" i="3"/>
  <c r="AI335" i="3"/>
  <c r="AH335" i="3"/>
  <c r="AI334" i="3"/>
  <c r="AH334" i="3"/>
  <c r="AI333" i="3"/>
  <c r="AH333" i="3"/>
  <c r="AI332" i="3"/>
  <c r="AH332" i="3"/>
  <c r="AI331" i="3"/>
  <c r="AH331" i="3"/>
  <c r="AI330" i="3"/>
  <c r="AH330" i="3"/>
  <c r="AI329" i="3"/>
  <c r="AH329" i="3"/>
  <c r="AI328" i="3"/>
  <c r="AH328" i="3"/>
  <c r="AI327" i="3"/>
  <c r="AH327" i="3"/>
  <c r="AI326" i="3"/>
  <c r="AH326" i="3"/>
  <c r="AI325" i="3"/>
  <c r="AH325" i="3"/>
  <c r="AI324" i="3"/>
  <c r="AH324" i="3"/>
  <c r="AI323" i="3"/>
  <c r="AH323" i="3"/>
  <c r="AI322" i="3"/>
  <c r="AH322" i="3"/>
  <c r="AI321" i="3"/>
  <c r="AH321" i="3"/>
  <c r="AI320" i="3"/>
  <c r="AH320" i="3"/>
  <c r="AI319" i="3"/>
  <c r="AH319" i="3"/>
  <c r="AI318" i="3"/>
  <c r="AH318" i="3"/>
  <c r="AI317" i="3"/>
  <c r="AH317" i="3"/>
  <c r="AI316" i="3"/>
  <c r="AH316" i="3"/>
  <c r="AI315" i="3"/>
  <c r="AH315" i="3"/>
  <c r="AI314" i="3"/>
  <c r="AH314" i="3"/>
  <c r="AI313" i="3"/>
  <c r="AH313" i="3"/>
  <c r="AI312" i="3"/>
  <c r="AH312" i="3"/>
  <c r="AI311" i="3"/>
  <c r="AH311" i="3"/>
  <c r="AI310" i="3"/>
  <c r="AH310" i="3"/>
  <c r="AI309" i="3"/>
  <c r="AH309" i="3"/>
  <c r="AI308" i="3"/>
  <c r="AH308" i="3"/>
  <c r="AI307" i="3"/>
  <c r="AH307" i="3"/>
  <c r="AI306" i="3"/>
  <c r="AH306" i="3"/>
  <c r="AI305" i="3"/>
  <c r="AH305" i="3"/>
  <c r="AI304" i="3"/>
  <c r="AH304" i="3"/>
  <c r="AI303" i="3"/>
  <c r="AH303" i="3"/>
  <c r="AI302" i="3"/>
  <c r="AH302" i="3"/>
  <c r="AI301" i="3"/>
  <c r="AH301" i="3"/>
  <c r="AI300" i="3"/>
  <c r="AH300" i="3"/>
  <c r="AI299" i="3"/>
  <c r="AH299" i="3"/>
  <c r="AI298" i="3"/>
  <c r="AH298" i="3"/>
  <c r="AI297" i="3"/>
  <c r="AH297" i="3"/>
  <c r="AI296" i="3"/>
  <c r="AH296" i="3"/>
  <c r="AI295" i="3"/>
  <c r="AH295" i="3"/>
  <c r="AI294" i="3"/>
  <c r="AH294" i="3"/>
  <c r="AI293" i="3"/>
  <c r="AH293" i="3"/>
  <c r="AI292" i="3"/>
  <c r="AH292" i="3"/>
  <c r="AI291" i="3"/>
  <c r="AH291" i="3"/>
  <c r="AI290" i="3"/>
  <c r="AH290" i="3"/>
  <c r="AI289" i="3"/>
  <c r="AH289" i="3"/>
  <c r="AI288" i="3"/>
  <c r="AH288" i="3"/>
  <c r="AI287" i="3"/>
  <c r="AH287" i="3"/>
  <c r="AI286" i="3"/>
  <c r="AH286" i="3"/>
  <c r="AI285" i="3"/>
  <c r="AH285" i="3"/>
  <c r="AI284" i="3"/>
  <c r="AH284" i="3"/>
  <c r="AI283" i="3"/>
  <c r="AH283" i="3"/>
  <c r="AI282" i="3"/>
  <c r="AH282" i="3"/>
  <c r="AI281" i="3"/>
  <c r="AH281" i="3"/>
  <c r="AI280" i="3"/>
  <c r="AH280" i="3"/>
  <c r="AI279" i="3"/>
  <c r="AH279" i="3"/>
  <c r="AI278" i="3"/>
  <c r="AH278" i="3"/>
  <c r="AI277" i="3"/>
  <c r="AH277" i="3"/>
  <c r="AI276" i="3"/>
  <c r="AH276" i="3"/>
  <c r="AI275" i="3"/>
  <c r="AH275" i="3"/>
  <c r="AI274" i="3"/>
  <c r="AH274" i="3"/>
  <c r="AI273" i="3"/>
  <c r="AH273" i="3"/>
  <c r="AI272" i="3"/>
  <c r="AH272" i="3"/>
  <c r="AI271" i="3"/>
  <c r="AH271" i="3"/>
  <c r="AI270" i="3"/>
  <c r="AH270" i="3"/>
  <c r="AI269" i="3"/>
  <c r="AH269" i="3"/>
  <c r="AI268" i="3"/>
  <c r="AH268" i="3"/>
  <c r="AI267" i="3"/>
  <c r="AH267" i="3"/>
  <c r="AI266" i="3"/>
  <c r="AH266" i="3"/>
  <c r="AI265" i="3"/>
  <c r="AH265" i="3"/>
  <c r="AI264" i="3"/>
  <c r="AH264" i="3"/>
  <c r="AI263" i="3"/>
  <c r="AH263" i="3"/>
  <c r="AI262" i="3"/>
  <c r="AH262" i="3"/>
  <c r="AI261" i="3"/>
  <c r="AH261" i="3"/>
  <c r="AI260" i="3"/>
  <c r="AH260" i="3"/>
  <c r="AI259" i="3"/>
  <c r="AH259" i="3"/>
  <c r="AI258" i="3"/>
  <c r="AH258" i="3"/>
  <c r="AI257" i="3"/>
  <c r="AH257" i="3"/>
  <c r="AI256" i="3"/>
  <c r="AH256" i="3"/>
  <c r="AI255" i="3"/>
  <c r="AH255" i="3"/>
  <c r="AI254" i="3"/>
  <c r="AH254" i="3"/>
  <c r="AI253" i="3"/>
  <c r="AH253" i="3"/>
  <c r="AI252" i="3"/>
  <c r="AH252" i="3"/>
  <c r="AI251" i="3"/>
  <c r="AH251" i="3"/>
  <c r="AI250" i="3"/>
  <c r="AH250" i="3"/>
  <c r="AI249" i="3"/>
  <c r="AH249" i="3"/>
  <c r="AI248" i="3"/>
  <c r="AH248" i="3"/>
  <c r="AI247" i="3"/>
  <c r="AH247" i="3"/>
  <c r="AI246" i="3"/>
  <c r="AH246" i="3"/>
  <c r="AI245" i="3"/>
  <c r="AH245" i="3"/>
  <c r="AI244" i="3"/>
  <c r="AH244" i="3"/>
  <c r="AI243" i="3"/>
  <c r="AH243" i="3"/>
  <c r="AI242" i="3"/>
  <c r="AH242" i="3"/>
  <c r="AI241" i="3"/>
  <c r="AH241" i="3"/>
  <c r="AI240" i="3"/>
  <c r="AH240" i="3"/>
  <c r="AI239" i="3"/>
  <c r="AH239" i="3"/>
  <c r="AI238" i="3"/>
  <c r="AH238" i="3"/>
  <c r="AI237" i="3"/>
  <c r="AH237" i="3"/>
  <c r="AI236" i="3"/>
  <c r="AH236" i="3"/>
  <c r="AI235" i="3"/>
  <c r="AH235" i="3"/>
  <c r="AI234" i="3"/>
  <c r="AH234" i="3"/>
  <c r="AI233" i="3"/>
  <c r="AH233" i="3"/>
  <c r="AI232" i="3"/>
  <c r="AH232" i="3"/>
  <c r="AI231" i="3"/>
  <c r="AH231" i="3"/>
  <c r="AI230" i="3"/>
  <c r="AH230" i="3"/>
  <c r="AI229" i="3"/>
  <c r="AH229" i="3"/>
  <c r="AI228" i="3"/>
  <c r="AH228" i="3"/>
  <c r="AI227" i="3"/>
  <c r="AH227" i="3"/>
  <c r="AI226" i="3"/>
  <c r="AH226" i="3"/>
  <c r="AI225" i="3"/>
  <c r="AH225" i="3"/>
  <c r="AI224" i="3"/>
  <c r="AH224" i="3"/>
  <c r="AI223" i="3"/>
  <c r="AH223" i="3"/>
  <c r="AI222" i="3"/>
  <c r="AH222" i="3"/>
  <c r="AI221" i="3"/>
  <c r="AH221" i="3"/>
  <c r="AI220" i="3"/>
  <c r="AH220" i="3"/>
  <c r="AI219" i="3"/>
  <c r="AH219" i="3"/>
  <c r="AI218" i="3"/>
  <c r="AH218" i="3"/>
  <c r="AI217" i="3"/>
  <c r="AH217" i="3"/>
  <c r="AI216" i="3"/>
  <c r="AH216" i="3"/>
  <c r="AI215" i="3"/>
  <c r="AH215" i="3"/>
  <c r="AI214" i="3"/>
  <c r="AH214" i="3"/>
  <c r="AI213" i="3"/>
  <c r="AH213" i="3"/>
  <c r="AI212" i="3"/>
  <c r="AH212" i="3"/>
  <c r="AI211" i="3"/>
  <c r="AH211" i="3"/>
  <c r="AI210" i="3"/>
  <c r="AH210" i="3"/>
  <c r="AI209" i="3"/>
  <c r="AH209" i="3"/>
  <c r="AI208" i="3"/>
  <c r="AH208" i="3"/>
  <c r="AI207" i="3"/>
  <c r="AH207" i="3"/>
  <c r="AI206" i="3"/>
  <c r="AH206" i="3"/>
  <c r="AI205" i="3"/>
  <c r="AH205" i="3"/>
  <c r="AI204" i="3"/>
  <c r="AH204" i="3"/>
  <c r="AI203" i="3"/>
  <c r="AH203" i="3"/>
  <c r="AI202" i="3"/>
  <c r="AH202" i="3"/>
  <c r="AI201" i="3"/>
  <c r="AH201" i="3"/>
  <c r="AI200" i="3"/>
  <c r="AH200" i="3"/>
  <c r="AI199" i="3"/>
  <c r="AH199" i="3"/>
  <c r="AI198" i="3"/>
  <c r="AH198" i="3"/>
  <c r="AI197" i="3"/>
  <c r="AH197" i="3"/>
  <c r="AI196" i="3"/>
  <c r="AH196" i="3"/>
  <c r="AI195" i="3"/>
  <c r="AH195" i="3"/>
  <c r="AI194" i="3"/>
  <c r="AH194" i="3"/>
  <c r="AI193" i="3"/>
  <c r="AH193" i="3"/>
  <c r="AI192" i="3"/>
  <c r="AH192" i="3"/>
  <c r="AI191" i="3"/>
  <c r="AH191" i="3"/>
  <c r="AI190" i="3"/>
  <c r="AH190" i="3"/>
  <c r="AI189" i="3"/>
  <c r="AH189" i="3"/>
  <c r="AI188" i="3"/>
  <c r="AH188" i="3"/>
  <c r="AI187" i="3"/>
  <c r="AH187" i="3"/>
  <c r="AI186" i="3"/>
  <c r="AH186" i="3"/>
  <c r="AI185" i="3"/>
  <c r="AH185" i="3"/>
  <c r="AI184" i="3"/>
  <c r="AH184" i="3"/>
  <c r="AI183" i="3"/>
  <c r="AH183" i="3"/>
  <c r="AI182" i="3"/>
  <c r="AH182" i="3"/>
  <c r="AI181" i="3"/>
  <c r="AH181" i="3"/>
  <c r="AI180" i="3"/>
  <c r="AH180" i="3"/>
  <c r="AI179" i="3"/>
  <c r="AH179" i="3"/>
  <c r="AI178" i="3"/>
  <c r="AH178" i="3"/>
  <c r="AI177" i="3"/>
  <c r="AH177" i="3"/>
  <c r="AI176" i="3"/>
  <c r="AH176" i="3"/>
  <c r="AI175" i="3"/>
  <c r="AH175" i="3"/>
  <c r="AI174" i="3"/>
  <c r="AH174" i="3"/>
  <c r="AI173" i="3"/>
  <c r="AH173" i="3"/>
  <c r="AI172" i="3"/>
  <c r="AH172" i="3"/>
  <c r="AI171" i="3"/>
  <c r="AH171" i="3"/>
  <c r="AI170" i="3"/>
  <c r="AH170" i="3"/>
  <c r="AI169" i="3"/>
  <c r="AH169" i="3"/>
  <c r="AI168" i="3"/>
  <c r="AH168" i="3"/>
  <c r="AI167" i="3"/>
  <c r="AH167" i="3"/>
  <c r="AI166" i="3"/>
  <c r="AH166" i="3"/>
  <c r="AI165" i="3"/>
  <c r="AH165" i="3"/>
  <c r="AI164" i="3"/>
  <c r="AH164" i="3"/>
  <c r="AI163" i="3"/>
  <c r="AH163" i="3"/>
  <c r="AI162" i="3"/>
  <c r="AH162" i="3"/>
  <c r="AI161" i="3"/>
  <c r="AH161" i="3"/>
  <c r="AI160" i="3"/>
  <c r="AH160" i="3"/>
  <c r="AI159" i="3"/>
  <c r="AH159" i="3"/>
  <c r="AI158" i="3"/>
  <c r="AH158" i="3"/>
  <c r="AI157" i="3"/>
  <c r="AH157" i="3"/>
  <c r="AI156" i="3"/>
  <c r="AH156" i="3"/>
  <c r="AI155" i="3"/>
  <c r="AH155" i="3"/>
  <c r="AI154" i="3"/>
  <c r="AH154" i="3"/>
  <c r="AI153" i="3"/>
  <c r="AH153" i="3"/>
  <c r="AI152" i="3"/>
  <c r="AH152" i="3"/>
  <c r="AI151" i="3"/>
  <c r="AH151" i="3"/>
  <c r="AI150" i="3"/>
  <c r="AH150" i="3"/>
  <c r="AI149" i="3"/>
  <c r="AH149" i="3"/>
  <c r="AI148" i="3"/>
  <c r="AH148" i="3"/>
  <c r="AI147" i="3"/>
  <c r="AH147" i="3"/>
  <c r="AI146" i="3"/>
  <c r="AH146" i="3"/>
  <c r="AI145" i="3"/>
  <c r="AH145" i="3"/>
  <c r="AI144" i="3"/>
  <c r="AH144" i="3"/>
  <c r="AI143" i="3"/>
  <c r="AH143" i="3"/>
  <c r="AI142" i="3"/>
  <c r="AH142" i="3"/>
  <c r="AI141" i="3"/>
  <c r="AH141" i="3"/>
  <c r="AI140" i="3"/>
  <c r="AH140" i="3"/>
  <c r="AI139" i="3"/>
  <c r="AH139" i="3"/>
  <c r="AI138" i="3"/>
  <c r="AH138" i="3"/>
  <c r="AI137" i="3"/>
  <c r="AH137" i="3"/>
  <c r="AI136" i="3"/>
  <c r="AH136" i="3"/>
  <c r="AI135" i="3"/>
  <c r="AH135" i="3"/>
  <c r="AI134" i="3"/>
  <c r="AH134" i="3"/>
  <c r="AI133" i="3"/>
  <c r="AH133" i="3"/>
  <c r="AI132" i="3"/>
  <c r="AH132" i="3"/>
  <c r="AI131" i="3"/>
  <c r="AH131" i="3"/>
  <c r="AI130" i="3"/>
  <c r="AH130" i="3"/>
  <c r="AI129" i="3"/>
  <c r="AH129" i="3"/>
  <c r="AI128" i="3"/>
  <c r="AH128" i="3"/>
  <c r="AI127" i="3"/>
  <c r="AH127" i="3"/>
  <c r="AI126" i="3"/>
  <c r="AH126" i="3"/>
  <c r="AI125" i="3"/>
  <c r="AH125" i="3"/>
  <c r="AI124" i="3"/>
  <c r="AH124" i="3"/>
  <c r="AI123" i="3"/>
  <c r="AH123" i="3"/>
  <c r="AI122" i="3"/>
  <c r="AH122" i="3"/>
  <c r="AI121" i="3"/>
  <c r="AH121" i="3"/>
  <c r="AI120" i="3"/>
  <c r="AH120" i="3"/>
  <c r="AI119" i="3"/>
  <c r="AH119" i="3"/>
  <c r="AI118" i="3"/>
  <c r="AH118" i="3"/>
  <c r="AI117" i="3"/>
  <c r="AH117" i="3"/>
  <c r="AI116" i="3"/>
  <c r="AH116" i="3"/>
  <c r="AI115" i="3"/>
  <c r="AH115" i="3"/>
  <c r="AI114" i="3"/>
  <c r="AH114" i="3"/>
  <c r="AI113" i="3"/>
  <c r="AH113" i="3"/>
  <c r="AI112" i="3"/>
  <c r="AH112" i="3"/>
  <c r="AI111" i="3"/>
  <c r="AH111" i="3"/>
  <c r="AI110" i="3"/>
  <c r="AH110" i="3"/>
  <c r="AI109" i="3"/>
  <c r="AH109" i="3"/>
  <c r="AI108" i="3"/>
  <c r="AH108" i="3"/>
  <c r="AI107" i="3"/>
  <c r="AH107" i="3"/>
  <c r="AI106" i="3"/>
  <c r="AH106" i="3"/>
  <c r="AI105" i="3"/>
  <c r="AH105" i="3"/>
  <c r="AI104" i="3"/>
  <c r="AH104" i="3"/>
  <c r="AI103" i="3"/>
  <c r="AH103" i="3"/>
  <c r="AI102" i="3"/>
  <c r="AH102" i="3"/>
  <c r="AI101" i="3"/>
  <c r="AH101" i="3"/>
  <c r="AI100" i="3"/>
  <c r="AH100" i="3"/>
  <c r="AI99" i="3"/>
  <c r="AH99" i="3"/>
  <c r="AI98" i="3"/>
  <c r="AH98" i="3"/>
  <c r="AI97" i="3"/>
  <c r="AH97" i="3"/>
  <c r="AI96" i="3"/>
  <c r="AH96" i="3"/>
  <c r="AI95" i="3"/>
  <c r="AH95" i="3"/>
  <c r="AI94" i="3"/>
  <c r="AH94" i="3"/>
  <c r="AI93" i="3"/>
  <c r="AH93" i="3"/>
  <c r="AI92" i="3"/>
  <c r="AH92" i="3"/>
  <c r="AI91" i="3"/>
  <c r="AH91" i="3"/>
  <c r="AI90" i="3"/>
  <c r="AH90" i="3"/>
  <c r="AI89" i="3"/>
  <c r="AH89" i="3"/>
  <c r="AI88" i="3"/>
  <c r="AH88" i="3"/>
  <c r="AI87" i="3"/>
  <c r="AH87" i="3"/>
  <c r="AI86" i="3"/>
  <c r="AH86" i="3"/>
  <c r="AI85" i="3"/>
  <c r="AH85" i="3"/>
  <c r="AI84" i="3"/>
  <c r="AH84" i="3"/>
  <c r="AI83" i="3"/>
  <c r="AH83" i="3"/>
  <c r="AI82" i="3"/>
  <c r="AH82" i="3"/>
  <c r="AI81" i="3"/>
  <c r="AH81" i="3"/>
  <c r="AI80" i="3"/>
  <c r="AH80" i="3"/>
  <c r="AI79" i="3"/>
  <c r="AH79" i="3"/>
  <c r="AI78" i="3"/>
  <c r="AH78" i="3"/>
  <c r="AI77" i="3"/>
  <c r="AH77" i="3"/>
  <c r="AI76" i="3"/>
  <c r="AH76" i="3"/>
  <c r="AI75" i="3"/>
  <c r="AH75" i="3"/>
  <c r="AI74" i="3"/>
  <c r="AH74" i="3"/>
  <c r="AI73" i="3"/>
  <c r="AH73" i="3"/>
  <c r="AI72" i="3"/>
  <c r="AH72" i="3"/>
  <c r="AI71" i="3"/>
  <c r="AH71" i="3"/>
  <c r="AI70" i="3"/>
  <c r="AH70" i="3"/>
  <c r="AI69" i="3"/>
  <c r="AH69" i="3"/>
  <c r="AI68" i="3"/>
  <c r="AH68" i="3"/>
  <c r="AI67" i="3"/>
  <c r="AH67" i="3"/>
  <c r="AI66" i="3"/>
  <c r="AH66" i="3"/>
  <c r="AI65" i="3"/>
  <c r="AH65" i="3"/>
  <c r="AI64" i="3"/>
  <c r="AH64" i="3"/>
  <c r="AI63" i="3"/>
  <c r="AH63" i="3"/>
  <c r="AI62" i="3"/>
  <c r="AH62" i="3"/>
  <c r="AI61" i="3"/>
  <c r="AH61" i="3"/>
  <c r="AI60" i="3"/>
  <c r="AH60" i="3"/>
  <c r="AI59" i="3"/>
  <c r="AH59" i="3"/>
  <c r="AI58" i="3"/>
  <c r="AH58" i="3"/>
  <c r="AI57" i="3"/>
  <c r="AH57" i="3"/>
  <c r="AI56" i="3"/>
  <c r="AH56" i="3"/>
  <c r="AI55" i="3"/>
  <c r="AH55" i="3"/>
  <c r="AI54" i="3"/>
  <c r="AH54" i="3"/>
  <c r="AI53" i="3"/>
  <c r="AH53" i="3"/>
  <c r="AI52" i="3"/>
  <c r="AH52" i="3"/>
  <c r="AI51" i="3"/>
  <c r="AH51" i="3"/>
  <c r="AI50" i="3"/>
  <c r="AH50" i="3"/>
  <c r="AI49" i="3"/>
  <c r="AH49" i="3"/>
  <c r="AI48" i="3"/>
  <c r="AH48" i="3"/>
  <c r="AI47" i="3"/>
  <c r="AH47" i="3"/>
  <c r="AI46" i="3"/>
  <c r="AH46" i="3"/>
  <c r="AI45" i="3"/>
  <c r="AH45" i="3"/>
  <c r="AI44" i="3"/>
  <c r="AH44" i="3"/>
  <c r="AI43" i="3"/>
  <c r="AH43" i="3"/>
  <c r="AI42" i="3"/>
  <c r="AH42" i="3"/>
  <c r="AI41" i="3"/>
  <c r="AH41" i="3"/>
  <c r="AI40" i="3"/>
  <c r="AH40" i="3"/>
  <c r="AI39" i="3"/>
  <c r="AH39" i="3"/>
  <c r="AI38" i="3"/>
  <c r="AH38" i="3"/>
  <c r="AI37" i="3"/>
  <c r="AH37" i="3"/>
  <c r="AI36" i="3"/>
  <c r="AH36" i="3"/>
  <c r="AI35" i="3"/>
  <c r="AH35" i="3"/>
  <c r="AI34" i="3"/>
  <c r="AH34" i="3"/>
  <c r="AI33" i="3"/>
  <c r="AH33" i="3"/>
  <c r="AI32" i="3"/>
  <c r="AH32" i="3"/>
  <c r="AI31" i="3"/>
  <c r="AH31" i="3"/>
  <c r="AI30" i="3"/>
  <c r="AH30" i="3"/>
  <c r="AI29" i="3"/>
  <c r="AH29" i="3"/>
  <c r="AI28" i="3"/>
  <c r="AH28" i="3"/>
  <c r="AI27" i="3"/>
  <c r="AH27" i="3"/>
  <c r="AI26" i="3"/>
  <c r="AH26" i="3"/>
  <c r="AI25" i="3"/>
  <c r="AH25" i="3"/>
  <c r="AI24" i="3"/>
  <c r="AH24" i="3"/>
  <c r="AI23" i="3"/>
  <c r="AH23" i="3"/>
  <c r="AI22" i="3"/>
  <c r="AH22" i="3"/>
  <c r="AI21" i="3"/>
  <c r="AH21" i="3"/>
  <c r="AI20" i="3"/>
  <c r="AH20" i="3"/>
  <c r="AI19" i="3"/>
  <c r="AH19" i="3"/>
  <c r="AI18" i="3"/>
  <c r="AH18" i="3"/>
  <c r="AI17" i="3"/>
  <c r="AH17" i="3"/>
  <c r="AI16" i="3"/>
  <c r="AH16" i="3"/>
  <c r="AI15" i="3"/>
  <c r="AH15" i="3"/>
  <c r="AI14" i="3"/>
  <c r="AH14" i="3"/>
  <c r="AI13" i="3"/>
  <c r="AH13" i="3"/>
  <c r="AI12" i="3"/>
  <c r="AH12" i="3"/>
  <c r="AI11" i="3"/>
  <c r="AH11" i="3"/>
  <c r="AI10" i="3"/>
  <c r="AH10" i="3"/>
  <c r="AI9" i="3"/>
  <c r="AH9" i="3"/>
  <c r="AI8" i="3"/>
  <c r="AH8" i="3"/>
  <c r="AI7" i="3"/>
  <c r="AH7" i="3"/>
  <c r="AI6" i="3"/>
  <c r="AH6" i="3"/>
  <c r="AI5" i="3"/>
  <c r="AH5" i="3"/>
  <c r="AI4" i="3"/>
  <c r="AH4" i="3"/>
  <c r="AI3" i="3"/>
  <c r="AH3" i="3"/>
  <c r="AI2" i="3"/>
  <c r="AH2" i="3"/>
  <c r="AK501" i="3"/>
  <c r="AJ501" i="3"/>
  <c r="AA501" i="3"/>
  <c r="Z501" i="3"/>
  <c r="AK500" i="3"/>
  <c r="AJ500" i="3"/>
  <c r="AA500" i="3"/>
  <c r="Z500" i="3"/>
  <c r="AK499" i="3"/>
  <c r="AJ499" i="3"/>
  <c r="AA499" i="3"/>
  <c r="Z499" i="3"/>
  <c r="AK498" i="3"/>
  <c r="AJ498" i="3"/>
  <c r="AA498" i="3"/>
  <c r="Z498" i="3"/>
  <c r="AK497" i="3"/>
  <c r="AJ497" i="3"/>
  <c r="AA497" i="3"/>
  <c r="Z497" i="3"/>
  <c r="AK496" i="3"/>
  <c r="AJ496" i="3"/>
  <c r="AA496" i="3"/>
  <c r="Z496" i="3"/>
  <c r="AK495" i="3"/>
  <c r="AJ495" i="3"/>
  <c r="AA495" i="3"/>
  <c r="Z495" i="3"/>
  <c r="AK494" i="3"/>
  <c r="AJ494" i="3"/>
  <c r="AA494" i="3"/>
  <c r="Z494" i="3"/>
  <c r="AK493" i="3"/>
  <c r="AJ493" i="3"/>
  <c r="AA493" i="3"/>
  <c r="Z493" i="3"/>
  <c r="AK492" i="3"/>
  <c r="AJ492" i="3"/>
  <c r="AA492" i="3"/>
  <c r="Z492" i="3"/>
  <c r="AK491" i="3"/>
  <c r="AJ491" i="3"/>
  <c r="AA491" i="3"/>
  <c r="Z491" i="3"/>
  <c r="AK490" i="3"/>
  <c r="AJ490" i="3"/>
  <c r="AA490" i="3"/>
  <c r="Z490" i="3"/>
  <c r="AK489" i="3"/>
  <c r="AJ489" i="3"/>
  <c r="AA489" i="3"/>
  <c r="Z489" i="3"/>
  <c r="AK488" i="3"/>
  <c r="AJ488" i="3"/>
  <c r="AA488" i="3"/>
  <c r="Z488" i="3"/>
  <c r="AK487" i="3"/>
  <c r="AJ487" i="3"/>
  <c r="AA487" i="3"/>
  <c r="Z487" i="3"/>
  <c r="AK486" i="3"/>
  <c r="AJ486" i="3"/>
  <c r="AA486" i="3"/>
  <c r="Z486" i="3"/>
  <c r="AK485" i="3"/>
  <c r="AJ485" i="3"/>
  <c r="AA485" i="3"/>
  <c r="Z485" i="3"/>
  <c r="AK484" i="3"/>
  <c r="AJ484" i="3"/>
  <c r="AA484" i="3"/>
  <c r="Z484" i="3"/>
  <c r="AK483" i="3"/>
  <c r="AJ483" i="3"/>
  <c r="AA483" i="3"/>
  <c r="Z483" i="3"/>
  <c r="AK482" i="3"/>
  <c r="AJ482" i="3"/>
  <c r="AA482" i="3"/>
  <c r="Z482" i="3"/>
  <c r="AK481" i="3"/>
  <c r="AJ481" i="3"/>
  <c r="AA481" i="3"/>
  <c r="Z481" i="3"/>
  <c r="AK480" i="3"/>
  <c r="AJ480" i="3"/>
  <c r="AA480" i="3"/>
  <c r="Z480" i="3"/>
  <c r="AK479" i="3"/>
  <c r="AJ479" i="3"/>
  <c r="AA479" i="3"/>
  <c r="Z479" i="3"/>
  <c r="AK478" i="3"/>
  <c r="AJ478" i="3"/>
  <c r="AA478" i="3"/>
  <c r="Z478" i="3"/>
  <c r="AK477" i="3"/>
  <c r="AJ477" i="3"/>
  <c r="AA477" i="3"/>
  <c r="Z477" i="3"/>
  <c r="AK476" i="3"/>
  <c r="AJ476" i="3"/>
  <c r="AA476" i="3"/>
  <c r="Z476" i="3"/>
  <c r="AK475" i="3"/>
  <c r="AJ475" i="3"/>
  <c r="AA475" i="3"/>
  <c r="Z475" i="3"/>
  <c r="AK474" i="3"/>
  <c r="AJ474" i="3"/>
  <c r="AA474" i="3"/>
  <c r="Z474" i="3"/>
  <c r="AK473" i="3"/>
  <c r="AJ473" i="3"/>
  <c r="AA473" i="3"/>
  <c r="Z473" i="3"/>
  <c r="AK472" i="3"/>
  <c r="AJ472" i="3"/>
  <c r="AA472" i="3"/>
  <c r="Z472" i="3"/>
  <c r="AK471" i="3"/>
  <c r="AJ471" i="3"/>
  <c r="AA471" i="3"/>
  <c r="Z471" i="3"/>
  <c r="AK470" i="3"/>
  <c r="AJ470" i="3"/>
  <c r="AA470" i="3"/>
  <c r="Z470" i="3"/>
  <c r="AK469" i="3"/>
  <c r="AJ469" i="3"/>
  <c r="AA469" i="3"/>
  <c r="Z469" i="3"/>
  <c r="AK468" i="3"/>
  <c r="AJ468" i="3"/>
  <c r="AA468" i="3"/>
  <c r="Z468" i="3"/>
  <c r="AK467" i="3"/>
  <c r="AJ467" i="3"/>
  <c r="AA467" i="3"/>
  <c r="Z467" i="3"/>
  <c r="AK466" i="3"/>
  <c r="AJ466" i="3"/>
  <c r="AA466" i="3"/>
  <c r="Z466" i="3"/>
  <c r="AK465" i="3"/>
  <c r="AJ465" i="3"/>
  <c r="AA465" i="3"/>
  <c r="Z465" i="3"/>
  <c r="AK464" i="3"/>
  <c r="AJ464" i="3"/>
  <c r="AA464" i="3"/>
  <c r="Z464" i="3"/>
  <c r="AK463" i="3"/>
  <c r="AJ463" i="3"/>
  <c r="AA463" i="3"/>
  <c r="Z463" i="3"/>
  <c r="AK462" i="3"/>
  <c r="AJ462" i="3"/>
  <c r="AA462" i="3"/>
  <c r="Z462" i="3"/>
  <c r="AK461" i="3"/>
  <c r="AJ461" i="3"/>
  <c r="AA461" i="3"/>
  <c r="Z461" i="3"/>
  <c r="AK460" i="3"/>
  <c r="AJ460" i="3"/>
  <c r="AA460" i="3"/>
  <c r="Z460" i="3"/>
  <c r="AK459" i="3"/>
  <c r="AJ459" i="3"/>
  <c r="AA459" i="3"/>
  <c r="Z459" i="3"/>
  <c r="AK458" i="3"/>
  <c r="AJ458" i="3"/>
  <c r="AA458" i="3"/>
  <c r="Z458" i="3"/>
  <c r="AK457" i="3"/>
  <c r="AJ457" i="3"/>
  <c r="AA457" i="3"/>
  <c r="Z457" i="3"/>
  <c r="AK456" i="3"/>
  <c r="AJ456" i="3"/>
  <c r="AA456" i="3"/>
  <c r="Z456" i="3"/>
  <c r="AK455" i="3"/>
  <c r="AJ455" i="3"/>
  <c r="AA455" i="3"/>
  <c r="Z455" i="3"/>
  <c r="AK454" i="3"/>
  <c r="AJ454" i="3"/>
  <c r="AA454" i="3"/>
  <c r="Z454" i="3"/>
  <c r="AK453" i="3"/>
  <c r="AJ453" i="3"/>
  <c r="AA453" i="3"/>
  <c r="Z453" i="3"/>
  <c r="AK452" i="3"/>
  <c r="AJ452" i="3"/>
  <c r="AA452" i="3"/>
  <c r="Z452" i="3"/>
  <c r="AK451" i="3"/>
  <c r="AJ451" i="3"/>
  <c r="AA451" i="3"/>
  <c r="Z451" i="3"/>
  <c r="AK450" i="3"/>
  <c r="AJ450" i="3"/>
  <c r="AA450" i="3"/>
  <c r="Z450" i="3"/>
  <c r="AK449" i="3"/>
  <c r="AJ449" i="3"/>
  <c r="AA449" i="3"/>
  <c r="Z449" i="3"/>
  <c r="AK448" i="3"/>
  <c r="AJ448" i="3"/>
  <c r="AA448" i="3"/>
  <c r="Z448" i="3"/>
  <c r="AK447" i="3"/>
  <c r="AJ447" i="3"/>
  <c r="AA447" i="3"/>
  <c r="Z447" i="3"/>
  <c r="AK446" i="3"/>
  <c r="AJ446" i="3"/>
  <c r="AA446" i="3"/>
  <c r="Z446" i="3"/>
  <c r="AK445" i="3"/>
  <c r="AJ445" i="3"/>
  <c r="AA445" i="3"/>
  <c r="Z445" i="3"/>
  <c r="AK444" i="3"/>
  <c r="AJ444" i="3"/>
  <c r="AA444" i="3"/>
  <c r="Z444" i="3"/>
  <c r="AK443" i="3"/>
  <c r="AJ443" i="3"/>
  <c r="AA443" i="3"/>
  <c r="Z443" i="3"/>
  <c r="AK442" i="3"/>
  <c r="AJ442" i="3"/>
  <c r="AA442" i="3"/>
  <c r="Z442" i="3"/>
  <c r="AK441" i="3"/>
  <c r="AJ441" i="3"/>
  <c r="AA441" i="3"/>
  <c r="Z441" i="3"/>
  <c r="AK440" i="3"/>
  <c r="AJ440" i="3"/>
  <c r="AA440" i="3"/>
  <c r="Z440" i="3"/>
  <c r="AK439" i="3"/>
  <c r="AJ439" i="3"/>
  <c r="AA439" i="3"/>
  <c r="Z439" i="3"/>
  <c r="AK438" i="3"/>
  <c r="AJ438" i="3"/>
  <c r="AA438" i="3"/>
  <c r="Z438" i="3"/>
  <c r="AK437" i="3"/>
  <c r="AJ437" i="3"/>
  <c r="AA437" i="3"/>
  <c r="Z437" i="3"/>
  <c r="AK436" i="3"/>
  <c r="AJ436" i="3"/>
  <c r="AA436" i="3"/>
  <c r="Z436" i="3"/>
  <c r="AK435" i="3"/>
  <c r="AJ435" i="3"/>
  <c r="AA435" i="3"/>
  <c r="Z435" i="3"/>
  <c r="AK434" i="3"/>
  <c r="AJ434" i="3"/>
  <c r="AA434" i="3"/>
  <c r="Z434" i="3"/>
  <c r="AK433" i="3"/>
  <c r="AJ433" i="3"/>
  <c r="AA433" i="3"/>
  <c r="Z433" i="3"/>
  <c r="AK432" i="3"/>
  <c r="AJ432" i="3"/>
  <c r="AA432" i="3"/>
  <c r="Z432" i="3"/>
  <c r="AK431" i="3"/>
  <c r="AJ431" i="3"/>
  <c r="AA431" i="3"/>
  <c r="Z431" i="3"/>
  <c r="AK430" i="3"/>
  <c r="AJ430" i="3"/>
  <c r="AA430" i="3"/>
  <c r="Z430" i="3"/>
  <c r="AK429" i="3"/>
  <c r="AJ429" i="3"/>
  <c r="AA429" i="3"/>
  <c r="Z429" i="3"/>
  <c r="AK428" i="3"/>
  <c r="AJ428" i="3"/>
  <c r="AA428" i="3"/>
  <c r="Z428" i="3"/>
  <c r="AK427" i="3"/>
  <c r="AJ427" i="3"/>
  <c r="AA427" i="3"/>
  <c r="Z427" i="3"/>
  <c r="AK426" i="3"/>
  <c r="AJ426" i="3"/>
  <c r="AA426" i="3"/>
  <c r="Z426" i="3"/>
  <c r="AK425" i="3"/>
  <c r="AJ425" i="3"/>
  <c r="AA425" i="3"/>
  <c r="Z425" i="3"/>
  <c r="AK424" i="3"/>
  <c r="AJ424" i="3"/>
  <c r="AA424" i="3"/>
  <c r="Z424" i="3"/>
  <c r="AK423" i="3"/>
  <c r="AJ423" i="3"/>
  <c r="AA423" i="3"/>
  <c r="Z423" i="3"/>
  <c r="AK422" i="3"/>
  <c r="AJ422" i="3"/>
  <c r="AA422" i="3"/>
  <c r="Z422" i="3"/>
  <c r="AK421" i="3"/>
  <c r="AJ421" i="3"/>
  <c r="AA421" i="3"/>
  <c r="Z421" i="3"/>
  <c r="AK420" i="3"/>
  <c r="AJ420" i="3"/>
  <c r="AA420" i="3"/>
  <c r="Z420" i="3"/>
  <c r="AK419" i="3"/>
  <c r="AJ419" i="3"/>
  <c r="AA419" i="3"/>
  <c r="Z419" i="3"/>
  <c r="AK418" i="3"/>
  <c r="AJ418" i="3"/>
  <c r="AA418" i="3"/>
  <c r="Z418" i="3"/>
  <c r="AK417" i="3"/>
  <c r="AJ417" i="3"/>
  <c r="AA417" i="3"/>
  <c r="Z417" i="3"/>
  <c r="AK416" i="3"/>
  <c r="AJ416" i="3"/>
  <c r="AA416" i="3"/>
  <c r="Z416" i="3"/>
  <c r="AK415" i="3"/>
  <c r="AJ415" i="3"/>
  <c r="AA415" i="3"/>
  <c r="Z415" i="3"/>
  <c r="AK414" i="3"/>
  <c r="AJ414" i="3"/>
  <c r="AA414" i="3"/>
  <c r="Z414" i="3"/>
  <c r="AK413" i="3"/>
  <c r="AJ413" i="3"/>
  <c r="AA413" i="3"/>
  <c r="Z413" i="3"/>
  <c r="AK412" i="3"/>
  <c r="AJ412" i="3"/>
  <c r="AA412" i="3"/>
  <c r="Z412" i="3"/>
  <c r="AK411" i="3"/>
  <c r="AJ411" i="3"/>
  <c r="AA411" i="3"/>
  <c r="Z411" i="3"/>
  <c r="AK410" i="3"/>
  <c r="AJ410" i="3"/>
  <c r="AA410" i="3"/>
  <c r="Z410" i="3"/>
  <c r="AK409" i="3"/>
  <c r="AJ409" i="3"/>
  <c r="AA409" i="3"/>
  <c r="Z409" i="3"/>
  <c r="AK408" i="3"/>
  <c r="AJ408" i="3"/>
  <c r="AA408" i="3"/>
  <c r="Z408" i="3"/>
  <c r="AK407" i="3"/>
  <c r="AJ407" i="3"/>
  <c r="AA407" i="3"/>
  <c r="Z407" i="3"/>
  <c r="AK406" i="3"/>
  <c r="AJ406" i="3"/>
  <c r="AA406" i="3"/>
  <c r="Z406" i="3"/>
  <c r="AK405" i="3"/>
  <c r="AJ405" i="3"/>
  <c r="AA405" i="3"/>
  <c r="Z405" i="3"/>
  <c r="AK404" i="3"/>
  <c r="AJ404" i="3"/>
  <c r="AA404" i="3"/>
  <c r="Z404" i="3"/>
  <c r="AK403" i="3"/>
  <c r="AJ403" i="3"/>
  <c r="AA403" i="3"/>
  <c r="Z403" i="3"/>
  <c r="AK402" i="3"/>
  <c r="AJ402" i="3"/>
  <c r="AA402" i="3"/>
  <c r="Z402" i="3"/>
  <c r="AK401" i="3"/>
  <c r="AJ401" i="3"/>
  <c r="AA401" i="3"/>
  <c r="Z401" i="3"/>
  <c r="AK400" i="3"/>
  <c r="AJ400" i="3"/>
  <c r="AA400" i="3"/>
  <c r="Z400" i="3"/>
  <c r="AK399" i="3"/>
  <c r="AJ399" i="3"/>
  <c r="AA399" i="3"/>
  <c r="Z399" i="3"/>
  <c r="AK398" i="3"/>
  <c r="AJ398" i="3"/>
  <c r="AA398" i="3"/>
  <c r="Z398" i="3"/>
  <c r="AK397" i="3"/>
  <c r="AJ397" i="3"/>
  <c r="AA397" i="3"/>
  <c r="Z397" i="3"/>
  <c r="AK396" i="3"/>
  <c r="AJ396" i="3"/>
  <c r="AA396" i="3"/>
  <c r="Z396" i="3"/>
  <c r="AK395" i="3"/>
  <c r="AJ395" i="3"/>
  <c r="AA395" i="3"/>
  <c r="Z395" i="3"/>
  <c r="AK394" i="3"/>
  <c r="AJ394" i="3"/>
  <c r="AA394" i="3"/>
  <c r="Z394" i="3"/>
  <c r="AK393" i="3"/>
  <c r="AJ393" i="3"/>
  <c r="AA393" i="3"/>
  <c r="Z393" i="3"/>
  <c r="AK392" i="3"/>
  <c r="AJ392" i="3"/>
  <c r="AA392" i="3"/>
  <c r="Z392" i="3"/>
  <c r="AK391" i="3"/>
  <c r="AJ391" i="3"/>
  <c r="AA391" i="3"/>
  <c r="Z391" i="3"/>
  <c r="AK390" i="3"/>
  <c r="AJ390" i="3"/>
  <c r="AA390" i="3"/>
  <c r="Z390" i="3"/>
  <c r="AK389" i="3"/>
  <c r="AJ389" i="3"/>
  <c r="AA389" i="3"/>
  <c r="Z389" i="3"/>
  <c r="AK388" i="3"/>
  <c r="AJ388" i="3"/>
  <c r="AA388" i="3"/>
  <c r="Z388" i="3"/>
  <c r="AK387" i="3"/>
  <c r="AJ387" i="3"/>
  <c r="AA387" i="3"/>
  <c r="Z387" i="3"/>
  <c r="AK386" i="3"/>
  <c r="AJ386" i="3"/>
  <c r="AA386" i="3"/>
  <c r="Z386" i="3"/>
  <c r="AK385" i="3"/>
  <c r="AJ385" i="3"/>
  <c r="AA385" i="3"/>
  <c r="Z385" i="3"/>
  <c r="AK384" i="3"/>
  <c r="AJ384" i="3"/>
  <c r="AA384" i="3"/>
  <c r="Z384" i="3"/>
  <c r="AK383" i="3"/>
  <c r="AJ383" i="3"/>
  <c r="AA383" i="3"/>
  <c r="Z383" i="3"/>
  <c r="AK382" i="3"/>
  <c r="AJ382" i="3"/>
  <c r="AA382" i="3"/>
  <c r="Z382" i="3"/>
  <c r="AK381" i="3"/>
  <c r="AJ381" i="3"/>
  <c r="AA381" i="3"/>
  <c r="Z381" i="3"/>
  <c r="AK380" i="3"/>
  <c r="AJ380" i="3"/>
  <c r="AA380" i="3"/>
  <c r="Z380" i="3"/>
  <c r="AK379" i="3"/>
  <c r="AJ379" i="3"/>
  <c r="AA379" i="3"/>
  <c r="Z379" i="3"/>
  <c r="AK378" i="3"/>
  <c r="AJ378" i="3"/>
  <c r="AA378" i="3"/>
  <c r="Z378" i="3"/>
  <c r="AK377" i="3"/>
  <c r="AJ377" i="3"/>
  <c r="AA377" i="3"/>
  <c r="Z377" i="3"/>
  <c r="AK376" i="3"/>
  <c r="AJ376" i="3"/>
  <c r="AA376" i="3"/>
  <c r="Z376" i="3"/>
  <c r="AK375" i="3"/>
  <c r="AJ375" i="3"/>
  <c r="AA375" i="3"/>
  <c r="Z375" i="3"/>
  <c r="AK374" i="3"/>
  <c r="AJ374" i="3"/>
  <c r="AA374" i="3"/>
  <c r="Z374" i="3"/>
  <c r="AK373" i="3"/>
  <c r="AJ373" i="3"/>
  <c r="AA373" i="3"/>
  <c r="Z373" i="3"/>
  <c r="AK372" i="3"/>
  <c r="AJ372" i="3"/>
  <c r="AA372" i="3"/>
  <c r="Z372" i="3"/>
  <c r="AK371" i="3"/>
  <c r="AJ371" i="3"/>
  <c r="AA371" i="3"/>
  <c r="Z371" i="3"/>
  <c r="AK370" i="3"/>
  <c r="AJ370" i="3"/>
  <c r="AA370" i="3"/>
  <c r="Z370" i="3"/>
  <c r="AK369" i="3"/>
  <c r="AJ369" i="3"/>
  <c r="AA369" i="3"/>
  <c r="Z369" i="3"/>
  <c r="AK368" i="3"/>
  <c r="AJ368" i="3"/>
  <c r="AA368" i="3"/>
  <c r="Z368" i="3"/>
  <c r="AK367" i="3"/>
  <c r="AJ367" i="3"/>
  <c r="AA367" i="3"/>
  <c r="Z367" i="3"/>
  <c r="AK366" i="3"/>
  <c r="AJ366" i="3"/>
  <c r="AA366" i="3"/>
  <c r="Z366" i="3"/>
  <c r="AK365" i="3"/>
  <c r="AJ365" i="3"/>
  <c r="AA365" i="3"/>
  <c r="Z365" i="3"/>
  <c r="AK364" i="3"/>
  <c r="AJ364" i="3"/>
  <c r="AA364" i="3"/>
  <c r="Z364" i="3"/>
  <c r="AK363" i="3"/>
  <c r="AJ363" i="3"/>
  <c r="AA363" i="3"/>
  <c r="Z363" i="3"/>
  <c r="AK362" i="3"/>
  <c r="AJ362" i="3"/>
  <c r="AA362" i="3"/>
  <c r="Z362" i="3"/>
  <c r="AK361" i="3"/>
  <c r="AJ361" i="3"/>
  <c r="AA361" i="3"/>
  <c r="Z361" i="3"/>
  <c r="AK360" i="3"/>
  <c r="AJ360" i="3"/>
  <c r="AA360" i="3"/>
  <c r="Z360" i="3"/>
  <c r="AK359" i="3"/>
  <c r="AJ359" i="3"/>
  <c r="AA359" i="3"/>
  <c r="Z359" i="3"/>
  <c r="AK358" i="3"/>
  <c r="AJ358" i="3"/>
  <c r="AA358" i="3"/>
  <c r="Z358" i="3"/>
  <c r="AK357" i="3"/>
  <c r="AJ357" i="3"/>
  <c r="AA357" i="3"/>
  <c r="Z357" i="3"/>
  <c r="AK356" i="3"/>
  <c r="AJ356" i="3"/>
  <c r="AA356" i="3"/>
  <c r="Z356" i="3"/>
  <c r="AK355" i="3"/>
  <c r="AJ355" i="3"/>
  <c r="AA355" i="3"/>
  <c r="Z355" i="3"/>
  <c r="AK354" i="3"/>
  <c r="AJ354" i="3"/>
  <c r="AA354" i="3"/>
  <c r="Z354" i="3"/>
  <c r="AK353" i="3"/>
  <c r="AJ353" i="3"/>
  <c r="AA353" i="3"/>
  <c r="Z353" i="3"/>
  <c r="AK352" i="3"/>
  <c r="AJ352" i="3"/>
  <c r="AA352" i="3"/>
  <c r="Z352" i="3"/>
  <c r="AK351" i="3"/>
  <c r="AJ351" i="3"/>
  <c r="AA351" i="3"/>
  <c r="Z351" i="3"/>
  <c r="AK350" i="3"/>
  <c r="AJ350" i="3"/>
  <c r="AA350" i="3"/>
  <c r="Z350" i="3"/>
  <c r="AK349" i="3"/>
  <c r="AJ349" i="3"/>
  <c r="AA349" i="3"/>
  <c r="Z349" i="3"/>
  <c r="AK348" i="3"/>
  <c r="AJ348" i="3"/>
  <c r="AA348" i="3"/>
  <c r="Z348" i="3"/>
  <c r="AK347" i="3"/>
  <c r="AJ347" i="3"/>
  <c r="AA347" i="3"/>
  <c r="Z347" i="3"/>
  <c r="AK346" i="3"/>
  <c r="AJ346" i="3"/>
  <c r="AA346" i="3"/>
  <c r="Z346" i="3"/>
  <c r="AK345" i="3"/>
  <c r="AJ345" i="3"/>
  <c r="AA345" i="3"/>
  <c r="Z345" i="3"/>
  <c r="AK344" i="3"/>
  <c r="AJ344" i="3"/>
  <c r="AA344" i="3"/>
  <c r="Z344" i="3"/>
  <c r="AK343" i="3"/>
  <c r="AJ343" i="3"/>
  <c r="AA343" i="3"/>
  <c r="Z343" i="3"/>
  <c r="AK342" i="3"/>
  <c r="AJ342" i="3"/>
  <c r="AA342" i="3"/>
  <c r="Z342" i="3"/>
  <c r="AK341" i="3"/>
  <c r="AJ341" i="3"/>
  <c r="AA341" i="3"/>
  <c r="Z341" i="3"/>
  <c r="AK340" i="3"/>
  <c r="AJ340" i="3"/>
  <c r="AA340" i="3"/>
  <c r="Z340" i="3"/>
  <c r="AK339" i="3"/>
  <c r="AJ339" i="3"/>
  <c r="AA339" i="3"/>
  <c r="Z339" i="3"/>
  <c r="AK338" i="3"/>
  <c r="AJ338" i="3"/>
  <c r="AA338" i="3"/>
  <c r="Z338" i="3"/>
  <c r="AK337" i="3"/>
  <c r="AJ337" i="3"/>
  <c r="AA337" i="3"/>
  <c r="Z337" i="3"/>
  <c r="AK336" i="3"/>
  <c r="AJ336" i="3"/>
  <c r="AA336" i="3"/>
  <c r="Z336" i="3"/>
  <c r="AK335" i="3"/>
  <c r="AJ335" i="3"/>
  <c r="AA335" i="3"/>
  <c r="Z335" i="3"/>
  <c r="AK334" i="3"/>
  <c r="AJ334" i="3"/>
  <c r="AA334" i="3"/>
  <c r="Z334" i="3"/>
  <c r="AK333" i="3"/>
  <c r="AJ333" i="3"/>
  <c r="AA333" i="3"/>
  <c r="Z333" i="3"/>
  <c r="AK332" i="3"/>
  <c r="AJ332" i="3"/>
  <c r="AA332" i="3"/>
  <c r="Z332" i="3"/>
  <c r="AK331" i="3"/>
  <c r="AJ331" i="3"/>
  <c r="AA331" i="3"/>
  <c r="Z331" i="3"/>
  <c r="AK330" i="3"/>
  <c r="AJ330" i="3"/>
  <c r="AA330" i="3"/>
  <c r="Z330" i="3"/>
  <c r="AK329" i="3"/>
  <c r="AJ329" i="3"/>
  <c r="AA329" i="3"/>
  <c r="Z329" i="3"/>
  <c r="AK328" i="3"/>
  <c r="AJ328" i="3"/>
  <c r="AA328" i="3"/>
  <c r="Z328" i="3"/>
  <c r="AK327" i="3"/>
  <c r="AJ327" i="3"/>
  <c r="AA327" i="3"/>
  <c r="Z327" i="3"/>
  <c r="AK326" i="3"/>
  <c r="AJ326" i="3"/>
  <c r="AA326" i="3"/>
  <c r="Z326" i="3"/>
  <c r="AK325" i="3"/>
  <c r="AJ325" i="3"/>
  <c r="AA325" i="3"/>
  <c r="Z325" i="3"/>
  <c r="AK324" i="3"/>
  <c r="AJ324" i="3"/>
  <c r="AA324" i="3"/>
  <c r="Z324" i="3"/>
  <c r="AK323" i="3"/>
  <c r="AJ323" i="3"/>
  <c r="AA323" i="3"/>
  <c r="Z323" i="3"/>
  <c r="AK322" i="3"/>
  <c r="AJ322" i="3"/>
  <c r="AA322" i="3"/>
  <c r="Z322" i="3"/>
  <c r="AK321" i="3"/>
  <c r="AJ321" i="3"/>
  <c r="AA321" i="3"/>
  <c r="Z321" i="3"/>
  <c r="AK320" i="3"/>
  <c r="AJ320" i="3"/>
  <c r="AA320" i="3"/>
  <c r="Z320" i="3"/>
  <c r="AK319" i="3"/>
  <c r="AJ319" i="3"/>
  <c r="AA319" i="3"/>
  <c r="Z319" i="3"/>
  <c r="AK318" i="3"/>
  <c r="AJ318" i="3"/>
  <c r="AA318" i="3"/>
  <c r="Z318" i="3"/>
  <c r="AK317" i="3"/>
  <c r="AJ317" i="3"/>
  <c r="AA317" i="3"/>
  <c r="Z317" i="3"/>
  <c r="AK316" i="3"/>
  <c r="AJ316" i="3"/>
  <c r="AA316" i="3"/>
  <c r="Z316" i="3"/>
  <c r="AK315" i="3"/>
  <c r="AJ315" i="3"/>
  <c r="AA315" i="3"/>
  <c r="Z315" i="3"/>
  <c r="AK314" i="3"/>
  <c r="AJ314" i="3"/>
  <c r="AA314" i="3"/>
  <c r="Z314" i="3"/>
  <c r="AK313" i="3"/>
  <c r="AJ313" i="3"/>
  <c r="AA313" i="3"/>
  <c r="Z313" i="3"/>
  <c r="AK312" i="3"/>
  <c r="AJ312" i="3"/>
  <c r="AA312" i="3"/>
  <c r="Z312" i="3"/>
  <c r="AK311" i="3"/>
  <c r="AJ311" i="3"/>
  <c r="AA311" i="3"/>
  <c r="Z311" i="3"/>
  <c r="AK310" i="3"/>
  <c r="AJ310" i="3"/>
  <c r="AA310" i="3"/>
  <c r="Z310" i="3"/>
  <c r="AK309" i="3"/>
  <c r="AJ309" i="3"/>
  <c r="AA309" i="3"/>
  <c r="Z309" i="3"/>
  <c r="AK308" i="3"/>
  <c r="AJ308" i="3"/>
  <c r="AA308" i="3"/>
  <c r="Z308" i="3"/>
  <c r="AK307" i="3"/>
  <c r="AJ307" i="3"/>
  <c r="AA307" i="3"/>
  <c r="Z307" i="3"/>
  <c r="AK306" i="3"/>
  <c r="AJ306" i="3"/>
  <c r="AA306" i="3"/>
  <c r="Z306" i="3"/>
  <c r="AK305" i="3"/>
  <c r="AJ305" i="3"/>
  <c r="AA305" i="3"/>
  <c r="Z305" i="3"/>
  <c r="AK304" i="3"/>
  <c r="AJ304" i="3"/>
  <c r="AA304" i="3"/>
  <c r="Z304" i="3"/>
  <c r="AK303" i="3"/>
  <c r="AJ303" i="3"/>
  <c r="AA303" i="3"/>
  <c r="Z303" i="3"/>
  <c r="AK302" i="3"/>
  <c r="AJ302" i="3"/>
  <c r="AA302" i="3"/>
  <c r="Z302" i="3"/>
  <c r="AK301" i="3"/>
  <c r="AJ301" i="3"/>
  <c r="AA301" i="3"/>
  <c r="Z301" i="3"/>
  <c r="AK300" i="3"/>
  <c r="AJ300" i="3"/>
  <c r="AA300" i="3"/>
  <c r="Z300" i="3"/>
  <c r="AK299" i="3"/>
  <c r="AJ299" i="3"/>
  <c r="AA299" i="3"/>
  <c r="Z299" i="3"/>
  <c r="AK298" i="3"/>
  <c r="AJ298" i="3"/>
  <c r="AA298" i="3"/>
  <c r="Z298" i="3"/>
  <c r="AK297" i="3"/>
  <c r="AJ297" i="3"/>
  <c r="AA297" i="3"/>
  <c r="Z297" i="3"/>
  <c r="AK296" i="3"/>
  <c r="AJ296" i="3"/>
  <c r="AA296" i="3"/>
  <c r="Z296" i="3"/>
  <c r="AK295" i="3"/>
  <c r="AJ295" i="3"/>
  <c r="AA295" i="3"/>
  <c r="Z295" i="3"/>
  <c r="AK294" i="3"/>
  <c r="AJ294" i="3"/>
  <c r="AA294" i="3"/>
  <c r="Z294" i="3"/>
  <c r="AK293" i="3"/>
  <c r="AJ293" i="3"/>
  <c r="AA293" i="3"/>
  <c r="Z293" i="3"/>
  <c r="AK292" i="3"/>
  <c r="AJ292" i="3"/>
  <c r="AA292" i="3"/>
  <c r="Z292" i="3"/>
  <c r="AK291" i="3"/>
  <c r="AJ291" i="3"/>
  <c r="AA291" i="3"/>
  <c r="Z291" i="3"/>
  <c r="AK290" i="3"/>
  <c r="AJ290" i="3"/>
  <c r="AA290" i="3"/>
  <c r="Z290" i="3"/>
  <c r="AK289" i="3"/>
  <c r="AJ289" i="3"/>
  <c r="AA289" i="3"/>
  <c r="Z289" i="3"/>
  <c r="AK288" i="3"/>
  <c r="AJ288" i="3"/>
  <c r="AA288" i="3"/>
  <c r="Z288" i="3"/>
  <c r="AK287" i="3"/>
  <c r="AJ287" i="3"/>
  <c r="AA287" i="3"/>
  <c r="Z287" i="3"/>
  <c r="AK286" i="3"/>
  <c r="AJ286" i="3"/>
  <c r="AA286" i="3"/>
  <c r="Z286" i="3"/>
  <c r="AK285" i="3"/>
  <c r="AJ285" i="3"/>
  <c r="AA285" i="3"/>
  <c r="Z285" i="3"/>
  <c r="AK284" i="3"/>
  <c r="AJ284" i="3"/>
  <c r="AA284" i="3"/>
  <c r="Z284" i="3"/>
  <c r="AK283" i="3"/>
  <c r="AJ283" i="3"/>
  <c r="AA283" i="3"/>
  <c r="Z283" i="3"/>
  <c r="AK282" i="3"/>
  <c r="AJ282" i="3"/>
  <c r="AA282" i="3"/>
  <c r="Z282" i="3"/>
  <c r="AK281" i="3"/>
  <c r="AJ281" i="3"/>
  <c r="AA281" i="3"/>
  <c r="Z281" i="3"/>
  <c r="AK280" i="3"/>
  <c r="AJ280" i="3"/>
  <c r="AA280" i="3"/>
  <c r="Z280" i="3"/>
  <c r="AK279" i="3"/>
  <c r="AJ279" i="3"/>
  <c r="AA279" i="3"/>
  <c r="Z279" i="3"/>
  <c r="AK278" i="3"/>
  <c r="AJ278" i="3"/>
  <c r="AA278" i="3"/>
  <c r="Z278" i="3"/>
  <c r="AK277" i="3"/>
  <c r="AJ277" i="3"/>
  <c r="AA277" i="3"/>
  <c r="Z277" i="3"/>
  <c r="AK276" i="3"/>
  <c r="AJ276" i="3"/>
  <c r="AA276" i="3"/>
  <c r="Z276" i="3"/>
  <c r="AK275" i="3"/>
  <c r="AJ275" i="3"/>
  <c r="AA275" i="3"/>
  <c r="Z275" i="3"/>
  <c r="AK274" i="3"/>
  <c r="AJ274" i="3"/>
  <c r="AA274" i="3"/>
  <c r="Z274" i="3"/>
  <c r="AK273" i="3"/>
  <c r="AJ273" i="3"/>
  <c r="AA273" i="3"/>
  <c r="Z273" i="3"/>
  <c r="AK272" i="3"/>
  <c r="AJ272" i="3"/>
  <c r="AA272" i="3"/>
  <c r="Z272" i="3"/>
  <c r="AK271" i="3"/>
  <c r="AJ271" i="3"/>
  <c r="AA271" i="3"/>
  <c r="Z271" i="3"/>
  <c r="AK270" i="3"/>
  <c r="AJ270" i="3"/>
  <c r="AA270" i="3"/>
  <c r="Z270" i="3"/>
  <c r="AK269" i="3"/>
  <c r="AJ269" i="3"/>
  <c r="AA269" i="3"/>
  <c r="Z269" i="3"/>
  <c r="AK268" i="3"/>
  <c r="AJ268" i="3"/>
  <c r="AA268" i="3"/>
  <c r="Z268" i="3"/>
  <c r="AK267" i="3"/>
  <c r="AJ267" i="3"/>
  <c r="AA267" i="3"/>
  <c r="Z267" i="3"/>
  <c r="AK266" i="3"/>
  <c r="AJ266" i="3"/>
  <c r="AA266" i="3"/>
  <c r="Z266" i="3"/>
  <c r="AK265" i="3"/>
  <c r="AJ265" i="3"/>
  <c r="AA265" i="3"/>
  <c r="Z265" i="3"/>
  <c r="AK264" i="3"/>
  <c r="AJ264" i="3"/>
  <c r="AA264" i="3"/>
  <c r="Z264" i="3"/>
  <c r="AK263" i="3"/>
  <c r="AJ263" i="3"/>
  <c r="AA263" i="3"/>
  <c r="Z263" i="3"/>
  <c r="AK262" i="3"/>
  <c r="AJ262" i="3"/>
  <c r="AA262" i="3"/>
  <c r="Z262" i="3"/>
  <c r="AK261" i="3"/>
  <c r="AJ261" i="3"/>
  <c r="AA261" i="3"/>
  <c r="Z261" i="3"/>
  <c r="AK260" i="3"/>
  <c r="AJ260" i="3"/>
  <c r="AA260" i="3"/>
  <c r="Z260" i="3"/>
  <c r="AK259" i="3"/>
  <c r="AJ259" i="3"/>
  <c r="AA259" i="3"/>
  <c r="Z259" i="3"/>
  <c r="AK258" i="3"/>
  <c r="AJ258" i="3"/>
  <c r="AA258" i="3"/>
  <c r="Z258" i="3"/>
  <c r="AK257" i="3"/>
  <c r="AJ257" i="3"/>
  <c r="AA257" i="3"/>
  <c r="Z257" i="3"/>
  <c r="AK256" i="3"/>
  <c r="AJ256" i="3"/>
  <c r="AA256" i="3"/>
  <c r="Z256" i="3"/>
  <c r="AK255" i="3"/>
  <c r="AJ255" i="3"/>
  <c r="AA255" i="3"/>
  <c r="Z255" i="3"/>
  <c r="AK254" i="3"/>
  <c r="AJ254" i="3"/>
  <c r="AA254" i="3"/>
  <c r="Z254" i="3"/>
  <c r="AK253" i="3"/>
  <c r="AJ253" i="3"/>
  <c r="AA253" i="3"/>
  <c r="Z253" i="3"/>
  <c r="AK252" i="3"/>
  <c r="AJ252" i="3"/>
  <c r="AA252" i="3"/>
  <c r="Z252" i="3"/>
  <c r="AK251" i="3"/>
  <c r="AJ251" i="3"/>
  <c r="AA251" i="3"/>
  <c r="Z251" i="3"/>
  <c r="AK250" i="3"/>
  <c r="AJ250" i="3"/>
  <c r="AA250" i="3"/>
  <c r="Z250" i="3"/>
  <c r="AK249" i="3"/>
  <c r="AJ249" i="3"/>
  <c r="AA249" i="3"/>
  <c r="Z249" i="3"/>
  <c r="AK248" i="3"/>
  <c r="AJ248" i="3"/>
  <c r="AA248" i="3"/>
  <c r="Z248" i="3"/>
  <c r="AK247" i="3"/>
  <c r="AJ247" i="3"/>
  <c r="AA247" i="3"/>
  <c r="Z247" i="3"/>
  <c r="AK246" i="3"/>
  <c r="AJ246" i="3"/>
  <c r="AA246" i="3"/>
  <c r="Z246" i="3"/>
  <c r="AK245" i="3"/>
  <c r="AJ245" i="3"/>
  <c r="AA245" i="3"/>
  <c r="Z245" i="3"/>
  <c r="AK244" i="3"/>
  <c r="AJ244" i="3"/>
  <c r="AA244" i="3"/>
  <c r="Z244" i="3"/>
  <c r="AK243" i="3"/>
  <c r="AJ243" i="3"/>
  <c r="AA243" i="3"/>
  <c r="Z243" i="3"/>
  <c r="AK242" i="3"/>
  <c r="AJ242" i="3"/>
  <c r="AA242" i="3"/>
  <c r="Z242" i="3"/>
  <c r="AK241" i="3"/>
  <c r="AJ241" i="3"/>
  <c r="AA241" i="3"/>
  <c r="Z241" i="3"/>
  <c r="AK240" i="3"/>
  <c r="AJ240" i="3"/>
  <c r="AA240" i="3"/>
  <c r="Z240" i="3"/>
  <c r="AK239" i="3"/>
  <c r="AJ239" i="3"/>
  <c r="AA239" i="3"/>
  <c r="Z239" i="3"/>
  <c r="AK238" i="3"/>
  <c r="AJ238" i="3"/>
  <c r="AA238" i="3"/>
  <c r="Z238" i="3"/>
  <c r="AK237" i="3"/>
  <c r="AJ237" i="3"/>
  <c r="AA237" i="3"/>
  <c r="Z237" i="3"/>
  <c r="AK236" i="3"/>
  <c r="AJ236" i="3"/>
  <c r="AA236" i="3"/>
  <c r="Z236" i="3"/>
  <c r="AK235" i="3"/>
  <c r="AJ235" i="3"/>
  <c r="AA235" i="3"/>
  <c r="Z235" i="3"/>
  <c r="AK234" i="3"/>
  <c r="AJ234" i="3"/>
  <c r="AA234" i="3"/>
  <c r="Z234" i="3"/>
  <c r="AK233" i="3"/>
  <c r="AJ233" i="3"/>
  <c r="AA233" i="3"/>
  <c r="Z233" i="3"/>
  <c r="AK232" i="3"/>
  <c r="AJ232" i="3"/>
  <c r="AA232" i="3"/>
  <c r="Z232" i="3"/>
  <c r="AK231" i="3"/>
  <c r="AJ231" i="3"/>
  <c r="AA231" i="3"/>
  <c r="Z231" i="3"/>
  <c r="AK230" i="3"/>
  <c r="AJ230" i="3"/>
  <c r="AA230" i="3"/>
  <c r="Z230" i="3"/>
  <c r="AK229" i="3"/>
  <c r="AJ229" i="3"/>
  <c r="AA229" i="3"/>
  <c r="Z229" i="3"/>
  <c r="AK228" i="3"/>
  <c r="AJ228" i="3"/>
  <c r="AA228" i="3"/>
  <c r="Z228" i="3"/>
  <c r="AK227" i="3"/>
  <c r="AJ227" i="3"/>
  <c r="AA227" i="3"/>
  <c r="Z227" i="3"/>
  <c r="AK226" i="3"/>
  <c r="AJ226" i="3"/>
  <c r="AA226" i="3"/>
  <c r="Z226" i="3"/>
  <c r="AK225" i="3"/>
  <c r="AJ225" i="3"/>
  <c r="AA225" i="3"/>
  <c r="Z225" i="3"/>
  <c r="AK224" i="3"/>
  <c r="AJ224" i="3"/>
  <c r="AA224" i="3"/>
  <c r="Z224" i="3"/>
  <c r="AK223" i="3"/>
  <c r="AJ223" i="3"/>
  <c r="AA223" i="3"/>
  <c r="Z223" i="3"/>
  <c r="AK222" i="3"/>
  <c r="AJ222" i="3"/>
  <c r="AA222" i="3"/>
  <c r="Z222" i="3"/>
  <c r="AK221" i="3"/>
  <c r="AJ221" i="3"/>
  <c r="AA221" i="3"/>
  <c r="Z221" i="3"/>
  <c r="AK220" i="3"/>
  <c r="AJ220" i="3"/>
  <c r="AA220" i="3"/>
  <c r="Z220" i="3"/>
  <c r="AK219" i="3"/>
  <c r="AJ219" i="3"/>
  <c r="AA219" i="3"/>
  <c r="Z219" i="3"/>
  <c r="AK218" i="3"/>
  <c r="AJ218" i="3"/>
  <c r="AA218" i="3"/>
  <c r="Z218" i="3"/>
  <c r="AK217" i="3"/>
  <c r="AJ217" i="3"/>
  <c r="AA217" i="3"/>
  <c r="Z217" i="3"/>
  <c r="AK216" i="3"/>
  <c r="AJ216" i="3"/>
  <c r="AA216" i="3"/>
  <c r="Z216" i="3"/>
  <c r="AK215" i="3"/>
  <c r="AJ215" i="3"/>
  <c r="AA215" i="3"/>
  <c r="Z215" i="3"/>
  <c r="AK214" i="3"/>
  <c r="AJ214" i="3"/>
  <c r="AA214" i="3"/>
  <c r="Z214" i="3"/>
  <c r="AK213" i="3"/>
  <c r="AJ213" i="3"/>
  <c r="AA213" i="3"/>
  <c r="Z213" i="3"/>
  <c r="AK212" i="3"/>
  <c r="AJ212" i="3"/>
  <c r="AA212" i="3"/>
  <c r="Z212" i="3"/>
  <c r="AK211" i="3"/>
  <c r="AJ211" i="3"/>
  <c r="AA211" i="3"/>
  <c r="Z211" i="3"/>
  <c r="AK210" i="3"/>
  <c r="AJ210" i="3"/>
  <c r="AA210" i="3"/>
  <c r="Z210" i="3"/>
  <c r="AK209" i="3"/>
  <c r="AJ209" i="3"/>
  <c r="AA209" i="3"/>
  <c r="Z209" i="3"/>
  <c r="AK208" i="3"/>
  <c r="AJ208" i="3"/>
  <c r="AA208" i="3"/>
  <c r="Z208" i="3"/>
  <c r="AK207" i="3"/>
  <c r="AJ207" i="3"/>
  <c r="AA207" i="3"/>
  <c r="Z207" i="3"/>
  <c r="AK206" i="3"/>
  <c r="AJ206" i="3"/>
  <c r="AA206" i="3"/>
  <c r="Z206" i="3"/>
  <c r="AK205" i="3"/>
  <c r="AJ205" i="3"/>
  <c r="AA205" i="3"/>
  <c r="Z205" i="3"/>
  <c r="AK204" i="3"/>
  <c r="AJ204" i="3"/>
  <c r="AA204" i="3"/>
  <c r="Z204" i="3"/>
  <c r="AK203" i="3"/>
  <c r="AJ203" i="3"/>
  <c r="AA203" i="3"/>
  <c r="Z203" i="3"/>
  <c r="AK202" i="3"/>
  <c r="AJ202" i="3"/>
  <c r="AA202" i="3"/>
  <c r="Z202" i="3"/>
  <c r="AK201" i="3"/>
  <c r="AJ201" i="3"/>
  <c r="AA201" i="3"/>
  <c r="Z201" i="3"/>
  <c r="AK200" i="3"/>
  <c r="AJ200" i="3"/>
  <c r="AA200" i="3"/>
  <c r="Z200" i="3"/>
  <c r="AK199" i="3"/>
  <c r="AJ199" i="3"/>
  <c r="AA199" i="3"/>
  <c r="Z199" i="3"/>
  <c r="AK198" i="3"/>
  <c r="AJ198" i="3"/>
  <c r="AA198" i="3"/>
  <c r="Z198" i="3"/>
  <c r="AK197" i="3"/>
  <c r="AJ197" i="3"/>
  <c r="AA197" i="3"/>
  <c r="Z197" i="3"/>
  <c r="AK196" i="3"/>
  <c r="AJ196" i="3"/>
  <c r="AA196" i="3"/>
  <c r="Z196" i="3"/>
  <c r="AK195" i="3"/>
  <c r="AJ195" i="3"/>
  <c r="AA195" i="3"/>
  <c r="Z195" i="3"/>
  <c r="AK194" i="3"/>
  <c r="AJ194" i="3"/>
  <c r="AA194" i="3"/>
  <c r="Z194" i="3"/>
  <c r="AK193" i="3"/>
  <c r="AJ193" i="3"/>
  <c r="AA193" i="3"/>
  <c r="Z193" i="3"/>
  <c r="AK192" i="3"/>
  <c r="AJ192" i="3"/>
  <c r="AA192" i="3"/>
  <c r="Z192" i="3"/>
  <c r="AK191" i="3"/>
  <c r="AJ191" i="3"/>
  <c r="AA191" i="3"/>
  <c r="Z191" i="3"/>
  <c r="AK190" i="3"/>
  <c r="AJ190" i="3"/>
  <c r="AA190" i="3"/>
  <c r="Z190" i="3"/>
  <c r="AK189" i="3"/>
  <c r="AJ189" i="3"/>
  <c r="AA189" i="3"/>
  <c r="Z189" i="3"/>
  <c r="AK188" i="3"/>
  <c r="AJ188" i="3"/>
  <c r="AA188" i="3"/>
  <c r="Z188" i="3"/>
  <c r="AK187" i="3"/>
  <c r="AJ187" i="3"/>
  <c r="AA187" i="3"/>
  <c r="Z187" i="3"/>
  <c r="AK186" i="3"/>
  <c r="AJ186" i="3"/>
  <c r="AA186" i="3"/>
  <c r="Z186" i="3"/>
  <c r="AK185" i="3"/>
  <c r="AJ185" i="3"/>
  <c r="AA185" i="3"/>
  <c r="Z185" i="3"/>
  <c r="AK184" i="3"/>
  <c r="AJ184" i="3"/>
  <c r="AA184" i="3"/>
  <c r="Z184" i="3"/>
  <c r="AK183" i="3"/>
  <c r="AJ183" i="3"/>
  <c r="AA183" i="3"/>
  <c r="Z183" i="3"/>
  <c r="AK182" i="3"/>
  <c r="AJ182" i="3"/>
  <c r="AA182" i="3"/>
  <c r="Z182" i="3"/>
  <c r="AK181" i="3"/>
  <c r="AJ181" i="3"/>
  <c r="AA181" i="3"/>
  <c r="Z181" i="3"/>
  <c r="AK180" i="3"/>
  <c r="AJ180" i="3"/>
  <c r="AA180" i="3"/>
  <c r="Z180" i="3"/>
  <c r="AK179" i="3"/>
  <c r="AJ179" i="3"/>
  <c r="AA179" i="3"/>
  <c r="Z179" i="3"/>
  <c r="AK178" i="3"/>
  <c r="AJ178" i="3"/>
  <c r="AA178" i="3"/>
  <c r="Z178" i="3"/>
  <c r="AK177" i="3"/>
  <c r="AJ177" i="3"/>
  <c r="AA177" i="3"/>
  <c r="Z177" i="3"/>
  <c r="AK176" i="3"/>
  <c r="AJ176" i="3"/>
  <c r="AA176" i="3"/>
  <c r="Z176" i="3"/>
  <c r="AK175" i="3"/>
  <c r="AJ175" i="3"/>
  <c r="AA175" i="3"/>
  <c r="Z175" i="3"/>
  <c r="AK174" i="3"/>
  <c r="AJ174" i="3"/>
  <c r="AA174" i="3"/>
  <c r="Z174" i="3"/>
  <c r="AK173" i="3"/>
  <c r="AJ173" i="3"/>
  <c r="AA173" i="3"/>
  <c r="Z173" i="3"/>
  <c r="AK172" i="3"/>
  <c r="AJ172" i="3"/>
  <c r="AA172" i="3"/>
  <c r="Z172" i="3"/>
  <c r="AK171" i="3"/>
  <c r="AJ171" i="3"/>
  <c r="AA171" i="3"/>
  <c r="Z171" i="3"/>
  <c r="AK170" i="3"/>
  <c r="AJ170" i="3"/>
  <c r="AA170" i="3"/>
  <c r="Z170" i="3"/>
  <c r="AK169" i="3"/>
  <c r="AJ169" i="3"/>
  <c r="AA169" i="3"/>
  <c r="Z169" i="3"/>
  <c r="AK168" i="3"/>
  <c r="AJ168" i="3"/>
  <c r="AA168" i="3"/>
  <c r="Z168" i="3"/>
  <c r="AK167" i="3"/>
  <c r="AJ167" i="3"/>
  <c r="AA167" i="3"/>
  <c r="Z167" i="3"/>
  <c r="AK166" i="3"/>
  <c r="AJ166" i="3"/>
  <c r="AA166" i="3"/>
  <c r="Z166" i="3"/>
  <c r="AK165" i="3"/>
  <c r="AJ165" i="3"/>
  <c r="AA165" i="3"/>
  <c r="Z165" i="3"/>
  <c r="AK164" i="3"/>
  <c r="AJ164" i="3"/>
  <c r="AA164" i="3"/>
  <c r="Z164" i="3"/>
  <c r="AK163" i="3"/>
  <c r="AJ163" i="3"/>
  <c r="AA163" i="3"/>
  <c r="Z163" i="3"/>
  <c r="AK162" i="3"/>
  <c r="AJ162" i="3"/>
  <c r="AA162" i="3"/>
  <c r="Z162" i="3"/>
  <c r="AK161" i="3"/>
  <c r="AJ161" i="3"/>
  <c r="AA161" i="3"/>
  <c r="Z161" i="3"/>
  <c r="AK160" i="3"/>
  <c r="AJ160" i="3"/>
  <c r="AA160" i="3"/>
  <c r="Z160" i="3"/>
  <c r="AK159" i="3"/>
  <c r="AJ159" i="3"/>
  <c r="AA159" i="3"/>
  <c r="Z159" i="3"/>
  <c r="AK158" i="3"/>
  <c r="AJ158" i="3"/>
  <c r="AA158" i="3"/>
  <c r="Z158" i="3"/>
  <c r="AK157" i="3"/>
  <c r="AJ157" i="3"/>
  <c r="AA157" i="3"/>
  <c r="Z157" i="3"/>
  <c r="AK156" i="3"/>
  <c r="AJ156" i="3"/>
  <c r="AA156" i="3"/>
  <c r="Z156" i="3"/>
  <c r="AK155" i="3"/>
  <c r="AJ155" i="3"/>
  <c r="AA155" i="3"/>
  <c r="Z155" i="3"/>
  <c r="AK154" i="3"/>
  <c r="AJ154" i="3"/>
  <c r="AA154" i="3"/>
  <c r="Z154" i="3"/>
  <c r="AK153" i="3"/>
  <c r="AJ153" i="3"/>
  <c r="AA153" i="3"/>
  <c r="Z153" i="3"/>
  <c r="AK152" i="3"/>
  <c r="AJ152" i="3"/>
  <c r="AA152" i="3"/>
  <c r="Z152" i="3"/>
  <c r="AK151" i="3"/>
  <c r="AJ151" i="3"/>
  <c r="AA151" i="3"/>
  <c r="Z151" i="3"/>
  <c r="AK150" i="3"/>
  <c r="AJ150" i="3"/>
  <c r="AA150" i="3"/>
  <c r="Z150" i="3"/>
  <c r="AK149" i="3"/>
  <c r="AJ149" i="3"/>
  <c r="AA149" i="3"/>
  <c r="Z149" i="3"/>
  <c r="AK148" i="3"/>
  <c r="AJ148" i="3"/>
  <c r="AA148" i="3"/>
  <c r="Z148" i="3"/>
  <c r="AK147" i="3"/>
  <c r="AJ147" i="3"/>
  <c r="AA147" i="3"/>
  <c r="Z147" i="3"/>
  <c r="AK146" i="3"/>
  <c r="AJ146" i="3"/>
  <c r="AA146" i="3"/>
  <c r="Z146" i="3"/>
  <c r="AK145" i="3"/>
  <c r="AJ145" i="3"/>
  <c r="AA145" i="3"/>
  <c r="Z145" i="3"/>
  <c r="AK144" i="3"/>
  <c r="AJ144" i="3"/>
  <c r="AA144" i="3"/>
  <c r="Z144" i="3"/>
  <c r="AK143" i="3"/>
  <c r="AJ143" i="3"/>
  <c r="AA143" i="3"/>
  <c r="Z143" i="3"/>
  <c r="AK142" i="3"/>
  <c r="AJ142" i="3"/>
  <c r="AA142" i="3"/>
  <c r="Z142" i="3"/>
  <c r="AK141" i="3"/>
  <c r="AJ141" i="3"/>
  <c r="AA141" i="3"/>
  <c r="Z141" i="3"/>
  <c r="AK140" i="3"/>
  <c r="AJ140" i="3"/>
  <c r="AA140" i="3"/>
  <c r="Z140" i="3"/>
  <c r="AK139" i="3"/>
  <c r="AJ139" i="3"/>
  <c r="AA139" i="3"/>
  <c r="Z139" i="3"/>
  <c r="AK138" i="3"/>
  <c r="AJ138" i="3"/>
  <c r="AA138" i="3"/>
  <c r="Z138" i="3"/>
  <c r="AK137" i="3"/>
  <c r="AJ137" i="3"/>
  <c r="AA137" i="3"/>
  <c r="Z137" i="3"/>
  <c r="AK136" i="3"/>
  <c r="AJ136" i="3"/>
  <c r="AA136" i="3"/>
  <c r="Z136" i="3"/>
  <c r="AK135" i="3"/>
  <c r="AJ135" i="3"/>
  <c r="AA135" i="3"/>
  <c r="Z135" i="3"/>
  <c r="AK134" i="3"/>
  <c r="AJ134" i="3"/>
  <c r="AA134" i="3"/>
  <c r="Z134" i="3"/>
  <c r="AK133" i="3"/>
  <c r="AJ133" i="3"/>
  <c r="AA133" i="3"/>
  <c r="Z133" i="3"/>
  <c r="AK132" i="3"/>
  <c r="AJ132" i="3"/>
  <c r="AA132" i="3"/>
  <c r="Z132" i="3"/>
  <c r="AK131" i="3"/>
  <c r="AJ131" i="3"/>
  <c r="AA131" i="3"/>
  <c r="Z131" i="3"/>
  <c r="AK130" i="3"/>
  <c r="AJ130" i="3"/>
  <c r="AA130" i="3"/>
  <c r="Z130" i="3"/>
  <c r="AK129" i="3"/>
  <c r="AJ129" i="3"/>
  <c r="AA129" i="3"/>
  <c r="Z129" i="3"/>
  <c r="AK128" i="3"/>
  <c r="AJ128" i="3"/>
  <c r="AA128" i="3"/>
  <c r="Z128" i="3"/>
  <c r="AK127" i="3"/>
  <c r="AJ127" i="3"/>
  <c r="AA127" i="3"/>
  <c r="Z127" i="3"/>
  <c r="AK126" i="3"/>
  <c r="AJ126" i="3"/>
  <c r="AA126" i="3"/>
  <c r="Z126" i="3"/>
  <c r="AK125" i="3"/>
  <c r="AJ125" i="3"/>
  <c r="AA125" i="3"/>
  <c r="Z125" i="3"/>
  <c r="AK124" i="3"/>
  <c r="AJ124" i="3"/>
  <c r="AA124" i="3"/>
  <c r="Z124" i="3"/>
  <c r="AK123" i="3"/>
  <c r="AJ123" i="3"/>
  <c r="AA123" i="3"/>
  <c r="Z123" i="3"/>
  <c r="AK122" i="3"/>
  <c r="AJ122" i="3"/>
  <c r="AA122" i="3"/>
  <c r="Z122" i="3"/>
  <c r="AK121" i="3"/>
  <c r="AJ121" i="3"/>
  <c r="AA121" i="3"/>
  <c r="Z121" i="3"/>
  <c r="AK120" i="3"/>
  <c r="AJ120" i="3"/>
  <c r="AA120" i="3"/>
  <c r="Z120" i="3"/>
  <c r="AK119" i="3"/>
  <c r="AJ119" i="3"/>
  <c r="AA119" i="3"/>
  <c r="Z119" i="3"/>
  <c r="AK118" i="3"/>
  <c r="AJ118" i="3"/>
  <c r="AA118" i="3"/>
  <c r="Z118" i="3"/>
  <c r="AK117" i="3"/>
  <c r="AJ117" i="3"/>
  <c r="AA117" i="3"/>
  <c r="Z117" i="3"/>
  <c r="AK116" i="3"/>
  <c r="AJ116" i="3"/>
  <c r="AA116" i="3"/>
  <c r="Z116" i="3"/>
  <c r="AK115" i="3"/>
  <c r="AJ115" i="3"/>
  <c r="AA115" i="3"/>
  <c r="Z115" i="3"/>
  <c r="AK114" i="3"/>
  <c r="AJ114" i="3"/>
  <c r="AA114" i="3"/>
  <c r="Z114" i="3"/>
  <c r="AK113" i="3"/>
  <c r="AJ113" i="3"/>
  <c r="AA113" i="3"/>
  <c r="Z113" i="3"/>
  <c r="AK112" i="3"/>
  <c r="AJ112" i="3"/>
  <c r="AA112" i="3"/>
  <c r="Z112" i="3"/>
  <c r="AK111" i="3"/>
  <c r="AJ111" i="3"/>
  <c r="AA111" i="3"/>
  <c r="Z111" i="3"/>
  <c r="AK110" i="3"/>
  <c r="AJ110" i="3"/>
  <c r="AA110" i="3"/>
  <c r="Z110" i="3"/>
  <c r="AK109" i="3"/>
  <c r="AJ109" i="3"/>
  <c r="AA109" i="3"/>
  <c r="Z109" i="3"/>
  <c r="AK108" i="3"/>
  <c r="AJ108" i="3"/>
  <c r="AA108" i="3"/>
  <c r="Z108" i="3"/>
  <c r="AK107" i="3"/>
  <c r="AJ107" i="3"/>
  <c r="AA107" i="3"/>
  <c r="Z107" i="3"/>
  <c r="AK106" i="3"/>
  <c r="AJ106" i="3"/>
  <c r="AA106" i="3"/>
  <c r="Z106" i="3"/>
  <c r="AK105" i="3"/>
  <c r="AJ105" i="3"/>
  <c r="AA105" i="3"/>
  <c r="Z105" i="3"/>
  <c r="AK104" i="3"/>
  <c r="AJ104" i="3"/>
  <c r="AA104" i="3"/>
  <c r="Z104" i="3"/>
  <c r="AK103" i="3"/>
  <c r="AJ103" i="3"/>
  <c r="AA103" i="3"/>
  <c r="Z103" i="3"/>
  <c r="AK102" i="3"/>
  <c r="AJ102" i="3"/>
  <c r="AA102" i="3"/>
  <c r="Z102" i="3"/>
  <c r="AK101" i="3"/>
  <c r="AJ101" i="3"/>
  <c r="AA101" i="3"/>
  <c r="Z101" i="3"/>
  <c r="AK100" i="3"/>
  <c r="AJ100" i="3"/>
  <c r="AA100" i="3"/>
  <c r="Z100" i="3"/>
  <c r="AK99" i="3"/>
  <c r="AJ99" i="3"/>
  <c r="AA99" i="3"/>
  <c r="Z99" i="3"/>
  <c r="AK98" i="3"/>
  <c r="AJ98" i="3"/>
  <c r="AA98" i="3"/>
  <c r="Z98" i="3"/>
  <c r="AK97" i="3"/>
  <c r="AJ97" i="3"/>
  <c r="AA97" i="3"/>
  <c r="Z97" i="3"/>
  <c r="AK96" i="3"/>
  <c r="AJ96" i="3"/>
  <c r="AA96" i="3"/>
  <c r="Z96" i="3"/>
  <c r="AK95" i="3"/>
  <c r="AJ95" i="3"/>
  <c r="AA95" i="3"/>
  <c r="Z95" i="3"/>
  <c r="AK94" i="3"/>
  <c r="AJ94" i="3"/>
  <c r="AA94" i="3"/>
  <c r="Z94" i="3"/>
  <c r="AK93" i="3"/>
  <c r="AJ93" i="3"/>
  <c r="AA93" i="3"/>
  <c r="Z93" i="3"/>
  <c r="AK92" i="3"/>
  <c r="AJ92" i="3"/>
  <c r="AA92" i="3"/>
  <c r="Z92" i="3"/>
  <c r="AK91" i="3"/>
  <c r="AJ91" i="3"/>
  <c r="AA91" i="3"/>
  <c r="Z91" i="3"/>
  <c r="AK90" i="3"/>
  <c r="AJ90" i="3"/>
  <c r="AA90" i="3"/>
  <c r="Z90" i="3"/>
  <c r="AK89" i="3"/>
  <c r="AJ89" i="3"/>
  <c r="AA89" i="3"/>
  <c r="Z89" i="3"/>
  <c r="AK88" i="3"/>
  <c r="AJ88" i="3"/>
  <c r="AA88" i="3"/>
  <c r="Z88" i="3"/>
  <c r="AK87" i="3"/>
  <c r="AJ87" i="3"/>
  <c r="AA87" i="3"/>
  <c r="Z87" i="3"/>
  <c r="AK86" i="3"/>
  <c r="AJ86" i="3"/>
  <c r="AA86" i="3"/>
  <c r="Z86" i="3"/>
  <c r="AK85" i="3"/>
  <c r="AJ85" i="3"/>
  <c r="AA85" i="3"/>
  <c r="Z85" i="3"/>
  <c r="AK84" i="3"/>
  <c r="AJ84" i="3"/>
  <c r="AA84" i="3"/>
  <c r="Z84" i="3"/>
  <c r="AK83" i="3"/>
  <c r="AJ83" i="3"/>
  <c r="AA83" i="3"/>
  <c r="Z83" i="3"/>
  <c r="AK82" i="3"/>
  <c r="AJ82" i="3"/>
  <c r="AA82" i="3"/>
  <c r="Z82" i="3"/>
  <c r="AK81" i="3"/>
  <c r="AJ81" i="3"/>
  <c r="AA81" i="3"/>
  <c r="Z81" i="3"/>
  <c r="AK80" i="3"/>
  <c r="AJ80" i="3"/>
  <c r="AA80" i="3"/>
  <c r="Z80" i="3"/>
  <c r="AK79" i="3"/>
  <c r="AJ79" i="3"/>
  <c r="AA79" i="3"/>
  <c r="Z79" i="3"/>
  <c r="AK78" i="3"/>
  <c r="AJ78" i="3"/>
  <c r="AA78" i="3"/>
  <c r="Z78" i="3"/>
  <c r="AK77" i="3"/>
  <c r="AJ77" i="3"/>
  <c r="AA77" i="3"/>
  <c r="Z77" i="3"/>
  <c r="AK76" i="3"/>
  <c r="AJ76" i="3"/>
  <c r="AA76" i="3"/>
  <c r="Z76" i="3"/>
  <c r="AK75" i="3"/>
  <c r="AJ75" i="3"/>
  <c r="AA75" i="3"/>
  <c r="Z75" i="3"/>
  <c r="AK74" i="3"/>
  <c r="AJ74" i="3"/>
  <c r="AA74" i="3"/>
  <c r="Z74" i="3"/>
  <c r="AK73" i="3"/>
  <c r="AJ73" i="3"/>
  <c r="AA73" i="3"/>
  <c r="Z73" i="3"/>
  <c r="AK72" i="3"/>
  <c r="AJ72" i="3"/>
  <c r="AA72" i="3"/>
  <c r="Z72" i="3"/>
  <c r="AK71" i="3"/>
  <c r="AJ71" i="3"/>
  <c r="AA71" i="3"/>
  <c r="Z71" i="3"/>
  <c r="AK70" i="3"/>
  <c r="AJ70" i="3"/>
  <c r="AA70" i="3"/>
  <c r="Z70" i="3"/>
  <c r="AK69" i="3"/>
  <c r="AJ69" i="3"/>
  <c r="AA69" i="3"/>
  <c r="Z69" i="3"/>
  <c r="AK68" i="3"/>
  <c r="AJ68" i="3"/>
  <c r="AA68" i="3"/>
  <c r="Z68" i="3"/>
  <c r="AK67" i="3"/>
  <c r="AJ67" i="3"/>
  <c r="AA67" i="3"/>
  <c r="Z67" i="3"/>
  <c r="AK66" i="3"/>
  <c r="AJ66" i="3"/>
  <c r="AA66" i="3"/>
  <c r="Z66" i="3"/>
  <c r="AK65" i="3"/>
  <c r="AJ65" i="3"/>
  <c r="AA65" i="3"/>
  <c r="Z65" i="3"/>
  <c r="AK64" i="3"/>
  <c r="AJ64" i="3"/>
  <c r="AA64" i="3"/>
  <c r="Z64" i="3"/>
  <c r="AK63" i="3"/>
  <c r="AJ63" i="3"/>
  <c r="AA63" i="3"/>
  <c r="Z63" i="3"/>
  <c r="AK62" i="3"/>
  <c r="AJ62" i="3"/>
  <c r="AA62" i="3"/>
  <c r="Z62" i="3"/>
  <c r="AK61" i="3"/>
  <c r="AJ61" i="3"/>
  <c r="AA61" i="3"/>
  <c r="Z61" i="3"/>
  <c r="AK60" i="3"/>
  <c r="AJ60" i="3"/>
  <c r="AA60" i="3"/>
  <c r="Z60" i="3"/>
  <c r="AK59" i="3"/>
  <c r="AJ59" i="3"/>
  <c r="AA59" i="3"/>
  <c r="Z59" i="3"/>
  <c r="AK58" i="3"/>
  <c r="AJ58" i="3"/>
  <c r="AA58" i="3"/>
  <c r="Z58" i="3"/>
  <c r="AK57" i="3"/>
  <c r="AJ57" i="3"/>
  <c r="AA57" i="3"/>
  <c r="Z57" i="3"/>
  <c r="AK56" i="3"/>
  <c r="AJ56" i="3"/>
  <c r="AA56" i="3"/>
  <c r="Z56" i="3"/>
  <c r="AK55" i="3"/>
  <c r="AJ55" i="3"/>
  <c r="AA55" i="3"/>
  <c r="Z55" i="3"/>
  <c r="AK54" i="3"/>
  <c r="AJ54" i="3"/>
  <c r="AA54" i="3"/>
  <c r="Z54" i="3"/>
  <c r="AK53" i="3"/>
  <c r="AJ53" i="3"/>
  <c r="AA53" i="3"/>
  <c r="Z53" i="3"/>
  <c r="AK52" i="3"/>
  <c r="AJ52" i="3"/>
  <c r="AA52" i="3"/>
  <c r="Z52" i="3"/>
  <c r="AK51" i="3"/>
  <c r="AJ51" i="3"/>
  <c r="AA51" i="3"/>
  <c r="Z51" i="3"/>
  <c r="AK50" i="3"/>
  <c r="AJ50" i="3"/>
  <c r="AA50" i="3"/>
  <c r="Z50" i="3"/>
  <c r="AK49" i="3"/>
  <c r="AJ49" i="3"/>
  <c r="AA49" i="3"/>
  <c r="Z49" i="3"/>
  <c r="AK48" i="3"/>
  <c r="AJ48" i="3"/>
  <c r="AA48" i="3"/>
  <c r="Z48" i="3"/>
  <c r="AK47" i="3"/>
  <c r="AJ47" i="3"/>
  <c r="AA47" i="3"/>
  <c r="Z47" i="3"/>
  <c r="AK46" i="3"/>
  <c r="AJ46" i="3"/>
  <c r="AA46" i="3"/>
  <c r="Z46" i="3"/>
  <c r="AK45" i="3"/>
  <c r="AJ45" i="3"/>
  <c r="AA45" i="3"/>
  <c r="Z45" i="3"/>
  <c r="AK44" i="3"/>
  <c r="AJ44" i="3"/>
  <c r="AA44" i="3"/>
  <c r="Z44" i="3"/>
  <c r="AK43" i="3"/>
  <c r="AJ43" i="3"/>
  <c r="AA43" i="3"/>
  <c r="Z43" i="3"/>
  <c r="AK42" i="3"/>
  <c r="AJ42" i="3"/>
  <c r="AA42" i="3"/>
  <c r="Z42" i="3"/>
  <c r="AK41" i="3"/>
  <c r="AJ41" i="3"/>
  <c r="AA41" i="3"/>
  <c r="Z41" i="3"/>
  <c r="AK40" i="3"/>
  <c r="AJ40" i="3"/>
  <c r="AA40" i="3"/>
  <c r="Z40" i="3"/>
  <c r="AK39" i="3"/>
  <c r="AJ39" i="3"/>
  <c r="AA39" i="3"/>
  <c r="Z39" i="3"/>
  <c r="AK38" i="3"/>
  <c r="AJ38" i="3"/>
  <c r="AA38" i="3"/>
  <c r="Z38" i="3"/>
  <c r="AK37" i="3"/>
  <c r="AJ37" i="3"/>
  <c r="AA37" i="3"/>
  <c r="Z37" i="3"/>
  <c r="AK36" i="3"/>
  <c r="AJ36" i="3"/>
  <c r="AA36" i="3"/>
  <c r="Z36" i="3"/>
  <c r="AK35" i="3"/>
  <c r="AJ35" i="3"/>
  <c r="AA35" i="3"/>
  <c r="Z35" i="3"/>
  <c r="AK34" i="3"/>
  <c r="AJ34" i="3"/>
  <c r="AA34" i="3"/>
  <c r="Z34" i="3"/>
  <c r="AK33" i="3"/>
  <c r="AJ33" i="3"/>
  <c r="AA33" i="3"/>
  <c r="Z33" i="3"/>
  <c r="AK32" i="3"/>
  <c r="AJ32" i="3"/>
  <c r="AA32" i="3"/>
  <c r="Z32" i="3"/>
  <c r="AK31" i="3"/>
  <c r="AJ31" i="3"/>
  <c r="AA31" i="3"/>
  <c r="Z31" i="3"/>
  <c r="AK30" i="3"/>
  <c r="AJ30" i="3"/>
  <c r="AA30" i="3"/>
  <c r="Z30" i="3"/>
  <c r="AK29" i="3"/>
  <c r="AJ29" i="3"/>
  <c r="AA29" i="3"/>
  <c r="Z29" i="3"/>
  <c r="AK28" i="3"/>
  <c r="AJ28" i="3"/>
  <c r="AA28" i="3"/>
  <c r="Z28" i="3"/>
  <c r="AK27" i="3"/>
  <c r="AJ27" i="3"/>
  <c r="AA27" i="3"/>
  <c r="Z27" i="3"/>
  <c r="AK26" i="3"/>
  <c r="AJ26" i="3"/>
  <c r="AA26" i="3"/>
  <c r="Z26" i="3"/>
  <c r="AK25" i="3"/>
  <c r="AJ25" i="3"/>
  <c r="AA25" i="3"/>
  <c r="Z25" i="3"/>
  <c r="AK24" i="3"/>
  <c r="AJ24" i="3"/>
  <c r="AA24" i="3"/>
  <c r="Z24" i="3"/>
  <c r="AK23" i="3"/>
  <c r="AJ23" i="3"/>
  <c r="AA23" i="3"/>
  <c r="Z23" i="3"/>
  <c r="AK22" i="3"/>
  <c r="AJ22" i="3"/>
  <c r="AA22" i="3"/>
  <c r="Z22" i="3"/>
  <c r="AK21" i="3"/>
  <c r="AJ21" i="3"/>
  <c r="AA21" i="3"/>
  <c r="Z21" i="3"/>
  <c r="AK20" i="3"/>
  <c r="AJ20" i="3"/>
  <c r="AA20" i="3"/>
  <c r="Z20" i="3"/>
  <c r="AK19" i="3"/>
  <c r="AJ19" i="3"/>
  <c r="AA19" i="3"/>
  <c r="Z19" i="3"/>
  <c r="AK18" i="3"/>
  <c r="AJ18" i="3"/>
  <c r="AA18" i="3"/>
  <c r="Z18" i="3"/>
  <c r="AK17" i="3"/>
  <c r="AJ17" i="3"/>
  <c r="AA17" i="3"/>
  <c r="Z17" i="3"/>
  <c r="AK16" i="3"/>
  <c r="AJ16" i="3"/>
  <c r="AA16" i="3"/>
  <c r="Z16" i="3"/>
  <c r="AK15" i="3"/>
  <c r="AJ15" i="3"/>
  <c r="AA15" i="3"/>
  <c r="Z15" i="3"/>
  <c r="AK14" i="3"/>
  <c r="AJ14" i="3"/>
  <c r="AA14" i="3"/>
  <c r="Z14" i="3"/>
  <c r="AK13" i="3"/>
  <c r="AJ13" i="3"/>
  <c r="AA13" i="3"/>
  <c r="Z13" i="3"/>
  <c r="AK12" i="3"/>
  <c r="AJ12" i="3"/>
  <c r="AA12" i="3"/>
  <c r="Z12" i="3"/>
  <c r="AK11" i="3"/>
  <c r="AJ11" i="3"/>
  <c r="AA11" i="3"/>
  <c r="Z11" i="3"/>
  <c r="AK10" i="3"/>
  <c r="AJ10" i="3"/>
  <c r="AA10" i="3"/>
  <c r="Z10" i="3"/>
  <c r="AK9" i="3"/>
  <c r="AJ9" i="3"/>
  <c r="AA9" i="3"/>
  <c r="Z9" i="3"/>
  <c r="AK8" i="3"/>
  <c r="AJ8" i="3"/>
  <c r="AA8" i="3"/>
  <c r="Z8" i="3"/>
  <c r="AK7" i="3"/>
  <c r="AJ7" i="3"/>
  <c r="AA7" i="3"/>
  <c r="Z7" i="3"/>
  <c r="AK6" i="3"/>
  <c r="AJ6" i="3"/>
  <c r="AA6" i="3"/>
  <c r="Z6" i="3"/>
  <c r="AK5" i="3"/>
  <c r="AJ5" i="3"/>
  <c r="AA5" i="3"/>
  <c r="Z5" i="3"/>
  <c r="AK4" i="3"/>
  <c r="AJ4" i="3"/>
  <c r="AA4" i="3"/>
  <c r="Z4" i="3"/>
  <c r="AK3" i="3"/>
  <c r="AJ3" i="3"/>
  <c r="AA3" i="3"/>
  <c r="Z3" i="3"/>
  <c r="AK2" i="3"/>
  <c r="AJ2" i="3"/>
  <c r="AA2" i="3"/>
  <c r="Z2" i="3"/>
  <c r="L57" i="2"/>
  <c r="I57" i="2"/>
  <c r="F57" i="2"/>
  <c r="AM501" i="3"/>
  <c r="AL501" i="3"/>
  <c r="AC501" i="3"/>
  <c r="AM500" i="3"/>
  <c r="AL500" i="3"/>
  <c r="AC500" i="3"/>
  <c r="AM499" i="3"/>
  <c r="AL499" i="3"/>
  <c r="AC499" i="3"/>
  <c r="AB499" i="3"/>
  <c r="AM498" i="3"/>
  <c r="AL498" i="3"/>
  <c r="AC498" i="3"/>
  <c r="AB498" i="3"/>
  <c r="AM497" i="3"/>
  <c r="AL497" i="3"/>
  <c r="AC497" i="3"/>
  <c r="AM496" i="3"/>
  <c r="AL496" i="3"/>
  <c r="AC496" i="3"/>
  <c r="AM495" i="3"/>
  <c r="AL495" i="3"/>
  <c r="AC495" i="3"/>
  <c r="AM494" i="3"/>
  <c r="AL494" i="3"/>
  <c r="AC494" i="3"/>
  <c r="AB494" i="3"/>
  <c r="AM493" i="3"/>
  <c r="AL493" i="3"/>
  <c r="AC493" i="3"/>
  <c r="AB493" i="3"/>
  <c r="AM492" i="3"/>
  <c r="AL492" i="3"/>
  <c r="AC492" i="3"/>
  <c r="AM491" i="3"/>
  <c r="AL491" i="3"/>
  <c r="AC491" i="3"/>
  <c r="AM490" i="3"/>
  <c r="AL490" i="3"/>
  <c r="AC490" i="3"/>
  <c r="AM489" i="3"/>
  <c r="AL489" i="3"/>
  <c r="AC489" i="3"/>
  <c r="AB489" i="3"/>
  <c r="AM488" i="3"/>
  <c r="AL488" i="3"/>
  <c r="AC488" i="3"/>
  <c r="AB488" i="3"/>
  <c r="AM487" i="3"/>
  <c r="AL487" i="3"/>
  <c r="AC487" i="3"/>
  <c r="AM486" i="3"/>
  <c r="AL486" i="3"/>
  <c r="AC486" i="3"/>
  <c r="AM485" i="3"/>
  <c r="AL485" i="3"/>
  <c r="AC485" i="3"/>
  <c r="AM484" i="3"/>
  <c r="AL484" i="3"/>
  <c r="AC484" i="3"/>
  <c r="AB484" i="3"/>
  <c r="AM483" i="3"/>
  <c r="AL483" i="3"/>
  <c r="AC483" i="3"/>
  <c r="AB483" i="3"/>
  <c r="AM482" i="3"/>
  <c r="AL482" i="3"/>
  <c r="AC482" i="3"/>
  <c r="AM481" i="3"/>
  <c r="AL481" i="3"/>
  <c r="AC481" i="3"/>
  <c r="AM480" i="3"/>
  <c r="AL480" i="3"/>
  <c r="AC480" i="3"/>
  <c r="AM479" i="3"/>
  <c r="AL479" i="3"/>
  <c r="AC479" i="3"/>
  <c r="AB479" i="3"/>
  <c r="AM478" i="3"/>
  <c r="AL478" i="3"/>
  <c r="AC478" i="3"/>
  <c r="AB478" i="3"/>
  <c r="AM477" i="3"/>
  <c r="AL477" i="3"/>
  <c r="AC477" i="3"/>
  <c r="AM476" i="3"/>
  <c r="AL476" i="3"/>
  <c r="AC476" i="3"/>
  <c r="AM475" i="3"/>
  <c r="AL475" i="3"/>
  <c r="AC475" i="3"/>
  <c r="AM474" i="3"/>
  <c r="AL474" i="3"/>
  <c r="AC474" i="3"/>
  <c r="AB474" i="3"/>
  <c r="AM473" i="3"/>
  <c r="AL473" i="3"/>
  <c r="AC473" i="3"/>
  <c r="AB473" i="3"/>
  <c r="AM472" i="3"/>
  <c r="AL472" i="3"/>
  <c r="AC472" i="3"/>
  <c r="AM471" i="3"/>
  <c r="AL471" i="3"/>
  <c r="AC471" i="3"/>
  <c r="AM470" i="3"/>
  <c r="AL470" i="3"/>
  <c r="AC470" i="3"/>
  <c r="AM469" i="3"/>
  <c r="AL469" i="3"/>
  <c r="AC469" i="3"/>
  <c r="AB469" i="3"/>
  <c r="AM468" i="3"/>
  <c r="AL468" i="3"/>
  <c r="AC468" i="3"/>
  <c r="AM467" i="3"/>
  <c r="AL467" i="3"/>
  <c r="AC467" i="3"/>
  <c r="AM466" i="3"/>
  <c r="AL466" i="3"/>
  <c r="AC466" i="3"/>
  <c r="AM465" i="3"/>
  <c r="AL465" i="3"/>
  <c r="AC465" i="3"/>
  <c r="AM464" i="3"/>
  <c r="AL464" i="3"/>
  <c r="AC464" i="3"/>
  <c r="AB464" i="3"/>
  <c r="AM463" i="3"/>
  <c r="AL463" i="3"/>
  <c r="AC463" i="3"/>
  <c r="AB463" i="3"/>
  <c r="AM462" i="3"/>
  <c r="AL462" i="3"/>
  <c r="AM461" i="3"/>
  <c r="AL461" i="3"/>
  <c r="AC461" i="3"/>
  <c r="AM460" i="3"/>
  <c r="AL460" i="3"/>
  <c r="AC460" i="3"/>
  <c r="AM459" i="3"/>
  <c r="AL459" i="3"/>
  <c r="AC459" i="3"/>
  <c r="AB459" i="3"/>
  <c r="AM458" i="3"/>
  <c r="AL458" i="3"/>
  <c r="AC458" i="3"/>
  <c r="AB458" i="3"/>
  <c r="AM457" i="3"/>
  <c r="AL457" i="3"/>
  <c r="AC457" i="3"/>
  <c r="AM456" i="3"/>
  <c r="AL456" i="3"/>
  <c r="AM455" i="3"/>
  <c r="AL455" i="3"/>
  <c r="AC455" i="3"/>
  <c r="AM454" i="3"/>
  <c r="AL454" i="3"/>
  <c r="AC454" i="3"/>
  <c r="AB454" i="3"/>
  <c r="AM453" i="3"/>
  <c r="AL453" i="3"/>
  <c r="AC453" i="3"/>
  <c r="AB453" i="3"/>
  <c r="AM452" i="3"/>
  <c r="AL452" i="3"/>
  <c r="AC452" i="3"/>
  <c r="AM451" i="3"/>
  <c r="AL451" i="3"/>
  <c r="AC451" i="3"/>
  <c r="AM450" i="3"/>
  <c r="AL450" i="3"/>
  <c r="AM449" i="3"/>
  <c r="AL449" i="3"/>
  <c r="AC449" i="3"/>
  <c r="AB449" i="3"/>
  <c r="AM448" i="3"/>
  <c r="AL448" i="3"/>
  <c r="AC448" i="3"/>
  <c r="AB448" i="3"/>
  <c r="AM447" i="3"/>
  <c r="AL447" i="3"/>
  <c r="AC447" i="3"/>
  <c r="AM446" i="3"/>
  <c r="AL446" i="3"/>
  <c r="AC446" i="3"/>
  <c r="AM445" i="3"/>
  <c r="AL445" i="3"/>
  <c r="AC445" i="3"/>
  <c r="AM444" i="3"/>
  <c r="AL444" i="3"/>
  <c r="AB444" i="3"/>
  <c r="AM443" i="3"/>
  <c r="AL443" i="3"/>
  <c r="AC443" i="3"/>
  <c r="AB443" i="3"/>
  <c r="AM442" i="3"/>
  <c r="AL442" i="3"/>
  <c r="AC442" i="3"/>
  <c r="AM441" i="3"/>
  <c r="AL441" i="3"/>
  <c r="AC441" i="3"/>
  <c r="AM440" i="3"/>
  <c r="AL440" i="3"/>
  <c r="AC440" i="3"/>
  <c r="AM439" i="3"/>
  <c r="AL439" i="3"/>
  <c r="AC439" i="3"/>
  <c r="AB439" i="3"/>
  <c r="AM438" i="3"/>
  <c r="AL438" i="3"/>
  <c r="AC438" i="3"/>
  <c r="AB438" i="3"/>
  <c r="AM437" i="3"/>
  <c r="AL437" i="3"/>
  <c r="AC437" i="3"/>
  <c r="AM436" i="3"/>
  <c r="AL436" i="3"/>
  <c r="AC436" i="3"/>
  <c r="AM435" i="3"/>
  <c r="AL435" i="3"/>
  <c r="AC435" i="3"/>
  <c r="AM434" i="3"/>
  <c r="AL434" i="3"/>
  <c r="AC434" i="3"/>
  <c r="AB434" i="3"/>
  <c r="AM433" i="3"/>
  <c r="AL433" i="3"/>
  <c r="AC433" i="3"/>
  <c r="AB433" i="3"/>
  <c r="AM432" i="3"/>
  <c r="AL432" i="3"/>
  <c r="AC432" i="3"/>
  <c r="AM431" i="3"/>
  <c r="AL431" i="3"/>
  <c r="AC431" i="3"/>
  <c r="AM430" i="3"/>
  <c r="AL430" i="3"/>
  <c r="AC430" i="3"/>
  <c r="AM429" i="3"/>
  <c r="AL429" i="3"/>
  <c r="AC429" i="3"/>
  <c r="AB429" i="3"/>
  <c r="AM428" i="3"/>
  <c r="AL428" i="3"/>
  <c r="AC428" i="3"/>
  <c r="AB428" i="3"/>
  <c r="AM427" i="3"/>
  <c r="AL427" i="3"/>
  <c r="AC427" i="3"/>
  <c r="AM426" i="3"/>
  <c r="AL426" i="3"/>
  <c r="AC426" i="3"/>
  <c r="AM425" i="3"/>
  <c r="AL425" i="3"/>
  <c r="AC425" i="3"/>
  <c r="AM424" i="3"/>
  <c r="AL424" i="3"/>
  <c r="AC424" i="3"/>
  <c r="AB424" i="3"/>
  <c r="AM423" i="3"/>
  <c r="AL423" i="3"/>
  <c r="AC423" i="3"/>
  <c r="AB423" i="3"/>
  <c r="AM422" i="3"/>
  <c r="AL422" i="3"/>
  <c r="AC422" i="3"/>
  <c r="AM421" i="3"/>
  <c r="AL421" i="3"/>
  <c r="AC421" i="3"/>
  <c r="AM420" i="3"/>
  <c r="AL420" i="3"/>
  <c r="AC420" i="3"/>
  <c r="AM419" i="3"/>
  <c r="AL419" i="3"/>
  <c r="AC419" i="3"/>
  <c r="AB419" i="3"/>
  <c r="AM418" i="3"/>
  <c r="AL418" i="3"/>
  <c r="AC418" i="3"/>
  <c r="AB418" i="3"/>
  <c r="AM417" i="3"/>
  <c r="AL417" i="3"/>
  <c r="AC417" i="3"/>
  <c r="AM416" i="3"/>
  <c r="AL416" i="3"/>
  <c r="AC416" i="3"/>
  <c r="AM415" i="3"/>
  <c r="AL415" i="3"/>
  <c r="AC415" i="3"/>
  <c r="AM414" i="3"/>
  <c r="AL414" i="3"/>
  <c r="AC414" i="3"/>
  <c r="AB414" i="3"/>
  <c r="AM413" i="3"/>
  <c r="AL413" i="3"/>
  <c r="AC413" i="3"/>
  <c r="AB413" i="3"/>
  <c r="AM412" i="3"/>
  <c r="AL412" i="3"/>
  <c r="AC412" i="3"/>
  <c r="AM411" i="3"/>
  <c r="AL411" i="3"/>
  <c r="AC411" i="3"/>
  <c r="AM410" i="3"/>
  <c r="AL410" i="3"/>
  <c r="AC410" i="3"/>
  <c r="AM409" i="3"/>
  <c r="AL409" i="3"/>
  <c r="AC409" i="3"/>
  <c r="AB409" i="3"/>
  <c r="AM408" i="3"/>
  <c r="AL408" i="3"/>
  <c r="AC408" i="3"/>
  <c r="AB408" i="3"/>
  <c r="AM407" i="3"/>
  <c r="AL407" i="3"/>
  <c r="AC407" i="3"/>
  <c r="AM406" i="3"/>
  <c r="AL406" i="3"/>
  <c r="AC406" i="3"/>
  <c r="AM405" i="3"/>
  <c r="AL405" i="3"/>
  <c r="AC405" i="3"/>
  <c r="AM404" i="3"/>
  <c r="AL404" i="3"/>
  <c r="AC404" i="3"/>
  <c r="AB404" i="3"/>
  <c r="AM403" i="3"/>
  <c r="AL403" i="3"/>
  <c r="AC403" i="3"/>
  <c r="AB403" i="3"/>
  <c r="AM402" i="3"/>
  <c r="AL402" i="3"/>
  <c r="AC402" i="3"/>
  <c r="AM401" i="3"/>
  <c r="AL401" i="3"/>
  <c r="AC401" i="3"/>
  <c r="AM400" i="3"/>
  <c r="AL400" i="3"/>
  <c r="AC400" i="3"/>
  <c r="AM399" i="3"/>
  <c r="AL399" i="3"/>
  <c r="AC399" i="3"/>
  <c r="AB399" i="3"/>
  <c r="AM398" i="3"/>
  <c r="AL398" i="3"/>
  <c r="AC398" i="3"/>
  <c r="AB398" i="3"/>
  <c r="AM397" i="3"/>
  <c r="AL397" i="3"/>
  <c r="AC397" i="3"/>
  <c r="AM396" i="3"/>
  <c r="AL396" i="3"/>
  <c r="AC396" i="3"/>
  <c r="AM395" i="3"/>
  <c r="AL395" i="3"/>
  <c r="AC395" i="3"/>
  <c r="AM394" i="3"/>
  <c r="AL394" i="3"/>
  <c r="AC394" i="3"/>
  <c r="AB394" i="3"/>
  <c r="AM393" i="3"/>
  <c r="AL393" i="3"/>
  <c r="AC393" i="3"/>
  <c r="AB393" i="3"/>
  <c r="AM392" i="3"/>
  <c r="AL392" i="3"/>
  <c r="AC392" i="3"/>
  <c r="AM391" i="3"/>
  <c r="AL391" i="3"/>
  <c r="AC391" i="3"/>
  <c r="AM390" i="3"/>
  <c r="AL390" i="3"/>
  <c r="AC390" i="3"/>
  <c r="AM389" i="3"/>
  <c r="AL389" i="3"/>
  <c r="AC389" i="3"/>
  <c r="AB389" i="3"/>
  <c r="AM388" i="3"/>
  <c r="AL388" i="3"/>
  <c r="AC388" i="3"/>
  <c r="AB388" i="3"/>
  <c r="AM387" i="3"/>
  <c r="AL387" i="3"/>
  <c r="AC387" i="3"/>
  <c r="AM386" i="3"/>
  <c r="AL386" i="3"/>
  <c r="AC386" i="3"/>
  <c r="AM385" i="3"/>
  <c r="AL385" i="3"/>
  <c r="AC385" i="3"/>
  <c r="AM384" i="3"/>
  <c r="AL384" i="3"/>
  <c r="AC384" i="3"/>
  <c r="AB384" i="3"/>
  <c r="AM383" i="3"/>
  <c r="AL383" i="3"/>
  <c r="AC383" i="3"/>
  <c r="AB383" i="3"/>
  <c r="AM382" i="3"/>
  <c r="AL382" i="3"/>
  <c r="AC382" i="3"/>
  <c r="AM381" i="3"/>
  <c r="AL381" i="3"/>
  <c r="AC381" i="3"/>
  <c r="AM380" i="3"/>
  <c r="AL380" i="3"/>
  <c r="AC380" i="3"/>
  <c r="AM379" i="3"/>
  <c r="AL379" i="3"/>
  <c r="AC379" i="3"/>
  <c r="AB379" i="3"/>
  <c r="AM378" i="3"/>
  <c r="AL378" i="3"/>
  <c r="AC378" i="3"/>
  <c r="AB378" i="3"/>
  <c r="AM377" i="3"/>
  <c r="AL377" i="3"/>
  <c r="AC377" i="3"/>
  <c r="AM376" i="3"/>
  <c r="AL376" i="3"/>
  <c r="AC376" i="3"/>
  <c r="AM375" i="3"/>
  <c r="AL375" i="3"/>
  <c r="AC375" i="3"/>
  <c r="AM374" i="3"/>
  <c r="AL374" i="3"/>
  <c r="AC374" i="3"/>
  <c r="AB374" i="3"/>
  <c r="AM373" i="3"/>
  <c r="AL373" i="3"/>
  <c r="AC373" i="3"/>
  <c r="AB373" i="3"/>
  <c r="AM372" i="3"/>
  <c r="AL372" i="3"/>
  <c r="AC372" i="3"/>
  <c r="AM371" i="3"/>
  <c r="AL371" i="3"/>
  <c r="AC371" i="3"/>
  <c r="AM370" i="3"/>
  <c r="AL370" i="3"/>
  <c r="AC370" i="3"/>
  <c r="AM369" i="3"/>
  <c r="AL369" i="3"/>
  <c r="AC369" i="3"/>
  <c r="AB369" i="3"/>
  <c r="AM368" i="3"/>
  <c r="AL368" i="3"/>
  <c r="AC368" i="3"/>
  <c r="AB368" i="3"/>
  <c r="AM367" i="3"/>
  <c r="AL367" i="3"/>
  <c r="AC367" i="3"/>
  <c r="AM366" i="3"/>
  <c r="AL366" i="3"/>
  <c r="AC366" i="3"/>
  <c r="AM365" i="3"/>
  <c r="AL365" i="3"/>
  <c r="AC365" i="3"/>
  <c r="AM364" i="3"/>
  <c r="AL364" i="3"/>
  <c r="AC364" i="3"/>
  <c r="AB364" i="3"/>
  <c r="AM363" i="3"/>
  <c r="AL363" i="3"/>
  <c r="AC363" i="3"/>
  <c r="AB363" i="3"/>
  <c r="AM362" i="3"/>
  <c r="AL362" i="3"/>
  <c r="AC362" i="3"/>
  <c r="AM361" i="3"/>
  <c r="AL361" i="3"/>
  <c r="AC361" i="3"/>
  <c r="AM360" i="3"/>
  <c r="AL360" i="3"/>
  <c r="AC360" i="3"/>
  <c r="AM359" i="3"/>
  <c r="AL359" i="3"/>
  <c r="AC359" i="3"/>
  <c r="AB359" i="3"/>
  <c r="AM358" i="3"/>
  <c r="AL358" i="3"/>
  <c r="AC358" i="3"/>
  <c r="AB358" i="3"/>
  <c r="AM357" i="3"/>
  <c r="AL357" i="3"/>
  <c r="AC357" i="3"/>
  <c r="AM356" i="3"/>
  <c r="AL356" i="3"/>
  <c r="AC356" i="3"/>
  <c r="AM355" i="3"/>
  <c r="AL355" i="3"/>
  <c r="AC355" i="3"/>
  <c r="AM354" i="3"/>
  <c r="AL354" i="3"/>
  <c r="AC354" i="3"/>
  <c r="AB354" i="3"/>
  <c r="AM353" i="3"/>
  <c r="AL353" i="3"/>
  <c r="AC353" i="3"/>
  <c r="AB353" i="3"/>
  <c r="AM352" i="3"/>
  <c r="AL352" i="3"/>
  <c r="AC352" i="3"/>
  <c r="AM351" i="3"/>
  <c r="AL351" i="3"/>
  <c r="AC351" i="3"/>
  <c r="AM350" i="3"/>
  <c r="AL350" i="3"/>
  <c r="AC350" i="3"/>
  <c r="AM349" i="3"/>
  <c r="AL349" i="3"/>
  <c r="AC349" i="3"/>
  <c r="AB349" i="3"/>
  <c r="AM348" i="3"/>
  <c r="AL348" i="3"/>
  <c r="AC348" i="3"/>
  <c r="AB348" i="3"/>
  <c r="AM347" i="3"/>
  <c r="AL347" i="3"/>
  <c r="AC347" i="3"/>
  <c r="AM346" i="3"/>
  <c r="AL346" i="3"/>
  <c r="AC346" i="3"/>
  <c r="AM345" i="3"/>
  <c r="AL345" i="3"/>
  <c r="AC345" i="3"/>
  <c r="AM344" i="3"/>
  <c r="AL344" i="3"/>
  <c r="AC344" i="3"/>
  <c r="AB344" i="3"/>
  <c r="AM343" i="3"/>
  <c r="AL343" i="3"/>
  <c r="AC343" i="3"/>
  <c r="AB343" i="3"/>
  <c r="AM342" i="3"/>
  <c r="AL342" i="3"/>
  <c r="AC342" i="3"/>
  <c r="AM341" i="3"/>
  <c r="AL341" i="3"/>
  <c r="AC341" i="3"/>
  <c r="AM340" i="3"/>
  <c r="AL340" i="3"/>
  <c r="AC340" i="3"/>
  <c r="AM339" i="3"/>
  <c r="AL339" i="3"/>
  <c r="AC339" i="3"/>
  <c r="AB339" i="3"/>
  <c r="AM338" i="3"/>
  <c r="AL338" i="3"/>
  <c r="AC338" i="3"/>
  <c r="AB338" i="3"/>
  <c r="AM337" i="3"/>
  <c r="AL337" i="3"/>
  <c r="AC337" i="3"/>
  <c r="AM336" i="3"/>
  <c r="AL336" i="3"/>
  <c r="AC336" i="3"/>
  <c r="AM335" i="3"/>
  <c r="AL335" i="3"/>
  <c r="AC335" i="3"/>
  <c r="AM334" i="3"/>
  <c r="AL334" i="3"/>
  <c r="AC334" i="3"/>
  <c r="AB334" i="3"/>
  <c r="AM333" i="3"/>
  <c r="AL333" i="3"/>
  <c r="AC333" i="3"/>
  <c r="AB333" i="3"/>
  <c r="AM332" i="3"/>
  <c r="AL332" i="3"/>
  <c r="AC332" i="3"/>
  <c r="AM331" i="3"/>
  <c r="AL331" i="3"/>
  <c r="AC331" i="3"/>
  <c r="AM330" i="3"/>
  <c r="AL330" i="3"/>
  <c r="AC330" i="3"/>
  <c r="AM329" i="3"/>
  <c r="AL329" i="3"/>
  <c r="AC329" i="3"/>
  <c r="AB329" i="3"/>
  <c r="AM328" i="3"/>
  <c r="AL328" i="3"/>
  <c r="AC328" i="3"/>
  <c r="AB328" i="3"/>
  <c r="AM327" i="3"/>
  <c r="AL327" i="3"/>
  <c r="AC327" i="3"/>
  <c r="AM326" i="3"/>
  <c r="AL326" i="3"/>
  <c r="AC326" i="3"/>
  <c r="AM325" i="3"/>
  <c r="AL325" i="3"/>
  <c r="AC325" i="3"/>
  <c r="AM324" i="3"/>
  <c r="AL324" i="3"/>
  <c r="AC324" i="3"/>
  <c r="AB324" i="3"/>
  <c r="AM323" i="3"/>
  <c r="AL323" i="3"/>
  <c r="AC323" i="3"/>
  <c r="AB323" i="3"/>
  <c r="AM322" i="3"/>
  <c r="AL322" i="3"/>
  <c r="AC322" i="3"/>
  <c r="AM321" i="3"/>
  <c r="AL321" i="3"/>
  <c r="AC321" i="3"/>
  <c r="AM320" i="3"/>
  <c r="AL320" i="3"/>
  <c r="AC320" i="3"/>
  <c r="AM319" i="3"/>
  <c r="AL319" i="3"/>
  <c r="AC319" i="3"/>
  <c r="AB319" i="3"/>
  <c r="AM318" i="3"/>
  <c r="AL318" i="3"/>
  <c r="AC318" i="3"/>
  <c r="AB318" i="3"/>
  <c r="AM317" i="3"/>
  <c r="AL317" i="3"/>
  <c r="AC317" i="3"/>
  <c r="AM316" i="3"/>
  <c r="AL316" i="3"/>
  <c r="AC316" i="3"/>
  <c r="AM315" i="3"/>
  <c r="AL315" i="3"/>
  <c r="AC315" i="3"/>
  <c r="AM314" i="3"/>
  <c r="AL314" i="3"/>
  <c r="AC314" i="3"/>
  <c r="AB314" i="3"/>
  <c r="AM313" i="3"/>
  <c r="AL313" i="3"/>
  <c r="AC313" i="3"/>
  <c r="AB313" i="3"/>
  <c r="AM312" i="3"/>
  <c r="AL312" i="3"/>
  <c r="AC312" i="3"/>
  <c r="AM311" i="3"/>
  <c r="AL311" i="3"/>
  <c r="AC311" i="3"/>
  <c r="AM310" i="3"/>
  <c r="AL310" i="3"/>
  <c r="AC310" i="3"/>
  <c r="AM309" i="3"/>
  <c r="AL309" i="3"/>
  <c r="AC309" i="3"/>
  <c r="AB309" i="3"/>
  <c r="AM308" i="3"/>
  <c r="AL308" i="3"/>
  <c r="AC308" i="3"/>
  <c r="AB308" i="3"/>
  <c r="AM307" i="3"/>
  <c r="AL307" i="3"/>
  <c r="AC307" i="3"/>
  <c r="AM306" i="3"/>
  <c r="AL306" i="3"/>
  <c r="AC306" i="3"/>
  <c r="AM305" i="3"/>
  <c r="AL305" i="3"/>
  <c r="AC305" i="3"/>
  <c r="AM304" i="3"/>
  <c r="AL304" i="3"/>
  <c r="AC304" i="3"/>
  <c r="AB304" i="3"/>
  <c r="AM303" i="3"/>
  <c r="AL303" i="3"/>
  <c r="AC303" i="3"/>
  <c r="AB303" i="3"/>
  <c r="AM302" i="3"/>
  <c r="AL302" i="3"/>
  <c r="AC302" i="3"/>
  <c r="AM301" i="3"/>
  <c r="AL301" i="3"/>
  <c r="AC301" i="3"/>
  <c r="AM300" i="3"/>
  <c r="AL300" i="3"/>
  <c r="AC300" i="3"/>
  <c r="AM299" i="3"/>
  <c r="AL299" i="3"/>
  <c r="AC299" i="3"/>
  <c r="AB299" i="3"/>
  <c r="AM298" i="3"/>
  <c r="AL298" i="3"/>
  <c r="AC298" i="3"/>
  <c r="AB298" i="3"/>
  <c r="AM297" i="3"/>
  <c r="AL297" i="3"/>
  <c r="AC297" i="3"/>
  <c r="AM296" i="3"/>
  <c r="AL296" i="3"/>
  <c r="AC296" i="3"/>
  <c r="AM295" i="3"/>
  <c r="AL295" i="3"/>
  <c r="AC295" i="3"/>
  <c r="AM294" i="3"/>
  <c r="AL294" i="3"/>
  <c r="AC294" i="3"/>
  <c r="AB294" i="3"/>
  <c r="AM293" i="3"/>
  <c r="AL293" i="3"/>
  <c r="AC293" i="3"/>
  <c r="AB293" i="3"/>
  <c r="AM292" i="3"/>
  <c r="AL292" i="3"/>
  <c r="AC292" i="3"/>
  <c r="AM291" i="3"/>
  <c r="AL291" i="3"/>
  <c r="AC291" i="3"/>
  <c r="AM290" i="3"/>
  <c r="AL290" i="3"/>
  <c r="AC290" i="3"/>
  <c r="AM289" i="3"/>
  <c r="AL289" i="3"/>
  <c r="AC289" i="3"/>
  <c r="AB289" i="3"/>
  <c r="AM288" i="3"/>
  <c r="AL288" i="3"/>
  <c r="AC288" i="3"/>
  <c r="AB288" i="3"/>
  <c r="AM287" i="3"/>
  <c r="AL287" i="3"/>
  <c r="AC287" i="3"/>
  <c r="AM286" i="3"/>
  <c r="AL286" i="3"/>
  <c r="AC286" i="3"/>
  <c r="AM285" i="3"/>
  <c r="AL285" i="3"/>
  <c r="AC285" i="3"/>
  <c r="AM284" i="3"/>
  <c r="AL284" i="3"/>
  <c r="AC284" i="3"/>
  <c r="AB284" i="3"/>
  <c r="AM283" i="3"/>
  <c r="AL283" i="3"/>
  <c r="AC283" i="3"/>
  <c r="AB283" i="3"/>
  <c r="AM282" i="3"/>
  <c r="AL282" i="3"/>
  <c r="AC282" i="3"/>
  <c r="AM281" i="3"/>
  <c r="AL281" i="3"/>
  <c r="AC281" i="3"/>
  <c r="AM280" i="3"/>
  <c r="AL280" i="3"/>
  <c r="AC280" i="3"/>
  <c r="AM279" i="3"/>
  <c r="AL279" i="3"/>
  <c r="AC279" i="3"/>
  <c r="AB279" i="3"/>
  <c r="AM278" i="3"/>
  <c r="AL278" i="3"/>
  <c r="AC278" i="3"/>
  <c r="AB278" i="3"/>
  <c r="AM277" i="3"/>
  <c r="AL277" i="3"/>
  <c r="AC277" i="3"/>
  <c r="AM276" i="3"/>
  <c r="AL276" i="3"/>
  <c r="AC276" i="3"/>
  <c r="AM275" i="3"/>
  <c r="AL275" i="3"/>
  <c r="AC275" i="3"/>
  <c r="AM274" i="3"/>
  <c r="AL274" i="3"/>
  <c r="AC274" i="3"/>
  <c r="AB274" i="3"/>
  <c r="AM273" i="3"/>
  <c r="AL273" i="3"/>
  <c r="AC273" i="3"/>
  <c r="AB273" i="3"/>
  <c r="AM272" i="3"/>
  <c r="AL272" i="3"/>
  <c r="AC272" i="3"/>
  <c r="AM271" i="3"/>
  <c r="AL271" i="3"/>
  <c r="AC271" i="3"/>
  <c r="AM270" i="3"/>
  <c r="AL270" i="3"/>
  <c r="AC270" i="3"/>
  <c r="AM269" i="3"/>
  <c r="AL269" i="3"/>
  <c r="AC269" i="3"/>
  <c r="AB269" i="3"/>
  <c r="AM268" i="3"/>
  <c r="AL268" i="3"/>
  <c r="AC268" i="3"/>
  <c r="AB268" i="3"/>
  <c r="AM267" i="3"/>
  <c r="AL267" i="3"/>
  <c r="AC267" i="3"/>
  <c r="AM266" i="3"/>
  <c r="AL266" i="3"/>
  <c r="AC266" i="3"/>
  <c r="AM265" i="3"/>
  <c r="AL265" i="3"/>
  <c r="AC265" i="3"/>
  <c r="AM264" i="3"/>
  <c r="AL264" i="3"/>
  <c r="AC264" i="3"/>
  <c r="AB264" i="3"/>
  <c r="AM263" i="3"/>
  <c r="AL263" i="3"/>
  <c r="AC263" i="3"/>
  <c r="AB263" i="3"/>
  <c r="AM262" i="3"/>
  <c r="AL262" i="3"/>
  <c r="AC262" i="3"/>
  <c r="AM261" i="3"/>
  <c r="AL261" i="3"/>
  <c r="AC261" i="3"/>
  <c r="AM260" i="3"/>
  <c r="AL260" i="3"/>
  <c r="AC260" i="3"/>
  <c r="AM259" i="3"/>
  <c r="AL259" i="3"/>
  <c r="AC259" i="3"/>
  <c r="AB259" i="3"/>
  <c r="AM258" i="3"/>
  <c r="AL258" i="3"/>
  <c r="AC258" i="3"/>
  <c r="AB258" i="3"/>
  <c r="AM257" i="3"/>
  <c r="AL257" i="3"/>
  <c r="AC257" i="3"/>
  <c r="AM256" i="3"/>
  <c r="AL256" i="3"/>
  <c r="AC256" i="3"/>
  <c r="AM255" i="3"/>
  <c r="AL255" i="3"/>
  <c r="AC255" i="3"/>
  <c r="AM254" i="3"/>
  <c r="AL254" i="3"/>
  <c r="AC254" i="3"/>
  <c r="AB254" i="3"/>
  <c r="AM253" i="3"/>
  <c r="AL253" i="3"/>
  <c r="AC253" i="3"/>
  <c r="AB253" i="3"/>
  <c r="AM252" i="3"/>
  <c r="AL252" i="3"/>
  <c r="AC252" i="3"/>
  <c r="AB252" i="3"/>
  <c r="AM251" i="3"/>
  <c r="AL251" i="3"/>
  <c r="AC251" i="3"/>
  <c r="AM250" i="3"/>
  <c r="AL250" i="3"/>
  <c r="AC250" i="3"/>
  <c r="AM249" i="3"/>
  <c r="AL249" i="3"/>
  <c r="AC249" i="3"/>
  <c r="AB249" i="3"/>
  <c r="AM248" i="3"/>
  <c r="AL248" i="3"/>
  <c r="AC248" i="3"/>
  <c r="AB248" i="3"/>
  <c r="AM247" i="3"/>
  <c r="AL247" i="3"/>
  <c r="AC247" i="3"/>
  <c r="AB247" i="3"/>
  <c r="AM246" i="3"/>
  <c r="AL246" i="3"/>
  <c r="AC246" i="3"/>
  <c r="AM245" i="3"/>
  <c r="AL245" i="3"/>
  <c r="AC245" i="3"/>
  <c r="AM244" i="3"/>
  <c r="AL244" i="3"/>
  <c r="AC244" i="3"/>
  <c r="AB244" i="3"/>
  <c r="AM243" i="3"/>
  <c r="AL243" i="3"/>
  <c r="AC243" i="3"/>
  <c r="AB243" i="3"/>
  <c r="AM242" i="3"/>
  <c r="AL242" i="3"/>
  <c r="AC242" i="3"/>
  <c r="AB242" i="3"/>
  <c r="AM241" i="3"/>
  <c r="AL241" i="3"/>
  <c r="AC241" i="3"/>
  <c r="AM240" i="3"/>
  <c r="AL240" i="3"/>
  <c r="AC240" i="3"/>
  <c r="AM239" i="3"/>
  <c r="AL239" i="3"/>
  <c r="AC239" i="3"/>
  <c r="AB239" i="3"/>
  <c r="AM238" i="3"/>
  <c r="AL238" i="3"/>
  <c r="AC238" i="3"/>
  <c r="AB238" i="3"/>
  <c r="AM237" i="3"/>
  <c r="AL237" i="3"/>
  <c r="AC237" i="3"/>
  <c r="AB237" i="3"/>
  <c r="AM236" i="3"/>
  <c r="AL236" i="3"/>
  <c r="AC236" i="3"/>
  <c r="AM235" i="3"/>
  <c r="AL235" i="3"/>
  <c r="AC235" i="3"/>
  <c r="AM234" i="3"/>
  <c r="AL234" i="3"/>
  <c r="AC234" i="3"/>
  <c r="AB234" i="3"/>
  <c r="AM233" i="3"/>
  <c r="AL233" i="3"/>
  <c r="AC233" i="3"/>
  <c r="AB233" i="3"/>
  <c r="AM232" i="3"/>
  <c r="AL232" i="3"/>
  <c r="AC232" i="3"/>
  <c r="AB232" i="3"/>
  <c r="AM231" i="3"/>
  <c r="AL231" i="3"/>
  <c r="AC231" i="3"/>
  <c r="AM230" i="3"/>
  <c r="AL230" i="3"/>
  <c r="AC230" i="3"/>
  <c r="AM229" i="3"/>
  <c r="AL229" i="3"/>
  <c r="AC229" i="3"/>
  <c r="AB229" i="3"/>
  <c r="AM228" i="3"/>
  <c r="AL228" i="3"/>
  <c r="AC228" i="3"/>
  <c r="AB228" i="3"/>
  <c r="AM227" i="3"/>
  <c r="AL227" i="3"/>
  <c r="AC227" i="3"/>
  <c r="AB227" i="3"/>
  <c r="AM226" i="3"/>
  <c r="AL226" i="3"/>
  <c r="AC226" i="3"/>
  <c r="AM225" i="3"/>
  <c r="AL225" i="3"/>
  <c r="AC225" i="3"/>
  <c r="AM224" i="3"/>
  <c r="AL224" i="3"/>
  <c r="AC224" i="3"/>
  <c r="AB224" i="3"/>
  <c r="AM223" i="3"/>
  <c r="AL223" i="3"/>
  <c r="AC223" i="3"/>
  <c r="AB223" i="3"/>
  <c r="AM222" i="3"/>
  <c r="AL222" i="3"/>
  <c r="AC222" i="3"/>
  <c r="AB222" i="3"/>
  <c r="AM221" i="3"/>
  <c r="AL221" i="3"/>
  <c r="AC221" i="3"/>
  <c r="AM220" i="3"/>
  <c r="AL220" i="3"/>
  <c r="AC220" i="3"/>
  <c r="AM219" i="3"/>
  <c r="AL219" i="3"/>
  <c r="AC219" i="3"/>
  <c r="AB219" i="3"/>
  <c r="AM218" i="3"/>
  <c r="AL218" i="3"/>
  <c r="AC218" i="3"/>
  <c r="AB218" i="3"/>
  <c r="AM217" i="3"/>
  <c r="AL217" i="3"/>
  <c r="AC217" i="3"/>
  <c r="AB217" i="3"/>
  <c r="AM216" i="3"/>
  <c r="AL216" i="3"/>
  <c r="AC216" i="3"/>
  <c r="AM215" i="3"/>
  <c r="AL215" i="3"/>
  <c r="AC215" i="3"/>
  <c r="AM214" i="3"/>
  <c r="AL214" i="3"/>
  <c r="AC214" i="3"/>
  <c r="AB214" i="3"/>
  <c r="AM213" i="3"/>
  <c r="AL213" i="3"/>
  <c r="AC213" i="3"/>
  <c r="AB213" i="3"/>
  <c r="AM212" i="3"/>
  <c r="AL212" i="3"/>
  <c r="AC212" i="3"/>
  <c r="AB212" i="3"/>
  <c r="AM211" i="3"/>
  <c r="AL211" i="3"/>
  <c r="AC211" i="3"/>
  <c r="AM210" i="3"/>
  <c r="AL210" i="3"/>
  <c r="AC210" i="3"/>
  <c r="AM209" i="3"/>
  <c r="AL209" i="3"/>
  <c r="AC209" i="3"/>
  <c r="AB209" i="3"/>
  <c r="AM208" i="3"/>
  <c r="AL208" i="3"/>
  <c r="AC208" i="3"/>
  <c r="AB208" i="3"/>
  <c r="AM207" i="3"/>
  <c r="AL207" i="3"/>
  <c r="AC207" i="3"/>
  <c r="AB207" i="3"/>
  <c r="AM206" i="3"/>
  <c r="AL206" i="3"/>
  <c r="AC206" i="3"/>
  <c r="AM205" i="3"/>
  <c r="AL205" i="3"/>
  <c r="AC205" i="3"/>
  <c r="AM204" i="3"/>
  <c r="AL204" i="3"/>
  <c r="AC204" i="3"/>
  <c r="AB204" i="3"/>
  <c r="AM203" i="3"/>
  <c r="AL203" i="3"/>
  <c r="AC203" i="3"/>
  <c r="AB203" i="3"/>
  <c r="AM202" i="3"/>
  <c r="AL202" i="3"/>
  <c r="AC202" i="3"/>
  <c r="AB202" i="3"/>
  <c r="AM201" i="3"/>
  <c r="AL201" i="3"/>
  <c r="AC201" i="3"/>
  <c r="AM200" i="3"/>
  <c r="AL200" i="3"/>
  <c r="AC200" i="3"/>
  <c r="AM199" i="3"/>
  <c r="AL199" i="3"/>
  <c r="AC199" i="3"/>
  <c r="AB199" i="3"/>
  <c r="AM198" i="3"/>
  <c r="AL198" i="3"/>
  <c r="AC198" i="3"/>
  <c r="AB198" i="3"/>
  <c r="AM197" i="3"/>
  <c r="AL197" i="3"/>
  <c r="AC197" i="3"/>
  <c r="AB197" i="3"/>
  <c r="AM196" i="3"/>
  <c r="AL196" i="3"/>
  <c r="AC196" i="3"/>
  <c r="AM195" i="3"/>
  <c r="AL195" i="3"/>
  <c r="AC195" i="3"/>
  <c r="AM194" i="3"/>
  <c r="AL194" i="3"/>
  <c r="AC194" i="3"/>
  <c r="AB194" i="3"/>
  <c r="AM193" i="3"/>
  <c r="AL193" i="3"/>
  <c r="AC193" i="3"/>
  <c r="AB193" i="3"/>
  <c r="AM192" i="3"/>
  <c r="AL192" i="3"/>
  <c r="AC192" i="3"/>
  <c r="AB192" i="3"/>
  <c r="AM191" i="3"/>
  <c r="AL191" i="3"/>
  <c r="AC191" i="3"/>
  <c r="AM190" i="3"/>
  <c r="AL190" i="3"/>
  <c r="AC190" i="3"/>
  <c r="AM189" i="3"/>
  <c r="AL189" i="3"/>
  <c r="AC189" i="3"/>
  <c r="AB189" i="3"/>
  <c r="AM188" i="3"/>
  <c r="AL188" i="3"/>
  <c r="AC188" i="3"/>
  <c r="AB188" i="3"/>
  <c r="AM187" i="3"/>
  <c r="AL187" i="3"/>
  <c r="AC187" i="3"/>
  <c r="AB187" i="3"/>
  <c r="AM186" i="3"/>
  <c r="AL186" i="3"/>
  <c r="AC186" i="3"/>
  <c r="AM185" i="3"/>
  <c r="AL185" i="3"/>
  <c r="AC185" i="3"/>
  <c r="AM184" i="3"/>
  <c r="AL184" i="3"/>
  <c r="AC184" i="3"/>
  <c r="AB184" i="3"/>
  <c r="AM183" i="3"/>
  <c r="AL183" i="3"/>
  <c r="AC183" i="3"/>
  <c r="AB183" i="3"/>
  <c r="AM182" i="3"/>
  <c r="AL182" i="3"/>
  <c r="AC182" i="3"/>
  <c r="AB182" i="3"/>
  <c r="AM181" i="3"/>
  <c r="AL181" i="3"/>
  <c r="AC181" i="3"/>
  <c r="AM180" i="3"/>
  <c r="AL180" i="3"/>
  <c r="AC180" i="3"/>
  <c r="AM179" i="3"/>
  <c r="AL179" i="3"/>
  <c r="AC179" i="3"/>
  <c r="AB179" i="3"/>
  <c r="AM178" i="3"/>
  <c r="AL178" i="3"/>
  <c r="AC178" i="3"/>
  <c r="AB178" i="3"/>
  <c r="AM177" i="3"/>
  <c r="AL177" i="3"/>
  <c r="AC177" i="3"/>
  <c r="AB177" i="3"/>
  <c r="AM176" i="3"/>
  <c r="AL176" i="3"/>
  <c r="AC176" i="3"/>
  <c r="AM175" i="3"/>
  <c r="AL175" i="3"/>
  <c r="AC175" i="3"/>
  <c r="AM174" i="3"/>
  <c r="AL174" i="3"/>
  <c r="AC174" i="3"/>
  <c r="AB174" i="3"/>
  <c r="AM173" i="3"/>
  <c r="AL173" i="3"/>
  <c r="AC173" i="3"/>
  <c r="AB173" i="3"/>
  <c r="AM172" i="3"/>
  <c r="AL172" i="3"/>
  <c r="AC172" i="3"/>
  <c r="AB172" i="3"/>
  <c r="AM171" i="3"/>
  <c r="AL171" i="3"/>
  <c r="AC171" i="3"/>
  <c r="AM170" i="3"/>
  <c r="AL170" i="3"/>
  <c r="AC170" i="3"/>
  <c r="AM169" i="3"/>
  <c r="AL169" i="3"/>
  <c r="AC169" i="3"/>
  <c r="AB169" i="3"/>
  <c r="AM168" i="3"/>
  <c r="AL168" i="3"/>
  <c r="AC168" i="3"/>
  <c r="AB168" i="3"/>
  <c r="AM167" i="3"/>
  <c r="AL167" i="3"/>
  <c r="AC167" i="3"/>
  <c r="AB167" i="3"/>
  <c r="AM166" i="3"/>
  <c r="AL166" i="3"/>
  <c r="AC166" i="3"/>
  <c r="AM165" i="3"/>
  <c r="AL165" i="3"/>
  <c r="AC165" i="3"/>
  <c r="AM164" i="3"/>
  <c r="AL164" i="3"/>
  <c r="AC164" i="3"/>
  <c r="AB164" i="3"/>
  <c r="AM163" i="3"/>
  <c r="AL163" i="3"/>
  <c r="AC163" i="3"/>
  <c r="AB163" i="3"/>
  <c r="AM162" i="3"/>
  <c r="AL162" i="3"/>
  <c r="AC162" i="3"/>
  <c r="AB162" i="3"/>
  <c r="AM161" i="3"/>
  <c r="AL161" i="3"/>
  <c r="AC161" i="3"/>
  <c r="AB161" i="3"/>
  <c r="AM160" i="3"/>
  <c r="AL160" i="3"/>
  <c r="AC160" i="3"/>
  <c r="AB160" i="3"/>
  <c r="AM159" i="3"/>
  <c r="AL159" i="3"/>
  <c r="AC159" i="3"/>
  <c r="AB159" i="3"/>
  <c r="AM158" i="3"/>
  <c r="AL158" i="3"/>
  <c r="AC158" i="3"/>
  <c r="AB158" i="3"/>
  <c r="AM157" i="3"/>
  <c r="AL157" i="3"/>
  <c r="AC157" i="3"/>
  <c r="AB157" i="3"/>
  <c r="AM156" i="3"/>
  <c r="AL156" i="3"/>
  <c r="AC156" i="3"/>
  <c r="AB156" i="3"/>
  <c r="AM155" i="3"/>
  <c r="AL155" i="3"/>
  <c r="AC155" i="3"/>
  <c r="AB155" i="3"/>
  <c r="AM154" i="3"/>
  <c r="AL154" i="3"/>
  <c r="AC154" i="3"/>
  <c r="AB154" i="3"/>
  <c r="AM153" i="3"/>
  <c r="AL153" i="3"/>
  <c r="AC153" i="3"/>
  <c r="AB153" i="3"/>
  <c r="AM152" i="3"/>
  <c r="AL152" i="3"/>
  <c r="AC152" i="3"/>
  <c r="AB152" i="3"/>
  <c r="AM151" i="3"/>
  <c r="AL151" i="3"/>
  <c r="AC151" i="3"/>
  <c r="AB151" i="3"/>
  <c r="AM150" i="3"/>
  <c r="AL150" i="3"/>
  <c r="AC150" i="3"/>
  <c r="AB150" i="3"/>
  <c r="AM149" i="3"/>
  <c r="AL149" i="3"/>
  <c r="AC149" i="3"/>
  <c r="AB149" i="3"/>
  <c r="AM148" i="3"/>
  <c r="AL148" i="3"/>
  <c r="AC148" i="3"/>
  <c r="AB148" i="3"/>
  <c r="AM147" i="3"/>
  <c r="AL147" i="3"/>
  <c r="AC147" i="3"/>
  <c r="AB147" i="3"/>
  <c r="AM146" i="3"/>
  <c r="AL146" i="3"/>
  <c r="AC146" i="3"/>
  <c r="AB146" i="3"/>
  <c r="AM145" i="3"/>
  <c r="AL145" i="3"/>
  <c r="AC145" i="3"/>
  <c r="AB145" i="3"/>
  <c r="AM144" i="3"/>
  <c r="AL144" i="3"/>
  <c r="AC144" i="3"/>
  <c r="AB144" i="3"/>
  <c r="AM143" i="3"/>
  <c r="AL143" i="3"/>
  <c r="AC143" i="3"/>
  <c r="AB143" i="3"/>
  <c r="AM142" i="3"/>
  <c r="AL142" i="3"/>
  <c r="AC142" i="3"/>
  <c r="AB142" i="3"/>
  <c r="AM141" i="3"/>
  <c r="AL141" i="3"/>
  <c r="AC141" i="3"/>
  <c r="AB141" i="3"/>
  <c r="AM140" i="3"/>
  <c r="AL140" i="3"/>
  <c r="AC140" i="3"/>
  <c r="AB140" i="3"/>
  <c r="AM139" i="3"/>
  <c r="AL139" i="3"/>
  <c r="AC139" i="3"/>
  <c r="AB139" i="3"/>
  <c r="AM138" i="3"/>
  <c r="AL138" i="3"/>
  <c r="AC138" i="3"/>
  <c r="AB138" i="3"/>
  <c r="AM137" i="3"/>
  <c r="AL137" i="3"/>
  <c r="AC137" i="3"/>
  <c r="AB137" i="3"/>
  <c r="AM136" i="3"/>
  <c r="AL136" i="3"/>
  <c r="AC136" i="3"/>
  <c r="AB136" i="3"/>
  <c r="AM135" i="3"/>
  <c r="AL135" i="3"/>
  <c r="AC135" i="3"/>
  <c r="AB135" i="3"/>
  <c r="AM134" i="3"/>
  <c r="AL134" i="3"/>
  <c r="AC134" i="3"/>
  <c r="AB134" i="3"/>
  <c r="AM133" i="3"/>
  <c r="AL133" i="3"/>
  <c r="AC133" i="3"/>
  <c r="AB133" i="3"/>
  <c r="AM132" i="3"/>
  <c r="AL132" i="3"/>
  <c r="AC132" i="3"/>
  <c r="AB132" i="3"/>
  <c r="AM131" i="3"/>
  <c r="AL131" i="3"/>
  <c r="AC131" i="3"/>
  <c r="AB131" i="3"/>
  <c r="AM130" i="3"/>
  <c r="AL130" i="3"/>
  <c r="AC130" i="3"/>
  <c r="AB130" i="3"/>
  <c r="AM129" i="3"/>
  <c r="AL129" i="3"/>
  <c r="AC129" i="3"/>
  <c r="AB129" i="3"/>
  <c r="AM128" i="3"/>
  <c r="AL128" i="3"/>
  <c r="AC128" i="3"/>
  <c r="AB128" i="3"/>
  <c r="AM127" i="3"/>
  <c r="AL127" i="3"/>
  <c r="AC127" i="3"/>
  <c r="AB127" i="3"/>
  <c r="AM126" i="3"/>
  <c r="AL126" i="3"/>
  <c r="AC126" i="3"/>
  <c r="AB126" i="3"/>
  <c r="AM125" i="3"/>
  <c r="AL125" i="3"/>
  <c r="AC125" i="3"/>
  <c r="AB125" i="3"/>
  <c r="AM124" i="3"/>
  <c r="AL124" i="3"/>
  <c r="AC124" i="3"/>
  <c r="AB124" i="3"/>
  <c r="AM123" i="3"/>
  <c r="AL123" i="3"/>
  <c r="AC123" i="3"/>
  <c r="AB123" i="3"/>
  <c r="AM122" i="3"/>
  <c r="AL122" i="3"/>
  <c r="AC122" i="3"/>
  <c r="AB122" i="3"/>
  <c r="AM121" i="3"/>
  <c r="AL121" i="3"/>
  <c r="AC121" i="3"/>
  <c r="AB121" i="3"/>
  <c r="AM120" i="3"/>
  <c r="AL120" i="3"/>
  <c r="AC120" i="3"/>
  <c r="AB120" i="3"/>
  <c r="AM119" i="3"/>
  <c r="AL119" i="3"/>
  <c r="AC119" i="3"/>
  <c r="AB119" i="3"/>
  <c r="AM118" i="3"/>
  <c r="AL118" i="3"/>
  <c r="AC118" i="3"/>
  <c r="AB118" i="3"/>
  <c r="AM117" i="3"/>
  <c r="AL117" i="3"/>
  <c r="AC117" i="3"/>
  <c r="AB117" i="3"/>
  <c r="AM116" i="3"/>
  <c r="AL116" i="3"/>
  <c r="AC116" i="3"/>
  <c r="AB116" i="3"/>
  <c r="AM115" i="3"/>
  <c r="AL115" i="3"/>
  <c r="AC115" i="3"/>
  <c r="AB115" i="3"/>
  <c r="AM114" i="3"/>
  <c r="AL114" i="3"/>
  <c r="AC114" i="3"/>
  <c r="AB114" i="3"/>
  <c r="AM113" i="3"/>
  <c r="AL113" i="3"/>
  <c r="AC113" i="3"/>
  <c r="AB113" i="3"/>
  <c r="AM112" i="3"/>
  <c r="AL112" i="3"/>
  <c r="AC112" i="3"/>
  <c r="AB112" i="3"/>
  <c r="AM111" i="3"/>
  <c r="AL111" i="3"/>
  <c r="AC111" i="3"/>
  <c r="AB111" i="3"/>
  <c r="AM110" i="3"/>
  <c r="AL110" i="3"/>
  <c r="AC110" i="3"/>
  <c r="AB110" i="3"/>
  <c r="AM109" i="3"/>
  <c r="AL109" i="3"/>
  <c r="AC109" i="3"/>
  <c r="AB109" i="3"/>
  <c r="AM108" i="3"/>
  <c r="AL108" i="3"/>
  <c r="AC108" i="3"/>
  <c r="AB108" i="3"/>
  <c r="AM107" i="3"/>
  <c r="AL107" i="3"/>
  <c r="AC107" i="3"/>
  <c r="AB107" i="3"/>
  <c r="AM106" i="3"/>
  <c r="AL106" i="3"/>
  <c r="AC106" i="3"/>
  <c r="AB106" i="3"/>
  <c r="AM105" i="3"/>
  <c r="AL105" i="3"/>
  <c r="AC105" i="3"/>
  <c r="AB105" i="3"/>
  <c r="AM104" i="3"/>
  <c r="AL104" i="3"/>
  <c r="AC104" i="3"/>
  <c r="AB104" i="3"/>
  <c r="AM103" i="3"/>
  <c r="AL103" i="3"/>
  <c r="AC103" i="3"/>
  <c r="AB103" i="3"/>
  <c r="AM102" i="3"/>
  <c r="AL102" i="3"/>
  <c r="AC102" i="3"/>
  <c r="AB102" i="3"/>
  <c r="AM101" i="3"/>
  <c r="AL101" i="3"/>
  <c r="AC101" i="3"/>
  <c r="AB101" i="3"/>
  <c r="AM100" i="3"/>
  <c r="AL100" i="3"/>
  <c r="AC100" i="3"/>
  <c r="AB100" i="3"/>
  <c r="AM99" i="3"/>
  <c r="AL99" i="3"/>
  <c r="AC99" i="3"/>
  <c r="AB99" i="3"/>
  <c r="AM98" i="3"/>
  <c r="AL98" i="3"/>
  <c r="AC98" i="3"/>
  <c r="AB98" i="3"/>
  <c r="AM97" i="3"/>
  <c r="AL97" i="3"/>
  <c r="AC97" i="3"/>
  <c r="AB97" i="3"/>
  <c r="AM96" i="3"/>
  <c r="AL96" i="3"/>
  <c r="AC96" i="3"/>
  <c r="AB96" i="3"/>
  <c r="AM95" i="3"/>
  <c r="AL95" i="3"/>
  <c r="AC95" i="3"/>
  <c r="AB95" i="3"/>
  <c r="AM94" i="3"/>
  <c r="AL94" i="3"/>
  <c r="AC94" i="3"/>
  <c r="AB94" i="3"/>
  <c r="AM93" i="3"/>
  <c r="AL93" i="3"/>
  <c r="AC93" i="3"/>
  <c r="AB93" i="3"/>
  <c r="AM92" i="3"/>
  <c r="AL92" i="3"/>
  <c r="AC92" i="3"/>
  <c r="AB92" i="3"/>
  <c r="AM91" i="3"/>
  <c r="AL91" i="3"/>
  <c r="AC91" i="3"/>
  <c r="AB91" i="3"/>
  <c r="AM90" i="3"/>
  <c r="AL90" i="3"/>
  <c r="AC90" i="3"/>
  <c r="AB90" i="3"/>
  <c r="AM89" i="3"/>
  <c r="AL89" i="3"/>
  <c r="AC89" i="3"/>
  <c r="AB89" i="3"/>
  <c r="AM88" i="3"/>
  <c r="AL88" i="3"/>
  <c r="AC88" i="3"/>
  <c r="AB88" i="3"/>
  <c r="AM87" i="3"/>
  <c r="AL87" i="3"/>
  <c r="AC87" i="3"/>
  <c r="AB87" i="3"/>
  <c r="AM86" i="3"/>
  <c r="AL86" i="3"/>
  <c r="AC86" i="3"/>
  <c r="AB86" i="3"/>
  <c r="AM85" i="3"/>
  <c r="AL85" i="3"/>
  <c r="AC85" i="3"/>
  <c r="AB85" i="3"/>
  <c r="AM84" i="3"/>
  <c r="AL84" i="3"/>
  <c r="AC84" i="3"/>
  <c r="AB84" i="3"/>
  <c r="AM83" i="3"/>
  <c r="AL83" i="3"/>
  <c r="AC83" i="3"/>
  <c r="AB83" i="3"/>
  <c r="AM82" i="3"/>
  <c r="AL82" i="3"/>
  <c r="AC82" i="3"/>
  <c r="AB82" i="3"/>
  <c r="AM81" i="3"/>
  <c r="AL81" i="3"/>
  <c r="AC81" i="3"/>
  <c r="AB81" i="3"/>
  <c r="AM80" i="3"/>
  <c r="AL80" i="3"/>
  <c r="AC80" i="3"/>
  <c r="AB80" i="3"/>
  <c r="AM79" i="3"/>
  <c r="AL79" i="3"/>
  <c r="AC79" i="3"/>
  <c r="AB79" i="3"/>
  <c r="AM78" i="3"/>
  <c r="AL78" i="3"/>
  <c r="AC78" i="3"/>
  <c r="AB78" i="3"/>
  <c r="AM77" i="3"/>
  <c r="AL77" i="3"/>
  <c r="AC77" i="3"/>
  <c r="AB77" i="3"/>
  <c r="AM76" i="3"/>
  <c r="AL76" i="3"/>
  <c r="AC76" i="3"/>
  <c r="AB76" i="3"/>
  <c r="AM75" i="3"/>
  <c r="AL75" i="3"/>
  <c r="AC75" i="3"/>
  <c r="AB75" i="3"/>
  <c r="AM74" i="3"/>
  <c r="AL74" i="3"/>
  <c r="AC74" i="3"/>
  <c r="AB74" i="3"/>
  <c r="AM73" i="3"/>
  <c r="AL73" i="3"/>
  <c r="AC73" i="3"/>
  <c r="AB73" i="3"/>
  <c r="AM72" i="3"/>
  <c r="AL72" i="3"/>
  <c r="AC72" i="3"/>
  <c r="AB72" i="3"/>
  <c r="AM71" i="3"/>
  <c r="AL71" i="3"/>
  <c r="AC71" i="3"/>
  <c r="AB71" i="3"/>
  <c r="AM70" i="3"/>
  <c r="AL70" i="3"/>
  <c r="AC70" i="3"/>
  <c r="AB70" i="3"/>
  <c r="AM69" i="3"/>
  <c r="AL69" i="3"/>
  <c r="AC69" i="3"/>
  <c r="AB69" i="3"/>
  <c r="AM68" i="3"/>
  <c r="AL68" i="3"/>
  <c r="AC68" i="3"/>
  <c r="AB68" i="3"/>
  <c r="AM67" i="3"/>
  <c r="AL67" i="3"/>
  <c r="AC67" i="3"/>
  <c r="AB67" i="3"/>
  <c r="AM66" i="3"/>
  <c r="AL66" i="3"/>
  <c r="AC66" i="3"/>
  <c r="AB66" i="3"/>
  <c r="AM65" i="3"/>
  <c r="AL65" i="3"/>
  <c r="AC65" i="3"/>
  <c r="AB65" i="3"/>
  <c r="AM64" i="3"/>
  <c r="AL64" i="3"/>
  <c r="AC64" i="3"/>
  <c r="AB64" i="3"/>
  <c r="AM63" i="3"/>
  <c r="AL63" i="3"/>
  <c r="AC63" i="3"/>
  <c r="AB63" i="3"/>
  <c r="AM62" i="3"/>
  <c r="AL62" i="3"/>
  <c r="AC62" i="3"/>
  <c r="AB62" i="3"/>
  <c r="AM61" i="3"/>
  <c r="AL61" i="3"/>
  <c r="AC61" i="3"/>
  <c r="AB61" i="3"/>
  <c r="AM60" i="3"/>
  <c r="AL60" i="3"/>
  <c r="AC60" i="3"/>
  <c r="AB60" i="3"/>
  <c r="AM59" i="3"/>
  <c r="AL59" i="3"/>
  <c r="AC59" i="3"/>
  <c r="AB59" i="3"/>
  <c r="AM58" i="3"/>
  <c r="AL58" i="3"/>
  <c r="AC58" i="3"/>
  <c r="AB58" i="3"/>
  <c r="AM57" i="3"/>
  <c r="AL57" i="3"/>
  <c r="AC57" i="3"/>
  <c r="AB57" i="3"/>
  <c r="AM56" i="3"/>
  <c r="AL56" i="3"/>
  <c r="AC56" i="3"/>
  <c r="AB56" i="3"/>
  <c r="AM55" i="3"/>
  <c r="AL55" i="3"/>
  <c r="AC55" i="3"/>
  <c r="AB55" i="3"/>
  <c r="AM54" i="3"/>
  <c r="AL54" i="3"/>
  <c r="AC54" i="3"/>
  <c r="AB54" i="3"/>
  <c r="AM53" i="3"/>
  <c r="AL53" i="3"/>
  <c r="AC53" i="3"/>
  <c r="AB53" i="3"/>
  <c r="AM52" i="3"/>
  <c r="AL52" i="3"/>
  <c r="AC52" i="3"/>
  <c r="AB52" i="3"/>
  <c r="AM51" i="3"/>
  <c r="AL51" i="3"/>
  <c r="AC51" i="3"/>
  <c r="AB51" i="3"/>
  <c r="AM50" i="3"/>
  <c r="AL50" i="3"/>
  <c r="AC50" i="3"/>
  <c r="AB50" i="3"/>
  <c r="AM49" i="3"/>
  <c r="AL49" i="3"/>
  <c r="AC49" i="3"/>
  <c r="AB49" i="3"/>
  <c r="AM48" i="3"/>
  <c r="AL48" i="3"/>
  <c r="AC48" i="3"/>
  <c r="AB48" i="3"/>
  <c r="AM47" i="3"/>
  <c r="AL47" i="3"/>
  <c r="AC47" i="3"/>
  <c r="AB47" i="3"/>
  <c r="AM46" i="3"/>
  <c r="AL46" i="3"/>
  <c r="AC46" i="3"/>
  <c r="AB46" i="3"/>
  <c r="AM45" i="3"/>
  <c r="AL45" i="3"/>
  <c r="AC45" i="3"/>
  <c r="AB45" i="3"/>
  <c r="AM44" i="3"/>
  <c r="AL44" i="3"/>
  <c r="AC44" i="3"/>
  <c r="AB44" i="3"/>
  <c r="AM43" i="3"/>
  <c r="AL43" i="3"/>
  <c r="AC43" i="3"/>
  <c r="AB43" i="3"/>
  <c r="AM42" i="3"/>
  <c r="AL42" i="3"/>
  <c r="AC42" i="3"/>
  <c r="AB42" i="3"/>
  <c r="AM41" i="3"/>
  <c r="AL41" i="3"/>
  <c r="AC41" i="3"/>
  <c r="AB41" i="3"/>
  <c r="AM40" i="3"/>
  <c r="AL40" i="3"/>
  <c r="AC40" i="3"/>
  <c r="AB40" i="3"/>
  <c r="AM39" i="3"/>
  <c r="AL39" i="3"/>
  <c r="AC39" i="3"/>
  <c r="AB39" i="3"/>
  <c r="AM38" i="3"/>
  <c r="AL38" i="3"/>
  <c r="AC38" i="3"/>
  <c r="AB38" i="3"/>
  <c r="AM37" i="3"/>
  <c r="AL37" i="3"/>
  <c r="AC37" i="3"/>
  <c r="AB37" i="3"/>
  <c r="AM36" i="3"/>
  <c r="AL36" i="3"/>
  <c r="AC36" i="3"/>
  <c r="AB36" i="3"/>
  <c r="AM35" i="3"/>
  <c r="AL35" i="3"/>
  <c r="AC35" i="3"/>
  <c r="AB35" i="3"/>
  <c r="AM34" i="3"/>
  <c r="AL34" i="3"/>
  <c r="AC34" i="3"/>
  <c r="AB34" i="3"/>
  <c r="AM33" i="3"/>
  <c r="AL33" i="3"/>
  <c r="AC33" i="3"/>
  <c r="AB33" i="3"/>
  <c r="AM32" i="3"/>
  <c r="AL32" i="3"/>
  <c r="AC32" i="3"/>
  <c r="AB32" i="3"/>
  <c r="AM31" i="3"/>
  <c r="AL31" i="3"/>
  <c r="AC31" i="3"/>
  <c r="AB31" i="3"/>
  <c r="AM30" i="3"/>
  <c r="AL30" i="3"/>
  <c r="AC30" i="3"/>
  <c r="AB30" i="3"/>
  <c r="AM29" i="3"/>
  <c r="AL29" i="3"/>
  <c r="AC29" i="3"/>
  <c r="AB29" i="3"/>
  <c r="AM28" i="3"/>
  <c r="AL28" i="3"/>
  <c r="AC28" i="3"/>
  <c r="AB28" i="3"/>
  <c r="AM27" i="3"/>
  <c r="AL27" i="3"/>
  <c r="AC27" i="3"/>
  <c r="AB27" i="3"/>
  <c r="AM26" i="3"/>
  <c r="AL26" i="3"/>
  <c r="AC26" i="3"/>
  <c r="AB26" i="3"/>
  <c r="AM25" i="3"/>
  <c r="AL25" i="3"/>
  <c r="AC25" i="3"/>
  <c r="AB25" i="3"/>
  <c r="AM24" i="3"/>
  <c r="AL24" i="3"/>
  <c r="AC24" i="3"/>
  <c r="AB24" i="3"/>
  <c r="AM23" i="3"/>
  <c r="AL23" i="3"/>
  <c r="AC23" i="3"/>
  <c r="AB23" i="3"/>
  <c r="AM22" i="3"/>
  <c r="AL22" i="3"/>
  <c r="AC22" i="3"/>
  <c r="AB22" i="3"/>
  <c r="AM21" i="3"/>
  <c r="AL21" i="3"/>
  <c r="AC21" i="3"/>
  <c r="AB21" i="3"/>
  <c r="AM20" i="3"/>
  <c r="AL20" i="3"/>
  <c r="AC20" i="3"/>
  <c r="AB20" i="3"/>
  <c r="AM19" i="3"/>
  <c r="AL19" i="3"/>
  <c r="AC19" i="3"/>
  <c r="AB19" i="3"/>
  <c r="AM18" i="3"/>
  <c r="AL18" i="3"/>
  <c r="AC18" i="3"/>
  <c r="AB18" i="3"/>
  <c r="AM17" i="3"/>
  <c r="AL17" i="3"/>
  <c r="AC17" i="3"/>
  <c r="AB17" i="3"/>
  <c r="AM16" i="3"/>
  <c r="AL16" i="3"/>
  <c r="AC16" i="3"/>
  <c r="AB16" i="3"/>
  <c r="AM15" i="3"/>
  <c r="AL15" i="3"/>
  <c r="AC15" i="3"/>
  <c r="AB15" i="3"/>
  <c r="AM14" i="3"/>
  <c r="AL14" i="3"/>
  <c r="AC14" i="3"/>
  <c r="AB14" i="3"/>
  <c r="AM13" i="3"/>
  <c r="AL13" i="3"/>
  <c r="AC13" i="3"/>
  <c r="AB13" i="3"/>
  <c r="AM12" i="3"/>
  <c r="AL12" i="3"/>
  <c r="AC12" i="3"/>
  <c r="AB12" i="3"/>
  <c r="AM11" i="3"/>
  <c r="AL11" i="3"/>
  <c r="AC11" i="3"/>
  <c r="AB11" i="3"/>
  <c r="AM10" i="3"/>
  <c r="AL10" i="3"/>
  <c r="AC10" i="3"/>
  <c r="AB10" i="3"/>
  <c r="AM9" i="3"/>
  <c r="AL9" i="3"/>
  <c r="AC9" i="3"/>
  <c r="AB9" i="3"/>
  <c r="AM8" i="3"/>
  <c r="AL8" i="3"/>
  <c r="AC8" i="3"/>
  <c r="AB8" i="3"/>
  <c r="AM7" i="3"/>
  <c r="AL7" i="3"/>
  <c r="AC7" i="3"/>
  <c r="AB7" i="3"/>
  <c r="AM6" i="3"/>
  <c r="AL6" i="3"/>
  <c r="AC6" i="3"/>
  <c r="AB6" i="3"/>
  <c r="AM5" i="3"/>
  <c r="AL5" i="3"/>
  <c r="AC5" i="3"/>
  <c r="AB5" i="3"/>
  <c r="AM4" i="3"/>
  <c r="AL4" i="3"/>
  <c r="AC4" i="3"/>
  <c r="AB4" i="3"/>
  <c r="AM3" i="3"/>
  <c r="AL3" i="3"/>
  <c r="AC3" i="3"/>
  <c r="AB3" i="3"/>
  <c r="AM2" i="3"/>
  <c r="AL2" i="3"/>
  <c r="AC2" i="3"/>
  <c r="AB2" i="3"/>
  <c r="AO501" i="3"/>
  <c r="AN501" i="3"/>
  <c r="AE501" i="3"/>
  <c r="AD501" i="3"/>
  <c r="AO500" i="3"/>
  <c r="AN500" i="3"/>
  <c r="AE500" i="3"/>
  <c r="AD500" i="3"/>
  <c r="AO499" i="3"/>
  <c r="AN499" i="3"/>
  <c r="AE499" i="3"/>
  <c r="AD499" i="3"/>
  <c r="AO498" i="3"/>
  <c r="AN498" i="3"/>
  <c r="AE498" i="3"/>
  <c r="AD498" i="3"/>
  <c r="AO497" i="3"/>
  <c r="AN497" i="3"/>
  <c r="AE497" i="3"/>
  <c r="AD497" i="3"/>
  <c r="AO496" i="3"/>
  <c r="AN496" i="3"/>
  <c r="AE496" i="3"/>
  <c r="AD496" i="3"/>
  <c r="AO495" i="3"/>
  <c r="AN495" i="3"/>
  <c r="AE495" i="3"/>
  <c r="AD495" i="3"/>
  <c r="AO494" i="3"/>
  <c r="AN494" i="3"/>
  <c r="AE494" i="3"/>
  <c r="AD494" i="3"/>
  <c r="AO493" i="3"/>
  <c r="AN493" i="3"/>
  <c r="AE493" i="3"/>
  <c r="AD493" i="3"/>
  <c r="AO492" i="3"/>
  <c r="AN492" i="3"/>
  <c r="AE492" i="3"/>
  <c r="AD492" i="3"/>
  <c r="AO491" i="3"/>
  <c r="AN491" i="3"/>
  <c r="AE491" i="3"/>
  <c r="AD491" i="3"/>
  <c r="AO490" i="3"/>
  <c r="AN490" i="3"/>
  <c r="AE490" i="3"/>
  <c r="AD490" i="3"/>
  <c r="AO489" i="3"/>
  <c r="AN489" i="3"/>
  <c r="AE489" i="3"/>
  <c r="AD489" i="3"/>
  <c r="AO488" i="3"/>
  <c r="AN488" i="3"/>
  <c r="AE488" i="3"/>
  <c r="AD488" i="3"/>
  <c r="AO487" i="3"/>
  <c r="AN487" i="3"/>
  <c r="AE487" i="3"/>
  <c r="AD487" i="3"/>
  <c r="AO486" i="3"/>
  <c r="AN486" i="3"/>
  <c r="AE486" i="3"/>
  <c r="AD486" i="3"/>
  <c r="AO485" i="3"/>
  <c r="AN485" i="3"/>
  <c r="AE485" i="3"/>
  <c r="AD485" i="3"/>
  <c r="AO484" i="3"/>
  <c r="AN484" i="3"/>
  <c r="AE484" i="3"/>
  <c r="AD484" i="3"/>
  <c r="AO483" i="3"/>
  <c r="AN483" i="3"/>
  <c r="AE483" i="3"/>
  <c r="AD483" i="3"/>
  <c r="AO482" i="3"/>
  <c r="AN482" i="3"/>
  <c r="AE482" i="3"/>
  <c r="AD482" i="3"/>
  <c r="AO481" i="3"/>
  <c r="AN481" i="3"/>
  <c r="AE481" i="3"/>
  <c r="AD481" i="3"/>
  <c r="AO480" i="3"/>
  <c r="AN480" i="3"/>
  <c r="AE480" i="3"/>
  <c r="AD480" i="3"/>
  <c r="AO479" i="3"/>
  <c r="AN479" i="3"/>
  <c r="AE479" i="3"/>
  <c r="AD479" i="3"/>
  <c r="AO478" i="3"/>
  <c r="AN478" i="3"/>
  <c r="AE478" i="3"/>
  <c r="AD478" i="3"/>
  <c r="AO477" i="3"/>
  <c r="AN477" i="3"/>
  <c r="AE477" i="3"/>
  <c r="AD477" i="3"/>
  <c r="AO476" i="3"/>
  <c r="AN476" i="3"/>
  <c r="AE476" i="3"/>
  <c r="AD476" i="3"/>
  <c r="AO475" i="3"/>
  <c r="AN475" i="3"/>
  <c r="AE475" i="3"/>
  <c r="AD475" i="3"/>
  <c r="AO474" i="3"/>
  <c r="AN474" i="3"/>
  <c r="AE474" i="3"/>
  <c r="AD474" i="3"/>
  <c r="AO473" i="3"/>
  <c r="AN473" i="3"/>
  <c r="AE473" i="3"/>
  <c r="AD473" i="3"/>
  <c r="AO472" i="3"/>
  <c r="AN472" i="3"/>
  <c r="AE472" i="3"/>
  <c r="AD472" i="3"/>
  <c r="AO471" i="3"/>
  <c r="AN471" i="3"/>
  <c r="AE471" i="3"/>
  <c r="AD471" i="3"/>
  <c r="AO470" i="3"/>
  <c r="AN470" i="3"/>
  <c r="AE470" i="3"/>
  <c r="AD470" i="3"/>
  <c r="AO469" i="3"/>
  <c r="AN469" i="3"/>
  <c r="AE469" i="3"/>
  <c r="AD469" i="3"/>
  <c r="AO468" i="3"/>
  <c r="AN468" i="3"/>
  <c r="AE468" i="3"/>
  <c r="AD468" i="3"/>
  <c r="AO467" i="3"/>
  <c r="AN467" i="3"/>
  <c r="AE467" i="3"/>
  <c r="AD467" i="3"/>
  <c r="AO466" i="3"/>
  <c r="AN466" i="3"/>
  <c r="AE466" i="3"/>
  <c r="AD466" i="3"/>
  <c r="AO465" i="3"/>
  <c r="AN465" i="3"/>
  <c r="AE465" i="3"/>
  <c r="AD465" i="3"/>
  <c r="AO464" i="3"/>
  <c r="AN464" i="3"/>
  <c r="AE464" i="3"/>
  <c r="AD464" i="3"/>
  <c r="AO463" i="3"/>
  <c r="AN463" i="3"/>
  <c r="AE463" i="3"/>
  <c r="AD463" i="3"/>
  <c r="AO462" i="3"/>
  <c r="AN462" i="3"/>
  <c r="AE462" i="3"/>
  <c r="AD462" i="3"/>
  <c r="AO461" i="3"/>
  <c r="AN461" i="3"/>
  <c r="AE461" i="3"/>
  <c r="AD461" i="3"/>
  <c r="AO460" i="3"/>
  <c r="AN460" i="3"/>
  <c r="AE460" i="3"/>
  <c r="AD460" i="3"/>
  <c r="AO459" i="3"/>
  <c r="AN459" i="3"/>
  <c r="AE459" i="3"/>
  <c r="AD459" i="3"/>
  <c r="AO458" i="3"/>
  <c r="AN458" i="3"/>
  <c r="AE458" i="3"/>
  <c r="AD458" i="3"/>
  <c r="AO457" i="3"/>
  <c r="AN457" i="3"/>
  <c r="AE457" i="3"/>
  <c r="AD457" i="3"/>
  <c r="AO456" i="3"/>
  <c r="AN456" i="3"/>
  <c r="AE456" i="3"/>
  <c r="AD456" i="3"/>
  <c r="AO455" i="3"/>
  <c r="AN455" i="3"/>
  <c r="AE455" i="3"/>
  <c r="AD455" i="3"/>
  <c r="AO454" i="3"/>
  <c r="AN454" i="3"/>
  <c r="AE454" i="3"/>
  <c r="AD454" i="3"/>
  <c r="AO453" i="3"/>
  <c r="AN453" i="3"/>
  <c r="AE453" i="3"/>
  <c r="AD453" i="3"/>
  <c r="AO452" i="3"/>
  <c r="AN452" i="3"/>
  <c r="AE452" i="3"/>
  <c r="AD452" i="3"/>
  <c r="AO451" i="3"/>
  <c r="AN451" i="3"/>
  <c r="AE451" i="3"/>
  <c r="AD451" i="3"/>
  <c r="AO450" i="3"/>
  <c r="AN450" i="3"/>
  <c r="AE450" i="3"/>
  <c r="AD450" i="3"/>
  <c r="AO449" i="3"/>
  <c r="AN449" i="3"/>
  <c r="AE449" i="3"/>
  <c r="AD449" i="3"/>
  <c r="AO448" i="3"/>
  <c r="AN448" i="3"/>
  <c r="AE448" i="3"/>
  <c r="AD448" i="3"/>
  <c r="AO447" i="3"/>
  <c r="AN447" i="3"/>
  <c r="AE447" i="3"/>
  <c r="AD447" i="3"/>
  <c r="AO446" i="3"/>
  <c r="AN446" i="3"/>
  <c r="AE446" i="3"/>
  <c r="AD446" i="3"/>
  <c r="AO445" i="3"/>
  <c r="AN445" i="3"/>
  <c r="AE445" i="3"/>
  <c r="AD445" i="3"/>
  <c r="AO444" i="3"/>
  <c r="AN444" i="3"/>
  <c r="AE444" i="3"/>
  <c r="AD444" i="3"/>
  <c r="AO443" i="3"/>
  <c r="AN443" i="3"/>
  <c r="AE443" i="3"/>
  <c r="AD443" i="3"/>
  <c r="AO442" i="3"/>
  <c r="AN442" i="3"/>
  <c r="AE442" i="3"/>
  <c r="AD442" i="3"/>
  <c r="AO441" i="3"/>
  <c r="AN441" i="3"/>
  <c r="AE441" i="3"/>
  <c r="AD441" i="3"/>
  <c r="AO440" i="3"/>
  <c r="AN440" i="3"/>
  <c r="AE440" i="3"/>
  <c r="AD440" i="3"/>
  <c r="AO439" i="3"/>
  <c r="AN439" i="3"/>
  <c r="AE439" i="3"/>
  <c r="AD439" i="3"/>
  <c r="AO438" i="3"/>
  <c r="AN438" i="3"/>
  <c r="AE438" i="3"/>
  <c r="AD438" i="3"/>
  <c r="AO437" i="3"/>
  <c r="AN437" i="3"/>
  <c r="AE437" i="3"/>
  <c r="AD437" i="3"/>
  <c r="AO436" i="3"/>
  <c r="AN436" i="3"/>
  <c r="AE436" i="3"/>
  <c r="AD436" i="3"/>
  <c r="AO435" i="3"/>
  <c r="AN435" i="3"/>
  <c r="AE435" i="3"/>
  <c r="AD435" i="3"/>
  <c r="AO434" i="3"/>
  <c r="AN434" i="3"/>
  <c r="AE434" i="3"/>
  <c r="AD434" i="3"/>
  <c r="AO433" i="3"/>
  <c r="AN433" i="3"/>
  <c r="AE433" i="3"/>
  <c r="AD433" i="3"/>
  <c r="AO432" i="3"/>
  <c r="AN432" i="3"/>
  <c r="AE432" i="3"/>
  <c r="AD432" i="3"/>
  <c r="AO431" i="3"/>
  <c r="AN431" i="3"/>
  <c r="AE431" i="3"/>
  <c r="AD431" i="3"/>
  <c r="AO430" i="3"/>
  <c r="AN430" i="3"/>
  <c r="AE430" i="3"/>
  <c r="AD430" i="3"/>
  <c r="AO429" i="3"/>
  <c r="AN429" i="3"/>
  <c r="AE429" i="3"/>
  <c r="AD429" i="3"/>
  <c r="AO428" i="3"/>
  <c r="AN428" i="3"/>
  <c r="AE428" i="3"/>
  <c r="AD428" i="3"/>
  <c r="AO427" i="3"/>
  <c r="AN427" i="3"/>
  <c r="AE427" i="3"/>
  <c r="AD427" i="3"/>
  <c r="AO426" i="3"/>
  <c r="AN426" i="3"/>
  <c r="AE426" i="3"/>
  <c r="AD426" i="3"/>
  <c r="AO425" i="3"/>
  <c r="AN425" i="3"/>
  <c r="AE425" i="3"/>
  <c r="AD425" i="3"/>
  <c r="AO424" i="3"/>
  <c r="AN424" i="3"/>
  <c r="AE424" i="3"/>
  <c r="AD424" i="3"/>
  <c r="AO423" i="3"/>
  <c r="AN423" i="3"/>
  <c r="AE423" i="3"/>
  <c r="AD423" i="3"/>
  <c r="AO422" i="3"/>
  <c r="AN422" i="3"/>
  <c r="AE422" i="3"/>
  <c r="AD422" i="3"/>
  <c r="AO421" i="3"/>
  <c r="AN421" i="3"/>
  <c r="AE421" i="3"/>
  <c r="AD421" i="3"/>
  <c r="AO420" i="3"/>
  <c r="AN420" i="3"/>
  <c r="AE420" i="3"/>
  <c r="AD420" i="3"/>
  <c r="AO419" i="3"/>
  <c r="AN419" i="3"/>
  <c r="AE419" i="3"/>
  <c r="AD419" i="3"/>
  <c r="AO418" i="3"/>
  <c r="AN418" i="3"/>
  <c r="AE418" i="3"/>
  <c r="AD418" i="3"/>
  <c r="AO417" i="3"/>
  <c r="AN417" i="3"/>
  <c r="AE417" i="3"/>
  <c r="AD417" i="3"/>
  <c r="AO416" i="3"/>
  <c r="AN416" i="3"/>
  <c r="AE416" i="3"/>
  <c r="AD416" i="3"/>
  <c r="AO415" i="3"/>
  <c r="AN415" i="3"/>
  <c r="AE415" i="3"/>
  <c r="AD415" i="3"/>
  <c r="AO414" i="3"/>
  <c r="AN414" i="3"/>
  <c r="AE414" i="3"/>
  <c r="AD414" i="3"/>
  <c r="AO413" i="3"/>
  <c r="AN413" i="3"/>
  <c r="AE413" i="3"/>
  <c r="AD413" i="3"/>
  <c r="AO412" i="3"/>
  <c r="AN412" i="3"/>
  <c r="AE412" i="3"/>
  <c r="AD412" i="3"/>
  <c r="AO411" i="3"/>
  <c r="AN411" i="3"/>
  <c r="AE411" i="3"/>
  <c r="AD411" i="3"/>
  <c r="AO410" i="3"/>
  <c r="AN410" i="3"/>
  <c r="AE410" i="3"/>
  <c r="AD410" i="3"/>
  <c r="AO409" i="3"/>
  <c r="AN409" i="3"/>
  <c r="AE409" i="3"/>
  <c r="AD409" i="3"/>
  <c r="AO408" i="3"/>
  <c r="AN408" i="3"/>
  <c r="AE408" i="3"/>
  <c r="AD408" i="3"/>
  <c r="AO407" i="3"/>
  <c r="AN407" i="3"/>
  <c r="AE407" i="3"/>
  <c r="AD407" i="3"/>
  <c r="AO406" i="3"/>
  <c r="AN406" i="3"/>
  <c r="AE406" i="3"/>
  <c r="AD406" i="3"/>
  <c r="AO405" i="3"/>
  <c r="AN405" i="3"/>
  <c r="AE405" i="3"/>
  <c r="AD405" i="3"/>
  <c r="AO404" i="3"/>
  <c r="AN404" i="3"/>
  <c r="AE404" i="3"/>
  <c r="AD404" i="3"/>
  <c r="AO403" i="3"/>
  <c r="AN403" i="3"/>
  <c r="AE403" i="3"/>
  <c r="AD403" i="3"/>
  <c r="AO402" i="3"/>
  <c r="AN402" i="3"/>
  <c r="AE402" i="3"/>
  <c r="AD402" i="3"/>
  <c r="AO401" i="3"/>
  <c r="AN401" i="3"/>
  <c r="AE401" i="3"/>
  <c r="AD401" i="3"/>
  <c r="AO400" i="3"/>
  <c r="AN400" i="3"/>
  <c r="AE400" i="3"/>
  <c r="AD400" i="3"/>
  <c r="AO399" i="3"/>
  <c r="AN399" i="3"/>
  <c r="AE399" i="3"/>
  <c r="AD399" i="3"/>
  <c r="AO398" i="3"/>
  <c r="AN398" i="3"/>
  <c r="AE398" i="3"/>
  <c r="AD398" i="3"/>
  <c r="AO397" i="3"/>
  <c r="AN397" i="3"/>
  <c r="AE397" i="3"/>
  <c r="AD397" i="3"/>
  <c r="AO396" i="3"/>
  <c r="AN396" i="3"/>
  <c r="AE396" i="3"/>
  <c r="AD396" i="3"/>
  <c r="AO395" i="3"/>
  <c r="AN395" i="3"/>
  <c r="AE395" i="3"/>
  <c r="AD395" i="3"/>
  <c r="AO394" i="3"/>
  <c r="AN394" i="3"/>
  <c r="AE394" i="3"/>
  <c r="AD394" i="3"/>
  <c r="AO393" i="3"/>
  <c r="AN393" i="3"/>
  <c r="AE393" i="3"/>
  <c r="AD393" i="3"/>
  <c r="AO392" i="3"/>
  <c r="AN392" i="3"/>
  <c r="AE392" i="3"/>
  <c r="AD392" i="3"/>
  <c r="AO391" i="3"/>
  <c r="AN391" i="3"/>
  <c r="AE391" i="3"/>
  <c r="AD391" i="3"/>
  <c r="AO390" i="3"/>
  <c r="AN390" i="3"/>
  <c r="AE390" i="3"/>
  <c r="AD390" i="3"/>
  <c r="AO389" i="3"/>
  <c r="AN389" i="3"/>
  <c r="AE389" i="3"/>
  <c r="AD389" i="3"/>
  <c r="AO388" i="3"/>
  <c r="AN388" i="3"/>
  <c r="AE388" i="3"/>
  <c r="AD388" i="3"/>
  <c r="AO387" i="3"/>
  <c r="AN387" i="3"/>
  <c r="AE387" i="3"/>
  <c r="AD387" i="3"/>
  <c r="AO386" i="3"/>
  <c r="AN386" i="3"/>
  <c r="AE386" i="3"/>
  <c r="AD386" i="3"/>
  <c r="AO385" i="3"/>
  <c r="AN385" i="3"/>
  <c r="AE385" i="3"/>
  <c r="AD385" i="3"/>
  <c r="AO384" i="3"/>
  <c r="AN384" i="3"/>
  <c r="AE384" i="3"/>
  <c r="AD384" i="3"/>
  <c r="AO383" i="3"/>
  <c r="AN383" i="3"/>
  <c r="AE383" i="3"/>
  <c r="AD383" i="3"/>
  <c r="AO382" i="3"/>
  <c r="AN382" i="3"/>
  <c r="AE382" i="3"/>
  <c r="AD382" i="3"/>
  <c r="AO381" i="3"/>
  <c r="AN381" i="3"/>
  <c r="AE381" i="3"/>
  <c r="AD381" i="3"/>
  <c r="AO380" i="3"/>
  <c r="AN380" i="3"/>
  <c r="AE380" i="3"/>
  <c r="AD380" i="3"/>
  <c r="AO379" i="3"/>
  <c r="AN379" i="3"/>
  <c r="AE379" i="3"/>
  <c r="AD379" i="3"/>
  <c r="AO378" i="3"/>
  <c r="AN378" i="3"/>
  <c r="AE378" i="3"/>
  <c r="AD378" i="3"/>
  <c r="AO377" i="3"/>
  <c r="AN377" i="3"/>
  <c r="AE377" i="3"/>
  <c r="AD377" i="3"/>
  <c r="AO376" i="3"/>
  <c r="AN376" i="3"/>
  <c r="AE376" i="3"/>
  <c r="AD376" i="3"/>
  <c r="AO375" i="3"/>
  <c r="AN375" i="3"/>
  <c r="AE375" i="3"/>
  <c r="AD375" i="3"/>
  <c r="AO374" i="3"/>
  <c r="AN374" i="3"/>
  <c r="AE374" i="3"/>
  <c r="AD374" i="3"/>
  <c r="AO373" i="3"/>
  <c r="AN373" i="3"/>
  <c r="AE373" i="3"/>
  <c r="AD373" i="3"/>
  <c r="AO372" i="3"/>
  <c r="AN372" i="3"/>
  <c r="AE372" i="3"/>
  <c r="AD372" i="3"/>
  <c r="AO371" i="3"/>
  <c r="AN371" i="3"/>
  <c r="AE371" i="3"/>
  <c r="AD371" i="3"/>
  <c r="AO370" i="3"/>
  <c r="AN370" i="3"/>
  <c r="AE370" i="3"/>
  <c r="AD370" i="3"/>
  <c r="AO369" i="3"/>
  <c r="AN369" i="3"/>
  <c r="AE369" i="3"/>
  <c r="AD369" i="3"/>
  <c r="AO368" i="3"/>
  <c r="AN368" i="3"/>
  <c r="AE368" i="3"/>
  <c r="AD368" i="3"/>
  <c r="AO367" i="3"/>
  <c r="AN367" i="3"/>
  <c r="AE367" i="3"/>
  <c r="AD367" i="3"/>
  <c r="AO366" i="3"/>
  <c r="AN366" i="3"/>
  <c r="AE366" i="3"/>
  <c r="AD366" i="3"/>
  <c r="AO365" i="3"/>
  <c r="AN365" i="3"/>
  <c r="AE365" i="3"/>
  <c r="AD365" i="3"/>
  <c r="AO364" i="3"/>
  <c r="AN364" i="3"/>
  <c r="AE364" i="3"/>
  <c r="AD364" i="3"/>
  <c r="AO363" i="3"/>
  <c r="AN363" i="3"/>
  <c r="AE363" i="3"/>
  <c r="AD363" i="3"/>
  <c r="AO362" i="3"/>
  <c r="AN362" i="3"/>
  <c r="AE362" i="3"/>
  <c r="AD362" i="3"/>
  <c r="AO361" i="3"/>
  <c r="AN361" i="3"/>
  <c r="AE361" i="3"/>
  <c r="AD361" i="3"/>
  <c r="AO360" i="3"/>
  <c r="AN360" i="3"/>
  <c r="AE360" i="3"/>
  <c r="AD360" i="3"/>
  <c r="AO359" i="3"/>
  <c r="AN359" i="3"/>
  <c r="AE359" i="3"/>
  <c r="AD359" i="3"/>
  <c r="AO358" i="3"/>
  <c r="AN358" i="3"/>
  <c r="AE358" i="3"/>
  <c r="AD358" i="3"/>
  <c r="AO357" i="3"/>
  <c r="AN357" i="3"/>
  <c r="AE357" i="3"/>
  <c r="AD357" i="3"/>
  <c r="AO356" i="3"/>
  <c r="AN356" i="3"/>
  <c r="AE356" i="3"/>
  <c r="AD356" i="3"/>
  <c r="AO355" i="3"/>
  <c r="AN355" i="3"/>
  <c r="AE355" i="3"/>
  <c r="AD355" i="3"/>
  <c r="AO354" i="3"/>
  <c r="AN354" i="3"/>
  <c r="AE354" i="3"/>
  <c r="AD354" i="3"/>
  <c r="AO353" i="3"/>
  <c r="AN353" i="3"/>
  <c r="AE353" i="3"/>
  <c r="AD353" i="3"/>
  <c r="AO352" i="3"/>
  <c r="AN352" i="3"/>
  <c r="AE352" i="3"/>
  <c r="AD352" i="3"/>
  <c r="AO351" i="3"/>
  <c r="AN351" i="3"/>
  <c r="AE351" i="3"/>
  <c r="AD351" i="3"/>
  <c r="AO350" i="3"/>
  <c r="AN350" i="3"/>
  <c r="AE350" i="3"/>
  <c r="AD350" i="3"/>
  <c r="AO349" i="3"/>
  <c r="AN349" i="3"/>
  <c r="AE349" i="3"/>
  <c r="AD349" i="3"/>
  <c r="AO348" i="3"/>
  <c r="AN348" i="3"/>
  <c r="AE348" i="3"/>
  <c r="AD348" i="3"/>
  <c r="AO347" i="3"/>
  <c r="AN347" i="3"/>
  <c r="AE347" i="3"/>
  <c r="AD347" i="3"/>
  <c r="AO346" i="3"/>
  <c r="AN346" i="3"/>
  <c r="AE346" i="3"/>
  <c r="AD346" i="3"/>
  <c r="AO345" i="3"/>
  <c r="AN345" i="3"/>
  <c r="AE345" i="3"/>
  <c r="AD345" i="3"/>
  <c r="AO344" i="3"/>
  <c r="AN344" i="3"/>
  <c r="AE344" i="3"/>
  <c r="AD344" i="3"/>
  <c r="AO343" i="3"/>
  <c r="AN343" i="3"/>
  <c r="AE343" i="3"/>
  <c r="AD343" i="3"/>
  <c r="AO342" i="3"/>
  <c r="AN342" i="3"/>
  <c r="AE342" i="3"/>
  <c r="AD342" i="3"/>
  <c r="AO341" i="3"/>
  <c r="AN341" i="3"/>
  <c r="AE341" i="3"/>
  <c r="AD341" i="3"/>
  <c r="AO340" i="3"/>
  <c r="AN340" i="3"/>
  <c r="AE340" i="3"/>
  <c r="AD340" i="3"/>
  <c r="AO339" i="3"/>
  <c r="AN339" i="3"/>
  <c r="AE339" i="3"/>
  <c r="AD339" i="3"/>
  <c r="AO338" i="3"/>
  <c r="AN338" i="3"/>
  <c r="AE338" i="3"/>
  <c r="AD338" i="3"/>
  <c r="AO337" i="3"/>
  <c r="AN337" i="3"/>
  <c r="AE337" i="3"/>
  <c r="AD337" i="3"/>
  <c r="AO336" i="3"/>
  <c r="AN336" i="3"/>
  <c r="AE336" i="3"/>
  <c r="AD336" i="3"/>
  <c r="AO335" i="3"/>
  <c r="AN335" i="3"/>
  <c r="AE335" i="3"/>
  <c r="AD335" i="3"/>
  <c r="AO334" i="3"/>
  <c r="AN334" i="3"/>
  <c r="AE334" i="3"/>
  <c r="AD334" i="3"/>
  <c r="AO333" i="3"/>
  <c r="AN333" i="3"/>
  <c r="AE333" i="3"/>
  <c r="AD333" i="3"/>
  <c r="AO332" i="3"/>
  <c r="AN332" i="3"/>
  <c r="AE332" i="3"/>
  <c r="AD332" i="3"/>
  <c r="AO331" i="3"/>
  <c r="AN331" i="3"/>
  <c r="AE331" i="3"/>
  <c r="AD331" i="3"/>
  <c r="AO330" i="3"/>
  <c r="AN330" i="3"/>
  <c r="AE330" i="3"/>
  <c r="AD330" i="3"/>
  <c r="AO329" i="3"/>
  <c r="AN329" i="3"/>
  <c r="AE329" i="3"/>
  <c r="AD329" i="3"/>
  <c r="AO328" i="3"/>
  <c r="AN328" i="3"/>
  <c r="AE328" i="3"/>
  <c r="AD328" i="3"/>
  <c r="AO327" i="3"/>
  <c r="AN327" i="3"/>
  <c r="AE327" i="3"/>
  <c r="AD327" i="3"/>
  <c r="AO326" i="3"/>
  <c r="AN326" i="3"/>
  <c r="AE326" i="3"/>
  <c r="AD326" i="3"/>
  <c r="AO325" i="3"/>
  <c r="AN325" i="3"/>
  <c r="AE325" i="3"/>
  <c r="AD325" i="3"/>
  <c r="AO324" i="3"/>
  <c r="AN324" i="3"/>
  <c r="AE324" i="3"/>
  <c r="AD324" i="3"/>
  <c r="AO323" i="3"/>
  <c r="AN323" i="3"/>
  <c r="AE323" i="3"/>
  <c r="AD323" i="3"/>
  <c r="AO322" i="3"/>
  <c r="AN322" i="3"/>
  <c r="AE322" i="3"/>
  <c r="AD322" i="3"/>
  <c r="AO321" i="3"/>
  <c r="AN321" i="3"/>
  <c r="AE321" i="3"/>
  <c r="AD321" i="3"/>
  <c r="AO320" i="3"/>
  <c r="AN320" i="3"/>
  <c r="AE320" i="3"/>
  <c r="AD320" i="3"/>
  <c r="AO319" i="3"/>
  <c r="AN319" i="3"/>
  <c r="AE319" i="3"/>
  <c r="AD319" i="3"/>
  <c r="AO318" i="3"/>
  <c r="AN318" i="3"/>
  <c r="AE318" i="3"/>
  <c r="AD318" i="3"/>
  <c r="AO317" i="3"/>
  <c r="AN317" i="3"/>
  <c r="AE317" i="3"/>
  <c r="AD317" i="3"/>
  <c r="AO316" i="3"/>
  <c r="AN316" i="3"/>
  <c r="AE316" i="3"/>
  <c r="AD316" i="3"/>
  <c r="AO315" i="3"/>
  <c r="AN315" i="3"/>
  <c r="AE315" i="3"/>
  <c r="AD315" i="3"/>
  <c r="AO314" i="3"/>
  <c r="AN314" i="3"/>
  <c r="AE314" i="3"/>
  <c r="AD314" i="3"/>
  <c r="AO313" i="3"/>
  <c r="AN313" i="3"/>
  <c r="AE313" i="3"/>
  <c r="AD313" i="3"/>
  <c r="AO312" i="3"/>
  <c r="AN312" i="3"/>
  <c r="AE312" i="3"/>
  <c r="AD312" i="3"/>
  <c r="AO311" i="3"/>
  <c r="AN311" i="3"/>
  <c r="AE311" i="3"/>
  <c r="AD311" i="3"/>
  <c r="AO310" i="3"/>
  <c r="AN310" i="3"/>
  <c r="AE310" i="3"/>
  <c r="AD310" i="3"/>
  <c r="AO309" i="3"/>
  <c r="AN309" i="3"/>
  <c r="AE309" i="3"/>
  <c r="AD309" i="3"/>
  <c r="AO308" i="3"/>
  <c r="AN308" i="3"/>
  <c r="AE308" i="3"/>
  <c r="AD308" i="3"/>
  <c r="AO307" i="3"/>
  <c r="AN307" i="3"/>
  <c r="AE307" i="3"/>
  <c r="AD307" i="3"/>
  <c r="AO306" i="3"/>
  <c r="AN306" i="3"/>
  <c r="AE306" i="3"/>
  <c r="AD306" i="3"/>
  <c r="AO305" i="3"/>
  <c r="AN305" i="3"/>
  <c r="AE305" i="3"/>
  <c r="AD305" i="3"/>
  <c r="AO304" i="3"/>
  <c r="AN304" i="3"/>
  <c r="AE304" i="3"/>
  <c r="AD304" i="3"/>
  <c r="AO303" i="3"/>
  <c r="AN303" i="3"/>
  <c r="AE303" i="3"/>
  <c r="AD303" i="3"/>
  <c r="AO302" i="3"/>
  <c r="AN302" i="3"/>
  <c r="AE302" i="3"/>
  <c r="AD302" i="3"/>
  <c r="AO301" i="3"/>
  <c r="AN301" i="3"/>
  <c r="AE301" i="3"/>
  <c r="AD301" i="3"/>
  <c r="AO300" i="3"/>
  <c r="AN300" i="3"/>
  <c r="AE300" i="3"/>
  <c r="AD300" i="3"/>
  <c r="AO299" i="3"/>
  <c r="AN299" i="3"/>
  <c r="AE299" i="3"/>
  <c r="AD299" i="3"/>
  <c r="AO298" i="3"/>
  <c r="AN298" i="3"/>
  <c r="AE298" i="3"/>
  <c r="AD298" i="3"/>
  <c r="AO297" i="3"/>
  <c r="AN297" i="3"/>
  <c r="AE297" i="3"/>
  <c r="AD297" i="3"/>
  <c r="AO296" i="3"/>
  <c r="AN296" i="3"/>
  <c r="AE296" i="3"/>
  <c r="AD296" i="3"/>
  <c r="AO295" i="3"/>
  <c r="AN295" i="3"/>
  <c r="AE295" i="3"/>
  <c r="AD295" i="3"/>
  <c r="AO294" i="3"/>
  <c r="AN294" i="3"/>
  <c r="AE294" i="3"/>
  <c r="AD294" i="3"/>
  <c r="AO293" i="3"/>
  <c r="AN293" i="3"/>
  <c r="AE293" i="3"/>
  <c r="AD293" i="3"/>
  <c r="AO292" i="3"/>
  <c r="AN292" i="3"/>
  <c r="AE292" i="3"/>
  <c r="AD292" i="3"/>
  <c r="AO291" i="3"/>
  <c r="AN291" i="3"/>
  <c r="AE291" i="3"/>
  <c r="AD291" i="3"/>
  <c r="AO290" i="3"/>
  <c r="AN290" i="3"/>
  <c r="AE290" i="3"/>
  <c r="AD290" i="3"/>
  <c r="AO289" i="3"/>
  <c r="AN289" i="3"/>
  <c r="AE289" i="3"/>
  <c r="AD289" i="3"/>
  <c r="AO288" i="3"/>
  <c r="AN288" i="3"/>
  <c r="AE288" i="3"/>
  <c r="AD288" i="3"/>
  <c r="AO287" i="3"/>
  <c r="AN287" i="3"/>
  <c r="AE287" i="3"/>
  <c r="AD287" i="3"/>
  <c r="AO286" i="3"/>
  <c r="AN286" i="3"/>
  <c r="AE286" i="3"/>
  <c r="AD286" i="3"/>
  <c r="AO285" i="3"/>
  <c r="AN285" i="3"/>
  <c r="AE285" i="3"/>
  <c r="AD285" i="3"/>
  <c r="AO284" i="3"/>
  <c r="AN284" i="3"/>
  <c r="AE284" i="3"/>
  <c r="AD284" i="3"/>
  <c r="AO283" i="3"/>
  <c r="AN283" i="3"/>
  <c r="AE283" i="3"/>
  <c r="AD283" i="3"/>
  <c r="AO282" i="3"/>
  <c r="AN282" i="3"/>
  <c r="AE282" i="3"/>
  <c r="AD282" i="3"/>
  <c r="AO281" i="3"/>
  <c r="AN281" i="3"/>
  <c r="AE281" i="3"/>
  <c r="AD281" i="3"/>
  <c r="AO280" i="3"/>
  <c r="AN280" i="3"/>
  <c r="AE280" i="3"/>
  <c r="AD280" i="3"/>
  <c r="AO279" i="3"/>
  <c r="AN279" i="3"/>
  <c r="AE279" i="3"/>
  <c r="AD279" i="3"/>
  <c r="AO278" i="3"/>
  <c r="AN278" i="3"/>
  <c r="AE278" i="3"/>
  <c r="AD278" i="3"/>
  <c r="AO277" i="3"/>
  <c r="AN277" i="3"/>
  <c r="AE277" i="3"/>
  <c r="AD277" i="3"/>
  <c r="AO276" i="3"/>
  <c r="AN276" i="3"/>
  <c r="AE276" i="3"/>
  <c r="AD276" i="3"/>
  <c r="AO275" i="3"/>
  <c r="AN275" i="3"/>
  <c r="AE275" i="3"/>
  <c r="AD275" i="3"/>
  <c r="AO274" i="3"/>
  <c r="AN274" i="3"/>
  <c r="AE274" i="3"/>
  <c r="AD274" i="3"/>
  <c r="AO273" i="3"/>
  <c r="AN273" i="3"/>
  <c r="AE273" i="3"/>
  <c r="AD273" i="3"/>
  <c r="AO272" i="3"/>
  <c r="AN272" i="3"/>
  <c r="AE272" i="3"/>
  <c r="AD272" i="3"/>
  <c r="AO271" i="3"/>
  <c r="AN271" i="3"/>
  <c r="AE271" i="3"/>
  <c r="AD271" i="3"/>
  <c r="AO270" i="3"/>
  <c r="AN270" i="3"/>
  <c r="AE270" i="3"/>
  <c r="AD270" i="3"/>
  <c r="AO269" i="3"/>
  <c r="AN269" i="3"/>
  <c r="AE269" i="3"/>
  <c r="AD269" i="3"/>
  <c r="AO268" i="3"/>
  <c r="AN268" i="3"/>
  <c r="AE268" i="3"/>
  <c r="AD268" i="3"/>
  <c r="AO267" i="3"/>
  <c r="AN267" i="3"/>
  <c r="AE267" i="3"/>
  <c r="AD267" i="3"/>
  <c r="AO266" i="3"/>
  <c r="AN266" i="3"/>
  <c r="AE266" i="3"/>
  <c r="AD266" i="3"/>
  <c r="AO265" i="3"/>
  <c r="AN265" i="3"/>
  <c r="AE265" i="3"/>
  <c r="AD265" i="3"/>
  <c r="AO264" i="3"/>
  <c r="AN264" i="3"/>
  <c r="AE264" i="3"/>
  <c r="AD264" i="3"/>
  <c r="AO263" i="3"/>
  <c r="AN263" i="3"/>
  <c r="AE263" i="3"/>
  <c r="AD263" i="3"/>
  <c r="AO262" i="3"/>
  <c r="AN262" i="3"/>
  <c r="AE262" i="3"/>
  <c r="AD262" i="3"/>
  <c r="AO261" i="3"/>
  <c r="AN261" i="3"/>
  <c r="AE261" i="3"/>
  <c r="AD261" i="3"/>
  <c r="AO260" i="3"/>
  <c r="AN260" i="3"/>
  <c r="AE260" i="3"/>
  <c r="AD260" i="3"/>
  <c r="AO259" i="3"/>
  <c r="AN259" i="3"/>
  <c r="AE259" i="3"/>
  <c r="AD259" i="3"/>
  <c r="AO258" i="3"/>
  <c r="AN258" i="3"/>
  <c r="AE258" i="3"/>
  <c r="AD258" i="3"/>
  <c r="AO257" i="3"/>
  <c r="AN257" i="3"/>
  <c r="AE257" i="3"/>
  <c r="AD257" i="3"/>
  <c r="AO256" i="3"/>
  <c r="AN256" i="3"/>
  <c r="AE256" i="3"/>
  <c r="AD256" i="3"/>
  <c r="AO255" i="3"/>
  <c r="AN255" i="3"/>
  <c r="AE255" i="3"/>
  <c r="AD255" i="3"/>
  <c r="AO254" i="3"/>
  <c r="AN254" i="3"/>
  <c r="AE254" i="3"/>
  <c r="AD254" i="3"/>
  <c r="AO253" i="3"/>
  <c r="AN253" i="3"/>
  <c r="AE253" i="3"/>
  <c r="AD253" i="3"/>
  <c r="AO252" i="3"/>
  <c r="AN252" i="3"/>
  <c r="AE252" i="3"/>
  <c r="AD252" i="3"/>
  <c r="AO251" i="3"/>
  <c r="AN251" i="3"/>
  <c r="AE251" i="3"/>
  <c r="AD251" i="3"/>
  <c r="AO250" i="3"/>
  <c r="AN250" i="3"/>
  <c r="AE250" i="3"/>
  <c r="AD250" i="3"/>
  <c r="AO249" i="3"/>
  <c r="AN249" i="3"/>
  <c r="AE249" i="3"/>
  <c r="AD249" i="3"/>
  <c r="AO248" i="3"/>
  <c r="AN248" i="3"/>
  <c r="AE248" i="3"/>
  <c r="AD248" i="3"/>
  <c r="AO247" i="3"/>
  <c r="AN247" i="3"/>
  <c r="AE247" i="3"/>
  <c r="AD247" i="3"/>
  <c r="AO246" i="3"/>
  <c r="AN246" i="3"/>
  <c r="AE246" i="3"/>
  <c r="AD246" i="3"/>
  <c r="AO245" i="3"/>
  <c r="AN245" i="3"/>
  <c r="AE245" i="3"/>
  <c r="AD245" i="3"/>
  <c r="AO244" i="3"/>
  <c r="AN244" i="3"/>
  <c r="AE244" i="3"/>
  <c r="AD244" i="3"/>
  <c r="AO243" i="3"/>
  <c r="AN243" i="3"/>
  <c r="AE243" i="3"/>
  <c r="AD243" i="3"/>
  <c r="AO242" i="3"/>
  <c r="AN242" i="3"/>
  <c r="AE242" i="3"/>
  <c r="AD242" i="3"/>
  <c r="AO241" i="3"/>
  <c r="AN241" i="3"/>
  <c r="AE241" i="3"/>
  <c r="AD241" i="3"/>
  <c r="AO240" i="3"/>
  <c r="AN240" i="3"/>
  <c r="AE240" i="3"/>
  <c r="AD240" i="3"/>
  <c r="AO239" i="3"/>
  <c r="AN239" i="3"/>
  <c r="AE239" i="3"/>
  <c r="AD239" i="3"/>
  <c r="AO238" i="3"/>
  <c r="AN238" i="3"/>
  <c r="AE238" i="3"/>
  <c r="AD238" i="3"/>
  <c r="AO237" i="3"/>
  <c r="AN237" i="3"/>
  <c r="AE237" i="3"/>
  <c r="AD237" i="3"/>
  <c r="AO236" i="3"/>
  <c r="AN236" i="3"/>
  <c r="AE236" i="3"/>
  <c r="AD236" i="3"/>
  <c r="AO235" i="3"/>
  <c r="AN235" i="3"/>
  <c r="AE235" i="3"/>
  <c r="AD235" i="3"/>
  <c r="AO234" i="3"/>
  <c r="AN234" i="3"/>
  <c r="AE234" i="3"/>
  <c r="AD234" i="3"/>
  <c r="AO233" i="3"/>
  <c r="AN233" i="3"/>
  <c r="AE233" i="3"/>
  <c r="AD233" i="3"/>
  <c r="AO232" i="3"/>
  <c r="AN232" i="3"/>
  <c r="AE232" i="3"/>
  <c r="AD232" i="3"/>
  <c r="AO231" i="3"/>
  <c r="AN231" i="3"/>
  <c r="AE231" i="3"/>
  <c r="AD231" i="3"/>
  <c r="AO230" i="3"/>
  <c r="AN230" i="3"/>
  <c r="AE230" i="3"/>
  <c r="AD230" i="3"/>
  <c r="AO229" i="3"/>
  <c r="AN229" i="3"/>
  <c r="AE229" i="3"/>
  <c r="AD229" i="3"/>
  <c r="AO228" i="3"/>
  <c r="AN228" i="3"/>
  <c r="AE228" i="3"/>
  <c r="AD228" i="3"/>
  <c r="AO227" i="3"/>
  <c r="AN227" i="3"/>
  <c r="AE227" i="3"/>
  <c r="AD227" i="3"/>
  <c r="AO226" i="3"/>
  <c r="AN226" i="3"/>
  <c r="AE226" i="3"/>
  <c r="AD226" i="3"/>
  <c r="AO225" i="3"/>
  <c r="AN225" i="3"/>
  <c r="AE225" i="3"/>
  <c r="AD225" i="3"/>
  <c r="AO224" i="3"/>
  <c r="AN224" i="3"/>
  <c r="AE224" i="3"/>
  <c r="AD224" i="3"/>
  <c r="AO223" i="3"/>
  <c r="AN223" i="3"/>
  <c r="AE223" i="3"/>
  <c r="AD223" i="3"/>
  <c r="AO222" i="3"/>
  <c r="AN222" i="3"/>
  <c r="AE222" i="3"/>
  <c r="AD222" i="3"/>
  <c r="AO221" i="3"/>
  <c r="AN221" i="3"/>
  <c r="AE221" i="3"/>
  <c r="AD221" i="3"/>
  <c r="AO220" i="3"/>
  <c r="AN220" i="3"/>
  <c r="AE220" i="3"/>
  <c r="AD220" i="3"/>
  <c r="AO219" i="3"/>
  <c r="AN219" i="3"/>
  <c r="AE219" i="3"/>
  <c r="AD219" i="3"/>
  <c r="AO218" i="3"/>
  <c r="AN218" i="3"/>
  <c r="AE218" i="3"/>
  <c r="AD218" i="3"/>
  <c r="AO217" i="3"/>
  <c r="AN217" i="3"/>
  <c r="AE217" i="3"/>
  <c r="AD217" i="3"/>
  <c r="AO216" i="3"/>
  <c r="AN216" i="3"/>
  <c r="AE216" i="3"/>
  <c r="AD216" i="3"/>
  <c r="AO215" i="3"/>
  <c r="AN215" i="3"/>
  <c r="AE215" i="3"/>
  <c r="AD215" i="3"/>
  <c r="AO214" i="3"/>
  <c r="AN214" i="3"/>
  <c r="AE214" i="3"/>
  <c r="AD214" i="3"/>
  <c r="AO213" i="3"/>
  <c r="AN213" i="3"/>
  <c r="AE213" i="3"/>
  <c r="AD213" i="3"/>
  <c r="AO212" i="3"/>
  <c r="AN212" i="3"/>
  <c r="AE212" i="3"/>
  <c r="AD212" i="3"/>
  <c r="AO211" i="3"/>
  <c r="AN211" i="3"/>
  <c r="AE211" i="3"/>
  <c r="AD211" i="3"/>
  <c r="AO210" i="3"/>
  <c r="AN210" i="3"/>
  <c r="AE210" i="3"/>
  <c r="AD210" i="3"/>
  <c r="AO209" i="3"/>
  <c r="AN209" i="3"/>
  <c r="AE209" i="3"/>
  <c r="AD209" i="3"/>
  <c r="AO208" i="3"/>
  <c r="AN208" i="3"/>
  <c r="AE208" i="3"/>
  <c r="AD208" i="3"/>
  <c r="AO207" i="3"/>
  <c r="AN207" i="3"/>
  <c r="AE207" i="3"/>
  <c r="AD207" i="3"/>
  <c r="AO206" i="3"/>
  <c r="AN206" i="3"/>
  <c r="AE206" i="3"/>
  <c r="AD206" i="3"/>
  <c r="AO205" i="3"/>
  <c r="AN205" i="3"/>
  <c r="AE205" i="3"/>
  <c r="AD205" i="3"/>
  <c r="AO204" i="3"/>
  <c r="AN204" i="3"/>
  <c r="AE204" i="3"/>
  <c r="AD204" i="3"/>
  <c r="AO203" i="3"/>
  <c r="AN203" i="3"/>
  <c r="AE203" i="3"/>
  <c r="AD203" i="3"/>
  <c r="AO202" i="3"/>
  <c r="AN202" i="3"/>
  <c r="AE202" i="3"/>
  <c r="AD202" i="3"/>
  <c r="AO201" i="3"/>
  <c r="AN201" i="3"/>
  <c r="AE201" i="3"/>
  <c r="AD201" i="3"/>
  <c r="AO200" i="3"/>
  <c r="AN200" i="3"/>
  <c r="AE200" i="3"/>
  <c r="AD200" i="3"/>
  <c r="AO199" i="3"/>
  <c r="AN199" i="3"/>
  <c r="AE199" i="3"/>
  <c r="AD199" i="3"/>
  <c r="AO198" i="3"/>
  <c r="AN198" i="3"/>
  <c r="AE198" i="3"/>
  <c r="AD198" i="3"/>
  <c r="AO197" i="3"/>
  <c r="AN197" i="3"/>
  <c r="AE197" i="3"/>
  <c r="AD197" i="3"/>
  <c r="AO196" i="3"/>
  <c r="AN196" i="3"/>
  <c r="AE196" i="3"/>
  <c r="AD196" i="3"/>
  <c r="AO195" i="3"/>
  <c r="AN195" i="3"/>
  <c r="AE195" i="3"/>
  <c r="AD195" i="3"/>
  <c r="AO194" i="3"/>
  <c r="AN194" i="3"/>
  <c r="AE194" i="3"/>
  <c r="AD194" i="3"/>
  <c r="AO193" i="3"/>
  <c r="AN193" i="3"/>
  <c r="AE193" i="3"/>
  <c r="AD193" i="3"/>
  <c r="AO192" i="3"/>
  <c r="AN192" i="3"/>
  <c r="AE192" i="3"/>
  <c r="AD192" i="3"/>
  <c r="AO191" i="3"/>
  <c r="AN191" i="3"/>
  <c r="AE191" i="3"/>
  <c r="AD191" i="3"/>
  <c r="AO190" i="3"/>
  <c r="AN190" i="3"/>
  <c r="AE190" i="3"/>
  <c r="AD190" i="3"/>
  <c r="AO189" i="3"/>
  <c r="AN189" i="3"/>
  <c r="AE189" i="3"/>
  <c r="AD189" i="3"/>
  <c r="AO188" i="3"/>
  <c r="AN188" i="3"/>
  <c r="AE188" i="3"/>
  <c r="AD188" i="3"/>
  <c r="AO187" i="3"/>
  <c r="AN187" i="3"/>
  <c r="AE187" i="3"/>
  <c r="AD187" i="3"/>
  <c r="AO186" i="3"/>
  <c r="AN186" i="3"/>
  <c r="AE186" i="3"/>
  <c r="AD186" i="3"/>
  <c r="AO185" i="3"/>
  <c r="AN185" i="3"/>
  <c r="AE185" i="3"/>
  <c r="AD185" i="3"/>
  <c r="AO184" i="3"/>
  <c r="AN184" i="3"/>
  <c r="AE184" i="3"/>
  <c r="AD184" i="3"/>
  <c r="AO183" i="3"/>
  <c r="AN183" i="3"/>
  <c r="AE183" i="3"/>
  <c r="AD183" i="3"/>
  <c r="AO182" i="3"/>
  <c r="AN182" i="3"/>
  <c r="AE182" i="3"/>
  <c r="AD182" i="3"/>
  <c r="AO181" i="3"/>
  <c r="AN181" i="3"/>
  <c r="AE181" i="3"/>
  <c r="AD181" i="3"/>
  <c r="AO180" i="3"/>
  <c r="AN180" i="3"/>
  <c r="AE180" i="3"/>
  <c r="AD180" i="3"/>
  <c r="AO179" i="3"/>
  <c r="AN179" i="3"/>
  <c r="AE179" i="3"/>
  <c r="AD179" i="3"/>
  <c r="AO178" i="3"/>
  <c r="AN178" i="3"/>
  <c r="AE178" i="3"/>
  <c r="AD178" i="3"/>
  <c r="AO177" i="3"/>
  <c r="AN177" i="3"/>
  <c r="AE177" i="3"/>
  <c r="AD177" i="3"/>
  <c r="AO176" i="3"/>
  <c r="AN176" i="3"/>
  <c r="AE176" i="3"/>
  <c r="AD176" i="3"/>
  <c r="AO175" i="3"/>
  <c r="AN175" i="3"/>
  <c r="AE175" i="3"/>
  <c r="AD175" i="3"/>
  <c r="AO174" i="3"/>
  <c r="AN174" i="3"/>
  <c r="AE174" i="3"/>
  <c r="AD174" i="3"/>
  <c r="AO173" i="3"/>
  <c r="AN173" i="3"/>
  <c r="AE173" i="3"/>
  <c r="AD173" i="3"/>
  <c r="AO172" i="3"/>
  <c r="AN172" i="3"/>
  <c r="AE172" i="3"/>
  <c r="AD172" i="3"/>
  <c r="AO171" i="3"/>
  <c r="AN171" i="3"/>
  <c r="AE171" i="3"/>
  <c r="AD171" i="3"/>
  <c r="AO170" i="3"/>
  <c r="AN170" i="3"/>
  <c r="AE170" i="3"/>
  <c r="AD170" i="3"/>
  <c r="AO169" i="3"/>
  <c r="AN169" i="3"/>
  <c r="AE169" i="3"/>
  <c r="AD169" i="3"/>
  <c r="AO168" i="3"/>
  <c r="AN168" i="3"/>
  <c r="AE168" i="3"/>
  <c r="AD168" i="3"/>
  <c r="AO167" i="3"/>
  <c r="AN167" i="3"/>
  <c r="AE167" i="3"/>
  <c r="AD167" i="3"/>
  <c r="AO166" i="3"/>
  <c r="AN166" i="3"/>
  <c r="AE166" i="3"/>
  <c r="AD166" i="3"/>
  <c r="AO165" i="3"/>
  <c r="AN165" i="3"/>
  <c r="AE165" i="3"/>
  <c r="AD165" i="3"/>
  <c r="AO164" i="3"/>
  <c r="AN164" i="3"/>
  <c r="AE164" i="3"/>
  <c r="AD164" i="3"/>
  <c r="AO163" i="3"/>
  <c r="AN163" i="3"/>
  <c r="AE163" i="3"/>
  <c r="AD163" i="3"/>
  <c r="AO162" i="3"/>
  <c r="AN162" i="3"/>
  <c r="AE162" i="3"/>
  <c r="AD162" i="3"/>
  <c r="AO161" i="3"/>
  <c r="AN161" i="3"/>
  <c r="AE161" i="3"/>
  <c r="AD161" i="3"/>
  <c r="AO160" i="3"/>
  <c r="AN160" i="3"/>
  <c r="AE160" i="3"/>
  <c r="AD160" i="3"/>
  <c r="AO159" i="3"/>
  <c r="AN159" i="3"/>
  <c r="AE159" i="3"/>
  <c r="AD159" i="3"/>
  <c r="AO158" i="3"/>
  <c r="AN158" i="3"/>
  <c r="AE158" i="3"/>
  <c r="AD158" i="3"/>
  <c r="AO157" i="3"/>
  <c r="AN157" i="3"/>
  <c r="AE157" i="3"/>
  <c r="AD157" i="3"/>
  <c r="AO156" i="3"/>
  <c r="AN156" i="3"/>
  <c r="AE156" i="3"/>
  <c r="AD156" i="3"/>
  <c r="AO155" i="3"/>
  <c r="AN155" i="3"/>
  <c r="AE155" i="3"/>
  <c r="AD155" i="3"/>
  <c r="AO154" i="3"/>
  <c r="AN154" i="3"/>
  <c r="AE154" i="3"/>
  <c r="AD154" i="3"/>
  <c r="AO153" i="3"/>
  <c r="AN153" i="3"/>
  <c r="AE153" i="3"/>
  <c r="AD153" i="3"/>
  <c r="AO152" i="3"/>
  <c r="AN152" i="3"/>
  <c r="AE152" i="3"/>
  <c r="AD152" i="3"/>
  <c r="AO151" i="3"/>
  <c r="AN151" i="3"/>
  <c r="AE151" i="3"/>
  <c r="AD151" i="3"/>
  <c r="AO150" i="3"/>
  <c r="AN150" i="3"/>
  <c r="AE150" i="3"/>
  <c r="AD150" i="3"/>
  <c r="AO149" i="3"/>
  <c r="AN149" i="3"/>
  <c r="AE149" i="3"/>
  <c r="AD149" i="3"/>
  <c r="AO148" i="3"/>
  <c r="AN148" i="3"/>
  <c r="AE148" i="3"/>
  <c r="AD148" i="3"/>
  <c r="AO147" i="3"/>
  <c r="AN147" i="3"/>
  <c r="AE147" i="3"/>
  <c r="AD147" i="3"/>
  <c r="AO146" i="3"/>
  <c r="AN146" i="3"/>
  <c r="AE146" i="3"/>
  <c r="AD146" i="3"/>
  <c r="AO145" i="3"/>
  <c r="AN145" i="3"/>
  <c r="AE145" i="3"/>
  <c r="AD145" i="3"/>
  <c r="AO144" i="3"/>
  <c r="AN144" i="3"/>
  <c r="AE144" i="3"/>
  <c r="AD144" i="3"/>
  <c r="AO143" i="3"/>
  <c r="AN143" i="3"/>
  <c r="AE143" i="3"/>
  <c r="AD143" i="3"/>
  <c r="AO142" i="3"/>
  <c r="AN142" i="3"/>
  <c r="AE142" i="3"/>
  <c r="AD142" i="3"/>
  <c r="AO141" i="3"/>
  <c r="AN141" i="3"/>
  <c r="AE141" i="3"/>
  <c r="AD141" i="3"/>
  <c r="AO140" i="3"/>
  <c r="AN140" i="3"/>
  <c r="AE140" i="3"/>
  <c r="AD140" i="3"/>
  <c r="AO139" i="3"/>
  <c r="AN139" i="3"/>
  <c r="AE139" i="3"/>
  <c r="AD139" i="3"/>
  <c r="AO138" i="3"/>
  <c r="AN138" i="3"/>
  <c r="AE138" i="3"/>
  <c r="AD138" i="3"/>
  <c r="AO137" i="3"/>
  <c r="AN137" i="3"/>
  <c r="AE137" i="3"/>
  <c r="AD137" i="3"/>
  <c r="AO136" i="3"/>
  <c r="AN136" i="3"/>
  <c r="AE136" i="3"/>
  <c r="AD136" i="3"/>
  <c r="AO135" i="3"/>
  <c r="AN135" i="3"/>
  <c r="AE135" i="3"/>
  <c r="AD135" i="3"/>
  <c r="AO134" i="3"/>
  <c r="AN134" i="3"/>
  <c r="AE134" i="3"/>
  <c r="AD134" i="3"/>
  <c r="AO133" i="3"/>
  <c r="AN133" i="3"/>
  <c r="AE133" i="3"/>
  <c r="AD133" i="3"/>
  <c r="AO132" i="3"/>
  <c r="AN132" i="3"/>
  <c r="AE132" i="3"/>
  <c r="AD132" i="3"/>
  <c r="AO131" i="3"/>
  <c r="AN131" i="3"/>
  <c r="AE131" i="3"/>
  <c r="AD131" i="3"/>
  <c r="AO130" i="3"/>
  <c r="AN130" i="3"/>
  <c r="AE130" i="3"/>
  <c r="AD130" i="3"/>
  <c r="AO129" i="3"/>
  <c r="AN129" i="3"/>
  <c r="AE129" i="3"/>
  <c r="AD129" i="3"/>
  <c r="AO128" i="3"/>
  <c r="AN128" i="3"/>
  <c r="AE128" i="3"/>
  <c r="AD128" i="3"/>
  <c r="AO127" i="3"/>
  <c r="AN127" i="3"/>
  <c r="AE127" i="3"/>
  <c r="AD127" i="3"/>
  <c r="AO126" i="3"/>
  <c r="AN126" i="3"/>
  <c r="AE126" i="3"/>
  <c r="AD126" i="3"/>
  <c r="AO125" i="3"/>
  <c r="AN125" i="3"/>
  <c r="AE125" i="3"/>
  <c r="AD125" i="3"/>
  <c r="AO124" i="3"/>
  <c r="AN124" i="3"/>
  <c r="AE124" i="3"/>
  <c r="AD124" i="3"/>
  <c r="AO123" i="3"/>
  <c r="AN123" i="3"/>
  <c r="AE123" i="3"/>
  <c r="AD123" i="3"/>
  <c r="AO122" i="3"/>
  <c r="AN122" i="3"/>
  <c r="AE122" i="3"/>
  <c r="AD122" i="3"/>
  <c r="AO121" i="3"/>
  <c r="AN121" i="3"/>
  <c r="AE121" i="3"/>
  <c r="AD121" i="3"/>
  <c r="AO120" i="3"/>
  <c r="AN120" i="3"/>
  <c r="AE120" i="3"/>
  <c r="AD120" i="3"/>
  <c r="AO119" i="3"/>
  <c r="AN119" i="3"/>
  <c r="AE119" i="3"/>
  <c r="AD119" i="3"/>
  <c r="AO118" i="3"/>
  <c r="AN118" i="3"/>
  <c r="AE118" i="3"/>
  <c r="AD118" i="3"/>
  <c r="AO117" i="3"/>
  <c r="AN117" i="3"/>
  <c r="AE117" i="3"/>
  <c r="AD117" i="3"/>
  <c r="AO116" i="3"/>
  <c r="AN116" i="3"/>
  <c r="AE116" i="3"/>
  <c r="AD116" i="3"/>
  <c r="AO115" i="3"/>
  <c r="AN115" i="3"/>
  <c r="AE115" i="3"/>
  <c r="AD115" i="3"/>
  <c r="AO114" i="3"/>
  <c r="AN114" i="3"/>
  <c r="AE114" i="3"/>
  <c r="AD114" i="3"/>
  <c r="AO113" i="3"/>
  <c r="AN113" i="3"/>
  <c r="AE113" i="3"/>
  <c r="AD113" i="3"/>
  <c r="AO112" i="3"/>
  <c r="AN112" i="3"/>
  <c r="AE112" i="3"/>
  <c r="AD112" i="3"/>
  <c r="AO111" i="3"/>
  <c r="AN111" i="3"/>
  <c r="AE111" i="3"/>
  <c r="AD111" i="3"/>
  <c r="AO110" i="3"/>
  <c r="AN110" i="3"/>
  <c r="AE110" i="3"/>
  <c r="AD110" i="3"/>
  <c r="AO109" i="3"/>
  <c r="AN109" i="3"/>
  <c r="AE109" i="3"/>
  <c r="AD109" i="3"/>
  <c r="AO108" i="3"/>
  <c r="AN108" i="3"/>
  <c r="AE108" i="3"/>
  <c r="AD108" i="3"/>
  <c r="AO107" i="3"/>
  <c r="AN107" i="3"/>
  <c r="AE107" i="3"/>
  <c r="AD107" i="3"/>
  <c r="AO106" i="3"/>
  <c r="AN106" i="3"/>
  <c r="AE106" i="3"/>
  <c r="AD106" i="3"/>
  <c r="AO105" i="3"/>
  <c r="AN105" i="3"/>
  <c r="AE105" i="3"/>
  <c r="AD105" i="3"/>
  <c r="AO104" i="3"/>
  <c r="AN104" i="3"/>
  <c r="AE104" i="3"/>
  <c r="AD104" i="3"/>
  <c r="AO103" i="3"/>
  <c r="AN103" i="3"/>
  <c r="AE103" i="3"/>
  <c r="AD103" i="3"/>
  <c r="AO102" i="3"/>
  <c r="AN102" i="3"/>
  <c r="AE102" i="3"/>
  <c r="AD102" i="3"/>
  <c r="AO101" i="3"/>
  <c r="AN101" i="3"/>
  <c r="AE101" i="3"/>
  <c r="AD101" i="3"/>
  <c r="AO100" i="3"/>
  <c r="AN100" i="3"/>
  <c r="AE100" i="3"/>
  <c r="AD100" i="3"/>
  <c r="AO99" i="3"/>
  <c r="AN99" i="3"/>
  <c r="AE99" i="3"/>
  <c r="AD99" i="3"/>
  <c r="AO98" i="3"/>
  <c r="AN98" i="3"/>
  <c r="AE98" i="3"/>
  <c r="AD98" i="3"/>
  <c r="AO97" i="3"/>
  <c r="AN97" i="3"/>
  <c r="AE97" i="3"/>
  <c r="AD97" i="3"/>
  <c r="AO96" i="3"/>
  <c r="AN96" i="3"/>
  <c r="AE96" i="3"/>
  <c r="AD96" i="3"/>
  <c r="AO95" i="3"/>
  <c r="AN95" i="3"/>
  <c r="AE95" i="3"/>
  <c r="AD95" i="3"/>
  <c r="AO94" i="3"/>
  <c r="AN94" i="3"/>
  <c r="AE94" i="3"/>
  <c r="AD94" i="3"/>
  <c r="AO93" i="3"/>
  <c r="AN93" i="3"/>
  <c r="AE93" i="3"/>
  <c r="AD93" i="3"/>
  <c r="AO92" i="3"/>
  <c r="AN92" i="3"/>
  <c r="AE92" i="3"/>
  <c r="AD92" i="3"/>
  <c r="AO91" i="3"/>
  <c r="AN91" i="3"/>
  <c r="AE91" i="3"/>
  <c r="AD91" i="3"/>
  <c r="AO90" i="3"/>
  <c r="AN90" i="3"/>
  <c r="AE90" i="3"/>
  <c r="AD90" i="3"/>
  <c r="AO89" i="3"/>
  <c r="AN89" i="3"/>
  <c r="AE89" i="3"/>
  <c r="AD89" i="3"/>
  <c r="AO88" i="3"/>
  <c r="AN88" i="3"/>
  <c r="AE88" i="3"/>
  <c r="AD88" i="3"/>
  <c r="AO87" i="3"/>
  <c r="AN87" i="3"/>
  <c r="AE87" i="3"/>
  <c r="AD87" i="3"/>
  <c r="AO86" i="3"/>
  <c r="AN86" i="3"/>
  <c r="AE86" i="3"/>
  <c r="AD86" i="3"/>
  <c r="AO85" i="3"/>
  <c r="AN85" i="3"/>
  <c r="AE85" i="3"/>
  <c r="AD85" i="3"/>
  <c r="AO84" i="3"/>
  <c r="AN84" i="3"/>
  <c r="AE84" i="3"/>
  <c r="AD84" i="3"/>
  <c r="AO83" i="3"/>
  <c r="AN83" i="3"/>
  <c r="AE83" i="3"/>
  <c r="AD83" i="3"/>
  <c r="AO82" i="3"/>
  <c r="AN82" i="3"/>
  <c r="AE82" i="3"/>
  <c r="AD82" i="3"/>
  <c r="AO81" i="3"/>
  <c r="AN81" i="3"/>
  <c r="AE81" i="3"/>
  <c r="AD81" i="3"/>
  <c r="AO80" i="3"/>
  <c r="AN80" i="3"/>
  <c r="AE80" i="3"/>
  <c r="AD80" i="3"/>
  <c r="AO79" i="3"/>
  <c r="AN79" i="3"/>
  <c r="AE79" i="3"/>
  <c r="AD79" i="3"/>
  <c r="AO78" i="3"/>
  <c r="AN78" i="3"/>
  <c r="AE78" i="3"/>
  <c r="AD78" i="3"/>
  <c r="AO77" i="3"/>
  <c r="AN77" i="3"/>
  <c r="AE77" i="3"/>
  <c r="AD77" i="3"/>
  <c r="AO76" i="3"/>
  <c r="AN76" i="3"/>
  <c r="AE76" i="3"/>
  <c r="AD76" i="3"/>
  <c r="AO75" i="3"/>
  <c r="AN75" i="3"/>
  <c r="AE75" i="3"/>
  <c r="AD75" i="3"/>
  <c r="AO74" i="3"/>
  <c r="AN74" i="3"/>
  <c r="AE74" i="3"/>
  <c r="AD74" i="3"/>
  <c r="AO73" i="3"/>
  <c r="AN73" i="3"/>
  <c r="AE73" i="3"/>
  <c r="AD73" i="3"/>
  <c r="AO72" i="3"/>
  <c r="AN72" i="3"/>
  <c r="AE72" i="3"/>
  <c r="AD72" i="3"/>
  <c r="AO71" i="3"/>
  <c r="AN71" i="3"/>
  <c r="AE71" i="3"/>
  <c r="AD71" i="3"/>
  <c r="AO70" i="3"/>
  <c r="AN70" i="3"/>
  <c r="AE70" i="3"/>
  <c r="AD70" i="3"/>
  <c r="AO69" i="3"/>
  <c r="AN69" i="3"/>
  <c r="AE69" i="3"/>
  <c r="AD69" i="3"/>
  <c r="AO68" i="3"/>
  <c r="AN68" i="3"/>
  <c r="AE68" i="3"/>
  <c r="AD68" i="3"/>
  <c r="AO67" i="3"/>
  <c r="AN67" i="3"/>
  <c r="AE67" i="3"/>
  <c r="AD67" i="3"/>
  <c r="AO66" i="3"/>
  <c r="AN66" i="3"/>
  <c r="AE66" i="3"/>
  <c r="AD66" i="3"/>
  <c r="AO65" i="3"/>
  <c r="AN65" i="3"/>
  <c r="AE65" i="3"/>
  <c r="AD65" i="3"/>
  <c r="AO64" i="3"/>
  <c r="AN64" i="3"/>
  <c r="AE64" i="3"/>
  <c r="AD64" i="3"/>
  <c r="AO63" i="3"/>
  <c r="AN63" i="3"/>
  <c r="AE63" i="3"/>
  <c r="AD63" i="3"/>
  <c r="AO62" i="3"/>
  <c r="AN62" i="3"/>
  <c r="AE62" i="3"/>
  <c r="AD62" i="3"/>
  <c r="AO61" i="3"/>
  <c r="AN61" i="3"/>
  <c r="AE61" i="3"/>
  <c r="AD61" i="3"/>
  <c r="AO60" i="3"/>
  <c r="AN60" i="3"/>
  <c r="AE60" i="3"/>
  <c r="AD60" i="3"/>
  <c r="AO59" i="3"/>
  <c r="AN59" i="3"/>
  <c r="AE59" i="3"/>
  <c r="AD59" i="3"/>
  <c r="AO58" i="3"/>
  <c r="AN58" i="3"/>
  <c r="AE58" i="3"/>
  <c r="AD58" i="3"/>
  <c r="AO57" i="3"/>
  <c r="AN57" i="3"/>
  <c r="AE57" i="3"/>
  <c r="AD57" i="3"/>
  <c r="AO56" i="3"/>
  <c r="AN56" i="3"/>
  <c r="AE56" i="3"/>
  <c r="AD56" i="3"/>
  <c r="AO55" i="3"/>
  <c r="AN55" i="3"/>
  <c r="AE55" i="3"/>
  <c r="AD55" i="3"/>
  <c r="AO54" i="3"/>
  <c r="AN54" i="3"/>
  <c r="AE54" i="3"/>
  <c r="AD54" i="3"/>
  <c r="AO53" i="3"/>
  <c r="AN53" i="3"/>
  <c r="AE53" i="3"/>
  <c r="AD53" i="3"/>
  <c r="AO52" i="3"/>
  <c r="AN52" i="3"/>
  <c r="AE52" i="3"/>
  <c r="AD52" i="3"/>
  <c r="AO51" i="3"/>
  <c r="AN51" i="3"/>
  <c r="AE51" i="3"/>
  <c r="AD51" i="3"/>
  <c r="AO50" i="3"/>
  <c r="AN50" i="3"/>
  <c r="AE50" i="3"/>
  <c r="AD50" i="3"/>
  <c r="AO49" i="3"/>
  <c r="AN49" i="3"/>
  <c r="AE49" i="3"/>
  <c r="AD49" i="3"/>
  <c r="AO48" i="3"/>
  <c r="AN48" i="3"/>
  <c r="AE48" i="3"/>
  <c r="AD48" i="3"/>
  <c r="AO47" i="3"/>
  <c r="AN47" i="3"/>
  <c r="AE47" i="3"/>
  <c r="AD47" i="3"/>
  <c r="AO46" i="3"/>
  <c r="AN46" i="3"/>
  <c r="AE46" i="3"/>
  <c r="AD46" i="3"/>
  <c r="AO45" i="3"/>
  <c r="AN45" i="3"/>
  <c r="AE45" i="3"/>
  <c r="AD45" i="3"/>
  <c r="AO44" i="3"/>
  <c r="AN44" i="3"/>
  <c r="AE44" i="3"/>
  <c r="AD44" i="3"/>
  <c r="AO43" i="3"/>
  <c r="AN43" i="3"/>
  <c r="AE43" i="3"/>
  <c r="AD43" i="3"/>
  <c r="AO42" i="3"/>
  <c r="AN42" i="3"/>
  <c r="AE42" i="3"/>
  <c r="AD42" i="3"/>
  <c r="AO41" i="3"/>
  <c r="AN41" i="3"/>
  <c r="AE41" i="3"/>
  <c r="AD41" i="3"/>
  <c r="AO40" i="3"/>
  <c r="AN40" i="3"/>
  <c r="AE40" i="3"/>
  <c r="AD40" i="3"/>
  <c r="AO39" i="3"/>
  <c r="AN39" i="3"/>
  <c r="AE39" i="3"/>
  <c r="AD39" i="3"/>
  <c r="AO38" i="3"/>
  <c r="AN38" i="3"/>
  <c r="AE38" i="3"/>
  <c r="AD38" i="3"/>
  <c r="AO37" i="3"/>
  <c r="AN37" i="3"/>
  <c r="AE37" i="3"/>
  <c r="AD37" i="3"/>
  <c r="AO36" i="3"/>
  <c r="AN36" i="3"/>
  <c r="AE36" i="3"/>
  <c r="AD36" i="3"/>
  <c r="AO35" i="3"/>
  <c r="AN35" i="3"/>
  <c r="AE35" i="3"/>
  <c r="AD35" i="3"/>
  <c r="AO34" i="3"/>
  <c r="AN34" i="3"/>
  <c r="AE34" i="3"/>
  <c r="AD34" i="3"/>
  <c r="AO33" i="3"/>
  <c r="AN33" i="3"/>
  <c r="AE33" i="3"/>
  <c r="AD33" i="3"/>
  <c r="AO32" i="3"/>
  <c r="AN32" i="3"/>
  <c r="AE32" i="3"/>
  <c r="AD32" i="3"/>
  <c r="AO31" i="3"/>
  <c r="AN31" i="3"/>
  <c r="AE31" i="3"/>
  <c r="AD31" i="3"/>
  <c r="AO30" i="3"/>
  <c r="AN30" i="3"/>
  <c r="AE30" i="3"/>
  <c r="AD30" i="3"/>
  <c r="AO29" i="3"/>
  <c r="AN29" i="3"/>
  <c r="AE29" i="3"/>
  <c r="AD29" i="3"/>
  <c r="AO28" i="3"/>
  <c r="AN28" i="3"/>
  <c r="AE28" i="3"/>
  <c r="AD28" i="3"/>
  <c r="AO27" i="3"/>
  <c r="AN27" i="3"/>
  <c r="AE27" i="3"/>
  <c r="AD27" i="3"/>
  <c r="AO26" i="3"/>
  <c r="AN26" i="3"/>
  <c r="AE26" i="3"/>
  <c r="AD26" i="3"/>
  <c r="AO25" i="3"/>
  <c r="AN25" i="3"/>
  <c r="AE25" i="3"/>
  <c r="AD25" i="3"/>
  <c r="AO24" i="3"/>
  <c r="AN24" i="3"/>
  <c r="AE24" i="3"/>
  <c r="AD24" i="3"/>
  <c r="AO23" i="3"/>
  <c r="AN23" i="3"/>
  <c r="AE23" i="3"/>
  <c r="AD23" i="3"/>
  <c r="AO22" i="3"/>
  <c r="AN22" i="3"/>
  <c r="AE22" i="3"/>
  <c r="AD22" i="3"/>
  <c r="AO21" i="3"/>
  <c r="AN21" i="3"/>
  <c r="AE21" i="3"/>
  <c r="AD21" i="3"/>
  <c r="AO20" i="3"/>
  <c r="AN20" i="3"/>
  <c r="AE20" i="3"/>
  <c r="AD20" i="3"/>
  <c r="AO19" i="3"/>
  <c r="AN19" i="3"/>
  <c r="AE19" i="3"/>
  <c r="AD19" i="3"/>
  <c r="AO18" i="3"/>
  <c r="AN18" i="3"/>
  <c r="AE18" i="3"/>
  <c r="AD18" i="3"/>
  <c r="AO17" i="3"/>
  <c r="AN17" i="3"/>
  <c r="AE17" i="3"/>
  <c r="AD17" i="3"/>
  <c r="AO16" i="3"/>
  <c r="AN16" i="3"/>
  <c r="AE16" i="3"/>
  <c r="AD16" i="3"/>
  <c r="AO15" i="3"/>
  <c r="AN15" i="3"/>
  <c r="AE15" i="3"/>
  <c r="AD15" i="3"/>
  <c r="AO14" i="3"/>
  <c r="AN14" i="3"/>
  <c r="AE14" i="3"/>
  <c r="AD14" i="3"/>
  <c r="AO13" i="3"/>
  <c r="AN13" i="3"/>
  <c r="AE13" i="3"/>
  <c r="AD13" i="3"/>
  <c r="AO12" i="3"/>
  <c r="AN12" i="3"/>
  <c r="AE12" i="3"/>
  <c r="AD12" i="3"/>
  <c r="AO11" i="3"/>
  <c r="AN11" i="3"/>
  <c r="AE11" i="3"/>
  <c r="AD11" i="3"/>
  <c r="AO10" i="3"/>
  <c r="AN10" i="3"/>
  <c r="AE10" i="3"/>
  <c r="AD10" i="3"/>
  <c r="AO9" i="3"/>
  <c r="AN9" i="3"/>
  <c r="AE9" i="3"/>
  <c r="AD9" i="3"/>
  <c r="AO8" i="3"/>
  <c r="AN8" i="3"/>
  <c r="AE8" i="3"/>
  <c r="AD8" i="3"/>
  <c r="AO7" i="3"/>
  <c r="AN7" i="3"/>
  <c r="AE7" i="3"/>
  <c r="AD7" i="3"/>
  <c r="AO6" i="3"/>
  <c r="AN6" i="3"/>
  <c r="AE6" i="3"/>
  <c r="AD6" i="3"/>
  <c r="AO5" i="3"/>
  <c r="AN5" i="3"/>
  <c r="AE5" i="3"/>
  <c r="AD5" i="3"/>
  <c r="AO4" i="3"/>
  <c r="AN4" i="3"/>
  <c r="AE4" i="3"/>
  <c r="AD4" i="3"/>
  <c r="AO3" i="3"/>
  <c r="AN3" i="3"/>
  <c r="AE3" i="3"/>
  <c r="AD3" i="3"/>
  <c r="AO2" i="3"/>
  <c r="AN2" i="3"/>
  <c r="AE2" i="3"/>
  <c r="AD2" i="3"/>
  <c r="L59" i="2"/>
  <c r="I59" i="2"/>
  <c r="F59" i="2"/>
  <c r="BC501" i="3"/>
  <c r="BB501" i="3"/>
  <c r="BC500" i="3"/>
  <c r="BB500" i="3"/>
  <c r="BC499" i="3"/>
  <c r="BB499" i="3"/>
  <c r="BC498" i="3"/>
  <c r="BB498" i="3"/>
  <c r="BC497" i="3"/>
  <c r="BB497" i="3"/>
  <c r="BC496" i="3"/>
  <c r="BB496" i="3"/>
  <c r="BC495" i="3"/>
  <c r="BB495" i="3"/>
  <c r="BC494" i="3"/>
  <c r="BB494" i="3"/>
  <c r="BC493" i="3"/>
  <c r="BB493" i="3"/>
  <c r="BC492" i="3"/>
  <c r="BB492" i="3"/>
  <c r="BC491" i="3"/>
  <c r="BB491" i="3"/>
  <c r="BC490" i="3"/>
  <c r="BB490" i="3"/>
  <c r="BC489" i="3"/>
  <c r="BB489" i="3"/>
  <c r="BC488" i="3"/>
  <c r="BB488" i="3"/>
  <c r="BC487" i="3"/>
  <c r="BB487" i="3"/>
  <c r="BC486" i="3"/>
  <c r="BB486" i="3"/>
  <c r="BC485" i="3"/>
  <c r="BB485" i="3"/>
  <c r="BC484" i="3"/>
  <c r="BB484" i="3"/>
  <c r="BC483" i="3"/>
  <c r="BB483" i="3"/>
  <c r="BC482" i="3"/>
  <c r="BB482" i="3"/>
  <c r="BC481" i="3"/>
  <c r="BB481" i="3"/>
  <c r="BC480" i="3"/>
  <c r="BB480" i="3"/>
  <c r="BC479" i="3"/>
  <c r="BB479" i="3"/>
  <c r="BC478" i="3"/>
  <c r="BB478" i="3"/>
  <c r="BC477" i="3"/>
  <c r="BB477" i="3"/>
  <c r="BC476" i="3"/>
  <c r="BB476" i="3"/>
  <c r="BC475" i="3"/>
  <c r="BB475" i="3"/>
  <c r="BC474" i="3"/>
  <c r="BB474" i="3"/>
  <c r="BC473" i="3"/>
  <c r="BB473" i="3"/>
  <c r="BC472" i="3"/>
  <c r="BB472" i="3"/>
  <c r="BC471" i="3"/>
  <c r="BB471" i="3"/>
  <c r="BC470" i="3"/>
  <c r="BB470" i="3"/>
  <c r="BC469" i="3"/>
  <c r="BB469" i="3"/>
  <c r="BC468" i="3"/>
  <c r="BB468" i="3"/>
  <c r="BC467" i="3"/>
  <c r="BB467" i="3"/>
  <c r="BC466" i="3"/>
  <c r="BB466" i="3"/>
  <c r="BC465" i="3"/>
  <c r="BB465" i="3"/>
  <c r="BC464" i="3"/>
  <c r="BB464" i="3"/>
  <c r="BC463" i="3"/>
  <c r="BB463" i="3"/>
  <c r="BC462" i="3"/>
  <c r="BB462" i="3"/>
  <c r="BC461" i="3"/>
  <c r="BB461" i="3"/>
  <c r="BC460" i="3"/>
  <c r="BB460" i="3"/>
  <c r="BC459" i="3"/>
  <c r="BB459" i="3"/>
  <c r="BC458" i="3"/>
  <c r="BB458" i="3"/>
  <c r="BC457" i="3"/>
  <c r="BB457" i="3"/>
  <c r="BC456" i="3"/>
  <c r="BB456" i="3"/>
  <c r="BC455" i="3"/>
  <c r="BB455" i="3"/>
  <c r="BC454" i="3"/>
  <c r="BB454" i="3"/>
  <c r="BC453" i="3"/>
  <c r="BB453" i="3"/>
  <c r="BC452" i="3"/>
  <c r="BB452" i="3"/>
  <c r="BC451" i="3"/>
  <c r="BB451" i="3"/>
  <c r="BC450" i="3"/>
  <c r="BB450" i="3"/>
  <c r="BC449" i="3"/>
  <c r="BB449" i="3"/>
  <c r="BC448" i="3"/>
  <c r="BB448" i="3"/>
  <c r="BC447" i="3"/>
  <c r="BB447" i="3"/>
  <c r="BC446" i="3"/>
  <c r="BB446" i="3"/>
  <c r="BC445" i="3"/>
  <c r="BB445" i="3"/>
  <c r="BC444" i="3"/>
  <c r="BB444" i="3"/>
  <c r="BC443" i="3"/>
  <c r="BB443" i="3"/>
  <c r="BC442" i="3"/>
  <c r="BB442" i="3"/>
  <c r="BC441" i="3"/>
  <c r="BB441" i="3"/>
  <c r="BC440" i="3"/>
  <c r="BB440" i="3"/>
  <c r="BC439" i="3"/>
  <c r="BB439" i="3"/>
  <c r="BC438" i="3"/>
  <c r="BB438" i="3"/>
  <c r="BC437" i="3"/>
  <c r="BB437" i="3"/>
  <c r="BC436" i="3"/>
  <c r="BB436" i="3"/>
  <c r="BC435" i="3"/>
  <c r="BB435" i="3"/>
  <c r="BC434" i="3"/>
  <c r="BB434" i="3"/>
  <c r="BC433" i="3"/>
  <c r="BB433" i="3"/>
  <c r="BC432" i="3"/>
  <c r="BB432" i="3"/>
  <c r="BC431" i="3"/>
  <c r="BB431" i="3"/>
  <c r="BC430" i="3"/>
  <c r="BB430" i="3"/>
  <c r="BC429" i="3"/>
  <c r="BB429" i="3"/>
  <c r="BC428" i="3"/>
  <c r="BB428" i="3"/>
  <c r="BC427" i="3"/>
  <c r="BB427" i="3"/>
  <c r="BC426" i="3"/>
  <c r="BB426" i="3"/>
  <c r="BC425" i="3"/>
  <c r="BB425" i="3"/>
  <c r="BC424" i="3"/>
  <c r="BB424" i="3"/>
  <c r="BC423" i="3"/>
  <c r="BB423" i="3"/>
  <c r="BC422" i="3"/>
  <c r="BB422" i="3"/>
  <c r="BC421" i="3"/>
  <c r="BB421" i="3"/>
  <c r="BC420" i="3"/>
  <c r="BB420" i="3"/>
  <c r="BC419" i="3"/>
  <c r="BB419" i="3"/>
  <c r="BC418" i="3"/>
  <c r="BB418" i="3"/>
  <c r="BC417" i="3"/>
  <c r="BB417" i="3"/>
  <c r="BC416" i="3"/>
  <c r="BB416" i="3"/>
  <c r="BC415" i="3"/>
  <c r="BB415" i="3"/>
  <c r="BC414" i="3"/>
  <c r="BB414" i="3"/>
  <c r="BC413" i="3"/>
  <c r="BB413" i="3"/>
  <c r="BC412" i="3"/>
  <c r="BB412" i="3"/>
  <c r="BC411" i="3"/>
  <c r="BB411" i="3"/>
  <c r="BC410" i="3"/>
  <c r="BB410" i="3"/>
  <c r="BC409" i="3"/>
  <c r="BB409" i="3"/>
  <c r="BC408" i="3"/>
  <c r="BB408" i="3"/>
  <c r="BC407" i="3"/>
  <c r="BB407" i="3"/>
  <c r="BC406" i="3"/>
  <c r="BB406" i="3"/>
  <c r="BC405" i="3"/>
  <c r="BB405" i="3"/>
  <c r="BC404" i="3"/>
  <c r="BB404" i="3"/>
  <c r="BC403" i="3"/>
  <c r="BB403" i="3"/>
  <c r="BC402" i="3"/>
  <c r="BB402" i="3"/>
  <c r="BC401" i="3"/>
  <c r="BB401" i="3"/>
  <c r="BC400" i="3"/>
  <c r="BB400" i="3"/>
  <c r="BC399" i="3"/>
  <c r="BB399" i="3"/>
  <c r="BC398" i="3"/>
  <c r="BB398" i="3"/>
  <c r="BC397" i="3"/>
  <c r="BB397" i="3"/>
  <c r="BC396" i="3"/>
  <c r="BB396" i="3"/>
  <c r="BC395" i="3"/>
  <c r="BB395" i="3"/>
  <c r="BC394" i="3"/>
  <c r="BB394" i="3"/>
  <c r="BC393" i="3"/>
  <c r="BB393" i="3"/>
  <c r="BC392" i="3"/>
  <c r="BB392" i="3"/>
  <c r="BC391" i="3"/>
  <c r="BB391" i="3"/>
  <c r="BC390" i="3"/>
  <c r="BB390" i="3"/>
  <c r="BC389" i="3"/>
  <c r="BB389" i="3"/>
  <c r="BC388" i="3"/>
  <c r="BB388" i="3"/>
  <c r="BC387" i="3"/>
  <c r="BB387" i="3"/>
  <c r="BC386" i="3"/>
  <c r="BB386" i="3"/>
  <c r="BC385" i="3"/>
  <c r="BB385" i="3"/>
  <c r="BC384" i="3"/>
  <c r="BB384" i="3"/>
  <c r="BC383" i="3"/>
  <c r="BB383" i="3"/>
  <c r="BC382" i="3"/>
  <c r="BB382" i="3"/>
  <c r="BC381" i="3"/>
  <c r="BB381" i="3"/>
  <c r="BC380" i="3"/>
  <c r="BB380" i="3"/>
  <c r="BC379" i="3"/>
  <c r="BB379" i="3"/>
  <c r="BC378" i="3"/>
  <c r="BB378" i="3"/>
  <c r="BC377" i="3"/>
  <c r="BB377" i="3"/>
  <c r="BC376" i="3"/>
  <c r="BB376" i="3"/>
  <c r="BC375" i="3"/>
  <c r="BB375" i="3"/>
  <c r="BC374" i="3"/>
  <c r="BB374" i="3"/>
  <c r="BC373" i="3"/>
  <c r="BB373" i="3"/>
  <c r="BC372" i="3"/>
  <c r="BB372" i="3"/>
  <c r="BC371" i="3"/>
  <c r="BB371" i="3"/>
  <c r="BC370" i="3"/>
  <c r="BB370" i="3"/>
  <c r="BC369" i="3"/>
  <c r="BB369" i="3"/>
  <c r="BC368" i="3"/>
  <c r="BB368" i="3"/>
  <c r="BC367" i="3"/>
  <c r="BB367" i="3"/>
  <c r="BC366" i="3"/>
  <c r="BB366" i="3"/>
  <c r="BC365" i="3"/>
  <c r="BB365" i="3"/>
  <c r="BC364" i="3"/>
  <c r="BB364" i="3"/>
  <c r="BC363" i="3"/>
  <c r="BB363" i="3"/>
  <c r="BC362" i="3"/>
  <c r="BB362" i="3"/>
  <c r="BC361" i="3"/>
  <c r="BB361" i="3"/>
  <c r="BC360" i="3"/>
  <c r="BB360" i="3"/>
  <c r="BC359" i="3"/>
  <c r="BB359" i="3"/>
  <c r="BC358" i="3"/>
  <c r="BB358" i="3"/>
  <c r="BC357" i="3"/>
  <c r="BB357" i="3"/>
  <c r="BC356" i="3"/>
  <c r="BB356" i="3"/>
  <c r="BC355" i="3"/>
  <c r="BB355" i="3"/>
  <c r="BC354" i="3"/>
  <c r="BB354" i="3"/>
  <c r="BC353" i="3"/>
  <c r="BB353" i="3"/>
  <c r="BC352" i="3"/>
  <c r="BB352" i="3"/>
  <c r="BC351" i="3"/>
  <c r="BB351" i="3"/>
  <c r="BC350" i="3"/>
  <c r="BB350" i="3"/>
  <c r="BC349" i="3"/>
  <c r="BB349" i="3"/>
  <c r="BC348" i="3"/>
  <c r="BB348" i="3"/>
  <c r="BC347" i="3"/>
  <c r="BB347" i="3"/>
  <c r="BC346" i="3"/>
  <c r="BB346" i="3"/>
  <c r="BC345" i="3"/>
  <c r="BB345" i="3"/>
  <c r="BC344" i="3"/>
  <c r="BB344" i="3"/>
  <c r="BC343" i="3"/>
  <c r="BB343" i="3"/>
  <c r="BC342" i="3"/>
  <c r="BB342" i="3"/>
  <c r="BC341" i="3"/>
  <c r="BB341" i="3"/>
  <c r="BC340" i="3"/>
  <c r="BB340" i="3"/>
  <c r="BC339" i="3"/>
  <c r="BB339" i="3"/>
  <c r="BC338" i="3"/>
  <c r="BB338" i="3"/>
  <c r="BC337" i="3"/>
  <c r="BB337" i="3"/>
  <c r="BC336" i="3"/>
  <c r="BB336" i="3"/>
  <c r="BC335" i="3"/>
  <c r="BB335" i="3"/>
  <c r="BC334" i="3"/>
  <c r="BB334" i="3"/>
  <c r="BC333" i="3"/>
  <c r="BB333" i="3"/>
  <c r="BC332" i="3"/>
  <c r="BB332" i="3"/>
  <c r="BC331" i="3"/>
  <c r="BB331" i="3"/>
  <c r="BC330" i="3"/>
  <c r="BB330" i="3"/>
  <c r="BC329" i="3"/>
  <c r="BB329" i="3"/>
  <c r="BC328" i="3"/>
  <c r="BB328" i="3"/>
  <c r="BC327" i="3"/>
  <c r="BB327" i="3"/>
  <c r="BC326" i="3"/>
  <c r="BB326" i="3"/>
  <c r="BC325" i="3"/>
  <c r="BB325" i="3"/>
  <c r="BC324" i="3"/>
  <c r="BB324" i="3"/>
  <c r="BC323" i="3"/>
  <c r="BB323" i="3"/>
  <c r="BC322" i="3"/>
  <c r="BB322" i="3"/>
  <c r="BC321" i="3"/>
  <c r="BB321" i="3"/>
  <c r="BC320" i="3"/>
  <c r="BB320" i="3"/>
  <c r="BC319" i="3"/>
  <c r="BB319" i="3"/>
  <c r="BC318" i="3"/>
  <c r="BB318" i="3"/>
  <c r="BC317" i="3"/>
  <c r="BB317" i="3"/>
  <c r="BC316" i="3"/>
  <c r="BB316" i="3"/>
  <c r="BC315" i="3"/>
  <c r="BB315" i="3"/>
  <c r="BC314" i="3"/>
  <c r="BB314" i="3"/>
  <c r="BC313" i="3"/>
  <c r="BB313" i="3"/>
  <c r="BC312" i="3"/>
  <c r="BB312" i="3"/>
  <c r="BC311" i="3"/>
  <c r="BB311" i="3"/>
  <c r="BC310" i="3"/>
  <c r="BB310" i="3"/>
  <c r="BC309" i="3"/>
  <c r="BB309" i="3"/>
  <c r="BC308" i="3"/>
  <c r="BB308" i="3"/>
  <c r="BC307" i="3"/>
  <c r="BB307" i="3"/>
  <c r="BC306" i="3"/>
  <c r="BB306" i="3"/>
  <c r="BC305" i="3"/>
  <c r="BB305" i="3"/>
  <c r="BC304" i="3"/>
  <c r="BB304" i="3"/>
  <c r="BC303" i="3"/>
  <c r="BB303" i="3"/>
  <c r="BC302" i="3"/>
  <c r="BB302" i="3"/>
  <c r="BC301" i="3"/>
  <c r="BB301" i="3"/>
  <c r="BC300" i="3"/>
  <c r="BB300" i="3"/>
  <c r="BC299" i="3"/>
  <c r="BB299" i="3"/>
  <c r="BC298" i="3"/>
  <c r="BB298" i="3"/>
  <c r="BC297" i="3"/>
  <c r="BB297" i="3"/>
  <c r="BC296" i="3"/>
  <c r="BB296" i="3"/>
  <c r="BC295" i="3"/>
  <c r="BB295" i="3"/>
  <c r="BC294" i="3"/>
  <c r="BB294" i="3"/>
  <c r="BC293" i="3"/>
  <c r="BB293" i="3"/>
  <c r="BC292" i="3"/>
  <c r="BB292" i="3"/>
  <c r="BC291" i="3"/>
  <c r="BB291" i="3"/>
  <c r="BC290" i="3"/>
  <c r="BB290" i="3"/>
  <c r="BC289" i="3"/>
  <c r="BB289" i="3"/>
  <c r="BC288" i="3"/>
  <c r="BB288" i="3"/>
  <c r="BC287" i="3"/>
  <c r="BB287" i="3"/>
  <c r="BC286" i="3"/>
  <c r="BB286" i="3"/>
  <c r="BC285" i="3"/>
  <c r="BB285" i="3"/>
  <c r="BC284" i="3"/>
  <c r="BB284" i="3"/>
  <c r="BC283" i="3"/>
  <c r="BB283" i="3"/>
  <c r="BC282" i="3"/>
  <c r="BB282" i="3"/>
  <c r="BC281" i="3"/>
  <c r="BB281" i="3"/>
  <c r="BC280" i="3"/>
  <c r="BB280" i="3"/>
  <c r="BC279" i="3"/>
  <c r="BB279" i="3"/>
  <c r="BC278" i="3"/>
  <c r="BB278" i="3"/>
  <c r="BC277" i="3"/>
  <c r="BB277" i="3"/>
  <c r="BC276" i="3"/>
  <c r="BB276" i="3"/>
  <c r="BC275" i="3"/>
  <c r="BB275" i="3"/>
  <c r="BC274" i="3"/>
  <c r="BB274" i="3"/>
  <c r="BC273" i="3"/>
  <c r="BB273" i="3"/>
  <c r="BC272" i="3"/>
  <c r="BB272" i="3"/>
  <c r="BC271" i="3"/>
  <c r="BB271" i="3"/>
  <c r="BC270" i="3"/>
  <c r="BB270" i="3"/>
  <c r="BC269" i="3"/>
  <c r="BB269" i="3"/>
  <c r="BC268" i="3"/>
  <c r="BB268" i="3"/>
  <c r="BC267" i="3"/>
  <c r="BB267" i="3"/>
  <c r="BC266" i="3"/>
  <c r="BB266" i="3"/>
  <c r="BC265" i="3"/>
  <c r="BB265" i="3"/>
  <c r="BC264" i="3"/>
  <c r="BB264" i="3"/>
  <c r="BC263" i="3"/>
  <c r="BB263" i="3"/>
  <c r="BC262" i="3"/>
  <c r="BB262" i="3"/>
  <c r="BC261" i="3"/>
  <c r="BB261" i="3"/>
  <c r="BC260" i="3"/>
  <c r="BB260" i="3"/>
  <c r="BC259" i="3"/>
  <c r="BB259" i="3"/>
  <c r="BC258" i="3"/>
  <c r="BB258" i="3"/>
  <c r="BC257" i="3"/>
  <c r="BB257" i="3"/>
  <c r="BC256" i="3"/>
  <c r="BB256" i="3"/>
  <c r="BC255" i="3"/>
  <c r="BB255" i="3"/>
  <c r="BC254" i="3"/>
  <c r="BB254" i="3"/>
  <c r="BC253" i="3"/>
  <c r="BB253" i="3"/>
  <c r="BC252" i="3"/>
  <c r="BB252" i="3"/>
  <c r="BC251" i="3"/>
  <c r="BB251" i="3"/>
  <c r="BC250" i="3"/>
  <c r="BB250" i="3"/>
  <c r="BC249" i="3"/>
  <c r="BB249" i="3"/>
  <c r="BC248" i="3"/>
  <c r="BB248" i="3"/>
  <c r="BC247" i="3"/>
  <c r="BB247" i="3"/>
  <c r="BC246" i="3"/>
  <c r="BB246" i="3"/>
  <c r="BC245" i="3"/>
  <c r="BB245" i="3"/>
  <c r="BC244" i="3"/>
  <c r="BB244" i="3"/>
  <c r="BC243" i="3"/>
  <c r="BB243" i="3"/>
  <c r="BC242" i="3"/>
  <c r="BB242" i="3"/>
  <c r="BC241" i="3"/>
  <c r="BB241" i="3"/>
  <c r="BC240" i="3"/>
  <c r="BB240" i="3"/>
  <c r="BC239" i="3"/>
  <c r="BB239" i="3"/>
  <c r="BC238" i="3"/>
  <c r="BB238" i="3"/>
  <c r="BC237" i="3"/>
  <c r="BB237" i="3"/>
  <c r="BC236" i="3"/>
  <c r="BB236" i="3"/>
  <c r="BC235" i="3"/>
  <c r="BB235" i="3"/>
  <c r="BC234" i="3"/>
  <c r="BB234" i="3"/>
  <c r="BC233" i="3"/>
  <c r="BB233" i="3"/>
  <c r="BC232" i="3"/>
  <c r="BB232" i="3"/>
  <c r="BC231" i="3"/>
  <c r="BB231" i="3"/>
  <c r="BC230" i="3"/>
  <c r="BB230" i="3"/>
  <c r="BC229" i="3"/>
  <c r="BB229" i="3"/>
  <c r="BC228" i="3"/>
  <c r="BB228" i="3"/>
  <c r="BC227" i="3"/>
  <c r="BB227" i="3"/>
  <c r="BC226" i="3"/>
  <c r="BB226" i="3"/>
  <c r="BC225" i="3"/>
  <c r="BB225" i="3"/>
  <c r="BC224" i="3"/>
  <c r="BB224" i="3"/>
  <c r="BC223" i="3"/>
  <c r="BB223" i="3"/>
  <c r="BC222" i="3"/>
  <c r="BB222" i="3"/>
  <c r="BC221" i="3"/>
  <c r="BB221" i="3"/>
  <c r="BC220" i="3"/>
  <c r="BB220" i="3"/>
  <c r="BC219" i="3"/>
  <c r="BB219" i="3"/>
  <c r="BC218" i="3"/>
  <c r="BB218" i="3"/>
  <c r="BC217" i="3"/>
  <c r="BB217" i="3"/>
  <c r="BC216" i="3"/>
  <c r="BB216" i="3"/>
  <c r="BC215" i="3"/>
  <c r="BB215" i="3"/>
  <c r="BC214" i="3"/>
  <c r="BB214" i="3"/>
  <c r="BC213" i="3"/>
  <c r="BB213" i="3"/>
  <c r="BC212" i="3"/>
  <c r="BB212" i="3"/>
  <c r="BC211" i="3"/>
  <c r="BB211" i="3"/>
  <c r="BC210" i="3"/>
  <c r="BB210" i="3"/>
  <c r="BC209" i="3"/>
  <c r="BB209" i="3"/>
  <c r="BC208" i="3"/>
  <c r="BB208" i="3"/>
  <c r="BC207" i="3"/>
  <c r="BB207" i="3"/>
  <c r="BC206" i="3"/>
  <c r="BB206" i="3"/>
  <c r="BC205" i="3"/>
  <c r="BB205" i="3"/>
  <c r="BC204" i="3"/>
  <c r="BB204" i="3"/>
  <c r="BC203" i="3"/>
  <c r="BB203" i="3"/>
  <c r="BC202" i="3"/>
  <c r="BB202" i="3"/>
  <c r="BC201" i="3"/>
  <c r="BB201" i="3"/>
  <c r="BC200" i="3"/>
  <c r="BB200" i="3"/>
  <c r="BC199" i="3"/>
  <c r="BB199" i="3"/>
  <c r="BC198" i="3"/>
  <c r="BB198" i="3"/>
  <c r="BC197" i="3"/>
  <c r="BB197" i="3"/>
  <c r="BC196" i="3"/>
  <c r="BB196" i="3"/>
  <c r="BC195" i="3"/>
  <c r="BB195" i="3"/>
  <c r="BC194" i="3"/>
  <c r="BB194" i="3"/>
  <c r="BC193" i="3"/>
  <c r="BB193" i="3"/>
  <c r="BC192" i="3"/>
  <c r="BB192" i="3"/>
  <c r="BC191" i="3"/>
  <c r="BB191" i="3"/>
  <c r="BC190" i="3"/>
  <c r="BB190" i="3"/>
  <c r="BC189" i="3"/>
  <c r="BB189" i="3"/>
  <c r="BC188" i="3"/>
  <c r="BB188" i="3"/>
  <c r="BC187" i="3"/>
  <c r="BB187" i="3"/>
  <c r="BC186" i="3"/>
  <c r="BB186" i="3"/>
  <c r="BC185" i="3"/>
  <c r="BB185" i="3"/>
  <c r="BC184" i="3"/>
  <c r="BB184" i="3"/>
  <c r="BC183" i="3"/>
  <c r="BB183" i="3"/>
  <c r="BC182" i="3"/>
  <c r="BB182" i="3"/>
  <c r="BC181" i="3"/>
  <c r="BB181" i="3"/>
  <c r="BC180" i="3"/>
  <c r="BB180" i="3"/>
  <c r="BC179" i="3"/>
  <c r="BB179" i="3"/>
  <c r="BC178" i="3"/>
  <c r="BB178" i="3"/>
  <c r="BC177" i="3"/>
  <c r="BB177" i="3"/>
  <c r="BC176" i="3"/>
  <c r="BB176" i="3"/>
  <c r="BC175" i="3"/>
  <c r="BB175" i="3"/>
  <c r="BC174" i="3"/>
  <c r="BB174" i="3"/>
  <c r="BC173" i="3"/>
  <c r="BB173" i="3"/>
  <c r="BC172" i="3"/>
  <c r="BB172" i="3"/>
  <c r="BC171" i="3"/>
  <c r="BB171" i="3"/>
  <c r="BC170" i="3"/>
  <c r="BB170" i="3"/>
  <c r="BC169" i="3"/>
  <c r="BB169" i="3"/>
  <c r="BC168" i="3"/>
  <c r="BB168" i="3"/>
  <c r="BC167" i="3"/>
  <c r="BB167" i="3"/>
  <c r="BC166" i="3"/>
  <c r="BB166" i="3"/>
  <c r="BC165" i="3"/>
  <c r="BB165" i="3"/>
  <c r="BC164" i="3"/>
  <c r="BB164" i="3"/>
  <c r="BC163" i="3"/>
  <c r="BB163" i="3"/>
  <c r="BC162" i="3"/>
  <c r="BB162" i="3"/>
  <c r="BC161" i="3"/>
  <c r="BB161" i="3"/>
  <c r="BC160" i="3"/>
  <c r="BB160" i="3"/>
  <c r="BC159" i="3"/>
  <c r="BB159" i="3"/>
  <c r="BC158" i="3"/>
  <c r="BB158" i="3"/>
  <c r="BC157" i="3"/>
  <c r="BB157" i="3"/>
  <c r="BC156" i="3"/>
  <c r="BB156" i="3"/>
  <c r="BC155" i="3"/>
  <c r="BB155" i="3"/>
  <c r="BC154" i="3"/>
  <c r="BB154" i="3"/>
  <c r="BC153" i="3"/>
  <c r="BB153" i="3"/>
  <c r="BC152" i="3"/>
  <c r="BB152" i="3"/>
  <c r="BC151" i="3"/>
  <c r="BB151" i="3"/>
  <c r="BC150" i="3"/>
  <c r="BB150" i="3"/>
  <c r="BC149" i="3"/>
  <c r="BB149" i="3"/>
  <c r="BC148" i="3"/>
  <c r="BB148" i="3"/>
  <c r="BC147" i="3"/>
  <c r="BB147" i="3"/>
  <c r="BC146" i="3"/>
  <c r="BB146" i="3"/>
  <c r="BC145" i="3"/>
  <c r="BB145" i="3"/>
  <c r="BC144" i="3"/>
  <c r="BB144" i="3"/>
  <c r="BC143" i="3"/>
  <c r="BB143" i="3"/>
  <c r="BC142" i="3"/>
  <c r="BB142" i="3"/>
  <c r="BC141" i="3"/>
  <c r="BB141" i="3"/>
  <c r="BC140" i="3"/>
  <c r="BB140" i="3"/>
  <c r="BC139" i="3"/>
  <c r="BB139" i="3"/>
  <c r="BC138" i="3"/>
  <c r="BB138" i="3"/>
  <c r="BC137" i="3"/>
  <c r="BB137" i="3"/>
  <c r="BC136" i="3"/>
  <c r="BB136" i="3"/>
  <c r="BC135" i="3"/>
  <c r="BB135" i="3"/>
  <c r="BC134" i="3"/>
  <c r="BB134" i="3"/>
  <c r="BC133" i="3"/>
  <c r="BB133" i="3"/>
  <c r="BC132" i="3"/>
  <c r="BB132" i="3"/>
  <c r="BC131" i="3"/>
  <c r="BB131" i="3"/>
  <c r="BC130" i="3"/>
  <c r="BB130" i="3"/>
  <c r="BC129" i="3"/>
  <c r="BB129" i="3"/>
  <c r="BC128" i="3"/>
  <c r="BB128" i="3"/>
  <c r="BC127" i="3"/>
  <c r="BB127" i="3"/>
  <c r="BC126" i="3"/>
  <c r="BB126" i="3"/>
  <c r="BC125" i="3"/>
  <c r="BB125" i="3"/>
  <c r="BC124" i="3"/>
  <c r="BB124" i="3"/>
  <c r="BC123" i="3"/>
  <c r="BB123" i="3"/>
  <c r="BC122" i="3"/>
  <c r="BB122" i="3"/>
  <c r="BC121" i="3"/>
  <c r="BB121" i="3"/>
  <c r="BC120" i="3"/>
  <c r="BB120" i="3"/>
  <c r="BC119" i="3"/>
  <c r="BB119" i="3"/>
  <c r="BC118" i="3"/>
  <c r="BB118" i="3"/>
  <c r="BC117" i="3"/>
  <c r="BB117" i="3"/>
  <c r="BC116" i="3"/>
  <c r="BB116" i="3"/>
  <c r="BC115" i="3"/>
  <c r="BB115" i="3"/>
  <c r="BC114" i="3"/>
  <c r="BB114" i="3"/>
  <c r="BC113" i="3"/>
  <c r="BB113" i="3"/>
  <c r="BC112" i="3"/>
  <c r="BB112" i="3"/>
  <c r="BC111" i="3"/>
  <c r="BB111" i="3"/>
  <c r="BC110" i="3"/>
  <c r="BB110" i="3"/>
  <c r="BC109" i="3"/>
  <c r="BB109" i="3"/>
  <c r="BC108" i="3"/>
  <c r="BB108" i="3"/>
  <c r="BC107" i="3"/>
  <c r="BB107" i="3"/>
  <c r="BC106" i="3"/>
  <c r="BB106" i="3"/>
  <c r="BC105" i="3"/>
  <c r="BB105" i="3"/>
  <c r="BC104" i="3"/>
  <c r="BB104" i="3"/>
  <c r="BC103" i="3"/>
  <c r="BB103" i="3"/>
  <c r="BC102" i="3"/>
  <c r="BB102" i="3"/>
  <c r="BC101" i="3"/>
  <c r="BB101" i="3"/>
  <c r="BC100" i="3"/>
  <c r="BB100" i="3"/>
  <c r="BC99" i="3"/>
  <c r="BB99" i="3"/>
  <c r="BC98" i="3"/>
  <c r="BB98" i="3"/>
  <c r="BC97" i="3"/>
  <c r="BB97" i="3"/>
  <c r="BC96" i="3"/>
  <c r="BB96" i="3"/>
  <c r="BC95" i="3"/>
  <c r="BB95" i="3"/>
  <c r="BC94" i="3"/>
  <c r="BB94" i="3"/>
  <c r="BC93" i="3"/>
  <c r="BB93" i="3"/>
  <c r="BC92" i="3"/>
  <c r="BB92" i="3"/>
  <c r="BC91" i="3"/>
  <c r="BB91" i="3"/>
  <c r="BC90" i="3"/>
  <c r="BB90" i="3"/>
  <c r="BC89" i="3"/>
  <c r="BB89" i="3"/>
  <c r="BC88" i="3"/>
  <c r="BB88" i="3"/>
  <c r="BC87" i="3"/>
  <c r="BB87" i="3"/>
  <c r="BC86" i="3"/>
  <c r="BB86" i="3"/>
  <c r="BC85" i="3"/>
  <c r="BB85" i="3"/>
  <c r="BC84" i="3"/>
  <c r="BB84" i="3"/>
  <c r="BC83" i="3"/>
  <c r="BB83" i="3"/>
  <c r="BC82" i="3"/>
  <c r="BB82" i="3"/>
  <c r="BC81" i="3"/>
  <c r="BB81" i="3"/>
  <c r="BC80" i="3"/>
  <c r="BB80" i="3"/>
  <c r="BC79" i="3"/>
  <c r="BB79" i="3"/>
  <c r="BC78" i="3"/>
  <c r="BB78" i="3"/>
  <c r="BC77" i="3"/>
  <c r="BB77" i="3"/>
  <c r="BC76" i="3"/>
  <c r="BB76" i="3"/>
  <c r="BC75" i="3"/>
  <c r="BB75" i="3"/>
  <c r="BC74" i="3"/>
  <c r="BB74" i="3"/>
  <c r="BC73" i="3"/>
  <c r="BB73" i="3"/>
  <c r="BC72" i="3"/>
  <c r="BB72" i="3"/>
  <c r="BC71" i="3"/>
  <c r="BB71" i="3"/>
  <c r="BC70" i="3"/>
  <c r="BB70" i="3"/>
  <c r="BC69" i="3"/>
  <c r="BB69" i="3"/>
  <c r="BC68" i="3"/>
  <c r="BB68" i="3"/>
  <c r="BC67" i="3"/>
  <c r="BB67" i="3"/>
  <c r="BC66" i="3"/>
  <c r="BB66" i="3"/>
  <c r="BC65" i="3"/>
  <c r="BB65" i="3"/>
  <c r="BC64" i="3"/>
  <c r="BB64" i="3"/>
  <c r="BC63" i="3"/>
  <c r="BB63" i="3"/>
  <c r="BC62" i="3"/>
  <c r="BB62" i="3"/>
  <c r="BC61" i="3"/>
  <c r="BB61" i="3"/>
  <c r="BC60" i="3"/>
  <c r="BB60" i="3"/>
  <c r="BC59" i="3"/>
  <c r="BB59" i="3"/>
  <c r="BC58" i="3"/>
  <c r="BB58" i="3"/>
  <c r="BC57" i="3"/>
  <c r="BB57" i="3"/>
  <c r="BC56" i="3"/>
  <c r="BB56" i="3"/>
  <c r="BC55" i="3"/>
  <c r="BB55" i="3"/>
  <c r="BC54" i="3"/>
  <c r="BB54" i="3"/>
  <c r="BC53" i="3"/>
  <c r="BB53" i="3"/>
  <c r="BC52" i="3"/>
  <c r="BB52" i="3"/>
  <c r="BC51" i="3"/>
  <c r="BB51" i="3"/>
  <c r="BC50" i="3"/>
  <c r="BB50" i="3"/>
  <c r="BC49" i="3"/>
  <c r="BB49" i="3"/>
  <c r="BC48" i="3"/>
  <c r="BB48" i="3"/>
  <c r="BC47" i="3"/>
  <c r="BB47" i="3"/>
  <c r="BC46" i="3"/>
  <c r="BB46" i="3"/>
  <c r="BC45" i="3"/>
  <c r="BB45" i="3"/>
  <c r="BC44" i="3"/>
  <c r="BB44" i="3"/>
  <c r="BC43" i="3"/>
  <c r="BB43" i="3"/>
  <c r="BC42" i="3"/>
  <c r="BB42" i="3"/>
  <c r="BC41" i="3"/>
  <c r="BB41" i="3"/>
  <c r="BC40" i="3"/>
  <c r="BB40" i="3"/>
  <c r="BC39" i="3"/>
  <c r="BB39" i="3"/>
  <c r="BC38" i="3"/>
  <c r="BB38" i="3"/>
  <c r="BC37" i="3"/>
  <c r="BB37" i="3"/>
  <c r="BC36" i="3"/>
  <c r="BB36" i="3"/>
  <c r="BC35" i="3"/>
  <c r="BB35" i="3"/>
  <c r="BC34" i="3"/>
  <c r="BB34" i="3"/>
  <c r="BC33" i="3"/>
  <c r="BB33" i="3"/>
  <c r="BC32" i="3"/>
  <c r="BB32" i="3"/>
  <c r="BC31" i="3"/>
  <c r="BB31" i="3"/>
  <c r="BC30" i="3"/>
  <c r="BB30" i="3"/>
  <c r="BC29" i="3"/>
  <c r="BB29" i="3"/>
  <c r="BC28" i="3"/>
  <c r="BB28" i="3"/>
  <c r="BC27" i="3"/>
  <c r="BB27" i="3"/>
  <c r="BC26" i="3"/>
  <c r="BB26" i="3"/>
  <c r="BC25" i="3"/>
  <c r="BB25" i="3"/>
  <c r="BC24" i="3"/>
  <c r="BB24" i="3"/>
  <c r="BC23" i="3"/>
  <c r="BB23" i="3"/>
  <c r="BC22" i="3"/>
  <c r="BB22" i="3"/>
  <c r="BC21" i="3"/>
  <c r="BB21" i="3"/>
  <c r="BC20" i="3"/>
  <c r="BB20" i="3"/>
  <c r="BC19" i="3"/>
  <c r="BB19" i="3"/>
  <c r="BC18" i="3"/>
  <c r="BB18" i="3"/>
  <c r="BC17" i="3"/>
  <c r="BB17" i="3"/>
  <c r="BC16" i="3"/>
  <c r="BB16" i="3"/>
  <c r="BC15" i="3"/>
  <c r="BB15" i="3"/>
  <c r="BC14" i="3"/>
  <c r="BB14" i="3"/>
  <c r="BC13" i="3"/>
  <c r="BB13" i="3"/>
  <c r="BC12" i="3"/>
  <c r="BB12" i="3"/>
  <c r="BC11" i="3"/>
  <c r="BB11" i="3"/>
  <c r="BC10" i="3"/>
  <c r="BB10" i="3"/>
  <c r="BC9" i="3"/>
  <c r="BB9" i="3"/>
  <c r="BC8" i="3"/>
  <c r="BB8" i="3"/>
  <c r="BC7" i="3"/>
  <c r="BB7" i="3"/>
  <c r="BC6" i="3"/>
  <c r="BB6" i="3"/>
  <c r="BC5" i="3"/>
  <c r="BB5" i="3"/>
  <c r="BC4" i="3"/>
  <c r="BB4" i="3"/>
  <c r="BC3" i="3"/>
  <c r="BB3" i="3"/>
  <c r="BC2" i="3"/>
  <c r="BB2" i="3"/>
  <c r="L60" i="2"/>
  <c r="I60" i="2"/>
  <c r="F60" i="2"/>
  <c r="BY2" i="3"/>
  <c r="BX2" i="3"/>
  <c r="BI2" i="3"/>
  <c r="BY3" i="3"/>
  <c r="BX3" i="3"/>
  <c r="BI3" i="3"/>
  <c r="BY4" i="3"/>
  <c r="BX4" i="3"/>
  <c r="BI4" i="3"/>
  <c r="BY5" i="3"/>
  <c r="BX5" i="3"/>
  <c r="BI5" i="3"/>
  <c r="BY6" i="3"/>
  <c r="BX6" i="3"/>
  <c r="BI6" i="3"/>
  <c r="BY7" i="3"/>
  <c r="BX7" i="3"/>
  <c r="BI7" i="3"/>
  <c r="BY8" i="3"/>
  <c r="BX8" i="3"/>
  <c r="BI8" i="3"/>
  <c r="BY9" i="3"/>
  <c r="BX9" i="3"/>
  <c r="BI9" i="3"/>
  <c r="BY10" i="3"/>
  <c r="BX10" i="3"/>
  <c r="BI10" i="3"/>
  <c r="BY11" i="3"/>
  <c r="BX11" i="3"/>
  <c r="BI11" i="3"/>
  <c r="BY12" i="3"/>
  <c r="BX12" i="3"/>
  <c r="BI12" i="3"/>
  <c r="BY13" i="3"/>
  <c r="BX13" i="3"/>
  <c r="BI13" i="3"/>
  <c r="BY14" i="3"/>
  <c r="BX14" i="3"/>
  <c r="BI14" i="3"/>
  <c r="BY15" i="3"/>
  <c r="BX15" i="3"/>
  <c r="BI15" i="3"/>
  <c r="BY16" i="3"/>
  <c r="BX16" i="3"/>
  <c r="BI16" i="3"/>
  <c r="BY17" i="3"/>
  <c r="BX17" i="3"/>
  <c r="BI17" i="3"/>
  <c r="BY18" i="3"/>
  <c r="BX18" i="3"/>
  <c r="BI18" i="3"/>
  <c r="BY19" i="3"/>
  <c r="BX19" i="3"/>
  <c r="BI19" i="3"/>
  <c r="BY20" i="3"/>
  <c r="BX20" i="3"/>
  <c r="BI20" i="3"/>
  <c r="BY21" i="3"/>
  <c r="BX21" i="3"/>
  <c r="BI21" i="3"/>
  <c r="BY22" i="3"/>
  <c r="BX22" i="3"/>
  <c r="BI22" i="3"/>
  <c r="BY23" i="3"/>
  <c r="BX23" i="3"/>
  <c r="BI23" i="3"/>
  <c r="BY24" i="3"/>
  <c r="BX24" i="3"/>
  <c r="BI24" i="3"/>
  <c r="BY25" i="3"/>
  <c r="BX25" i="3"/>
  <c r="BI25" i="3"/>
  <c r="BY26" i="3"/>
  <c r="BX26" i="3"/>
  <c r="BI26" i="3"/>
  <c r="BY27" i="3"/>
  <c r="BX27" i="3"/>
  <c r="BI27" i="3"/>
  <c r="BY28" i="3"/>
  <c r="BX28" i="3"/>
  <c r="BI28" i="3"/>
  <c r="BY29" i="3"/>
  <c r="BX29" i="3"/>
  <c r="BI29" i="3"/>
  <c r="BY30" i="3"/>
  <c r="BX30" i="3"/>
  <c r="BI30" i="3"/>
  <c r="BY31" i="3"/>
  <c r="BX31" i="3"/>
  <c r="BI31" i="3"/>
  <c r="BY32" i="3"/>
  <c r="BX32" i="3"/>
  <c r="BI32" i="3"/>
  <c r="BY33" i="3"/>
  <c r="BX33" i="3"/>
  <c r="BI33" i="3"/>
  <c r="BY34" i="3"/>
  <c r="BX34" i="3"/>
  <c r="BI34" i="3"/>
  <c r="BY35" i="3"/>
  <c r="BX35" i="3"/>
  <c r="BI35" i="3"/>
  <c r="BY36" i="3"/>
  <c r="BX36" i="3"/>
  <c r="BI36" i="3"/>
  <c r="BY37" i="3"/>
  <c r="BX37" i="3"/>
  <c r="BI37" i="3"/>
  <c r="BY38" i="3"/>
  <c r="BX38" i="3"/>
  <c r="BI38" i="3"/>
  <c r="BY39" i="3"/>
  <c r="BX39" i="3"/>
  <c r="BI39" i="3"/>
  <c r="BY40" i="3"/>
  <c r="BX40" i="3"/>
  <c r="BI40" i="3"/>
  <c r="BY41" i="3"/>
  <c r="BX41" i="3"/>
  <c r="BI41" i="3"/>
  <c r="BY42" i="3"/>
  <c r="BX42" i="3"/>
  <c r="BI42" i="3"/>
  <c r="BY43" i="3"/>
  <c r="BX43" i="3"/>
  <c r="BI43" i="3"/>
  <c r="BY44" i="3"/>
  <c r="BX44" i="3"/>
  <c r="BI44" i="3"/>
  <c r="BY45" i="3"/>
  <c r="BX45" i="3"/>
  <c r="BI45" i="3"/>
  <c r="BY46" i="3"/>
  <c r="BX46" i="3"/>
  <c r="BI46" i="3"/>
  <c r="BY47" i="3"/>
  <c r="BX47" i="3"/>
  <c r="BI47" i="3"/>
  <c r="BY48" i="3"/>
  <c r="BX48" i="3"/>
  <c r="BI48" i="3"/>
  <c r="BY49" i="3"/>
  <c r="BX49" i="3"/>
  <c r="BI49" i="3"/>
  <c r="BY50" i="3"/>
  <c r="BX50" i="3"/>
  <c r="BI50" i="3"/>
  <c r="BY51" i="3"/>
  <c r="BX51" i="3"/>
  <c r="BI51" i="3"/>
  <c r="BY52" i="3"/>
  <c r="BX52" i="3"/>
  <c r="BI52" i="3"/>
  <c r="BY53" i="3"/>
  <c r="BX53" i="3"/>
  <c r="BI53" i="3"/>
  <c r="BY54" i="3"/>
  <c r="BX54" i="3"/>
  <c r="BI54" i="3"/>
  <c r="BY55" i="3"/>
  <c r="BX55" i="3"/>
  <c r="BI55" i="3"/>
  <c r="BY56" i="3"/>
  <c r="BX56" i="3"/>
  <c r="BI56" i="3"/>
  <c r="BY57" i="3"/>
  <c r="BX57" i="3"/>
  <c r="BI57" i="3"/>
  <c r="BY58" i="3"/>
  <c r="BX58" i="3"/>
  <c r="BI58" i="3"/>
  <c r="BY59" i="3"/>
  <c r="BX59" i="3"/>
  <c r="BI59" i="3"/>
  <c r="BY60" i="3"/>
  <c r="BX60" i="3"/>
  <c r="BI60" i="3"/>
  <c r="BY61" i="3"/>
  <c r="BX61" i="3"/>
  <c r="BI61" i="3"/>
  <c r="BY62" i="3"/>
  <c r="BX62" i="3"/>
  <c r="BI62" i="3"/>
  <c r="BY63" i="3"/>
  <c r="BX63" i="3"/>
  <c r="BI63" i="3"/>
  <c r="BY64" i="3"/>
  <c r="BX64" i="3"/>
  <c r="BI64" i="3"/>
  <c r="BY65" i="3"/>
  <c r="BX65" i="3"/>
  <c r="BI65" i="3"/>
  <c r="BY66" i="3"/>
  <c r="BX66" i="3"/>
  <c r="BI66" i="3"/>
  <c r="BY67" i="3"/>
  <c r="BX67" i="3"/>
  <c r="BI67" i="3"/>
  <c r="BY68" i="3"/>
  <c r="BX68" i="3"/>
  <c r="BI68" i="3"/>
  <c r="BY69" i="3"/>
  <c r="BX69" i="3"/>
  <c r="BI69" i="3"/>
  <c r="BY70" i="3"/>
  <c r="BX70" i="3"/>
  <c r="BI70" i="3"/>
  <c r="BY71" i="3"/>
  <c r="BX71" i="3"/>
  <c r="BI71" i="3"/>
  <c r="BY72" i="3"/>
  <c r="BX72" i="3"/>
  <c r="BI72" i="3"/>
  <c r="BY73" i="3"/>
  <c r="BX73" i="3"/>
  <c r="BI73" i="3"/>
  <c r="BY74" i="3"/>
  <c r="BX74" i="3"/>
  <c r="BI74" i="3"/>
  <c r="BY75" i="3"/>
  <c r="BX75" i="3"/>
  <c r="BI75" i="3"/>
  <c r="BY76" i="3"/>
  <c r="BX76" i="3"/>
  <c r="BI76" i="3"/>
  <c r="BY77" i="3"/>
  <c r="BX77" i="3"/>
  <c r="BI77" i="3"/>
  <c r="BY78" i="3"/>
  <c r="BX78" i="3"/>
  <c r="BI78" i="3"/>
  <c r="BY79" i="3"/>
  <c r="BX79" i="3"/>
  <c r="BI79" i="3"/>
  <c r="BY80" i="3"/>
  <c r="BX80" i="3"/>
  <c r="BI80" i="3"/>
  <c r="BY81" i="3"/>
  <c r="BX81" i="3"/>
  <c r="BI81" i="3"/>
  <c r="BY82" i="3"/>
  <c r="BX82" i="3"/>
  <c r="BI82" i="3"/>
  <c r="BY83" i="3"/>
  <c r="BX83" i="3"/>
  <c r="BI83" i="3"/>
  <c r="BY84" i="3"/>
  <c r="BX84" i="3"/>
  <c r="BI84" i="3"/>
  <c r="BY85" i="3"/>
  <c r="BX85" i="3"/>
  <c r="BI85" i="3"/>
  <c r="BY86" i="3"/>
  <c r="BX86" i="3"/>
  <c r="BI86" i="3"/>
  <c r="BY87" i="3"/>
  <c r="BX87" i="3"/>
  <c r="BI87" i="3"/>
  <c r="BY88" i="3"/>
  <c r="BX88" i="3"/>
  <c r="BI88" i="3"/>
  <c r="BY89" i="3"/>
  <c r="BX89" i="3"/>
  <c r="BI89" i="3"/>
  <c r="BY90" i="3"/>
  <c r="BX90" i="3"/>
  <c r="BI90" i="3"/>
  <c r="BY91" i="3"/>
  <c r="BX91" i="3"/>
  <c r="BI91" i="3"/>
  <c r="BY92" i="3"/>
  <c r="BX92" i="3"/>
  <c r="BI92" i="3"/>
  <c r="BY93" i="3"/>
  <c r="BX93" i="3"/>
  <c r="BI93" i="3"/>
  <c r="BY94" i="3"/>
  <c r="BX94" i="3"/>
  <c r="BI94" i="3"/>
  <c r="BY95" i="3"/>
  <c r="BX95" i="3"/>
  <c r="BI95" i="3"/>
  <c r="BY96" i="3"/>
  <c r="BX96" i="3"/>
  <c r="BI96" i="3"/>
  <c r="BY97" i="3"/>
  <c r="BX97" i="3"/>
  <c r="BI97" i="3"/>
  <c r="BY98" i="3"/>
  <c r="BX98" i="3"/>
  <c r="BI98" i="3"/>
  <c r="BY99" i="3"/>
  <c r="BX99" i="3"/>
  <c r="BI99" i="3"/>
  <c r="BY100" i="3"/>
  <c r="BX100" i="3"/>
  <c r="BI100" i="3"/>
  <c r="BY101" i="3"/>
  <c r="BX101" i="3"/>
  <c r="BI101" i="3"/>
  <c r="BY102" i="3"/>
  <c r="BX102" i="3"/>
  <c r="BI102" i="3"/>
  <c r="BY103" i="3"/>
  <c r="BX103" i="3"/>
  <c r="BI103" i="3"/>
  <c r="BY104" i="3"/>
  <c r="BX104" i="3"/>
  <c r="BI104" i="3"/>
  <c r="BY105" i="3"/>
  <c r="BX105" i="3"/>
  <c r="BI105" i="3"/>
  <c r="BY106" i="3"/>
  <c r="BX106" i="3"/>
  <c r="BI106" i="3"/>
  <c r="BY107" i="3"/>
  <c r="BX107" i="3"/>
  <c r="BI107" i="3"/>
  <c r="BY108" i="3"/>
  <c r="BX108" i="3"/>
  <c r="BI108" i="3"/>
  <c r="BY109" i="3"/>
  <c r="BX109" i="3"/>
  <c r="BI109" i="3"/>
  <c r="BY110" i="3"/>
  <c r="BX110" i="3"/>
  <c r="BI110" i="3"/>
  <c r="BY111" i="3"/>
  <c r="BX111" i="3"/>
  <c r="BI111" i="3"/>
  <c r="BY112" i="3"/>
  <c r="BX112" i="3"/>
  <c r="BI112" i="3"/>
  <c r="BY113" i="3"/>
  <c r="BX113" i="3"/>
  <c r="BI113" i="3"/>
  <c r="BY114" i="3"/>
  <c r="BX114" i="3"/>
  <c r="BI114" i="3"/>
  <c r="BY115" i="3"/>
  <c r="BX115" i="3"/>
  <c r="BI115" i="3"/>
  <c r="BY116" i="3"/>
  <c r="BX116" i="3"/>
  <c r="BI116" i="3"/>
  <c r="BY117" i="3"/>
  <c r="BX117" i="3"/>
  <c r="BI117" i="3"/>
  <c r="BY118" i="3"/>
  <c r="BX118" i="3"/>
  <c r="BI118" i="3"/>
  <c r="BY119" i="3"/>
  <c r="BX119" i="3"/>
  <c r="BI119" i="3"/>
  <c r="BY120" i="3"/>
  <c r="BX120" i="3"/>
  <c r="BI120" i="3"/>
  <c r="BY121" i="3"/>
  <c r="BX121" i="3"/>
  <c r="BI121" i="3"/>
  <c r="BY122" i="3"/>
  <c r="BX122" i="3"/>
  <c r="BI122" i="3"/>
  <c r="BY123" i="3"/>
  <c r="BX123" i="3"/>
  <c r="BI123" i="3"/>
  <c r="BY124" i="3"/>
  <c r="BX124" i="3"/>
  <c r="BI124" i="3"/>
  <c r="BY125" i="3"/>
  <c r="BX125" i="3"/>
  <c r="BI125" i="3"/>
  <c r="BY126" i="3"/>
  <c r="BX126" i="3"/>
  <c r="BI126" i="3"/>
  <c r="BY127" i="3"/>
  <c r="BX127" i="3"/>
  <c r="BI127" i="3"/>
  <c r="BY128" i="3"/>
  <c r="BX128" i="3"/>
  <c r="BI128" i="3"/>
  <c r="BY129" i="3"/>
  <c r="BX129" i="3"/>
  <c r="BI129" i="3"/>
  <c r="BY130" i="3"/>
  <c r="BX130" i="3"/>
  <c r="BI130" i="3"/>
  <c r="BY131" i="3"/>
  <c r="BX131" i="3"/>
  <c r="BI131" i="3"/>
  <c r="BY132" i="3"/>
  <c r="BX132" i="3"/>
  <c r="BI132" i="3"/>
  <c r="BY133" i="3"/>
  <c r="BX133" i="3"/>
  <c r="BI133" i="3"/>
  <c r="BY134" i="3"/>
  <c r="BX134" i="3"/>
  <c r="BI134" i="3"/>
  <c r="BY135" i="3"/>
  <c r="BX135" i="3"/>
  <c r="BI135" i="3"/>
  <c r="BY136" i="3"/>
  <c r="BX136" i="3"/>
  <c r="BI136" i="3"/>
  <c r="BY137" i="3"/>
  <c r="BX137" i="3"/>
  <c r="BI137" i="3"/>
  <c r="BY138" i="3"/>
  <c r="BX138" i="3"/>
  <c r="BI138" i="3"/>
  <c r="BY139" i="3"/>
  <c r="BX139" i="3"/>
  <c r="BI139" i="3"/>
  <c r="BY140" i="3"/>
  <c r="BX140" i="3"/>
  <c r="BI140" i="3"/>
  <c r="BY141" i="3"/>
  <c r="BX141" i="3"/>
  <c r="BI141" i="3"/>
  <c r="BY142" i="3"/>
  <c r="BX142" i="3"/>
  <c r="BI142" i="3"/>
  <c r="BY143" i="3"/>
  <c r="BX143" i="3"/>
  <c r="BI143" i="3"/>
  <c r="BY144" i="3"/>
  <c r="BX144" i="3"/>
  <c r="BI144" i="3"/>
  <c r="BY145" i="3"/>
  <c r="BX145" i="3"/>
  <c r="BI145" i="3"/>
  <c r="BY146" i="3"/>
  <c r="BX146" i="3"/>
  <c r="BI146" i="3"/>
  <c r="BY147" i="3"/>
  <c r="BX147" i="3"/>
  <c r="BI147" i="3"/>
  <c r="BY148" i="3"/>
  <c r="BX148" i="3"/>
  <c r="BI148" i="3"/>
  <c r="BY149" i="3"/>
  <c r="BX149" i="3"/>
  <c r="BI149" i="3"/>
  <c r="BY150" i="3"/>
  <c r="BX150" i="3"/>
  <c r="BI150" i="3"/>
  <c r="BY151" i="3"/>
  <c r="BX151" i="3"/>
  <c r="BI151" i="3"/>
  <c r="BY152" i="3"/>
  <c r="BX152" i="3"/>
  <c r="BI152" i="3"/>
  <c r="BY153" i="3"/>
  <c r="BX153" i="3"/>
  <c r="BI153" i="3"/>
  <c r="BY154" i="3"/>
  <c r="BX154" i="3"/>
  <c r="BI154" i="3"/>
  <c r="BY155" i="3"/>
  <c r="BX155" i="3"/>
  <c r="BI155" i="3"/>
  <c r="BY156" i="3"/>
  <c r="BX156" i="3"/>
  <c r="BI156" i="3"/>
  <c r="BY157" i="3"/>
  <c r="BX157" i="3"/>
  <c r="BI157" i="3"/>
  <c r="BY158" i="3"/>
  <c r="BX158" i="3"/>
  <c r="BI158" i="3"/>
  <c r="BY159" i="3"/>
  <c r="BX159" i="3"/>
  <c r="BI159" i="3"/>
  <c r="BY160" i="3"/>
  <c r="BX160" i="3"/>
  <c r="BI160" i="3"/>
  <c r="BY161" i="3"/>
  <c r="BX161" i="3"/>
  <c r="BI161" i="3"/>
  <c r="BY162" i="3"/>
  <c r="BX162" i="3"/>
  <c r="BI162" i="3"/>
  <c r="BY163" i="3"/>
  <c r="BX163" i="3"/>
  <c r="BI163" i="3"/>
  <c r="BY164" i="3"/>
  <c r="BX164" i="3"/>
  <c r="BI164" i="3"/>
  <c r="BY165" i="3"/>
  <c r="BX165" i="3"/>
  <c r="BI165" i="3"/>
  <c r="BY166" i="3"/>
  <c r="BX166" i="3"/>
  <c r="BI166" i="3"/>
  <c r="BY167" i="3"/>
  <c r="BX167" i="3"/>
  <c r="BI167" i="3"/>
  <c r="BY168" i="3"/>
  <c r="BX168" i="3"/>
  <c r="BI168" i="3"/>
  <c r="BY169" i="3"/>
  <c r="BX169" i="3"/>
  <c r="BI169" i="3"/>
  <c r="BY170" i="3"/>
  <c r="BX170" i="3"/>
  <c r="BI170" i="3"/>
  <c r="BY171" i="3"/>
  <c r="BX171" i="3"/>
  <c r="BI171" i="3"/>
  <c r="BY172" i="3"/>
  <c r="BX172" i="3"/>
  <c r="BI172" i="3"/>
  <c r="BY173" i="3"/>
  <c r="BX173" i="3"/>
  <c r="BI173" i="3"/>
  <c r="BY174" i="3"/>
  <c r="BX174" i="3"/>
  <c r="BI174" i="3"/>
  <c r="BY175" i="3"/>
  <c r="BX175" i="3"/>
  <c r="BI175" i="3"/>
  <c r="BY176" i="3"/>
  <c r="BX176" i="3"/>
  <c r="BI176" i="3"/>
  <c r="BY177" i="3"/>
  <c r="BX177" i="3"/>
  <c r="BI177" i="3"/>
  <c r="BY178" i="3"/>
  <c r="BX178" i="3"/>
  <c r="BI178" i="3"/>
  <c r="BY179" i="3"/>
  <c r="BX179" i="3"/>
  <c r="BI179" i="3"/>
  <c r="BY180" i="3"/>
  <c r="BX180" i="3"/>
  <c r="BI180" i="3"/>
  <c r="BY181" i="3"/>
  <c r="BX181" i="3"/>
  <c r="BI181" i="3"/>
  <c r="BY182" i="3"/>
  <c r="BX182" i="3"/>
  <c r="BI182" i="3"/>
  <c r="BY183" i="3"/>
  <c r="BX183" i="3"/>
  <c r="BI183" i="3"/>
  <c r="BY184" i="3"/>
  <c r="BX184" i="3"/>
  <c r="BI184" i="3"/>
  <c r="BY185" i="3"/>
  <c r="BX185" i="3"/>
  <c r="BI185" i="3"/>
  <c r="BY186" i="3"/>
  <c r="BX186" i="3"/>
  <c r="BI186" i="3"/>
  <c r="BY187" i="3"/>
  <c r="BX187" i="3"/>
  <c r="BI187" i="3"/>
  <c r="BY188" i="3"/>
  <c r="BX188" i="3"/>
  <c r="BI188" i="3"/>
  <c r="BY189" i="3"/>
  <c r="BX189" i="3"/>
  <c r="BI189" i="3"/>
  <c r="BY190" i="3"/>
  <c r="BX190" i="3"/>
  <c r="BI190" i="3"/>
  <c r="BY191" i="3"/>
  <c r="BX191" i="3"/>
  <c r="BI191" i="3"/>
  <c r="BY192" i="3"/>
  <c r="BX192" i="3"/>
  <c r="BI192" i="3"/>
  <c r="BY193" i="3"/>
  <c r="BX193" i="3"/>
  <c r="BI193" i="3"/>
  <c r="BY194" i="3"/>
  <c r="BX194" i="3"/>
  <c r="BI194" i="3"/>
  <c r="BY195" i="3"/>
  <c r="BX195" i="3"/>
  <c r="BI195" i="3"/>
  <c r="BY196" i="3"/>
  <c r="BX196" i="3"/>
  <c r="BI196" i="3"/>
  <c r="BY197" i="3"/>
  <c r="BX197" i="3"/>
  <c r="BI197" i="3"/>
  <c r="BY198" i="3"/>
  <c r="BX198" i="3"/>
  <c r="BI198" i="3"/>
  <c r="BY199" i="3"/>
  <c r="BX199" i="3"/>
  <c r="BI199" i="3"/>
  <c r="BY200" i="3"/>
  <c r="BX200" i="3"/>
  <c r="BI200" i="3"/>
  <c r="BY201" i="3"/>
  <c r="BX201" i="3"/>
  <c r="BI201" i="3"/>
  <c r="BY202" i="3"/>
  <c r="BX202" i="3"/>
  <c r="BI202" i="3"/>
  <c r="BY203" i="3"/>
  <c r="BX203" i="3"/>
  <c r="BI203" i="3"/>
  <c r="BY204" i="3"/>
  <c r="BX204" i="3"/>
  <c r="BI204" i="3"/>
  <c r="BY205" i="3"/>
  <c r="BX205" i="3"/>
  <c r="BI205" i="3"/>
  <c r="BY206" i="3"/>
  <c r="BX206" i="3"/>
  <c r="BI206" i="3"/>
  <c r="BY207" i="3"/>
  <c r="BX207" i="3"/>
  <c r="BI207" i="3"/>
  <c r="BY208" i="3"/>
  <c r="BX208" i="3"/>
  <c r="BI208" i="3"/>
  <c r="BY209" i="3"/>
  <c r="BX209" i="3"/>
  <c r="BI209" i="3"/>
  <c r="BY210" i="3"/>
  <c r="BX210" i="3"/>
  <c r="BI210" i="3"/>
  <c r="BY211" i="3"/>
  <c r="BX211" i="3"/>
  <c r="BI211" i="3"/>
  <c r="BY212" i="3"/>
  <c r="BX212" i="3"/>
  <c r="BI212" i="3"/>
  <c r="BY213" i="3"/>
  <c r="BX213" i="3"/>
  <c r="BI213" i="3"/>
  <c r="BY214" i="3"/>
  <c r="BX214" i="3"/>
  <c r="BI214" i="3"/>
  <c r="BY215" i="3"/>
  <c r="BX215" i="3"/>
  <c r="BI215" i="3"/>
  <c r="BY216" i="3"/>
  <c r="BX216" i="3"/>
  <c r="BI216" i="3"/>
  <c r="BY217" i="3"/>
  <c r="BX217" i="3"/>
  <c r="BI217" i="3"/>
  <c r="BY218" i="3"/>
  <c r="BX218" i="3"/>
  <c r="BI218" i="3"/>
  <c r="BY219" i="3"/>
  <c r="BX219" i="3"/>
  <c r="BI219" i="3"/>
  <c r="BY220" i="3"/>
  <c r="BX220" i="3"/>
  <c r="BI220" i="3"/>
  <c r="BY221" i="3"/>
  <c r="BX221" i="3"/>
  <c r="BI221" i="3"/>
  <c r="BY222" i="3"/>
  <c r="BX222" i="3"/>
  <c r="BI222" i="3"/>
  <c r="BY223" i="3"/>
  <c r="BX223" i="3"/>
  <c r="BI223" i="3"/>
  <c r="BY224" i="3"/>
  <c r="BX224" i="3"/>
  <c r="BI224" i="3"/>
  <c r="BY225" i="3"/>
  <c r="BX225" i="3"/>
  <c r="BI225" i="3"/>
  <c r="BY226" i="3"/>
  <c r="BX226" i="3"/>
  <c r="BI226" i="3"/>
  <c r="BY227" i="3"/>
  <c r="BX227" i="3"/>
  <c r="BI227" i="3"/>
  <c r="BY228" i="3"/>
  <c r="BX228" i="3"/>
  <c r="BI228" i="3"/>
  <c r="BY229" i="3"/>
  <c r="BX229" i="3"/>
  <c r="BI229" i="3"/>
  <c r="BY230" i="3"/>
  <c r="BX230" i="3"/>
  <c r="BI230" i="3"/>
  <c r="BY231" i="3"/>
  <c r="BX231" i="3"/>
  <c r="BI231" i="3"/>
  <c r="BY232" i="3"/>
  <c r="BX232" i="3"/>
  <c r="BI232" i="3"/>
  <c r="BY233" i="3"/>
  <c r="BX233" i="3"/>
  <c r="BI233" i="3"/>
  <c r="BY234" i="3"/>
  <c r="BX234" i="3"/>
  <c r="BI234" i="3"/>
  <c r="BY235" i="3"/>
  <c r="BX235" i="3"/>
  <c r="BI235" i="3"/>
  <c r="BY236" i="3"/>
  <c r="BX236" i="3"/>
  <c r="BI236" i="3"/>
  <c r="BY237" i="3"/>
  <c r="BX237" i="3"/>
  <c r="BI237" i="3"/>
  <c r="BY238" i="3"/>
  <c r="BX238" i="3"/>
  <c r="BI238" i="3"/>
  <c r="BY239" i="3"/>
  <c r="BX239" i="3"/>
  <c r="BI239" i="3"/>
  <c r="BY240" i="3"/>
  <c r="BX240" i="3"/>
  <c r="BI240" i="3"/>
  <c r="BY241" i="3"/>
  <c r="BX241" i="3"/>
  <c r="BI241" i="3"/>
  <c r="BY242" i="3"/>
  <c r="BX242" i="3"/>
  <c r="BI242" i="3"/>
  <c r="BY243" i="3"/>
  <c r="BX243" i="3"/>
  <c r="BI243" i="3"/>
  <c r="BY244" i="3"/>
  <c r="BX244" i="3"/>
  <c r="BI244" i="3"/>
  <c r="BY245" i="3"/>
  <c r="BX245" i="3"/>
  <c r="BI245" i="3"/>
  <c r="BY246" i="3"/>
  <c r="BX246" i="3"/>
  <c r="BI246" i="3"/>
  <c r="BY247" i="3"/>
  <c r="BX247" i="3"/>
  <c r="BI247" i="3"/>
  <c r="BY248" i="3"/>
  <c r="BX248" i="3"/>
  <c r="BI248" i="3"/>
  <c r="BY249" i="3"/>
  <c r="BX249" i="3"/>
  <c r="BI249" i="3"/>
  <c r="BY250" i="3"/>
  <c r="BX250" i="3"/>
  <c r="BI250" i="3"/>
  <c r="BY251" i="3"/>
  <c r="BX251" i="3"/>
  <c r="BI251" i="3"/>
  <c r="BY252" i="3"/>
  <c r="BX252" i="3"/>
  <c r="BI252" i="3"/>
  <c r="BY253" i="3"/>
  <c r="BX253" i="3"/>
  <c r="BI253" i="3"/>
  <c r="BY254" i="3"/>
  <c r="BX254" i="3"/>
  <c r="BI254" i="3"/>
  <c r="BY255" i="3"/>
  <c r="BX255" i="3"/>
  <c r="BI255" i="3"/>
  <c r="BY256" i="3"/>
  <c r="BX256" i="3"/>
  <c r="BI256" i="3"/>
  <c r="BY257" i="3"/>
  <c r="BX257" i="3"/>
  <c r="BI257" i="3"/>
  <c r="BY258" i="3"/>
  <c r="BX258" i="3"/>
  <c r="BI258" i="3"/>
  <c r="BY259" i="3"/>
  <c r="BX259" i="3"/>
  <c r="BI259" i="3"/>
  <c r="BY260" i="3"/>
  <c r="BX260" i="3"/>
  <c r="BI260" i="3"/>
  <c r="BY261" i="3"/>
  <c r="BX261" i="3"/>
  <c r="BI261" i="3"/>
  <c r="BY262" i="3"/>
  <c r="BX262" i="3"/>
  <c r="BI262" i="3"/>
  <c r="BY263" i="3"/>
  <c r="BX263" i="3"/>
  <c r="BI263" i="3"/>
  <c r="BY264" i="3"/>
  <c r="BX264" i="3"/>
  <c r="BI264" i="3"/>
  <c r="BY265" i="3"/>
  <c r="BX265" i="3"/>
  <c r="BI265" i="3"/>
  <c r="BY266" i="3"/>
  <c r="BX266" i="3"/>
  <c r="BI266" i="3"/>
  <c r="BY267" i="3"/>
  <c r="BX267" i="3"/>
  <c r="BI267" i="3"/>
  <c r="BY268" i="3"/>
  <c r="BX268" i="3"/>
  <c r="BI268" i="3"/>
  <c r="BY269" i="3"/>
  <c r="BX269" i="3"/>
  <c r="BI269" i="3"/>
  <c r="BY270" i="3"/>
  <c r="BX270" i="3"/>
  <c r="BI270" i="3"/>
  <c r="BY271" i="3"/>
  <c r="BX271" i="3"/>
  <c r="BI271" i="3"/>
  <c r="BY272" i="3"/>
  <c r="BX272" i="3"/>
  <c r="BI272" i="3"/>
  <c r="BY273" i="3"/>
  <c r="BX273" i="3"/>
  <c r="BI273" i="3"/>
  <c r="BY274" i="3"/>
  <c r="BX274" i="3"/>
  <c r="BI274" i="3"/>
  <c r="BY275" i="3"/>
  <c r="BX275" i="3"/>
  <c r="BI275" i="3"/>
  <c r="BY276" i="3"/>
  <c r="BX276" i="3"/>
  <c r="BI276" i="3"/>
  <c r="BY277" i="3"/>
  <c r="BX277" i="3"/>
  <c r="BI277" i="3"/>
  <c r="BY278" i="3"/>
  <c r="BX278" i="3"/>
  <c r="BI278" i="3"/>
  <c r="BY279" i="3"/>
  <c r="BX279" i="3"/>
  <c r="BI279" i="3"/>
  <c r="BY280" i="3"/>
  <c r="BX280" i="3"/>
  <c r="BI280" i="3"/>
  <c r="BY281" i="3"/>
  <c r="BX281" i="3"/>
  <c r="BI281" i="3"/>
  <c r="BY282" i="3"/>
  <c r="BX282" i="3"/>
  <c r="BI282" i="3"/>
  <c r="BY283" i="3"/>
  <c r="BX283" i="3"/>
  <c r="BI283" i="3"/>
  <c r="BY284" i="3"/>
  <c r="BX284" i="3"/>
  <c r="BI284" i="3"/>
  <c r="BY285" i="3"/>
  <c r="BX285" i="3"/>
  <c r="BI285" i="3"/>
  <c r="BY286" i="3"/>
  <c r="BX286" i="3"/>
  <c r="BI286" i="3"/>
  <c r="BY287" i="3"/>
  <c r="BX287" i="3"/>
  <c r="BI287" i="3"/>
  <c r="BY288" i="3"/>
  <c r="BX288" i="3"/>
  <c r="BI288" i="3"/>
  <c r="BY289" i="3"/>
  <c r="BX289" i="3"/>
  <c r="BI289" i="3"/>
  <c r="BY290" i="3"/>
  <c r="BX290" i="3"/>
  <c r="BI290" i="3"/>
  <c r="BY291" i="3"/>
  <c r="BX291" i="3"/>
  <c r="BI291" i="3"/>
  <c r="BY292" i="3"/>
  <c r="BX292" i="3"/>
  <c r="BI292" i="3"/>
  <c r="BY293" i="3"/>
  <c r="BX293" i="3"/>
  <c r="BI293" i="3"/>
  <c r="BY294" i="3"/>
  <c r="BX294" i="3"/>
  <c r="BI294" i="3"/>
  <c r="BY295" i="3"/>
  <c r="BX295" i="3"/>
  <c r="BI295" i="3"/>
  <c r="BY296" i="3"/>
  <c r="BX296" i="3"/>
  <c r="BI296" i="3"/>
  <c r="BY297" i="3"/>
  <c r="BX297" i="3"/>
  <c r="BI297" i="3"/>
  <c r="BY298" i="3"/>
  <c r="BX298" i="3"/>
  <c r="BI298" i="3"/>
  <c r="BY299" i="3"/>
  <c r="BX299" i="3"/>
  <c r="BI299" i="3"/>
  <c r="BY300" i="3"/>
  <c r="BX300" i="3"/>
  <c r="BI300" i="3"/>
  <c r="BY301" i="3"/>
  <c r="BX301" i="3"/>
  <c r="BI301" i="3"/>
  <c r="BY302" i="3"/>
  <c r="BX302" i="3"/>
  <c r="BI302" i="3"/>
  <c r="BY303" i="3"/>
  <c r="BX303" i="3"/>
  <c r="BI303" i="3"/>
  <c r="BY304" i="3"/>
  <c r="BX304" i="3"/>
  <c r="BI304" i="3"/>
  <c r="BY305" i="3"/>
  <c r="BX305" i="3"/>
  <c r="BI305" i="3"/>
  <c r="BY306" i="3"/>
  <c r="BX306" i="3"/>
  <c r="BI306" i="3"/>
  <c r="BY307" i="3"/>
  <c r="BX307" i="3"/>
  <c r="BI307" i="3"/>
  <c r="BY308" i="3"/>
  <c r="BX308" i="3"/>
  <c r="BI308" i="3"/>
  <c r="BY309" i="3"/>
  <c r="BX309" i="3"/>
  <c r="BI309" i="3"/>
  <c r="BY310" i="3"/>
  <c r="BX310" i="3"/>
  <c r="BI310" i="3"/>
  <c r="BY311" i="3"/>
  <c r="BX311" i="3"/>
  <c r="BI311" i="3"/>
  <c r="BY312" i="3"/>
  <c r="BX312" i="3"/>
  <c r="BI312" i="3"/>
  <c r="BY313" i="3"/>
  <c r="BX313" i="3"/>
  <c r="BI313" i="3"/>
  <c r="BY314" i="3"/>
  <c r="BX314" i="3"/>
  <c r="BI314" i="3"/>
  <c r="BY315" i="3"/>
  <c r="BX315" i="3"/>
  <c r="BI315" i="3"/>
  <c r="BY316" i="3"/>
  <c r="BX316" i="3"/>
  <c r="BI316" i="3"/>
  <c r="BY317" i="3"/>
  <c r="BX317" i="3"/>
  <c r="BI317" i="3"/>
  <c r="BY318" i="3"/>
  <c r="BX318" i="3"/>
  <c r="BI318" i="3"/>
  <c r="BY319" i="3"/>
  <c r="BX319" i="3"/>
  <c r="BI319" i="3"/>
  <c r="BY320" i="3"/>
  <c r="BX320" i="3"/>
  <c r="BI320" i="3"/>
  <c r="BY321" i="3"/>
  <c r="BX321" i="3"/>
  <c r="BI321" i="3"/>
  <c r="BY322" i="3"/>
  <c r="BX322" i="3"/>
  <c r="BI322" i="3"/>
  <c r="BY323" i="3"/>
  <c r="BX323" i="3"/>
  <c r="BI323" i="3"/>
  <c r="BY324" i="3"/>
  <c r="BX324" i="3"/>
  <c r="BI324" i="3"/>
  <c r="BY325" i="3"/>
  <c r="BX325" i="3"/>
  <c r="BI325" i="3"/>
  <c r="BY326" i="3"/>
  <c r="BX326" i="3"/>
  <c r="BI326" i="3"/>
  <c r="BY327" i="3"/>
  <c r="BX327" i="3"/>
  <c r="BI327" i="3"/>
  <c r="BY328" i="3"/>
  <c r="BX328" i="3"/>
  <c r="BI328" i="3"/>
  <c r="BY329" i="3"/>
  <c r="BX329" i="3"/>
  <c r="BI329" i="3"/>
  <c r="BY330" i="3"/>
  <c r="BX330" i="3"/>
  <c r="BI330" i="3"/>
  <c r="BY331" i="3"/>
  <c r="BX331" i="3"/>
  <c r="BI331" i="3"/>
  <c r="BY332" i="3"/>
  <c r="BX332" i="3"/>
  <c r="BI332" i="3"/>
  <c r="BY333" i="3"/>
  <c r="BX333" i="3"/>
  <c r="BI333" i="3"/>
  <c r="BY334" i="3"/>
  <c r="BX334" i="3"/>
  <c r="BI334" i="3"/>
  <c r="BY335" i="3"/>
  <c r="BX335" i="3"/>
  <c r="BI335" i="3"/>
  <c r="BY336" i="3"/>
  <c r="BX336" i="3"/>
  <c r="BI336" i="3"/>
  <c r="BY337" i="3"/>
  <c r="BX337" i="3"/>
  <c r="BI337" i="3"/>
  <c r="BY338" i="3"/>
  <c r="BX338" i="3"/>
  <c r="BI338" i="3"/>
  <c r="BY339" i="3"/>
  <c r="BX339" i="3"/>
  <c r="BI339" i="3"/>
  <c r="BY340" i="3"/>
  <c r="BX340" i="3"/>
  <c r="BI340" i="3"/>
  <c r="BY341" i="3"/>
  <c r="BX341" i="3"/>
  <c r="BI341" i="3"/>
  <c r="BY342" i="3"/>
  <c r="BX342" i="3"/>
  <c r="BI342" i="3"/>
  <c r="BY343" i="3"/>
  <c r="BX343" i="3"/>
  <c r="BI343" i="3"/>
  <c r="BY344" i="3"/>
  <c r="BX344" i="3"/>
  <c r="BI344" i="3"/>
  <c r="BY345" i="3"/>
  <c r="BX345" i="3"/>
  <c r="BI345" i="3"/>
  <c r="BY346" i="3"/>
  <c r="BX346" i="3"/>
  <c r="BI346" i="3"/>
  <c r="BY347" i="3"/>
  <c r="BX347" i="3"/>
  <c r="BI347" i="3"/>
  <c r="BY348" i="3"/>
  <c r="BX348" i="3"/>
  <c r="BI348" i="3"/>
  <c r="BY349" i="3"/>
  <c r="BX349" i="3"/>
  <c r="BI349" i="3"/>
  <c r="BY350" i="3"/>
  <c r="BX350" i="3"/>
  <c r="BI350" i="3"/>
  <c r="BY351" i="3"/>
  <c r="BX351" i="3"/>
  <c r="BI351" i="3"/>
  <c r="BY352" i="3"/>
  <c r="BX352" i="3"/>
  <c r="BI352" i="3"/>
  <c r="BY353" i="3"/>
  <c r="BX353" i="3"/>
  <c r="BI353" i="3"/>
  <c r="BY354" i="3"/>
  <c r="BX354" i="3"/>
  <c r="BI354" i="3"/>
  <c r="BY355" i="3"/>
  <c r="BX355" i="3"/>
  <c r="BI355" i="3"/>
  <c r="BY356" i="3"/>
  <c r="BX356" i="3"/>
  <c r="BI356" i="3"/>
  <c r="BY357" i="3"/>
  <c r="BX357" i="3"/>
  <c r="BI357" i="3"/>
  <c r="BY358" i="3"/>
  <c r="BX358" i="3"/>
  <c r="BI358" i="3"/>
  <c r="BY359" i="3"/>
  <c r="BX359" i="3"/>
  <c r="BI359" i="3"/>
  <c r="BY360" i="3"/>
  <c r="BX360" i="3"/>
  <c r="BI360" i="3"/>
  <c r="BY361" i="3"/>
  <c r="BX361" i="3"/>
  <c r="BI361" i="3"/>
  <c r="BY362" i="3"/>
  <c r="BX362" i="3"/>
  <c r="BI362" i="3"/>
  <c r="BY363" i="3"/>
  <c r="BX363" i="3"/>
  <c r="BI363" i="3"/>
  <c r="BY364" i="3"/>
  <c r="BX364" i="3"/>
  <c r="BI364" i="3"/>
  <c r="BY365" i="3"/>
  <c r="BX365" i="3"/>
  <c r="BI365" i="3"/>
  <c r="BY366" i="3"/>
  <c r="BX366" i="3"/>
  <c r="BI366" i="3"/>
  <c r="BY367" i="3"/>
  <c r="BX367" i="3"/>
  <c r="BI367" i="3"/>
  <c r="BY368" i="3"/>
  <c r="BX368" i="3"/>
  <c r="BI368" i="3"/>
  <c r="BY369" i="3"/>
  <c r="BX369" i="3"/>
  <c r="BI369" i="3"/>
  <c r="BY370" i="3"/>
  <c r="BX370" i="3"/>
  <c r="BI370" i="3"/>
  <c r="BY371" i="3"/>
  <c r="BX371" i="3"/>
  <c r="BI371" i="3"/>
  <c r="BY372" i="3"/>
  <c r="BX372" i="3"/>
  <c r="BI372" i="3"/>
  <c r="BY373" i="3"/>
  <c r="BX373" i="3"/>
  <c r="BI373" i="3"/>
  <c r="BY374" i="3"/>
  <c r="BX374" i="3"/>
  <c r="BI374" i="3"/>
  <c r="BY375" i="3"/>
  <c r="BX375" i="3"/>
  <c r="BI375" i="3"/>
  <c r="BY376" i="3"/>
  <c r="BX376" i="3"/>
  <c r="BI376" i="3"/>
  <c r="BY377" i="3"/>
  <c r="BX377" i="3"/>
  <c r="BI377" i="3"/>
  <c r="BY378" i="3"/>
  <c r="BX378" i="3"/>
  <c r="BI378" i="3"/>
  <c r="BY379" i="3"/>
  <c r="BX379" i="3"/>
  <c r="BI379" i="3"/>
  <c r="BY380" i="3"/>
  <c r="BX380" i="3"/>
  <c r="BI380" i="3"/>
  <c r="BY381" i="3"/>
  <c r="BX381" i="3"/>
  <c r="BI381" i="3"/>
  <c r="BY382" i="3"/>
  <c r="BX382" i="3"/>
  <c r="BI382" i="3"/>
  <c r="BY383" i="3"/>
  <c r="BX383" i="3"/>
  <c r="BI383" i="3"/>
  <c r="BY384" i="3"/>
  <c r="BX384" i="3"/>
  <c r="BI384" i="3"/>
  <c r="BY385" i="3"/>
  <c r="BX385" i="3"/>
  <c r="BI385" i="3"/>
  <c r="BY386" i="3"/>
  <c r="BX386" i="3"/>
  <c r="BI386" i="3"/>
  <c r="BY387" i="3"/>
  <c r="BX387" i="3"/>
  <c r="BI387" i="3"/>
  <c r="BY388" i="3"/>
  <c r="BX388" i="3"/>
  <c r="BI388" i="3"/>
  <c r="BY389" i="3"/>
  <c r="BX389" i="3"/>
  <c r="BI389" i="3"/>
  <c r="BY390" i="3"/>
  <c r="BX390" i="3"/>
  <c r="BI390" i="3"/>
  <c r="BY391" i="3"/>
  <c r="BX391" i="3"/>
  <c r="BI391" i="3"/>
  <c r="BY392" i="3"/>
  <c r="BX392" i="3"/>
  <c r="BI392" i="3"/>
  <c r="BY393" i="3"/>
  <c r="BX393" i="3"/>
  <c r="BI393" i="3"/>
  <c r="BY394" i="3"/>
  <c r="BX394" i="3"/>
  <c r="BI394" i="3"/>
  <c r="BY395" i="3"/>
  <c r="BX395" i="3"/>
  <c r="BI395" i="3"/>
  <c r="BY396" i="3"/>
  <c r="BX396" i="3"/>
  <c r="BI396" i="3"/>
  <c r="BY397" i="3"/>
  <c r="BX397" i="3"/>
  <c r="BI397" i="3"/>
  <c r="BY398" i="3"/>
  <c r="BX398" i="3"/>
  <c r="BI398" i="3"/>
  <c r="BY399" i="3"/>
  <c r="BX399" i="3"/>
  <c r="BI399" i="3"/>
  <c r="BY400" i="3"/>
  <c r="BX400" i="3"/>
  <c r="BI400" i="3"/>
  <c r="BY401" i="3"/>
  <c r="BX401" i="3"/>
  <c r="BI401" i="3"/>
  <c r="BY402" i="3"/>
  <c r="BX402" i="3"/>
  <c r="BI402" i="3"/>
  <c r="BY403" i="3"/>
  <c r="BX403" i="3"/>
  <c r="BI403" i="3"/>
  <c r="BY404" i="3"/>
  <c r="BX404" i="3"/>
  <c r="BI404" i="3"/>
  <c r="BY405" i="3"/>
  <c r="BX405" i="3"/>
  <c r="BI405" i="3"/>
  <c r="BY406" i="3"/>
  <c r="BX406" i="3"/>
  <c r="BI406" i="3"/>
  <c r="BY407" i="3"/>
  <c r="BX407" i="3"/>
  <c r="BI407" i="3"/>
  <c r="BY408" i="3"/>
  <c r="BX408" i="3"/>
  <c r="BI408" i="3"/>
  <c r="BY409" i="3"/>
  <c r="BX409" i="3"/>
  <c r="BI409" i="3"/>
  <c r="BY410" i="3"/>
  <c r="BX410" i="3"/>
  <c r="BI410" i="3"/>
  <c r="BY411" i="3"/>
  <c r="BX411" i="3"/>
  <c r="BI411" i="3"/>
  <c r="BY412" i="3"/>
  <c r="BX412" i="3"/>
  <c r="BI412" i="3"/>
  <c r="BY413" i="3"/>
  <c r="BX413" i="3"/>
  <c r="BI413" i="3"/>
  <c r="BY414" i="3"/>
  <c r="BX414" i="3"/>
  <c r="BI414" i="3"/>
  <c r="BY415" i="3"/>
  <c r="BX415" i="3"/>
  <c r="BI415" i="3"/>
  <c r="BY416" i="3"/>
  <c r="BX416" i="3"/>
  <c r="BI416" i="3"/>
  <c r="BY417" i="3"/>
  <c r="BX417" i="3"/>
  <c r="BI417" i="3"/>
  <c r="BY418" i="3"/>
  <c r="BX418" i="3"/>
  <c r="BI418" i="3"/>
  <c r="BY419" i="3"/>
  <c r="BX419" i="3"/>
  <c r="BI419" i="3"/>
  <c r="BY420" i="3"/>
  <c r="BX420" i="3"/>
  <c r="BI420" i="3"/>
  <c r="BY421" i="3"/>
  <c r="BX421" i="3"/>
  <c r="BI421" i="3"/>
  <c r="BY422" i="3"/>
  <c r="BX422" i="3"/>
  <c r="BI422" i="3"/>
  <c r="BY423" i="3"/>
  <c r="BX423" i="3"/>
  <c r="BI423" i="3"/>
  <c r="BY424" i="3"/>
  <c r="BX424" i="3"/>
  <c r="BI424" i="3"/>
  <c r="BY425" i="3"/>
  <c r="BX425" i="3"/>
  <c r="BI425" i="3"/>
  <c r="BY426" i="3"/>
  <c r="BX426" i="3"/>
  <c r="BI426" i="3"/>
  <c r="BY427" i="3"/>
  <c r="BX427" i="3"/>
  <c r="BI427" i="3"/>
  <c r="BY428" i="3"/>
  <c r="BX428" i="3"/>
  <c r="BI428" i="3"/>
  <c r="BY429" i="3"/>
  <c r="BX429" i="3"/>
  <c r="BI429" i="3"/>
  <c r="BY430" i="3"/>
  <c r="BX430" i="3"/>
  <c r="BI430" i="3"/>
  <c r="BY431" i="3"/>
  <c r="BX431" i="3"/>
  <c r="BI431" i="3"/>
  <c r="BY432" i="3"/>
  <c r="BX432" i="3"/>
  <c r="BI432" i="3"/>
  <c r="BY433" i="3"/>
  <c r="BX433" i="3"/>
  <c r="BI433" i="3"/>
  <c r="BY434" i="3"/>
  <c r="BX434" i="3"/>
  <c r="BI434" i="3"/>
  <c r="BY435" i="3"/>
  <c r="BX435" i="3"/>
  <c r="BI435" i="3"/>
  <c r="BY436" i="3"/>
  <c r="BX436" i="3"/>
  <c r="BI436" i="3"/>
  <c r="BY437" i="3"/>
  <c r="BX437" i="3"/>
  <c r="BI437" i="3"/>
  <c r="BY438" i="3"/>
  <c r="BX438" i="3"/>
  <c r="BI438" i="3"/>
  <c r="BY439" i="3"/>
  <c r="BX439" i="3"/>
  <c r="BI439" i="3"/>
  <c r="BY440" i="3"/>
  <c r="BX440" i="3"/>
  <c r="BI440" i="3"/>
  <c r="BY441" i="3"/>
  <c r="BX441" i="3"/>
  <c r="BI441" i="3"/>
  <c r="BY442" i="3"/>
  <c r="BX442" i="3"/>
  <c r="BI442" i="3"/>
  <c r="BY443" i="3"/>
  <c r="BX443" i="3"/>
  <c r="BI443" i="3"/>
  <c r="BY444" i="3"/>
  <c r="BX444" i="3"/>
  <c r="BI444" i="3"/>
  <c r="BY445" i="3"/>
  <c r="BX445" i="3"/>
  <c r="BI445" i="3"/>
  <c r="BY446" i="3"/>
  <c r="BX446" i="3"/>
  <c r="BI446" i="3"/>
  <c r="BY447" i="3"/>
  <c r="BX447" i="3"/>
  <c r="BI447" i="3"/>
  <c r="BY448" i="3"/>
  <c r="BX448" i="3"/>
  <c r="BI448" i="3"/>
  <c r="BY449" i="3"/>
  <c r="BX449" i="3"/>
  <c r="BI449" i="3"/>
  <c r="BY450" i="3"/>
  <c r="BX450" i="3"/>
  <c r="BI450" i="3"/>
  <c r="BY451" i="3"/>
  <c r="BX451" i="3"/>
  <c r="BI451" i="3"/>
  <c r="BY452" i="3"/>
  <c r="BX452" i="3"/>
  <c r="BI452" i="3"/>
  <c r="BY453" i="3"/>
  <c r="BX453" i="3"/>
  <c r="BI453" i="3"/>
  <c r="BY454" i="3"/>
  <c r="BX454" i="3"/>
  <c r="BI454" i="3"/>
  <c r="BY455" i="3"/>
  <c r="BX455" i="3"/>
  <c r="BI455" i="3"/>
  <c r="BY456" i="3"/>
  <c r="BX456" i="3"/>
  <c r="BI456" i="3"/>
  <c r="BY457" i="3"/>
  <c r="BX457" i="3"/>
  <c r="BI457" i="3"/>
  <c r="BY458" i="3"/>
  <c r="BX458" i="3"/>
  <c r="BI458" i="3"/>
  <c r="BY459" i="3"/>
  <c r="BX459" i="3"/>
  <c r="BI459" i="3"/>
  <c r="BY460" i="3"/>
  <c r="BX460" i="3"/>
  <c r="BI460" i="3"/>
  <c r="BY461" i="3"/>
  <c r="BX461" i="3"/>
  <c r="BI461" i="3"/>
  <c r="BY462" i="3"/>
  <c r="BX462" i="3"/>
  <c r="BI462" i="3"/>
  <c r="BY463" i="3"/>
  <c r="BX463" i="3"/>
  <c r="BI463" i="3"/>
  <c r="BY464" i="3"/>
  <c r="BX464" i="3"/>
  <c r="BI464" i="3"/>
  <c r="BY465" i="3"/>
  <c r="BX465" i="3"/>
  <c r="BI465" i="3"/>
  <c r="BY466" i="3"/>
  <c r="BX466" i="3"/>
  <c r="BI466" i="3"/>
  <c r="BY467" i="3"/>
  <c r="BX467" i="3"/>
  <c r="BI467" i="3"/>
  <c r="BY468" i="3"/>
  <c r="BX468" i="3"/>
  <c r="BI468" i="3"/>
  <c r="BY469" i="3"/>
  <c r="BX469" i="3"/>
  <c r="BI469" i="3"/>
  <c r="BY470" i="3"/>
  <c r="BX470" i="3"/>
  <c r="BI470" i="3"/>
  <c r="BY471" i="3"/>
  <c r="BX471" i="3"/>
  <c r="BI471" i="3"/>
  <c r="BY472" i="3"/>
  <c r="BX472" i="3"/>
  <c r="BI472" i="3"/>
  <c r="BY473" i="3"/>
  <c r="BX473" i="3"/>
  <c r="BI473" i="3"/>
  <c r="BY474" i="3"/>
  <c r="BX474" i="3"/>
  <c r="BI474" i="3"/>
  <c r="BY475" i="3"/>
  <c r="BX475" i="3"/>
  <c r="BI475" i="3"/>
  <c r="BY476" i="3"/>
  <c r="BX476" i="3"/>
  <c r="BI476" i="3"/>
  <c r="BY477" i="3"/>
  <c r="BX477" i="3"/>
  <c r="BI477" i="3"/>
  <c r="BY478" i="3"/>
  <c r="BX478" i="3"/>
  <c r="BI478" i="3"/>
  <c r="BY479" i="3"/>
  <c r="BX479" i="3"/>
  <c r="BI479" i="3"/>
  <c r="BY480" i="3"/>
  <c r="BX480" i="3"/>
  <c r="BI480" i="3"/>
  <c r="BY481" i="3"/>
  <c r="BX481" i="3"/>
  <c r="BI481" i="3"/>
  <c r="BY482" i="3"/>
  <c r="BX482" i="3"/>
  <c r="BI482" i="3"/>
  <c r="BY483" i="3"/>
  <c r="BX483" i="3"/>
  <c r="BI483" i="3"/>
  <c r="BY484" i="3"/>
  <c r="BX484" i="3"/>
  <c r="BI484" i="3"/>
  <c r="BY485" i="3"/>
  <c r="BX485" i="3"/>
  <c r="BI485" i="3"/>
  <c r="BY486" i="3"/>
  <c r="BX486" i="3"/>
  <c r="BI486" i="3"/>
  <c r="BY487" i="3"/>
  <c r="BX487" i="3"/>
  <c r="BI487" i="3"/>
  <c r="BY488" i="3"/>
  <c r="BX488" i="3"/>
  <c r="BI488" i="3"/>
  <c r="BY489" i="3"/>
  <c r="BX489" i="3"/>
  <c r="BI489" i="3"/>
  <c r="BY490" i="3"/>
  <c r="BX490" i="3"/>
  <c r="BI490" i="3"/>
  <c r="BY491" i="3"/>
  <c r="BX491" i="3"/>
  <c r="BI491" i="3"/>
  <c r="BY492" i="3"/>
  <c r="BX492" i="3"/>
  <c r="BI492" i="3"/>
  <c r="BY493" i="3"/>
  <c r="BX493" i="3"/>
  <c r="BI493" i="3"/>
  <c r="BY494" i="3"/>
  <c r="BX494" i="3"/>
  <c r="BI494" i="3"/>
  <c r="BY495" i="3"/>
  <c r="BX495" i="3"/>
  <c r="BI495" i="3"/>
  <c r="BY496" i="3"/>
  <c r="BX496" i="3"/>
  <c r="BI496" i="3"/>
  <c r="BY497" i="3"/>
  <c r="BX497" i="3"/>
  <c r="BI497" i="3"/>
  <c r="BY498" i="3"/>
  <c r="BX498" i="3"/>
  <c r="BI498" i="3"/>
  <c r="BY499" i="3"/>
  <c r="BX499" i="3"/>
  <c r="BI499" i="3"/>
  <c r="BY500" i="3"/>
  <c r="BX500" i="3"/>
  <c r="BI500" i="3"/>
  <c r="BY501" i="3"/>
  <c r="BX501" i="3"/>
  <c r="BI501" i="3"/>
  <c r="AC444" i="3" l="1"/>
  <c r="AC450" i="3"/>
  <c r="AC456" i="3"/>
  <c r="AC462" i="3"/>
  <c r="AB468" i="3"/>
  <c r="AV468" i="3" s="1"/>
  <c r="AB165" i="3"/>
  <c r="AV165" i="3" s="1"/>
  <c r="AB170" i="3"/>
  <c r="AV170" i="3" s="1"/>
  <c r="AB175" i="3"/>
  <c r="AB180" i="3"/>
  <c r="AV180" i="3" s="1"/>
  <c r="AB185" i="3"/>
  <c r="AB190" i="3"/>
  <c r="AV190" i="3" s="1"/>
  <c r="AB195" i="3"/>
  <c r="AB200" i="3"/>
  <c r="AB205" i="3"/>
  <c r="AV205" i="3" s="1"/>
  <c r="AB210" i="3"/>
  <c r="AV210" i="3" s="1"/>
  <c r="AB215" i="3"/>
  <c r="AV215" i="3" s="1"/>
  <c r="AB220" i="3"/>
  <c r="AV220" i="3" s="1"/>
  <c r="AB225" i="3"/>
  <c r="AV225" i="3" s="1"/>
  <c r="AB230" i="3"/>
  <c r="AV230" i="3" s="1"/>
  <c r="AB235" i="3"/>
  <c r="AV235" i="3" s="1"/>
  <c r="AB240" i="3"/>
  <c r="AV240" i="3" s="1"/>
  <c r="AB245" i="3"/>
  <c r="AV245" i="3" s="1"/>
  <c r="AB250" i="3"/>
  <c r="AV250" i="3" s="1"/>
  <c r="AB255" i="3"/>
  <c r="AV255" i="3" s="1"/>
  <c r="AB260" i="3"/>
  <c r="AV260" i="3" s="1"/>
  <c r="AB265" i="3"/>
  <c r="AB270" i="3"/>
  <c r="AV270" i="3" s="1"/>
  <c r="AB275" i="3"/>
  <c r="AB280" i="3"/>
  <c r="AV280" i="3" s="1"/>
  <c r="AB285" i="3"/>
  <c r="AB290" i="3"/>
  <c r="AB295" i="3"/>
  <c r="AB300" i="3"/>
  <c r="AB305" i="3"/>
  <c r="AV305" i="3" s="1"/>
  <c r="AB310" i="3"/>
  <c r="AV310" i="3" s="1"/>
  <c r="AB315" i="3"/>
  <c r="AV315" i="3" s="1"/>
  <c r="AB320" i="3"/>
  <c r="AV320" i="3" s="1"/>
  <c r="AB325" i="3"/>
  <c r="AV325" i="3" s="1"/>
  <c r="AB330" i="3"/>
  <c r="AV330" i="3" s="1"/>
  <c r="AB335" i="3"/>
  <c r="AV335" i="3" s="1"/>
  <c r="AB340" i="3"/>
  <c r="AV340" i="3" s="1"/>
  <c r="AB345" i="3"/>
  <c r="AV345" i="3" s="1"/>
  <c r="AB350" i="3"/>
  <c r="AV350" i="3" s="1"/>
  <c r="AB355" i="3"/>
  <c r="AV355" i="3" s="1"/>
  <c r="AB360" i="3"/>
  <c r="AV360" i="3" s="1"/>
  <c r="AB365" i="3"/>
  <c r="AB370" i="3"/>
  <c r="AB375" i="3"/>
  <c r="AB380" i="3"/>
  <c r="AV380" i="3" s="1"/>
  <c r="AB385" i="3"/>
  <c r="AB390" i="3"/>
  <c r="AB395" i="3"/>
  <c r="AB400" i="3"/>
  <c r="AB405" i="3"/>
  <c r="AV405" i="3" s="1"/>
  <c r="AB410" i="3"/>
  <c r="AV410" i="3" s="1"/>
  <c r="AB415" i="3"/>
  <c r="AV415" i="3" s="1"/>
  <c r="AB420" i="3"/>
  <c r="AV420" i="3" s="1"/>
  <c r="AB425" i="3"/>
  <c r="AV425" i="3" s="1"/>
  <c r="AB430" i="3"/>
  <c r="AV430" i="3" s="1"/>
  <c r="AB435" i="3"/>
  <c r="AV435" i="3" s="1"/>
  <c r="AB440" i="3"/>
  <c r="AV440" i="3" s="1"/>
  <c r="AB445" i="3"/>
  <c r="AV445" i="3" s="1"/>
  <c r="AB450" i="3"/>
  <c r="AB455" i="3"/>
  <c r="AV455" i="3" s="1"/>
  <c r="AB460" i="3"/>
  <c r="AV460" i="3" s="1"/>
  <c r="AB465" i="3"/>
  <c r="AB470" i="3"/>
  <c r="AB475" i="3"/>
  <c r="AB480" i="3"/>
  <c r="AV480" i="3" s="1"/>
  <c r="AB485" i="3"/>
  <c r="AB490" i="3"/>
  <c r="AB495" i="3"/>
  <c r="AB500" i="3"/>
  <c r="AB166" i="3"/>
  <c r="AB171" i="3"/>
  <c r="AV171" i="3" s="1"/>
  <c r="AB176" i="3"/>
  <c r="AV176" i="3" s="1"/>
  <c r="AB181" i="3"/>
  <c r="AV181" i="3" s="1"/>
  <c r="AB186" i="3"/>
  <c r="AV186" i="3" s="1"/>
  <c r="AB191" i="3"/>
  <c r="AV191" i="3" s="1"/>
  <c r="AB196" i="3"/>
  <c r="AV196" i="3" s="1"/>
  <c r="AB201" i="3"/>
  <c r="AB206" i="3"/>
  <c r="AV206" i="3" s="1"/>
  <c r="AB211" i="3"/>
  <c r="AB216" i="3"/>
  <c r="AV216" i="3" s="1"/>
  <c r="AB221" i="3"/>
  <c r="AV221" i="3" s="1"/>
  <c r="AB226" i="3"/>
  <c r="AB231" i="3"/>
  <c r="AB236" i="3"/>
  <c r="AB241" i="3"/>
  <c r="AB246" i="3"/>
  <c r="AB251" i="3"/>
  <c r="AV251" i="3" s="1"/>
  <c r="AB256" i="3"/>
  <c r="AB261" i="3"/>
  <c r="AB266" i="3"/>
  <c r="AV266" i="3" s="1"/>
  <c r="AB271" i="3"/>
  <c r="AV271" i="3" s="1"/>
  <c r="AB276" i="3"/>
  <c r="AV276" i="3" s="1"/>
  <c r="AB281" i="3"/>
  <c r="AV281" i="3" s="1"/>
  <c r="AB286" i="3"/>
  <c r="AV286" i="3" s="1"/>
  <c r="AB291" i="3"/>
  <c r="AV291" i="3" s="1"/>
  <c r="AB296" i="3"/>
  <c r="AV296" i="3" s="1"/>
  <c r="AB301" i="3"/>
  <c r="AV301" i="3" s="1"/>
  <c r="AB306" i="3"/>
  <c r="AV306" i="3" s="1"/>
  <c r="AB311" i="3"/>
  <c r="AV311" i="3" s="1"/>
  <c r="AB316" i="3"/>
  <c r="AV316" i="3" s="1"/>
  <c r="AB321" i="3"/>
  <c r="AV321" i="3" s="1"/>
  <c r="AB326" i="3"/>
  <c r="AB331" i="3"/>
  <c r="AB336" i="3"/>
  <c r="AB341" i="3"/>
  <c r="AV341" i="3" s="1"/>
  <c r="AB346" i="3"/>
  <c r="AB351" i="3"/>
  <c r="AV351" i="3" s="1"/>
  <c r="AB356" i="3"/>
  <c r="AB361" i="3"/>
  <c r="AB366" i="3"/>
  <c r="AV366" i="3" s="1"/>
  <c r="AB371" i="3"/>
  <c r="AV371" i="3" s="1"/>
  <c r="AB376" i="3"/>
  <c r="AV376" i="3" s="1"/>
  <c r="AB381" i="3"/>
  <c r="AB386" i="3"/>
  <c r="AV386" i="3" s="1"/>
  <c r="AB391" i="3"/>
  <c r="AV391" i="3" s="1"/>
  <c r="AB396" i="3"/>
  <c r="AV396" i="3" s="1"/>
  <c r="AB401" i="3"/>
  <c r="AV401" i="3" s="1"/>
  <c r="AB406" i="3"/>
  <c r="AV406" i="3" s="1"/>
  <c r="AB411" i="3"/>
  <c r="AV411" i="3" s="1"/>
  <c r="AB416" i="3"/>
  <c r="AV416" i="3" s="1"/>
  <c r="AB421" i="3"/>
  <c r="AV421" i="3" s="1"/>
  <c r="AB426" i="3"/>
  <c r="AB431" i="3"/>
  <c r="AV431" i="3" s="1"/>
  <c r="AB436" i="3"/>
  <c r="AB441" i="3"/>
  <c r="AB446" i="3"/>
  <c r="AB451" i="3"/>
  <c r="AV451" i="3" s="1"/>
  <c r="AB456" i="3"/>
  <c r="AB461" i="3"/>
  <c r="AB466" i="3"/>
  <c r="AV466" i="3" s="1"/>
  <c r="AB471" i="3"/>
  <c r="AV471" i="3" s="1"/>
  <c r="AB476" i="3"/>
  <c r="AV476" i="3" s="1"/>
  <c r="AB481" i="3"/>
  <c r="AV481" i="3" s="1"/>
  <c r="AB486" i="3"/>
  <c r="AV486" i="3" s="1"/>
  <c r="AB491" i="3"/>
  <c r="AV491" i="3" s="1"/>
  <c r="AB496" i="3"/>
  <c r="AV496" i="3" s="1"/>
  <c r="AB501" i="3"/>
  <c r="AV501" i="3" s="1"/>
  <c r="AB257" i="3"/>
  <c r="AV257" i="3" s="1"/>
  <c r="AB262" i="3"/>
  <c r="AV262" i="3" s="1"/>
  <c r="AB267" i="3"/>
  <c r="AV267" i="3" s="1"/>
  <c r="AB272" i="3"/>
  <c r="AV272" i="3" s="1"/>
  <c r="AB277" i="3"/>
  <c r="AB282" i="3"/>
  <c r="AV282" i="3" s="1"/>
  <c r="AB287" i="3"/>
  <c r="AB292" i="3"/>
  <c r="AV292" i="3" s="1"/>
  <c r="AB297" i="3"/>
  <c r="AB302" i="3"/>
  <c r="AV302" i="3" s="1"/>
  <c r="AB307" i="3"/>
  <c r="AB312" i="3"/>
  <c r="AB317" i="3"/>
  <c r="AV317" i="3" s="1"/>
  <c r="AB322" i="3"/>
  <c r="AV322" i="3" s="1"/>
  <c r="AB327" i="3"/>
  <c r="AV327" i="3" s="1"/>
  <c r="AB332" i="3"/>
  <c r="AV332" i="3" s="1"/>
  <c r="AB337" i="3"/>
  <c r="AV337" i="3" s="1"/>
  <c r="AB342" i="3"/>
  <c r="AV342" i="3" s="1"/>
  <c r="AB347" i="3"/>
  <c r="AV347" i="3" s="1"/>
  <c r="AB352" i="3"/>
  <c r="AV352" i="3" s="1"/>
  <c r="AB357" i="3"/>
  <c r="AV357" i="3" s="1"/>
  <c r="AB362" i="3"/>
  <c r="AV362" i="3" s="1"/>
  <c r="AB367" i="3"/>
  <c r="AV367" i="3" s="1"/>
  <c r="AB372" i="3"/>
  <c r="AV372" i="3" s="1"/>
  <c r="AB377" i="3"/>
  <c r="AB382" i="3"/>
  <c r="AB387" i="3"/>
  <c r="AB392" i="3"/>
  <c r="AB397" i="3"/>
  <c r="AB402" i="3"/>
  <c r="AB407" i="3"/>
  <c r="AB412" i="3"/>
  <c r="AB417" i="3"/>
  <c r="AV417" i="3" s="1"/>
  <c r="AB422" i="3"/>
  <c r="AV422" i="3" s="1"/>
  <c r="AB427" i="3"/>
  <c r="AV427" i="3" s="1"/>
  <c r="AB432" i="3"/>
  <c r="AV432" i="3" s="1"/>
  <c r="AB437" i="3"/>
  <c r="AV437" i="3" s="1"/>
  <c r="AB442" i="3"/>
  <c r="AV442" i="3" s="1"/>
  <c r="AB447" i="3"/>
  <c r="AV447" i="3" s="1"/>
  <c r="AB452" i="3"/>
  <c r="AB457" i="3"/>
  <c r="AV457" i="3" s="1"/>
  <c r="AB462" i="3"/>
  <c r="AV462" i="3" s="1"/>
  <c r="AB467" i="3"/>
  <c r="AV467" i="3" s="1"/>
  <c r="AB472" i="3"/>
  <c r="AV472" i="3" s="1"/>
  <c r="AB477" i="3"/>
  <c r="AV477" i="3" s="1"/>
  <c r="AB482" i="3"/>
  <c r="AB487" i="3"/>
  <c r="AB492" i="3"/>
  <c r="AV492" i="3" s="1"/>
  <c r="AB497" i="3"/>
  <c r="Y287" i="3"/>
  <c r="Y81" i="3"/>
  <c r="Y448" i="3"/>
  <c r="X467" i="3"/>
  <c r="Y100" i="3"/>
  <c r="AS100" i="3" s="1"/>
  <c r="Y269" i="3"/>
  <c r="AS269" i="3" s="1"/>
  <c r="X388" i="3"/>
  <c r="AR388" i="3" s="1"/>
  <c r="Y34" i="3"/>
  <c r="AS34" i="3" s="1"/>
  <c r="Y56" i="3"/>
  <c r="AS56" i="3" s="1"/>
  <c r="X43" i="3"/>
  <c r="AR43" i="3" s="1"/>
  <c r="X16" i="3"/>
  <c r="AR16" i="3" s="1"/>
  <c r="X54" i="3"/>
  <c r="AR54" i="3" s="1"/>
  <c r="X55" i="3"/>
  <c r="AR55" i="3" s="1"/>
  <c r="X123" i="3"/>
  <c r="AR123" i="3" s="1"/>
  <c r="X44" i="3"/>
  <c r="AR44" i="3" s="1"/>
  <c r="Y21" i="3"/>
  <c r="AS21" i="3" s="1"/>
  <c r="X39" i="3"/>
  <c r="AR39" i="3" s="1"/>
  <c r="Y104" i="3"/>
  <c r="AS104" i="3" s="1"/>
  <c r="Y253" i="3"/>
  <c r="AS253" i="3" s="1"/>
  <c r="X31" i="3"/>
  <c r="AR31" i="3" s="1"/>
  <c r="Y68" i="3"/>
  <c r="AS68" i="3" s="1"/>
  <c r="Y97" i="3"/>
  <c r="AS97" i="3" s="1"/>
  <c r="Y23" i="3"/>
  <c r="AS23" i="3" s="1"/>
  <c r="Y63" i="3"/>
  <c r="AS63" i="3" s="1"/>
  <c r="Y14" i="3"/>
  <c r="AS14" i="3" s="1"/>
  <c r="X153" i="3"/>
  <c r="AR153" i="3" s="1"/>
  <c r="Y105" i="3"/>
  <c r="AS105" i="3" s="1"/>
  <c r="X15" i="3"/>
  <c r="AR15" i="3" s="1"/>
  <c r="X154" i="3"/>
  <c r="AR154" i="3" s="1"/>
  <c r="X126" i="3"/>
  <c r="AR126" i="3" s="1"/>
  <c r="Y264" i="3"/>
  <c r="AS264" i="3" s="1"/>
  <c r="Y210" i="3"/>
  <c r="AS210" i="3" s="1"/>
  <c r="X175" i="3"/>
  <c r="AR175" i="3" s="1"/>
  <c r="Y156" i="3"/>
  <c r="AS156" i="3" s="1"/>
  <c r="X205" i="3"/>
  <c r="AR205" i="3" s="1"/>
  <c r="X324" i="3"/>
  <c r="AR324" i="3" s="1"/>
  <c r="Y55" i="3"/>
  <c r="AS55" i="3" s="1"/>
  <c r="X10" i="3"/>
  <c r="AR10" i="3" s="1"/>
  <c r="Y16" i="3"/>
  <c r="AS16" i="3" s="1"/>
  <c r="X50" i="3"/>
  <c r="AR50" i="3" s="1"/>
  <c r="Y146" i="3"/>
  <c r="AS146" i="3" s="1"/>
  <c r="Y50" i="3"/>
  <c r="AS50" i="3" s="1"/>
  <c r="Y119" i="3"/>
  <c r="AS119" i="3" s="1"/>
  <c r="Y438" i="3"/>
  <c r="AS438" i="3" s="1"/>
  <c r="Y120" i="3"/>
  <c r="AS120" i="3" s="1"/>
  <c r="X400" i="3"/>
  <c r="AR400" i="3" s="1"/>
  <c r="Y12" i="3"/>
  <c r="AS12" i="3" s="1"/>
  <c r="X18" i="3"/>
  <c r="AR18" i="3" s="1"/>
  <c r="X26" i="3"/>
  <c r="AR26" i="3" s="1"/>
  <c r="X95" i="3"/>
  <c r="AR95" i="3" s="1"/>
  <c r="Y112" i="3"/>
  <c r="AS112" i="3" s="1"/>
  <c r="Y215" i="3"/>
  <c r="AS215" i="3" s="1"/>
  <c r="X13" i="3"/>
  <c r="AR13" i="3" s="1"/>
  <c r="X19" i="3"/>
  <c r="AR19" i="3" s="1"/>
  <c r="Y53" i="3"/>
  <c r="AS53" i="3" s="1"/>
  <c r="X96" i="3"/>
  <c r="AR96" i="3" s="1"/>
  <c r="Y5" i="3"/>
  <c r="AS5" i="3" s="1"/>
  <c r="Y13" i="3"/>
  <c r="AS13" i="3" s="1"/>
  <c r="X45" i="3"/>
  <c r="AR45" i="3" s="1"/>
  <c r="Y69" i="3"/>
  <c r="AS69" i="3" s="1"/>
  <c r="X265" i="3"/>
  <c r="AR265" i="3" s="1"/>
  <c r="X14" i="3"/>
  <c r="AR14" i="3" s="1"/>
  <c r="Y54" i="3"/>
  <c r="AS54" i="3" s="1"/>
  <c r="Y62" i="3"/>
  <c r="AS62" i="3" s="1"/>
  <c r="Y70" i="3"/>
  <c r="AS70" i="3" s="1"/>
  <c r="Y89" i="3"/>
  <c r="AS89" i="3" s="1"/>
  <c r="X115" i="3"/>
  <c r="AR115" i="3" s="1"/>
  <c r="Y123" i="3"/>
  <c r="AS123" i="3" s="1"/>
  <c r="X228" i="3"/>
  <c r="AR228" i="3" s="1"/>
  <c r="Y77" i="3"/>
  <c r="AS77" i="3" s="1"/>
  <c r="X3" i="3"/>
  <c r="AR3" i="3" s="1"/>
  <c r="Y96" i="3"/>
  <c r="AS96" i="3" s="1"/>
  <c r="X138" i="3"/>
  <c r="AR138" i="3" s="1"/>
  <c r="X164" i="3"/>
  <c r="AR164" i="3" s="1"/>
  <c r="Y3" i="3"/>
  <c r="AS3" i="3" s="1"/>
  <c r="X56" i="3"/>
  <c r="AR56" i="3" s="1"/>
  <c r="Y72" i="3"/>
  <c r="AS72" i="3" s="1"/>
  <c r="X81" i="3"/>
  <c r="AR81" i="3" s="1"/>
  <c r="X89" i="3"/>
  <c r="AR89" i="3" s="1"/>
  <c r="Y138" i="3"/>
  <c r="AS138" i="3" s="1"/>
  <c r="X193" i="3"/>
  <c r="AR193" i="3" s="1"/>
  <c r="X333" i="3"/>
  <c r="AR333" i="3" s="1"/>
  <c r="X353" i="3"/>
  <c r="AR353" i="3" s="1"/>
  <c r="X441" i="3"/>
  <c r="AR441" i="3" s="1"/>
  <c r="Y43" i="3"/>
  <c r="AS43" i="3" s="1"/>
  <c r="X139" i="3"/>
  <c r="AR139" i="3" s="1"/>
  <c r="Y148" i="3"/>
  <c r="AS148" i="3" s="1"/>
  <c r="Y175" i="3"/>
  <c r="AS175" i="3" s="1"/>
  <c r="X277" i="3"/>
  <c r="AR277" i="3" s="1"/>
  <c r="X334" i="3"/>
  <c r="AR334" i="3" s="1"/>
  <c r="Y57" i="3"/>
  <c r="AS57" i="3" s="1"/>
  <c r="Y82" i="3"/>
  <c r="AS82" i="3" s="1"/>
  <c r="Y90" i="3"/>
  <c r="AS90" i="3" s="1"/>
  <c r="X106" i="3"/>
  <c r="AR106" i="3" s="1"/>
  <c r="Y213" i="3"/>
  <c r="AS213" i="3" s="1"/>
  <c r="Y222" i="3"/>
  <c r="AS222" i="3" s="1"/>
  <c r="Y231" i="3"/>
  <c r="AS231" i="3" s="1"/>
  <c r="Y260" i="3"/>
  <c r="AS260" i="3" s="1"/>
  <c r="X287" i="3"/>
  <c r="AR287" i="3" s="1"/>
  <c r="X28" i="3"/>
  <c r="AR28" i="3" s="1"/>
  <c r="Y44" i="3"/>
  <c r="AS44" i="3" s="1"/>
  <c r="Y83" i="3"/>
  <c r="AS83" i="3" s="1"/>
  <c r="Y107" i="3"/>
  <c r="AS107" i="3" s="1"/>
  <c r="Y6" i="3"/>
  <c r="AS6" i="3" s="1"/>
  <c r="Y28" i="3"/>
  <c r="AS28" i="3" s="1"/>
  <c r="Y116" i="3"/>
  <c r="AS116" i="3" s="1"/>
  <c r="X133" i="3"/>
  <c r="AR133" i="3" s="1"/>
  <c r="Y206" i="3"/>
  <c r="AS206" i="3" s="1"/>
  <c r="X270" i="3"/>
  <c r="AR270" i="3" s="1"/>
  <c r="X288" i="3"/>
  <c r="AR288" i="3" s="1"/>
  <c r="X395" i="3"/>
  <c r="AR395" i="3" s="1"/>
  <c r="X312" i="3"/>
  <c r="AR312" i="3" s="1"/>
  <c r="Y407" i="3"/>
  <c r="AS407" i="3" s="1"/>
  <c r="Y31" i="3"/>
  <c r="AS31" i="3" s="1"/>
  <c r="Y47" i="3"/>
  <c r="AS47" i="3" s="1"/>
  <c r="X78" i="3"/>
  <c r="AR78" i="3" s="1"/>
  <c r="X118" i="3"/>
  <c r="AR118" i="3" s="1"/>
  <c r="X346" i="3"/>
  <c r="AR346" i="3" s="1"/>
  <c r="X423" i="3"/>
  <c r="AR423" i="3" s="1"/>
  <c r="Y256" i="3"/>
  <c r="AS256" i="3" s="1"/>
  <c r="Y301" i="3"/>
  <c r="AS301" i="3" s="1"/>
  <c r="X320" i="3"/>
  <c r="AR320" i="3" s="1"/>
  <c r="X280" i="3"/>
  <c r="AR280" i="3" s="1"/>
  <c r="X440" i="3"/>
  <c r="AR440" i="3" s="1"/>
  <c r="X218" i="3"/>
  <c r="AR218" i="3" s="1"/>
  <c r="X414" i="3"/>
  <c r="AR414" i="3" s="1"/>
  <c r="Y433" i="3"/>
  <c r="AS433" i="3" s="1"/>
  <c r="X442" i="3"/>
  <c r="AR442" i="3" s="1"/>
  <c r="Y239" i="3"/>
  <c r="AS239" i="3" s="1"/>
  <c r="Y266" i="3"/>
  <c r="AS266" i="3" s="1"/>
  <c r="Y368" i="3"/>
  <c r="AS368" i="3" s="1"/>
  <c r="X463" i="3"/>
  <c r="AR463" i="3" s="1"/>
  <c r="Y4" i="3"/>
  <c r="AS4" i="3" s="1"/>
  <c r="X11" i="3"/>
  <c r="AR11" i="3" s="1"/>
  <c r="X29" i="3"/>
  <c r="AR29" i="3" s="1"/>
  <c r="Y36" i="3"/>
  <c r="AS36" i="3" s="1"/>
  <c r="Y94" i="3"/>
  <c r="AS94" i="3" s="1"/>
  <c r="Y132" i="3"/>
  <c r="AS132" i="3" s="1"/>
  <c r="Y139" i="3"/>
  <c r="AS139" i="3" s="1"/>
  <c r="X163" i="3"/>
  <c r="AR163" i="3" s="1"/>
  <c r="Y181" i="3"/>
  <c r="AS181" i="3" s="1"/>
  <c r="X240" i="3"/>
  <c r="AR240" i="3" s="1"/>
  <c r="Y265" i="3"/>
  <c r="AS265" i="3" s="1"/>
  <c r="X298" i="3"/>
  <c r="AR298" i="3" s="1"/>
  <c r="X352" i="3"/>
  <c r="AR352" i="3" s="1"/>
  <c r="X361" i="3"/>
  <c r="AR361" i="3" s="1"/>
  <c r="X450" i="3"/>
  <c r="AR450" i="3" s="1"/>
  <c r="Y468" i="3"/>
  <c r="AS468" i="3" s="1"/>
  <c r="Y17" i="3"/>
  <c r="AS17" i="3" s="1"/>
  <c r="X23" i="3"/>
  <c r="AR23" i="3" s="1"/>
  <c r="Y29" i="3"/>
  <c r="AS29" i="3" s="1"/>
  <c r="X79" i="3"/>
  <c r="AR79" i="3" s="1"/>
  <c r="Y124" i="3"/>
  <c r="AS124" i="3" s="1"/>
  <c r="Y199" i="3"/>
  <c r="AS199" i="3" s="1"/>
  <c r="Y232" i="3"/>
  <c r="AS232" i="3" s="1"/>
  <c r="Y240" i="3"/>
  <c r="AS240" i="3" s="1"/>
  <c r="Y273" i="3"/>
  <c r="AS273" i="3" s="1"/>
  <c r="X281" i="3"/>
  <c r="AR281" i="3" s="1"/>
  <c r="X407" i="3"/>
  <c r="AR407" i="3" s="1"/>
  <c r="Y478" i="3"/>
  <c r="AS478" i="3" s="1"/>
  <c r="X487" i="3"/>
  <c r="AR487" i="3" s="1"/>
  <c r="X30" i="3"/>
  <c r="AR30" i="3" s="1"/>
  <c r="Y52" i="3"/>
  <c r="AS52" i="3" s="1"/>
  <c r="X80" i="3"/>
  <c r="AR80" i="3" s="1"/>
  <c r="Y95" i="3"/>
  <c r="AS95" i="3" s="1"/>
  <c r="Y118" i="3"/>
  <c r="AS118" i="3" s="1"/>
  <c r="Y125" i="3"/>
  <c r="AS125" i="3" s="1"/>
  <c r="Y133" i="3"/>
  <c r="AS133" i="3" s="1"/>
  <c r="Y209" i="3"/>
  <c r="AS209" i="3" s="1"/>
  <c r="Y217" i="3"/>
  <c r="AS217" i="3" s="1"/>
  <c r="Y225" i="3"/>
  <c r="AS225" i="3" s="1"/>
  <c r="Y233" i="3"/>
  <c r="AS233" i="3" s="1"/>
  <c r="Y250" i="3"/>
  <c r="AS250" i="3" s="1"/>
  <c r="X479" i="3"/>
  <c r="AR479" i="3" s="1"/>
  <c r="Y488" i="3"/>
  <c r="AS488" i="3" s="1"/>
  <c r="Y18" i="3"/>
  <c r="AS18" i="3" s="1"/>
  <c r="Y24" i="3"/>
  <c r="AS24" i="3" s="1"/>
  <c r="X38" i="3"/>
  <c r="AR38" i="3" s="1"/>
  <c r="Y103" i="3"/>
  <c r="AS103" i="3" s="1"/>
  <c r="Y149" i="3"/>
  <c r="AS149" i="3" s="1"/>
  <c r="Y183" i="3"/>
  <c r="AS183" i="3" s="1"/>
  <c r="Y382" i="3"/>
  <c r="AS382" i="3" s="1"/>
  <c r="X391" i="3"/>
  <c r="AR391" i="3" s="1"/>
  <c r="X408" i="3"/>
  <c r="AR408" i="3" s="1"/>
  <c r="X243" i="3"/>
  <c r="AR243" i="3" s="1"/>
  <c r="X268" i="3"/>
  <c r="AR268" i="3" s="1"/>
  <c r="X276" i="3"/>
  <c r="AR276" i="3" s="1"/>
  <c r="X338" i="3"/>
  <c r="AR338" i="3" s="1"/>
  <c r="X374" i="3"/>
  <c r="AR374" i="3" s="1"/>
  <c r="Y392" i="3"/>
  <c r="AS392" i="3" s="1"/>
  <c r="X437" i="3"/>
  <c r="AR437" i="3" s="1"/>
  <c r="Y7" i="3"/>
  <c r="AS7" i="3" s="1"/>
  <c r="Y19" i="3"/>
  <c r="AS19" i="3" s="1"/>
  <c r="Y60" i="3"/>
  <c r="AS60" i="3" s="1"/>
  <c r="X75" i="3"/>
  <c r="AR75" i="3" s="1"/>
  <c r="Y143" i="3"/>
  <c r="AS143" i="3" s="1"/>
  <c r="X159" i="3"/>
  <c r="AR159" i="3" s="1"/>
  <c r="X194" i="3"/>
  <c r="AR194" i="3" s="1"/>
  <c r="Y293" i="3"/>
  <c r="AS293" i="3" s="1"/>
  <c r="X330" i="3"/>
  <c r="AR330" i="3" s="1"/>
  <c r="Y338" i="3"/>
  <c r="AS338" i="3" s="1"/>
  <c r="X419" i="3"/>
  <c r="AR419" i="3" s="1"/>
  <c r="Y8" i="3"/>
  <c r="AS8" i="3" s="1"/>
  <c r="X20" i="3"/>
  <c r="AR20" i="3" s="1"/>
  <c r="X61" i="3"/>
  <c r="AR61" i="3" s="1"/>
  <c r="X76" i="3"/>
  <c r="AR76" i="3" s="1"/>
  <c r="Y144" i="3"/>
  <c r="AS144" i="3" s="1"/>
  <c r="X160" i="3"/>
  <c r="AR160" i="3" s="1"/>
  <c r="X195" i="3"/>
  <c r="AR195" i="3" s="1"/>
  <c r="Y220" i="3"/>
  <c r="AS220" i="3" s="1"/>
  <c r="X339" i="3"/>
  <c r="AR339" i="3" s="1"/>
  <c r="Y2" i="3"/>
  <c r="AS2" i="3" s="1"/>
  <c r="Y20" i="3"/>
  <c r="AS20" i="3" s="1"/>
  <c r="Y27" i="3"/>
  <c r="AS27" i="3" s="1"/>
  <c r="X41" i="3"/>
  <c r="AR41" i="3" s="1"/>
  <c r="Y61" i="3"/>
  <c r="AS61" i="3" s="1"/>
  <c r="X69" i="3"/>
  <c r="AR69" i="3" s="1"/>
  <c r="Y160" i="3"/>
  <c r="AS160" i="3" s="1"/>
  <c r="Y245" i="3"/>
  <c r="AS245" i="3" s="1"/>
  <c r="Y39" i="3"/>
  <c r="AS39" i="3" s="1"/>
  <c r="Y45" i="3"/>
  <c r="AS45" i="3" s="1"/>
  <c r="X58" i="3"/>
  <c r="AR58" i="3" s="1"/>
  <c r="Y84" i="3"/>
  <c r="AS84" i="3" s="1"/>
  <c r="X113" i="3"/>
  <c r="AR113" i="3" s="1"/>
  <c r="Y126" i="3"/>
  <c r="AS126" i="3" s="1"/>
  <c r="Y141" i="3"/>
  <c r="AS141" i="3" s="1"/>
  <c r="Y172" i="3"/>
  <c r="AS172" i="3" s="1"/>
  <c r="Y187" i="3"/>
  <c r="AS187" i="3" s="1"/>
  <c r="X203" i="3"/>
  <c r="AR203" i="3" s="1"/>
  <c r="Y218" i="3"/>
  <c r="AS218" i="3" s="1"/>
  <c r="X233" i="3"/>
  <c r="AR233" i="3" s="1"/>
  <c r="Y281" i="3"/>
  <c r="AS281" i="3" s="1"/>
  <c r="X427" i="3"/>
  <c r="AR427" i="3" s="1"/>
  <c r="Y46" i="3"/>
  <c r="AS46" i="3" s="1"/>
  <c r="Y59" i="3"/>
  <c r="AS59" i="3" s="1"/>
  <c r="Y66" i="3"/>
  <c r="AS66" i="3" s="1"/>
  <c r="Y79" i="3"/>
  <c r="AS79" i="3" s="1"/>
  <c r="Y85" i="3"/>
  <c r="AS85" i="3" s="1"/>
  <c r="X93" i="3"/>
  <c r="AR93" i="3" s="1"/>
  <c r="Y106" i="3"/>
  <c r="AS106" i="3" s="1"/>
  <c r="X114" i="3"/>
  <c r="AR114" i="3" s="1"/>
  <c r="Y142" i="3"/>
  <c r="AS142" i="3" s="1"/>
  <c r="X173" i="3"/>
  <c r="AR173" i="3" s="1"/>
  <c r="X188" i="3"/>
  <c r="AR188" i="3" s="1"/>
  <c r="X204" i="3"/>
  <c r="AR204" i="3" s="1"/>
  <c r="Y219" i="3"/>
  <c r="AS219" i="3" s="1"/>
  <c r="Y227" i="3"/>
  <c r="AS227" i="3" s="1"/>
  <c r="Y282" i="3"/>
  <c r="AS282" i="3" s="1"/>
  <c r="X290" i="3"/>
  <c r="AR290" i="3" s="1"/>
  <c r="Y367" i="3"/>
  <c r="AS367" i="3" s="1"/>
  <c r="X454" i="3"/>
  <c r="AR454" i="3" s="1"/>
  <c r="X34" i="3"/>
  <c r="AR34" i="3" s="1"/>
  <c r="X73" i="3"/>
  <c r="AR73" i="3" s="1"/>
  <c r="X100" i="3"/>
  <c r="AR100" i="3" s="1"/>
  <c r="X136" i="3"/>
  <c r="AR136" i="3" s="1"/>
  <c r="X165" i="3"/>
  <c r="AR165" i="3" s="1"/>
  <c r="Y173" i="3"/>
  <c r="AS173" i="3" s="1"/>
  <c r="Y188" i="3"/>
  <c r="AS188" i="3" s="1"/>
  <c r="Y196" i="3"/>
  <c r="AS196" i="3" s="1"/>
  <c r="Y234" i="3"/>
  <c r="AS234" i="3" s="1"/>
  <c r="X299" i="3"/>
  <c r="AR299" i="3" s="1"/>
  <c r="X308" i="3"/>
  <c r="AR308" i="3" s="1"/>
  <c r="X341" i="3"/>
  <c r="AR341" i="3" s="1"/>
  <c r="X403" i="3"/>
  <c r="AR403" i="3" s="1"/>
  <c r="X74" i="3"/>
  <c r="AR74" i="3" s="1"/>
  <c r="Y80" i="3"/>
  <c r="AS80" i="3" s="1"/>
  <c r="Y115" i="3"/>
  <c r="AS115" i="3" s="1"/>
  <c r="Y137" i="3"/>
  <c r="AS137" i="3" s="1"/>
  <c r="Y159" i="3"/>
  <c r="AS159" i="3" s="1"/>
  <c r="Y166" i="3"/>
  <c r="AS166" i="3" s="1"/>
  <c r="X174" i="3"/>
  <c r="AR174" i="3" s="1"/>
  <c r="Y228" i="3"/>
  <c r="AS228" i="3" s="1"/>
  <c r="X309" i="3"/>
  <c r="AR309" i="3" s="1"/>
  <c r="Y318" i="3"/>
  <c r="AS318" i="3" s="1"/>
  <c r="X342" i="3"/>
  <c r="AR342" i="3" s="1"/>
  <c r="X360" i="3"/>
  <c r="AR360" i="3" s="1"/>
  <c r="Y35" i="3"/>
  <c r="AS35" i="3" s="1"/>
  <c r="Y42" i="3"/>
  <c r="AS42" i="3" s="1"/>
  <c r="X68" i="3"/>
  <c r="AR68" i="3" s="1"/>
  <c r="Y101" i="3"/>
  <c r="AS101" i="3" s="1"/>
  <c r="Y174" i="3"/>
  <c r="AS174" i="3" s="1"/>
  <c r="Y182" i="3"/>
  <c r="AS182" i="3" s="1"/>
  <c r="Y327" i="3"/>
  <c r="AS327" i="3" s="1"/>
  <c r="X335" i="3"/>
  <c r="AR335" i="3" s="1"/>
  <c r="X413" i="3"/>
  <c r="AR413" i="3" s="1"/>
  <c r="Y413" i="3"/>
  <c r="AS413" i="3" s="1"/>
  <c r="Y15" i="3"/>
  <c r="AS15" i="3" s="1"/>
  <c r="X40" i="3"/>
  <c r="AR40" i="3" s="1"/>
  <c r="X53" i="3"/>
  <c r="AR53" i="3" s="1"/>
  <c r="Y58" i="3"/>
  <c r="AS58" i="3" s="1"/>
  <c r="Y78" i="3"/>
  <c r="AS78" i="3" s="1"/>
  <c r="Y91" i="3"/>
  <c r="AS91" i="3" s="1"/>
  <c r="Y140" i="3"/>
  <c r="AS140" i="3" s="1"/>
  <c r="X155" i="3"/>
  <c r="AR155" i="3" s="1"/>
  <c r="Y170" i="3"/>
  <c r="AS170" i="3" s="1"/>
  <c r="Y176" i="3"/>
  <c r="AS176" i="3" s="1"/>
  <c r="X223" i="3"/>
  <c r="AR223" i="3" s="1"/>
  <c r="X238" i="3"/>
  <c r="AR238" i="3" s="1"/>
  <c r="X263" i="3"/>
  <c r="AR263" i="3" s="1"/>
  <c r="X406" i="3"/>
  <c r="AR406" i="3" s="1"/>
  <c r="X422" i="3"/>
  <c r="AR422" i="3" s="1"/>
  <c r="X148" i="3"/>
  <c r="AR148" i="3" s="1"/>
  <c r="Y154" i="3"/>
  <c r="AS154" i="3" s="1"/>
  <c r="Y186" i="3"/>
  <c r="AS186" i="3" s="1"/>
  <c r="Y193" i="3"/>
  <c r="AS193" i="3" s="1"/>
  <c r="X199" i="3"/>
  <c r="AR199" i="3" s="1"/>
  <c r="Y205" i="3"/>
  <c r="AS205" i="3" s="1"/>
  <c r="Y212" i="3"/>
  <c r="AS212" i="3" s="1"/>
  <c r="X225" i="3"/>
  <c r="AR225" i="3" s="1"/>
  <c r="Y238" i="3"/>
  <c r="AS238" i="3" s="1"/>
  <c r="X245" i="3"/>
  <c r="AR245" i="3" s="1"/>
  <c r="Y252" i="3"/>
  <c r="AS252" i="3" s="1"/>
  <c r="Y259" i="3"/>
  <c r="AS259" i="3" s="1"/>
  <c r="Y272" i="3"/>
  <c r="AS272" i="3" s="1"/>
  <c r="X301" i="3"/>
  <c r="AR301" i="3" s="1"/>
  <c r="X344" i="3"/>
  <c r="AR344" i="3" s="1"/>
  <c r="X367" i="3"/>
  <c r="AR367" i="3" s="1"/>
  <c r="Y388" i="3"/>
  <c r="AS388" i="3" s="1"/>
  <c r="Y403" i="3"/>
  <c r="AS403" i="3" s="1"/>
  <c r="X418" i="3"/>
  <c r="AR418" i="3" s="1"/>
  <c r="X433" i="3"/>
  <c r="AR433" i="3" s="1"/>
  <c r="X448" i="3"/>
  <c r="AR448" i="3" s="1"/>
  <c r="Y463" i="3"/>
  <c r="AS463" i="3" s="1"/>
  <c r="X8" i="3"/>
  <c r="AR8" i="3" s="1"/>
  <c r="X24" i="3"/>
  <c r="AR24" i="3" s="1"/>
  <c r="X35" i="3"/>
  <c r="AR35" i="3" s="1"/>
  <c r="Y40" i="3"/>
  <c r="AS40" i="3" s="1"/>
  <c r="X51" i="3"/>
  <c r="AR51" i="3" s="1"/>
  <c r="Y73" i="3"/>
  <c r="AS73" i="3" s="1"/>
  <c r="X84" i="3"/>
  <c r="AR84" i="3" s="1"/>
  <c r="X90" i="3"/>
  <c r="AR90" i="3" s="1"/>
  <c r="X101" i="3"/>
  <c r="AR101" i="3" s="1"/>
  <c r="X119" i="3"/>
  <c r="AR119" i="3" s="1"/>
  <c r="X143" i="3"/>
  <c r="AR143" i="3" s="1"/>
  <c r="X149" i="3"/>
  <c r="AR149" i="3" s="1"/>
  <c r="Y155" i="3"/>
  <c r="AS155" i="3" s="1"/>
  <c r="Y162" i="3"/>
  <c r="AS162" i="3" s="1"/>
  <c r="Y194" i="3"/>
  <c r="AS194" i="3" s="1"/>
  <c r="Y226" i="3"/>
  <c r="AS226" i="3" s="1"/>
  <c r="Y246" i="3"/>
  <c r="AS246" i="3" s="1"/>
  <c r="X332" i="3"/>
  <c r="AR332" i="3" s="1"/>
  <c r="X368" i="3"/>
  <c r="AR368" i="3" s="1"/>
  <c r="X375" i="3"/>
  <c r="AR375" i="3" s="1"/>
  <c r="Y383" i="3"/>
  <c r="AS383" i="3" s="1"/>
  <c r="X434" i="3"/>
  <c r="AR434" i="3" s="1"/>
  <c r="X449" i="3"/>
  <c r="AR449" i="3" s="1"/>
  <c r="X488" i="3"/>
  <c r="AR488" i="3" s="1"/>
  <c r="X9" i="3"/>
  <c r="AR9" i="3" s="1"/>
  <c r="Y25" i="3"/>
  <c r="AS25" i="3" s="1"/>
  <c r="X36" i="3"/>
  <c r="AR36" i="3" s="1"/>
  <c r="Y41" i="3"/>
  <c r="AS41" i="3" s="1"/>
  <c r="X63" i="3"/>
  <c r="AR63" i="3" s="1"/>
  <c r="Y74" i="3"/>
  <c r="AS74" i="3" s="1"/>
  <c r="X85" i="3"/>
  <c r="AR85" i="3" s="1"/>
  <c r="X91" i="3"/>
  <c r="AR91" i="3" s="1"/>
  <c r="Y102" i="3"/>
  <c r="AS102" i="3" s="1"/>
  <c r="X120" i="3"/>
  <c r="AR120" i="3" s="1"/>
  <c r="X144" i="3"/>
  <c r="AR144" i="3" s="1"/>
  <c r="Y163" i="3"/>
  <c r="AS163" i="3" s="1"/>
  <c r="X170" i="3"/>
  <c r="AR170" i="3" s="1"/>
  <c r="X183" i="3"/>
  <c r="AR183" i="3" s="1"/>
  <c r="Y195" i="3"/>
  <c r="AS195" i="3" s="1"/>
  <c r="Y202" i="3"/>
  <c r="AS202" i="3" s="1"/>
  <c r="X215" i="3"/>
  <c r="AR215" i="3" s="1"/>
  <c r="Y221" i="3"/>
  <c r="AS221" i="3" s="1"/>
  <c r="Y262" i="3"/>
  <c r="AS262" i="3" s="1"/>
  <c r="Y268" i="3"/>
  <c r="AS268" i="3" s="1"/>
  <c r="X275" i="3"/>
  <c r="AR275" i="3" s="1"/>
  <c r="X297" i="3"/>
  <c r="AR297" i="3" s="1"/>
  <c r="X327" i="3"/>
  <c r="AR327" i="3" s="1"/>
  <c r="Y333" i="3"/>
  <c r="AS333" i="3" s="1"/>
  <c r="X340" i="3"/>
  <c r="AR340" i="3" s="1"/>
  <c r="X347" i="3"/>
  <c r="AR347" i="3" s="1"/>
  <c r="X369" i="3"/>
  <c r="AR369" i="3" s="1"/>
  <c r="X421" i="3"/>
  <c r="AR421" i="3" s="1"/>
  <c r="X428" i="3"/>
  <c r="AR428" i="3" s="1"/>
  <c r="Y443" i="3"/>
  <c r="AS443" i="3" s="1"/>
  <c r="X474" i="3"/>
  <c r="AR474" i="3" s="1"/>
  <c r="X489" i="3"/>
  <c r="AR489" i="3" s="1"/>
  <c r="Y347" i="3"/>
  <c r="AS347" i="3" s="1"/>
  <c r="X354" i="3"/>
  <c r="AR354" i="3" s="1"/>
  <c r="X385" i="3"/>
  <c r="AR385" i="3" s="1"/>
  <c r="Y428" i="3"/>
  <c r="AS428" i="3" s="1"/>
  <c r="X482" i="3"/>
  <c r="AR482" i="3" s="1"/>
  <c r="Y10" i="3"/>
  <c r="AS10" i="3" s="1"/>
  <c r="Y26" i="3"/>
  <c r="AS26" i="3" s="1"/>
  <c r="Y37" i="3"/>
  <c r="AS37" i="3" s="1"/>
  <c r="X48" i="3"/>
  <c r="AR48" i="3" s="1"/>
  <c r="X64" i="3"/>
  <c r="AR64" i="3" s="1"/>
  <c r="Y75" i="3"/>
  <c r="AS75" i="3" s="1"/>
  <c r="X86" i="3"/>
  <c r="AR86" i="3" s="1"/>
  <c r="X98" i="3"/>
  <c r="AR98" i="3" s="1"/>
  <c r="X110" i="3"/>
  <c r="AR110" i="3" s="1"/>
  <c r="X121" i="3"/>
  <c r="AR121" i="3" s="1"/>
  <c r="Y145" i="3"/>
  <c r="AS145" i="3" s="1"/>
  <c r="Y152" i="3"/>
  <c r="AS152" i="3" s="1"/>
  <c r="Y164" i="3"/>
  <c r="AS164" i="3" s="1"/>
  <c r="Y171" i="3"/>
  <c r="AS171" i="3" s="1"/>
  <c r="X184" i="3"/>
  <c r="AR184" i="3" s="1"/>
  <c r="Y203" i="3"/>
  <c r="AS203" i="3" s="1"/>
  <c r="Y216" i="3"/>
  <c r="AS216" i="3" s="1"/>
  <c r="Y263" i="3"/>
  <c r="AS263" i="3" s="1"/>
  <c r="Y276" i="3"/>
  <c r="AS276" i="3" s="1"/>
  <c r="X306" i="3"/>
  <c r="AR306" i="3" s="1"/>
  <c r="X313" i="3"/>
  <c r="AR313" i="3" s="1"/>
  <c r="X328" i="3"/>
  <c r="AR328" i="3" s="1"/>
  <c r="X348" i="3"/>
  <c r="AR348" i="3" s="1"/>
  <c r="X386" i="3"/>
  <c r="AR386" i="3" s="1"/>
  <c r="X452" i="3"/>
  <c r="AR452" i="3" s="1"/>
  <c r="X483" i="3"/>
  <c r="AR483" i="3" s="1"/>
  <c r="X5" i="3"/>
  <c r="AR5" i="3" s="1"/>
  <c r="X21" i="3"/>
  <c r="AR21" i="3" s="1"/>
  <c r="Y32" i="3"/>
  <c r="AS32" i="3" s="1"/>
  <c r="Y48" i="3"/>
  <c r="AS48" i="3" s="1"/>
  <c r="X59" i="3"/>
  <c r="AR59" i="3" s="1"/>
  <c r="Y64" i="3"/>
  <c r="AS64" i="3" s="1"/>
  <c r="X70" i="3"/>
  <c r="AR70" i="3" s="1"/>
  <c r="Y86" i="3"/>
  <c r="AS86" i="3" s="1"/>
  <c r="Y98" i="3"/>
  <c r="AS98" i="3" s="1"/>
  <c r="Y110" i="3"/>
  <c r="AS110" i="3" s="1"/>
  <c r="X116" i="3"/>
  <c r="AR116" i="3" s="1"/>
  <c r="Y121" i="3"/>
  <c r="AS121" i="3" s="1"/>
  <c r="Y127" i="3"/>
  <c r="AS127" i="3" s="1"/>
  <c r="X134" i="3"/>
  <c r="AR134" i="3" s="1"/>
  <c r="X140" i="3"/>
  <c r="AR140" i="3" s="1"/>
  <c r="Y177" i="3"/>
  <c r="AS177" i="3" s="1"/>
  <c r="Y184" i="3"/>
  <c r="AS184" i="3" s="1"/>
  <c r="X210" i="3"/>
  <c r="AR210" i="3" s="1"/>
  <c r="X250" i="3"/>
  <c r="AR250" i="3" s="1"/>
  <c r="Y257" i="3"/>
  <c r="AS257" i="3" s="1"/>
  <c r="Y291" i="3"/>
  <c r="AS291" i="3" s="1"/>
  <c r="X321" i="3"/>
  <c r="AR321" i="3" s="1"/>
  <c r="Y328" i="3"/>
  <c r="AS328" i="3" s="1"/>
  <c r="X393" i="3"/>
  <c r="AR393" i="3" s="1"/>
  <c r="X401" i="3"/>
  <c r="AR401" i="3" s="1"/>
  <c r="X415" i="3"/>
  <c r="AR415" i="3" s="1"/>
  <c r="X468" i="3"/>
  <c r="AR468" i="3" s="1"/>
  <c r="X307" i="3"/>
  <c r="AR307" i="3" s="1"/>
  <c r="X314" i="3"/>
  <c r="AR314" i="3" s="1"/>
  <c r="X349" i="3"/>
  <c r="AR349" i="3" s="1"/>
  <c r="X380" i="3"/>
  <c r="AR380" i="3" s="1"/>
  <c r="X387" i="3"/>
  <c r="AR387" i="3" s="1"/>
  <c r="Y408" i="3"/>
  <c r="AS408" i="3" s="1"/>
  <c r="Y423" i="3"/>
  <c r="AS423" i="3" s="1"/>
  <c r="X453" i="3"/>
  <c r="AR453" i="3" s="1"/>
  <c r="X477" i="3"/>
  <c r="AR477" i="3" s="1"/>
  <c r="X492" i="3"/>
  <c r="AR492" i="3" s="1"/>
  <c r="Y11" i="3"/>
  <c r="AS11" i="3" s="1"/>
  <c r="X33" i="3"/>
  <c r="AR33" i="3" s="1"/>
  <c r="Y38" i="3"/>
  <c r="AS38" i="3" s="1"/>
  <c r="X49" i="3"/>
  <c r="AR49" i="3" s="1"/>
  <c r="X65" i="3"/>
  <c r="AR65" i="3" s="1"/>
  <c r="Y76" i="3"/>
  <c r="AS76" i="3" s="1"/>
  <c r="X99" i="3"/>
  <c r="AR99" i="3" s="1"/>
  <c r="X111" i="3"/>
  <c r="AR111" i="3" s="1"/>
  <c r="Y122" i="3"/>
  <c r="AS122" i="3" s="1"/>
  <c r="X128" i="3"/>
  <c r="AR128" i="3" s="1"/>
  <c r="X135" i="3"/>
  <c r="AR135" i="3" s="1"/>
  <c r="Y153" i="3"/>
  <c r="AS153" i="3" s="1"/>
  <c r="Y165" i="3"/>
  <c r="AS165" i="3" s="1"/>
  <c r="X185" i="3"/>
  <c r="AR185" i="3" s="1"/>
  <c r="Y192" i="3"/>
  <c r="AS192" i="3" s="1"/>
  <c r="X198" i="3"/>
  <c r="AR198" i="3" s="1"/>
  <c r="Y204" i="3"/>
  <c r="AS204" i="3" s="1"/>
  <c r="X230" i="3"/>
  <c r="AR230" i="3" s="1"/>
  <c r="Y237" i="3"/>
  <c r="AS237" i="3" s="1"/>
  <c r="X258" i="3"/>
  <c r="AR258" i="3" s="1"/>
  <c r="Y292" i="3"/>
  <c r="AS292" i="3" s="1"/>
  <c r="Y307" i="3"/>
  <c r="AS307" i="3" s="1"/>
  <c r="Y322" i="3"/>
  <c r="AS322" i="3" s="1"/>
  <c r="X329" i="3"/>
  <c r="AR329" i="3" s="1"/>
  <c r="X357" i="3"/>
  <c r="AR357" i="3" s="1"/>
  <c r="Y387" i="3"/>
  <c r="AS387" i="3" s="1"/>
  <c r="X394" i="3"/>
  <c r="AR394" i="3" s="1"/>
  <c r="Y402" i="3"/>
  <c r="AS402" i="3" s="1"/>
  <c r="Y453" i="3"/>
  <c r="AS453" i="3" s="1"/>
  <c r="X462" i="3"/>
  <c r="AR462" i="3" s="1"/>
  <c r="X6" i="3"/>
  <c r="AR6" i="3" s="1"/>
  <c r="Y22" i="3"/>
  <c r="AS22" i="3" s="1"/>
  <c r="Y33" i="3"/>
  <c r="AS33" i="3" s="1"/>
  <c r="Y49" i="3"/>
  <c r="AS49" i="3" s="1"/>
  <c r="X60" i="3"/>
  <c r="AR60" i="3" s="1"/>
  <c r="Y65" i="3"/>
  <c r="AS65" i="3" s="1"/>
  <c r="X71" i="3"/>
  <c r="AR71" i="3" s="1"/>
  <c r="X94" i="3"/>
  <c r="AR94" i="3" s="1"/>
  <c r="Y99" i="3"/>
  <c r="AS99" i="3" s="1"/>
  <c r="X105" i="3"/>
  <c r="AR105" i="3" s="1"/>
  <c r="Y111" i="3"/>
  <c r="AS111" i="3" s="1"/>
  <c r="Y117" i="3"/>
  <c r="AS117" i="3" s="1"/>
  <c r="Y128" i="3"/>
  <c r="AS128" i="3" s="1"/>
  <c r="X141" i="3"/>
  <c r="AR141" i="3" s="1"/>
  <c r="Y185" i="3"/>
  <c r="AS185" i="3" s="1"/>
  <c r="Y198" i="3"/>
  <c r="AS198" i="3" s="1"/>
  <c r="Y211" i="3"/>
  <c r="AS211" i="3" s="1"/>
  <c r="Y224" i="3"/>
  <c r="AS224" i="3" s="1"/>
  <c r="Y244" i="3"/>
  <c r="AS244" i="3" s="1"/>
  <c r="Y251" i="3"/>
  <c r="AS251" i="3" s="1"/>
  <c r="Y258" i="3"/>
  <c r="AS258" i="3" s="1"/>
  <c r="Y271" i="3"/>
  <c r="AS271" i="3" s="1"/>
  <c r="X300" i="3"/>
  <c r="AR300" i="3" s="1"/>
  <c r="Y343" i="3"/>
  <c r="AS343" i="3" s="1"/>
  <c r="X366" i="3"/>
  <c r="AR366" i="3" s="1"/>
  <c r="X373" i="3"/>
  <c r="AR373" i="3" s="1"/>
  <c r="X447" i="3"/>
  <c r="AR447" i="3" s="1"/>
  <c r="X469" i="3"/>
  <c r="AR469" i="3" s="1"/>
  <c r="Y286" i="3"/>
  <c r="AS286" i="3" s="1"/>
  <c r="X315" i="3"/>
  <c r="AR315" i="3" s="1"/>
  <c r="X350" i="3"/>
  <c r="AR350" i="3" s="1"/>
  <c r="Y373" i="3"/>
  <c r="AS373" i="3" s="1"/>
  <c r="X381" i="3"/>
  <c r="AR381" i="3" s="1"/>
  <c r="X424" i="3"/>
  <c r="AR424" i="3" s="1"/>
  <c r="X478" i="3"/>
  <c r="AR478" i="3" s="1"/>
  <c r="X493" i="3"/>
  <c r="AR493" i="3" s="1"/>
  <c r="Y483" i="3"/>
  <c r="AS483" i="3" s="1"/>
  <c r="X490" i="3"/>
  <c r="AR490" i="3" s="1"/>
  <c r="X497" i="3"/>
  <c r="AR497" i="3" s="1"/>
  <c r="Y92" i="3"/>
  <c r="AS92" i="3" s="1"/>
  <c r="X108" i="3"/>
  <c r="AR108" i="3" s="1"/>
  <c r="Y113" i="3"/>
  <c r="AS113" i="3" s="1"/>
  <c r="X129" i="3"/>
  <c r="AR129" i="3" s="1"/>
  <c r="Y134" i="3"/>
  <c r="AS134" i="3" s="1"/>
  <c r="X150" i="3"/>
  <c r="AR150" i="3" s="1"/>
  <c r="Y161" i="3"/>
  <c r="AS161" i="3" s="1"/>
  <c r="X178" i="3"/>
  <c r="AR178" i="3" s="1"/>
  <c r="X189" i="3"/>
  <c r="AR189" i="3" s="1"/>
  <c r="X200" i="3"/>
  <c r="AR200" i="3" s="1"/>
  <c r="Y223" i="3"/>
  <c r="AS223" i="3" s="1"/>
  <c r="Y229" i="3"/>
  <c r="AS229" i="3" s="1"/>
  <c r="X235" i="3"/>
  <c r="AR235" i="3" s="1"/>
  <c r="Y270" i="3"/>
  <c r="AS270" i="3" s="1"/>
  <c r="X289" i="3"/>
  <c r="AR289" i="3" s="1"/>
  <c r="X296" i="3"/>
  <c r="AR296" i="3" s="1"/>
  <c r="Y308" i="3"/>
  <c r="AS308" i="3" s="1"/>
  <c r="Y323" i="3"/>
  <c r="AS323" i="3" s="1"/>
  <c r="Y342" i="3"/>
  <c r="AS342" i="3" s="1"/>
  <c r="Y348" i="3"/>
  <c r="AS348" i="3" s="1"/>
  <c r="X362" i="3"/>
  <c r="AR362" i="3" s="1"/>
  <c r="X484" i="3"/>
  <c r="AR484" i="3" s="1"/>
  <c r="X491" i="3"/>
  <c r="AR491" i="3" s="1"/>
  <c r="X498" i="3"/>
  <c r="AR498" i="3" s="1"/>
  <c r="X66" i="3"/>
  <c r="AR66" i="3" s="1"/>
  <c r="Y71" i="3"/>
  <c r="AS71" i="3" s="1"/>
  <c r="Y87" i="3"/>
  <c r="AS87" i="3" s="1"/>
  <c r="X103" i="3"/>
  <c r="AR103" i="3" s="1"/>
  <c r="Y108" i="3"/>
  <c r="AS108" i="3" s="1"/>
  <c r="X124" i="3"/>
  <c r="AR124" i="3" s="1"/>
  <c r="Y129" i="3"/>
  <c r="AS129" i="3" s="1"/>
  <c r="X145" i="3"/>
  <c r="AR145" i="3" s="1"/>
  <c r="Y150" i="3"/>
  <c r="AS150" i="3" s="1"/>
  <c r="Y167" i="3"/>
  <c r="AS167" i="3" s="1"/>
  <c r="Y178" i="3"/>
  <c r="AS178" i="3" s="1"/>
  <c r="Y189" i="3"/>
  <c r="AS189" i="3" s="1"/>
  <c r="Y200" i="3"/>
  <c r="AS200" i="3" s="1"/>
  <c r="Y235" i="3"/>
  <c r="AS235" i="3" s="1"/>
  <c r="Y241" i="3"/>
  <c r="AS241" i="3" s="1"/>
  <c r="Y247" i="3"/>
  <c r="AS247" i="3" s="1"/>
  <c r="X253" i="3"/>
  <c r="AR253" i="3" s="1"/>
  <c r="Y283" i="3"/>
  <c r="AS283" i="3" s="1"/>
  <c r="Y302" i="3"/>
  <c r="AS302" i="3" s="1"/>
  <c r="X336" i="3"/>
  <c r="AR336" i="3" s="1"/>
  <c r="X355" i="3"/>
  <c r="AR355" i="3" s="1"/>
  <c r="Y362" i="3"/>
  <c r="AS362" i="3" s="1"/>
  <c r="X383" i="3"/>
  <c r="AR383" i="3" s="1"/>
  <c r="X389" i="3"/>
  <c r="AR389" i="3" s="1"/>
  <c r="X409" i="3"/>
  <c r="AR409" i="3" s="1"/>
  <c r="X416" i="3"/>
  <c r="AR416" i="3" s="1"/>
  <c r="X429" i="3"/>
  <c r="AR429" i="3" s="1"/>
  <c r="X443" i="3"/>
  <c r="AR443" i="3" s="1"/>
  <c r="X457" i="3"/>
  <c r="AR457" i="3" s="1"/>
  <c r="Y498" i="3"/>
  <c r="AS498" i="3" s="1"/>
  <c r="X88" i="3"/>
  <c r="AR88" i="3" s="1"/>
  <c r="Y93" i="3"/>
  <c r="AS93" i="3" s="1"/>
  <c r="X109" i="3"/>
  <c r="AR109" i="3" s="1"/>
  <c r="Y114" i="3"/>
  <c r="AS114" i="3" s="1"/>
  <c r="X130" i="3"/>
  <c r="AR130" i="3" s="1"/>
  <c r="Y135" i="3"/>
  <c r="AS135" i="3" s="1"/>
  <c r="Y151" i="3"/>
  <c r="AS151" i="3" s="1"/>
  <c r="X168" i="3"/>
  <c r="AR168" i="3" s="1"/>
  <c r="X179" i="3"/>
  <c r="AR179" i="3" s="1"/>
  <c r="X190" i="3"/>
  <c r="AR190" i="3" s="1"/>
  <c r="Y201" i="3"/>
  <c r="AS201" i="3" s="1"/>
  <c r="Y230" i="3"/>
  <c r="AS230" i="3" s="1"/>
  <c r="Y236" i="3"/>
  <c r="AS236" i="3" s="1"/>
  <c r="Y242" i="3"/>
  <c r="AS242" i="3" s="1"/>
  <c r="X248" i="3"/>
  <c r="AR248" i="3" s="1"/>
  <c r="X284" i="3"/>
  <c r="AR284" i="3" s="1"/>
  <c r="Y297" i="3"/>
  <c r="AS297" i="3" s="1"/>
  <c r="X303" i="3"/>
  <c r="AR303" i="3" s="1"/>
  <c r="X356" i="3"/>
  <c r="AR356" i="3" s="1"/>
  <c r="Y363" i="3"/>
  <c r="AS363" i="3" s="1"/>
  <c r="Y377" i="3"/>
  <c r="AS377" i="3" s="1"/>
  <c r="X397" i="3"/>
  <c r="AR397" i="3" s="1"/>
  <c r="X417" i="3"/>
  <c r="AR417" i="3" s="1"/>
  <c r="X458" i="3"/>
  <c r="AR458" i="3" s="1"/>
  <c r="X499" i="3"/>
  <c r="AR499" i="3" s="1"/>
  <c r="X4" i="3"/>
  <c r="AR4" i="3" s="1"/>
  <c r="Y9" i="3"/>
  <c r="AS9" i="3" s="1"/>
  <c r="X25" i="3"/>
  <c r="AR25" i="3" s="1"/>
  <c r="Y30" i="3"/>
  <c r="AS30" i="3" s="1"/>
  <c r="X46" i="3"/>
  <c r="AR46" i="3" s="1"/>
  <c r="Y51" i="3"/>
  <c r="AS51" i="3" s="1"/>
  <c r="Y67" i="3"/>
  <c r="AS67" i="3" s="1"/>
  <c r="X83" i="3"/>
  <c r="AR83" i="3" s="1"/>
  <c r="Y88" i="3"/>
  <c r="AS88" i="3" s="1"/>
  <c r="X104" i="3"/>
  <c r="AR104" i="3" s="1"/>
  <c r="Y109" i="3"/>
  <c r="AS109" i="3" s="1"/>
  <c r="X125" i="3"/>
  <c r="AR125" i="3" s="1"/>
  <c r="Y130" i="3"/>
  <c r="AS130" i="3" s="1"/>
  <c r="X146" i="3"/>
  <c r="AR146" i="3" s="1"/>
  <c r="Y157" i="3"/>
  <c r="AS157" i="3" s="1"/>
  <c r="Y168" i="3"/>
  <c r="AS168" i="3" s="1"/>
  <c r="Y179" i="3"/>
  <c r="AS179" i="3" s="1"/>
  <c r="Y190" i="3"/>
  <c r="AS190" i="3" s="1"/>
  <c r="Y207" i="3"/>
  <c r="AS207" i="3" s="1"/>
  <c r="X213" i="3"/>
  <c r="AR213" i="3" s="1"/>
  <c r="Y248" i="3"/>
  <c r="AS248" i="3" s="1"/>
  <c r="Y254" i="3"/>
  <c r="AS254" i="3" s="1"/>
  <c r="X260" i="3"/>
  <c r="AR260" i="3" s="1"/>
  <c r="X278" i="3"/>
  <c r="AR278" i="3" s="1"/>
  <c r="Y303" i="3"/>
  <c r="AS303" i="3" s="1"/>
  <c r="Y397" i="3"/>
  <c r="AS397" i="3" s="1"/>
  <c r="X438" i="3"/>
  <c r="AR438" i="3" s="1"/>
  <c r="X444" i="3"/>
  <c r="AR444" i="3" s="1"/>
  <c r="Y458" i="3"/>
  <c r="AS458" i="3" s="1"/>
  <c r="X465" i="3"/>
  <c r="AR465" i="3" s="1"/>
  <c r="X472" i="3"/>
  <c r="AR472" i="3" s="1"/>
  <c r="X131" i="3"/>
  <c r="AR131" i="3" s="1"/>
  <c r="Y136" i="3"/>
  <c r="AS136" i="3" s="1"/>
  <c r="X158" i="3"/>
  <c r="AR158" i="3" s="1"/>
  <c r="X169" i="3"/>
  <c r="AR169" i="3" s="1"/>
  <c r="X180" i="3"/>
  <c r="AR180" i="3" s="1"/>
  <c r="Y191" i="3"/>
  <c r="AS191" i="3" s="1"/>
  <c r="X208" i="3"/>
  <c r="AR208" i="3" s="1"/>
  <c r="Y243" i="3"/>
  <c r="AS243" i="3" s="1"/>
  <c r="Y249" i="3"/>
  <c r="AS249" i="3" s="1"/>
  <c r="X255" i="3"/>
  <c r="AR255" i="3" s="1"/>
  <c r="X279" i="3"/>
  <c r="AR279" i="3" s="1"/>
  <c r="Y298" i="3"/>
  <c r="AS298" i="3" s="1"/>
  <c r="X326" i="3"/>
  <c r="AR326" i="3" s="1"/>
  <c r="Y332" i="3"/>
  <c r="AS332" i="3" s="1"/>
  <c r="X398" i="3"/>
  <c r="AR398" i="3" s="1"/>
  <c r="X412" i="3"/>
  <c r="AR412" i="3" s="1"/>
  <c r="Y418" i="3"/>
  <c r="AS418" i="3" s="1"/>
  <c r="X432" i="3"/>
  <c r="AR432" i="3" s="1"/>
  <c r="X459" i="3"/>
  <c r="AR459" i="3" s="1"/>
  <c r="X466" i="3"/>
  <c r="AR466" i="3" s="1"/>
  <c r="X473" i="3"/>
  <c r="AR473" i="3" s="1"/>
  <c r="Y131" i="3"/>
  <c r="AS131" i="3" s="1"/>
  <c r="Y147" i="3"/>
  <c r="AS147" i="3" s="1"/>
  <c r="Y158" i="3"/>
  <c r="AS158" i="3" s="1"/>
  <c r="Y169" i="3"/>
  <c r="AS169" i="3" s="1"/>
  <c r="Y180" i="3"/>
  <c r="AS180" i="3" s="1"/>
  <c r="Y197" i="3"/>
  <c r="AS197" i="3" s="1"/>
  <c r="Y208" i="3"/>
  <c r="AS208" i="3" s="1"/>
  <c r="Y214" i="3"/>
  <c r="AS214" i="3" s="1"/>
  <c r="X220" i="3"/>
  <c r="AR220" i="3" s="1"/>
  <c r="Y255" i="3"/>
  <c r="AS255" i="3" s="1"/>
  <c r="Y261" i="3"/>
  <c r="AS261" i="3" s="1"/>
  <c r="Y267" i="3"/>
  <c r="AS267" i="3" s="1"/>
  <c r="X273" i="3"/>
  <c r="AR273" i="3" s="1"/>
  <c r="X286" i="3"/>
  <c r="AR286" i="3" s="1"/>
  <c r="X292" i="3"/>
  <c r="AR292" i="3" s="1"/>
  <c r="X345" i="3"/>
  <c r="AR345" i="3" s="1"/>
  <c r="X351" i="3"/>
  <c r="AR351" i="3" s="1"/>
  <c r="X372" i="3"/>
  <c r="AR372" i="3" s="1"/>
  <c r="X379" i="3"/>
  <c r="AR379" i="3" s="1"/>
  <c r="X392" i="3"/>
  <c r="AR392" i="3" s="1"/>
  <c r="X425" i="3"/>
  <c r="AR425" i="3" s="1"/>
  <c r="X439" i="3"/>
  <c r="AR439" i="3" s="1"/>
  <c r="Y473" i="3"/>
  <c r="AS473" i="3" s="1"/>
  <c r="X446" i="3"/>
  <c r="AR446" i="3" s="1"/>
  <c r="X471" i="3"/>
  <c r="AR471" i="3" s="1"/>
  <c r="X496" i="3"/>
  <c r="AR496" i="3" s="1"/>
  <c r="X151" i="3"/>
  <c r="AR151" i="3" s="1"/>
  <c r="X156" i="3"/>
  <c r="AR156" i="3" s="1"/>
  <c r="X161" i="3"/>
  <c r="AR161" i="3" s="1"/>
  <c r="X166" i="3"/>
  <c r="AR166" i="3" s="1"/>
  <c r="X171" i="3"/>
  <c r="AR171" i="3" s="1"/>
  <c r="X176" i="3"/>
  <c r="AR176" i="3" s="1"/>
  <c r="X181" i="3"/>
  <c r="AR181" i="3" s="1"/>
  <c r="X186" i="3"/>
  <c r="AR186" i="3" s="1"/>
  <c r="X191" i="3"/>
  <c r="AR191" i="3" s="1"/>
  <c r="X196" i="3"/>
  <c r="AR196" i="3" s="1"/>
  <c r="X201" i="3"/>
  <c r="AR201" i="3" s="1"/>
  <c r="X206" i="3"/>
  <c r="AR206" i="3" s="1"/>
  <c r="X211" i="3"/>
  <c r="AR211" i="3" s="1"/>
  <c r="X216" i="3"/>
  <c r="AR216" i="3" s="1"/>
  <c r="X221" i="3"/>
  <c r="AR221" i="3" s="1"/>
  <c r="X226" i="3"/>
  <c r="AR226" i="3" s="1"/>
  <c r="X231" i="3"/>
  <c r="AR231" i="3" s="1"/>
  <c r="X236" i="3"/>
  <c r="AR236" i="3" s="1"/>
  <c r="X241" i="3"/>
  <c r="AR241" i="3" s="1"/>
  <c r="X246" i="3"/>
  <c r="AR246" i="3" s="1"/>
  <c r="X251" i="3"/>
  <c r="AR251" i="3" s="1"/>
  <c r="X256" i="3"/>
  <c r="AR256" i="3" s="1"/>
  <c r="X261" i="3"/>
  <c r="AR261" i="3" s="1"/>
  <c r="X266" i="3"/>
  <c r="AR266" i="3" s="1"/>
  <c r="X271" i="3"/>
  <c r="AR271" i="3" s="1"/>
  <c r="X282" i="3"/>
  <c r="AR282" i="3" s="1"/>
  <c r="X293" i="3"/>
  <c r="AR293" i="3" s="1"/>
  <c r="X304" i="3"/>
  <c r="AR304" i="3" s="1"/>
  <c r="X310" i="3"/>
  <c r="AR310" i="3" s="1"/>
  <c r="X316" i="3"/>
  <c r="AR316" i="3" s="1"/>
  <c r="X322" i="3"/>
  <c r="AR322" i="3" s="1"/>
  <c r="Y357" i="3"/>
  <c r="AS357" i="3" s="1"/>
  <c r="X363" i="3"/>
  <c r="AR363" i="3" s="1"/>
  <c r="Y398" i="3"/>
  <c r="AS398" i="3" s="1"/>
  <c r="X404" i="3"/>
  <c r="AR404" i="3" s="1"/>
  <c r="X410" i="3"/>
  <c r="AR410" i="3" s="1"/>
  <c r="X435" i="3"/>
  <c r="AR435" i="3" s="1"/>
  <c r="X460" i="3"/>
  <c r="AR460" i="3" s="1"/>
  <c r="X485" i="3"/>
  <c r="AR485" i="3" s="1"/>
  <c r="Y277" i="3"/>
  <c r="AS277" i="3" s="1"/>
  <c r="Y288" i="3"/>
  <c r="AS288" i="3" s="1"/>
  <c r="X305" i="3"/>
  <c r="AR305" i="3" s="1"/>
  <c r="X311" i="3"/>
  <c r="AR311" i="3" s="1"/>
  <c r="X317" i="3"/>
  <c r="AR317" i="3" s="1"/>
  <c r="Y352" i="3"/>
  <c r="AS352" i="3" s="1"/>
  <c r="X358" i="3"/>
  <c r="AR358" i="3" s="1"/>
  <c r="Y393" i="3"/>
  <c r="AS393" i="3" s="1"/>
  <c r="X399" i="3"/>
  <c r="AR399" i="3" s="1"/>
  <c r="X405" i="3"/>
  <c r="AR405" i="3" s="1"/>
  <c r="X411" i="3"/>
  <c r="AR411" i="3" s="1"/>
  <c r="X436" i="3"/>
  <c r="AR436" i="3" s="1"/>
  <c r="X461" i="3"/>
  <c r="AR461" i="3" s="1"/>
  <c r="X486" i="3"/>
  <c r="AR486" i="3" s="1"/>
  <c r="X2" i="3"/>
  <c r="AR2" i="3" s="1"/>
  <c r="X7" i="3"/>
  <c r="AR7" i="3" s="1"/>
  <c r="X12" i="3"/>
  <c r="AR12" i="3" s="1"/>
  <c r="X17" i="3"/>
  <c r="AR17" i="3" s="1"/>
  <c r="X22" i="3"/>
  <c r="AR22" i="3" s="1"/>
  <c r="X27" i="3"/>
  <c r="AR27" i="3" s="1"/>
  <c r="X32" i="3"/>
  <c r="AR32" i="3" s="1"/>
  <c r="X37" i="3"/>
  <c r="AR37" i="3" s="1"/>
  <c r="X42" i="3"/>
  <c r="AR42" i="3" s="1"/>
  <c r="X47" i="3"/>
  <c r="AR47" i="3" s="1"/>
  <c r="X52" i="3"/>
  <c r="AR52" i="3" s="1"/>
  <c r="X57" i="3"/>
  <c r="AR57" i="3" s="1"/>
  <c r="X62" i="3"/>
  <c r="AR62" i="3" s="1"/>
  <c r="X67" i="3"/>
  <c r="AR67" i="3" s="1"/>
  <c r="X72" i="3"/>
  <c r="AR72" i="3" s="1"/>
  <c r="X77" i="3"/>
  <c r="AR77" i="3" s="1"/>
  <c r="X82" i="3"/>
  <c r="AR82" i="3" s="1"/>
  <c r="X87" i="3"/>
  <c r="AR87" i="3" s="1"/>
  <c r="X92" i="3"/>
  <c r="AR92" i="3" s="1"/>
  <c r="X97" i="3"/>
  <c r="AR97" i="3" s="1"/>
  <c r="X102" i="3"/>
  <c r="AR102" i="3" s="1"/>
  <c r="X107" i="3"/>
  <c r="AR107" i="3" s="1"/>
  <c r="X112" i="3"/>
  <c r="AR112" i="3" s="1"/>
  <c r="X117" i="3"/>
  <c r="AR117" i="3" s="1"/>
  <c r="X122" i="3"/>
  <c r="AR122" i="3" s="1"/>
  <c r="X127" i="3"/>
  <c r="AR127" i="3" s="1"/>
  <c r="X132" i="3"/>
  <c r="AR132" i="3" s="1"/>
  <c r="X137" i="3"/>
  <c r="AR137" i="3" s="1"/>
  <c r="X142" i="3"/>
  <c r="AR142" i="3" s="1"/>
  <c r="X147" i="3"/>
  <c r="AR147" i="3" s="1"/>
  <c r="X152" i="3"/>
  <c r="AR152" i="3" s="1"/>
  <c r="X157" i="3"/>
  <c r="AR157" i="3" s="1"/>
  <c r="X162" i="3"/>
  <c r="AR162" i="3" s="1"/>
  <c r="X167" i="3"/>
  <c r="AR167" i="3" s="1"/>
  <c r="X172" i="3"/>
  <c r="AR172" i="3" s="1"/>
  <c r="X177" i="3"/>
  <c r="AR177" i="3" s="1"/>
  <c r="X182" i="3"/>
  <c r="AR182" i="3" s="1"/>
  <c r="X187" i="3"/>
  <c r="AR187" i="3" s="1"/>
  <c r="X192" i="3"/>
  <c r="AR192" i="3" s="1"/>
  <c r="X197" i="3"/>
  <c r="AR197" i="3" s="1"/>
  <c r="X202" i="3"/>
  <c r="AR202" i="3" s="1"/>
  <c r="X207" i="3"/>
  <c r="AR207" i="3" s="1"/>
  <c r="X212" i="3"/>
  <c r="AR212" i="3" s="1"/>
  <c r="X217" i="3"/>
  <c r="AR217" i="3" s="1"/>
  <c r="X222" i="3"/>
  <c r="AR222" i="3" s="1"/>
  <c r="X227" i="3"/>
  <c r="AR227" i="3" s="1"/>
  <c r="X232" i="3"/>
  <c r="AR232" i="3" s="1"/>
  <c r="X237" i="3"/>
  <c r="AR237" i="3" s="1"/>
  <c r="X242" i="3"/>
  <c r="AR242" i="3" s="1"/>
  <c r="X247" i="3"/>
  <c r="AR247" i="3" s="1"/>
  <c r="X252" i="3"/>
  <c r="AR252" i="3" s="1"/>
  <c r="X257" i="3"/>
  <c r="AR257" i="3" s="1"/>
  <c r="X262" i="3"/>
  <c r="AR262" i="3" s="1"/>
  <c r="X267" i="3"/>
  <c r="AR267" i="3" s="1"/>
  <c r="X272" i="3"/>
  <c r="AR272" i="3" s="1"/>
  <c r="X283" i="3"/>
  <c r="AR283" i="3" s="1"/>
  <c r="X294" i="3"/>
  <c r="AR294" i="3" s="1"/>
  <c r="Y317" i="3"/>
  <c r="AS317" i="3" s="1"/>
  <c r="X323" i="3"/>
  <c r="AR323" i="3" s="1"/>
  <c r="Y358" i="3"/>
  <c r="AS358" i="3" s="1"/>
  <c r="X364" i="3"/>
  <c r="AR364" i="3" s="1"/>
  <c r="X370" i="3"/>
  <c r="AR370" i="3" s="1"/>
  <c r="X376" i="3"/>
  <c r="AR376" i="3" s="1"/>
  <c r="X382" i="3"/>
  <c r="AR382" i="3" s="1"/>
  <c r="X430" i="3"/>
  <c r="AR430" i="3" s="1"/>
  <c r="X455" i="3"/>
  <c r="AR455" i="3" s="1"/>
  <c r="X480" i="3"/>
  <c r="AR480" i="3" s="1"/>
  <c r="Y278" i="3"/>
  <c r="AS278" i="3" s="1"/>
  <c r="X295" i="3"/>
  <c r="AR295" i="3" s="1"/>
  <c r="Y312" i="3"/>
  <c r="AS312" i="3" s="1"/>
  <c r="X318" i="3"/>
  <c r="AR318" i="3" s="1"/>
  <c r="Y353" i="3"/>
  <c r="AS353" i="3" s="1"/>
  <c r="X359" i="3"/>
  <c r="AR359" i="3" s="1"/>
  <c r="X365" i="3"/>
  <c r="AR365" i="3" s="1"/>
  <c r="X371" i="3"/>
  <c r="AR371" i="3" s="1"/>
  <c r="X377" i="3"/>
  <c r="AR377" i="3" s="1"/>
  <c r="X431" i="3"/>
  <c r="AR431" i="3" s="1"/>
  <c r="X456" i="3"/>
  <c r="AR456" i="3" s="1"/>
  <c r="X481" i="3"/>
  <c r="AR481" i="3" s="1"/>
  <c r="X475" i="3"/>
  <c r="AR475" i="3" s="1"/>
  <c r="X500" i="3"/>
  <c r="AR500" i="3" s="1"/>
  <c r="X285" i="3"/>
  <c r="AR285" i="3" s="1"/>
  <c r="Y296" i="3"/>
  <c r="AS296" i="3" s="1"/>
  <c r="Y313" i="3"/>
  <c r="AS313" i="3" s="1"/>
  <c r="X319" i="3"/>
  <c r="AR319" i="3" s="1"/>
  <c r="X325" i="3"/>
  <c r="AR325" i="3" s="1"/>
  <c r="X331" i="3"/>
  <c r="AR331" i="3" s="1"/>
  <c r="X337" i="3"/>
  <c r="AR337" i="3" s="1"/>
  <c r="Y372" i="3"/>
  <c r="AS372" i="3" s="1"/>
  <c r="X378" i="3"/>
  <c r="AR378" i="3" s="1"/>
  <c r="X426" i="3"/>
  <c r="AR426" i="3" s="1"/>
  <c r="X451" i="3"/>
  <c r="AR451" i="3" s="1"/>
  <c r="X476" i="3"/>
  <c r="AR476" i="3" s="1"/>
  <c r="X501" i="3"/>
  <c r="AR501" i="3" s="1"/>
  <c r="X209" i="3"/>
  <c r="AR209" i="3" s="1"/>
  <c r="X214" i="3"/>
  <c r="AR214" i="3" s="1"/>
  <c r="X219" i="3"/>
  <c r="AR219" i="3" s="1"/>
  <c r="X224" i="3"/>
  <c r="AR224" i="3" s="1"/>
  <c r="X229" i="3"/>
  <c r="AR229" i="3" s="1"/>
  <c r="X234" i="3"/>
  <c r="AR234" i="3" s="1"/>
  <c r="X239" i="3"/>
  <c r="AR239" i="3" s="1"/>
  <c r="X244" i="3"/>
  <c r="AR244" i="3" s="1"/>
  <c r="X249" i="3"/>
  <c r="AR249" i="3" s="1"/>
  <c r="X254" i="3"/>
  <c r="AR254" i="3" s="1"/>
  <c r="X259" i="3"/>
  <c r="AR259" i="3" s="1"/>
  <c r="X264" i="3"/>
  <c r="AR264" i="3" s="1"/>
  <c r="X269" i="3"/>
  <c r="AR269" i="3" s="1"/>
  <c r="X274" i="3"/>
  <c r="AR274" i="3" s="1"/>
  <c r="X291" i="3"/>
  <c r="AR291" i="3" s="1"/>
  <c r="X302" i="3"/>
  <c r="AR302" i="3" s="1"/>
  <c r="Y337" i="3"/>
  <c r="AS337" i="3" s="1"/>
  <c r="X343" i="3"/>
  <c r="AR343" i="3" s="1"/>
  <c r="Y378" i="3"/>
  <c r="AS378" i="3" s="1"/>
  <c r="X384" i="3"/>
  <c r="AR384" i="3" s="1"/>
  <c r="X390" i="3"/>
  <c r="AR390" i="3" s="1"/>
  <c r="X396" i="3"/>
  <c r="AR396" i="3" s="1"/>
  <c r="X402" i="3"/>
  <c r="AR402" i="3" s="1"/>
  <c r="X420" i="3"/>
  <c r="AR420" i="3" s="1"/>
  <c r="X445" i="3"/>
  <c r="AR445" i="3" s="1"/>
  <c r="X470" i="3"/>
  <c r="AR470" i="3" s="1"/>
  <c r="X495" i="3"/>
  <c r="AR495" i="3" s="1"/>
  <c r="Y412" i="3"/>
  <c r="AS412" i="3" s="1"/>
  <c r="Y417" i="3"/>
  <c r="AS417" i="3" s="1"/>
  <c r="Y422" i="3"/>
  <c r="AS422" i="3" s="1"/>
  <c r="Y427" i="3"/>
  <c r="AS427" i="3" s="1"/>
  <c r="Y432" i="3"/>
  <c r="AS432" i="3" s="1"/>
  <c r="Y437" i="3"/>
  <c r="AS437" i="3" s="1"/>
  <c r="Y442" i="3"/>
  <c r="AS442" i="3" s="1"/>
  <c r="Y447" i="3"/>
  <c r="AS447" i="3" s="1"/>
  <c r="Y452" i="3"/>
  <c r="AS452" i="3" s="1"/>
  <c r="Y457" i="3"/>
  <c r="AS457" i="3" s="1"/>
  <c r="Y462" i="3"/>
  <c r="AS462" i="3" s="1"/>
  <c r="Y467" i="3"/>
  <c r="AS467" i="3" s="1"/>
  <c r="Y472" i="3"/>
  <c r="AS472" i="3" s="1"/>
  <c r="Y477" i="3"/>
  <c r="AS477" i="3" s="1"/>
  <c r="Y482" i="3"/>
  <c r="AS482" i="3" s="1"/>
  <c r="Y487" i="3"/>
  <c r="AS487" i="3" s="1"/>
  <c r="Y492" i="3"/>
  <c r="AS492" i="3" s="1"/>
  <c r="Y497" i="3"/>
  <c r="AS497" i="3" s="1"/>
  <c r="Y274" i="3"/>
  <c r="AS274" i="3" s="1"/>
  <c r="Y279" i="3"/>
  <c r="AS279" i="3" s="1"/>
  <c r="Y284" i="3"/>
  <c r="AS284" i="3" s="1"/>
  <c r="Y289" i="3"/>
  <c r="AS289" i="3" s="1"/>
  <c r="Y294" i="3"/>
  <c r="AS294" i="3" s="1"/>
  <c r="Y299" i="3"/>
  <c r="AS299" i="3" s="1"/>
  <c r="Y304" i="3"/>
  <c r="AS304" i="3" s="1"/>
  <c r="Y309" i="3"/>
  <c r="AS309" i="3" s="1"/>
  <c r="Y314" i="3"/>
  <c r="AS314" i="3" s="1"/>
  <c r="Y319" i="3"/>
  <c r="AS319" i="3" s="1"/>
  <c r="Y324" i="3"/>
  <c r="AS324" i="3" s="1"/>
  <c r="Y329" i="3"/>
  <c r="AS329" i="3" s="1"/>
  <c r="Y334" i="3"/>
  <c r="AS334" i="3" s="1"/>
  <c r="Y339" i="3"/>
  <c r="AS339" i="3" s="1"/>
  <c r="Y344" i="3"/>
  <c r="AS344" i="3" s="1"/>
  <c r="Y349" i="3"/>
  <c r="AS349" i="3" s="1"/>
  <c r="Y354" i="3"/>
  <c r="AS354" i="3" s="1"/>
  <c r="Y359" i="3"/>
  <c r="AS359" i="3" s="1"/>
  <c r="Y364" i="3"/>
  <c r="AS364" i="3" s="1"/>
  <c r="Y369" i="3"/>
  <c r="AS369" i="3" s="1"/>
  <c r="Y374" i="3"/>
  <c r="AS374" i="3" s="1"/>
  <c r="Y379" i="3"/>
  <c r="AS379" i="3" s="1"/>
  <c r="Y384" i="3"/>
  <c r="AS384" i="3" s="1"/>
  <c r="Y389" i="3"/>
  <c r="AS389" i="3" s="1"/>
  <c r="Y394" i="3"/>
  <c r="AS394" i="3" s="1"/>
  <c r="Y399" i="3"/>
  <c r="AS399" i="3" s="1"/>
  <c r="Y404" i="3"/>
  <c r="AS404" i="3" s="1"/>
  <c r="Y409" i="3"/>
  <c r="AS409" i="3" s="1"/>
  <c r="Y414" i="3"/>
  <c r="AS414" i="3" s="1"/>
  <c r="Y419" i="3"/>
  <c r="AS419" i="3" s="1"/>
  <c r="Y424" i="3"/>
  <c r="AS424" i="3" s="1"/>
  <c r="Y429" i="3"/>
  <c r="AS429" i="3" s="1"/>
  <c r="Y434" i="3"/>
  <c r="AS434" i="3" s="1"/>
  <c r="Y439" i="3"/>
  <c r="AS439" i="3" s="1"/>
  <c r="Y444" i="3"/>
  <c r="AS444" i="3" s="1"/>
  <c r="Y449" i="3"/>
  <c r="AS449" i="3" s="1"/>
  <c r="Y454" i="3"/>
  <c r="AS454" i="3" s="1"/>
  <c r="Y459" i="3"/>
  <c r="AS459" i="3" s="1"/>
  <c r="Y464" i="3"/>
  <c r="AS464" i="3" s="1"/>
  <c r="Y469" i="3"/>
  <c r="AS469" i="3" s="1"/>
  <c r="Y474" i="3"/>
  <c r="AS474" i="3" s="1"/>
  <c r="Y479" i="3"/>
  <c r="AS479" i="3" s="1"/>
  <c r="Y484" i="3"/>
  <c r="AS484" i="3" s="1"/>
  <c r="Y489" i="3"/>
  <c r="AS489" i="3" s="1"/>
  <c r="Y494" i="3"/>
  <c r="AS494" i="3" s="1"/>
  <c r="Y499" i="3"/>
  <c r="AS499" i="3" s="1"/>
  <c r="Y275" i="3"/>
  <c r="AS275" i="3" s="1"/>
  <c r="Y280" i="3"/>
  <c r="AS280" i="3" s="1"/>
  <c r="Y285" i="3"/>
  <c r="AS285" i="3" s="1"/>
  <c r="Y290" i="3"/>
  <c r="AS290" i="3" s="1"/>
  <c r="Y295" i="3"/>
  <c r="AS295" i="3" s="1"/>
  <c r="Y300" i="3"/>
  <c r="AS300" i="3" s="1"/>
  <c r="Y305" i="3"/>
  <c r="AS305" i="3" s="1"/>
  <c r="Y310" i="3"/>
  <c r="AS310" i="3" s="1"/>
  <c r="Y315" i="3"/>
  <c r="AS315" i="3" s="1"/>
  <c r="Y320" i="3"/>
  <c r="AS320" i="3" s="1"/>
  <c r="Y325" i="3"/>
  <c r="AS325" i="3" s="1"/>
  <c r="Y330" i="3"/>
  <c r="AS330" i="3" s="1"/>
  <c r="Y335" i="3"/>
  <c r="AS335" i="3" s="1"/>
  <c r="Y340" i="3"/>
  <c r="AS340" i="3" s="1"/>
  <c r="Y345" i="3"/>
  <c r="AS345" i="3" s="1"/>
  <c r="Y350" i="3"/>
  <c r="AS350" i="3" s="1"/>
  <c r="Y355" i="3"/>
  <c r="AS355" i="3" s="1"/>
  <c r="Y360" i="3"/>
  <c r="AS360" i="3" s="1"/>
  <c r="Y365" i="3"/>
  <c r="AS365" i="3" s="1"/>
  <c r="Y370" i="3"/>
  <c r="AS370" i="3" s="1"/>
  <c r="Y375" i="3"/>
  <c r="AS375" i="3" s="1"/>
  <c r="Y380" i="3"/>
  <c r="AS380" i="3" s="1"/>
  <c r="Y385" i="3"/>
  <c r="AS385" i="3" s="1"/>
  <c r="Y390" i="3"/>
  <c r="AS390" i="3" s="1"/>
  <c r="Y395" i="3"/>
  <c r="AS395" i="3" s="1"/>
  <c r="Y400" i="3"/>
  <c r="AS400" i="3" s="1"/>
  <c r="Y405" i="3"/>
  <c r="AS405" i="3" s="1"/>
  <c r="Y410" i="3"/>
  <c r="AS410" i="3" s="1"/>
  <c r="Y415" i="3"/>
  <c r="AS415" i="3" s="1"/>
  <c r="Y420" i="3"/>
  <c r="AS420" i="3" s="1"/>
  <c r="Y425" i="3"/>
  <c r="AS425" i="3" s="1"/>
  <c r="Y430" i="3"/>
  <c r="AS430" i="3" s="1"/>
  <c r="Y435" i="3"/>
  <c r="AS435" i="3" s="1"/>
  <c r="Y440" i="3"/>
  <c r="AS440" i="3" s="1"/>
  <c r="Y445" i="3"/>
  <c r="AS445" i="3" s="1"/>
  <c r="Y450" i="3"/>
  <c r="AS450" i="3" s="1"/>
  <c r="Y455" i="3"/>
  <c r="AS455" i="3" s="1"/>
  <c r="Y460" i="3"/>
  <c r="AS460" i="3" s="1"/>
  <c r="Y465" i="3"/>
  <c r="AS465" i="3" s="1"/>
  <c r="Y470" i="3"/>
  <c r="AS470" i="3" s="1"/>
  <c r="Y475" i="3"/>
  <c r="AS475" i="3" s="1"/>
  <c r="Y480" i="3"/>
  <c r="AS480" i="3" s="1"/>
  <c r="Y485" i="3"/>
  <c r="AS485" i="3" s="1"/>
  <c r="Y490" i="3"/>
  <c r="AS490" i="3" s="1"/>
  <c r="Y495" i="3"/>
  <c r="AS495" i="3" s="1"/>
  <c r="Y500" i="3"/>
  <c r="AS500" i="3" s="1"/>
  <c r="Y306" i="3"/>
  <c r="AS306" i="3" s="1"/>
  <c r="Y311" i="3"/>
  <c r="AS311" i="3" s="1"/>
  <c r="Y316" i="3"/>
  <c r="AS316" i="3" s="1"/>
  <c r="Y321" i="3"/>
  <c r="AS321" i="3" s="1"/>
  <c r="Y326" i="3"/>
  <c r="AS326" i="3" s="1"/>
  <c r="Y331" i="3"/>
  <c r="AS331" i="3" s="1"/>
  <c r="Y336" i="3"/>
  <c r="AS336" i="3" s="1"/>
  <c r="Y341" i="3"/>
  <c r="AS341" i="3" s="1"/>
  <c r="Y346" i="3"/>
  <c r="AS346" i="3" s="1"/>
  <c r="Y351" i="3"/>
  <c r="AS351" i="3" s="1"/>
  <c r="Y356" i="3"/>
  <c r="AS356" i="3" s="1"/>
  <c r="Y361" i="3"/>
  <c r="AS361" i="3" s="1"/>
  <c r="Y366" i="3"/>
  <c r="AS366" i="3" s="1"/>
  <c r="Y371" i="3"/>
  <c r="AS371" i="3" s="1"/>
  <c r="Y376" i="3"/>
  <c r="AS376" i="3" s="1"/>
  <c r="Y381" i="3"/>
  <c r="AS381" i="3" s="1"/>
  <c r="Y386" i="3"/>
  <c r="AS386" i="3" s="1"/>
  <c r="Y391" i="3"/>
  <c r="AS391" i="3" s="1"/>
  <c r="Y396" i="3"/>
  <c r="AS396" i="3" s="1"/>
  <c r="Y401" i="3"/>
  <c r="AS401" i="3" s="1"/>
  <c r="Y406" i="3"/>
  <c r="AS406" i="3" s="1"/>
  <c r="Y411" i="3"/>
  <c r="AS411" i="3" s="1"/>
  <c r="Y416" i="3"/>
  <c r="AS416" i="3" s="1"/>
  <c r="Y421" i="3"/>
  <c r="AS421" i="3" s="1"/>
  <c r="Y426" i="3"/>
  <c r="AS426" i="3" s="1"/>
  <c r="Y431" i="3"/>
  <c r="AS431" i="3" s="1"/>
  <c r="Y436" i="3"/>
  <c r="AS436" i="3" s="1"/>
  <c r="Y441" i="3"/>
  <c r="AS441" i="3" s="1"/>
  <c r="Y446" i="3"/>
  <c r="AS446" i="3" s="1"/>
  <c r="Y451" i="3"/>
  <c r="AS451" i="3" s="1"/>
  <c r="Y456" i="3"/>
  <c r="AS456" i="3" s="1"/>
  <c r="Y461" i="3"/>
  <c r="AS461" i="3" s="1"/>
  <c r="Y466" i="3"/>
  <c r="AS466" i="3" s="1"/>
  <c r="Y471" i="3"/>
  <c r="AS471" i="3" s="1"/>
  <c r="Y476" i="3"/>
  <c r="AS476" i="3" s="1"/>
  <c r="Y481" i="3"/>
  <c r="AS481" i="3" s="1"/>
  <c r="Y486" i="3"/>
  <c r="AS486" i="3" s="1"/>
  <c r="Y491" i="3"/>
  <c r="AS491" i="3" s="1"/>
  <c r="Y496" i="3"/>
  <c r="AS496" i="3" s="1"/>
  <c r="BD9" i="3"/>
  <c r="BD19" i="3"/>
  <c r="BD29" i="3"/>
  <c r="BD39" i="3"/>
  <c r="BD49" i="3"/>
  <c r="BD59" i="3"/>
  <c r="BD69" i="3"/>
  <c r="BD79" i="3"/>
  <c r="BD89" i="3"/>
  <c r="BD99" i="3"/>
  <c r="BD109" i="3"/>
  <c r="BD119" i="3"/>
  <c r="BD129" i="3"/>
  <c r="BD139" i="3"/>
  <c r="BD149" i="3"/>
  <c r="BD159" i="3"/>
  <c r="BD169" i="3"/>
  <c r="BD179" i="3"/>
  <c r="BD189" i="3"/>
  <c r="BD199" i="3"/>
  <c r="BD209" i="3"/>
  <c r="BD219" i="3"/>
  <c r="BD229" i="3"/>
  <c r="BD239" i="3"/>
  <c r="BD249" i="3"/>
  <c r="BD259" i="3"/>
  <c r="BD269" i="3"/>
  <c r="BD279" i="3"/>
  <c r="BD289" i="3"/>
  <c r="BD299" i="3"/>
  <c r="BD309" i="3"/>
  <c r="BD319" i="3"/>
  <c r="BD329" i="3"/>
  <c r="BD339" i="3"/>
  <c r="BD349" i="3"/>
  <c r="BD359" i="3"/>
  <c r="BD369" i="3"/>
  <c r="BD379" i="3"/>
  <c r="BD389" i="3"/>
  <c r="BD399" i="3"/>
  <c r="BD409" i="3"/>
  <c r="BD419" i="3"/>
  <c r="BD429" i="3"/>
  <c r="BD439" i="3"/>
  <c r="BD449" i="3"/>
  <c r="BD459" i="3"/>
  <c r="BD469" i="3"/>
  <c r="BD479" i="3"/>
  <c r="BD489" i="3"/>
  <c r="BD499" i="3"/>
  <c r="BD10" i="3"/>
  <c r="BD20" i="3"/>
  <c r="BD30" i="3"/>
  <c r="BD40" i="3"/>
  <c r="BD50" i="3"/>
  <c r="BD60" i="3"/>
  <c r="BD70" i="3"/>
  <c r="BD80" i="3"/>
  <c r="BD90" i="3"/>
  <c r="BD100" i="3"/>
  <c r="BD110" i="3"/>
  <c r="BD120" i="3"/>
  <c r="BD130" i="3"/>
  <c r="BD140" i="3"/>
  <c r="BD150" i="3"/>
  <c r="BD160" i="3"/>
  <c r="BD170" i="3"/>
  <c r="BD180" i="3"/>
  <c r="BD190" i="3"/>
  <c r="BD200" i="3"/>
  <c r="BD210" i="3"/>
  <c r="BD220" i="3"/>
  <c r="BD230" i="3"/>
  <c r="BD240" i="3"/>
  <c r="BD250" i="3"/>
  <c r="BD260" i="3"/>
  <c r="BD270" i="3"/>
  <c r="BD280" i="3"/>
  <c r="BD290" i="3"/>
  <c r="BD300" i="3"/>
  <c r="BD310" i="3"/>
  <c r="BD320" i="3"/>
  <c r="BD330" i="3"/>
  <c r="BD340" i="3"/>
  <c r="BD350" i="3"/>
  <c r="BD360" i="3"/>
  <c r="BD370" i="3"/>
  <c r="BD380" i="3"/>
  <c r="BD390" i="3"/>
  <c r="BD400" i="3"/>
  <c r="BD410" i="3"/>
  <c r="BD420" i="3"/>
  <c r="BD430" i="3"/>
  <c r="BD440" i="3"/>
  <c r="BD450" i="3"/>
  <c r="BD460" i="3"/>
  <c r="BD470" i="3"/>
  <c r="BD480" i="3"/>
  <c r="BD490" i="3"/>
  <c r="BD6" i="3"/>
  <c r="BD16" i="3"/>
  <c r="BD26" i="3"/>
  <c r="BD36" i="3"/>
  <c r="BD46" i="3"/>
  <c r="BD56" i="3"/>
  <c r="BD66" i="3"/>
  <c r="BD76" i="3"/>
  <c r="BD86" i="3"/>
  <c r="BD96" i="3"/>
  <c r="BD106" i="3"/>
  <c r="BD116" i="3"/>
  <c r="BD126" i="3"/>
  <c r="BD136" i="3"/>
  <c r="BD146" i="3"/>
  <c r="BD156" i="3"/>
  <c r="BD166" i="3"/>
  <c r="BD176" i="3"/>
  <c r="BD186" i="3"/>
  <c r="BD196" i="3"/>
  <c r="BD206" i="3"/>
  <c r="BD216" i="3"/>
  <c r="BD226" i="3"/>
  <c r="BD236" i="3"/>
  <c r="BD246" i="3"/>
  <c r="BD256" i="3"/>
  <c r="BD266" i="3"/>
  <c r="BD276" i="3"/>
  <c r="BD286" i="3"/>
  <c r="BD296" i="3"/>
  <c r="BD306" i="3"/>
  <c r="BD316" i="3"/>
  <c r="BD326" i="3"/>
  <c r="BD336" i="3"/>
  <c r="BD346" i="3"/>
  <c r="BD356" i="3"/>
  <c r="BD366" i="3"/>
  <c r="BD376" i="3"/>
  <c r="BD386" i="3"/>
  <c r="BD396" i="3"/>
  <c r="BD406" i="3"/>
  <c r="BD416" i="3"/>
  <c r="BD426" i="3"/>
  <c r="BD436" i="3"/>
  <c r="BD446" i="3"/>
  <c r="BD456" i="3"/>
  <c r="BD466" i="3"/>
  <c r="BD476" i="3"/>
  <c r="BD486" i="3"/>
  <c r="BD496" i="3"/>
  <c r="BD500" i="3"/>
  <c r="BD11" i="3"/>
  <c r="BD21" i="3"/>
  <c r="BD31" i="3"/>
  <c r="BD41" i="3"/>
  <c r="BD51" i="3"/>
  <c r="BD61" i="3"/>
  <c r="BD71" i="3"/>
  <c r="BD81" i="3"/>
  <c r="BD91" i="3"/>
  <c r="BD101" i="3"/>
  <c r="BD111" i="3"/>
  <c r="BD121" i="3"/>
  <c r="BD131" i="3"/>
  <c r="BD141" i="3"/>
  <c r="BD151" i="3"/>
  <c r="BD2" i="3"/>
  <c r="BD12" i="3"/>
  <c r="BD22" i="3"/>
  <c r="BD32" i="3"/>
  <c r="BD42" i="3"/>
  <c r="BD52" i="3"/>
  <c r="BD62" i="3"/>
  <c r="BD72" i="3"/>
  <c r="BD82" i="3"/>
  <c r="BD92" i="3"/>
  <c r="BD102" i="3"/>
  <c r="BD112" i="3"/>
  <c r="BD122" i="3"/>
  <c r="BD132" i="3"/>
  <c r="BD142" i="3"/>
  <c r="BD152" i="3"/>
  <c r="BD162" i="3"/>
  <c r="BD172" i="3"/>
  <c r="BD182" i="3"/>
  <c r="BD192" i="3"/>
  <c r="BD202" i="3"/>
  <c r="BD212" i="3"/>
  <c r="BD222" i="3"/>
  <c r="BD232" i="3"/>
  <c r="BD242" i="3"/>
  <c r="BD252" i="3"/>
  <c r="BD262" i="3"/>
  <c r="BD272" i="3"/>
  <c r="BD282" i="3"/>
  <c r="BD292" i="3"/>
  <c r="BD302" i="3"/>
  <c r="BD312" i="3"/>
  <c r="BD322" i="3"/>
  <c r="BD332" i="3"/>
  <c r="BD342" i="3"/>
  <c r="BD352" i="3"/>
  <c r="BD362" i="3"/>
  <c r="BD372" i="3"/>
  <c r="BD382" i="3"/>
  <c r="BD392" i="3"/>
  <c r="BD402" i="3"/>
  <c r="BD412" i="3"/>
  <c r="BD422" i="3"/>
  <c r="BD432" i="3"/>
  <c r="BD442" i="3"/>
  <c r="BD452" i="3"/>
  <c r="BD462" i="3"/>
  <c r="BD472" i="3"/>
  <c r="BD482" i="3"/>
  <c r="BD492" i="3"/>
  <c r="BD3" i="3"/>
  <c r="BD13" i="3"/>
  <c r="BD23" i="3"/>
  <c r="BD33" i="3"/>
  <c r="BD43" i="3"/>
  <c r="BD53" i="3"/>
  <c r="BD63" i="3"/>
  <c r="BD73" i="3"/>
  <c r="BD83" i="3"/>
  <c r="BD93" i="3"/>
  <c r="BD103" i="3"/>
  <c r="BD113" i="3"/>
  <c r="BD123" i="3"/>
  <c r="BD133" i="3"/>
  <c r="BD143" i="3"/>
  <c r="BD153" i="3"/>
  <c r="BD163" i="3"/>
  <c r="BD173" i="3"/>
  <c r="BD183" i="3"/>
  <c r="BD193" i="3"/>
  <c r="BD203" i="3"/>
  <c r="BD213" i="3"/>
  <c r="BD223" i="3"/>
  <c r="BD233" i="3"/>
  <c r="BD243" i="3"/>
  <c r="BD253" i="3"/>
  <c r="BD263" i="3"/>
  <c r="BD273" i="3"/>
  <c r="BD283" i="3"/>
  <c r="BD293" i="3"/>
  <c r="BD303" i="3"/>
  <c r="BD313" i="3"/>
  <c r="BD323" i="3"/>
  <c r="BD333" i="3"/>
  <c r="BD343" i="3"/>
  <c r="BD353" i="3"/>
  <c r="BD363" i="3"/>
  <c r="BD373" i="3"/>
  <c r="BD383" i="3"/>
  <c r="BD393" i="3"/>
  <c r="BD403" i="3"/>
  <c r="BD413" i="3"/>
  <c r="BD161" i="3"/>
  <c r="BD171" i="3"/>
  <c r="BD181" i="3"/>
  <c r="BD191" i="3"/>
  <c r="BD201" i="3"/>
  <c r="BD211" i="3"/>
  <c r="BD221" i="3"/>
  <c r="BD231" i="3"/>
  <c r="BD241" i="3"/>
  <c r="BD251" i="3"/>
  <c r="BD261" i="3"/>
  <c r="BD271" i="3"/>
  <c r="BD281" i="3"/>
  <c r="BD291" i="3"/>
  <c r="BD301" i="3"/>
  <c r="BD311" i="3"/>
  <c r="BD321" i="3"/>
  <c r="BD331" i="3"/>
  <c r="BD341" i="3"/>
  <c r="BD351" i="3"/>
  <c r="BD361" i="3"/>
  <c r="BD371" i="3"/>
  <c r="BD381" i="3"/>
  <c r="BD391" i="3"/>
  <c r="BD401" i="3"/>
  <c r="BD411" i="3"/>
  <c r="BD421" i="3"/>
  <c r="BD431" i="3"/>
  <c r="BD441" i="3"/>
  <c r="BD451" i="3"/>
  <c r="BD461" i="3"/>
  <c r="BD471" i="3"/>
  <c r="BD481" i="3"/>
  <c r="BD491" i="3"/>
  <c r="BD501" i="3"/>
  <c r="BD423" i="3"/>
  <c r="BD433" i="3"/>
  <c r="BD443" i="3"/>
  <c r="BD453" i="3"/>
  <c r="BD463" i="3"/>
  <c r="BD473" i="3"/>
  <c r="BD483" i="3"/>
  <c r="BD493" i="3"/>
  <c r="BD4" i="3"/>
  <c r="BD14" i="3"/>
  <c r="BD24" i="3"/>
  <c r="BD34" i="3"/>
  <c r="BD44" i="3"/>
  <c r="BD54" i="3"/>
  <c r="BD64" i="3"/>
  <c r="BD74" i="3"/>
  <c r="BD84" i="3"/>
  <c r="BD94" i="3"/>
  <c r="BD104" i="3"/>
  <c r="BD114" i="3"/>
  <c r="BD124" i="3"/>
  <c r="BD134" i="3"/>
  <c r="BD144" i="3"/>
  <c r="BD154" i="3"/>
  <c r="BD164" i="3"/>
  <c r="BD174" i="3"/>
  <c r="BD184" i="3"/>
  <c r="BD194" i="3"/>
  <c r="BD204" i="3"/>
  <c r="BD214" i="3"/>
  <c r="BD224" i="3"/>
  <c r="BD234" i="3"/>
  <c r="BD244" i="3"/>
  <c r="BD254" i="3"/>
  <c r="BD264" i="3"/>
  <c r="BD274" i="3"/>
  <c r="BD284" i="3"/>
  <c r="BD294" i="3"/>
  <c r="BD304" i="3"/>
  <c r="BD314" i="3"/>
  <c r="BD324" i="3"/>
  <c r="BD334" i="3"/>
  <c r="BD344" i="3"/>
  <c r="BD354" i="3"/>
  <c r="BD364" i="3"/>
  <c r="BD374" i="3"/>
  <c r="BD384" i="3"/>
  <c r="BD394" i="3"/>
  <c r="BD404" i="3"/>
  <c r="BD414" i="3"/>
  <c r="BD424" i="3"/>
  <c r="BD434" i="3"/>
  <c r="BD444" i="3"/>
  <c r="BD454" i="3"/>
  <c r="BD464" i="3"/>
  <c r="BD474" i="3"/>
  <c r="BD484" i="3"/>
  <c r="BD494" i="3"/>
  <c r="BD5" i="3"/>
  <c r="BD15" i="3"/>
  <c r="BD25" i="3"/>
  <c r="BD35" i="3"/>
  <c r="BD45" i="3"/>
  <c r="BD55" i="3"/>
  <c r="BD65" i="3"/>
  <c r="BD75" i="3"/>
  <c r="BD85" i="3"/>
  <c r="BD95" i="3"/>
  <c r="BD105" i="3"/>
  <c r="BD115" i="3"/>
  <c r="BD125" i="3"/>
  <c r="BD135" i="3"/>
  <c r="BD145" i="3"/>
  <c r="BD155" i="3"/>
  <c r="BD165" i="3"/>
  <c r="BD175" i="3"/>
  <c r="BD185" i="3"/>
  <c r="BD195" i="3"/>
  <c r="BD205" i="3"/>
  <c r="BD215" i="3"/>
  <c r="BD225" i="3"/>
  <c r="BD235" i="3"/>
  <c r="BD245" i="3"/>
  <c r="BD255" i="3"/>
  <c r="BD265" i="3"/>
  <c r="BD275" i="3"/>
  <c r="BD285" i="3"/>
  <c r="BD295" i="3"/>
  <c r="BD305" i="3"/>
  <c r="BD315" i="3"/>
  <c r="BD325" i="3"/>
  <c r="BD335" i="3"/>
  <c r="BD345" i="3"/>
  <c r="BD355" i="3"/>
  <c r="BD365" i="3"/>
  <c r="BD375" i="3"/>
  <c r="BD385" i="3"/>
  <c r="BD395" i="3"/>
  <c r="BD405" i="3"/>
  <c r="BD415" i="3"/>
  <c r="BD425" i="3"/>
  <c r="BD435" i="3"/>
  <c r="BD445" i="3"/>
  <c r="BD455" i="3"/>
  <c r="BD465" i="3"/>
  <c r="BD475" i="3"/>
  <c r="BD485" i="3"/>
  <c r="BD495" i="3"/>
  <c r="BD7" i="3"/>
  <c r="BD17" i="3"/>
  <c r="BD27" i="3"/>
  <c r="BD37" i="3"/>
  <c r="BD47" i="3"/>
  <c r="BD57" i="3"/>
  <c r="BD67" i="3"/>
  <c r="BD77" i="3"/>
  <c r="BD87" i="3"/>
  <c r="BD97" i="3"/>
  <c r="BD107" i="3"/>
  <c r="BD117" i="3"/>
  <c r="BD127" i="3"/>
  <c r="BD137" i="3"/>
  <c r="BD147" i="3"/>
  <c r="BD157" i="3"/>
  <c r="BD167" i="3"/>
  <c r="BD177" i="3"/>
  <c r="BD187" i="3"/>
  <c r="BD197" i="3"/>
  <c r="BD207" i="3"/>
  <c r="BD217" i="3"/>
  <c r="BD227" i="3"/>
  <c r="BD237" i="3"/>
  <c r="BD247" i="3"/>
  <c r="BD257" i="3"/>
  <c r="BD267" i="3"/>
  <c r="BD277" i="3"/>
  <c r="BD287" i="3"/>
  <c r="BD297" i="3"/>
  <c r="BD307" i="3"/>
  <c r="BD317" i="3"/>
  <c r="BD327" i="3"/>
  <c r="BD337" i="3"/>
  <c r="BD347" i="3"/>
  <c r="BD357" i="3"/>
  <c r="BD367" i="3"/>
  <c r="BD377" i="3"/>
  <c r="BD387" i="3"/>
  <c r="BD397" i="3"/>
  <c r="BD407" i="3"/>
  <c r="BD417" i="3"/>
  <c r="BD427" i="3"/>
  <c r="BD437" i="3"/>
  <c r="BD447" i="3"/>
  <c r="BD457" i="3"/>
  <c r="BD467" i="3"/>
  <c r="BD477" i="3"/>
  <c r="BD487" i="3"/>
  <c r="BD497" i="3"/>
  <c r="BD8" i="3"/>
  <c r="BD18" i="3"/>
  <c r="BD28" i="3"/>
  <c r="BD38" i="3"/>
  <c r="BD48" i="3"/>
  <c r="BD58" i="3"/>
  <c r="BD68" i="3"/>
  <c r="BD78" i="3"/>
  <c r="BD88" i="3"/>
  <c r="BD98" i="3"/>
  <c r="BD108" i="3"/>
  <c r="BD118" i="3"/>
  <c r="BD128" i="3"/>
  <c r="BD138" i="3"/>
  <c r="BD148" i="3"/>
  <c r="BD158" i="3"/>
  <c r="BD168" i="3"/>
  <c r="BD178" i="3"/>
  <c r="BD188" i="3"/>
  <c r="BD198" i="3"/>
  <c r="BD208" i="3"/>
  <c r="BD218" i="3"/>
  <c r="BD228" i="3"/>
  <c r="BD238" i="3"/>
  <c r="BD248" i="3"/>
  <c r="BD258" i="3"/>
  <c r="BD268" i="3"/>
  <c r="BD278" i="3"/>
  <c r="BD288" i="3"/>
  <c r="BD298" i="3"/>
  <c r="BD308" i="3"/>
  <c r="BD318" i="3"/>
  <c r="BD328" i="3"/>
  <c r="BD338" i="3"/>
  <c r="BD348" i="3"/>
  <c r="BD358" i="3"/>
  <c r="BD368" i="3"/>
  <c r="BD378" i="3"/>
  <c r="BD388" i="3"/>
  <c r="BD398" i="3"/>
  <c r="BD408" i="3"/>
  <c r="BD418" i="3"/>
  <c r="BD428" i="3"/>
  <c r="BD438" i="3"/>
  <c r="BD448" i="3"/>
  <c r="BD458" i="3"/>
  <c r="BD468" i="3"/>
  <c r="BD478" i="3"/>
  <c r="BD488" i="3"/>
  <c r="BD498" i="3"/>
  <c r="AX2" i="3"/>
  <c r="AY2" i="3"/>
  <c r="AX3" i="3"/>
  <c r="AY3" i="3"/>
  <c r="AX4" i="3"/>
  <c r="AY4" i="3"/>
  <c r="AX5" i="3"/>
  <c r="AY5" i="3"/>
  <c r="AX6" i="3"/>
  <c r="AY6" i="3"/>
  <c r="AX7" i="3"/>
  <c r="AY7" i="3"/>
  <c r="AX8" i="3"/>
  <c r="AY8" i="3"/>
  <c r="AX9" i="3"/>
  <c r="AY9" i="3"/>
  <c r="AX10" i="3"/>
  <c r="AY10" i="3"/>
  <c r="AX11" i="3"/>
  <c r="AY11" i="3"/>
  <c r="AX12" i="3"/>
  <c r="AY12" i="3"/>
  <c r="AX13" i="3"/>
  <c r="AY13" i="3"/>
  <c r="AX14" i="3"/>
  <c r="AY14" i="3"/>
  <c r="AX15" i="3"/>
  <c r="AY15" i="3"/>
  <c r="AX16" i="3"/>
  <c r="AY16" i="3"/>
  <c r="AX17" i="3"/>
  <c r="AY17" i="3"/>
  <c r="AX18" i="3"/>
  <c r="AY18" i="3"/>
  <c r="AX19" i="3"/>
  <c r="AY19" i="3"/>
  <c r="AX20" i="3"/>
  <c r="AY20" i="3"/>
  <c r="AX21" i="3"/>
  <c r="AY21" i="3"/>
  <c r="AX22" i="3"/>
  <c r="AY22" i="3"/>
  <c r="AX23" i="3"/>
  <c r="AY23" i="3"/>
  <c r="AX24" i="3"/>
  <c r="AY24" i="3"/>
  <c r="AX25" i="3"/>
  <c r="AY25" i="3"/>
  <c r="AX26" i="3"/>
  <c r="AY26" i="3"/>
  <c r="AX27" i="3"/>
  <c r="AY27" i="3"/>
  <c r="AX28" i="3"/>
  <c r="AY28" i="3"/>
  <c r="AX29" i="3"/>
  <c r="AY29" i="3"/>
  <c r="AX30" i="3"/>
  <c r="AY30" i="3"/>
  <c r="AX31" i="3"/>
  <c r="AY31" i="3"/>
  <c r="AX32" i="3"/>
  <c r="AY32" i="3"/>
  <c r="AX33" i="3"/>
  <c r="AY33" i="3"/>
  <c r="AX34" i="3"/>
  <c r="AY34" i="3"/>
  <c r="AX35" i="3"/>
  <c r="AY35" i="3"/>
  <c r="AX36" i="3"/>
  <c r="AY36" i="3"/>
  <c r="AX37" i="3"/>
  <c r="AY37" i="3"/>
  <c r="AX38" i="3"/>
  <c r="AY38" i="3"/>
  <c r="AX39" i="3"/>
  <c r="AY39" i="3"/>
  <c r="AX40" i="3"/>
  <c r="AY40" i="3"/>
  <c r="AX41" i="3"/>
  <c r="AY41" i="3"/>
  <c r="AX42" i="3"/>
  <c r="AY42" i="3"/>
  <c r="AX43" i="3"/>
  <c r="AY43" i="3"/>
  <c r="AX44" i="3"/>
  <c r="AY44" i="3"/>
  <c r="AX45" i="3"/>
  <c r="AY45" i="3"/>
  <c r="AX46" i="3"/>
  <c r="AY46" i="3"/>
  <c r="AX47" i="3"/>
  <c r="AY47" i="3"/>
  <c r="AX48" i="3"/>
  <c r="AY48" i="3"/>
  <c r="AX49" i="3"/>
  <c r="AY49" i="3"/>
  <c r="AX50" i="3"/>
  <c r="AY50" i="3"/>
  <c r="AX51" i="3"/>
  <c r="AY51" i="3"/>
  <c r="AX52" i="3"/>
  <c r="AY52" i="3"/>
  <c r="AX53" i="3"/>
  <c r="AY53" i="3"/>
  <c r="AX54" i="3"/>
  <c r="AY54" i="3"/>
  <c r="AX55" i="3"/>
  <c r="AY55" i="3"/>
  <c r="AX56" i="3"/>
  <c r="AY56" i="3"/>
  <c r="AX57" i="3"/>
  <c r="AY57" i="3"/>
  <c r="AX58" i="3"/>
  <c r="AY58" i="3"/>
  <c r="AX59" i="3"/>
  <c r="AY59" i="3"/>
  <c r="AX60" i="3"/>
  <c r="AY60" i="3"/>
  <c r="AX61" i="3"/>
  <c r="AY61" i="3"/>
  <c r="AX62" i="3"/>
  <c r="AY62" i="3"/>
  <c r="AX63" i="3"/>
  <c r="AY63" i="3"/>
  <c r="AX64" i="3"/>
  <c r="AY64" i="3"/>
  <c r="AX65" i="3"/>
  <c r="AY65" i="3"/>
  <c r="AX66" i="3"/>
  <c r="AY66" i="3"/>
  <c r="AX67" i="3"/>
  <c r="AY67" i="3"/>
  <c r="AX68" i="3"/>
  <c r="AY68" i="3"/>
  <c r="AX69" i="3"/>
  <c r="AY69" i="3"/>
  <c r="AX70" i="3"/>
  <c r="AY70" i="3"/>
  <c r="AX71" i="3"/>
  <c r="AY71" i="3"/>
  <c r="AX72" i="3"/>
  <c r="AY72" i="3"/>
  <c r="AX73" i="3"/>
  <c r="AY73" i="3"/>
  <c r="AX74" i="3"/>
  <c r="AY74" i="3"/>
  <c r="AX75" i="3"/>
  <c r="AY75" i="3"/>
  <c r="AX76" i="3"/>
  <c r="AY76" i="3"/>
  <c r="AX77" i="3"/>
  <c r="AY77" i="3"/>
  <c r="AX78" i="3"/>
  <c r="AY78" i="3"/>
  <c r="AX79" i="3"/>
  <c r="AY79" i="3"/>
  <c r="AX80" i="3"/>
  <c r="AY80" i="3"/>
  <c r="AX81" i="3"/>
  <c r="AY81" i="3"/>
  <c r="AX82" i="3"/>
  <c r="AY82" i="3"/>
  <c r="AX83" i="3"/>
  <c r="AY83" i="3"/>
  <c r="AX84" i="3"/>
  <c r="AY84" i="3"/>
  <c r="AX85" i="3"/>
  <c r="AY85" i="3"/>
  <c r="AX86" i="3"/>
  <c r="AY86" i="3"/>
  <c r="AX87" i="3"/>
  <c r="AY87" i="3"/>
  <c r="AX88" i="3"/>
  <c r="AY88" i="3"/>
  <c r="AX89" i="3"/>
  <c r="AY89" i="3"/>
  <c r="AX90" i="3"/>
  <c r="AY90" i="3"/>
  <c r="AX91" i="3"/>
  <c r="AY91" i="3"/>
  <c r="AX92" i="3"/>
  <c r="AY92" i="3"/>
  <c r="AX93" i="3"/>
  <c r="AY93" i="3"/>
  <c r="AX94" i="3"/>
  <c r="AY94" i="3"/>
  <c r="AX95" i="3"/>
  <c r="AY95" i="3"/>
  <c r="AX96" i="3"/>
  <c r="AY96" i="3"/>
  <c r="AX97" i="3"/>
  <c r="AY97" i="3"/>
  <c r="AX98" i="3"/>
  <c r="AY98" i="3"/>
  <c r="AX99" i="3"/>
  <c r="AY99" i="3"/>
  <c r="AX100" i="3"/>
  <c r="AY100" i="3"/>
  <c r="AX101" i="3"/>
  <c r="AY101" i="3"/>
  <c r="AX102" i="3"/>
  <c r="AY102" i="3"/>
  <c r="AX103" i="3"/>
  <c r="AY103" i="3"/>
  <c r="AX104" i="3"/>
  <c r="AY104" i="3"/>
  <c r="AX105" i="3"/>
  <c r="AY105" i="3"/>
  <c r="AX106" i="3"/>
  <c r="AY106" i="3"/>
  <c r="AX107" i="3"/>
  <c r="AY107" i="3"/>
  <c r="AX108" i="3"/>
  <c r="AY108" i="3"/>
  <c r="AX109" i="3"/>
  <c r="AY109" i="3"/>
  <c r="AX110" i="3"/>
  <c r="AY110" i="3"/>
  <c r="AX111" i="3"/>
  <c r="AY111" i="3"/>
  <c r="AX112" i="3"/>
  <c r="AY112" i="3"/>
  <c r="AX113" i="3"/>
  <c r="AY113" i="3"/>
  <c r="AX114" i="3"/>
  <c r="AY114" i="3"/>
  <c r="AX115" i="3"/>
  <c r="AY115" i="3"/>
  <c r="AX116" i="3"/>
  <c r="AY116" i="3"/>
  <c r="AX117" i="3"/>
  <c r="AY117" i="3"/>
  <c r="AX118" i="3"/>
  <c r="AY118" i="3"/>
  <c r="AX119" i="3"/>
  <c r="AY119" i="3"/>
  <c r="AX120" i="3"/>
  <c r="AY120" i="3"/>
  <c r="AX121" i="3"/>
  <c r="AY121" i="3"/>
  <c r="AX122" i="3"/>
  <c r="AY122" i="3"/>
  <c r="AX123" i="3"/>
  <c r="AY123" i="3"/>
  <c r="AX124" i="3"/>
  <c r="AY124" i="3"/>
  <c r="AX125" i="3"/>
  <c r="AY125" i="3"/>
  <c r="AX126" i="3"/>
  <c r="AY126" i="3"/>
  <c r="AX127" i="3"/>
  <c r="AY127" i="3"/>
  <c r="AX128" i="3"/>
  <c r="AY128" i="3"/>
  <c r="AX129" i="3"/>
  <c r="AY129" i="3"/>
  <c r="AX130" i="3"/>
  <c r="AY130" i="3"/>
  <c r="AX131" i="3"/>
  <c r="AY131" i="3"/>
  <c r="AX132" i="3"/>
  <c r="AY132" i="3"/>
  <c r="AX133" i="3"/>
  <c r="AY133" i="3"/>
  <c r="AX134" i="3"/>
  <c r="AY134" i="3"/>
  <c r="AX135" i="3"/>
  <c r="AY135" i="3"/>
  <c r="AX136" i="3"/>
  <c r="AY136" i="3"/>
  <c r="AX137" i="3"/>
  <c r="AY137" i="3"/>
  <c r="AX138" i="3"/>
  <c r="AY138" i="3"/>
  <c r="AX139" i="3"/>
  <c r="AY139" i="3"/>
  <c r="AX140" i="3"/>
  <c r="AY140" i="3"/>
  <c r="AX141" i="3"/>
  <c r="AY141" i="3"/>
  <c r="AX142" i="3"/>
  <c r="AY142" i="3"/>
  <c r="AX143" i="3"/>
  <c r="AY143" i="3"/>
  <c r="AX144" i="3"/>
  <c r="AY144" i="3"/>
  <c r="AX145" i="3"/>
  <c r="AY145" i="3"/>
  <c r="AX146" i="3"/>
  <c r="AY146" i="3"/>
  <c r="AX147" i="3"/>
  <c r="AY147" i="3"/>
  <c r="AX148" i="3"/>
  <c r="AY148" i="3"/>
  <c r="AX149" i="3"/>
  <c r="AY149" i="3"/>
  <c r="AX150" i="3"/>
  <c r="AY150" i="3"/>
  <c r="AX151" i="3"/>
  <c r="AY151" i="3"/>
  <c r="AX152" i="3"/>
  <c r="AY152" i="3"/>
  <c r="AX153" i="3"/>
  <c r="AY153" i="3"/>
  <c r="AX154" i="3"/>
  <c r="AY154" i="3"/>
  <c r="AX155" i="3"/>
  <c r="AY155" i="3"/>
  <c r="AX156" i="3"/>
  <c r="AY156" i="3"/>
  <c r="AX157" i="3"/>
  <c r="AY157" i="3"/>
  <c r="AX158" i="3"/>
  <c r="AY158" i="3"/>
  <c r="AX159" i="3"/>
  <c r="AY159" i="3"/>
  <c r="AX160" i="3"/>
  <c r="AY160" i="3"/>
  <c r="AX161" i="3"/>
  <c r="AY161" i="3"/>
  <c r="AX162" i="3"/>
  <c r="AY162" i="3"/>
  <c r="AX163" i="3"/>
  <c r="AY163" i="3"/>
  <c r="AX164" i="3"/>
  <c r="AY164" i="3"/>
  <c r="AX165" i="3"/>
  <c r="AY165" i="3"/>
  <c r="AX166" i="3"/>
  <c r="AY166" i="3"/>
  <c r="AX167" i="3"/>
  <c r="AY167" i="3"/>
  <c r="AX168" i="3"/>
  <c r="AY168" i="3"/>
  <c r="AX169" i="3"/>
  <c r="AY169" i="3"/>
  <c r="AX170" i="3"/>
  <c r="AY170" i="3"/>
  <c r="AX171" i="3"/>
  <c r="AY171" i="3"/>
  <c r="AX172" i="3"/>
  <c r="AY172" i="3"/>
  <c r="AX173" i="3"/>
  <c r="AY173" i="3"/>
  <c r="AX174" i="3"/>
  <c r="AY174" i="3"/>
  <c r="AX175" i="3"/>
  <c r="AY175" i="3"/>
  <c r="AX176" i="3"/>
  <c r="AY176" i="3"/>
  <c r="AX177" i="3"/>
  <c r="AY177" i="3"/>
  <c r="AX178" i="3"/>
  <c r="AY178" i="3"/>
  <c r="AX179" i="3"/>
  <c r="AY179" i="3"/>
  <c r="AX180" i="3"/>
  <c r="AY180" i="3"/>
  <c r="AX181" i="3"/>
  <c r="AY181" i="3"/>
  <c r="AX182" i="3"/>
  <c r="AY182" i="3"/>
  <c r="AX183" i="3"/>
  <c r="AY183" i="3"/>
  <c r="AX184" i="3"/>
  <c r="AY184" i="3"/>
  <c r="AX185" i="3"/>
  <c r="AY185" i="3"/>
  <c r="AX186" i="3"/>
  <c r="AY186" i="3"/>
  <c r="AX187" i="3"/>
  <c r="AY187" i="3"/>
  <c r="AX188" i="3"/>
  <c r="AY188" i="3"/>
  <c r="AX189" i="3"/>
  <c r="AY189" i="3"/>
  <c r="AX190" i="3"/>
  <c r="AY190" i="3"/>
  <c r="AX191" i="3"/>
  <c r="AY191" i="3"/>
  <c r="AX192" i="3"/>
  <c r="AY192" i="3"/>
  <c r="AX193" i="3"/>
  <c r="AY193" i="3"/>
  <c r="AX194" i="3"/>
  <c r="AY194" i="3"/>
  <c r="AX195" i="3"/>
  <c r="AY195" i="3"/>
  <c r="AX196" i="3"/>
  <c r="AY196" i="3"/>
  <c r="AX197" i="3"/>
  <c r="AY197" i="3"/>
  <c r="AX198" i="3"/>
  <c r="AY198" i="3"/>
  <c r="AX199" i="3"/>
  <c r="AY199" i="3"/>
  <c r="AX200" i="3"/>
  <c r="AY200" i="3"/>
  <c r="AX201" i="3"/>
  <c r="AY201" i="3"/>
  <c r="AX202" i="3"/>
  <c r="AY202" i="3"/>
  <c r="AX203" i="3"/>
  <c r="AY203" i="3"/>
  <c r="AX204" i="3"/>
  <c r="AY204" i="3"/>
  <c r="AX205" i="3"/>
  <c r="AY205" i="3"/>
  <c r="AX206" i="3"/>
  <c r="AY206" i="3"/>
  <c r="AX207" i="3"/>
  <c r="AY207" i="3"/>
  <c r="AX208" i="3"/>
  <c r="AY208" i="3"/>
  <c r="AX209" i="3"/>
  <c r="AY209" i="3"/>
  <c r="AX210" i="3"/>
  <c r="AY210" i="3"/>
  <c r="AX211" i="3"/>
  <c r="AY211" i="3"/>
  <c r="AX212" i="3"/>
  <c r="AY212" i="3"/>
  <c r="AX213" i="3"/>
  <c r="AY213" i="3"/>
  <c r="AX214" i="3"/>
  <c r="AY214" i="3"/>
  <c r="AX215" i="3"/>
  <c r="AY215" i="3"/>
  <c r="AX216" i="3"/>
  <c r="AY216" i="3"/>
  <c r="AX217" i="3"/>
  <c r="AY217" i="3"/>
  <c r="AX218" i="3"/>
  <c r="AY218" i="3"/>
  <c r="AX219" i="3"/>
  <c r="AY219" i="3"/>
  <c r="AX220" i="3"/>
  <c r="AY220" i="3"/>
  <c r="AX221" i="3"/>
  <c r="AY221" i="3"/>
  <c r="AX222" i="3"/>
  <c r="AY222" i="3"/>
  <c r="AX223" i="3"/>
  <c r="AY223" i="3"/>
  <c r="AX224" i="3"/>
  <c r="AY224" i="3"/>
  <c r="AX225" i="3"/>
  <c r="AY225" i="3"/>
  <c r="AX226" i="3"/>
  <c r="AY226" i="3"/>
  <c r="AX227" i="3"/>
  <c r="AY227" i="3"/>
  <c r="AX228" i="3"/>
  <c r="AY228" i="3"/>
  <c r="AX229" i="3"/>
  <c r="AY229" i="3"/>
  <c r="AX230" i="3"/>
  <c r="AY230" i="3"/>
  <c r="AX231" i="3"/>
  <c r="AY231" i="3"/>
  <c r="AX232" i="3"/>
  <c r="AY232" i="3"/>
  <c r="AX233" i="3"/>
  <c r="AY233" i="3"/>
  <c r="AX234" i="3"/>
  <c r="AY234" i="3"/>
  <c r="AX235" i="3"/>
  <c r="AY235" i="3"/>
  <c r="AX236" i="3"/>
  <c r="AY236" i="3"/>
  <c r="AX237" i="3"/>
  <c r="AY237" i="3"/>
  <c r="AX238" i="3"/>
  <c r="AY238" i="3"/>
  <c r="AX239" i="3"/>
  <c r="AY239" i="3"/>
  <c r="AX240" i="3"/>
  <c r="AY240" i="3"/>
  <c r="AX241" i="3"/>
  <c r="AY241" i="3"/>
  <c r="AX242" i="3"/>
  <c r="AY242" i="3"/>
  <c r="AX243" i="3"/>
  <c r="AY243" i="3"/>
  <c r="AX244" i="3"/>
  <c r="AY244" i="3"/>
  <c r="AX245" i="3"/>
  <c r="AY245" i="3"/>
  <c r="AX246" i="3"/>
  <c r="AY246" i="3"/>
  <c r="AX247" i="3"/>
  <c r="AY247" i="3"/>
  <c r="AX248" i="3"/>
  <c r="AY248" i="3"/>
  <c r="AX249" i="3"/>
  <c r="AY249" i="3"/>
  <c r="AX250" i="3"/>
  <c r="AY250" i="3"/>
  <c r="AX251" i="3"/>
  <c r="AY251" i="3"/>
  <c r="AX252" i="3"/>
  <c r="AY252" i="3"/>
  <c r="AX253" i="3"/>
  <c r="AY253" i="3"/>
  <c r="AX254" i="3"/>
  <c r="AY254" i="3"/>
  <c r="AX255" i="3"/>
  <c r="AY255" i="3"/>
  <c r="AX256" i="3"/>
  <c r="AY256" i="3"/>
  <c r="AX257" i="3"/>
  <c r="AY257" i="3"/>
  <c r="AX258" i="3"/>
  <c r="AY258" i="3"/>
  <c r="AX259" i="3"/>
  <c r="AY259" i="3"/>
  <c r="AX260" i="3"/>
  <c r="AY260" i="3"/>
  <c r="AX261" i="3"/>
  <c r="AY261" i="3"/>
  <c r="AX262" i="3"/>
  <c r="AY262" i="3"/>
  <c r="AX263" i="3"/>
  <c r="AY263" i="3"/>
  <c r="AX264" i="3"/>
  <c r="AY264" i="3"/>
  <c r="AX265" i="3"/>
  <c r="AY265" i="3"/>
  <c r="AX266" i="3"/>
  <c r="AY266" i="3"/>
  <c r="AX267" i="3"/>
  <c r="AY267" i="3"/>
  <c r="AX268" i="3"/>
  <c r="AY268" i="3"/>
  <c r="AX269" i="3"/>
  <c r="AY269" i="3"/>
  <c r="AX270" i="3"/>
  <c r="AY270" i="3"/>
  <c r="AX271" i="3"/>
  <c r="AY271" i="3"/>
  <c r="AX272" i="3"/>
  <c r="AY272" i="3"/>
  <c r="AX273" i="3"/>
  <c r="AY273" i="3"/>
  <c r="AX274" i="3"/>
  <c r="AY274" i="3"/>
  <c r="AX275" i="3"/>
  <c r="AY275" i="3"/>
  <c r="AX276" i="3"/>
  <c r="AY276" i="3"/>
  <c r="AX277" i="3"/>
  <c r="AY277" i="3"/>
  <c r="AX278" i="3"/>
  <c r="AY278" i="3"/>
  <c r="AX279" i="3"/>
  <c r="AY279" i="3"/>
  <c r="AX280" i="3"/>
  <c r="AY280" i="3"/>
  <c r="AX281" i="3"/>
  <c r="AY281" i="3"/>
  <c r="AX282" i="3"/>
  <c r="AY282" i="3"/>
  <c r="AX283" i="3"/>
  <c r="AY283" i="3"/>
  <c r="AX284" i="3"/>
  <c r="AY284" i="3"/>
  <c r="AX285" i="3"/>
  <c r="AY285" i="3"/>
  <c r="AX286" i="3"/>
  <c r="AY286" i="3"/>
  <c r="AX287" i="3"/>
  <c r="AY287" i="3"/>
  <c r="AX288" i="3"/>
  <c r="AY288" i="3"/>
  <c r="AX289" i="3"/>
  <c r="AY289" i="3"/>
  <c r="AX290" i="3"/>
  <c r="AY290" i="3"/>
  <c r="AX291" i="3"/>
  <c r="AY291" i="3"/>
  <c r="AX292" i="3"/>
  <c r="AY292" i="3"/>
  <c r="AX293" i="3"/>
  <c r="AY293" i="3"/>
  <c r="AX294" i="3"/>
  <c r="AY294" i="3"/>
  <c r="AX295" i="3"/>
  <c r="AY295" i="3"/>
  <c r="AX296" i="3"/>
  <c r="AY296" i="3"/>
  <c r="AX297" i="3"/>
  <c r="AY297" i="3"/>
  <c r="AX298" i="3"/>
  <c r="AY298" i="3"/>
  <c r="AX299" i="3"/>
  <c r="AY299" i="3"/>
  <c r="AX300" i="3"/>
  <c r="AY300" i="3"/>
  <c r="AX301" i="3"/>
  <c r="AY301" i="3"/>
  <c r="AX302" i="3"/>
  <c r="AY302" i="3"/>
  <c r="AX303" i="3"/>
  <c r="AY303" i="3"/>
  <c r="AX304" i="3"/>
  <c r="AY304" i="3"/>
  <c r="AX305" i="3"/>
  <c r="AY305" i="3"/>
  <c r="AX306" i="3"/>
  <c r="AY306" i="3"/>
  <c r="AX307" i="3"/>
  <c r="AY307" i="3"/>
  <c r="AX308" i="3"/>
  <c r="AY308" i="3"/>
  <c r="AX309" i="3"/>
  <c r="AY309" i="3"/>
  <c r="AX310" i="3"/>
  <c r="AY310" i="3"/>
  <c r="AX311" i="3"/>
  <c r="AY311" i="3"/>
  <c r="AX312" i="3"/>
  <c r="AY312" i="3"/>
  <c r="AX313" i="3"/>
  <c r="AY313" i="3"/>
  <c r="AX314" i="3"/>
  <c r="AY314" i="3"/>
  <c r="AX315" i="3"/>
  <c r="AY315" i="3"/>
  <c r="AX316" i="3"/>
  <c r="AY316" i="3"/>
  <c r="AX317" i="3"/>
  <c r="AY317" i="3"/>
  <c r="AX318" i="3"/>
  <c r="AY318" i="3"/>
  <c r="AX319" i="3"/>
  <c r="AY319" i="3"/>
  <c r="AX320" i="3"/>
  <c r="AY320" i="3"/>
  <c r="AX321" i="3"/>
  <c r="AY321" i="3"/>
  <c r="AX322" i="3"/>
  <c r="AY322" i="3"/>
  <c r="AX323" i="3"/>
  <c r="AY323" i="3"/>
  <c r="AX324" i="3"/>
  <c r="AY324" i="3"/>
  <c r="AX325" i="3"/>
  <c r="AY325" i="3"/>
  <c r="AX326" i="3"/>
  <c r="AY326" i="3"/>
  <c r="AX327" i="3"/>
  <c r="AY327" i="3"/>
  <c r="AX328" i="3"/>
  <c r="AY328" i="3"/>
  <c r="AX329" i="3"/>
  <c r="AY329" i="3"/>
  <c r="AX330" i="3"/>
  <c r="AY330" i="3"/>
  <c r="AX331" i="3"/>
  <c r="AY331" i="3"/>
  <c r="AX332" i="3"/>
  <c r="AY332" i="3"/>
  <c r="AX333" i="3"/>
  <c r="AY333" i="3"/>
  <c r="AX334" i="3"/>
  <c r="AY334" i="3"/>
  <c r="AX335" i="3"/>
  <c r="AY335" i="3"/>
  <c r="AX336" i="3"/>
  <c r="AY336" i="3"/>
  <c r="AX337" i="3"/>
  <c r="AY337" i="3"/>
  <c r="AX338" i="3"/>
  <c r="AY338" i="3"/>
  <c r="AX339" i="3"/>
  <c r="AY339" i="3"/>
  <c r="AX340" i="3"/>
  <c r="AY340" i="3"/>
  <c r="AX341" i="3"/>
  <c r="AY341" i="3"/>
  <c r="AX342" i="3"/>
  <c r="AY342" i="3"/>
  <c r="AX343" i="3"/>
  <c r="AY343" i="3"/>
  <c r="AX344" i="3"/>
  <c r="AY344" i="3"/>
  <c r="AX345" i="3"/>
  <c r="AY345" i="3"/>
  <c r="AX346" i="3"/>
  <c r="AY346" i="3"/>
  <c r="AX347" i="3"/>
  <c r="AY347" i="3"/>
  <c r="AX348" i="3"/>
  <c r="AY348" i="3"/>
  <c r="AX349" i="3"/>
  <c r="AY349" i="3"/>
  <c r="AX350" i="3"/>
  <c r="AY350" i="3"/>
  <c r="AX351" i="3"/>
  <c r="AY351" i="3"/>
  <c r="AX352" i="3"/>
  <c r="AY352" i="3"/>
  <c r="AX353" i="3"/>
  <c r="AY353" i="3"/>
  <c r="AX354" i="3"/>
  <c r="AY354" i="3"/>
  <c r="AX355" i="3"/>
  <c r="AY355" i="3"/>
  <c r="AX356" i="3"/>
  <c r="AY356" i="3"/>
  <c r="AX357" i="3"/>
  <c r="AY357" i="3"/>
  <c r="AX358" i="3"/>
  <c r="AY358" i="3"/>
  <c r="AX359" i="3"/>
  <c r="AY359" i="3"/>
  <c r="AX360" i="3"/>
  <c r="AY360" i="3"/>
  <c r="AX361" i="3"/>
  <c r="AY361" i="3"/>
  <c r="AX362" i="3"/>
  <c r="AY362" i="3"/>
  <c r="AX363" i="3"/>
  <c r="AY363" i="3"/>
  <c r="AX364" i="3"/>
  <c r="AY364" i="3"/>
  <c r="AX365" i="3"/>
  <c r="AY365" i="3"/>
  <c r="AX366" i="3"/>
  <c r="AY366" i="3"/>
  <c r="AX367" i="3"/>
  <c r="AY367" i="3"/>
  <c r="AX368" i="3"/>
  <c r="AY368" i="3"/>
  <c r="AX369" i="3"/>
  <c r="AY369" i="3"/>
  <c r="AX370" i="3"/>
  <c r="AY370" i="3"/>
  <c r="AX371" i="3"/>
  <c r="AY371" i="3"/>
  <c r="AX372" i="3"/>
  <c r="AY372" i="3"/>
  <c r="AX373" i="3"/>
  <c r="AY373" i="3"/>
  <c r="AX374" i="3"/>
  <c r="AY374" i="3"/>
  <c r="AX375" i="3"/>
  <c r="AY375" i="3"/>
  <c r="AX376" i="3"/>
  <c r="AY376" i="3"/>
  <c r="AX377" i="3"/>
  <c r="AY377" i="3"/>
  <c r="AX378" i="3"/>
  <c r="AY378" i="3"/>
  <c r="AX379" i="3"/>
  <c r="AY379" i="3"/>
  <c r="AX380" i="3"/>
  <c r="AY380" i="3"/>
  <c r="AX381" i="3"/>
  <c r="AY381" i="3"/>
  <c r="AX382" i="3"/>
  <c r="AY382" i="3"/>
  <c r="AX383" i="3"/>
  <c r="AY383" i="3"/>
  <c r="AX384" i="3"/>
  <c r="AY384" i="3"/>
  <c r="AX385" i="3"/>
  <c r="AY385" i="3"/>
  <c r="AX386" i="3"/>
  <c r="AY386" i="3"/>
  <c r="AX387" i="3"/>
  <c r="AY387" i="3"/>
  <c r="AX388" i="3"/>
  <c r="AY388" i="3"/>
  <c r="AX389" i="3"/>
  <c r="AY389" i="3"/>
  <c r="AX390" i="3"/>
  <c r="AY390" i="3"/>
  <c r="AX391" i="3"/>
  <c r="AY391" i="3"/>
  <c r="AX392" i="3"/>
  <c r="AY392" i="3"/>
  <c r="AX393" i="3"/>
  <c r="AY393" i="3"/>
  <c r="AX394" i="3"/>
  <c r="AY394" i="3"/>
  <c r="AX395" i="3"/>
  <c r="AY395" i="3"/>
  <c r="AX396" i="3"/>
  <c r="AY396" i="3"/>
  <c r="AX397" i="3"/>
  <c r="AY397" i="3"/>
  <c r="AX398" i="3"/>
  <c r="AY398" i="3"/>
  <c r="AX399" i="3"/>
  <c r="AY399" i="3"/>
  <c r="AX400" i="3"/>
  <c r="AY400" i="3"/>
  <c r="AX401" i="3"/>
  <c r="AY401" i="3"/>
  <c r="AX402" i="3"/>
  <c r="AY402" i="3"/>
  <c r="AX403" i="3"/>
  <c r="AY403" i="3"/>
  <c r="AX404" i="3"/>
  <c r="AY404" i="3"/>
  <c r="AX405" i="3"/>
  <c r="AY405" i="3"/>
  <c r="AX406" i="3"/>
  <c r="AY406" i="3"/>
  <c r="AX407" i="3"/>
  <c r="AY407" i="3"/>
  <c r="AX408" i="3"/>
  <c r="AY408" i="3"/>
  <c r="AX409" i="3"/>
  <c r="AY409" i="3"/>
  <c r="AX410" i="3"/>
  <c r="AY410" i="3"/>
  <c r="AX411" i="3"/>
  <c r="AY411" i="3"/>
  <c r="AX412" i="3"/>
  <c r="AY412" i="3"/>
  <c r="AX413" i="3"/>
  <c r="AY413" i="3"/>
  <c r="AX414" i="3"/>
  <c r="AY414" i="3"/>
  <c r="AX415" i="3"/>
  <c r="AY415" i="3"/>
  <c r="AX416" i="3"/>
  <c r="AY416" i="3"/>
  <c r="AX417" i="3"/>
  <c r="AY417" i="3"/>
  <c r="AX418" i="3"/>
  <c r="AY418" i="3"/>
  <c r="AX419" i="3"/>
  <c r="AY419" i="3"/>
  <c r="AX420" i="3"/>
  <c r="AY420" i="3"/>
  <c r="AX421" i="3"/>
  <c r="AY421" i="3"/>
  <c r="AX422" i="3"/>
  <c r="AY422" i="3"/>
  <c r="AX423" i="3"/>
  <c r="AY423" i="3"/>
  <c r="AX424" i="3"/>
  <c r="AY424" i="3"/>
  <c r="AX425" i="3"/>
  <c r="AY425" i="3"/>
  <c r="AX426" i="3"/>
  <c r="AY426" i="3"/>
  <c r="AX427" i="3"/>
  <c r="AY427" i="3"/>
  <c r="AX428" i="3"/>
  <c r="AY428" i="3"/>
  <c r="AX429" i="3"/>
  <c r="AY429" i="3"/>
  <c r="AX430" i="3"/>
  <c r="AY430" i="3"/>
  <c r="AX431" i="3"/>
  <c r="AY431" i="3"/>
  <c r="AX432" i="3"/>
  <c r="AY432" i="3"/>
  <c r="AX433" i="3"/>
  <c r="AY433" i="3"/>
  <c r="AX434" i="3"/>
  <c r="AY434" i="3"/>
  <c r="AX435" i="3"/>
  <c r="AY435" i="3"/>
  <c r="AX436" i="3"/>
  <c r="AY436" i="3"/>
  <c r="AX437" i="3"/>
  <c r="AY437" i="3"/>
  <c r="AX438" i="3"/>
  <c r="AY438" i="3"/>
  <c r="AX439" i="3"/>
  <c r="AY439" i="3"/>
  <c r="AX440" i="3"/>
  <c r="AY440" i="3"/>
  <c r="AX441" i="3"/>
  <c r="AY441" i="3"/>
  <c r="AX442" i="3"/>
  <c r="AY442" i="3"/>
  <c r="AX443" i="3"/>
  <c r="AY443" i="3"/>
  <c r="AX444" i="3"/>
  <c r="AY444" i="3"/>
  <c r="AX445" i="3"/>
  <c r="AY445" i="3"/>
  <c r="AX446" i="3"/>
  <c r="AY446" i="3"/>
  <c r="AX447" i="3"/>
  <c r="AY447" i="3"/>
  <c r="AX448" i="3"/>
  <c r="AY448" i="3"/>
  <c r="AX449" i="3"/>
  <c r="AY449" i="3"/>
  <c r="AX450" i="3"/>
  <c r="AY450" i="3"/>
  <c r="AX451" i="3"/>
  <c r="AY451" i="3"/>
  <c r="AX452" i="3"/>
  <c r="AY452" i="3"/>
  <c r="AX453" i="3"/>
  <c r="AY453" i="3"/>
  <c r="AX454" i="3"/>
  <c r="AY454" i="3"/>
  <c r="AX455" i="3"/>
  <c r="AY455" i="3"/>
  <c r="AX456" i="3"/>
  <c r="AY456" i="3"/>
  <c r="AX457" i="3"/>
  <c r="AY457" i="3"/>
  <c r="AX458" i="3"/>
  <c r="AY458" i="3"/>
  <c r="AX459" i="3"/>
  <c r="AY459" i="3"/>
  <c r="AX460" i="3"/>
  <c r="AY460" i="3"/>
  <c r="AX461" i="3"/>
  <c r="AY461" i="3"/>
  <c r="AX462" i="3"/>
  <c r="AY462" i="3"/>
  <c r="AX463" i="3"/>
  <c r="AY463" i="3"/>
  <c r="AX464" i="3"/>
  <c r="AY464" i="3"/>
  <c r="AX465" i="3"/>
  <c r="AY465" i="3"/>
  <c r="AX466" i="3"/>
  <c r="AY466" i="3"/>
  <c r="AX467" i="3"/>
  <c r="AY467" i="3"/>
  <c r="AX468" i="3"/>
  <c r="AY468" i="3"/>
  <c r="AX469" i="3"/>
  <c r="AY469" i="3"/>
  <c r="AX470" i="3"/>
  <c r="AY470" i="3"/>
  <c r="AX471" i="3"/>
  <c r="AY471" i="3"/>
  <c r="AX472" i="3"/>
  <c r="AY472" i="3"/>
  <c r="AX473" i="3"/>
  <c r="AY473" i="3"/>
  <c r="AX474" i="3"/>
  <c r="AY474" i="3"/>
  <c r="AX475" i="3"/>
  <c r="AY475" i="3"/>
  <c r="AX476" i="3"/>
  <c r="AY476" i="3"/>
  <c r="AX477" i="3"/>
  <c r="AY477" i="3"/>
  <c r="AX478" i="3"/>
  <c r="AY478" i="3"/>
  <c r="AX479" i="3"/>
  <c r="AY479" i="3"/>
  <c r="AX480" i="3"/>
  <c r="AY480" i="3"/>
  <c r="AX481" i="3"/>
  <c r="AY481" i="3"/>
  <c r="AX482" i="3"/>
  <c r="AY482" i="3"/>
  <c r="AX483" i="3"/>
  <c r="AY483" i="3"/>
  <c r="AX484" i="3"/>
  <c r="AY484" i="3"/>
  <c r="AX485" i="3"/>
  <c r="AY485" i="3"/>
  <c r="AX486" i="3"/>
  <c r="AY486" i="3"/>
  <c r="AX487" i="3"/>
  <c r="AY487" i="3"/>
  <c r="AX488" i="3"/>
  <c r="AY488" i="3"/>
  <c r="AX489" i="3"/>
  <c r="AY489" i="3"/>
  <c r="AX490" i="3"/>
  <c r="AY490" i="3"/>
  <c r="AX491" i="3"/>
  <c r="AY491" i="3"/>
  <c r="AX492" i="3"/>
  <c r="AY492" i="3"/>
  <c r="AX493" i="3"/>
  <c r="AY493" i="3"/>
  <c r="AX494" i="3"/>
  <c r="AY494" i="3"/>
  <c r="AX495" i="3"/>
  <c r="AY495" i="3"/>
  <c r="AX496" i="3"/>
  <c r="AY496" i="3"/>
  <c r="AX497" i="3"/>
  <c r="AY497" i="3"/>
  <c r="AX498" i="3"/>
  <c r="AY498" i="3"/>
  <c r="AX499" i="3"/>
  <c r="AY499" i="3"/>
  <c r="AX500" i="3"/>
  <c r="AY500" i="3"/>
  <c r="AX501" i="3"/>
  <c r="AY501" i="3"/>
  <c r="AV2" i="3"/>
  <c r="AW2" i="3"/>
  <c r="AV3" i="3"/>
  <c r="AW3" i="3"/>
  <c r="AV4" i="3"/>
  <c r="AW4" i="3"/>
  <c r="AV5" i="3"/>
  <c r="AW5" i="3"/>
  <c r="AV6" i="3"/>
  <c r="AW6" i="3"/>
  <c r="AV7" i="3"/>
  <c r="AW7" i="3"/>
  <c r="AV8" i="3"/>
  <c r="AW8" i="3"/>
  <c r="AV9" i="3"/>
  <c r="AW9" i="3"/>
  <c r="AV10" i="3"/>
  <c r="AW10" i="3"/>
  <c r="AV11" i="3"/>
  <c r="AW11" i="3"/>
  <c r="AV12" i="3"/>
  <c r="AW12" i="3"/>
  <c r="AV13" i="3"/>
  <c r="AW13" i="3"/>
  <c r="AV14" i="3"/>
  <c r="AW14" i="3"/>
  <c r="AV15" i="3"/>
  <c r="AW15" i="3"/>
  <c r="AV16" i="3"/>
  <c r="AW16" i="3"/>
  <c r="AV17" i="3"/>
  <c r="AW17" i="3"/>
  <c r="AV18" i="3"/>
  <c r="AW18" i="3"/>
  <c r="AV19" i="3"/>
  <c r="AW19" i="3"/>
  <c r="AV20" i="3"/>
  <c r="AW20" i="3"/>
  <c r="AV21" i="3"/>
  <c r="AW21" i="3"/>
  <c r="AV22" i="3"/>
  <c r="AW22" i="3"/>
  <c r="AV23" i="3"/>
  <c r="AW23" i="3"/>
  <c r="AV24" i="3"/>
  <c r="AW24" i="3"/>
  <c r="AV25" i="3"/>
  <c r="AW25" i="3"/>
  <c r="AV26" i="3"/>
  <c r="AW26" i="3"/>
  <c r="AV27" i="3"/>
  <c r="AW27" i="3"/>
  <c r="AV28" i="3"/>
  <c r="AW28" i="3"/>
  <c r="AV29" i="3"/>
  <c r="AW29" i="3"/>
  <c r="AV30" i="3"/>
  <c r="AW30" i="3"/>
  <c r="AV31" i="3"/>
  <c r="AW31" i="3"/>
  <c r="AV32" i="3"/>
  <c r="AW32" i="3"/>
  <c r="AV33" i="3"/>
  <c r="AW33" i="3"/>
  <c r="AV34" i="3"/>
  <c r="AW34" i="3"/>
  <c r="AV35" i="3"/>
  <c r="AW35" i="3"/>
  <c r="AV36" i="3"/>
  <c r="AW36" i="3"/>
  <c r="AV37" i="3"/>
  <c r="AW37" i="3"/>
  <c r="AV38" i="3"/>
  <c r="AW38" i="3"/>
  <c r="AV39" i="3"/>
  <c r="AW39" i="3"/>
  <c r="AV40" i="3"/>
  <c r="AW40" i="3"/>
  <c r="AV41" i="3"/>
  <c r="AW41" i="3"/>
  <c r="AV42" i="3"/>
  <c r="AW42" i="3"/>
  <c r="AV43" i="3"/>
  <c r="AW43" i="3"/>
  <c r="AV44" i="3"/>
  <c r="AW44" i="3"/>
  <c r="AV45" i="3"/>
  <c r="AW45" i="3"/>
  <c r="AV46" i="3"/>
  <c r="AW46" i="3"/>
  <c r="AV47" i="3"/>
  <c r="AW47" i="3"/>
  <c r="AV48" i="3"/>
  <c r="AW48" i="3"/>
  <c r="AV49" i="3"/>
  <c r="AW49" i="3"/>
  <c r="AV50" i="3"/>
  <c r="AW50" i="3"/>
  <c r="AV51" i="3"/>
  <c r="AW51" i="3"/>
  <c r="AV52" i="3"/>
  <c r="AW52" i="3"/>
  <c r="AV53" i="3"/>
  <c r="AW53" i="3"/>
  <c r="AV54" i="3"/>
  <c r="AW54" i="3"/>
  <c r="AV55" i="3"/>
  <c r="AW55" i="3"/>
  <c r="AV56" i="3"/>
  <c r="AW56" i="3"/>
  <c r="AV57" i="3"/>
  <c r="AW57" i="3"/>
  <c r="AV58" i="3"/>
  <c r="AW58" i="3"/>
  <c r="AV59" i="3"/>
  <c r="AW59" i="3"/>
  <c r="AV60" i="3"/>
  <c r="AW60" i="3"/>
  <c r="AV61" i="3"/>
  <c r="AW61" i="3"/>
  <c r="AV62" i="3"/>
  <c r="AW62" i="3"/>
  <c r="AV63" i="3"/>
  <c r="AW63" i="3"/>
  <c r="AV64" i="3"/>
  <c r="AW64" i="3"/>
  <c r="AV65" i="3"/>
  <c r="AW65" i="3"/>
  <c r="AV66" i="3"/>
  <c r="AW66" i="3"/>
  <c r="AV67" i="3"/>
  <c r="AW67" i="3"/>
  <c r="AV68" i="3"/>
  <c r="AW68" i="3"/>
  <c r="AV69" i="3"/>
  <c r="AW69" i="3"/>
  <c r="AV70" i="3"/>
  <c r="AW70" i="3"/>
  <c r="AV71" i="3"/>
  <c r="AW71" i="3"/>
  <c r="AV72" i="3"/>
  <c r="AW72" i="3"/>
  <c r="AV73" i="3"/>
  <c r="AW73" i="3"/>
  <c r="AV74" i="3"/>
  <c r="AW74" i="3"/>
  <c r="AV75" i="3"/>
  <c r="AW75" i="3"/>
  <c r="AV76" i="3"/>
  <c r="AW76" i="3"/>
  <c r="AV77" i="3"/>
  <c r="AW77" i="3"/>
  <c r="AV78" i="3"/>
  <c r="AW78" i="3"/>
  <c r="AV79" i="3"/>
  <c r="AW79" i="3"/>
  <c r="AV80" i="3"/>
  <c r="AW80" i="3"/>
  <c r="AV81" i="3"/>
  <c r="AW81" i="3"/>
  <c r="AV82" i="3"/>
  <c r="AW82" i="3"/>
  <c r="AV83" i="3"/>
  <c r="AW83" i="3"/>
  <c r="AV84" i="3"/>
  <c r="AW84" i="3"/>
  <c r="AV85" i="3"/>
  <c r="AW85" i="3"/>
  <c r="AV86" i="3"/>
  <c r="AW86" i="3"/>
  <c r="AV87" i="3"/>
  <c r="AW87" i="3"/>
  <c r="AV88" i="3"/>
  <c r="AW88" i="3"/>
  <c r="AV89" i="3"/>
  <c r="AW89" i="3"/>
  <c r="AV90" i="3"/>
  <c r="AW90" i="3"/>
  <c r="AV91" i="3"/>
  <c r="AW91" i="3"/>
  <c r="AV92" i="3"/>
  <c r="AW92" i="3"/>
  <c r="AV93" i="3"/>
  <c r="AW93" i="3"/>
  <c r="AV94" i="3"/>
  <c r="AW94" i="3"/>
  <c r="AV95" i="3"/>
  <c r="AW95" i="3"/>
  <c r="AV96" i="3"/>
  <c r="AW96" i="3"/>
  <c r="AV97" i="3"/>
  <c r="AW97" i="3"/>
  <c r="AV98" i="3"/>
  <c r="AW98" i="3"/>
  <c r="AV99" i="3"/>
  <c r="AW99" i="3"/>
  <c r="AV100" i="3"/>
  <c r="AW100" i="3"/>
  <c r="AV101" i="3"/>
  <c r="AW101" i="3"/>
  <c r="AV102" i="3"/>
  <c r="AW102" i="3"/>
  <c r="AV103" i="3"/>
  <c r="AW103" i="3"/>
  <c r="AV104" i="3"/>
  <c r="AW104" i="3"/>
  <c r="AV105" i="3"/>
  <c r="AW105" i="3"/>
  <c r="AV106" i="3"/>
  <c r="AW106" i="3"/>
  <c r="AV107" i="3"/>
  <c r="AW107" i="3"/>
  <c r="AV108" i="3"/>
  <c r="AW108" i="3"/>
  <c r="AV109" i="3"/>
  <c r="AW109" i="3"/>
  <c r="AV110" i="3"/>
  <c r="AW110" i="3"/>
  <c r="AV111" i="3"/>
  <c r="AW111" i="3"/>
  <c r="AV112" i="3"/>
  <c r="AW112" i="3"/>
  <c r="AV113" i="3"/>
  <c r="AW113" i="3"/>
  <c r="AV114" i="3"/>
  <c r="AW114" i="3"/>
  <c r="AV115" i="3"/>
  <c r="AW115" i="3"/>
  <c r="AV116" i="3"/>
  <c r="AW116" i="3"/>
  <c r="AV117" i="3"/>
  <c r="AW117" i="3"/>
  <c r="AV118" i="3"/>
  <c r="AW118" i="3"/>
  <c r="AV119" i="3"/>
  <c r="AW119" i="3"/>
  <c r="AV120" i="3"/>
  <c r="AW120" i="3"/>
  <c r="AV121" i="3"/>
  <c r="AW121" i="3"/>
  <c r="AV122" i="3"/>
  <c r="AW122" i="3"/>
  <c r="AV123" i="3"/>
  <c r="AW123" i="3"/>
  <c r="AV124" i="3"/>
  <c r="AW124" i="3"/>
  <c r="AV125" i="3"/>
  <c r="AW125" i="3"/>
  <c r="AV126" i="3"/>
  <c r="AW126" i="3"/>
  <c r="AV127" i="3"/>
  <c r="AW127" i="3"/>
  <c r="AV128" i="3"/>
  <c r="AW128" i="3"/>
  <c r="AV129" i="3"/>
  <c r="AW129" i="3"/>
  <c r="AV130" i="3"/>
  <c r="AW130" i="3"/>
  <c r="AV131" i="3"/>
  <c r="AW131" i="3"/>
  <c r="AV132" i="3"/>
  <c r="AW132" i="3"/>
  <c r="AV133" i="3"/>
  <c r="AW133" i="3"/>
  <c r="AV134" i="3"/>
  <c r="AW134" i="3"/>
  <c r="AV135" i="3"/>
  <c r="AW135" i="3"/>
  <c r="AV136" i="3"/>
  <c r="AW136" i="3"/>
  <c r="AV137" i="3"/>
  <c r="AW137" i="3"/>
  <c r="AV138" i="3"/>
  <c r="AW138" i="3"/>
  <c r="AV139" i="3"/>
  <c r="AW139" i="3"/>
  <c r="AV140" i="3"/>
  <c r="AW140" i="3"/>
  <c r="AV141" i="3"/>
  <c r="AW141" i="3"/>
  <c r="AV142" i="3"/>
  <c r="AW142" i="3"/>
  <c r="AV143" i="3"/>
  <c r="AW143" i="3"/>
  <c r="AV144" i="3"/>
  <c r="AW144" i="3"/>
  <c r="AV145" i="3"/>
  <c r="AW145" i="3"/>
  <c r="AV146" i="3"/>
  <c r="AW146" i="3"/>
  <c r="AV147" i="3"/>
  <c r="AW147" i="3"/>
  <c r="AV148" i="3"/>
  <c r="AW148" i="3"/>
  <c r="AV149" i="3"/>
  <c r="AW149" i="3"/>
  <c r="AV150" i="3"/>
  <c r="AW150" i="3"/>
  <c r="AV151" i="3"/>
  <c r="AW151" i="3"/>
  <c r="AV152" i="3"/>
  <c r="AW152" i="3"/>
  <c r="AV153" i="3"/>
  <c r="AW153" i="3"/>
  <c r="AV154" i="3"/>
  <c r="AW154" i="3"/>
  <c r="AV155" i="3"/>
  <c r="AW155" i="3"/>
  <c r="AV156" i="3"/>
  <c r="AW156" i="3"/>
  <c r="AV157" i="3"/>
  <c r="AW157" i="3"/>
  <c r="AV158" i="3"/>
  <c r="AW158" i="3"/>
  <c r="AV159" i="3"/>
  <c r="AW159" i="3"/>
  <c r="AV160" i="3"/>
  <c r="AW160" i="3"/>
  <c r="AV161" i="3"/>
  <c r="AW161" i="3"/>
  <c r="AV162" i="3"/>
  <c r="AW162" i="3"/>
  <c r="AV163" i="3"/>
  <c r="AW163" i="3"/>
  <c r="AV164" i="3"/>
  <c r="AW164" i="3"/>
  <c r="AW165" i="3"/>
  <c r="AV166" i="3"/>
  <c r="AW166" i="3"/>
  <c r="AV167" i="3"/>
  <c r="AW167" i="3"/>
  <c r="AV168" i="3"/>
  <c r="AW168" i="3"/>
  <c r="AV169" i="3"/>
  <c r="AW169" i="3"/>
  <c r="AW170" i="3"/>
  <c r="AW171" i="3"/>
  <c r="AV172" i="3"/>
  <c r="AW172" i="3"/>
  <c r="AV173" i="3"/>
  <c r="AW173" i="3"/>
  <c r="AV174" i="3"/>
  <c r="AW174" i="3"/>
  <c r="AV175" i="3"/>
  <c r="AW175" i="3"/>
  <c r="AW176" i="3"/>
  <c r="AV177" i="3"/>
  <c r="AW177" i="3"/>
  <c r="AV178" i="3"/>
  <c r="AW178" i="3"/>
  <c r="AV179" i="3"/>
  <c r="AW179" i="3"/>
  <c r="AW180" i="3"/>
  <c r="AW181" i="3"/>
  <c r="AV182" i="3"/>
  <c r="AW182" i="3"/>
  <c r="AV183" i="3"/>
  <c r="AW183" i="3"/>
  <c r="AV184" i="3"/>
  <c r="AW184" i="3"/>
  <c r="AV185" i="3"/>
  <c r="AW185" i="3"/>
  <c r="AW186" i="3"/>
  <c r="AV187" i="3"/>
  <c r="AW187" i="3"/>
  <c r="AV188" i="3"/>
  <c r="AW188" i="3"/>
  <c r="AV189" i="3"/>
  <c r="AW189" i="3"/>
  <c r="AW190" i="3"/>
  <c r="AW191" i="3"/>
  <c r="AV192" i="3"/>
  <c r="AW192" i="3"/>
  <c r="AV193" i="3"/>
  <c r="AW193" i="3"/>
  <c r="AV194" i="3"/>
  <c r="AW194" i="3"/>
  <c r="AV195" i="3"/>
  <c r="AW195" i="3"/>
  <c r="AW196" i="3"/>
  <c r="AV197" i="3"/>
  <c r="AW197" i="3"/>
  <c r="AV198" i="3"/>
  <c r="AW198" i="3"/>
  <c r="AV199" i="3"/>
  <c r="AW199" i="3"/>
  <c r="AV200" i="3"/>
  <c r="AW200" i="3"/>
  <c r="AV201" i="3"/>
  <c r="AW201" i="3"/>
  <c r="AV202" i="3"/>
  <c r="AW202" i="3"/>
  <c r="AV203" i="3"/>
  <c r="AW203" i="3"/>
  <c r="AV204" i="3"/>
  <c r="AW204" i="3"/>
  <c r="AW205" i="3"/>
  <c r="AW206" i="3"/>
  <c r="AV207" i="3"/>
  <c r="AW207" i="3"/>
  <c r="AV208" i="3"/>
  <c r="AW208" i="3"/>
  <c r="AV209" i="3"/>
  <c r="AW209" i="3"/>
  <c r="AW210" i="3"/>
  <c r="AV211" i="3"/>
  <c r="AW211" i="3"/>
  <c r="AV212" i="3"/>
  <c r="AW212" i="3"/>
  <c r="AV213" i="3"/>
  <c r="AW213" i="3"/>
  <c r="AV214" i="3"/>
  <c r="AW214" i="3"/>
  <c r="AW215" i="3"/>
  <c r="AW216" i="3"/>
  <c r="AV217" i="3"/>
  <c r="AW217" i="3"/>
  <c r="AV218" i="3"/>
  <c r="AW218" i="3"/>
  <c r="AV219" i="3"/>
  <c r="AW219" i="3"/>
  <c r="AW220" i="3"/>
  <c r="AW221" i="3"/>
  <c r="AV222" i="3"/>
  <c r="AW222" i="3"/>
  <c r="AV223" i="3"/>
  <c r="AW223" i="3"/>
  <c r="AV224" i="3"/>
  <c r="AW224" i="3"/>
  <c r="AW225" i="3"/>
  <c r="AV226" i="3"/>
  <c r="AW226" i="3"/>
  <c r="AV227" i="3"/>
  <c r="AW227" i="3"/>
  <c r="AV228" i="3"/>
  <c r="AW228" i="3"/>
  <c r="AV229" i="3"/>
  <c r="AW229" i="3"/>
  <c r="AW230" i="3"/>
  <c r="AV231" i="3"/>
  <c r="AW231" i="3"/>
  <c r="AV232" i="3"/>
  <c r="AW232" i="3"/>
  <c r="AV233" i="3"/>
  <c r="AW233" i="3"/>
  <c r="AV234" i="3"/>
  <c r="AW234" i="3"/>
  <c r="AW235" i="3"/>
  <c r="AV236" i="3"/>
  <c r="AW236" i="3"/>
  <c r="AV237" i="3"/>
  <c r="AW237" i="3"/>
  <c r="AV238" i="3"/>
  <c r="AW238" i="3"/>
  <c r="AV239" i="3"/>
  <c r="AW239" i="3"/>
  <c r="AW240" i="3"/>
  <c r="AV241" i="3"/>
  <c r="AW241" i="3"/>
  <c r="AV242" i="3"/>
  <c r="AW242" i="3"/>
  <c r="AV243" i="3"/>
  <c r="AW243" i="3"/>
  <c r="AV244" i="3"/>
  <c r="AW244" i="3"/>
  <c r="AW245" i="3"/>
  <c r="AV246" i="3"/>
  <c r="AW246" i="3"/>
  <c r="AV247" i="3"/>
  <c r="AW247" i="3"/>
  <c r="AV248" i="3"/>
  <c r="AW248" i="3"/>
  <c r="AV249" i="3"/>
  <c r="AW249" i="3"/>
  <c r="AW250" i="3"/>
  <c r="AW251" i="3"/>
  <c r="AV252" i="3"/>
  <c r="AW252" i="3"/>
  <c r="AV253" i="3"/>
  <c r="AW253" i="3"/>
  <c r="AV254" i="3"/>
  <c r="AW254" i="3"/>
  <c r="AW255" i="3"/>
  <c r="AV256" i="3"/>
  <c r="AW256" i="3"/>
  <c r="AW257" i="3"/>
  <c r="AV258" i="3"/>
  <c r="AW258" i="3"/>
  <c r="AV259" i="3"/>
  <c r="AW259" i="3"/>
  <c r="AW260" i="3"/>
  <c r="AV261" i="3"/>
  <c r="AW261" i="3"/>
  <c r="AW262" i="3"/>
  <c r="AV263" i="3"/>
  <c r="AW263" i="3"/>
  <c r="AV264" i="3"/>
  <c r="AW264" i="3"/>
  <c r="AV265" i="3"/>
  <c r="AW265" i="3"/>
  <c r="AW266" i="3"/>
  <c r="AW267" i="3"/>
  <c r="AV268" i="3"/>
  <c r="AW268" i="3"/>
  <c r="AV269" i="3"/>
  <c r="AW269" i="3"/>
  <c r="AW270" i="3"/>
  <c r="AW271" i="3"/>
  <c r="AW272" i="3"/>
  <c r="AV273" i="3"/>
  <c r="AW273" i="3"/>
  <c r="AV274" i="3"/>
  <c r="AW274" i="3"/>
  <c r="AV275" i="3"/>
  <c r="AW275" i="3"/>
  <c r="AW276" i="3"/>
  <c r="AV277" i="3"/>
  <c r="AW277" i="3"/>
  <c r="AV278" i="3"/>
  <c r="AW278" i="3"/>
  <c r="AV279" i="3"/>
  <c r="AW279" i="3"/>
  <c r="AW280" i="3"/>
  <c r="AW281" i="3"/>
  <c r="AW282" i="3"/>
  <c r="AV283" i="3"/>
  <c r="AW283" i="3"/>
  <c r="AV284" i="3"/>
  <c r="AW284" i="3"/>
  <c r="AV285" i="3"/>
  <c r="AW285" i="3"/>
  <c r="AW286" i="3"/>
  <c r="AV287" i="3"/>
  <c r="AW287" i="3"/>
  <c r="AV288" i="3"/>
  <c r="AW288" i="3"/>
  <c r="AV289" i="3"/>
  <c r="AW289" i="3"/>
  <c r="AV290" i="3"/>
  <c r="AW290" i="3"/>
  <c r="AW291" i="3"/>
  <c r="AW292" i="3"/>
  <c r="AV293" i="3"/>
  <c r="AW293" i="3"/>
  <c r="AV294" i="3"/>
  <c r="AW294" i="3"/>
  <c r="AV295" i="3"/>
  <c r="AW295" i="3"/>
  <c r="AW296" i="3"/>
  <c r="AV297" i="3"/>
  <c r="AW297" i="3"/>
  <c r="AV298" i="3"/>
  <c r="AW298" i="3"/>
  <c r="AV299" i="3"/>
  <c r="AW299" i="3"/>
  <c r="AV300" i="3"/>
  <c r="AW300" i="3"/>
  <c r="AW301" i="3"/>
  <c r="AW302" i="3"/>
  <c r="AV303" i="3"/>
  <c r="AW303" i="3"/>
  <c r="AV304" i="3"/>
  <c r="AW304" i="3"/>
  <c r="AW305" i="3"/>
  <c r="AW306" i="3"/>
  <c r="AV307" i="3"/>
  <c r="AW307" i="3"/>
  <c r="AV308" i="3"/>
  <c r="AW308" i="3"/>
  <c r="AV309" i="3"/>
  <c r="AW309" i="3"/>
  <c r="AW310" i="3"/>
  <c r="AW311" i="3"/>
  <c r="AV312" i="3"/>
  <c r="AW312" i="3"/>
  <c r="AV313" i="3"/>
  <c r="AW313" i="3"/>
  <c r="AV314" i="3"/>
  <c r="AW314" i="3"/>
  <c r="AW315" i="3"/>
  <c r="AW316" i="3"/>
  <c r="AW317" i="3"/>
  <c r="AV318" i="3"/>
  <c r="AW318" i="3"/>
  <c r="AV319" i="3"/>
  <c r="AW319" i="3"/>
  <c r="AW320" i="3"/>
  <c r="AW321" i="3"/>
  <c r="AW322" i="3"/>
  <c r="AV323" i="3"/>
  <c r="AW323" i="3"/>
  <c r="AV324" i="3"/>
  <c r="AW324" i="3"/>
  <c r="AW325" i="3"/>
  <c r="AV326" i="3"/>
  <c r="AW326" i="3"/>
  <c r="AW327" i="3"/>
  <c r="AV328" i="3"/>
  <c r="AW328" i="3"/>
  <c r="AV329" i="3"/>
  <c r="AW329" i="3"/>
  <c r="AW330" i="3"/>
  <c r="AV331" i="3"/>
  <c r="AW331" i="3"/>
  <c r="AW332" i="3"/>
  <c r="AV333" i="3"/>
  <c r="AW333" i="3"/>
  <c r="AV334" i="3"/>
  <c r="AW334" i="3"/>
  <c r="AW335" i="3"/>
  <c r="AV336" i="3"/>
  <c r="AW336" i="3"/>
  <c r="AW337" i="3"/>
  <c r="AV338" i="3"/>
  <c r="AW338" i="3"/>
  <c r="AV339" i="3"/>
  <c r="AW339" i="3"/>
  <c r="AW340" i="3"/>
  <c r="AW341" i="3"/>
  <c r="AW342" i="3"/>
  <c r="AV343" i="3"/>
  <c r="AW343" i="3"/>
  <c r="AV344" i="3"/>
  <c r="AW344" i="3"/>
  <c r="AW345" i="3"/>
  <c r="AV346" i="3"/>
  <c r="AW346" i="3"/>
  <c r="AW347" i="3"/>
  <c r="AV348" i="3"/>
  <c r="AW348" i="3"/>
  <c r="AV349" i="3"/>
  <c r="AW349" i="3"/>
  <c r="AW350" i="3"/>
  <c r="AW351" i="3"/>
  <c r="AW352" i="3"/>
  <c r="AV353" i="3"/>
  <c r="AW353" i="3"/>
  <c r="AV354" i="3"/>
  <c r="AW354" i="3"/>
  <c r="AW355" i="3"/>
  <c r="AV356" i="3"/>
  <c r="AW356" i="3"/>
  <c r="AW357" i="3"/>
  <c r="AV358" i="3"/>
  <c r="AW358" i="3"/>
  <c r="AV359" i="3"/>
  <c r="AW359" i="3"/>
  <c r="AW360" i="3"/>
  <c r="AV361" i="3"/>
  <c r="AW361" i="3"/>
  <c r="AW362" i="3"/>
  <c r="AV363" i="3"/>
  <c r="AW363" i="3"/>
  <c r="AV364" i="3"/>
  <c r="AW364" i="3"/>
  <c r="AV365" i="3"/>
  <c r="AW365" i="3"/>
  <c r="AW366" i="3"/>
  <c r="AW367" i="3"/>
  <c r="AV368" i="3"/>
  <c r="AW368" i="3"/>
  <c r="AV369" i="3"/>
  <c r="AW369" i="3"/>
  <c r="AV370" i="3"/>
  <c r="AW370" i="3"/>
  <c r="AW371" i="3"/>
  <c r="AW372" i="3"/>
  <c r="AV373" i="3"/>
  <c r="AW373" i="3"/>
  <c r="AV374" i="3"/>
  <c r="AW374" i="3"/>
  <c r="AV375" i="3"/>
  <c r="AW375" i="3"/>
  <c r="AW376" i="3"/>
  <c r="AV377" i="3"/>
  <c r="AW377" i="3"/>
  <c r="AV378" i="3"/>
  <c r="AW378" i="3"/>
  <c r="AV379" i="3"/>
  <c r="AW379" i="3"/>
  <c r="AW380" i="3"/>
  <c r="AV381" i="3"/>
  <c r="AW381" i="3"/>
  <c r="AV382" i="3"/>
  <c r="AW382" i="3"/>
  <c r="AV383" i="3"/>
  <c r="AW383" i="3"/>
  <c r="AV384" i="3"/>
  <c r="AW384" i="3"/>
  <c r="AV385" i="3"/>
  <c r="AW385" i="3"/>
  <c r="AW386" i="3"/>
  <c r="AV387" i="3"/>
  <c r="AW387" i="3"/>
  <c r="AV388" i="3"/>
  <c r="AW388" i="3"/>
  <c r="AV389" i="3"/>
  <c r="AW389" i="3"/>
  <c r="AV390" i="3"/>
  <c r="AW390" i="3"/>
  <c r="AW391" i="3"/>
  <c r="AV392" i="3"/>
  <c r="AW392" i="3"/>
  <c r="AV393" i="3"/>
  <c r="AW393" i="3"/>
  <c r="AV394" i="3"/>
  <c r="AW394" i="3"/>
  <c r="AV395" i="3"/>
  <c r="AW395" i="3"/>
  <c r="AW396" i="3"/>
  <c r="AV397" i="3"/>
  <c r="AW397" i="3"/>
  <c r="AV398" i="3"/>
  <c r="AW398" i="3"/>
  <c r="AV399" i="3"/>
  <c r="AW399" i="3"/>
  <c r="AV400" i="3"/>
  <c r="AW400" i="3"/>
  <c r="AW401" i="3"/>
  <c r="AV402" i="3"/>
  <c r="AW402" i="3"/>
  <c r="AV403" i="3"/>
  <c r="AW403" i="3"/>
  <c r="AV404" i="3"/>
  <c r="AW404" i="3"/>
  <c r="AW405" i="3"/>
  <c r="AW406" i="3"/>
  <c r="AV407" i="3"/>
  <c r="AW407" i="3"/>
  <c r="AV408" i="3"/>
  <c r="AW408" i="3"/>
  <c r="AV409" i="3"/>
  <c r="AW409" i="3"/>
  <c r="AW410" i="3"/>
  <c r="AW411" i="3"/>
  <c r="AV412" i="3"/>
  <c r="AW412" i="3"/>
  <c r="AV413" i="3"/>
  <c r="AW413" i="3"/>
  <c r="AV414" i="3"/>
  <c r="AW414" i="3"/>
  <c r="AW415" i="3"/>
  <c r="AW416" i="3"/>
  <c r="AW417" i="3"/>
  <c r="AV418" i="3"/>
  <c r="AW418" i="3"/>
  <c r="AV419" i="3"/>
  <c r="AW419" i="3"/>
  <c r="AW420" i="3"/>
  <c r="AW421" i="3"/>
  <c r="AW422" i="3"/>
  <c r="AV423" i="3"/>
  <c r="AW423" i="3"/>
  <c r="AV424" i="3"/>
  <c r="AW424" i="3"/>
  <c r="AW425" i="3"/>
  <c r="AV426" i="3"/>
  <c r="AW426" i="3"/>
  <c r="AW427" i="3"/>
  <c r="AV428" i="3"/>
  <c r="AW428" i="3"/>
  <c r="AV429" i="3"/>
  <c r="AW429" i="3"/>
  <c r="AW430" i="3"/>
  <c r="AW431" i="3"/>
  <c r="AW432" i="3"/>
  <c r="AV433" i="3"/>
  <c r="AW433" i="3"/>
  <c r="AV434" i="3"/>
  <c r="AW434" i="3"/>
  <c r="AW435" i="3"/>
  <c r="AV436" i="3"/>
  <c r="AW436" i="3"/>
  <c r="AW437" i="3"/>
  <c r="AV438" i="3"/>
  <c r="AW438" i="3"/>
  <c r="AV439" i="3"/>
  <c r="AW439" i="3"/>
  <c r="AW440" i="3"/>
  <c r="AV441" i="3"/>
  <c r="AW441" i="3"/>
  <c r="AW442" i="3"/>
  <c r="AV443" i="3"/>
  <c r="AW443" i="3"/>
  <c r="AV444" i="3"/>
  <c r="AW444" i="3"/>
  <c r="AW445" i="3"/>
  <c r="AV446" i="3"/>
  <c r="AW446" i="3"/>
  <c r="AW447" i="3"/>
  <c r="AV448" i="3"/>
  <c r="AW448" i="3"/>
  <c r="AV449" i="3"/>
  <c r="AW449" i="3"/>
  <c r="AV450" i="3"/>
  <c r="AW450" i="3"/>
  <c r="AW451" i="3"/>
  <c r="AV452" i="3"/>
  <c r="AW452" i="3"/>
  <c r="AV453" i="3"/>
  <c r="AW453" i="3"/>
  <c r="AV454" i="3"/>
  <c r="AW454" i="3"/>
  <c r="AW455" i="3"/>
  <c r="AV456" i="3"/>
  <c r="AW456" i="3"/>
  <c r="AW457" i="3"/>
  <c r="AV458" i="3"/>
  <c r="AW458" i="3"/>
  <c r="AV459" i="3"/>
  <c r="AW459" i="3"/>
  <c r="AW460" i="3"/>
  <c r="AV461" i="3"/>
  <c r="AW461" i="3"/>
  <c r="AW462" i="3"/>
  <c r="AV463" i="3"/>
  <c r="AW463" i="3"/>
  <c r="AV464" i="3"/>
  <c r="AW464" i="3"/>
  <c r="AV465" i="3"/>
  <c r="AW465" i="3"/>
  <c r="AW466" i="3"/>
  <c r="AW467" i="3"/>
  <c r="AW468" i="3"/>
  <c r="AV469" i="3"/>
  <c r="AW469" i="3"/>
  <c r="AV470" i="3"/>
  <c r="AW470" i="3"/>
  <c r="AW471" i="3"/>
  <c r="AW472" i="3"/>
  <c r="AV473" i="3"/>
  <c r="AW473" i="3"/>
  <c r="AV474" i="3"/>
  <c r="AW474" i="3"/>
  <c r="AV475" i="3"/>
  <c r="AW475" i="3"/>
  <c r="AW476" i="3"/>
  <c r="AW477" i="3"/>
  <c r="AV478" i="3"/>
  <c r="AW478" i="3"/>
  <c r="AV479" i="3"/>
  <c r="AW479" i="3"/>
  <c r="AW480" i="3"/>
  <c r="AW481" i="3"/>
  <c r="AV482" i="3"/>
  <c r="AW482" i="3"/>
  <c r="AV483" i="3"/>
  <c r="AW483" i="3"/>
  <c r="AV484" i="3"/>
  <c r="AW484" i="3"/>
  <c r="AV485" i="3"/>
  <c r="AW485" i="3"/>
  <c r="AW486" i="3"/>
  <c r="AV487" i="3"/>
  <c r="AW487" i="3"/>
  <c r="AV488" i="3"/>
  <c r="AW488" i="3"/>
  <c r="AV489" i="3"/>
  <c r="AW489" i="3"/>
  <c r="AV490" i="3"/>
  <c r="AW490" i="3"/>
  <c r="AW491" i="3"/>
  <c r="AW492" i="3"/>
  <c r="AV493" i="3"/>
  <c r="AW493" i="3"/>
  <c r="AV494" i="3"/>
  <c r="AW494" i="3"/>
  <c r="AV495" i="3"/>
  <c r="AW495" i="3"/>
  <c r="AW496" i="3"/>
  <c r="AV497" i="3"/>
  <c r="AW497" i="3"/>
  <c r="AV498" i="3"/>
  <c r="AW498" i="3"/>
  <c r="AV499" i="3"/>
  <c r="AW499" i="3"/>
  <c r="AV500" i="3"/>
  <c r="AW500" i="3"/>
  <c r="AW501" i="3"/>
  <c r="AT2" i="3"/>
  <c r="AU2" i="3"/>
  <c r="AT3" i="3"/>
  <c r="AU3" i="3"/>
  <c r="AT4" i="3"/>
  <c r="AU4" i="3"/>
  <c r="AT5" i="3"/>
  <c r="AU5" i="3"/>
  <c r="AT6" i="3"/>
  <c r="AU6" i="3"/>
  <c r="AT7" i="3"/>
  <c r="AU7" i="3"/>
  <c r="AT8" i="3"/>
  <c r="AU8" i="3"/>
  <c r="AT9" i="3"/>
  <c r="AU9" i="3"/>
  <c r="AT10" i="3"/>
  <c r="AU10" i="3"/>
  <c r="AT11" i="3"/>
  <c r="AU11" i="3"/>
  <c r="AT12" i="3"/>
  <c r="AU12" i="3"/>
  <c r="AT13" i="3"/>
  <c r="AU13" i="3"/>
  <c r="AT14" i="3"/>
  <c r="AU14" i="3"/>
  <c r="AT15" i="3"/>
  <c r="AU15" i="3"/>
  <c r="AT16" i="3"/>
  <c r="AU16" i="3"/>
  <c r="AT17" i="3"/>
  <c r="AU17" i="3"/>
  <c r="AT18" i="3"/>
  <c r="AU18" i="3"/>
  <c r="AT19" i="3"/>
  <c r="AU19" i="3"/>
  <c r="AT20" i="3"/>
  <c r="AU20" i="3"/>
  <c r="AT21" i="3"/>
  <c r="AU21" i="3"/>
  <c r="AT22" i="3"/>
  <c r="AU22" i="3"/>
  <c r="AT23" i="3"/>
  <c r="AU23" i="3"/>
  <c r="AT24" i="3"/>
  <c r="AU24" i="3"/>
  <c r="AT25" i="3"/>
  <c r="AU25" i="3"/>
  <c r="AT26" i="3"/>
  <c r="AU26" i="3"/>
  <c r="AT27" i="3"/>
  <c r="AU27" i="3"/>
  <c r="AT28" i="3"/>
  <c r="AU28" i="3"/>
  <c r="AT29" i="3"/>
  <c r="AU29" i="3"/>
  <c r="AT30" i="3"/>
  <c r="AU30" i="3"/>
  <c r="AT31" i="3"/>
  <c r="AU31" i="3"/>
  <c r="AT32" i="3"/>
  <c r="AU32" i="3"/>
  <c r="AT33" i="3"/>
  <c r="AU33" i="3"/>
  <c r="AT34" i="3"/>
  <c r="AU34" i="3"/>
  <c r="AT35" i="3"/>
  <c r="AU35" i="3"/>
  <c r="AT36" i="3"/>
  <c r="AU36" i="3"/>
  <c r="AT37" i="3"/>
  <c r="AU37" i="3"/>
  <c r="AT38" i="3"/>
  <c r="AU38" i="3"/>
  <c r="AT39" i="3"/>
  <c r="AU39" i="3"/>
  <c r="AT40" i="3"/>
  <c r="AU40" i="3"/>
  <c r="AT41" i="3"/>
  <c r="AU41" i="3"/>
  <c r="AT42" i="3"/>
  <c r="AU42" i="3"/>
  <c r="AT43" i="3"/>
  <c r="AU43" i="3"/>
  <c r="AT44" i="3"/>
  <c r="AU44" i="3"/>
  <c r="AT45" i="3"/>
  <c r="AU45" i="3"/>
  <c r="AT46" i="3"/>
  <c r="AU46" i="3"/>
  <c r="AT47" i="3"/>
  <c r="AU47" i="3"/>
  <c r="AT48" i="3"/>
  <c r="AU48" i="3"/>
  <c r="AT49" i="3"/>
  <c r="AU49" i="3"/>
  <c r="AT50" i="3"/>
  <c r="AU50" i="3"/>
  <c r="AT51" i="3"/>
  <c r="AU51" i="3"/>
  <c r="AT52" i="3"/>
  <c r="AU52" i="3"/>
  <c r="AT53" i="3"/>
  <c r="AU53" i="3"/>
  <c r="AT54" i="3"/>
  <c r="AU54" i="3"/>
  <c r="AT55" i="3"/>
  <c r="AU55" i="3"/>
  <c r="AT56" i="3"/>
  <c r="AU56" i="3"/>
  <c r="AT57" i="3"/>
  <c r="AU57" i="3"/>
  <c r="AT58" i="3"/>
  <c r="AU58" i="3"/>
  <c r="AT59" i="3"/>
  <c r="AU59" i="3"/>
  <c r="AT60" i="3"/>
  <c r="AU60" i="3"/>
  <c r="AT61" i="3"/>
  <c r="AU61" i="3"/>
  <c r="AT62" i="3"/>
  <c r="AU62" i="3"/>
  <c r="AT63" i="3"/>
  <c r="AU63" i="3"/>
  <c r="AT64" i="3"/>
  <c r="AU64" i="3"/>
  <c r="AT65" i="3"/>
  <c r="AU65" i="3"/>
  <c r="AT66" i="3"/>
  <c r="AU66" i="3"/>
  <c r="AT67" i="3"/>
  <c r="AU67" i="3"/>
  <c r="AT68" i="3"/>
  <c r="AU68" i="3"/>
  <c r="AT69" i="3"/>
  <c r="AU69" i="3"/>
  <c r="AT70" i="3"/>
  <c r="AU70" i="3"/>
  <c r="AT71" i="3"/>
  <c r="AU71" i="3"/>
  <c r="AT72" i="3"/>
  <c r="AU72" i="3"/>
  <c r="AT73" i="3"/>
  <c r="AU73" i="3"/>
  <c r="AT74" i="3"/>
  <c r="AU74" i="3"/>
  <c r="AT75" i="3"/>
  <c r="AU75" i="3"/>
  <c r="AT76" i="3"/>
  <c r="AU76" i="3"/>
  <c r="AT77" i="3"/>
  <c r="AU77" i="3"/>
  <c r="AT78" i="3"/>
  <c r="AU78" i="3"/>
  <c r="AT79" i="3"/>
  <c r="AU79" i="3"/>
  <c r="AT80" i="3"/>
  <c r="AU80" i="3"/>
  <c r="AT81" i="3"/>
  <c r="AU81" i="3"/>
  <c r="AT82" i="3"/>
  <c r="AU82" i="3"/>
  <c r="AT83" i="3"/>
  <c r="AU83" i="3"/>
  <c r="AT84" i="3"/>
  <c r="AU84" i="3"/>
  <c r="AT85" i="3"/>
  <c r="AU85" i="3"/>
  <c r="AT86" i="3"/>
  <c r="AU86" i="3"/>
  <c r="AT87" i="3"/>
  <c r="AU87" i="3"/>
  <c r="AT88" i="3"/>
  <c r="AU88" i="3"/>
  <c r="AT89" i="3"/>
  <c r="AU89" i="3"/>
  <c r="AT90" i="3"/>
  <c r="AU90" i="3"/>
  <c r="AT91" i="3"/>
  <c r="AU91" i="3"/>
  <c r="AT92" i="3"/>
  <c r="AU92" i="3"/>
  <c r="AT93" i="3"/>
  <c r="AU93" i="3"/>
  <c r="AT94" i="3"/>
  <c r="AU94" i="3"/>
  <c r="AT95" i="3"/>
  <c r="AU95" i="3"/>
  <c r="AT96" i="3"/>
  <c r="AU96" i="3"/>
  <c r="AT97" i="3"/>
  <c r="AU97" i="3"/>
  <c r="AT98" i="3"/>
  <c r="AU98" i="3"/>
  <c r="AT99" i="3"/>
  <c r="AU99" i="3"/>
  <c r="AT100" i="3"/>
  <c r="AU100" i="3"/>
  <c r="AT101" i="3"/>
  <c r="AU101" i="3"/>
  <c r="AT102" i="3"/>
  <c r="AU102" i="3"/>
  <c r="AT103" i="3"/>
  <c r="AU103" i="3"/>
  <c r="AT104" i="3"/>
  <c r="AU104" i="3"/>
  <c r="AT105" i="3"/>
  <c r="AU105" i="3"/>
  <c r="AT106" i="3"/>
  <c r="AU106" i="3"/>
  <c r="AT107" i="3"/>
  <c r="AU107" i="3"/>
  <c r="AT108" i="3"/>
  <c r="AU108" i="3"/>
  <c r="AT109" i="3"/>
  <c r="AU109" i="3"/>
  <c r="AT110" i="3"/>
  <c r="AU110" i="3"/>
  <c r="AT111" i="3"/>
  <c r="AU111" i="3"/>
  <c r="AT112" i="3"/>
  <c r="AU112" i="3"/>
  <c r="AT113" i="3"/>
  <c r="AU113" i="3"/>
  <c r="AT114" i="3"/>
  <c r="AU114" i="3"/>
  <c r="AT115" i="3"/>
  <c r="AU115" i="3"/>
  <c r="AT116" i="3"/>
  <c r="AU116" i="3"/>
  <c r="AT117" i="3"/>
  <c r="AU117" i="3"/>
  <c r="AT118" i="3"/>
  <c r="AU118" i="3"/>
  <c r="AT119" i="3"/>
  <c r="AU119" i="3"/>
  <c r="AT120" i="3"/>
  <c r="AU120" i="3"/>
  <c r="AT121" i="3"/>
  <c r="AU121" i="3"/>
  <c r="AT122" i="3"/>
  <c r="AU122" i="3"/>
  <c r="AT123" i="3"/>
  <c r="AU123" i="3"/>
  <c r="AT124" i="3"/>
  <c r="AU124" i="3"/>
  <c r="AT125" i="3"/>
  <c r="AU125" i="3"/>
  <c r="AT126" i="3"/>
  <c r="AU126" i="3"/>
  <c r="AT127" i="3"/>
  <c r="AU127" i="3"/>
  <c r="AT128" i="3"/>
  <c r="AU128" i="3"/>
  <c r="AT129" i="3"/>
  <c r="AU129" i="3"/>
  <c r="AT130" i="3"/>
  <c r="AU130" i="3"/>
  <c r="AT131" i="3"/>
  <c r="AU131" i="3"/>
  <c r="AT132" i="3"/>
  <c r="AU132" i="3"/>
  <c r="AT133" i="3"/>
  <c r="AU133" i="3"/>
  <c r="AT134" i="3"/>
  <c r="AU134" i="3"/>
  <c r="AT135" i="3"/>
  <c r="AU135" i="3"/>
  <c r="AT136" i="3"/>
  <c r="AU136" i="3"/>
  <c r="AT137" i="3"/>
  <c r="AU137" i="3"/>
  <c r="AT138" i="3"/>
  <c r="AU138" i="3"/>
  <c r="AT139" i="3"/>
  <c r="AU139" i="3"/>
  <c r="AT140" i="3"/>
  <c r="AU140" i="3"/>
  <c r="AT141" i="3"/>
  <c r="AU141" i="3"/>
  <c r="AT142" i="3"/>
  <c r="AU142" i="3"/>
  <c r="AT143" i="3"/>
  <c r="AU143" i="3"/>
  <c r="AT144" i="3"/>
  <c r="AU144" i="3"/>
  <c r="AT145" i="3"/>
  <c r="AU145" i="3"/>
  <c r="AT146" i="3"/>
  <c r="AU146" i="3"/>
  <c r="AT147" i="3"/>
  <c r="AU147" i="3"/>
  <c r="AT148" i="3"/>
  <c r="AU148" i="3"/>
  <c r="AT149" i="3"/>
  <c r="AU149" i="3"/>
  <c r="AT150" i="3"/>
  <c r="AU150" i="3"/>
  <c r="AT151" i="3"/>
  <c r="AU151" i="3"/>
  <c r="AT152" i="3"/>
  <c r="AU152" i="3"/>
  <c r="AT153" i="3"/>
  <c r="AU153" i="3"/>
  <c r="AT154" i="3"/>
  <c r="AU154" i="3"/>
  <c r="AT155" i="3"/>
  <c r="AU155" i="3"/>
  <c r="AT156" i="3"/>
  <c r="AU156" i="3"/>
  <c r="AT157" i="3"/>
  <c r="AU157" i="3"/>
  <c r="AT158" i="3"/>
  <c r="AU158" i="3"/>
  <c r="AT159" i="3"/>
  <c r="AU159" i="3"/>
  <c r="AT160" i="3"/>
  <c r="AU160" i="3"/>
  <c r="AT161" i="3"/>
  <c r="AU161" i="3"/>
  <c r="AT162" i="3"/>
  <c r="AU162" i="3"/>
  <c r="AT163" i="3"/>
  <c r="AU163" i="3"/>
  <c r="AT164" i="3"/>
  <c r="AU164" i="3"/>
  <c r="AT165" i="3"/>
  <c r="AU165" i="3"/>
  <c r="AT166" i="3"/>
  <c r="AU166" i="3"/>
  <c r="AT167" i="3"/>
  <c r="AU167" i="3"/>
  <c r="AT168" i="3"/>
  <c r="AU168" i="3"/>
  <c r="AT169" i="3"/>
  <c r="AU169" i="3"/>
  <c r="AT170" i="3"/>
  <c r="AU170" i="3"/>
  <c r="AT171" i="3"/>
  <c r="AU171" i="3"/>
  <c r="AT172" i="3"/>
  <c r="AU172" i="3"/>
  <c r="AT173" i="3"/>
  <c r="AU173" i="3"/>
  <c r="AT174" i="3"/>
  <c r="AU174" i="3"/>
  <c r="AT175" i="3"/>
  <c r="AU175" i="3"/>
  <c r="AT176" i="3"/>
  <c r="AU176" i="3"/>
  <c r="AT177" i="3"/>
  <c r="AU177" i="3"/>
  <c r="AT178" i="3"/>
  <c r="AU178" i="3"/>
  <c r="AT179" i="3"/>
  <c r="AU179" i="3"/>
  <c r="AT180" i="3"/>
  <c r="AU180" i="3"/>
  <c r="AT181" i="3"/>
  <c r="AU181" i="3"/>
  <c r="AT182" i="3"/>
  <c r="AU182" i="3"/>
  <c r="AT183" i="3"/>
  <c r="AU183" i="3"/>
  <c r="AT184" i="3"/>
  <c r="AU184" i="3"/>
  <c r="AT185" i="3"/>
  <c r="AU185" i="3"/>
  <c r="AT186" i="3"/>
  <c r="AU186" i="3"/>
  <c r="AT187" i="3"/>
  <c r="AU187" i="3"/>
  <c r="AT188" i="3"/>
  <c r="AU188" i="3"/>
  <c r="AT189" i="3"/>
  <c r="AU189" i="3"/>
  <c r="AT190" i="3"/>
  <c r="AU190" i="3"/>
  <c r="AT191" i="3"/>
  <c r="AU191" i="3"/>
  <c r="AT192" i="3"/>
  <c r="AU192" i="3"/>
  <c r="AT193" i="3"/>
  <c r="AU193" i="3"/>
  <c r="AT194" i="3"/>
  <c r="AU194" i="3"/>
  <c r="AT195" i="3"/>
  <c r="AU195" i="3"/>
  <c r="AT196" i="3"/>
  <c r="AU196" i="3"/>
  <c r="AT197" i="3"/>
  <c r="AU197" i="3"/>
  <c r="AT198" i="3"/>
  <c r="AU198" i="3"/>
  <c r="AT199" i="3"/>
  <c r="AU199" i="3"/>
  <c r="AT200" i="3"/>
  <c r="AU200" i="3"/>
  <c r="AT201" i="3"/>
  <c r="AU201" i="3"/>
  <c r="AT202" i="3"/>
  <c r="AU202" i="3"/>
  <c r="AT203" i="3"/>
  <c r="AU203" i="3"/>
  <c r="AT204" i="3"/>
  <c r="AU204" i="3"/>
  <c r="AT205" i="3"/>
  <c r="AU205" i="3"/>
  <c r="AT206" i="3"/>
  <c r="AU206" i="3"/>
  <c r="AT207" i="3"/>
  <c r="AU207" i="3"/>
  <c r="AT208" i="3"/>
  <c r="AU208" i="3"/>
  <c r="AT209" i="3"/>
  <c r="AU209" i="3"/>
  <c r="AT210" i="3"/>
  <c r="AU210" i="3"/>
  <c r="AT211" i="3"/>
  <c r="AU211" i="3"/>
  <c r="AT212" i="3"/>
  <c r="AU212" i="3"/>
  <c r="AT213" i="3"/>
  <c r="AU213" i="3"/>
  <c r="AT214" i="3"/>
  <c r="AU214" i="3"/>
  <c r="AT215" i="3"/>
  <c r="AU215" i="3"/>
  <c r="AT216" i="3"/>
  <c r="AU216" i="3"/>
  <c r="AT217" i="3"/>
  <c r="AU217" i="3"/>
  <c r="AT218" i="3"/>
  <c r="AU218" i="3"/>
  <c r="AT219" i="3"/>
  <c r="AU219" i="3"/>
  <c r="AT220" i="3"/>
  <c r="AU220" i="3"/>
  <c r="AT221" i="3"/>
  <c r="AU221" i="3"/>
  <c r="AT222" i="3"/>
  <c r="AU222" i="3"/>
  <c r="AT223" i="3"/>
  <c r="AU223" i="3"/>
  <c r="AT224" i="3"/>
  <c r="AU224" i="3"/>
  <c r="AT225" i="3"/>
  <c r="AU225" i="3"/>
  <c r="AT226" i="3"/>
  <c r="AU226" i="3"/>
  <c r="AT227" i="3"/>
  <c r="AU227" i="3"/>
  <c r="AT228" i="3"/>
  <c r="AU228" i="3"/>
  <c r="AT229" i="3"/>
  <c r="AU229" i="3"/>
  <c r="AT230" i="3"/>
  <c r="AU230" i="3"/>
  <c r="AT231" i="3"/>
  <c r="AU231" i="3"/>
  <c r="AT232" i="3"/>
  <c r="AU232" i="3"/>
  <c r="AT233" i="3"/>
  <c r="AU233" i="3"/>
  <c r="AT234" i="3"/>
  <c r="AU234" i="3"/>
  <c r="AT235" i="3"/>
  <c r="AU235" i="3"/>
  <c r="AT236" i="3"/>
  <c r="AU236" i="3"/>
  <c r="AT237" i="3"/>
  <c r="AU237" i="3"/>
  <c r="AT238" i="3"/>
  <c r="AU238" i="3"/>
  <c r="AT239" i="3"/>
  <c r="AU239" i="3"/>
  <c r="AT240" i="3"/>
  <c r="AU240" i="3"/>
  <c r="AT241" i="3"/>
  <c r="AU241" i="3"/>
  <c r="AT242" i="3"/>
  <c r="AU242" i="3"/>
  <c r="AT243" i="3"/>
  <c r="AU243" i="3"/>
  <c r="AT244" i="3"/>
  <c r="AU244" i="3"/>
  <c r="AT245" i="3"/>
  <c r="AU245" i="3"/>
  <c r="AT246" i="3"/>
  <c r="AU246" i="3"/>
  <c r="AT247" i="3"/>
  <c r="AU247" i="3"/>
  <c r="AT248" i="3"/>
  <c r="AU248" i="3"/>
  <c r="AT249" i="3"/>
  <c r="AU249" i="3"/>
  <c r="AT250" i="3"/>
  <c r="AU250" i="3"/>
  <c r="AT251" i="3"/>
  <c r="AU251" i="3"/>
  <c r="AT252" i="3"/>
  <c r="AU252" i="3"/>
  <c r="AT253" i="3"/>
  <c r="AU253" i="3"/>
  <c r="AT254" i="3"/>
  <c r="AU254" i="3"/>
  <c r="AT255" i="3"/>
  <c r="AU255" i="3"/>
  <c r="AT256" i="3"/>
  <c r="AU256" i="3"/>
  <c r="AT257" i="3"/>
  <c r="AU257" i="3"/>
  <c r="AT258" i="3"/>
  <c r="AU258" i="3"/>
  <c r="AT259" i="3"/>
  <c r="AU259" i="3"/>
  <c r="AT260" i="3"/>
  <c r="AU260" i="3"/>
  <c r="AT261" i="3"/>
  <c r="AU261" i="3"/>
  <c r="AT262" i="3"/>
  <c r="AU262" i="3"/>
  <c r="AT263" i="3"/>
  <c r="AU263" i="3"/>
  <c r="AT264" i="3"/>
  <c r="AU264" i="3"/>
  <c r="AT265" i="3"/>
  <c r="AU265" i="3"/>
  <c r="AT266" i="3"/>
  <c r="AU266" i="3"/>
  <c r="AT267" i="3"/>
  <c r="AU267" i="3"/>
  <c r="AT268" i="3"/>
  <c r="AU268" i="3"/>
  <c r="AT269" i="3"/>
  <c r="AU269" i="3"/>
  <c r="AT270" i="3"/>
  <c r="AU270" i="3"/>
  <c r="AT271" i="3"/>
  <c r="AU271" i="3"/>
  <c r="AT272" i="3"/>
  <c r="AU272" i="3"/>
  <c r="AT273" i="3"/>
  <c r="AU273" i="3"/>
  <c r="AT274" i="3"/>
  <c r="AU274" i="3"/>
  <c r="AT275" i="3"/>
  <c r="AU275" i="3"/>
  <c r="AT276" i="3"/>
  <c r="AU276" i="3"/>
  <c r="AT277" i="3"/>
  <c r="AU277" i="3"/>
  <c r="AT278" i="3"/>
  <c r="AU278" i="3"/>
  <c r="AT279" i="3"/>
  <c r="AU279" i="3"/>
  <c r="AT280" i="3"/>
  <c r="AU280" i="3"/>
  <c r="AT281" i="3"/>
  <c r="AU281" i="3"/>
  <c r="AT282" i="3"/>
  <c r="AU282" i="3"/>
  <c r="AT283" i="3"/>
  <c r="AU283" i="3"/>
  <c r="AT284" i="3"/>
  <c r="AU284" i="3"/>
  <c r="AT285" i="3"/>
  <c r="AU285" i="3"/>
  <c r="AT286" i="3"/>
  <c r="AU286" i="3"/>
  <c r="AT287" i="3"/>
  <c r="AU287" i="3"/>
  <c r="AT288" i="3"/>
  <c r="AU288" i="3"/>
  <c r="AT289" i="3"/>
  <c r="AU289" i="3"/>
  <c r="AT290" i="3"/>
  <c r="AU290" i="3"/>
  <c r="AT291" i="3"/>
  <c r="AU291" i="3"/>
  <c r="AT292" i="3"/>
  <c r="AU292" i="3"/>
  <c r="AT293" i="3"/>
  <c r="AU293" i="3"/>
  <c r="AT294" i="3"/>
  <c r="AU294" i="3"/>
  <c r="AT295" i="3"/>
  <c r="AU295" i="3"/>
  <c r="AT296" i="3"/>
  <c r="AU296" i="3"/>
  <c r="AT297" i="3"/>
  <c r="AU297" i="3"/>
  <c r="AT298" i="3"/>
  <c r="AU298" i="3"/>
  <c r="AT299" i="3"/>
  <c r="AU299" i="3"/>
  <c r="AT300" i="3"/>
  <c r="AU300" i="3"/>
  <c r="AT301" i="3"/>
  <c r="AU301" i="3"/>
  <c r="AT302" i="3"/>
  <c r="AU302" i="3"/>
  <c r="AT303" i="3"/>
  <c r="AU303" i="3"/>
  <c r="AT304" i="3"/>
  <c r="AU304" i="3"/>
  <c r="AT305" i="3"/>
  <c r="AU305" i="3"/>
  <c r="AT306" i="3"/>
  <c r="AU306" i="3"/>
  <c r="AT307" i="3"/>
  <c r="AU307" i="3"/>
  <c r="AT308" i="3"/>
  <c r="AU308" i="3"/>
  <c r="AT309" i="3"/>
  <c r="AU309" i="3"/>
  <c r="AT310" i="3"/>
  <c r="AU310" i="3"/>
  <c r="AT311" i="3"/>
  <c r="AU311" i="3"/>
  <c r="AT312" i="3"/>
  <c r="AU312" i="3"/>
  <c r="AT313" i="3"/>
  <c r="AU313" i="3"/>
  <c r="AT314" i="3"/>
  <c r="AU314" i="3"/>
  <c r="AT315" i="3"/>
  <c r="AU315" i="3"/>
  <c r="AT316" i="3"/>
  <c r="AU316" i="3"/>
  <c r="AT317" i="3"/>
  <c r="AU317" i="3"/>
  <c r="AT318" i="3"/>
  <c r="AU318" i="3"/>
  <c r="AT319" i="3"/>
  <c r="AU319" i="3"/>
  <c r="AT320" i="3"/>
  <c r="AU320" i="3"/>
  <c r="AT321" i="3"/>
  <c r="AU321" i="3"/>
  <c r="AT322" i="3"/>
  <c r="AU322" i="3"/>
  <c r="AT323" i="3"/>
  <c r="AU323" i="3"/>
  <c r="AT324" i="3"/>
  <c r="AU324" i="3"/>
  <c r="AT325" i="3"/>
  <c r="AU325" i="3"/>
  <c r="AT326" i="3"/>
  <c r="AU326" i="3"/>
  <c r="AT327" i="3"/>
  <c r="AU327" i="3"/>
  <c r="AT328" i="3"/>
  <c r="AU328" i="3"/>
  <c r="AT329" i="3"/>
  <c r="AU329" i="3"/>
  <c r="AT330" i="3"/>
  <c r="AU330" i="3"/>
  <c r="AT331" i="3"/>
  <c r="AU331" i="3"/>
  <c r="AT332" i="3"/>
  <c r="AU332" i="3"/>
  <c r="AT333" i="3"/>
  <c r="AU333" i="3"/>
  <c r="AT334" i="3"/>
  <c r="AU334" i="3"/>
  <c r="AT335" i="3"/>
  <c r="AU335" i="3"/>
  <c r="AT336" i="3"/>
  <c r="AU336" i="3"/>
  <c r="AT337" i="3"/>
  <c r="AU337" i="3"/>
  <c r="AT338" i="3"/>
  <c r="AU338" i="3"/>
  <c r="AT339" i="3"/>
  <c r="AU339" i="3"/>
  <c r="AT340" i="3"/>
  <c r="AU340" i="3"/>
  <c r="AT341" i="3"/>
  <c r="AU341" i="3"/>
  <c r="AT342" i="3"/>
  <c r="AU342" i="3"/>
  <c r="AT343" i="3"/>
  <c r="AU343" i="3"/>
  <c r="AT344" i="3"/>
  <c r="AU344" i="3"/>
  <c r="AT345" i="3"/>
  <c r="AU345" i="3"/>
  <c r="AT346" i="3"/>
  <c r="AU346" i="3"/>
  <c r="AT347" i="3"/>
  <c r="AU347" i="3"/>
  <c r="AT348" i="3"/>
  <c r="AU348" i="3"/>
  <c r="AT349" i="3"/>
  <c r="AU349" i="3"/>
  <c r="AT350" i="3"/>
  <c r="AU350" i="3"/>
  <c r="AT351" i="3"/>
  <c r="AU351" i="3"/>
  <c r="AT352" i="3"/>
  <c r="AU352" i="3"/>
  <c r="AT353" i="3"/>
  <c r="AU353" i="3"/>
  <c r="AT354" i="3"/>
  <c r="AU354" i="3"/>
  <c r="AT355" i="3"/>
  <c r="AU355" i="3"/>
  <c r="AT356" i="3"/>
  <c r="AU356" i="3"/>
  <c r="AT357" i="3"/>
  <c r="AU357" i="3"/>
  <c r="AT358" i="3"/>
  <c r="AU358" i="3"/>
  <c r="AT359" i="3"/>
  <c r="AU359" i="3"/>
  <c r="AT360" i="3"/>
  <c r="AU360" i="3"/>
  <c r="AT361" i="3"/>
  <c r="AU361" i="3"/>
  <c r="AT362" i="3"/>
  <c r="AU362" i="3"/>
  <c r="AT363" i="3"/>
  <c r="AU363" i="3"/>
  <c r="AT364" i="3"/>
  <c r="AU364" i="3"/>
  <c r="AT365" i="3"/>
  <c r="AU365" i="3"/>
  <c r="AT366" i="3"/>
  <c r="AU366" i="3"/>
  <c r="AT367" i="3"/>
  <c r="AU367" i="3"/>
  <c r="AT368" i="3"/>
  <c r="AU368" i="3"/>
  <c r="AT369" i="3"/>
  <c r="AU369" i="3"/>
  <c r="AT370" i="3"/>
  <c r="AU370" i="3"/>
  <c r="AT371" i="3"/>
  <c r="AU371" i="3"/>
  <c r="AT372" i="3"/>
  <c r="AU372" i="3"/>
  <c r="AT373" i="3"/>
  <c r="AU373" i="3"/>
  <c r="AT374" i="3"/>
  <c r="AU374" i="3"/>
  <c r="AT375" i="3"/>
  <c r="AU375" i="3"/>
  <c r="AT376" i="3"/>
  <c r="AU376" i="3"/>
  <c r="AT377" i="3"/>
  <c r="AU377" i="3"/>
  <c r="AT378" i="3"/>
  <c r="AU378" i="3"/>
  <c r="AT379" i="3"/>
  <c r="AU379" i="3"/>
  <c r="AT380" i="3"/>
  <c r="AU380" i="3"/>
  <c r="AT381" i="3"/>
  <c r="AU381" i="3"/>
  <c r="AT382" i="3"/>
  <c r="AU382" i="3"/>
  <c r="AT383" i="3"/>
  <c r="AU383" i="3"/>
  <c r="AT384" i="3"/>
  <c r="AU384" i="3"/>
  <c r="AT385" i="3"/>
  <c r="AU385" i="3"/>
  <c r="AT386" i="3"/>
  <c r="AU386" i="3"/>
  <c r="AT387" i="3"/>
  <c r="AU387" i="3"/>
  <c r="AT388" i="3"/>
  <c r="AU388" i="3"/>
  <c r="AT389" i="3"/>
  <c r="AU389" i="3"/>
  <c r="AT390" i="3"/>
  <c r="AU390" i="3"/>
  <c r="AT391" i="3"/>
  <c r="AU391" i="3"/>
  <c r="AT392" i="3"/>
  <c r="AU392" i="3"/>
  <c r="AT393" i="3"/>
  <c r="AU393" i="3"/>
  <c r="AT394" i="3"/>
  <c r="AU394" i="3"/>
  <c r="AT395" i="3"/>
  <c r="AU395" i="3"/>
  <c r="AT396" i="3"/>
  <c r="AU396" i="3"/>
  <c r="AT397" i="3"/>
  <c r="AU397" i="3"/>
  <c r="AT398" i="3"/>
  <c r="AU398" i="3"/>
  <c r="AT399" i="3"/>
  <c r="AU399" i="3"/>
  <c r="AT400" i="3"/>
  <c r="AU400" i="3"/>
  <c r="AT401" i="3"/>
  <c r="AU401" i="3"/>
  <c r="AT402" i="3"/>
  <c r="AU402" i="3"/>
  <c r="AT403" i="3"/>
  <c r="AU403" i="3"/>
  <c r="AT404" i="3"/>
  <c r="AU404" i="3"/>
  <c r="AT405" i="3"/>
  <c r="AU405" i="3"/>
  <c r="AT406" i="3"/>
  <c r="AU406" i="3"/>
  <c r="AT407" i="3"/>
  <c r="AU407" i="3"/>
  <c r="AT408" i="3"/>
  <c r="AU408" i="3"/>
  <c r="AT409" i="3"/>
  <c r="AU409" i="3"/>
  <c r="AT410" i="3"/>
  <c r="AU410" i="3"/>
  <c r="AT411" i="3"/>
  <c r="AU411" i="3"/>
  <c r="AT412" i="3"/>
  <c r="AU412" i="3"/>
  <c r="AT413" i="3"/>
  <c r="AU413" i="3"/>
  <c r="AT414" i="3"/>
  <c r="AU414" i="3"/>
  <c r="AT415" i="3"/>
  <c r="AU415" i="3"/>
  <c r="AT416" i="3"/>
  <c r="AU416" i="3"/>
  <c r="AT417" i="3"/>
  <c r="AU417" i="3"/>
  <c r="AT418" i="3"/>
  <c r="AU418" i="3"/>
  <c r="AT419" i="3"/>
  <c r="AU419" i="3"/>
  <c r="AT420" i="3"/>
  <c r="AU420" i="3"/>
  <c r="AT421" i="3"/>
  <c r="AU421" i="3"/>
  <c r="AT422" i="3"/>
  <c r="AU422" i="3"/>
  <c r="AT423" i="3"/>
  <c r="AU423" i="3"/>
  <c r="AT424" i="3"/>
  <c r="AU424" i="3"/>
  <c r="AT425" i="3"/>
  <c r="AU425" i="3"/>
  <c r="AT426" i="3"/>
  <c r="AU426" i="3"/>
  <c r="AT427" i="3"/>
  <c r="AU427" i="3"/>
  <c r="AT428" i="3"/>
  <c r="AU428" i="3"/>
  <c r="AT429" i="3"/>
  <c r="AU429" i="3"/>
  <c r="AT430" i="3"/>
  <c r="AU430" i="3"/>
  <c r="AT431" i="3"/>
  <c r="AU431" i="3"/>
  <c r="AT432" i="3"/>
  <c r="AU432" i="3"/>
  <c r="AT433" i="3"/>
  <c r="AU433" i="3"/>
  <c r="AT434" i="3"/>
  <c r="AU434" i="3"/>
  <c r="AT435" i="3"/>
  <c r="AU435" i="3"/>
  <c r="AT436" i="3"/>
  <c r="AU436" i="3"/>
  <c r="AT437" i="3"/>
  <c r="AU437" i="3"/>
  <c r="AT438" i="3"/>
  <c r="AU438" i="3"/>
  <c r="AT439" i="3"/>
  <c r="AU439" i="3"/>
  <c r="AT440" i="3"/>
  <c r="AU440" i="3"/>
  <c r="AT441" i="3"/>
  <c r="AU441" i="3"/>
  <c r="AT442" i="3"/>
  <c r="AU442" i="3"/>
  <c r="AT443" i="3"/>
  <c r="AU443" i="3"/>
  <c r="AT444" i="3"/>
  <c r="AU444" i="3"/>
  <c r="AT445" i="3"/>
  <c r="AU445" i="3"/>
  <c r="AT446" i="3"/>
  <c r="AU446" i="3"/>
  <c r="AT447" i="3"/>
  <c r="AU447" i="3"/>
  <c r="AT448" i="3"/>
  <c r="AU448" i="3"/>
  <c r="AT449" i="3"/>
  <c r="AU449" i="3"/>
  <c r="AT450" i="3"/>
  <c r="AU450" i="3"/>
  <c r="AT451" i="3"/>
  <c r="AU451" i="3"/>
  <c r="AT452" i="3"/>
  <c r="AU452" i="3"/>
  <c r="AT453" i="3"/>
  <c r="AU453" i="3"/>
  <c r="AT454" i="3"/>
  <c r="AU454" i="3"/>
  <c r="AT455" i="3"/>
  <c r="AU455" i="3"/>
  <c r="AT456" i="3"/>
  <c r="AU456" i="3"/>
  <c r="AT457" i="3"/>
  <c r="AU457" i="3"/>
  <c r="AT458" i="3"/>
  <c r="AU458" i="3"/>
  <c r="AT459" i="3"/>
  <c r="AU459" i="3"/>
  <c r="AT460" i="3"/>
  <c r="AU460" i="3"/>
  <c r="AT461" i="3"/>
  <c r="AU461" i="3"/>
  <c r="AT462" i="3"/>
  <c r="AU462" i="3"/>
  <c r="AT463" i="3"/>
  <c r="AU463" i="3"/>
  <c r="AT464" i="3"/>
  <c r="AU464" i="3"/>
  <c r="AT465" i="3"/>
  <c r="AU465" i="3"/>
  <c r="AT466" i="3"/>
  <c r="AU466" i="3"/>
  <c r="AT467" i="3"/>
  <c r="AU467" i="3"/>
  <c r="AT468" i="3"/>
  <c r="AU468" i="3"/>
  <c r="AT469" i="3"/>
  <c r="AU469" i="3"/>
  <c r="AT470" i="3"/>
  <c r="AU470" i="3"/>
  <c r="AT471" i="3"/>
  <c r="AU471" i="3"/>
  <c r="AT472" i="3"/>
  <c r="AU472" i="3"/>
  <c r="AT473" i="3"/>
  <c r="AU473" i="3"/>
  <c r="AT474" i="3"/>
  <c r="AU474" i="3"/>
  <c r="AT475" i="3"/>
  <c r="AU475" i="3"/>
  <c r="AT476" i="3"/>
  <c r="AU476" i="3"/>
  <c r="AT477" i="3"/>
  <c r="AU477" i="3"/>
  <c r="AT478" i="3"/>
  <c r="AU478" i="3"/>
  <c r="AT479" i="3"/>
  <c r="AU479" i="3"/>
  <c r="AT480" i="3"/>
  <c r="AU480" i="3"/>
  <c r="AT481" i="3"/>
  <c r="AU481" i="3"/>
  <c r="AT482" i="3"/>
  <c r="AU482" i="3"/>
  <c r="AT483" i="3"/>
  <c r="AU483" i="3"/>
  <c r="AT484" i="3"/>
  <c r="AU484" i="3"/>
  <c r="AT485" i="3"/>
  <c r="AU485" i="3"/>
  <c r="AT486" i="3"/>
  <c r="AU486" i="3"/>
  <c r="AT487" i="3"/>
  <c r="AU487" i="3"/>
  <c r="AT488" i="3"/>
  <c r="AU488" i="3"/>
  <c r="AT489" i="3"/>
  <c r="AU489" i="3"/>
  <c r="AT490" i="3"/>
  <c r="AU490" i="3"/>
  <c r="AT491" i="3"/>
  <c r="AU491" i="3"/>
  <c r="AT492" i="3"/>
  <c r="AU492" i="3"/>
  <c r="AT493" i="3"/>
  <c r="AU493" i="3"/>
  <c r="AT494" i="3"/>
  <c r="AU494" i="3"/>
  <c r="AT495" i="3"/>
  <c r="AU495" i="3"/>
  <c r="AT496" i="3"/>
  <c r="AU496" i="3"/>
  <c r="AT497" i="3"/>
  <c r="AU497" i="3"/>
  <c r="AT498" i="3"/>
  <c r="AU498" i="3"/>
  <c r="AT499" i="3"/>
  <c r="AU499" i="3"/>
  <c r="AT500" i="3"/>
  <c r="AU500" i="3"/>
  <c r="AT501" i="3"/>
  <c r="AU501" i="3"/>
  <c r="AS81" i="3"/>
  <c r="AS287" i="3"/>
  <c r="AS448" i="3"/>
  <c r="AR464" i="3"/>
  <c r="AR467" i="3"/>
  <c r="AS493" i="3"/>
  <c r="AR494" i="3"/>
  <c r="AS501" i="3"/>
  <c r="W501" i="3"/>
  <c r="AQ501" i="3" s="1"/>
  <c r="V501" i="3"/>
  <c r="AP501" i="3" s="1"/>
  <c r="W500" i="3"/>
  <c r="AQ500" i="3" s="1"/>
  <c r="V500" i="3"/>
  <c r="AP500" i="3" s="1"/>
  <c r="W499" i="3"/>
  <c r="AQ499" i="3" s="1"/>
  <c r="V499" i="3"/>
  <c r="AP499" i="3" s="1"/>
  <c r="W498" i="3"/>
  <c r="AQ498" i="3" s="1"/>
  <c r="V498" i="3"/>
  <c r="AP498" i="3" s="1"/>
  <c r="W497" i="3"/>
  <c r="AQ497" i="3" s="1"/>
  <c r="V497" i="3"/>
  <c r="AP497" i="3" s="1"/>
  <c r="W496" i="3"/>
  <c r="AQ496" i="3" s="1"/>
  <c r="V496" i="3"/>
  <c r="AP496" i="3" s="1"/>
  <c r="W495" i="3"/>
  <c r="AQ495" i="3" s="1"/>
  <c r="V495" i="3"/>
  <c r="AP495" i="3" s="1"/>
  <c r="W494" i="3"/>
  <c r="AQ494" i="3" s="1"/>
  <c r="V494" i="3"/>
  <c r="AP494" i="3" s="1"/>
  <c r="W493" i="3"/>
  <c r="AQ493" i="3" s="1"/>
  <c r="V493" i="3"/>
  <c r="AP493" i="3" s="1"/>
  <c r="W492" i="3"/>
  <c r="AQ492" i="3" s="1"/>
  <c r="V492" i="3"/>
  <c r="AP492" i="3" s="1"/>
  <c r="W491" i="3"/>
  <c r="AQ491" i="3" s="1"/>
  <c r="V491" i="3"/>
  <c r="AP491" i="3" s="1"/>
  <c r="W490" i="3"/>
  <c r="AQ490" i="3" s="1"/>
  <c r="V490" i="3"/>
  <c r="AP490" i="3" s="1"/>
  <c r="W489" i="3"/>
  <c r="AQ489" i="3" s="1"/>
  <c r="V489" i="3"/>
  <c r="AP489" i="3" s="1"/>
  <c r="W488" i="3"/>
  <c r="AQ488" i="3" s="1"/>
  <c r="V488" i="3"/>
  <c r="AP488" i="3" s="1"/>
  <c r="W487" i="3"/>
  <c r="AQ487" i="3" s="1"/>
  <c r="V487" i="3"/>
  <c r="AP487" i="3" s="1"/>
  <c r="W486" i="3"/>
  <c r="AQ486" i="3" s="1"/>
  <c r="V486" i="3"/>
  <c r="AP486" i="3" s="1"/>
  <c r="W485" i="3"/>
  <c r="AQ485" i="3" s="1"/>
  <c r="V485" i="3"/>
  <c r="AP485" i="3" s="1"/>
  <c r="W484" i="3"/>
  <c r="AQ484" i="3" s="1"/>
  <c r="V484" i="3"/>
  <c r="AP484" i="3" s="1"/>
  <c r="W483" i="3"/>
  <c r="AQ483" i="3" s="1"/>
  <c r="V483" i="3"/>
  <c r="AP483" i="3" s="1"/>
  <c r="W482" i="3"/>
  <c r="AQ482" i="3" s="1"/>
  <c r="V482" i="3"/>
  <c r="AP482" i="3" s="1"/>
  <c r="W481" i="3"/>
  <c r="AQ481" i="3" s="1"/>
  <c r="V481" i="3"/>
  <c r="AP481" i="3" s="1"/>
  <c r="W480" i="3"/>
  <c r="AQ480" i="3" s="1"/>
  <c r="V480" i="3"/>
  <c r="AP480" i="3" s="1"/>
  <c r="W479" i="3"/>
  <c r="AQ479" i="3" s="1"/>
  <c r="V479" i="3"/>
  <c r="AP479" i="3" s="1"/>
  <c r="W478" i="3"/>
  <c r="AQ478" i="3" s="1"/>
  <c r="V478" i="3"/>
  <c r="AP478" i="3" s="1"/>
  <c r="W477" i="3"/>
  <c r="AQ477" i="3" s="1"/>
  <c r="V477" i="3"/>
  <c r="AP477" i="3" s="1"/>
  <c r="W476" i="3"/>
  <c r="AQ476" i="3" s="1"/>
  <c r="V476" i="3"/>
  <c r="AP476" i="3" s="1"/>
  <c r="W475" i="3"/>
  <c r="AQ475" i="3" s="1"/>
  <c r="V475" i="3"/>
  <c r="AP475" i="3" s="1"/>
  <c r="W474" i="3"/>
  <c r="AQ474" i="3" s="1"/>
  <c r="V474" i="3"/>
  <c r="AP474" i="3" s="1"/>
  <c r="W473" i="3"/>
  <c r="AQ473" i="3" s="1"/>
  <c r="V473" i="3"/>
  <c r="AP473" i="3" s="1"/>
  <c r="W472" i="3"/>
  <c r="AQ472" i="3" s="1"/>
  <c r="V472" i="3"/>
  <c r="AP472" i="3" s="1"/>
  <c r="W471" i="3"/>
  <c r="AQ471" i="3" s="1"/>
  <c r="V471" i="3"/>
  <c r="AP471" i="3" s="1"/>
  <c r="W470" i="3"/>
  <c r="AQ470" i="3" s="1"/>
  <c r="V470" i="3"/>
  <c r="AP470" i="3" s="1"/>
  <c r="W469" i="3"/>
  <c r="AQ469" i="3" s="1"/>
  <c r="V469" i="3"/>
  <c r="AP469" i="3" s="1"/>
  <c r="W468" i="3"/>
  <c r="AQ468" i="3" s="1"/>
  <c r="V468" i="3"/>
  <c r="AP468" i="3" s="1"/>
  <c r="W467" i="3"/>
  <c r="AQ467" i="3" s="1"/>
  <c r="V467" i="3"/>
  <c r="AP467" i="3" s="1"/>
  <c r="W466" i="3"/>
  <c r="AQ466" i="3" s="1"/>
  <c r="V466" i="3"/>
  <c r="AP466" i="3" s="1"/>
  <c r="W465" i="3"/>
  <c r="AQ465" i="3" s="1"/>
  <c r="V465" i="3"/>
  <c r="AP465" i="3" s="1"/>
  <c r="W464" i="3"/>
  <c r="AQ464" i="3" s="1"/>
  <c r="V464" i="3"/>
  <c r="AP464" i="3" s="1"/>
  <c r="W463" i="3"/>
  <c r="AQ463" i="3" s="1"/>
  <c r="V463" i="3"/>
  <c r="AP463" i="3" s="1"/>
  <c r="W462" i="3"/>
  <c r="AQ462" i="3" s="1"/>
  <c r="V462" i="3"/>
  <c r="AP462" i="3" s="1"/>
  <c r="W461" i="3"/>
  <c r="AQ461" i="3" s="1"/>
  <c r="V461" i="3"/>
  <c r="AP461" i="3" s="1"/>
  <c r="W460" i="3"/>
  <c r="AQ460" i="3" s="1"/>
  <c r="V460" i="3"/>
  <c r="AP460" i="3" s="1"/>
  <c r="W459" i="3"/>
  <c r="AQ459" i="3" s="1"/>
  <c r="V459" i="3"/>
  <c r="AP459" i="3" s="1"/>
  <c r="W458" i="3"/>
  <c r="AQ458" i="3" s="1"/>
  <c r="V458" i="3"/>
  <c r="AP458" i="3" s="1"/>
  <c r="W457" i="3"/>
  <c r="AQ457" i="3" s="1"/>
  <c r="V457" i="3"/>
  <c r="AP457" i="3" s="1"/>
  <c r="W456" i="3"/>
  <c r="AQ456" i="3" s="1"/>
  <c r="V456" i="3"/>
  <c r="AP456" i="3" s="1"/>
  <c r="W455" i="3"/>
  <c r="AQ455" i="3" s="1"/>
  <c r="V455" i="3"/>
  <c r="AP455" i="3" s="1"/>
  <c r="W454" i="3"/>
  <c r="AQ454" i="3" s="1"/>
  <c r="V454" i="3"/>
  <c r="AP454" i="3" s="1"/>
  <c r="W453" i="3"/>
  <c r="AQ453" i="3" s="1"/>
  <c r="V453" i="3"/>
  <c r="AP453" i="3" s="1"/>
  <c r="W452" i="3"/>
  <c r="AQ452" i="3" s="1"/>
  <c r="V452" i="3"/>
  <c r="AP452" i="3" s="1"/>
  <c r="W451" i="3"/>
  <c r="V451" i="3"/>
  <c r="AP451" i="3" s="1"/>
  <c r="W450" i="3"/>
  <c r="AQ450" i="3" s="1"/>
  <c r="V450" i="3"/>
  <c r="AP450" i="3" s="1"/>
  <c r="W449" i="3"/>
  <c r="AQ449" i="3" s="1"/>
  <c r="V449" i="3"/>
  <c r="AP449" i="3" s="1"/>
  <c r="W448" i="3"/>
  <c r="AQ448" i="3" s="1"/>
  <c r="V448" i="3"/>
  <c r="AP448" i="3" s="1"/>
  <c r="W447" i="3"/>
  <c r="AQ447" i="3" s="1"/>
  <c r="V447" i="3"/>
  <c r="AP447" i="3" s="1"/>
  <c r="W446" i="3"/>
  <c r="AQ446" i="3" s="1"/>
  <c r="V446" i="3"/>
  <c r="AP446" i="3" s="1"/>
  <c r="W445" i="3"/>
  <c r="AQ445" i="3" s="1"/>
  <c r="V445" i="3"/>
  <c r="AP445" i="3" s="1"/>
  <c r="W444" i="3"/>
  <c r="AQ444" i="3" s="1"/>
  <c r="V444" i="3"/>
  <c r="AP444" i="3" s="1"/>
  <c r="W443" i="3"/>
  <c r="AQ443" i="3" s="1"/>
  <c r="V443" i="3"/>
  <c r="AP443" i="3" s="1"/>
  <c r="W442" i="3"/>
  <c r="AQ442" i="3" s="1"/>
  <c r="V442" i="3"/>
  <c r="AP442" i="3" s="1"/>
  <c r="W441" i="3"/>
  <c r="AQ441" i="3" s="1"/>
  <c r="V441" i="3"/>
  <c r="AP441" i="3" s="1"/>
  <c r="W440" i="3"/>
  <c r="AQ440" i="3" s="1"/>
  <c r="V440" i="3"/>
  <c r="AP440" i="3" s="1"/>
  <c r="W439" i="3"/>
  <c r="AQ439" i="3" s="1"/>
  <c r="V439" i="3"/>
  <c r="AP439" i="3" s="1"/>
  <c r="W438" i="3"/>
  <c r="AQ438" i="3" s="1"/>
  <c r="V438" i="3"/>
  <c r="AP438" i="3" s="1"/>
  <c r="W437" i="3"/>
  <c r="AQ437" i="3" s="1"/>
  <c r="V437" i="3"/>
  <c r="AP437" i="3" s="1"/>
  <c r="W436" i="3"/>
  <c r="AQ436" i="3" s="1"/>
  <c r="V436" i="3"/>
  <c r="AP436" i="3" s="1"/>
  <c r="W435" i="3"/>
  <c r="AQ435" i="3" s="1"/>
  <c r="V435" i="3"/>
  <c r="AP435" i="3" s="1"/>
  <c r="W434" i="3"/>
  <c r="AQ434" i="3" s="1"/>
  <c r="V434" i="3"/>
  <c r="AP434" i="3" s="1"/>
  <c r="W433" i="3"/>
  <c r="AQ433" i="3" s="1"/>
  <c r="V433" i="3"/>
  <c r="AP433" i="3" s="1"/>
  <c r="W432" i="3"/>
  <c r="AQ432" i="3" s="1"/>
  <c r="V432" i="3"/>
  <c r="AP432" i="3" s="1"/>
  <c r="W431" i="3"/>
  <c r="AQ431" i="3" s="1"/>
  <c r="V431" i="3"/>
  <c r="AP431" i="3" s="1"/>
  <c r="W430" i="3"/>
  <c r="AQ430" i="3" s="1"/>
  <c r="V430" i="3"/>
  <c r="AP430" i="3" s="1"/>
  <c r="W429" i="3"/>
  <c r="AQ429" i="3" s="1"/>
  <c r="V429" i="3"/>
  <c r="AP429" i="3" s="1"/>
  <c r="W428" i="3"/>
  <c r="AQ428" i="3" s="1"/>
  <c r="V428" i="3"/>
  <c r="AP428" i="3" s="1"/>
  <c r="W427" i="3"/>
  <c r="AQ427" i="3" s="1"/>
  <c r="V427" i="3"/>
  <c r="AP427" i="3" s="1"/>
  <c r="W426" i="3"/>
  <c r="AQ426" i="3" s="1"/>
  <c r="V426" i="3"/>
  <c r="AP426" i="3" s="1"/>
  <c r="W425" i="3"/>
  <c r="AQ425" i="3" s="1"/>
  <c r="V425" i="3"/>
  <c r="AP425" i="3" s="1"/>
  <c r="W424" i="3"/>
  <c r="AQ424" i="3" s="1"/>
  <c r="V424" i="3"/>
  <c r="AP424" i="3" s="1"/>
  <c r="W423" i="3"/>
  <c r="AQ423" i="3" s="1"/>
  <c r="V423" i="3"/>
  <c r="AP423" i="3" s="1"/>
  <c r="W422" i="3"/>
  <c r="AQ422" i="3" s="1"/>
  <c r="V422" i="3"/>
  <c r="AP422" i="3" s="1"/>
  <c r="W421" i="3"/>
  <c r="AQ421" i="3" s="1"/>
  <c r="V421" i="3"/>
  <c r="AP421" i="3" s="1"/>
  <c r="W420" i="3"/>
  <c r="AQ420" i="3" s="1"/>
  <c r="V420" i="3"/>
  <c r="AP420" i="3" s="1"/>
  <c r="W419" i="3"/>
  <c r="AQ419" i="3" s="1"/>
  <c r="V419" i="3"/>
  <c r="AP419" i="3" s="1"/>
  <c r="W418" i="3"/>
  <c r="AQ418" i="3" s="1"/>
  <c r="V418" i="3"/>
  <c r="AP418" i="3" s="1"/>
  <c r="W417" i="3"/>
  <c r="AQ417" i="3" s="1"/>
  <c r="V417" i="3"/>
  <c r="AP417" i="3" s="1"/>
  <c r="W416" i="3"/>
  <c r="AQ416" i="3" s="1"/>
  <c r="V416" i="3"/>
  <c r="AP416" i="3" s="1"/>
  <c r="W415" i="3"/>
  <c r="AQ415" i="3" s="1"/>
  <c r="V415" i="3"/>
  <c r="AP415" i="3" s="1"/>
  <c r="W414" i="3"/>
  <c r="AQ414" i="3" s="1"/>
  <c r="V414" i="3"/>
  <c r="AP414" i="3" s="1"/>
  <c r="W413" i="3"/>
  <c r="AQ413" i="3" s="1"/>
  <c r="V413" i="3"/>
  <c r="AP413" i="3" s="1"/>
  <c r="W412" i="3"/>
  <c r="AQ412" i="3" s="1"/>
  <c r="V412" i="3"/>
  <c r="AP412" i="3" s="1"/>
  <c r="W411" i="3"/>
  <c r="AQ411" i="3" s="1"/>
  <c r="V411" i="3"/>
  <c r="AP411" i="3" s="1"/>
  <c r="W410" i="3"/>
  <c r="AQ410" i="3" s="1"/>
  <c r="V410" i="3"/>
  <c r="AP410" i="3" s="1"/>
  <c r="W409" i="3"/>
  <c r="AQ409" i="3" s="1"/>
  <c r="V409" i="3"/>
  <c r="AP409" i="3" s="1"/>
  <c r="W408" i="3"/>
  <c r="AQ408" i="3" s="1"/>
  <c r="V408" i="3"/>
  <c r="AP408" i="3" s="1"/>
  <c r="W407" i="3"/>
  <c r="AQ407" i="3" s="1"/>
  <c r="V407" i="3"/>
  <c r="AP407" i="3" s="1"/>
  <c r="W406" i="3"/>
  <c r="AQ406" i="3" s="1"/>
  <c r="V406" i="3"/>
  <c r="AP406" i="3" s="1"/>
  <c r="W405" i="3"/>
  <c r="AQ405" i="3" s="1"/>
  <c r="V405" i="3"/>
  <c r="AP405" i="3" s="1"/>
  <c r="W404" i="3"/>
  <c r="AQ404" i="3" s="1"/>
  <c r="V404" i="3"/>
  <c r="AP404" i="3" s="1"/>
  <c r="W403" i="3"/>
  <c r="AQ403" i="3" s="1"/>
  <c r="V403" i="3"/>
  <c r="AP403" i="3" s="1"/>
  <c r="W402" i="3"/>
  <c r="AQ402" i="3" s="1"/>
  <c r="V402" i="3"/>
  <c r="AP402" i="3" s="1"/>
  <c r="W401" i="3"/>
  <c r="AQ401" i="3" s="1"/>
  <c r="V401" i="3"/>
  <c r="AP401" i="3" s="1"/>
  <c r="W400" i="3"/>
  <c r="AQ400" i="3" s="1"/>
  <c r="V400" i="3"/>
  <c r="AP400" i="3" s="1"/>
  <c r="W399" i="3"/>
  <c r="AQ399" i="3" s="1"/>
  <c r="V399" i="3"/>
  <c r="AP399" i="3" s="1"/>
  <c r="W398" i="3"/>
  <c r="AQ398" i="3" s="1"/>
  <c r="V398" i="3"/>
  <c r="AP398" i="3" s="1"/>
  <c r="W397" i="3"/>
  <c r="AQ397" i="3" s="1"/>
  <c r="V397" i="3"/>
  <c r="AP397" i="3" s="1"/>
  <c r="W396" i="3"/>
  <c r="AQ396" i="3" s="1"/>
  <c r="V396" i="3"/>
  <c r="AP396" i="3" s="1"/>
  <c r="W395" i="3"/>
  <c r="AQ395" i="3" s="1"/>
  <c r="V395" i="3"/>
  <c r="AP395" i="3" s="1"/>
  <c r="W394" i="3"/>
  <c r="AQ394" i="3" s="1"/>
  <c r="V394" i="3"/>
  <c r="AP394" i="3" s="1"/>
  <c r="W393" i="3"/>
  <c r="AQ393" i="3" s="1"/>
  <c r="V393" i="3"/>
  <c r="AP393" i="3" s="1"/>
  <c r="W392" i="3"/>
  <c r="AQ392" i="3" s="1"/>
  <c r="V392" i="3"/>
  <c r="AP392" i="3" s="1"/>
  <c r="W391" i="3"/>
  <c r="AQ391" i="3" s="1"/>
  <c r="V391" i="3"/>
  <c r="AP391" i="3" s="1"/>
  <c r="W390" i="3"/>
  <c r="AQ390" i="3" s="1"/>
  <c r="V390" i="3"/>
  <c r="AP390" i="3" s="1"/>
  <c r="W389" i="3"/>
  <c r="AQ389" i="3" s="1"/>
  <c r="V389" i="3"/>
  <c r="AP389" i="3" s="1"/>
  <c r="W388" i="3"/>
  <c r="AQ388" i="3" s="1"/>
  <c r="V388" i="3"/>
  <c r="AP388" i="3" s="1"/>
  <c r="W387" i="3"/>
  <c r="AQ387" i="3" s="1"/>
  <c r="V387" i="3"/>
  <c r="AP387" i="3" s="1"/>
  <c r="W386" i="3"/>
  <c r="AQ386" i="3" s="1"/>
  <c r="V386" i="3"/>
  <c r="AP386" i="3" s="1"/>
  <c r="W385" i="3"/>
  <c r="AQ385" i="3" s="1"/>
  <c r="V385" i="3"/>
  <c r="AP385" i="3" s="1"/>
  <c r="W384" i="3"/>
  <c r="AQ384" i="3" s="1"/>
  <c r="V384" i="3"/>
  <c r="AP384" i="3" s="1"/>
  <c r="W383" i="3"/>
  <c r="AQ383" i="3" s="1"/>
  <c r="V383" i="3"/>
  <c r="AP383" i="3" s="1"/>
  <c r="W382" i="3"/>
  <c r="AQ382" i="3" s="1"/>
  <c r="V382" i="3"/>
  <c r="AP382" i="3" s="1"/>
  <c r="W381" i="3"/>
  <c r="AQ381" i="3" s="1"/>
  <c r="V381" i="3"/>
  <c r="AP381" i="3" s="1"/>
  <c r="W380" i="3"/>
  <c r="AQ380" i="3" s="1"/>
  <c r="V380" i="3"/>
  <c r="AP380" i="3" s="1"/>
  <c r="W379" i="3"/>
  <c r="AQ379" i="3" s="1"/>
  <c r="V379" i="3"/>
  <c r="AP379" i="3" s="1"/>
  <c r="W378" i="3"/>
  <c r="AQ378" i="3" s="1"/>
  <c r="V378" i="3"/>
  <c r="AP378" i="3" s="1"/>
  <c r="W377" i="3"/>
  <c r="AQ377" i="3" s="1"/>
  <c r="V377" i="3"/>
  <c r="AP377" i="3" s="1"/>
  <c r="W376" i="3"/>
  <c r="AQ376" i="3" s="1"/>
  <c r="V376" i="3"/>
  <c r="AP376" i="3" s="1"/>
  <c r="W375" i="3"/>
  <c r="AQ375" i="3" s="1"/>
  <c r="V375" i="3"/>
  <c r="AP375" i="3" s="1"/>
  <c r="W374" i="3"/>
  <c r="AQ374" i="3" s="1"/>
  <c r="V374" i="3"/>
  <c r="AP374" i="3" s="1"/>
  <c r="W373" i="3"/>
  <c r="AQ373" i="3" s="1"/>
  <c r="V373" i="3"/>
  <c r="AP373" i="3" s="1"/>
  <c r="W372" i="3"/>
  <c r="AQ372" i="3" s="1"/>
  <c r="V372" i="3"/>
  <c r="AP372" i="3" s="1"/>
  <c r="W371" i="3"/>
  <c r="AQ371" i="3" s="1"/>
  <c r="V371" i="3"/>
  <c r="AP371" i="3" s="1"/>
  <c r="W370" i="3"/>
  <c r="AQ370" i="3" s="1"/>
  <c r="V370" i="3"/>
  <c r="AP370" i="3" s="1"/>
  <c r="W369" i="3"/>
  <c r="AQ369" i="3" s="1"/>
  <c r="V369" i="3"/>
  <c r="AP369" i="3" s="1"/>
  <c r="W368" i="3"/>
  <c r="AQ368" i="3" s="1"/>
  <c r="V368" i="3"/>
  <c r="AP368" i="3" s="1"/>
  <c r="W367" i="3"/>
  <c r="AQ367" i="3" s="1"/>
  <c r="V367" i="3"/>
  <c r="AP367" i="3" s="1"/>
  <c r="W366" i="3"/>
  <c r="AQ366" i="3" s="1"/>
  <c r="V366" i="3"/>
  <c r="AP366" i="3" s="1"/>
  <c r="W365" i="3"/>
  <c r="AQ365" i="3" s="1"/>
  <c r="V365" i="3"/>
  <c r="AP365" i="3" s="1"/>
  <c r="W364" i="3"/>
  <c r="AQ364" i="3" s="1"/>
  <c r="V364" i="3"/>
  <c r="AP364" i="3" s="1"/>
  <c r="W363" i="3"/>
  <c r="AQ363" i="3" s="1"/>
  <c r="V363" i="3"/>
  <c r="AP363" i="3" s="1"/>
  <c r="W362" i="3"/>
  <c r="AQ362" i="3" s="1"/>
  <c r="V362" i="3"/>
  <c r="AP362" i="3" s="1"/>
  <c r="W361" i="3"/>
  <c r="AQ361" i="3" s="1"/>
  <c r="V361" i="3"/>
  <c r="AP361" i="3" s="1"/>
  <c r="W360" i="3"/>
  <c r="AQ360" i="3" s="1"/>
  <c r="V360" i="3"/>
  <c r="AP360" i="3" s="1"/>
  <c r="W359" i="3"/>
  <c r="AQ359" i="3" s="1"/>
  <c r="V359" i="3"/>
  <c r="AP359" i="3" s="1"/>
  <c r="W358" i="3"/>
  <c r="AQ358" i="3" s="1"/>
  <c r="V358" i="3"/>
  <c r="AP358" i="3" s="1"/>
  <c r="W357" i="3"/>
  <c r="AQ357" i="3" s="1"/>
  <c r="V357" i="3"/>
  <c r="AP357" i="3" s="1"/>
  <c r="W356" i="3"/>
  <c r="AQ356" i="3" s="1"/>
  <c r="V356" i="3"/>
  <c r="AP356" i="3" s="1"/>
  <c r="W355" i="3"/>
  <c r="AQ355" i="3" s="1"/>
  <c r="V355" i="3"/>
  <c r="AP355" i="3" s="1"/>
  <c r="W354" i="3"/>
  <c r="AQ354" i="3" s="1"/>
  <c r="V354" i="3"/>
  <c r="AP354" i="3" s="1"/>
  <c r="W353" i="3"/>
  <c r="AQ353" i="3" s="1"/>
  <c r="V353" i="3"/>
  <c r="AP353" i="3" s="1"/>
  <c r="W352" i="3"/>
  <c r="AQ352" i="3" s="1"/>
  <c r="V352" i="3"/>
  <c r="AP352" i="3" s="1"/>
  <c r="W351" i="3"/>
  <c r="AQ351" i="3" s="1"/>
  <c r="V351" i="3"/>
  <c r="AP351" i="3" s="1"/>
  <c r="W350" i="3"/>
  <c r="AQ350" i="3" s="1"/>
  <c r="V350" i="3"/>
  <c r="AP350" i="3" s="1"/>
  <c r="W349" i="3"/>
  <c r="AQ349" i="3" s="1"/>
  <c r="V349" i="3"/>
  <c r="AP349" i="3" s="1"/>
  <c r="W348" i="3"/>
  <c r="AQ348" i="3" s="1"/>
  <c r="V348" i="3"/>
  <c r="AP348" i="3" s="1"/>
  <c r="W347" i="3"/>
  <c r="AQ347" i="3" s="1"/>
  <c r="V347" i="3"/>
  <c r="AP347" i="3" s="1"/>
  <c r="W346" i="3"/>
  <c r="AQ346" i="3" s="1"/>
  <c r="V346" i="3"/>
  <c r="AP346" i="3" s="1"/>
  <c r="W345" i="3"/>
  <c r="AQ345" i="3" s="1"/>
  <c r="V345" i="3"/>
  <c r="AP345" i="3" s="1"/>
  <c r="W344" i="3"/>
  <c r="AQ344" i="3" s="1"/>
  <c r="V344" i="3"/>
  <c r="AP344" i="3" s="1"/>
  <c r="W343" i="3"/>
  <c r="AQ343" i="3" s="1"/>
  <c r="V343" i="3"/>
  <c r="AP343" i="3" s="1"/>
  <c r="W342" i="3"/>
  <c r="AQ342" i="3" s="1"/>
  <c r="V342" i="3"/>
  <c r="AP342" i="3" s="1"/>
  <c r="W341" i="3"/>
  <c r="AQ341" i="3" s="1"/>
  <c r="V341" i="3"/>
  <c r="AP341" i="3" s="1"/>
  <c r="W340" i="3"/>
  <c r="AQ340" i="3" s="1"/>
  <c r="V340" i="3"/>
  <c r="AP340" i="3" s="1"/>
  <c r="W339" i="3"/>
  <c r="AQ339" i="3" s="1"/>
  <c r="V339" i="3"/>
  <c r="AP339" i="3" s="1"/>
  <c r="W338" i="3"/>
  <c r="AQ338" i="3" s="1"/>
  <c r="V338" i="3"/>
  <c r="AP338" i="3" s="1"/>
  <c r="W337" i="3"/>
  <c r="AQ337" i="3" s="1"/>
  <c r="V337" i="3"/>
  <c r="AP337" i="3" s="1"/>
  <c r="W336" i="3"/>
  <c r="AQ336" i="3" s="1"/>
  <c r="V336" i="3"/>
  <c r="AP336" i="3" s="1"/>
  <c r="W335" i="3"/>
  <c r="AQ335" i="3" s="1"/>
  <c r="V335" i="3"/>
  <c r="AP335" i="3" s="1"/>
  <c r="W334" i="3"/>
  <c r="AQ334" i="3" s="1"/>
  <c r="V334" i="3"/>
  <c r="AP334" i="3" s="1"/>
  <c r="W333" i="3"/>
  <c r="AQ333" i="3" s="1"/>
  <c r="V333" i="3"/>
  <c r="AP333" i="3" s="1"/>
  <c r="W332" i="3"/>
  <c r="AQ332" i="3" s="1"/>
  <c r="V332" i="3"/>
  <c r="AP332" i="3" s="1"/>
  <c r="W331" i="3"/>
  <c r="AQ331" i="3" s="1"/>
  <c r="V331" i="3"/>
  <c r="AP331" i="3" s="1"/>
  <c r="W330" i="3"/>
  <c r="AQ330" i="3" s="1"/>
  <c r="V330" i="3"/>
  <c r="AP330" i="3" s="1"/>
  <c r="W329" i="3"/>
  <c r="AQ329" i="3" s="1"/>
  <c r="V329" i="3"/>
  <c r="AP329" i="3" s="1"/>
  <c r="W328" i="3"/>
  <c r="AQ328" i="3" s="1"/>
  <c r="V328" i="3"/>
  <c r="AP328" i="3" s="1"/>
  <c r="W327" i="3"/>
  <c r="AQ327" i="3" s="1"/>
  <c r="V327" i="3"/>
  <c r="AP327" i="3" s="1"/>
  <c r="W326" i="3"/>
  <c r="AQ326" i="3" s="1"/>
  <c r="V326" i="3"/>
  <c r="AP326" i="3" s="1"/>
  <c r="W325" i="3"/>
  <c r="AQ325" i="3" s="1"/>
  <c r="V325" i="3"/>
  <c r="AP325" i="3" s="1"/>
  <c r="W324" i="3"/>
  <c r="AQ324" i="3" s="1"/>
  <c r="V324" i="3"/>
  <c r="AP324" i="3" s="1"/>
  <c r="W323" i="3"/>
  <c r="AQ323" i="3" s="1"/>
  <c r="V323" i="3"/>
  <c r="AP323" i="3" s="1"/>
  <c r="W322" i="3"/>
  <c r="AQ322" i="3" s="1"/>
  <c r="V322" i="3"/>
  <c r="AP322" i="3" s="1"/>
  <c r="W321" i="3"/>
  <c r="AQ321" i="3" s="1"/>
  <c r="V321" i="3"/>
  <c r="AP321" i="3" s="1"/>
  <c r="W320" i="3"/>
  <c r="AQ320" i="3" s="1"/>
  <c r="V320" i="3"/>
  <c r="AP320" i="3" s="1"/>
  <c r="W319" i="3"/>
  <c r="AQ319" i="3" s="1"/>
  <c r="V319" i="3"/>
  <c r="AP319" i="3" s="1"/>
  <c r="W318" i="3"/>
  <c r="AQ318" i="3" s="1"/>
  <c r="V318" i="3"/>
  <c r="AP318" i="3" s="1"/>
  <c r="W317" i="3"/>
  <c r="AQ317" i="3" s="1"/>
  <c r="V317" i="3"/>
  <c r="AP317" i="3" s="1"/>
  <c r="W316" i="3"/>
  <c r="AQ316" i="3" s="1"/>
  <c r="V316" i="3"/>
  <c r="AP316" i="3" s="1"/>
  <c r="W315" i="3"/>
  <c r="AQ315" i="3" s="1"/>
  <c r="V315" i="3"/>
  <c r="AP315" i="3" s="1"/>
  <c r="W314" i="3"/>
  <c r="AQ314" i="3" s="1"/>
  <c r="V314" i="3"/>
  <c r="AP314" i="3" s="1"/>
  <c r="W313" i="3"/>
  <c r="AQ313" i="3" s="1"/>
  <c r="V313" i="3"/>
  <c r="AP313" i="3" s="1"/>
  <c r="W312" i="3"/>
  <c r="AQ312" i="3" s="1"/>
  <c r="V312" i="3"/>
  <c r="AP312" i="3" s="1"/>
  <c r="W311" i="3"/>
  <c r="AQ311" i="3" s="1"/>
  <c r="V311" i="3"/>
  <c r="AP311" i="3" s="1"/>
  <c r="W310" i="3"/>
  <c r="AQ310" i="3" s="1"/>
  <c r="V310" i="3"/>
  <c r="AP310" i="3" s="1"/>
  <c r="W309" i="3"/>
  <c r="AQ309" i="3" s="1"/>
  <c r="V309" i="3"/>
  <c r="AP309" i="3" s="1"/>
  <c r="W308" i="3"/>
  <c r="AQ308" i="3" s="1"/>
  <c r="V308" i="3"/>
  <c r="AP308" i="3" s="1"/>
  <c r="W307" i="3"/>
  <c r="AQ307" i="3" s="1"/>
  <c r="V307" i="3"/>
  <c r="AP307" i="3" s="1"/>
  <c r="W306" i="3"/>
  <c r="AQ306" i="3" s="1"/>
  <c r="V306" i="3"/>
  <c r="AP306" i="3" s="1"/>
  <c r="W305" i="3"/>
  <c r="AQ305" i="3" s="1"/>
  <c r="V305" i="3"/>
  <c r="AP305" i="3" s="1"/>
  <c r="W304" i="3"/>
  <c r="AQ304" i="3" s="1"/>
  <c r="V304" i="3"/>
  <c r="AP304" i="3" s="1"/>
  <c r="W303" i="3"/>
  <c r="AQ303" i="3" s="1"/>
  <c r="V303" i="3"/>
  <c r="AP303" i="3" s="1"/>
  <c r="W302" i="3"/>
  <c r="AQ302" i="3" s="1"/>
  <c r="V302" i="3"/>
  <c r="AP302" i="3" s="1"/>
  <c r="W301" i="3"/>
  <c r="AQ301" i="3" s="1"/>
  <c r="V301" i="3"/>
  <c r="AP301" i="3" s="1"/>
  <c r="W300" i="3"/>
  <c r="AQ300" i="3" s="1"/>
  <c r="V300" i="3"/>
  <c r="AP300" i="3" s="1"/>
  <c r="W299" i="3"/>
  <c r="AQ299" i="3" s="1"/>
  <c r="V299" i="3"/>
  <c r="AP299" i="3" s="1"/>
  <c r="W298" i="3"/>
  <c r="AQ298" i="3" s="1"/>
  <c r="V298" i="3"/>
  <c r="AP298" i="3" s="1"/>
  <c r="W297" i="3"/>
  <c r="AQ297" i="3" s="1"/>
  <c r="V297" i="3"/>
  <c r="AP297" i="3" s="1"/>
  <c r="W296" i="3"/>
  <c r="AQ296" i="3" s="1"/>
  <c r="V296" i="3"/>
  <c r="AP296" i="3" s="1"/>
  <c r="W295" i="3"/>
  <c r="AQ295" i="3" s="1"/>
  <c r="V295" i="3"/>
  <c r="AP295" i="3" s="1"/>
  <c r="W294" i="3"/>
  <c r="AQ294" i="3" s="1"/>
  <c r="V294" i="3"/>
  <c r="AP294" i="3" s="1"/>
  <c r="W293" i="3"/>
  <c r="AQ293" i="3" s="1"/>
  <c r="V293" i="3"/>
  <c r="AP293" i="3" s="1"/>
  <c r="W292" i="3"/>
  <c r="AQ292" i="3" s="1"/>
  <c r="V292" i="3"/>
  <c r="AP292" i="3" s="1"/>
  <c r="W291" i="3"/>
  <c r="AQ291" i="3" s="1"/>
  <c r="V291" i="3"/>
  <c r="AP291" i="3" s="1"/>
  <c r="W290" i="3"/>
  <c r="AQ290" i="3" s="1"/>
  <c r="V290" i="3"/>
  <c r="AP290" i="3" s="1"/>
  <c r="W289" i="3"/>
  <c r="AQ289" i="3" s="1"/>
  <c r="V289" i="3"/>
  <c r="AP289" i="3" s="1"/>
  <c r="W288" i="3"/>
  <c r="AQ288" i="3" s="1"/>
  <c r="V288" i="3"/>
  <c r="AP288" i="3" s="1"/>
  <c r="W287" i="3"/>
  <c r="AQ287" i="3" s="1"/>
  <c r="V287" i="3"/>
  <c r="AP287" i="3" s="1"/>
  <c r="W286" i="3"/>
  <c r="AQ286" i="3" s="1"/>
  <c r="V286" i="3"/>
  <c r="AP286" i="3" s="1"/>
  <c r="W285" i="3"/>
  <c r="AQ285" i="3" s="1"/>
  <c r="V285" i="3"/>
  <c r="AP285" i="3" s="1"/>
  <c r="W284" i="3"/>
  <c r="AQ284" i="3" s="1"/>
  <c r="V284" i="3"/>
  <c r="AP284" i="3" s="1"/>
  <c r="W283" i="3"/>
  <c r="AQ283" i="3" s="1"/>
  <c r="V283" i="3"/>
  <c r="AP283" i="3" s="1"/>
  <c r="W282" i="3"/>
  <c r="AQ282" i="3" s="1"/>
  <c r="V282" i="3"/>
  <c r="AP282" i="3" s="1"/>
  <c r="W281" i="3"/>
  <c r="AQ281" i="3" s="1"/>
  <c r="V281" i="3"/>
  <c r="AP281" i="3" s="1"/>
  <c r="W280" i="3"/>
  <c r="AQ280" i="3" s="1"/>
  <c r="V280" i="3"/>
  <c r="AP280" i="3" s="1"/>
  <c r="W279" i="3"/>
  <c r="AQ279" i="3" s="1"/>
  <c r="V279" i="3"/>
  <c r="AP279" i="3" s="1"/>
  <c r="W278" i="3"/>
  <c r="AQ278" i="3" s="1"/>
  <c r="V278" i="3"/>
  <c r="AP278" i="3" s="1"/>
  <c r="W277" i="3"/>
  <c r="AQ277" i="3" s="1"/>
  <c r="V277" i="3"/>
  <c r="AP277" i="3" s="1"/>
  <c r="W276" i="3"/>
  <c r="AQ276" i="3" s="1"/>
  <c r="V276" i="3"/>
  <c r="AP276" i="3" s="1"/>
  <c r="W275" i="3"/>
  <c r="AQ275" i="3" s="1"/>
  <c r="V275" i="3"/>
  <c r="AP275" i="3" s="1"/>
  <c r="W274" i="3"/>
  <c r="AQ274" i="3" s="1"/>
  <c r="V274" i="3"/>
  <c r="AP274" i="3" s="1"/>
  <c r="W273" i="3"/>
  <c r="AQ273" i="3" s="1"/>
  <c r="V273" i="3"/>
  <c r="AP273" i="3" s="1"/>
  <c r="W272" i="3"/>
  <c r="AQ272" i="3" s="1"/>
  <c r="V272" i="3"/>
  <c r="AP272" i="3" s="1"/>
  <c r="W271" i="3"/>
  <c r="AQ271" i="3" s="1"/>
  <c r="V271" i="3"/>
  <c r="AP271" i="3" s="1"/>
  <c r="W270" i="3"/>
  <c r="AQ270" i="3" s="1"/>
  <c r="V270" i="3"/>
  <c r="AP270" i="3" s="1"/>
  <c r="W269" i="3"/>
  <c r="AQ269" i="3" s="1"/>
  <c r="V269" i="3"/>
  <c r="AP269" i="3" s="1"/>
  <c r="W268" i="3"/>
  <c r="AQ268" i="3" s="1"/>
  <c r="V268" i="3"/>
  <c r="AP268" i="3" s="1"/>
  <c r="W267" i="3"/>
  <c r="AQ267" i="3" s="1"/>
  <c r="V267" i="3"/>
  <c r="AP267" i="3" s="1"/>
  <c r="W266" i="3"/>
  <c r="AQ266" i="3" s="1"/>
  <c r="V266" i="3"/>
  <c r="AP266" i="3" s="1"/>
  <c r="W265" i="3"/>
  <c r="AQ265" i="3" s="1"/>
  <c r="V265" i="3"/>
  <c r="AP265" i="3" s="1"/>
  <c r="W264" i="3"/>
  <c r="AQ264" i="3" s="1"/>
  <c r="V264" i="3"/>
  <c r="AP264" i="3" s="1"/>
  <c r="W263" i="3"/>
  <c r="AQ263" i="3" s="1"/>
  <c r="V263" i="3"/>
  <c r="AP263" i="3" s="1"/>
  <c r="W262" i="3"/>
  <c r="AQ262" i="3" s="1"/>
  <c r="V262" i="3"/>
  <c r="AP262" i="3" s="1"/>
  <c r="W261" i="3"/>
  <c r="AQ261" i="3" s="1"/>
  <c r="V261" i="3"/>
  <c r="AP261" i="3" s="1"/>
  <c r="W260" i="3"/>
  <c r="AQ260" i="3" s="1"/>
  <c r="V260" i="3"/>
  <c r="AP260" i="3" s="1"/>
  <c r="W259" i="3"/>
  <c r="AQ259" i="3" s="1"/>
  <c r="V259" i="3"/>
  <c r="AP259" i="3" s="1"/>
  <c r="W258" i="3"/>
  <c r="AQ258" i="3" s="1"/>
  <c r="V258" i="3"/>
  <c r="AP258" i="3" s="1"/>
  <c r="W257" i="3"/>
  <c r="AQ257" i="3" s="1"/>
  <c r="V257" i="3"/>
  <c r="AP257" i="3" s="1"/>
  <c r="W256" i="3"/>
  <c r="AQ256" i="3" s="1"/>
  <c r="V256" i="3"/>
  <c r="AP256" i="3" s="1"/>
  <c r="W255" i="3"/>
  <c r="AQ255" i="3" s="1"/>
  <c r="V255" i="3"/>
  <c r="AP255" i="3" s="1"/>
  <c r="W254" i="3"/>
  <c r="AQ254" i="3" s="1"/>
  <c r="V254" i="3"/>
  <c r="AP254" i="3" s="1"/>
  <c r="W253" i="3"/>
  <c r="AQ253" i="3" s="1"/>
  <c r="V253" i="3"/>
  <c r="AP253" i="3" s="1"/>
  <c r="W252" i="3"/>
  <c r="AQ252" i="3" s="1"/>
  <c r="V252" i="3"/>
  <c r="AP252" i="3" s="1"/>
  <c r="W251" i="3"/>
  <c r="AQ251" i="3" s="1"/>
  <c r="V251" i="3"/>
  <c r="AP251" i="3" s="1"/>
  <c r="W250" i="3"/>
  <c r="AQ250" i="3" s="1"/>
  <c r="V250" i="3"/>
  <c r="AP250" i="3" s="1"/>
  <c r="W249" i="3"/>
  <c r="AQ249" i="3" s="1"/>
  <c r="V249" i="3"/>
  <c r="AP249" i="3" s="1"/>
  <c r="W248" i="3"/>
  <c r="AQ248" i="3" s="1"/>
  <c r="V248" i="3"/>
  <c r="AP248" i="3" s="1"/>
  <c r="W247" i="3"/>
  <c r="AQ247" i="3" s="1"/>
  <c r="V247" i="3"/>
  <c r="AP247" i="3" s="1"/>
  <c r="W246" i="3"/>
  <c r="AQ246" i="3" s="1"/>
  <c r="V246" i="3"/>
  <c r="AP246" i="3" s="1"/>
  <c r="W245" i="3"/>
  <c r="AQ245" i="3" s="1"/>
  <c r="V245" i="3"/>
  <c r="AP245" i="3" s="1"/>
  <c r="W244" i="3"/>
  <c r="AQ244" i="3" s="1"/>
  <c r="V244" i="3"/>
  <c r="AP244" i="3" s="1"/>
  <c r="W243" i="3"/>
  <c r="AQ243" i="3" s="1"/>
  <c r="V243" i="3"/>
  <c r="AP243" i="3" s="1"/>
  <c r="W242" i="3"/>
  <c r="AQ242" i="3" s="1"/>
  <c r="V242" i="3"/>
  <c r="AP242" i="3" s="1"/>
  <c r="W241" i="3"/>
  <c r="AQ241" i="3" s="1"/>
  <c r="V241" i="3"/>
  <c r="AP241" i="3" s="1"/>
  <c r="W240" i="3"/>
  <c r="AQ240" i="3" s="1"/>
  <c r="V240" i="3"/>
  <c r="AP240" i="3" s="1"/>
  <c r="W239" i="3"/>
  <c r="AQ239" i="3" s="1"/>
  <c r="V239" i="3"/>
  <c r="AP239" i="3" s="1"/>
  <c r="W238" i="3"/>
  <c r="AQ238" i="3" s="1"/>
  <c r="V238" i="3"/>
  <c r="AP238" i="3" s="1"/>
  <c r="W237" i="3"/>
  <c r="AQ237" i="3" s="1"/>
  <c r="V237" i="3"/>
  <c r="AP237" i="3" s="1"/>
  <c r="W236" i="3"/>
  <c r="AQ236" i="3" s="1"/>
  <c r="V236" i="3"/>
  <c r="AP236" i="3" s="1"/>
  <c r="W235" i="3"/>
  <c r="AQ235" i="3" s="1"/>
  <c r="V235" i="3"/>
  <c r="AP235" i="3" s="1"/>
  <c r="W234" i="3"/>
  <c r="AQ234" i="3" s="1"/>
  <c r="V234" i="3"/>
  <c r="AP234" i="3" s="1"/>
  <c r="W233" i="3"/>
  <c r="AQ233" i="3" s="1"/>
  <c r="V233" i="3"/>
  <c r="AP233" i="3" s="1"/>
  <c r="W232" i="3"/>
  <c r="AQ232" i="3" s="1"/>
  <c r="V232" i="3"/>
  <c r="AP232" i="3" s="1"/>
  <c r="W231" i="3"/>
  <c r="AQ231" i="3" s="1"/>
  <c r="V231" i="3"/>
  <c r="AP231" i="3" s="1"/>
  <c r="W230" i="3"/>
  <c r="AQ230" i="3" s="1"/>
  <c r="V230" i="3"/>
  <c r="AP230" i="3" s="1"/>
  <c r="W229" i="3"/>
  <c r="AQ229" i="3" s="1"/>
  <c r="V229" i="3"/>
  <c r="AP229" i="3" s="1"/>
  <c r="W228" i="3"/>
  <c r="AQ228" i="3" s="1"/>
  <c r="V228" i="3"/>
  <c r="AP228" i="3" s="1"/>
  <c r="W227" i="3"/>
  <c r="AQ227" i="3" s="1"/>
  <c r="V227" i="3"/>
  <c r="AP227" i="3" s="1"/>
  <c r="W226" i="3"/>
  <c r="AQ226" i="3" s="1"/>
  <c r="V226" i="3"/>
  <c r="AP226" i="3" s="1"/>
  <c r="W225" i="3"/>
  <c r="AQ225" i="3" s="1"/>
  <c r="V225" i="3"/>
  <c r="AP225" i="3" s="1"/>
  <c r="W224" i="3"/>
  <c r="AQ224" i="3" s="1"/>
  <c r="V224" i="3"/>
  <c r="AP224" i="3" s="1"/>
  <c r="W223" i="3"/>
  <c r="AQ223" i="3" s="1"/>
  <c r="V223" i="3"/>
  <c r="AP223" i="3" s="1"/>
  <c r="W222" i="3"/>
  <c r="AQ222" i="3" s="1"/>
  <c r="V222" i="3"/>
  <c r="AP222" i="3" s="1"/>
  <c r="W221" i="3"/>
  <c r="AQ221" i="3" s="1"/>
  <c r="V221" i="3"/>
  <c r="AP221" i="3" s="1"/>
  <c r="W220" i="3"/>
  <c r="AQ220" i="3" s="1"/>
  <c r="V220" i="3"/>
  <c r="AP220" i="3" s="1"/>
  <c r="W219" i="3"/>
  <c r="AQ219" i="3" s="1"/>
  <c r="V219" i="3"/>
  <c r="AP219" i="3" s="1"/>
  <c r="W218" i="3"/>
  <c r="AQ218" i="3" s="1"/>
  <c r="V218" i="3"/>
  <c r="AP218" i="3" s="1"/>
  <c r="W217" i="3"/>
  <c r="AQ217" i="3" s="1"/>
  <c r="V217" i="3"/>
  <c r="AP217" i="3" s="1"/>
  <c r="W216" i="3"/>
  <c r="AQ216" i="3" s="1"/>
  <c r="V216" i="3"/>
  <c r="AP216" i="3" s="1"/>
  <c r="W215" i="3"/>
  <c r="AQ215" i="3" s="1"/>
  <c r="V215" i="3"/>
  <c r="AP215" i="3" s="1"/>
  <c r="W214" i="3"/>
  <c r="AQ214" i="3" s="1"/>
  <c r="V214" i="3"/>
  <c r="AP214" i="3" s="1"/>
  <c r="W213" i="3"/>
  <c r="AQ213" i="3" s="1"/>
  <c r="V213" i="3"/>
  <c r="AP213" i="3" s="1"/>
  <c r="W212" i="3"/>
  <c r="AQ212" i="3" s="1"/>
  <c r="V212" i="3"/>
  <c r="AP212" i="3" s="1"/>
  <c r="W211" i="3"/>
  <c r="AQ211" i="3" s="1"/>
  <c r="V211" i="3"/>
  <c r="AP211" i="3" s="1"/>
  <c r="W210" i="3"/>
  <c r="AQ210" i="3" s="1"/>
  <c r="V210" i="3"/>
  <c r="AP210" i="3" s="1"/>
  <c r="W209" i="3"/>
  <c r="AQ209" i="3" s="1"/>
  <c r="V209" i="3"/>
  <c r="AP209" i="3" s="1"/>
  <c r="W208" i="3"/>
  <c r="AQ208" i="3" s="1"/>
  <c r="V208" i="3"/>
  <c r="AP208" i="3" s="1"/>
  <c r="W207" i="3"/>
  <c r="AQ207" i="3" s="1"/>
  <c r="V207" i="3"/>
  <c r="AP207" i="3" s="1"/>
  <c r="W206" i="3"/>
  <c r="AQ206" i="3" s="1"/>
  <c r="V206" i="3"/>
  <c r="AP206" i="3" s="1"/>
  <c r="W205" i="3"/>
  <c r="AQ205" i="3" s="1"/>
  <c r="V205" i="3"/>
  <c r="AP205" i="3" s="1"/>
  <c r="W204" i="3"/>
  <c r="AQ204" i="3" s="1"/>
  <c r="V204" i="3"/>
  <c r="AP204" i="3" s="1"/>
  <c r="W203" i="3"/>
  <c r="AQ203" i="3" s="1"/>
  <c r="V203" i="3"/>
  <c r="AP203" i="3" s="1"/>
  <c r="W202" i="3"/>
  <c r="AQ202" i="3" s="1"/>
  <c r="V202" i="3"/>
  <c r="AP202" i="3" s="1"/>
  <c r="W201" i="3"/>
  <c r="AQ201" i="3" s="1"/>
  <c r="V201" i="3"/>
  <c r="AP201" i="3" s="1"/>
  <c r="W200" i="3"/>
  <c r="AQ200" i="3" s="1"/>
  <c r="V200" i="3"/>
  <c r="AP200" i="3" s="1"/>
  <c r="W199" i="3"/>
  <c r="AQ199" i="3" s="1"/>
  <c r="V199" i="3"/>
  <c r="AP199" i="3" s="1"/>
  <c r="W198" i="3"/>
  <c r="AQ198" i="3" s="1"/>
  <c r="V198" i="3"/>
  <c r="AP198" i="3" s="1"/>
  <c r="W197" i="3"/>
  <c r="AQ197" i="3" s="1"/>
  <c r="V197" i="3"/>
  <c r="AP197" i="3" s="1"/>
  <c r="W196" i="3"/>
  <c r="AQ196" i="3" s="1"/>
  <c r="V196" i="3"/>
  <c r="AP196" i="3" s="1"/>
  <c r="W195" i="3"/>
  <c r="AQ195" i="3" s="1"/>
  <c r="V195" i="3"/>
  <c r="AP195" i="3" s="1"/>
  <c r="W194" i="3"/>
  <c r="AQ194" i="3" s="1"/>
  <c r="V194" i="3"/>
  <c r="AP194" i="3" s="1"/>
  <c r="W193" i="3"/>
  <c r="AQ193" i="3" s="1"/>
  <c r="V193" i="3"/>
  <c r="AP193" i="3" s="1"/>
  <c r="W192" i="3"/>
  <c r="AQ192" i="3" s="1"/>
  <c r="V192" i="3"/>
  <c r="AP192" i="3" s="1"/>
  <c r="W191" i="3"/>
  <c r="AQ191" i="3" s="1"/>
  <c r="V191" i="3"/>
  <c r="AP191" i="3" s="1"/>
  <c r="W190" i="3"/>
  <c r="AQ190" i="3" s="1"/>
  <c r="V190" i="3"/>
  <c r="AP190" i="3" s="1"/>
  <c r="W189" i="3"/>
  <c r="AQ189" i="3" s="1"/>
  <c r="V189" i="3"/>
  <c r="AP189" i="3" s="1"/>
  <c r="W188" i="3"/>
  <c r="AQ188" i="3" s="1"/>
  <c r="V188" i="3"/>
  <c r="AP188" i="3" s="1"/>
  <c r="W187" i="3"/>
  <c r="AQ187" i="3" s="1"/>
  <c r="V187" i="3"/>
  <c r="AP187" i="3" s="1"/>
  <c r="W186" i="3"/>
  <c r="AQ186" i="3" s="1"/>
  <c r="V186" i="3"/>
  <c r="AP186" i="3" s="1"/>
  <c r="W185" i="3"/>
  <c r="AQ185" i="3" s="1"/>
  <c r="V185" i="3"/>
  <c r="AP185" i="3" s="1"/>
  <c r="W184" i="3"/>
  <c r="AQ184" i="3" s="1"/>
  <c r="V184" i="3"/>
  <c r="AP184" i="3" s="1"/>
  <c r="W183" i="3"/>
  <c r="AQ183" i="3" s="1"/>
  <c r="V183" i="3"/>
  <c r="AP183" i="3" s="1"/>
  <c r="W182" i="3"/>
  <c r="AQ182" i="3" s="1"/>
  <c r="V182" i="3"/>
  <c r="AP182" i="3" s="1"/>
  <c r="W181" i="3"/>
  <c r="AQ181" i="3" s="1"/>
  <c r="V181" i="3"/>
  <c r="AP181" i="3" s="1"/>
  <c r="W180" i="3"/>
  <c r="AQ180" i="3" s="1"/>
  <c r="V180" i="3"/>
  <c r="AP180" i="3" s="1"/>
  <c r="W179" i="3"/>
  <c r="AQ179" i="3" s="1"/>
  <c r="V179" i="3"/>
  <c r="AP179" i="3" s="1"/>
  <c r="W178" i="3"/>
  <c r="AQ178" i="3" s="1"/>
  <c r="V178" i="3"/>
  <c r="AP178" i="3" s="1"/>
  <c r="W177" i="3"/>
  <c r="AQ177" i="3" s="1"/>
  <c r="V177" i="3"/>
  <c r="AP177" i="3" s="1"/>
  <c r="W176" i="3"/>
  <c r="AQ176" i="3" s="1"/>
  <c r="V176" i="3"/>
  <c r="AP176" i="3" s="1"/>
  <c r="W175" i="3"/>
  <c r="AQ175" i="3" s="1"/>
  <c r="V175" i="3"/>
  <c r="AP175" i="3" s="1"/>
  <c r="W174" i="3"/>
  <c r="AQ174" i="3" s="1"/>
  <c r="V174" i="3"/>
  <c r="AP174" i="3" s="1"/>
  <c r="W173" i="3"/>
  <c r="AQ173" i="3" s="1"/>
  <c r="V173" i="3"/>
  <c r="AP173" i="3" s="1"/>
  <c r="W172" i="3"/>
  <c r="AQ172" i="3" s="1"/>
  <c r="V172" i="3"/>
  <c r="AP172" i="3" s="1"/>
  <c r="W171" i="3"/>
  <c r="AQ171" i="3" s="1"/>
  <c r="V171" i="3"/>
  <c r="AP171" i="3" s="1"/>
  <c r="W170" i="3"/>
  <c r="AQ170" i="3" s="1"/>
  <c r="V170" i="3"/>
  <c r="AP170" i="3" s="1"/>
  <c r="W169" i="3"/>
  <c r="AQ169" i="3" s="1"/>
  <c r="V169" i="3"/>
  <c r="AP169" i="3" s="1"/>
  <c r="W168" i="3"/>
  <c r="AQ168" i="3" s="1"/>
  <c r="V168" i="3"/>
  <c r="AP168" i="3" s="1"/>
  <c r="W167" i="3"/>
  <c r="AQ167" i="3" s="1"/>
  <c r="V167" i="3"/>
  <c r="AP167" i="3" s="1"/>
  <c r="W166" i="3"/>
  <c r="AQ166" i="3" s="1"/>
  <c r="V166" i="3"/>
  <c r="AP166" i="3" s="1"/>
  <c r="W165" i="3"/>
  <c r="AQ165" i="3" s="1"/>
  <c r="V165" i="3"/>
  <c r="AP165" i="3" s="1"/>
  <c r="W164" i="3"/>
  <c r="AQ164" i="3" s="1"/>
  <c r="V164" i="3"/>
  <c r="AP164" i="3" s="1"/>
  <c r="W163" i="3"/>
  <c r="AQ163" i="3" s="1"/>
  <c r="V163" i="3"/>
  <c r="AP163" i="3" s="1"/>
  <c r="W162" i="3"/>
  <c r="AQ162" i="3" s="1"/>
  <c r="V162" i="3"/>
  <c r="AP162" i="3" s="1"/>
  <c r="W161" i="3"/>
  <c r="AQ161" i="3" s="1"/>
  <c r="V161" i="3"/>
  <c r="AP161" i="3" s="1"/>
  <c r="W160" i="3"/>
  <c r="AQ160" i="3" s="1"/>
  <c r="V160" i="3"/>
  <c r="AP160" i="3" s="1"/>
  <c r="W159" i="3"/>
  <c r="AQ159" i="3" s="1"/>
  <c r="V159" i="3"/>
  <c r="AP159" i="3" s="1"/>
  <c r="W158" i="3"/>
  <c r="AQ158" i="3" s="1"/>
  <c r="V158" i="3"/>
  <c r="AP158" i="3" s="1"/>
  <c r="W157" i="3"/>
  <c r="AQ157" i="3" s="1"/>
  <c r="V157" i="3"/>
  <c r="AP157" i="3" s="1"/>
  <c r="W156" i="3"/>
  <c r="AQ156" i="3" s="1"/>
  <c r="V156" i="3"/>
  <c r="AP156" i="3" s="1"/>
  <c r="W155" i="3"/>
  <c r="AQ155" i="3" s="1"/>
  <c r="V155" i="3"/>
  <c r="AP155" i="3" s="1"/>
  <c r="W154" i="3"/>
  <c r="AQ154" i="3" s="1"/>
  <c r="V154" i="3"/>
  <c r="AP154" i="3" s="1"/>
  <c r="W153" i="3"/>
  <c r="AQ153" i="3" s="1"/>
  <c r="V153" i="3"/>
  <c r="AP153" i="3" s="1"/>
  <c r="W152" i="3"/>
  <c r="AQ152" i="3" s="1"/>
  <c r="V152" i="3"/>
  <c r="AP152" i="3" s="1"/>
  <c r="W151" i="3"/>
  <c r="AQ151" i="3" s="1"/>
  <c r="V151" i="3"/>
  <c r="AP151" i="3" s="1"/>
  <c r="W150" i="3"/>
  <c r="AQ150" i="3" s="1"/>
  <c r="V150" i="3"/>
  <c r="AP150" i="3" s="1"/>
  <c r="W149" i="3"/>
  <c r="AQ149" i="3" s="1"/>
  <c r="V149" i="3"/>
  <c r="AP149" i="3" s="1"/>
  <c r="W148" i="3"/>
  <c r="AQ148" i="3" s="1"/>
  <c r="V148" i="3"/>
  <c r="AP148" i="3" s="1"/>
  <c r="W147" i="3"/>
  <c r="AQ147" i="3" s="1"/>
  <c r="V147" i="3"/>
  <c r="AP147" i="3" s="1"/>
  <c r="W146" i="3"/>
  <c r="AQ146" i="3" s="1"/>
  <c r="V146" i="3"/>
  <c r="AP146" i="3" s="1"/>
  <c r="W145" i="3"/>
  <c r="AQ145" i="3" s="1"/>
  <c r="V145" i="3"/>
  <c r="AP145" i="3" s="1"/>
  <c r="W144" i="3"/>
  <c r="AQ144" i="3" s="1"/>
  <c r="V144" i="3"/>
  <c r="AP144" i="3" s="1"/>
  <c r="W143" i="3"/>
  <c r="AQ143" i="3" s="1"/>
  <c r="V143" i="3"/>
  <c r="AP143" i="3" s="1"/>
  <c r="W142" i="3"/>
  <c r="AQ142" i="3" s="1"/>
  <c r="V142" i="3"/>
  <c r="AP142" i="3" s="1"/>
  <c r="W141" i="3"/>
  <c r="AQ141" i="3" s="1"/>
  <c r="V141" i="3"/>
  <c r="AP141" i="3" s="1"/>
  <c r="W140" i="3"/>
  <c r="AQ140" i="3" s="1"/>
  <c r="V140" i="3"/>
  <c r="AP140" i="3" s="1"/>
  <c r="W139" i="3"/>
  <c r="AQ139" i="3" s="1"/>
  <c r="V139" i="3"/>
  <c r="AP139" i="3" s="1"/>
  <c r="W138" i="3"/>
  <c r="AQ138" i="3" s="1"/>
  <c r="V138" i="3"/>
  <c r="AP138" i="3" s="1"/>
  <c r="W137" i="3"/>
  <c r="AQ137" i="3" s="1"/>
  <c r="V137" i="3"/>
  <c r="AP137" i="3" s="1"/>
  <c r="W136" i="3"/>
  <c r="AQ136" i="3" s="1"/>
  <c r="V136" i="3"/>
  <c r="AP136" i="3" s="1"/>
  <c r="W135" i="3"/>
  <c r="AQ135" i="3" s="1"/>
  <c r="V135" i="3"/>
  <c r="AP135" i="3" s="1"/>
  <c r="W134" i="3"/>
  <c r="AQ134" i="3" s="1"/>
  <c r="V134" i="3"/>
  <c r="AP134" i="3" s="1"/>
  <c r="W133" i="3"/>
  <c r="AQ133" i="3" s="1"/>
  <c r="V133" i="3"/>
  <c r="AP133" i="3" s="1"/>
  <c r="W132" i="3"/>
  <c r="AQ132" i="3" s="1"/>
  <c r="V132" i="3"/>
  <c r="AP132" i="3" s="1"/>
  <c r="W131" i="3"/>
  <c r="AQ131" i="3" s="1"/>
  <c r="V131" i="3"/>
  <c r="AP131" i="3" s="1"/>
  <c r="W130" i="3"/>
  <c r="AQ130" i="3" s="1"/>
  <c r="V130" i="3"/>
  <c r="AP130" i="3" s="1"/>
  <c r="W129" i="3"/>
  <c r="AQ129" i="3" s="1"/>
  <c r="V129" i="3"/>
  <c r="AP129" i="3" s="1"/>
  <c r="W128" i="3"/>
  <c r="AQ128" i="3" s="1"/>
  <c r="V128" i="3"/>
  <c r="AP128" i="3" s="1"/>
  <c r="W127" i="3"/>
  <c r="AQ127" i="3" s="1"/>
  <c r="V127" i="3"/>
  <c r="AP127" i="3" s="1"/>
  <c r="W126" i="3"/>
  <c r="AQ126" i="3" s="1"/>
  <c r="V126" i="3"/>
  <c r="AP126" i="3" s="1"/>
  <c r="W125" i="3"/>
  <c r="AQ125" i="3" s="1"/>
  <c r="V125" i="3"/>
  <c r="AP125" i="3" s="1"/>
  <c r="W124" i="3"/>
  <c r="AQ124" i="3" s="1"/>
  <c r="V124" i="3"/>
  <c r="AP124" i="3" s="1"/>
  <c r="W123" i="3"/>
  <c r="AQ123" i="3" s="1"/>
  <c r="V123" i="3"/>
  <c r="AP123" i="3" s="1"/>
  <c r="W122" i="3"/>
  <c r="AQ122" i="3" s="1"/>
  <c r="V122" i="3"/>
  <c r="AP122" i="3" s="1"/>
  <c r="W121" i="3"/>
  <c r="AQ121" i="3" s="1"/>
  <c r="V121" i="3"/>
  <c r="AP121" i="3" s="1"/>
  <c r="W120" i="3"/>
  <c r="AQ120" i="3" s="1"/>
  <c r="V120" i="3"/>
  <c r="AP120" i="3" s="1"/>
  <c r="W119" i="3"/>
  <c r="AQ119" i="3" s="1"/>
  <c r="V119" i="3"/>
  <c r="AP119" i="3" s="1"/>
  <c r="W118" i="3"/>
  <c r="AQ118" i="3" s="1"/>
  <c r="V118" i="3"/>
  <c r="AP118" i="3" s="1"/>
  <c r="W117" i="3"/>
  <c r="AQ117" i="3" s="1"/>
  <c r="V117" i="3"/>
  <c r="AP117" i="3" s="1"/>
  <c r="W116" i="3"/>
  <c r="AQ116" i="3" s="1"/>
  <c r="V116" i="3"/>
  <c r="AP116" i="3" s="1"/>
  <c r="W115" i="3"/>
  <c r="AQ115" i="3" s="1"/>
  <c r="V115" i="3"/>
  <c r="AP115" i="3" s="1"/>
  <c r="W114" i="3"/>
  <c r="AQ114" i="3" s="1"/>
  <c r="V114" i="3"/>
  <c r="AP114" i="3" s="1"/>
  <c r="W113" i="3"/>
  <c r="AQ113" i="3" s="1"/>
  <c r="V113" i="3"/>
  <c r="AP113" i="3" s="1"/>
  <c r="W112" i="3"/>
  <c r="AQ112" i="3" s="1"/>
  <c r="V112" i="3"/>
  <c r="AP112" i="3" s="1"/>
  <c r="W111" i="3"/>
  <c r="AQ111" i="3" s="1"/>
  <c r="V111" i="3"/>
  <c r="AP111" i="3" s="1"/>
  <c r="W110" i="3"/>
  <c r="AQ110" i="3" s="1"/>
  <c r="V110" i="3"/>
  <c r="AP110" i="3" s="1"/>
  <c r="W109" i="3"/>
  <c r="AQ109" i="3" s="1"/>
  <c r="V109" i="3"/>
  <c r="AP109" i="3" s="1"/>
  <c r="W108" i="3"/>
  <c r="AQ108" i="3" s="1"/>
  <c r="V108" i="3"/>
  <c r="AP108" i="3" s="1"/>
  <c r="W107" i="3"/>
  <c r="AQ107" i="3" s="1"/>
  <c r="V107" i="3"/>
  <c r="AP107" i="3" s="1"/>
  <c r="W106" i="3"/>
  <c r="AQ106" i="3" s="1"/>
  <c r="V106" i="3"/>
  <c r="AP106" i="3" s="1"/>
  <c r="W105" i="3"/>
  <c r="AQ105" i="3" s="1"/>
  <c r="V105" i="3"/>
  <c r="AP105" i="3" s="1"/>
  <c r="W104" i="3"/>
  <c r="AQ104" i="3" s="1"/>
  <c r="V104" i="3"/>
  <c r="AP104" i="3" s="1"/>
  <c r="W103" i="3"/>
  <c r="AQ103" i="3" s="1"/>
  <c r="V103" i="3"/>
  <c r="AP103" i="3" s="1"/>
  <c r="W102" i="3"/>
  <c r="AQ102" i="3" s="1"/>
  <c r="V102" i="3"/>
  <c r="AP102" i="3" s="1"/>
  <c r="W101" i="3"/>
  <c r="AQ101" i="3" s="1"/>
  <c r="V101" i="3"/>
  <c r="AP101" i="3" s="1"/>
  <c r="W100" i="3"/>
  <c r="AQ100" i="3" s="1"/>
  <c r="V100" i="3"/>
  <c r="AP100" i="3" s="1"/>
  <c r="W99" i="3"/>
  <c r="AQ99" i="3" s="1"/>
  <c r="V99" i="3"/>
  <c r="AP99" i="3" s="1"/>
  <c r="W98" i="3"/>
  <c r="AQ98" i="3" s="1"/>
  <c r="V98" i="3"/>
  <c r="AP98" i="3" s="1"/>
  <c r="W97" i="3"/>
  <c r="AQ97" i="3" s="1"/>
  <c r="V97" i="3"/>
  <c r="AP97" i="3" s="1"/>
  <c r="W96" i="3"/>
  <c r="AQ96" i="3" s="1"/>
  <c r="V96" i="3"/>
  <c r="AP96" i="3" s="1"/>
  <c r="W95" i="3"/>
  <c r="AQ95" i="3" s="1"/>
  <c r="V95" i="3"/>
  <c r="AP95" i="3" s="1"/>
  <c r="W94" i="3"/>
  <c r="AQ94" i="3" s="1"/>
  <c r="V94" i="3"/>
  <c r="AP94" i="3" s="1"/>
  <c r="W93" i="3"/>
  <c r="AQ93" i="3" s="1"/>
  <c r="V93" i="3"/>
  <c r="AP93" i="3" s="1"/>
  <c r="W92" i="3"/>
  <c r="AQ92" i="3" s="1"/>
  <c r="V92" i="3"/>
  <c r="AP92" i="3" s="1"/>
  <c r="W91" i="3"/>
  <c r="AQ91" i="3" s="1"/>
  <c r="V91" i="3"/>
  <c r="AP91" i="3" s="1"/>
  <c r="W90" i="3"/>
  <c r="AQ90" i="3" s="1"/>
  <c r="V90" i="3"/>
  <c r="AP90" i="3" s="1"/>
  <c r="W89" i="3"/>
  <c r="AQ89" i="3" s="1"/>
  <c r="V89" i="3"/>
  <c r="AP89" i="3" s="1"/>
  <c r="W88" i="3"/>
  <c r="AQ88" i="3" s="1"/>
  <c r="V88" i="3"/>
  <c r="AP88" i="3" s="1"/>
  <c r="W87" i="3"/>
  <c r="AQ87" i="3" s="1"/>
  <c r="V87" i="3"/>
  <c r="AP87" i="3" s="1"/>
  <c r="W86" i="3"/>
  <c r="AQ86" i="3" s="1"/>
  <c r="V86" i="3"/>
  <c r="AP86" i="3" s="1"/>
  <c r="W85" i="3"/>
  <c r="AQ85" i="3" s="1"/>
  <c r="V85" i="3"/>
  <c r="AP85" i="3" s="1"/>
  <c r="W84" i="3"/>
  <c r="AQ84" i="3" s="1"/>
  <c r="V84" i="3"/>
  <c r="AP84" i="3" s="1"/>
  <c r="W83" i="3"/>
  <c r="AQ83" i="3" s="1"/>
  <c r="V83" i="3"/>
  <c r="AP83" i="3" s="1"/>
  <c r="W82" i="3"/>
  <c r="AQ82" i="3" s="1"/>
  <c r="V82" i="3"/>
  <c r="AP82" i="3" s="1"/>
  <c r="W81" i="3"/>
  <c r="AQ81" i="3" s="1"/>
  <c r="V81" i="3"/>
  <c r="AP81" i="3" s="1"/>
  <c r="W80" i="3"/>
  <c r="AQ80" i="3" s="1"/>
  <c r="V80" i="3"/>
  <c r="AP80" i="3" s="1"/>
  <c r="W79" i="3"/>
  <c r="AQ79" i="3" s="1"/>
  <c r="V79" i="3"/>
  <c r="AP79" i="3" s="1"/>
  <c r="W78" i="3"/>
  <c r="AQ78" i="3" s="1"/>
  <c r="V78" i="3"/>
  <c r="AP78" i="3" s="1"/>
  <c r="W77" i="3"/>
  <c r="AQ77" i="3" s="1"/>
  <c r="V77" i="3"/>
  <c r="AP77" i="3" s="1"/>
  <c r="W76" i="3"/>
  <c r="AQ76" i="3" s="1"/>
  <c r="V76" i="3"/>
  <c r="AP76" i="3" s="1"/>
  <c r="W75" i="3"/>
  <c r="AQ75" i="3" s="1"/>
  <c r="V75" i="3"/>
  <c r="AP75" i="3" s="1"/>
  <c r="W74" i="3"/>
  <c r="AQ74" i="3" s="1"/>
  <c r="V74" i="3"/>
  <c r="AP74" i="3" s="1"/>
  <c r="W73" i="3"/>
  <c r="AQ73" i="3" s="1"/>
  <c r="V73" i="3"/>
  <c r="AP73" i="3" s="1"/>
  <c r="W72" i="3"/>
  <c r="AQ72" i="3" s="1"/>
  <c r="V72" i="3"/>
  <c r="AP72" i="3" s="1"/>
  <c r="W71" i="3"/>
  <c r="AQ71" i="3" s="1"/>
  <c r="V71" i="3"/>
  <c r="AP71" i="3" s="1"/>
  <c r="W70" i="3"/>
  <c r="AQ70" i="3" s="1"/>
  <c r="V70" i="3"/>
  <c r="AP70" i="3" s="1"/>
  <c r="W69" i="3"/>
  <c r="AQ69" i="3" s="1"/>
  <c r="V69" i="3"/>
  <c r="AP69" i="3" s="1"/>
  <c r="W68" i="3"/>
  <c r="AQ68" i="3" s="1"/>
  <c r="V68" i="3"/>
  <c r="AP68" i="3" s="1"/>
  <c r="W67" i="3"/>
  <c r="AQ67" i="3" s="1"/>
  <c r="V67" i="3"/>
  <c r="AP67" i="3" s="1"/>
  <c r="W66" i="3"/>
  <c r="AQ66" i="3" s="1"/>
  <c r="V66" i="3"/>
  <c r="AP66" i="3" s="1"/>
  <c r="W65" i="3"/>
  <c r="AQ65" i="3" s="1"/>
  <c r="V65" i="3"/>
  <c r="AP65" i="3" s="1"/>
  <c r="W64" i="3"/>
  <c r="AQ64" i="3" s="1"/>
  <c r="V64" i="3"/>
  <c r="AP64" i="3" s="1"/>
  <c r="W63" i="3"/>
  <c r="AQ63" i="3" s="1"/>
  <c r="V63" i="3"/>
  <c r="AP63" i="3" s="1"/>
  <c r="W62" i="3"/>
  <c r="AQ62" i="3" s="1"/>
  <c r="V62" i="3"/>
  <c r="AP62" i="3" s="1"/>
  <c r="W61" i="3"/>
  <c r="AQ61" i="3" s="1"/>
  <c r="V61" i="3"/>
  <c r="AP61" i="3" s="1"/>
  <c r="W60" i="3"/>
  <c r="AQ60" i="3" s="1"/>
  <c r="V60" i="3"/>
  <c r="AP60" i="3" s="1"/>
  <c r="W59" i="3"/>
  <c r="AQ59" i="3" s="1"/>
  <c r="V59" i="3"/>
  <c r="AP59" i="3" s="1"/>
  <c r="W58" i="3"/>
  <c r="AQ58" i="3" s="1"/>
  <c r="V58" i="3"/>
  <c r="AP58" i="3" s="1"/>
  <c r="W57" i="3"/>
  <c r="AQ57" i="3" s="1"/>
  <c r="V57" i="3"/>
  <c r="AP57" i="3" s="1"/>
  <c r="W56" i="3"/>
  <c r="AQ56" i="3" s="1"/>
  <c r="V56" i="3"/>
  <c r="AP56" i="3" s="1"/>
  <c r="W55" i="3"/>
  <c r="AQ55" i="3" s="1"/>
  <c r="V55" i="3"/>
  <c r="AP55" i="3" s="1"/>
  <c r="W54" i="3"/>
  <c r="AQ54" i="3" s="1"/>
  <c r="V54" i="3"/>
  <c r="AP54" i="3" s="1"/>
  <c r="W53" i="3"/>
  <c r="AQ53" i="3" s="1"/>
  <c r="V53" i="3"/>
  <c r="AP53" i="3" s="1"/>
  <c r="W52" i="3"/>
  <c r="AQ52" i="3" s="1"/>
  <c r="V52" i="3"/>
  <c r="AP52" i="3" s="1"/>
  <c r="W51" i="3"/>
  <c r="AQ51" i="3" s="1"/>
  <c r="V51" i="3"/>
  <c r="AP51" i="3" s="1"/>
  <c r="W50" i="3"/>
  <c r="AQ50" i="3" s="1"/>
  <c r="V50" i="3"/>
  <c r="AP50" i="3" s="1"/>
  <c r="W49" i="3"/>
  <c r="AQ49" i="3" s="1"/>
  <c r="V49" i="3"/>
  <c r="AP49" i="3" s="1"/>
  <c r="W48" i="3"/>
  <c r="AQ48" i="3" s="1"/>
  <c r="V48" i="3"/>
  <c r="AP48" i="3" s="1"/>
  <c r="W47" i="3"/>
  <c r="AQ47" i="3" s="1"/>
  <c r="V47" i="3"/>
  <c r="AP47" i="3" s="1"/>
  <c r="W46" i="3"/>
  <c r="AQ46" i="3" s="1"/>
  <c r="V46" i="3"/>
  <c r="AP46" i="3" s="1"/>
  <c r="W45" i="3"/>
  <c r="AQ45" i="3" s="1"/>
  <c r="V45" i="3"/>
  <c r="AP45" i="3" s="1"/>
  <c r="W44" i="3"/>
  <c r="AQ44" i="3" s="1"/>
  <c r="V44" i="3"/>
  <c r="AP44" i="3" s="1"/>
  <c r="W43" i="3"/>
  <c r="AQ43" i="3" s="1"/>
  <c r="V43" i="3"/>
  <c r="AP43" i="3" s="1"/>
  <c r="W42" i="3"/>
  <c r="AQ42" i="3" s="1"/>
  <c r="V42" i="3"/>
  <c r="AP42" i="3" s="1"/>
  <c r="W41" i="3"/>
  <c r="AQ41" i="3" s="1"/>
  <c r="V41" i="3"/>
  <c r="AP41" i="3" s="1"/>
  <c r="W40" i="3"/>
  <c r="AQ40" i="3" s="1"/>
  <c r="V40" i="3"/>
  <c r="AP40" i="3" s="1"/>
  <c r="W39" i="3"/>
  <c r="AQ39" i="3" s="1"/>
  <c r="V39" i="3"/>
  <c r="AP39" i="3" s="1"/>
  <c r="W38" i="3"/>
  <c r="AQ38" i="3" s="1"/>
  <c r="V38" i="3"/>
  <c r="AP38" i="3" s="1"/>
  <c r="W37" i="3"/>
  <c r="AQ37" i="3" s="1"/>
  <c r="V37" i="3"/>
  <c r="AP37" i="3" s="1"/>
  <c r="W36" i="3"/>
  <c r="AQ36" i="3" s="1"/>
  <c r="V36" i="3"/>
  <c r="AP36" i="3" s="1"/>
  <c r="W35" i="3"/>
  <c r="AQ35" i="3" s="1"/>
  <c r="V35" i="3"/>
  <c r="AP35" i="3" s="1"/>
  <c r="W34" i="3"/>
  <c r="AQ34" i="3" s="1"/>
  <c r="V34" i="3"/>
  <c r="AP34" i="3" s="1"/>
  <c r="W33" i="3"/>
  <c r="AQ33" i="3" s="1"/>
  <c r="V33" i="3"/>
  <c r="AP33" i="3" s="1"/>
  <c r="W32" i="3"/>
  <c r="AQ32" i="3" s="1"/>
  <c r="V32" i="3"/>
  <c r="AP32" i="3" s="1"/>
  <c r="W31" i="3"/>
  <c r="AQ31" i="3" s="1"/>
  <c r="V31" i="3"/>
  <c r="AP31" i="3" s="1"/>
  <c r="W30" i="3"/>
  <c r="AQ30" i="3" s="1"/>
  <c r="V30" i="3"/>
  <c r="AP30" i="3" s="1"/>
  <c r="W29" i="3"/>
  <c r="AQ29" i="3" s="1"/>
  <c r="V29" i="3"/>
  <c r="AP29" i="3" s="1"/>
  <c r="W28" i="3"/>
  <c r="AQ28" i="3" s="1"/>
  <c r="V28" i="3"/>
  <c r="AP28" i="3" s="1"/>
  <c r="W27" i="3"/>
  <c r="AQ27" i="3" s="1"/>
  <c r="V27" i="3"/>
  <c r="AP27" i="3" s="1"/>
  <c r="W26" i="3"/>
  <c r="AQ26" i="3" s="1"/>
  <c r="V26" i="3"/>
  <c r="AP26" i="3" s="1"/>
  <c r="W25" i="3"/>
  <c r="AQ25" i="3" s="1"/>
  <c r="V25" i="3"/>
  <c r="AP25" i="3" s="1"/>
  <c r="W24" i="3"/>
  <c r="AQ24" i="3" s="1"/>
  <c r="V24" i="3"/>
  <c r="AP24" i="3" s="1"/>
  <c r="W23" i="3"/>
  <c r="AQ23" i="3" s="1"/>
  <c r="V23" i="3"/>
  <c r="AP23" i="3" s="1"/>
  <c r="W22" i="3"/>
  <c r="AQ22" i="3" s="1"/>
  <c r="V22" i="3"/>
  <c r="AP22" i="3" s="1"/>
  <c r="W21" i="3"/>
  <c r="AQ21" i="3" s="1"/>
  <c r="V21" i="3"/>
  <c r="AP21" i="3" s="1"/>
  <c r="W20" i="3"/>
  <c r="AQ20" i="3" s="1"/>
  <c r="V20" i="3"/>
  <c r="AP20" i="3" s="1"/>
  <c r="W19" i="3"/>
  <c r="AQ19" i="3" s="1"/>
  <c r="V19" i="3"/>
  <c r="AP19" i="3" s="1"/>
  <c r="W18" i="3"/>
  <c r="AQ18" i="3" s="1"/>
  <c r="V18" i="3"/>
  <c r="AP18" i="3" s="1"/>
  <c r="W17" i="3"/>
  <c r="AQ17" i="3" s="1"/>
  <c r="V17" i="3"/>
  <c r="AP17" i="3" s="1"/>
  <c r="W16" i="3"/>
  <c r="AQ16" i="3" s="1"/>
  <c r="V16" i="3"/>
  <c r="AP16" i="3" s="1"/>
  <c r="W15" i="3"/>
  <c r="AQ15" i="3" s="1"/>
  <c r="V15" i="3"/>
  <c r="AP15" i="3" s="1"/>
  <c r="W14" i="3"/>
  <c r="AQ14" i="3" s="1"/>
  <c r="V14" i="3"/>
  <c r="AP14" i="3" s="1"/>
  <c r="W13" i="3"/>
  <c r="AQ13" i="3" s="1"/>
  <c r="V13" i="3"/>
  <c r="AP13" i="3" s="1"/>
  <c r="W12" i="3"/>
  <c r="AQ12" i="3" s="1"/>
  <c r="V12" i="3"/>
  <c r="AP12" i="3" s="1"/>
  <c r="W11" i="3"/>
  <c r="AQ11" i="3" s="1"/>
  <c r="V11" i="3"/>
  <c r="AP11" i="3" s="1"/>
  <c r="W10" i="3"/>
  <c r="AQ10" i="3" s="1"/>
  <c r="V10" i="3"/>
  <c r="AP10" i="3" s="1"/>
  <c r="W9" i="3"/>
  <c r="AQ9" i="3" s="1"/>
  <c r="V9" i="3"/>
  <c r="AP9" i="3" s="1"/>
  <c r="W8" i="3"/>
  <c r="AQ8" i="3" s="1"/>
  <c r="V8" i="3"/>
  <c r="AP8" i="3" s="1"/>
  <c r="W7" i="3"/>
  <c r="AQ7" i="3" s="1"/>
  <c r="V7" i="3"/>
  <c r="AP7" i="3" s="1"/>
  <c r="W6" i="3"/>
  <c r="AQ6" i="3" s="1"/>
  <c r="V6" i="3"/>
  <c r="AP6" i="3" s="1"/>
  <c r="W5" i="3"/>
  <c r="AQ5" i="3" s="1"/>
  <c r="V5" i="3"/>
  <c r="AP5" i="3" s="1"/>
  <c r="W4" i="3"/>
  <c r="AQ4" i="3" s="1"/>
  <c r="V4" i="3"/>
  <c r="AP4" i="3" s="1"/>
  <c r="W3" i="3"/>
  <c r="AQ3" i="3" s="1"/>
  <c r="V3" i="3"/>
  <c r="AP3" i="3" s="1"/>
  <c r="W2" i="3"/>
  <c r="AQ2" i="3" s="1"/>
  <c r="V2" i="3"/>
  <c r="AP2" i="3" s="1"/>
  <c r="AQ451" i="3"/>
  <c r="BE501" i="3" l="1"/>
  <c r="BA501" i="3" s="1"/>
  <c r="BE500" i="3"/>
  <c r="BA500" i="3" s="1"/>
  <c r="BE499" i="3"/>
  <c r="BA499" i="3" s="1"/>
  <c r="BE498" i="3"/>
  <c r="BA498" i="3" s="1"/>
  <c r="BE497" i="3"/>
  <c r="BA497" i="3" s="1"/>
  <c r="BE496" i="3"/>
  <c r="BA496" i="3" s="1"/>
  <c r="BE495" i="3"/>
  <c r="BA495" i="3" s="1"/>
  <c r="BE494" i="3"/>
  <c r="BA494" i="3" s="1"/>
  <c r="BE493" i="3"/>
  <c r="BA493" i="3" s="1"/>
  <c r="BE492" i="3"/>
  <c r="BA492" i="3" s="1"/>
  <c r="BE491" i="3"/>
  <c r="BA491" i="3" s="1"/>
  <c r="BE490" i="3"/>
  <c r="BA490" i="3" s="1"/>
  <c r="BE489" i="3"/>
  <c r="BA489" i="3" s="1"/>
  <c r="BE488" i="3"/>
  <c r="BA488" i="3" s="1"/>
  <c r="BE487" i="3"/>
  <c r="BA487" i="3" s="1"/>
  <c r="BE486" i="3"/>
  <c r="BA486" i="3" s="1"/>
  <c r="BE485" i="3"/>
  <c r="BA485" i="3" s="1"/>
  <c r="BE484" i="3"/>
  <c r="BA484" i="3" s="1"/>
  <c r="BE483" i="3"/>
  <c r="BA483" i="3" s="1"/>
  <c r="BE482" i="3"/>
  <c r="BA482" i="3" s="1"/>
  <c r="BE481" i="3"/>
  <c r="BA481" i="3" s="1"/>
  <c r="BE480" i="3"/>
  <c r="BA480" i="3" s="1"/>
  <c r="BE479" i="3"/>
  <c r="BA479" i="3" s="1"/>
  <c r="BE478" i="3"/>
  <c r="BA478" i="3" s="1"/>
  <c r="BE477" i="3"/>
  <c r="BA477" i="3" s="1"/>
  <c r="BE476" i="3"/>
  <c r="BA476" i="3" s="1"/>
  <c r="BE475" i="3"/>
  <c r="BA475" i="3" s="1"/>
  <c r="BE474" i="3"/>
  <c r="BA474" i="3" s="1"/>
  <c r="BE473" i="3"/>
  <c r="BA473" i="3" s="1"/>
  <c r="BE472" i="3"/>
  <c r="BA472" i="3" s="1"/>
  <c r="BE471" i="3"/>
  <c r="BA471" i="3" s="1"/>
  <c r="BE470" i="3"/>
  <c r="BA470" i="3" s="1"/>
  <c r="BE469" i="3"/>
  <c r="BA469" i="3" s="1"/>
  <c r="BE468" i="3"/>
  <c r="BA468" i="3" s="1"/>
  <c r="BE467" i="3"/>
  <c r="BA467" i="3" s="1"/>
  <c r="BE466" i="3"/>
  <c r="BA466" i="3" s="1"/>
  <c r="BE465" i="3"/>
  <c r="BA465" i="3" s="1"/>
  <c r="BE464" i="3"/>
  <c r="BA464" i="3" s="1"/>
  <c r="BE463" i="3"/>
  <c r="BA463" i="3" s="1"/>
  <c r="BE462" i="3"/>
  <c r="BA462" i="3" s="1"/>
  <c r="BE461" i="3"/>
  <c r="BA461" i="3" s="1"/>
  <c r="BE460" i="3"/>
  <c r="BA460" i="3" s="1"/>
  <c r="BE459" i="3"/>
  <c r="BA459" i="3" s="1"/>
  <c r="BE458" i="3"/>
  <c r="BA458" i="3" s="1"/>
  <c r="BE457" i="3"/>
  <c r="BA457" i="3" s="1"/>
  <c r="BE456" i="3"/>
  <c r="BA456" i="3" s="1"/>
  <c r="BE455" i="3"/>
  <c r="BA455" i="3" s="1"/>
  <c r="BE454" i="3"/>
  <c r="BA454" i="3" s="1"/>
  <c r="BE453" i="3"/>
  <c r="BA453" i="3" s="1"/>
  <c r="BE452" i="3"/>
  <c r="BA452" i="3" s="1"/>
  <c r="BE451" i="3"/>
  <c r="BA451" i="3" s="1"/>
  <c r="BE450" i="3"/>
  <c r="BA450" i="3" s="1"/>
  <c r="BE449" i="3"/>
  <c r="BA449" i="3" s="1"/>
  <c r="BE448" i="3"/>
  <c r="BA448" i="3" s="1"/>
  <c r="BE447" i="3"/>
  <c r="BA447" i="3" s="1"/>
  <c r="BE446" i="3"/>
  <c r="BA446" i="3" s="1"/>
  <c r="BE445" i="3"/>
  <c r="BA445" i="3" s="1"/>
  <c r="BE444" i="3"/>
  <c r="BA444" i="3" s="1"/>
  <c r="BE443" i="3"/>
  <c r="BA443" i="3" s="1"/>
  <c r="BE442" i="3"/>
  <c r="BA442" i="3" s="1"/>
  <c r="BE441" i="3"/>
  <c r="BA441" i="3" s="1"/>
  <c r="BE440" i="3"/>
  <c r="BA440" i="3" s="1"/>
  <c r="BE439" i="3"/>
  <c r="BA439" i="3" s="1"/>
  <c r="BE438" i="3"/>
  <c r="BA438" i="3" s="1"/>
  <c r="BE437" i="3"/>
  <c r="BA437" i="3" s="1"/>
  <c r="BE436" i="3"/>
  <c r="BA436" i="3" s="1"/>
  <c r="BE435" i="3"/>
  <c r="BA435" i="3" s="1"/>
  <c r="BE434" i="3"/>
  <c r="BA434" i="3" s="1"/>
  <c r="BE433" i="3"/>
  <c r="BA433" i="3" s="1"/>
  <c r="BE432" i="3"/>
  <c r="BA432" i="3" s="1"/>
  <c r="BE431" i="3"/>
  <c r="BA431" i="3" s="1"/>
  <c r="BE430" i="3"/>
  <c r="BA430" i="3" s="1"/>
  <c r="BE429" i="3"/>
  <c r="BA429" i="3" s="1"/>
  <c r="BE428" i="3"/>
  <c r="BA428" i="3" s="1"/>
  <c r="BE427" i="3"/>
  <c r="BA427" i="3" s="1"/>
  <c r="BE426" i="3"/>
  <c r="BA426" i="3" s="1"/>
  <c r="BE425" i="3"/>
  <c r="BA425" i="3" s="1"/>
  <c r="BE424" i="3"/>
  <c r="BA424" i="3" s="1"/>
  <c r="BE423" i="3"/>
  <c r="BA423" i="3" s="1"/>
  <c r="BE422" i="3"/>
  <c r="BA422" i="3" s="1"/>
  <c r="BE421" i="3"/>
  <c r="BA421" i="3" s="1"/>
  <c r="BE420" i="3"/>
  <c r="BA420" i="3" s="1"/>
  <c r="BE419" i="3"/>
  <c r="BA419" i="3" s="1"/>
  <c r="BE418" i="3"/>
  <c r="BA418" i="3" s="1"/>
  <c r="BE417" i="3"/>
  <c r="BA417" i="3" s="1"/>
  <c r="BE416" i="3"/>
  <c r="BA416" i="3" s="1"/>
  <c r="BE415" i="3"/>
  <c r="BA415" i="3" s="1"/>
  <c r="BE414" i="3"/>
  <c r="BA414" i="3" s="1"/>
  <c r="BE413" i="3"/>
  <c r="BA413" i="3" s="1"/>
  <c r="BE412" i="3"/>
  <c r="BA412" i="3" s="1"/>
  <c r="BE411" i="3"/>
  <c r="BA411" i="3" s="1"/>
  <c r="BE410" i="3"/>
  <c r="BA410" i="3" s="1"/>
  <c r="BE409" i="3"/>
  <c r="BA409" i="3" s="1"/>
  <c r="BE408" i="3"/>
  <c r="BA408" i="3" s="1"/>
  <c r="BE407" i="3"/>
  <c r="BA407" i="3" s="1"/>
  <c r="BE406" i="3"/>
  <c r="BA406" i="3" s="1"/>
  <c r="BE405" i="3"/>
  <c r="BA405" i="3" s="1"/>
  <c r="BE404" i="3"/>
  <c r="BA404" i="3" s="1"/>
  <c r="BE403" i="3"/>
  <c r="BA403" i="3" s="1"/>
  <c r="BE402" i="3"/>
  <c r="BA402" i="3" s="1"/>
  <c r="BE401" i="3"/>
  <c r="BA401" i="3" s="1"/>
  <c r="BE400" i="3"/>
  <c r="BA400" i="3" s="1"/>
  <c r="BE399" i="3"/>
  <c r="BA399" i="3" s="1"/>
  <c r="BE398" i="3"/>
  <c r="BA398" i="3" s="1"/>
  <c r="BE397" i="3"/>
  <c r="BA397" i="3" s="1"/>
  <c r="BE396" i="3"/>
  <c r="BA396" i="3" s="1"/>
  <c r="BE395" i="3"/>
  <c r="BA395" i="3" s="1"/>
  <c r="BE394" i="3"/>
  <c r="BA394" i="3" s="1"/>
  <c r="BE393" i="3"/>
  <c r="BA393" i="3" s="1"/>
  <c r="BE392" i="3"/>
  <c r="BA392" i="3" s="1"/>
  <c r="BE391" i="3"/>
  <c r="BA391" i="3" s="1"/>
  <c r="BE390" i="3"/>
  <c r="BA390" i="3" s="1"/>
  <c r="BE389" i="3"/>
  <c r="BA389" i="3" s="1"/>
  <c r="BE388" i="3"/>
  <c r="BA388" i="3" s="1"/>
  <c r="BE387" i="3"/>
  <c r="BA387" i="3" s="1"/>
  <c r="BE386" i="3"/>
  <c r="BA386" i="3" s="1"/>
  <c r="BE385" i="3"/>
  <c r="BA385" i="3" s="1"/>
  <c r="BE384" i="3"/>
  <c r="BA384" i="3" s="1"/>
  <c r="BE383" i="3"/>
  <c r="BA383" i="3" s="1"/>
  <c r="BE382" i="3"/>
  <c r="BA382" i="3" s="1"/>
  <c r="BE381" i="3"/>
  <c r="BA381" i="3" s="1"/>
  <c r="BE380" i="3"/>
  <c r="BA380" i="3" s="1"/>
  <c r="BE379" i="3"/>
  <c r="BA379" i="3" s="1"/>
  <c r="BE378" i="3"/>
  <c r="BA378" i="3" s="1"/>
  <c r="BE377" i="3"/>
  <c r="BA377" i="3" s="1"/>
  <c r="BE376" i="3"/>
  <c r="BA376" i="3" s="1"/>
  <c r="BE375" i="3"/>
  <c r="BA375" i="3" s="1"/>
  <c r="BE374" i="3"/>
  <c r="BA374" i="3" s="1"/>
  <c r="BE373" i="3"/>
  <c r="BA373" i="3" s="1"/>
  <c r="BE372" i="3"/>
  <c r="BA372" i="3" s="1"/>
  <c r="BE371" i="3"/>
  <c r="BA371" i="3" s="1"/>
  <c r="BE370" i="3"/>
  <c r="BA370" i="3" s="1"/>
  <c r="BE369" i="3"/>
  <c r="BA369" i="3" s="1"/>
  <c r="BE368" i="3"/>
  <c r="BA368" i="3" s="1"/>
  <c r="BE367" i="3"/>
  <c r="BA367" i="3" s="1"/>
  <c r="BE366" i="3"/>
  <c r="BA366" i="3" s="1"/>
  <c r="BE365" i="3"/>
  <c r="BA365" i="3" s="1"/>
  <c r="BE364" i="3"/>
  <c r="BA364" i="3" s="1"/>
  <c r="BE363" i="3"/>
  <c r="BA363" i="3" s="1"/>
  <c r="BE362" i="3"/>
  <c r="BA362" i="3" s="1"/>
  <c r="BE361" i="3"/>
  <c r="BA361" i="3" s="1"/>
  <c r="BE360" i="3"/>
  <c r="BA360" i="3" s="1"/>
  <c r="BE359" i="3"/>
  <c r="BA359" i="3" s="1"/>
  <c r="BE358" i="3"/>
  <c r="BA358" i="3" s="1"/>
  <c r="BE357" i="3"/>
  <c r="BA357" i="3" s="1"/>
  <c r="BE356" i="3"/>
  <c r="BA356" i="3" s="1"/>
  <c r="BE355" i="3"/>
  <c r="BA355" i="3" s="1"/>
  <c r="BE354" i="3"/>
  <c r="BA354" i="3" s="1"/>
  <c r="BE353" i="3"/>
  <c r="BA353" i="3" s="1"/>
  <c r="BE352" i="3"/>
  <c r="BA352" i="3" s="1"/>
  <c r="BE351" i="3"/>
  <c r="BA351" i="3" s="1"/>
  <c r="BE350" i="3"/>
  <c r="BA350" i="3" s="1"/>
  <c r="BE349" i="3"/>
  <c r="BA349" i="3" s="1"/>
  <c r="BE348" i="3"/>
  <c r="BA348" i="3" s="1"/>
  <c r="BE347" i="3"/>
  <c r="BA347" i="3" s="1"/>
  <c r="BE346" i="3"/>
  <c r="BA346" i="3" s="1"/>
  <c r="BE345" i="3"/>
  <c r="BA345" i="3" s="1"/>
  <c r="BE344" i="3"/>
  <c r="BA344" i="3" s="1"/>
  <c r="BE343" i="3"/>
  <c r="BA343" i="3" s="1"/>
  <c r="BE342" i="3"/>
  <c r="BA342" i="3" s="1"/>
  <c r="BE341" i="3"/>
  <c r="BA341" i="3" s="1"/>
  <c r="BE340" i="3"/>
  <c r="BA340" i="3" s="1"/>
  <c r="BE339" i="3"/>
  <c r="BA339" i="3" s="1"/>
  <c r="BE338" i="3"/>
  <c r="BA338" i="3" s="1"/>
  <c r="BE337" i="3"/>
  <c r="BA337" i="3" s="1"/>
  <c r="BE336" i="3"/>
  <c r="BA336" i="3" s="1"/>
  <c r="BE335" i="3"/>
  <c r="BA335" i="3" s="1"/>
  <c r="BE334" i="3"/>
  <c r="BA334" i="3" s="1"/>
  <c r="BE333" i="3"/>
  <c r="BA333" i="3" s="1"/>
  <c r="BE332" i="3"/>
  <c r="BA332" i="3" s="1"/>
  <c r="BE331" i="3"/>
  <c r="BA331" i="3" s="1"/>
  <c r="BE330" i="3"/>
  <c r="BA330" i="3" s="1"/>
  <c r="BE329" i="3"/>
  <c r="BA329" i="3" s="1"/>
  <c r="BE328" i="3"/>
  <c r="BA328" i="3" s="1"/>
  <c r="BE327" i="3"/>
  <c r="BA327" i="3" s="1"/>
  <c r="BE326" i="3"/>
  <c r="BA326" i="3" s="1"/>
  <c r="BE325" i="3"/>
  <c r="BA325" i="3" s="1"/>
  <c r="BE324" i="3"/>
  <c r="BA324" i="3" s="1"/>
  <c r="BE323" i="3"/>
  <c r="BA323" i="3" s="1"/>
  <c r="BE322" i="3"/>
  <c r="BA322" i="3" s="1"/>
  <c r="BE321" i="3"/>
  <c r="BA321" i="3" s="1"/>
  <c r="BE320" i="3"/>
  <c r="BA320" i="3" s="1"/>
  <c r="BE319" i="3"/>
  <c r="BA319" i="3" s="1"/>
  <c r="BE318" i="3"/>
  <c r="BA318" i="3" s="1"/>
  <c r="BE317" i="3"/>
  <c r="BA317" i="3" s="1"/>
  <c r="BE316" i="3"/>
  <c r="BA316" i="3" s="1"/>
  <c r="BE315" i="3"/>
  <c r="BA315" i="3" s="1"/>
  <c r="BE314" i="3"/>
  <c r="BA314" i="3" s="1"/>
  <c r="BE313" i="3"/>
  <c r="BA313" i="3" s="1"/>
  <c r="BE312" i="3"/>
  <c r="BA312" i="3" s="1"/>
  <c r="BE311" i="3"/>
  <c r="BA311" i="3" s="1"/>
  <c r="BE310" i="3"/>
  <c r="BA310" i="3" s="1"/>
  <c r="BE309" i="3"/>
  <c r="BA309" i="3" s="1"/>
  <c r="BE308" i="3"/>
  <c r="BA308" i="3" s="1"/>
  <c r="BE307" i="3"/>
  <c r="BA307" i="3" s="1"/>
  <c r="BE306" i="3"/>
  <c r="BA306" i="3" s="1"/>
  <c r="BE305" i="3"/>
  <c r="BA305" i="3" s="1"/>
  <c r="BE304" i="3"/>
  <c r="BA304" i="3" s="1"/>
  <c r="BE303" i="3"/>
  <c r="BA303" i="3" s="1"/>
  <c r="BE302" i="3"/>
  <c r="BA302" i="3" s="1"/>
  <c r="BE301" i="3"/>
  <c r="BA301" i="3" s="1"/>
  <c r="BE300" i="3"/>
  <c r="BA300" i="3" s="1"/>
  <c r="BE299" i="3"/>
  <c r="BA299" i="3" s="1"/>
  <c r="BE298" i="3"/>
  <c r="BA298" i="3" s="1"/>
  <c r="BE297" i="3"/>
  <c r="BA297" i="3" s="1"/>
  <c r="BE296" i="3"/>
  <c r="BA296" i="3" s="1"/>
  <c r="BE295" i="3"/>
  <c r="BA295" i="3" s="1"/>
  <c r="BE294" i="3"/>
  <c r="BA294" i="3" s="1"/>
  <c r="BE293" i="3"/>
  <c r="BA293" i="3" s="1"/>
  <c r="BE292" i="3"/>
  <c r="BA292" i="3" s="1"/>
  <c r="BE291" i="3"/>
  <c r="BA291" i="3" s="1"/>
  <c r="BE290" i="3"/>
  <c r="BA290" i="3" s="1"/>
  <c r="BE289" i="3"/>
  <c r="BA289" i="3" s="1"/>
  <c r="BE288" i="3"/>
  <c r="BA288" i="3" s="1"/>
  <c r="BE287" i="3"/>
  <c r="BA287" i="3" s="1"/>
  <c r="BE286" i="3"/>
  <c r="BA286" i="3" s="1"/>
  <c r="BE285" i="3"/>
  <c r="BA285" i="3" s="1"/>
  <c r="BE284" i="3"/>
  <c r="BA284" i="3" s="1"/>
  <c r="BE283" i="3"/>
  <c r="BA283" i="3" s="1"/>
  <c r="BE282" i="3"/>
  <c r="BA282" i="3" s="1"/>
  <c r="BE281" i="3"/>
  <c r="BA281" i="3" s="1"/>
  <c r="BE280" i="3"/>
  <c r="BA280" i="3" s="1"/>
  <c r="BE279" i="3"/>
  <c r="BA279" i="3" s="1"/>
  <c r="BE278" i="3"/>
  <c r="BA278" i="3" s="1"/>
  <c r="BE277" i="3"/>
  <c r="BA277" i="3" s="1"/>
  <c r="BE276" i="3"/>
  <c r="BA276" i="3" s="1"/>
  <c r="BE275" i="3"/>
  <c r="BA275" i="3" s="1"/>
  <c r="BE274" i="3"/>
  <c r="BA274" i="3" s="1"/>
  <c r="BE273" i="3"/>
  <c r="BA273" i="3" s="1"/>
  <c r="BE272" i="3"/>
  <c r="BA272" i="3" s="1"/>
  <c r="BE271" i="3"/>
  <c r="BA271" i="3" s="1"/>
  <c r="BE270" i="3"/>
  <c r="BA270" i="3" s="1"/>
  <c r="BE269" i="3"/>
  <c r="BA269" i="3" s="1"/>
  <c r="BE268" i="3"/>
  <c r="BA268" i="3" s="1"/>
  <c r="BE267" i="3"/>
  <c r="BA267" i="3" s="1"/>
  <c r="BE266" i="3"/>
  <c r="BA266" i="3" s="1"/>
  <c r="BE265" i="3"/>
  <c r="BA265" i="3" s="1"/>
  <c r="BE264" i="3"/>
  <c r="BA264" i="3" s="1"/>
  <c r="BE263" i="3"/>
  <c r="BA263" i="3" s="1"/>
  <c r="BE262" i="3"/>
  <c r="BA262" i="3" s="1"/>
  <c r="BE261" i="3"/>
  <c r="BA261" i="3" s="1"/>
  <c r="BE260" i="3"/>
  <c r="BA260" i="3" s="1"/>
  <c r="BE259" i="3"/>
  <c r="BA259" i="3" s="1"/>
  <c r="BE258" i="3"/>
  <c r="BA258" i="3" s="1"/>
  <c r="BE257" i="3"/>
  <c r="BA257" i="3" s="1"/>
  <c r="BE256" i="3"/>
  <c r="BA256" i="3" s="1"/>
  <c r="BE255" i="3"/>
  <c r="BA255" i="3" s="1"/>
  <c r="BE254" i="3"/>
  <c r="BA254" i="3" s="1"/>
  <c r="BE253" i="3"/>
  <c r="BA253" i="3" s="1"/>
  <c r="BE252" i="3"/>
  <c r="BA252" i="3" s="1"/>
  <c r="BE251" i="3"/>
  <c r="BA251" i="3" s="1"/>
  <c r="BE250" i="3"/>
  <c r="BA250" i="3" s="1"/>
  <c r="BE249" i="3"/>
  <c r="BA249" i="3" s="1"/>
  <c r="BE248" i="3"/>
  <c r="BA248" i="3" s="1"/>
  <c r="BE247" i="3"/>
  <c r="BA247" i="3" s="1"/>
  <c r="BE246" i="3"/>
  <c r="BA246" i="3" s="1"/>
  <c r="BE245" i="3"/>
  <c r="BA245" i="3" s="1"/>
  <c r="BE244" i="3"/>
  <c r="BA244" i="3" s="1"/>
  <c r="BE243" i="3"/>
  <c r="BA243" i="3" s="1"/>
  <c r="BE242" i="3"/>
  <c r="BA242" i="3" s="1"/>
  <c r="BE241" i="3"/>
  <c r="BA241" i="3" s="1"/>
  <c r="BE240" i="3"/>
  <c r="BA240" i="3" s="1"/>
  <c r="BE239" i="3"/>
  <c r="BA239" i="3" s="1"/>
  <c r="BE238" i="3"/>
  <c r="BA238" i="3" s="1"/>
  <c r="BE237" i="3"/>
  <c r="BA237" i="3" s="1"/>
  <c r="BE236" i="3"/>
  <c r="BA236" i="3" s="1"/>
  <c r="BE235" i="3"/>
  <c r="BA235" i="3" s="1"/>
  <c r="BE234" i="3"/>
  <c r="BA234" i="3" s="1"/>
  <c r="BE233" i="3"/>
  <c r="BA233" i="3" s="1"/>
  <c r="BE232" i="3"/>
  <c r="BA232" i="3" s="1"/>
  <c r="BE231" i="3"/>
  <c r="BA231" i="3" s="1"/>
  <c r="BE230" i="3"/>
  <c r="BA230" i="3" s="1"/>
  <c r="BE229" i="3"/>
  <c r="BA229" i="3" s="1"/>
  <c r="BE228" i="3"/>
  <c r="BA228" i="3" s="1"/>
  <c r="BE227" i="3"/>
  <c r="BA227" i="3" s="1"/>
  <c r="BE226" i="3"/>
  <c r="BA226" i="3" s="1"/>
  <c r="BE225" i="3"/>
  <c r="BA225" i="3" s="1"/>
  <c r="BE224" i="3"/>
  <c r="BA224" i="3" s="1"/>
  <c r="BE223" i="3"/>
  <c r="BA223" i="3" s="1"/>
  <c r="BE222" i="3"/>
  <c r="BA222" i="3" s="1"/>
  <c r="BE221" i="3"/>
  <c r="BA221" i="3" s="1"/>
  <c r="BE220" i="3"/>
  <c r="BA220" i="3" s="1"/>
  <c r="BE219" i="3"/>
  <c r="BA219" i="3" s="1"/>
  <c r="BE218" i="3"/>
  <c r="BA218" i="3" s="1"/>
  <c r="BE217" i="3"/>
  <c r="BA217" i="3" s="1"/>
  <c r="BE216" i="3"/>
  <c r="BA216" i="3" s="1"/>
  <c r="BE215" i="3"/>
  <c r="BA215" i="3" s="1"/>
  <c r="BE214" i="3"/>
  <c r="BA214" i="3" s="1"/>
  <c r="BE213" i="3"/>
  <c r="BA213" i="3" s="1"/>
  <c r="BE212" i="3"/>
  <c r="BA212" i="3" s="1"/>
  <c r="BE211" i="3"/>
  <c r="BA211" i="3" s="1"/>
  <c r="BE210" i="3"/>
  <c r="BA210" i="3" s="1"/>
  <c r="BE209" i="3"/>
  <c r="BA209" i="3" s="1"/>
  <c r="BE208" i="3"/>
  <c r="BA208" i="3" s="1"/>
  <c r="BE207" i="3"/>
  <c r="BA207" i="3" s="1"/>
  <c r="BE206" i="3"/>
  <c r="BA206" i="3" s="1"/>
  <c r="BE205" i="3"/>
  <c r="BA205" i="3" s="1"/>
  <c r="BE204" i="3"/>
  <c r="BA204" i="3" s="1"/>
  <c r="BE203" i="3"/>
  <c r="BA203" i="3" s="1"/>
  <c r="BE202" i="3"/>
  <c r="BA202" i="3" s="1"/>
  <c r="BE201" i="3"/>
  <c r="BA201" i="3" s="1"/>
  <c r="BE200" i="3"/>
  <c r="BA200" i="3" s="1"/>
  <c r="BE199" i="3"/>
  <c r="BA199" i="3" s="1"/>
  <c r="BE198" i="3"/>
  <c r="BA198" i="3" s="1"/>
  <c r="BE197" i="3"/>
  <c r="BA197" i="3" s="1"/>
  <c r="BE196" i="3"/>
  <c r="BA196" i="3" s="1"/>
  <c r="BE195" i="3"/>
  <c r="BA195" i="3" s="1"/>
  <c r="BE194" i="3"/>
  <c r="BA194" i="3" s="1"/>
  <c r="BE193" i="3"/>
  <c r="BA193" i="3" s="1"/>
  <c r="BE192" i="3"/>
  <c r="BA192" i="3" s="1"/>
  <c r="BE191" i="3"/>
  <c r="BA191" i="3" s="1"/>
  <c r="BE190" i="3"/>
  <c r="BA190" i="3" s="1"/>
  <c r="BE189" i="3"/>
  <c r="BA189" i="3" s="1"/>
  <c r="BE188" i="3"/>
  <c r="BA188" i="3" s="1"/>
  <c r="BE187" i="3"/>
  <c r="BA187" i="3" s="1"/>
  <c r="BE186" i="3"/>
  <c r="BA186" i="3" s="1"/>
  <c r="BE185" i="3"/>
  <c r="BA185" i="3" s="1"/>
  <c r="BE184" i="3"/>
  <c r="BA184" i="3" s="1"/>
  <c r="BE183" i="3"/>
  <c r="BA183" i="3" s="1"/>
  <c r="BE182" i="3"/>
  <c r="BA182" i="3" s="1"/>
  <c r="BE181" i="3"/>
  <c r="BA181" i="3" s="1"/>
  <c r="BE180" i="3"/>
  <c r="BA180" i="3" s="1"/>
  <c r="BE179" i="3"/>
  <c r="BA179" i="3" s="1"/>
  <c r="BE178" i="3"/>
  <c r="BA178" i="3" s="1"/>
  <c r="BE177" i="3"/>
  <c r="BA177" i="3" s="1"/>
  <c r="BE176" i="3"/>
  <c r="BA176" i="3" s="1"/>
  <c r="BE175" i="3"/>
  <c r="BA175" i="3" s="1"/>
  <c r="BE174" i="3"/>
  <c r="BA174" i="3" s="1"/>
  <c r="BE173" i="3"/>
  <c r="BA173" i="3" s="1"/>
  <c r="BE172" i="3"/>
  <c r="BA172" i="3" s="1"/>
  <c r="BE171" i="3"/>
  <c r="BA171" i="3" s="1"/>
  <c r="BE170" i="3"/>
  <c r="BA170" i="3" s="1"/>
  <c r="BE169" i="3"/>
  <c r="BA169" i="3" s="1"/>
  <c r="BE168" i="3"/>
  <c r="BA168" i="3" s="1"/>
  <c r="BE167" i="3"/>
  <c r="BA167" i="3" s="1"/>
  <c r="BE166" i="3"/>
  <c r="BA166" i="3" s="1"/>
  <c r="BE165" i="3"/>
  <c r="BA165" i="3" s="1"/>
  <c r="BE164" i="3"/>
  <c r="BA164" i="3" s="1"/>
  <c r="BE163" i="3"/>
  <c r="BA163" i="3" s="1"/>
  <c r="BE162" i="3"/>
  <c r="BA162" i="3" s="1"/>
  <c r="BE161" i="3"/>
  <c r="BA161" i="3" s="1"/>
  <c r="BE160" i="3"/>
  <c r="BA160" i="3" s="1"/>
  <c r="BE159" i="3"/>
  <c r="BA159" i="3" s="1"/>
  <c r="BE158" i="3"/>
  <c r="BA158" i="3" s="1"/>
  <c r="BE157" i="3"/>
  <c r="BA157" i="3" s="1"/>
  <c r="BE156" i="3"/>
  <c r="BA156" i="3" s="1"/>
  <c r="BE155" i="3"/>
  <c r="BA155" i="3" s="1"/>
  <c r="BE154" i="3"/>
  <c r="BA154" i="3" s="1"/>
  <c r="BE153" i="3"/>
  <c r="BA153" i="3" s="1"/>
  <c r="BE152" i="3"/>
  <c r="BA152" i="3" s="1"/>
  <c r="BE151" i="3"/>
  <c r="BA151" i="3" s="1"/>
  <c r="BE150" i="3"/>
  <c r="BA150" i="3" s="1"/>
  <c r="BE149" i="3"/>
  <c r="BA149" i="3" s="1"/>
  <c r="BE148" i="3"/>
  <c r="BA148" i="3" s="1"/>
  <c r="BE147" i="3"/>
  <c r="BA147" i="3" s="1"/>
  <c r="BE146" i="3"/>
  <c r="BA146" i="3" s="1"/>
  <c r="BE145" i="3"/>
  <c r="BA145" i="3" s="1"/>
  <c r="BE144" i="3"/>
  <c r="BA144" i="3" s="1"/>
  <c r="BE143" i="3"/>
  <c r="BA143" i="3" s="1"/>
  <c r="BE142" i="3"/>
  <c r="BA142" i="3" s="1"/>
  <c r="BE141" i="3"/>
  <c r="BA141" i="3" s="1"/>
  <c r="BE140" i="3"/>
  <c r="BA140" i="3" s="1"/>
  <c r="BE139" i="3"/>
  <c r="BA139" i="3" s="1"/>
  <c r="BE138" i="3"/>
  <c r="BA138" i="3" s="1"/>
  <c r="BE137" i="3"/>
  <c r="BA137" i="3" s="1"/>
  <c r="BE136" i="3"/>
  <c r="BA136" i="3" s="1"/>
  <c r="BE135" i="3"/>
  <c r="BA135" i="3" s="1"/>
  <c r="BE134" i="3"/>
  <c r="BA134" i="3" s="1"/>
  <c r="BE133" i="3"/>
  <c r="BA133" i="3" s="1"/>
  <c r="BE132" i="3"/>
  <c r="BA132" i="3" s="1"/>
  <c r="BE131" i="3"/>
  <c r="BA131" i="3" s="1"/>
  <c r="BE130" i="3"/>
  <c r="BA130" i="3" s="1"/>
  <c r="BE129" i="3"/>
  <c r="BA129" i="3" s="1"/>
  <c r="BE128" i="3"/>
  <c r="BA128" i="3" s="1"/>
  <c r="BE127" i="3"/>
  <c r="BA127" i="3" s="1"/>
  <c r="BE126" i="3"/>
  <c r="BA126" i="3" s="1"/>
  <c r="BE125" i="3"/>
  <c r="BA125" i="3" s="1"/>
  <c r="BE124" i="3"/>
  <c r="BA124" i="3" s="1"/>
  <c r="BE123" i="3"/>
  <c r="BA123" i="3" s="1"/>
  <c r="BE122" i="3"/>
  <c r="BA122" i="3" s="1"/>
  <c r="BE121" i="3"/>
  <c r="BA121" i="3" s="1"/>
  <c r="BE120" i="3"/>
  <c r="BA120" i="3" s="1"/>
  <c r="BE119" i="3"/>
  <c r="BA119" i="3" s="1"/>
  <c r="BE118" i="3"/>
  <c r="BA118" i="3" s="1"/>
  <c r="BE117" i="3"/>
  <c r="BA117" i="3" s="1"/>
  <c r="BE116" i="3"/>
  <c r="BA116" i="3" s="1"/>
  <c r="BE115" i="3"/>
  <c r="BA115" i="3" s="1"/>
  <c r="BE114" i="3"/>
  <c r="BA114" i="3" s="1"/>
  <c r="BE113" i="3"/>
  <c r="BA113" i="3" s="1"/>
  <c r="BE112" i="3"/>
  <c r="BA112" i="3" s="1"/>
  <c r="BE111" i="3"/>
  <c r="BA111" i="3" s="1"/>
  <c r="BE110" i="3"/>
  <c r="BA110" i="3" s="1"/>
  <c r="BE109" i="3"/>
  <c r="BA109" i="3" s="1"/>
  <c r="BE108" i="3"/>
  <c r="BA108" i="3" s="1"/>
  <c r="BE107" i="3"/>
  <c r="BA107" i="3" s="1"/>
  <c r="BE106" i="3"/>
  <c r="BA106" i="3" s="1"/>
  <c r="BE105" i="3"/>
  <c r="BA105" i="3" s="1"/>
  <c r="BE104" i="3"/>
  <c r="BA104" i="3" s="1"/>
  <c r="BE103" i="3"/>
  <c r="BA103" i="3" s="1"/>
  <c r="BE102" i="3"/>
  <c r="BA102" i="3" s="1"/>
  <c r="BE101" i="3"/>
  <c r="BA101" i="3" s="1"/>
  <c r="BE100" i="3"/>
  <c r="BA100" i="3" s="1"/>
  <c r="BE99" i="3"/>
  <c r="BA99" i="3" s="1"/>
  <c r="BE98" i="3"/>
  <c r="BA98" i="3" s="1"/>
  <c r="BE97" i="3"/>
  <c r="BA97" i="3" s="1"/>
  <c r="BE96" i="3"/>
  <c r="BA96" i="3" s="1"/>
  <c r="BE95" i="3"/>
  <c r="BA95" i="3" s="1"/>
  <c r="BE94" i="3"/>
  <c r="BA94" i="3" s="1"/>
  <c r="BE93" i="3"/>
  <c r="BA93" i="3" s="1"/>
  <c r="BE92" i="3"/>
  <c r="BA92" i="3" s="1"/>
  <c r="BE91" i="3"/>
  <c r="BA91" i="3" s="1"/>
  <c r="BE90" i="3"/>
  <c r="BA90" i="3" s="1"/>
  <c r="BE89" i="3"/>
  <c r="BA89" i="3" s="1"/>
  <c r="BE88" i="3"/>
  <c r="BA88" i="3" s="1"/>
  <c r="BE87" i="3"/>
  <c r="BA87" i="3" s="1"/>
  <c r="BE86" i="3"/>
  <c r="BA86" i="3" s="1"/>
  <c r="BE85" i="3"/>
  <c r="BA85" i="3" s="1"/>
  <c r="BE84" i="3"/>
  <c r="BA84" i="3" s="1"/>
  <c r="BE83" i="3"/>
  <c r="BA83" i="3" s="1"/>
  <c r="BE82" i="3"/>
  <c r="BA82" i="3" s="1"/>
  <c r="BE81" i="3"/>
  <c r="BA81" i="3" s="1"/>
  <c r="BE80" i="3"/>
  <c r="BA80" i="3" s="1"/>
  <c r="BE79" i="3"/>
  <c r="BA79" i="3" s="1"/>
  <c r="BE78" i="3"/>
  <c r="BA78" i="3" s="1"/>
  <c r="BE77" i="3"/>
  <c r="BA77" i="3" s="1"/>
  <c r="BE76" i="3"/>
  <c r="BA76" i="3" s="1"/>
  <c r="BE75" i="3"/>
  <c r="BA75" i="3" s="1"/>
  <c r="BE74" i="3"/>
  <c r="BA74" i="3" s="1"/>
  <c r="BE73" i="3"/>
  <c r="BA73" i="3" s="1"/>
  <c r="BE72" i="3"/>
  <c r="BA72" i="3" s="1"/>
  <c r="BE71" i="3"/>
  <c r="BA71" i="3" s="1"/>
  <c r="BE70" i="3"/>
  <c r="BA70" i="3" s="1"/>
  <c r="BE69" i="3"/>
  <c r="BA69" i="3" s="1"/>
  <c r="BE68" i="3"/>
  <c r="BA68" i="3" s="1"/>
  <c r="BE67" i="3"/>
  <c r="BA67" i="3" s="1"/>
  <c r="BE66" i="3"/>
  <c r="BA66" i="3" s="1"/>
  <c r="BE65" i="3"/>
  <c r="BA65" i="3" s="1"/>
  <c r="BE64" i="3"/>
  <c r="BA64" i="3" s="1"/>
  <c r="BE63" i="3"/>
  <c r="BA63" i="3" s="1"/>
  <c r="BE62" i="3"/>
  <c r="BA62" i="3" s="1"/>
  <c r="BE61" i="3"/>
  <c r="BA61" i="3" s="1"/>
  <c r="BE60" i="3"/>
  <c r="BA60" i="3" s="1"/>
  <c r="BE59" i="3"/>
  <c r="BA59" i="3" s="1"/>
  <c r="BE58" i="3"/>
  <c r="BA58" i="3" s="1"/>
  <c r="BE57" i="3"/>
  <c r="BA57" i="3" s="1"/>
  <c r="BE56" i="3"/>
  <c r="BA56" i="3" s="1"/>
  <c r="BE55" i="3"/>
  <c r="BA55" i="3" s="1"/>
  <c r="BE54" i="3"/>
  <c r="BA54" i="3" s="1"/>
  <c r="BE53" i="3"/>
  <c r="BA53" i="3" s="1"/>
  <c r="BE52" i="3"/>
  <c r="BA52" i="3" s="1"/>
  <c r="BE51" i="3"/>
  <c r="BA51" i="3" s="1"/>
  <c r="BE50" i="3"/>
  <c r="BA50" i="3" s="1"/>
  <c r="BE49" i="3"/>
  <c r="BA49" i="3" s="1"/>
  <c r="BE48" i="3"/>
  <c r="BA48" i="3" s="1"/>
  <c r="BE47" i="3"/>
  <c r="BA47" i="3" s="1"/>
  <c r="BE46" i="3"/>
  <c r="BA46" i="3" s="1"/>
  <c r="BE45" i="3"/>
  <c r="BA45" i="3" s="1"/>
  <c r="BE44" i="3"/>
  <c r="BA44" i="3" s="1"/>
  <c r="BE43" i="3"/>
  <c r="BA43" i="3" s="1"/>
  <c r="BE42" i="3"/>
  <c r="BA42" i="3" s="1"/>
  <c r="BE41" i="3"/>
  <c r="BA41" i="3" s="1"/>
  <c r="BH41" i="3" s="1"/>
  <c r="BE40" i="3"/>
  <c r="BA40" i="3" s="1"/>
  <c r="BH40" i="3" s="1"/>
  <c r="BE39" i="3"/>
  <c r="BA39" i="3" s="1"/>
  <c r="BH39" i="3" s="1"/>
  <c r="BE38" i="3"/>
  <c r="BA38" i="3" s="1"/>
  <c r="BH38" i="3" s="1"/>
  <c r="BE37" i="3"/>
  <c r="BA37" i="3" s="1"/>
  <c r="BH37" i="3" s="1"/>
  <c r="BE36" i="3"/>
  <c r="BA36" i="3" s="1"/>
  <c r="BH36" i="3" s="1"/>
  <c r="BE35" i="3"/>
  <c r="BA35" i="3" s="1"/>
  <c r="BH35" i="3" s="1"/>
  <c r="BE34" i="3"/>
  <c r="BA34" i="3" s="1"/>
  <c r="BH34" i="3" s="1"/>
  <c r="BE33" i="3"/>
  <c r="BA33" i="3" s="1"/>
  <c r="BH33" i="3" s="1"/>
  <c r="BE32" i="3"/>
  <c r="BA32" i="3" s="1"/>
  <c r="BH32" i="3" s="1"/>
  <c r="BE31" i="3"/>
  <c r="BA31" i="3" s="1"/>
  <c r="BH31" i="3" s="1"/>
  <c r="BE30" i="3"/>
  <c r="BA30" i="3" s="1"/>
  <c r="BH30" i="3" s="1"/>
  <c r="BE29" i="3"/>
  <c r="BA29" i="3" s="1"/>
  <c r="BH29" i="3" s="1"/>
  <c r="BE28" i="3"/>
  <c r="BA28" i="3" s="1"/>
  <c r="BH28" i="3" s="1"/>
  <c r="BE27" i="3"/>
  <c r="BA27" i="3" s="1"/>
  <c r="BH27" i="3" s="1"/>
  <c r="BE26" i="3"/>
  <c r="BA26" i="3" s="1"/>
  <c r="BH26" i="3" s="1"/>
  <c r="BE25" i="3"/>
  <c r="BA25" i="3" s="1"/>
  <c r="BH25" i="3" s="1"/>
  <c r="BE24" i="3"/>
  <c r="BA24" i="3" s="1"/>
  <c r="BH24" i="3" s="1"/>
  <c r="BE23" i="3"/>
  <c r="BA23" i="3" s="1"/>
  <c r="BH23" i="3" s="1"/>
  <c r="BE22" i="3"/>
  <c r="BA22" i="3" s="1"/>
  <c r="BH22" i="3" s="1"/>
  <c r="BE21" i="3"/>
  <c r="BA21" i="3" s="1"/>
  <c r="BH21" i="3" s="1"/>
  <c r="BE20" i="3"/>
  <c r="BA20" i="3" s="1"/>
  <c r="BH20" i="3" s="1"/>
  <c r="BE19" i="3"/>
  <c r="BA19" i="3" s="1"/>
  <c r="BH19" i="3" s="1"/>
  <c r="BE18" i="3"/>
  <c r="BA18" i="3" s="1"/>
  <c r="BH18" i="3" s="1"/>
  <c r="BE17" i="3"/>
  <c r="BA17" i="3" s="1"/>
  <c r="BH17" i="3" s="1"/>
  <c r="BE16" i="3"/>
  <c r="BA16" i="3" s="1"/>
  <c r="BH16" i="3" s="1"/>
  <c r="BE15" i="3"/>
  <c r="BA15" i="3" s="1"/>
  <c r="BH15" i="3" s="1"/>
  <c r="BE14" i="3"/>
  <c r="BA14" i="3" s="1"/>
  <c r="BH14" i="3" s="1"/>
  <c r="BE13" i="3"/>
  <c r="BA13" i="3" s="1"/>
  <c r="BH13" i="3" s="1"/>
  <c r="BE12" i="3"/>
  <c r="BA12" i="3" s="1"/>
  <c r="BH12" i="3" s="1"/>
  <c r="BE11" i="3"/>
  <c r="BA11" i="3" s="1"/>
  <c r="BH11" i="3" s="1"/>
  <c r="BE10" i="3"/>
  <c r="BA10" i="3" s="1"/>
  <c r="BH10" i="3" s="1"/>
  <c r="BE9" i="3"/>
  <c r="BA9" i="3" s="1"/>
  <c r="BH9" i="3" s="1"/>
  <c r="BE8" i="3"/>
  <c r="BA8" i="3" s="1"/>
  <c r="BH8" i="3" s="1"/>
  <c r="BE7" i="3"/>
  <c r="BA7" i="3" s="1"/>
  <c r="BH7" i="3" s="1"/>
  <c r="BE6" i="3"/>
  <c r="BA6" i="3" s="1"/>
  <c r="BH6" i="3" s="1"/>
  <c r="BE5" i="3"/>
  <c r="BA5" i="3" s="1"/>
  <c r="BH5" i="3" s="1"/>
  <c r="BE4" i="3"/>
  <c r="BA4" i="3" s="1"/>
  <c r="BH4" i="3" s="1"/>
  <c r="BE3" i="3"/>
  <c r="BA3" i="3" s="1"/>
  <c r="BH3" i="3" s="1"/>
  <c r="BE2" i="3"/>
  <c r="BA2" i="3" s="1"/>
  <c r="BH2" i="3" s="1"/>
  <c r="L58" i="2" l="1"/>
  <c r="I58" i="2"/>
  <c r="F58" i="2"/>
  <c r="L56" i="2"/>
  <c r="I56" i="2"/>
  <c r="F56" i="2"/>
  <c r="Q32" i="4"/>
  <c r="J32" i="4"/>
  <c r="C32" i="4"/>
  <c r="Q31" i="4"/>
  <c r="J31" i="4"/>
  <c r="C31" i="4"/>
  <c r="Q29" i="4"/>
  <c r="J29" i="4"/>
  <c r="C29" i="4"/>
  <c r="Q28" i="4"/>
  <c r="J28" i="4"/>
  <c r="C28" i="4"/>
  <c r="Q27" i="4"/>
  <c r="J27" i="4"/>
  <c r="C27" i="4"/>
  <c r="Q26" i="4"/>
  <c r="J26" i="4"/>
  <c r="C26" i="4"/>
  <c r="Q25" i="4"/>
  <c r="J25" i="4"/>
  <c r="C25" i="4"/>
  <c r="Q24" i="4"/>
  <c r="J24" i="4"/>
  <c r="C24" i="4"/>
  <c r="Q23" i="4"/>
  <c r="J23" i="4"/>
  <c r="C23" i="4"/>
  <c r="Q21" i="4"/>
  <c r="J21" i="4"/>
  <c r="C21" i="4"/>
  <c r="Q20" i="4"/>
  <c r="J20" i="4"/>
  <c r="C20" i="4"/>
  <c r="Q19" i="4"/>
  <c r="J19" i="4"/>
  <c r="C19" i="4"/>
  <c r="Q18" i="4"/>
  <c r="J18" i="4"/>
  <c r="C18" i="4"/>
  <c r="Q17" i="4"/>
  <c r="J17" i="4"/>
  <c r="C17" i="4"/>
  <c r="Q16" i="4"/>
  <c r="J16" i="4"/>
  <c r="C16" i="4"/>
  <c r="Q15" i="4"/>
  <c r="J15" i="4"/>
  <c r="C15" i="4"/>
  <c r="Q14" i="4"/>
  <c r="J14" i="4"/>
  <c r="C14" i="4"/>
  <c r="Q13" i="4"/>
  <c r="J13" i="4"/>
  <c r="C13" i="4"/>
  <c r="Q12" i="4"/>
  <c r="J12" i="4"/>
  <c r="C12" i="4"/>
  <c r="Q10" i="4"/>
  <c r="J10" i="4"/>
  <c r="C10" i="4"/>
  <c r="Q9" i="4"/>
  <c r="J9" i="4"/>
  <c r="C9" i="4"/>
  <c r="Q8" i="4"/>
  <c r="J8" i="4"/>
  <c r="C8" i="4"/>
  <c r="Q7" i="4"/>
  <c r="J7" i="4"/>
  <c r="C7" i="4"/>
  <c r="Q6" i="4"/>
  <c r="J6" i="4"/>
  <c r="C6" i="4"/>
  <c r="Q4" i="4"/>
  <c r="J4" i="4"/>
  <c r="C4" i="4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4" i="2"/>
  <c r="K33" i="2"/>
  <c r="K32" i="2"/>
  <c r="K31" i="2"/>
  <c r="K30" i="2"/>
  <c r="K29" i="2"/>
  <c r="K28" i="2"/>
  <c r="K27" i="2"/>
  <c r="O26" i="2"/>
  <c r="K26" i="2"/>
  <c r="E26" i="2"/>
  <c r="A26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4" i="2" s="1"/>
  <c r="L55" i="2"/>
  <c r="I55" i="2"/>
  <c r="F55" i="2"/>
  <c r="I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C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D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E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F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G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H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I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J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K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L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M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N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O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haredStrings.xml><?xml version="1.0" encoding="utf-8"?>
<sst xmlns="http://schemas.openxmlformats.org/spreadsheetml/2006/main" count="585" uniqueCount="387">
  <si>
    <t>DEMATIC  |  Project Reference Database</t>
  </si>
  <si>
    <t>All timelines in WEEKS  |  Project Value in MILLIONS  |  Enter data for each system used — leave others blank</t>
  </si>
  <si>
    <t>PROJECT DETAILS</t>
  </si>
  <si>
    <t>MULTISHUTTLE  (tote)</t>
  </si>
  <si>
    <t>AUTOSTORE  (tote)</t>
  </si>
  <si>
    <t>PALLET SHUTTLE  (pallet)</t>
  </si>
  <si>
    <t>SRM CRANE  (pallet)</t>
  </si>
  <si>
    <t>CONVEYORS</t>
  </si>
  <si>
    <t>TOTAL</t>
  </si>
  <si>
    <t>PROJECT VALUE</t>
  </si>
  <si>
    <t>ATTRIBUTES</t>
  </si>
  <si>
    <t>Execution  (sequential)</t>
  </si>
  <si>
    <t>Project ID *</t>
  </si>
  <si>
    <t>Project Name *</t>
  </si>
  <si>
    <t>Client / Region</t>
  </si>
  <si>
    <t>Solution Type</t>
  </si>
  <si>
    <t>Year</t>
  </si>
  <si>
    <t>Won?</t>
  </si>
  <si>
    <t>Shuttles</t>
  </si>
  <si>
    <t>Tote Locations</t>
  </si>
  <si>
    <t>Robots</t>
  </si>
  <si>
    <t>Pallet Locations</t>
  </si>
  <si>
    <t>Cranes</t>
  </si>
  <si>
    <t>Case Conv (m)</t>
  </si>
  <si>
    <t>Pallet Conv (m)</t>
  </si>
  <si>
    <t>Mechanical
Eng</t>
  </si>
  <si>
    <t>Controls
Eng</t>
  </si>
  <si>
    <t>Systems
Eng</t>
  </si>
  <si>
    <t>Software
Eng</t>
  </si>
  <si>
    <t>M&amp;E
Installation</t>
  </si>
  <si>
    <t>Commissioning</t>
  </si>
  <si>
    <t>Total
Timeline (wks)</t>
  </si>
  <si>
    <t>Currency</t>
  </si>
  <si>
    <t>Value (M)</t>
  </si>
  <si>
    <t>Automation
Equipment</t>
  </si>
  <si>
    <t>Notes / Lessons Learned</t>
  </si>
  <si>
    <t>ID Check</t>
  </si>
  <si>
    <t>Mech Inst</t>
  </si>
  <si>
    <t>Elec Inst</t>
  </si>
  <si>
    <t>Project Management</t>
  </si>
  <si>
    <t>Systems Eng</t>
  </si>
  <si>
    <t>Mechanical Eng</t>
  </si>
  <si>
    <t>Structural Engineering</t>
  </si>
  <si>
    <t>Site Sup</t>
  </si>
  <si>
    <t>Controls Commissioning</t>
  </si>
  <si>
    <t>Systems Commissioning</t>
  </si>
  <si>
    <t>Service Commissioning</t>
  </si>
  <si>
    <t>Controls Eng</t>
  </si>
  <si>
    <t>Controls Purchase</t>
  </si>
  <si>
    <t>Software Eng</t>
  </si>
  <si>
    <t>Misc</t>
  </si>
  <si>
    <t>SC22164</t>
  </si>
  <si>
    <t>Eren</t>
  </si>
  <si>
    <t>Turkey ME</t>
  </si>
  <si>
    <t>Yes</t>
  </si>
  <si>
    <t>USD</t>
  </si>
  <si>
    <t>Hybotics APP Autobagger Carton Reducting Lidding Sealer Tote Stacker DeStacker MCS</t>
  </si>
  <si>
    <t>SW31305</t>
  </si>
  <si>
    <t>Turkish Cargo</t>
  </si>
  <si>
    <t>No</t>
  </si>
  <si>
    <t xml:space="preserve">SRM BK25 </t>
  </si>
  <si>
    <t>2 SRM Cranes in 1 Aisle Configuration</t>
  </si>
  <si>
    <t>SW3128-1</t>
  </si>
  <si>
    <t>DHL Aurora SPARK</t>
  </si>
  <si>
    <t>KSA ME</t>
  </si>
  <si>
    <t>AutoStore</t>
  </si>
  <si>
    <t>SW3128-2</t>
  </si>
  <si>
    <t>DHL Aurora - JUBAIL*</t>
  </si>
  <si>
    <t>SW3128-3</t>
  </si>
  <si>
    <t>DHL Aurora - YANBU*</t>
  </si>
  <si>
    <t>SC22154</t>
  </si>
  <si>
    <t>Almarai Poultry</t>
  </si>
  <si>
    <t>DMS MCS Elten Tote Palletising Case Lidding</t>
  </si>
  <si>
    <t>SC22158</t>
  </si>
  <si>
    <t>Almarai Bakery</t>
  </si>
  <si>
    <t>2 Way Shuttle BK25</t>
  </si>
  <si>
    <t>SC22213</t>
  </si>
  <si>
    <t>LG CNS Marketkrly DMS</t>
  </si>
  <si>
    <t>Korea ASIA</t>
  </si>
  <si>
    <t>DMS</t>
  </si>
  <si>
    <t>SC22168</t>
  </si>
  <si>
    <t>Retail Logistics</t>
  </si>
  <si>
    <t>Dubai ME</t>
  </si>
  <si>
    <t>MCS</t>
  </si>
  <si>
    <t>SW31293</t>
  </si>
  <si>
    <t>Caterpillar 4WS</t>
  </si>
  <si>
    <t>Thailand ASIA</t>
  </si>
  <si>
    <t>4WS Pallet</t>
  </si>
  <si>
    <t>SC22191</t>
  </si>
  <si>
    <t>Plexus Bridgeview</t>
  </si>
  <si>
    <t>Malaysia ASIA</t>
  </si>
  <si>
    <t>Autostore</t>
  </si>
  <si>
    <t>SW31269</t>
  </si>
  <si>
    <t>Plexus Bangkok</t>
  </si>
  <si>
    <t>SC22188</t>
  </si>
  <si>
    <t>Jaya Grocer</t>
  </si>
  <si>
    <t>SW31277</t>
  </si>
  <si>
    <t>Swire Coca-Cola</t>
  </si>
  <si>
    <t>Taiwan ASIA</t>
  </si>
  <si>
    <t xml:space="preserve">SRM BK25 Shuttlecar RGV </t>
  </si>
  <si>
    <t>SW31253</t>
  </si>
  <si>
    <t>RSI Taichung Split Case</t>
  </si>
  <si>
    <t>SRM BK25 MCS DMS AMCAP MCP FMCF RGV LIFTER PALLET ELTEN SCHWINGHANDL NORIN SUZHOU MARKEM IMAJE METTLER TOLEDO</t>
  </si>
  <si>
    <t>SC22207</t>
  </si>
  <si>
    <t>Siemens Gebze</t>
  </si>
  <si>
    <t>SC22225</t>
  </si>
  <si>
    <t>Amazon RUH9</t>
  </si>
  <si>
    <t>XB Sorter CBS crossbelt MCS</t>
  </si>
  <si>
    <t>SW31322</t>
  </si>
  <si>
    <t>PepsiCo ASRS VN</t>
  </si>
  <si>
    <t>Vietnam Asia</t>
  </si>
  <si>
    <t>SW31325</t>
  </si>
  <si>
    <t>MR DIY MY</t>
  </si>
  <si>
    <t>ASRS MCS DMS</t>
  </si>
  <si>
    <t>SW31244</t>
  </si>
  <si>
    <t>DHL (Project PEW+)</t>
  </si>
  <si>
    <t>MYR</t>
  </si>
  <si>
    <t>SRM BK25</t>
  </si>
  <si>
    <t>SC22206</t>
  </si>
  <si>
    <t>FFDC Fairprice PH1</t>
  </si>
  <si>
    <t>Singapore ASIA</t>
  </si>
  <si>
    <t>SGD</t>
  </si>
  <si>
    <t>Actual timeline is much, much worse compared to handover</t>
  </si>
  <si>
    <t>SW31186</t>
  </si>
  <si>
    <t>Gudang Garam H</t>
  </si>
  <si>
    <t>Indonesia ASIA</t>
  </si>
  <si>
    <t>EUR</t>
  </si>
  <si>
    <t>SRM BK25 Shuttlecar</t>
  </si>
  <si>
    <t>SC22167</t>
  </si>
  <si>
    <t>Jabil Autostore</t>
  </si>
  <si>
    <t>SW31240</t>
  </si>
  <si>
    <t>CJ iHerb</t>
  </si>
  <si>
    <t>Autostore MCS</t>
  </si>
  <si>
    <t>SC22204</t>
  </si>
  <si>
    <t>Coupang Autostore</t>
  </si>
  <si>
    <t>Autostore PTL</t>
  </si>
  <si>
    <t>SC22076</t>
  </si>
  <si>
    <t>Lazada PH1</t>
  </si>
  <si>
    <t>XB Sorter CBS crossbelt MCS PTL Mezzanine Rack</t>
  </si>
  <si>
    <t>SC22088</t>
  </si>
  <si>
    <t>LG -CNS Megahub</t>
  </si>
  <si>
    <t xml:space="preserve">XB Sorter CBS crossbelt MCS </t>
  </si>
  <si>
    <t>Purely sortation system only</t>
  </si>
  <si>
    <t>SW31150</t>
  </si>
  <si>
    <t>Lotte Chilsung</t>
  </si>
  <si>
    <t>SRM BK25 MCS DMS 2WS AMCAP MCP FMCF RGV LIFTER PALLET ELTEN SCHWINGHANDL NORIN SUZHOU MARKEM IMAJE METTLER TOLEDO KAIXIN</t>
  </si>
  <si>
    <t>SW31157</t>
  </si>
  <si>
    <t>Lotte LGL Youngnam</t>
  </si>
  <si>
    <t>SRM  BK25 DMS MCS ELTEN QIMAROX Mezz PTL Robot Layer Picker</t>
  </si>
  <si>
    <t>SC22094</t>
  </si>
  <si>
    <t>Hsu Maw Autostore</t>
  </si>
  <si>
    <t>SW31193</t>
  </si>
  <si>
    <t>Racking not in scope</t>
  </si>
  <si>
    <t>SW31261</t>
  </si>
  <si>
    <t>Plexus Seaside</t>
  </si>
  <si>
    <t>SC22126</t>
  </si>
  <si>
    <t>Plexus Riverside</t>
  </si>
  <si>
    <t>First Plexus project, longer everything.</t>
  </si>
  <si>
    <t>SW31179</t>
  </si>
  <si>
    <t>Caterpillar Autostore</t>
  </si>
  <si>
    <t xml:space="preserve">Delayed progressive shipment schedule, 35 weeks additional on top of total timeline </t>
  </si>
  <si>
    <t>SC22103</t>
  </si>
  <si>
    <t>WDS Tainan</t>
  </si>
  <si>
    <t>XB Sorter CBS crossbelt MCS DMS BK25 PTL Mezzanine Selective Rack</t>
  </si>
  <si>
    <t>SC22136</t>
  </si>
  <si>
    <t>WDS Keelung</t>
  </si>
  <si>
    <t>XB Sorter CBS Crossbelt MCS Libiao Mezzanine</t>
  </si>
  <si>
    <t>SW31344</t>
  </si>
  <si>
    <t>DHL Project Consumer</t>
  </si>
  <si>
    <t>4WS Pallet + AMR</t>
  </si>
  <si>
    <t>SC22228</t>
  </si>
  <si>
    <t>Changmaru (Box4U)</t>
  </si>
  <si>
    <t>ASRS, DMS, Layer Picker</t>
  </si>
  <si>
    <t>ASRS Rack Clad not Dematic scope, DMS Racking under Dematic scope</t>
  </si>
  <si>
    <t>SC22176</t>
  </si>
  <si>
    <t>Zuellig Cebu</t>
  </si>
  <si>
    <t>Philipines ASIA</t>
  </si>
  <si>
    <t>Zone Route Picking</t>
  </si>
  <si>
    <t>SC22185</t>
  </si>
  <si>
    <t>Starlux Taoyuan</t>
  </si>
  <si>
    <t>ML SRM MCS BK25 DMS</t>
  </si>
  <si>
    <t>2 Aisle Miniload</t>
  </si>
  <si>
    <t>DEMATIC  | Project Search &amp; Schedule Estimator</t>
  </si>
  <si>
    <t>Intralogistics Systems  |  Supply Chain Automation  |  Warehouse Management Solutions</t>
  </si>
  <si>
    <t xml:space="preserve">  ℹ  Set Include? to YES for each system. For Keywords, enter space-separated equipment terms that match the 'Automation Equipment' column in the database (e.g. linear sorter tray stacker).</t>
  </si>
  <si>
    <t>System</t>
  </si>
  <si>
    <t>Include?</t>
  </si>
  <si>
    <t>Parameter 1</t>
  </si>
  <si>
    <t>Your Value</t>
  </si>
  <si>
    <t>Parameter 2</t>
  </si>
  <si>
    <t>OPTIONAL FILTERS</t>
  </si>
  <si>
    <t>Multishuttle</t>
  </si>
  <si>
    <t>YES</t>
  </si>
  <si>
    <t>No. of Shuttles</t>
  </si>
  <si>
    <t>No. of Tote Locations</t>
  </si>
  <si>
    <t>All</t>
  </si>
  <si>
    <t>NO</t>
  </si>
  <si>
    <t>No. of Robots</t>
  </si>
  <si>
    <t>Region contains</t>
  </si>
  <si>
    <t>Pallet Shuttle</t>
  </si>
  <si>
    <t>No. of Pallet Locations</t>
  </si>
  <si>
    <t>Year (exact)</t>
  </si>
  <si>
    <t>SRM Crane</t>
  </si>
  <si>
    <t>No. of Cranes</t>
  </si>
  <si>
    <t>Won status</t>
  </si>
  <si>
    <t>Conveyors</t>
  </si>
  <si>
    <t>Case Conveyor (metres)</t>
  </si>
  <si>
    <t>Pallet Conveyor (metres)</t>
  </si>
  <si>
    <t>Blank or All = no filter. Filters combine.</t>
  </si>
  <si>
    <t>Keywords</t>
  </si>
  <si>
    <t>Search keywords (space-separated)</t>
  </si>
  <si>
    <t>Region searches Client / Region text (e.g. ME).
Solution Type must be filled in the database.</t>
  </si>
  <si>
    <t xml:space="preserve">  📊  TOP 5 CLOSEST MATCHES</t>
  </si>
  <si>
    <t>Rank</t>
  </si>
  <si>
    <t>Project ID</t>
  </si>
  <si>
    <t>Project Name</t>
  </si>
  <si>
    <t>MS
Shuttles</t>
  </si>
  <si>
    <t>MS Tote
Locs</t>
  </si>
  <si>
    <t>AS
Robots</t>
  </si>
  <si>
    <t>AS Tote
Locs</t>
  </si>
  <si>
    <t>PS
Shuttles</t>
  </si>
  <si>
    <t>PS Pallet
Locs</t>
  </si>
  <si>
    <t>SRM
Cranes</t>
  </si>
  <si>
    <t>SRM Pallet
Locs</t>
  </si>
  <si>
    <t>Case
Conv (m)</t>
  </si>
  <si>
    <t>Pallet
Conv (m)</t>
  </si>
  <si>
    <t>Match
Score</t>
  </si>
  <si>
    <t>Mech
(wks)</t>
  </si>
  <si>
    <t>Ctrl
(wks)</t>
  </si>
  <si>
    <t>Sys
(wks)</t>
  </si>
  <si>
    <t>SW
(wks)</t>
  </si>
  <si>
    <t>Install
(wks)</t>
  </si>
  <si>
    <t>Comm
(wks)</t>
  </si>
  <si>
    <t>Total
(wks)</t>
  </si>
  <si>
    <t xml:space="preserve">  📅  ESTIMATED SCHEDULE &amp; MANHOUR COST  —  from closest match</t>
  </si>
  <si>
    <t xml:space="preserve">  CLOSEST MATCH REFERENCE PROJECT</t>
  </si>
  <si>
    <t>Match Score</t>
  </si>
  <si>
    <t>Mechanical Engineering</t>
  </si>
  <si>
    <t>Controls Engineering</t>
  </si>
  <si>
    <t>Systems Engineering</t>
  </si>
  <si>
    <t>Software Engineering</t>
  </si>
  <si>
    <t>M&amp;E Installation</t>
  </si>
  <si>
    <t>TOTAL PROJECT TIMELINE</t>
  </si>
  <si>
    <t>Project Value (closest match)</t>
  </si>
  <si>
    <t>MANHOUR COST PROFILE  —  closest match</t>
  </si>
  <si>
    <t>Mechanical Installation</t>
  </si>
  <si>
    <t>Electrical Installation</t>
  </si>
  <si>
    <t>Site Supervision</t>
  </si>
  <si>
    <t>Miscellaneous</t>
  </si>
  <si>
    <t>TOTAL MANHOUR COST</t>
  </si>
  <si>
    <t xml:space="preserve">  SYSTEM MATCH SCORECARD  —  closest match breakdown</t>
  </si>
  <si>
    <t>Score</t>
  </si>
  <si>
    <t>Status</t>
  </si>
  <si>
    <t>Match Strength  ◀──────────────▶</t>
  </si>
  <si>
    <t xml:space="preserve">  ✅ Strong ≥ 70%     🟡 Partial 30–69%     ❌ Weak &lt; 30%     — System not included in search</t>
  </si>
  <si>
    <t>MS Shuttles</t>
  </si>
  <si>
    <t>MS Tote Locs</t>
  </si>
  <si>
    <t>AS Robots</t>
  </si>
  <si>
    <t>AS Tote Locs</t>
  </si>
  <si>
    <t>PS Shuttles</t>
  </si>
  <si>
    <t>PS Pallet Locs</t>
  </si>
  <si>
    <t>SRM Cranes</t>
  </si>
  <si>
    <t>SRM Pallet Locs</t>
  </si>
  <si>
    <t>Mech wks</t>
  </si>
  <si>
    <t>Ctrl wks</t>
  </si>
  <si>
    <t>Sys wks</t>
  </si>
  <si>
    <t>SW wks</t>
  </si>
  <si>
    <t>Install wks</t>
  </si>
  <si>
    <t>Commission wks</t>
  </si>
  <si>
    <t>Total wks</t>
  </si>
  <si>
    <t>Wt MS_Shut</t>
  </si>
  <si>
    <t>Wt MS_Tote</t>
  </si>
  <si>
    <t>Wt AS_Rob</t>
  </si>
  <si>
    <t>Wt AS_Tote</t>
  </si>
  <si>
    <t>Wt PS_Shut</t>
  </si>
  <si>
    <t>Wt PS_Pal</t>
  </si>
  <si>
    <t>Wt SRM_Cr</t>
  </si>
  <si>
    <t>Wt SRM_Pal</t>
  </si>
  <si>
    <t>Wt Conv_C</t>
  </si>
  <si>
    <t>Wt Conv_P</t>
  </si>
  <si>
    <t>Sim MS_Shut</t>
  </si>
  <si>
    <t>Sim MS_Tote</t>
  </si>
  <si>
    <t>Sim AS_Rob</t>
  </si>
  <si>
    <t>Sim AS_Tote</t>
  </si>
  <si>
    <t>Sim PS_Shut</t>
  </si>
  <si>
    <t>Sim PS_Pal</t>
  </si>
  <si>
    <t>Sim SRM_Cr</t>
  </si>
  <si>
    <t>Sim SRM_Pal</t>
  </si>
  <si>
    <t>Sim Conv_C</t>
  </si>
  <si>
    <t>Sim Conv_P</t>
  </si>
  <si>
    <t>WtdScr MS_Shut</t>
  </si>
  <si>
    <t>WtdScr MS_Tote</t>
  </si>
  <si>
    <t>WtdScr AS_Rob</t>
  </si>
  <si>
    <t>WtdScr AS_Tote</t>
  </si>
  <si>
    <t>WtdScr PS_Shut</t>
  </si>
  <si>
    <t>WtdScr PS_Pal</t>
  </si>
  <si>
    <t>WtdScr SRM_Cr</t>
  </si>
  <si>
    <t>WtdScr SRM_Pal</t>
  </si>
  <si>
    <t>WtdScr Conv_C</t>
  </si>
  <si>
    <t>WtdScr Conv_P</t>
  </si>
  <si>
    <t>Auto Equipment</t>
  </si>
  <si>
    <t>FINAL SCORE</t>
  </si>
  <si>
    <t>Keyword Match</t>
  </si>
  <si>
    <t>Keyword Wt</t>
  </si>
  <si>
    <t>Keyword WtdScr</t>
  </si>
  <si>
    <t>Raw Wtd Sum</t>
  </si>
  <si>
    <t>Coverage Ratio</t>
  </si>
  <si>
    <t>Penalty (core 25%, conv 25%)</t>
  </si>
  <si>
    <t>Rank Score (tiebroken)</t>
  </si>
  <si>
    <t>Unwanted Core Systems</t>
  </si>
  <si>
    <t>MH% Mech Inst</t>
  </si>
  <si>
    <t>MH% Elec Inst</t>
  </si>
  <si>
    <t>MH% Project Management</t>
  </si>
  <si>
    <t>MH% Systems Eng</t>
  </si>
  <si>
    <t>MH% Mechanical Eng</t>
  </si>
  <si>
    <t>MH% Structural Engineering</t>
  </si>
  <si>
    <t>MH% Site Sup</t>
  </si>
  <si>
    <t>MH% Controls Commissioning</t>
  </si>
  <si>
    <t>MH% Systems Commissioning</t>
  </si>
  <si>
    <t>MH% Service Commissioning</t>
  </si>
  <si>
    <t>MH% Controls Eng</t>
  </si>
  <si>
    <t>MH% Controls Purchase</t>
  </si>
  <si>
    <t>MH% Software Eng</t>
  </si>
  <si>
    <t>MH% Misc</t>
  </si>
  <si>
    <t>MH% TOTAL</t>
  </si>
  <si>
    <t>Value numeric</t>
  </si>
  <si>
    <t>DEMATIC  |  Project Comparison  —  Top 3 Closest Matches</t>
  </si>
  <si>
    <t xml:space="preserve">  RANK 1  —  Best Match</t>
  </si>
  <si>
    <t xml:space="preserve">  RANK 2  —  2nd Match</t>
  </si>
  <si>
    <t xml:space="preserve">  RANK 3  —  3rd Match</t>
  </si>
  <si>
    <t xml:space="preserve">  PROJECT INFORMATION</t>
  </si>
  <si>
    <t>Project Value</t>
  </si>
  <si>
    <t xml:space="preserve">  SYSTEM SPECIFICATIONS</t>
  </si>
  <si>
    <t>MS Tote Locations</t>
  </si>
  <si>
    <t>AS Tote Locations</t>
  </si>
  <si>
    <t>PS Pallet Locations</t>
  </si>
  <si>
    <t>SRM Pallet Locations</t>
  </si>
  <si>
    <t>Case Conveyor (m)</t>
  </si>
  <si>
    <t>Pallet Conveyor (m)</t>
  </si>
  <si>
    <t xml:space="preserve">  SCHEDULE  (weeks)</t>
  </si>
  <si>
    <t xml:space="preserve">  AUTOMATION EQUIPMENT &amp; NOTES</t>
  </si>
  <si>
    <t>Automation Equipment</t>
  </si>
  <si>
    <t>⚠  Results update automatically when search parameters change in the Smart Search tab.  Review all matches and apply engineering judgment before confirming schedules.</t>
  </si>
  <si>
    <t>DEMATIC  |  User Guide</t>
  </si>
  <si>
    <t xml:space="preserve">  HOW THE SMART SEARCH WORKS</t>
  </si>
  <si>
    <t xml:space="preserve">   Step 1:  Set Include? to YES for every system in your project, NO for the rest.</t>
  </si>
  <si>
    <t xml:space="preserve">   Step 2:  Enter your quantities for the included systems.</t>
  </si>
  <si>
    <t xml:space="preserve">   The tool automatically distributes equal weight across all active parameters and ranks the database.</t>
  </si>
  <si>
    <t xml:space="preserve">   No manual weights or percentages needed — just select and type.</t>
  </si>
  <si>
    <t xml:space="preserve">  MATCH SCORE EXPLAINED</t>
  </si>
  <si>
    <t xml:space="preserve">   For each active parameter:  Score = 1 – |DB value – your value| / MAX(|DB value|, |your value|)  (minimum 0)</t>
  </si>
  <si>
    <t xml:space="preserve">   All active parameters receive equal weight.  Final score = average of all active parameter scores.</t>
  </si>
  <si>
    <t xml:space="preserve">   If both the DB and your input are zero or blank for a parameter, it scores as a perfect match (both have none).</t>
  </si>
  <si>
    <t xml:space="preserve">   Projects with unwanted systems are penalised: 25% per extra core system (MS/AS/PS/SRM), 25% for conveyors (ancillary). Multiplicative.</t>
  </si>
  <si>
    <t xml:space="preserve">   Equal scores are resolved by row order (earlier entries ranked higher) to prevent duplicate results.</t>
  </si>
  <si>
    <t xml:space="preserve">  SYSTEMS SUPPORTED</t>
  </si>
  <si>
    <t xml:space="preserve">   Multishuttle    — Shuttles + Tote Locations</t>
  </si>
  <si>
    <t xml:space="preserve">   AutoStore       — Robots + Tote Locations</t>
  </si>
  <si>
    <t xml:space="preserve">   Pallet Shuttle  — Shuttles + Pallet Locations</t>
  </si>
  <si>
    <t xml:space="preserve">   SRM Crane       — Cranes + Pallet Locations</t>
  </si>
  <si>
    <t xml:space="preserve">   Conveyors       — Case Conveyor (m) + Pallet Conveyor (m)</t>
  </si>
  <si>
    <t xml:space="preserve">  ADDING A PROJECT TO THE DATABASE</t>
  </si>
  <si>
    <t xml:space="preserve">   1.  Go to 'Project Database' and fill in the next empty row.</t>
  </si>
  <si>
    <t xml:space="preserve">   2.  Enter data only for systems used — leave other system columns blank.</t>
  </si>
  <si>
    <t xml:space="preserve">   3.  All schedule phases are in WEEKS.</t>
  </si>
  <si>
    <t xml:space="preserve">   4.  Total Timeline auto-calculates: MAX(engineering phases) + Installation + Commissioning.</t>
  </si>
  <si>
    <t xml:space="preserve">   5.  Project Value is in MILLIONS — enter a number only (22.9), not '22.9M'. Select Currency from the dropdown.</t>
  </si>
  <si>
    <t xml:space="preserve">   6.  Select the Solution Type from the dropdown in column D.</t>
  </si>
  <si>
    <t xml:space="preserve">  MANHOUR COST (% OF PROJECT COST)</t>
  </si>
  <si>
    <t xml:space="preserve">   Database columns AC–AP hold fourteen manhour cost categories, each as a % of project cost:</t>
  </si>
  <si>
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</si>
  <si>
    <t xml:space="preserve">   Enter these as percentages (type 5% or 0.05 — not 5). Values must be between 0% and 100%.</t>
  </si>
  <si>
    <t xml:space="preserve">   Smart Search shows all fourteen categories individually in the Estimated Schedule section,</t>
  </si>
  <si>
    <t xml:space="preserve">   below Project Value, as a % of the closest match's project cost.</t>
  </si>
  <si>
    <t xml:space="preserve">   A project with no manhour data entered (blank or 0) shows 0.0% for every category — check the TOTAL row.</t>
  </si>
  <si>
    <t>OPTIONAL SEARCH FILTERS</t>
  </si>
  <si>
    <t>Use the four optional filters beside the Smart Search inputs. Blank or All includes all projects.</t>
  </si>
  <si>
    <t>Solution Type and Won status: select a dropdown value. Year: enter an exact year (2000-2099), or clear it.</t>
  </si>
  <si>
    <t>Region: enter text found in Client / Region, e.g. ME matches Turkey ME and KSA ME. Matching ignores letter case.</t>
  </si>
  <si>
    <t>All selected filters must match. Projects with missing data are excluded only when that field is filtered.</t>
  </si>
  <si>
    <t>The top five, closest-match estimate and top-three comparison all use the filtered results.</t>
  </si>
  <si>
    <t>If no projects match, broaden or clear filters. Populate Solution Type in the database before filtering by it.</t>
  </si>
  <si>
    <t>Others/complex</t>
  </si>
  <si>
    <t>Pallet Hotel</t>
  </si>
  <si>
    <t>LF Phoenix ASRS</t>
  </si>
  <si>
    <t>% of Project Cost</t>
  </si>
  <si>
    <t>Manhour Cost (% of Project Cost)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</si>
</sst>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&quot; M&quot;"/>
    <numFmt numFmtId="165" formatCode="0.0%"/>
  </numFmts>
  <fonts count="37" x14ac:knownFonts="1">
    <font>
      <sz val="11"/>
      <color theme="1"/>
      <name val="Calibri"/>
      <family val="2"/>
      <charset val="1"/>
    </font>
    <font>
      <b/>
      <sz val="15"/>
      <color rgb="FFFBBC1E"/>
      <name val="Arial"/>
      <family val="2"/>
      <charset val="1"/>
    </font>
    <font>
      <b/>
      <sz val="9"/>
      <color rgb="FFFFFFFF"/>
      <name val="Arial"/>
      <family val="2"/>
      <charset val="1"/>
    </font>
    <font>
      <sz val="8"/>
      <color rgb="FF1D1D1B"/>
      <name val="Arial"/>
      <family val="2"/>
      <charset val="1"/>
    </font>
    <font>
      <b/>
      <sz val="9"/>
      <color rgb="FFFBBC1E"/>
      <name val="Arial"/>
      <family val="2"/>
      <charset val="1"/>
    </font>
    <font>
      <i/>
      <sz val="8"/>
      <color rgb="FFFFFFFF"/>
      <name val="Arial"/>
      <family val="2"/>
      <charset val="1"/>
    </font>
    <font>
      <i/>
      <sz val="8"/>
      <color rgb="FFFBBC1E"/>
      <name val="Arial"/>
      <family val="2"/>
      <charset val="1"/>
    </font>
    <font>
      <sz val="9"/>
      <color rgb="FF1D1D1B"/>
      <name val="Arial"/>
      <family val="2"/>
      <charset val="1"/>
    </font>
    <font>
      <b/>
      <sz val="9"/>
      <color rgb="FF1D1D1B"/>
      <name val="Arial"/>
      <family val="2"/>
      <charset val="1"/>
    </font>
    <font>
      <b/>
      <sz val="9"/>
      <color rgb="FFC00000"/>
      <name val="Arial"/>
      <family val="2"/>
      <charset val="1"/>
    </font>
    <font>
      <i/>
      <sz val="9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1"/>
      <color rgb="FF1D1D1B"/>
      <name val="Arial"/>
      <family val="2"/>
      <charset val="1"/>
    </font>
    <font>
      <sz val="10"/>
      <color rgb="FF1D1D1B"/>
      <name val="Arial"/>
      <family val="2"/>
      <charset val="1"/>
    </font>
    <font>
      <sz val="9"/>
      <name val="Arial"/>
      <family val="2"/>
      <charset val="1"/>
    </font>
    <font>
      <b/>
      <sz val="10"/>
      <color rgb="FFFBBC1E"/>
      <name val="Arial"/>
      <family val="2"/>
      <charset val="1"/>
    </font>
    <font>
      <sz val="7"/>
      <color rgb="FFCCCCCC"/>
      <name val="Arial"/>
      <family val="2"/>
      <charset val="1"/>
    </font>
    <font>
      <b/>
      <sz val="9"/>
      <color theme="2" tint="-0.89999084444715716"/>
      <name val="Arial"/>
      <family val="2"/>
      <charset val="1"/>
    </font>
    <font>
      <b/>
      <sz val="11"/>
      <color rgb="FFFBBC1E"/>
      <name val="Arial"/>
      <family val="2"/>
      <charset val="1"/>
    </font>
    <font>
      <b/>
      <sz val="8"/>
      <color rgb="FFFBBC1E"/>
      <name val="Arial"/>
      <family val="2"/>
      <charset val="1"/>
    </font>
    <font>
      <b/>
      <sz val="10"/>
      <color rgb="FF1D1D1B"/>
      <name val="Arial"/>
      <family val="2"/>
      <charset val="1"/>
    </font>
    <font>
      <sz val="10"/>
      <color rgb="FF2E2E2C"/>
      <name val="Arial"/>
      <family val="2"/>
      <charset val="1"/>
    </font>
    <font>
      <b/>
      <sz val="12"/>
      <color rgb="FFC8931A"/>
      <name val="Arial"/>
      <family val="2"/>
      <charset val="1"/>
    </font>
    <font>
      <b/>
      <sz val="12"/>
      <color rgb="FF1D1D1B"/>
      <name val="Arial"/>
      <family val="2"/>
      <charset val="1"/>
    </font>
    <font>
      <i/>
      <sz val="9"/>
      <color rgb="FF1D1D1B"/>
      <name val="Arial"/>
      <family val="2"/>
      <charset val="1"/>
    </font>
    <font>
      <b/>
      <sz val="12"/>
      <color rgb="FFC8931A"/>
      <name val="Courier New"/>
      <family val="3"/>
      <charset val="1"/>
    </font>
    <font>
      <i/>
      <sz val="8"/>
      <color rgb="FF1D1D1B"/>
      <name val="Arial"/>
      <family val="2"/>
      <charset val="1"/>
    </font>
    <font>
      <b/>
      <sz val="8"/>
      <color rgb="FF666666"/>
      <name val="Arial"/>
      <family val="2"/>
      <charset val="1"/>
    </font>
    <font>
      <sz val="8"/>
      <name val="Arial"/>
      <family val="2"/>
      <charset val="1"/>
    </font>
    <font>
      <b/>
      <sz val="12"/>
      <color rgb="FFFBBC1E"/>
      <name val="Arial"/>
      <family val="2"/>
      <charset val="1"/>
    </font>
    <font>
      <b/>
      <sz val="14"/>
      <color rgb="FF1D1D1B"/>
      <name val="Arial"/>
      <family val="2"/>
      <charset val="1"/>
    </font>
    <font>
      <b/>
      <sz val="14"/>
      <color rgb="FFFBBC1E"/>
      <name val="Arial"/>
      <family val="2"/>
      <charset val="1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0"/>
      <color rgb="FF555555"/>
      <name val="Arial"/>
      <family val="2"/>
    </font>
    <font>
      <b/>
      <sz val="10"/>
      <color rgb="FF222222"/>
      <name val="Arial"/>
      <family val="2"/>
    </font>
    <font>
      <sz val="11"/>
      <color rgb="FFFF0000"/>
      <name val="Calibri"/>
      <family val="2"/>
      <charset val="1"/>
    </font>
  </fonts>
  <fills count="28">
    <fill>
      <patternFill patternType="none"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 patternType="none"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</fills>
  <borders count="30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1" fillId="2" borderId="0" xfId="0" applyFont="1" applyFill="1" applyAlignment="1">
      <alignment vertical="center"/>
    </xf>
    <xf numFmtId="0" fontId="14" fillId="14" borderId="0" xfId="0" applyFont="1" applyFill="1"/>
    <xf numFmtId="0" fontId="14" fillId="0" borderId="0" xfId="0" applyFont="1"/>
    <xf numFmtId="0" fontId="27" fillId="0" borderId="0" xfId="0" applyFont="1"/>
    <xf numFmtId="0" fontId="28" fillId="0" borderId="0" xfId="0" applyFont="1"/>
    <xf numFmtId="0" fontId="0" fillId="2" borderId="0" xfId="0" applyFill="1"/>
    <xf numFmtId="0" fontId="0" fillId="12" borderId="0" xfId="0" applyFill="1"/>
    <xf numFmtId="0" fontId="0" fillId="14" borderId="0" xfId="0" applyFill="1"/>
    <xf numFmtId="0" fontId="0" fillId="9" borderId="0" xfId="0" applyFill="1"/>
    <xf numFmtId="0" fontId="0" fillId="22" borderId="0" xfId="0" applyFill="1"/>
    <xf numFmtId="0" fontId="7" fillId="0" borderId="0" xfId="0" applyFont="1" applyAlignment="1">
      <alignment horizontal="left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2" borderId="5" xfId="0" applyFill="1" applyBorder="1"/>
    <xf numFmtId="0" fontId="0" fillId="5" borderId="5" xfId="0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  <xf numFmtId="0" fontId="0" fillId="9" borderId="5" xfId="0" applyFill="1" applyBorder="1"/>
    <xf numFmtId="0" fontId="0" fillId="10" borderId="5" xfId="0" applyFill="1" applyBorder="1"/>
    <xf numFmtId="0" fontId="0" fillId="3" borderId="5" xfId="0" applyFill="1" applyBorder="1"/>
    <xf numFmtId="0" fontId="2" fillId="3" borderId="18" xfId="0" applyFont="1" applyFill="1" applyBorder="1" applyAlignment="1">
      <alignment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4" fillId="11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7" fillId="12" borderId="8" xfId="0" applyFont="1" applyFill="1" applyBorder="1" applyAlignment="1">
      <alignment horizontal="left" vertical="center" wrapText="1"/>
    </xf>
    <xf numFmtId="0" fontId="7" fillId="12" borderId="8" xfId="0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horizontal="center" vertical="center" wrapText="1"/>
    </xf>
    <xf numFmtId="164" fontId="7" fillId="12" borderId="8" xfId="0" applyNumberFormat="1" applyFont="1" applyFill="1" applyBorder="1" applyAlignment="1">
      <alignment horizontal="center" vertical="center" wrapText="1"/>
    </xf>
    <xf numFmtId="0" fontId="9" fillId="12" borderId="8" xfId="0" applyFont="1" applyFill="1" applyBorder="1" applyAlignment="1">
      <alignment horizontal="center" vertical="center" wrapText="1"/>
    </xf>
    <xf numFmtId="165" fontId="7" fillId="12" borderId="9" xfId="0" applyNumberFormat="1" applyFont="1" applyFill="1" applyBorder="1" applyAlignment="1">
      <alignment horizontal="center" vertical="center" wrapText="1"/>
    </xf>
    <xf numFmtId="0" fontId="7" fillId="14" borderId="8" xfId="0" applyFont="1" applyFill="1" applyBorder="1" applyAlignment="1">
      <alignment horizontal="left" vertical="center" wrapText="1"/>
    </xf>
    <xf numFmtId="0" fontId="7" fillId="14" borderId="8" xfId="0" applyFont="1" applyFill="1" applyBorder="1" applyAlignment="1">
      <alignment horizontal="center" vertical="center" wrapText="1"/>
    </xf>
    <xf numFmtId="164" fontId="7" fillId="14" borderId="8" xfId="0" applyNumberFormat="1" applyFont="1" applyFill="1" applyBorder="1" applyAlignment="1">
      <alignment horizontal="center" vertical="center" wrapText="1"/>
    </xf>
    <xf numFmtId="0" fontId="9" fillId="14" borderId="8" xfId="0" applyFont="1" applyFill="1" applyBorder="1" applyAlignment="1">
      <alignment horizontal="center" vertical="center" wrapText="1"/>
    </xf>
    <xf numFmtId="165" fontId="7" fillId="14" borderId="8" xfId="0" applyNumberFormat="1" applyFont="1" applyFill="1" applyBorder="1" applyAlignment="1">
      <alignment horizontal="center" vertical="center" wrapText="1"/>
    </xf>
    <xf numFmtId="165" fontId="7" fillId="12" borderId="8" xfId="0" applyNumberFormat="1" applyFont="1" applyFill="1" applyBorder="1" applyAlignment="1">
      <alignment horizontal="center" vertical="center" wrapText="1"/>
    </xf>
    <xf numFmtId="0" fontId="8" fillId="9" borderId="4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left" vertical="center" wrapText="1"/>
    </xf>
    <xf numFmtId="0" fontId="12" fillId="15" borderId="10" xfId="0" applyFont="1" applyFill="1" applyBorder="1" applyAlignment="1" applyProtection="1">
      <alignment horizontal="center" vertical="center" wrapText="1"/>
      <protection locked="0"/>
    </xf>
    <xf numFmtId="0" fontId="7" fillId="16" borderId="8" xfId="0" applyFont="1" applyFill="1" applyBorder="1" applyAlignment="1">
      <alignment horizontal="left" vertical="center" wrapText="1"/>
    </xf>
    <xf numFmtId="0" fontId="13" fillId="15" borderId="10" xfId="0" applyFont="1" applyFill="1" applyBorder="1" applyAlignment="1" applyProtection="1">
      <alignment horizontal="center" vertical="center" wrapText="1"/>
      <protection locked="0"/>
    </xf>
    <xf numFmtId="3" fontId="13" fillId="15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left" vertical="center" wrapText="1"/>
    </xf>
    <xf numFmtId="0" fontId="11" fillId="7" borderId="4" xfId="0" applyFont="1" applyFill="1" applyBorder="1" applyAlignment="1">
      <alignment horizontal="left" vertical="center" wrapText="1"/>
    </xf>
    <xf numFmtId="0" fontId="11" fillId="8" borderId="4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3" fontId="13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7" fillId="16" borderId="12" xfId="0" applyFont="1" applyFill="1" applyBorder="1" applyAlignment="1">
      <alignment horizontal="left" vertical="center" wrapText="1"/>
    </xf>
    <xf numFmtId="0" fontId="0" fillId="17" borderId="5" xfId="0" applyFill="1" applyBorder="1"/>
    <xf numFmtId="0" fontId="15" fillId="17" borderId="4" xfId="0" applyFont="1" applyFill="1" applyBorder="1" applyAlignment="1">
      <alignment horizontal="left" vertical="center" wrapText="1"/>
    </xf>
    <xf numFmtId="0" fontId="7" fillId="16" borderId="13" xfId="0" applyFont="1" applyFill="1" applyBorder="1" applyAlignment="1">
      <alignment horizontal="left" vertical="center" wrapText="1"/>
    </xf>
    <xf numFmtId="0" fontId="16" fillId="20" borderId="15" xfId="0" applyFont="1" applyFill="1" applyBorder="1"/>
    <xf numFmtId="0" fontId="12" fillId="4" borderId="8" xfId="0" applyFont="1" applyFill="1" applyBorder="1" applyAlignment="1">
      <alignment horizontal="center" vertical="center" wrapText="1"/>
    </xf>
    <xf numFmtId="0" fontId="8" fillId="13" borderId="8" xfId="0" applyFont="1" applyFill="1" applyBorder="1" applyAlignment="1">
      <alignment horizontal="left" vertical="center" wrapText="1"/>
    </xf>
    <xf numFmtId="9" fontId="8" fillId="13" borderId="8" xfId="0" applyNumberFormat="1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9" fontId="7" fillId="12" borderId="8" xfId="0" applyNumberFormat="1" applyFont="1" applyFill="1" applyBorder="1" applyAlignment="1">
      <alignment horizontal="center" vertical="center" wrapText="1"/>
    </xf>
    <xf numFmtId="9" fontId="7" fillId="14" borderId="8" xfId="0" applyNumberFormat="1" applyFont="1" applyFill="1" applyBorder="1" applyAlignment="1">
      <alignment horizontal="center" vertical="center" wrapText="1"/>
    </xf>
    <xf numFmtId="0" fontId="28" fillId="0" borderId="8" xfId="0" applyFont="1" applyBorder="1"/>
    <xf numFmtId="164" fontId="28" fillId="0" borderId="8" xfId="0" applyNumberFormat="1" applyFont="1" applyBorder="1"/>
    <xf numFmtId="0" fontId="36" fillId="22" borderId="0" xfId="0" applyFont="1" applyFill="1"/>
    <xf numFmtId="0" fontId="5" fillId="5" borderId="6" xfId="0" applyFont="1" applyFill="1" applyBorder="1" applyAlignment="1">
      <alignment horizontal="center" vertical="center" wrapText="1"/>
    </xf>
    <xf numFmtId="0" fontId="0" fillId="0" borderId="19" xfId="0" applyBorder="1"/>
    <xf numFmtId="0" fontId="2" fillId="6" borderId="3" xfId="0" applyFont="1" applyFill="1" applyBorder="1" applyAlignment="1">
      <alignment horizontal="center" vertical="center" wrapText="1"/>
    </xf>
    <xf numFmtId="0" fontId="0" fillId="0" borderId="20" xfId="0" applyBorder="1"/>
    <xf numFmtId="0" fontId="3" fillId="4" borderId="0" xfId="0" applyFont="1" applyFill="1" applyAlignment="1">
      <alignment horizontal="center" vertical="center" wrapText="1"/>
    </xf>
    <xf numFmtId="0" fontId="0" fillId="0" borderId="0" xfId="0"/>
    <xf numFmtId="0" fontId="6" fillId="11" borderId="6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4" fillId="2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0" borderId="21" xfId="0" applyBorder="1"/>
    <xf numFmtId="0" fontId="2" fillId="7" borderId="3" xfId="0" applyFont="1" applyFill="1" applyBorder="1" applyAlignment="1">
      <alignment horizontal="center" vertical="center" wrapText="1"/>
    </xf>
    <xf numFmtId="0" fontId="2" fillId="9" borderId="3" xfId="0" applyFont="1" applyFill="1" applyBorder="1" applyAlignment="1">
      <alignment horizontal="center" vertical="center" wrapText="1"/>
    </xf>
    <xf numFmtId="0" fontId="17" fillId="14" borderId="0" xfId="0" applyFont="1" applyFill="1" applyAlignment="1">
      <alignment horizontal="left" vertical="center" wrapText="1"/>
    </xf>
    <xf numFmtId="0" fontId="4" fillId="9" borderId="16" xfId="0" applyFont="1" applyFill="1" applyBorder="1" applyAlignment="1">
      <alignment horizontal="center" vertical="center" wrapText="1"/>
    </xf>
    <xf numFmtId="0" fontId="0" fillId="0" borderId="24" xfId="0" applyBorder="1"/>
    <xf numFmtId="0" fontId="11" fillId="21" borderId="3" xfId="0" applyFont="1" applyFill="1" applyBorder="1" applyAlignment="1">
      <alignment horizontal="left" vertical="center" wrapText="1"/>
    </xf>
    <xf numFmtId="0" fontId="8" fillId="14" borderId="13" xfId="0" applyFont="1" applyFill="1" applyBorder="1" applyAlignment="1">
      <alignment horizontal="left" vertical="center" wrapText="1"/>
    </xf>
    <xf numFmtId="0" fontId="0" fillId="0" borderId="23" xfId="0" applyBorder="1"/>
    <xf numFmtId="0" fontId="21" fillId="16" borderId="13" xfId="0" applyFont="1" applyFill="1" applyBorder="1" applyAlignment="1">
      <alignment horizontal="left" vertical="center" wrapText="1"/>
    </xf>
    <xf numFmtId="165" fontId="22" fillId="15" borderId="17" xfId="0" applyNumberFormat="1" applyFont="1" applyFill="1" applyBorder="1" applyAlignment="1">
      <alignment horizontal="center" vertical="center" wrapText="1"/>
    </xf>
    <xf numFmtId="0" fontId="0" fillId="0" borderId="22" xfId="0" applyBorder="1"/>
    <xf numFmtId="0" fontId="11" fillId="5" borderId="3" xfId="0" applyFont="1" applyFill="1" applyBorder="1" applyAlignment="1">
      <alignment horizontal="left" vertical="center" wrapText="1"/>
    </xf>
    <xf numFmtId="0" fontId="25" fillId="14" borderId="13" xfId="0" applyFont="1" applyFill="1" applyBorder="1" applyAlignment="1">
      <alignment horizontal="left" vertical="center" wrapText="1"/>
    </xf>
    <xf numFmtId="0" fontId="33" fillId="27" borderId="27" xfId="0" applyFont="1" applyFill="1" applyBorder="1" applyAlignment="1">
      <alignment vertical="center"/>
    </xf>
    <xf numFmtId="0" fontId="33" fillId="27" borderId="28" xfId="0" applyFont="1" applyFill="1" applyBorder="1" applyAlignment="1">
      <alignment vertical="center"/>
    </xf>
    <xf numFmtId="0" fontId="33" fillId="27" borderId="29" xfId="0" applyFont="1" applyFill="1" applyBorder="1" applyAlignment="1">
      <alignment vertical="center"/>
    </xf>
    <xf numFmtId="0" fontId="34" fillId="24" borderId="1" xfId="0" applyFont="1" applyFill="1" applyBorder="1" applyAlignment="1">
      <alignment vertical="center" wrapText="1"/>
    </xf>
    <xf numFmtId="0" fontId="34" fillId="23" borderId="1" xfId="0" applyFont="1" applyFill="1" applyBorder="1" applyAlignment="1">
      <alignment vertical="center" wrapText="1"/>
    </xf>
    <xf numFmtId="9" fontId="12" fillId="4" borderId="17" xfId="0" applyNumberFormat="1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2" fillId="18" borderId="0" xfId="0" applyFont="1" applyFill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3" fillId="16" borderId="13" xfId="0" applyFont="1" applyFill="1" applyBorder="1" applyAlignment="1">
      <alignment horizontal="left" vertical="center" wrapText="1"/>
    </xf>
    <xf numFmtId="0" fontId="19" fillId="9" borderId="16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left" vertical="center" wrapText="1"/>
    </xf>
    <xf numFmtId="0" fontId="25" fillId="12" borderId="13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/>
    </xf>
    <xf numFmtId="0" fontId="22" fillId="15" borderId="17" xfId="0" applyFont="1" applyFill="1" applyBorder="1" applyAlignment="1">
      <alignment horizontal="center" vertical="center" wrapText="1"/>
    </xf>
    <xf numFmtId="165" fontId="23" fillId="4" borderId="17" xfId="0" applyNumberFormat="1" applyFont="1" applyFill="1" applyBorder="1" applyAlignment="1">
      <alignment horizontal="center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2" fillId="4" borderId="17" xfId="0" applyFont="1" applyFill="1" applyBorder="1" applyAlignment="1">
      <alignment horizontal="center" vertical="center" wrapText="1"/>
    </xf>
    <xf numFmtId="0" fontId="2" fillId="19" borderId="0" xfId="0" applyFont="1" applyFill="1" applyAlignment="1">
      <alignment horizontal="center" vertical="center" wrapText="1"/>
    </xf>
    <xf numFmtId="0" fontId="20" fillId="4" borderId="13" xfId="0" applyFont="1" applyFill="1" applyBorder="1" applyAlignment="1">
      <alignment horizontal="left" vertical="center" wrapText="1"/>
    </xf>
    <xf numFmtId="0" fontId="15" fillId="2" borderId="0" xfId="0" applyFont="1" applyFill="1" applyAlignment="1">
      <alignment horizontal="left" vertical="center" wrapText="1"/>
    </xf>
    <xf numFmtId="0" fontId="32" fillId="25" borderId="1" xfId="0" applyFont="1" applyFill="1" applyBorder="1" applyAlignment="1">
      <alignment vertical="center"/>
    </xf>
    <xf numFmtId="0" fontId="33" fillId="26" borderId="1" xfId="0" applyFont="1" applyFill="1" applyBorder="1" applyAlignment="1">
      <alignment vertical="center"/>
    </xf>
    <xf numFmtId="0" fontId="13" fillId="15" borderId="14" xfId="0" applyFont="1" applyFill="1" applyBorder="1" applyAlignment="1" applyProtection="1">
      <alignment horizontal="left" vertical="center" wrapText="1"/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1" fontId="33" fillId="27" borderId="27" xfId="0" applyNumberFormat="1" applyFont="1" applyFill="1" applyBorder="1" applyAlignment="1">
      <alignment vertical="center"/>
    </xf>
    <xf numFmtId="0" fontId="26" fillId="16" borderId="0" xfId="0" applyFont="1" applyFill="1" applyAlignment="1">
      <alignment horizontal="left" vertical="center" wrapText="1"/>
    </xf>
    <xf numFmtId="0" fontId="8" fillId="12" borderId="13" xfId="0" applyFont="1" applyFill="1" applyBorder="1" applyAlignment="1">
      <alignment horizontal="left" vertical="center" wrapText="1"/>
    </xf>
    <xf numFmtId="0" fontId="23" fillId="15" borderId="17" xfId="0" applyFont="1" applyFill="1" applyBorder="1" applyAlignment="1">
      <alignment horizontal="center" vertical="center" wrapText="1"/>
    </xf>
    <xf numFmtId="0" fontId="4" fillId="9" borderId="16" xfId="0" applyFont="1" applyFill="1" applyBorder="1" applyAlignment="1">
      <alignment horizontal="left" vertical="center" wrapText="1"/>
    </xf>
    <xf numFmtId="0" fontId="20" fillId="13" borderId="17" xfId="0" applyFont="1" applyFill="1" applyBorder="1" applyAlignment="1">
      <alignment horizontal="center" vertical="center" wrapText="1"/>
    </xf>
    <xf numFmtId="0" fontId="35" fillId="23" borderId="1" xfId="0" applyFont="1" applyFill="1" applyBorder="1" applyAlignment="1">
      <alignment vertical="center" wrapText="1"/>
    </xf>
    <xf numFmtId="0" fontId="20" fillId="13" borderId="17" xfId="0" applyFont="1" applyFill="1" applyBorder="1" applyAlignment="1">
      <alignment horizontal="left" vertical="center" wrapText="1"/>
    </xf>
    <xf numFmtId="0" fontId="11" fillId="6" borderId="3" xfId="0" applyFont="1" applyFill="1" applyBorder="1" applyAlignment="1">
      <alignment horizontal="left" vertical="center" wrapText="1"/>
    </xf>
    <xf numFmtId="0" fontId="11" fillId="17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2" fillId="4" borderId="13" xfId="0" applyFont="1" applyFill="1" applyBorder="1" applyAlignment="1">
      <alignment horizontal="left" vertical="center" wrapText="1"/>
    </xf>
    <xf numFmtId="0" fontId="13" fillId="15" borderId="13" xfId="0" applyFont="1" applyFill="1" applyBorder="1" applyAlignment="1">
      <alignment horizontal="center" vertical="center" wrapText="1"/>
    </xf>
    <xf numFmtId="0" fontId="13" fillId="16" borderId="13" xfId="0" applyFont="1" applyFill="1" applyBorder="1" applyAlignment="1">
      <alignment horizontal="center" vertical="center" wrapText="1"/>
    </xf>
    <xf numFmtId="0" fontId="7" fillId="14" borderId="13" xfId="0" applyFont="1" applyFill="1" applyBorder="1" applyAlignment="1">
      <alignment horizontal="left" vertical="center" wrapText="1"/>
    </xf>
    <xf numFmtId="0" fontId="13" fillId="12" borderId="13" xfId="0" applyFont="1" applyFill="1" applyBorder="1" applyAlignment="1">
      <alignment horizontal="center" vertical="center" wrapText="1"/>
    </xf>
    <xf numFmtId="0" fontId="4" fillId="9" borderId="0" xfId="0" applyFont="1" applyFill="1" applyAlignment="1">
      <alignment horizontal="left" vertical="center" wrapText="1"/>
    </xf>
    <xf numFmtId="0" fontId="7" fillId="12" borderId="13" xfId="0" applyFont="1" applyFill="1" applyBorder="1" applyAlignment="1">
      <alignment horizontal="left" vertical="center" wrapText="1"/>
    </xf>
    <xf numFmtId="0" fontId="30" fillId="13" borderId="3" xfId="0" applyFont="1" applyFill="1" applyBorder="1" applyAlignment="1">
      <alignment horizontal="center" vertical="center" wrapText="1"/>
    </xf>
    <xf numFmtId="0" fontId="29" fillId="9" borderId="0" xfId="0" applyFont="1" applyFill="1" applyAlignment="1">
      <alignment horizontal="left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23" fillId="13" borderId="0" xfId="0" applyFont="1" applyFill="1" applyAlignment="1">
      <alignment horizontal="left" vertical="center" wrapText="1"/>
    </xf>
    <xf numFmtId="0" fontId="24" fillId="13" borderId="0" xfId="0" applyFont="1" applyFill="1" applyAlignment="1">
      <alignment horizontal="left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 indent="1"/>
    </xf>
    <xf numFmtId="0" fontId="23" fillId="4" borderId="0" xfId="0" applyFont="1" applyFill="1" applyAlignment="1">
      <alignment horizontal="left" vertical="center" wrapText="1"/>
    </xf>
    <xf numFmtId="0" fontId="2" fillId="9" borderId="16" xfId="0" applyFont="1" applyFill="1" applyBorder="1" applyAlignment="1">
      <alignment horizontal="left" vertical="center" wrapText="1"/>
    </xf>
    <xf numFmtId="0" fontId="23" fillId="4" borderId="13" xfId="0" applyFont="1" applyFill="1" applyBorder="1" applyAlignment="1">
      <alignment horizontal="center" vertical="center" wrapText="1"/>
    </xf>
    <xf numFmtId="0" fontId="29" fillId="9" borderId="13" xfId="0" applyFont="1" applyFill="1" applyBorder="1" applyAlignment="1">
      <alignment horizontal="center" vertical="center" wrapText="1"/>
    </xf>
    <xf numFmtId="0" fontId="31" fillId="9" borderId="3" xfId="0" applyFont="1" applyFill="1" applyBorder="1" applyAlignment="1">
      <alignment horizontal="center" vertical="center" wrapText="1"/>
    </xf>
    <xf numFmtId="0" fontId="0" fillId="2" borderId="0" xfId="0" applyFill="1"/>
    <xf numFmtId="0" fontId="7" fillId="0" borderId="0" xfId="0" applyFont="1" applyAlignment="1">
      <alignment horizontal="left" vertical="center" wrapText="1"/>
    </xf>
  </cellXfs>
  <cellStyles count="1">
    <cellStyle name="Normal" xfId="0" builtinId="0"/>
  </cellStyles>
  <dxfs count="3">
    <dxf>
      <font>
        <b/>
        <color rgb="FF7F4000"/>
      </font>
      <fill>
        <patternFill>
          <bgColor rgb="FFFFF3CD"/>
        </patternFill>
      </fill>
    </dxf>
    <dxf>
      <font>
        <b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5" dT="2026-08-27T01:56:43.02" personId="{BE8A153B-FB32-44A0-B175-14E1F655B442}" id="{D697F934-33A5-4362-8F8A-FBBF7074724E}">
    <text xml:space="preserve">Task No - 5000
</text>
  </threadedComment>
  <threadedComment ref="AD5" dT="2026-08-27T01:56:54.04" personId="{BE8A153B-FB32-44A0-B175-14E1F655B442}" id="{E0DBF5F8-7F49-4118-8720-97AB7CA0C788}">
    <text xml:space="preserve">Task Number 7300
</text>
  </threadedComment>
  <threadedComment ref="AE5" dT="2026-08-27T01:57:38.16" personId="{BE8A153B-FB32-44A0-B175-14E1F655B442}" id="{5F2C9931-CFCE-4CBB-AF48-4424C6C74487}">
    <text>Task No - 6100</text>
  </threadedComment>
  <threadedComment ref="AF5" dT="2026-08-27T01:57:54.35" personId="{BE8A153B-FB32-44A0-B175-14E1F655B442}" id="{B5BDC888-C10A-4BA0-9A4D-36C557B0FE11}">
    <text>Task No - 6200</text>
  </threadedComment>
  <threadedComment ref="AG5" dT="2026-08-27T01:58:26.72" personId="{BE8A153B-FB32-44A0-B175-14E1F655B442}" id="{29719A38-F856-43BC-9D87-6CAA8B958DCF}">
    <text>Task No - 6300</text>
  </threadedComment>
  <threadedComment ref="AH5" dT="2026-08-27T01:58:46.30" personId="{BE8A153B-FB32-44A0-B175-14E1F655B442}" id="{925DBB45-B3A5-4118-B786-1CD08A46CD9F}">
    <text>Task No - 6400</text>
  </threadedComment>
  <threadedComment ref="AI5" dT="2026-08-27T01:59:07.13" personId="{BE8A153B-FB32-44A0-B175-14E1F655B442}" id="{8D61AD9F-B5B4-46C7-9366-1CD91C795959}">
    <text>Task No - 6500 6510 6520 6530</text>
  </threadedComment>
  <threadedComment ref="AJ5" dT="2026-08-27T01:59:31.95" personId="{BE8A153B-FB32-44A0-B175-14E1F655B442}" id="{2012CEBF-9DA0-46AB-990E-ACDEECDFBAF5}">
    <text xml:space="preserve">Task No - 6600 </text>
  </threadedComment>
  <threadedComment ref="AK5" dT="2026-08-27T02:01:02.91" personId="{BE8A153B-FB32-44A0-B175-14E1F655B442}" id="{C73F9FBE-F06A-459E-9927-9E8A69C8F17D}">
    <text>Task No 6620</text>
  </threadedComment>
  <threadedComment ref="AL5" dT="2026-08-27T02:01:21.72" personId="{BE8A153B-FB32-44A0-B175-14E1F655B442}" id="{24D4C3A5-822B-421F-8CCA-89DA8714184B}">
    <text>Task No - 6630</text>
  </threadedComment>
  <threadedComment ref="AM5" dT="2026-08-27T02:01:39.51" personId="{BE8A153B-FB32-44A0-B175-14E1F655B442}" id="{12533FAD-5700-4564-B547-BEDCDD91B6D0}">
    <text>Task No - 7000</text>
  </threadedComment>
  <threadedComment ref="AN5" dT="2026-08-27T02:01:55.86" personId="{BE8A153B-FB32-44A0-B175-14E1F655B442}" id="{44924316-329F-41A6-ACF0-CA4CD4C3E125}">
    <text>Task No - 7100 7150</text>
  </threadedComment>
  <threadedComment ref="AO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D1D1B"/>
  </sheetPr>
  <dimension ref="A1:AQ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defaultColWidth="8.6640625" defaultRowHeight="14.4" x14ac:dyDescent="0.3"/>
  <cols>
    <col min="1" max="1" width="14" customWidth="1"/>
    <col min="2" max="2" width="28" customWidth="1"/>
    <col min="3" max="3" width="22" customWidth="1"/>
    <col min="4" max="4" width="18" customWidth="1"/>
    <col min="5" max="5" width="10" customWidth="1"/>
    <col min="6" max="6" width="9" customWidth="1"/>
    <col min="7" max="7" width="12" customWidth="1"/>
    <col min="8" max="8" width="14" customWidth="1"/>
    <col min="9" max="9" width="12" customWidth="1"/>
    <col min="10" max="10" width="14" customWidth="1"/>
    <col min="11" max="11" width="12" customWidth="1"/>
    <col min="12" max="12" width="14" customWidth="1"/>
    <col min="13" max="13" width="12" customWidth="1"/>
    <col min="14" max="14" width="14" customWidth="1"/>
    <col min="15" max="15" width="13" customWidth="1"/>
    <col min="17" max="17" width="11" customWidth="1"/>
    <col min="21" max="21" width="12" customWidth="1"/>
    <col min="23" max="23" width="13" customWidth="1"/>
    <col min="24" max="24" width="10" customWidth="1"/>
    <col min="25" max="25" width="14" customWidth="1"/>
    <col min="26" max="26" width="44.5546875" customWidth="1"/>
    <col min="27" max="27" width="50" customWidth="1"/>
    <col min="28" max="28" width="14" customWidth="1"/>
    <col min="29" max="29" width="11.33203125" customWidth="1"/>
    <col min="30" max="30" width="10.33203125" customWidth="1"/>
    <col min="31" max="31" width="8.44140625" customWidth="1"/>
    <col min="32" max="32" width="11" customWidth="1"/>
    <col min="33" max="33" width="13" customWidth="1"/>
    <col min="35" max="35" width="9.5546875" customWidth="1"/>
    <col min="36" max="36" width="17.33203125" customWidth="1"/>
    <col min="39" max="39" width="11.44140625" customWidth="1"/>
    <col min="41" max="41" width="10" customWidth="1"/>
  </cols>
  <sheetData>
    <row r="1" spans="1:43" ht="36" customHeight="1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76" t="s">
        <v>386</v>
      </c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</row>
    <row r="2" spans="1:43" ht="15.75" customHeight="1" x14ac:dyDescent="0.3">
      <c r="A2" s="79" t="s">
        <v>1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73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</row>
    <row r="3" spans="1:43" ht="21.75" customHeight="1" x14ac:dyDescent="0.3">
      <c r="A3" s="81" t="s">
        <v>2</v>
      </c>
      <c r="B3" s="72"/>
      <c r="C3" s="72"/>
      <c r="D3" s="72"/>
      <c r="E3" s="72"/>
      <c r="F3" s="72"/>
      <c r="G3" s="77" t="s">
        <v>3</v>
      </c>
      <c r="H3" s="72"/>
      <c r="I3" s="71" t="s">
        <v>4</v>
      </c>
      <c r="J3" s="72"/>
      <c r="K3" s="84" t="s">
        <v>5</v>
      </c>
      <c r="L3" s="72"/>
      <c r="M3" s="78" t="s">
        <v>6</v>
      </c>
      <c r="N3" s="72"/>
      <c r="O3" s="85" t="s">
        <v>7</v>
      </c>
      <c r="P3" s="72"/>
      <c r="Q3" s="77"/>
      <c r="R3" s="72"/>
      <c r="S3" s="72"/>
      <c r="T3" s="72"/>
      <c r="U3" s="72"/>
      <c r="V3" s="72"/>
      <c r="W3" s="12" t="s">
        <v>8</v>
      </c>
      <c r="X3" s="77" t="s">
        <v>9</v>
      </c>
      <c r="Y3" s="72"/>
      <c r="Z3" s="82" t="s">
        <v>10</v>
      </c>
      <c r="AA3" s="72"/>
      <c r="AB3" s="83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</row>
    <row r="4" spans="1:43" ht="13.5" customHeight="1" x14ac:dyDescent="0.3">
      <c r="A4" s="14"/>
      <c r="B4" s="14"/>
      <c r="C4" s="14"/>
      <c r="D4" s="14"/>
      <c r="E4" s="14"/>
      <c r="F4" s="14"/>
      <c r="G4" s="15"/>
      <c r="H4" s="15"/>
      <c r="I4" s="16"/>
      <c r="J4" s="16"/>
      <c r="K4" s="17"/>
      <c r="L4" s="17"/>
      <c r="M4" s="18"/>
      <c r="N4" s="18"/>
      <c r="O4" s="19"/>
      <c r="P4" s="19"/>
      <c r="Q4" s="69"/>
      <c r="R4" s="70"/>
      <c r="S4" s="70"/>
      <c r="T4" s="70"/>
      <c r="U4" s="75" t="s">
        <v>11</v>
      </c>
      <c r="V4" s="70"/>
      <c r="W4" s="20"/>
      <c r="X4" s="15"/>
      <c r="Y4" s="15"/>
      <c r="Z4" s="21"/>
      <c r="AA4" s="21"/>
      <c r="AB4" s="21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</row>
    <row r="5" spans="1:43" ht="36" customHeight="1" x14ac:dyDescent="0.3">
      <c r="A5" s="23" t="s">
        <v>12</v>
      </c>
      <c r="B5" s="23" t="s">
        <v>13</v>
      </c>
      <c r="C5" s="23" t="s">
        <v>14</v>
      </c>
      <c r="D5" s="23" t="s">
        <v>15</v>
      </c>
      <c r="E5" s="23" t="s">
        <v>16</v>
      </c>
      <c r="F5" s="23" t="s">
        <v>17</v>
      </c>
      <c r="G5" s="24" t="s">
        <v>18</v>
      </c>
      <c r="H5" s="24" t="s">
        <v>19</v>
      </c>
      <c r="I5" s="25" t="s">
        <v>20</v>
      </c>
      <c r="J5" s="25" t="s">
        <v>19</v>
      </c>
      <c r="K5" s="26" t="s">
        <v>18</v>
      </c>
      <c r="L5" s="26" t="s">
        <v>21</v>
      </c>
      <c r="M5" s="27" t="s">
        <v>22</v>
      </c>
      <c r="N5" s="27" t="s">
        <v>21</v>
      </c>
      <c r="O5" s="28" t="s">
        <v>23</v>
      </c>
      <c r="P5" s="28" t="s">
        <v>24</v>
      </c>
      <c r="Q5" s="24" t="s">
        <v>25</v>
      </c>
      <c r="R5" s="24" t="s">
        <v>26</v>
      </c>
      <c r="S5" s="24" t="s">
        <v>27</v>
      </c>
      <c r="T5" s="24" t="s">
        <v>28</v>
      </c>
      <c r="U5" s="29" t="s">
        <v>29</v>
      </c>
      <c r="V5" s="29" t="s">
        <v>30</v>
      </c>
      <c r="W5" s="12" t="s">
        <v>31</v>
      </c>
      <c r="X5" s="24" t="s">
        <v>32</v>
      </c>
      <c r="Y5" s="24" t="s">
        <v>33</v>
      </c>
      <c r="Z5" s="13" t="s">
        <v>34</v>
      </c>
      <c r="AA5" s="13" t="s">
        <v>35</v>
      </c>
      <c r="AB5" s="30" t="s">
        <v>36</v>
      </c>
      <c r="AC5" s="31" t="s">
        <v>37</v>
      </c>
      <c r="AD5" s="31" t="s">
        <v>38</v>
      </c>
      <c r="AE5" s="31" t="s">
        <v>39</v>
      </c>
      <c r="AF5" s="31" t="s">
        <v>40</v>
      </c>
      <c r="AG5" s="31" t="s">
        <v>41</v>
      </c>
      <c r="AH5" s="31" t="s">
        <v>42</v>
      </c>
      <c r="AI5" s="31" t="s">
        <v>43</v>
      </c>
      <c r="AJ5" s="31" t="s">
        <v>44</v>
      </c>
      <c r="AK5" s="31" t="s">
        <v>45</v>
      </c>
      <c r="AL5" s="31" t="s">
        <v>46</v>
      </c>
      <c r="AM5" s="31" t="s">
        <v>47</v>
      </c>
      <c r="AN5" s="31" t="s">
        <v>48</v>
      </c>
      <c r="AO5" s="31" t="s">
        <v>49</v>
      </c>
      <c r="AP5" s="31" t="s">
        <v>50</v>
      </c>
    </row>
    <row r="6" spans="1:43" ht="18" customHeight="1" x14ac:dyDescent="0.3">
      <c r="A6" s="32" t="s">
        <v>51</v>
      </c>
      <c r="B6" s="32" t="s">
        <v>52</v>
      </c>
      <c r="C6" s="32" t="s">
        <v>53</v>
      </c>
      <c r="D6" s="32" t="s">
        <v>382</v>
      </c>
      <c r="E6" s="33">
        <v>2024</v>
      </c>
      <c r="F6" s="33" t="s">
        <v>54</v>
      </c>
      <c r="G6" s="33">
        <v>164</v>
      </c>
      <c r="H6" s="33">
        <v>69000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1900</v>
      </c>
      <c r="P6" s="33">
        <v>0</v>
      </c>
      <c r="Q6" s="33">
        <v>51</v>
      </c>
      <c r="R6" s="33">
        <v>20</v>
      </c>
      <c r="S6" s="33">
        <v>16</v>
      </c>
      <c r="T6" s="33">
        <v>45</v>
      </c>
      <c r="U6" s="33">
        <v>26</v>
      </c>
      <c r="V6" s="33">
        <v>30</v>
      </c>
      <c r="W6" s="34">
        <v>103</v>
      </c>
      <c r="X6" s="33" t="s">
        <v>55</v>
      </c>
      <c r="Y6" s="35">
        <v>17.899999999999999</v>
      </c>
      <c r="Z6" s="32" t="s">
        <v>56</v>
      </c>
      <c r="AA6" s="32"/>
      <c r="AB6" s="36" t="str">
        <f t="shared" ref="AB6:AB69" si="0">IF(A6="","",IF(COUNTIF($A$6:$A$504,A6)&gt;1,"⚠ Duplicate",""))</f>
        <v/>
      </c>
      <c r="AC6" s="37">
        <v>0</v>
      </c>
      <c r="AD6" s="37">
        <v>0</v>
      </c>
      <c r="AE6" s="37">
        <v>0</v>
      </c>
      <c r="AF6" s="37">
        <v>0</v>
      </c>
      <c r="AG6" s="37">
        <v>0</v>
      </c>
      <c r="AH6" s="37">
        <v>0</v>
      </c>
      <c r="AI6" s="37">
        <v>0</v>
      </c>
      <c r="AJ6" s="37">
        <v>0</v>
      </c>
      <c r="AK6" s="37">
        <v>0</v>
      </c>
      <c r="AL6" s="37">
        <v>0</v>
      </c>
      <c r="AM6" s="37">
        <v>0</v>
      </c>
      <c r="AN6" s="37">
        <v>0</v>
      </c>
      <c r="AO6" s="37">
        <v>0</v>
      </c>
      <c r="AP6" s="37">
        <v>0</v>
      </c>
      <c r="AQ6" s="10"/>
    </row>
    <row r="7" spans="1:43" ht="18" customHeight="1" x14ac:dyDescent="0.3">
      <c r="A7" s="38" t="s">
        <v>57</v>
      </c>
      <c r="B7" s="38" t="s">
        <v>58</v>
      </c>
      <c r="C7" s="38" t="s">
        <v>53</v>
      </c>
      <c r="D7" s="38"/>
      <c r="E7" s="39">
        <v>2025</v>
      </c>
      <c r="F7" s="39" t="s">
        <v>59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24</v>
      </c>
      <c r="N7" s="39">
        <v>50000</v>
      </c>
      <c r="O7" s="39">
        <v>0</v>
      </c>
      <c r="P7" s="39">
        <v>1600</v>
      </c>
      <c r="Q7" s="39">
        <v>56</v>
      </c>
      <c r="R7" s="39">
        <v>46</v>
      </c>
      <c r="S7" s="39">
        <v>27</v>
      </c>
      <c r="T7" s="39">
        <v>65</v>
      </c>
      <c r="U7" s="39">
        <v>31</v>
      </c>
      <c r="V7" s="39">
        <v>16</v>
      </c>
      <c r="W7" s="34">
        <v>105</v>
      </c>
      <c r="X7" s="39" t="s">
        <v>55</v>
      </c>
      <c r="Y7" s="40">
        <v>30</v>
      </c>
      <c r="Z7" s="38" t="s">
        <v>60</v>
      </c>
      <c r="AA7" s="38" t="s">
        <v>61</v>
      </c>
      <c r="AB7" s="41" t="str">
        <f t="shared" si="0"/>
        <v/>
      </c>
      <c r="AC7" s="42">
        <v>1.0999999999999999E-2</v>
      </c>
      <c r="AD7" s="42">
        <v>1.0999999999999999E-2</v>
      </c>
      <c r="AE7" s="42">
        <v>1.0999999999999999E-2</v>
      </c>
      <c r="AF7" s="42">
        <v>4.0000000000000001E-3</v>
      </c>
      <c r="AG7" s="42">
        <v>0.01</v>
      </c>
      <c r="AH7" s="42">
        <v>8.0000000000000002E-3</v>
      </c>
      <c r="AI7" s="42">
        <v>8.0000000000000002E-3</v>
      </c>
      <c r="AJ7" s="42">
        <v>2.1000000000000001E-2</v>
      </c>
      <c r="AK7" s="42">
        <v>2.1000000000000001E-2</v>
      </c>
      <c r="AL7" s="42">
        <v>2.1000000000000001E-2</v>
      </c>
      <c r="AM7" s="42">
        <v>0.03</v>
      </c>
      <c r="AN7" s="42">
        <v>0.03</v>
      </c>
      <c r="AO7" s="42">
        <v>3.0000000000000001E-3</v>
      </c>
      <c r="AP7" s="37">
        <v>1E-3</v>
      </c>
    </row>
    <row r="8" spans="1:43" ht="18" customHeight="1" x14ac:dyDescent="0.3">
      <c r="A8" s="32" t="s">
        <v>62</v>
      </c>
      <c r="B8" s="32" t="s">
        <v>63</v>
      </c>
      <c r="C8" s="32" t="s">
        <v>64</v>
      </c>
      <c r="D8" s="32"/>
      <c r="E8" s="33">
        <v>2025</v>
      </c>
      <c r="F8" s="33" t="s">
        <v>59</v>
      </c>
      <c r="G8" s="33">
        <v>0</v>
      </c>
      <c r="H8" s="33">
        <v>0</v>
      </c>
      <c r="I8" s="33">
        <v>5</v>
      </c>
      <c r="J8" s="33">
        <v>85000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17</v>
      </c>
      <c r="R8" s="33">
        <v>2</v>
      </c>
      <c r="S8" s="33">
        <v>10</v>
      </c>
      <c r="T8" s="33">
        <v>12</v>
      </c>
      <c r="U8" s="33">
        <v>10</v>
      </c>
      <c r="V8" s="33">
        <v>10</v>
      </c>
      <c r="W8" s="34">
        <v>33</v>
      </c>
      <c r="X8" s="33" t="s">
        <v>55</v>
      </c>
      <c r="Y8" s="35">
        <v>3.9</v>
      </c>
      <c r="Z8" s="32" t="s">
        <v>65</v>
      </c>
      <c r="AA8" s="32"/>
      <c r="AB8" s="36" t="str">
        <f t="shared" si="0"/>
        <v/>
      </c>
      <c r="AC8" s="43">
        <v>0.05</v>
      </c>
      <c r="AD8" s="43">
        <v>0.05</v>
      </c>
      <c r="AE8" s="43">
        <v>0.05</v>
      </c>
      <c r="AF8" s="43">
        <v>7.0000000000000007E-2</v>
      </c>
      <c r="AG8" s="43">
        <v>0.09</v>
      </c>
      <c r="AH8" s="43">
        <v>0.06</v>
      </c>
      <c r="AI8" s="43">
        <v>0.06</v>
      </c>
      <c r="AJ8" s="43">
        <v>0.01</v>
      </c>
      <c r="AK8" s="43">
        <v>0.01</v>
      </c>
      <c r="AL8" s="43">
        <v>0.01</v>
      </c>
      <c r="AM8" s="43">
        <v>0.01</v>
      </c>
      <c r="AN8" s="43">
        <v>0.01</v>
      </c>
      <c r="AO8" s="43">
        <v>0.04</v>
      </c>
      <c r="AP8" s="37">
        <v>1E-3</v>
      </c>
      <c r="AQ8" s="10"/>
    </row>
    <row r="9" spans="1:43" ht="18" customHeight="1" x14ac:dyDescent="0.3">
      <c r="A9" s="38" t="s">
        <v>66</v>
      </c>
      <c r="B9" s="38" t="s">
        <v>67</v>
      </c>
      <c r="C9" s="38" t="s">
        <v>64</v>
      </c>
      <c r="D9" s="38"/>
      <c r="E9" s="39">
        <v>2025</v>
      </c>
      <c r="F9" s="39" t="s">
        <v>59</v>
      </c>
      <c r="G9" s="39">
        <v>0</v>
      </c>
      <c r="H9" s="39">
        <v>0</v>
      </c>
      <c r="I9" s="39">
        <v>10</v>
      </c>
      <c r="J9" s="39">
        <v>165000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6</v>
      </c>
      <c r="R9" s="39">
        <v>2</v>
      </c>
      <c r="S9" s="39">
        <v>10</v>
      </c>
      <c r="T9" s="39">
        <v>6</v>
      </c>
      <c r="U9" s="39">
        <v>12</v>
      </c>
      <c r="V9" s="39">
        <v>16</v>
      </c>
      <c r="W9" s="34">
        <v>43</v>
      </c>
      <c r="X9" s="39" t="s">
        <v>55</v>
      </c>
      <c r="Y9" s="40">
        <v>6.2</v>
      </c>
      <c r="Z9" s="38" t="s">
        <v>65</v>
      </c>
      <c r="AA9" s="38"/>
      <c r="AB9" s="41" t="str">
        <f t="shared" si="0"/>
        <v/>
      </c>
      <c r="AC9" s="42">
        <v>0.05</v>
      </c>
      <c r="AD9" s="42">
        <v>0.05</v>
      </c>
      <c r="AE9" s="42">
        <v>0.05</v>
      </c>
      <c r="AF9" s="42">
        <v>7.0000000000000007E-2</v>
      </c>
      <c r="AG9" s="42">
        <v>0.09</v>
      </c>
      <c r="AH9" s="42">
        <v>0.06</v>
      </c>
      <c r="AI9" s="42">
        <v>0.06</v>
      </c>
      <c r="AJ9" s="42">
        <v>0.01</v>
      </c>
      <c r="AK9" s="42">
        <v>0.01</v>
      </c>
      <c r="AL9" s="42">
        <v>0.01</v>
      </c>
      <c r="AM9" s="42">
        <v>0.01</v>
      </c>
      <c r="AN9" s="42">
        <v>0.01</v>
      </c>
      <c r="AO9" s="42">
        <v>0.04</v>
      </c>
      <c r="AP9" s="37">
        <v>1E-3</v>
      </c>
      <c r="AQ9" s="10"/>
    </row>
    <row r="10" spans="1:43" ht="18" customHeight="1" x14ac:dyDescent="0.3">
      <c r="A10" s="32" t="s">
        <v>68</v>
      </c>
      <c r="B10" s="32" t="s">
        <v>69</v>
      </c>
      <c r="C10" s="32" t="s">
        <v>64</v>
      </c>
      <c r="D10" s="32"/>
      <c r="E10" s="33">
        <v>2025</v>
      </c>
      <c r="F10" s="33" t="s">
        <v>59</v>
      </c>
      <c r="G10" s="33">
        <v>0</v>
      </c>
      <c r="H10" s="33">
        <v>0</v>
      </c>
      <c r="I10" s="33">
        <v>20</v>
      </c>
      <c r="J10" s="33">
        <v>130000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6</v>
      </c>
      <c r="R10" s="33">
        <v>2</v>
      </c>
      <c r="S10" s="33">
        <v>4</v>
      </c>
      <c r="T10" s="33">
        <v>6</v>
      </c>
      <c r="U10" s="33">
        <v>9</v>
      </c>
      <c r="V10" s="33">
        <v>14</v>
      </c>
      <c r="W10" s="34">
        <v>41</v>
      </c>
      <c r="X10" s="33" t="s">
        <v>55</v>
      </c>
      <c r="Y10" s="35">
        <v>5</v>
      </c>
      <c r="Z10" s="32" t="s">
        <v>65</v>
      </c>
      <c r="AA10" s="32"/>
      <c r="AB10" s="36" t="str">
        <f t="shared" si="0"/>
        <v/>
      </c>
      <c r="AC10" s="43">
        <v>0.05</v>
      </c>
      <c r="AD10" s="43">
        <v>0.05</v>
      </c>
      <c r="AE10" s="43">
        <v>0.05</v>
      </c>
      <c r="AF10" s="43">
        <v>7.0000000000000007E-2</v>
      </c>
      <c r="AG10" s="43">
        <v>0.09</v>
      </c>
      <c r="AH10" s="43">
        <v>0.06</v>
      </c>
      <c r="AI10" s="43">
        <v>0.06</v>
      </c>
      <c r="AJ10" s="43">
        <v>0.01</v>
      </c>
      <c r="AK10" s="43">
        <v>0.01</v>
      </c>
      <c r="AL10" s="43">
        <v>0.01</v>
      </c>
      <c r="AM10" s="43">
        <v>0.01</v>
      </c>
      <c r="AN10" s="43">
        <v>0.01</v>
      </c>
      <c r="AO10" s="43">
        <v>0.04</v>
      </c>
      <c r="AP10" s="37">
        <v>1E-3</v>
      </c>
      <c r="AQ10" s="10"/>
    </row>
    <row r="11" spans="1:43" ht="18" customHeight="1" x14ac:dyDescent="0.3">
      <c r="A11" s="38" t="s">
        <v>70</v>
      </c>
      <c r="B11" s="38" t="s">
        <v>71</v>
      </c>
      <c r="C11" s="38" t="s">
        <v>64</v>
      </c>
      <c r="D11" s="38" t="s">
        <v>382</v>
      </c>
      <c r="E11" s="39">
        <v>2025</v>
      </c>
      <c r="F11" s="39" t="s">
        <v>54</v>
      </c>
      <c r="G11" s="39">
        <v>45</v>
      </c>
      <c r="H11" s="39">
        <v>10000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900</v>
      </c>
      <c r="P11" s="39">
        <v>0</v>
      </c>
      <c r="Q11" s="39">
        <v>56</v>
      </c>
      <c r="R11" s="39">
        <v>32</v>
      </c>
      <c r="S11" s="39">
        <v>20</v>
      </c>
      <c r="T11" s="39">
        <v>60</v>
      </c>
      <c r="U11" s="39">
        <v>29</v>
      </c>
      <c r="V11" s="39">
        <v>41</v>
      </c>
      <c r="W11" s="34">
        <v>94</v>
      </c>
      <c r="X11" s="39" t="s">
        <v>55</v>
      </c>
      <c r="Y11" s="40">
        <v>12.3</v>
      </c>
      <c r="Z11" s="38" t="s">
        <v>72</v>
      </c>
      <c r="AA11" s="38"/>
      <c r="AB11" s="41" t="str">
        <f t="shared" si="0"/>
        <v/>
      </c>
      <c r="AC11" s="37">
        <v>0</v>
      </c>
      <c r="AD11" s="37">
        <v>0</v>
      </c>
      <c r="AE11" s="37">
        <v>0</v>
      </c>
      <c r="AF11" s="37">
        <v>0</v>
      </c>
      <c r="AG11" s="37">
        <v>0</v>
      </c>
      <c r="AH11" s="37">
        <v>0</v>
      </c>
      <c r="AI11" s="37">
        <v>0</v>
      </c>
      <c r="AJ11" s="37">
        <v>0</v>
      </c>
      <c r="AK11" s="37">
        <v>0</v>
      </c>
      <c r="AL11" s="37">
        <v>0</v>
      </c>
      <c r="AM11" s="37">
        <v>0</v>
      </c>
      <c r="AN11" s="37">
        <v>0</v>
      </c>
      <c r="AO11" s="37">
        <v>0</v>
      </c>
      <c r="AP11" s="37">
        <v>0</v>
      </c>
      <c r="AQ11" s="10"/>
    </row>
    <row r="12" spans="1:43" ht="18" customHeight="1" x14ac:dyDescent="0.3">
      <c r="A12" s="32" t="s">
        <v>73</v>
      </c>
      <c r="B12" s="32" t="s">
        <v>74</v>
      </c>
      <c r="C12" s="32" t="s">
        <v>64</v>
      </c>
      <c r="D12" s="32" t="s">
        <v>382</v>
      </c>
      <c r="E12" s="33">
        <v>2025</v>
      </c>
      <c r="F12" s="33" t="s">
        <v>54</v>
      </c>
      <c r="G12" s="33">
        <v>35</v>
      </c>
      <c r="H12" s="33">
        <v>5000</v>
      </c>
      <c r="I12" s="33">
        <v>0</v>
      </c>
      <c r="J12" s="33">
        <v>0</v>
      </c>
      <c r="K12" s="33">
        <v>15</v>
      </c>
      <c r="L12" s="33">
        <v>5000</v>
      </c>
      <c r="M12" s="33">
        <v>0</v>
      </c>
      <c r="N12" s="33">
        <v>0</v>
      </c>
      <c r="O12" s="33">
        <v>800</v>
      </c>
      <c r="P12" s="33">
        <v>200</v>
      </c>
      <c r="Q12" s="33">
        <v>79</v>
      </c>
      <c r="R12" s="33">
        <v>28</v>
      </c>
      <c r="S12" s="33">
        <v>16</v>
      </c>
      <c r="T12" s="33">
        <v>66</v>
      </c>
      <c r="U12" s="33">
        <v>37</v>
      </c>
      <c r="V12" s="33">
        <v>28</v>
      </c>
      <c r="W12" s="34">
        <v>143</v>
      </c>
      <c r="X12" s="33" t="s">
        <v>55</v>
      </c>
      <c r="Y12" s="35">
        <v>14.3</v>
      </c>
      <c r="Z12" s="32" t="s">
        <v>75</v>
      </c>
      <c r="AA12" s="32"/>
      <c r="AB12" s="36" t="str">
        <f t="shared" si="0"/>
        <v/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10"/>
    </row>
    <row r="13" spans="1:43" ht="18" customHeight="1" x14ac:dyDescent="0.3">
      <c r="A13" s="38" t="s">
        <v>76</v>
      </c>
      <c r="B13" s="38" t="s">
        <v>77</v>
      </c>
      <c r="C13" s="38" t="s">
        <v>78</v>
      </c>
      <c r="D13" s="38"/>
      <c r="E13" s="39">
        <v>2025</v>
      </c>
      <c r="F13" s="39" t="s">
        <v>59</v>
      </c>
      <c r="G13" s="39">
        <v>120</v>
      </c>
      <c r="H13" s="39">
        <v>30000</v>
      </c>
      <c r="I13" s="39">
        <v>0</v>
      </c>
      <c r="J13" s="39">
        <v>0</v>
      </c>
      <c r="K13" s="39">
        <v>0</v>
      </c>
      <c r="L13" s="39">
        <v>0</v>
      </c>
      <c r="M13" s="39">
        <v>0</v>
      </c>
      <c r="N13" s="39">
        <v>0</v>
      </c>
      <c r="O13" s="39">
        <v>0</v>
      </c>
      <c r="P13" s="39">
        <v>0</v>
      </c>
      <c r="Q13" s="39">
        <v>29</v>
      </c>
      <c r="R13" s="39">
        <v>0</v>
      </c>
      <c r="S13" s="39">
        <v>0</v>
      </c>
      <c r="T13" s="39">
        <v>30</v>
      </c>
      <c r="U13" s="39">
        <v>26</v>
      </c>
      <c r="V13" s="39">
        <v>16</v>
      </c>
      <c r="W13" s="34">
        <v>78</v>
      </c>
      <c r="X13" s="39" t="s">
        <v>55</v>
      </c>
      <c r="Y13" s="40">
        <v>4.3</v>
      </c>
      <c r="Z13" s="38" t="s">
        <v>79</v>
      </c>
      <c r="AA13" s="38"/>
      <c r="AB13" s="41" t="str">
        <f t="shared" si="0"/>
        <v/>
      </c>
      <c r="AC13" s="42">
        <v>0.05</v>
      </c>
      <c r="AD13" s="42">
        <v>0.05</v>
      </c>
      <c r="AE13" s="42">
        <v>0.05</v>
      </c>
      <c r="AF13" s="42">
        <v>7.0000000000000007E-2</v>
      </c>
      <c r="AG13" s="42">
        <v>0.09</v>
      </c>
      <c r="AH13" s="42">
        <v>0.06</v>
      </c>
      <c r="AI13" s="42">
        <v>0.06</v>
      </c>
      <c r="AJ13" s="42">
        <v>0.01</v>
      </c>
      <c r="AK13" s="42">
        <v>0.01</v>
      </c>
      <c r="AL13" s="42">
        <v>0.01</v>
      </c>
      <c r="AM13" s="42">
        <v>0.01</v>
      </c>
      <c r="AN13" s="42">
        <v>0.01</v>
      </c>
      <c r="AO13" s="42">
        <v>0.04</v>
      </c>
      <c r="AP13" s="37">
        <v>1E-3</v>
      </c>
      <c r="AQ13" s="10"/>
    </row>
    <row r="14" spans="1:43" ht="18" customHeight="1" x14ac:dyDescent="0.3">
      <c r="A14" s="32" t="s">
        <v>80</v>
      </c>
      <c r="B14" s="32" t="s">
        <v>81</v>
      </c>
      <c r="C14" s="32" t="s">
        <v>82</v>
      </c>
      <c r="D14" s="32"/>
      <c r="E14" s="33">
        <v>2025</v>
      </c>
      <c r="F14" s="33" t="s">
        <v>59</v>
      </c>
      <c r="G14" s="33">
        <v>65</v>
      </c>
      <c r="H14" s="33">
        <v>30000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33">
        <v>0</v>
      </c>
      <c r="O14" s="33">
        <v>300</v>
      </c>
      <c r="P14" s="33">
        <v>0</v>
      </c>
      <c r="Q14" s="33">
        <v>48</v>
      </c>
      <c r="R14" s="33">
        <v>32</v>
      </c>
      <c r="S14" s="33">
        <v>14</v>
      </c>
      <c r="T14" s="33">
        <v>48</v>
      </c>
      <c r="U14" s="33">
        <v>44</v>
      </c>
      <c r="V14" s="33">
        <v>45</v>
      </c>
      <c r="W14" s="34">
        <v>91</v>
      </c>
      <c r="X14" s="33" t="s">
        <v>55</v>
      </c>
      <c r="Y14" s="35">
        <v>15.5</v>
      </c>
      <c r="Z14" s="32" t="s">
        <v>83</v>
      </c>
      <c r="AA14" s="32"/>
      <c r="AB14" s="36" t="str">
        <f t="shared" si="0"/>
        <v/>
      </c>
      <c r="AC14" s="43">
        <v>0.05</v>
      </c>
      <c r="AD14" s="43">
        <v>0.05</v>
      </c>
      <c r="AE14" s="43">
        <v>0.05</v>
      </c>
      <c r="AF14" s="43">
        <v>7.0000000000000007E-2</v>
      </c>
      <c r="AG14" s="43">
        <v>0.09</v>
      </c>
      <c r="AH14" s="43">
        <v>0.06</v>
      </c>
      <c r="AI14" s="43">
        <v>0.06</v>
      </c>
      <c r="AJ14" s="43">
        <v>0.01</v>
      </c>
      <c r="AK14" s="43">
        <v>0.01</v>
      </c>
      <c r="AL14" s="43">
        <v>0.01</v>
      </c>
      <c r="AM14" s="43">
        <v>0.01</v>
      </c>
      <c r="AN14" s="43">
        <v>0.01</v>
      </c>
      <c r="AO14" s="43">
        <v>0.04</v>
      </c>
      <c r="AP14" s="37">
        <v>1E-3</v>
      </c>
      <c r="AQ14" s="10"/>
    </row>
    <row r="15" spans="1:43" ht="18" customHeight="1" x14ac:dyDescent="0.3">
      <c r="A15" s="38" t="s">
        <v>84</v>
      </c>
      <c r="B15" s="38" t="s">
        <v>85</v>
      </c>
      <c r="C15" s="38" t="s">
        <v>86</v>
      </c>
      <c r="D15" s="38"/>
      <c r="E15" s="39">
        <v>2025</v>
      </c>
      <c r="F15" s="39" t="s">
        <v>59</v>
      </c>
      <c r="G15" s="39">
        <v>0</v>
      </c>
      <c r="H15" s="39">
        <v>0</v>
      </c>
      <c r="I15" s="39">
        <v>0</v>
      </c>
      <c r="J15" s="39">
        <v>0</v>
      </c>
      <c r="K15" s="39">
        <v>15</v>
      </c>
      <c r="L15" s="39">
        <v>5000</v>
      </c>
      <c r="M15" s="39">
        <v>0</v>
      </c>
      <c r="N15" s="39">
        <v>0</v>
      </c>
      <c r="O15" s="39">
        <v>0</v>
      </c>
      <c r="P15" s="39">
        <v>200</v>
      </c>
      <c r="Q15" s="39">
        <v>33</v>
      </c>
      <c r="R15" s="39">
        <v>0</v>
      </c>
      <c r="S15" s="39">
        <v>25</v>
      </c>
      <c r="T15" s="39">
        <v>40</v>
      </c>
      <c r="U15" s="39">
        <v>17</v>
      </c>
      <c r="V15" s="39">
        <v>8</v>
      </c>
      <c r="W15" s="34">
        <v>65</v>
      </c>
      <c r="X15" s="39" t="s">
        <v>55</v>
      </c>
      <c r="Y15" s="40">
        <v>2.7</v>
      </c>
      <c r="Z15" s="38" t="s">
        <v>87</v>
      </c>
      <c r="AA15" s="38"/>
      <c r="AB15" s="41" t="str">
        <f t="shared" si="0"/>
        <v/>
      </c>
      <c r="AC15" s="42">
        <v>0.05</v>
      </c>
      <c r="AD15" s="42">
        <v>0.05</v>
      </c>
      <c r="AE15" s="42">
        <v>0.05</v>
      </c>
      <c r="AF15" s="42">
        <v>7.0000000000000007E-2</v>
      </c>
      <c r="AG15" s="42">
        <v>0.09</v>
      </c>
      <c r="AH15" s="42">
        <v>0.06</v>
      </c>
      <c r="AI15" s="42">
        <v>0.06</v>
      </c>
      <c r="AJ15" s="42">
        <v>0.01</v>
      </c>
      <c r="AK15" s="42">
        <v>0.01</v>
      </c>
      <c r="AL15" s="42">
        <v>0.01</v>
      </c>
      <c r="AM15" s="42">
        <v>0.01</v>
      </c>
      <c r="AN15" s="42">
        <v>0.01</v>
      </c>
      <c r="AO15" s="42">
        <v>0.04</v>
      </c>
      <c r="AP15" s="37">
        <v>1E-3</v>
      </c>
      <c r="AQ15" s="10"/>
    </row>
    <row r="16" spans="1:43" ht="18" customHeight="1" x14ac:dyDescent="0.3">
      <c r="A16" s="32" t="s">
        <v>88</v>
      </c>
      <c r="B16" s="32" t="s">
        <v>89</v>
      </c>
      <c r="C16" s="32" t="s">
        <v>90</v>
      </c>
      <c r="D16" s="32" t="s">
        <v>91</v>
      </c>
      <c r="E16" s="33">
        <v>2025</v>
      </c>
      <c r="F16" s="33" t="s">
        <v>54</v>
      </c>
      <c r="G16" s="33">
        <v>0</v>
      </c>
      <c r="H16" s="33">
        <v>0</v>
      </c>
      <c r="I16" s="33">
        <v>20</v>
      </c>
      <c r="J16" s="33">
        <v>10000</v>
      </c>
      <c r="K16" s="33">
        <v>0</v>
      </c>
      <c r="L16" s="33">
        <v>0</v>
      </c>
      <c r="M16" s="33">
        <v>0</v>
      </c>
      <c r="N16" s="33">
        <v>0</v>
      </c>
      <c r="O16" s="33">
        <v>100</v>
      </c>
      <c r="P16" s="33">
        <v>0</v>
      </c>
      <c r="Q16" s="33">
        <v>25</v>
      </c>
      <c r="R16" s="33">
        <v>2</v>
      </c>
      <c r="S16" s="33">
        <v>12</v>
      </c>
      <c r="T16" s="33">
        <v>25</v>
      </c>
      <c r="U16" s="33">
        <v>8</v>
      </c>
      <c r="V16" s="33">
        <v>18</v>
      </c>
      <c r="W16" s="34">
        <v>47</v>
      </c>
      <c r="X16" s="33" t="s">
        <v>55</v>
      </c>
      <c r="Y16" s="35">
        <v>2.2000000000000002</v>
      </c>
      <c r="Z16" s="32" t="s">
        <v>91</v>
      </c>
      <c r="AA16" s="32"/>
      <c r="AB16" s="36" t="str">
        <f t="shared" si="0"/>
        <v/>
      </c>
      <c r="AC16" s="37">
        <v>0</v>
      </c>
      <c r="AD16" s="37">
        <v>0</v>
      </c>
      <c r="AE16" s="37">
        <v>0</v>
      </c>
      <c r="AF16" s="37">
        <v>0</v>
      </c>
      <c r="AG16" s="37">
        <v>0</v>
      </c>
      <c r="AH16" s="37">
        <v>0</v>
      </c>
      <c r="AI16" s="37">
        <v>0</v>
      </c>
      <c r="AJ16" s="37">
        <v>0</v>
      </c>
      <c r="AK16" s="37">
        <v>0</v>
      </c>
      <c r="AL16" s="37">
        <v>0</v>
      </c>
      <c r="AM16" s="37">
        <v>0</v>
      </c>
      <c r="AN16" s="37">
        <v>0</v>
      </c>
      <c r="AO16" s="37">
        <v>0</v>
      </c>
      <c r="AP16" s="37">
        <v>0</v>
      </c>
      <c r="AQ16" s="10"/>
    </row>
    <row r="17" spans="1:43" ht="18" customHeight="1" x14ac:dyDescent="0.3">
      <c r="A17" s="38" t="s">
        <v>92</v>
      </c>
      <c r="B17" s="38" t="s">
        <v>93</v>
      </c>
      <c r="C17" s="38" t="s">
        <v>90</v>
      </c>
      <c r="D17" s="38" t="s">
        <v>91</v>
      </c>
      <c r="E17" s="39">
        <v>2025</v>
      </c>
      <c r="F17" s="39" t="s">
        <v>54</v>
      </c>
      <c r="G17" s="39">
        <v>0</v>
      </c>
      <c r="H17" s="39">
        <v>0</v>
      </c>
      <c r="I17" s="39">
        <v>10</v>
      </c>
      <c r="J17" s="39">
        <v>10000</v>
      </c>
      <c r="K17" s="39">
        <v>0</v>
      </c>
      <c r="L17" s="39">
        <v>0</v>
      </c>
      <c r="M17" s="39">
        <v>0</v>
      </c>
      <c r="N17" s="39">
        <v>0</v>
      </c>
      <c r="O17" s="39">
        <v>0</v>
      </c>
      <c r="P17" s="39">
        <v>0</v>
      </c>
      <c r="Q17" s="39">
        <v>24</v>
      </c>
      <c r="R17" s="39">
        <v>2</v>
      </c>
      <c r="S17" s="39">
        <v>12</v>
      </c>
      <c r="T17" s="39">
        <v>23</v>
      </c>
      <c r="U17" s="39">
        <v>9</v>
      </c>
      <c r="V17" s="39">
        <v>11</v>
      </c>
      <c r="W17" s="34">
        <v>47</v>
      </c>
      <c r="X17" s="39" t="s">
        <v>55</v>
      </c>
      <c r="Y17" s="40">
        <v>1.7</v>
      </c>
      <c r="Z17" s="38" t="s">
        <v>91</v>
      </c>
      <c r="AA17" s="38"/>
      <c r="AB17" s="41" t="str">
        <f t="shared" si="0"/>
        <v/>
      </c>
      <c r="AC17" s="37">
        <v>0</v>
      </c>
      <c r="AD17" s="37">
        <v>0</v>
      </c>
      <c r="AE17" s="37">
        <v>0</v>
      </c>
      <c r="AF17" s="37">
        <v>0</v>
      </c>
      <c r="AG17" s="37">
        <v>0</v>
      </c>
      <c r="AH17" s="37">
        <v>0</v>
      </c>
      <c r="AI17" s="37">
        <v>0</v>
      </c>
      <c r="AJ17" s="37">
        <v>0</v>
      </c>
      <c r="AK17" s="37">
        <v>0</v>
      </c>
      <c r="AL17" s="37">
        <v>0</v>
      </c>
      <c r="AM17" s="37">
        <v>0</v>
      </c>
      <c r="AN17" s="37">
        <v>0</v>
      </c>
      <c r="AO17" s="37">
        <v>0</v>
      </c>
      <c r="AP17" s="37">
        <v>0</v>
      </c>
      <c r="AQ17" s="10"/>
    </row>
    <row r="18" spans="1:43" ht="18" customHeight="1" x14ac:dyDescent="0.3">
      <c r="A18" s="32" t="s">
        <v>94</v>
      </c>
      <c r="B18" s="32" t="s">
        <v>95</v>
      </c>
      <c r="C18" s="32" t="s">
        <v>90</v>
      </c>
      <c r="D18" s="32"/>
      <c r="E18" s="33">
        <v>2025</v>
      </c>
      <c r="F18" s="33" t="s">
        <v>59</v>
      </c>
      <c r="G18" s="33">
        <v>160</v>
      </c>
      <c r="H18" s="33">
        <v>95000</v>
      </c>
      <c r="I18" s="33">
        <v>0</v>
      </c>
      <c r="J18" s="33">
        <v>0</v>
      </c>
      <c r="K18" s="33">
        <v>50</v>
      </c>
      <c r="L18" s="33">
        <v>15000</v>
      </c>
      <c r="M18" s="33">
        <v>0</v>
      </c>
      <c r="N18" s="33">
        <v>0</v>
      </c>
      <c r="O18" s="33">
        <v>800</v>
      </c>
      <c r="P18" s="33">
        <v>100</v>
      </c>
      <c r="Q18" s="33">
        <v>46</v>
      </c>
      <c r="R18" s="33">
        <v>24</v>
      </c>
      <c r="S18" s="33">
        <v>27</v>
      </c>
      <c r="T18" s="33">
        <v>57</v>
      </c>
      <c r="U18" s="33">
        <v>26</v>
      </c>
      <c r="V18" s="33">
        <v>34</v>
      </c>
      <c r="W18" s="34">
        <v>92</v>
      </c>
      <c r="X18" s="33" t="s">
        <v>55</v>
      </c>
      <c r="Y18" s="35">
        <v>25.4</v>
      </c>
      <c r="Z18" s="32"/>
      <c r="AA18" s="32"/>
      <c r="AB18" s="36" t="str">
        <f t="shared" si="0"/>
        <v/>
      </c>
      <c r="AC18" s="43">
        <v>0.05</v>
      </c>
      <c r="AD18" s="43">
        <v>0.05</v>
      </c>
      <c r="AE18" s="43">
        <v>0.05</v>
      </c>
      <c r="AF18" s="43">
        <v>7.0000000000000007E-2</v>
      </c>
      <c r="AG18" s="43">
        <v>0.09</v>
      </c>
      <c r="AH18" s="43">
        <v>0.06</v>
      </c>
      <c r="AI18" s="43">
        <v>0.06</v>
      </c>
      <c r="AJ18" s="43">
        <v>0.01</v>
      </c>
      <c r="AK18" s="43">
        <v>0.01</v>
      </c>
      <c r="AL18" s="43">
        <v>0.01</v>
      </c>
      <c r="AM18" s="43">
        <v>0.01</v>
      </c>
      <c r="AN18" s="43">
        <v>0.01</v>
      </c>
      <c r="AO18" s="43">
        <v>0.04</v>
      </c>
      <c r="AP18" s="37">
        <v>1E-3</v>
      </c>
      <c r="AQ18" s="10"/>
    </row>
    <row r="19" spans="1:43" ht="18" customHeight="1" x14ac:dyDescent="0.3">
      <c r="A19" s="38" t="s">
        <v>96</v>
      </c>
      <c r="B19" s="38" t="s">
        <v>97</v>
      </c>
      <c r="C19" s="38" t="s">
        <v>98</v>
      </c>
      <c r="D19" s="38" t="s">
        <v>383</v>
      </c>
      <c r="E19" s="39">
        <v>2025</v>
      </c>
      <c r="F19" s="39" t="s">
        <v>54</v>
      </c>
      <c r="G19" s="39">
        <v>0</v>
      </c>
      <c r="H19" s="39">
        <v>0</v>
      </c>
      <c r="I19" s="39">
        <v>0</v>
      </c>
      <c r="J19" s="39">
        <v>0</v>
      </c>
      <c r="K19" s="39">
        <v>0</v>
      </c>
      <c r="L19" s="39">
        <v>0</v>
      </c>
      <c r="M19" s="39">
        <v>8</v>
      </c>
      <c r="N19" s="39">
        <v>15000</v>
      </c>
      <c r="O19" s="39">
        <v>0</v>
      </c>
      <c r="P19" s="39">
        <v>700</v>
      </c>
      <c r="Q19" s="39">
        <v>84</v>
      </c>
      <c r="R19" s="39">
        <v>48</v>
      </c>
      <c r="S19" s="39">
        <v>25</v>
      </c>
      <c r="T19" s="39">
        <v>55</v>
      </c>
      <c r="U19" s="39">
        <v>27</v>
      </c>
      <c r="V19" s="39">
        <v>33</v>
      </c>
      <c r="W19" s="34">
        <v>139</v>
      </c>
      <c r="X19" s="39" t="s">
        <v>55</v>
      </c>
      <c r="Y19" s="40">
        <v>18.7</v>
      </c>
      <c r="Z19" s="38" t="s">
        <v>99</v>
      </c>
      <c r="AA19" s="38"/>
      <c r="AB19" s="41" t="str">
        <f t="shared" si="0"/>
        <v/>
      </c>
      <c r="AC19" s="37">
        <v>0</v>
      </c>
      <c r="AD19" s="37">
        <v>0</v>
      </c>
      <c r="AE19" s="37">
        <v>0</v>
      </c>
      <c r="AF19" s="37">
        <v>0</v>
      </c>
      <c r="AG19" s="37">
        <v>0</v>
      </c>
      <c r="AH19" s="37">
        <v>0</v>
      </c>
      <c r="AI19" s="37">
        <v>0</v>
      </c>
      <c r="AJ19" s="37">
        <v>0</v>
      </c>
      <c r="AK19" s="37">
        <v>0</v>
      </c>
      <c r="AL19" s="37">
        <v>0</v>
      </c>
      <c r="AM19" s="37">
        <v>0</v>
      </c>
      <c r="AN19" s="37">
        <v>0</v>
      </c>
      <c r="AO19" s="37">
        <v>0</v>
      </c>
      <c r="AP19" s="37">
        <v>0</v>
      </c>
      <c r="AQ19" s="68"/>
    </row>
    <row r="20" spans="1:43" ht="18" customHeight="1" x14ac:dyDescent="0.3">
      <c r="A20" s="32" t="s">
        <v>100</v>
      </c>
      <c r="B20" s="32" t="s">
        <v>101</v>
      </c>
      <c r="C20" s="32" t="s">
        <v>98</v>
      </c>
      <c r="D20" s="32" t="s">
        <v>382</v>
      </c>
      <c r="E20" s="33">
        <v>2025</v>
      </c>
      <c r="F20" s="33" t="s">
        <v>54</v>
      </c>
      <c r="G20" s="33">
        <v>115</v>
      </c>
      <c r="H20" s="33">
        <v>25000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33">
        <v>0</v>
      </c>
      <c r="O20" s="33">
        <v>2000</v>
      </c>
      <c r="P20" s="33">
        <v>200</v>
      </c>
      <c r="Q20" s="33">
        <v>40</v>
      </c>
      <c r="R20" s="33">
        <v>0</v>
      </c>
      <c r="S20" s="33">
        <v>51</v>
      </c>
      <c r="T20" s="33">
        <v>0</v>
      </c>
      <c r="U20" s="33">
        <v>23</v>
      </c>
      <c r="V20" s="33">
        <v>25</v>
      </c>
      <c r="W20" s="34">
        <v>65</v>
      </c>
      <c r="X20" s="33" t="s">
        <v>55</v>
      </c>
      <c r="Y20" s="35">
        <v>13</v>
      </c>
      <c r="Z20" s="32" t="s">
        <v>102</v>
      </c>
      <c r="AA20" s="32"/>
      <c r="AB20" s="36" t="str">
        <f t="shared" si="0"/>
        <v/>
      </c>
      <c r="AC20" s="37">
        <v>0</v>
      </c>
      <c r="AD20" s="37">
        <v>0</v>
      </c>
      <c r="AE20" s="37">
        <v>0</v>
      </c>
      <c r="AF20" s="37">
        <v>0</v>
      </c>
      <c r="AG20" s="37">
        <v>0</v>
      </c>
      <c r="AH20" s="37">
        <v>0</v>
      </c>
      <c r="AI20" s="37">
        <v>0</v>
      </c>
      <c r="AJ20" s="37">
        <v>0</v>
      </c>
      <c r="AK20" s="37">
        <v>0</v>
      </c>
      <c r="AL20" s="37">
        <v>0</v>
      </c>
      <c r="AM20" s="37">
        <v>0</v>
      </c>
      <c r="AN20" s="37">
        <v>0</v>
      </c>
      <c r="AO20" s="37">
        <v>0</v>
      </c>
      <c r="AP20" s="37">
        <v>0</v>
      </c>
      <c r="AQ20" s="10"/>
    </row>
    <row r="21" spans="1:43" ht="18" customHeight="1" x14ac:dyDescent="0.3">
      <c r="A21" s="38" t="s">
        <v>103</v>
      </c>
      <c r="B21" s="38" t="s">
        <v>104</v>
      </c>
      <c r="C21" s="38" t="s">
        <v>53</v>
      </c>
      <c r="D21" s="38"/>
      <c r="E21" s="39">
        <v>2025</v>
      </c>
      <c r="F21" s="39" t="s">
        <v>59</v>
      </c>
      <c r="G21" s="39">
        <v>0</v>
      </c>
      <c r="H21" s="39">
        <v>0</v>
      </c>
      <c r="I21" s="39">
        <v>15</v>
      </c>
      <c r="J21" s="39">
        <v>20000</v>
      </c>
      <c r="K21" s="39">
        <v>0</v>
      </c>
      <c r="L21" s="39">
        <v>0</v>
      </c>
      <c r="M21" s="39">
        <v>0</v>
      </c>
      <c r="N21" s="39">
        <v>0</v>
      </c>
      <c r="O21" s="39">
        <v>0</v>
      </c>
      <c r="P21" s="39">
        <v>0</v>
      </c>
      <c r="Q21" s="39">
        <v>26</v>
      </c>
      <c r="R21" s="39">
        <v>0</v>
      </c>
      <c r="S21" s="39">
        <v>12</v>
      </c>
      <c r="T21" s="39">
        <v>18</v>
      </c>
      <c r="U21" s="39">
        <v>9</v>
      </c>
      <c r="V21" s="39">
        <v>8</v>
      </c>
      <c r="W21" s="34">
        <v>44</v>
      </c>
      <c r="X21" s="39" t="s">
        <v>55</v>
      </c>
      <c r="Y21" s="40">
        <v>2.5</v>
      </c>
      <c r="Z21" s="38" t="s">
        <v>91</v>
      </c>
      <c r="AA21" s="38"/>
      <c r="AB21" s="41" t="str">
        <f t="shared" si="0"/>
        <v/>
      </c>
      <c r="AC21" s="42">
        <v>0.05</v>
      </c>
      <c r="AD21" s="42">
        <v>0.05</v>
      </c>
      <c r="AE21" s="42">
        <v>0.05</v>
      </c>
      <c r="AF21" s="42">
        <v>7.0000000000000007E-2</v>
      </c>
      <c r="AG21" s="42">
        <v>0.09</v>
      </c>
      <c r="AH21" s="42">
        <v>0.06</v>
      </c>
      <c r="AI21" s="42">
        <v>0.06</v>
      </c>
      <c r="AJ21" s="42">
        <v>0.01</v>
      </c>
      <c r="AK21" s="42">
        <v>0.01</v>
      </c>
      <c r="AL21" s="42">
        <v>0.01</v>
      </c>
      <c r="AM21" s="42">
        <v>0.01</v>
      </c>
      <c r="AN21" s="42">
        <v>0.01</v>
      </c>
      <c r="AO21" s="42">
        <v>0.04</v>
      </c>
      <c r="AP21" s="37">
        <v>1E-3</v>
      </c>
      <c r="AQ21" s="10"/>
    </row>
    <row r="22" spans="1:43" ht="18" customHeight="1" x14ac:dyDescent="0.3">
      <c r="A22" s="32" t="s">
        <v>105</v>
      </c>
      <c r="B22" s="32" t="s">
        <v>106</v>
      </c>
      <c r="C22" s="32" t="s">
        <v>64</v>
      </c>
      <c r="D22" s="32" t="s">
        <v>382</v>
      </c>
      <c r="E22" s="33">
        <v>2025</v>
      </c>
      <c r="F22" s="33" t="s">
        <v>54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33">
        <v>0</v>
      </c>
      <c r="O22" s="33">
        <v>3500</v>
      </c>
      <c r="P22" s="33">
        <v>0</v>
      </c>
      <c r="Q22" s="33">
        <v>54</v>
      </c>
      <c r="R22" s="33">
        <v>42</v>
      </c>
      <c r="S22" s="33">
        <v>10</v>
      </c>
      <c r="T22" s="33">
        <v>0</v>
      </c>
      <c r="U22" s="33">
        <v>18</v>
      </c>
      <c r="V22" s="33">
        <v>8</v>
      </c>
      <c r="W22" s="34">
        <v>81</v>
      </c>
      <c r="X22" s="33" t="s">
        <v>55</v>
      </c>
      <c r="Y22" s="35">
        <v>18</v>
      </c>
      <c r="Z22" s="32" t="s">
        <v>107</v>
      </c>
      <c r="AA22" s="32"/>
      <c r="AB22" s="36" t="str">
        <f t="shared" si="0"/>
        <v/>
      </c>
      <c r="AC22" s="37">
        <v>0</v>
      </c>
      <c r="AD22" s="37">
        <v>0</v>
      </c>
      <c r="AE22" s="37">
        <v>0</v>
      </c>
      <c r="AF22" s="37">
        <v>0</v>
      </c>
      <c r="AG22" s="37">
        <v>0</v>
      </c>
      <c r="AH22" s="37">
        <v>0</v>
      </c>
      <c r="AI22" s="37">
        <v>0</v>
      </c>
      <c r="AJ22" s="37">
        <v>0</v>
      </c>
      <c r="AK22" s="37">
        <v>0</v>
      </c>
      <c r="AL22" s="37">
        <v>0</v>
      </c>
      <c r="AM22" s="37">
        <v>0</v>
      </c>
      <c r="AN22" s="37">
        <v>0</v>
      </c>
      <c r="AO22" s="37">
        <v>0</v>
      </c>
      <c r="AP22" s="37">
        <v>0</v>
      </c>
      <c r="AQ22" s="10"/>
    </row>
    <row r="23" spans="1:43" ht="18" customHeight="1" x14ac:dyDescent="0.3">
      <c r="A23" s="38" t="s">
        <v>108</v>
      </c>
      <c r="B23" s="38" t="s">
        <v>109</v>
      </c>
      <c r="C23" s="38" t="s">
        <v>110</v>
      </c>
      <c r="D23" s="38"/>
      <c r="E23" s="39">
        <v>2025</v>
      </c>
      <c r="F23" s="39" t="s">
        <v>59</v>
      </c>
      <c r="G23" s="39">
        <v>0</v>
      </c>
      <c r="H23" s="39">
        <v>0</v>
      </c>
      <c r="I23" s="39">
        <v>0</v>
      </c>
      <c r="J23" s="39">
        <v>0</v>
      </c>
      <c r="K23" s="39">
        <v>0</v>
      </c>
      <c r="L23" s="39">
        <v>0</v>
      </c>
      <c r="M23" s="39">
        <v>7</v>
      </c>
      <c r="N23" s="39">
        <v>10000</v>
      </c>
      <c r="O23" s="39">
        <v>0</v>
      </c>
      <c r="P23" s="39">
        <v>500</v>
      </c>
      <c r="Q23" s="39">
        <v>32</v>
      </c>
      <c r="R23" s="39">
        <v>36</v>
      </c>
      <c r="S23" s="39">
        <v>27</v>
      </c>
      <c r="T23" s="39">
        <v>47</v>
      </c>
      <c r="U23" s="39">
        <v>21</v>
      </c>
      <c r="V23" s="39">
        <v>18</v>
      </c>
      <c r="W23" s="34">
        <v>70</v>
      </c>
      <c r="X23" s="39" t="s">
        <v>55</v>
      </c>
      <c r="Y23" s="40">
        <v>7.2</v>
      </c>
      <c r="Z23" s="38" t="s">
        <v>60</v>
      </c>
      <c r="AA23" s="38"/>
      <c r="AB23" s="41" t="str">
        <f t="shared" si="0"/>
        <v/>
      </c>
      <c r="AC23" s="42">
        <v>0.05</v>
      </c>
      <c r="AD23" s="42">
        <v>0.05</v>
      </c>
      <c r="AE23" s="42">
        <v>0.05</v>
      </c>
      <c r="AF23" s="42">
        <v>7.0000000000000007E-2</v>
      </c>
      <c r="AG23" s="42">
        <v>0.09</v>
      </c>
      <c r="AH23" s="42">
        <v>0.06</v>
      </c>
      <c r="AI23" s="42">
        <v>0.06</v>
      </c>
      <c r="AJ23" s="42">
        <v>0.01</v>
      </c>
      <c r="AK23" s="42">
        <v>0.01</v>
      </c>
      <c r="AL23" s="42">
        <v>0.01</v>
      </c>
      <c r="AM23" s="42">
        <v>0.01</v>
      </c>
      <c r="AN23" s="42">
        <v>0.01</v>
      </c>
      <c r="AO23" s="42">
        <v>0.04</v>
      </c>
      <c r="AP23" s="37">
        <v>1E-3</v>
      </c>
      <c r="AQ23" s="10"/>
    </row>
    <row r="24" spans="1:43" ht="18" customHeight="1" x14ac:dyDescent="0.3">
      <c r="A24" s="32" t="s">
        <v>111</v>
      </c>
      <c r="B24" s="32" t="s">
        <v>112</v>
      </c>
      <c r="C24" s="32" t="s">
        <v>90</v>
      </c>
      <c r="D24" s="32"/>
      <c r="E24" s="33">
        <v>2025</v>
      </c>
      <c r="F24" s="33" t="s">
        <v>59</v>
      </c>
      <c r="G24" s="33">
        <v>95</v>
      </c>
      <c r="H24" s="33">
        <v>31020</v>
      </c>
      <c r="I24" s="33">
        <v>0</v>
      </c>
      <c r="J24" s="33">
        <v>0</v>
      </c>
      <c r="K24" s="33">
        <v>15</v>
      </c>
      <c r="L24" s="33">
        <v>5000</v>
      </c>
      <c r="M24" s="33">
        <v>12</v>
      </c>
      <c r="N24" s="33">
        <v>30000</v>
      </c>
      <c r="O24" s="33">
        <v>1500</v>
      </c>
      <c r="P24" s="33">
        <v>500</v>
      </c>
      <c r="Q24" s="33">
        <v>60</v>
      </c>
      <c r="R24" s="33">
        <v>44</v>
      </c>
      <c r="S24" s="33">
        <v>29</v>
      </c>
      <c r="T24" s="33">
        <v>59</v>
      </c>
      <c r="U24" s="33">
        <v>88</v>
      </c>
      <c r="V24" s="33">
        <v>45</v>
      </c>
      <c r="W24" s="34">
        <v>142</v>
      </c>
      <c r="X24" s="33" t="s">
        <v>55</v>
      </c>
      <c r="Y24" s="35">
        <v>30.45</v>
      </c>
      <c r="Z24" s="32" t="s">
        <v>113</v>
      </c>
      <c r="AA24" s="32"/>
      <c r="AB24" s="36" t="str">
        <f t="shared" si="0"/>
        <v/>
      </c>
      <c r="AC24" s="43">
        <v>0.05</v>
      </c>
      <c r="AD24" s="43">
        <v>0.05</v>
      </c>
      <c r="AE24" s="43">
        <v>0.05</v>
      </c>
      <c r="AF24" s="43">
        <v>7.0000000000000007E-2</v>
      </c>
      <c r="AG24" s="43">
        <v>0.09</v>
      </c>
      <c r="AH24" s="43">
        <v>0.06</v>
      </c>
      <c r="AI24" s="43">
        <v>0.06</v>
      </c>
      <c r="AJ24" s="43">
        <v>0.01</v>
      </c>
      <c r="AK24" s="43">
        <v>0.01</v>
      </c>
      <c r="AL24" s="43">
        <v>0.01</v>
      </c>
      <c r="AM24" s="43">
        <v>0.01</v>
      </c>
      <c r="AN24" s="43">
        <v>0.01</v>
      </c>
      <c r="AO24" s="43">
        <v>0.04</v>
      </c>
      <c r="AP24" s="37">
        <v>1E-3</v>
      </c>
      <c r="AQ24" s="10"/>
    </row>
    <row r="25" spans="1:43" ht="18" customHeight="1" x14ac:dyDescent="0.3">
      <c r="A25" s="38" t="s">
        <v>114</v>
      </c>
      <c r="B25" s="38" t="s">
        <v>115</v>
      </c>
      <c r="C25" s="38" t="s">
        <v>90</v>
      </c>
      <c r="D25" s="38"/>
      <c r="E25" s="39">
        <v>2022</v>
      </c>
      <c r="F25" s="39" t="s">
        <v>59</v>
      </c>
      <c r="G25" s="39">
        <v>0</v>
      </c>
      <c r="H25" s="39">
        <v>0</v>
      </c>
      <c r="I25" s="39">
        <v>0</v>
      </c>
      <c r="J25" s="39">
        <v>0</v>
      </c>
      <c r="K25" s="39">
        <v>0</v>
      </c>
      <c r="L25" s="39">
        <v>0</v>
      </c>
      <c r="M25" s="39">
        <v>2</v>
      </c>
      <c r="N25" s="39">
        <v>13500</v>
      </c>
      <c r="O25" s="39">
        <v>0</v>
      </c>
      <c r="P25" s="39">
        <v>34</v>
      </c>
      <c r="Q25" s="39">
        <v>51</v>
      </c>
      <c r="R25" s="39">
        <v>50</v>
      </c>
      <c r="S25" s="39">
        <v>0</v>
      </c>
      <c r="T25" s="39">
        <v>62</v>
      </c>
      <c r="U25" s="39">
        <v>20</v>
      </c>
      <c r="V25" s="39">
        <v>5</v>
      </c>
      <c r="W25" s="34">
        <v>80</v>
      </c>
      <c r="X25" s="39" t="s">
        <v>116</v>
      </c>
      <c r="Y25" s="40">
        <v>15.5</v>
      </c>
      <c r="Z25" s="38" t="s">
        <v>117</v>
      </c>
      <c r="AA25" s="38"/>
      <c r="AB25" s="41" t="str">
        <f t="shared" si="0"/>
        <v/>
      </c>
      <c r="AC25" s="42">
        <v>0.05</v>
      </c>
      <c r="AD25" s="42">
        <v>0.05</v>
      </c>
      <c r="AE25" s="42">
        <v>0.05</v>
      </c>
      <c r="AF25" s="42">
        <v>7.0000000000000007E-2</v>
      </c>
      <c r="AG25" s="42">
        <v>0.09</v>
      </c>
      <c r="AH25" s="42">
        <v>0.06</v>
      </c>
      <c r="AI25" s="42">
        <v>0.06</v>
      </c>
      <c r="AJ25" s="42">
        <v>0.01</v>
      </c>
      <c r="AK25" s="42">
        <v>0.01</v>
      </c>
      <c r="AL25" s="42">
        <v>0.01</v>
      </c>
      <c r="AM25" s="42">
        <v>0.01</v>
      </c>
      <c r="AN25" s="42">
        <v>0.01</v>
      </c>
      <c r="AO25" s="42">
        <v>0.04</v>
      </c>
      <c r="AP25" s="37">
        <v>1E-3</v>
      </c>
      <c r="AQ25" s="10"/>
    </row>
    <row r="26" spans="1:43" ht="18" customHeight="1" x14ac:dyDescent="0.3">
      <c r="A26" s="32" t="s">
        <v>118</v>
      </c>
      <c r="B26" s="32" t="s">
        <v>119</v>
      </c>
      <c r="C26" s="32" t="s">
        <v>120</v>
      </c>
      <c r="D26" s="32" t="s">
        <v>382</v>
      </c>
      <c r="E26" s="33">
        <v>2019</v>
      </c>
      <c r="F26" s="33" t="s">
        <v>54</v>
      </c>
      <c r="G26" s="33">
        <v>250</v>
      </c>
      <c r="H26" s="33">
        <v>120500</v>
      </c>
      <c r="I26" s="33">
        <v>0</v>
      </c>
      <c r="J26" s="33">
        <v>0</v>
      </c>
      <c r="K26" s="33">
        <v>0</v>
      </c>
      <c r="L26" s="33">
        <v>0</v>
      </c>
      <c r="M26" s="33">
        <v>12</v>
      </c>
      <c r="N26" s="33">
        <v>33000</v>
      </c>
      <c r="O26" s="33">
        <v>2300</v>
      </c>
      <c r="P26" s="33">
        <v>5000</v>
      </c>
      <c r="Q26" s="33">
        <v>58</v>
      </c>
      <c r="R26" s="33">
        <v>56</v>
      </c>
      <c r="S26" s="33">
        <v>24</v>
      </c>
      <c r="T26" s="33">
        <v>66</v>
      </c>
      <c r="U26" s="33">
        <v>40</v>
      </c>
      <c r="V26" s="33">
        <v>30</v>
      </c>
      <c r="W26" s="34">
        <v>114</v>
      </c>
      <c r="X26" s="33" t="s">
        <v>121</v>
      </c>
      <c r="Y26" s="40">
        <v>71</v>
      </c>
      <c r="Z26" s="32" t="s">
        <v>102</v>
      </c>
      <c r="AA26" s="32" t="s">
        <v>122</v>
      </c>
      <c r="AB26" s="36" t="str">
        <f t="shared" si="0"/>
        <v/>
      </c>
      <c r="AC26" s="37">
        <v>0</v>
      </c>
      <c r="AD26" s="37">
        <v>0</v>
      </c>
      <c r="AE26" s="37">
        <v>0</v>
      </c>
      <c r="AF26" s="37">
        <v>0</v>
      </c>
      <c r="AG26" s="37">
        <v>0</v>
      </c>
      <c r="AH26" s="37">
        <v>0</v>
      </c>
      <c r="AI26" s="37">
        <v>0</v>
      </c>
      <c r="AJ26" s="37">
        <v>0</v>
      </c>
      <c r="AK26" s="37">
        <v>0</v>
      </c>
      <c r="AL26" s="37">
        <v>0</v>
      </c>
      <c r="AM26" s="37">
        <v>0</v>
      </c>
      <c r="AN26" s="37">
        <v>0</v>
      </c>
      <c r="AO26" s="37">
        <v>0</v>
      </c>
      <c r="AP26" s="37">
        <v>0</v>
      </c>
      <c r="AQ26" s="10"/>
    </row>
    <row r="27" spans="1:43" ht="18" customHeight="1" x14ac:dyDescent="0.3">
      <c r="A27" s="38" t="s">
        <v>123</v>
      </c>
      <c r="B27" s="38" t="s">
        <v>124</v>
      </c>
      <c r="C27" s="38" t="s">
        <v>125</v>
      </c>
      <c r="D27" s="38" t="s">
        <v>383</v>
      </c>
      <c r="E27" s="39">
        <v>2021</v>
      </c>
      <c r="F27" s="39" t="s">
        <v>54</v>
      </c>
      <c r="G27" s="39">
        <v>0</v>
      </c>
      <c r="H27" s="39">
        <v>0</v>
      </c>
      <c r="I27" s="39">
        <v>0</v>
      </c>
      <c r="J27" s="39">
        <v>0</v>
      </c>
      <c r="K27" s="39">
        <v>0</v>
      </c>
      <c r="L27" s="39">
        <v>0</v>
      </c>
      <c r="M27" s="39">
        <v>3</v>
      </c>
      <c r="N27" s="39">
        <v>75000</v>
      </c>
      <c r="O27" s="39">
        <v>0</v>
      </c>
      <c r="P27" s="39">
        <v>100</v>
      </c>
      <c r="Q27" s="39">
        <v>28</v>
      </c>
      <c r="R27" s="39">
        <v>24</v>
      </c>
      <c r="S27" s="39">
        <v>4</v>
      </c>
      <c r="T27" s="39">
        <v>24</v>
      </c>
      <c r="U27" s="39">
        <v>28</v>
      </c>
      <c r="V27" s="39">
        <v>12</v>
      </c>
      <c r="W27" s="34">
        <v>52</v>
      </c>
      <c r="X27" s="39" t="s">
        <v>126</v>
      </c>
      <c r="Y27" s="40">
        <v>11.7</v>
      </c>
      <c r="Z27" s="38" t="s">
        <v>127</v>
      </c>
      <c r="AA27" s="38"/>
      <c r="AB27" s="41" t="str">
        <f t="shared" si="0"/>
        <v/>
      </c>
      <c r="AC27" s="37">
        <v>0</v>
      </c>
      <c r="AD27" s="37">
        <v>0</v>
      </c>
      <c r="AE27" s="37">
        <v>0</v>
      </c>
      <c r="AF27" s="37">
        <v>0</v>
      </c>
      <c r="AG27" s="37">
        <v>0</v>
      </c>
      <c r="AH27" s="37">
        <v>0</v>
      </c>
      <c r="AI27" s="37">
        <v>0</v>
      </c>
      <c r="AJ27" s="37">
        <v>0</v>
      </c>
      <c r="AK27" s="37">
        <v>0</v>
      </c>
      <c r="AL27" s="37">
        <v>0</v>
      </c>
      <c r="AM27" s="37">
        <v>0</v>
      </c>
      <c r="AN27" s="37">
        <v>0</v>
      </c>
      <c r="AO27" s="37">
        <v>0</v>
      </c>
      <c r="AP27" s="37">
        <v>0</v>
      </c>
      <c r="AQ27" s="10"/>
    </row>
    <row r="28" spans="1:43" ht="18" customHeight="1" x14ac:dyDescent="0.3">
      <c r="A28" s="32" t="s">
        <v>128</v>
      </c>
      <c r="B28" s="32" t="s">
        <v>129</v>
      </c>
      <c r="C28" s="32" t="s">
        <v>90</v>
      </c>
      <c r="D28" s="32" t="s">
        <v>91</v>
      </c>
      <c r="E28" s="33">
        <v>2019</v>
      </c>
      <c r="F28" s="33" t="s">
        <v>54</v>
      </c>
      <c r="G28" s="33">
        <v>0</v>
      </c>
      <c r="H28" s="33">
        <v>0</v>
      </c>
      <c r="I28" s="33">
        <v>4</v>
      </c>
      <c r="J28" s="33">
        <v>6700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21</v>
      </c>
      <c r="R28" s="33">
        <v>2</v>
      </c>
      <c r="S28" s="33">
        <v>2</v>
      </c>
      <c r="T28" s="33">
        <v>18</v>
      </c>
      <c r="U28" s="33">
        <v>7</v>
      </c>
      <c r="V28" s="33">
        <v>4</v>
      </c>
      <c r="W28" s="34">
        <v>24</v>
      </c>
      <c r="X28" s="33" t="s">
        <v>55</v>
      </c>
      <c r="Y28" s="40">
        <v>1</v>
      </c>
      <c r="Z28" s="32" t="s">
        <v>91</v>
      </c>
      <c r="AA28" s="32"/>
      <c r="AB28" s="36" t="str">
        <f t="shared" si="0"/>
        <v/>
      </c>
      <c r="AC28" s="37">
        <v>0</v>
      </c>
      <c r="AD28" s="37">
        <v>0</v>
      </c>
      <c r="AE28" s="37">
        <v>0</v>
      </c>
      <c r="AF28" s="37">
        <v>0</v>
      </c>
      <c r="AG28" s="37">
        <v>0</v>
      </c>
      <c r="AH28" s="37">
        <v>0</v>
      </c>
      <c r="AI28" s="37">
        <v>0</v>
      </c>
      <c r="AJ28" s="37">
        <v>0</v>
      </c>
      <c r="AK28" s="37">
        <v>0</v>
      </c>
      <c r="AL28" s="37">
        <v>0</v>
      </c>
      <c r="AM28" s="37">
        <v>0</v>
      </c>
      <c r="AN28" s="37">
        <v>0</v>
      </c>
      <c r="AO28" s="37">
        <v>0</v>
      </c>
      <c r="AP28" s="37">
        <v>0</v>
      </c>
      <c r="AQ28" s="10"/>
    </row>
    <row r="29" spans="1:43" ht="18" customHeight="1" x14ac:dyDescent="0.3">
      <c r="A29" s="38" t="s">
        <v>130</v>
      </c>
      <c r="B29" s="38" t="s">
        <v>131</v>
      </c>
      <c r="C29" s="38" t="s">
        <v>78</v>
      </c>
      <c r="D29" s="38" t="s">
        <v>91</v>
      </c>
      <c r="E29" s="39">
        <v>2023</v>
      </c>
      <c r="F29" s="39" t="s">
        <v>54</v>
      </c>
      <c r="G29" s="39">
        <v>0</v>
      </c>
      <c r="H29" s="39">
        <v>0</v>
      </c>
      <c r="I29" s="39">
        <v>140</v>
      </c>
      <c r="J29" s="39">
        <v>93000</v>
      </c>
      <c r="K29" s="39">
        <v>0</v>
      </c>
      <c r="L29" s="39">
        <v>0</v>
      </c>
      <c r="M29" s="39">
        <v>0</v>
      </c>
      <c r="N29" s="39">
        <v>0</v>
      </c>
      <c r="O29" s="39">
        <v>80</v>
      </c>
      <c r="P29" s="39">
        <v>0</v>
      </c>
      <c r="Q29" s="39">
        <v>23</v>
      </c>
      <c r="R29" s="39">
        <v>10</v>
      </c>
      <c r="S29" s="39">
        <v>13</v>
      </c>
      <c r="T29" s="39">
        <v>20</v>
      </c>
      <c r="U29" s="39">
        <v>9</v>
      </c>
      <c r="V29" s="39">
        <v>12</v>
      </c>
      <c r="W29" s="34">
        <v>38</v>
      </c>
      <c r="X29" s="39" t="s">
        <v>55</v>
      </c>
      <c r="Y29" s="40">
        <v>10.3</v>
      </c>
      <c r="Z29" s="38" t="s">
        <v>132</v>
      </c>
      <c r="AA29" s="38"/>
      <c r="AB29" s="41" t="str">
        <f t="shared" si="0"/>
        <v/>
      </c>
      <c r="AC29" s="37">
        <v>0</v>
      </c>
      <c r="AD29" s="37">
        <v>0</v>
      </c>
      <c r="AE29" s="37">
        <v>0</v>
      </c>
      <c r="AF29" s="37">
        <v>0</v>
      </c>
      <c r="AG29" s="37">
        <v>0</v>
      </c>
      <c r="AH29" s="37">
        <v>0</v>
      </c>
      <c r="AI29" s="37">
        <v>0</v>
      </c>
      <c r="AJ29" s="37">
        <v>0</v>
      </c>
      <c r="AK29" s="37">
        <v>0</v>
      </c>
      <c r="AL29" s="37">
        <v>0</v>
      </c>
      <c r="AM29" s="37">
        <v>0</v>
      </c>
      <c r="AN29" s="37">
        <v>0</v>
      </c>
      <c r="AO29" s="37">
        <v>0</v>
      </c>
      <c r="AP29" s="37">
        <v>0</v>
      </c>
      <c r="AQ29" s="10"/>
    </row>
    <row r="30" spans="1:43" ht="18" customHeight="1" x14ac:dyDescent="0.3">
      <c r="A30" s="32" t="s">
        <v>133</v>
      </c>
      <c r="B30" s="32" t="s">
        <v>134</v>
      </c>
      <c r="C30" s="32" t="s">
        <v>78</v>
      </c>
      <c r="D30" s="32" t="s">
        <v>91</v>
      </c>
      <c r="E30" s="33">
        <v>2024</v>
      </c>
      <c r="F30" s="33" t="s">
        <v>54</v>
      </c>
      <c r="G30" s="33">
        <v>0</v>
      </c>
      <c r="H30" s="33">
        <v>0</v>
      </c>
      <c r="I30" s="33">
        <v>500</v>
      </c>
      <c r="J30" s="33">
        <v>200000</v>
      </c>
      <c r="K30" s="33">
        <v>0</v>
      </c>
      <c r="L30" s="33">
        <v>0</v>
      </c>
      <c r="M30" s="33">
        <v>0</v>
      </c>
      <c r="N30" s="33">
        <v>0</v>
      </c>
      <c r="O30" s="33">
        <v>0</v>
      </c>
      <c r="P30" s="33">
        <v>0</v>
      </c>
      <c r="Q30" s="33">
        <v>16</v>
      </c>
      <c r="R30" s="33">
        <v>7</v>
      </c>
      <c r="S30" s="33">
        <v>7</v>
      </c>
      <c r="T30" s="33">
        <v>29</v>
      </c>
      <c r="U30" s="33">
        <v>12</v>
      </c>
      <c r="V30" s="33">
        <v>17</v>
      </c>
      <c r="W30" s="34">
        <v>46</v>
      </c>
      <c r="X30" s="33" t="s">
        <v>55</v>
      </c>
      <c r="Y30" s="40">
        <v>9.2200000000000006</v>
      </c>
      <c r="Z30" s="32" t="s">
        <v>135</v>
      </c>
      <c r="AA30" s="32"/>
      <c r="AB30" s="36" t="str">
        <f t="shared" si="0"/>
        <v/>
      </c>
      <c r="AC30" s="43">
        <v>5.9855338022470485E-2</v>
      </c>
      <c r="AD30" s="43">
        <v>0</v>
      </c>
      <c r="AE30" s="43">
        <v>4.8708527017226409E-2</v>
      </c>
      <c r="AF30" s="43">
        <v>5.0238041168244258E-3</v>
      </c>
      <c r="AG30" s="43">
        <v>8.7141486779685182E-2</v>
      </c>
      <c r="AH30" s="43">
        <v>0</v>
      </c>
      <c r="AI30" s="43">
        <v>3.6028700213567216E-2</v>
      </c>
      <c r="AJ30" s="43">
        <v>7.5196041567780791E-4</v>
      </c>
      <c r="AK30" s="43">
        <v>0</v>
      </c>
      <c r="AL30" s="43">
        <v>2.1767476456951235E-2</v>
      </c>
      <c r="AM30" s="43">
        <v>2.8798283891390479E-3</v>
      </c>
      <c r="AN30" s="43">
        <v>0</v>
      </c>
      <c r="AO30" s="43">
        <v>7.060868402455088E-2</v>
      </c>
      <c r="AP30" s="37">
        <v>2.2882497663538282E-2</v>
      </c>
    </row>
    <row r="31" spans="1:43" ht="18" customHeight="1" x14ac:dyDescent="0.3">
      <c r="A31" s="38" t="s">
        <v>136</v>
      </c>
      <c r="B31" s="38" t="s">
        <v>137</v>
      </c>
      <c r="C31" s="38" t="s">
        <v>86</v>
      </c>
      <c r="D31" s="38" t="s">
        <v>382</v>
      </c>
      <c r="E31" s="39">
        <v>2019</v>
      </c>
      <c r="F31" s="39" t="s">
        <v>54</v>
      </c>
      <c r="G31" s="39">
        <v>0</v>
      </c>
      <c r="H31" s="39">
        <v>0</v>
      </c>
      <c r="I31" s="39">
        <v>0</v>
      </c>
      <c r="J31" s="39">
        <v>0</v>
      </c>
      <c r="K31" s="39">
        <v>0</v>
      </c>
      <c r="L31" s="39">
        <v>0</v>
      </c>
      <c r="M31" s="39">
        <v>0</v>
      </c>
      <c r="N31" s="39">
        <v>0</v>
      </c>
      <c r="O31" s="39">
        <v>2200</v>
      </c>
      <c r="P31" s="39">
        <v>0</v>
      </c>
      <c r="Q31" s="39">
        <v>28</v>
      </c>
      <c r="R31" s="39">
        <v>29</v>
      </c>
      <c r="S31" s="39">
        <v>0</v>
      </c>
      <c r="T31" s="39">
        <v>23</v>
      </c>
      <c r="U31" s="39">
        <v>22</v>
      </c>
      <c r="V31" s="39">
        <v>15</v>
      </c>
      <c r="W31" s="34">
        <v>47</v>
      </c>
      <c r="X31" s="39" t="s">
        <v>55</v>
      </c>
      <c r="Y31" s="40">
        <v>10.7</v>
      </c>
      <c r="Z31" s="38" t="s">
        <v>138</v>
      </c>
      <c r="AA31" s="38"/>
      <c r="AB31" s="41" t="str">
        <f t="shared" si="0"/>
        <v/>
      </c>
      <c r="AC31" s="37">
        <v>0</v>
      </c>
      <c r="AD31" s="37">
        <v>0</v>
      </c>
      <c r="AE31" s="37">
        <v>0</v>
      </c>
      <c r="AF31" s="37">
        <v>0</v>
      </c>
      <c r="AG31" s="37">
        <v>0</v>
      </c>
      <c r="AH31" s="37">
        <v>0</v>
      </c>
      <c r="AI31" s="37">
        <v>0</v>
      </c>
      <c r="AJ31" s="37">
        <v>0</v>
      </c>
      <c r="AK31" s="37">
        <v>0</v>
      </c>
      <c r="AL31" s="37">
        <v>0</v>
      </c>
      <c r="AM31" s="37">
        <v>0</v>
      </c>
      <c r="AN31" s="37">
        <v>0</v>
      </c>
      <c r="AO31" s="37">
        <v>0</v>
      </c>
      <c r="AP31" s="37">
        <v>0</v>
      </c>
      <c r="AQ31" s="10"/>
    </row>
    <row r="32" spans="1:43" ht="18" customHeight="1" x14ac:dyDescent="0.3">
      <c r="A32" s="32" t="s">
        <v>139</v>
      </c>
      <c r="B32" s="32" t="s">
        <v>140</v>
      </c>
      <c r="C32" s="32" t="s">
        <v>78</v>
      </c>
      <c r="D32" s="32"/>
      <c r="E32" s="33">
        <v>2021</v>
      </c>
      <c r="F32" s="33"/>
      <c r="G32" s="33">
        <v>0</v>
      </c>
      <c r="H32" s="33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33">
        <v>0</v>
      </c>
      <c r="O32" s="33">
        <v>3000</v>
      </c>
      <c r="P32" s="33">
        <v>0</v>
      </c>
      <c r="Q32" s="33">
        <v>66</v>
      </c>
      <c r="R32" s="33">
        <v>32</v>
      </c>
      <c r="S32" s="33">
        <v>0</v>
      </c>
      <c r="T32" s="33">
        <v>49</v>
      </c>
      <c r="U32" s="33">
        <v>36</v>
      </c>
      <c r="V32" s="33">
        <v>24</v>
      </c>
      <c r="W32" s="34">
        <v>100</v>
      </c>
      <c r="X32" s="33" t="s">
        <v>126</v>
      </c>
      <c r="Y32" s="40">
        <v>37.75</v>
      </c>
      <c r="Z32" s="32" t="s">
        <v>141</v>
      </c>
      <c r="AA32" s="32" t="s">
        <v>142</v>
      </c>
      <c r="AB32" s="36" t="str">
        <f t="shared" si="0"/>
        <v/>
      </c>
      <c r="AC32" s="43">
        <v>0.05</v>
      </c>
      <c r="AD32" s="43">
        <v>0.05</v>
      </c>
      <c r="AE32" s="43">
        <v>0.05</v>
      </c>
      <c r="AF32" s="43">
        <v>7.0000000000000007E-2</v>
      </c>
      <c r="AG32" s="43">
        <v>0.09</v>
      </c>
      <c r="AH32" s="43">
        <v>0.06</v>
      </c>
      <c r="AI32" s="43">
        <v>0.06</v>
      </c>
      <c r="AJ32" s="43">
        <v>0.01</v>
      </c>
      <c r="AK32" s="43">
        <v>0.01</v>
      </c>
      <c r="AL32" s="43">
        <v>0.01</v>
      </c>
      <c r="AM32" s="43">
        <v>0.01</v>
      </c>
      <c r="AN32" s="43">
        <v>0.01</v>
      </c>
      <c r="AO32" s="43">
        <v>0.04</v>
      </c>
      <c r="AP32" s="37">
        <v>1E-3</v>
      </c>
      <c r="AQ32" s="10"/>
    </row>
    <row r="33" spans="1:43" ht="18" customHeight="1" x14ac:dyDescent="0.3">
      <c r="A33" s="38" t="s">
        <v>143</v>
      </c>
      <c r="B33" s="38" t="s">
        <v>144</v>
      </c>
      <c r="C33" s="38" t="s">
        <v>78</v>
      </c>
      <c r="D33" s="38" t="s">
        <v>382</v>
      </c>
      <c r="E33" s="39">
        <v>2020</v>
      </c>
      <c r="F33" s="39" t="s">
        <v>54</v>
      </c>
      <c r="G33" s="39">
        <v>64</v>
      </c>
      <c r="H33" s="39">
        <v>20500</v>
      </c>
      <c r="I33" s="39">
        <v>0</v>
      </c>
      <c r="J33" s="39">
        <v>0</v>
      </c>
      <c r="K33" s="39">
        <v>3</v>
      </c>
      <c r="L33" s="39">
        <v>800</v>
      </c>
      <c r="M33" s="39">
        <v>3</v>
      </c>
      <c r="N33" s="39">
        <v>8200</v>
      </c>
      <c r="O33" s="39">
        <v>120</v>
      </c>
      <c r="P33" s="39">
        <v>300</v>
      </c>
      <c r="Q33" s="39">
        <v>48</v>
      </c>
      <c r="R33" s="39">
        <v>58</v>
      </c>
      <c r="S33" s="39">
        <v>0</v>
      </c>
      <c r="T33" s="39">
        <v>54</v>
      </c>
      <c r="U33" s="39">
        <v>40</v>
      </c>
      <c r="V33" s="39">
        <v>27</v>
      </c>
      <c r="W33" s="34">
        <v>104</v>
      </c>
      <c r="X33" s="39" t="s">
        <v>55</v>
      </c>
      <c r="Y33" s="40">
        <v>22.2</v>
      </c>
      <c r="Z33" s="38" t="s">
        <v>145</v>
      </c>
      <c r="AA33" s="38"/>
      <c r="AB33" s="41" t="str">
        <f t="shared" si="0"/>
        <v/>
      </c>
      <c r="AC33" s="37">
        <v>0</v>
      </c>
      <c r="AD33" s="37">
        <v>0</v>
      </c>
      <c r="AE33" s="37">
        <v>0</v>
      </c>
      <c r="AF33" s="37">
        <v>0</v>
      </c>
      <c r="AG33" s="37">
        <v>0</v>
      </c>
      <c r="AH33" s="37">
        <v>0</v>
      </c>
      <c r="AI33" s="37">
        <v>0</v>
      </c>
      <c r="AJ33" s="37">
        <v>0</v>
      </c>
      <c r="AK33" s="37">
        <v>0</v>
      </c>
      <c r="AL33" s="37">
        <v>0</v>
      </c>
      <c r="AM33" s="37">
        <v>0</v>
      </c>
      <c r="AN33" s="37">
        <v>0</v>
      </c>
      <c r="AO33" s="37">
        <v>0</v>
      </c>
      <c r="AP33" s="37">
        <v>0</v>
      </c>
      <c r="AQ33" s="10"/>
    </row>
    <row r="34" spans="1:43" ht="18" customHeight="1" x14ac:dyDescent="0.3">
      <c r="A34" s="32" t="s">
        <v>146</v>
      </c>
      <c r="B34" s="32" t="s">
        <v>147</v>
      </c>
      <c r="C34" s="32" t="s">
        <v>78</v>
      </c>
      <c r="D34" s="32" t="s">
        <v>382</v>
      </c>
      <c r="E34" s="33">
        <v>2020</v>
      </c>
      <c r="F34" s="33" t="s">
        <v>54</v>
      </c>
      <c r="G34" s="33">
        <v>56</v>
      </c>
      <c r="H34" s="33">
        <v>27500</v>
      </c>
      <c r="I34" s="33">
        <v>0</v>
      </c>
      <c r="J34" s="33">
        <v>0</v>
      </c>
      <c r="K34" s="33">
        <v>0</v>
      </c>
      <c r="L34" s="33">
        <v>0</v>
      </c>
      <c r="M34" s="33">
        <v>4</v>
      </c>
      <c r="N34" s="33">
        <v>8000</v>
      </c>
      <c r="O34" s="33">
        <v>1400</v>
      </c>
      <c r="P34" s="33">
        <v>400</v>
      </c>
      <c r="Q34" s="33">
        <v>38</v>
      </c>
      <c r="R34" s="33">
        <v>35</v>
      </c>
      <c r="S34" s="33">
        <v>16</v>
      </c>
      <c r="T34" s="33">
        <v>42</v>
      </c>
      <c r="U34" s="33">
        <v>32</v>
      </c>
      <c r="V34" s="33">
        <v>31</v>
      </c>
      <c r="W34" s="34">
        <v>89</v>
      </c>
      <c r="X34" s="33" t="s">
        <v>55</v>
      </c>
      <c r="Y34" s="40">
        <v>22.9</v>
      </c>
      <c r="Z34" s="32" t="s">
        <v>148</v>
      </c>
      <c r="AA34" s="32"/>
      <c r="AB34" s="36" t="str">
        <f t="shared" si="0"/>
        <v/>
      </c>
      <c r="AC34" s="37">
        <v>0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>
        <v>0</v>
      </c>
      <c r="AK34" s="37">
        <v>0</v>
      </c>
      <c r="AL34" s="37">
        <v>0</v>
      </c>
      <c r="AM34" s="37">
        <v>0</v>
      </c>
      <c r="AN34" s="37">
        <v>0</v>
      </c>
      <c r="AO34" s="37">
        <v>0</v>
      </c>
      <c r="AP34" s="37">
        <v>0</v>
      </c>
      <c r="AQ34" s="10"/>
    </row>
    <row r="35" spans="1:43" ht="18" customHeight="1" x14ac:dyDescent="0.3">
      <c r="A35" s="38" t="s">
        <v>149</v>
      </c>
      <c r="B35" s="38" t="s">
        <v>150</v>
      </c>
      <c r="C35" s="38" t="s">
        <v>98</v>
      </c>
      <c r="D35" s="38" t="s">
        <v>91</v>
      </c>
      <c r="E35" s="39">
        <v>2021</v>
      </c>
      <c r="F35" s="39" t="s">
        <v>54</v>
      </c>
      <c r="G35" s="39">
        <v>0</v>
      </c>
      <c r="H35" s="39">
        <v>0</v>
      </c>
      <c r="I35" s="39">
        <v>5</v>
      </c>
      <c r="J35" s="39">
        <v>15000</v>
      </c>
      <c r="K35" s="39">
        <v>0</v>
      </c>
      <c r="L35" s="39">
        <v>0</v>
      </c>
      <c r="M35" s="39">
        <v>0</v>
      </c>
      <c r="N35" s="39">
        <v>0</v>
      </c>
      <c r="O35" s="39">
        <v>0</v>
      </c>
      <c r="P35" s="39">
        <v>0</v>
      </c>
      <c r="Q35" s="39">
        <v>20</v>
      </c>
      <c r="R35" s="39">
        <v>2</v>
      </c>
      <c r="S35" s="39">
        <v>4</v>
      </c>
      <c r="T35" s="39">
        <v>24</v>
      </c>
      <c r="U35" s="39">
        <v>6</v>
      </c>
      <c r="V35" s="39">
        <v>5</v>
      </c>
      <c r="W35" s="34">
        <v>34</v>
      </c>
      <c r="X35" s="39" t="s">
        <v>55</v>
      </c>
      <c r="Y35" s="40">
        <v>1.02</v>
      </c>
      <c r="Z35" s="38" t="s">
        <v>91</v>
      </c>
      <c r="AA35" s="38"/>
      <c r="AB35" s="41" t="str">
        <f t="shared" si="0"/>
        <v/>
      </c>
      <c r="AC35" s="37">
        <v>0</v>
      </c>
      <c r="AD35" s="37">
        <v>0</v>
      </c>
      <c r="AE35" s="37">
        <v>4.8722053630885075E-2</v>
      </c>
      <c r="AF35" s="37">
        <v>0</v>
      </c>
      <c r="AG35" s="37">
        <v>6.2850567070619704E-3</v>
      </c>
      <c r="AH35" s="37">
        <v>0</v>
      </c>
      <c r="AI35" s="37">
        <v>2.4120283415259753E-2</v>
      </c>
      <c r="AJ35" s="37">
        <v>8.8828801459809176E-2</v>
      </c>
      <c r="AK35" s="37">
        <v>0</v>
      </c>
      <c r="AL35" s="37">
        <v>0</v>
      </c>
      <c r="AM35" s="37">
        <v>0</v>
      </c>
      <c r="AN35" s="37">
        <v>0</v>
      </c>
      <c r="AO35" s="37">
        <v>2.4661689593968524E-2</v>
      </c>
      <c r="AP35" s="37">
        <v>0</v>
      </c>
    </row>
    <row r="36" spans="1:43" ht="18" customHeight="1" x14ac:dyDescent="0.3">
      <c r="A36" s="32" t="s">
        <v>151</v>
      </c>
      <c r="B36" s="32" t="s">
        <v>384</v>
      </c>
      <c r="C36" s="32" t="s">
        <v>90</v>
      </c>
      <c r="D36" s="32" t="s">
        <v>383</v>
      </c>
      <c r="E36" s="33">
        <v>2023</v>
      </c>
      <c r="F36" s="33" t="s">
        <v>54</v>
      </c>
      <c r="G36" s="33">
        <v>0</v>
      </c>
      <c r="H36" s="33">
        <v>0</v>
      </c>
      <c r="I36" s="33">
        <v>0</v>
      </c>
      <c r="J36" s="33">
        <v>0</v>
      </c>
      <c r="K36" s="33">
        <v>0</v>
      </c>
      <c r="L36" s="33">
        <v>0</v>
      </c>
      <c r="M36" s="33">
        <v>7</v>
      </c>
      <c r="N36" s="33">
        <v>0</v>
      </c>
      <c r="O36" s="33">
        <v>0</v>
      </c>
      <c r="P36" s="33">
        <v>500</v>
      </c>
      <c r="Q36" s="33">
        <v>36</v>
      </c>
      <c r="R36" s="33">
        <v>34</v>
      </c>
      <c r="S36" s="33">
        <v>16</v>
      </c>
      <c r="T36" s="33">
        <v>42</v>
      </c>
      <c r="U36" s="33">
        <v>27</v>
      </c>
      <c r="V36" s="33">
        <v>26</v>
      </c>
      <c r="W36" s="34">
        <v>75</v>
      </c>
      <c r="X36" s="33" t="s">
        <v>116</v>
      </c>
      <c r="Y36" s="40">
        <v>24.29</v>
      </c>
      <c r="Z36" s="32" t="s">
        <v>117</v>
      </c>
      <c r="AA36" s="32" t="s">
        <v>152</v>
      </c>
      <c r="AB36" s="36" t="str">
        <f t="shared" si="0"/>
        <v/>
      </c>
      <c r="AC36" s="43">
        <v>3.9633689561359514E-2</v>
      </c>
      <c r="AD36" s="43">
        <v>3.0647515431436685E-2</v>
      </c>
      <c r="AE36" s="43">
        <v>5.3052543881658129E-2</v>
      </c>
      <c r="AF36" s="43">
        <v>3.8165095008079455E-3</v>
      </c>
      <c r="AG36" s="43">
        <v>1.5383814758115124E-2</v>
      </c>
      <c r="AH36" s="43">
        <v>0</v>
      </c>
      <c r="AI36" s="43">
        <v>2.0365040094625881E-2</v>
      </c>
      <c r="AJ36" s="43">
        <v>2.5045831691533738E-2</v>
      </c>
      <c r="AK36" s="43">
        <v>4.0094111089038487E-3</v>
      </c>
      <c r="AL36" s="43">
        <v>1.0353872197533412E-2</v>
      </c>
      <c r="AM36" s="43">
        <v>3.458066536155243E-2</v>
      </c>
      <c r="AN36" s="43">
        <v>4.8047841795323024E-2</v>
      </c>
      <c r="AO36" s="43">
        <v>2.3024824825430397E-2</v>
      </c>
      <c r="AP36" s="37">
        <v>2.4442673224758793E-3</v>
      </c>
    </row>
    <row r="37" spans="1:43" ht="18" customHeight="1" x14ac:dyDescent="0.3">
      <c r="A37" s="38" t="s">
        <v>153</v>
      </c>
      <c r="B37" s="38" t="s">
        <v>154</v>
      </c>
      <c r="C37" s="38" t="s">
        <v>90</v>
      </c>
      <c r="D37" s="38" t="s">
        <v>91</v>
      </c>
      <c r="E37" s="39">
        <v>2024</v>
      </c>
      <c r="F37" s="39" t="s">
        <v>54</v>
      </c>
      <c r="G37" s="39">
        <v>0</v>
      </c>
      <c r="H37" s="39">
        <v>0</v>
      </c>
      <c r="I37" s="39">
        <v>12</v>
      </c>
      <c r="J37" s="39">
        <v>10000</v>
      </c>
      <c r="K37" s="39">
        <v>0</v>
      </c>
      <c r="L37" s="39">
        <v>0</v>
      </c>
      <c r="M37" s="39">
        <v>0</v>
      </c>
      <c r="N37" s="39">
        <v>0</v>
      </c>
      <c r="O37" s="39">
        <v>0</v>
      </c>
      <c r="P37" s="39">
        <v>0</v>
      </c>
      <c r="Q37" s="39">
        <v>18</v>
      </c>
      <c r="R37" s="39">
        <v>2</v>
      </c>
      <c r="S37" s="39">
        <v>12</v>
      </c>
      <c r="T37" s="39">
        <v>24</v>
      </c>
      <c r="U37" s="39">
        <v>10</v>
      </c>
      <c r="V37" s="39">
        <v>23</v>
      </c>
      <c r="W37" s="34">
        <v>42</v>
      </c>
      <c r="X37" s="39" t="s">
        <v>55</v>
      </c>
      <c r="Y37" s="40">
        <v>1.63</v>
      </c>
      <c r="Z37" s="38" t="s">
        <v>91</v>
      </c>
      <c r="AA37" s="38"/>
      <c r="AB37" s="41" t="str">
        <f t="shared" si="0"/>
        <v/>
      </c>
      <c r="AC37" s="37">
        <v>3.444602869956017E-2</v>
      </c>
      <c r="AD37" s="37">
        <v>0</v>
      </c>
      <c r="AE37" s="37">
        <v>3.2577048457189638E-2</v>
      </c>
      <c r="AF37" s="37">
        <v>0</v>
      </c>
      <c r="AG37" s="37">
        <v>3.6433635908538292E-2</v>
      </c>
      <c r="AH37" s="37">
        <v>0</v>
      </c>
      <c r="AI37" s="37">
        <v>1.5017999187251916E-2</v>
      </c>
      <c r="AJ37" s="37">
        <v>0</v>
      </c>
      <c r="AK37" s="37">
        <v>0</v>
      </c>
      <c r="AL37" s="37">
        <v>2.5212433614306174E-4</v>
      </c>
      <c r="AM37" s="37">
        <v>4.0869455595146228E-3</v>
      </c>
      <c r="AN37" s="37">
        <v>0</v>
      </c>
      <c r="AO37" s="37">
        <v>9.428801895920387E-2</v>
      </c>
      <c r="AP37" s="37">
        <v>4.4380778986219394E-5</v>
      </c>
    </row>
    <row r="38" spans="1:43" ht="18" customHeight="1" x14ac:dyDescent="0.3">
      <c r="A38" s="32" t="s">
        <v>155</v>
      </c>
      <c r="B38" s="32" t="s">
        <v>156</v>
      </c>
      <c r="C38" s="32" t="s">
        <v>90</v>
      </c>
      <c r="D38" s="32" t="s">
        <v>91</v>
      </c>
      <c r="E38" s="33">
        <v>2022</v>
      </c>
      <c r="F38" s="33" t="s">
        <v>54</v>
      </c>
      <c r="G38" s="33">
        <v>0</v>
      </c>
      <c r="H38" s="33">
        <v>0</v>
      </c>
      <c r="I38" s="33">
        <v>14</v>
      </c>
      <c r="J38" s="33">
        <v>11000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25</v>
      </c>
      <c r="R38" s="33">
        <v>2</v>
      </c>
      <c r="S38" s="33">
        <v>12</v>
      </c>
      <c r="T38" s="33">
        <v>40</v>
      </c>
      <c r="U38" s="33">
        <v>10</v>
      </c>
      <c r="V38" s="33">
        <v>15</v>
      </c>
      <c r="W38" s="34">
        <v>52</v>
      </c>
      <c r="X38" s="33" t="s">
        <v>55</v>
      </c>
      <c r="Y38" s="40">
        <v>1.79</v>
      </c>
      <c r="Z38" s="32" t="s">
        <v>91</v>
      </c>
      <c r="AA38" s="32" t="s">
        <v>157</v>
      </c>
      <c r="AB38" s="36" t="str">
        <f t="shared" si="0"/>
        <v/>
      </c>
      <c r="AC38" s="37">
        <v>3.0585652025361378E-2</v>
      </c>
      <c r="AD38" s="37">
        <v>6.6329113601896299E-3</v>
      </c>
      <c r="AE38" s="37">
        <v>5.1984802925830555E-2</v>
      </c>
      <c r="AF38" s="37">
        <v>0</v>
      </c>
      <c r="AG38" s="37">
        <v>5.7168810674455284E-3</v>
      </c>
      <c r="AH38" s="37">
        <v>0</v>
      </c>
      <c r="AI38" s="37">
        <v>1.0319314066555891E-2</v>
      </c>
      <c r="AJ38" s="37">
        <v>0</v>
      </c>
      <c r="AK38" s="37">
        <v>0</v>
      </c>
      <c r="AL38" s="37">
        <v>0</v>
      </c>
      <c r="AM38" s="37">
        <v>0</v>
      </c>
      <c r="AN38" s="37">
        <v>0</v>
      </c>
      <c r="AO38" s="37">
        <v>0.14425470114306677</v>
      </c>
      <c r="AP38" s="37">
        <v>0</v>
      </c>
    </row>
    <row r="39" spans="1:43" ht="18" customHeight="1" x14ac:dyDescent="0.3">
      <c r="A39" s="38" t="s">
        <v>158</v>
      </c>
      <c r="B39" s="38" t="s">
        <v>159</v>
      </c>
      <c r="C39" s="38" t="s">
        <v>120</v>
      </c>
      <c r="D39" s="38" t="s">
        <v>91</v>
      </c>
      <c r="E39" s="39">
        <v>2021</v>
      </c>
      <c r="F39" s="39" t="s">
        <v>54</v>
      </c>
      <c r="G39" s="39">
        <v>0</v>
      </c>
      <c r="H39" s="39">
        <v>0</v>
      </c>
      <c r="I39" s="39">
        <v>84</v>
      </c>
      <c r="J39" s="39">
        <v>163000</v>
      </c>
      <c r="K39" s="39">
        <v>0</v>
      </c>
      <c r="L39" s="39">
        <v>0</v>
      </c>
      <c r="M39" s="39">
        <v>0</v>
      </c>
      <c r="N39" s="39">
        <v>0</v>
      </c>
      <c r="O39" s="39">
        <v>300</v>
      </c>
      <c r="P39" s="39">
        <v>0</v>
      </c>
      <c r="Q39" s="39">
        <v>24</v>
      </c>
      <c r="R39" s="39">
        <v>27</v>
      </c>
      <c r="S39" s="39">
        <v>9</v>
      </c>
      <c r="T39" s="39">
        <v>26</v>
      </c>
      <c r="U39" s="39">
        <v>15</v>
      </c>
      <c r="V39" s="39">
        <v>22</v>
      </c>
      <c r="W39" s="34">
        <v>52</v>
      </c>
      <c r="X39" s="39" t="s">
        <v>121</v>
      </c>
      <c r="Y39" s="40">
        <v>16.899999999999999</v>
      </c>
      <c r="Z39" s="38" t="s">
        <v>132</v>
      </c>
      <c r="AA39" s="38" t="s">
        <v>160</v>
      </c>
      <c r="AB39" s="41" t="str">
        <f t="shared" si="0"/>
        <v/>
      </c>
      <c r="AC39" s="37">
        <v>0</v>
      </c>
      <c r="AD39" s="37">
        <v>0</v>
      </c>
      <c r="AE39" s="37">
        <v>0</v>
      </c>
      <c r="AF39" s="37">
        <v>0</v>
      </c>
      <c r="AG39" s="37">
        <v>0</v>
      </c>
      <c r="AH39" s="37">
        <v>0</v>
      </c>
      <c r="AI39" s="37">
        <v>0</v>
      </c>
      <c r="AJ39" s="37">
        <v>0</v>
      </c>
      <c r="AK39" s="37">
        <v>0</v>
      </c>
      <c r="AL39" s="37">
        <v>0</v>
      </c>
      <c r="AM39" s="37">
        <v>0</v>
      </c>
      <c r="AN39" s="37">
        <v>0</v>
      </c>
      <c r="AO39" s="37">
        <v>0</v>
      </c>
      <c r="AP39" s="37">
        <v>0</v>
      </c>
      <c r="AQ39" s="10"/>
    </row>
    <row r="40" spans="1:43" ht="18" customHeight="1" x14ac:dyDescent="0.3">
      <c r="A40" s="32" t="s">
        <v>161</v>
      </c>
      <c r="B40" s="32" t="s">
        <v>162</v>
      </c>
      <c r="C40" s="32" t="s">
        <v>98</v>
      </c>
      <c r="D40" s="32" t="s">
        <v>382</v>
      </c>
      <c r="E40" s="33">
        <v>2023</v>
      </c>
      <c r="F40" s="33" t="s">
        <v>54</v>
      </c>
      <c r="G40" s="33">
        <v>78</v>
      </c>
      <c r="H40" s="33">
        <v>15000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2400</v>
      </c>
      <c r="P40" s="33">
        <v>100</v>
      </c>
      <c r="Q40" s="33">
        <v>56</v>
      </c>
      <c r="R40" s="33">
        <v>38</v>
      </c>
      <c r="S40" s="33">
        <v>12</v>
      </c>
      <c r="T40" s="33">
        <v>75</v>
      </c>
      <c r="U40" s="33">
        <v>57</v>
      </c>
      <c r="V40" s="33">
        <v>50</v>
      </c>
      <c r="W40" s="34">
        <v>120</v>
      </c>
      <c r="X40" s="33" t="s">
        <v>55</v>
      </c>
      <c r="Y40" s="40">
        <v>22.03</v>
      </c>
      <c r="Z40" s="32" t="s">
        <v>163</v>
      </c>
      <c r="AA40" s="32"/>
      <c r="AB40" s="36" t="str">
        <f t="shared" si="0"/>
        <v/>
      </c>
      <c r="AC40" s="37">
        <v>0</v>
      </c>
      <c r="AD40" s="37">
        <v>0</v>
      </c>
      <c r="AE40" s="37">
        <v>0</v>
      </c>
      <c r="AF40" s="37">
        <v>0</v>
      </c>
      <c r="AG40" s="37">
        <v>0</v>
      </c>
      <c r="AH40" s="37">
        <v>0</v>
      </c>
      <c r="AI40" s="37">
        <v>0</v>
      </c>
      <c r="AJ40" s="37">
        <v>0</v>
      </c>
      <c r="AK40" s="37">
        <v>0</v>
      </c>
      <c r="AL40" s="37">
        <v>0</v>
      </c>
      <c r="AM40" s="37">
        <v>0</v>
      </c>
      <c r="AN40" s="37">
        <v>0</v>
      </c>
      <c r="AO40" s="37">
        <v>0</v>
      </c>
      <c r="AP40" s="37">
        <v>0</v>
      </c>
      <c r="AQ40" s="10"/>
    </row>
    <row r="41" spans="1:43" ht="18" customHeight="1" x14ac:dyDescent="0.3">
      <c r="A41" s="38" t="s">
        <v>164</v>
      </c>
      <c r="B41" s="38" t="s">
        <v>165</v>
      </c>
      <c r="C41" s="38" t="s">
        <v>98</v>
      </c>
      <c r="D41" s="38" t="s">
        <v>382</v>
      </c>
      <c r="E41" s="39">
        <v>2025</v>
      </c>
      <c r="F41" s="39" t="s">
        <v>54</v>
      </c>
      <c r="G41" s="39">
        <v>0</v>
      </c>
      <c r="H41" s="39">
        <v>0</v>
      </c>
      <c r="I41" s="39">
        <v>0</v>
      </c>
      <c r="J41" s="39">
        <v>0</v>
      </c>
      <c r="K41" s="39">
        <v>0</v>
      </c>
      <c r="L41" s="39">
        <v>0</v>
      </c>
      <c r="M41" s="39">
        <v>0</v>
      </c>
      <c r="N41" s="39">
        <v>0</v>
      </c>
      <c r="O41" s="39">
        <v>800</v>
      </c>
      <c r="P41" s="39">
        <v>0</v>
      </c>
      <c r="Q41" s="39">
        <v>60</v>
      </c>
      <c r="R41" s="39">
        <v>40</v>
      </c>
      <c r="S41" s="39">
        <v>12</v>
      </c>
      <c r="T41" s="39">
        <v>69</v>
      </c>
      <c r="U41" s="39">
        <v>26</v>
      </c>
      <c r="V41" s="39">
        <v>40</v>
      </c>
      <c r="W41" s="34">
        <v>105</v>
      </c>
      <c r="X41" s="39" t="s">
        <v>55</v>
      </c>
      <c r="Y41" s="40">
        <v>9.52</v>
      </c>
      <c r="Z41" s="38" t="s">
        <v>166</v>
      </c>
      <c r="AA41" s="38"/>
      <c r="AB41" s="41" t="str">
        <f t="shared" si="0"/>
        <v/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10"/>
    </row>
    <row r="42" spans="1:43" ht="18" customHeight="1" x14ac:dyDescent="0.3">
      <c r="A42" s="32" t="s">
        <v>167</v>
      </c>
      <c r="B42" s="32" t="s">
        <v>168</v>
      </c>
      <c r="C42" s="32" t="s">
        <v>86</v>
      </c>
      <c r="D42" s="32"/>
      <c r="E42" s="33">
        <v>2026</v>
      </c>
      <c r="F42" s="33" t="s">
        <v>59</v>
      </c>
      <c r="G42" s="33">
        <v>0</v>
      </c>
      <c r="H42" s="33">
        <v>0</v>
      </c>
      <c r="I42" s="33">
        <v>0</v>
      </c>
      <c r="J42" s="33">
        <v>0</v>
      </c>
      <c r="K42" s="33">
        <v>56</v>
      </c>
      <c r="L42" s="33">
        <v>45000</v>
      </c>
      <c r="M42" s="33">
        <v>0</v>
      </c>
      <c r="N42" s="33">
        <v>0</v>
      </c>
      <c r="O42" s="33">
        <v>0</v>
      </c>
      <c r="P42" s="33">
        <v>178</v>
      </c>
      <c r="Q42" s="33">
        <v>52</v>
      </c>
      <c r="R42" s="33">
        <v>0</v>
      </c>
      <c r="S42" s="33">
        <v>25</v>
      </c>
      <c r="T42" s="33">
        <v>45</v>
      </c>
      <c r="U42" s="33">
        <v>21</v>
      </c>
      <c r="V42" s="33">
        <v>31</v>
      </c>
      <c r="W42" s="34">
        <v>106.4</v>
      </c>
      <c r="X42" s="33" t="s">
        <v>55</v>
      </c>
      <c r="Y42" s="40">
        <v>19.010000000000002</v>
      </c>
      <c r="Z42" s="32" t="s">
        <v>169</v>
      </c>
      <c r="AA42" s="32"/>
      <c r="AB42" s="36" t="str">
        <f t="shared" si="0"/>
        <v/>
      </c>
      <c r="AC42" s="43">
        <v>0.05</v>
      </c>
      <c r="AD42" s="43">
        <v>0.05</v>
      </c>
      <c r="AE42" s="43">
        <v>0.05</v>
      </c>
      <c r="AF42" s="43">
        <v>7.0000000000000007E-2</v>
      </c>
      <c r="AG42" s="43">
        <v>0.09</v>
      </c>
      <c r="AH42" s="43">
        <v>0.06</v>
      </c>
      <c r="AI42" s="43">
        <v>0.06</v>
      </c>
      <c r="AJ42" s="43">
        <v>0.01</v>
      </c>
      <c r="AK42" s="43">
        <v>0.01</v>
      </c>
      <c r="AL42" s="43">
        <v>0.01</v>
      </c>
      <c r="AM42" s="43">
        <v>0.01</v>
      </c>
      <c r="AN42" s="43">
        <v>0.01</v>
      </c>
      <c r="AO42" s="43">
        <v>0.04</v>
      </c>
      <c r="AP42" s="37">
        <v>1E-3</v>
      </c>
      <c r="AQ42" s="10"/>
    </row>
    <row r="43" spans="1:43" ht="18" customHeight="1" x14ac:dyDescent="0.3">
      <c r="A43" s="38" t="s">
        <v>170</v>
      </c>
      <c r="B43" s="38" t="s">
        <v>171</v>
      </c>
      <c r="C43" s="38" t="s">
        <v>78</v>
      </c>
      <c r="D43" s="38"/>
      <c r="E43" s="39">
        <v>2026</v>
      </c>
      <c r="F43" s="39" t="s">
        <v>59</v>
      </c>
      <c r="G43" s="39">
        <v>30</v>
      </c>
      <c r="H43" s="39">
        <v>6200</v>
      </c>
      <c r="I43" s="39">
        <v>0</v>
      </c>
      <c r="J43" s="39">
        <v>0</v>
      </c>
      <c r="K43" s="39">
        <v>0</v>
      </c>
      <c r="L43" s="39">
        <v>0</v>
      </c>
      <c r="M43" s="39">
        <v>3</v>
      </c>
      <c r="N43" s="39">
        <v>4300</v>
      </c>
      <c r="O43" s="39">
        <v>350</v>
      </c>
      <c r="P43" s="39">
        <v>255</v>
      </c>
      <c r="Q43" s="39">
        <v>46</v>
      </c>
      <c r="R43" s="39">
        <v>48</v>
      </c>
      <c r="S43" s="39">
        <v>27</v>
      </c>
      <c r="T43" s="39">
        <v>57</v>
      </c>
      <c r="U43" s="39">
        <v>28</v>
      </c>
      <c r="V43" s="39">
        <v>35</v>
      </c>
      <c r="W43" s="34">
        <v>108</v>
      </c>
      <c r="X43" s="39" t="s">
        <v>55</v>
      </c>
      <c r="Y43" s="40">
        <v>11.9</v>
      </c>
      <c r="Z43" s="38" t="s">
        <v>172</v>
      </c>
      <c r="AA43" s="38" t="s">
        <v>173</v>
      </c>
      <c r="AB43" s="41" t="str">
        <f t="shared" si="0"/>
        <v/>
      </c>
      <c r="AC43" s="42">
        <v>5.1999999999999998E-2</v>
      </c>
      <c r="AD43" s="42">
        <v>5.1999999999999998E-2</v>
      </c>
      <c r="AE43" s="42">
        <v>5.1999999999999998E-2</v>
      </c>
      <c r="AF43" s="42">
        <v>8.0000000000000002E-3</v>
      </c>
      <c r="AG43" s="42">
        <v>2.1999999999999999E-2</v>
      </c>
      <c r="AH43" s="42">
        <v>0.01</v>
      </c>
      <c r="AI43" s="42">
        <v>0.01</v>
      </c>
      <c r="AJ43" s="42">
        <v>3.1E-2</v>
      </c>
      <c r="AK43" s="42">
        <v>3.1E-2</v>
      </c>
      <c r="AL43" s="42">
        <v>3.1E-2</v>
      </c>
      <c r="AM43" s="42">
        <v>3.7999999999999999E-2</v>
      </c>
      <c r="AN43" s="42">
        <v>3.7999999999999999E-2</v>
      </c>
      <c r="AO43" s="42">
        <v>0</v>
      </c>
      <c r="AP43" s="37">
        <v>1E-3</v>
      </c>
      <c r="AQ43" s="10"/>
    </row>
    <row r="44" spans="1:43" ht="18" customHeight="1" x14ac:dyDescent="0.3">
      <c r="A44" s="32" t="s">
        <v>174</v>
      </c>
      <c r="B44" s="32" t="s">
        <v>175</v>
      </c>
      <c r="C44" s="32" t="s">
        <v>176</v>
      </c>
      <c r="D44" s="32" t="s">
        <v>382</v>
      </c>
      <c r="E44" s="33">
        <v>2025</v>
      </c>
      <c r="F44" s="33" t="s">
        <v>54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230</v>
      </c>
      <c r="P44" s="33">
        <v>0</v>
      </c>
      <c r="Q44" s="33">
        <v>7</v>
      </c>
      <c r="R44" s="33">
        <v>7</v>
      </c>
      <c r="S44" s="33">
        <v>7</v>
      </c>
      <c r="T44" s="33">
        <v>20</v>
      </c>
      <c r="U44" s="33">
        <v>28</v>
      </c>
      <c r="V44" s="33">
        <v>13</v>
      </c>
      <c r="W44" s="34">
        <v>53</v>
      </c>
      <c r="X44" s="33" t="s">
        <v>55</v>
      </c>
      <c r="Y44" s="40">
        <v>1.5</v>
      </c>
      <c r="Z44" s="32" t="s">
        <v>83</v>
      </c>
      <c r="AA44" s="32" t="s">
        <v>177</v>
      </c>
      <c r="AB44" s="36" t="str">
        <f t="shared" si="0"/>
        <v/>
      </c>
      <c r="AC44" s="37">
        <v>0</v>
      </c>
      <c r="AD44" s="37">
        <v>0</v>
      </c>
      <c r="AE44" s="37">
        <v>0</v>
      </c>
      <c r="AF44" s="37">
        <v>0</v>
      </c>
      <c r="AG44" s="37">
        <v>0</v>
      </c>
      <c r="AH44" s="37">
        <v>0</v>
      </c>
      <c r="AI44" s="37">
        <v>0</v>
      </c>
      <c r="AJ44" s="37">
        <v>0</v>
      </c>
      <c r="AK44" s="37">
        <v>0</v>
      </c>
      <c r="AL44" s="37">
        <v>0</v>
      </c>
      <c r="AM44" s="37">
        <v>0</v>
      </c>
      <c r="AN44" s="37">
        <v>0</v>
      </c>
      <c r="AO44" s="37">
        <v>0</v>
      </c>
      <c r="AP44" s="37">
        <v>0</v>
      </c>
      <c r="AQ44" s="10"/>
    </row>
    <row r="45" spans="1:43" ht="18" customHeight="1" x14ac:dyDescent="0.3">
      <c r="A45" s="38" t="s">
        <v>178</v>
      </c>
      <c r="B45" s="38" t="s">
        <v>179</v>
      </c>
      <c r="C45" s="38" t="s">
        <v>98</v>
      </c>
      <c r="D45" s="38" t="s">
        <v>382</v>
      </c>
      <c r="E45" s="39">
        <v>2025</v>
      </c>
      <c r="F45" s="39" t="s">
        <v>54</v>
      </c>
      <c r="G45" s="39">
        <v>64</v>
      </c>
      <c r="H45" s="39">
        <v>7000</v>
      </c>
      <c r="I45" s="39">
        <v>0</v>
      </c>
      <c r="J45" s="39">
        <v>0</v>
      </c>
      <c r="K45" s="39">
        <v>0</v>
      </c>
      <c r="L45" s="39">
        <v>0</v>
      </c>
      <c r="M45" s="39">
        <v>6</v>
      </c>
      <c r="N45" s="39">
        <v>900</v>
      </c>
      <c r="O45" s="39">
        <v>473</v>
      </c>
      <c r="P45" s="39">
        <v>200</v>
      </c>
      <c r="Q45" s="39">
        <v>58</v>
      </c>
      <c r="R45" s="39">
        <v>44</v>
      </c>
      <c r="S45" s="39">
        <v>27</v>
      </c>
      <c r="T45" s="39">
        <v>39</v>
      </c>
      <c r="U45" s="39">
        <v>30</v>
      </c>
      <c r="V45" s="39">
        <v>33</v>
      </c>
      <c r="W45" s="34">
        <v>107</v>
      </c>
      <c r="X45" s="39" t="s">
        <v>55</v>
      </c>
      <c r="Y45" s="40">
        <v>11.9</v>
      </c>
      <c r="Z45" s="38" t="s">
        <v>180</v>
      </c>
      <c r="AA45" s="38" t="s">
        <v>181</v>
      </c>
      <c r="AB45" s="41" t="str">
        <f t="shared" si="0"/>
        <v/>
      </c>
      <c r="AC45" s="37">
        <v>0</v>
      </c>
      <c r="AD45" s="37">
        <v>0</v>
      </c>
      <c r="AE45" s="37">
        <v>0</v>
      </c>
      <c r="AF45" s="37">
        <v>0</v>
      </c>
      <c r="AG45" s="37">
        <v>0</v>
      </c>
      <c r="AH45" s="37">
        <v>0</v>
      </c>
      <c r="AI45" s="37">
        <v>0</v>
      </c>
      <c r="AJ45" s="37">
        <v>0</v>
      </c>
      <c r="AK45" s="37">
        <v>0</v>
      </c>
      <c r="AL45" s="37">
        <v>0</v>
      </c>
      <c r="AM45" s="37">
        <v>0</v>
      </c>
      <c r="AN45" s="37">
        <v>0</v>
      </c>
      <c r="AO45" s="37">
        <v>0</v>
      </c>
      <c r="AP45" s="37">
        <v>0</v>
      </c>
      <c r="AQ45" s="10"/>
    </row>
    <row r="46" spans="1:43" ht="18" customHeight="1" x14ac:dyDescent="0.3">
      <c r="A46" s="38"/>
      <c r="B46" s="38"/>
      <c r="C46" s="38"/>
      <c r="D46" s="38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4"/>
      <c r="X46" s="39"/>
      <c r="Y46" s="40"/>
      <c r="Z46" s="38"/>
      <c r="AA46" s="38"/>
      <c r="AB46" s="41" t="str">
        <f t="shared" si="0"/>
        <v/>
      </c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3" ht="18" customHeight="1" x14ac:dyDescent="0.3">
      <c r="A47" s="32"/>
      <c r="B47" s="32"/>
      <c r="C47" s="32"/>
      <c r="D47" s="32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4"/>
      <c r="X47" s="33"/>
      <c r="Y47" s="35"/>
      <c r="Z47" s="32"/>
      <c r="AA47" s="32"/>
      <c r="AB47" s="36" t="str">
        <f t="shared" si="0"/>
        <v/>
      </c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3" ht="18" customHeight="1" x14ac:dyDescent="0.3">
      <c r="A48" s="38"/>
      <c r="B48" s="38"/>
      <c r="C48" s="38"/>
      <c r="D48" s="38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4"/>
      <c r="X48" s="39"/>
      <c r="Y48" s="40"/>
      <c r="Z48" s="38"/>
      <c r="AA48" s="38"/>
      <c r="AB48" s="41" t="str">
        <f t="shared" si="0"/>
        <v/>
      </c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ht="18" customHeight="1" x14ac:dyDescent="0.3">
      <c r="A49" s="32"/>
      <c r="B49" s="32"/>
      <c r="C49" s="32"/>
      <c r="D49" s="32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4"/>
      <c r="X49" s="33"/>
      <c r="Y49" s="35"/>
      <c r="Z49" s="32"/>
      <c r="AA49" s="32"/>
      <c r="AB49" s="36" t="str">
        <f t="shared" si="0"/>
        <v/>
      </c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ht="18" customHeight="1" x14ac:dyDescent="0.3">
      <c r="A50" s="38"/>
      <c r="B50" s="38"/>
      <c r="C50" s="38"/>
      <c r="D50" s="38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4"/>
      <c r="X50" s="39"/>
      <c r="Y50" s="40"/>
      <c r="Z50" s="38"/>
      <c r="AA50" s="38"/>
      <c r="AB50" s="41" t="str">
        <f t="shared" si="0"/>
        <v/>
      </c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ht="18" customHeight="1" x14ac:dyDescent="0.3">
      <c r="A51" s="32"/>
      <c r="B51" s="32"/>
      <c r="C51" s="32"/>
      <c r="D51" s="32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4"/>
      <c r="X51" s="33"/>
      <c r="Y51" s="35"/>
      <c r="Z51" s="32"/>
      <c r="AA51" s="32"/>
      <c r="AB51" s="36" t="str">
        <f t="shared" si="0"/>
        <v/>
      </c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ht="18" customHeight="1" x14ac:dyDescent="0.3">
      <c r="A52" s="38"/>
      <c r="B52" s="38"/>
      <c r="C52" s="38"/>
      <c r="D52" s="38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4"/>
      <c r="X52" s="39"/>
      <c r="Y52" s="40"/>
      <c r="Z52" s="38"/>
      <c r="AA52" s="38"/>
      <c r="AB52" s="41" t="str">
        <f t="shared" si="0"/>
        <v/>
      </c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ht="18" customHeight="1" x14ac:dyDescent="0.3">
      <c r="A53" s="32"/>
      <c r="B53" s="32"/>
      <c r="C53" s="32"/>
      <c r="D53" s="32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4"/>
      <c r="X53" s="33"/>
      <c r="Y53" s="35"/>
      <c r="Z53" s="32"/>
      <c r="AA53" s="32"/>
      <c r="AB53" s="36" t="str">
        <f t="shared" si="0"/>
        <v/>
      </c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ht="18" customHeight="1" x14ac:dyDescent="0.3">
      <c r="A54" s="38"/>
      <c r="B54" s="38"/>
      <c r="C54" s="38"/>
      <c r="D54" s="38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4"/>
      <c r="X54" s="39"/>
      <c r="Y54" s="40"/>
      <c r="Z54" s="38"/>
      <c r="AA54" s="38"/>
      <c r="AB54" s="41" t="str">
        <f t="shared" si="0"/>
        <v/>
      </c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ht="18" customHeight="1" x14ac:dyDescent="0.3">
      <c r="A55" s="32"/>
      <c r="B55" s="32"/>
      <c r="C55" s="32"/>
      <c r="D55" s="32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4"/>
      <c r="X55" s="33"/>
      <c r="Y55" s="35"/>
      <c r="Z55" s="32"/>
      <c r="AA55" s="32"/>
      <c r="AB55" s="36" t="str">
        <f t="shared" si="0"/>
        <v/>
      </c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ht="18" customHeight="1" x14ac:dyDescent="0.3">
      <c r="A56" s="38"/>
      <c r="B56" s="38"/>
      <c r="C56" s="38"/>
      <c r="D56" s="38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4"/>
      <c r="X56" s="39"/>
      <c r="Y56" s="40"/>
      <c r="Z56" s="38"/>
      <c r="AA56" s="38"/>
      <c r="AB56" s="41" t="str">
        <f t="shared" si="0"/>
        <v/>
      </c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ht="18" customHeight="1" x14ac:dyDescent="0.3">
      <c r="A57" s="32"/>
      <c r="B57" s="32"/>
      <c r="C57" s="32"/>
      <c r="D57" s="32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4"/>
      <c r="X57" s="33"/>
      <c r="Y57" s="35"/>
      <c r="Z57" s="32"/>
      <c r="AA57" s="32"/>
      <c r="AB57" s="36" t="str">
        <f t="shared" si="0"/>
        <v/>
      </c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  <row r="58" spans="1:42" ht="18" customHeight="1" x14ac:dyDescent="0.3">
      <c r="A58" s="38"/>
      <c r="B58" s="38"/>
      <c r="C58" s="38"/>
      <c r="D58" s="38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4"/>
      <c r="X58" s="39"/>
      <c r="Y58" s="40"/>
      <c r="Z58" s="38"/>
      <c r="AA58" s="38"/>
      <c r="AB58" s="41" t="str">
        <f t="shared" si="0"/>
        <v/>
      </c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</row>
    <row r="59" spans="1:42" ht="18" customHeight="1" x14ac:dyDescent="0.3">
      <c r="A59" s="32"/>
      <c r="B59" s="32"/>
      <c r="C59" s="32"/>
      <c r="D59" s="32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4"/>
      <c r="X59" s="33"/>
      <c r="Y59" s="35"/>
      <c r="Z59" s="32"/>
      <c r="AA59" s="32"/>
      <c r="AB59" s="36" t="str">
        <f t="shared" si="0"/>
        <v/>
      </c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</row>
    <row r="60" spans="1:42" ht="18" customHeight="1" x14ac:dyDescent="0.3">
      <c r="A60" s="38"/>
      <c r="B60" s="38"/>
      <c r="C60" s="38"/>
      <c r="D60" s="38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4"/>
      <c r="X60" s="39"/>
      <c r="Y60" s="40"/>
      <c r="Z60" s="38"/>
      <c r="AA60" s="38"/>
      <c r="AB60" s="41" t="str">
        <f t="shared" si="0"/>
        <v/>
      </c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</row>
    <row r="61" spans="1:42" ht="18" customHeight="1" x14ac:dyDescent="0.3">
      <c r="A61" s="32"/>
      <c r="B61" s="32"/>
      <c r="C61" s="32"/>
      <c r="D61" s="32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4"/>
      <c r="X61" s="33"/>
      <c r="Y61" s="35"/>
      <c r="Z61" s="32"/>
      <c r="AA61" s="32"/>
      <c r="AB61" s="36" t="str">
        <f t="shared" si="0"/>
        <v/>
      </c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</row>
    <row r="62" spans="1:42" ht="18" customHeight="1" x14ac:dyDescent="0.3">
      <c r="A62" s="38"/>
      <c r="B62" s="38"/>
      <c r="C62" s="38"/>
      <c r="D62" s="38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4"/>
      <c r="X62" s="39"/>
      <c r="Y62" s="40"/>
      <c r="Z62" s="38"/>
      <c r="AA62" s="38"/>
      <c r="AB62" s="41" t="str">
        <f t="shared" si="0"/>
        <v/>
      </c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</row>
    <row r="63" spans="1:42" ht="18" customHeight="1" x14ac:dyDescent="0.3">
      <c r="A63" s="32"/>
      <c r="B63" s="32"/>
      <c r="C63" s="32"/>
      <c r="D63" s="32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4"/>
      <c r="X63" s="33"/>
      <c r="Y63" s="35"/>
      <c r="Z63" s="32"/>
      <c r="AA63" s="32"/>
      <c r="AB63" s="36" t="str">
        <f t="shared" si="0"/>
        <v/>
      </c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</row>
    <row r="64" spans="1:42" ht="18" customHeight="1" x14ac:dyDescent="0.3">
      <c r="A64" s="38"/>
      <c r="B64" s="38"/>
      <c r="C64" s="38"/>
      <c r="D64" s="38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4"/>
      <c r="X64" s="39"/>
      <c r="Y64" s="40"/>
      <c r="Z64" s="38"/>
      <c r="AA64" s="38"/>
      <c r="AB64" s="41" t="str">
        <f t="shared" si="0"/>
        <v/>
      </c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</row>
    <row r="65" spans="1:42" ht="18" customHeight="1" x14ac:dyDescent="0.3">
      <c r="A65" s="32"/>
      <c r="B65" s="32"/>
      <c r="C65" s="32"/>
      <c r="D65" s="32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4"/>
      <c r="X65" s="33"/>
      <c r="Y65" s="35"/>
      <c r="Z65" s="32"/>
      <c r="AA65" s="32"/>
      <c r="AB65" s="36" t="str">
        <f t="shared" si="0"/>
        <v/>
      </c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</row>
    <row r="66" spans="1:42" ht="18" customHeight="1" x14ac:dyDescent="0.3">
      <c r="A66" s="38"/>
      <c r="B66" s="38"/>
      <c r="C66" s="38"/>
      <c r="D66" s="38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4"/>
      <c r="X66" s="39"/>
      <c r="Y66" s="40"/>
      <c r="Z66" s="38"/>
      <c r="AA66" s="38"/>
      <c r="AB66" s="41" t="str">
        <f t="shared" si="0"/>
        <v/>
      </c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</row>
    <row r="67" spans="1:42" ht="18" customHeight="1" x14ac:dyDescent="0.3">
      <c r="A67" s="32"/>
      <c r="B67" s="32"/>
      <c r="C67" s="32"/>
      <c r="D67" s="32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4"/>
      <c r="X67" s="33"/>
      <c r="Y67" s="35"/>
      <c r="Z67" s="32"/>
      <c r="AA67" s="32"/>
      <c r="AB67" s="36" t="str">
        <f t="shared" si="0"/>
        <v/>
      </c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</row>
    <row r="68" spans="1:42" ht="18" customHeight="1" x14ac:dyDescent="0.3">
      <c r="A68" s="38"/>
      <c r="B68" s="38"/>
      <c r="C68" s="38"/>
      <c r="D68" s="38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4"/>
      <c r="X68" s="39"/>
      <c r="Y68" s="40"/>
      <c r="Z68" s="38"/>
      <c r="AA68" s="38"/>
      <c r="AB68" s="41" t="str">
        <f t="shared" si="0"/>
        <v/>
      </c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</row>
    <row r="69" spans="1:42" ht="18" customHeight="1" x14ac:dyDescent="0.3">
      <c r="A69" s="32"/>
      <c r="B69" s="32"/>
      <c r="C69" s="32"/>
      <c r="D69" s="32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4"/>
      <c r="X69" s="33"/>
      <c r="Y69" s="35"/>
      <c r="Z69" s="32"/>
      <c r="AA69" s="32"/>
      <c r="AB69" s="36" t="str">
        <f t="shared" si="0"/>
        <v/>
      </c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</row>
    <row r="70" spans="1:42" ht="18" customHeight="1" x14ac:dyDescent="0.3">
      <c r="A70" s="38"/>
      <c r="B70" s="38"/>
      <c r="C70" s="38"/>
      <c r="D70" s="38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4"/>
      <c r="X70" s="39"/>
      <c r="Y70" s="40"/>
      <c r="Z70" s="38"/>
      <c r="AA70" s="38"/>
      <c r="AB70" s="41" t="str">
        <f t="shared" ref="AB70:AB133" si="1">IF(A70="","",IF(COUNTIF($A$6:$A$504,A70)&gt;1,"⚠ Duplicate",""))</f>
        <v/>
      </c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</row>
    <row r="71" spans="1:42" ht="18" customHeight="1" x14ac:dyDescent="0.3">
      <c r="A71" s="32"/>
      <c r="B71" s="32"/>
      <c r="C71" s="32"/>
      <c r="D71" s="32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4"/>
      <c r="X71" s="33"/>
      <c r="Y71" s="35"/>
      <c r="Z71" s="32"/>
      <c r="AA71" s="32"/>
      <c r="AB71" s="36" t="str">
        <f t="shared" si="1"/>
        <v/>
      </c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</row>
    <row r="72" spans="1:42" ht="18" customHeight="1" x14ac:dyDescent="0.3">
      <c r="A72" s="38"/>
      <c r="B72" s="38"/>
      <c r="C72" s="38"/>
      <c r="D72" s="38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4"/>
      <c r="X72" s="39"/>
      <c r="Y72" s="40"/>
      <c r="Z72" s="38"/>
      <c r="AA72" s="38"/>
      <c r="AB72" s="41" t="str">
        <f t="shared" si="1"/>
        <v/>
      </c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</row>
    <row r="73" spans="1:42" ht="18" customHeight="1" x14ac:dyDescent="0.3">
      <c r="A73" s="32"/>
      <c r="B73" s="32"/>
      <c r="C73" s="32"/>
      <c r="D73" s="32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4"/>
      <c r="X73" s="33"/>
      <c r="Y73" s="35"/>
      <c r="Z73" s="32"/>
      <c r="AA73" s="32"/>
      <c r="AB73" s="36" t="str">
        <f t="shared" si="1"/>
        <v/>
      </c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</row>
    <row r="74" spans="1:42" ht="18" customHeight="1" x14ac:dyDescent="0.3">
      <c r="A74" s="38"/>
      <c r="B74" s="38"/>
      <c r="C74" s="38"/>
      <c r="D74" s="38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4"/>
      <c r="X74" s="39"/>
      <c r="Y74" s="40"/>
      <c r="Z74" s="38"/>
      <c r="AA74" s="38"/>
      <c r="AB74" s="41" t="str">
        <f t="shared" si="1"/>
        <v/>
      </c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</row>
    <row r="75" spans="1:42" ht="18" customHeight="1" x14ac:dyDescent="0.3">
      <c r="A75" s="32"/>
      <c r="B75" s="32"/>
      <c r="C75" s="32"/>
      <c r="D75" s="32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4"/>
      <c r="X75" s="33"/>
      <c r="Y75" s="35"/>
      <c r="Z75" s="32"/>
      <c r="AA75" s="32"/>
      <c r="AB75" s="36" t="str">
        <f t="shared" si="1"/>
        <v/>
      </c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</row>
    <row r="76" spans="1:42" ht="18" customHeight="1" x14ac:dyDescent="0.3">
      <c r="A76" s="38"/>
      <c r="B76" s="38"/>
      <c r="C76" s="38"/>
      <c r="D76" s="38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4"/>
      <c r="X76" s="39"/>
      <c r="Y76" s="40"/>
      <c r="Z76" s="38"/>
      <c r="AA76" s="38"/>
      <c r="AB76" s="41" t="str">
        <f t="shared" si="1"/>
        <v/>
      </c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</row>
    <row r="77" spans="1:42" ht="18" customHeight="1" x14ac:dyDescent="0.3">
      <c r="A77" s="32"/>
      <c r="B77" s="32"/>
      <c r="C77" s="32"/>
      <c r="D77" s="32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4"/>
      <c r="X77" s="33"/>
      <c r="Y77" s="35"/>
      <c r="Z77" s="32"/>
      <c r="AA77" s="32"/>
      <c r="AB77" s="36" t="str">
        <f t="shared" si="1"/>
        <v/>
      </c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</row>
    <row r="78" spans="1:42" ht="18" customHeight="1" x14ac:dyDescent="0.3">
      <c r="A78" s="38"/>
      <c r="B78" s="38"/>
      <c r="C78" s="38"/>
      <c r="D78" s="38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4"/>
      <c r="X78" s="39"/>
      <c r="Y78" s="40"/>
      <c r="Z78" s="38"/>
      <c r="AA78" s="38"/>
      <c r="AB78" s="41" t="str">
        <f t="shared" si="1"/>
        <v/>
      </c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</row>
    <row r="79" spans="1:42" ht="18" customHeight="1" x14ac:dyDescent="0.3">
      <c r="A79" s="32"/>
      <c r="B79" s="32"/>
      <c r="C79" s="32"/>
      <c r="D79" s="32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4"/>
      <c r="X79" s="33"/>
      <c r="Y79" s="35"/>
      <c r="Z79" s="32"/>
      <c r="AA79" s="32"/>
      <c r="AB79" s="36" t="str">
        <f t="shared" si="1"/>
        <v/>
      </c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</row>
    <row r="80" spans="1:42" ht="18" customHeight="1" x14ac:dyDescent="0.3">
      <c r="A80" s="38"/>
      <c r="B80" s="38"/>
      <c r="C80" s="38"/>
      <c r="D80" s="38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4"/>
      <c r="X80" s="39"/>
      <c r="Y80" s="40"/>
      <c r="Z80" s="38"/>
      <c r="AA80" s="38"/>
      <c r="AB80" s="41" t="str">
        <f t="shared" si="1"/>
        <v/>
      </c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</row>
    <row r="81" spans="1:42" ht="18" customHeight="1" x14ac:dyDescent="0.3">
      <c r="A81" s="32"/>
      <c r="B81" s="32"/>
      <c r="C81" s="32"/>
      <c r="D81" s="32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4"/>
      <c r="X81" s="33"/>
      <c r="Y81" s="35"/>
      <c r="Z81" s="32"/>
      <c r="AA81" s="32"/>
      <c r="AB81" s="36" t="str">
        <f t="shared" si="1"/>
        <v/>
      </c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</row>
    <row r="82" spans="1:42" ht="18" customHeight="1" x14ac:dyDescent="0.3">
      <c r="A82" s="38"/>
      <c r="B82" s="38"/>
      <c r="C82" s="38"/>
      <c r="D82" s="38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4"/>
      <c r="X82" s="39"/>
      <c r="Y82" s="40"/>
      <c r="Z82" s="38"/>
      <c r="AA82" s="38"/>
      <c r="AB82" s="41" t="str">
        <f t="shared" si="1"/>
        <v/>
      </c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</row>
    <row r="83" spans="1:42" ht="18" customHeight="1" x14ac:dyDescent="0.3">
      <c r="A83" s="32"/>
      <c r="B83" s="32"/>
      <c r="C83" s="32"/>
      <c r="D83" s="32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4"/>
      <c r="X83" s="33"/>
      <c r="Y83" s="35"/>
      <c r="Z83" s="32"/>
      <c r="AA83" s="32"/>
      <c r="AB83" s="36" t="str">
        <f t="shared" si="1"/>
        <v/>
      </c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</row>
    <row r="84" spans="1:42" ht="18" customHeight="1" x14ac:dyDescent="0.3">
      <c r="A84" s="38"/>
      <c r="B84" s="38"/>
      <c r="C84" s="38"/>
      <c r="D84" s="38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4"/>
      <c r="X84" s="39"/>
      <c r="Y84" s="40"/>
      <c r="Z84" s="38"/>
      <c r="AA84" s="38"/>
      <c r="AB84" s="41" t="str">
        <f t="shared" si="1"/>
        <v/>
      </c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</row>
    <row r="85" spans="1:42" ht="18" customHeight="1" x14ac:dyDescent="0.3">
      <c r="A85" s="32"/>
      <c r="B85" s="32"/>
      <c r="C85" s="32"/>
      <c r="D85" s="32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4"/>
      <c r="X85" s="33"/>
      <c r="Y85" s="35"/>
      <c r="Z85" s="32"/>
      <c r="AA85" s="32"/>
      <c r="AB85" s="36" t="str">
        <f t="shared" si="1"/>
        <v/>
      </c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</row>
    <row r="86" spans="1:42" ht="18" customHeight="1" x14ac:dyDescent="0.3">
      <c r="A86" s="38"/>
      <c r="B86" s="38"/>
      <c r="C86" s="38"/>
      <c r="D86" s="38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4"/>
      <c r="X86" s="39"/>
      <c r="Y86" s="40"/>
      <c r="Z86" s="38"/>
      <c r="AA86" s="38"/>
      <c r="AB86" s="41" t="str">
        <f t="shared" si="1"/>
        <v/>
      </c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</row>
    <row r="87" spans="1:42" ht="18" customHeight="1" x14ac:dyDescent="0.3">
      <c r="A87" s="32"/>
      <c r="B87" s="32"/>
      <c r="C87" s="32"/>
      <c r="D87" s="32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4"/>
      <c r="X87" s="33"/>
      <c r="Y87" s="35"/>
      <c r="Z87" s="32"/>
      <c r="AA87" s="32"/>
      <c r="AB87" s="36" t="str">
        <f t="shared" si="1"/>
        <v/>
      </c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</row>
    <row r="88" spans="1:42" ht="18" customHeight="1" x14ac:dyDescent="0.3">
      <c r="A88" s="38"/>
      <c r="B88" s="38"/>
      <c r="C88" s="38"/>
      <c r="D88" s="38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4"/>
      <c r="X88" s="39"/>
      <c r="Y88" s="40"/>
      <c r="Z88" s="38"/>
      <c r="AA88" s="38"/>
      <c r="AB88" s="41" t="str">
        <f t="shared" si="1"/>
        <v/>
      </c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</row>
    <row r="89" spans="1:42" ht="18" customHeight="1" x14ac:dyDescent="0.3">
      <c r="A89" s="32"/>
      <c r="B89" s="32"/>
      <c r="C89" s="32"/>
      <c r="D89" s="32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4"/>
      <c r="X89" s="33"/>
      <c r="Y89" s="35"/>
      <c r="Z89" s="32"/>
      <c r="AA89" s="32"/>
      <c r="AB89" s="36" t="str">
        <f t="shared" si="1"/>
        <v/>
      </c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</row>
    <row r="90" spans="1:42" ht="18" customHeight="1" x14ac:dyDescent="0.3">
      <c r="A90" s="38"/>
      <c r="B90" s="38"/>
      <c r="C90" s="38"/>
      <c r="D90" s="38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4"/>
      <c r="X90" s="39"/>
      <c r="Y90" s="40"/>
      <c r="Z90" s="38"/>
      <c r="AA90" s="38"/>
      <c r="AB90" s="41" t="str">
        <f t="shared" si="1"/>
        <v/>
      </c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</row>
    <row r="91" spans="1:42" ht="18" customHeight="1" x14ac:dyDescent="0.3">
      <c r="A91" s="32"/>
      <c r="B91" s="32"/>
      <c r="C91" s="32"/>
      <c r="D91" s="32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4"/>
      <c r="X91" s="33"/>
      <c r="Y91" s="35"/>
      <c r="Z91" s="32"/>
      <c r="AA91" s="32"/>
      <c r="AB91" s="36" t="str">
        <f t="shared" si="1"/>
        <v/>
      </c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</row>
    <row r="92" spans="1:42" ht="18" customHeight="1" x14ac:dyDescent="0.3">
      <c r="A92" s="38"/>
      <c r="B92" s="38"/>
      <c r="C92" s="38"/>
      <c r="D92" s="38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4"/>
      <c r="X92" s="39"/>
      <c r="Y92" s="40"/>
      <c r="Z92" s="38"/>
      <c r="AA92" s="38"/>
      <c r="AB92" s="41" t="str">
        <f t="shared" si="1"/>
        <v/>
      </c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</row>
    <row r="93" spans="1:42" ht="18" customHeight="1" x14ac:dyDescent="0.3">
      <c r="A93" s="32"/>
      <c r="B93" s="32"/>
      <c r="C93" s="32"/>
      <c r="D93" s="32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4"/>
      <c r="X93" s="33"/>
      <c r="Y93" s="35"/>
      <c r="Z93" s="32"/>
      <c r="AA93" s="32"/>
      <c r="AB93" s="36" t="str">
        <f t="shared" si="1"/>
        <v/>
      </c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</row>
    <row r="94" spans="1:42" ht="18" customHeight="1" x14ac:dyDescent="0.3">
      <c r="A94" s="38"/>
      <c r="B94" s="38"/>
      <c r="C94" s="38"/>
      <c r="D94" s="38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4"/>
      <c r="X94" s="39"/>
      <c r="Y94" s="40"/>
      <c r="Z94" s="38"/>
      <c r="AA94" s="38"/>
      <c r="AB94" s="41" t="str">
        <f t="shared" si="1"/>
        <v/>
      </c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</row>
    <row r="95" spans="1:42" ht="18" customHeight="1" x14ac:dyDescent="0.3">
      <c r="A95" s="32"/>
      <c r="B95" s="32"/>
      <c r="C95" s="32"/>
      <c r="D95" s="32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4"/>
      <c r="X95" s="33"/>
      <c r="Y95" s="35"/>
      <c r="Z95" s="32"/>
      <c r="AA95" s="32"/>
      <c r="AB95" s="36" t="str">
        <f t="shared" si="1"/>
        <v/>
      </c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</row>
    <row r="96" spans="1:42" ht="18" customHeight="1" x14ac:dyDescent="0.3">
      <c r="A96" s="38"/>
      <c r="B96" s="38"/>
      <c r="C96" s="38"/>
      <c r="D96" s="38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4"/>
      <c r="X96" s="39"/>
      <c r="Y96" s="40"/>
      <c r="Z96" s="38"/>
      <c r="AA96" s="38"/>
      <c r="AB96" s="41" t="str">
        <f t="shared" si="1"/>
        <v/>
      </c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</row>
    <row r="97" spans="1:42" ht="18" customHeight="1" x14ac:dyDescent="0.3">
      <c r="A97" s="32"/>
      <c r="B97" s="32"/>
      <c r="C97" s="32"/>
      <c r="D97" s="32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4"/>
      <c r="X97" s="33"/>
      <c r="Y97" s="35"/>
      <c r="Z97" s="32"/>
      <c r="AA97" s="32"/>
      <c r="AB97" s="36" t="str">
        <f t="shared" si="1"/>
        <v/>
      </c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</row>
    <row r="98" spans="1:42" ht="18" customHeight="1" x14ac:dyDescent="0.3">
      <c r="A98" s="38"/>
      <c r="B98" s="38"/>
      <c r="C98" s="38"/>
      <c r="D98" s="38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4"/>
      <c r="X98" s="39"/>
      <c r="Y98" s="40"/>
      <c r="Z98" s="38"/>
      <c r="AA98" s="38"/>
      <c r="AB98" s="41" t="str">
        <f t="shared" si="1"/>
        <v/>
      </c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</row>
    <row r="99" spans="1:42" ht="18" customHeight="1" x14ac:dyDescent="0.3">
      <c r="A99" s="32"/>
      <c r="B99" s="32"/>
      <c r="C99" s="32"/>
      <c r="D99" s="32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4"/>
      <c r="X99" s="33"/>
      <c r="Y99" s="35"/>
      <c r="Z99" s="32"/>
      <c r="AA99" s="32"/>
      <c r="AB99" s="36" t="str">
        <f t="shared" si="1"/>
        <v/>
      </c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</row>
    <row r="100" spans="1:42" ht="18" customHeight="1" x14ac:dyDescent="0.3">
      <c r="A100" s="38"/>
      <c r="B100" s="38"/>
      <c r="C100" s="38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4"/>
      <c r="X100" s="39"/>
      <c r="Y100" s="40"/>
      <c r="Z100" s="38"/>
      <c r="AA100" s="38"/>
      <c r="AB100" s="41" t="str">
        <f t="shared" si="1"/>
        <v/>
      </c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</row>
    <row r="101" spans="1:42" ht="18" customHeight="1" x14ac:dyDescent="0.3">
      <c r="A101" s="32"/>
      <c r="B101" s="32"/>
      <c r="C101" s="32"/>
      <c r="D101" s="32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4"/>
      <c r="X101" s="33"/>
      <c r="Y101" s="35"/>
      <c r="Z101" s="32"/>
      <c r="AA101" s="32"/>
      <c r="AB101" s="36" t="str">
        <f t="shared" si="1"/>
        <v/>
      </c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</row>
    <row r="102" spans="1:42" ht="18" customHeight="1" x14ac:dyDescent="0.3">
      <c r="A102" s="38"/>
      <c r="B102" s="38"/>
      <c r="C102" s="38"/>
      <c r="D102" s="38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4"/>
      <c r="X102" s="39"/>
      <c r="Y102" s="40"/>
      <c r="Z102" s="38"/>
      <c r="AA102" s="38"/>
      <c r="AB102" s="41" t="str">
        <f t="shared" si="1"/>
        <v/>
      </c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</row>
    <row r="103" spans="1:42" ht="18" customHeight="1" x14ac:dyDescent="0.3">
      <c r="A103" s="32"/>
      <c r="B103" s="32"/>
      <c r="C103" s="32"/>
      <c r="D103" s="32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4"/>
      <c r="X103" s="33"/>
      <c r="Y103" s="35"/>
      <c r="Z103" s="32"/>
      <c r="AA103" s="32"/>
      <c r="AB103" s="36" t="str">
        <f t="shared" si="1"/>
        <v/>
      </c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</row>
    <row r="104" spans="1:42" ht="18" customHeight="1" x14ac:dyDescent="0.3">
      <c r="A104" s="38"/>
      <c r="B104" s="38"/>
      <c r="C104" s="38"/>
      <c r="D104" s="38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4"/>
      <c r="X104" s="39"/>
      <c r="Y104" s="40"/>
      <c r="Z104" s="38"/>
      <c r="AA104" s="38"/>
      <c r="AB104" s="41" t="str">
        <f t="shared" si="1"/>
        <v/>
      </c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</row>
    <row r="105" spans="1:42" ht="18" customHeight="1" x14ac:dyDescent="0.3">
      <c r="A105" s="32"/>
      <c r="B105" s="32"/>
      <c r="C105" s="32"/>
      <c r="D105" s="32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4"/>
      <c r="X105" s="33"/>
      <c r="Y105" s="35"/>
      <c r="Z105" s="32"/>
      <c r="AA105" s="32"/>
      <c r="AB105" s="36" t="str">
        <f t="shared" si="1"/>
        <v/>
      </c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</row>
    <row r="106" spans="1:42" ht="18" customHeight="1" x14ac:dyDescent="0.3">
      <c r="A106" s="38"/>
      <c r="B106" s="38"/>
      <c r="C106" s="38"/>
      <c r="D106" s="38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4"/>
      <c r="X106" s="39"/>
      <c r="Y106" s="40"/>
      <c r="Z106" s="38"/>
      <c r="AA106" s="38"/>
      <c r="AB106" s="41" t="str">
        <f t="shared" si="1"/>
        <v/>
      </c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</row>
    <row r="107" spans="1:42" ht="18" customHeight="1" x14ac:dyDescent="0.3">
      <c r="A107" s="32"/>
      <c r="B107" s="32"/>
      <c r="C107" s="32"/>
      <c r="D107" s="32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4"/>
      <c r="X107" s="33"/>
      <c r="Y107" s="35"/>
      <c r="Z107" s="32"/>
      <c r="AA107" s="32"/>
      <c r="AB107" s="36" t="str">
        <f t="shared" si="1"/>
        <v/>
      </c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</row>
    <row r="108" spans="1:42" ht="18" customHeight="1" x14ac:dyDescent="0.3">
      <c r="A108" s="38"/>
      <c r="B108" s="38"/>
      <c r="C108" s="38"/>
      <c r="D108" s="38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4"/>
      <c r="X108" s="39"/>
      <c r="Y108" s="40"/>
      <c r="Z108" s="38"/>
      <c r="AA108" s="38"/>
      <c r="AB108" s="41" t="str">
        <f t="shared" si="1"/>
        <v/>
      </c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</row>
    <row r="109" spans="1:42" ht="18" customHeight="1" x14ac:dyDescent="0.3">
      <c r="A109" s="32"/>
      <c r="B109" s="32"/>
      <c r="C109" s="32"/>
      <c r="D109" s="32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4"/>
      <c r="X109" s="33"/>
      <c r="Y109" s="35"/>
      <c r="Z109" s="32"/>
      <c r="AA109" s="32"/>
      <c r="AB109" s="36" t="str">
        <f t="shared" si="1"/>
        <v/>
      </c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</row>
    <row r="110" spans="1:42" ht="18" customHeight="1" x14ac:dyDescent="0.3">
      <c r="A110" s="38"/>
      <c r="B110" s="38"/>
      <c r="C110" s="38"/>
      <c r="D110" s="38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4"/>
      <c r="X110" s="39"/>
      <c r="Y110" s="40"/>
      <c r="Z110" s="38"/>
      <c r="AA110" s="38"/>
      <c r="AB110" s="41" t="str">
        <f t="shared" si="1"/>
        <v/>
      </c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</row>
    <row r="111" spans="1:42" ht="18" customHeight="1" x14ac:dyDescent="0.3">
      <c r="A111" s="32"/>
      <c r="B111" s="32"/>
      <c r="C111" s="32"/>
      <c r="D111" s="32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4"/>
      <c r="X111" s="33"/>
      <c r="Y111" s="35"/>
      <c r="Z111" s="32"/>
      <c r="AA111" s="32"/>
      <c r="AB111" s="36" t="str">
        <f t="shared" si="1"/>
        <v/>
      </c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</row>
    <row r="112" spans="1:42" ht="18" customHeight="1" x14ac:dyDescent="0.3">
      <c r="A112" s="38"/>
      <c r="B112" s="38"/>
      <c r="C112" s="38"/>
      <c r="D112" s="38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4"/>
      <c r="X112" s="39"/>
      <c r="Y112" s="40"/>
      <c r="Z112" s="38"/>
      <c r="AA112" s="38"/>
      <c r="AB112" s="41" t="str">
        <f t="shared" si="1"/>
        <v/>
      </c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</row>
    <row r="113" spans="1:42" ht="18" customHeight="1" x14ac:dyDescent="0.3">
      <c r="A113" s="32"/>
      <c r="B113" s="32"/>
      <c r="C113" s="32"/>
      <c r="D113" s="32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4"/>
      <c r="X113" s="33"/>
      <c r="Y113" s="35"/>
      <c r="Z113" s="32"/>
      <c r="AA113" s="32"/>
      <c r="AB113" s="36" t="str">
        <f t="shared" si="1"/>
        <v/>
      </c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</row>
    <row r="114" spans="1:42" ht="18" customHeight="1" x14ac:dyDescent="0.3">
      <c r="A114" s="38"/>
      <c r="B114" s="38"/>
      <c r="C114" s="38"/>
      <c r="D114" s="38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4"/>
      <c r="X114" s="39"/>
      <c r="Y114" s="40"/>
      <c r="Z114" s="38"/>
      <c r="AA114" s="38"/>
      <c r="AB114" s="41" t="str">
        <f t="shared" si="1"/>
        <v/>
      </c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</row>
    <row r="115" spans="1:42" ht="18" customHeight="1" x14ac:dyDescent="0.3">
      <c r="A115" s="32"/>
      <c r="B115" s="32"/>
      <c r="C115" s="32"/>
      <c r="D115" s="32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4"/>
      <c r="X115" s="33"/>
      <c r="Y115" s="35"/>
      <c r="Z115" s="32"/>
      <c r="AA115" s="32"/>
      <c r="AB115" s="36" t="str">
        <f t="shared" si="1"/>
        <v/>
      </c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</row>
    <row r="116" spans="1:42" ht="18" customHeight="1" x14ac:dyDescent="0.3">
      <c r="A116" s="38"/>
      <c r="B116" s="38"/>
      <c r="C116" s="38"/>
      <c r="D116" s="38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4"/>
      <c r="X116" s="39"/>
      <c r="Y116" s="40"/>
      <c r="Z116" s="38"/>
      <c r="AA116" s="38"/>
      <c r="AB116" s="41" t="str">
        <f t="shared" si="1"/>
        <v/>
      </c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</row>
    <row r="117" spans="1:42" ht="18" customHeight="1" x14ac:dyDescent="0.3">
      <c r="A117" s="32"/>
      <c r="B117" s="32"/>
      <c r="C117" s="32"/>
      <c r="D117" s="32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4"/>
      <c r="X117" s="33"/>
      <c r="Y117" s="35"/>
      <c r="Z117" s="32"/>
      <c r="AA117" s="32"/>
      <c r="AB117" s="36" t="str">
        <f t="shared" si="1"/>
        <v/>
      </c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</row>
    <row r="118" spans="1:42" ht="18" customHeight="1" x14ac:dyDescent="0.3">
      <c r="A118" s="38"/>
      <c r="B118" s="38"/>
      <c r="C118" s="38"/>
      <c r="D118" s="38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4"/>
      <c r="X118" s="39"/>
      <c r="Y118" s="40"/>
      <c r="Z118" s="38"/>
      <c r="AA118" s="38"/>
      <c r="AB118" s="41" t="str">
        <f t="shared" si="1"/>
        <v/>
      </c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</row>
    <row r="119" spans="1:42" ht="18" customHeight="1" x14ac:dyDescent="0.3">
      <c r="A119" s="32"/>
      <c r="B119" s="32"/>
      <c r="C119" s="32"/>
      <c r="D119" s="32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4"/>
      <c r="X119" s="33"/>
      <c r="Y119" s="35"/>
      <c r="Z119" s="32"/>
      <c r="AA119" s="32"/>
      <c r="AB119" s="36" t="str">
        <f t="shared" si="1"/>
        <v/>
      </c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</row>
    <row r="120" spans="1:42" ht="18" customHeight="1" x14ac:dyDescent="0.3">
      <c r="A120" s="38"/>
      <c r="B120" s="38"/>
      <c r="C120" s="38"/>
      <c r="D120" s="38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4"/>
      <c r="X120" s="39"/>
      <c r="Y120" s="40"/>
      <c r="Z120" s="38"/>
      <c r="AA120" s="38"/>
      <c r="AB120" s="41" t="str">
        <f t="shared" si="1"/>
        <v/>
      </c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</row>
    <row r="121" spans="1:42" ht="18" customHeight="1" x14ac:dyDescent="0.3">
      <c r="A121" s="32"/>
      <c r="B121" s="32"/>
      <c r="C121" s="32"/>
      <c r="D121" s="32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4"/>
      <c r="X121" s="33"/>
      <c r="Y121" s="35"/>
      <c r="Z121" s="32"/>
      <c r="AA121" s="32"/>
      <c r="AB121" s="36" t="str">
        <f t="shared" si="1"/>
        <v/>
      </c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</row>
    <row r="122" spans="1:42" ht="18" customHeight="1" x14ac:dyDescent="0.3">
      <c r="A122" s="38"/>
      <c r="B122" s="38"/>
      <c r="C122" s="38"/>
      <c r="D122" s="38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4"/>
      <c r="X122" s="39"/>
      <c r="Y122" s="40"/>
      <c r="Z122" s="38"/>
      <c r="AA122" s="38"/>
      <c r="AB122" s="41" t="str">
        <f t="shared" si="1"/>
        <v/>
      </c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</row>
    <row r="123" spans="1:42" ht="18" customHeight="1" x14ac:dyDescent="0.3">
      <c r="A123" s="32"/>
      <c r="B123" s="32"/>
      <c r="C123" s="32"/>
      <c r="D123" s="32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4"/>
      <c r="X123" s="33"/>
      <c r="Y123" s="35"/>
      <c r="Z123" s="32"/>
      <c r="AA123" s="32"/>
      <c r="AB123" s="36" t="str">
        <f t="shared" si="1"/>
        <v/>
      </c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</row>
    <row r="124" spans="1:42" ht="18" customHeight="1" x14ac:dyDescent="0.3">
      <c r="A124" s="38"/>
      <c r="B124" s="38"/>
      <c r="C124" s="38"/>
      <c r="D124" s="38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4"/>
      <c r="X124" s="39"/>
      <c r="Y124" s="40"/>
      <c r="Z124" s="38"/>
      <c r="AA124" s="38"/>
      <c r="AB124" s="41" t="str">
        <f t="shared" si="1"/>
        <v/>
      </c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</row>
    <row r="125" spans="1:42" ht="18" customHeight="1" x14ac:dyDescent="0.3">
      <c r="A125" s="32"/>
      <c r="B125" s="32"/>
      <c r="C125" s="32"/>
      <c r="D125" s="32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4"/>
      <c r="X125" s="33"/>
      <c r="Y125" s="35"/>
      <c r="Z125" s="32"/>
      <c r="AA125" s="32"/>
      <c r="AB125" s="36" t="str">
        <f t="shared" si="1"/>
        <v/>
      </c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</row>
    <row r="126" spans="1:42" ht="18" customHeight="1" x14ac:dyDescent="0.3">
      <c r="A126" s="38"/>
      <c r="B126" s="38"/>
      <c r="C126" s="38"/>
      <c r="D126" s="38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4"/>
      <c r="X126" s="39"/>
      <c r="Y126" s="40"/>
      <c r="Z126" s="38"/>
      <c r="AA126" s="38"/>
      <c r="AB126" s="41" t="str">
        <f t="shared" si="1"/>
        <v/>
      </c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</row>
    <row r="127" spans="1:42" ht="18" customHeight="1" x14ac:dyDescent="0.3">
      <c r="A127" s="32"/>
      <c r="B127" s="32"/>
      <c r="C127" s="32"/>
      <c r="D127" s="32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4"/>
      <c r="X127" s="33"/>
      <c r="Y127" s="35"/>
      <c r="Z127" s="32"/>
      <c r="AA127" s="32"/>
      <c r="AB127" s="36" t="str">
        <f t="shared" si="1"/>
        <v/>
      </c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</row>
    <row r="128" spans="1:42" ht="18" customHeight="1" x14ac:dyDescent="0.3">
      <c r="A128" s="38"/>
      <c r="B128" s="38"/>
      <c r="C128" s="38"/>
      <c r="D128" s="38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4"/>
      <c r="X128" s="39"/>
      <c r="Y128" s="40"/>
      <c r="Z128" s="38"/>
      <c r="AA128" s="38"/>
      <c r="AB128" s="41" t="str">
        <f t="shared" si="1"/>
        <v/>
      </c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</row>
    <row r="129" spans="1:42" ht="18" customHeight="1" x14ac:dyDescent="0.3">
      <c r="A129" s="32"/>
      <c r="B129" s="32"/>
      <c r="C129" s="32"/>
      <c r="D129" s="32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4"/>
      <c r="X129" s="33"/>
      <c r="Y129" s="35"/>
      <c r="Z129" s="32"/>
      <c r="AA129" s="32"/>
      <c r="AB129" s="36" t="str">
        <f t="shared" si="1"/>
        <v/>
      </c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</row>
    <row r="130" spans="1:42" ht="18" customHeight="1" x14ac:dyDescent="0.3">
      <c r="A130" s="38"/>
      <c r="B130" s="38"/>
      <c r="C130" s="38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4"/>
      <c r="X130" s="39"/>
      <c r="Y130" s="40"/>
      <c r="Z130" s="38"/>
      <c r="AA130" s="38"/>
      <c r="AB130" s="41" t="str">
        <f t="shared" si="1"/>
        <v/>
      </c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</row>
    <row r="131" spans="1:42" ht="18" customHeight="1" x14ac:dyDescent="0.3">
      <c r="A131" s="32"/>
      <c r="B131" s="32"/>
      <c r="C131" s="32"/>
      <c r="D131" s="32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4"/>
      <c r="X131" s="33"/>
      <c r="Y131" s="35"/>
      <c r="Z131" s="32"/>
      <c r="AA131" s="32"/>
      <c r="AB131" s="36" t="str">
        <f t="shared" si="1"/>
        <v/>
      </c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</row>
    <row r="132" spans="1:42" ht="18" customHeight="1" x14ac:dyDescent="0.3">
      <c r="A132" s="38"/>
      <c r="B132" s="38"/>
      <c r="C132" s="38"/>
      <c r="D132" s="38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4"/>
      <c r="X132" s="39"/>
      <c r="Y132" s="40"/>
      <c r="Z132" s="38"/>
      <c r="AA132" s="38"/>
      <c r="AB132" s="41" t="str">
        <f t="shared" si="1"/>
        <v/>
      </c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</row>
    <row r="133" spans="1:42" ht="18" customHeight="1" x14ac:dyDescent="0.3">
      <c r="A133" s="32"/>
      <c r="B133" s="32"/>
      <c r="C133" s="32"/>
      <c r="D133" s="32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4"/>
      <c r="X133" s="33"/>
      <c r="Y133" s="35"/>
      <c r="Z133" s="32"/>
      <c r="AA133" s="32"/>
      <c r="AB133" s="36" t="str">
        <f t="shared" si="1"/>
        <v/>
      </c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</row>
    <row r="134" spans="1:42" ht="18" customHeight="1" x14ac:dyDescent="0.3">
      <c r="A134" s="38"/>
      <c r="B134" s="38"/>
      <c r="C134" s="38"/>
      <c r="D134" s="38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4"/>
      <c r="X134" s="39"/>
      <c r="Y134" s="40"/>
      <c r="Z134" s="38"/>
      <c r="AA134" s="38"/>
      <c r="AB134" s="41" t="str">
        <f t="shared" ref="AB134:AB197" si="2">IF(A134="","",IF(COUNTIF($A$6:$A$504,A134)&gt;1,"⚠ Duplicate",""))</f>
        <v/>
      </c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</row>
    <row r="135" spans="1:42" ht="18" customHeight="1" x14ac:dyDescent="0.3">
      <c r="A135" s="32"/>
      <c r="B135" s="32"/>
      <c r="C135" s="32"/>
      <c r="D135" s="32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4"/>
      <c r="X135" s="33"/>
      <c r="Y135" s="35"/>
      <c r="Z135" s="32"/>
      <c r="AA135" s="32"/>
      <c r="AB135" s="36" t="str">
        <f t="shared" si="2"/>
        <v/>
      </c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</row>
    <row r="136" spans="1:42" ht="18" customHeight="1" x14ac:dyDescent="0.3">
      <c r="A136" s="38"/>
      <c r="B136" s="38"/>
      <c r="C136" s="38"/>
      <c r="D136" s="38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4"/>
      <c r="X136" s="39"/>
      <c r="Y136" s="40"/>
      <c r="Z136" s="38"/>
      <c r="AA136" s="38"/>
      <c r="AB136" s="41" t="str">
        <f t="shared" si="2"/>
        <v/>
      </c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</row>
    <row r="137" spans="1:42" ht="18" customHeight="1" x14ac:dyDescent="0.3">
      <c r="A137" s="32"/>
      <c r="B137" s="32"/>
      <c r="C137" s="32"/>
      <c r="D137" s="32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4"/>
      <c r="X137" s="33"/>
      <c r="Y137" s="35"/>
      <c r="Z137" s="32"/>
      <c r="AA137" s="32"/>
      <c r="AB137" s="36" t="str">
        <f t="shared" si="2"/>
        <v/>
      </c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</row>
    <row r="138" spans="1:42" ht="18" customHeight="1" x14ac:dyDescent="0.3">
      <c r="A138" s="38"/>
      <c r="B138" s="38"/>
      <c r="C138" s="38"/>
      <c r="D138" s="38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4"/>
      <c r="X138" s="39"/>
      <c r="Y138" s="40"/>
      <c r="Z138" s="38"/>
      <c r="AA138" s="38"/>
      <c r="AB138" s="41" t="str">
        <f t="shared" si="2"/>
        <v/>
      </c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</row>
    <row r="139" spans="1:42" ht="18" customHeight="1" x14ac:dyDescent="0.3">
      <c r="A139" s="32"/>
      <c r="B139" s="32"/>
      <c r="C139" s="32"/>
      <c r="D139" s="32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4"/>
      <c r="X139" s="33"/>
      <c r="Y139" s="35"/>
      <c r="Z139" s="32"/>
      <c r="AA139" s="32"/>
      <c r="AB139" s="36" t="str">
        <f t="shared" si="2"/>
        <v/>
      </c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</row>
    <row r="140" spans="1:42" ht="18" customHeight="1" x14ac:dyDescent="0.3">
      <c r="A140" s="38"/>
      <c r="B140" s="38"/>
      <c r="C140" s="38"/>
      <c r="D140" s="38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4"/>
      <c r="X140" s="39"/>
      <c r="Y140" s="40"/>
      <c r="Z140" s="38"/>
      <c r="AA140" s="38"/>
      <c r="AB140" s="41" t="str">
        <f t="shared" si="2"/>
        <v/>
      </c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</row>
    <row r="141" spans="1:42" ht="18" customHeight="1" x14ac:dyDescent="0.3">
      <c r="A141" s="32"/>
      <c r="B141" s="32"/>
      <c r="C141" s="32"/>
      <c r="D141" s="32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4"/>
      <c r="X141" s="33"/>
      <c r="Y141" s="35"/>
      <c r="Z141" s="32"/>
      <c r="AA141" s="32"/>
      <c r="AB141" s="36" t="str">
        <f t="shared" si="2"/>
        <v/>
      </c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</row>
    <row r="142" spans="1:42" ht="18" customHeight="1" x14ac:dyDescent="0.3">
      <c r="A142" s="38"/>
      <c r="B142" s="38"/>
      <c r="C142" s="38"/>
      <c r="D142" s="38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4"/>
      <c r="X142" s="39"/>
      <c r="Y142" s="40"/>
      <c r="Z142" s="38"/>
      <c r="AA142" s="38"/>
      <c r="AB142" s="41" t="str">
        <f t="shared" si="2"/>
        <v/>
      </c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</row>
    <row r="143" spans="1:42" ht="18" customHeight="1" x14ac:dyDescent="0.3">
      <c r="A143" s="32"/>
      <c r="B143" s="32"/>
      <c r="C143" s="32"/>
      <c r="D143" s="32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4"/>
      <c r="X143" s="33"/>
      <c r="Y143" s="35"/>
      <c r="Z143" s="32"/>
      <c r="AA143" s="32"/>
      <c r="AB143" s="36" t="str">
        <f t="shared" si="2"/>
        <v/>
      </c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</row>
    <row r="144" spans="1:42" ht="18" customHeight="1" x14ac:dyDescent="0.3">
      <c r="A144" s="38"/>
      <c r="B144" s="38"/>
      <c r="C144" s="38"/>
      <c r="D144" s="38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4"/>
      <c r="X144" s="39"/>
      <c r="Y144" s="40"/>
      <c r="Z144" s="38"/>
      <c r="AA144" s="38"/>
      <c r="AB144" s="41" t="str">
        <f t="shared" si="2"/>
        <v/>
      </c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</row>
    <row r="145" spans="1:42" ht="18" customHeight="1" x14ac:dyDescent="0.3">
      <c r="A145" s="32"/>
      <c r="B145" s="32"/>
      <c r="C145" s="32"/>
      <c r="D145" s="32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4"/>
      <c r="X145" s="33"/>
      <c r="Y145" s="35"/>
      <c r="Z145" s="32"/>
      <c r="AA145" s="32"/>
      <c r="AB145" s="36" t="str">
        <f t="shared" si="2"/>
        <v/>
      </c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</row>
    <row r="146" spans="1:42" ht="18" customHeight="1" x14ac:dyDescent="0.3">
      <c r="A146" s="38"/>
      <c r="B146" s="38"/>
      <c r="C146" s="38"/>
      <c r="D146" s="38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4"/>
      <c r="X146" s="39"/>
      <c r="Y146" s="40"/>
      <c r="Z146" s="38"/>
      <c r="AA146" s="38"/>
      <c r="AB146" s="41" t="str">
        <f t="shared" si="2"/>
        <v/>
      </c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</row>
    <row r="147" spans="1:42" ht="18" customHeight="1" x14ac:dyDescent="0.3">
      <c r="A147" s="32"/>
      <c r="B147" s="32"/>
      <c r="C147" s="32"/>
      <c r="D147" s="32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4"/>
      <c r="X147" s="33"/>
      <c r="Y147" s="35"/>
      <c r="Z147" s="32"/>
      <c r="AA147" s="32"/>
      <c r="AB147" s="36" t="str">
        <f t="shared" si="2"/>
        <v/>
      </c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</row>
    <row r="148" spans="1:42" ht="18" customHeight="1" x14ac:dyDescent="0.3">
      <c r="A148" s="38"/>
      <c r="B148" s="38"/>
      <c r="C148" s="38"/>
      <c r="D148" s="38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4"/>
      <c r="X148" s="39"/>
      <c r="Y148" s="40"/>
      <c r="Z148" s="38"/>
      <c r="AA148" s="38"/>
      <c r="AB148" s="41" t="str">
        <f t="shared" si="2"/>
        <v/>
      </c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</row>
    <row r="149" spans="1:42" ht="18" customHeight="1" x14ac:dyDescent="0.3">
      <c r="A149" s="32"/>
      <c r="B149" s="32"/>
      <c r="C149" s="32"/>
      <c r="D149" s="32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4"/>
      <c r="X149" s="33"/>
      <c r="Y149" s="35"/>
      <c r="Z149" s="32"/>
      <c r="AA149" s="32"/>
      <c r="AB149" s="36" t="str">
        <f t="shared" si="2"/>
        <v/>
      </c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</row>
    <row r="150" spans="1:42" ht="18" customHeight="1" x14ac:dyDescent="0.3">
      <c r="A150" s="38"/>
      <c r="B150" s="38"/>
      <c r="C150" s="38"/>
      <c r="D150" s="38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4"/>
      <c r="X150" s="39"/>
      <c r="Y150" s="40"/>
      <c r="Z150" s="38"/>
      <c r="AA150" s="38"/>
      <c r="AB150" s="41" t="str">
        <f t="shared" si="2"/>
        <v/>
      </c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</row>
    <row r="151" spans="1:42" ht="18" customHeight="1" x14ac:dyDescent="0.3">
      <c r="A151" s="32"/>
      <c r="B151" s="32"/>
      <c r="C151" s="32"/>
      <c r="D151" s="32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4"/>
      <c r="X151" s="33"/>
      <c r="Y151" s="35"/>
      <c r="Z151" s="32"/>
      <c r="AA151" s="32"/>
      <c r="AB151" s="36" t="str">
        <f t="shared" si="2"/>
        <v/>
      </c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</row>
    <row r="152" spans="1:42" ht="18" customHeight="1" x14ac:dyDescent="0.3">
      <c r="A152" s="38"/>
      <c r="B152" s="38"/>
      <c r="C152" s="38"/>
      <c r="D152" s="38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4"/>
      <c r="X152" s="39"/>
      <c r="Y152" s="40"/>
      <c r="Z152" s="38"/>
      <c r="AA152" s="38"/>
      <c r="AB152" s="41" t="str">
        <f t="shared" si="2"/>
        <v/>
      </c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</row>
    <row r="153" spans="1:42" ht="18" customHeight="1" x14ac:dyDescent="0.3">
      <c r="A153" s="32"/>
      <c r="B153" s="32"/>
      <c r="C153" s="32"/>
      <c r="D153" s="32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4"/>
      <c r="X153" s="33"/>
      <c r="Y153" s="35"/>
      <c r="Z153" s="32"/>
      <c r="AA153" s="32"/>
      <c r="AB153" s="36" t="str">
        <f t="shared" si="2"/>
        <v/>
      </c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</row>
    <row r="154" spans="1:42" ht="18" customHeight="1" x14ac:dyDescent="0.3">
      <c r="A154" s="38"/>
      <c r="B154" s="38"/>
      <c r="C154" s="38"/>
      <c r="D154" s="38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4"/>
      <c r="X154" s="39"/>
      <c r="Y154" s="40"/>
      <c r="Z154" s="38"/>
      <c r="AA154" s="38"/>
      <c r="AB154" s="41" t="str">
        <f t="shared" si="2"/>
        <v/>
      </c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</row>
    <row r="155" spans="1:42" ht="18" customHeight="1" x14ac:dyDescent="0.3">
      <c r="A155" s="32"/>
      <c r="B155" s="32"/>
      <c r="C155" s="32"/>
      <c r="D155" s="32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4"/>
      <c r="X155" s="33"/>
      <c r="Y155" s="35"/>
      <c r="Z155" s="32"/>
      <c r="AA155" s="32"/>
      <c r="AB155" s="36" t="str">
        <f t="shared" si="2"/>
        <v/>
      </c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</row>
    <row r="156" spans="1:42" ht="18" customHeight="1" x14ac:dyDescent="0.3">
      <c r="A156" s="38"/>
      <c r="B156" s="38"/>
      <c r="C156" s="38"/>
      <c r="D156" s="38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4"/>
      <c r="X156" s="39"/>
      <c r="Y156" s="40"/>
      <c r="Z156" s="38"/>
      <c r="AA156" s="38"/>
      <c r="AB156" s="41" t="str">
        <f t="shared" si="2"/>
        <v/>
      </c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</row>
    <row r="157" spans="1:42" ht="18" customHeight="1" x14ac:dyDescent="0.3">
      <c r="A157" s="32"/>
      <c r="B157" s="32"/>
      <c r="C157" s="32"/>
      <c r="D157" s="32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4"/>
      <c r="X157" s="33"/>
      <c r="Y157" s="35"/>
      <c r="Z157" s="32"/>
      <c r="AA157" s="32"/>
      <c r="AB157" s="36" t="str">
        <f t="shared" si="2"/>
        <v/>
      </c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</row>
    <row r="158" spans="1:42" ht="18" customHeight="1" x14ac:dyDescent="0.3">
      <c r="A158" s="38"/>
      <c r="B158" s="38"/>
      <c r="C158" s="38"/>
      <c r="D158" s="38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4"/>
      <c r="X158" s="39"/>
      <c r="Y158" s="40"/>
      <c r="Z158" s="38"/>
      <c r="AA158" s="38"/>
      <c r="AB158" s="41" t="str">
        <f t="shared" si="2"/>
        <v/>
      </c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</row>
    <row r="159" spans="1:42" ht="18" customHeight="1" x14ac:dyDescent="0.3">
      <c r="A159" s="32"/>
      <c r="B159" s="32"/>
      <c r="C159" s="32"/>
      <c r="D159" s="32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4"/>
      <c r="X159" s="33"/>
      <c r="Y159" s="35"/>
      <c r="Z159" s="32"/>
      <c r="AA159" s="32"/>
      <c r="AB159" s="36" t="str">
        <f t="shared" si="2"/>
        <v/>
      </c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</row>
    <row r="160" spans="1:42" ht="18" customHeight="1" x14ac:dyDescent="0.3">
      <c r="A160" s="38"/>
      <c r="B160" s="38"/>
      <c r="C160" s="38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4"/>
      <c r="X160" s="39"/>
      <c r="Y160" s="40"/>
      <c r="Z160" s="38"/>
      <c r="AA160" s="38"/>
      <c r="AB160" s="41" t="str">
        <f t="shared" si="2"/>
        <v/>
      </c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</row>
    <row r="161" spans="1:42" ht="18" customHeight="1" x14ac:dyDescent="0.3">
      <c r="A161" s="32"/>
      <c r="B161" s="32"/>
      <c r="C161" s="32"/>
      <c r="D161" s="32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4"/>
      <c r="X161" s="33"/>
      <c r="Y161" s="35"/>
      <c r="Z161" s="32"/>
      <c r="AA161" s="32"/>
      <c r="AB161" s="36" t="str">
        <f t="shared" si="2"/>
        <v/>
      </c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</row>
    <row r="162" spans="1:42" ht="18" customHeight="1" x14ac:dyDescent="0.3">
      <c r="A162" s="38"/>
      <c r="B162" s="38"/>
      <c r="C162" s="38"/>
      <c r="D162" s="38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4"/>
      <c r="X162" s="39"/>
      <c r="Y162" s="40"/>
      <c r="Z162" s="38"/>
      <c r="AA162" s="38"/>
      <c r="AB162" s="41" t="str">
        <f t="shared" si="2"/>
        <v/>
      </c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</row>
    <row r="163" spans="1:42" ht="18" customHeight="1" x14ac:dyDescent="0.3">
      <c r="A163" s="32"/>
      <c r="B163" s="32"/>
      <c r="C163" s="32"/>
      <c r="D163" s="32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4"/>
      <c r="X163" s="33"/>
      <c r="Y163" s="35"/>
      <c r="Z163" s="32"/>
      <c r="AA163" s="32"/>
      <c r="AB163" s="36" t="str">
        <f t="shared" si="2"/>
        <v/>
      </c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</row>
    <row r="164" spans="1:42" ht="18" customHeight="1" x14ac:dyDescent="0.3">
      <c r="A164" s="38"/>
      <c r="B164" s="38"/>
      <c r="C164" s="38"/>
      <c r="D164" s="38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4"/>
      <c r="X164" s="39"/>
      <c r="Y164" s="40"/>
      <c r="Z164" s="38"/>
      <c r="AA164" s="38"/>
      <c r="AB164" s="41" t="str">
        <f t="shared" si="2"/>
        <v/>
      </c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</row>
    <row r="165" spans="1:42" ht="18" customHeight="1" x14ac:dyDescent="0.3">
      <c r="A165" s="32"/>
      <c r="B165" s="32"/>
      <c r="C165" s="32"/>
      <c r="D165" s="32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4"/>
      <c r="X165" s="33"/>
      <c r="Y165" s="35"/>
      <c r="Z165" s="32"/>
      <c r="AA165" s="32"/>
      <c r="AB165" s="36" t="str">
        <f t="shared" si="2"/>
        <v/>
      </c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</row>
    <row r="166" spans="1:42" ht="18" customHeight="1" x14ac:dyDescent="0.3">
      <c r="A166" s="38"/>
      <c r="B166" s="38"/>
      <c r="C166" s="38"/>
      <c r="D166" s="38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4"/>
      <c r="X166" s="39"/>
      <c r="Y166" s="40"/>
      <c r="Z166" s="38"/>
      <c r="AA166" s="38"/>
      <c r="AB166" s="41" t="str">
        <f t="shared" si="2"/>
        <v/>
      </c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</row>
    <row r="167" spans="1:42" ht="18" customHeight="1" x14ac:dyDescent="0.3">
      <c r="A167" s="32"/>
      <c r="B167" s="32"/>
      <c r="C167" s="32"/>
      <c r="D167" s="32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4"/>
      <c r="X167" s="33"/>
      <c r="Y167" s="35"/>
      <c r="Z167" s="32"/>
      <c r="AA167" s="32"/>
      <c r="AB167" s="36" t="str">
        <f t="shared" si="2"/>
        <v/>
      </c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</row>
    <row r="168" spans="1:42" ht="18" customHeight="1" x14ac:dyDescent="0.3">
      <c r="A168" s="38"/>
      <c r="B168" s="38"/>
      <c r="C168" s="38"/>
      <c r="D168" s="38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4"/>
      <c r="X168" s="39"/>
      <c r="Y168" s="40"/>
      <c r="Z168" s="38"/>
      <c r="AA168" s="38"/>
      <c r="AB168" s="41" t="str">
        <f t="shared" si="2"/>
        <v/>
      </c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</row>
    <row r="169" spans="1:42" ht="18" customHeight="1" x14ac:dyDescent="0.3">
      <c r="A169" s="32"/>
      <c r="B169" s="32"/>
      <c r="C169" s="32"/>
      <c r="D169" s="32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4"/>
      <c r="X169" s="33"/>
      <c r="Y169" s="35"/>
      <c r="Z169" s="32"/>
      <c r="AA169" s="32"/>
      <c r="AB169" s="36" t="str">
        <f t="shared" si="2"/>
        <v/>
      </c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</row>
    <row r="170" spans="1:42" ht="18" customHeight="1" x14ac:dyDescent="0.3">
      <c r="A170" s="38"/>
      <c r="B170" s="38"/>
      <c r="C170" s="38"/>
      <c r="D170" s="38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4"/>
      <c r="X170" s="39"/>
      <c r="Y170" s="40"/>
      <c r="Z170" s="38"/>
      <c r="AA170" s="38"/>
      <c r="AB170" s="41" t="str">
        <f t="shared" si="2"/>
        <v/>
      </c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</row>
    <row r="171" spans="1:42" ht="18" customHeight="1" x14ac:dyDescent="0.3">
      <c r="A171" s="32"/>
      <c r="B171" s="32"/>
      <c r="C171" s="32"/>
      <c r="D171" s="32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4"/>
      <c r="X171" s="33"/>
      <c r="Y171" s="35"/>
      <c r="Z171" s="32"/>
      <c r="AA171" s="32"/>
      <c r="AB171" s="36" t="str">
        <f t="shared" si="2"/>
        <v/>
      </c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</row>
    <row r="172" spans="1:42" ht="18" customHeight="1" x14ac:dyDescent="0.3">
      <c r="A172" s="38"/>
      <c r="B172" s="38"/>
      <c r="C172" s="38"/>
      <c r="D172" s="38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4"/>
      <c r="X172" s="39"/>
      <c r="Y172" s="40"/>
      <c r="Z172" s="38"/>
      <c r="AA172" s="38"/>
      <c r="AB172" s="41" t="str">
        <f t="shared" si="2"/>
        <v/>
      </c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</row>
    <row r="173" spans="1:42" ht="18" customHeight="1" x14ac:dyDescent="0.3">
      <c r="A173" s="32"/>
      <c r="B173" s="32"/>
      <c r="C173" s="32"/>
      <c r="D173" s="32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4"/>
      <c r="X173" s="33"/>
      <c r="Y173" s="35"/>
      <c r="Z173" s="32"/>
      <c r="AA173" s="32"/>
      <c r="AB173" s="36" t="str">
        <f t="shared" si="2"/>
        <v/>
      </c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</row>
    <row r="174" spans="1:42" ht="18" customHeight="1" x14ac:dyDescent="0.3">
      <c r="A174" s="38"/>
      <c r="B174" s="38"/>
      <c r="C174" s="38"/>
      <c r="D174" s="38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4"/>
      <c r="X174" s="39"/>
      <c r="Y174" s="40"/>
      <c r="Z174" s="38"/>
      <c r="AA174" s="38"/>
      <c r="AB174" s="41" t="str">
        <f t="shared" si="2"/>
        <v/>
      </c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</row>
    <row r="175" spans="1:42" ht="18" customHeight="1" x14ac:dyDescent="0.3">
      <c r="A175" s="32"/>
      <c r="B175" s="32"/>
      <c r="C175" s="32"/>
      <c r="D175" s="32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4"/>
      <c r="X175" s="33"/>
      <c r="Y175" s="35"/>
      <c r="Z175" s="32"/>
      <c r="AA175" s="32"/>
      <c r="AB175" s="36" t="str">
        <f t="shared" si="2"/>
        <v/>
      </c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</row>
    <row r="176" spans="1:42" ht="18" customHeight="1" x14ac:dyDescent="0.3">
      <c r="A176" s="38"/>
      <c r="B176" s="38"/>
      <c r="C176" s="38"/>
      <c r="D176" s="38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4"/>
      <c r="X176" s="39"/>
      <c r="Y176" s="40"/>
      <c r="Z176" s="38"/>
      <c r="AA176" s="38"/>
      <c r="AB176" s="41" t="str">
        <f t="shared" si="2"/>
        <v/>
      </c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</row>
    <row r="177" spans="1:42" ht="18" customHeight="1" x14ac:dyDescent="0.3">
      <c r="A177" s="32"/>
      <c r="B177" s="32"/>
      <c r="C177" s="32"/>
      <c r="D177" s="32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4"/>
      <c r="X177" s="33"/>
      <c r="Y177" s="35"/>
      <c r="Z177" s="32"/>
      <c r="AA177" s="32"/>
      <c r="AB177" s="36" t="str">
        <f t="shared" si="2"/>
        <v/>
      </c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</row>
    <row r="178" spans="1:42" ht="18" customHeight="1" x14ac:dyDescent="0.3">
      <c r="A178" s="38"/>
      <c r="B178" s="38"/>
      <c r="C178" s="38"/>
      <c r="D178" s="38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4"/>
      <c r="X178" s="39"/>
      <c r="Y178" s="40"/>
      <c r="Z178" s="38"/>
      <c r="AA178" s="38"/>
      <c r="AB178" s="41" t="str">
        <f t="shared" si="2"/>
        <v/>
      </c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</row>
    <row r="179" spans="1:42" ht="18" customHeight="1" x14ac:dyDescent="0.3">
      <c r="A179" s="32"/>
      <c r="B179" s="32"/>
      <c r="C179" s="32"/>
      <c r="D179" s="32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4"/>
      <c r="X179" s="33"/>
      <c r="Y179" s="35"/>
      <c r="Z179" s="32"/>
      <c r="AA179" s="32"/>
      <c r="AB179" s="36" t="str">
        <f t="shared" si="2"/>
        <v/>
      </c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</row>
    <row r="180" spans="1:42" ht="18" customHeight="1" x14ac:dyDescent="0.3">
      <c r="A180" s="38"/>
      <c r="B180" s="38"/>
      <c r="C180" s="38"/>
      <c r="D180" s="38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4"/>
      <c r="X180" s="39"/>
      <c r="Y180" s="40"/>
      <c r="Z180" s="38"/>
      <c r="AA180" s="38"/>
      <c r="AB180" s="41" t="str">
        <f t="shared" si="2"/>
        <v/>
      </c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</row>
    <row r="181" spans="1:42" ht="18" customHeight="1" x14ac:dyDescent="0.3">
      <c r="A181" s="32"/>
      <c r="B181" s="32"/>
      <c r="C181" s="32"/>
      <c r="D181" s="32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4"/>
      <c r="X181" s="33"/>
      <c r="Y181" s="35"/>
      <c r="Z181" s="32"/>
      <c r="AA181" s="32"/>
      <c r="AB181" s="36" t="str">
        <f t="shared" si="2"/>
        <v/>
      </c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</row>
    <row r="182" spans="1:42" ht="18" customHeight="1" x14ac:dyDescent="0.3">
      <c r="A182" s="38"/>
      <c r="B182" s="38"/>
      <c r="C182" s="38"/>
      <c r="D182" s="38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4"/>
      <c r="X182" s="39"/>
      <c r="Y182" s="40"/>
      <c r="Z182" s="38"/>
      <c r="AA182" s="38"/>
      <c r="AB182" s="41" t="str">
        <f t="shared" si="2"/>
        <v/>
      </c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</row>
    <row r="183" spans="1:42" ht="18" customHeight="1" x14ac:dyDescent="0.3">
      <c r="A183" s="32"/>
      <c r="B183" s="32"/>
      <c r="C183" s="32"/>
      <c r="D183" s="32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4"/>
      <c r="X183" s="33"/>
      <c r="Y183" s="35"/>
      <c r="Z183" s="32"/>
      <c r="AA183" s="32"/>
      <c r="AB183" s="36" t="str">
        <f t="shared" si="2"/>
        <v/>
      </c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</row>
    <row r="184" spans="1:42" ht="18" customHeight="1" x14ac:dyDescent="0.3">
      <c r="A184" s="38"/>
      <c r="B184" s="38"/>
      <c r="C184" s="38"/>
      <c r="D184" s="38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4"/>
      <c r="X184" s="39"/>
      <c r="Y184" s="40"/>
      <c r="Z184" s="38"/>
      <c r="AA184" s="38"/>
      <c r="AB184" s="41" t="str">
        <f t="shared" si="2"/>
        <v/>
      </c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</row>
    <row r="185" spans="1:42" ht="18" customHeight="1" x14ac:dyDescent="0.3">
      <c r="A185" s="32"/>
      <c r="B185" s="32"/>
      <c r="C185" s="32"/>
      <c r="D185" s="32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4"/>
      <c r="X185" s="33"/>
      <c r="Y185" s="35"/>
      <c r="Z185" s="32"/>
      <c r="AA185" s="32"/>
      <c r="AB185" s="36" t="str">
        <f t="shared" si="2"/>
        <v/>
      </c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</row>
    <row r="186" spans="1:42" ht="18" customHeight="1" x14ac:dyDescent="0.3">
      <c r="A186" s="38"/>
      <c r="B186" s="38"/>
      <c r="C186" s="38"/>
      <c r="D186" s="38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4"/>
      <c r="X186" s="39"/>
      <c r="Y186" s="40"/>
      <c r="Z186" s="38"/>
      <c r="AA186" s="38"/>
      <c r="AB186" s="41" t="str">
        <f t="shared" si="2"/>
        <v/>
      </c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</row>
    <row r="187" spans="1:42" ht="18" customHeight="1" x14ac:dyDescent="0.3">
      <c r="A187" s="32"/>
      <c r="B187" s="32"/>
      <c r="C187" s="32"/>
      <c r="D187" s="32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4"/>
      <c r="X187" s="33"/>
      <c r="Y187" s="35"/>
      <c r="Z187" s="32"/>
      <c r="AA187" s="32"/>
      <c r="AB187" s="36" t="str">
        <f t="shared" si="2"/>
        <v/>
      </c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</row>
    <row r="188" spans="1:42" ht="18" customHeight="1" x14ac:dyDescent="0.3">
      <c r="A188" s="38"/>
      <c r="B188" s="38"/>
      <c r="C188" s="38"/>
      <c r="D188" s="38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4"/>
      <c r="X188" s="39"/>
      <c r="Y188" s="40"/>
      <c r="Z188" s="38"/>
      <c r="AA188" s="38"/>
      <c r="AB188" s="41" t="str">
        <f t="shared" si="2"/>
        <v/>
      </c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</row>
    <row r="189" spans="1:42" ht="18" customHeight="1" x14ac:dyDescent="0.3">
      <c r="A189" s="32"/>
      <c r="B189" s="32"/>
      <c r="C189" s="32"/>
      <c r="D189" s="32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4"/>
      <c r="X189" s="33"/>
      <c r="Y189" s="35"/>
      <c r="Z189" s="32"/>
      <c r="AA189" s="32"/>
      <c r="AB189" s="36" t="str">
        <f t="shared" si="2"/>
        <v/>
      </c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</row>
    <row r="190" spans="1:42" ht="18" customHeight="1" x14ac:dyDescent="0.3">
      <c r="A190" s="38"/>
      <c r="B190" s="38"/>
      <c r="C190" s="38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4"/>
      <c r="X190" s="39"/>
      <c r="Y190" s="40"/>
      <c r="Z190" s="38"/>
      <c r="AA190" s="38"/>
      <c r="AB190" s="41" t="str">
        <f t="shared" si="2"/>
        <v/>
      </c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</row>
    <row r="191" spans="1:42" ht="18" customHeight="1" x14ac:dyDescent="0.3">
      <c r="A191" s="32"/>
      <c r="B191" s="32"/>
      <c r="C191" s="32"/>
      <c r="D191" s="32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4"/>
      <c r="X191" s="33"/>
      <c r="Y191" s="35"/>
      <c r="Z191" s="32"/>
      <c r="AA191" s="32"/>
      <c r="AB191" s="36" t="str">
        <f t="shared" si="2"/>
        <v/>
      </c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</row>
    <row r="192" spans="1:42" ht="18" customHeight="1" x14ac:dyDescent="0.3">
      <c r="A192" s="38"/>
      <c r="B192" s="38"/>
      <c r="C192" s="38"/>
      <c r="D192" s="38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4"/>
      <c r="X192" s="39"/>
      <c r="Y192" s="40"/>
      <c r="Z192" s="38"/>
      <c r="AA192" s="38"/>
      <c r="AB192" s="41" t="str">
        <f t="shared" si="2"/>
        <v/>
      </c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</row>
    <row r="193" spans="1:42" ht="18" customHeight="1" x14ac:dyDescent="0.3">
      <c r="A193" s="32"/>
      <c r="B193" s="32"/>
      <c r="C193" s="32"/>
      <c r="D193" s="32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4"/>
      <c r="X193" s="33"/>
      <c r="Y193" s="35"/>
      <c r="Z193" s="32"/>
      <c r="AA193" s="32"/>
      <c r="AB193" s="36" t="str">
        <f t="shared" si="2"/>
        <v/>
      </c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</row>
    <row r="194" spans="1:42" ht="18" customHeight="1" x14ac:dyDescent="0.3">
      <c r="A194" s="38"/>
      <c r="B194" s="38"/>
      <c r="C194" s="38"/>
      <c r="D194" s="38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4"/>
      <c r="X194" s="39"/>
      <c r="Y194" s="40"/>
      <c r="Z194" s="38"/>
      <c r="AA194" s="38"/>
      <c r="AB194" s="41" t="str">
        <f t="shared" si="2"/>
        <v/>
      </c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</row>
    <row r="195" spans="1:42" ht="18" customHeight="1" x14ac:dyDescent="0.3">
      <c r="A195" s="32"/>
      <c r="B195" s="32"/>
      <c r="C195" s="32"/>
      <c r="D195" s="32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4"/>
      <c r="X195" s="33"/>
      <c r="Y195" s="35"/>
      <c r="Z195" s="32"/>
      <c r="AA195" s="32"/>
      <c r="AB195" s="36" t="str">
        <f t="shared" si="2"/>
        <v/>
      </c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</row>
    <row r="196" spans="1:42" ht="18" customHeight="1" x14ac:dyDescent="0.3">
      <c r="A196" s="38"/>
      <c r="B196" s="38"/>
      <c r="C196" s="38"/>
      <c r="D196" s="38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4"/>
      <c r="X196" s="39"/>
      <c r="Y196" s="40"/>
      <c r="Z196" s="38"/>
      <c r="AA196" s="38"/>
      <c r="AB196" s="41" t="str">
        <f t="shared" si="2"/>
        <v/>
      </c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</row>
    <row r="197" spans="1:42" ht="18" customHeight="1" x14ac:dyDescent="0.3">
      <c r="A197" s="32"/>
      <c r="B197" s="32"/>
      <c r="C197" s="32"/>
      <c r="D197" s="32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4"/>
      <c r="X197" s="33"/>
      <c r="Y197" s="35"/>
      <c r="Z197" s="32"/>
      <c r="AA197" s="32"/>
      <c r="AB197" s="36" t="str">
        <f t="shared" si="2"/>
        <v/>
      </c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</row>
    <row r="198" spans="1:42" ht="18" customHeight="1" x14ac:dyDescent="0.3">
      <c r="A198" s="38"/>
      <c r="B198" s="38"/>
      <c r="C198" s="38"/>
      <c r="D198" s="38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4"/>
      <c r="X198" s="39"/>
      <c r="Y198" s="40"/>
      <c r="Z198" s="38"/>
      <c r="AA198" s="38"/>
      <c r="AB198" s="41" t="str">
        <f t="shared" ref="AB198:AB261" si="3">IF(A198="","",IF(COUNTIF($A$6:$A$504,A198)&gt;1,"⚠ Duplicate",""))</f>
        <v/>
      </c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</row>
    <row r="199" spans="1:42" ht="18" customHeight="1" x14ac:dyDescent="0.3">
      <c r="A199" s="32"/>
      <c r="B199" s="32"/>
      <c r="C199" s="32"/>
      <c r="D199" s="32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4"/>
      <c r="X199" s="33"/>
      <c r="Y199" s="35"/>
      <c r="Z199" s="32"/>
      <c r="AA199" s="32"/>
      <c r="AB199" s="36" t="str">
        <f t="shared" si="3"/>
        <v/>
      </c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</row>
    <row r="200" spans="1:42" ht="18" customHeight="1" x14ac:dyDescent="0.3">
      <c r="A200" s="38"/>
      <c r="B200" s="38"/>
      <c r="C200" s="38"/>
      <c r="D200" s="38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4"/>
      <c r="X200" s="39"/>
      <c r="Y200" s="40"/>
      <c r="Z200" s="38"/>
      <c r="AA200" s="38"/>
      <c r="AB200" s="41" t="str">
        <f t="shared" si="3"/>
        <v/>
      </c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</row>
    <row r="201" spans="1:42" ht="18" customHeight="1" x14ac:dyDescent="0.3">
      <c r="A201" s="32"/>
      <c r="B201" s="32"/>
      <c r="C201" s="32"/>
      <c r="D201" s="32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4"/>
      <c r="X201" s="33"/>
      <c r="Y201" s="35"/>
      <c r="Z201" s="32"/>
      <c r="AA201" s="32"/>
      <c r="AB201" s="36" t="str">
        <f t="shared" si="3"/>
        <v/>
      </c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</row>
    <row r="202" spans="1:42" ht="18" customHeight="1" x14ac:dyDescent="0.3">
      <c r="A202" s="38"/>
      <c r="B202" s="38"/>
      <c r="C202" s="38"/>
      <c r="D202" s="38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4"/>
      <c r="X202" s="39"/>
      <c r="Y202" s="40"/>
      <c r="Z202" s="38"/>
      <c r="AA202" s="38"/>
      <c r="AB202" s="41" t="str">
        <f t="shared" si="3"/>
        <v/>
      </c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</row>
    <row r="203" spans="1:42" ht="18" customHeight="1" x14ac:dyDescent="0.3">
      <c r="A203" s="32"/>
      <c r="B203" s="32"/>
      <c r="C203" s="32"/>
      <c r="D203" s="32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4"/>
      <c r="X203" s="33"/>
      <c r="Y203" s="35"/>
      <c r="Z203" s="32"/>
      <c r="AA203" s="32"/>
      <c r="AB203" s="36" t="str">
        <f t="shared" si="3"/>
        <v/>
      </c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</row>
    <row r="204" spans="1:42" ht="18" customHeight="1" x14ac:dyDescent="0.3">
      <c r="A204" s="38"/>
      <c r="B204" s="38"/>
      <c r="C204" s="38"/>
      <c r="D204" s="38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4"/>
      <c r="X204" s="39"/>
      <c r="Y204" s="40"/>
      <c r="Z204" s="38"/>
      <c r="AA204" s="38"/>
      <c r="AB204" s="41" t="str">
        <f t="shared" si="3"/>
        <v/>
      </c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</row>
    <row r="205" spans="1:42" ht="18" customHeight="1" x14ac:dyDescent="0.3">
      <c r="A205" s="32"/>
      <c r="B205" s="32"/>
      <c r="C205" s="32"/>
      <c r="D205" s="32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4"/>
      <c r="X205" s="33"/>
      <c r="Y205" s="35"/>
      <c r="Z205" s="32"/>
      <c r="AA205" s="32"/>
      <c r="AB205" s="36" t="str">
        <f t="shared" si="3"/>
        <v/>
      </c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</row>
    <row r="206" spans="1:42" ht="18" customHeight="1" x14ac:dyDescent="0.3">
      <c r="A206" s="38"/>
      <c r="B206" s="38"/>
      <c r="C206" s="38"/>
      <c r="D206" s="38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4"/>
      <c r="X206" s="39"/>
      <c r="Y206" s="40"/>
      <c r="Z206" s="38"/>
      <c r="AA206" s="38"/>
      <c r="AB206" s="41" t="str">
        <f t="shared" si="3"/>
        <v/>
      </c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</row>
    <row r="207" spans="1:42" ht="18" customHeight="1" x14ac:dyDescent="0.3">
      <c r="A207" s="32"/>
      <c r="B207" s="32"/>
      <c r="C207" s="32"/>
      <c r="D207" s="32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4"/>
      <c r="X207" s="33"/>
      <c r="Y207" s="35"/>
      <c r="Z207" s="32"/>
      <c r="AA207" s="32"/>
      <c r="AB207" s="36" t="str">
        <f t="shared" si="3"/>
        <v/>
      </c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</row>
    <row r="208" spans="1:42" ht="18" customHeight="1" x14ac:dyDescent="0.3">
      <c r="A208" s="38"/>
      <c r="B208" s="38"/>
      <c r="C208" s="38"/>
      <c r="D208" s="38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4"/>
      <c r="X208" s="39"/>
      <c r="Y208" s="40"/>
      <c r="Z208" s="38"/>
      <c r="AA208" s="38"/>
      <c r="AB208" s="41" t="str">
        <f t="shared" si="3"/>
        <v/>
      </c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</row>
    <row r="209" spans="1:42" ht="18" customHeight="1" x14ac:dyDescent="0.3">
      <c r="A209" s="32"/>
      <c r="B209" s="32"/>
      <c r="C209" s="32"/>
      <c r="D209" s="32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4"/>
      <c r="X209" s="33"/>
      <c r="Y209" s="35"/>
      <c r="Z209" s="32"/>
      <c r="AA209" s="32"/>
      <c r="AB209" s="36" t="str">
        <f t="shared" si="3"/>
        <v/>
      </c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</row>
    <row r="210" spans="1:42" ht="18" customHeight="1" x14ac:dyDescent="0.3">
      <c r="A210" s="38"/>
      <c r="B210" s="38"/>
      <c r="C210" s="38"/>
      <c r="D210" s="38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4"/>
      <c r="X210" s="39"/>
      <c r="Y210" s="40"/>
      <c r="Z210" s="38"/>
      <c r="AA210" s="38"/>
      <c r="AB210" s="41" t="str">
        <f t="shared" si="3"/>
        <v/>
      </c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</row>
    <row r="211" spans="1:42" ht="18" customHeight="1" x14ac:dyDescent="0.3">
      <c r="A211" s="32"/>
      <c r="B211" s="32"/>
      <c r="C211" s="32"/>
      <c r="D211" s="32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4"/>
      <c r="X211" s="33"/>
      <c r="Y211" s="35"/>
      <c r="Z211" s="32"/>
      <c r="AA211" s="32"/>
      <c r="AB211" s="36" t="str">
        <f t="shared" si="3"/>
        <v/>
      </c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</row>
    <row r="212" spans="1:42" ht="18" customHeight="1" x14ac:dyDescent="0.3">
      <c r="A212" s="38"/>
      <c r="B212" s="38"/>
      <c r="C212" s="38"/>
      <c r="D212" s="38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4"/>
      <c r="X212" s="39"/>
      <c r="Y212" s="40"/>
      <c r="Z212" s="38"/>
      <c r="AA212" s="38"/>
      <c r="AB212" s="41" t="str">
        <f t="shared" si="3"/>
        <v/>
      </c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</row>
    <row r="213" spans="1:42" ht="18" customHeight="1" x14ac:dyDescent="0.3">
      <c r="A213" s="32"/>
      <c r="B213" s="32"/>
      <c r="C213" s="32"/>
      <c r="D213" s="32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4"/>
      <c r="X213" s="33"/>
      <c r="Y213" s="35"/>
      <c r="Z213" s="32"/>
      <c r="AA213" s="32"/>
      <c r="AB213" s="36" t="str">
        <f t="shared" si="3"/>
        <v/>
      </c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</row>
    <row r="214" spans="1:42" ht="18" customHeight="1" x14ac:dyDescent="0.3">
      <c r="A214" s="38"/>
      <c r="B214" s="38"/>
      <c r="C214" s="38"/>
      <c r="D214" s="38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4"/>
      <c r="X214" s="39"/>
      <c r="Y214" s="40"/>
      <c r="Z214" s="38"/>
      <c r="AA214" s="38"/>
      <c r="AB214" s="41" t="str">
        <f t="shared" si="3"/>
        <v/>
      </c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</row>
    <row r="215" spans="1:42" ht="18" customHeight="1" x14ac:dyDescent="0.3">
      <c r="A215" s="32"/>
      <c r="B215" s="32"/>
      <c r="C215" s="32"/>
      <c r="D215" s="32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4"/>
      <c r="X215" s="33"/>
      <c r="Y215" s="35"/>
      <c r="Z215" s="32"/>
      <c r="AA215" s="32"/>
      <c r="AB215" s="36" t="str">
        <f t="shared" si="3"/>
        <v/>
      </c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</row>
    <row r="216" spans="1:42" ht="18" customHeight="1" x14ac:dyDescent="0.3">
      <c r="A216" s="38"/>
      <c r="B216" s="38"/>
      <c r="C216" s="38"/>
      <c r="D216" s="38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4"/>
      <c r="X216" s="39"/>
      <c r="Y216" s="40"/>
      <c r="Z216" s="38"/>
      <c r="AA216" s="38"/>
      <c r="AB216" s="41" t="str">
        <f t="shared" si="3"/>
        <v/>
      </c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</row>
    <row r="217" spans="1:42" ht="18" customHeight="1" x14ac:dyDescent="0.3">
      <c r="A217" s="32"/>
      <c r="B217" s="32"/>
      <c r="C217" s="32"/>
      <c r="D217" s="32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4"/>
      <c r="X217" s="33"/>
      <c r="Y217" s="35"/>
      <c r="Z217" s="32"/>
      <c r="AA217" s="32"/>
      <c r="AB217" s="36" t="str">
        <f t="shared" si="3"/>
        <v/>
      </c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</row>
    <row r="218" spans="1:42" ht="18" customHeight="1" x14ac:dyDescent="0.3">
      <c r="A218" s="38"/>
      <c r="B218" s="38"/>
      <c r="C218" s="38"/>
      <c r="D218" s="38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4"/>
      <c r="X218" s="39"/>
      <c r="Y218" s="40"/>
      <c r="Z218" s="38"/>
      <c r="AA218" s="38"/>
      <c r="AB218" s="41" t="str">
        <f t="shared" si="3"/>
        <v/>
      </c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</row>
    <row r="219" spans="1:42" ht="18" customHeight="1" x14ac:dyDescent="0.3">
      <c r="A219" s="32"/>
      <c r="B219" s="32"/>
      <c r="C219" s="32"/>
      <c r="D219" s="32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4"/>
      <c r="X219" s="33"/>
      <c r="Y219" s="35"/>
      <c r="Z219" s="32"/>
      <c r="AA219" s="32"/>
      <c r="AB219" s="36" t="str">
        <f t="shared" si="3"/>
        <v/>
      </c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</row>
    <row r="220" spans="1:42" ht="18" customHeight="1" x14ac:dyDescent="0.3">
      <c r="A220" s="38"/>
      <c r="B220" s="38"/>
      <c r="C220" s="38"/>
      <c r="D220" s="38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4"/>
      <c r="X220" s="39"/>
      <c r="Y220" s="40"/>
      <c r="Z220" s="38"/>
      <c r="AA220" s="38"/>
      <c r="AB220" s="41" t="str">
        <f t="shared" si="3"/>
        <v/>
      </c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</row>
    <row r="221" spans="1:42" ht="18" customHeight="1" x14ac:dyDescent="0.3">
      <c r="A221" s="32"/>
      <c r="B221" s="32"/>
      <c r="C221" s="32"/>
      <c r="D221" s="32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4"/>
      <c r="X221" s="33"/>
      <c r="Y221" s="35"/>
      <c r="Z221" s="32"/>
      <c r="AA221" s="32"/>
      <c r="AB221" s="36" t="str">
        <f t="shared" si="3"/>
        <v/>
      </c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</row>
    <row r="222" spans="1:42" ht="18" customHeight="1" x14ac:dyDescent="0.3">
      <c r="A222" s="38"/>
      <c r="B222" s="38"/>
      <c r="C222" s="38"/>
      <c r="D222" s="38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4"/>
      <c r="X222" s="39"/>
      <c r="Y222" s="40"/>
      <c r="Z222" s="38"/>
      <c r="AA222" s="38"/>
      <c r="AB222" s="41" t="str">
        <f t="shared" si="3"/>
        <v/>
      </c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</row>
    <row r="223" spans="1:42" ht="18" customHeight="1" x14ac:dyDescent="0.3">
      <c r="A223" s="32"/>
      <c r="B223" s="32"/>
      <c r="C223" s="32"/>
      <c r="D223" s="32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4"/>
      <c r="X223" s="33"/>
      <c r="Y223" s="35"/>
      <c r="Z223" s="32"/>
      <c r="AA223" s="32"/>
      <c r="AB223" s="36" t="str">
        <f t="shared" si="3"/>
        <v/>
      </c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</row>
    <row r="224" spans="1:42" ht="18" customHeight="1" x14ac:dyDescent="0.3">
      <c r="A224" s="38"/>
      <c r="B224" s="38"/>
      <c r="C224" s="38"/>
      <c r="D224" s="38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4"/>
      <c r="X224" s="39"/>
      <c r="Y224" s="40"/>
      <c r="Z224" s="38"/>
      <c r="AA224" s="38"/>
      <c r="AB224" s="41" t="str">
        <f t="shared" si="3"/>
        <v/>
      </c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</row>
    <row r="225" spans="1:42" ht="18" customHeight="1" x14ac:dyDescent="0.3">
      <c r="A225" s="32"/>
      <c r="B225" s="32"/>
      <c r="C225" s="32"/>
      <c r="D225" s="32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4"/>
      <c r="X225" s="33"/>
      <c r="Y225" s="35"/>
      <c r="Z225" s="32"/>
      <c r="AA225" s="32"/>
      <c r="AB225" s="36" t="str">
        <f t="shared" si="3"/>
        <v/>
      </c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</row>
    <row r="226" spans="1:42" ht="18" customHeight="1" x14ac:dyDescent="0.3">
      <c r="A226" s="38"/>
      <c r="B226" s="38"/>
      <c r="C226" s="38"/>
      <c r="D226" s="38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4"/>
      <c r="X226" s="39"/>
      <c r="Y226" s="40"/>
      <c r="Z226" s="38"/>
      <c r="AA226" s="38"/>
      <c r="AB226" s="41" t="str">
        <f t="shared" si="3"/>
        <v/>
      </c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</row>
    <row r="227" spans="1:42" ht="18" customHeight="1" x14ac:dyDescent="0.3">
      <c r="A227" s="32"/>
      <c r="B227" s="32"/>
      <c r="C227" s="32"/>
      <c r="D227" s="32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4"/>
      <c r="X227" s="33"/>
      <c r="Y227" s="35"/>
      <c r="Z227" s="32"/>
      <c r="AA227" s="32"/>
      <c r="AB227" s="36" t="str">
        <f t="shared" si="3"/>
        <v/>
      </c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</row>
    <row r="228" spans="1:42" ht="18" customHeight="1" x14ac:dyDescent="0.3">
      <c r="A228" s="38"/>
      <c r="B228" s="38"/>
      <c r="C228" s="38"/>
      <c r="D228" s="38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4"/>
      <c r="X228" s="39"/>
      <c r="Y228" s="40"/>
      <c r="Z228" s="38"/>
      <c r="AA228" s="38"/>
      <c r="AB228" s="41" t="str">
        <f t="shared" si="3"/>
        <v/>
      </c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</row>
    <row r="229" spans="1:42" ht="18" customHeight="1" x14ac:dyDescent="0.3">
      <c r="A229" s="32"/>
      <c r="B229" s="32"/>
      <c r="C229" s="32"/>
      <c r="D229" s="32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4"/>
      <c r="X229" s="33"/>
      <c r="Y229" s="35"/>
      <c r="Z229" s="32"/>
      <c r="AA229" s="32"/>
      <c r="AB229" s="36" t="str">
        <f t="shared" si="3"/>
        <v/>
      </c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</row>
    <row r="230" spans="1:42" ht="18" customHeight="1" x14ac:dyDescent="0.3">
      <c r="A230" s="38"/>
      <c r="B230" s="38"/>
      <c r="C230" s="38"/>
      <c r="D230" s="38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4"/>
      <c r="X230" s="39"/>
      <c r="Y230" s="40"/>
      <c r="Z230" s="38"/>
      <c r="AA230" s="38"/>
      <c r="AB230" s="41" t="str">
        <f t="shared" si="3"/>
        <v/>
      </c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</row>
    <row r="231" spans="1:42" ht="18" customHeight="1" x14ac:dyDescent="0.3">
      <c r="A231" s="32"/>
      <c r="B231" s="32"/>
      <c r="C231" s="32"/>
      <c r="D231" s="32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4"/>
      <c r="X231" s="33"/>
      <c r="Y231" s="35"/>
      <c r="Z231" s="32"/>
      <c r="AA231" s="32"/>
      <c r="AB231" s="36" t="str">
        <f t="shared" si="3"/>
        <v/>
      </c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</row>
    <row r="232" spans="1:42" ht="18" customHeight="1" x14ac:dyDescent="0.3">
      <c r="A232" s="38"/>
      <c r="B232" s="38"/>
      <c r="C232" s="38"/>
      <c r="D232" s="38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4"/>
      <c r="X232" s="39"/>
      <c r="Y232" s="40"/>
      <c r="Z232" s="38"/>
      <c r="AA232" s="38"/>
      <c r="AB232" s="41" t="str">
        <f t="shared" si="3"/>
        <v/>
      </c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</row>
    <row r="233" spans="1:42" ht="18" customHeight="1" x14ac:dyDescent="0.3">
      <c r="A233" s="32"/>
      <c r="B233" s="32"/>
      <c r="C233" s="32"/>
      <c r="D233" s="32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4"/>
      <c r="X233" s="33"/>
      <c r="Y233" s="35"/>
      <c r="Z233" s="32"/>
      <c r="AA233" s="32"/>
      <c r="AB233" s="36" t="str">
        <f t="shared" si="3"/>
        <v/>
      </c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</row>
    <row r="234" spans="1:42" ht="18" customHeight="1" x14ac:dyDescent="0.3">
      <c r="A234" s="38"/>
      <c r="B234" s="38"/>
      <c r="C234" s="38"/>
      <c r="D234" s="38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4"/>
      <c r="X234" s="39"/>
      <c r="Y234" s="40"/>
      <c r="Z234" s="38"/>
      <c r="AA234" s="38"/>
      <c r="AB234" s="41" t="str">
        <f t="shared" si="3"/>
        <v/>
      </c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</row>
    <row r="235" spans="1:42" ht="18" customHeight="1" x14ac:dyDescent="0.3">
      <c r="A235" s="32"/>
      <c r="B235" s="32"/>
      <c r="C235" s="32"/>
      <c r="D235" s="32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4"/>
      <c r="X235" s="33"/>
      <c r="Y235" s="35"/>
      <c r="Z235" s="32"/>
      <c r="AA235" s="32"/>
      <c r="AB235" s="36" t="str">
        <f t="shared" si="3"/>
        <v/>
      </c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</row>
    <row r="236" spans="1:42" ht="18" customHeight="1" x14ac:dyDescent="0.3">
      <c r="A236" s="38"/>
      <c r="B236" s="38"/>
      <c r="C236" s="38"/>
      <c r="D236" s="38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4"/>
      <c r="X236" s="39"/>
      <c r="Y236" s="40"/>
      <c r="Z236" s="38"/>
      <c r="AA236" s="38"/>
      <c r="AB236" s="41" t="str">
        <f t="shared" si="3"/>
        <v/>
      </c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</row>
    <row r="237" spans="1:42" ht="18" customHeight="1" x14ac:dyDescent="0.3">
      <c r="A237" s="32"/>
      <c r="B237" s="32"/>
      <c r="C237" s="32"/>
      <c r="D237" s="32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4"/>
      <c r="X237" s="33"/>
      <c r="Y237" s="35"/>
      <c r="Z237" s="32"/>
      <c r="AA237" s="32"/>
      <c r="AB237" s="36" t="str">
        <f t="shared" si="3"/>
        <v/>
      </c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</row>
    <row r="238" spans="1:42" ht="18" customHeight="1" x14ac:dyDescent="0.3">
      <c r="A238" s="38"/>
      <c r="B238" s="38"/>
      <c r="C238" s="38"/>
      <c r="D238" s="38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4"/>
      <c r="X238" s="39"/>
      <c r="Y238" s="40"/>
      <c r="Z238" s="38"/>
      <c r="AA238" s="38"/>
      <c r="AB238" s="41" t="str">
        <f t="shared" si="3"/>
        <v/>
      </c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</row>
    <row r="239" spans="1:42" ht="18" customHeight="1" x14ac:dyDescent="0.3">
      <c r="A239" s="32"/>
      <c r="B239" s="32"/>
      <c r="C239" s="32"/>
      <c r="D239" s="32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4"/>
      <c r="X239" s="33"/>
      <c r="Y239" s="35"/>
      <c r="Z239" s="32"/>
      <c r="AA239" s="32"/>
      <c r="AB239" s="36" t="str">
        <f t="shared" si="3"/>
        <v/>
      </c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</row>
    <row r="240" spans="1:42" ht="18" customHeight="1" x14ac:dyDescent="0.3">
      <c r="A240" s="38"/>
      <c r="B240" s="38"/>
      <c r="C240" s="38"/>
      <c r="D240" s="38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4"/>
      <c r="X240" s="39"/>
      <c r="Y240" s="40"/>
      <c r="Z240" s="38"/>
      <c r="AA240" s="38"/>
      <c r="AB240" s="41" t="str">
        <f t="shared" si="3"/>
        <v/>
      </c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</row>
    <row r="241" spans="1:42" ht="18" customHeight="1" x14ac:dyDescent="0.3">
      <c r="A241" s="32"/>
      <c r="B241" s="32"/>
      <c r="C241" s="32"/>
      <c r="D241" s="32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4"/>
      <c r="X241" s="33"/>
      <c r="Y241" s="35"/>
      <c r="Z241" s="32"/>
      <c r="AA241" s="32"/>
      <c r="AB241" s="36" t="str">
        <f t="shared" si="3"/>
        <v/>
      </c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</row>
    <row r="242" spans="1:42" ht="18" customHeight="1" x14ac:dyDescent="0.3">
      <c r="A242" s="38"/>
      <c r="B242" s="38"/>
      <c r="C242" s="38"/>
      <c r="D242" s="38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4"/>
      <c r="X242" s="39"/>
      <c r="Y242" s="40"/>
      <c r="Z242" s="38"/>
      <c r="AA242" s="38"/>
      <c r="AB242" s="41" t="str">
        <f t="shared" si="3"/>
        <v/>
      </c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</row>
    <row r="243" spans="1:42" ht="18" customHeight="1" x14ac:dyDescent="0.3">
      <c r="A243" s="32"/>
      <c r="B243" s="32"/>
      <c r="C243" s="32"/>
      <c r="D243" s="32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4"/>
      <c r="X243" s="33"/>
      <c r="Y243" s="35"/>
      <c r="Z243" s="32"/>
      <c r="AA243" s="32"/>
      <c r="AB243" s="36" t="str">
        <f t="shared" si="3"/>
        <v/>
      </c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</row>
    <row r="244" spans="1:42" ht="18" customHeight="1" x14ac:dyDescent="0.3">
      <c r="A244" s="38"/>
      <c r="B244" s="38"/>
      <c r="C244" s="38"/>
      <c r="D244" s="38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4"/>
      <c r="X244" s="39"/>
      <c r="Y244" s="40"/>
      <c r="Z244" s="38"/>
      <c r="AA244" s="38"/>
      <c r="AB244" s="41" t="str">
        <f t="shared" si="3"/>
        <v/>
      </c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</row>
    <row r="245" spans="1:42" ht="18" customHeight="1" x14ac:dyDescent="0.3">
      <c r="A245" s="32"/>
      <c r="B245" s="32"/>
      <c r="C245" s="32"/>
      <c r="D245" s="32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4"/>
      <c r="X245" s="33"/>
      <c r="Y245" s="35"/>
      <c r="Z245" s="32"/>
      <c r="AA245" s="32"/>
      <c r="AB245" s="36" t="str">
        <f t="shared" si="3"/>
        <v/>
      </c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</row>
    <row r="246" spans="1:42" ht="18" customHeight="1" x14ac:dyDescent="0.3">
      <c r="A246" s="38"/>
      <c r="B246" s="38"/>
      <c r="C246" s="38"/>
      <c r="D246" s="38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4"/>
      <c r="X246" s="39"/>
      <c r="Y246" s="40"/>
      <c r="Z246" s="38"/>
      <c r="AA246" s="38"/>
      <c r="AB246" s="41" t="str">
        <f t="shared" si="3"/>
        <v/>
      </c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</row>
    <row r="247" spans="1:42" ht="18" customHeight="1" x14ac:dyDescent="0.3">
      <c r="A247" s="32"/>
      <c r="B247" s="32"/>
      <c r="C247" s="32"/>
      <c r="D247" s="32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4"/>
      <c r="X247" s="33"/>
      <c r="Y247" s="35"/>
      <c r="Z247" s="32"/>
      <c r="AA247" s="32"/>
      <c r="AB247" s="36" t="str">
        <f t="shared" si="3"/>
        <v/>
      </c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</row>
    <row r="248" spans="1:42" ht="18" customHeight="1" x14ac:dyDescent="0.3">
      <c r="A248" s="38"/>
      <c r="B248" s="38"/>
      <c r="C248" s="38"/>
      <c r="D248" s="38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4"/>
      <c r="X248" s="39"/>
      <c r="Y248" s="40"/>
      <c r="Z248" s="38"/>
      <c r="AA248" s="38"/>
      <c r="AB248" s="41" t="str">
        <f t="shared" si="3"/>
        <v/>
      </c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</row>
    <row r="249" spans="1:42" ht="18" customHeight="1" x14ac:dyDescent="0.3">
      <c r="A249" s="32"/>
      <c r="B249" s="32"/>
      <c r="C249" s="32"/>
      <c r="D249" s="32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4"/>
      <c r="X249" s="33"/>
      <c r="Y249" s="35"/>
      <c r="Z249" s="32"/>
      <c r="AA249" s="32"/>
      <c r="AB249" s="36" t="str">
        <f t="shared" si="3"/>
        <v/>
      </c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</row>
    <row r="250" spans="1:42" ht="18" customHeight="1" x14ac:dyDescent="0.3">
      <c r="A250" s="38"/>
      <c r="B250" s="38"/>
      <c r="C250" s="38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4"/>
      <c r="X250" s="39"/>
      <c r="Y250" s="40"/>
      <c r="Z250" s="38"/>
      <c r="AA250" s="38"/>
      <c r="AB250" s="41" t="str">
        <f t="shared" si="3"/>
        <v/>
      </c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</row>
    <row r="251" spans="1:42" ht="18" customHeight="1" x14ac:dyDescent="0.3">
      <c r="A251" s="32"/>
      <c r="B251" s="32"/>
      <c r="C251" s="32"/>
      <c r="D251" s="32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4"/>
      <c r="X251" s="33"/>
      <c r="Y251" s="35"/>
      <c r="Z251" s="32"/>
      <c r="AA251" s="32"/>
      <c r="AB251" s="36" t="str">
        <f t="shared" si="3"/>
        <v/>
      </c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</row>
    <row r="252" spans="1:42" ht="18" customHeight="1" x14ac:dyDescent="0.3">
      <c r="A252" s="38"/>
      <c r="B252" s="38"/>
      <c r="C252" s="38"/>
      <c r="D252" s="38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4"/>
      <c r="X252" s="39"/>
      <c r="Y252" s="40"/>
      <c r="Z252" s="38"/>
      <c r="AA252" s="38"/>
      <c r="AB252" s="41" t="str">
        <f t="shared" si="3"/>
        <v/>
      </c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</row>
    <row r="253" spans="1:42" ht="18" customHeight="1" x14ac:dyDescent="0.3">
      <c r="A253" s="32"/>
      <c r="B253" s="32"/>
      <c r="C253" s="32"/>
      <c r="D253" s="32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4"/>
      <c r="X253" s="33"/>
      <c r="Y253" s="35"/>
      <c r="Z253" s="32"/>
      <c r="AA253" s="32"/>
      <c r="AB253" s="36" t="str">
        <f t="shared" si="3"/>
        <v/>
      </c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</row>
    <row r="254" spans="1:42" ht="18" customHeight="1" x14ac:dyDescent="0.3">
      <c r="A254" s="38"/>
      <c r="B254" s="38"/>
      <c r="C254" s="38"/>
      <c r="D254" s="38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4"/>
      <c r="X254" s="39"/>
      <c r="Y254" s="40"/>
      <c r="Z254" s="38"/>
      <c r="AA254" s="38"/>
      <c r="AB254" s="41" t="str">
        <f t="shared" si="3"/>
        <v/>
      </c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</row>
    <row r="255" spans="1:42" ht="18" customHeight="1" x14ac:dyDescent="0.3">
      <c r="A255" s="32"/>
      <c r="B255" s="32"/>
      <c r="C255" s="32"/>
      <c r="D255" s="32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4"/>
      <c r="X255" s="33"/>
      <c r="Y255" s="35"/>
      <c r="Z255" s="32"/>
      <c r="AA255" s="32"/>
      <c r="AB255" s="36" t="str">
        <f t="shared" si="3"/>
        <v/>
      </c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</row>
    <row r="256" spans="1:42" ht="18" customHeight="1" x14ac:dyDescent="0.3">
      <c r="A256" s="38"/>
      <c r="B256" s="38"/>
      <c r="C256" s="38"/>
      <c r="D256" s="38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4"/>
      <c r="X256" s="39"/>
      <c r="Y256" s="40"/>
      <c r="Z256" s="38"/>
      <c r="AA256" s="38"/>
      <c r="AB256" s="41" t="str">
        <f t="shared" si="3"/>
        <v/>
      </c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</row>
    <row r="257" spans="1:42" ht="18" customHeight="1" x14ac:dyDescent="0.3">
      <c r="A257" s="32"/>
      <c r="B257" s="32"/>
      <c r="C257" s="32"/>
      <c r="D257" s="32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4"/>
      <c r="X257" s="33"/>
      <c r="Y257" s="35"/>
      <c r="Z257" s="32"/>
      <c r="AA257" s="32"/>
      <c r="AB257" s="36" t="str">
        <f t="shared" si="3"/>
        <v/>
      </c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</row>
    <row r="258" spans="1:42" ht="18" customHeight="1" x14ac:dyDescent="0.3">
      <c r="A258" s="38"/>
      <c r="B258" s="38"/>
      <c r="C258" s="38"/>
      <c r="D258" s="38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4"/>
      <c r="X258" s="39"/>
      <c r="Y258" s="40"/>
      <c r="Z258" s="38"/>
      <c r="AA258" s="38"/>
      <c r="AB258" s="41" t="str">
        <f t="shared" si="3"/>
        <v/>
      </c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</row>
    <row r="259" spans="1:42" ht="18" customHeight="1" x14ac:dyDescent="0.3">
      <c r="A259" s="32"/>
      <c r="B259" s="32"/>
      <c r="C259" s="32"/>
      <c r="D259" s="32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4"/>
      <c r="X259" s="33"/>
      <c r="Y259" s="35"/>
      <c r="Z259" s="32"/>
      <c r="AA259" s="32"/>
      <c r="AB259" s="36" t="str">
        <f t="shared" si="3"/>
        <v/>
      </c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</row>
    <row r="260" spans="1:42" ht="18" customHeight="1" x14ac:dyDescent="0.3">
      <c r="A260" s="38"/>
      <c r="B260" s="38"/>
      <c r="C260" s="38"/>
      <c r="D260" s="38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4"/>
      <c r="X260" s="39"/>
      <c r="Y260" s="40"/>
      <c r="Z260" s="38"/>
      <c r="AA260" s="38"/>
      <c r="AB260" s="41" t="str">
        <f t="shared" si="3"/>
        <v/>
      </c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</row>
    <row r="261" spans="1:42" ht="18" customHeight="1" x14ac:dyDescent="0.3">
      <c r="A261" s="32"/>
      <c r="B261" s="32"/>
      <c r="C261" s="32"/>
      <c r="D261" s="32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4"/>
      <c r="X261" s="33"/>
      <c r="Y261" s="35"/>
      <c r="Z261" s="32"/>
      <c r="AA261" s="32"/>
      <c r="AB261" s="36" t="str">
        <f t="shared" si="3"/>
        <v/>
      </c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</row>
    <row r="262" spans="1:42" ht="18" customHeight="1" x14ac:dyDescent="0.3">
      <c r="A262" s="38"/>
      <c r="B262" s="38"/>
      <c r="C262" s="38"/>
      <c r="D262" s="38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4"/>
      <c r="X262" s="39"/>
      <c r="Y262" s="40"/>
      <c r="Z262" s="38"/>
      <c r="AA262" s="38"/>
      <c r="AB262" s="41" t="str">
        <f t="shared" ref="AB262:AB325" si="4">IF(A262="","",IF(COUNTIF($A$6:$A$504,A262)&gt;1,"⚠ Duplicate",""))</f>
        <v/>
      </c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</row>
    <row r="263" spans="1:42" ht="18" customHeight="1" x14ac:dyDescent="0.3">
      <c r="A263" s="32"/>
      <c r="B263" s="32"/>
      <c r="C263" s="32"/>
      <c r="D263" s="32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4"/>
      <c r="X263" s="33"/>
      <c r="Y263" s="35"/>
      <c r="Z263" s="32"/>
      <c r="AA263" s="32"/>
      <c r="AB263" s="36" t="str">
        <f t="shared" si="4"/>
        <v/>
      </c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</row>
    <row r="264" spans="1:42" ht="18" customHeight="1" x14ac:dyDescent="0.3">
      <c r="A264" s="38"/>
      <c r="B264" s="38"/>
      <c r="C264" s="38"/>
      <c r="D264" s="38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4"/>
      <c r="X264" s="39"/>
      <c r="Y264" s="40"/>
      <c r="Z264" s="38"/>
      <c r="AA264" s="38"/>
      <c r="AB264" s="41" t="str">
        <f t="shared" si="4"/>
        <v/>
      </c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</row>
    <row r="265" spans="1:42" ht="18" customHeight="1" x14ac:dyDescent="0.3">
      <c r="A265" s="32"/>
      <c r="B265" s="32"/>
      <c r="C265" s="32"/>
      <c r="D265" s="32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4"/>
      <c r="X265" s="33"/>
      <c r="Y265" s="35"/>
      <c r="Z265" s="32"/>
      <c r="AA265" s="32"/>
      <c r="AB265" s="36" t="str">
        <f t="shared" si="4"/>
        <v/>
      </c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</row>
    <row r="266" spans="1:42" ht="18" customHeight="1" x14ac:dyDescent="0.3">
      <c r="A266" s="38"/>
      <c r="B266" s="38"/>
      <c r="C266" s="38"/>
      <c r="D266" s="38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4"/>
      <c r="X266" s="39"/>
      <c r="Y266" s="40"/>
      <c r="Z266" s="38"/>
      <c r="AA266" s="38"/>
      <c r="AB266" s="41" t="str">
        <f t="shared" si="4"/>
        <v/>
      </c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</row>
    <row r="267" spans="1:42" ht="18" customHeight="1" x14ac:dyDescent="0.3">
      <c r="A267" s="32"/>
      <c r="B267" s="32"/>
      <c r="C267" s="32"/>
      <c r="D267" s="32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4"/>
      <c r="X267" s="33"/>
      <c r="Y267" s="35"/>
      <c r="Z267" s="32"/>
      <c r="AA267" s="32"/>
      <c r="AB267" s="36" t="str">
        <f t="shared" si="4"/>
        <v/>
      </c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</row>
    <row r="268" spans="1:42" ht="18" customHeight="1" x14ac:dyDescent="0.3">
      <c r="A268" s="38"/>
      <c r="B268" s="38"/>
      <c r="C268" s="38"/>
      <c r="D268" s="38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4"/>
      <c r="X268" s="39"/>
      <c r="Y268" s="40"/>
      <c r="Z268" s="38"/>
      <c r="AA268" s="38"/>
      <c r="AB268" s="41" t="str">
        <f t="shared" si="4"/>
        <v/>
      </c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</row>
    <row r="269" spans="1:42" ht="18" customHeight="1" x14ac:dyDescent="0.3">
      <c r="A269" s="32"/>
      <c r="B269" s="32"/>
      <c r="C269" s="32"/>
      <c r="D269" s="32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4"/>
      <c r="X269" s="33"/>
      <c r="Y269" s="35"/>
      <c r="Z269" s="32"/>
      <c r="AA269" s="32"/>
      <c r="AB269" s="36" t="str">
        <f t="shared" si="4"/>
        <v/>
      </c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</row>
    <row r="270" spans="1:42" ht="18" customHeight="1" x14ac:dyDescent="0.3">
      <c r="A270" s="38"/>
      <c r="B270" s="38"/>
      <c r="C270" s="38"/>
      <c r="D270" s="38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4"/>
      <c r="X270" s="39"/>
      <c r="Y270" s="40"/>
      <c r="Z270" s="38"/>
      <c r="AA270" s="38"/>
      <c r="AB270" s="41" t="str">
        <f t="shared" si="4"/>
        <v/>
      </c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</row>
    <row r="271" spans="1:42" ht="18" customHeight="1" x14ac:dyDescent="0.3">
      <c r="A271" s="32"/>
      <c r="B271" s="32"/>
      <c r="C271" s="32"/>
      <c r="D271" s="32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4"/>
      <c r="X271" s="33"/>
      <c r="Y271" s="35"/>
      <c r="Z271" s="32"/>
      <c r="AA271" s="32"/>
      <c r="AB271" s="36" t="str">
        <f t="shared" si="4"/>
        <v/>
      </c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</row>
    <row r="272" spans="1:42" ht="18" customHeight="1" x14ac:dyDescent="0.3">
      <c r="A272" s="38"/>
      <c r="B272" s="38"/>
      <c r="C272" s="38"/>
      <c r="D272" s="38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4"/>
      <c r="X272" s="39"/>
      <c r="Y272" s="40"/>
      <c r="Z272" s="38"/>
      <c r="AA272" s="38"/>
      <c r="AB272" s="41" t="str">
        <f t="shared" si="4"/>
        <v/>
      </c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</row>
    <row r="273" spans="1:42" ht="18" customHeight="1" x14ac:dyDescent="0.3">
      <c r="A273" s="32"/>
      <c r="B273" s="32"/>
      <c r="C273" s="32"/>
      <c r="D273" s="32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4"/>
      <c r="X273" s="33"/>
      <c r="Y273" s="35"/>
      <c r="Z273" s="32"/>
      <c r="AA273" s="32"/>
      <c r="AB273" s="36" t="str">
        <f t="shared" si="4"/>
        <v/>
      </c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</row>
    <row r="274" spans="1:42" ht="18" customHeight="1" x14ac:dyDescent="0.3">
      <c r="A274" s="38"/>
      <c r="B274" s="38"/>
      <c r="C274" s="38"/>
      <c r="D274" s="38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4"/>
      <c r="X274" s="39"/>
      <c r="Y274" s="40"/>
      <c r="Z274" s="38"/>
      <c r="AA274" s="38"/>
      <c r="AB274" s="41" t="str">
        <f t="shared" si="4"/>
        <v/>
      </c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</row>
    <row r="275" spans="1:42" ht="18" customHeight="1" x14ac:dyDescent="0.3">
      <c r="A275" s="32"/>
      <c r="B275" s="32"/>
      <c r="C275" s="32"/>
      <c r="D275" s="32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4"/>
      <c r="X275" s="33"/>
      <c r="Y275" s="35"/>
      <c r="Z275" s="32"/>
      <c r="AA275" s="32"/>
      <c r="AB275" s="36" t="str">
        <f t="shared" si="4"/>
        <v/>
      </c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</row>
    <row r="276" spans="1:42" ht="18" customHeight="1" x14ac:dyDescent="0.3">
      <c r="A276" s="38"/>
      <c r="B276" s="38"/>
      <c r="C276" s="38"/>
      <c r="D276" s="38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4"/>
      <c r="X276" s="39"/>
      <c r="Y276" s="40"/>
      <c r="Z276" s="38"/>
      <c r="AA276" s="38"/>
      <c r="AB276" s="41" t="str">
        <f t="shared" si="4"/>
        <v/>
      </c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</row>
    <row r="277" spans="1:42" ht="18" customHeight="1" x14ac:dyDescent="0.3">
      <c r="A277" s="32"/>
      <c r="B277" s="32"/>
      <c r="C277" s="32"/>
      <c r="D277" s="32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4"/>
      <c r="X277" s="33"/>
      <c r="Y277" s="35"/>
      <c r="Z277" s="32"/>
      <c r="AA277" s="32"/>
      <c r="AB277" s="36" t="str">
        <f t="shared" si="4"/>
        <v/>
      </c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</row>
    <row r="278" spans="1:42" ht="18" customHeight="1" x14ac:dyDescent="0.3">
      <c r="A278" s="38"/>
      <c r="B278" s="38"/>
      <c r="C278" s="38"/>
      <c r="D278" s="38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4"/>
      <c r="X278" s="39"/>
      <c r="Y278" s="40"/>
      <c r="Z278" s="38"/>
      <c r="AA278" s="38"/>
      <c r="AB278" s="41" t="str">
        <f t="shared" si="4"/>
        <v/>
      </c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</row>
    <row r="279" spans="1:42" ht="18" customHeight="1" x14ac:dyDescent="0.3">
      <c r="A279" s="32"/>
      <c r="B279" s="32"/>
      <c r="C279" s="32"/>
      <c r="D279" s="32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4"/>
      <c r="X279" s="33"/>
      <c r="Y279" s="35"/>
      <c r="Z279" s="32"/>
      <c r="AA279" s="32"/>
      <c r="AB279" s="36" t="str">
        <f t="shared" si="4"/>
        <v/>
      </c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</row>
    <row r="280" spans="1:42" ht="18" customHeight="1" x14ac:dyDescent="0.3">
      <c r="A280" s="38"/>
      <c r="B280" s="38"/>
      <c r="C280" s="38"/>
      <c r="D280" s="38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4"/>
      <c r="X280" s="39"/>
      <c r="Y280" s="40"/>
      <c r="Z280" s="38"/>
      <c r="AA280" s="38"/>
      <c r="AB280" s="41" t="str">
        <f t="shared" si="4"/>
        <v/>
      </c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</row>
    <row r="281" spans="1:42" ht="18" customHeight="1" x14ac:dyDescent="0.3">
      <c r="A281" s="32"/>
      <c r="B281" s="32"/>
      <c r="C281" s="32"/>
      <c r="D281" s="32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4"/>
      <c r="X281" s="33"/>
      <c r="Y281" s="35"/>
      <c r="Z281" s="32"/>
      <c r="AA281" s="32"/>
      <c r="AB281" s="36" t="str">
        <f t="shared" si="4"/>
        <v/>
      </c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</row>
    <row r="282" spans="1:42" ht="18" customHeight="1" x14ac:dyDescent="0.3">
      <c r="A282" s="38"/>
      <c r="B282" s="38"/>
      <c r="C282" s="38"/>
      <c r="D282" s="38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4"/>
      <c r="X282" s="39"/>
      <c r="Y282" s="40"/>
      <c r="Z282" s="38"/>
      <c r="AA282" s="38"/>
      <c r="AB282" s="41" t="str">
        <f t="shared" si="4"/>
        <v/>
      </c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</row>
    <row r="283" spans="1:42" ht="18" customHeight="1" x14ac:dyDescent="0.3">
      <c r="A283" s="32"/>
      <c r="B283" s="32"/>
      <c r="C283" s="32"/>
      <c r="D283" s="32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4"/>
      <c r="X283" s="33"/>
      <c r="Y283" s="35"/>
      <c r="Z283" s="32"/>
      <c r="AA283" s="32"/>
      <c r="AB283" s="36" t="str">
        <f t="shared" si="4"/>
        <v/>
      </c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</row>
    <row r="284" spans="1:42" ht="18" customHeight="1" x14ac:dyDescent="0.3">
      <c r="A284" s="38"/>
      <c r="B284" s="38"/>
      <c r="C284" s="38"/>
      <c r="D284" s="38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4"/>
      <c r="X284" s="39"/>
      <c r="Y284" s="40"/>
      <c r="Z284" s="38"/>
      <c r="AA284" s="38"/>
      <c r="AB284" s="41" t="str">
        <f t="shared" si="4"/>
        <v/>
      </c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</row>
    <row r="285" spans="1:42" ht="18" customHeight="1" x14ac:dyDescent="0.3">
      <c r="A285" s="32"/>
      <c r="B285" s="32"/>
      <c r="C285" s="32"/>
      <c r="D285" s="32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4"/>
      <c r="X285" s="33"/>
      <c r="Y285" s="35"/>
      <c r="Z285" s="32"/>
      <c r="AA285" s="32"/>
      <c r="AB285" s="36" t="str">
        <f t="shared" si="4"/>
        <v/>
      </c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</row>
    <row r="286" spans="1:42" ht="18" customHeight="1" x14ac:dyDescent="0.3">
      <c r="A286" s="38"/>
      <c r="B286" s="38"/>
      <c r="C286" s="38"/>
      <c r="D286" s="38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4"/>
      <c r="X286" s="39"/>
      <c r="Y286" s="40"/>
      <c r="Z286" s="38"/>
      <c r="AA286" s="38"/>
      <c r="AB286" s="41" t="str">
        <f t="shared" si="4"/>
        <v/>
      </c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</row>
    <row r="287" spans="1:42" ht="18" customHeight="1" x14ac:dyDescent="0.3">
      <c r="A287" s="32"/>
      <c r="B287" s="32"/>
      <c r="C287" s="32"/>
      <c r="D287" s="32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4"/>
      <c r="X287" s="33"/>
      <c r="Y287" s="35"/>
      <c r="Z287" s="32"/>
      <c r="AA287" s="32"/>
      <c r="AB287" s="36" t="str">
        <f t="shared" si="4"/>
        <v/>
      </c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</row>
    <row r="288" spans="1:42" ht="18" customHeight="1" x14ac:dyDescent="0.3">
      <c r="A288" s="38"/>
      <c r="B288" s="38"/>
      <c r="C288" s="38"/>
      <c r="D288" s="38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4"/>
      <c r="X288" s="39"/>
      <c r="Y288" s="40"/>
      <c r="Z288" s="38"/>
      <c r="AA288" s="38"/>
      <c r="AB288" s="41" t="str">
        <f t="shared" si="4"/>
        <v/>
      </c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</row>
    <row r="289" spans="1:42" ht="18" customHeight="1" x14ac:dyDescent="0.3">
      <c r="A289" s="32"/>
      <c r="B289" s="32"/>
      <c r="C289" s="32"/>
      <c r="D289" s="32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4"/>
      <c r="X289" s="33"/>
      <c r="Y289" s="35"/>
      <c r="Z289" s="32"/>
      <c r="AA289" s="32"/>
      <c r="AB289" s="36" t="str">
        <f t="shared" si="4"/>
        <v/>
      </c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</row>
    <row r="290" spans="1:42" ht="18" customHeight="1" x14ac:dyDescent="0.3">
      <c r="A290" s="38"/>
      <c r="B290" s="38"/>
      <c r="C290" s="38"/>
      <c r="D290" s="38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4"/>
      <c r="X290" s="39"/>
      <c r="Y290" s="40"/>
      <c r="Z290" s="38"/>
      <c r="AA290" s="38"/>
      <c r="AB290" s="41" t="str">
        <f t="shared" si="4"/>
        <v/>
      </c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</row>
    <row r="291" spans="1:42" ht="18" customHeight="1" x14ac:dyDescent="0.3">
      <c r="A291" s="32"/>
      <c r="B291" s="32"/>
      <c r="C291" s="32"/>
      <c r="D291" s="32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4"/>
      <c r="X291" s="33"/>
      <c r="Y291" s="35"/>
      <c r="Z291" s="32"/>
      <c r="AA291" s="32"/>
      <c r="AB291" s="36" t="str">
        <f t="shared" si="4"/>
        <v/>
      </c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</row>
    <row r="292" spans="1:42" ht="18" customHeight="1" x14ac:dyDescent="0.3">
      <c r="A292" s="38"/>
      <c r="B292" s="38"/>
      <c r="C292" s="38"/>
      <c r="D292" s="38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4"/>
      <c r="X292" s="39"/>
      <c r="Y292" s="40"/>
      <c r="Z292" s="38"/>
      <c r="AA292" s="38"/>
      <c r="AB292" s="41" t="str">
        <f t="shared" si="4"/>
        <v/>
      </c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</row>
    <row r="293" spans="1:42" ht="18" customHeight="1" x14ac:dyDescent="0.3">
      <c r="A293" s="32"/>
      <c r="B293" s="32"/>
      <c r="C293" s="32"/>
      <c r="D293" s="32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4"/>
      <c r="X293" s="33"/>
      <c r="Y293" s="35"/>
      <c r="Z293" s="32"/>
      <c r="AA293" s="32"/>
      <c r="AB293" s="36" t="str">
        <f t="shared" si="4"/>
        <v/>
      </c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</row>
    <row r="294" spans="1:42" ht="18" customHeight="1" x14ac:dyDescent="0.3">
      <c r="A294" s="38"/>
      <c r="B294" s="38"/>
      <c r="C294" s="38"/>
      <c r="D294" s="38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4"/>
      <c r="X294" s="39"/>
      <c r="Y294" s="40"/>
      <c r="Z294" s="38"/>
      <c r="AA294" s="38"/>
      <c r="AB294" s="41" t="str">
        <f t="shared" si="4"/>
        <v/>
      </c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</row>
    <row r="295" spans="1:42" ht="18" customHeight="1" x14ac:dyDescent="0.3">
      <c r="A295" s="32"/>
      <c r="B295" s="32"/>
      <c r="C295" s="32"/>
      <c r="D295" s="32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4"/>
      <c r="X295" s="33"/>
      <c r="Y295" s="35"/>
      <c r="Z295" s="32"/>
      <c r="AA295" s="32"/>
      <c r="AB295" s="36" t="str">
        <f t="shared" si="4"/>
        <v/>
      </c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</row>
    <row r="296" spans="1:42" ht="18" customHeight="1" x14ac:dyDescent="0.3">
      <c r="A296" s="38"/>
      <c r="B296" s="38"/>
      <c r="C296" s="38"/>
      <c r="D296" s="38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4"/>
      <c r="X296" s="39"/>
      <c r="Y296" s="40"/>
      <c r="Z296" s="38"/>
      <c r="AA296" s="38"/>
      <c r="AB296" s="41" t="str">
        <f t="shared" si="4"/>
        <v/>
      </c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</row>
    <row r="297" spans="1:42" ht="18" customHeight="1" x14ac:dyDescent="0.3">
      <c r="A297" s="32"/>
      <c r="B297" s="32"/>
      <c r="C297" s="32"/>
      <c r="D297" s="32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4"/>
      <c r="X297" s="33"/>
      <c r="Y297" s="35"/>
      <c r="Z297" s="32"/>
      <c r="AA297" s="32"/>
      <c r="AB297" s="36" t="str">
        <f t="shared" si="4"/>
        <v/>
      </c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</row>
    <row r="298" spans="1:42" ht="18" customHeight="1" x14ac:dyDescent="0.3">
      <c r="A298" s="38"/>
      <c r="B298" s="38"/>
      <c r="C298" s="38"/>
      <c r="D298" s="38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4"/>
      <c r="X298" s="39"/>
      <c r="Y298" s="40"/>
      <c r="Z298" s="38"/>
      <c r="AA298" s="38"/>
      <c r="AB298" s="41" t="str">
        <f t="shared" si="4"/>
        <v/>
      </c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</row>
    <row r="299" spans="1:42" ht="18" customHeight="1" x14ac:dyDescent="0.3">
      <c r="A299" s="32"/>
      <c r="B299" s="32"/>
      <c r="C299" s="32"/>
      <c r="D299" s="32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4"/>
      <c r="X299" s="33"/>
      <c r="Y299" s="35"/>
      <c r="Z299" s="32"/>
      <c r="AA299" s="32"/>
      <c r="AB299" s="36" t="str">
        <f t="shared" si="4"/>
        <v/>
      </c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</row>
    <row r="300" spans="1:42" ht="18" customHeight="1" x14ac:dyDescent="0.3">
      <c r="A300" s="38"/>
      <c r="B300" s="38"/>
      <c r="C300" s="38"/>
      <c r="D300" s="38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4"/>
      <c r="X300" s="39"/>
      <c r="Y300" s="40"/>
      <c r="Z300" s="38"/>
      <c r="AA300" s="38"/>
      <c r="AB300" s="41" t="str">
        <f t="shared" si="4"/>
        <v/>
      </c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</row>
    <row r="301" spans="1:42" ht="18" customHeight="1" x14ac:dyDescent="0.3">
      <c r="A301" s="32"/>
      <c r="B301" s="32"/>
      <c r="C301" s="32"/>
      <c r="D301" s="32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4"/>
      <c r="X301" s="33"/>
      <c r="Y301" s="35"/>
      <c r="Z301" s="32"/>
      <c r="AA301" s="32"/>
      <c r="AB301" s="36" t="str">
        <f t="shared" si="4"/>
        <v/>
      </c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</row>
    <row r="302" spans="1:42" ht="18" customHeight="1" x14ac:dyDescent="0.3">
      <c r="A302" s="38"/>
      <c r="B302" s="38"/>
      <c r="C302" s="38"/>
      <c r="D302" s="38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4"/>
      <c r="X302" s="39"/>
      <c r="Y302" s="40"/>
      <c r="Z302" s="38"/>
      <c r="AA302" s="38"/>
      <c r="AB302" s="41" t="str">
        <f t="shared" si="4"/>
        <v/>
      </c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</row>
    <row r="303" spans="1:42" ht="18" customHeight="1" x14ac:dyDescent="0.3">
      <c r="A303" s="32"/>
      <c r="B303" s="32"/>
      <c r="C303" s="32"/>
      <c r="D303" s="32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4"/>
      <c r="X303" s="33"/>
      <c r="Y303" s="35"/>
      <c r="Z303" s="32"/>
      <c r="AA303" s="32"/>
      <c r="AB303" s="36" t="str">
        <f t="shared" si="4"/>
        <v/>
      </c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</row>
    <row r="304" spans="1:42" ht="18" customHeight="1" x14ac:dyDescent="0.3">
      <c r="A304" s="38"/>
      <c r="B304" s="38"/>
      <c r="C304" s="38"/>
      <c r="D304" s="38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4"/>
      <c r="X304" s="39"/>
      <c r="Y304" s="40"/>
      <c r="Z304" s="38"/>
      <c r="AA304" s="38"/>
      <c r="AB304" s="41" t="str">
        <f t="shared" si="4"/>
        <v/>
      </c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</row>
    <row r="305" spans="1:42" ht="18" customHeight="1" x14ac:dyDescent="0.3">
      <c r="A305" s="32"/>
      <c r="B305" s="32"/>
      <c r="C305" s="32"/>
      <c r="D305" s="32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4"/>
      <c r="X305" s="33"/>
      <c r="Y305" s="35"/>
      <c r="Z305" s="32"/>
      <c r="AA305" s="32"/>
      <c r="AB305" s="36" t="str">
        <f t="shared" si="4"/>
        <v/>
      </c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</row>
    <row r="306" spans="1:42" ht="18" customHeight="1" x14ac:dyDescent="0.3">
      <c r="A306" s="38"/>
      <c r="B306" s="38"/>
      <c r="C306" s="38"/>
      <c r="D306" s="38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4"/>
      <c r="X306" s="39"/>
      <c r="Y306" s="40"/>
      <c r="Z306" s="38"/>
      <c r="AA306" s="38"/>
      <c r="AB306" s="41" t="str">
        <f t="shared" si="4"/>
        <v/>
      </c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</row>
    <row r="307" spans="1:42" ht="18" customHeight="1" x14ac:dyDescent="0.3">
      <c r="A307" s="32"/>
      <c r="B307" s="32"/>
      <c r="C307" s="32"/>
      <c r="D307" s="32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4"/>
      <c r="X307" s="33"/>
      <c r="Y307" s="35"/>
      <c r="Z307" s="32"/>
      <c r="AA307" s="32"/>
      <c r="AB307" s="36" t="str">
        <f t="shared" si="4"/>
        <v/>
      </c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</row>
    <row r="308" spans="1:42" ht="18" customHeight="1" x14ac:dyDescent="0.3">
      <c r="A308" s="38"/>
      <c r="B308" s="38"/>
      <c r="C308" s="38"/>
      <c r="D308" s="38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4"/>
      <c r="X308" s="39"/>
      <c r="Y308" s="40"/>
      <c r="Z308" s="38"/>
      <c r="AA308" s="38"/>
      <c r="AB308" s="41" t="str">
        <f t="shared" si="4"/>
        <v/>
      </c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</row>
    <row r="309" spans="1:42" ht="18" customHeight="1" x14ac:dyDescent="0.3">
      <c r="A309" s="32"/>
      <c r="B309" s="32"/>
      <c r="C309" s="32"/>
      <c r="D309" s="32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4"/>
      <c r="X309" s="33"/>
      <c r="Y309" s="35"/>
      <c r="Z309" s="32"/>
      <c r="AA309" s="32"/>
      <c r="AB309" s="36" t="str">
        <f t="shared" si="4"/>
        <v/>
      </c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</row>
    <row r="310" spans="1:42" ht="18" customHeight="1" x14ac:dyDescent="0.3">
      <c r="A310" s="38"/>
      <c r="B310" s="38"/>
      <c r="C310" s="38"/>
      <c r="D310" s="38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4"/>
      <c r="X310" s="39"/>
      <c r="Y310" s="40"/>
      <c r="Z310" s="38"/>
      <c r="AA310" s="38"/>
      <c r="AB310" s="41" t="str">
        <f t="shared" si="4"/>
        <v/>
      </c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</row>
    <row r="311" spans="1:42" ht="18" customHeight="1" x14ac:dyDescent="0.3">
      <c r="A311" s="32"/>
      <c r="B311" s="32"/>
      <c r="C311" s="32"/>
      <c r="D311" s="32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4"/>
      <c r="X311" s="33"/>
      <c r="Y311" s="35"/>
      <c r="Z311" s="32"/>
      <c r="AA311" s="32"/>
      <c r="AB311" s="36" t="str">
        <f t="shared" si="4"/>
        <v/>
      </c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</row>
    <row r="312" spans="1:42" ht="18" customHeight="1" x14ac:dyDescent="0.3">
      <c r="A312" s="38"/>
      <c r="B312" s="38"/>
      <c r="C312" s="38"/>
      <c r="D312" s="38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4"/>
      <c r="X312" s="39"/>
      <c r="Y312" s="40"/>
      <c r="Z312" s="38"/>
      <c r="AA312" s="38"/>
      <c r="AB312" s="41" t="str">
        <f t="shared" si="4"/>
        <v/>
      </c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</row>
    <row r="313" spans="1:42" ht="18" customHeight="1" x14ac:dyDescent="0.3">
      <c r="A313" s="32"/>
      <c r="B313" s="32"/>
      <c r="C313" s="32"/>
      <c r="D313" s="32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4"/>
      <c r="X313" s="33"/>
      <c r="Y313" s="35"/>
      <c r="Z313" s="32"/>
      <c r="AA313" s="32"/>
      <c r="AB313" s="36" t="str">
        <f t="shared" si="4"/>
        <v/>
      </c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</row>
    <row r="314" spans="1:42" ht="18" customHeight="1" x14ac:dyDescent="0.3">
      <c r="A314" s="38"/>
      <c r="B314" s="38"/>
      <c r="C314" s="38"/>
      <c r="D314" s="38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4"/>
      <c r="X314" s="39"/>
      <c r="Y314" s="40"/>
      <c r="Z314" s="38"/>
      <c r="AA314" s="38"/>
      <c r="AB314" s="41" t="str">
        <f t="shared" si="4"/>
        <v/>
      </c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</row>
    <row r="315" spans="1:42" ht="18" customHeight="1" x14ac:dyDescent="0.3">
      <c r="A315" s="32"/>
      <c r="B315" s="32"/>
      <c r="C315" s="32"/>
      <c r="D315" s="32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4"/>
      <c r="X315" s="33"/>
      <c r="Y315" s="35"/>
      <c r="Z315" s="32"/>
      <c r="AA315" s="32"/>
      <c r="AB315" s="36" t="str">
        <f t="shared" si="4"/>
        <v/>
      </c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</row>
    <row r="316" spans="1:42" ht="18" customHeight="1" x14ac:dyDescent="0.3">
      <c r="A316" s="38"/>
      <c r="B316" s="38"/>
      <c r="C316" s="38"/>
      <c r="D316" s="38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4"/>
      <c r="X316" s="39"/>
      <c r="Y316" s="40"/>
      <c r="Z316" s="38"/>
      <c r="AA316" s="38"/>
      <c r="AB316" s="41" t="str">
        <f t="shared" si="4"/>
        <v/>
      </c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</row>
    <row r="317" spans="1:42" ht="18" customHeight="1" x14ac:dyDescent="0.3">
      <c r="A317" s="32"/>
      <c r="B317" s="32"/>
      <c r="C317" s="32"/>
      <c r="D317" s="32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4"/>
      <c r="X317" s="33"/>
      <c r="Y317" s="35"/>
      <c r="Z317" s="32"/>
      <c r="AA317" s="32"/>
      <c r="AB317" s="36" t="str">
        <f t="shared" si="4"/>
        <v/>
      </c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</row>
    <row r="318" spans="1:42" ht="18" customHeight="1" x14ac:dyDescent="0.3">
      <c r="A318" s="38"/>
      <c r="B318" s="38"/>
      <c r="C318" s="38"/>
      <c r="D318" s="38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4"/>
      <c r="X318" s="39"/>
      <c r="Y318" s="40"/>
      <c r="Z318" s="38"/>
      <c r="AA318" s="38"/>
      <c r="AB318" s="41" t="str">
        <f t="shared" si="4"/>
        <v/>
      </c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</row>
    <row r="319" spans="1:42" ht="18" customHeight="1" x14ac:dyDescent="0.3">
      <c r="A319" s="32"/>
      <c r="B319" s="32"/>
      <c r="C319" s="32"/>
      <c r="D319" s="32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4"/>
      <c r="X319" s="33"/>
      <c r="Y319" s="35"/>
      <c r="Z319" s="32"/>
      <c r="AA319" s="32"/>
      <c r="AB319" s="36" t="str">
        <f t="shared" si="4"/>
        <v/>
      </c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</row>
    <row r="320" spans="1:42" ht="18" customHeight="1" x14ac:dyDescent="0.3">
      <c r="A320" s="38"/>
      <c r="B320" s="38"/>
      <c r="C320" s="38"/>
      <c r="D320" s="38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4"/>
      <c r="X320" s="39"/>
      <c r="Y320" s="40"/>
      <c r="Z320" s="38"/>
      <c r="AA320" s="38"/>
      <c r="AB320" s="41" t="str">
        <f t="shared" si="4"/>
        <v/>
      </c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</row>
    <row r="321" spans="1:42" ht="18" customHeight="1" x14ac:dyDescent="0.3">
      <c r="A321" s="32"/>
      <c r="B321" s="32"/>
      <c r="C321" s="32"/>
      <c r="D321" s="32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4"/>
      <c r="X321" s="33"/>
      <c r="Y321" s="35"/>
      <c r="Z321" s="32"/>
      <c r="AA321" s="32"/>
      <c r="AB321" s="36" t="str">
        <f t="shared" si="4"/>
        <v/>
      </c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</row>
    <row r="322" spans="1:42" ht="18" customHeight="1" x14ac:dyDescent="0.3">
      <c r="A322" s="38"/>
      <c r="B322" s="38"/>
      <c r="C322" s="38"/>
      <c r="D322" s="38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4"/>
      <c r="X322" s="39"/>
      <c r="Y322" s="40"/>
      <c r="Z322" s="38"/>
      <c r="AA322" s="38"/>
      <c r="AB322" s="41" t="str">
        <f t="shared" si="4"/>
        <v/>
      </c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</row>
    <row r="323" spans="1:42" ht="18" customHeight="1" x14ac:dyDescent="0.3">
      <c r="A323" s="32"/>
      <c r="B323" s="32"/>
      <c r="C323" s="32"/>
      <c r="D323" s="32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4"/>
      <c r="X323" s="33"/>
      <c r="Y323" s="35"/>
      <c r="Z323" s="32"/>
      <c r="AA323" s="32"/>
      <c r="AB323" s="36" t="str">
        <f t="shared" si="4"/>
        <v/>
      </c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</row>
    <row r="324" spans="1:42" ht="18" customHeight="1" x14ac:dyDescent="0.3">
      <c r="A324" s="38"/>
      <c r="B324" s="38"/>
      <c r="C324" s="38"/>
      <c r="D324" s="38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4"/>
      <c r="X324" s="39"/>
      <c r="Y324" s="40"/>
      <c r="Z324" s="38"/>
      <c r="AA324" s="38"/>
      <c r="AB324" s="41" t="str">
        <f t="shared" si="4"/>
        <v/>
      </c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</row>
    <row r="325" spans="1:42" ht="18" customHeight="1" x14ac:dyDescent="0.3">
      <c r="A325" s="32"/>
      <c r="B325" s="32"/>
      <c r="C325" s="32"/>
      <c r="D325" s="32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4"/>
      <c r="X325" s="33"/>
      <c r="Y325" s="35"/>
      <c r="Z325" s="32"/>
      <c r="AA325" s="32"/>
      <c r="AB325" s="36" t="str">
        <f t="shared" si="4"/>
        <v/>
      </c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</row>
    <row r="326" spans="1:42" ht="18" customHeight="1" x14ac:dyDescent="0.3">
      <c r="A326" s="38"/>
      <c r="B326" s="38"/>
      <c r="C326" s="38"/>
      <c r="D326" s="38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4"/>
      <c r="X326" s="39"/>
      <c r="Y326" s="40"/>
      <c r="Z326" s="38"/>
      <c r="AA326" s="38"/>
      <c r="AB326" s="41" t="str">
        <f t="shared" ref="AB326:AB389" si="5">IF(A326="","",IF(COUNTIF($A$6:$A$504,A326)&gt;1,"⚠ Duplicate",""))</f>
        <v/>
      </c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</row>
    <row r="327" spans="1:42" ht="18" customHeight="1" x14ac:dyDescent="0.3">
      <c r="A327" s="32"/>
      <c r="B327" s="32"/>
      <c r="C327" s="32"/>
      <c r="D327" s="32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4"/>
      <c r="X327" s="33"/>
      <c r="Y327" s="35"/>
      <c r="Z327" s="32"/>
      <c r="AA327" s="32"/>
      <c r="AB327" s="36" t="str">
        <f t="shared" si="5"/>
        <v/>
      </c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</row>
    <row r="328" spans="1:42" ht="18" customHeight="1" x14ac:dyDescent="0.3">
      <c r="A328" s="38"/>
      <c r="B328" s="38"/>
      <c r="C328" s="38"/>
      <c r="D328" s="38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4"/>
      <c r="X328" s="39"/>
      <c r="Y328" s="40"/>
      <c r="Z328" s="38"/>
      <c r="AA328" s="38"/>
      <c r="AB328" s="41" t="str">
        <f t="shared" si="5"/>
        <v/>
      </c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</row>
    <row r="329" spans="1:42" ht="18" customHeight="1" x14ac:dyDescent="0.3">
      <c r="A329" s="32"/>
      <c r="B329" s="32"/>
      <c r="C329" s="32"/>
      <c r="D329" s="32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4"/>
      <c r="X329" s="33"/>
      <c r="Y329" s="35"/>
      <c r="Z329" s="32"/>
      <c r="AA329" s="32"/>
      <c r="AB329" s="36" t="str">
        <f t="shared" si="5"/>
        <v/>
      </c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</row>
    <row r="330" spans="1:42" ht="18" customHeight="1" x14ac:dyDescent="0.3">
      <c r="A330" s="38"/>
      <c r="B330" s="38"/>
      <c r="C330" s="38"/>
      <c r="D330" s="38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4"/>
      <c r="X330" s="39"/>
      <c r="Y330" s="40"/>
      <c r="Z330" s="38"/>
      <c r="AA330" s="38"/>
      <c r="AB330" s="41" t="str">
        <f t="shared" si="5"/>
        <v/>
      </c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</row>
    <row r="331" spans="1:42" ht="18" customHeight="1" x14ac:dyDescent="0.3">
      <c r="A331" s="32"/>
      <c r="B331" s="32"/>
      <c r="C331" s="32"/>
      <c r="D331" s="32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4"/>
      <c r="X331" s="33"/>
      <c r="Y331" s="35"/>
      <c r="Z331" s="32"/>
      <c r="AA331" s="32"/>
      <c r="AB331" s="36" t="str">
        <f t="shared" si="5"/>
        <v/>
      </c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</row>
    <row r="332" spans="1:42" ht="18" customHeight="1" x14ac:dyDescent="0.3">
      <c r="A332" s="38"/>
      <c r="B332" s="38"/>
      <c r="C332" s="38"/>
      <c r="D332" s="38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4"/>
      <c r="X332" s="39"/>
      <c r="Y332" s="40"/>
      <c r="Z332" s="38"/>
      <c r="AA332" s="38"/>
      <c r="AB332" s="41" t="str">
        <f t="shared" si="5"/>
        <v/>
      </c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</row>
    <row r="333" spans="1:42" ht="18" customHeight="1" x14ac:dyDescent="0.3">
      <c r="A333" s="32"/>
      <c r="B333" s="32"/>
      <c r="C333" s="32"/>
      <c r="D333" s="32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4"/>
      <c r="X333" s="33"/>
      <c r="Y333" s="35"/>
      <c r="Z333" s="32"/>
      <c r="AA333" s="32"/>
      <c r="AB333" s="36" t="str">
        <f t="shared" si="5"/>
        <v/>
      </c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</row>
    <row r="334" spans="1:42" ht="18" customHeight="1" x14ac:dyDescent="0.3">
      <c r="A334" s="38"/>
      <c r="B334" s="38"/>
      <c r="C334" s="38"/>
      <c r="D334" s="38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4"/>
      <c r="X334" s="39"/>
      <c r="Y334" s="40"/>
      <c r="Z334" s="38"/>
      <c r="AA334" s="38"/>
      <c r="AB334" s="41" t="str">
        <f t="shared" si="5"/>
        <v/>
      </c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</row>
    <row r="335" spans="1:42" ht="18" customHeight="1" x14ac:dyDescent="0.3">
      <c r="A335" s="32"/>
      <c r="B335" s="32"/>
      <c r="C335" s="32"/>
      <c r="D335" s="32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4"/>
      <c r="X335" s="33"/>
      <c r="Y335" s="35"/>
      <c r="Z335" s="32"/>
      <c r="AA335" s="32"/>
      <c r="AB335" s="36" t="str">
        <f t="shared" si="5"/>
        <v/>
      </c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</row>
    <row r="336" spans="1:42" ht="18" customHeight="1" x14ac:dyDescent="0.3">
      <c r="A336" s="38"/>
      <c r="B336" s="38"/>
      <c r="C336" s="38"/>
      <c r="D336" s="38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4"/>
      <c r="X336" s="39"/>
      <c r="Y336" s="40"/>
      <c r="Z336" s="38"/>
      <c r="AA336" s="38"/>
      <c r="AB336" s="41" t="str">
        <f t="shared" si="5"/>
        <v/>
      </c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</row>
    <row r="337" spans="1:42" ht="18" customHeight="1" x14ac:dyDescent="0.3">
      <c r="A337" s="32"/>
      <c r="B337" s="32"/>
      <c r="C337" s="32"/>
      <c r="D337" s="32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4"/>
      <c r="X337" s="33"/>
      <c r="Y337" s="35"/>
      <c r="Z337" s="32"/>
      <c r="AA337" s="32"/>
      <c r="AB337" s="36" t="str">
        <f t="shared" si="5"/>
        <v/>
      </c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</row>
    <row r="338" spans="1:42" ht="18" customHeight="1" x14ac:dyDescent="0.3">
      <c r="A338" s="38"/>
      <c r="B338" s="38"/>
      <c r="C338" s="38"/>
      <c r="D338" s="38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4"/>
      <c r="X338" s="39"/>
      <c r="Y338" s="40"/>
      <c r="Z338" s="38"/>
      <c r="AA338" s="38"/>
      <c r="AB338" s="41" t="str">
        <f t="shared" si="5"/>
        <v/>
      </c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</row>
    <row r="339" spans="1:42" ht="18" customHeight="1" x14ac:dyDescent="0.3">
      <c r="A339" s="32"/>
      <c r="B339" s="32"/>
      <c r="C339" s="32"/>
      <c r="D339" s="32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4"/>
      <c r="X339" s="33"/>
      <c r="Y339" s="35"/>
      <c r="Z339" s="32"/>
      <c r="AA339" s="32"/>
      <c r="AB339" s="36" t="str">
        <f t="shared" si="5"/>
        <v/>
      </c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</row>
    <row r="340" spans="1:42" ht="18" customHeight="1" x14ac:dyDescent="0.3">
      <c r="A340" s="38"/>
      <c r="B340" s="38"/>
      <c r="C340" s="38"/>
      <c r="D340" s="38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4"/>
      <c r="X340" s="39"/>
      <c r="Y340" s="40"/>
      <c r="Z340" s="38"/>
      <c r="AA340" s="38"/>
      <c r="AB340" s="41" t="str">
        <f t="shared" si="5"/>
        <v/>
      </c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</row>
    <row r="341" spans="1:42" ht="18" customHeight="1" x14ac:dyDescent="0.3">
      <c r="A341" s="32"/>
      <c r="B341" s="32"/>
      <c r="C341" s="32"/>
      <c r="D341" s="32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4"/>
      <c r="X341" s="33"/>
      <c r="Y341" s="35"/>
      <c r="Z341" s="32"/>
      <c r="AA341" s="32"/>
      <c r="AB341" s="36" t="str">
        <f t="shared" si="5"/>
        <v/>
      </c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</row>
    <row r="342" spans="1:42" ht="18" customHeight="1" x14ac:dyDescent="0.3">
      <c r="A342" s="38"/>
      <c r="B342" s="38"/>
      <c r="C342" s="38"/>
      <c r="D342" s="38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4"/>
      <c r="X342" s="39"/>
      <c r="Y342" s="40"/>
      <c r="Z342" s="38"/>
      <c r="AA342" s="38"/>
      <c r="AB342" s="41" t="str">
        <f t="shared" si="5"/>
        <v/>
      </c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</row>
    <row r="343" spans="1:42" ht="18" customHeight="1" x14ac:dyDescent="0.3">
      <c r="A343" s="32"/>
      <c r="B343" s="32"/>
      <c r="C343" s="32"/>
      <c r="D343" s="32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4"/>
      <c r="X343" s="33"/>
      <c r="Y343" s="35"/>
      <c r="Z343" s="32"/>
      <c r="AA343" s="32"/>
      <c r="AB343" s="36" t="str">
        <f t="shared" si="5"/>
        <v/>
      </c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</row>
    <row r="344" spans="1:42" ht="18" customHeight="1" x14ac:dyDescent="0.3">
      <c r="A344" s="38"/>
      <c r="B344" s="38"/>
      <c r="C344" s="38"/>
      <c r="D344" s="38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4"/>
      <c r="X344" s="39"/>
      <c r="Y344" s="40"/>
      <c r="Z344" s="38"/>
      <c r="AA344" s="38"/>
      <c r="AB344" s="41" t="str">
        <f t="shared" si="5"/>
        <v/>
      </c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</row>
    <row r="345" spans="1:42" ht="18" customHeight="1" x14ac:dyDescent="0.3">
      <c r="A345" s="32"/>
      <c r="B345" s="32"/>
      <c r="C345" s="32"/>
      <c r="D345" s="32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4"/>
      <c r="X345" s="33"/>
      <c r="Y345" s="35"/>
      <c r="Z345" s="32"/>
      <c r="AA345" s="32"/>
      <c r="AB345" s="36" t="str">
        <f t="shared" si="5"/>
        <v/>
      </c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</row>
    <row r="346" spans="1:42" ht="18" customHeight="1" x14ac:dyDescent="0.3">
      <c r="A346" s="38"/>
      <c r="B346" s="38"/>
      <c r="C346" s="38"/>
      <c r="D346" s="38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4"/>
      <c r="X346" s="39"/>
      <c r="Y346" s="40"/>
      <c r="Z346" s="38"/>
      <c r="AA346" s="38"/>
      <c r="AB346" s="41" t="str">
        <f t="shared" si="5"/>
        <v/>
      </c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</row>
    <row r="347" spans="1:42" ht="18" customHeight="1" x14ac:dyDescent="0.3">
      <c r="A347" s="32"/>
      <c r="B347" s="32"/>
      <c r="C347" s="32"/>
      <c r="D347" s="32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4"/>
      <c r="X347" s="33"/>
      <c r="Y347" s="35"/>
      <c r="Z347" s="32"/>
      <c r="AA347" s="32"/>
      <c r="AB347" s="36" t="str">
        <f t="shared" si="5"/>
        <v/>
      </c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</row>
    <row r="348" spans="1:42" ht="18" customHeight="1" x14ac:dyDescent="0.3">
      <c r="A348" s="38"/>
      <c r="B348" s="38"/>
      <c r="C348" s="38"/>
      <c r="D348" s="38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4"/>
      <c r="X348" s="39"/>
      <c r="Y348" s="40"/>
      <c r="Z348" s="38"/>
      <c r="AA348" s="38"/>
      <c r="AB348" s="41" t="str">
        <f t="shared" si="5"/>
        <v/>
      </c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</row>
    <row r="349" spans="1:42" ht="18" customHeight="1" x14ac:dyDescent="0.3">
      <c r="A349" s="32"/>
      <c r="B349" s="32"/>
      <c r="C349" s="32"/>
      <c r="D349" s="32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4"/>
      <c r="X349" s="33"/>
      <c r="Y349" s="35"/>
      <c r="Z349" s="32"/>
      <c r="AA349" s="32"/>
      <c r="AB349" s="36" t="str">
        <f t="shared" si="5"/>
        <v/>
      </c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</row>
    <row r="350" spans="1:42" ht="18" customHeight="1" x14ac:dyDescent="0.3">
      <c r="A350" s="38"/>
      <c r="B350" s="38"/>
      <c r="C350" s="38"/>
      <c r="D350" s="38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4"/>
      <c r="X350" s="39"/>
      <c r="Y350" s="40"/>
      <c r="Z350" s="38"/>
      <c r="AA350" s="38"/>
      <c r="AB350" s="41" t="str">
        <f t="shared" si="5"/>
        <v/>
      </c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</row>
    <row r="351" spans="1:42" ht="18" customHeight="1" x14ac:dyDescent="0.3">
      <c r="A351" s="32"/>
      <c r="B351" s="32"/>
      <c r="C351" s="32"/>
      <c r="D351" s="32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4"/>
      <c r="X351" s="33"/>
      <c r="Y351" s="35"/>
      <c r="Z351" s="32"/>
      <c r="AA351" s="32"/>
      <c r="AB351" s="36" t="str">
        <f t="shared" si="5"/>
        <v/>
      </c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</row>
    <row r="352" spans="1:42" ht="18" customHeight="1" x14ac:dyDescent="0.3">
      <c r="A352" s="38"/>
      <c r="B352" s="38"/>
      <c r="C352" s="38"/>
      <c r="D352" s="38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4"/>
      <c r="X352" s="39"/>
      <c r="Y352" s="40"/>
      <c r="Z352" s="38"/>
      <c r="AA352" s="38"/>
      <c r="AB352" s="41" t="str">
        <f t="shared" si="5"/>
        <v/>
      </c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</row>
    <row r="353" spans="1:42" ht="18" customHeight="1" x14ac:dyDescent="0.3">
      <c r="A353" s="32"/>
      <c r="B353" s="32"/>
      <c r="C353" s="32"/>
      <c r="D353" s="32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4"/>
      <c r="X353" s="33"/>
      <c r="Y353" s="35"/>
      <c r="Z353" s="32"/>
      <c r="AA353" s="32"/>
      <c r="AB353" s="36" t="str">
        <f t="shared" si="5"/>
        <v/>
      </c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</row>
    <row r="354" spans="1:42" ht="18" customHeight="1" x14ac:dyDescent="0.3">
      <c r="A354" s="38"/>
      <c r="B354" s="38"/>
      <c r="C354" s="38"/>
      <c r="D354" s="38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4"/>
      <c r="X354" s="39"/>
      <c r="Y354" s="40"/>
      <c r="Z354" s="38"/>
      <c r="AA354" s="38"/>
      <c r="AB354" s="41" t="str">
        <f t="shared" si="5"/>
        <v/>
      </c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</row>
    <row r="355" spans="1:42" ht="18" customHeight="1" x14ac:dyDescent="0.3">
      <c r="A355" s="32"/>
      <c r="B355" s="32"/>
      <c r="C355" s="32"/>
      <c r="D355" s="32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4"/>
      <c r="X355" s="33"/>
      <c r="Y355" s="35"/>
      <c r="Z355" s="32"/>
      <c r="AA355" s="32"/>
      <c r="AB355" s="36" t="str">
        <f t="shared" si="5"/>
        <v/>
      </c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</row>
    <row r="356" spans="1:42" ht="18" customHeight="1" x14ac:dyDescent="0.3">
      <c r="A356" s="38"/>
      <c r="B356" s="38"/>
      <c r="C356" s="38"/>
      <c r="D356" s="38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4"/>
      <c r="X356" s="39"/>
      <c r="Y356" s="40"/>
      <c r="Z356" s="38"/>
      <c r="AA356" s="38"/>
      <c r="AB356" s="41" t="str">
        <f t="shared" si="5"/>
        <v/>
      </c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</row>
    <row r="357" spans="1:42" ht="18" customHeight="1" x14ac:dyDescent="0.3">
      <c r="A357" s="32"/>
      <c r="B357" s="32"/>
      <c r="C357" s="32"/>
      <c r="D357" s="32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4"/>
      <c r="X357" s="33"/>
      <c r="Y357" s="35"/>
      <c r="Z357" s="32"/>
      <c r="AA357" s="32"/>
      <c r="AB357" s="36" t="str">
        <f t="shared" si="5"/>
        <v/>
      </c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</row>
    <row r="358" spans="1:42" ht="18" customHeight="1" x14ac:dyDescent="0.3">
      <c r="A358" s="38"/>
      <c r="B358" s="38"/>
      <c r="C358" s="38"/>
      <c r="D358" s="38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4"/>
      <c r="X358" s="39"/>
      <c r="Y358" s="40"/>
      <c r="Z358" s="38"/>
      <c r="AA358" s="38"/>
      <c r="AB358" s="41" t="str">
        <f t="shared" si="5"/>
        <v/>
      </c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</row>
    <row r="359" spans="1:42" ht="18" customHeight="1" x14ac:dyDescent="0.3">
      <c r="A359" s="32"/>
      <c r="B359" s="32"/>
      <c r="C359" s="32"/>
      <c r="D359" s="32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4"/>
      <c r="X359" s="33"/>
      <c r="Y359" s="35"/>
      <c r="Z359" s="32"/>
      <c r="AA359" s="32"/>
      <c r="AB359" s="36" t="str">
        <f t="shared" si="5"/>
        <v/>
      </c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</row>
    <row r="360" spans="1:42" ht="18" customHeight="1" x14ac:dyDescent="0.3">
      <c r="A360" s="38"/>
      <c r="B360" s="38"/>
      <c r="C360" s="38"/>
      <c r="D360" s="38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4"/>
      <c r="X360" s="39"/>
      <c r="Y360" s="40"/>
      <c r="Z360" s="38"/>
      <c r="AA360" s="38"/>
      <c r="AB360" s="41" t="str">
        <f t="shared" si="5"/>
        <v/>
      </c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</row>
    <row r="361" spans="1:42" ht="18" customHeight="1" x14ac:dyDescent="0.3">
      <c r="A361" s="32"/>
      <c r="B361" s="32"/>
      <c r="C361" s="32"/>
      <c r="D361" s="32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4"/>
      <c r="X361" s="33"/>
      <c r="Y361" s="35"/>
      <c r="Z361" s="32"/>
      <c r="AA361" s="32"/>
      <c r="AB361" s="36" t="str">
        <f t="shared" si="5"/>
        <v/>
      </c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</row>
    <row r="362" spans="1:42" ht="18" customHeight="1" x14ac:dyDescent="0.3">
      <c r="A362" s="38"/>
      <c r="B362" s="38"/>
      <c r="C362" s="38"/>
      <c r="D362" s="38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4"/>
      <c r="X362" s="39"/>
      <c r="Y362" s="40"/>
      <c r="Z362" s="38"/>
      <c r="AA362" s="38"/>
      <c r="AB362" s="41" t="str">
        <f t="shared" si="5"/>
        <v/>
      </c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</row>
    <row r="363" spans="1:42" ht="18" customHeight="1" x14ac:dyDescent="0.3">
      <c r="A363" s="32"/>
      <c r="B363" s="32"/>
      <c r="C363" s="32"/>
      <c r="D363" s="32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4"/>
      <c r="X363" s="33"/>
      <c r="Y363" s="35"/>
      <c r="Z363" s="32"/>
      <c r="AA363" s="32"/>
      <c r="AB363" s="36" t="str">
        <f t="shared" si="5"/>
        <v/>
      </c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</row>
    <row r="364" spans="1:42" ht="18" customHeight="1" x14ac:dyDescent="0.3">
      <c r="A364" s="38"/>
      <c r="B364" s="38"/>
      <c r="C364" s="38"/>
      <c r="D364" s="38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4"/>
      <c r="X364" s="39"/>
      <c r="Y364" s="40"/>
      <c r="Z364" s="38"/>
      <c r="AA364" s="38"/>
      <c r="AB364" s="41" t="str">
        <f t="shared" si="5"/>
        <v/>
      </c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</row>
    <row r="365" spans="1:42" ht="18" customHeight="1" x14ac:dyDescent="0.3">
      <c r="A365" s="32"/>
      <c r="B365" s="32"/>
      <c r="C365" s="32"/>
      <c r="D365" s="32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4"/>
      <c r="X365" s="33"/>
      <c r="Y365" s="35"/>
      <c r="Z365" s="32"/>
      <c r="AA365" s="32"/>
      <c r="AB365" s="36" t="str">
        <f t="shared" si="5"/>
        <v/>
      </c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</row>
    <row r="366" spans="1:42" ht="18" customHeight="1" x14ac:dyDescent="0.3">
      <c r="A366" s="38"/>
      <c r="B366" s="38"/>
      <c r="C366" s="38"/>
      <c r="D366" s="38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4"/>
      <c r="X366" s="39"/>
      <c r="Y366" s="40"/>
      <c r="Z366" s="38"/>
      <c r="AA366" s="38"/>
      <c r="AB366" s="41" t="str">
        <f t="shared" si="5"/>
        <v/>
      </c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</row>
    <row r="367" spans="1:42" ht="18" customHeight="1" x14ac:dyDescent="0.3">
      <c r="A367" s="32"/>
      <c r="B367" s="32"/>
      <c r="C367" s="32"/>
      <c r="D367" s="32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4"/>
      <c r="X367" s="33"/>
      <c r="Y367" s="35"/>
      <c r="Z367" s="32"/>
      <c r="AA367" s="32"/>
      <c r="AB367" s="36" t="str">
        <f t="shared" si="5"/>
        <v/>
      </c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</row>
    <row r="368" spans="1:42" ht="18" customHeight="1" x14ac:dyDescent="0.3">
      <c r="A368" s="38"/>
      <c r="B368" s="38"/>
      <c r="C368" s="38"/>
      <c r="D368" s="38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4"/>
      <c r="X368" s="39"/>
      <c r="Y368" s="40"/>
      <c r="Z368" s="38"/>
      <c r="AA368" s="38"/>
      <c r="AB368" s="41" t="str">
        <f t="shared" si="5"/>
        <v/>
      </c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</row>
    <row r="369" spans="1:42" ht="18" customHeight="1" x14ac:dyDescent="0.3">
      <c r="A369" s="32"/>
      <c r="B369" s="32"/>
      <c r="C369" s="32"/>
      <c r="D369" s="32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4"/>
      <c r="X369" s="33"/>
      <c r="Y369" s="35"/>
      <c r="Z369" s="32"/>
      <c r="AA369" s="32"/>
      <c r="AB369" s="36" t="str">
        <f t="shared" si="5"/>
        <v/>
      </c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</row>
    <row r="370" spans="1:42" ht="18" customHeight="1" x14ac:dyDescent="0.3">
      <c r="A370" s="38"/>
      <c r="B370" s="38"/>
      <c r="C370" s="38"/>
      <c r="D370" s="38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4"/>
      <c r="X370" s="39"/>
      <c r="Y370" s="40"/>
      <c r="Z370" s="38"/>
      <c r="AA370" s="38"/>
      <c r="AB370" s="41" t="str">
        <f t="shared" si="5"/>
        <v/>
      </c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</row>
    <row r="371" spans="1:42" ht="18" customHeight="1" x14ac:dyDescent="0.3">
      <c r="A371" s="32"/>
      <c r="B371" s="32"/>
      <c r="C371" s="32"/>
      <c r="D371" s="32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4"/>
      <c r="X371" s="33"/>
      <c r="Y371" s="35"/>
      <c r="Z371" s="32"/>
      <c r="AA371" s="32"/>
      <c r="AB371" s="36" t="str">
        <f t="shared" si="5"/>
        <v/>
      </c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</row>
    <row r="372" spans="1:42" ht="18" customHeight="1" x14ac:dyDescent="0.3">
      <c r="A372" s="38"/>
      <c r="B372" s="38"/>
      <c r="C372" s="38"/>
      <c r="D372" s="38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4"/>
      <c r="X372" s="39"/>
      <c r="Y372" s="40"/>
      <c r="Z372" s="38"/>
      <c r="AA372" s="38"/>
      <c r="AB372" s="41" t="str">
        <f t="shared" si="5"/>
        <v/>
      </c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</row>
    <row r="373" spans="1:42" ht="18" customHeight="1" x14ac:dyDescent="0.3">
      <c r="A373" s="32"/>
      <c r="B373" s="32"/>
      <c r="C373" s="32"/>
      <c r="D373" s="32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4"/>
      <c r="X373" s="33"/>
      <c r="Y373" s="35"/>
      <c r="Z373" s="32"/>
      <c r="AA373" s="32"/>
      <c r="AB373" s="36" t="str">
        <f t="shared" si="5"/>
        <v/>
      </c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</row>
    <row r="374" spans="1:42" ht="18" customHeight="1" x14ac:dyDescent="0.3">
      <c r="A374" s="38"/>
      <c r="B374" s="38"/>
      <c r="C374" s="38"/>
      <c r="D374" s="38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4"/>
      <c r="X374" s="39"/>
      <c r="Y374" s="40"/>
      <c r="Z374" s="38"/>
      <c r="AA374" s="38"/>
      <c r="AB374" s="41" t="str">
        <f t="shared" si="5"/>
        <v/>
      </c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</row>
    <row r="375" spans="1:42" ht="18" customHeight="1" x14ac:dyDescent="0.3">
      <c r="A375" s="32"/>
      <c r="B375" s="32"/>
      <c r="C375" s="32"/>
      <c r="D375" s="32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4"/>
      <c r="X375" s="33"/>
      <c r="Y375" s="35"/>
      <c r="Z375" s="32"/>
      <c r="AA375" s="32"/>
      <c r="AB375" s="36" t="str">
        <f t="shared" si="5"/>
        <v/>
      </c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</row>
    <row r="376" spans="1:42" ht="18" customHeight="1" x14ac:dyDescent="0.3">
      <c r="A376" s="38"/>
      <c r="B376" s="38"/>
      <c r="C376" s="38"/>
      <c r="D376" s="38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4"/>
      <c r="X376" s="39"/>
      <c r="Y376" s="40"/>
      <c r="Z376" s="38"/>
      <c r="AA376" s="38"/>
      <c r="AB376" s="41" t="str">
        <f t="shared" si="5"/>
        <v/>
      </c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</row>
    <row r="377" spans="1:42" ht="18" customHeight="1" x14ac:dyDescent="0.3">
      <c r="A377" s="32"/>
      <c r="B377" s="32"/>
      <c r="C377" s="32"/>
      <c r="D377" s="32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4"/>
      <c r="X377" s="33"/>
      <c r="Y377" s="35"/>
      <c r="Z377" s="32"/>
      <c r="AA377" s="32"/>
      <c r="AB377" s="36" t="str">
        <f t="shared" si="5"/>
        <v/>
      </c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</row>
    <row r="378" spans="1:42" ht="18" customHeight="1" x14ac:dyDescent="0.3">
      <c r="A378" s="38"/>
      <c r="B378" s="38"/>
      <c r="C378" s="38"/>
      <c r="D378" s="38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4"/>
      <c r="X378" s="39"/>
      <c r="Y378" s="40"/>
      <c r="Z378" s="38"/>
      <c r="AA378" s="38"/>
      <c r="AB378" s="41" t="str">
        <f t="shared" si="5"/>
        <v/>
      </c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</row>
    <row r="379" spans="1:42" ht="18" customHeight="1" x14ac:dyDescent="0.3">
      <c r="A379" s="32"/>
      <c r="B379" s="32"/>
      <c r="C379" s="32"/>
      <c r="D379" s="32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4"/>
      <c r="X379" s="33"/>
      <c r="Y379" s="35"/>
      <c r="Z379" s="32"/>
      <c r="AA379" s="32"/>
      <c r="AB379" s="36" t="str">
        <f t="shared" si="5"/>
        <v/>
      </c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</row>
    <row r="380" spans="1:42" ht="18" customHeight="1" x14ac:dyDescent="0.3">
      <c r="A380" s="38"/>
      <c r="B380" s="38"/>
      <c r="C380" s="38"/>
      <c r="D380" s="38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4"/>
      <c r="X380" s="39"/>
      <c r="Y380" s="40"/>
      <c r="Z380" s="38"/>
      <c r="AA380" s="38"/>
      <c r="AB380" s="41" t="str">
        <f t="shared" si="5"/>
        <v/>
      </c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</row>
    <row r="381" spans="1:42" ht="18" customHeight="1" x14ac:dyDescent="0.3">
      <c r="A381" s="32"/>
      <c r="B381" s="32"/>
      <c r="C381" s="32"/>
      <c r="D381" s="32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4"/>
      <c r="X381" s="33"/>
      <c r="Y381" s="35"/>
      <c r="Z381" s="32"/>
      <c r="AA381" s="32"/>
      <c r="AB381" s="36" t="str">
        <f t="shared" si="5"/>
        <v/>
      </c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</row>
    <row r="382" spans="1:42" ht="18" customHeight="1" x14ac:dyDescent="0.3">
      <c r="A382" s="38"/>
      <c r="B382" s="38"/>
      <c r="C382" s="38"/>
      <c r="D382" s="38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4"/>
      <c r="X382" s="39"/>
      <c r="Y382" s="40"/>
      <c r="Z382" s="38"/>
      <c r="AA382" s="38"/>
      <c r="AB382" s="41" t="str">
        <f t="shared" si="5"/>
        <v/>
      </c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</row>
    <row r="383" spans="1:42" ht="18" customHeight="1" x14ac:dyDescent="0.3">
      <c r="A383" s="32"/>
      <c r="B383" s="32"/>
      <c r="C383" s="32"/>
      <c r="D383" s="32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4"/>
      <c r="X383" s="33"/>
      <c r="Y383" s="35"/>
      <c r="Z383" s="32"/>
      <c r="AA383" s="32"/>
      <c r="AB383" s="36" t="str">
        <f t="shared" si="5"/>
        <v/>
      </c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</row>
    <row r="384" spans="1:42" ht="18" customHeight="1" x14ac:dyDescent="0.3">
      <c r="A384" s="38"/>
      <c r="B384" s="38"/>
      <c r="C384" s="38"/>
      <c r="D384" s="38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4"/>
      <c r="X384" s="39"/>
      <c r="Y384" s="40"/>
      <c r="Z384" s="38"/>
      <c r="AA384" s="38"/>
      <c r="AB384" s="41" t="str">
        <f t="shared" si="5"/>
        <v/>
      </c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</row>
    <row r="385" spans="1:42" ht="18" customHeight="1" x14ac:dyDescent="0.3">
      <c r="A385" s="32"/>
      <c r="B385" s="32"/>
      <c r="C385" s="32"/>
      <c r="D385" s="32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4"/>
      <c r="X385" s="33"/>
      <c r="Y385" s="35"/>
      <c r="Z385" s="32"/>
      <c r="AA385" s="32"/>
      <c r="AB385" s="36" t="str">
        <f t="shared" si="5"/>
        <v/>
      </c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</row>
    <row r="386" spans="1:42" ht="18" customHeight="1" x14ac:dyDescent="0.3">
      <c r="A386" s="38"/>
      <c r="B386" s="38"/>
      <c r="C386" s="38"/>
      <c r="D386" s="38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4"/>
      <c r="X386" s="39"/>
      <c r="Y386" s="40"/>
      <c r="Z386" s="38"/>
      <c r="AA386" s="38"/>
      <c r="AB386" s="41" t="str">
        <f t="shared" si="5"/>
        <v/>
      </c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</row>
    <row r="387" spans="1:42" ht="18" customHeight="1" x14ac:dyDescent="0.3">
      <c r="A387" s="32"/>
      <c r="B387" s="32"/>
      <c r="C387" s="32"/>
      <c r="D387" s="32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4"/>
      <c r="X387" s="33"/>
      <c r="Y387" s="35"/>
      <c r="Z387" s="32"/>
      <c r="AA387" s="32"/>
      <c r="AB387" s="36" t="str">
        <f t="shared" si="5"/>
        <v/>
      </c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</row>
    <row r="388" spans="1:42" ht="18" customHeight="1" x14ac:dyDescent="0.3">
      <c r="A388" s="38"/>
      <c r="B388" s="38"/>
      <c r="C388" s="38"/>
      <c r="D388" s="38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4"/>
      <c r="X388" s="39"/>
      <c r="Y388" s="40"/>
      <c r="Z388" s="38"/>
      <c r="AA388" s="38"/>
      <c r="AB388" s="41" t="str">
        <f t="shared" si="5"/>
        <v/>
      </c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</row>
    <row r="389" spans="1:42" ht="18" customHeight="1" x14ac:dyDescent="0.3">
      <c r="A389" s="32"/>
      <c r="B389" s="32"/>
      <c r="C389" s="32"/>
      <c r="D389" s="32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4"/>
      <c r="X389" s="33"/>
      <c r="Y389" s="35"/>
      <c r="Z389" s="32"/>
      <c r="AA389" s="32"/>
      <c r="AB389" s="36" t="str">
        <f t="shared" si="5"/>
        <v/>
      </c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</row>
    <row r="390" spans="1:42" ht="18" customHeight="1" x14ac:dyDescent="0.3">
      <c r="A390" s="38"/>
      <c r="B390" s="38"/>
      <c r="C390" s="38"/>
      <c r="D390" s="38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4"/>
      <c r="X390" s="39"/>
      <c r="Y390" s="40"/>
      <c r="Z390" s="38"/>
      <c r="AA390" s="38"/>
      <c r="AB390" s="41" t="str">
        <f t="shared" ref="AB390:AB453" si="6">IF(A390="","",IF(COUNTIF($A$6:$A$504,A390)&gt;1,"⚠ Duplicate",""))</f>
        <v/>
      </c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</row>
    <row r="391" spans="1:42" ht="18" customHeight="1" x14ac:dyDescent="0.3">
      <c r="A391" s="32"/>
      <c r="B391" s="32"/>
      <c r="C391" s="32"/>
      <c r="D391" s="32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4"/>
      <c r="X391" s="33"/>
      <c r="Y391" s="35"/>
      <c r="Z391" s="32"/>
      <c r="AA391" s="32"/>
      <c r="AB391" s="36" t="str">
        <f t="shared" si="6"/>
        <v/>
      </c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</row>
    <row r="392" spans="1:42" ht="18" customHeight="1" x14ac:dyDescent="0.3">
      <c r="A392" s="38"/>
      <c r="B392" s="38"/>
      <c r="C392" s="38"/>
      <c r="D392" s="38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4"/>
      <c r="X392" s="39"/>
      <c r="Y392" s="40"/>
      <c r="Z392" s="38"/>
      <c r="AA392" s="38"/>
      <c r="AB392" s="41" t="str">
        <f t="shared" si="6"/>
        <v/>
      </c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</row>
    <row r="393" spans="1:42" ht="18" customHeight="1" x14ac:dyDescent="0.3">
      <c r="A393" s="32"/>
      <c r="B393" s="32"/>
      <c r="C393" s="32"/>
      <c r="D393" s="32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4"/>
      <c r="X393" s="33"/>
      <c r="Y393" s="35"/>
      <c r="Z393" s="32"/>
      <c r="AA393" s="32"/>
      <c r="AB393" s="36" t="str">
        <f t="shared" si="6"/>
        <v/>
      </c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</row>
    <row r="394" spans="1:42" ht="18" customHeight="1" x14ac:dyDescent="0.3">
      <c r="A394" s="38"/>
      <c r="B394" s="38"/>
      <c r="C394" s="38"/>
      <c r="D394" s="38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4"/>
      <c r="X394" s="39"/>
      <c r="Y394" s="40"/>
      <c r="Z394" s="38"/>
      <c r="AA394" s="38"/>
      <c r="AB394" s="41" t="str">
        <f t="shared" si="6"/>
        <v/>
      </c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</row>
    <row r="395" spans="1:42" ht="18" customHeight="1" x14ac:dyDescent="0.3">
      <c r="A395" s="32"/>
      <c r="B395" s="32"/>
      <c r="C395" s="32"/>
      <c r="D395" s="32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4"/>
      <c r="X395" s="33"/>
      <c r="Y395" s="35"/>
      <c r="Z395" s="32"/>
      <c r="AA395" s="32"/>
      <c r="AB395" s="36" t="str">
        <f t="shared" si="6"/>
        <v/>
      </c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</row>
    <row r="396" spans="1:42" ht="18" customHeight="1" x14ac:dyDescent="0.3">
      <c r="A396" s="38"/>
      <c r="B396" s="38"/>
      <c r="C396" s="38"/>
      <c r="D396" s="38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4"/>
      <c r="X396" s="39"/>
      <c r="Y396" s="40"/>
      <c r="Z396" s="38"/>
      <c r="AA396" s="38"/>
      <c r="AB396" s="41" t="str">
        <f t="shared" si="6"/>
        <v/>
      </c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</row>
    <row r="397" spans="1:42" ht="18" customHeight="1" x14ac:dyDescent="0.3">
      <c r="A397" s="32"/>
      <c r="B397" s="32"/>
      <c r="C397" s="32"/>
      <c r="D397" s="32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4"/>
      <c r="X397" s="33"/>
      <c r="Y397" s="35"/>
      <c r="Z397" s="32"/>
      <c r="AA397" s="32"/>
      <c r="AB397" s="36" t="str">
        <f t="shared" si="6"/>
        <v/>
      </c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</row>
    <row r="398" spans="1:42" ht="18" customHeight="1" x14ac:dyDescent="0.3">
      <c r="A398" s="38"/>
      <c r="B398" s="38"/>
      <c r="C398" s="38"/>
      <c r="D398" s="38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4"/>
      <c r="X398" s="39"/>
      <c r="Y398" s="40"/>
      <c r="Z398" s="38"/>
      <c r="AA398" s="38"/>
      <c r="AB398" s="41" t="str">
        <f t="shared" si="6"/>
        <v/>
      </c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</row>
    <row r="399" spans="1:42" ht="18" customHeight="1" x14ac:dyDescent="0.3">
      <c r="A399" s="32"/>
      <c r="B399" s="32"/>
      <c r="C399" s="32"/>
      <c r="D399" s="32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4"/>
      <c r="X399" s="33"/>
      <c r="Y399" s="35"/>
      <c r="Z399" s="32"/>
      <c r="AA399" s="32"/>
      <c r="AB399" s="36" t="str">
        <f t="shared" si="6"/>
        <v/>
      </c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</row>
    <row r="400" spans="1:42" ht="18" customHeight="1" x14ac:dyDescent="0.3">
      <c r="A400" s="38"/>
      <c r="B400" s="38"/>
      <c r="C400" s="38"/>
      <c r="D400" s="38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4"/>
      <c r="X400" s="39"/>
      <c r="Y400" s="40"/>
      <c r="Z400" s="38"/>
      <c r="AA400" s="38"/>
      <c r="AB400" s="41" t="str">
        <f t="shared" si="6"/>
        <v/>
      </c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</row>
    <row r="401" spans="1:42" ht="18" customHeight="1" x14ac:dyDescent="0.3">
      <c r="A401" s="32"/>
      <c r="B401" s="32"/>
      <c r="C401" s="32"/>
      <c r="D401" s="32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4"/>
      <c r="X401" s="33"/>
      <c r="Y401" s="35"/>
      <c r="Z401" s="32"/>
      <c r="AA401" s="32"/>
      <c r="AB401" s="36" t="str">
        <f t="shared" si="6"/>
        <v/>
      </c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</row>
    <row r="402" spans="1:42" ht="18" customHeight="1" x14ac:dyDescent="0.3">
      <c r="A402" s="38"/>
      <c r="B402" s="38"/>
      <c r="C402" s="38"/>
      <c r="D402" s="38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4"/>
      <c r="X402" s="39"/>
      <c r="Y402" s="40"/>
      <c r="Z402" s="38"/>
      <c r="AA402" s="38"/>
      <c r="AB402" s="41" t="str">
        <f t="shared" si="6"/>
        <v/>
      </c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</row>
    <row r="403" spans="1:42" ht="18" customHeight="1" x14ac:dyDescent="0.3">
      <c r="A403" s="32"/>
      <c r="B403" s="32"/>
      <c r="C403" s="32"/>
      <c r="D403" s="32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4"/>
      <c r="X403" s="33"/>
      <c r="Y403" s="35"/>
      <c r="Z403" s="32"/>
      <c r="AA403" s="32"/>
      <c r="AB403" s="36" t="str">
        <f t="shared" si="6"/>
        <v/>
      </c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</row>
    <row r="404" spans="1:42" ht="18" customHeight="1" x14ac:dyDescent="0.3">
      <c r="A404" s="38"/>
      <c r="B404" s="38"/>
      <c r="C404" s="38"/>
      <c r="D404" s="38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4"/>
      <c r="X404" s="39"/>
      <c r="Y404" s="40"/>
      <c r="Z404" s="38"/>
      <c r="AA404" s="38"/>
      <c r="AB404" s="41" t="str">
        <f t="shared" si="6"/>
        <v/>
      </c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</row>
    <row r="405" spans="1:42" ht="18" customHeight="1" x14ac:dyDescent="0.3">
      <c r="A405" s="32"/>
      <c r="B405" s="32"/>
      <c r="C405" s="32"/>
      <c r="D405" s="32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4"/>
      <c r="X405" s="33"/>
      <c r="Y405" s="35"/>
      <c r="Z405" s="32"/>
      <c r="AA405" s="32"/>
      <c r="AB405" s="36" t="str">
        <f t="shared" si="6"/>
        <v/>
      </c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</row>
    <row r="406" spans="1:42" ht="18" customHeight="1" x14ac:dyDescent="0.3">
      <c r="A406" s="38"/>
      <c r="B406" s="38"/>
      <c r="C406" s="38"/>
      <c r="D406" s="38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4"/>
      <c r="X406" s="39"/>
      <c r="Y406" s="40"/>
      <c r="Z406" s="38"/>
      <c r="AA406" s="38"/>
      <c r="AB406" s="41" t="str">
        <f t="shared" si="6"/>
        <v/>
      </c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</row>
    <row r="407" spans="1:42" ht="18" customHeight="1" x14ac:dyDescent="0.3">
      <c r="A407" s="32"/>
      <c r="B407" s="32"/>
      <c r="C407" s="32"/>
      <c r="D407" s="32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4"/>
      <c r="X407" s="33"/>
      <c r="Y407" s="35"/>
      <c r="Z407" s="32"/>
      <c r="AA407" s="32"/>
      <c r="AB407" s="36" t="str">
        <f t="shared" si="6"/>
        <v/>
      </c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</row>
    <row r="408" spans="1:42" ht="18" customHeight="1" x14ac:dyDescent="0.3">
      <c r="A408" s="38"/>
      <c r="B408" s="38"/>
      <c r="C408" s="38"/>
      <c r="D408" s="38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4"/>
      <c r="X408" s="39"/>
      <c r="Y408" s="40"/>
      <c r="Z408" s="38"/>
      <c r="AA408" s="38"/>
      <c r="AB408" s="41" t="str">
        <f t="shared" si="6"/>
        <v/>
      </c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</row>
    <row r="409" spans="1:42" ht="18" customHeight="1" x14ac:dyDescent="0.3">
      <c r="A409" s="32"/>
      <c r="B409" s="32"/>
      <c r="C409" s="32"/>
      <c r="D409" s="32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4"/>
      <c r="X409" s="33"/>
      <c r="Y409" s="35"/>
      <c r="Z409" s="32"/>
      <c r="AA409" s="32"/>
      <c r="AB409" s="36" t="str">
        <f t="shared" si="6"/>
        <v/>
      </c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</row>
    <row r="410" spans="1:42" ht="18" customHeight="1" x14ac:dyDescent="0.3">
      <c r="A410" s="38"/>
      <c r="B410" s="38"/>
      <c r="C410" s="38"/>
      <c r="D410" s="38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4"/>
      <c r="X410" s="39"/>
      <c r="Y410" s="40"/>
      <c r="Z410" s="38"/>
      <c r="AA410" s="38"/>
      <c r="AB410" s="41" t="str">
        <f t="shared" si="6"/>
        <v/>
      </c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</row>
    <row r="411" spans="1:42" ht="18" customHeight="1" x14ac:dyDescent="0.3">
      <c r="A411" s="32"/>
      <c r="B411" s="32"/>
      <c r="C411" s="32"/>
      <c r="D411" s="32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4"/>
      <c r="X411" s="33"/>
      <c r="Y411" s="35"/>
      <c r="Z411" s="32"/>
      <c r="AA411" s="32"/>
      <c r="AB411" s="36" t="str">
        <f t="shared" si="6"/>
        <v/>
      </c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</row>
    <row r="412" spans="1:42" ht="18" customHeight="1" x14ac:dyDescent="0.3">
      <c r="A412" s="38"/>
      <c r="B412" s="38"/>
      <c r="C412" s="38"/>
      <c r="D412" s="38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4"/>
      <c r="X412" s="39"/>
      <c r="Y412" s="40"/>
      <c r="Z412" s="38"/>
      <c r="AA412" s="38"/>
      <c r="AB412" s="41" t="str">
        <f t="shared" si="6"/>
        <v/>
      </c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</row>
    <row r="413" spans="1:42" ht="18" customHeight="1" x14ac:dyDescent="0.3">
      <c r="A413" s="32"/>
      <c r="B413" s="32"/>
      <c r="C413" s="32"/>
      <c r="D413" s="32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4"/>
      <c r="X413" s="33"/>
      <c r="Y413" s="35"/>
      <c r="Z413" s="32"/>
      <c r="AA413" s="32"/>
      <c r="AB413" s="36" t="str">
        <f t="shared" si="6"/>
        <v/>
      </c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</row>
    <row r="414" spans="1:42" ht="18" customHeight="1" x14ac:dyDescent="0.3">
      <c r="A414" s="38"/>
      <c r="B414" s="38"/>
      <c r="C414" s="38"/>
      <c r="D414" s="38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4"/>
      <c r="X414" s="39"/>
      <c r="Y414" s="40"/>
      <c r="Z414" s="38"/>
      <c r="AA414" s="38"/>
      <c r="AB414" s="41" t="str">
        <f t="shared" si="6"/>
        <v/>
      </c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</row>
    <row r="415" spans="1:42" ht="18" customHeight="1" x14ac:dyDescent="0.3">
      <c r="A415" s="32"/>
      <c r="B415" s="32"/>
      <c r="C415" s="32"/>
      <c r="D415" s="32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4"/>
      <c r="X415" s="33"/>
      <c r="Y415" s="35"/>
      <c r="Z415" s="32"/>
      <c r="AA415" s="32"/>
      <c r="AB415" s="36" t="str">
        <f t="shared" si="6"/>
        <v/>
      </c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</row>
    <row r="416" spans="1:42" ht="18" customHeight="1" x14ac:dyDescent="0.3">
      <c r="A416" s="38"/>
      <c r="B416" s="38"/>
      <c r="C416" s="38"/>
      <c r="D416" s="38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4"/>
      <c r="X416" s="39"/>
      <c r="Y416" s="40"/>
      <c r="Z416" s="38"/>
      <c r="AA416" s="38"/>
      <c r="AB416" s="41" t="str">
        <f t="shared" si="6"/>
        <v/>
      </c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</row>
    <row r="417" spans="1:42" ht="18" customHeight="1" x14ac:dyDescent="0.3">
      <c r="A417" s="32"/>
      <c r="B417" s="32"/>
      <c r="C417" s="32"/>
      <c r="D417" s="32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4"/>
      <c r="X417" s="33"/>
      <c r="Y417" s="35"/>
      <c r="Z417" s="32"/>
      <c r="AA417" s="32"/>
      <c r="AB417" s="36" t="str">
        <f t="shared" si="6"/>
        <v/>
      </c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</row>
    <row r="418" spans="1:42" ht="18" customHeight="1" x14ac:dyDescent="0.3">
      <c r="A418" s="38"/>
      <c r="B418" s="38"/>
      <c r="C418" s="38"/>
      <c r="D418" s="38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4"/>
      <c r="X418" s="39"/>
      <c r="Y418" s="40"/>
      <c r="Z418" s="38"/>
      <c r="AA418" s="38"/>
      <c r="AB418" s="41" t="str">
        <f t="shared" si="6"/>
        <v/>
      </c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</row>
    <row r="419" spans="1:42" ht="18" customHeight="1" x14ac:dyDescent="0.3">
      <c r="A419" s="32"/>
      <c r="B419" s="32"/>
      <c r="C419" s="32"/>
      <c r="D419" s="32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4"/>
      <c r="X419" s="33"/>
      <c r="Y419" s="35"/>
      <c r="Z419" s="32"/>
      <c r="AA419" s="32"/>
      <c r="AB419" s="36" t="str">
        <f t="shared" si="6"/>
        <v/>
      </c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</row>
    <row r="420" spans="1:42" ht="18" customHeight="1" x14ac:dyDescent="0.3">
      <c r="A420" s="38"/>
      <c r="B420" s="38"/>
      <c r="C420" s="38"/>
      <c r="D420" s="38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4"/>
      <c r="X420" s="39"/>
      <c r="Y420" s="40"/>
      <c r="Z420" s="38"/>
      <c r="AA420" s="38"/>
      <c r="AB420" s="41" t="str">
        <f t="shared" si="6"/>
        <v/>
      </c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</row>
    <row r="421" spans="1:42" ht="18" customHeight="1" x14ac:dyDescent="0.3">
      <c r="A421" s="32"/>
      <c r="B421" s="32"/>
      <c r="C421" s="32"/>
      <c r="D421" s="32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4"/>
      <c r="X421" s="33"/>
      <c r="Y421" s="35"/>
      <c r="Z421" s="32"/>
      <c r="AA421" s="32"/>
      <c r="AB421" s="36" t="str">
        <f t="shared" si="6"/>
        <v/>
      </c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</row>
    <row r="422" spans="1:42" ht="18" customHeight="1" x14ac:dyDescent="0.3">
      <c r="A422" s="38"/>
      <c r="B422" s="38"/>
      <c r="C422" s="38"/>
      <c r="D422" s="38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4"/>
      <c r="X422" s="39"/>
      <c r="Y422" s="40"/>
      <c r="Z422" s="38"/>
      <c r="AA422" s="38"/>
      <c r="AB422" s="41" t="str">
        <f t="shared" si="6"/>
        <v/>
      </c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</row>
    <row r="423" spans="1:42" ht="18" customHeight="1" x14ac:dyDescent="0.3">
      <c r="A423" s="32"/>
      <c r="B423" s="32"/>
      <c r="C423" s="32"/>
      <c r="D423" s="32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4"/>
      <c r="X423" s="33"/>
      <c r="Y423" s="35"/>
      <c r="Z423" s="32"/>
      <c r="AA423" s="32"/>
      <c r="AB423" s="36" t="str">
        <f t="shared" si="6"/>
        <v/>
      </c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</row>
    <row r="424" spans="1:42" ht="18" customHeight="1" x14ac:dyDescent="0.3">
      <c r="A424" s="38"/>
      <c r="B424" s="38"/>
      <c r="C424" s="38"/>
      <c r="D424" s="38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4"/>
      <c r="X424" s="39"/>
      <c r="Y424" s="40"/>
      <c r="Z424" s="38"/>
      <c r="AA424" s="38"/>
      <c r="AB424" s="41" t="str">
        <f t="shared" si="6"/>
        <v/>
      </c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</row>
    <row r="425" spans="1:42" ht="18" customHeight="1" x14ac:dyDescent="0.3">
      <c r="A425" s="32"/>
      <c r="B425" s="32"/>
      <c r="C425" s="32"/>
      <c r="D425" s="32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4"/>
      <c r="X425" s="33"/>
      <c r="Y425" s="35"/>
      <c r="Z425" s="32"/>
      <c r="AA425" s="32"/>
      <c r="AB425" s="36" t="str">
        <f t="shared" si="6"/>
        <v/>
      </c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</row>
    <row r="426" spans="1:42" ht="18" customHeight="1" x14ac:dyDescent="0.3">
      <c r="A426" s="38"/>
      <c r="B426" s="38"/>
      <c r="C426" s="38"/>
      <c r="D426" s="38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4"/>
      <c r="X426" s="39"/>
      <c r="Y426" s="40"/>
      <c r="Z426" s="38"/>
      <c r="AA426" s="38"/>
      <c r="AB426" s="41" t="str">
        <f t="shared" si="6"/>
        <v/>
      </c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</row>
    <row r="427" spans="1:42" ht="18" customHeight="1" x14ac:dyDescent="0.3">
      <c r="A427" s="32"/>
      <c r="B427" s="32"/>
      <c r="C427" s="32"/>
      <c r="D427" s="32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4"/>
      <c r="X427" s="33"/>
      <c r="Y427" s="35"/>
      <c r="Z427" s="32"/>
      <c r="AA427" s="32"/>
      <c r="AB427" s="36" t="str">
        <f t="shared" si="6"/>
        <v/>
      </c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</row>
    <row r="428" spans="1:42" ht="18" customHeight="1" x14ac:dyDescent="0.3">
      <c r="A428" s="38"/>
      <c r="B428" s="38"/>
      <c r="C428" s="38"/>
      <c r="D428" s="38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4"/>
      <c r="X428" s="39"/>
      <c r="Y428" s="40"/>
      <c r="Z428" s="38"/>
      <c r="AA428" s="38"/>
      <c r="AB428" s="41" t="str">
        <f t="shared" si="6"/>
        <v/>
      </c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</row>
    <row r="429" spans="1:42" ht="18" customHeight="1" x14ac:dyDescent="0.3">
      <c r="A429" s="32"/>
      <c r="B429" s="32"/>
      <c r="C429" s="32"/>
      <c r="D429" s="32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4"/>
      <c r="X429" s="33"/>
      <c r="Y429" s="35"/>
      <c r="Z429" s="32"/>
      <c r="AA429" s="32"/>
      <c r="AB429" s="36" t="str">
        <f t="shared" si="6"/>
        <v/>
      </c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</row>
    <row r="430" spans="1:42" ht="18" customHeight="1" x14ac:dyDescent="0.3">
      <c r="A430" s="38"/>
      <c r="B430" s="38"/>
      <c r="C430" s="38"/>
      <c r="D430" s="38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4"/>
      <c r="X430" s="39"/>
      <c r="Y430" s="40"/>
      <c r="Z430" s="38"/>
      <c r="AA430" s="38"/>
      <c r="AB430" s="41" t="str">
        <f t="shared" si="6"/>
        <v/>
      </c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</row>
    <row r="431" spans="1:42" ht="18" customHeight="1" x14ac:dyDescent="0.3">
      <c r="A431" s="32"/>
      <c r="B431" s="32"/>
      <c r="C431" s="32"/>
      <c r="D431" s="32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4"/>
      <c r="X431" s="33"/>
      <c r="Y431" s="35"/>
      <c r="Z431" s="32"/>
      <c r="AA431" s="32"/>
      <c r="AB431" s="36" t="str">
        <f t="shared" si="6"/>
        <v/>
      </c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</row>
    <row r="432" spans="1:42" ht="18" customHeight="1" x14ac:dyDescent="0.3">
      <c r="A432" s="38"/>
      <c r="B432" s="38"/>
      <c r="C432" s="38"/>
      <c r="D432" s="38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4"/>
      <c r="X432" s="39"/>
      <c r="Y432" s="40"/>
      <c r="Z432" s="38"/>
      <c r="AA432" s="38"/>
      <c r="AB432" s="41" t="str">
        <f t="shared" si="6"/>
        <v/>
      </c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</row>
    <row r="433" spans="1:42" ht="18" customHeight="1" x14ac:dyDescent="0.3">
      <c r="A433" s="32"/>
      <c r="B433" s="32"/>
      <c r="C433" s="32"/>
      <c r="D433" s="32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4"/>
      <c r="X433" s="33"/>
      <c r="Y433" s="35"/>
      <c r="Z433" s="32"/>
      <c r="AA433" s="32"/>
      <c r="AB433" s="36" t="str">
        <f t="shared" si="6"/>
        <v/>
      </c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</row>
    <row r="434" spans="1:42" ht="18" customHeight="1" x14ac:dyDescent="0.3">
      <c r="A434" s="38"/>
      <c r="B434" s="38"/>
      <c r="C434" s="38"/>
      <c r="D434" s="38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4"/>
      <c r="X434" s="39"/>
      <c r="Y434" s="40"/>
      <c r="Z434" s="38"/>
      <c r="AA434" s="38"/>
      <c r="AB434" s="41" t="str">
        <f t="shared" si="6"/>
        <v/>
      </c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</row>
    <row r="435" spans="1:42" ht="18" customHeight="1" x14ac:dyDescent="0.3">
      <c r="A435" s="32"/>
      <c r="B435" s="32"/>
      <c r="C435" s="32"/>
      <c r="D435" s="32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4"/>
      <c r="X435" s="33"/>
      <c r="Y435" s="35"/>
      <c r="Z435" s="32"/>
      <c r="AA435" s="32"/>
      <c r="AB435" s="36" t="str">
        <f t="shared" si="6"/>
        <v/>
      </c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</row>
    <row r="436" spans="1:42" ht="18" customHeight="1" x14ac:dyDescent="0.3">
      <c r="A436" s="38"/>
      <c r="B436" s="38"/>
      <c r="C436" s="38"/>
      <c r="D436" s="38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4"/>
      <c r="X436" s="39"/>
      <c r="Y436" s="40"/>
      <c r="Z436" s="38"/>
      <c r="AA436" s="38"/>
      <c r="AB436" s="41" t="str">
        <f t="shared" si="6"/>
        <v/>
      </c>
      <c r="AC436" s="42"/>
      <c r="AD436" s="42"/>
      <c r="AE436" s="42"/>
      <c r="AF436" s="42"/>
      <c r="AG436" s="42"/>
      <c r="AH436" s="42"/>
      <c r="AI436" s="42"/>
      <c r="AJ436" s="42"/>
      <c r="AK436" s="42"/>
      <c r="AL436" s="42"/>
      <c r="AM436" s="42"/>
      <c r="AN436" s="42"/>
      <c r="AO436" s="42"/>
      <c r="AP436" s="42"/>
    </row>
    <row r="437" spans="1:42" ht="18" customHeight="1" x14ac:dyDescent="0.3">
      <c r="A437" s="32"/>
      <c r="B437" s="32"/>
      <c r="C437" s="32"/>
      <c r="D437" s="32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4"/>
      <c r="X437" s="33"/>
      <c r="Y437" s="35"/>
      <c r="Z437" s="32"/>
      <c r="AA437" s="32"/>
      <c r="AB437" s="36" t="str">
        <f t="shared" si="6"/>
        <v/>
      </c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</row>
    <row r="438" spans="1:42" ht="18" customHeight="1" x14ac:dyDescent="0.3">
      <c r="A438" s="38"/>
      <c r="B438" s="38"/>
      <c r="C438" s="38"/>
      <c r="D438" s="38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4"/>
      <c r="X438" s="39"/>
      <c r="Y438" s="40"/>
      <c r="Z438" s="38"/>
      <c r="AA438" s="38"/>
      <c r="AB438" s="41" t="str">
        <f t="shared" si="6"/>
        <v/>
      </c>
      <c r="AC438" s="42"/>
      <c r="AD438" s="42"/>
      <c r="AE438" s="42"/>
      <c r="AF438" s="42"/>
      <c r="AG438" s="42"/>
      <c r="AH438" s="42"/>
      <c r="AI438" s="42"/>
      <c r="AJ438" s="42"/>
      <c r="AK438" s="42"/>
      <c r="AL438" s="42"/>
      <c r="AM438" s="42"/>
      <c r="AN438" s="42"/>
      <c r="AO438" s="42"/>
      <c r="AP438" s="42"/>
    </row>
    <row r="439" spans="1:42" ht="18" customHeight="1" x14ac:dyDescent="0.3">
      <c r="A439" s="32"/>
      <c r="B439" s="32"/>
      <c r="C439" s="32"/>
      <c r="D439" s="32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4"/>
      <c r="X439" s="33"/>
      <c r="Y439" s="35"/>
      <c r="Z439" s="32"/>
      <c r="AA439" s="32"/>
      <c r="AB439" s="36" t="str">
        <f t="shared" si="6"/>
        <v/>
      </c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</row>
    <row r="440" spans="1:42" ht="18" customHeight="1" x14ac:dyDescent="0.3">
      <c r="A440" s="38"/>
      <c r="B440" s="38"/>
      <c r="C440" s="38"/>
      <c r="D440" s="38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4"/>
      <c r="X440" s="39"/>
      <c r="Y440" s="40"/>
      <c r="Z440" s="38"/>
      <c r="AA440" s="38"/>
      <c r="AB440" s="41" t="str">
        <f t="shared" si="6"/>
        <v/>
      </c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</row>
    <row r="441" spans="1:42" ht="18" customHeight="1" x14ac:dyDescent="0.3">
      <c r="A441" s="32"/>
      <c r="B441" s="32"/>
      <c r="C441" s="32"/>
      <c r="D441" s="32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4"/>
      <c r="X441" s="33"/>
      <c r="Y441" s="35"/>
      <c r="Z441" s="32"/>
      <c r="AA441" s="32"/>
      <c r="AB441" s="36" t="str">
        <f t="shared" si="6"/>
        <v/>
      </c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</row>
    <row r="442" spans="1:42" ht="18" customHeight="1" x14ac:dyDescent="0.3">
      <c r="A442" s="38"/>
      <c r="B442" s="38"/>
      <c r="C442" s="38"/>
      <c r="D442" s="38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4"/>
      <c r="X442" s="39"/>
      <c r="Y442" s="40"/>
      <c r="Z442" s="38"/>
      <c r="AA442" s="38"/>
      <c r="AB442" s="41" t="str">
        <f t="shared" si="6"/>
        <v/>
      </c>
      <c r="AC442" s="42"/>
      <c r="AD442" s="42"/>
      <c r="AE442" s="42"/>
      <c r="AF442" s="42"/>
      <c r="AG442" s="42"/>
      <c r="AH442" s="42"/>
      <c r="AI442" s="42"/>
      <c r="AJ442" s="42"/>
      <c r="AK442" s="42"/>
      <c r="AL442" s="42"/>
      <c r="AM442" s="42"/>
      <c r="AN442" s="42"/>
      <c r="AO442" s="42"/>
      <c r="AP442" s="42"/>
    </row>
    <row r="443" spans="1:42" ht="18" customHeight="1" x14ac:dyDescent="0.3">
      <c r="A443" s="32"/>
      <c r="B443" s="32"/>
      <c r="C443" s="32"/>
      <c r="D443" s="32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4"/>
      <c r="X443" s="33"/>
      <c r="Y443" s="35"/>
      <c r="Z443" s="32"/>
      <c r="AA443" s="32"/>
      <c r="AB443" s="36" t="str">
        <f t="shared" si="6"/>
        <v/>
      </c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</row>
    <row r="444" spans="1:42" ht="18" customHeight="1" x14ac:dyDescent="0.3">
      <c r="A444" s="38"/>
      <c r="B444" s="38"/>
      <c r="C444" s="38"/>
      <c r="D444" s="38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4"/>
      <c r="X444" s="39"/>
      <c r="Y444" s="40"/>
      <c r="Z444" s="38"/>
      <c r="AA444" s="38"/>
      <c r="AB444" s="41" t="str">
        <f t="shared" si="6"/>
        <v/>
      </c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</row>
    <row r="445" spans="1:42" ht="18" customHeight="1" x14ac:dyDescent="0.3">
      <c r="A445" s="32"/>
      <c r="B445" s="32"/>
      <c r="C445" s="32"/>
      <c r="D445" s="32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4"/>
      <c r="X445" s="33"/>
      <c r="Y445" s="35"/>
      <c r="Z445" s="32"/>
      <c r="AA445" s="32"/>
      <c r="AB445" s="36" t="str">
        <f t="shared" si="6"/>
        <v/>
      </c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</row>
    <row r="446" spans="1:42" ht="18" customHeight="1" x14ac:dyDescent="0.3">
      <c r="A446" s="38"/>
      <c r="B446" s="38"/>
      <c r="C446" s="38"/>
      <c r="D446" s="38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4"/>
      <c r="X446" s="39"/>
      <c r="Y446" s="40"/>
      <c r="Z446" s="38"/>
      <c r="AA446" s="38"/>
      <c r="AB446" s="41" t="str">
        <f t="shared" si="6"/>
        <v/>
      </c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</row>
    <row r="447" spans="1:42" ht="18" customHeight="1" x14ac:dyDescent="0.3">
      <c r="A447" s="32"/>
      <c r="B447" s="32"/>
      <c r="C447" s="32"/>
      <c r="D447" s="32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4"/>
      <c r="X447" s="33"/>
      <c r="Y447" s="35"/>
      <c r="Z447" s="32"/>
      <c r="AA447" s="32"/>
      <c r="AB447" s="36" t="str">
        <f t="shared" si="6"/>
        <v/>
      </c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</row>
    <row r="448" spans="1:42" ht="18" customHeight="1" x14ac:dyDescent="0.3">
      <c r="A448" s="38"/>
      <c r="B448" s="38"/>
      <c r="C448" s="38"/>
      <c r="D448" s="38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4"/>
      <c r="X448" s="39"/>
      <c r="Y448" s="40"/>
      <c r="Z448" s="38"/>
      <c r="AA448" s="38"/>
      <c r="AB448" s="41" t="str">
        <f t="shared" si="6"/>
        <v/>
      </c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</row>
    <row r="449" spans="1:42" ht="18" customHeight="1" x14ac:dyDescent="0.3">
      <c r="A449" s="32"/>
      <c r="B449" s="32"/>
      <c r="C449" s="32"/>
      <c r="D449" s="32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4"/>
      <c r="X449" s="33"/>
      <c r="Y449" s="35"/>
      <c r="Z449" s="32"/>
      <c r="AA449" s="32"/>
      <c r="AB449" s="36" t="str">
        <f t="shared" si="6"/>
        <v/>
      </c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</row>
    <row r="450" spans="1:42" ht="18" customHeight="1" x14ac:dyDescent="0.3">
      <c r="A450" s="38"/>
      <c r="B450" s="38"/>
      <c r="C450" s="38"/>
      <c r="D450" s="38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4"/>
      <c r="X450" s="39"/>
      <c r="Y450" s="40"/>
      <c r="Z450" s="38"/>
      <c r="AA450" s="38"/>
      <c r="AB450" s="41" t="str">
        <f t="shared" si="6"/>
        <v/>
      </c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</row>
    <row r="451" spans="1:42" ht="18" customHeight="1" x14ac:dyDescent="0.3">
      <c r="A451" s="32"/>
      <c r="B451" s="32"/>
      <c r="C451" s="32"/>
      <c r="D451" s="32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4"/>
      <c r="X451" s="33"/>
      <c r="Y451" s="35"/>
      <c r="Z451" s="32"/>
      <c r="AA451" s="32"/>
      <c r="AB451" s="36" t="str">
        <f t="shared" si="6"/>
        <v/>
      </c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</row>
    <row r="452" spans="1:42" ht="18" customHeight="1" x14ac:dyDescent="0.3">
      <c r="A452" s="38"/>
      <c r="B452" s="38"/>
      <c r="C452" s="38"/>
      <c r="D452" s="38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4"/>
      <c r="X452" s="39"/>
      <c r="Y452" s="40"/>
      <c r="Z452" s="38"/>
      <c r="AA452" s="38"/>
      <c r="AB452" s="41" t="str">
        <f t="shared" si="6"/>
        <v/>
      </c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</row>
    <row r="453" spans="1:42" ht="18" customHeight="1" x14ac:dyDescent="0.3">
      <c r="A453" s="32"/>
      <c r="B453" s="32"/>
      <c r="C453" s="32"/>
      <c r="D453" s="32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4"/>
      <c r="X453" s="33"/>
      <c r="Y453" s="35"/>
      <c r="Z453" s="32"/>
      <c r="AA453" s="32"/>
      <c r="AB453" s="36" t="str">
        <f t="shared" si="6"/>
        <v/>
      </c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</row>
    <row r="454" spans="1:42" ht="18" customHeight="1" x14ac:dyDescent="0.3">
      <c r="A454" s="38"/>
      <c r="B454" s="38"/>
      <c r="C454" s="38"/>
      <c r="D454" s="38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4"/>
      <c r="X454" s="39"/>
      <c r="Y454" s="40"/>
      <c r="Z454" s="38"/>
      <c r="AA454" s="38"/>
      <c r="AB454" s="41" t="str">
        <f t="shared" ref="AB454:AB504" si="7">IF(A454="","",IF(COUNTIF($A$6:$A$504,A454)&gt;1,"⚠ Duplicate",""))</f>
        <v/>
      </c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</row>
    <row r="455" spans="1:42" ht="18" customHeight="1" x14ac:dyDescent="0.3">
      <c r="A455" s="32"/>
      <c r="B455" s="32"/>
      <c r="C455" s="32"/>
      <c r="D455" s="32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4"/>
      <c r="X455" s="33"/>
      <c r="Y455" s="35"/>
      <c r="Z455" s="32"/>
      <c r="AA455" s="32"/>
      <c r="AB455" s="36" t="str">
        <f t="shared" si="7"/>
        <v/>
      </c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</row>
    <row r="456" spans="1:42" ht="18" customHeight="1" x14ac:dyDescent="0.3">
      <c r="A456" s="38"/>
      <c r="B456" s="38"/>
      <c r="C456" s="38"/>
      <c r="D456" s="38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4"/>
      <c r="X456" s="39"/>
      <c r="Y456" s="40"/>
      <c r="Z456" s="38"/>
      <c r="AA456" s="38"/>
      <c r="AB456" s="41" t="str">
        <f t="shared" si="7"/>
        <v/>
      </c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</row>
    <row r="457" spans="1:42" ht="18" customHeight="1" x14ac:dyDescent="0.3">
      <c r="A457" s="32"/>
      <c r="B457" s="32"/>
      <c r="C457" s="32"/>
      <c r="D457" s="32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4"/>
      <c r="X457" s="33"/>
      <c r="Y457" s="35"/>
      <c r="Z457" s="32"/>
      <c r="AA457" s="32"/>
      <c r="AB457" s="36" t="str">
        <f t="shared" si="7"/>
        <v/>
      </c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</row>
    <row r="458" spans="1:42" ht="18" customHeight="1" x14ac:dyDescent="0.3">
      <c r="A458" s="38"/>
      <c r="B458" s="38"/>
      <c r="C458" s="38"/>
      <c r="D458" s="38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4"/>
      <c r="X458" s="39"/>
      <c r="Y458" s="40"/>
      <c r="Z458" s="38"/>
      <c r="AA458" s="38"/>
      <c r="AB458" s="41" t="str">
        <f t="shared" si="7"/>
        <v/>
      </c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</row>
    <row r="459" spans="1:42" ht="18" customHeight="1" x14ac:dyDescent="0.3">
      <c r="A459" s="32"/>
      <c r="B459" s="32"/>
      <c r="C459" s="32"/>
      <c r="D459" s="32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4"/>
      <c r="X459" s="33"/>
      <c r="Y459" s="35"/>
      <c r="Z459" s="32"/>
      <c r="AA459" s="32"/>
      <c r="AB459" s="36" t="str">
        <f t="shared" si="7"/>
        <v/>
      </c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</row>
    <row r="460" spans="1:42" ht="18" customHeight="1" x14ac:dyDescent="0.3">
      <c r="A460" s="38"/>
      <c r="B460" s="38"/>
      <c r="C460" s="38"/>
      <c r="D460" s="38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4"/>
      <c r="X460" s="39"/>
      <c r="Y460" s="40"/>
      <c r="Z460" s="38"/>
      <c r="AA460" s="38"/>
      <c r="AB460" s="41" t="str">
        <f t="shared" si="7"/>
        <v/>
      </c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</row>
    <row r="461" spans="1:42" ht="18" customHeight="1" x14ac:dyDescent="0.3">
      <c r="A461" s="32"/>
      <c r="B461" s="32"/>
      <c r="C461" s="32"/>
      <c r="D461" s="32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4"/>
      <c r="X461" s="33"/>
      <c r="Y461" s="35"/>
      <c r="Z461" s="32"/>
      <c r="AA461" s="32"/>
      <c r="AB461" s="36" t="str">
        <f t="shared" si="7"/>
        <v/>
      </c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</row>
    <row r="462" spans="1:42" ht="18" customHeight="1" x14ac:dyDescent="0.3">
      <c r="A462" s="38"/>
      <c r="B462" s="38"/>
      <c r="C462" s="38"/>
      <c r="D462" s="38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4"/>
      <c r="X462" s="39"/>
      <c r="Y462" s="40"/>
      <c r="Z462" s="38"/>
      <c r="AA462" s="38"/>
      <c r="AB462" s="41" t="str">
        <f t="shared" si="7"/>
        <v/>
      </c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</row>
    <row r="463" spans="1:42" ht="18" customHeight="1" x14ac:dyDescent="0.3">
      <c r="A463" s="32"/>
      <c r="B463" s="32"/>
      <c r="C463" s="32"/>
      <c r="D463" s="32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4"/>
      <c r="X463" s="33"/>
      <c r="Y463" s="35"/>
      <c r="Z463" s="32"/>
      <c r="AA463" s="32"/>
      <c r="AB463" s="36" t="str">
        <f t="shared" si="7"/>
        <v/>
      </c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</row>
    <row r="464" spans="1:42" ht="18" customHeight="1" x14ac:dyDescent="0.3">
      <c r="A464" s="38"/>
      <c r="B464" s="38"/>
      <c r="C464" s="38"/>
      <c r="D464" s="38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4"/>
      <c r="X464" s="39"/>
      <c r="Y464" s="40"/>
      <c r="Z464" s="38"/>
      <c r="AA464" s="38"/>
      <c r="AB464" s="41" t="str">
        <f t="shared" si="7"/>
        <v/>
      </c>
      <c r="AC464" s="42"/>
      <c r="AD464" s="42"/>
      <c r="AE464" s="42"/>
      <c r="AF464" s="42"/>
      <c r="AG464" s="42"/>
      <c r="AH464" s="42"/>
      <c r="AI464" s="42"/>
      <c r="AJ464" s="42"/>
      <c r="AK464" s="42"/>
      <c r="AL464" s="42"/>
      <c r="AM464" s="42"/>
      <c r="AN464" s="42"/>
      <c r="AO464" s="42"/>
      <c r="AP464" s="42"/>
    </row>
    <row r="465" spans="1:42" ht="18" customHeight="1" x14ac:dyDescent="0.3">
      <c r="A465" s="32"/>
      <c r="B465" s="32"/>
      <c r="C465" s="32"/>
      <c r="D465" s="32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4"/>
      <c r="X465" s="33"/>
      <c r="Y465" s="35"/>
      <c r="Z465" s="32"/>
      <c r="AA465" s="32"/>
      <c r="AB465" s="36" t="str">
        <f t="shared" si="7"/>
        <v/>
      </c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</row>
    <row r="466" spans="1:42" ht="18" customHeight="1" x14ac:dyDescent="0.3">
      <c r="A466" s="38"/>
      <c r="B466" s="38"/>
      <c r="C466" s="38"/>
      <c r="D466" s="38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4"/>
      <c r="X466" s="39"/>
      <c r="Y466" s="40"/>
      <c r="Z466" s="38"/>
      <c r="AA466" s="38"/>
      <c r="AB466" s="41" t="str">
        <f t="shared" si="7"/>
        <v/>
      </c>
      <c r="AC466" s="42"/>
      <c r="AD466" s="42"/>
      <c r="AE466" s="42"/>
      <c r="AF466" s="42"/>
      <c r="AG466" s="42"/>
      <c r="AH466" s="42"/>
      <c r="AI466" s="42"/>
      <c r="AJ466" s="42"/>
      <c r="AK466" s="42"/>
      <c r="AL466" s="42"/>
      <c r="AM466" s="42"/>
      <c r="AN466" s="42"/>
      <c r="AO466" s="42"/>
      <c r="AP466" s="42"/>
    </row>
    <row r="467" spans="1:42" ht="18" customHeight="1" x14ac:dyDescent="0.3">
      <c r="A467" s="32"/>
      <c r="B467" s="32"/>
      <c r="C467" s="32"/>
      <c r="D467" s="32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4"/>
      <c r="X467" s="33"/>
      <c r="Y467" s="35"/>
      <c r="Z467" s="32"/>
      <c r="AA467" s="32"/>
      <c r="AB467" s="36" t="str">
        <f t="shared" si="7"/>
        <v/>
      </c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</row>
    <row r="468" spans="1:42" ht="18" customHeight="1" x14ac:dyDescent="0.3">
      <c r="A468" s="38"/>
      <c r="B468" s="38"/>
      <c r="C468" s="38"/>
      <c r="D468" s="38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4"/>
      <c r="X468" s="39"/>
      <c r="Y468" s="40"/>
      <c r="Z468" s="38"/>
      <c r="AA468" s="38"/>
      <c r="AB468" s="41" t="str">
        <f t="shared" si="7"/>
        <v/>
      </c>
      <c r="AC468" s="42"/>
      <c r="AD468" s="42"/>
      <c r="AE468" s="42"/>
      <c r="AF468" s="42"/>
      <c r="AG468" s="42"/>
      <c r="AH468" s="42"/>
      <c r="AI468" s="42"/>
      <c r="AJ468" s="42"/>
      <c r="AK468" s="42"/>
      <c r="AL468" s="42"/>
      <c r="AM468" s="42"/>
      <c r="AN468" s="42"/>
      <c r="AO468" s="42"/>
      <c r="AP468" s="42"/>
    </row>
    <row r="469" spans="1:42" ht="18" customHeight="1" x14ac:dyDescent="0.3">
      <c r="A469" s="32"/>
      <c r="B469" s="32"/>
      <c r="C469" s="32"/>
      <c r="D469" s="32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4"/>
      <c r="X469" s="33"/>
      <c r="Y469" s="35"/>
      <c r="Z469" s="32"/>
      <c r="AA469" s="32"/>
      <c r="AB469" s="36" t="str">
        <f t="shared" si="7"/>
        <v/>
      </c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</row>
    <row r="470" spans="1:42" ht="18" customHeight="1" x14ac:dyDescent="0.3">
      <c r="A470" s="38"/>
      <c r="B470" s="38"/>
      <c r="C470" s="38"/>
      <c r="D470" s="38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4"/>
      <c r="X470" s="39"/>
      <c r="Y470" s="40"/>
      <c r="Z470" s="38"/>
      <c r="AA470" s="38"/>
      <c r="AB470" s="41" t="str">
        <f t="shared" si="7"/>
        <v/>
      </c>
      <c r="AC470" s="42"/>
      <c r="AD470" s="42"/>
      <c r="AE470" s="42"/>
      <c r="AF470" s="42"/>
      <c r="AG470" s="42"/>
      <c r="AH470" s="42"/>
      <c r="AI470" s="42"/>
      <c r="AJ470" s="42"/>
      <c r="AK470" s="42"/>
      <c r="AL470" s="42"/>
      <c r="AM470" s="42"/>
      <c r="AN470" s="42"/>
      <c r="AO470" s="42"/>
      <c r="AP470" s="42"/>
    </row>
    <row r="471" spans="1:42" ht="18" customHeight="1" x14ac:dyDescent="0.3">
      <c r="A471" s="32"/>
      <c r="B471" s="32"/>
      <c r="C471" s="32"/>
      <c r="D471" s="32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4"/>
      <c r="X471" s="33"/>
      <c r="Y471" s="35"/>
      <c r="Z471" s="32"/>
      <c r="AA471" s="32"/>
      <c r="AB471" s="36" t="str">
        <f t="shared" si="7"/>
        <v/>
      </c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</row>
    <row r="472" spans="1:42" ht="18" customHeight="1" x14ac:dyDescent="0.3">
      <c r="A472" s="38"/>
      <c r="B472" s="38"/>
      <c r="C472" s="38"/>
      <c r="D472" s="38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4"/>
      <c r="X472" s="39"/>
      <c r="Y472" s="40"/>
      <c r="Z472" s="38"/>
      <c r="AA472" s="38"/>
      <c r="AB472" s="41" t="str">
        <f t="shared" si="7"/>
        <v/>
      </c>
      <c r="AC472" s="42"/>
      <c r="AD472" s="42"/>
      <c r="AE472" s="42"/>
      <c r="AF472" s="42"/>
      <c r="AG472" s="42"/>
      <c r="AH472" s="42"/>
      <c r="AI472" s="42"/>
      <c r="AJ472" s="42"/>
      <c r="AK472" s="42"/>
      <c r="AL472" s="42"/>
      <c r="AM472" s="42"/>
      <c r="AN472" s="42"/>
      <c r="AO472" s="42"/>
      <c r="AP472" s="42"/>
    </row>
    <row r="473" spans="1:42" ht="18" customHeight="1" x14ac:dyDescent="0.3">
      <c r="A473" s="32"/>
      <c r="B473" s="32"/>
      <c r="C473" s="32"/>
      <c r="D473" s="32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4"/>
      <c r="X473" s="33"/>
      <c r="Y473" s="35"/>
      <c r="Z473" s="32"/>
      <c r="AA473" s="32"/>
      <c r="AB473" s="36" t="str">
        <f t="shared" si="7"/>
        <v/>
      </c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</row>
    <row r="474" spans="1:42" ht="18" customHeight="1" x14ac:dyDescent="0.3">
      <c r="A474" s="38"/>
      <c r="B474" s="38"/>
      <c r="C474" s="38"/>
      <c r="D474" s="38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4"/>
      <c r="X474" s="39"/>
      <c r="Y474" s="40"/>
      <c r="Z474" s="38"/>
      <c r="AA474" s="38"/>
      <c r="AB474" s="41" t="str">
        <f t="shared" si="7"/>
        <v/>
      </c>
      <c r="AC474" s="42"/>
      <c r="AD474" s="42"/>
      <c r="AE474" s="42"/>
      <c r="AF474" s="42"/>
      <c r="AG474" s="42"/>
      <c r="AH474" s="42"/>
      <c r="AI474" s="42"/>
      <c r="AJ474" s="42"/>
      <c r="AK474" s="42"/>
      <c r="AL474" s="42"/>
      <c r="AM474" s="42"/>
      <c r="AN474" s="42"/>
      <c r="AO474" s="42"/>
      <c r="AP474" s="42"/>
    </row>
    <row r="475" spans="1:42" ht="18" customHeight="1" x14ac:dyDescent="0.3">
      <c r="A475" s="32"/>
      <c r="B475" s="32"/>
      <c r="C475" s="32"/>
      <c r="D475" s="32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4"/>
      <c r="X475" s="33"/>
      <c r="Y475" s="35"/>
      <c r="Z475" s="32"/>
      <c r="AA475" s="32"/>
      <c r="AB475" s="36" t="str">
        <f t="shared" si="7"/>
        <v/>
      </c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</row>
    <row r="476" spans="1:42" ht="18" customHeight="1" x14ac:dyDescent="0.3">
      <c r="A476" s="38"/>
      <c r="B476" s="38"/>
      <c r="C476" s="38"/>
      <c r="D476" s="38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4"/>
      <c r="X476" s="39"/>
      <c r="Y476" s="40"/>
      <c r="Z476" s="38"/>
      <c r="AA476" s="38"/>
      <c r="AB476" s="41" t="str">
        <f t="shared" si="7"/>
        <v/>
      </c>
      <c r="AC476" s="42"/>
      <c r="AD476" s="42"/>
      <c r="AE476" s="42"/>
      <c r="AF476" s="42"/>
      <c r="AG476" s="42"/>
      <c r="AH476" s="42"/>
      <c r="AI476" s="42"/>
      <c r="AJ476" s="42"/>
      <c r="AK476" s="42"/>
      <c r="AL476" s="42"/>
      <c r="AM476" s="42"/>
      <c r="AN476" s="42"/>
      <c r="AO476" s="42"/>
      <c r="AP476" s="42"/>
    </row>
    <row r="477" spans="1:42" ht="18" customHeight="1" x14ac:dyDescent="0.3">
      <c r="A477" s="32"/>
      <c r="B477" s="32"/>
      <c r="C477" s="32"/>
      <c r="D477" s="32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4"/>
      <c r="X477" s="33"/>
      <c r="Y477" s="35"/>
      <c r="Z477" s="32"/>
      <c r="AA477" s="32"/>
      <c r="AB477" s="36" t="str">
        <f t="shared" si="7"/>
        <v/>
      </c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</row>
    <row r="478" spans="1:42" ht="18" customHeight="1" x14ac:dyDescent="0.3">
      <c r="A478" s="38"/>
      <c r="B478" s="38"/>
      <c r="C478" s="38"/>
      <c r="D478" s="38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4"/>
      <c r="X478" s="39"/>
      <c r="Y478" s="40"/>
      <c r="Z478" s="38"/>
      <c r="AA478" s="38"/>
      <c r="AB478" s="41" t="str">
        <f t="shared" si="7"/>
        <v/>
      </c>
      <c r="AC478" s="42"/>
      <c r="AD478" s="42"/>
      <c r="AE478" s="42"/>
      <c r="AF478" s="42"/>
      <c r="AG478" s="42"/>
      <c r="AH478" s="42"/>
      <c r="AI478" s="42"/>
      <c r="AJ478" s="42"/>
      <c r="AK478" s="42"/>
      <c r="AL478" s="42"/>
      <c r="AM478" s="42"/>
      <c r="AN478" s="42"/>
      <c r="AO478" s="42"/>
      <c r="AP478" s="42"/>
    </row>
    <row r="479" spans="1:42" ht="18" customHeight="1" x14ac:dyDescent="0.3">
      <c r="A479" s="32"/>
      <c r="B479" s="32"/>
      <c r="C479" s="32"/>
      <c r="D479" s="32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4"/>
      <c r="X479" s="33"/>
      <c r="Y479" s="35"/>
      <c r="Z479" s="32"/>
      <c r="AA479" s="32"/>
      <c r="AB479" s="36" t="str">
        <f t="shared" si="7"/>
        <v/>
      </c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</row>
    <row r="480" spans="1:42" ht="18" customHeight="1" x14ac:dyDescent="0.3">
      <c r="A480" s="38"/>
      <c r="B480" s="38"/>
      <c r="C480" s="38"/>
      <c r="D480" s="38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4"/>
      <c r="X480" s="39"/>
      <c r="Y480" s="40"/>
      <c r="Z480" s="38"/>
      <c r="AA480" s="38"/>
      <c r="AB480" s="41" t="str">
        <f t="shared" si="7"/>
        <v/>
      </c>
      <c r="AC480" s="42"/>
      <c r="AD480" s="42"/>
      <c r="AE480" s="42"/>
      <c r="AF480" s="42"/>
      <c r="AG480" s="42"/>
      <c r="AH480" s="42"/>
      <c r="AI480" s="42"/>
      <c r="AJ480" s="42"/>
      <c r="AK480" s="42"/>
      <c r="AL480" s="42"/>
      <c r="AM480" s="42"/>
      <c r="AN480" s="42"/>
      <c r="AO480" s="42"/>
      <c r="AP480" s="42"/>
    </row>
    <row r="481" spans="1:42" ht="18" customHeight="1" x14ac:dyDescent="0.3">
      <c r="A481" s="32"/>
      <c r="B481" s="32"/>
      <c r="C481" s="32"/>
      <c r="D481" s="32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4"/>
      <c r="X481" s="33"/>
      <c r="Y481" s="35"/>
      <c r="Z481" s="32"/>
      <c r="AA481" s="32"/>
      <c r="AB481" s="36" t="str">
        <f t="shared" si="7"/>
        <v/>
      </c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</row>
    <row r="482" spans="1:42" ht="18" customHeight="1" x14ac:dyDescent="0.3">
      <c r="A482" s="38"/>
      <c r="B482" s="38"/>
      <c r="C482" s="38"/>
      <c r="D482" s="38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4"/>
      <c r="X482" s="39"/>
      <c r="Y482" s="40"/>
      <c r="Z482" s="38"/>
      <c r="AA482" s="38"/>
      <c r="AB482" s="41" t="str">
        <f t="shared" si="7"/>
        <v/>
      </c>
      <c r="AC482" s="42"/>
      <c r="AD482" s="42"/>
      <c r="AE482" s="42"/>
      <c r="AF482" s="42"/>
      <c r="AG482" s="42"/>
      <c r="AH482" s="42"/>
      <c r="AI482" s="42"/>
      <c r="AJ482" s="42"/>
      <c r="AK482" s="42"/>
      <c r="AL482" s="42"/>
      <c r="AM482" s="42"/>
      <c r="AN482" s="42"/>
      <c r="AO482" s="42"/>
      <c r="AP482" s="42"/>
    </row>
    <row r="483" spans="1:42" ht="18" customHeight="1" x14ac:dyDescent="0.3">
      <c r="A483" s="32"/>
      <c r="B483" s="32"/>
      <c r="C483" s="32"/>
      <c r="D483" s="32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4"/>
      <c r="X483" s="33"/>
      <c r="Y483" s="35"/>
      <c r="Z483" s="32"/>
      <c r="AA483" s="32"/>
      <c r="AB483" s="36" t="str">
        <f t="shared" si="7"/>
        <v/>
      </c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</row>
    <row r="484" spans="1:42" ht="18" customHeight="1" x14ac:dyDescent="0.3">
      <c r="A484" s="38"/>
      <c r="B484" s="38"/>
      <c r="C484" s="38"/>
      <c r="D484" s="38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4"/>
      <c r="X484" s="39"/>
      <c r="Y484" s="40"/>
      <c r="Z484" s="38"/>
      <c r="AA484" s="38"/>
      <c r="AB484" s="41" t="str">
        <f t="shared" si="7"/>
        <v/>
      </c>
      <c r="AC484" s="42"/>
      <c r="AD484" s="42"/>
      <c r="AE484" s="42"/>
      <c r="AF484" s="42"/>
      <c r="AG484" s="42"/>
      <c r="AH484" s="42"/>
      <c r="AI484" s="42"/>
      <c r="AJ484" s="42"/>
      <c r="AK484" s="42"/>
      <c r="AL484" s="42"/>
      <c r="AM484" s="42"/>
      <c r="AN484" s="42"/>
      <c r="AO484" s="42"/>
      <c r="AP484" s="42"/>
    </row>
    <row r="485" spans="1:42" ht="18" customHeight="1" x14ac:dyDescent="0.3">
      <c r="A485" s="32"/>
      <c r="B485" s="32"/>
      <c r="C485" s="32"/>
      <c r="D485" s="32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4"/>
      <c r="X485" s="33"/>
      <c r="Y485" s="35"/>
      <c r="Z485" s="32"/>
      <c r="AA485" s="32"/>
      <c r="AB485" s="36" t="str">
        <f t="shared" si="7"/>
        <v/>
      </c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</row>
    <row r="486" spans="1:42" ht="18" customHeight="1" x14ac:dyDescent="0.3">
      <c r="A486" s="38"/>
      <c r="B486" s="38"/>
      <c r="C486" s="38"/>
      <c r="D486" s="38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4"/>
      <c r="X486" s="39"/>
      <c r="Y486" s="40"/>
      <c r="Z486" s="38"/>
      <c r="AA486" s="38"/>
      <c r="AB486" s="41" t="str">
        <f t="shared" si="7"/>
        <v/>
      </c>
      <c r="AC486" s="42"/>
      <c r="AD486" s="42"/>
      <c r="AE486" s="42"/>
      <c r="AF486" s="42"/>
      <c r="AG486" s="42"/>
      <c r="AH486" s="42"/>
      <c r="AI486" s="42"/>
      <c r="AJ486" s="42"/>
      <c r="AK486" s="42"/>
      <c r="AL486" s="42"/>
      <c r="AM486" s="42"/>
      <c r="AN486" s="42"/>
      <c r="AO486" s="42"/>
      <c r="AP486" s="42"/>
    </row>
    <row r="487" spans="1:42" ht="18" customHeight="1" x14ac:dyDescent="0.3">
      <c r="A487" s="32"/>
      <c r="B487" s="32"/>
      <c r="C487" s="32"/>
      <c r="D487" s="32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4"/>
      <c r="X487" s="33"/>
      <c r="Y487" s="35"/>
      <c r="Z487" s="32"/>
      <c r="AA487" s="32"/>
      <c r="AB487" s="36" t="str">
        <f t="shared" si="7"/>
        <v/>
      </c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</row>
    <row r="488" spans="1:42" ht="18" customHeight="1" x14ac:dyDescent="0.3">
      <c r="A488" s="38"/>
      <c r="B488" s="38"/>
      <c r="C488" s="38"/>
      <c r="D488" s="38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4"/>
      <c r="X488" s="39"/>
      <c r="Y488" s="40"/>
      <c r="Z488" s="38"/>
      <c r="AA488" s="38"/>
      <c r="AB488" s="41" t="str">
        <f t="shared" si="7"/>
        <v/>
      </c>
      <c r="AC488" s="42"/>
      <c r="AD488" s="42"/>
      <c r="AE488" s="42"/>
      <c r="AF488" s="42"/>
      <c r="AG488" s="42"/>
      <c r="AH488" s="42"/>
      <c r="AI488" s="42"/>
      <c r="AJ488" s="42"/>
      <c r="AK488" s="42"/>
      <c r="AL488" s="42"/>
      <c r="AM488" s="42"/>
      <c r="AN488" s="42"/>
      <c r="AO488" s="42"/>
      <c r="AP488" s="42"/>
    </row>
    <row r="489" spans="1:42" ht="18" customHeight="1" x14ac:dyDescent="0.3">
      <c r="A489" s="32"/>
      <c r="B489" s="32"/>
      <c r="C489" s="32"/>
      <c r="D489" s="32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4"/>
      <c r="X489" s="33"/>
      <c r="Y489" s="35"/>
      <c r="Z489" s="32"/>
      <c r="AA489" s="32"/>
      <c r="AB489" s="36" t="str">
        <f t="shared" si="7"/>
        <v/>
      </c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</row>
    <row r="490" spans="1:42" ht="18" customHeight="1" x14ac:dyDescent="0.3">
      <c r="A490" s="38"/>
      <c r="B490" s="38"/>
      <c r="C490" s="38"/>
      <c r="D490" s="38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4"/>
      <c r="X490" s="39"/>
      <c r="Y490" s="40"/>
      <c r="Z490" s="38"/>
      <c r="AA490" s="38"/>
      <c r="AB490" s="41" t="str">
        <f t="shared" si="7"/>
        <v/>
      </c>
      <c r="AC490" s="42"/>
      <c r="AD490" s="42"/>
      <c r="AE490" s="42"/>
      <c r="AF490" s="42"/>
      <c r="AG490" s="42"/>
      <c r="AH490" s="42"/>
      <c r="AI490" s="42"/>
      <c r="AJ490" s="42"/>
      <c r="AK490" s="42"/>
      <c r="AL490" s="42"/>
      <c r="AM490" s="42"/>
      <c r="AN490" s="42"/>
      <c r="AO490" s="42"/>
      <c r="AP490" s="42"/>
    </row>
    <row r="491" spans="1:42" ht="18" customHeight="1" x14ac:dyDescent="0.3">
      <c r="A491" s="32"/>
      <c r="B491" s="32"/>
      <c r="C491" s="32"/>
      <c r="D491" s="32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4"/>
      <c r="X491" s="33"/>
      <c r="Y491" s="35"/>
      <c r="Z491" s="32"/>
      <c r="AA491" s="32"/>
      <c r="AB491" s="36" t="str">
        <f t="shared" si="7"/>
        <v/>
      </c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</row>
    <row r="492" spans="1:42" ht="18" customHeight="1" x14ac:dyDescent="0.3">
      <c r="A492" s="38"/>
      <c r="B492" s="38"/>
      <c r="C492" s="38"/>
      <c r="D492" s="38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4"/>
      <c r="X492" s="39"/>
      <c r="Y492" s="40"/>
      <c r="Z492" s="38"/>
      <c r="AA492" s="38"/>
      <c r="AB492" s="41" t="str">
        <f t="shared" si="7"/>
        <v/>
      </c>
      <c r="AC492" s="42"/>
      <c r="AD492" s="42"/>
      <c r="AE492" s="42"/>
      <c r="AF492" s="42"/>
      <c r="AG492" s="42"/>
      <c r="AH492" s="42"/>
      <c r="AI492" s="42"/>
      <c r="AJ492" s="42"/>
      <c r="AK492" s="42"/>
      <c r="AL492" s="42"/>
      <c r="AM492" s="42"/>
      <c r="AN492" s="42"/>
      <c r="AO492" s="42"/>
      <c r="AP492" s="42"/>
    </row>
    <row r="493" spans="1:42" ht="18" customHeight="1" x14ac:dyDescent="0.3">
      <c r="A493" s="32"/>
      <c r="B493" s="32"/>
      <c r="C493" s="32"/>
      <c r="D493" s="32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4"/>
      <c r="X493" s="33"/>
      <c r="Y493" s="35"/>
      <c r="Z493" s="32"/>
      <c r="AA493" s="32"/>
      <c r="AB493" s="36" t="str">
        <f t="shared" si="7"/>
        <v/>
      </c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</row>
    <row r="494" spans="1:42" ht="18" customHeight="1" x14ac:dyDescent="0.3">
      <c r="A494" s="38"/>
      <c r="B494" s="38"/>
      <c r="C494" s="38"/>
      <c r="D494" s="38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4"/>
      <c r="X494" s="39"/>
      <c r="Y494" s="40"/>
      <c r="Z494" s="38"/>
      <c r="AA494" s="38"/>
      <c r="AB494" s="41" t="str">
        <f t="shared" si="7"/>
        <v/>
      </c>
      <c r="AC494" s="42"/>
      <c r="AD494" s="42"/>
      <c r="AE494" s="42"/>
      <c r="AF494" s="42"/>
      <c r="AG494" s="42"/>
      <c r="AH494" s="42"/>
      <c r="AI494" s="42"/>
      <c r="AJ494" s="42"/>
      <c r="AK494" s="42"/>
      <c r="AL494" s="42"/>
      <c r="AM494" s="42"/>
      <c r="AN494" s="42"/>
      <c r="AO494" s="42"/>
      <c r="AP494" s="42"/>
    </row>
    <row r="495" spans="1:42" ht="18" customHeight="1" x14ac:dyDescent="0.3">
      <c r="A495" s="32"/>
      <c r="B495" s="32"/>
      <c r="C495" s="32"/>
      <c r="D495" s="32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4"/>
      <c r="X495" s="33"/>
      <c r="Y495" s="35"/>
      <c r="Z495" s="32"/>
      <c r="AA495" s="32"/>
      <c r="AB495" s="36" t="str">
        <f t="shared" si="7"/>
        <v/>
      </c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</row>
    <row r="496" spans="1:42" ht="18" customHeight="1" x14ac:dyDescent="0.3">
      <c r="A496" s="38"/>
      <c r="B496" s="38"/>
      <c r="C496" s="38"/>
      <c r="D496" s="38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4"/>
      <c r="X496" s="39"/>
      <c r="Y496" s="40"/>
      <c r="Z496" s="38"/>
      <c r="AA496" s="38"/>
      <c r="AB496" s="41" t="str">
        <f t="shared" si="7"/>
        <v/>
      </c>
      <c r="AC496" s="42"/>
      <c r="AD496" s="42"/>
      <c r="AE496" s="42"/>
      <c r="AF496" s="42"/>
      <c r="AG496" s="42"/>
      <c r="AH496" s="42"/>
      <c r="AI496" s="42"/>
      <c r="AJ496" s="42"/>
      <c r="AK496" s="42"/>
      <c r="AL496" s="42"/>
      <c r="AM496" s="42"/>
      <c r="AN496" s="42"/>
      <c r="AO496" s="42"/>
      <c r="AP496" s="42"/>
    </row>
    <row r="497" spans="1:42" ht="18" customHeight="1" x14ac:dyDescent="0.3">
      <c r="A497" s="32"/>
      <c r="B497" s="32"/>
      <c r="C497" s="32"/>
      <c r="D497" s="32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4"/>
      <c r="X497" s="33"/>
      <c r="Y497" s="35"/>
      <c r="Z497" s="32"/>
      <c r="AA497" s="32"/>
      <c r="AB497" s="36" t="str">
        <f t="shared" si="7"/>
        <v/>
      </c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</row>
    <row r="498" spans="1:42" ht="18" customHeight="1" x14ac:dyDescent="0.3">
      <c r="A498" s="38"/>
      <c r="B498" s="38"/>
      <c r="C498" s="38"/>
      <c r="D498" s="38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4"/>
      <c r="X498" s="39"/>
      <c r="Y498" s="40"/>
      <c r="Z498" s="38"/>
      <c r="AA498" s="38"/>
      <c r="AB498" s="41" t="str">
        <f t="shared" si="7"/>
        <v/>
      </c>
      <c r="AC498" s="42"/>
      <c r="AD498" s="42"/>
      <c r="AE498" s="42"/>
      <c r="AF498" s="42"/>
      <c r="AG498" s="42"/>
      <c r="AH498" s="42"/>
      <c r="AI498" s="42"/>
      <c r="AJ498" s="42"/>
      <c r="AK498" s="42"/>
      <c r="AL498" s="42"/>
      <c r="AM498" s="42"/>
      <c r="AN498" s="42"/>
      <c r="AO498" s="42"/>
      <c r="AP498" s="42"/>
    </row>
    <row r="499" spans="1:42" ht="18" customHeight="1" x14ac:dyDescent="0.3">
      <c r="A499" s="32"/>
      <c r="B499" s="32"/>
      <c r="C499" s="32"/>
      <c r="D499" s="32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4"/>
      <c r="X499" s="33"/>
      <c r="Y499" s="35"/>
      <c r="Z499" s="32"/>
      <c r="AA499" s="32"/>
      <c r="AB499" s="36" t="str">
        <f t="shared" si="7"/>
        <v/>
      </c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</row>
    <row r="500" spans="1:42" ht="18" customHeight="1" x14ac:dyDescent="0.3">
      <c r="A500" s="38"/>
      <c r="B500" s="38"/>
      <c r="C500" s="38"/>
      <c r="D500" s="38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4"/>
      <c r="X500" s="39"/>
      <c r="Y500" s="40"/>
      <c r="Z500" s="38"/>
      <c r="AA500" s="38"/>
      <c r="AB500" s="41" t="str">
        <f t="shared" si="7"/>
        <v/>
      </c>
      <c r="AC500" s="42"/>
      <c r="AD500" s="42"/>
      <c r="AE500" s="42"/>
      <c r="AF500" s="42"/>
      <c r="AG500" s="42"/>
      <c r="AH500" s="42"/>
      <c r="AI500" s="42"/>
      <c r="AJ500" s="42"/>
      <c r="AK500" s="42"/>
      <c r="AL500" s="42"/>
      <c r="AM500" s="42"/>
      <c r="AN500" s="42"/>
      <c r="AO500" s="42"/>
      <c r="AP500" s="42"/>
    </row>
    <row r="501" spans="1:42" ht="18" customHeight="1" x14ac:dyDescent="0.3">
      <c r="A501" s="32"/>
      <c r="B501" s="32"/>
      <c r="C501" s="32"/>
      <c r="D501" s="32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4"/>
      <c r="X501" s="33"/>
      <c r="Y501" s="35"/>
      <c r="Z501" s="32"/>
      <c r="AA501" s="32"/>
      <c r="AB501" s="36" t="str">
        <f t="shared" si="7"/>
        <v/>
      </c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</row>
    <row r="502" spans="1:42" ht="18" customHeight="1" x14ac:dyDescent="0.3">
      <c r="A502" s="38"/>
      <c r="B502" s="38"/>
      <c r="C502" s="38"/>
      <c r="D502" s="38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4"/>
      <c r="X502" s="39"/>
      <c r="Y502" s="40"/>
      <c r="Z502" s="38"/>
      <c r="AA502" s="38"/>
      <c r="AB502" s="41" t="str">
        <f t="shared" si="7"/>
        <v/>
      </c>
      <c r="AC502" s="42"/>
      <c r="AD502" s="42"/>
      <c r="AE502" s="42"/>
      <c r="AF502" s="42"/>
      <c r="AG502" s="42"/>
      <c r="AH502" s="42"/>
      <c r="AI502" s="42"/>
      <c r="AJ502" s="42"/>
      <c r="AK502" s="42"/>
      <c r="AL502" s="42"/>
      <c r="AM502" s="42"/>
      <c r="AN502" s="42"/>
      <c r="AO502" s="42"/>
      <c r="AP502" s="42"/>
    </row>
    <row r="503" spans="1:42" ht="18" customHeight="1" x14ac:dyDescent="0.3">
      <c r="A503" s="32"/>
      <c r="B503" s="32"/>
      <c r="C503" s="32"/>
      <c r="D503" s="32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4"/>
      <c r="X503" s="33"/>
      <c r="Y503" s="35"/>
      <c r="Z503" s="32"/>
      <c r="AA503" s="32"/>
      <c r="AB503" s="36" t="str">
        <f t="shared" si="7"/>
        <v/>
      </c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</row>
    <row r="504" spans="1:42" ht="18" customHeight="1" x14ac:dyDescent="0.3">
      <c r="A504" s="38"/>
      <c r="B504" s="38"/>
      <c r="C504" s="38"/>
      <c r="D504" s="38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4"/>
      <c r="X504" s="39"/>
      <c r="Y504" s="40"/>
      <c r="Z504" s="38"/>
      <c r="AA504" s="38"/>
      <c r="AB504" s="41" t="str">
        <f t="shared" si="7"/>
        <v/>
      </c>
      <c r="AC504" s="42"/>
      <c r="AD504" s="42"/>
      <c r="AE504" s="42"/>
      <c r="AF504" s="42"/>
      <c r="AG504" s="42"/>
      <c r="AH504" s="42"/>
      <c r="AI504" s="42"/>
      <c r="AJ504" s="42"/>
      <c r="AK504" s="42"/>
      <c r="AL504" s="42"/>
      <c r="AM504" s="42"/>
      <c r="AN504" s="42"/>
      <c r="AO504" s="42"/>
      <c r="AP504" s="42"/>
    </row>
  </sheetData>
  <autoFilter ref="A1:AP504" xr:uid="{00000000-0001-0000-0000-000000000000}"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</autoFilter>
  <mergeCells count="14">
    <mergeCell ref="Q4:T4"/>
    <mergeCell ref="I3:J3"/>
    <mergeCell ref="AA2:AB2"/>
    <mergeCell ref="U4:V4"/>
    <mergeCell ref="AC1:AP3"/>
    <mergeCell ref="X3:Y3"/>
    <mergeCell ref="M3:N3"/>
    <mergeCell ref="A2:Z2"/>
    <mergeCell ref="A3:F3"/>
    <mergeCell ref="Z3:AB3"/>
    <mergeCell ref="G3:H3"/>
    <mergeCell ref="K3:L3"/>
    <mergeCell ref="O3:P3"/>
    <mergeCell ref="Q3:V3"/>
  </mergeCells>
  <conditionalFormatting sqref="A6:AP504">
    <cfRule type="expression" dxfId="2" priority="8">
      <formula>$F6="Yes"</formula>
    </cfRule>
  </conditionalFormatting>
  <conditionalFormatting sqref="A6:A504">
    <cfRule type="expression" dxfId="1" priority="9">
      <formula>AND(A6&lt;&gt;"",COUNTIF($A$6:$A$504,A6)&gt;1)</formula>
    </cfRule>
  </conditionalFormatting>
  <conditionalFormatting sqref="AC36:AP3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P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7:AP3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8:AP3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0:AP3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8">
    <dataValidation type="list" showErrorMessage="1" sqref="X6:X504" xr:uid="{00000000-0002-0000-0000-000000000000}">
      <formula1>"USD,EUR,SGD,AUD,GBP,JPY,CNY,INR,MYR,THB"</formula1>
      <formula2>0</formula2>
    </dataValidation>
    <dataValidation type="textLength" operator="greaterThan" showErrorMessage="1" errorTitle="Missing Project ID" error="Project ID is required." sqref="A6:A504" xr:uid="{00000000-0002-0000-0000-000001000000}">
      <formula1>0</formula1>
      <formula2>0</formula2>
    </dataValidation>
    <dataValidation type="whole" allowBlank="1" showErrorMessage="1" errorTitle="Invalid Year" error="Please enter a valid year (2000–2099)." sqref="E6:E504" xr:uid="{00000000-0002-0000-0000-000002000000}">
      <formula1>2000</formula1>
      <formula2>2099</formula2>
    </dataValidation>
    <dataValidation type="decimal" operator="greaterThanOrEqual" allowBlank="1" showErrorMessage="1" errorTitle="Invalid Number" error="Please enter a number ≥ 0." sqref="G6:W504" xr:uid="{00000000-0002-0000-0000-000003000000}">
      <formula1>0</formula1>
      <formula2>0</formula2>
    </dataValidation>
    <dataValidation type="list" allowBlank="1" showErrorMessage="1" errorTitle="Invalid entry" error="Please select Yes or No." promptTitle="Project won?" prompt="Select Yes if this project was won." sqref="F6:F504" xr:uid="{00000000-0002-0000-0000-000004000000}">
      <formula1>"Yes,No"</formula1>
      <formula2>0</formula2>
    </dataValidation>
    <dataValidation type="decimal" operator="greaterThanOrEqual" allowBlank="1" showErrorMessage="1" errorTitle="Invalid project value" error="Enter a number only, in millions. Type 22.9 — not 22.9M." promptTitle="Project value (M)" prompt="Numeric value in millions. Do not type the M suffix." sqref="Y6:Y504" xr:uid="{00000000-0002-0000-0000-000005000000}">
      <formula1>0</formula1>
      <formula2>0</formula2>
    </dataValidation>
    <dataValidation type="decimal" allowBlank="1" showErrorMessage="1" errorTitle="Invalid manhour %" error="Enter a percentage between 0% and 100%. Type 5% (or 0.05), not 5." promptTitle="Manhour cost" prompt="Share of project value for this cost category." sqref="AC6:AP504" xr:uid="{00000000-0002-0000-0000-000006000000}">
      <formula1>0</formula1>
      <formula2>1</formula2>
    </dataValidation>
    <dataValidation type="list" allowBlank="1" showErrorMessage="1" errorTitle="Invalid entry" error="Please select a solution type from the list: Autostore, DMS GTP, Pallet Hotel, 4WS, AMCAP, Others/complex." promptTitle="Solution type" prompt="Select the primary solution type for this project." sqref="D6:D504" xr:uid="{00000000-0002-0000-0000-000007000000}">
      <formula1>"Autostore,DMS GTP,Pallet Hotel,4WS,AMCAP,Others/complex"</formula1>
    </dataValidation>
  </dataValidations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8931A"/>
  </sheetPr>
  <dimension ref="A1:W61"/>
  <sheetViews>
    <sheetView showGridLines="0" zoomScale="70" zoomScaleNormal="70" workbookViewId="0">
      <selection activeCell="Y14" sqref="Y14"/>
    </sheetView>
  </sheetViews>
  <sheetFormatPr defaultColWidth="8.6640625" defaultRowHeight="14.4" x14ac:dyDescent="0.3"/>
  <cols>
    <col min="1" max="1" width="5" customWidth="1"/>
    <col min="2" max="2" width="13" customWidth="1"/>
    <col min="3" max="3" width="19.88671875" customWidth="1"/>
    <col min="4" max="4" width="15.33203125" customWidth="1"/>
    <col min="5" max="5" width="9.44140625" customWidth="1"/>
    <col min="6" max="6" width="17.33203125" customWidth="1"/>
    <col min="7" max="7" width="9.44140625" customWidth="1"/>
    <col min="8" max="8" width="7.44140625" customWidth="1"/>
    <col min="9" max="9" width="8" customWidth="1"/>
    <col min="10" max="10" width="6.6640625" customWidth="1"/>
    <col min="11" max="11" width="9.44140625" customWidth="1"/>
    <col min="12" max="13" width="7.88671875" customWidth="1"/>
    <col min="14" max="14" width="5.6640625" customWidth="1"/>
    <col min="15" max="18" width="5.44140625" customWidth="1"/>
    <col min="19" max="19" width="5.6640625" customWidth="1"/>
    <col min="20" max="20" width="6.109375" customWidth="1"/>
    <col min="21" max="21" width="5.44140625" customWidth="1"/>
    <col min="23" max="23" width="1.6640625" customWidth="1"/>
  </cols>
  <sheetData>
    <row r="1" spans="1:23" ht="36" customHeight="1" x14ac:dyDescent="0.3">
      <c r="A1" s="110" t="s">
        <v>182</v>
      </c>
      <c r="B1" s="74"/>
      <c r="C1" s="74"/>
      <c r="D1" s="74"/>
      <c r="E1" s="74"/>
      <c r="F1" s="74"/>
      <c r="G1" s="74"/>
    </row>
    <row r="2" spans="1:23" ht="15.75" customHeight="1" x14ac:dyDescent="0.3">
      <c r="A2" s="73" t="s">
        <v>183</v>
      </c>
      <c r="B2" s="74"/>
      <c r="C2" s="74"/>
      <c r="D2" s="74"/>
      <c r="E2" s="74"/>
      <c r="F2" s="74"/>
      <c r="G2" s="74"/>
    </row>
    <row r="3" spans="1:23" ht="24" customHeight="1" x14ac:dyDescent="0.3">
      <c r="A3" s="113" t="s">
        <v>184</v>
      </c>
      <c r="B3" s="80"/>
      <c r="C3" s="80"/>
      <c r="D3" s="80"/>
      <c r="E3" s="80"/>
      <c r="F3" s="80"/>
      <c r="G3" s="80"/>
    </row>
    <row r="4" spans="1:23" ht="24" customHeight="1" x14ac:dyDescent="0.3">
      <c r="A4" s="44"/>
      <c r="B4" s="28" t="s">
        <v>185</v>
      </c>
      <c r="C4" s="28" t="s">
        <v>186</v>
      </c>
      <c r="D4" s="28" t="s">
        <v>187</v>
      </c>
      <c r="E4" s="28" t="s">
        <v>188</v>
      </c>
      <c r="F4" s="28" t="s">
        <v>189</v>
      </c>
      <c r="G4" s="28" t="s">
        <v>188</v>
      </c>
      <c r="I4" s="118" t="s">
        <v>190</v>
      </c>
      <c r="J4" s="118"/>
      <c r="K4" s="118"/>
      <c r="L4" s="118"/>
      <c r="M4" s="118"/>
      <c r="N4" s="118"/>
      <c r="O4" s="118"/>
      <c r="P4" s="118"/>
      <c r="Q4" s="118"/>
    </row>
    <row r="5" spans="1:23" ht="25.5" customHeight="1" x14ac:dyDescent="0.3">
      <c r="A5" s="15"/>
      <c r="B5" s="45" t="s">
        <v>191</v>
      </c>
      <c r="C5" s="46" t="s">
        <v>196</v>
      </c>
      <c r="D5" s="47" t="s">
        <v>193</v>
      </c>
      <c r="E5" s="48"/>
      <c r="F5" s="47" t="s">
        <v>194</v>
      </c>
      <c r="G5" s="49"/>
      <c r="H5" s="2"/>
      <c r="I5" s="119" t="s">
        <v>15</v>
      </c>
      <c r="J5" s="119"/>
      <c r="K5" s="119"/>
      <c r="L5" s="97" t="s">
        <v>195</v>
      </c>
      <c r="M5" s="98"/>
      <c r="N5" s="98"/>
      <c r="O5" s="98"/>
      <c r="P5" s="98"/>
      <c r="Q5" s="99"/>
    </row>
    <row r="6" spans="1:23" ht="25.5" customHeight="1" x14ac:dyDescent="0.3">
      <c r="A6" s="16"/>
      <c r="B6" s="50" t="s">
        <v>65</v>
      </c>
      <c r="C6" s="46" t="s">
        <v>192</v>
      </c>
      <c r="D6" s="47" t="s">
        <v>197</v>
      </c>
      <c r="E6" s="48">
        <v>20</v>
      </c>
      <c r="F6" s="47" t="s">
        <v>194</v>
      </c>
      <c r="G6" s="49">
        <v>10000</v>
      </c>
      <c r="H6" s="2"/>
      <c r="I6" s="119" t="s">
        <v>198</v>
      </c>
      <c r="J6" s="119"/>
      <c r="K6" s="119"/>
      <c r="L6" s="97"/>
      <c r="M6" s="98"/>
      <c r="N6" s="98"/>
      <c r="O6" s="98"/>
      <c r="P6" s="98"/>
      <c r="Q6" s="99"/>
    </row>
    <row r="7" spans="1:23" ht="25.5" customHeight="1" x14ac:dyDescent="0.3">
      <c r="A7" s="17"/>
      <c r="B7" s="51" t="s">
        <v>199</v>
      </c>
      <c r="C7" s="46" t="s">
        <v>196</v>
      </c>
      <c r="D7" s="47" t="s">
        <v>193</v>
      </c>
      <c r="E7" s="48"/>
      <c r="F7" s="47" t="s">
        <v>200</v>
      </c>
      <c r="G7" s="49"/>
      <c r="H7" s="2"/>
      <c r="I7" s="119" t="s">
        <v>201</v>
      </c>
      <c r="J7" s="119"/>
      <c r="K7" s="119"/>
      <c r="L7" s="123"/>
      <c r="M7" s="98"/>
      <c r="N7" s="98"/>
      <c r="O7" s="98"/>
      <c r="P7" s="98"/>
      <c r="Q7" s="99"/>
    </row>
    <row r="8" spans="1:23" ht="25.5" customHeight="1" x14ac:dyDescent="0.3">
      <c r="A8" s="18"/>
      <c r="B8" s="52" t="s">
        <v>202</v>
      </c>
      <c r="C8" s="46" t="s">
        <v>196</v>
      </c>
      <c r="D8" s="47" t="s">
        <v>203</v>
      </c>
      <c r="E8" s="48"/>
      <c r="F8" s="47" t="s">
        <v>200</v>
      </c>
      <c r="G8" s="49"/>
      <c r="H8" s="2"/>
      <c r="I8" s="119" t="s">
        <v>204</v>
      </c>
      <c r="J8" s="119"/>
      <c r="K8" s="119"/>
      <c r="L8" s="97" t="s">
        <v>195</v>
      </c>
      <c r="M8" s="98"/>
      <c r="N8" s="98"/>
      <c r="O8" s="98"/>
      <c r="P8" s="98"/>
      <c r="Q8" s="99"/>
    </row>
    <row r="9" spans="1:23" ht="25.5" customHeight="1" x14ac:dyDescent="0.3">
      <c r="A9" s="19"/>
      <c r="B9" s="53" t="s">
        <v>205</v>
      </c>
      <c r="C9" s="46" t="s">
        <v>196</v>
      </c>
      <c r="D9" s="47" t="s">
        <v>206</v>
      </c>
      <c r="E9" s="54"/>
      <c r="F9" s="55" t="s">
        <v>207</v>
      </c>
      <c r="G9" s="54"/>
      <c r="H9" s="2"/>
      <c r="I9" s="100" t="s">
        <v>208</v>
      </c>
      <c r="J9" s="101"/>
      <c r="K9" s="101"/>
      <c r="L9" s="101"/>
      <c r="M9" s="101"/>
      <c r="N9" s="101"/>
      <c r="O9" s="101"/>
      <c r="P9" s="101"/>
      <c r="Q9" s="101"/>
    </row>
    <row r="10" spans="1:23" ht="25.5" customHeight="1" x14ac:dyDescent="0.3">
      <c r="A10" s="56"/>
      <c r="B10" s="57" t="s">
        <v>209</v>
      </c>
      <c r="C10" s="46" t="s">
        <v>196</v>
      </c>
      <c r="D10" s="58" t="s">
        <v>210</v>
      </c>
      <c r="E10" s="120"/>
      <c r="F10" s="121"/>
      <c r="G10" s="122"/>
      <c r="H10" s="2"/>
      <c r="I10" s="100" t="s">
        <v>211</v>
      </c>
      <c r="J10" s="101"/>
      <c r="K10" s="101"/>
      <c r="L10" s="101"/>
      <c r="M10" s="101"/>
      <c r="N10" s="101"/>
      <c r="O10" s="101"/>
      <c r="P10" s="101"/>
      <c r="Q10" s="101"/>
    </row>
    <row r="11" spans="1:23" ht="23.25" customHeight="1" x14ac:dyDescent="0.3">
      <c r="A11" s="104" t="str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  <c r="B11" s="74"/>
      <c r="C11" s="74"/>
      <c r="D11" s="74"/>
      <c r="E11" s="74"/>
      <c r="F11" s="74"/>
      <c r="G11" s="74"/>
      <c r="I11" s="101"/>
      <c r="J11" s="101"/>
      <c r="K11" s="101"/>
      <c r="L11" s="101"/>
      <c r="M11" s="101"/>
      <c r="N11" s="101"/>
      <c r="O11" s="101"/>
      <c r="P11" s="101"/>
      <c r="Q11" s="101"/>
    </row>
    <row r="12" spans="1:23" ht="20.25" customHeight="1" x14ac:dyDescent="0.3">
      <c r="A12" s="115" t="str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 xml:space="preserve">  ✅  All inputs valid — results are ready</v>
      </c>
      <c r="B12" s="74"/>
      <c r="C12" s="74"/>
      <c r="D12" s="74"/>
      <c r="E12" s="74"/>
      <c r="F12" s="74"/>
      <c r="G12" s="74"/>
      <c r="I12" s="129" t="str">
        <f>IF(H13=0,"Select a system or keywords to rank projects",IF(COUNT(_Helper!BH2:BH501)=0,"No matches. Broaden or clear the filters.",COUNT(_Helper!BH2:BH501)&amp;" matching projects"))</f>
        <v>40 matching projects</v>
      </c>
      <c r="J12" s="129"/>
      <c r="K12" s="129"/>
      <c r="L12" s="129"/>
      <c r="M12" s="129"/>
      <c r="N12" s="129"/>
      <c r="O12" s="129"/>
      <c r="P12" s="129"/>
      <c r="Q12" s="129"/>
    </row>
    <row r="13" spans="1:23" ht="21" hidden="1" customHeight="1" x14ac:dyDescent="0.3">
      <c r="B13" s="59">
        <f>IF(C5="YES",1,0)</f>
        <v>0</v>
      </c>
      <c r="C13" s="59">
        <f>IF(C6="YES",1,0)</f>
        <v>1</v>
      </c>
      <c r="D13" s="59">
        <f>IF(C7="YES",1,0)</f>
        <v>0</v>
      </c>
      <c r="E13" s="59">
        <f>IF(C8="YES",1,0)</f>
        <v>0</v>
      </c>
      <c r="F13" s="59">
        <f>IF(C9="YES",1,0)</f>
        <v>0</v>
      </c>
      <c r="G13" s="59">
        <f>IF(C10="YES",1,0)</f>
        <v>0</v>
      </c>
      <c r="H13" s="59">
        <f>SUM(B13:F13)*2+G13</f>
        <v>2</v>
      </c>
      <c r="I13" s="59" t="str">
        <f>IFERROR(TRIM(MID(SUBSTITUTE(TRIM('Smart Search'!E10)," ",REPT(" ",100)),1,100)),"")</f>
        <v/>
      </c>
      <c r="J13" s="59" t="str">
        <f>IFERROR(TRIM(MID(SUBSTITUTE(TRIM('Smart Search'!E10)," ",REPT(" ",100)),101,100)),"")</f>
        <v/>
      </c>
      <c r="K13" s="59" t="str">
        <f>IFERROR(TRIM(MID(SUBSTITUTE(TRIM('Smart Search'!E10)," ",REPT(" ",100)),201,100)),"")</f>
        <v/>
      </c>
      <c r="L13" s="59" t="str">
        <f>IFERROR(TRIM(MID(SUBSTITUTE(TRIM('Smart Search'!E10)," ",REPT(" ",100)),301,100)),"")</f>
        <v/>
      </c>
      <c r="M13" s="59" t="str">
        <f>IFERROR(TRIM(MID(SUBSTITUTE(TRIM('Smart Search'!E10)," ",REPT(" ",100)),401,100)),"")</f>
        <v/>
      </c>
      <c r="N13" s="59" t="str">
        <f>IFERROR(TRIM(MID(SUBSTITUTE(TRIM('Smart Search'!E10)," ",REPT(" ",100)),501,100)),"")</f>
        <v/>
      </c>
      <c r="O13" s="59" t="str">
        <f>IFERROR(TRIM(MID(SUBSTITUTE(TRIM('Smart Search'!E10)," ",REPT(" ",100)),701,100)),"")</f>
        <v/>
      </c>
      <c r="P13" s="59" t="str">
        <f>IFERROR(TRIM(MID(SUBSTITUTE(TRIM('Smart Search'!E10)," ",REPT(" ",100)),801,100)),"")</f>
        <v/>
      </c>
      <c r="Q13" s="59" t="str">
        <f>IFERROR(TRIM(MID(SUBSTITUTE(TRIM('Smart Search'!E10)," ",REPT(" ",100)),901,100)),"")</f>
        <v/>
      </c>
      <c r="R13" s="59" t="str">
        <f>IFERROR(TRIM(MID(SUBSTITUTE(TRIM('Smart Search'!E10)," ",REPT(" ",100)),1001,100)),"")</f>
        <v/>
      </c>
      <c r="S13" s="59" t="str">
        <f>IFERROR(TRIM(MID(SUBSTITUTE(TRIM('Smart Search'!E10)," ",REPT(" ",100)),1101,100)),"")</f>
        <v/>
      </c>
      <c r="T13" s="59" t="str">
        <f>IFERROR(TRIM(MID(SUBSTITUTE(TRIM('Smart Search'!E10)," ",REPT(" ",100)),1201,100)),"")</f>
        <v/>
      </c>
      <c r="U13" s="59" t="str">
        <f>IFERROR(TRIM(MID(SUBSTITUTE(TRIM('Smart Search'!E10)," ",REPT(" ",100)),1301,100)),"")</f>
        <v/>
      </c>
      <c r="V13" s="59" t="str">
        <f>IFERROR(TRIM(MID(SUBSTITUTE(TRIM('Smart Search'!E10)," ",REPT(" ",100)),1401,100)),"")</f>
        <v/>
      </c>
      <c r="W13" s="59">
        <f>IF(TRIM('Smart Search'!E10)="",0,LEN(TRIM('Smart Search'!E10))-LEN(SUBSTITUTE(TRIM('Smart Search'!E10)," ",""))+1)</f>
        <v>0</v>
      </c>
    </row>
    <row r="14" spans="1:23" ht="30" customHeight="1" x14ac:dyDescent="0.3">
      <c r="A14" s="86" t="str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</row>
    <row r="15" spans="1:23" ht="24" customHeight="1" thickBot="1" x14ac:dyDescent="0.35">
      <c r="A15" s="117" t="s">
        <v>212</v>
      </c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</row>
    <row r="16" spans="1:23" ht="36" customHeight="1" x14ac:dyDescent="0.3">
      <c r="A16" s="28" t="s">
        <v>213</v>
      </c>
      <c r="B16" s="28" t="s">
        <v>214</v>
      </c>
      <c r="C16" s="28" t="s">
        <v>215</v>
      </c>
      <c r="D16" s="28" t="s">
        <v>216</v>
      </c>
      <c r="E16" s="28" t="s">
        <v>217</v>
      </c>
      <c r="F16" s="28" t="s">
        <v>218</v>
      </c>
      <c r="G16" s="28" t="s">
        <v>219</v>
      </c>
      <c r="H16" s="28" t="s">
        <v>220</v>
      </c>
      <c r="I16" s="28" t="s">
        <v>221</v>
      </c>
      <c r="J16" s="28" t="s">
        <v>222</v>
      </c>
      <c r="K16" s="28" t="s">
        <v>223</v>
      </c>
      <c r="L16" s="28" t="s">
        <v>224</v>
      </c>
      <c r="M16" s="28" t="s">
        <v>225</v>
      </c>
      <c r="N16" s="28" t="s">
        <v>226</v>
      </c>
      <c r="O16" s="28" t="s">
        <v>227</v>
      </c>
      <c r="P16" s="28" t="s">
        <v>228</v>
      </c>
      <c r="Q16" s="28" t="s">
        <v>229</v>
      </c>
      <c r="R16" s="28" t="s">
        <v>230</v>
      </c>
      <c r="S16" s="28" t="s">
        <v>231</v>
      </c>
      <c r="T16" s="28" t="s">
        <v>232</v>
      </c>
      <c r="U16" s="28" t="s">
        <v>233</v>
      </c>
    </row>
    <row r="17" spans="1:21" ht="18.75" customHeight="1" x14ac:dyDescent="0.3">
      <c r="A17" s="60">
        <v>1</v>
      </c>
      <c r="B17" s="34" t="str">
        <f>IFERROR(INDEX(_Helper!A2:A501,MATCH(LARGE(_Helper!BH2:BH501,1),_Helper!BH2:BH501,0)),"-")</f>
        <v>SC22126</v>
      </c>
      <c r="C17" s="61" t="str">
        <f>IFERROR(INDEX(_Helper!B2:B501,MATCH(LARGE(_Helper!BH2:BH501,1),_Helper!BH2:BH501,0)),"-")</f>
        <v>Plexus Riverside</v>
      </c>
      <c r="D17" s="34">
        <f>IFERROR(INDEX(_Helper!C2:C501,MATCH(LARGE(_Helper!BH2:BH501,1),_Helper!BH2:BH501,0)),"-")</f>
        <v>0</v>
      </c>
      <c r="E17" s="34">
        <f>IFERROR(INDEX(_Helper!D2:D501,MATCH(LARGE(_Helper!BH2:BH501,1),_Helper!BH2:BH501,0)),"-")</f>
        <v>0</v>
      </c>
      <c r="F17" s="34">
        <f>IFERROR(INDEX(_Helper!E2:E501,MATCH(LARGE(_Helper!BH2:BH501,1),_Helper!BH2:BH501,0)),"-")</f>
        <v>14</v>
      </c>
      <c r="G17" s="34">
        <f>IFERROR(INDEX(_Helper!F2:F501,MATCH(LARGE(_Helper!BH2:BH501,1),_Helper!BH2:BH501,0)),"-")</f>
        <v>11000</v>
      </c>
      <c r="H17" s="34">
        <f>IFERROR(INDEX(_Helper!G2:G501,MATCH(LARGE(_Helper!BH2:BH501,1),_Helper!BH2:BH501,0)),"-")</f>
        <v>0</v>
      </c>
      <c r="I17" s="34">
        <f>IFERROR(INDEX(_Helper!H2:H501,MATCH(LARGE(_Helper!BH2:BH501,1),_Helper!BH2:BH501,0)),"-")</f>
        <v>0</v>
      </c>
      <c r="J17" s="34">
        <f>IFERROR(INDEX(_Helper!I2:I501,MATCH(LARGE(_Helper!BH2:BH501,1),_Helper!BH2:BH501,0)),"-")</f>
        <v>0</v>
      </c>
      <c r="K17" s="34">
        <f>IFERROR(INDEX(_Helper!J2:J501,MATCH(LARGE(_Helper!BH2:BH501,1),_Helper!BH2:BH501,0)),"-")</f>
        <v>0</v>
      </c>
      <c r="L17" s="34">
        <f>IFERROR(INDEX(_Helper!K2:K501,MATCH(LARGE(_Helper!BH2:BH501,1),_Helper!BH2:BH501,0)),"-")</f>
        <v>0</v>
      </c>
      <c r="M17" s="34">
        <f>IFERROR(INDEX(_Helper!L2:L501,MATCH(LARGE(_Helper!BH2:BH501,1),_Helper!BH2:BH501,0)),"-")</f>
        <v>0</v>
      </c>
      <c r="N17" s="62">
        <f>IFERROR(INDEX(_Helper!BH2:BH501,MATCH(LARGE(_Helper!BH2:BH501,1),_Helper!BH2:BH501,0)),"-")</f>
        <v>0.8045454579454544</v>
      </c>
      <c r="O17" s="34">
        <f>IFERROR(INDEX(_Helper!M2:M501,MATCH(LARGE(_Helper!BH2:BH501,1),_Helper!BH2:BH501,0)),"-")</f>
        <v>25</v>
      </c>
      <c r="P17" s="34">
        <f>IFERROR(INDEX(_Helper!N2:N501,MATCH(LARGE(_Helper!BH2:BH501,1),_Helper!BH2:BH501,0)),"-")</f>
        <v>2</v>
      </c>
      <c r="Q17" s="34">
        <f>IFERROR(INDEX(_Helper!O2:O501,MATCH(LARGE(_Helper!BH2:BH501,1),_Helper!BH2:BH501,0)),"-")</f>
        <v>12</v>
      </c>
      <c r="R17" s="34">
        <f>IFERROR(INDEX(_Helper!P2:P501,MATCH(LARGE(_Helper!BH2:BH501,1),_Helper!BH2:BH501,0)),"-")</f>
        <v>40</v>
      </c>
      <c r="S17" s="34">
        <f>IFERROR(INDEX(_Helper!Q2:Q501,MATCH(LARGE(_Helper!BH2:BH501,1),_Helper!BH2:BH501,0)),"-")</f>
        <v>10</v>
      </c>
      <c r="T17" s="34">
        <f>IFERROR(INDEX(_Helper!R2:R501,MATCH(LARGE(_Helper!BH2:BH501,1),_Helper!BH2:BH501,0)),"-")</f>
        <v>15</v>
      </c>
      <c r="U17" s="34">
        <f>IFERROR(INDEX(_Helper!S2:S501,MATCH(LARGE(_Helper!BH2:BH501,1),_Helper!BH2:BH501,0)),"-")</f>
        <v>52</v>
      </c>
    </row>
    <row r="18" spans="1:21" ht="19.5" customHeight="1" x14ac:dyDescent="0.3">
      <c r="A18" s="63">
        <v>2</v>
      </c>
      <c r="B18" s="33" t="str">
        <f>IFERROR(INDEX(_Helper!A2:A501,MATCH(LARGE(_Helper!BH2:BH501,2),_Helper!BH2:BH501,0)),"-")</f>
        <v>SW31261</v>
      </c>
      <c r="C18" s="32" t="str">
        <f>IFERROR(INDEX(_Helper!B2:B501,MATCH(LARGE(_Helper!BH2:BH501,2),_Helper!BH2:BH501,0)),"-")</f>
        <v>Plexus Seaside</v>
      </c>
      <c r="D18" s="33">
        <f>IFERROR(INDEX(_Helper!C2:C501,MATCH(LARGE(_Helper!BH2:BH501,2),_Helper!BH2:BH501,0)),"-")</f>
        <v>0</v>
      </c>
      <c r="E18" s="33">
        <f>IFERROR(INDEX(_Helper!D2:D501,MATCH(LARGE(_Helper!BH2:BH501,2),_Helper!BH2:BH501,0)),"-")</f>
        <v>0</v>
      </c>
      <c r="F18" s="33">
        <f>IFERROR(INDEX(_Helper!E2:E501,MATCH(LARGE(_Helper!BH2:BH501,2),_Helper!BH2:BH501,0)),"-")</f>
        <v>12</v>
      </c>
      <c r="G18" s="33">
        <f>IFERROR(INDEX(_Helper!F2:F501,MATCH(LARGE(_Helper!BH2:BH501,2),_Helper!BH2:BH501,0)),"-")</f>
        <v>10000</v>
      </c>
      <c r="H18" s="33">
        <f>IFERROR(INDEX(_Helper!G2:G501,MATCH(LARGE(_Helper!BH2:BH501,2),_Helper!BH2:BH501,0)),"-")</f>
        <v>0</v>
      </c>
      <c r="I18" s="33">
        <f>IFERROR(INDEX(_Helper!H2:H501,MATCH(LARGE(_Helper!BH2:BH501,2),_Helper!BH2:BH501,0)),"-")</f>
        <v>0</v>
      </c>
      <c r="J18" s="33">
        <f>IFERROR(INDEX(_Helper!I2:I501,MATCH(LARGE(_Helper!BH2:BH501,2),_Helper!BH2:BH501,0)),"-")</f>
        <v>0</v>
      </c>
      <c r="K18" s="33">
        <f>IFERROR(INDEX(_Helper!J2:J501,MATCH(LARGE(_Helper!BH2:BH501,2),_Helper!BH2:BH501,0)),"-")</f>
        <v>0</v>
      </c>
      <c r="L18" s="33">
        <f>IFERROR(INDEX(_Helper!K2:K501,MATCH(LARGE(_Helper!BH2:BH501,2),_Helper!BH2:BH501,0)),"-")</f>
        <v>0</v>
      </c>
      <c r="M18" s="33">
        <f>IFERROR(INDEX(_Helper!L2:L501,MATCH(LARGE(_Helper!BH2:BH501,2),_Helper!BH2:BH501,0)),"-")</f>
        <v>0</v>
      </c>
      <c r="N18" s="64">
        <f>IFERROR(INDEX(_Helper!BH2:BH501,MATCH(LARGE(_Helper!BH2:BH501,2),_Helper!BH2:BH501,0)),"-")</f>
        <v>0.8000000033000001</v>
      </c>
      <c r="O18" s="33">
        <f>IFERROR(INDEX(_Helper!M2:M501,MATCH(LARGE(_Helper!BH2:BH501,2),_Helper!BH2:BH501,0)),"-")</f>
        <v>18</v>
      </c>
      <c r="P18" s="33">
        <f>IFERROR(INDEX(_Helper!N2:N501,MATCH(LARGE(_Helper!BH2:BH501,2),_Helper!BH2:BH501,0)),"-")</f>
        <v>2</v>
      </c>
      <c r="Q18" s="33">
        <f>IFERROR(INDEX(_Helper!O2:O501,MATCH(LARGE(_Helper!BH2:BH501,2),_Helper!BH2:BH501,0)),"-")</f>
        <v>12</v>
      </c>
      <c r="R18" s="33">
        <f>IFERROR(INDEX(_Helper!P2:P501,MATCH(LARGE(_Helper!BH2:BH501,2),_Helper!BH2:BH501,0)),"-")</f>
        <v>24</v>
      </c>
      <c r="S18" s="33">
        <f>IFERROR(INDEX(_Helper!Q2:Q501,MATCH(LARGE(_Helper!BH2:BH501,2),_Helper!BH2:BH501,0)),"-")</f>
        <v>10</v>
      </c>
      <c r="T18" s="33">
        <f>IFERROR(INDEX(_Helper!R2:R501,MATCH(LARGE(_Helper!BH2:BH501,2),_Helper!BH2:BH501,0)),"-")</f>
        <v>23</v>
      </c>
      <c r="U18" s="33">
        <f>IFERROR(INDEX(_Helper!S2:S501,MATCH(LARGE(_Helper!BH2:BH501,2),_Helper!BH2:BH501,0)),"-")</f>
        <v>42</v>
      </c>
    </row>
    <row r="19" spans="1:21" ht="19.5" customHeight="1" x14ac:dyDescent="0.3">
      <c r="A19" s="63">
        <v>3</v>
      </c>
      <c r="B19" s="39" t="str">
        <f>IFERROR(INDEX(_Helper!A2:A501,MATCH(LARGE(_Helper!BH2:BH501,3),_Helper!BH2:BH501,0)),"-")</f>
        <v>SW31269</v>
      </c>
      <c r="C19" s="38" t="str">
        <f>IFERROR(INDEX(_Helper!B2:B501,MATCH(LARGE(_Helper!BH2:BH501,3),_Helper!BH2:BH501,0)),"-")</f>
        <v>Plexus Bangkok</v>
      </c>
      <c r="D19" s="39">
        <f>IFERROR(INDEX(_Helper!C2:C501,MATCH(LARGE(_Helper!BH2:BH501,3),_Helper!BH2:BH501,0)),"-")</f>
        <v>0</v>
      </c>
      <c r="E19" s="39">
        <f>IFERROR(INDEX(_Helper!D2:D501,MATCH(LARGE(_Helper!BH2:BH501,3),_Helper!BH2:BH501,0)),"-")</f>
        <v>0</v>
      </c>
      <c r="F19" s="39">
        <f>IFERROR(INDEX(_Helper!E2:E501,MATCH(LARGE(_Helper!BH2:BH501,3),_Helper!BH2:BH501,0)),"-")</f>
        <v>10</v>
      </c>
      <c r="G19" s="39">
        <f>IFERROR(INDEX(_Helper!F2:F501,MATCH(LARGE(_Helper!BH2:BH501,3),_Helper!BH2:BH501,0)),"-")</f>
        <v>10000</v>
      </c>
      <c r="H19" s="39">
        <f>IFERROR(INDEX(_Helper!G2:G501,MATCH(LARGE(_Helper!BH2:BH501,3),_Helper!BH2:BH501,0)),"-")</f>
        <v>0</v>
      </c>
      <c r="I19" s="39">
        <f>IFERROR(INDEX(_Helper!H2:H501,MATCH(LARGE(_Helper!BH2:BH501,3),_Helper!BH2:BH501,0)),"-")</f>
        <v>0</v>
      </c>
      <c r="J19" s="39">
        <f>IFERROR(INDEX(_Helper!I2:I501,MATCH(LARGE(_Helper!BH2:BH501,3),_Helper!BH2:BH501,0)),"-")</f>
        <v>0</v>
      </c>
      <c r="K19" s="39">
        <f>IFERROR(INDEX(_Helper!J2:J501,MATCH(LARGE(_Helper!BH2:BH501,3),_Helper!BH2:BH501,0)),"-")</f>
        <v>0</v>
      </c>
      <c r="L19" s="39">
        <f>IFERROR(INDEX(_Helper!K2:K501,MATCH(LARGE(_Helper!BH2:BH501,3),_Helper!BH2:BH501,0)),"-")</f>
        <v>0</v>
      </c>
      <c r="M19" s="39">
        <f>IFERROR(INDEX(_Helper!L2:L501,MATCH(LARGE(_Helper!BH2:BH501,3),_Helper!BH2:BH501,0)),"-")</f>
        <v>0</v>
      </c>
      <c r="N19" s="65">
        <f>IFERROR(INDEX(_Helper!BH2:BH501,MATCH(LARGE(_Helper!BH2:BH501,3),_Helper!BH2:BH501,0)),"-")</f>
        <v>0.7500000013</v>
      </c>
      <c r="O19" s="39">
        <f>IFERROR(INDEX(_Helper!M2:M501,MATCH(LARGE(_Helper!BH2:BH501,3),_Helper!BH2:BH501,0)),"-")</f>
        <v>24</v>
      </c>
      <c r="P19" s="39">
        <f>IFERROR(INDEX(_Helper!N2:N501,MATCH(LARGE(_Helper!BH2:BH501,3),_Helper!BH2:BH501,0)),"-")</f>
        <v>2</v>
      </c>
      <c r="Q19" s="39">
        <f>IFERROR(INDEX(_Helper!O2:O501,MATCH(LARGE(_Helper!BH2:BH501,3),_Helper!BH2:BH501,0)),"-")</f>
        <v>12</v>
      </c>
      <c r="R19" s="39">
        <f>IFERROR(INDEX(_Helper!P2:P501,MATCH(LARGE(_Helper!BH2:BH501,3),_Helper!BH2:BH501,0)),"-")</f>
        <v>23</v>
      </c>
      <c r="S19" s="39">
        <f>IFERROR(INDEX(_Helper!Q2:Q501,MATCH(LARGE(_Helper!BH2:BH501,3),_Helper!BH2:BH501,0)),"-")</f>
        <v>9</v>
      </c>
      <c r="T19" s="39">
        <f>IFERROR(INDEX(_Helper!R2:R501,MATCH(LARGE(_Helper!BH2:BH501,3),_Helper!BH2:BH501,0)),"-")</f>
        <v>11</v>
      </c>
      <c r="U19" s="39">
        <f>IFERROR(INDEX(_Helper!S2:S501,MATCH(LARGE(_Helper!BH2:BH501,3),_Helper!BH2:BH501,0)),"-")</f>
        <v>47</v>
      </c>
    </row>
    <row r="20" spans="1:21" ht="19.5" customHeight="1" x14ac:dyDescent="0.3">
      <c r="A20" s="63">
        <v>4</v>
      </c>
      <c r="B20" s="33" t="str">
        <f>IFERROR(INDEX(_Helper!A2:A501,MATCH(LARGE(_Helper!BH2:BH501,4),_Helper!BH2:BH501,0)),"-")</f>
        <v>SC22191</v>
      </c>
      <c r="C20" s="32" t="str">
        <f>IFERROR(INDEX(_Helper!B2:B501,MATCH(LARGE(_Helper!BH2:BH501,4),_Helper!BH2:BH501,0)),"-")</f>
        <v>Plexus Bridgeview</v>
      </c>
      <c r="D20" s="33">
        <f>IFERROR(INDEX(_Helper!C2:C501,MATCH(LARGE(_Helper!BH2:BH501,4),_Helper!BH2:BH501,0)),"-")</f>
        <v>0</v>
      </c>
      <c r="E20" s="33">
        <f>IFERROR(INDEX(_Helper!D2:D501,MATCH(LARGE(_Helper!BH2:BH501,4),_Helper!BH2:BH501,0)),"-")</f>
        <v>0</v>
      </c>
      <c r="F20" s="33">
        <f>IFERROR(INDEX(_Helper!E2:E501,MATCH(LARGE(_Helper!BH2:BH501,4),_Helper!BH2:BH501,0)),"-")</f>
        <v>20</v>
      </c>
      <c r="G20" s="33">
        <f>IFERROR(INDEX(_Helper!F2:F501,MATCH(LARGE(_Helper!BH2:BH501,4),_Helper!BH2:BH501,0)),"-")</f>
        <v>10000</v>
      </c>
      <c r="H20" s="33">
        <f>IFERROR(INDEX(_Helper!G2:G501,MATCH(LARGE(_Helper!BH2:BH501,4),_Helper!BH2:BH501,0)),"-")</f>
        <v>0</v>
      </c>
      <c r="I20" s="33">
        <f>IFERROR(INDEX(_Helper!H2:H501,MATCH(LARGE(_Helper!BH2:BH501,4),_Helper!BH2:BH501,0)),"-")</f>
        <v>0</v>
      </c>
      <c r="J20" s="33">
        <f>IFERROR(INDEX(_Helper!I2:I501,MATCH(LARGE(_Helper!BH2:BH501,4),_Helper!BH2:BH501,0)),"-")</f>
        <v>0</v>
      </c>
      <c r="K20" s="33">
        <f>IFERROR(INDEX(_Helper!J2:J501,MATCH(LARGE(_Helper!BH2:BH501,4),_Helper!BH2:BH501,0)),"-")</f>
        <v>0</v>
      </c>
      <c r="L20" s="33">
        <f>IFERROR(INDEX(_Helper!K2:K501,MATCH(LARGE(_Helper!BH2:BH501,4),_Helper!BH2:BH501,0)),"-")</f>
        <v>100</v>
      </c>
      <c r="M20" s="33">
        <f>IFERROR(INDEX(_Helper!L2:L501,MATCH(LARGE(_Helper!BH2:BH501,4),_Helper!BH2:BH501,0)),"-")</f>
        <v>0</v>
      </c>
      <c r="N20" s="64">
        <f>IFERROR(INDEX(_Helper!BH2:BH501,MATCH(LARGE(_Helper!BH2:BH501,4),_Helper!BH2:BH501,0)),"-")</f>
        <v>0.75000000119999999</v>
      </c>
      <c r="O20" s="33">
        <f>IFERROR(INDEX(_Helper!M2:M501,MATCH(LARGE(_Helper!BH2:BH501,4),_Helper!BH2:BH501,0)),"-")</f>
        <v>25</v>
      </c>
      <c r="P20" s="33">
        <f>IFERROR(INDEX(_Helper!N2:N501,MATCH(LARGE(_Helper!BH2:BH501,4),_Helper!BH2:BH501,0)),"-")</f>
        <v>2</v>
      </c>
      <c r="Q20" s="33">
        <f>IFERROR(INDEX(_Helper!O2:O501,MATCH(LARGE(_Helper!BH2:BH501,4),_Helper!BH2:BH501,0)),"-")</f>
        <v>12</v>
      </c>
      <c r="R20" s="33">
        <f>IFERROR(INDEX(_Helper!P2:P501,MATCH(LARGE(_Helper!BH2:BH501,4),_Helper!BH2:BH501,0)),"-")</f>
        <v>25</v>
      </c>
      <c r="S20" s="33">
        <f>IFERROR(INDEX(_Helper!Q2:Q501,MATCH(LARGE(_Helper!BH2:BH501,4),_Helper!BH2:BH501,0)),"-")</f>
        <v>8</v>
      </c>
      <c r="T20" s="33">
        <f>IFERROR(INDEX(_Helper!R2:R501,MATCH(LARGE(_Helper!BH2:BH501,4),_Helper!BH2:BH501,0)),"-")</f>
        <v>18</v>
      </c>
      <c r="U20" s="33">
        <f>IFERROR(INDEX(_Helper!S2:S501,MATCH(LARGE(_Helper!BH2:BH501,4),_Helper!BH2:BH501,0)),"-")</f>
        <v>47</v>
      </c>
    </row>
    <row r="21" spans="1:21" ht="24" customHeight="1" x14ac:dyDescent="0.3">
      <c r="A21" s="63">
        <v>5</v>
      </c>
      <c r="B21" s="39" t="str">
        <f>IFERROR(INDEX(_Helper!A2:A501,MATCH(LARGE(_Helper!BH2:BH501,5),_Helper!BH2:BH501,0)),"-")</f>
        <v>SC22207</v>
      </c>
      <c r="C21" s="38" t="str">
        <f>IFERROR(INDEX(_Helper!B2:B501,MATCH(LARGE(_Helper!BH2:BH501,5),_Helper!BH2:BH501,0)),"-")</f>
        <v>Siemens Gebze</v>
      </c>
      <c r="D21" s="39">
        <f>IFERROR(INDEX(_Helper!C2:C501,MATCH(LARGE(_Helper!BH2:BH501,5),_Helper!BH2:BH501,0)),"-")</f>
        <v>0</v>
      </c>
      <c r="E21" s="39">
        <f>IFERROR(INDEX(_Helper!D2:D501,MATCH(LARGE(_Helper!BH2:BH501,5),_Helper!BH2:BH501,0)),"-")</f>
        <v>0</v>
      </c>
      <c r="F21" s="39">
        <f>IFERROR(INDEX(_Helper!E2:E501,MATCH(LARGE(_Helper!BH2:BH501,5),_Helper!BH2:BH501,0)),"-")</f>
        <v>15</v>
      </c>
      <c r="G21" s="39">
        <f>IFERROR(INDEX(_Helper!F2:F501,MATCH(LARGE(_Helper!BH2:BH501,5),_Helper!BH2:BH501,0)),"-")</f>
        <v>20000</v>
      </c>
      <c r="H21" s="39">
        <f>IFERROR(INDEX(_Helper!G2:G501,MATCH(LARGE(_Helper!BH2:BH501,5),_Helper!BH2:BH501,0)),"-")</f>
        <v>0</v>
      </c>
      <c r="I21" s="39">
        <f>IFERROR(INDEX(_Helper!H2:H501,MATCH(LARGE(_Helper!BH2:BH501,5),_Helper!BH2:BH501,0)),"-")</f>
        <v>0</v>
      </c>
      <c r="J21" s="39">
        <f>IFERROR(INDEX(_Helper!I2:I501,MATCH(LARGE(_Helper!BH2:BH501,5),_Helper!BH2:BH501,0)),"-")</f>
        <v>0</v>
      </c>
      <c r="K21" s="39">
        <f>IFERROR(INDEX(_Helper!J2:J501,MATCH(LARGE(_Helper!BH2:BH501,5),_Helper!BH2:BH501,0)),"-")</f>
        <v>0</v>
      </c>
      <c r="L21" s="39">
        <f>IFERROR(INDEX(_Helper!K2:K501,MATCH(LARGE(_Helper!BH2:BH501,5),_Helper!BH2:BH501,0)),"-")</f>
        <v>0</v>
      </c>
      <c r="M21" s="39">
        <f>IFERROR(INDEX(_Helper!L2:L501,MATCH(LARGE(_Helper!BH2:BH501,5),_Helper!BH2:BH501,0)),"-")</f>
        <v>0</v>
      </c>
      <c r="N21" s="65">
        <f>IFERROR(INDEX(_Helper!BH2:BH501,MATCH(LARGE(_Helper!BH2:BH501,5),_Helper!BH2:BH501,0)),"-")</f>
        <v>0.62500000170000003</v>
      </c>
      <c r="O21" s="39">
        <f>IFERROR(INDEX(_Helper!M2:M501,MATCH(LARGE(_Helper!BH2:BH501,5),_Helper!BH2:BH501,0)),"-")</f>
        <v>26</v>
      </c>
      <c r="P21" s="39">
        <f>IFERROR(INDEX(_Helper!N2:N501,MATCH(LARGE(_Helper!BH2:BH501,5),_Helper!BH2:BH501,0)),"-")</f>
        <v>0</v>
      </c>
      <c r="Q21" s="39">
        <f>IFERROR(INDEX(_Helper!O2:O501,MATCH(LARGE(_Helper!BH2:BH501,5),_Helper!BH2:BH501,0)),"-")</f>
        <v>12</v>
      </c>
      <c r="R21" s="39">
        <f>IFERROR(INDEX(_Helper!P2:P501,MATCH(LARGE(_Helper!BH2:BH501,5),_Helper!BH2:BH501,0)),"-")</f>
        <v>18</v>
      </c>
      <c r="S21" s="39">
        <f>IFERROR(INDEX(_Helper!Q2:Q501,MATCH(LARGE(_Helper!BH2:BH501,5),_Helper!BH2:BH501,0)),"-")</f>
        <v>9</v>
      </c>
      <c r="T21" s="39">
        <f>IFERROR(INDEX(_Helper!R2:R501,MATCH(LARGE(_Helper!BH2:BH501,5),_Helper!BH2:BH501,0)),"-")</f>
        <v>8</v>
      </c>
      <c r="U21" s="39">
        <f>IFERROR(INDEX(_Helper!S2:S501,MATCH(LARGE(_Helper!BH2:BH501,5),_Helper!BH2:BH501,0)),"-")</f>
        <v>44</v>
      </c>
    </row>
    <row r="22" spans="1:21" ht="14.25" customHeight="1" x14ac:dyDescent="0.3">
      <c r="A22" s="3"/>
    </row>
    <row r="23" spans="1:21" ht="24" customHeight="1" x14ac:dyDescent="0.3">
      <c r="A23" s="117" t="s">
        <v>234</v>
      </c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3"/>
      <c r="S23" s="3"/>
      <c r="T23" s="3"/>
      <c r="U23" s="3"/>
    </row>
    <row r="24" spans="1:21" ht="19.5" customHeight="1" x14ac:dyDescent="0.3">
      <c r="A24" s="108" t="s">
        <v>235</v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3"/>
      <c r="S24" s="3"/>
      <c r="T24" s="3"/>
      <c r="U24" s="3"/>
    </row>
    <row r="25" spans="1:21" ht="18" customHeight="1" x14ac:dyDescent="0.3">
      <c r="A25" s="107" t="s">
        <v>214</v>
      </c>
      <c r="B25" s="88"/>
      <c r="C25" s="88"/>
      <c r="D25" s="88"/>
      <c r="E25" s="107" t="s">
        <v>215</v>
      </c>
      <c r="F25" s="88"/>
      <c r="G25" s="88"/>
      <c r="H25" s="88"/>
      <c r="I25" s="88"/>
      <c r="J25" s="88"/>
      <c r="K25" s="107" t="s">
        <v>14</v>
      </c>
      <c r="L25" s="88"/>
      <c r="M25" s="88"/>
      <c r="N25" s="88"/>
      <c r="O25" s="107" t="s">
        <v>236</v>
      </c>
      <c r="P25" s="88"/>
      <c r="Q25" s="88"/>
      <c r="R25" s="3"/>
      <c r="S25" s="3"/>
      <c r="T25" s="3"/>
      <c r="U25" s="3"/>
    </row>
    <row r="26" spans="1:21" ht="25.5" customHeight="1" x14ac:dyDescent="0.3">
      <c r="A26" s="114" t="str">
        <f>IFERROR(INDEX(_Helper!A2:A501,MATCH(LARGE(_Helper!BH2:BH501,1),_Helper!BH2:BH501,0)),"-")</f>
        <v>SC22126</v>
      </c>
      <c r="B26" s="94"/>
      <c r="C26" s="94"/>
      <c r="D26" s="94"/>
      <c r="E26" s="130" t="str">
        <f>IFERROR(INDEX(_Helper!B2:B501,MATCH(LARGE(_Helper!BH2:BH501,1),_Helper!BH2:BH501,0)),"-")</f>
        <v>Plexus Riverside</v>
      </c>
      <c r="F26" s="94"/>
      <c r="G26" s="94"/>
      <c r="H26" s="94"/>
      <c r="I26" s="94"/>
      <c r="J26" s="94"/>
      <c r="K26" s="106" t="str">
        <f>IFERROR(INDEX('Project Database'!C:C,MATCH(INDEX(_Helper!A2:A501,MATCH(LARGE(_Helper!BH2:BH501,1),_Helper!BH2:BH501,0)),'Project Database'!A:A,0)),"-")</f>
        <v>Malaysia ASIA</v>
      </c>
      <c r="L26" s="91"/>
      <c r="M26" s="91"/>
      <c r="N26" s="91"/>
      <c r="O26" s="102">
        <f>IFERROR(LARGE(_Helper!BH2:BH501,1),"-")</f>
        <v>0.8045454579454544</v>
      </c>
      <c r="P26" s="94"/>
      <c r="Q26" s="94"/>
      <c r="R26" s="3"/>
      <c r="S26" s="3"/>
      <c r="T26" s="3"/>
      <c r="U26" s="3"/>
    </row>
    <row r="27" spans="1:21" ht="21.75" customHeight="1" x14ac:dyDescent="0.3">
      <c r="A27" s="92" t="s">
        <v>237</v>
      </c>
      <c r="B27" s="91"/>
      <c r="C27" s="91"/>
      <c r="D27" s="91"/>
      <c r="E27" s="91"/>
      <c r="F27" s="91"/>
      <c r="G27" s="91"/>
      <c r="H27" s="91"/>
      <c r="I27" s="91"/>
      <c r="J27" s="91"/>
      <c r="K27" s="111">
        <f>IFERROR(INDEX(_Helper!M2:M501,MATCH(LARGE(_Helper!BH2:BH501,1),_Helper!BH2:BH501,0)),"-")</f>
        <v>25</v>
      </c>
      <c r="L27" s="94"/>
      <c r="M27" s="94"/>
      <c r="N27" s="94"/>
      <c r="O27" s="3"/>
      <c r="P27" s="3"/>
      <c r="Q27" s="3"/>
      <c r="R27" s="3"/>
      <c r="S27" s="3"/>
      <c r="T27" s="3"/>
      <c r="U27" s="3"/>
    </row>
    <row r="28" spans="1:21" ht="21.75" customHeight="1" x14ac:dyDescent="0.3">
      <c r="A28" s="92" t="s">
        <v>238</v>
      </c>
      <c r="B28" s="91"/>
      <c r="C28" s="91"/>
      <c r="D28" s="91"/>
      <c r="E28" s="91"/>
      <c r="F28" s="91"/>
      <c r="G28" s="91"/>
      <c r="H28" s="91"/>
      <c r="I28" s="91"/>
      <c r="J28" s="91"/>
      <c r="K28" s="111">
        <f>IFERROR(INDEX(_Helper!N2:N501,MATCH(LARGE(_Helper!BH2:BH501,1),_Helper!BH2:BH501,0)),"-")</f>
        <v>2</v>
      </c>
      <c r="L28" s="94"/>
      <c r="M28" s="94"/>
      <c r="N28" s="94"/>
      <c r="O28" s="3"/>
      <c r="P28" s="3"/>
      <c r="Q28" s="3"/>
      <c r="R28" s="3"/>
      <c r="S28" s="3"/>
      <c r="T28" s="3"/>
      <c r="U28" s="3"/>
    </row>
    <row r="29" spans="1:21" ht="21.75" customHeight="1" x14ac:dyDescent="0.3">
      <c r="A29" s="92" t="s">
        <v>239</v>
      </c>
      <c r="B29" s="91"/>
      <c r="C29" s="91"/>
      <c r="D29" s="91"/>
      <c r="E29" s="91"/>
      <c r="F29" s="91"/>
      <c r="G29" s="91"/>
      <c r="H29" s="91"/>
      <c r="I29" s="91"/>
      <c r="J29" s="91"/>
      <c r="K29" s="111">
        <f>IFERROR(INDEX(_Helper!O2:O501,MATCH(LARGE(_Helper!BH2:BH501,1),_Helper!BH2:BH501,0)),"-")</f>
        <v>12</v>
      </c>
      <c r="L29" s="94"/>
      <c r="M29" s="94"/>
      <c r="N29" s="94"/>
      <c r="O29" s="3"/>
      <c r="P29" s="3"/>
      <c r="Q29" s="3"/>
      <c r="R29" s="3"/>
      <c r="S29" s="3"/>
      <c r="T29" s="3"/>
      <c r="U29" s="3"/>
    </row>
    <row r="30" spans="1:21" ht="21.75" customHeight="1" x14ac:dyDescent="0.3">
      <c r="A30" s="92" t="s">
        <v>240</v>
      </c>
      <c r="B30" s="91"/>
      <c r="C30" s="91"/>
      <c r="D30" s="91"/>
      <c r="E30" s="91"/>
      <c r="F30" s="91"/>
      <c r="G30" s="91"/>
      <c r="H30" s="91"/>
      <c r="I30" s="91"/>
      <c r="J30" s="91"/>
      <c r="K30" s="111">
        <f>IFERROR(INDEX(_Helper!P2:P501,MATCH(LARGE(_Helper!BH2:BH501,1),_Helper!BH2:BH501,0)),"-")</f>
        <v>40</v>
      </c>
      <c r="L30" s="94"/>
      <c r="M30" s="94"/>
      <c r="N30" s="94"/>
      <c r="O30" s="3"/>
      <c r="P30" s="3"/>
      <c r="Q30" s="3"/>
      <c r="R30" s="3"/>
      <c r="S30" s="3"/>
      <c r="T30" s="3"/>
      <c r="U30" s="3"/>
    </row>
    <row r="31" spans="1:21" ht="21.75" customHeight="1" x14ac:dyDescent="0.3">
      <c r="A31" s="92" t="s">
        <v>241</v>
      </c>
      <c r="B31" s="91"/>
      <c r="C31" s="91"/>
      <c r="D31" s="91"/>
      <c r="E31" s="91"/>
      <c r="F31" s="91"/>
      <c r="G31" s="91"/>
      <c r="H31" s="91"/>
      <c r="I31" s="91"/>
      <c r="J31" s="91"/>
      <c r="K31" s="111">
        <f>IFERROR(INDEX(_Helper!Q2:Q501,MATCH(LARGE(_Helper!BH2:BH501,1),_Helper!BH2:BH501,0)),"-")</f>
        <v>10</v>
      </c>
      <c r="L31" s="94"/>
      <c r="M31" s="94"/>
      <c r="N31" s="94"/>
      <c r="O31" s="3"/>
      <c r="P31" s="3"/>
      <c r="Q31" s="3"/>
      <c r="R31" s="3"/>
      <c r="S31" s="3"/>
      <c r="T31" s="3"/>
      <c r="U31" s="3"/>
    </row>
    <row r="32" spans="1:21" ht="21.75" customHeight="1" x14ac:dyDescent="0.3">
      <c r="A32" s="92" t="s">
        <v>30</v>
      </c>
      <c r="B32" s="91"/>
      <c r="C32" s="91"/>
      <c r="D32" s="91"/>
      <c r="E32" s="91"/>
      <c r="F32" s="91"/>
      <c r="G32" s="91"/>
      <c r="H32" s="91"/>
      <c r="I32" s="91"/>
      <c r="J32" s="91"/>
      <c r="K32" s="111">
        <f>IFERROR(INDEX(_Helper!R2:R501,MATCH(LARGE(_Helper!BH2:BH501,1),_Helper!BH2:BH501,0)),"-")</f>
        <v>15</v>
      </c>
      <c r="L32" s="94"/>
      <c r="M32" s="94"/>
      <c r="N32" s="94"/>
      <c r="O32" s="3"/>
      <c r="P32" s="3"/>
      <c r="Q32" s="3"/>
      <c r="R32" s="3"/>
      <c r="S32" s="3"/>
      <c r="T32" s="3"/>
      <c r="U32" s="3"/>
    </row>
    <row r="33" spans="1:21" ht="21.75" customHeight="1" x14ac:dyDescent="0.3">
      <c r="A33" s="116" t="s">
        <v>242</v>
      </c>
      <c r="B33" s="91"/>
      <c r="C33" s="91"/>
      <c r="D33" s="91"/>
      <c r="E33" s="91"/>
      <c r="F33" s="91"/>
      <c r="G33" s="91"/>
      <c r="H33" s="91"/>
      <c r="I33" s="91"/>
      <c r="J33" s="91"/>
      <c r="K33" s="103">
        <f>IFERROR(INDEX(_Helper!S2:S501,MATCH(LARGE(_Helper!BH2:BH501,1),_Helper!BH2:BH501,0)),"-")</f>
        <v>52</v>
      </c>
      <c r="L33" s="94"/>
      <c r="M33" s="94"/>
      <c r="N33" s="94"/>
      <c r="O33" s="3"/>
      <c r="P33" s="3"/>
      <c r="Q33" s="3"/>
      <c r="R33" s="3"/>
      <c r="S33" s="3"/>
      <c r="T33" s="3"/>
      <c r="U33" s="3"/>
    </row>
    <row r="34" spans="1:21" ht="21.75" customHeight="1" thickBot="1" x14ac:dyDescent="0.35">
      <c r="A34" s="92" t="s">
        <v>243</v>
      </c>
      <c r="B34" s="91"/>
      <c r="C34" s="91"/>
      <c r="D34" s="91"/>
      <c r="E34" s="91"/>
      <c r="F34" s="91"/>
      <c r="G34" s="91"/>
      <c r="H34" s="91"/>
      <c r="I34" s="91"/>
      <c r="J34" s="91"/>
      <c r="K34" s="128" t="str">
        <f>IFERROR(INDEX(_Helper!T2:T501,MATCH(LARGE(_Helper!BH2:BH501,1),_Helper!BH2:BH501,0))&amp;" "&amp;TEXT(INDEX(_Helper!BY2:BY501,MATCH(LARGE(_Helper!BH2:BH501,1),_Helper!BH2:BH501,0)),"#,##0.00")&amp;" M","-")</f>
        <v>USD 1.79 M</v>
      </c>
      <c r="L34" s="94"/>
      <c r="M34" s="94"/>
      <c r="N34" s="94"/>
      <c r="O34" s="3"/>
      <c r="P34" s="3"/>
      <c r="Q34" s="3"/>
      <c r="R34" s="3"/>
      <c r="S34" s="3"/>
      <c r="T34" s="3"/>
      <c r="U34" s="3"/>
    </row>
    <row r="35" spans="1:21" ht="18" customHeight="1" thickBot="1" x14ac:dyDescent="0.35">
      <c r="A35" s="107" t="s">
        <v>244</v>
      </c>
      <c r="B35" s="88"/>
      <c r="C35" s="88"/>
      <c r="D35" s="88"/>
      <c r="E35" s="88"/>
      <c r="F35" s="88"/>
      <c r="G35" s="88"/>
      <c r="H35" s="88"/>
      <c r="I35" s="88"/>
      <c r="J35" s="88"/>
      <c r="K35" s="107" t="s">
        <v>385</v>
      </c>
      <c r="L35" s="88"/>
      <c r="M35" s="88"/>
      <c r="N35" s="88"/>
    </row>
    <row r="36" spans="1:21" ht="21.75" customHeight="1" thickBot="1" x14ac:dyDescent="0.35">
      <c r="A36" s="92" t="s">
        <v>245</v>
      </c>
      <c r="B36" s="91"/>
      <c r="C36" s="91"/>
      <c r="D36" s="91"/>
      <c r="E36" s="91"/>
      <c r="F36" s="91"/>
      <c r="G36" s="91"/>
      <c r="H36" s="91"/>
      <c r="I36" s="91"/>
      <c r="J36" s="91"/>
      <c r="K36" s="93">
        <f>IFERROR(IF(INDEX(_Helper!A2:A501,MATCH(LARGE(_Helper!BH2:BH501,1),_Helper!BH2:BH501,0))="","-",INDEX(_Helper!BJ2:BJ501,MATCH(LARGE(_Helper!BH2:BH501,1),_Helper!BH2:BH501,0))),"-")</f>
        <v>3.0585652025361378E-2</v>
      </c>
      <c r="L36" s="94"/>
      <c r="M36" s="94"/>
      <c r="N36" s="94"/>
    </row>
    <row r="37" spans="1:21" ht="21.75" customHeight="1" thickBot="1" x14ac:dyDescent="0.35">
      <c r="A37" s="92" t="s">
        <v>246</v>
      </c>
      <c r="B37" s="91"/>
      <c r="C37" s="91"/>
      <c r="D37" s="91"/>
      <c r="E37" s="91"/>
      <c r="F37" s="91"/>
      <c r="G37" s="91"/>
      <c r="H37" s="91"/>
      <c r="I37" s="91"/>
      <c r="J37" s="91"/>
      <c r="K37" s="93">
        <f>IFERROR(IF(INDEX(_Helper!A2:A501,MATCH(LARGE(_Helper!BH2:BH501,1),_Helper!BH2:BH501,0))="","-",INDEX(_Helper!BK2:BK501,MATCH(LARGE(_Helper!BH2:BH501,1),_Helper!BH2:BH501,0))),"-")</f>
        <v>6.6329113601896299E-3</v>
      </c>
      <c r="L37" s="94"/>
      <c r="M37" s="94"/>
      <c r="N37" s="94"/>
    </row>
    <row r="38" spans="1:21" ht="21.75" customHeight="1" thickBot="1" x14ac:dyDescent="0.35">
      <c r="A38" s="92" t="s">
        <v>39</v>
      </c>
      <c r="B38" s="91"/>
      <c r="C38" s="91"/>
      <c r="D38" s="91"/>
      <c r="E38" s="91"/>
      <c r="F38" s="91"/>
      <c r="G38" s="91"/>
      <c r="H38" s="91"/>
      <c r="I38" s="91"/>
      <c r="J38" s="91"/>
      <c r="K38" s="93">
        <f>IFERROR(IF(INDEX(_Helper!A2:A501,MATCH(LARGE(_Helper!BH2:BH501,1),_Helper!BH2:BH501,0))="","-",INDEX(_Helper!BL2:BL501,MATCH(LARGE(_Helper!BH2:BH501,1),_Helper!BH2:BH501,0))),"-")</f>
        <v>5.1984802925830555E-2</v>
      </c>
      <c r="L38" s="94"/>
      <c r="M38" s="94"/>
      <c r="N38" s="94"/>
    </row>
    <row r="39" spans="1:21" ht="21.75" customHeight="1" thickBot="1" x14ac:dyDescent="0.35">
      <c r="A39" s="92" t="s">
        <v>239</v>
      </c>
      <c r="B39" s="91"/>
      <c r="C39" s="91"/>
      <c r="D39" s="91"/>
      <c r="E39" s="91"/>
      <c r="F39" s="91"/>
      <c r="G39" s="91"/>
      <c r="H39" s="91"/>
      <c r="I39" s="91"/>
      <c r="J39" s="91"/>
      <c r="K39" s="93">
        <f>IFERROR(IF(INDEX(_Helper!A2:A501,MATCH(LARGE(_Helper!BH2:BH501,1),_Helper!BH2:BH501,0))="","-",INDEX(_Helper!BM2:BM501,MATCH(LARGE(_Helper!BH2:BH501,1),_Helper!BH2:BH501,0))),"-")</f>
        <v>0</v>
      </c>
      <c r="L39" s="94"/>
      <c r="M39" s="94"/>
      <c r="N39" s="94"/>
    </row>
    <row r="40" spans="1:21" ht="21.75" customHeight="1" thickBot="1" x14ac:dyDescent="0.35">
      <c r="A40" s="92" t="s">
        <v>237</v>
      </c>
      <c r="B40" s="91"/>
      <c r="C40" s="91"/>
      <c r="D40" s="91"/>
      <c r="E40" s="91"/>
      <c r="F40" s="91"/>
      <c r="G40" s="91"/>
      <c r="H40" s="91"/>
      <c r="I40" s="91"/>
      <c r="J40" s="91"/>
      <c r="K40" s="93">
        <f>IFERROR(IF(INDEX(_Helper!A2:A501,MATCH(LARGE(_Helper!BH2:BH501,1),_Helper!BH2:BH501,0))="","-",INDEX(_Helper!BN2:BN501,MATCH(LARGE(_Helper!BH2:BH501,1),_Helper!BH2:BH501,0))),"-")</f>
        <v>5.7168810674455284E-3</v>
      </c>
      <c r="L40" s="94"/>
      <c r="M40" s="94"/>
      <c r="N40" s="94"/>
    </row>
    <row r="41" spans="1:21" ht="21.75" customHeight="1" thickBot="1" x14ac:dyDescent="0.35">
      <c r="A41" s="92" t="s">
        <v>42</v>
      </c>
      <c r="B41" s="91"/>
      <c r="C41" s="91"/>
      <c r="D41" s="91"/>
      <c r="E41" s="91"/>
      <c r="F41" s="91"/>
      <c r="G41" s="91"/>
      <c r="H41" s="91"/>
      <c r="I41" s="91"/>
      <c r="J41" s="91"/>
      <c r="K41" s="93">
        <f>IFERROR(IF(INDEX(_Helper!A2:A501,MATCH(LARGE(_Helper!BH2:BH501,1),_Helper!BH2:BH501,0))="","-",INDEX(_Helper!BO2:BO501,MATCH(LARGE(_Helper!BH2:BH501,1),_Helper!BH2:BH501,0))),"-")</f>
        <v>0</v>
      </c>
      <c r="L41" s="94"/>
      <c r="M41" s="94"/>
      <c r="N41" s="94"/>
    </row>
    <row r="42" spans="1:21" ht="21.75" customHeight="1" thickBot="1" x14ac:dyDescent="0.35">
      <c r="A42" s="92" t="s">
        <v>247</v>
      </c>
      <c r="B42" s="91"/>
      <c r="C42" s="91"/>
      <c r="D42" s="91"/>
      <c r="E42" s="91"/>
      <c r="F42" s="91"/>
      <c r="G42" s="91"/>
      <c r="H42" s="91"/>
      <c r="I42" s="91"/>
      <c r="J42" s="91"/>
      <c r="K42" s="93">
        <f>IFERROR(IF(INDEX(_Helper!A2:A501,MATCH(LARGE(_Helper!BH2:BH501,1),_Helper!BH2:BH501,0))="","-",INDEX(_Helper!BP2:BP501,MATCH(LARGE(_Helper!BH2:BH501,1),_Helper!BH2:BH501,0))),"-")</f>
        <v>1.0319314066555891E-2</v>
      </c>
      <c r="L42" s="94"/>
      <c r="M42" s="94"/>
      <c r="N42" s="94"/>
    </row>
    <row r="43" spans="1:21" ht="21.75" customHeight="1" thickBot="1" x14ac:dyDescent="0.35">
      <c r="A43" s="92" t="s">
        <v>44</v>
      </c>
      <c r="B43" s="91"/>
      <c r="C43" s="91"/>
      <c r="D43" s="91"/>
      <c r="E43" s="91"/>
      <c r="F43" s="91"/>
      <c r="G43" s="91"/>
      <c r="H43" s="91"/>
      <c r="I43" s="91"/>
      <c r="J43" s="91"/>
      <c r="K43" s="93">
        <f>IFERROR(IF(INDEX(_Helper!A2:A501,MATCH(LARGE(_Helper!BH2:BH501,1),_Helper!BH2:BH501,0))="","-",INDEX(_Helper!BQ2:BQ501,MATCH(LARGE(_Helper!BH2:BH501,1),_Helper!BH2:BH501,0))),"-")</f>
        <v>0</v>
      </c>
      <c r="L43" s="94"/>
      <c r="M43" s="94"/>
      <c r="N43" s="94"/>
    </row>
    <row r="44" spans="1:21" ht="21.75" customHeight="1" thickBot="1" x14ac:dyDescent="0.35">
      <c r="A44" s="92" t="s">
        <v>45</v>
      </c>
      <c r="B44" s="91"/>
      <c r="C44" s="91"/>
      <c r="D44" s="91"/>
      <c r="E44" s="91"/>
      <c r="F44" s="91"/>
      <c r="G44" s="91"/>
      <c r="H44" s="91"/>
      <c r="I44" s="91"/>
      <c r="J44" s="91"/>
      <c r="K44" s="93">
        <f>IFERROR(IF(INDEX(_Helper!A2:A501,MATCH(LARGE(_Helper!BH2:BH501,1),_Helper!BH2:BH501,0))="","-",INDEX(_Helper!BR2:BR501,MATCH(LARGE(_Helper!BH2:BH501,1),_Helper!BH2:BH501,0))),"-")</f>
        <v>0</v>
      </c>
      <c r="L44" s="94"/>
      <c r="M44" s="94"/>
      <c r="N44" s="94"/>
    </row>
    <row r="45" spans="1:21" ht="21.75" customHeight="1" thickBot="1" x14ac:dyDescent="0.35">
      <c r="A45" s="92" t="s">
        <v>46</v>
      </c>
      <c r="B45" s="91"/>
      <c r="C45" s="91"/>
      <c r="D45" s="91"/>
      <c r="E45" s="91"/>
      <c r="F45" s="91"/>
      <c r="G45" s="91"/>
      <c r="H45" s="91"/>
      <c r="I45" s="91"/>
      <c r="J45" s="91"/>
      <c r="K45" s="93">
        <f>IFERROR(IF(INDEX(_Helper!A2:A501,MATCH(LARGE(_Helper!BH2:BH501,1),_Helper!BH2:BH501,0))="","-",INDEX(_Helper!BS2:BS501,MATCH(LARGE(_Helper!BH2:BH501,1),_Helper!BH2:BH501,0))),"-")</f>
        <v>0</v>
      </c>
      <c r="L45" s="94"/>
      <c r="M45" s="94"/>
      <c r="N45" s="94"/>
    </row>
    <row r="46" spans="1:21" ht="21.75" customHeight="1" thickBot="1" x14ac:dyDescent="0.35">
      <c r="A46" s="92" t="s">
        <v>238</v>
      </c>
      <c r="B46" s="91"/>
      <c r="C46" s="91"/>
      <c r="D46" s="91"/>
      <c r="E46" s="91"/>
      <c r="F46" s="91"/>
      <c r="G46" s="91"/>
      <c r="H46" s="91"/>
      <c r="I46" s="91"/>
      <c r="J46" s="91"/>
      <c r="K46" s="93">
        <f>IFERROR(IF(INDEX(_Helper!A2:A501,MATCH(LARGE(_Helper!BH2:BH501,1),_Helper!BH2:BH501,0))="","-",INDEX(_Helper!BT2:BT501,MATCH(LARGE(_Helper!BH2:BH501,1),_Helper!BH2:BH501,0))),"-")</f>
        <v>0</v>
      </c>
      <c r="L46" s="94"/>
      <c r="M46" s="94"/>
      <c r="N46" s="94"/>
    </row>
    <row r="47" spans="1:21" ht="21.75" customHeight="1" thickBot="1" x14ac:dyDescent="0.35">
      <c r="A47" s="92" t="s">
        <v>48</v>
      </c>
      <c r="B47" s="91"/>
      <c r="C47" s="91"/>
      <c r="D47" s="91"/>
      <c r="E47" s="91"/>
      <c r="F47" s="91"/>
      <c r="G47" s="91"/>
      <c r="H47" s="91"/>
      <c r="I47" s="91"/>
      <c r="J47" s="91"/>
      <c r="K47" s="93">
        <f>IFERROR(IF(INDEX(_Helper!A2:A501,MATCH(LARGE(_Helper!BH2:BH501,1),_Helper!BH2:BH501,0))="","-",INDEX(_Helper!BU2:BU501,MATCH(LARGE(_Helper!BH2:BH501,1),_Helper!BH2:BH501,0))),"-")</f>
        <v>0</v>
      </c>
      <c r="L47" s="94"/>
      <c r="M47" s="94"/>
      <c r="N47" s="94"/>
    </row>
    <row r="48" spans="1:21" ht="21.75" customHeight="1" thickBot="1" x14ac:dyDescent="0.35">
      <c r="A48" s="92" t="s">
        <v>240</v>
      </c>
      <c r="B48" s="91"/>
      <c r="C48" s="91"/>
      <c r="D48" s="91"/>
      <c r="E48" s="91"/>
      <c r="F48" s="91"/>
      <c r="G48" s="91"/>
      <c r="H48" s="91"/>
      <c r="I48" s="91"/>
      <c r="J48" s="91"/>
      <c r="K48" s="93">
        <f>IFERROR(IF(INDEX(_Helper!A2:A501,MATCH(LARGE(_Helper!BH2:BH501,1),_Helper!BH2:BH501,0))="","-",INDEX(_Helper!BV2:BV501,MATCH(LARGE(_Helper!BH2:BH501,1),_Helper!BH2:BH501,0))),"-")</f>
        <v>0.14425470114306677</v>
      </c>
      <c r="L48" s="94"/>
      <c r="M48" s="94"/>
      <c r="N48" s="94"/>
    </row>
    <row r="49" spans="1:21" ht="21.75" customHeight="1" thickBot="1" x14ac:dyDescent="0.35">
      <c r="A49" s="92" t="s">
        <v>248</v>
      </c>
      <c r="B49" s="91"/>
      <c r="C49" s="91"/>
      <c r="D49" s="91"/>
      <c r="E49" s="91"/>
      <c r="F49" s="91"/>
      <c r="G49" s="91"/>
      <c r="H49" s="91"/>
      <c r="I49" s="91"/>
      <c r="J49" s="91"/>
      <c r="K49" s="93">
        <f>IFERROR(IF(INDEX(_Helper!A2:A501,MATCH(LARGE(_Helper!BH2:BH501,1),_Helper!BH2:BH501,0))="","-",INDEX(_Helper!BW2:BW501,MATCH(LARGE(_Helper!BH2:BH501,1),_Helper!BH2:BH501,0))),"-")</f>
        <v>0</v>
      </c>
      <c r="L49" s="94"/>
      <c r="M49" s="94"/>
      <c r="N49" s="94"/>
    </row>
    <row r="50" spans="1:21" ht="21.75" customHeight="1" thickBot="1" x14ac:dyDescent="0.35">
      <c r="A50" s="116" t="s">
        <v>249</v>
      </c>
      <c r="B50" s="91"/>
      <c r="C50" s="91"/>
      <c r="D50" s="91"/>
      <c r="E50" s="91"/>
      <c r="F50" s="91"/>
      <c r="G50" s="91"/>
      <c r="H50" s="91"/>
      <c r="I50" s="91"/>
      <c r="J50" s="91"/>
      <c r="K50" s="112">
        <f>IFERROR(IF(INDEX(_Helper!A2:A501,MATCH(LARGE(_Helper!BH2:BH501,1),_Helper!BH2:BH501,0))="","-",INDEX(_Helper!BX2:BX501,MATCH(LARGE(_Helper!BH2:BH501,1),_Helper!BH2:BH501,0))),"-")</f>
        <v>0.24949426258844976</v>
      </c>
      <c r="L50" s="94"/>
      <c r="M50" s="94"/>
      <c r="N50" s="94"/>
    </row>
    <row r="51" spans="1:21" ht="15.75" customHeight="1" x14ac:dyDescent="0.3">
      <c r="R51" s="3"/>
      <c r="S51" s="3"/>
      <c r="T51" s="3"/>
      <c r="U51" s="3"/>
    </row>
    <row r="52" spans="1:21" ht="1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ht="21.75" customHeight="1" x14ac:dyDescent="0.3">
      <c r="A53" s="117" t="s">
        <v>250</v>
      </c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3"/>
      <c r="S53" s="3"/>
      <c r="T53" s="3"/>
      <c r="U53" s="3"/>
    </row>
    <row r="54" spans="1:21" ht="19.5" customHeight="1" x14ac:dyDescent="0.3">
      <c r="A54" s="127" t="s">
        <v>185</v>
      </c>
      <c r="B54" s="88"/>
      <c r="C54" s="88"/>
      <c r="D54" s="88"/>
      <c r="E54" s="88"/>
      <c r="F54" s="87" t="s">
        <v>251</v>
      </c>
      <c r="G54" s="88"/>
      <c r="H54" s="88"/>
      <c r="I54" s="87" t="s">
        <v>252</v>
      </c>
      <c r="J54" s="88"/>
      <c r="K54" s="88"/>
      <c r="L54" s="87" t="s">
        <v>253</v>
      </c>
      <c r="M54" s="88"/>
      <c r="N54" s="88"/>
      <c r="O54" s="88"/>
      <c r="P54" s="88"/>
      <c r="Q54" s="88"/>
      <c r="R54" s="3"/>
      <c r="S54" s="3"/>
      <c r="T54" s="3"/>
      <c r="U54" s="3"/>
    </row>
    <row r="55" spans="1:21" ht="24" customHeight="1" x14ac:dyDescent="0.3">
      <c r="A55" s="95" t="s">
        <v>191</v>
      </c>
      <c r="B55" s="72"/>
      <c r="C55" s="72"/>
      <c r="D55" s="72"/>
      <c r="E55" s="72"/>
      <c r="F55" s="126" t="str">
        <f>IF('Smart Search'!B13=0,"—",TEXT(IFERROR((INDEX(_Helper!AP2:AP501,MATCH(LARGE(_Helper!BH2:BH501,1),_Helper!BH2:BH501,0))+INDEX(_Helper!AQ2:AQ501,MATCH(LARGE(_Helper!BH2:BH501,1),_Helper!BH2:BH501,0)))/(2*IFERROR(1/'Smart Search'!H13,0)),0),"0%"))</f>
        <v>—</v>
      </c>
      <c r="G55" s="94"/>
      <c r="H55" s="94"/>
      <c r="I55" s="125" t="str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 xml:space="preserve">  —</v>
      </c>
      <c r="J55" s="91"/>
      <c r="K55" s="91"/>
      <c r="L55" s="109" t="str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>··········</v>
      </c>
      <c r="M55" s="91"/>
      <c r="N55" s="91"/>
      <c r="O55" s="91"/>
      <c r="P55" s="91"/>
      <c r="Q55" s="91"/>
      <c r="R55" s="3"/>
      <c r="S55" s="3"/>
      <c r="T55" s="3"/>
      <c r="U55" s="3"/>
    </row>
    <row r="56" spans="1:21" ht="24" customHeight="1" x14ac:dyDescent="0.3">
      <c r="A56" s="131" t="s">
        <v>65</v>
      </c>
      <c r="B56" s="72"/>
      <c r="C56" s="72"/>
      <c r="D56" s="72"/>
      <c r="E56" s="72"/>
      <c r="F56" s="126" t="str">
        <f>IF('Smart Search'!C13=0,"—",TEXT(IFERROR((INDEX(_Helper!AR2:AR501,MATCH(LARGE(_Helper!BH2:BH501,1),_Helper!BH2:BH501,0))+INDEX(_Helper!AS2:AS501,MATCH(LARGE(_Helper!BH2:BH501,1),_Helper!BH2:BH501,0)))/(2*IFERROR(1/'Smart Search'!H13,0)),0),"0%"))</f>
        <v>80%</v>
      </c>
      <c r="G56" s="94"/>
      <c r="H56" s="94"/>
      <c r="I56" s="90" t="str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 xml:space="preserve">  ✅  Strong</v>
      </c>
      <c r="J56" s="91"/>
      <c r="K56" s="91"/>
      <c r="L56" s="96" t="str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>████████░░</v>
      </c>
      <c r="M56" s="91"/>
      <c r="N56" s="91"/>
      <c r="O56" s="91"/>
      <c r="P56" s="91"/>
      <c r="Q56" s="91"/>
      <c r="R56" s="3"/>
      <c r="S56" s="3"/>
      <c r="T56" s="3"/>
      <c r="U56" s="3"/>
    </row>
    <row r="57" spans="1:21" ht="24" customHeight="1" x14ac:dyDescent="0.3">
      <c r="A57" s="105" t="s">
        <v>199</v>
      </c>
      <c r="B57" s="72"/>
      <c r="C57" s="72"/>
      <c r="D57" s="72"/>
      <c r="E57" s="72"/>
      <c r="F57" s="126" t="str">
        <f>IF('Smart Search'!D13=0,"—",TEXT(IFERROR((INDEX(_Helper!AT2:AT501,MATCH(LARGE(_Helper!BH2:BH501,1),_Helper!BH2:BH501,0))+INDEX(_Helper!AU2:AU501,MATCH(LARGE(_Helper!BH2:BH501,1),_Helper!BH2:BH501,0)))/(2*IFERROR(1/'Smart Search'!H13,0)),0),"0%"))</f>
        <v>—</v>
      </c>
      <c r="G57" s="94"/>
      <c r="H57" s="94"/>
      <c r="I57" s="125" t="str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 xml:space="preserve">  —</v>
      </c>
      <c r="J57" s="91"/>
      <c r="K57" s="91"/>
      <c r="L57" s="109" t="str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>··········</v>
      </c>
      <c r="M57" s="91"/>
      <c r="N57" s="91"/>
      <c r="O57" s="91"/>
      <c r="P57" s="91"/>
      <c r="Q57" s="91"/>
      <c r="R57" s="3"/>
      <c r="S57" s="3"/>
      <c r="T57" s="3"/>
      <c r="U57" s="3"/>
    </row>
    <row r="58" spans="1:21" ht="24" customHeight="1" x14ac:dyDescent="0.3">
      <c r="A58" s="133" t="s">
        <v>202</v>
      </c>
      <c r="B58" s="72"/>
      <c r="C58" s="72"/>
      <c r="D58" s="72"/>
      <c r="E58" s="72"/>
      <c r="F58" s="126" t="str">
        <f>IF('Smart Search'!E13=0,"—",TEXT(IFERROR((INDEX(_Helper!AV2:AV501,MATCH(LARGE(_Helper!BH2:BH501,1),_Helper!BH2:BH501,0))+INDEX(_Helper!AW2:AW501,MATCH(LARGE(_Helper!BH2:BH501,1),_Helper!BH2:BH501,0)))/(2*IFERROR(1/'Smart Search'!H13,0)),0),"0%"))</f>
        <v>—</v>
      </c>
      <c r="G58" s="94"/>
      <c r="H58" s="94"/>
      <c r="I58" s="90" t="str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 xml:space="preserve">  —</v>
      </c>
      <c r="J58" s="91"/>
      <c r="K58" s="91"/>
      <c r="L58" s="96" t="str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>··········</v>
      </c>
      <c r="M58" s="91"/>
      <c r="N58" s="91"/>
      <c r="O58" s="91"/>
      <c r="P58" s="91"/>
      <c r="Q58" s="91"/>
      <c r="R58" s="3"/>
      <c r="S58" s="3"/>
      <c r="T58" s="3"/>
      <c r="U58" s="3"/>
    </row>
    <row r="59" spans="1:21" ht="24" customHeight="1" x14ac:dyDescent="0.3">
      <c r="A59" s="89" t="s">
        <v>205</v>
      </c>
      <c r="B59" s="72"/>
      <c r="C59" s="72"/>
      <c r="D59" s="72"/>
      <c r="E59" s="72"/>
      <c r="F59" s="126" t="str">
        <f>IF('Smart Search'!F13=0,"—",TEXT(IFERROR((INDEX(_Helper!AX2:AX501,MATCH(LARGE(_Helper!BH2:BH501,1),_Helper!BH2:BH501,0))+INDEX(_Helper!AY2:AY501,MATCH(LARGE(_Helper!BH2:BH501,1),_Helper!BH2:BH501,0)))/(2*IFERROR(1/'Smart Search'!H13,0)),0),"0%"))</f>
        <v>—</v>
      </c>
      <c r="G59" s="94"/>
      <c r="H59" s="94"/>
      <c r="I59" s="125" t="str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 xml:space="preserve">  —</v>
      </c>
      <c r="J59" s="91"/>
      <c r="K59" s="91"/>
      <c r="L59" s="109" t="str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>··········</v>
      </c>
      <c r="M59" s="91"/>
      <c r="N59" s="91"/>
      <c r="O59" s="91"/>
      <c r="P59" s="91"/>
      <c r="Q59" s="91"/>
      <c r="R59" s="3"/>
      <c r="S59" s="3"/>
      <c r="T59" s="3"/>
      <c r="U59" s="3"/>
    </row>
    <row r="60" spans="1:21" ht="24" customHeight="1" x14ac:dyDescent="0.3">
      <c r="A60" s="132" t="s">
        <v>209</v>
      </c>
      <c r="B60" s="72"/>
      <c r="C60" s="72"/>
      <c r="D60" s="72"/>
      <c r="E60" s="72"/>
      <c r="F60" s="126" t="str">
        <f>IF('Smart Search'!G13=0,"—",TEXT(IFERROR(INDEX(_Helper!BD2:BD501,MATCH(LARGE(_Helper!BH2:BH501,1),_Helper!BH2:BH501,0))/IFERROR(1/'Smart Search'!H13,0),0),"0%"))</f>
        <v>—</v>
      </c>
      <c r="G60" s="94"/>
      <c r="H60" s="94"/>
      <c r="I60" s="90" t="str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 xml:space="preserve">  —</v>
      </c>
      <c r="J60" s="91"/>
      <c r="K60" s="91"/>
      <c r="L60" s="96" t="str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>··········</v>
      </c>
      <c r="M60" s="91"/>
      <c r="N60" s="91"/>
      <c r="O60" s="91"/>
      <c r="P60" s="91"/>
      <c r="Q60" s="91"/>
      <c r="R60" s="3"/>
      <c r="S60" s="3"/>
      <c r="T60" s="3"/>
      <c r="U60" s="3"/>
    </row>
    <row r="61" spans="1:21" ht="15.75" customHeight="1" x14ac:dyDescent="0.3">
      <c r="A61" s="124" t="s">
        <v>254</v>
      </c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3"/>
      <c r="S61" s="3"/>
      <c r="T61" s="3"/>
      <c r="U61" s="3"/>
    </row>
  </sheetData>
  <mergeCells count="108">
    <mergeCell ref="I60:K60"/>
    <mergeCell ref="F54:H54"/>
    <mergeCell ref="A46:J46"/>
    <mergeCell ref="K44:N44"/>
    <mergeCell ref="A37:J37"/>
    <mergeCell ref="A15:U15"/>
    <mergeCell ref="A53:Q53"/>
    <mergeCell ref="A27:J27"/>
    <mergeCell ref="A33:J33"/>
    <mergeCell ref="K48:N48"/>
    <mergeCell ref="A60:E60"/>
    <mergeCell ref="O25:Q25"/>
    <mergeCell ref="A28:J28"/>
    <mergeCell ref="K28:N28"/>
    <mergeCell ref="F59:H59"/>
    <mergeCell ref="A58:E58"/>
    <mergeCell ref="K27:N27"/>
    <mergeCell ref="A42:J42"/>
    <mergeCell ref="F55:H55"/>
    <mergeCell ref="I57:K57"/>
    <mergeCell ref="A61:Q61"/>
    <mergeCell ref="I55:K55"/>
    <mergeCell ref="A30:J30"/>
    <mergeCell ref="K25:N25"/>
    <mergeCell ref="F58:H58"/>
    <mergeCell ref="K30:N30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A35:J35"/>
    <mergeCell ref="I58:K58"/>
    <mergeCell ref="L58:Q58"/>
    <mergeCell ref="A54:E54"/>
    <mergeCell ref="K34:N34"/>
    <mergeCell ref="I59:K59"/>
    <mergeCell ref="L60:Q60"/>
    <mergeCell ref="F56:H56"/>
    <mergeCell ref="A39:J39"/>
    <mergeCell ref="A1:G1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2:G2"/>
    <mergeCell ref="A25:D25"/>
    <mergeCell ref="A23:Q23"/>
    <mergeCell ref="I4:Q4"/>
    <mergeCell ref="I5:K5"/>
    <mergeCell ref="E10:G10"/>
    <mergeCell ref="A47:J47"/>
    <mergeCell ref="L5:Q5"/>
    <mergeCell ref="I6:K6"/>
    <mergeCell ref="L6:Q6"/>
    <mergeCell ref="I7:K7"/>
    <mergeCell ref="L7:Q7"/>
    <mergeCell ref="I8:K8"/>
    <mergeCell ref="I10:Q11"/>
    <mergeCell ref="L8:Q8"/>
    <mergeCell ref="I9:Q9"/>
    <mergeCell ref="A34:J34"/>
    <mergeCell ref="O26:Q26"/>
    <mergeCell ref="K33:N33"/>
    <mergeCell ref="A11:G11"/>
    <mergeCell ref="A49:J49"/>
    <mergeCell ref="A36:J36"/>
    <mergeCell ref="A57:E57"/>
    <mergeCell ref="K26:N26"/>
    <mergeCell ref="K35:N35"/>
    <mergeCell ref="A32:J32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I12:Q12"/>
    <mergeCell ref="A48:J48"/>
    <mergeCell ref="E26:J26"/>
    <mergeCell ref="A14:U14"/>
    <mergeCell ref="I54:K54"/>
    <mergeCell ref="A59:E59"/>
    <mergeCell ref="I56:K56"/>
    <mergeCell ref="A43:J43"/>
    <mergeCell ref="K38:N38"/>
    <mergeCell ref="L54:Q54"/>
    <mergeCell ref="K49:N49"/>
    <mergeCell ref="A55:E55"/>
    <mergeCell ref="L56:Q56"/>
    <mergeCell ref="K42:N42"/>
    <mergeCell ref="K40:N40"/>
    <mergeCell ref="A56:E56"/>
    <mergeCell ref="A45:J45"/>
    <mergeCell ref="K36:N36"/>
    <mergeCell ref="L59:Q59"/>
  </mergeCells>
  <conditionalFormatting sqref="A14:U14">
    <cfRule type="expression" dxfId="0" priority="2">
      <formula>AND(A14&lt;&gt;"",LEN(A14)&gt;0)</formula>
    </cfRule>
  </conditionalFormatting>
  <dataValidations count="6">
    <dataValidation type="list" showErrorMessage="1" sqref="C5:C10" xr:uid="{00000000-0002-0000-0100-000000000000}">
      <formula1>"YES,NO"</formula1>
      <formula2>0</formula2>
    </dataValidation>
    <dataValidation type="whole" operator="greaterThanOrEqual" allowBlank="1" showInputMessage="1" showErrorMessage="1" errorTitle="Invalid Number" error="Please enter a whole number ≥ 0." promptTitle="Quantity" prompt="Enter a whole number (0 or greater)." sqref="E5:E8 G5:G8" xr:uid="{00000000-0002-0000-0100-000001000000}">
      <formula1>0</formula1>
      <formula2>0</formula2>
    </dataValidation>
    <dataValidation type="decimal" operator="greaterThanOrEqual" allowBlank="1" showInputMessage="1" showErrorMessage="1" errorTitle="Invalid Number" error="Please enter a number ≥ 0." promptTitle="Length (metres)" prompt="Enter conveyor length in metres (0 or greater)." sqref="E9 G9" xr:uid="{00000000-0002-0000-0100-000002000000}">
      <formula1>0</formula1>
      <formula2>0</formula2>
    </dataValidation>
    <dataValidation type="list" allowBlank="1" showErrorMessage="1" errorTitle="Invalid filter" error="Select a listed value, enter a year from 2000 to 2099, or clear the cell." sqref="L5" xr:uid="{00000000-0002-0000-0100-000003000000}">
      <formula1>"All,Autostore,DMS GTP,Pallet Hotel,4WS,AMCAP,Others/complex"</formula1>
    </dataValidation>
    <dataValidation type="list" allowBlank="1" showErrorMessage="1" errorTitle="Invalid filter" error="Select a listed value, enter a year from 2000 to 2099, or clear the cell." sqref="L8" xr:uid="{00000000-0002-0000-0100-000004000000}">
      <formula1>"All,Yes,No"</formula1>
    </dataValidation>
    <dataValidation type="whole" allowBlank="1" showErrorMessage="1" errorTitle="Invalid filter" error="Select a listed value, enter a year from 2000 to 2099, or clear the cell." sqref="L7" xr:uid="{00000000-0002-0000-0100-000005000000}">
      <formula1>2000</formula1>
      <formula2>2099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Y501"/>
  <sheetViews>
    <sheetView showGridLines="0" zoomScaleNormal="100" workbookViewId="0">
      <selection activeCell="J22" sqref="J22"/>
    </sheetView>
  </sheetViews>
  <sheetFormatPr defaultColWidth="8.6640625" defaultRowHeight="14.4" x14ac:dyDescent="0.3"/>
  <sheetData>
    <row r="1" spans="1:77" ht="14.25" customHeight="1" x14ac:dyDescent="0.3">
      <c r="A1" s="4" t="s">
        <v>214</v>
      </c>
      <c r="B1" s="4" t="s">
        <v>215</v>
      </c>
      <c r="C1" s="4" t="s">
        <v>255</v>
      </c>
      <c r="D1" s="4" t="s">
        <v>256</v>
      </c>
      <c r="E1" s="4" t="s">
        <v>257</v>
      </c>
      <c r="F1" s="4" t="s">
        <v>258</v>
      </c>
      <c r="G1" s="4" t="s">
        <v>259</v>
      </c>
      <c r="H1" s="4" t="s">
        <v>260</v>
      </c>
      <c r="I1" s="4" t="s">
        <v>261</v>
      </c>
      <c r="J1" s="4" t="s">
        <v>262</v>
      </c>
      <c r="K1" s="4" t="s">
        <v>23</v>
      </c>
      <c r="L1" s="4" t="s">
        <v>24</v>
      </c>
      <c r="M1" s="4" t="s">
        <v>263</v>
      </c>
      <c r="N1" s="4" t="s">
        <v>264</v>
      </c>
      <c r="O1" s="4" t="s">
        <v>265</v>
      </c>
      <c r="P1" s="4" t="s">
        <v>266</v>
      </c>
      <c r="Q1" s="4" t="s">
        <v>267</v>
      </c>
      <c r="R1" s="4" t="s">
        <v>268</v>
      </c>
      <c r="S1" s="4" t="s">
        <v>269</v>
      </c>
      <c r="T1" s="4" t="s">
        <v>32</v>
      </c>
      <c r="U1" s="4" t="s">
        <v>33</v>
      </c>
      <c r="V1" s="4" t="s">
        <v>270</v>
      </c>
      <c r="W1" s="4" t="s">
        <v>271</v>
      </c>
      <c r="X1" s="4" t="s">
        <v>272</v>
      </c>
      <c r="Y1" s="4" t="s">
        <v>273</v>
      </c>
      <c r="Z1" s="4" t="s">
        <v>274</v>
      </c>
      <c r="AA1" s="4" t="s">
        <v>275</v>
      </c>
      <c r="AB1" s="4" t="s">
        <v>276</v>
      </c>
      <c r="AC1" s="4" t="s">
        <v>277</v>
      </c>
      <c r="AD1" s="4" t="s">
        <v>278</v>
      </c>
      <c r="AE1" s="4" t="s">
        <v>279</v>
      </c>
      <c r="AF1" s="4" t="s">
        <v>280</v>
      </c>
      <c r="AG1" s="4" t="s">
        <v>281</v>
      </c>
      <c r="AH1" s="4" t="s">
        <v>282</v>
      </c>
      <c r="AI1" s="4" t="s">
        <v>283</v>
      </c>
      <c r="AJ1" s="4" t="s">
        <v>284</v>
      </c>
      <c r="AK1" s="4" t="s">
        <v>285</v>
      </c>
      <c r="AL1" s="4" t="s">
        <v>286</v>
      </c>
      <c r="AM1" s="4" t="s">
        <v>287</v>
      </c>
      <c r="AN1" s="4" t="s">
        <v>288</v>
      </c>
      <c r="AO1" s="4" t="s">
        <v>289</v>
      </c>
      <c r="AP1" s="4" t="s">
        <v>290</v>
      </c>
      <c r="AQ1" s="4" t="s">
        <v>291</v>
      </c>
      <c r="AR1" s="4" t="s">
        <v>292</v>
      </c>
      <c r="AS1" s="4" t="s">
        <v>293</v>
      </c>
      <c r="AT1" s="4" t="s">
        <v>294</v>
      </c>
      <c r="AU1" s="4" t="s">
        <v>295</v>
      </c>
      <c r="AV1" s="4" t="s">
        <v>296</v>
      </c>
      <c r="AW1" s="4" t="s">
        <v>297</v>
      </c>
      <c r="AX1" s="4" t="s">
        <v>298</v>
      </c>
      <c r="AY1" s="4" t="s">
        <v>299</v>
      </c>
      <c r="AZ1" s="4" t="s">
        <v>300</v>
      </c>
      <c r="BA1" s="4" t="s">
        <v>301</v>
      </c>
      <c r="BB1" s="4" t="s">
        <v>302</v>
      </c>
      <c r="BC1" s="4" t="s">
        <v>303</v>
      </c>
      <c r="BD1" s="4" t="s">
        <v>304</v>
      </c>
      <c r="BE1" s="4" t="s">
        <v>305</v>
      </c>
      <c r="BF1" s="4" t="s">
        <v>306</v>
      </c>
      <c r="BG1" s="4" t="s">
        <v>307</v>
      </c>
      <c r="BH1" s="4" t="s">
        <v>308</v>
      </c>
      <c r="BI1" s="4" t="s">
        <v>309</v>
      </c>
      <c r="BJ1" s="4" t="s">
        <v>310</v>
      </c>
      <c r="BK1" s="4" t="s">
        <v>311</v>
      </c>
      <c r="BL1" s="4" t="s">
        <v>312</v>
      </c>
      <c r="BM1" s="4" t="s">
        <v>313</v>
      </c>
      <c r="BN1" s="4" t="s">
        <v>314</v>
      </c>
      <c r="BO1" s="4" t="s">
        <v>315</v>
      </c>
      <c r="BP1" s="4" t="s">
        <v>316</v>
      </c>
      <c r="BQ1" s="4" t="s">
        <v>317</v>
      </c>
      <c r="BR1" s="4" t="s">
        <v>318</v>
      </c>
      <c r="BS1" s="4" t="s">
        <v>319</v>
      </c>
      <c r="BT1" s="4" t="s">
        <v>320</v>
      </c>
      <c r="BU1" s="4" t="s">
        <v>321</v>
      </c>
      <c r="BV1" s="4" t="s">
        <v>322</v>
      </c>
      <c r="BW1" s="4" t="s">
        <v>323</v>
      </c>
      <c r="BX1" s="4" t="s">
        <v>324</v>
      </c>
      <c r="BY1" s="4" t="s">
        <v>325</v>
      </c>
    </row>
    <row r="2" spans="1:77" ht="15" customHeight="1" x14ac:dyDescent="0.3">
      <c r="A2" s="66" t="str">
        <f>'Project Database'!A6</f>
        <v>SC22164</v>
      </c>
      <c r="B2" s="66" t="str">
        <f>'Project Database'!B6</f>
        <v>Eren</v>
      </c>
      <c r="C2" s="66">
        <f>'Project Database'!G6</f>
        <v>164</v>
      </c>
      <c r="D2" s="66">
        <f>'Project Database'!H6</f>
        <v>69000</v>
      </c>
      <c r="E2" s="66">
        <f>'Project Database'!I6</f>
        <v>0</v>
      </c>
      <c r="F2" s="66">
        <f>'Project Database'!J6</f>
        <v>0</v>
      </c>
      <c r="G2" s="66">
        <f>'Project Database'!K6</f>
        <v>0</v>
      </c>
      <c r="H2" s="66">
        <f>'Project Database'!L6</f>
        <v>0</v>
      </c>
      <c r="I2" s="66">
        <f>'Project Database'!M6</f>
        <v>0</v>
      </c>
      <c r="J2" s="66">
        <f>'Project Database'!N6</f>
        <v>0</v>
      </c>
      <c r="K2" s="66">
        <f>'Project Database'!O6</f>
        <v>1900</v>
      </c>
      <c r="L2" s="66">
        <f>'Project Database'!P6</f>
        <v>0</v>
      </c>
      <c r="M2" s="66">
        <f>'Project Database'!Q6</f>
        <v>51</v>
      </c>
      <c r="N2" s="66">
        <f>'Project Database'!R6</f>
        <v>20</v>
      </c>
      <c r="O2" s="66">
        <f>'Project Database'!S6</f>
        <v>16</v>
      </c>
      <c r="P2" s="66">
        <f>'Project Database'!T6</f>
        <v>45</v>
      </c>
      <c r="Q2" s="66">
        <f>'Project Database'!U6</f>
        <v>26</v>
      </c>
      <c r="R2" s="66">
        <f>'Project Database'!V6</f>
        <v>30</v>
      </c>
      <c r="S2" s="66">
        <f>'Project Database'!W6</f>
        <v>103</v>
      </c>
      <c r="T2" s="66" t="str">
        <f>'Project Database'!X6</f>
        <v>USD</v>
      </c>
      <c r="U2" s="67">
        <f>'Project Database'!Y6</f>
        <v>17.899999999999999</v>
      </c>
      <c r="V2" s="66">
        <f>IF('Smart Search'!B13=1,IFERROR(1/'Smart Search'!H13,0),0)</f>
        <v>0</v>
      </c>
      <c r="W2" s="66">
        <f>IF('Smart Search'!B13=1,IFERROR(1/'Smart Search'!H13,0),0)</f>
        <v>0</v>
      </c>
      <c r="X2" s="66">
        <f>IF('Smart Search'!C13=1,IFERROR(1/'Smart Search'!H13,0),0)</f>
        <v>0.5</v>
      </c>
      <c r="Y2" s="66">
        <f>IF('Smart Search'!C13=1,IFERROR(1/'Smart Search'!H13,0),0)</f>
        <v>0.5</v>
      </c>
      <c r="Z2" s="66">
        <f>IF('Smart Search'!D13=1,IFERROR(1/'Smart Search'!H13,0),0)</f>
        <v>0</v>
      </c>
      <c r="AA2" s="66">
        <f>IF('Smart Search'!D13=1,IFERROR(1/'Smart Search'!H13,0),0)</f>
        <v>0</v>
      </c>
      <c r="AB2" s="66">
        <f>IF('Smart Search'!E13=1,IFERROR(1/'Smart Search'!H13,0),0)</f>
        <v>0</v>
      </c>
      <c r="AC2" s="66">
        <f>IF('Smart Search'!E13=1,IFERROR(1/'Smart Search'!H13,0),0)</f>
        <v>0</v>
      </c>
      <c r="AD2" s="66">
        <f>IF('Smart Search'!F13=1,IFERROR(1/'Smart Search'!H13,0),0)</f>
        <v>0</v>
      </c>
      <c r="AE2" s="66">
        <f>IF('Smart Search'!F13=1,IFERROR(1/'Smart Search'!H13,0),0)</f>
        <v>0</v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>0</v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>0</v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>0</v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>0</v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>0</v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>0</v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>0</v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>0</v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>0</v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>0</v>
      </c>
      <c r="AP2" s="66">
        <f t="shared" ref="AP2:AP65" si="0">AF2*V2</f>
        <v>0</v>
      </c>
      <c r="AQ2" s="66">
        <f t="shared" ref="AQ2:AQ65" si="1">AG2*W2</f>
        <v>0</v>
      </c>
      <c r="AR2" s="66">
        <f t="shared" ref="AR2:AR65" si="2">AH2*X2</f>
        <v>0</v>
      </c>
      <c r="AS2" s="66">
        <f t="shared" ref="AS2:AS65" si="3">AI2*Y2</f>
        <v>0</v>
      </c>
      <c r="AT2" s="66">
        <f t="shared" ref="AT2:AT65" si="4">AJ2*Z2</f>
        <v>0</v>
      </c>
      <c r="AU2" s="66">
        <f t="shared" ref="AU2:AU65" si="5">AK2*AA2</f>
        <v>0</v>
      </c>
      <c r="AV2" s="66">
        <f t="shared" ref="AV2:AV65" si="6">AL2*AB2</f>
        <v>0</v>
      </c>
      <c r="AW2" s="66">
        <f t="shared" ref="AW2:AW65" si="7">AM2*AC2</f>
        <v>0</v>
      </c>
      <c r="AX2" s="66">
        <f t="shared" ref="AX2:AX65" si="8">AN2*AD2</f>
        <v>0</v>
      </c>
      <c r="AY2" s="66">
        <f t="shared" ref="AY2:AY65" si="9">AO2*AE2</f>
        <v>0</v>
      </c>
      <c r="AZ2" s="66" t="str">
        <f>'Project Database'!Z6</f>
        <v>Hybotics APP Autobagger Carton Reducting Lidding Sealer Tote Stacker DeStacker MCS</v>
      </c>
      <c r="BA2" s="66">
        <f>IF(OR(A2="",'Smart Search'!H13=0),"",MAX(0,BE2*BF2*MAX(0,1-BG2)))</f>
        <v>0</v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>0</v>
      </c>
      <c r="BC2" s="66">
        <f>IF('Smart Search'!G13=1,IFERROR(1/'Smart Search'!H13,0),0)</f>
        <v>0</v>
      </c>
      <c r="BD2" s="66">
        <f t="shared" ref="BD2:BD65" si="10">BB2*BC2</f>
        <v>0</v>
      </c>
      <c r="BE2" s="66">
        <f t="shared" ref="BE2:BE65" si="11">AP2+AQ2+AR2+AS2+AT2+AU2+AV2+AW2+AX2+AY2+BD2</f>
        <v>0</v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>0</v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>0.5</v>
      </c>
      <c r="BH2" s="5">
        <f>IF(AND('Project Database'!A6&lt;&gt;"",OR('Smart Search'!$L$5="",'Smart Search'!$L$5="All",TRIM('Project Database'!D6)=TRIM('Smart Search'!$L$5)),OR(TRIM('Smart Search'!$L$6)="",TRIM('Smart Search'!$L$6)="All",ISNUMBER(SEARCH(SUBSTITUTE(SUBSTITUTE(SUBSTITUTE(TRIM('Smart Search'!$L$6),"~","~~"),"*","~*"),"?","~?"),'Project Database'!C6))),OR('Smart Search'!$L$7="",AND('Project Database'!E6&lt;&gt;"",'Project Database'!E6='Smart Search'!$L$7)),OR('Smart Search'!$L$8="",'Smart Search'!$L$8="All",TRIM('Project Database'!F6)=TRIM('Smart Search'!$L$8))),IF(BA2="","",BA2+ROW()*0.0000000001),"")</f>
        <v>2.0000000000000001E-10</v>
      </c>
      <c r="BI2" s="5" t="str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 xml:space="preserve">Multishuttle, </v>
      </c>
      <c r="BJ2" s="5">
        <f>IF('Project Database'!A6="","",N('Project Database'!AC6))</f>
        <v>0</v>
      </c>
      <c r="BK2" s="5">
        <f>IF('Project Database'!A6="","",N('Project Database'!AD6))</f>
        <v>0</v>
      </c>
      <c r="BL2" s="5">
        <f>IF('Project Database'!A6="","",N('Project Database'!AE6))</f>
        <v>0</v>
      </c>
      <c r="BM2" s="5">
        <f>IF('Project Database'!A6="","",N('Project Database'!AF6))</f>
        <v>0</v>
      </c>
      <c r="BN2" s="5">
        <f>IF('Project Database'!A6="","",N('Project Database'!AG6))</f>
        <v>0</v>
      </c>
      <c r="BO2" s="5">
        <f>IF('Project Database'!A6="","",N('Project Database'!AH6))</f>
        <v>0</v>
      </c>
      <c r="BP2" s="5">
        <f>IF('Project Database'!A6="","",N('Project Database'!AI6))</f>
        <v>0</v>
      </c>
      <c r="BQ2" s="5">
        <f>IF('Project Database'!A6="","",N('Project Database'!AJ6))</f>
        <v>0</v>
      </c>
      <c r="BR2" s="5">
        <f>IF('Project Database'!A6="","",N('Project Database'!AK6))</f>
        <v>0</v>
      </c>
      <c r="BS2" s="5">
        <f>IF('Project Database'!A6="","",N('Project Database'!AL6))</f>
        <v>0</v>
      </c>
      <c r="BT2" s="5">
        <f>IF('Project Database'!A6="","",N('Project Database'!AM6))</f>
        <v>0</v>
      </c>
      <c r="BU2" s="5">
        <f>IF('Project Database'!A6="","",N('Project Database'!AN6))</f>
        <v>0</v>
      </c>
      <c r="BV2" s="5">
        <f>IF('Project Database'!A6="","",N('Project Database'!AO6))</f>
        <v>0</v>
      </c>
      <c r="BW2" s="5">
        <f>IF('Project Database'!A6="","",N('Project Database'!AP6))</f>
        <v>0</v>
      </c>
      <c r="BX2" s="5">
        <f t="shared" ref="BX2:BX65" si="12">IF(A2="","",SUM(BJ2:BW2))</f>
        <v>0</v>
      </c>
      <c r="BY2" s="5">
        <f t="shared" ref="BY2:BY65" si="13">IF(A2="","",IFERROR(IF(ISNUMBER(U2),U2,VALUE(SUBSTITUTE(SUBSTITUTE(SUBSTITUTE(UPPER(TRIM(U2)),"M",""),",","")," ",""))),0))</f>
        <v>17.899999999999999</v>
      </c>
    </row>
    <row r="3" spans="1:77" ht="15" customHeight="1" x14ac:dyDescent="0.3">
      <c r="A3" s="66" t="str">
        <f>'Project Database'!A7</f>
        <v>SW31305</v>
      </c>
      <c r="B3" s="66" t="str">
        <f>'Project Database'!B7</f>
        <v>Turkish Cargo</v>
      </c>
      <c r="C3" s="66">
        <f>'Project Database'!G7</f>
        <v>0</v>
      </c>
      <c r="D3" s="66">
        <f>'Project Database'!H7</f>
        <v>0</v>
      </c>
      <c r="E3" s="66">
        <f>'Project Database'!I7</f>
        <v>0</v>
      </c>
      <c r="F3" s="66">
        <f>'Project Database'!J7</f>
        <v>0</v>
      </c>
      <c r="G3" s="66">
        <f>'Project Database'!K7</f>
        <v>0</v>
      </c>
      <c r="H3" s="66">
        <f>'Project Database'!L7</f>
        <v>0</v>
      </c>
      <c r="I3" s="66">
        <f>'Project Database'!M7</f>
        <v>24</v>
      </c>
      <c r="J3" s="66">
        <f>'Project Database'!N7</f>
        <v>50000</v>
      </c>
      <c r="K3" s="66">
        <f>'Project Database'!O7</f>
        <v>0</v>
      </c>
      <c r="L3" s="66">
        <f>'Project Database'!P7</f>
        <v>1600</v>
      </c>
      <c r="M3" s="66">
        <f>'Project Database'!Q7</f>
        <v>56</v>
      </c>
      <c r="N3" s="66">
        <f>'Project Database'!R7</f>
        <v>46</v>
      </c>
      <c r="O3" s="66">
        <f>'Project Database'!S7</f>
        <v>27</v>
      </c>
      <c r="P3" s="66">
        <f>'Project Database'!T7</f>
        <v>65</v>
      </c>
      <c r="Q3" s="66">
        <f>'Project Database'!U7</f>
        <v>31</v>
      </c>
      <c r="R3" s="66">
        <f>'Project Database'!V7</f>
        <v>16</v>
      </c>
      <c r="S3" s="66">
        <f>'Project Database'!W7</f>
        <v>105</v>
      </c>
      <c r="T3" s="66" t="str">
        <f>'Project Database'!X7</f>
        <v>USD</v>
      </c>
      <c r="U3" s="67">
        <f>'Project Database'!Y7</f>
        <v>30</v>
      </c>
      <c r="V3" s="66">
        <f>IF('Smart Search'!B13=1,IFERROR(1/'Smart Search'!H13,0),0)</f>
        <v>0</v>
      </c>
      <c r="W3" s="66">
        <f>IF('Smart Search'!B13=1,IFERROR(1/'Smart Search'!H13,0),0)</f>
        <v>0</v>
      </c>
      <c r="X3" s="66">
        <f>IF('Smart Search'!C13=1,IFERROR(1/'Smart Search'!H13,0),0)</f>
        <v>0.5</v>
      </c>
      <c r="Y3" s="66">
        <f>IF('Smart Search'!C13=1,IFERROR(1/'Smart Search'!H13,0),0)</f>
        <v>0.5</v>
      </c>
      <c r="Z3" s="66">
        <f>IF('Smart Search'!D13=1,IFERROR(1/'Smart Search'!H13,0),0)</f>
        <v>0</v>
      </c>
      <c r="AA3" s="66">
        <f>IF('Smart Search'!D13=1,IFERROR(1/'Smart Search'!H13,0),0)</f>
        <v>0</v>
      </c>
      <c r="AB3" s="66">
        <f>IF('Smart Search'!E13=1,IFERROR(1/'Smart Search'!H13,0),0)</f>
        <v>0</v>
      </c>
      <c r="AC3" s="66">
        <f>IF('Smart Search'!E13=1,IFERROR(1/'Smart Search'!H13,0),0)</f>
        <v>0</v>
      </c>
      <c r="AD3" s="66">
        <f>IF('Smart Search'!F13=1,IFERROR(1/'Smart Search'!H13,0),0)</f>
        <v>0</v>
      </c>
      <c r="AE3" s="66">
        <f>IF('Smart Search'!F13=1,IFERROR(1/'Smart Search'!H13,0),0)</f>
        <v>0</v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>0</v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>0</v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>0</v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>0</v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>0</v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>0</v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>0</v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>0</v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>0</v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>0</v>
      </c>
      <c r="AP3" s="66">
        <f t="shared" si="0"/>
        <v>0</v>
      </c>
      <c r="AQ3" s="66">
        <f t="shared" si="1"/>
        <v>0</v>
      </c>
      <c r="AR3" s="66">
        <f t="shared" si="2"/>
        <v>0</v>
      </c>
      <c r="AS3" s="66">
        <f t="shared" si="3"/>
        <v>0</v>
      </c>
      <c r="AT3" s="66">
        <f t="shared" si="4"/>
        <v>0</v>
      </c>
      <c r="AU3" s="66">
        <f t="shared" si="5"/>
        <v>0</v>
      </c>
      <c r="AV3" s="66">
        <f t="shared" si="6"/>
        <v>0</v>
      </c>
      <c r="AW3" s="66">
        <f t="shared" si="7"/>
        <v>0</v>
      </c>
      <c r="AX3" s="66">
        <f t="shared" si="8"/>
        <v>0</v>
      </c>
      <c r="AY3" s="66">
        <f t="shared" si="9"/>
        <v>0</v>
      </c>
      <c r="AZ3" s="66" t="str">
        <f>'Project Database'!Z7</f>
        <v xml:space="preserve">SRM BK25 </v>
      </c>
      <c r="BA3" s="66">
        <f>IF(OR(A3="",'Smart Search'!H13=0),"",MAX(0,BE3*BF3*MAX(0,1-BG3)))</f>
        <v>0</v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>0</v>
      </c>
      <c r="BC3" s="66">
        <f>IF('Smart Search'!G13=1,IFERROR(1/'Smart Search'!H13,0),0)</f>
        <v>0</v>
      </c>
      <c r="BD3" s="66">
        <f t="shared" si="10"/>
        <v>0</v>
      </c>
      <c r="BE3" s="66">
        <f t="shared" si="11"/>
        <v>0</v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>0</v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>0.5</v>
      </c>
      <c r="BH3" s="5">
        <f>IF(AND('Project Database'!A7&lt;&gt;"",OR('Smart Search'!$L$5="",'Smart Search'!$L$5="All",TRIM('Project Database'!D7)=TRIM('Smart Search'!$L$5)),OR(TRIM('Smart Search'!$L$6)="",TRIM('Smart Search'!$L$6)="All",ISNUMBER(SEARCH(SUBSTITUTE(SUBSTITUTE(SUBSTITUTE(TRIM('Smart Search'!$L$6),"~","~~"),"*","~*"),"?","~?"),'Project Database'!C7))),OR('Smart Search'!$L$7="",AND('Project Database'!E7&lt;&gt;"",'Project Database'!E7='Smart Search'!$L$7)),OR('Smart Search'!$L$8="",'Smart Search'!$L$8="All",TRIM('Project Database'!F7)=TRIM('Smart Search'!$L$8))),IF(BA3="","",BA3+ROW()*0.0000000001),"")</f>
        <v>3E-10</v>
      </c>
      <c r="BI3" s="5" t="str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 xml:space="preserve">SRM Crane, </v>
      </c>
      <c r="BJ3" s="5">
        <f>IF('Project Database'!A7="","",N('Project Database'!AC7))</f>
        <v>1.0999999999999999E-2</v>
      </c>
      <c r="BK3" s="5">
        <f>IF('Project Database'!A7="","",N('Project Database'!AD7))</f>
        <v>1.0999999999999999E-2</v>
      </c>
      <c r="BL3" s="5">
        <f>IF('Project Database'!A7="","",N('Project Database'!AE7))</f>
        <v>1.0999999999999999E-2</v>
      </c>
      <c r="BM3" s="5">
        <f>IF('Project Database'!A7="","",N('Project Database'!AF7))</f>
        <v>4.0000000000000001E-3</v>
      </c>
      <c r="BN3" s="5">
        <f>IF('Project Database'!A7="","",N('Project Database'!AG7))</f>
        <v>0.01</v>
      </c>
      <c r="BO3" s="5">
        <f>IF('Project Database'!A7="","",N('Project Database'!AH7))</f>
        <v>8.0000000000000002E-3</v>
      </c>
      <c r="BP3" s="5">
        <f>IF('Project Database'!A7="","",N('Project Database'!AI7))</f>
        <v>8.0000000000000002E-3</v>
      </c>
      <c r="BQ3" s="5">
        <f>IF('Project Database'!A7="","",N('Project Database'!AJ7))</f>
        <v>2.1000000000000001E-2</v>
      </c>
      <c r="BR3" s="5">
        <f>IF('Project Database'!A7="","",N('Project Database'!AK7))</f>
        <v>2.1000000000000001E-2</v>
      </c>
      <c r="BS3" s="5">
        <f>IF('Project Database'!A7="","",N('Project Database'!AL7))</f>
        <v>2.1000000000000001E-2</v>
      </c>
      <c r="BT3" s="5">
        <f>IF('Project Database'!A7="","",N('Project Database'!AM7))</f>
        <v>0.03</v>
      </c>
      <c r="BU3" s="5">
        <f>IF('Project Database'!A7="","",N('Project Database'!AN7))</f>
        <v>0.03</v>
      </c>
      <c r="BV3" s="5">
        <f>IF('Project Database'!A7="","",N('Project Database'!AO7))</f>
        <v>3.0000000000000001E-3</v>
      </c>
      <c r="BW3" s="5">
        <f>IF('Project Database'!A7="","",N('Project Database'!AP7))</f>
        <v>1E-3</v>
      </c>
      <c r="BX3" s="5">
        <f t="shared" si="12"/>
        <v>0.19</v>
      </c>
      <c r="BY3" s="5">
        <f t="shared" si="13"/>
        <v>30</v>
      </c>
    </row>
    <row r="4" spans="1:77" ht="15" customHeight="1" x14ac:dyDescent="0.3">
      <c r="A4" s="66" t="str">
        <f>'Project Database'!A8</f>
        <v>SW3128-1</v>
      </c>
      <c r="B4" s="66" t="str">
        <f>'Project Database'!B8</f>
        <v>DHL Aurora SPARK</v>
      </c>
      <c r="C4" s="66">
        <f>'Project Database'!G8</f>
        <v>0</v>
      </c>
      <c r="D4" s="66">
        <f>'Project Database'!H8</f>
        <v>0</v>
      </c>
      <c r="E4" s="66">
        <f>'Project Database'!I8</f>
        <v>5</v>
      </c>
      <c r="F4" s="66">
        <f>'Project Database'!J8</f>
        <v>85000</v>
      </c>
      <c r="G4" s="66">
        <f>'Project Database'!K8</f>
        <v>0</v>
      </c>
      <c r="H4" s="66">
        <f>'Project Database'!L8</f>
        <v>0</v>
      </c>
      <c r="I4" s="66">
        <f>'Project Database'!M8</f>
        <v>0</v>
      </c>
      <c r="J4" s="66">
        <f>'Project Database'!N8</f>
        <v>0</v>
      </c>
      <c r="K4" s="66">
        <f>'Project Database'!O8</f>
        <v>0</v>
      </c>
      <c r="L4" s="66">
        <f>'Project Database'!P8</f>
        <v>0</v>
      </c>
      <c r="M4" s="66">
        <f>'Project Database'!Q8</f>
        <v>17</v>
      </c>
      <c r="N4" s="66">
        <f>'Project Database'!R8</f>
        <v>2</v>
      </c>
      <c r="O4" s="66">
        <f>'Project Database'!S8</f>
        <v>10</v>
      </c>
      <c r="P4" s="66">
        <f>'Project Database'!T8</f>
        <v>12</v>
      </c>
      <c r="Q4" s="66">
        <f>'Project Database'!U8</f>
        <v>10</v>
      </c>
      <c r="R4" s="66">
        <f>'Project Database'!V8</f>
        <v>10</v>
      </c>
      <c r="S4" s="66">
        <f>'Project Database'!W8</f>
        <v>33</v>
      </c>
      <c r="T4" s="66" t="str">
        <f>'Project Database'!X8</f>
        <v>USD</v>
      </c>
      <c r="U4" s="67">
        <f>'Project Database'!Y8</f>
        <v>3.9</v>
      </c>
      <c r="V4" s="66">
        <f>IF('Smart Search'!B13=1,IFERROR(1/'Smart Search'!H13,0),0)</f>
        <v>0</v>
      </c>
      <c r="W4" s="66">
        <f>IF('Smart Search'!B13=1,IFERROR(1/'Smart Search'!H13,0),0)</f>
        <v>0</v>
      </c>
      <c r="X4" s="66">
        <f>IF('Smart Search'!C13=1,IFERROR(1/'Smart Search'!H13,0),0)</f>
        <v>0.5</v>
      </c>
      <c r="Y4" s="66">
        <f>IF('Smart Search'!C13=1,IFERROR(1/'Smart Search'!H13,0),0)</f>
        <v>0.5</v>
      </c>
      <c r="Z4" s="66">
        <f>IF('Smart Search'!D13=1,IFERROR(1/'Smart Search'!H13,0),0)</f>
        <v>0</v>
      </c>
      <c r="AA4" s="66">
        <f>IF('Smart Search'!D13=1,IFERROR(1/'Smart Search'!H13,0),0)</f>
        <v>0</v>
      </c>
      <c r="AB4" s="66">
        <f>IF('Smart Search'!E13=1,IFERROR(1/'Smart Search'!H13,0),0)</f>
        <v>0</v>
      </c>
      <c r="AC4" s="66">
        <f>IF('Smart Search'!E13=1,IFERROR(1/'Smart Search'!H13,0),0)</f>
        <v>0</v>
      </c>
      <c r="AD4" s="66">
        <f>IF('Smart Search'!F13=1,IFERROR(1/'Smart Search'!H13,0),0)</f>
        <v>0</v>
      </c>
      <c r="AE4" s="66">
        <f>IF('Smart Search'!F13=1,IFERROR(1/'Smart Search'!H13,0),0)</f>
        <v>0</v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>0</v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>0</v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>0.25</v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>0.11764705882352944</v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>0</v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>0</v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>0</v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>0</v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>0</v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>0</v>
      </c>
      <c r="AP4" s="66">
        <f t="shared" si="0"/>
        <v>0</v>
      </c>
      <c r="AQ4" s="66">
        <f t="shared" si="1"/>
        <v>0</v>
      </c>
      <c r="AR4" s="66">
        <f t="shared" si="2"/>
        <v>0.125</v>
      </c>
      <c r="AS4" s="66">
        <f t="shared" si="3"/>
        <v>5.8823529411764719E-2</v>
      </c>
      <c r="AT4" s="66">
        <f t="shared" si="4"/>
        <v>0</v>
      </c>
      <c r="AU4" s="66">
        <f t="shared" si="5"/>
        <v>0</v>
      </c>
      <c r="AV4" s="66">
        <f t="shared" si="6"/>
        <v>0</v>
      </c>
      <c r="AW4" s="66">
        <f t="shared" si="7"/>
        <v>0</v>
      </c>
      <c r="AX4" s="66">
        <f t="shared" si="8"/>
        <v>0</v>
      </c>
      <c r="AY4" s="66">
        <f t="shared" si="9"/>
        <v>0</v>
      </c>
      <c r="AZ4" s="66" t="str">
        <f>'Project Database'!Z8</f>
        <v>AutoStore</v>
      </c>
      <c r="BA4" s="66">
        <f>IF(OR(A4="",'Smart Search'!H13=0),"",MAX(0,BE4*BF4*MAX(0,1-BG4)))</f>
        <v>0.18382352941176472</v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>0</v>
      </c>
      <c r="BC4" s="66">
        <f>IF('Smart Search'!G13=1,IFERROR(1/'Smart Search'!H13,0),0)</f>
        <v>0</v>
      </c>
      <c r="BD4" s="66">
        <f t="shared" si="10"/>
        <v>0</v>
      </c>
      <c r="BE4" s="66">
        <f t="shared" si="11"/>
        <v>0.18382352941176472</v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>1</v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>0</v>
      </c>
      <c r="BH4" s="5">
        <f>IF(AND('Project Database'!A8&lt;&gt;"",OR('Smart Search'!$L$5="",'Smart Search'!$L$5="All",TRIM('Project Database'!D8)=TRIM('Smart Search'!$L$5)),OR(TRIM('Smart Search'!$L$6)="",TRIM('Smart Search'!$L$6)="All",ISNUMBER(SEARCH(SUBSTITUTE(SUBSTITUTE(SUBSTITUTE(TRIM('Smart Search'!$L$6),"~","~~"),"*","~*"),"?","~?"),'Project Database'!C8))),OR('Smart Search'!$L$7="",AND('Project Database'!E8&lt;&gt;"",'Project Database'!E8='Smart Search'!$L$7)),OR('Smart Search'!$L$8="",'Smart Search'!$L$8="All",TRIM('Project Database'!F8)=TRIM('Smart Search'!$L$8))),IF(BA4="","",BA4+ROW()*0.0000000001),"")</f>
        <v>0.18382352981176472</v>
      </c>
      <c r="BI4" s="5" t="str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IF('Project Database'!A8="","",N('Project Database'!AC8))</f>
        <v>0.05</v>
      </c>
      <c r="BK4" s="5">
        <f>IF('Project Database'!A8="","",N('Project Database'!AD8))</f>
        <v>0.05</v>
      </c>
      <c r="BL4" s="5">
        <f>IF('Project Database'!A8="","",N('Project Database'!AE8))</f>
        <v>0.05</v>
      </c>
      <c r="BM4" s="5">
        <f>IF('Project Database'!A8="","",N('Project Database'!AF8))</f>
        <v>7.0000000000000007E-2</v>
      </c>
      <c r="BN4" s="5">
        <f>IF('Project Database'!A8="","",N('Project Database'!AG8))</f>
        <v>0.09</v>
      </c>
      <c r="BO4" s="5">
        <f>IF('Project Database'!A8="","",N('Project Database'!AH8))</f>
        <v>0.06</v>
      </c>
      <c r="BP4" s="5">
        <f>IF('Project Database'!A8="","",N('Project Database'!AI8))</f>
        <v>0.06</v>
      </c>
      <c r="BQ4" s="5">
        <f>IF('Project Database'!A8="","",N('Project Database'!AJ8))</f>
        <v>0.01</v>
      </c>
      <c r="BR4" s="5">
        <f>IF('Project Database'!A8="","",N('Project Database'!AK8))</f>
        <v>0.01</v>
      </c>
      <c r="BS4" s="5">
        <f>IF('Project Database'!A8="","",N('Project Database'!AL8))</f>
        <v>0.01</v>
      </c>
      <c r="BT4" s="5">
        <f>IF('Project Database'!A8="","",N('Project Database'!AM8))</f>
        <v>0.01</v>
      </c>
      <c r="BU4" s="5">
        <f>IF('Project Database'!A8="","",N('Project Database'!AN8))</f>
        <v>0.01</v>
      </c>
      <c r="BV4" s="5">
        <f>IF('Project Database'!A8="","",N('Project Database'!AO8))</f>
        <v>0.04</v>
      </c>
      <c r="BW4" s="5">
        <f>IF('Project Database'!A8="","",N('Project Database'!AP8))</f>
        <v>1E-3</v>
      </c>
      <c r="BX4" s="5">
        <f t="shared" si="12"/>
        <v>0.52100000000000013</v>
      </c>
      <c r="BY4" s="5">
        <f t="shared" si="13"/>
        <v>3.9</v>
      </c>
    </row>
    <row r="5" spans="1:77" ht="15" customHeight="1" x14ac:dyDescent="0.3">
      <c r="A5" s="66" t="str">
        <f>'Project Database'!A9</f>
        <v>SW3128-2</v>
      </c>
      <c r="B5" s="66" t="str">
        <f>'Project Database'!B9</f>
        <v>DHL Aurora - JUBAIL*</v>
      </c>
      <c r="C5" s="66">
        <f>'Project Database'!G9</f>
        <v>0</v>
      </c>
      <c r="D5" s="66">
        <f>'Project Database'!H9</f>
        <v>0</v>
      </c>
      <c r="E5" s="66">
        <f>'Project Database'!I9</f>
        <v>10</v>
      </c>
      <c r="F5" s="66">
        <f>'Project Database'!J9</f>
        <v>165000</v>
      </c>
      <c r="G5" s="66">
        <f>'Project Database'!K9</f>
        <v>0</v>
      </c>
      <c r="H5" s="66">
        <f>'Project Database'!L9</f>
        <v>0</v>
      </c>
      <c r="I5" s="66">
        <f>'Project Database'!M9</f>
        <v>0</v>
      </c>
      <c r="J5" s="66">
        <f>'Project Database'!N9</f>
        <v>0</v>
      </c>
      <c r="K5" s="66">
        <f>'Project Database'!O9</f>
        <v>0</v>
      </c>
      <c r="L5" s="66">
        <f>'Project Database'!P9</f>
        <v>0</v>
      </c>
      <c r="M5" s="66">
        <f>'Project Database'!Q9</f>
        <v>6</v>
      </c>
      <c r="N5" s="66">
        <f>'Project Database'!R9</f>
        <v>2</v>
      </c>
      <c r="O5" s="66">
        <f>'Project Database'!S9</f>
        <v>10</v>
      </c>
      <c r="P5" s="66">
        <f>'Project Database'!T9</f>
        <v>6</v>
      </c>
      <c r="Q5" s="66">
        <f>'Project Database'!U9</f>
        <v>12</v>
      </c>
      <c r="R5" s="66">
        <f>'Project Database'!V9</f>
        <v>16</v>
      </c>
      <c r="S5" s="66">
        <f>'Project Database'!W9</f>
        <v>43</v>
      </c>
      <c r="T5" s="66" t="str">
        <f>'Project Database'!X9</f>
        <v>USD</v>
      </c>
      <c r="U5" s="67">
        <f>'Project Database'!Y9</f>
        <v>6.2</v>
      </c>
      <c r="V5" s="66">
        <f>IF('Smart Search'!B13=1,IFERROR(1/'Smart Search'!H13,0),0)</f>
        <v>0</v>
      </c>
      <c r="W5" s="66">
        <f>IF('Smart Search'!B13=1,IFERROR(1/'Smart Search'!H13,0),0)</f>
        <v>0</v>
      </c>
      <c r="X5" s="66">
        <f>IF('Smart Search'!C13=1,IFERROR(1/'Smart Search'!H13,0),0)</f>
        <v>0.5</v>
      </c>
      <c r="Y5" s="66">
        <f>IF('Smart Search'!C13=1,IFERROR(1/'Smart Search'!H13,0),0)</f>
        <v>0.5</v>
      </c>
      <c r="Z5" s="66">
        <f>IF('Smart Search'!D13=1,IFERROR(1/'Smart Search'!H13,0),0)</f>
        <v>0</v>
      </c>
      <c r="AA5" s="66">
        <f>IF('Smart Search'!D13=1,IFERROR(1/'Smart Search'!H13,0),0)</f>
        <v>0</v>
      </c>
      <c r="AB5" s="66">
        <f>IF('Smart Search'!E13=1,IFERROR(1/'Smart Search'!H13,0),0)</f>
        <v>0</v>
      </c>
      <c r="AC5" s="66">
        <f>IF('Smart Search'!E13=1,IFERROR(1/'Smart Search'!H13,0),0)</f>
        <v>0</v>
      </c>
      <c r="AD5" s="66">
        <f>IF('Smart Search'!F13=1,IFERROR(1/'Smart Search'!H13,0),0)</f>
        <v>0</v>
      </c>
      <c r="AE5" s="66">
        <f>IF('Smart Search'!F13=1,IFERROR(1/'Smart Search'!H13,0),0)</f>
        <v>0</v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>0</v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>0</v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>0.5</v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>6.0606060606060552E-2</v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>0</v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>0</v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>0</v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>0</v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>0</v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>0</v>
      </c>
      <c r="AP5" s="66">
        <f t="shared" si="0"/>
        <v>0</v>
      </c>
      <c r="AQ5" s="66">
        <f t="shared" si="1"/>
        <v>0</v>
      </c>
      <c r="AR5" s="66">
        <f t="shared" si="2"/>
        <v>0.25</v>
      </c>
      <c r="AS5" s="66">
        <f t="shared" si="3"/>
        <v>3.0303030303030276E-2</v>
      </c>
      <c r="AT5" s="66">
        <f t="shared" si="4"/>
        <v>0</v>
      </c>
      <c r="AU5" s="66">
        <f t="shared" si="5"/>
        <v>0</v>
      </c>
      <c r="AV5" s="66">
        <f t="shared" si="6"/>
        <v>0</v>
      </c>
      <c r="AW5" s="66">
        <f t="shared" si="7"/>
        <v>0</v>
      </c>
      <c r="AX5" s="66">
        <f t="shared" si="8"/>
        <v>0</v>
      </c>
      <c r="AY5" s="66">
        <f t="shared" si="9"/>
        <v>0</v>
      </c>
      <c r="AZ5" s="66" t="str">
        <f>'Project Database'!Z9</f>
        <v>AutoStore</v>
      </c>
      <c r="BA5" s="66">
        <f>IF(OR(A5="",'Smart Search'!H13=0),"",MAX(0,BE5*BF5*MAX(0,1-BG5)))</f>
        <v>0.28030303030303028</v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>0</v>
      </c>
      <c r="BC5" s="66">
        <f>IF('Smart Search'!G13=1,IFERROR(1/'Smart Search'!H13,0),0)</f>
        <v>0</v>
      </c>
      <c r="BD5" s="66">
        <f t="shared" si="10"/>
        <v>0</v>
      </c>
      <c r="BE5" s="66">
        <f t="shared" si="11"/>
        <v>0.28030303030303028</v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>1</v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>0</v>
      </c>
      <c r="BH5" s="5">
        <f>IF(AND('Project Database'!A9&lt;&gt;"",OR('Smart Search'!$L$5="",'Smart Search'!$L$5="All",TRIM('Project Database'!D9)=TRIM('Smart Search'!$L$5)),OR(TRIM('Smart Search'!$L$6)="",TRIM('Smart Search'!$L$6)="All",ISNUMBER(SEARCH(SUBSTITUTE(SUBSTITUTE(SUBSTITUTE(TRIM('Smart Search'!$L$6),"~","~~"),"*","~*"),"?","~?"),'Project Database'!C9))),OR('Smart Search'!$L$7="",AND('Project Database'!E9&lt;&gt;"",'Project Database'!E9='Smart Search'!$L$7)),OR('Smart Search'!$L$8="",'Smart Search'!$L$8="All",TRIM('Project Database'!F9)=TRIM('Smart Search'!$L$8))),IF(BA5="","",BA5+ROW()*0.0000000001),"")</f>
        <v>0.28030303080303026</v>
      </c>
      <c r="BI5" s="5" t="str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IF('Project Database'!A9="","",N('Project Database'!AC9))</f>
        <v>0.05</v>
      </c>
      <c r="BK5" s="5">
        <f>IF('Project Database'!A9="","",N('Project Database'!AD9))</f>
        <v>0.05</v>
      </c>
      <c r="BL5" s="5">
        <f>IF('Project Database'!A9="","",N('Project Database'!AE9))</f>
        <v>0.05</v>
      </c>
      <c r="BM5" s="5">
        <f>IF('Project Database'!A9="","",N('Project Database'!AF9))</f>
        <v>7.0000000000000007E-2</v>
      </c>
      <c r="BN5" s="5">
        <f>IF('Project Database'!A9="","",N('Project Database'!AG9))</f>
        <v>0.09</v>
      </c>
      <c r="BO5" s="5">
        <f>IF('Project Database'!A9="","",N('Project Database'!AH9))</f>
        <v>0.06</v>
      </c>
      <c r="BP5" s="5">
        <f>IF('Project Database'!A9="","",N('Project Database'!AI9))</f>
        <v>0.06</v>
      </c>
      <c r="BQ5" s="5">
        <f>IF('Project Database'!A9="","",N('Project Database'!AJ9))</f>
        <v>0.01</v>
      </c>
      <c r="BR5" s="5">
        <f>IF('Project Database'!A9="","",N('Project Database'!AK9))</f>
        <v>0.01</v>
      </c>
      <c r="BS5" s="5">
        <f>IF('Project Database'!A9="","",N('Project Database'!AL9))</f>
        <v>0.01</v>
      </c>
      <c r="BT5" s="5">
        <f>IF('Project Database'!A9="","",N('Project Database'!AM9))</f>
        <v>0.01</v>
      </c>
      <c r="BU5" s="5">
        <f>IF('Project Database'!A9="","",N('Project Database'!AN9))</f>
        <v>0.01</v>
      </c>
      <c r="BV5" s="5">
        <f>IF('Project Database'!A9="","",N('Project Database'!AO9))</f>
        <v>0.04</v>
      </c>
      <c r="BW5" s="5">
        <f>IF('Project Database'!A9="","",N('Project Database'!AP9))</f>
        <v>1E-3</v>
      </c>
      <c r="BX5" s="5">
        <f t="shared" si="12"/>
        <v>0.52100000000000013</v>
      </c>
      <c r="BY5" s="5">
        <f t="shared" si="13"/>
        <v>6.2</v>
      </c>
    </row>
    <row r="6" spans="1:77" ht="15" customHeight="1" x14ac:dyDescent="0.3">
      <c r="A6" s="66" t="str">
        <f>'Project Database'!A10</f>
        <v>SW3128-3</v>
      </c>
      <c r="B6" s="66" t="str">
        <f>'Project Database'!B10</f>
        <v>DHL Aurora - YANBU*</v>
      </c>
      <c r="C6" s="66">
        <f>'Project Database'!G10</f>
        <v>0</v>
      </c>
      <c r="D6" s="66">
        <f>'Project Database'!H10</f>
        <v>0</v>
      </c>
      <c r="E6" s="66">
        <f>'Project Database'!I10</f>
        <v>20</v>
      </c>
      <c r="F6" s="66">
        <f>'Project Database'!J10</f>
        <v>130000</v>
      </c>
      <c r="G6" s="66">
        <f>'Project Database'!K10</f>
        <v>0</v>
      </c>
      <c r="H6" s="66">
        <f>'Project Database'!L10</f>
        <v>0</v>
      </c>
      <c r="I6" s="66">
        <f>'Project Database'!M10</f>
        <v>0</v>
      </c>
      <c r="J6" s="66">
        <f>'Project Database'!N10</f>
        <v>0</v>
      </c>
      <c r="K6" s="66">
        <f>'Project Database'!O10</f>
        <v>0</v>
      </c>
      <c r="L6" s="66">
        <f>'Project Database'!P10</f>
        <v>0</v>
      </c>
      <c r="M6" s="66">
        <f>'Project Database'!Q10</f>
        <v>6</v>
      </c>
      <c r="N6" s="66">
        <f>'Project Database'!R10</f>
        <v>2</v>
      </c>
      <c r="O6" s="66">
        <f>'Project Database'!S10</f>
        <v>4</v>
      </c>
      <c r="P6" s="66">
        <f>'Project Database'!T10</f>
        <v>6</v>
      </c>
      <c r="Q6" s="66">
        <f>'Project Database'!U10</f>
        <v>9</v>
      </c>
      <c r="R6" s="66">
        <f>'Project Database'!V10</f>
        <v>14</v>
      </c>
      <c r="S6" s="66">
        <f>'Project Database'!W10</f>
        <v>41</v>
      </c>
      <c r="T6" s="66" t="str">
        <f>'Project Database'!X10</f>
        <v>USD</v>
      </c>
      <c r="U6" s="67">
        <f>'Project Database'!Y10</f>
        <v>5</v>
      </c>
      <c r="V6" s="66">
        <f>IF('Smart Search'!B13=1,IFERROR(1/'Smart Search'!H13,0),0)</f>
        <v>0</v>
      </c>
      <c r="W6" s="66">
        <f>IF('Smart Search'!B13=1,IFERROR(1/'Smart Search'!H13,0),0)</f>
        <v>0</v>
      </c>
      <c r="X6" s="66">
        <f>IF('Smart Search'!C13=1,IFERROR(1/'Smart Search'!H13,0),0)</f>
        <v>0.5</v>
      </c>
      <c r="Y6" s="66">
        <f>IF('Smart Search'!C13=1,IFERROR(1/'Smart Search'!H13,0),0)</f>
        <v>0.5</v>
      </c>
      <c r="Z6" s="66">
        <f>IF('Smart Search'!D13=1,IFERROR(1/'Smart Search'!H13,0),0)</f>
        <v>0</v>
      </c>
      <c r="AA6" s="66">
        <f>IF('Smart Search'!D13=1,IFERROR(1/'Smart Search'!H13,0),0)</f>
        <v>0</v>
      </c>
      <c r="AB6" s="66">
        <f>IF('Smart Search'!E13=1,IFERROR(1/'Smart Search'!H13,0),0)</f>
        <v>0</v>
      </c>
      <c r="AC6" s="66">
        <f>IF('Smart Search'!E13=1,IFERROR(1/'Smart Search'!H13,0),0)</f>
        <v>0</v>
      </c>
      <c r="AD6" s="66">
        <f>IF('Smart Search'!F13=1,IFERROR(1/'Smart Search'!H13,0),0)</f>
        <v>0</v>
      </c>
      <c r="AE6" s="66">
        <f>IF('Smart Search'!F13=1,IFERROR(1/'Smart Search'!H13,0),0)</f>
        <v>0</v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>0</v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>0</v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>1</v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>7.6923076923076872E-2</v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>0</v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>0</v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>0</v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>0</v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>0</v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>0</v>
      </c>
      <c r="AP6" s="66">
        <f t="shared" si="0"/>
        <v>0</v>
      </c>
      <c r="AQ6" s="66">
        <f t="shared" si="1"/>
        <v>0</v>
      </c>
      <c r="AR6" s="66">
        <f t="shared" si="2"/>
        <v>0.5</v>
      </c>
      <c r="AS6" s="66">
        <f t="shared" si="3"/>
        <v>3.8461538461538436E-2</v>
      </c>
      <c r="AT6" s="66">
        <f t="shared" si="4"/>
        <v>0</v>
      </c>
      <c r="AU6" s="66">
        <f t="shared" si="5"/>
        <v>0</v>
      </c>
      <c r="AV6" s="66">
        <f t="shared" si="6"/>
        <v>0</v>
      </c>
      <c r="AW6" s="66">
        <f t="shared" si="7"/>
        <v>0</v>
      </c>
      <c r="AX6" s="66">
        <f t="shared" si="8"/>
        <v>0</v>
      </c>
      <c r="AY6" s="66">
        <f t="shared" si="9"/>
        <v>0</v>
      </c>
      <c r="AZ6" s="66" t="str">
        <f>'Project Database'!Z10</f>
        <v>AutoStore</v>
      </c>
      <c r="BA6" s="66">
        <f>IF(OR(A6="",'Smart Search'!H13=0),"",MAX(0,BE6*BF6*MAX(0,1-BG6)))</f>
        <v>0.53846153846153844</v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>0</v>
      </c>
      <c r="BC6" s="66">
        <f>IF('Smart Search'!G13=1,IFERROR(1/'Smart Search'!H13,0),0)</f>
        <v>0</v>
      </c>
      <c r="BD6" s="66">
        <f t="shared" si="10"/>
        <v>0</v>
      </c>
      <c r="BE6" s="66">
        <f t="shared" si="11"/>
        <v>0.53846153846153844</v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>1</v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>0</v>
      </c>
      <c r="BH6" s="5">
        <f>IF(AND('Project Database'!A10&lt;&gt;"",OR('Smart Search'!$L$5="",'Smart Search'!$L$5="All",TRIM('Project Database'!D10)=TRIM('Smart Search'!$L$5)),OR(TRIM('Smart Search'!$L$6)="",TRIM('Smart Search'!$L$6)="All",ISNUMBER(SEARCH(SUBSTITUTE(SUBSTITUTE(SUBSTITUTE(TRIM('Smart Search'!$L$6),"~","~~"),"*","~*"),"?","~?"),'Project Database'!C10))),OR('Smart Search'!$L$7="",AND('Project Database'!E10&lt;&gt;"",'Project Database'!E10='Smart Search'!$L$7)),OR('Smart Search'!$L$8="",'Smart Search'!$L$8="All",TRIM('Project Database'!F10)=TRIM('Smart Search'!$L$8))),IF(BA6="","",BA6+ROW()*0.0000000001),"")</f>
        <v>0.53846153906153849</v>
      </c>
      <c r="BI6" s="5" t="str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IF('Project Database'!A10="","",N('Project Database'!AC10))</f>
        <v>0.05</v>
      </c>
      <c r="BK6" s="5">
        <f>IF('Project Database'!A10="","",N('Project Database'!AD10))</f>
        <v>0.05</v>
      </c>
      <c r="BL6" s="5">
        <f>IF('Project Database'!A10="","",N('Project Database'!AE10))</f>
        <v>0.05</v>
      </c>
      <c r="BM6" s="5">
        <f>IF('Project Database'!A10="","",N('Project Database'!AF10))</f>
        <v>7.0000000000000007E-2</v>
      </c>
      <c r="BN6" s="5">
        <f>IF('Project Database'!A10="","",N('Project Database'!AG10))</f>
        <v>0.09</v>
      </c>
      <c r="BO6" s="5">
        <f>IF('Project Database'!A10="","",N('Project Database'!AH10))</f>
        <v>0.06</v>
      </c>
      <c r="BP6" s="5">
        <f>IF('Project Database'!A10="","",N('Project Database'!AI10))</f>
        <v>0.06</v>
      </c>
      <c r="BQ6" s="5">
        <f>IF('Project Database'!A10="","",N('Project Database'!AJ10))</f>
        <v>0.01</v>
      </c>
      <c r="BR6" s="5">
        <f>IF('Project Database'!A10="","",N('Project Database'!AK10))</f>
        <v>0.01</v>
      </c>
      <c r="BS6" s="5">
        <f>IF('Project Database'!A10="","",N('Project Database'!AL10))</f>
        <v>0.01</v>
      </c>
      <c r="BT6" s="5">
        <f>IF('Project Database'!A10="","",N('Project Database'!AM10))</f>
        <v>0.01</v>
      </c>
      <c r="BU6" s="5">
        <f>IF('Project Database'!A10="","",N('Project Database'!AN10))</f>
        <v>0.01</v>
      </c>
      <c r="BV6" s="5">
        <f>IF('Project Database'!A10="","",N('Project Database'!AO10))</f>
        <v>0.04</v>
      </c>
      <c r="BW6" s="5">
        <f>IF('Project Database'!A10="","",N('Project Database'!AP10))</f>
        <v>1E-3</v>
      </c>
      <c r="BX6" s="5">
        <f t="shared" si="12"/>
        <v>0.52100000000000013</v>
      </c>
      <c r="BY6" s="5">
        <f t="shared" si="13"/>
        <v>5</v>
      </c>
    </row>
    <row r="7" spans="1:77" ht="15" customHeight="1" x14ac:dyDescent="0.3">
      <c r="A7" s="66" t="str">
        <f>'Project Database'!A11</f>
        <v>SC22154</v>
      </c>
      <c r="B7" s="66" t="str">
        <f>'Project Database'!B11</f>
        <v>Almarai Poultry</v>
      </c>
      <c r="C7" s="66">
        <f>'Project Database'!G11</f>
        <v>45</v>
      </c>
      <c r="D7" s="66">
        <f>'Project Database'!H11</f>
        <v>10000</v>
      </c>
      <c r="E7" s="66">
        <f>'Project Database'!I11</f>
        <v>0</v>
      </c>
      <c r="F7" s="66">
        <f>'Project Database'!J11</f>
        <v>0</v>
      </c>
      <c r="G7" s="66">
        <f>'Project Database'!K11</f>
        <v>0</v>
      </c>
      <c r="H7" s="66">
        <f>'Project Database'!L11</f>
        <v>0</v>
      </c>
      <c r="I7" s="66">
        <f>'Project Database'!M11</f>
        <v>0</v>
      </c>
      <c r="J7" s="66">
        <f>'Project Database'!N11</f>
        <v>0</v>
      </c>
      <c r="K7" s="66">
        <f>'Project Database'!O11</f>
        <v>900</v>
      </c>
      <c r="L7" s="66">
        <f>'Project Database'!P11</f>
        <v>0</v>
      </c>
      <c r="M7" s="66">
        <f>'Project Database'!Q11</f>
        <v>56</v>
      </c>
      <c r="N7" s="66">
        <f>'Project Database'!R11</f>
        <v>32</v>
      </c>
      <c r="O7" s="66">
        <f>'Project Database'!S11</f>
        <v>20</v>
      </c>
      <c r="P7" s="66">
        <f>'Project Database'!T11</f>
        <v>60</v>
      </c>
      <c r="Q7" s="66">
        <f>'Project Database'!U11</f>
        <v>29</v>
      </c>
      <c r="R7" s="66">
        <f>'Project Database'!V11</f>
        <v>41</v>
      </c>
      <c r="S7" s="66">
        <f>'Project Database'!W11</f>
        <v>94</v>
      </c>
      <c r="T7" s="66" t="str">
        <f>'Project Database'!X11</f>
        <v>USD</v>
      </c>
      <c r="U7" s="67">
        <f>'Project Database'!Y11</f>
        <v>12.3</v>
      </c>
      <c r="V7" s="66">
        <f>IF('Smart Search'!B13=1,IFERROR(1/'Smart Search'!H13,0),0)</f>
        <v>0</v>
      </c>
      <c r="W7" s="66">
        <f>IF('Smart Search'!B13=1,IFERROR(1/'Smart Search'!H13,0),0)</f>
        <v>0</v>
      </c>
      <c r="X7" s="66">
        <f>IF('Smart Search'!C13=1,IFERROR(1/'Smart Search'!H13,0),0)</f>
        <v>0.5</v>
      </c>
      <c r="Y7" s="66">
        <f>IF('Smart Search'!C13=1,IFERROR(1/'Smart Search'!H13,0),0)</f>
        <v>0.5</v>
      </c>
      <c r="Z7" s="66">
        <f>IF('Smart Search'!D13=1,IFERROR(1/'Smart Search'!H13,0),0)</f>
        <v>0</v>
      </c>
      <c r="AA7" s="66">
        <f>IF('Smart Search'!D13=1,IFERROR(1/'Smart Search'!H13,0),0)</f>
        <v>0</v>
      </c>
      <c r="AB7" s="66">
        <f>IF('Smart Search'!E13=1,IFERROR(1/'Smart Search'!H13,0),0)</f>
        <v>0</v>
      </c>
      <c r="AC7" s="66">
        <f>IF('Smart Search'!E13=1,IFERROR(1/'Smart Search'!H13,0),0)</f>
        <v>0</v>
      </c>
      <c r="AD7" s="66">
        <f>IF('Smart Search'!F13=1,IFERROR(1/'Smart Search'!H13,0),0)</f>
        <v>0</v>
      </c>
      <c r="AE7" s="66">
        <f>IF('Smart Search'!F13=1,IFERROR(1/'Smart Search'!H13,0),0)</f>
        <v>0</v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>0</v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>0</v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>0</v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>0</v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>0</v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>0</v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>0</v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>0</v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>0</v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>0</v>
      </c>
      <c r="AP7" s="66">
        <f t="shared" si="0"/>
        <v>0</v>
      </c>
      <c r="AQ7" s="66">
        <f t="shared" si="1"/>
        <v>0</v>
      </c>
      <c r="AR7" s="66">
        <f t="shared" si="2"/>
        <v>0</v>
      </c>
      <c r="AS7" s="66">
        <f t="shared" si="3"/>
        <v>0</v>
      </c>
      <c r="AT7" s="66">
        <f t="shared" si="4"/>
        <v>0</v>
      </c>
      <c r="AU7" s="66">
        <f t="shared" si="5"/>
        <v>0</v>
      </c>
      <c r="AV7" s="66">
        <f t="shared" si="6"/>
        <v>0</v>
      </c>
      <c r="AW7" s="66">
        <f t="shared" si="7"/>
        <v>0</v>
      </c>
      <c r="AX7" s="66">
        <f t="shared" si="8"/>
        <v>0</v>
      </c>
      <c r="AY7" s="66">
        <f t="shared" si="9"/>
        <v>0</v>
      </c>
      <c r="AZ7" s="66" t="str">
        <f>'Project Database'!Z11</f>
        <v>DMS MCS Elten Tote Palletising Case Lidding</v>
      </c>
      <c r="BA7" s="66">
        <f>IF(OR(A7="",'Smart Search'!H13=0),"",MAX(0,BE7*BF7*MAX(0,1-BG7)))</f>
        <v>0</v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>0</v>
      </c>
      <c r="BC7" s="66">
        <f>IF('Smart Search'!G13=1,IFERROR(1/'Smart Search'!H13,0),0)</f>
        <v>0</v>
      </c>
      <c r="BD7" s="66">
        <f t="shared" si="10"/>
        <v>0</v>
      </c>
      <c r="BE7" s="66">
        <f t="shared" si="11"/>
        <v>0</v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>0</v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>0.5</v>
      </c>
      <c r="BH7" s="5">
        <f>IF(AND('Project Database'!A11&lt;&gt;"",OR('Smart Search'!$L$5="",'Smart Search'!$L$5="All",TRIM('Project Database'!D11)=TRIM('Smart Search'!$L$5)),OR(TRIM('Smart Search'!$L$6)="",TRIM('Smart Search'!$L$6)="All",ISNUMBER(SEARCH(SUBSTITUTE(SUBSTITUTE(SUBSTITUTE(TRIM('Smart Search'!$L$6),"~","~~"),"*","~*"),"?","~?"),'Project Database'!C11))),OR('Smart Search'!$L$7="",AND('Project Database'!E11&lt;&gt;"",'Project Database'!E11='Smart Search'!$L$7)),OR('Smart Search'!$L$8="",'Smart Search'!$L$8="All",TRIM('Project Database'!F11)=TRIM('Smart Search'!$L$8))),IF(BA7="","",BA7+ROW()*0.0000000001),"")</f>
        <v>7.0000000000000006E-10</v>
      </c>
      <c r="BI7" s="5" t="str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 xml:space="preserve">Multishuttle, </v>
      </c>
      <c r="BJ7" s="5">
        <f>IF('Project Database'!A11="","",N('Project Database'!AC11))</f>
        <v>0</v>
      </c>
      <c r="BK7" s="5">
        <f>IF('Project Database'!A11="","",N('Project Database'!AD11))</f>
        <v>0</v>
      </c>
      <c r="BL7" s="5">
        <f>IF('Project Database'!A11="","",N('Project Database'!AE11))</f>
        <v>0</v>
      </c>
      <c r="BM7" s="5">
        <f>IF('Project Database'!A11="","",N('Project Database'!AF11))</f>
        <v>0</v>
      </c>
      <c r="BN7" s="5">
        <f>IF('Project Database'!A11="","",N('Project Database'!AG11))</f>
        <v>0</v>
      </c>
      <c r="BO7" s="5">
        <f>IF('Project Database'!A11="","",N('Project Database'!AH11))</f>
        <v>0</v>
      </c>
      <c r="BP7" s="5">
        <f>IF('Project Database'!A11="","",N('Project Database'!AI11))</f>
        <v>0</v>
      </c>
      <c r="BQ7" s="5">
        <f>IF('Project Database'!A11="","",N('Project Database'!AJ11))</f>
        <v>0</v>
      </c>
      <c r="BR7" s="5">
        <f>IF('Project Database'!A11="","",N('Project Database'!AK11))</f>
        <v>0</v>
      </c>
      <c r="BS7" s="5">
        <f>IF('Project Database'!A11="","",N('Project Database'!AL11))</f>
        <v>0</v>
      </c>
      <c r="BT7" s="5">
        <f>IF('Project Database'!A11="","",N('Project Database'!AM11))</f>
        <v>0</v>
      </c>
      <c r="BU7" s="5">
        <f>IF('Project Database'!A11="","",N('Project Database'!AN11))</f>
        <v>0</v>
      </c>
      <c r="BV7" s="5">
        <f>IF('Project Database'!A11="","",N('Project Database'!AO11))</f>
        <v>0</v>
      </c>
      <c r="BW7" s="5">
        <f>IF('Project Database'!A11="","",N('Project Database'!AP11))</f>
        <v>0</v>
      </c>
      <c r="BX7" s="5">
        <f t="shared" si="12"/>
        <v>0</v>
      </c>
      <c r="BY7" s="5">
        <f t="shared" si="13"/>
        <v>12.3</v>
      </c>
    </row>
    <row r="8" spans="1:77" ht="15" customHeight="1" x14ac:dyDescent="0.3">
      <c r="A8" s="66" t="str">
        <f>'Project Database'!A12</f>
        <v>SC22158</v>
      </c>
      <c r="B8" s="66" t="str">
        <f>'Project Database'!B12</f>
        <v>Almarai Bakery</v>
      </c>
      <c r="C8" s="66">
        <f>'Project Database'!G12</f>
        <v>35</v>
      </c>
      <c r="D8" s="66">
        <f>'Project Database'!H12</f>
        <v>5000</v>
      </c>
      <c r="E8" s="66">
        <f>'Project Database'!I12</f>
        <v>0</v>
      </c>
      <c r="F8" s="66">
        <f>'Project Database'!J12</f>
        <v>0</v>
      </c>
      <c r="G8" s="66">
        <f>'Project Database'!K12</f>
        <v>15</v>
      </c>
      <c r="H8" s="66">
        <f>'Project Database'!L12</f>
        <v>5000</v>
      </c>
      <c r="I8" s="66">
        <f>'Project Database'!M12</f>
        <v>0</v>
      </c>
      <c r="J8" s="66">
        <f>'Project Database'!N12</f>
        <v>0</v>
      </c>
      <c r="K8" s="66">
        <f>'Project Database'!O12</f>
        <v>800</v>
      </c>
      <c r="L8" s="66">
        <f>'Project Database'!P12</f>
        <v>200</v>
      </c>
      <c r="M8" s="66">
        <f>'Project Database'!Q12</f>
        <v>79</v>
      </c>
      <c r="N8" s="66">
        <f>'Project Database'!R12</f>
        <v>28</v>
      </c>
      <c r="O8" s="66">
        <f>'Project Database'!S12</f>
        <v>16</v>
      </c>
      <c r="P8" s="66">
        <f>'Project Database'!T12</f>
        <v>66</v>
      </c>
      <c r="Q8" s="66">
        <f>'Project Database'!U12</f>
        <v>37</v>
      </c>
      <c r="R8" s="66">
        <f>'Project Database'!V12</f>
        <v>28</v>
      </c>
      <c r="S8" s="66">
        <f>'Project Database'!W12</f>
        <v>143</v>
      </c>
      <c r="T8" s="66" t="str">
        <f>'Project Database'!X12</f>
        <v>USD</v>
      </c>
      <c r="U8" s="67">
        <f>'Project Database'!Y12</f>
        <v>14.3</v>
      </c>
      <c r="V8" s="66">
        <f>IF('Smart Search'!B13=1,IFERROR(1/'Smart Search'!H13,0),0)</f>
        <v>0</v>
      </c>
      <c r="W8" s="66">
        <f>IF('Smart Search'!B13=1,IFERROR(1/'Smart Search'!H13,0),0)</f>
        <v>0</v>
      </c>
      <c r="X8" s="66">
        <f>IF('Smart Search'!C13=1,IFERROR(1/'Smart Search'!H13,0),0)</f>
        <v>0.5</v>
      </c>
      <c r="Y8" s="66">
        <f>IF('Smart Search'!C13=1,IFERROR(1/'Smart Search'!H13,0),0)</f>
        <v>0.5</v>
      </c>
      <c r="Z8" s="66">
        <f>IF('Smart Search'!D13=1,IFERROR(1/'Smart Search'!H13,0),0)</f>
        <v>0</v>
      </c>
      <c r="AA8" s="66">
        <f>IF('Smart Search'!D13=1,IFERROR(1/'Smart Search'!H13,0),0)</f>
        <v>0</v>
      </c>
      <c r="AB8" s="66">
        <f>IF('Smart Search'!E13=1,IFERROR(1/'Smart Search'!H13,0),0)</f>
        <v>0</v>
      </c>
      <c r="AC8" s="66">
        <f>IF('Smart Search'!E13=1,IFERROR(1/'Smart Search'!H13,0),0)</f>
        <v>0</v>
      </c>
      <c r="AD8" s="66">
        <f>IF('Smart Search'!F13=1,IFERROR(1/'Smart Search'!H13,0),0)</f>
        <v>0</v>
      </c>
      <c r="AE8" s="66">
        <f>IF('Smart Search'!F13=1,IFERROR(1/'Smart Search'!H13,0),0)</f>
        <v>0</v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>0</v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>0</v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>0</v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>0</v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>0</v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>0</v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>0</v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>0</v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>0</v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>0</v>
      </c>
      <c r="AP8" s="66">
        <f t="shared" si="0"/>
        <v>0</v>
      </c>
      <c r="AQ8" s="66">
        <f t="shared" si="1"/>
        <v>0</v>
      </c>
      <c r="AR8" s="66">
        <f t="shared" si="2"/>
        <v>0</v>
      </c>
      <c r="AS8" s="66">
        <f t="shared" si="3"/>
        <v>0</v>
      </c>
      <c r="AT8" s="66">
        <f t="shared" si="4"/>
        <v>0</v>
      </c>
      <c r="AU8" s="66">
        <f t="shared" si="5"/>
        <v>0</v>
      </c>
      <c r="AV8" s="66">
        <f t="shared" si="6"/>
        <v>0</v>
      </c>
      <c r="AW8" s="66">
        <f t="shared" si="7"/>
        <v>0</v>
      </c>
      <c r="AX8" s="66">
        <f t="shared" si="8"/>
        <v>0</v>
      </c>
      <c r="AY8" s="66">
        <f t="shared" si="9"/>
        <v>0</v>
      </c>
      <c r="AZ8" s="66" t="str">
        <f>'Project Database'!Z12</f>
        <v>2 Way Shuttle BK25</v>
      </c>
      <c r="BA8" s="66">
        <f>IF(OR(A8="",'Smart Search'!H13=0),"",MAX(0,BE8*BF8*MAX(0,1-BG8)))</f>
        <v>0</v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>0</v>
      </c>
      <c r="BC8" s="66">
        <f>IF('Smart Search'!G13=1,IFERROR(1/'Smart Search'!H13,0),0)</f>
        <v>0</v>
      </c>
      <c r="BD8" s="66">
        <f t="shared" si="10"/>
        <v>0</v>
      </c>
      <c r="BE8" s="66">
        <f t="shared" si="11"/>
        <v>0</v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>0</v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>0.75</v>
      </c>
      <c r="BH8" s="5">
        <f>IF(AND('Project Database'!A12&lt;&gt;"",OR('Smart Search'!$L$5="",'Smart Search'!$L$5="All",TRIM('Project Database'!D12)=TRIM('Smart Search'!$L$5)),OR(TRIM('Smart Search'!$L$6)="",TRIM('Smart Search'!$L$6)="All",ISNUMBER(SEARCH(SUBSTITUTE(SUBSTITUTE(SUBSTITUTE(TRIM('Smart Search'!$L$6),"~","~~"),"*","~*"),"?","~?"),'Project Database'!C12))),OR('Smart Search'!$L$7="",AND('Project Database'!E12&lt;&gt;"",'Project Database'!E12='Smart Search'!$L$7)),OR('Smart Search'!$L$8="",'Smart Search'!$L$8="All",TRIM('Project Database'!F12)=TRIM('Smart Search'!$L$8))),IF(BA8="","",BA8+ROW()*0.0000000001),"")</f>
        <v>8.0000000000000003E-10</v>
      </c>
      <c r="BI8" s="5" t="str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 xml:space="preserve">Multishuttle, Pallet Shuttle, </v>
      </c>
      <c r="BJ8" s="5">
        <f>IF('Project Database'!A12="","",N('Project Database'!AC12))</f>
        <v>0</v>
      </c>
      <c r="BK8" s="5">
        <f>IF('Project Database'!A12="","",N('Project Database'!AD12))</f>
        <v>0</v>
      </c>
      <c r="BL8" s="5">
        <f>IF('Project Database'!A12="","",N('Project Database'!AE12))</f>
        <v>0</v>
      </c>
      <c r="BM8" s="5">
        <f>IF('Project Database'!A12="","",N('Project Database'!AF12))</f>
        <v>0</v>
      </c>
      <c r="BN8" s="5">
        <f>IF('Project Database'!A12="","",N('Project Database'!AG12))</f>
        <v>0</v>
      </c>
      <c r="BO8" s="5">
        <f>IF('Project Database'!A12="","",N('Project Database'!AH12))</f>
        <v>0</v>
      </c>
      <c r="BP8" s="5">
        <f>IF('Project Database'!A12="","",N('Project Database'!AI12))</f>
        <v>0</v>
      </c>
      <c r="BQ8" s="5">
        <f>IF('Project Database'!A12="","",N('Project Database'!AJ12))</f>
        <v>0</v>
      </c>
      <c r="BR8" s="5">
        <f>IF('Project Database'!A12="","",N('Project Database'!AK12))</f>
        <v>0</v>
      </c>
      <c r="BS8" s="5">
        <f>IF('Project Database'!A12="","",N('Project Database'!AL12))</f>
        <v>0</v>
      </c>
      <c r="BT8" s="5">
        <f>IF('Project Database'!A12="","",N('Project Database'!AM12))</f>
        <v>0</v>
      </c>
      <c r="BU8" s="5">
        <f>IF('Project Database'!A12="","",N('Project Database'!AN12))</f>
        <v>0</v>
      </c>
      <c r="BV8" s="5">
        <f>IF('Project Database'!A12="","",N('Project Database'!AO12))</f>
        <v>0</v>
      </c>
      <c r="BW8" s="5">
        <f>IF('Project Database'!A12="","",N('Project Database'!AP12))</f>
        <v>0</v>
      </c>
      <c r="BX8" s="5">
        <f t="shared" si="12"/>
        <v>0</v>
      </c>
      <c r="BY8" s="5">
        <f t="shared" si="13"/>
        <v>14.3</v>
      </c>
    </row>
    <row r="9" spans="1:77" ht="15" customHeight="1" x14ac:dyDescent="0.3">
      <c r="A9" s="66" t="str">
        <f>'Project Database'!A13</f>
        <v>SC22213</v>
      </c>
      <c r="B9" s="66" t="str">
        <f>'Project Database'!B13</f>
        <v>LG CNS Marketkrly DMS</v>
      </c>
      <c r="C9" s="66">
        <f>'Project Database'!G13</f>
        <v>120</v>
      </c>
      <c r="D9" s="66">
        <f>'Project Database'!H13</f>
        <v>30000</v>
      </c>
      <c r="E9" s="66">
        <f>'Project Database'!I13</f>
        <v>0</v>
      </c>
      <c r="F9" s="66">
        <f>'Project Database'!J13</f>
        <v>0</v>
      </c>
      <c r="G9" s="66">
        <f>'Project Database'!K13</f>
        <v>0</v>
      </c>
      <c r="H9" s="66">
        <f>'Project Database'!L13</f>
        <v>0</v>
      </c>
      <c r="I9" s="66">
        <f>'Project Database'!M13</f>
        <v>0</v>
      </c>
      <c r="J9" s="66">
        <f>'Project Database'!N13</f>
        <v>0</v>
      </c>
      <c r="K9" s="66">
        <f>'Project Database'!O13</f>
        <v>0</v>
      </c>
      <c r="L9" s="66">
        <f>'Project Database'!P13</f>
        <v>0</v>
      </c>
      <c r="M9" s="66">
        <f>'Project Database'!Q13</f>
        <v>29</v>
      </c>
      <c r="N9" s="66">
        <f>'Project Database'!R13</f>
        <v>0</v>
      </c>
      <c r="O9" s="66">
        <f>'Project Database'!S13</f>
        <v>0</v>
      </c>
      <c r="P9" s="66">
        <f>'Project Database'!T13</f>
        <v>30</v>
      </c>
      <c r="Q9" s="66">
        <f>'Project Database'!U13</f>
        <v>26</v>
      </c>
      <c r="R9" s="66">
        <f>'Project Database'!V13</f>
        <v>16</v>
      </c>
      <c r="S9" s="66">
        <f>'Project Database'!W13</f>
        <v>78</v>
      </c>
      <c r="T9" s="66" t="str">
        <f>'Project Database'!X13</f>
        <v>USD</v>
      </c>
      <c r="U9" s="67">
        <f>'Project Database'!Y13</f>
        <v>4.3</v>
      </c>
      <c r="V9" s="66">
        <f>IF('Smart Search'!B13=1,IFERROR(1/'Smart Search'!H13,0),0)</f>
        <v>0</v>
      </c>
      <c r="W9" s="66">
        <f>IF('Smart Search'!B13=1,IFERROR(1/'Smart Search'!H13,0),0)</f>
        <v>0</v>
      </c>
      <c r="X9" s="66">
        <f>IF('Smart Search'!C13=1,IFERROR(1/'Smart Search'!H13,0),0)</f>
        <v>0.5</v>
      </c>
      <c r="Y9" s="66">
        <f>IF('Smart Search'!C13=1,IFERROR(1/'Smart Search'!H13,0),0)</f>
        <v>0.5</v>
      </c>
      <c r="Z9" s="66">
        <f>IF('Smart Search'!D13=1,IFERROR(1/'Smart Search'!H13,0),0)</f>
        <v>0</v>
      </c>
      <c r="AA9" s="66">
        <f>IF('Smart Search'!D13=1,IFERROR(1/'Smart Search'!H13,0),0)</f>
        <v>0</v>
      </c>
      <c r="AB9" s="66">
        <f>IF('Smart Search'!E13=1,IFERROR(1/'Smart Search'!H13,0),0)</f>
        <v>0</v>
      </c>
      <c r="AC9" s="66">
        <f>IF('Smart Search'!E13=1,IFERROR(1/'Smart Search'!H13,0),0)</f>
        <v>0</v>
      </c>
      <c r="AD9" s="66">
        <f>IF('Smart Search'!F13=1,IFERROR(1/'Smart Search'!H13,0),0)</f>
        <v>0</v>
      </c>
      <c r="AE9" s="66">
        <f>IF('Smart Search'!F13=1,IFERROR(1/'Smart Search'!H13,0),0)</f>
        <v>0</v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>0</v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>0</v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>0</v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>0</v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>0</v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>0</v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>0</v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>0</v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>0</v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>0</v>
      </c>
      <c r="AP9" s="66">
        <f t="shared" si="0"/>
        <v>0</v>
      </c>
      <c r="AQ9" s="66">
        <f t="shared" si="1"/>
        <v>0</v>
      </c>
      <c r="AR9" s="66">
        <f t="shared" si="2"/>
        <v>0</v>
      </c>
      <c r="AS9" s="66">
        <f t="shared" si="3"/>
        <v>0</v>
      </c>
      <c r="AT9" s="66">
        <f t="shared" si="4"/>
        <v>0</v>
      </c>
      <c r="AU9" s="66">
        <f t="shared" si="5"/>
        <v>0</v>
      </c>
      <c r="AV9" s="66">
        <f t="shared" si="6"/>
        <v>0</v>
      </c>
      <c r="AW9" s="66">
        <f t="shared" si="7"/>
        <v>0</v>
      </c>
      <c r="AX9" s="66">
        <f t="shared" si="8"/>
        <v>0</v>
      </c>
      <c r="AY9" s="66">
        <f t="shared" si="9"/>
        <v>0</v>
      </c>
      <c r="AZ9" s="66" t="str">
        <f>'Project Database'!Z13</f>
        <v>DMS</v>
      </c>
      <c r="BA9" s="66">
        <f>IF(OR(A9="",'Smart Search'!H13=0),"",MAX(0,BE9*BF9*MAX(0,1-BG9)))</f>
        <v>0</v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>0</v>
      </c>
      <c r="BC9" s="66">
        <f>IF('Smart Search'!G13=1,IFERROR(1/'Smart Search'!H13,0),0)</f>
        <v>0</v>
      </c>
      <c r="BD9" s="66">
        <f t="shared" si="10"/>
        <v>0</v>
      </c>
      <c r="BE9" s="66">
        <f t="shared" si="11"/>
        <v>0</v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>0</v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>0.25</v>
      </c>
      <c r="BH9" s="5">
        <f>IF(AND('Project Database'!A13&lt;&gt;"",OR('Smart Search'!$L$5="",'Smart Search'!$L$5="All",TRIM('Project Database'!D13)=TRIM('Smart Search'!$L$5)),OR(TRIM('Smart Search'!$L$6)="",TRIM('Smart Search'!$L$6)="All",ISNUMBER(SEARCH(SUBSTITUTE(SUBSTITUTE(SUBSTITUTE(TRIM('Smart Search'!$L$6),"~","~~"),"*","~*"),"?","~?"),'Project Database'!C13))),OR('Smart Search'!$L$7="",AND('Project Database'!E13&lt;&gt;"",'Project Database'!E13='Smart Search'!$L$7)),OR('Smart Search'!$L$8="",'Smart Search'!$L$8="All",TRIM('Project Database'!F13)=TRIM('Smart Search'!$L$8))),IF(BA9="","",BA9+ROW()*0.0000000001),"")</f>
        <v>8.9999999999999999E-10</v>
      </c>
      <c r="BI9" s="5" t="str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 xml:space="preserve">Multishuttle, </v>
      </c>
      <c r="BJ9" s="5">
        <f>IF('Project Database'!A13="","",N('Project Database'!AC13))</f>
        <v>0.05</v>
      </c>
      <c r="BK9" s="5">
        <f>IF('Project Database'!A13="","",N('Project Database'!AD13))</f>
        <v>0.05</v>
      </c>
      <c r="BL9" s="5">
        <f>IF('Project Database'!A13="","",N('Project Database'!AE13))</f>
        <v>0.05</v>
      </c>
      <c r="BM9" s="5">
        <f>IF('Project Database'!A13="","",N('Project Database'!AF13))</f>
        <v>7.0000000000000007E-2</v>
      </c>
      <c r="BN9" s="5">
        <f>IF('Project Database'!A13="","",N('Project Database'!AG13))</f>
        <v>0.09</v>
      </c>
      <c r="BO9" s="5">
        <f>IF('Project Database'!A13="","",N('Project Database'!AH13))</f>
        <v>0.06</v>
      </c>
      <c r="BP9" s="5">
        <f>IF('Project Database'!A13="","",N('Project Database'!AI13))</f>
        <v>0.06</v>
      </c>
      <c r="BQ9" s="5">
        <f>IF('Project Database'!A13="","",N('Project Database'!AJ13))</f>
        <v>0.01</v>
      </c>
      <c r="BR9" s="5">
        <f>IF('Project Database'!A13="","",N('Project Database'!AK13))</f>
        <v>0.01</v>
      </c>
      <c r="BS9" s="5">
        <f>IF('Project Database'!A13="","",N('Project Database'!AL13))</f>
        <v>0.01</v>
      </c>
      <c r="BT9" s="5">
        <f>IF('Project Database'!A13="","",N('Project Database'!AM13))</f>
        <v>0.01</v>
      </c>
      <c r="BU9" s="5">
        <f>IF('Project Database'!A13="","",N('Project Database'!AN13))</f>
        <v>0.01</v>
      </c>
      <c r="BV9" s="5">
        <f>IF('Project Database'!A13="","",N('Project Database'!AO13))</f>
        <v>0.04</v>
      </c>
      <c r="BW9" s="5">
        <f>IF('Project Database'!A13="","",N('Project Database'!AP13))</f>
        <v>1E-3</v>
      </c>
      <c r="BX9" s="5">
        <f t="shared" si="12"/>
        <v>0.52100000000000013</v>
      </c>
      <c r="BY9" s="5">
        <f t="shared" si="13"/>
        <v>4.3</v>
      </c>
    </row>
    <row r="10" spans="1:77" ht="15" customHeight="1" x14ac:dyDescent="0.3">
      <c r="A10" s="66" t="str">
        <f>'Project Database'!A14</f>
        <v>SC22168</v>
      </c>
      <c r="B10" s="66" t="str">
        <f>'Project Database'!B14</f>
        <v>Retail Logistics</v>
      </c>
      <c r="C10" s="66">
        <f>'Project Database'!G14</f>
        <v>65</v>
      </c>
      <c r="D10" s="66">
        <f>'Project Database'!H14</f>
        <v>30000</v>
      </c>
      <c r="E10" s="66">
        <f>'Project Database'!I14</f>
        <v>0</v>
      </c>
      <c r="F10" s="66">
        <f>'Project Database'!J14</f>
        <v>0</v>
      </c>
      <c r="G10" s="66">
        <f>'Project Database'!K14</f>
        <v>0</v>
      </c>
      <c r="H10" s="66">
        <f>'Project Database'!L14</f>
        <v>0</v>
      </c>
      <c r="I10" s="66">
        <f>'Project Database'!M14</f>
        <v>0</v>
      </c>
      <c r="J10" s="66">
        <f>'Project Database'!N14</f>
        <v>0</v>
      </c>
      <c r="K10" s="66">
        <f>'Project Database'!O14</f>
        <v>300</v>
      </c>
      <c r="L10" s="66">
        <f>'Project Database'!P14</f>
        <v>0</v>
      </c>
      <c r="M10" s="66">
        <f>'Project Database'!Q14</f>
        <v>48</v>
      </c>
      <c r="N10" s="66">
        <f>'Project Database'!R14</f>
        <v>32</v>
      </c>
      <c r="O10" s="66">
        <f>'Project Database'!S14</f>
        <v>14</v>
      </c>
      <c r="P10" s="66">
        <f>'Project Database'!T14</f>
        <v>48</v>
      </c>
      <c r="Q10" s="66">
        <f>'Project Database'!U14</f>
        <v>44</v>
      </c>
      <c r="R10" s="66">
        <f>'Project Database'!V14</f>
        <v>45</v>
      </c>
      <c r="S10" s="66">
        <f>'Project Database'!W14</f>
        <v>91</v>
      </c>
      <c r="T10" s="66" t="str">
        <f>'Project Database'!X14</f>
        <v>USD</v>
      </c>
      <c r="U10" s="67">
        <f>'Project Database'!Y14</f>
        <v>15.5</v>
      </c>
      <c r="V10" s="66">
        <f>IF('Smart Search'!B13=1,IFERROR(1/'Smart Search'!H13,0),0)</f>
        <v>0</v>
      </c>
      <c r="W10" s="66">
        <f>IF('Smart Search'!B13=1,IFERROR(1/'Smart Search'!H13,0),0)</f>
        <v>0</v>
      </c>
      <c r="X10" s="66">
        <f>IF('Smart Search'!C13=1,IFERROR(1/'Smart Search'!H13,0),0)</f>
        <v>0.5</v>
      </c>
      <c r="Y10" s="66">
        <f>IF('Smart Search'!C13=1,IFERROR(1/'Smart Search'!H13,0),0)</f>
        <v>0.5</v>
      </c>
      <c r="Z10" s="66">
        <f>IF('Smart Search'!D13=1,IFERROR(1/'Smart Search'!H13,0),0)</f>
        <v>0</v>
      </c>
      <c r="AA10" s="66">
        <f>IF('Smart Search'!D13=1,IFERROR(1/'Smart Search'!H13,0),0)</f>
        <v>0</v>
      </c>
      <c r="AB10" s="66">
        <f>IF('Smart Search'!E13=1,IFERROR(1/'Smart Search'!H13,0),0)</f>
        <v>0</v>
      </c>
      <c r="AC10" s="66">
        <f>IF('Smart Search'!E13=1,IFERROR(1/'Smart Search'!H13,0),0)</f>
        <v>0</v>
      </c>
      <c r="AD10" s="66">
        <f>IF('Smart Search'!F13=1,IFERROR(1/'Smart Search'!H13,0),0)</f>
        <v>0</v>
      </c>
      <c r="AE10" s="66">
        <f>IF('Smart Search'!F13=1,IFERROR(1/'Smart Search'!H13,0),0)</f>
        <v>0</v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>0</v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>0</v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>0</v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>0</v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>0</v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>0</v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>0</v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>0</v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>0</v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>0</v>
      </c>
      <c r="AP10" s="66">
        <f t="shared" si="0"/>
        <v>0</v>
      </c>
      <c r="AQ10" s="66">
        <f t="shared" si="1"/>
        <v>0</v>
      </c>
      <c r="AR10" s="66">
        <f t="shared" si="2"/>
        <v>0</v>
      </c>
      <c r="AS10" s="66">
        <f t="shared" si="3"/>
        <v>0</v>
      </c>
      <c r="AT10" s="66">
        <f t="shared" si="4"/>
        <v>0</v>
      </c>
      <c r="AU10" s="66">
        <f t="shared" si="5"/>
        <v>0</v>
      </c>
      <c r="AV10" s="66">
        <f t="shared" si="6"/>
        <v>0</v>
      </c>
      <c r="AW10" s="66">
        <f t="shared" si="7"/>
        <v>0</v>
      </c>
      <c r="AX10" s="66">
        <f t="shared" si="8"/>
        <v>0</v>
      </c>
      <c r="AY10" s="66">
        <f t="shared" si="9"/>
        <v>0</v>
      </c>
      <c r="AZ10" s="66" t="str">
        <f>'Project Database'!Z14</f>
        <v>MCS</v>
      </c>
      <c r="BA10" s="66">
        <f>IF(OR(A10="",'Smart Search'!H13=0),"",MAX(0,BE10*BF10*MAX(0,1-BG10)))</f>
        <v>0</v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>0</v>
      </c>
      <c r="BC10" s="66">
        <f>IF('Smart Search'!G13=1,IFERROR(1/'Smart Search'!H13,0),0)</f>
        <v>0</v>
      </c>
      <c r="BD10" s="66">
        <f t="shared" si="10"/>
        <v>0</v>
      </c>
      <c r="BE10" s="66">
        <f t="shared" si="11"/>
        <v>0</v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>0</v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>0.5</v>
      </c>
      <c r="BH10" s="5">
        <f>IF(AND('Project Database'!A14&lt;&gt;"",OR('Smart Search'!$L$5="",'Smart Search'!$L$5="All",TRIM('Project Database'!D14)=TRIM('Smart Search'!$L$5)),OR(TRIM('Smart Search'!$L$6)="",TRIM('Smart Search'!$L$6)="All",ISNUMBER(SEARCH(SUBSTITUTE(SUBSTITUTE(SUBSTITUTE(TRIM('Smart Search'!$L$6),"~","~~"),"*","~*"),"?","~?"),'Project Database'!C14))),OR('Smart Search'!$L$7="",AND('Project Database'!E14&lt;&gt;"",'Project Database'!E14='Smart Search'!$L$7)),OR('Smart Search'!$L$8="",'Smart Search'!$L$8="All",TRIM('Project Database'!F14)=TRIM('Smart Search'!$L$8))),IF(BA10="","",BA10+ROW()*0.0000000001),"")</f>
        <v>1.0000000000000001E-9</v>
      </c>
      <c r="BI10" s="5" t="str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 xml:space="preserve">Multishuttle, </v>
      </c>
      <c r="BJ10" s="5">
        <f>IF('Project Database'!A14="","",N('Project Database'!AC14))</f>
        <v>0.05</v>
      </c>
      <c r="BK10" s="5">
        <f>IF('Project Database'!A14="","",N('Project Database'!AD14))</f>
        <v>0.05</v>
      </c>
      <c r="BL10" s="5">
        <f>IF('Project Database'!A14="","",N('Project Database'!AE14))</f>
        <v>0.05</v>
      </c>
      <c r="BM10" s="5">
        <f>IF('Project Database'!A14="","",N('Project Database'!AF14))</f>
        <v>7.0000000000000007E-2</v>
      </c>
      <c r="BN10" s="5">
        <f>IF('Project Database'!A14="","",N('Project Database'!AG14))</f>
        <v>0.09</v>
      </c>
      <c r="BO10" s="5">
        <f>IF('Project Database'!A14="","",N('Project Database'!AH14))</f>
        <v>0.06</v>
      </c>
      <c r="BP10" s="5">
        <f>IF('Project Database'!A14="","",N('Project Database'!AI14))</f>
        <v>0.06</v>
      </c>
      <c r="BQ10" s="5">
        <f>IF('Project Database'!A14="","",N('Project Database'!AJ14))</f>
        <v>0.01</v>
      </c>
      <c r="BR10" s="5">
        <f>IF('Project Database'!A14="","",N('Project Database'!AK14))</f>
        <v>0.01</v>
      </c>
      <c r="BS10" s="5">
        <f>IF('Project Database'!A14="","",N('Project Database'!AL14))</f>
        <v>0.01</v>
      </c>
      <c r="BT10" s="5">
        <f>IF('Project Database'!A14="","",N('Project Database'!AM14))</f>
        <v>0.01</v>
      </c>
      <c r="BU10" s="5">
        <f>IF('Project Database'!A14="","",N('Project Database'!AN14))</f>
        <v>0.01</v>
      </c>
      <c r="BV10" s="5">
        <f>IF('Project Database'!A14="","",N('Project Database'!AO14))</f>
        <v>0.04</v>
      </c>
      <c r="BW10" s="5">
        <f>IF('Project Database'!A14="","",N('Project Database'!AP14))</f>
        <v>1E-3</v>
      </c>
      <c r="BX10" s="5">
        <f t="shared" si="12"/>
        <v>0.52100000000000013</v>
      </c>
      <c r="BY10" s="5">
        <f t="shared" si="13"/>
        <v>15.5</v>
      </c>
    </row>
    <row r="11" spans="1:77" ht="15" customHeight="1" x14ac:dyDescent="0.3">
      <c r="A11" s="66" t="str">
        <f>'Project Database'!A15</f>
        <v>SW31293</v>
      </c>
      <c r="B11" s="66" t="str">
        <f>'Project Database'!B15</f>
        <v>Caterpillar 4WS</v>
      </c>
      <c r="C11" s="66">
        <f>'Project Database'!G15</f>
        <v>0</v>
      </c>
      <c r="D11" s="66">
        <f>'Project Database'!H15</f>
        <v>0</v>
      </c>
      <c r="E11" s="66">
        <f>'Project Database'!I15</f>
        <v>0</v>
      </c>
      <c r="F11" s="66">
        <f>'Project Database'!J15</f>
        <v>0</v>
      </c>
      <c r="G11" s="66">
        <f>'Project Database'!K15</f>
        <v>15</v>
      </c>
      <c r="H11" s="66">
        <f>'Project Database'!L15</f>
        <v>5000</v>
      </c>
      <c r="I11" s="66">
        <f>'Project Database'!M15</f>
        <v>0</v>
      </c>
      <c r="J11" s="66">
        <f>'Project Database'!N15</f>
        <v>0</v>
      </c>
      <c r="K11" s="66">
        <f>'Project Database'!O15</f>
        <v>0</v>
      </c>
      <c r="L11" s="66">
        <f>'Project Database'!P15</f>
        <v>200</v>
      </c>
      <c r="M11" s="66">
        <f>'Project Database'!Q15</f>
        <v>33</v>
      </c>
      <c r="N11" s="66">
        <f>'Project Database'!R15</f>
        <v>0</v>
      </c>
      <c r="O11" s="66">
        <f>'Project Database'!S15</f>
        <v>25</v>
      </c>
      <c r="P11" s="66">
        <f>'Project Database'!T15</f>
        <v>40</v>
      </c>
      <c r="Q11" s="66">
        <f>'Project Database'!U15</f>
        <v>17</v>
      </c>
      <c r="R11" s="66">
        <f>'Project Database'!V15</f>
        <v>8</v>
      </c>
      <c r="S11" s="66">
        <f>'Project Database'!W15</f>
        <v>65</v>
      </c>
      <c r="T11" s="66" t="str">
        <f>'Project Database'!X15</f>
        <v>USD</v>
      </c>
      <c r="U11" s="67">
        <f>'Project Database'!Y15</f>
        <v>2.7</v>
      </c>
      <c r="V11" s="66">
        <f>IF('Smart Search'!B13=1,IFERROR(1/'Smart Search'!H13,0),0)</f>
        <v>0</v>
      </c>
      <c r="W11" s="66">
        <f>IF('Smart Search'!B13=1,IFERROR(1/'Smart Search'!H13,0),0)</f>
        <v>0</v>
      </c>
      <c r="X11" s="66">
        <f>IF('Smart Search'!C13=1,IFERROR(1/'Smart Search'!H13,0),0)</f>
        <v>0.5</v>
      </c>
      <c r="Y11" s="66">
        <f>IF('Smart Search'!C13=1,IFERROR(1/'Smart Search'!H13,0),0)</f>
        <v>0.5</v>
      </c>
      <c r="Z11" s="66">
        <f>IF('Smart Search'!D13=1,IFERROR(1/'Smart Search'!H13,0),0)</f>
        <v>0</v>
      </c>
      <c r="AA11" s="66">
        <f>IF('Smart Search'!D13=1,IFERROR(1/'Smart Search'!H13,0),0)</f>
        <v>0</v>
      </c>
      <c r="AB11" s="66">
        <f>IF('Smart Search'!E13=1,IFERROR(1/'Smart Search'!H13,0),0)</f>
        <v>0</v>
      </c>
      <c r="AC11" s="66">
        <f>IF('Smart Search'!E13=1,IFERROR(1/'Smart Search'!H13,0),0)</f>
        <v>0</v>
      </c>
      <c r="AD11" s="66">
        <f>IF('Smart Search'!F13=1,IFERROR(1/'Smart Search'!H13,0),0)</f>
        <v>0</v>
      </c>
      <c r="AE11" s="66">
        <f>IF('Smart Search'!F13=1,IFERROR(1/'Smart Search'!H13,0),0)</f>
        <v>0</v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>0</v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>0</v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>0</v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>0</v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>0</v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>0</v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>0</v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>0</v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>0</v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>0</v>
      </c>
      <c r="AP11" s="66">
        <f t="shared" si="0"/>
        <v>0</v>
      </c>
      <c r="AQ11" s="66">
        <f t="shared" si="1"/>
        <v>0</v>
      </c>
      <c r="AR11" s="66">
        <f t="shared" si="2"/>
        <v>0</v>
      </c>
      <c r="AS11" s="66">
        <f t="shared" si="3"/>
        <v>0</v>
      </c>
      <c r="AT11" s="66">
        <f t="shared" si="4"/>
        <v>0</v>
      </c>
      <c r="AU11" s="66">
        <f t="shared" si="5"/>
        <v>0</v>
      </c>
      <c r="AV11" s="66">
        <f t="shared" si="6"/>
        <v>0</v>
      </c>
      <c r="AW11" s="66">
        <f t="shared" si="7"/>
        <v>0</v>
      </c>
      <c r="AX11" s="66">
        <f t="shared" si="8"/>
        <v>0</v>
      </c>
      <c r="AY11" s="66">
        <f t="shared" si="9"/>
        <v>0</v>
      </c>
      <c r="AZ11" s="66" t="str">
        <f>'Project Database'!Z15</f>
        <v>4WS Pallet</v>
      </c>
      <c r="BA11" s="66">
        <f>IF(OR(A11="",'Smart Search'!H13=0),"",MAX(0,BE11*BF11*MAX(0,1-BG11)))</f>
        <v>0</v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>0</v>
      </c>
      <c r="BC11" s="66">
        <f>IF('Smart Search'!G13=1,IFERROR(1/'Smart Search'!H13,0),0)</f>
        <v>0</v>
      </c>
      <c r="BD11" s="66">
        <f t="shared" si="10"/>
        <v>0</v>
      </c>
      <c r="BE11" s="66">
        <f t="shared" si="11"/>
        <v>0</v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>0</v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>0.5</v>
      </c>
      <c r="BH11" s="5">
        <f>IF(AND('Project Database'!A15&lt;&gt;"",OR('Smart Search'!$L$5="",'Smart Search'!$L$5="All",TRIM('Project Database'!D15)=TRIM('Smart Search'!$L$5)),OR(TRIM('Smart Search'!$L$6)="",TRIM('Smart Search'!$L$6)="All",ISNUMBER(SEARCH(SUBSTITUTE(SUBSTITUTE(SUBSTITUTE(TRIM('Smart Search'!$L$6),"~","~~"),"*","~*"),"?","~?"),'Project Database'!C15))),OR('Smart Search'!$L$7="",AND('Project Database'!E15&lt;&gt;"",'Project Database'!E15='Smart Search'!$L$7)),OR('Smart Search'!$L$8="",'Smart Search'!$L$8="All",TRIM('Project Database'!F15)=TRIM('Smart Search'!$L$8))),IF(BA11="","",BA11+ROW()*0.0000000001),"")</f>
        <v>1.1000000000000001E-9</v>
      </c>
      <c r="BI11" s="5" t="str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 xml:space="preserve">Pallet Shuttle, </v>
      </c>
      <c r="BJ11" s="5">
        <f>IF('Project Database'!A15="","",N('Project Database'!AC15))</f>
        <v>0.05</v>
      </c>
      <c r="BK11" s="5">
        <f>IF('Project Database'!A15="","",N('Project Database'!AD15))</f>
        <v>0.05</v>
      </c>
      <c r="BL11" s="5">
        <f>IF('Project Database'!A15="","",N('Project Database'!AE15))</f>
        <v>0.05</v>
      </c>
      <c r="BM11" s="5">
        <f>IF('Project Database'!A15="","",N('Project Database'!AF15))</f>
        <v>7.0000000000000007E-2</v>
      </c>
      <c r="BN11" s="5">
        <f>IF('Project Database'!A15="","",N('Project Database'!AG15))</f>
        <v>0.09</v>
      </c>
      <c r="BO11" s="5">
        <f>IF('Project Database'!A15="","",N('Project Database'!AH15))</f>
        <v>0.06</v>
      </c>
      <c r="BP11" s="5">
        <f>IF('Project Database'!A15="","",N('Project Database'!AI15))</f>
        <v>0.06</v>
      </c>
      <c r="BQ11" s="5">
        <f>IF('Project Database'!A15="","",N('Project Database'!AJ15))</f>
        <v>0.01</v>
      </c>
      <c r="BR11" s="5">
        <f>IF('Project Database'!A15="","",N('Project Database'!AK15))</f>
        <v>0.01</v>
      </c>
      <c r="BS11" s="5">
        <f>IF('Project Database'!A15="","",N('Project Database'!AL15))</f>
        <v>0.01</v>
      </c>
      <c r="BT11" s="5">
        <f>IF('Project Database'!A15="","",N('Project Database'!AM15))</f>
        <v>0.01</v>
      </c>
      <c r="BU11" s="5">
        <f>IF('Project Database'!A15="","",N('Project Database'!AN15))</f>
        <v>0.01</v>
      </c>
      <c r="BV11" s="5">
        <f>IF('Project Database'!A15="","",N('Project Database'!AO15))</f>
        <v>0.04</v>
      </c>
      <c r="BW11" s="5">
        <f>IF('Project Database'!A15="","",N('Project Database'!AP15))</f>
        <v>1E-3</v>
      </c>
      <c r="BX11" s="5">
        <f t="shared" si="12"/>
        <v>0.52100000000000013</v>
      </c>
      <c r="BY11" s="5">
        <f t="shared" si="13"/>
        <v>2.7</v>
      </c>
    </row>
    <row r="12" spans="1:77" ht="15" customHeight="1" x14ac:dyDescent="0.3">
      <c r="A12" s="66" t="str">
        <f>'Project Database'!A16</f>
        <v>SC22191</v>
      </c>
      <c r="B12" s="66" t="str">
        <f>'Project Database'!B16</f>
        <v>Plexus Bridgeview</v>
      </c>
      <c r="C12" s="66">
        <f>'Project Database'!G16</f>
        <v>0</v>
      </c>
      <c r="D12" s="66">
        <f>'Project Database'!H16</f>
        <v>0</v>
      </c>
      <c r="E12" s="66">
        <f>'Project Database'!I16</f>
        <v>20</v>
      </c>
      <c r="F12" s="66">
        <f>'Project Database'!J16</f>
        <v>10000</v>
      </c>
      <c r="G12" s="66">
        <f>'Project Database'!K16</f>
        <v>0</v>
      </c>
      <c r="H12" s="66">
        <f>'Project Database'!L16</f>
        <v>0</v>
      </c>
      <c r="I12" s="66">
        <f>'Project Database'!M16</f>
        <v>0</v>
      </c>
      <c r="J12" s="66">
        <f>'Project Database'!N16</f>
        <v>0</v>
      </c>
      <c r="K12" s="66">
        <f>'Project Database'!O16</f>
        <v>100</v>
      </c>
      <c r="L12" s="66">
        <f>'Project Database'!P16</f>
        <v>0</v>
      </c>
      <c r="M12" s="66">
        <f>'Project Database'!Q16</f>
        <v>25</v>
      </c>
      <c r="N12" s="66">
        <f>'Project Database'!R16</f>
        <v>2</v>
      </c>
      <c r="O12" s="66">
        <f>'Project Database'!S16</f>
        <v>12</v>
      </c>
      <c r="P12" s="66">
        <f>'Project Database'!T16</f>
        <v>25</v>
      </c>
      <c r="Q12" s="66">
        <f>'Project Database'!U16</f>
        <v>8</v>
      </c>
      <c r="R12" s="66">
        <f>'Project Database'!V16</f>
        <v>18</v>
      </c>
      <c r="S12" s="66">
        <f>'Project Database'!W16</f>
        <v>47</v>
      </c>
      <c r="T12" s="66" t="str">
        <f>'Project Database'!X16</f>
        <v>USD</v>
      </c>
      <c r="U12" s="67">
        <f>'Project Database'!Y16</f>
        <v>2.2000000000000002</v>
      </c>
      <c r="V12" s="66">
        <f>IF('Smart Search'!B13=1,IFERROR(1/'Smart Search'!H13,0),0)</f>
        <v>0</v>
      </c>
      <c r="W12" s="66">
        <f>IF('Smart Search'!B13=1,IFERROR(1/'Smart Search'!H13,0),0)</f>
        <v>0</v>
      </c>
      <c r="X12" s="66">
        <f>IF('Smart Search'!C13=1,IFERROR(1/'Smart Search'!H13,0),0)</f>
        <v>0.5</v>
      </c>
      <c r="Y12" s="66">
        <f>IF('Smart Search'!C13=1,IFERROR(1/'Smart Search'!H13,0),0)</f>
        <v>0.5</v>
      </c>
      <c r="Z12" s="66">
        <f>IF('Smart Search'!D13=1,IFERROR(1/'Smart Search'!H13,0),0)</f>
        <v>0</v>
      </c>
      <c r="AA12" s="66">
        <f>IF('Smart Search'!D13=1,IFERROR(1/'Smart Search'!H13,0),0)</f>
        <v>0</v>
      </c>
      <c r="AB12" s="66">
        <f>IF('Smart Search'!E13=1,IFERROR(1/'Smart Search'!H13,0),0)</f>
        <v>0</v>
      </c>
      <c r="AC12" s="66">
        <f>IF('Smart Search'!E13=1,IFERROR(1/'Smart Search'!H13,0),0)</f>
        <v>0</v>
      </c>
      <c r="AD12" s="66">
        <f>IF('Smart Search'!F13=1,IFERROR(1/'Smart Search'!H13,0),0)</f>
        <v>0</v>
      </c>
      <c r="AE12" s="66">
        <f>IF('Smart Search'!F13=1,IFERROR(1/'Smart Search'!H13,0),0)</f>
        <v>0</v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>0</v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>0</v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>1</v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>1</v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>0</v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>0</v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>0</v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>0</v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>0</v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>0</v>
      </c>
      <c r="AP12" s="66">
        <f t="shared" si="0"/>
        <v>0</v>
      </c>
      <c r="AQ12" s="66">
        <f t="shared" si="1"/>
        <v>0</v>
      </c>
      <c r="AR12" s="66">
        <f t="shared" si="2"/>
        <v>0.5</v>
      </c>
      <c r="AS12" s="66">
        <f t="shared" si="3"/>
        <v>0.5</v>
      </c>
      <c r="AT12" s="66">
        <f t="shared" si="4"/>
        <v>0</v>
      </c>
      <c r="AU12" s="66">
        <f t="shared" si="5"/>
        <v>0</v>
      </c>
      <c r="AV12" s="66">
        <f t="shared" si="6"/>
        <v>0</v>
      </c>
      <c r="AW12" s="66">
        <f t="shared" si="7"/>
        <v>0</v>
      </c>
      <c r="AX12" s="66">
        <f t="shared" si="8"/>
        <v>0</v>
      </c>
      <c r="AY12" s="66">
        <f t="shared" si="9"/>
        <v>0</v>
      </c>
      <c r="AZ12" s="66" t="str">
        <f>'Project Database'!Z16</f>
        <v>Autostore</v>
      </c>
      <c r="BA12" s="66">
        <f>IF(OR(A12="",'Smart Search'!H13=0),"",MAX(0,BE12*BF12*MAX(0,1-BG12)))</f>
        <v>0.75</v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>0</v>
      </c>
      <c r="BC12" s="66">
        <f>IF('Smart Search'!G13=1,IFERROR(1/'Smart Search'!H13,0),0)</f>
        <v>0</v>
      </c>
      <c r="BD12" s="66">
        <f t="shared" si="10"/>
        <v>0</v>
      </c>
      <c r="BE12" s="66">
        <f t="shared" si="11"/>
        <v>1</v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>1</v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>0.25</v>
      </c>
      <c r="BH12" s="5">
        <f>IF(AND('Project Database'!A16&lt;&gt;"",OR('Smart Search'!$L$5="",'Smart Search'!$L$5="All",TRIM('Project Database'!D16)=TRIM('Smart Search'!$L$5)),OR(TRIM('Smart Search'!$L$6)="",TRIM('Smart Search'!$L$6)="All",ISNUMBER(SEARCH(SUBSTITUTE(SUBSTITUTE(SUBSTITUTE(TRIM('Smart Search'!$L$6),"~","~~"),"*","~*"),"?","~?"),'Project Database'!C16))),OR('Smart Search'!$L$7="",AND('Project Database'!E16&lt;&gt;"",'Project Database'!E16='Smart Search'!$L$7)),OR('Smart Search'!$L$8="",'Smart Search'!$L$8="All",TRIM('Project Database'!F16)=TRIM('Smart Search'!$L$8))),IF(BA12="","",BA12+ROW()*0.0000000001),"")</f>
        <v>0.75000000119999999</v>
      </c>
      <c r="BI12" s="5" t="str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IF('Project Database'!A16="","",N('Project Database'!AC16))</f>
        <v>0</v>
      </c>
      <c r="BK12" s="5">
        <f>IF('Project Database'!A16="","",N('Project Database'!AD16))</f>
        <v>0</v>
      </c>
      <c r="BL12" s="5">
        <f>IF('Project Database'!A16="","",N('Project Database'!AE16))</f>
        <v>0</v>
      </c>
      <c r="BM12" s="5">
        <f>IF('Project Database'!A16="","",N('Project Database'!AF16))</f>
        <v>0</v>
      </c>
      <c r="BN12" s="5">
        <f>IF('Project Database'!A16="","",N('Project Database'!AG16))</f>
        <v>0</v>
      </c>
      <c r="BO12" s="5">
        <f>IF('Project Database'!A16="","",N('Project Database'!AH16))</f>
        <v>0</v>
      </c>
      <c r="BP12" s="5">
        <f>IF('Project Database'!A16="","",N('Project Database'!AI16))</f>
        <v>0</v>
      </c>
      <c r="BQ12" s="5">
        <f>IF('Project Database'!A16="","",N('Project Database'!AJ16))</f>
        <v>0</v>
      </c>
      <c r="BR12" s="5">
        <f>IF('Project Database'!A16="","",N('Project Database'!AK16))</f>
        <v>0</v>
      </c>
      <c r="BS12" s="5">
        <f>IF('Project Database'!A16="","",N('Project Database'!AL16))</f>
        <v>0</v>
      </c>
      <c r="BT12" s="5">
        <f>IF('Project Database'!A16="","",N('Project Database'!AM16))</f>
        <v>0</v>
      </c>
      <c r="BU12" s="5">
        <f>IF('Project Database'!A16="","",N('Project Database'!AN16))</f>
        <v>0</v>
      </c>
      <c r="BV12" s="5">
        <f>IF('Project Database'!A16="","",N('Project Database'!AO16))</f>
        <v>0</v>
      </c>
      <c r="BW12" s="5">
        <f>IF('Project Database'!A16="","",N('Project Database'!AP16))</f>
        <v>0</v>
      </c>
      <c r="BX12" s="5">
        <f t="shared" si="12"/>
        <v>0</v>
      </c>
      <c r="BY12" s="5">
        <f t="shared" si="13"/>
        <v>2.2000000000000002</v>
      </c>
    </row>
    <row r="13" spans="1:77" ht="15" customHeight="1" x14ac:dyDescent="0.3">
      <c r="A13" s="66" t="str">
        <f>'Project Database'!A17</f>
        <v>SW31269</v>
      </c>
      <c r="B13" s="66" t="str">
        <f>'Project Database'!B17</f>
        <v>Plexus Bangkok</v>
      </c>
      <c r="C13" s="66">
        <f>'Project Database'!G17</f>
        <v>0</v>
      </c>
      <c r="D13" s="66">
        <f>'Project Database'!H17</f>
        <v>0</v>
      </c>
      <c r="E13" s="66">
        <f>'Project Database'!I17</f>
        <v>10</v>
      </c>
      <c r="F13" s="66">
        <f>'Project Database'!J17</f>
        <v>10000</v>
      </c>
      <c r="G13" s="66">
        <f>'Project Database'!K17</f>
        <v>0</v>
      </c>
      <c r="H13" s="66">
        <f>'Project Database'!L17</f>
        <v>0</v>
      </c>
      <c r="I13" s="66">
        <f>'Project Database'!M17</f>
        <v>0</v>
      </c>
      <c r="J13" s="66">
        <f>'Project Database'!N17</f>
        <v>0</v>
      </c>
      <c r="K13" s="66">
        <f>'Project Database'!O17</f>
        <v>0</v>
      </c>
      <c r="L13" s="66">
        <f>'Project Database'!P17</f>
        <v>0</v>
      </c>
      <c r="M13" s="66">
        <f>'Project Database'!Q17</f>
        <v>24</v>
      </c>
      <c r="N13" s="66">
        <f>'Project Database'!R17</f>
        <v>2</v>
      </c>
      <c r="O13" s="66">
        <f>'Project Database'!S17</f>
        <v>12</v>
      </c>
      <c r="P13" s="66">
        <f>'Project Database'!T17</f>
        <v>23</v>
      </c>
      <c r="Q13" s="66">
        <f>'Project Database'!U17</f>
        <v>9</v>
      </c>
      <c r="R13" s="66">
        <f>'Project Database'!V17</f>
        <v>11</v>
      </c>
      <c r="S13" s="66">
        <f>'Project Database'!W17</f>
        <v>47</v>
      </c>
      <c r="T13" s="66" t="str">
        <f>'Project Database'!X17</f>
        <v>USD</v>
      </c>
      <c r="U13" s="67">
        <f>'Project Database'!Y17</f>
        <v>1.7</v>
      </c>
      <c r="V13" s="66">
        <f>IF('Smart Search'!B13=1,IFERROR(1/'Smart Search'!H13,0),0)</f>
        <v>0</v>
      </c>
      <c r="W13" s="66">
        <f>IF('Smart Search'!B13=1,IFERROR(1/'Smart Search'!H13,0),0)</f>
        <v>0</v>
      </c>
      <c r="X13" s="66">
        <f>IF('Smart Search'!C13=1,IFERROR(1/'Smart Search'!H13,0),0)</f>
        <v>0.5</v>
      </c>
      <c r="Y13" s="66">
        <f>IF('Smart Search'!C13=1,IFERROR(1/'Smart Search'!H13,0),0)</f>
        <v>0.5</v>
      </c>
      <c r="Z13" s="66">
        <f>IF('Smart Search'!D13=1,IFERROR(1/'Smart Search'!H13,0),0)</f>
        <v>0</v>
      </c>
      <c r="AA13" s="66">
        <f>IF('Smart Search'!D13=1,IFERROR(1/'Smart Search'!H13,0),0)</f>
        <v>0</v>
      </c>
      <c r="AB13" s="66">
        <f>IF('Smart Search'!E13=1,IFERROR(1/'Smart Search'!H13,0),0)</f>
        <v>0</v>
      </c>
      <c r="AC13" s="66">
        <f>IF('Smart Search'!E13=1,IFERROR(1/'Smart Search'!H13,0),0)</f>
        <v>0</v>
      </c>
      <c r="AD13" s="66">
        <f>IF('Smart Search'!F13=1,IFERROR(1/'Smart Search'!H13,0),0)</f>
        <v>0</v>
      </c>
      <c r="AE13" s="66">
        <f>IF('Smart Search'!F13=1,IFERROR(1/'Smart Search'!H13,0),0)</f>
        <v>0</v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>0</v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>0</v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>0.5</v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>1</v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>0</v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>0</v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>0</v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>0</v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>0</v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>0</v>
      </c>
      <c r="AP13" s="66">
        <f t="shared" si="0"/>
        <v>0</v>
      </c>
      <c r="AQ13" s="66">
        <f t="shared" si="1"/>
        <v>0</v>
      </c>
      <c r="AR13" s="66">
        <f t="shared" si="2"/>
        <v>0.25</v>
      </c>
      <c r="AS13" s="66">
        <f t="shared" si="3"/>
        <v>0.5</v>
      </c>
      <c r="AT13" s="66">
        <f t="shared" si="4"/>
        <v>0</v>
      </c>
      <c r="AU13" s="66">
        <f t="shared" si="5"/>
        <v>0</v>
      </c>
      <c r="AV13" s="66">
        <f t="shared" si="6"/>
        <v>0</v>
      </c>
      <c r="AW13" s="66">
        <f t="shared" si="7"/>
        <v>0</v>
      </c>
      <c r="AX13" s="66">
        <f t="shared" si="8"/>
        <v>0</v>
      </c>
      <c r="AY13" s="66">
        <f t="shared" si="9"/>
        <v>0</v>
      </c>
      <c r="AZ13" s="66" t="str">
        <f>'Project Database'!Z17</f>
        <v>Autostore</v>
      </c>
      <c r="BA13" s="66">
        <f>IF(OR(A13="",'Smart Search'!H13=0),"",MAX(0,BE13*BF13*MAX(0,1-BG13)))</f>
        <v>0.75</v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>0</v>
      </c>
      <c r="BC13" s="66">
        <f>IF('Smart Search'!G13=1,IFERROR(1/'Smart Search'!H13,0),0)</f>
        <v>0</v>
      </c>
      <c r="BD13" s="66">
        <f t="shared" si="10"/>
        <v>0</v>
      </c>
      <c r="BE13" s="66">
        <f t="shared" si="11"/>
        <v>0.75</v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>1</v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>0</v>
      </c>
      <c r="BH13" s="5">
        <f>IF(AND('Project Database'!A17&lt;&gt;"",OR('Smart Search'!$L$5="",'Smart Search'!$L$5="All",TRIM('Project Database'!D17)=TRIM('Smart Search'!$L$5)),OR(TRIM('Smart Search'!$L$6)="",TRIM('Smart Search'!$L$6)="All",ISNUMBER(SEARCH(SUBSTITUTE(SUBSTITUTE(SUBSTITUTE(TRIM('Smart Search'!$L$6),"~","~~"),"*","~*"),"?","~?"),'Project Database'!C17))),OR('Smart Search'!$L$7="",AND('Project Database'!E17&lt;&gt;"",'Project Database'!E17='Smart Search'!$L$7)),OR('Smart Search'!$L$8="",'Smart Search'!$L$8="All",TRIM('Project Database'!F17)=TRIM('Smart Search'!$L$8))),IF(BA13="","",BA13+ROW()*0.0000000001),"")</f>
        <v>0.7500000013</v>
      </c>
      <c r="BI13" s="5" t="str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IF('Project Database'!A17="","",N('Project Database'!AC17))</f>
        <v>0</v>
      </c>
      <c r="BK13" s="5">
        <f>IF('Project Database'!A17="","",N('Project Database'!AD17))</f>
        <v>0</v>
      </c>
      <c r="BL13" s="5">
        <f>IF('Project Database'!A17="","",N('Project Database'!AE17))</f>
        <v>0</v>
      </c>
      <c r="BM13" s="5">
        <f>IF('Project Database'!A17="","",N('Project Database'!AF17))</f>
        <v>0</v>
      </c>
      <c r="BN13" s="5">
        <f>IF('Project Database'!A17="","",N('Project Database'!AG17))</f>
        <v>0</v>
      </c>
      <c r="BO13" s="5">
        <f>IF('Project Database'!A17="","",N('Project Database'!AH17))</f>
        <v>0</v>
      </c>
      <c r="BP13" s="5">
        <f>IF('Project Database'!A17="","",N('Project Database'!AI17))</f>
        <v>0</v>
      </c>
      <c r="BQ13" s="5">
        <f>IF('Project Database'!A17="","",N('Project Database'!AJ17))</f>
        <v>0</v>
      </c>
      <c r="BR13" s="5">
        <f>IF('Project Database'!A17="","",N('Project Database'!AK17))</f>
        <v>0</v>
      </c>
      <c r="BS13" s="5">
        <f>IF('Project Database'!A17="","",N('Project Database'!AL17))</f>
        <v>0</v>
      </c>
      <c r="BT13" s="5">
        <f>IF('Project Database'!A17="","",N('Project Database'!AM17))</f>
        <v>0</v>
      </c>
      <c r="BU13" s="5">
        <f>IF('Project Database'!A17="","",N('Project Database'!AN17))</f>
        <v>0</v>
      </c>
      <c r="BV13" s="5">
        <f>IF('Project Database'!A17="","",N('Project Database'!AO17))</f>
        <v>0</v>
      </c>
      <c r="BW13" s="5">
        <f>IF('Project Database'!A17="","",N('Project Database'!AP17))</f>
        <v>0</v>
      </c>
      <c r="BX13" s="5">
        <f t="shared" si="12"/>
        <v>0</v>
      </c>
      <c r="BY13" s="5">
        <f t="shared" si="13"/>
        <v>1.7</v>
      </c>
    </row>
    <row r="14" spans="1:77" ht="15" customHeight="1" x14ac:dyDescent="0.3">
      <c r="A14" s="66" t="str">
        <f>'Project Database'!A18</f>
        <v>SC22188</v>
      </c>
      <c r="B14" s="66" t="str">
        <f>'Project Database'!B18</f>
        <v>Jaya Grocer</v>
      </c>
      <c r="C14" s="66">
        <f>'Project Database'!G18</f>
        <v>160</v>
      </c>
      <c r="D14" s="66">
        <f>'Project Database'!H18</f>
        <v>95000</v>
      </c>
      <c r="E14" s="66">
        <f>'Project Database'!I18</f>
        <v>0</v>
      </c>
      <c r="F14" s="66">
        <f>'Project Database'!J18</f>
        <v>0</v>
      </c>
      <c r="G14" s="66">
        <f>'Project Database'!K18</f>
        <v>50</v>
      </c>
      <c r="H14" s="66">
        <f>'Project Database'!L18</f>
        <v>15000</v>
      </c>
      <c r="I14" s="66">
        <f>'Project Database'!M18</f>
        <v>0</v>
      </c>
      <c r="J14" s="66">
        <f>'Project Database'!N18</f>
        <v>0</v>
      </c>
      <c r="K14" s="66">
        <f>'Project Database'!O18</f>
        <v>800</v>
      </c>
      <c r="L14" s="66">
        <f>'Project Database'!P18</f>
        <v>100</v>
      </c>
      <c r="M14" s="66">
        <f>'Project Database'!Q18</f>
        <v>46</v>
      </c>
      <c r="N14" s="66">
        <f>'Project Database'!R18</f>
        <v>24</v>
      </c>
      <c r="O14" s="66">
        <f>'Project Database'!S18</f>
        <v>27</v>
      </c>
      <c r="P14" s="66">
        <f>'Project Database'!T18</f>
        <v>57</v>
      </c>
      <c r="Q14" s="66">
        <f>'Project Database'!U18</f>
        <v>26</v>
      </c>
      <c r="R14" s="66">
        <f>'Project Database'!V18</f>
        <v>34</v>
      </c>
      <c r="S14" s="66">
        <f>'Project Database'!W18</f>
        <v>92</v>
      </c>
      <c r="T14" s="66" t="str">
        <f>'Project Database'!X18</f>
        <v>USD</v>
      </c>
      <c r="U14" s="67">
        <f>'Project Database'!Y18</f>
        <v>25.4</v>
      </c>
      <c r="V14" s="66">
        <f>IF('Smart Search'!B13=1,IFERROR(1/'Smart Search'!H13,0),0)</f>
        <v>0</v>
      </c>
      <c r="W14" s="66">
        <f>IF('Smart Search'!B13=1,IFERROR(1/'Smart Search'!H13,0),0)</f>
        <v>0</v>
      </c>
      <c r="X14" s="66">
        <f>IF('Smart Search'!C13=1,IFERROR(1/'Smart Search'!H13,0),0)</f>
        <v>0.5</v>
      </c>
      <c r="Y14" s="66">
        <f>IF('Smart Search'!C13=1,IFERROR(1/'Smart Search'!H13,0),0)</f>
        <v>0.5</v>
      </c>
      <c r="Z14" s="66">
        <f>IF('Smart Search'!D13=1,IFERROR(1/'Smart Search'!H13,0),0)</f>
        <v>0</v>
      </c>
      <c r="AA14" s="66">
        <f>IF('Smart Search'!D13=1,IFERROR(1/'Smart Search'!H13,0),0)</f>
        <v>0</v>
      </c>
      <c r="AB14" s="66">
        <f>IF('Smart Search'!E13=1,IFERROR(1/'Smart Search'!H13,0),0)</f>
        <v>0</v>
      </c>
      <c r="AC14" s="66">
        <f>IF('Smart Search'!E13=1,IFERROR(1/'Smart Search'!H13,0),0)</f>
        <v>0</v>
      </c>
      <c r="AD14" s="66">
        <f>IF('Smart Search'!F13=1,IFERROR(1/'Smart Search'!H13,0),0)</f>
        <v>0</v>
      </c>
      <c r="AE14" s="66">
        <f>IF('Smart Search'!F13=1,IFERROR(1/'Smart Search'!H13,0),0)</f>
        <v>0</v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>0</v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>0</v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>0</v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>0</v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>0</v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>0</v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>0</v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>0</v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>0</v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>0</v>
      </c>
      <c r="AP14" s="66">
        <f t="shared" si="0"/>
        <v>0</v>
      </c>
      <c r="AQ14" s="66">
        <f t="shared" si="1"/>
        <v>0</v>
      </c>
      <c r="AR14" s="66">
        <f t="shared" si="2"/>
        <v>0</v>
      </c>
      <c r="AS14" s="66">
        <f t="shared" si="3"/>
        <v>0</v>
      </c>
      <c r="AT14" s="66">
        <f t="shared" si="4"/>
        <v>0</v>
      </c>
      <c r="AU14" s="66">
        <f t="shared" si="5"/>
        <v>0</v>
      </c>
      <c r="AV14" s="66">
        <f t="shared" si="6"/>
        <v>0</v>
      </c>
      <c r="AW14" s="66">
        <f t="shared" si="7"/>
        <v>0</v>
      </c>
      <c r="AX14" s="66">
        <f t="shared" si="8"/>
        <v>0</v>
      </c>
      <c r="AY14" s="66">
        <f t="shared" si="9"/>
        <v>0</v>
      </c>
      <c r="AZ14" s="66">
        <f>'Project Database'!Z18</f>
        <v>0</v>
      </c>
      <c r="BA14" s="66">
        <f>IF(OR(A14="",'Smart Search'!H13=0),"",MAX(0,BE14*BF14*MAX(0,1-BG14)))</f>
        <v>0</v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>0</v>
      </c>
      <c r="BC14" s="66">
        <f>IF('Smart Search'!G13=1,IFERROR(1/'Smart Search'!H13,0),0)</f>
        <v>0</v>
      </c>
      <c r="BD14" s="66">
        <f t="shared" si="10"/>
        <v>0</v>
      </c>
      <c r="BE14" s="66">
        <f t="shared" si="11"/>
        <v>0</v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>0</v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>0.75</v>
      </c>
      <c r="BH14" s="5">
        <f>IF(AND('Project Database'!A18&lt;&gt;"",OR('Smart Search'!$L$5="",'Smart Search'!$L$5="All",TRIM('Project Database'!D18)=TRIM('Smart Search'!$L$5)),OR(TRIM('Smart Search'!$L$6)="",TRIM('Smart Search'!$L$6)="All",ISNUMBER(SEARCH(SUBSTITUTE(SUBSTITUTE(SUBSTITUTE(TRIM('Smart Search'!$L$6),"~","~~"),"*","~*"),"?","~?"),'Project Database'!C18))),OR('Smart Search'!$L$7="",AND('Project Database'!E18&lt;&gt;"",'Project Database'!E18='Smart Search'!$L$7)),OR('Smart Search'!$L$8="",'Smart Search'!$L$8="All",TRIM('Project Database'!F18)=TRIM('Smart Search'!$L$8))),IF(BA14="","",BA14+ROW()*0.0000000001),"")</f>
        <v>1.4000000000000001E-9</v>
      </c>
      <c r="BI14" s="5" t="str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 xml:space="preserve">Multishuttle, Pallet Shuttle, </v>
      </c>
      <c r="BJ14" s="5">
        <f>IF('Project Database'!A18="","",N('Project Database'!AC18))</f>
        <v>0.05</v>
      </c>
      <c r="BK14" s="5">
        <f>IF('Project Database'!A18="","",N('Project Database'!AD18))</f>
        <v>0.05</v>
      </c>
      <c r="BL14" s="5">
        <f>IF('Project Database'!A18="","",N('Project Database'!AE18))</f>
        <v>0.05</v>
      </c>
      <c r="BM14" s="5">
        <f>IF('Project Database'!A18="","",N('Project Database'!AF18))</f>
        <v>7.0000000000000007E-2</v>
      </c>
      <c r="BN14" s="5">
        <f>IF('Project Database'!A18="","",N('Project Database'!AG18))</f>
        <v>0.09</v>
      </c>
      <c r="BO14" s="5">
        <f>IF('Project Database'!A18="","",N('Project Database'!AH18))</f>
        <v>0.06</v>
      </c>
      <c r="BP14" s="5">
        <f>IF('Project Database'!A18="","",N('Project Database'!AI18))</f>
        <v>0.06</v>
      </c>
      <c r="BQ14" s="5">
        <f>IF('Project Database'!A18="","",N('Project Database'!AJ18))</f>
        <v>0.01</v>
      </c>
      <c r="BR14" s="5">
        <f>IF('Project Database'!A18="","",N('Project Database'!AK18))</f>
        <v>0.01</v>
      </c>
      <c r="BS14" s="5">
        <f>IF('Project Database'!A18="","",N('Project Database'!AL18))</f>
        <v>0.01</v>
      </c>
      <c r="BT14" s="5">
        <f>IF('Project Database'!A18="","",N('Project Database'!AM18))</f>
        <v>0.01</v>
      </c>
      <c r="BU14" s="5">
        <f>IF('Project Database'!A18="","",N('Project Database'!AN18))</f>
        <v>0.01</v>
      </c>
      <c r="BV14" s="5">
        <f>IF('Project Database'!A18="","",N('Project Database'!AO18))</f>
        <v>0.04</v>
      </c>
      <c r="BW14" s="5">
        <f>IF('Project Database'!A18="","",N('Project Database'!AP18))</f>
        <v>1E-3</v>
      </c>
      <c r="BX14" s="5">
        <f t="shared" si="12"/>
        <v>0.52100000000000013</v>
      </c>
      <c r="BY14" s="5">
        <f t="shared" si="13"/>
        <v>25.4</v>
      </c>
    </row>
    <row r="15" spans="1:77" ht="15" customHeight="1" x14ac:dyDescent="0.3">
      <c r="A15" s="66" t="str">
        <f>'Project Database'!A19</f>
        <v>SW31277</v>
      </c>
      <c r="B15" s="66" t="str">
        <f>'Project Database'!B19</f>
        <v>Swire Coca-Cola</v>
      </c>
      <c r="C15" s="66">
        <f>'Project Database'!G19</f>
        <v>0</v>
      </c>
      <c r="D15" s="66">
        <f>'Project Database'!H19</f>
        <v>0</v>
      </c>
      <c r="E15" s="66">
        <f>'Project Database'!I19</f>
        <v>0</v>
      </c>
      <c r="F15" s="66">
        <f>'Project Database'!J19</f>
        <v>0</v>
      </c>
      <c r="G15" s="66">
        <f>'Project Database'!K19</f>
        <v>0</v>
      </c>
      <c r="H15" s="66">
        <f>'Project Database'!L19</f>
        <v>0</v>
      </c>
      <c r="I15" s="66">
        <f>'Project Database'!M19</f>
        <v>8</v>
      </c>
      <c r="J15" s="66">
        <f>'Project Database'!N19</f>
        <v>15000</v>
      </c>
      <c r="K15" s="66">
        <f>'Project Database'!O19</f>
        <v>0</v>
      </c>
      <c r="L15" s="66">
        <f>'Project Database'!P19</f>
        <v>700</v>
      </c>
      <c r="M15" s="66">
        <f>'Project Database'!Q19</f>
        <v>84</v>
      </c>
      <c r="N15" s="66">
        <f>'Project Database'!R19</f>
        <v>48</v>
      </c>
      <c r="O15" s="66">
        <f>'Project Database'!S19</f>
        <v>25</v>
      </c>
      <c r="P15" s="66">
        <f>'Project Database'!T19</f>
        <v>55</v>
      </c>
      <c r="Q15" s="66">
        <f>'Project Database'!U19</f>
        <v>27</v>
      </c>
      <c r="R15" s="66">
        <f>'Project Database'!V19</f>
        <v>33</v>
      </c>
      <c r="S15" s="66">
        <f>'Project Database'!W19</f>
        <v>139</v>
      </c>
      <c r="T15" s="66" t="str">
        <f>'Project Database'!X19</f>
        <v>USD</v>
      </c>
      <c r="U15" s="67">
        <f>'Project Database'!Y19</f>
        <v>18.7</v>
      </c>
      <c r="V15" s="66">
        <f>IF('Smart Search'!B13=1,IFERROR(1/'Smart Search'!H13,0),0)</f>
        <v>0</v>
      </c>
      <c r="W15" s="66">
        <f>IF('Smart Search'!B13=1,IFERROR(1/'Smart Search'!H13,0),0)</f>
        <v>0</v>
      </c>
      <c r="X15" s="66">
        <f>IF('Smart Search'!C13=1,IFERROR(1/'Smart Search'!H13,0),0)</f>
        <v>0.5</v>
      </c>
      <c r="Y15" s="66">
        <f>IF('Smart Search'!C13=1,IFERROR(1/'Smart Search'!H13,0),0)</f>
        <v>0.5</v>
      </c>
      <c r="Z15" s="66">
        <f>IF('Smart Search'!D13=1,IFERROR(1/'Smart Search'!H13,0),0)</f>
        <v>0</v>
      </c>
      <c r="AA15" s="66">
        <f>IF('Smart Search'!D13=1,IFERROR(1/'Smart Search'!H13,0),0)</f>
        <v>0</v>
      </c>
      <c r="AB15" s="66">
        <f>IF('Smart Search'!E13=1,IFERROR(1/'Smart Search'!H13,0),0)</f>
        <v>0</v>
      </c>
      <c r="AC15" s="66">
        <f>IF('Smart Search'!E13=1,IFERROR(1/'Smart Search'!H13,0),0)</f>
        <v>0</v>
      </c>
      <c r="AD15" s="66">
        <f>IF('Smart Search'!F13=1,IFERROR(1/'Smart Search'!H13,0),0)</f>
        <v>0</v>
      </c>
      <c r="AE15" s="66">
        <f>IF('Smart Search'!F13=1,IFERROR(1/'Smart Search'!H13,0),0)</f>
        <v>0</v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>0</v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>0</v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>0</v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>0</v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>0</v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>0</v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>0</v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>0</v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>0</v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>0</v>
      </c>
      <c r="AP15" s="66">
        <f t="shared" si="0"/>
        <v>0</v>
      </c>
      <c r="AQ15" s="66">
        <f t="shared" si="1"/>
        <v>0</v>
      </c>
      <c r="AR15" s="66">
        <f t="shared" si="2"/>
        <v>0</v>
      </c>
      <c r="AS15" s="66">
        <f t="shared" si="3"/>
        <v>0</v>
      </c>
      <c r="AT15" s="66">
        <f t="shared" si="4"/>
        <v>0</v>
      </c>
      <c r="AU15" s="66">
        <f t="shared" si="5"/>
        <v>0</v>
      </c>
      <c r="AV15" s="66">
        <f t="shared" si="6"/>
        <v>0</v>
      </c>
      <c r="AW15" s="66">
        <f t="shared" si="7"/>
        <v>0</v>
      </c>
      <c r="AX15" s="66">
        <f t="shared" si="8"/>
        <v>0</v>
      </c>
      <c r="AY15" s="66">
        <f t="shared" si="9"/>
        <v>0</v>
      </c>
      <c r="AZ15" s="66" t="str">
        <f>'Project Database'!Z19</f>
        <v xml:space="preserve">SRM BK25 Shuttlecar RGV </v>
      </c>
      <c r="BA15" s="66">
        <f>IF(OR(A15="",'Smart Search'!H13=0),"",MAX(0,BE15*BF15*MAX(0,1-BG15)))</f>
        <v>0</v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>0</v>
      </c>
      <c r="BC15" s="66">
        <f>IF('Smart Search'!G13=1,IFERROR(1/'Smart Search'!H13,0),0)</f>
        <v>0</v>
      </c>
      <c r="BD15" s="66">
        <f t="shared" si="10"/>
        <v>0</v>
      </c>
      <c r="BE15" s="66">
        <f t="shared" si="11"/>
        <v>0</v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>0</v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>0.5</v>
      </c>
      <c r="BH15" s="5">
        <f>IF(AND('Project Database'!A19&lt;&gt;"",OR('Smart Search'!$L$5="",'Smart Search'!$L$5="All",TRIM('Project Database'!D19)=TRIM('Smart Search'!$L$5)),OR(TRIM('Smart Search'!$L$6)="",TRIM('Smart Search'!$L$6)="All",ISNUMBER(SEARCH(SUBSTITUTE(SUBSTITUTE(SUBSTITUTE(TRIM('Smart Search'!$L$6),"~","~~"),"*","~*"),"?","~?"),'Project Database'!C19))),OR('Smart Search'!$L$7="",AND('Project Database'!E19&lt;&gt;"",'Project Database'!E19='Smart Search'!$L$7)),OR('Smart Search'!$L$8="",'Smart Search'!$L$8="All",TRIM('Project Database'!F19)=TRIM('Smart Search'!$L$8))),IF(BA15="","",BA15+ROW()*0.0000000001),"")</f>
        <v>1.5E-9</v>
      </c>
      <c r="BI15" s="5" t="str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 xml:space="preserve">SRM Crane, </v>
      </c>
      <c r="BJ15" s="5">
        <f>IF('Project Database'!A19="","",N('Project Database'!AC19))</f>
        <v>0</v>
      </c>
      <c r="BK15" s="5">
        <f>IF('Project Database'!A19="","",N('Project Database'!AD19))</f>
        <v>0</v>
      </c>
      <c r="BL15" s="5">
        <f>IF('Project Database'!A19="","",N('Project Database'!AE19))</f>
        <v>0</v>
      </c>
      <c r="BM15" s="5">
        <f>IF('Project Database'!A19="","",N('Project Database'!AF19))</f>
        <v>0</v>
      </c>
      <c r="BN15" s="5">
        <f>IF('Project Database'!A19="","",N('Project Database'!AG19))</f>
        <v>0</v>
      </c>
      <c r="BO15" s="5">
        <f>IF('Project Database'!A19="","",N('Project Database'!AH19))</f>
        <v>0</v>
      </c>
      <c r="BP15" s="5">
        <f>IF('Project Database'!A19="","",N('Project Database'!AI19))</f>
        <v>0</v>
      </c>
      <c r="BQ15" s="5">
        <f>IF('Project Database'!A19="","",N('Project Database'!AJ19))</f>
        <v>0</v>
      </c>
      <c r="BR15" s="5">
        <f>IF('Project Database'!A19="","",N('Project Database'!AK19))</f>
        <v>0</v>
      </c>
      <c r="BS15" s="5">
        <f>IF('Project Database'!A19="","",N('Project Database'!AL19))</f>
        <v>0</v>
      </c>
      <c r="BT15" s="5">
        <f>IF('Project Database'!A19="","",N('Project Database'!AM19))</f>
        <v>0</v>
      </c>
      <c r="BU15" s="5">
        <f>IF('Project Database'!A19="","",N('Project Database'!AN19))</f>
        <v>0</v>
      </c>
      <c r="BV15" s="5">
        <f>IF('Project Database'!A19="","",N('Project Database'!AO19))</f>
        <v>0</v>
      </c>
      <c r="BW15" s="5">
        <f>IF('Project Database'!A19="","",N('Project Database'!AP19))</f>
        <v>0</v>
      </c>
      <c r="BX15" s="5">
        <f t="shared" si="12"/>
        <v>0</v>
      </c>
      <c r="BY15" s="5">
        <f t="shared" si="13"/>
        <v>18.7</v>
      </c>
    </row>
    <row r="16" spans="1:77" ht="15" customHeight="1" x14ac:dyDescent="0.3">
      <c r="A16" s="66" t="str">
        <f>'Project Database'!A20</f>
        <v>SW31253</v>
      </c>
      <c r="B16" s="66" t="str">
        <f>'Project Database'!B20</f>
        <v>RSI Taichung Split Case</v>
      </c>
      <c r="C16" s="66">
        <f>'Project Database'!G20</f>
        <v>115</v>
      </c>
      <c r="D16" s="66">
        <f>'Project Database'!H20</f>
        <v>25000</v>
      </c>
      <c r="E16" s="66">
        <f>'Project Database'!I20</f>
        <v>0</v>
      </c>
      <c r="F16" s="66">
        <f>'Project Database'!J20</f>
        <v>0</v>
      </c>
      <c r="G16" s="66">
        <f>'Project Database'!K20</f>
        <v>0</v>
      </c>
      <c r="H16" s="66">
        <f>'Project Database'!L20</f>
        <v>0</v>
      </c>
      <c r="I16" s="66">
        <f>'Project Database'!M20</f>
        <v>0</v>
      </c>
      <c r="J16" s="66">
        <f>'Project Database'!N20</f>
        <v>0</v>
      </c>
      <c r="K16" s="66">
        <f>'Project Database'!O20</f>
        <v>2000</v>
      </c>
      <c r="L16" s="66">
        <f>'Project Database'!P20</f>
        <v>200</v>
      </c>
      <c r="M16" s="66">
        <f>'Project Database'!Q20</f>
        <v>40</v>
      </c>
      <c r="N16" s="66">
        <f>'Project Database'!R20</f>
        <v>0</v>
      </c>
      <c r="O16" s="66">
        <f>'Project Database'!S20</f>
        <v>51</v>
      </c>
      <c r="P16" s="66">
        <f>'Project Database'!T20</f>
        <v>0</v>
      </c>
      <c r="Q16" s="66">
        <f>'Project Database'!U20</f>
        <v>23</v>
      </c>
      <c r="R16" s="66">
        <f>'Project Database'!V20</f>
        <v>25</v>
      </c>
      <c r="S16" s="66">
        <f>'Project Database'!W20</f>
        <v>65</v>
      </c>
      <c r="T16" s="66" t="str">
        <f>'Project Database'!X20</f>
        <v>USD</v>
      </c>
      <c r="U16" s="67">
        <f>'Project Database'!Y20</f>
        <v>13</v>
      </c>
      <c r="V16" s="66">
        <f>IF('Smart Search'!B13=1,IFERROR(1/'Smart Search'!H13,0),0)</f>
        <v>0</v>
      </c>
      <c r="W16" s="66">
        <f>IF('Smart Search'!B13=1,IFERROR(1/'Smart Search'!H13,0),0)</f>
        <v>0</v>
      </c>
      <c r="X16" s="66">
        <f>IF('Smart Search'!C13=1,IFERROR(1/'Smart Search'!H13,0),0)</f>
        <v>0.5</v>
      </c>
      <c r="Y16" s="66">
        <f>IF('Smart Search'!C13=1,IFERROR(1/'Smart Search'!H13,0),0)</f>
        <v>0.5</v>
      </c>
      <c r="Z16" s="66">
        <f>IF('Smart Search'!D13=1,IFERROR(1/'Smart Search'!H13,0),0)</f>
        <v>0</v>
      </c>
      <c r="AA16" s="66">
        <f>IF('Smart Search'!D13=1,IFERROR(1/'Smart Search'!H13,0),0)</f>
        <v>0</v>
      </c>
      <c r="AB16" s="66">
        <f>IF('Smart Search'!E13=1,IFERROR(1/'Smart Search'!H13,0),0)</f>
        <v>0</v>
      </c>
      <c r="AC16" s="66">
        <f>IF('Smart Search'!E13=1,IFERROR(1/'Smart Search'!H13,0),0)</f>
        <v>0</v>
      </c>
      <c r="AD16" s="66">
        <f>IF('Smart Search'!F13=1,IFERROR(1/'Smart Search'!H13,0),0)</f>
        <v>0</v>
      </c>
      <c r="AE16" s="66">
        <f>IF('Smart Search'!F13=1,IFERROR(1/'Smart Search'!H13,0),0)</f>
        <v>0</v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>0</v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>0</v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>0</v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>0</v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>0</v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>0</v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>0</v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>0</v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>0</v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>0</v>
      </c>
      <c r="AP16" s="66">
        <f t="shared" si="0"/>
        <v>0</v>
      </c>
      <c r="AQ16" s="66">
        <f t="shared" si="1"/>
        <v>0</v>
      </c>
      <c r="AR16" s="66">
        <f t="shared" si="2"/>
        <v>0</v>
      </c>
      <c r="AS16" s="66">
        <f t="shared" si="3"/>
        <v>0</v>
      </c>
      <c r="AT16" s="66">
        <f t="shared" si="4"/>
        <v>0</v>
      </c>
      <c r="AU16" s="66">
        <f t="shared" si="5"/>
        <v>0</v>
      </c>
      <c r="AV16" s="66">
        <f t="shared" si="6"/>
        <v>0</v>
      </c>
      <c r="AW16" s="66">
        <f t="shared" si="7"/>
        <v>0</v>
      </c>
      <c r="AX16" s="66">
        <f t="shared" si="8"/>
        <v>0</v>
      </c>
      <c r="AY16" s="66">
        <f t="shared" si="9"/>
        <v>0</v>
      </c>
      <c r="AZ16" s="66" t="str">
        <f>'Project Database'!Z20</f>
        <v>SRM BK25 MCS DMS AMCAP MCP FMCF RGV LIFTER PALLET ELTEN SCHWINGHANDL NORIN SUZHOU MARKEM IMAJE METTLER TOLEDO</v>
      </c>
      <c r="BA16" s="66">
        <f>IF(OR(A16="",'Smart Search'!H13=0),"",MAX(0,BE16*BF16*MAX(0,1-BG16)))</f>
        <v>0</v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>0</v>
      </c>
      <c r="BC16" s="66">
        <f>IF('Smart Search'!G13=1,IFERROR(1/'Smart Search'!H13,0),0)</f>
        <v>0</v>
      </c>
      <c r="BD16" s="66">
        <f t="shared" si="10"/>
        <v>0</v>
      </c>
      <c r="BE16" s="66">
        <f t="shared" si="11"/>
        <v>0</v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>0</v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>0.5</v>
      </c>
      <c r="BH16" s="5">
        <f>IF(AND('Project Database'!A20&lt;&gt;"",OR('Smart Search'!$L$5="",'Smart Search'!$L$5="All",TRIM('Project Database'!D20)=TRIM('Smart Search'!$L$5)),OR(TRIM('Smart Search'!$L$6)="",TRIM('Smart Search'!$L$6)="All",ISNUMBER(SEARCH(SUBSTITUTE(SUBSTITUTE(SUBSTITUTE(TRIM('Smart Search'!$L$6),"~","~~"),"*","~*"),"?","~?"),'Project Database'!C20))),OR('Smart Search'!$L$7="",AND('Project Database'!E20&lt;&gt;"",'Project Database'!E20='Smart Search'!$L$7)),OR('Smart Search'!$L$8="",'Smart Search'!$L$8="All",TRIM('Project Database'!F20)=TRIM('Smart Search'!$L$8))),IF(BA16="","",BA16+ROW()*0.0000000001),"")</f>
        <v>1.6000000000000001E-9</v>
      </c>
      <c r="BI16" s="5" t="str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 xml:space="preserve">Multishuttle, </v>
      </c>
      <c r="BJ16" s="5">
        <f>IF('Project Database'!A20="","",N('Project Database'!AC20))</f>
        <v>0</v>
      </c>
      <c r="BK16" s="5">
        <f>IF('Project Database'!A20="","",N('Project Database'!AD20))</f>
        <v>0</v>
      </c>
      <c r="BL16" s="5">
        <f>IF('Project Database'!A20="","",N('Project Database'!AE20))</f>
        <v>0</v>
      </c>
      <c r="BM16" s="5">
        <f>IF('Project Database'!A20="","",N('Project Database'!AF20))</f>
        <v>0</v>
      </c>
      <c r="BN16" s="5">
        <f>IF('Project Database'!A20="","",N('Project Database'!AG20))</f>
        <v>0</v>
      </c>
      <c r="BO16" s="5">
        <f>IF('Project Database'!A20="","",N('Project Database'!AH20))</f>
        <v>0</v>
      </c>
      <c r="BP16" s="5">
        <f>IF('Project Database'!A20="","",N('Project Database'!AI20))</f>
        <v>0</v>
      </c>
      <c r="BQ16" s="5">
        <f>IF('Project Database'!A20="","",N('Project Database'!AJ20))</f>
        <v>0</v>
      </c>
      <c r="BR16" s="5">
        <f>IF('Project Database'!A20="","",N('Project Database'!AK20))</f>
        <v>0</v>
      </c>
      <c r="BS16" s="5">
        <f>IF('Project Database'!A20="","",N('Project Database'!AL20))</f>
        <v>0</v>
      </c>
      <c r="BT16" s="5">
        <f>IF('Project Database'!A20="","",N('Project Database'!AM20))</f>
        <v>0</v>
      </c>
      <c r="BU16" s="5">
        <f>IF('Project Database'!A20="","",N('Project Database'!AN20))</f>
        <v>0</v>
      </c>
      <c r="BV16" s="5">
        <f>IF('Project Database'!A20="","",N('Project Database'!AO20))</f>
        <v>0</v>
      </c>
      <c r="BW16" s="5">
        <f>IF('Project Database'!A20="","",N('Project Database'!AP20))</f>
        <v>0</v>
      </c>
      <c r="BX16" s="5">
        <f t="shared" si="12"/>
        <v>0</v>
      </c>
      <c r="BY16" s="5">
        <f t="shared" si="13"/>
        <v>13</v>
      </c>
    </row>
    <row r="17" spans="1:77" ht="15" customHeight="1" x14ac:dyDescent="0.3">
      <c r="A17" s="66" t="str">
        <f>'Project Database'!A21</f>
        <v>SC22207</v>
      </c>
      <c r="B17" s="66" t="str">
        <f>'Project Database'!B21</f>
        <v>Siemens Gebze</v>
      </c>
      <c r="C17" s="66">
        <f>'Project Database'!G21</f>
        <v>0</v>
      </c>
      <c r="D17" s="66">
        <f>'Project Database'!H21</f>
        <v>0</v>
      </c>
      <c r="E17" s="66">
        <f>'Project Database'!I21</f>
        <v>15</v>
      </c>
      <c r="F17" s="66">
        <f>'Project Database'!J21</f>
        <v>20000</v>
      </c>
      <c r="G17" s="66">
        <f>'Project Database'!K21</f>
        <v>0</v>
      </c>
      <c r="H17" s="66">
        <f>'Project Database'!L21</f>
        <v>0</v>
      </c>
      <c r="I17" s="66">
        <f>'Project Database'!M21</f>
        <v>0</v>
      </c>
      <c r="J17" s="66">
        <f>'Project Database'!N21</f>
        <v>0</v>
      </c>
      <c r="K17" s="66">
        <f>'Project Database'!O21</f>
        <v>0</v>
      </c>
      <c r="L17" s="66">
        <f>'Project Database'!P21</f>
        <v>0</v>
      </c>
      <c r="M17" s="66">
        <f>'Project Database'!Q21</f>
        <v>26</v>
      </c>
      <c r="N17" s="66">
        <f>'Project Database'!R21</f>
        <v>0</v>
      </c>
      <c r="O17" s="66">
        <f>'Project Database'!S21</f>
        <v>12</v>
      </c>
      <c r="P17" s="66">
        <f>'Project Database'!T21</f>
        <v>18</v>
      </c>
      <c r="Q17" s="66">
        <f>'Project Database'!U21</f>
        <v>9</v>
      </c>
      <c r="R17" s="66">
        <f>'Project Database'!V21</f>
        <v>8</v>
      </c>
      <c r="S17" s="66">
        <f>'Project Database'!W21</f>
        <v>44</v>
      </c>
      <c r="T17" s="66" t="str">
        <f>'Project Database'!X21</f>
        <v>USD</v>
      </c>
      <c r="U17" s="67">
        <f>'Project Database'!Y21</f>
        <v>2.5</v>
      </c>
      <c r="V17" s="66">
        <f>IF('Smart Search'!B13=1,IFERROR(1/'Smart Search'!H13,0),0)</f>
        <v>0</v>
      </c>
      <c r="W17" s="66">
        <f>IF('Smart Search'!B13=1,IFERROR(1/'Smart Search'!H13,0),0)</f>
        <v>0</v>
      </c>
      <c r="X17" s="66">
        <f>IF('Smart Search'!C13=1,IFERROR(1/'Smart Search'!H13,0),0)</f>
        <v>0.5</v>
      </c>
      <c r="Y17" s="66">
        <f>IF('Smart Search'!C13=1,IFERROR(1/'Smart Search'!H13,0),0)</f>
        <v>0.5</v>
      </c>
      <c r="Z17" s="66">
        <f>IF('Smart Search'!D13=1,IFERROR(1/'Smart Search'!H13,0),0)</f>
        <v>0</v>
      </c>
      <c r="AA17" s="66">
        <f>IF('Smart Search'!D13=1,IFERROR(1/'Smart Search'!H13,0),0)</f>
        <v>0</v>
      </c>
      <c r="AB17" s="66">
        <f>IF('Smart Search'!E13=1,IFERROR(1/'Smart Search'!H13,0),0)</f>
        <v>0</v>
      </c>
      <c r="AC17" s="66">
        <f>IF('Smart Search'!E13=1,IFERROR(1/'Smart Search'!H13,0),0)</f>
        <v>0</v>
      </c>
      <c r="AD17" s="66">
        <f>IF('Smart Search'!F13=1,IFERROR(1/'Smart Search'!H13,0),0)</f>
        <v>0</v>
      </c>
      <c r="AE17" s="66">
        <f>IF('Smart Search'!F13=1,IFERROR(1/'Smart Search'!H13,0),0)</f>
        <v>0</v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>0</v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>0</v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>0.75</v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>0.5</v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>0</v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>0</v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>0</v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>0</v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>0</v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>0</v>
      </c>
      <c r="AP17" s="66">
        <f t="shared" si="0"/>
        <v>0</v>
      </c>
      <c r="AQ17" s="66">
        <f t="shared" si="1"/>
        <v>0</v>
      </c>
      <c r="AR17" s="66">
        <f t="shared" si="2"/>
        <v>0.375</v>
      </c>
      <c r="AS17" s="66">
        <f t="shared" si="3"/>
        <v>0.25</v>
      </c>
      <c r="AT17" s="66">
        <f t="shared" si="4"/>
        <v>0</v>
      </c>
      <c r="AU17" s="66">
        <f t="shared" si="5"/>
        <v>0</v>
      </c>
      <c r="AV17" s="66">
        <f t="shared" si="6"/>
        <v>0</v>
      </c>
      <c r="AW17" s="66">
        <f t="shared" si="7"/>
        <v>0</v>
      </c>
      <c r="AX17" s="66">
        <f t="shared" si="8"/>
        <v>0</v>
      </c>
      <c r="AY17" s="66">
        <f t="shared" si="9"/>
        <v>0</v>
      </c>
      <c r="AZ17" s="66" t="str">
        <f>'Project Database'!Z21</f>
        <v>Autostore</v>
      </c>
      <c r="BA17" s="66">
        <f>IF(OR(A17="",'Smart Search'!H13=0),"",MAX(0,BE17*BF17*MAX(0,1-BG17)))</f>
        <v>0.625</v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>0</v>
      </c>
      <c r="BC17" s="66">
        <f>IF('Smart Search'!G13=1,IFERROR(1/'Smart Search'!H13,0),0)</f>
        <v>0</v>
      </c>
      <c r="BD17" s="66">
        <f t="shared" si="10"/>
        <v>0</v>
      </c>
      <c r="BE17" s="66">
        <f t="shared" si="11"/>
        <v>0.625</v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>1</v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>0</v>
      </c>
      <c r="BH17" s="5">
        <f>IF(AND('Project Database'!A21&lt;&gt;"",OR('Smart Search'!$L$5="",'Smart Search'!$L$5="All",TRIM('Project Database'!D21)=TRIM('Smart Search'!$L$5)),OR(TRIM('Smart Search'!$L$6)="",TRIM('Smart Search'!$L$6)="All",ISNUMBER(SEARCH(SUBSTITUTE(SUBSTITUTE(SUBSTITUTE(TRIM('Smart Search'!$L$6),"~","~~"),"*","~*"),"?","~?"),'Project Database'!C21))),OR('Smart Search'!$L$7="",AND('Project Database'!E21&lt;&gt;"",'Project Database'!E21='Smart Search'!$L$7)),OR('Smart Search'!$L$8="",'Smart Search'!$L$8="All",TRIM('Project Database'!F21)=TRIM('Smart Search'!$L$8))),IF(BA17="","",BA17+ROW()*0.0000000001),"")</f>
        <v>0.62500000170000003</v>
      </c>
      <c r="BI17" s="5" t="str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IF('Project Database'!A21="","",N('Project Database'!AC21))</f>
        <v>0.05</v>
      </c>
      <c r="BK17" s="5">
        <f>IF('Project Database'!A21="","",N('Project Database'!AD21))</f>
        <v>0.05</v>
      </c>
      <c r="BL17" s="5">
        <f>IF('Project Database'!A21="","",N('Project Database'!AE21))</f>
        <v>0.05</v>
      </c>
      <c r="BM17" s="5">
        <f>IF('Project Database'!A21="","",N('Project Database'!AF21))</f>
        <v>7.0000000000000007E-2</v>
      </c>
      <c r="BN17" s="5">
        <f>IF('Project Database'!A21="","",N('Project Database'!AG21))</f>
        <v>0.09</v>
      </c>
      <c r="BO17" s="5">
        <f>IF('Project Database'!A21="","",N('Project Database'!AH21))</f>
        <v>0.06</v>
      </c>
      <c r="BP17" s="5">
        <f>IF('Project Database'!A21="","",N('Project Database'!AI21))</f>
        <v>0.06</v>
      </c>
      <c r="BQ17" s="5">
        <f>IF('Project Database'!A21="","",N('Project Database'!AJ21))</f>
        <v>0.01</v>
      </c>
      <c r="BR17" s="5">
        <f>IF('Project Database'!A21="","",N('Project Database'!AK21))</f>
        <v>0.01</v>
      </c>
      <c r="BS17" s="5">
        <f>IF('Project Database'!A21="","",N('Project Database'!AL21))</f>
        <v>0.01</v>
      </c>
      <c r="BT17" s="5">
        <f>IF('Project Database'!A21="","",N('Project Database'!AM21))</f>
        <v>0.01</v>
      </c>
      <c r="BU17" s="5">
        <f>IF('Project Database'!A21="","",N('Project Database'!AN21))</f>
        <v>0.01</v>
      </c>
      <c r="BV17" s="5">
        <f>IF('Project Database'!A21="","",N('Project Database'!AO21))</f>
        <v>0.04</v>
      </c>
      <c r="BW17" s="5">
        <f>IF('Project Database'!A21="","",N('Project Database'!AP21))</f>
        <v>1E-3</v>
      </c>
      <c r="BX17" s="5">
        <f t="shared" si="12"/>
        <v>0.52100000000000013</v>
      </c>
      <c r="BY17" s="5">
        <f t="shared" si="13"/>
        <v>2.5</v>
      </c>
    </row>
    <row r="18" spans="1:77" ht="15" customHeight="1" x14ac:dyDescent="0.3">
      <c r="A18" s="66" t="str">
        <f>'Project Database'!A22</f>
        <v>SC22225</v>
      </c>
      <c r="B18" s="66" t="str">
        <f>'Project Database'!B22</f>
        <v>Amazon RUH9</v>
      </c>
      <c r="C18" s="66">
        <f>'Project Database'!G22</f>
        <v>0</v>
      </c>
      <c r="D18" s="66">
        <f>'Project Database'!H22</f>
        <v>0</v>
      </c>
      <c r="E18" s="66">
        <f>'Project Database'!I22</f>
        <v>0</v>
      </c>
      <c r="F18" s="66">
        <f>'Project Database'!J22</f>
        <v>0</v>
      </c>
      <c r="G18" s="66">
        <f>'Project Database'!K22</f>
        <v>0</v>
      </c>
      <c r="H18" s="66">
        <f>'Project Database'!L22</f>
        <v>0</v>
      </c>
      <c r="I18" s="66">
        <f>'Project Database'!M22</f>
        <v>0</v>
      </c>
      <c r="J18" s="66">
        <f>'Project Database'!N22</f>
        <v>0</v>
      </c>
      <c r="K18" s="66">
        <f>'Project Database'!O22</f>
        <v>3500</v>
      </c>
      <c r="L18" s="66">
        <f>'Project Database'!P22</f>
        <v>0</v>
      </c>
      <c r="M18" s="66">
        <f>'Project Database'!Q22</f>
        <v>54</v>
      </c>
      <c r="N18" s="66">
        <f>'Project Database'!R22</f>
        <v>42</v>
      </c>
      <c r="O18" s="66">
        <f>'Project Database'!S22</f>
        <v>10</v>
      </c>
      <c r="P18" s="66">
        <f>'Project Database'!T22</f>
        <v>0</v>
      </c>
      <c r="Q18" s="66">
        <f>'Project Database'!U22</f>
        <v>18</v>
      </c>
      <c r="R18" s="66">
        <f>'Project Database'!V22</f>
        <v>8</v>
      </c>
      <c r="S18" s="66">
        <f>'Project Database'!W22</f>
        <v>81</v>
      </c>
      <c r="T18" s="66" t="str">
        <f>'Project Database'!X22</f>
        <v>USD</v>
      </c>
      <c r="U18" s="67">
        <f>'Project Database'!Y22</f>
        <v>18</v>
      </c>
      <c r="V18" s="66">
        <f>IF('Smart Search'!B13=1,IFERROR(1/'Smart Search'!H13,0),0)</f>
        <v>0</v>
      </c>
      <c r="W18" s="66">
        <f>IF('Smart Search'!B13=1,IFERROR(1/'Smart Search'!H13,0),0)</f>
        <v>0</v>
      </c>
      <c r="X18" s="66">
        <f>IF('Smart Search'!C13=1,IFERROR(1/'Smart Search'!H13,0),0)</f>
        <v>0.5</v>
      </c>
      <c r="Y18" s="66">
        <f>IF('Smart Search'!C13=1,IFERROR(1/'Smart Search'!H13,0),0)</f>
        <v>0.5</v>
      </c>
      <c r="Z18" s="66">
        <f>IF('Smart Search'!D13=1,IFERROR(1/'Smart Search'!H13,0),0)</f>
        <v>0</v>
      </c>
      <c r="AA18" s="66">
        <f>IF('Smart Search'!D13=1,IFERROR(1/'Smart Search'!H13,0),0)</f>
        <v>0</v>
      </c>
      <c r="AB18" s="66">
        <f>IF('Smart Search'!E13=1,IFERROR(1/'Smart Search'!H13,0),0)</f>
        <v>0</v>
      </c>
      <c r="AC18" s="66">
        <f>IF('Smart Search'!E13=1,IFERROR(1/'Smart Search'!H13,0),0)</f>
        <v>0</v>
      </c>
      <c r="AD18" s="66">
        <f>IF('Smart Search'!F13=1,IFERROR(1/'Smart Search'!H13,0),0)</f>
        <v>0</v>
      </c>
      <c r="AE18" s="66">
        <f>IF('Smart Search'!F13=1,IFERROR(1/'Smart Search'!H13,0),0)</f>
        <v>0</v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>0</v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>0</v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>0</v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>0</v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>0</v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>0</v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>0</v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>0</v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>0</v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>0</v>
      </c>
      <c r="AP18" s="66">
        <f t="shared" si="0"/>
        <v>0</v>
      </c>
      <c r="AQ18" s="66">
        <f t="shared" si="1"/>
        <v>0</v>
      </c>
      <c r="AR18" s="66">
        <f t="shared" si="2"/>
        <v>0</v>
      </c>
      <c r="AS18" s="66">
        <f t="shared" si="3"/>
        <v>0</v>
      </c>
      <c r="AT18" s="66">
        <f t="shared" si="4"/>
        <v>0</v>
      </c>
      <c r="AU18" s="66">
        <f t="shared" si="5"/>
        <v>0</v>
      </c>
      <c r="AV18" s="66">
        <f t="shared" si="6"/>
        <v>0</v>
      </c>
      <c r="AW18" s="66">
        <f t="shared" si="7"/>
        <v>0</v>
      </c>
      <c r="AX18" s="66">
        <f t="shared" si="8"/>
        <v>0</v>
      </c>
      <c r="AY18" s="66">
        <f t="shared" si="9"/>
        <v>0</v>
      </c>
      <c r="AZ18" s="66" t="str">
        <f>'Project Database'!Z22</f>
        <v>XB Sorter CBS crossbelt MCS</v>
      </c>
      <c r="BA18" s="66">
        <f>IF(OR(A18="",'Smart Search'!H13=0),"",MAX(0,BE18*BF18*MAX(0,1-BG18)))</f>
        <v>0</v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>0</v>
      </c>
      <c r="BC18" s="66">
        <f>IF('Smart Search'!G13=1,IFERROR(1/'Smart Search'!H13,0),0)</f>
        <v>0</v>
      </c>
      <c r="BD18" s="66">
        <f t="shared" si="10"/>
        <v>0</v>
      </c>
      <c r="BE18" s="66">
        <f t="shared" si="11"/>
        <v>0</v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>0</v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>0.25</v>
      </c>
      <c r="BH18" s="5">
        <f>IF(AND('Project Database'!A22&lt;&gt;"",OR('Smart Search'!$L$5="",'Smart Search'!$L$5="All",TRIM('Project Database'!D22)=TRIM('Smart Search'!$L$5)),OR(TRIM('Smart Search'!$L$6)="",TRIM('Smart Search'!$L$6)="All",ISNUMBER(SEARCH(SUBSTITUTE(SUBSTITUTE(SUBSTITUTE(TRIM('Smart Search'!$L$6),"~","~~"),"*","~*"),"?","~?"),'Project Database'!C22))),OR('Smart Search'!$L$7="",AND('Project Database'!E22&lt;&gt;"",'Project Database'!E22='Smart Search'!$L$7)),OR('Smart Search'!$L$8="",'Smart Search'!$L$8="All",TRIM('Project Database'!F22)=TRIM('Smart Search'!$L$8))),IF(BA18="","",BA18+ROW()*0.0000000001),"")</f>
        <v>1.8E-9</v>
      </c>
      <c r="BI18" s="5" t="str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IF('Project Database'!A22="","",N('Project Database'!AC22))</f>
        <v>0</v>
      </c>
      <c r="BK18" s="5">
        <f>IF('Project Database'!A22="","",N('Project Database'!AD22))</f>
        <v>0</v>
      </c>
      <c r="BL18" s="5">
        <f>IF('Project Database'!A22="","",N('Project Database'!AE22))</f>
        <v>0</v>
      </c>
      <c r="BM18" s="5">
        <f>IF('Project Database'!A22="","",N('Project Database'!AF22))</f>
        <v>0</v>
      </c>
      <c r="BN18" s="5">
        <f>IF('Project Database'!A22="","",N('Project Database'!AG22))</f>
        <v>0</v>
      </c>
      <c r="BO18" s="5">
        <f>IF('Project Database'!A22="","",N('Project Database'!AH22))</f>
        <v>0</v>
      </c>
      <c r="BP18" s="5">
        <f>IF('Project Database'!A22="","",N('Project Database'!AI22))</f>
        <v>0</v>
      </c>
      <c r="BQ18" s="5">
        <f>IF('Project Database'!A22="","",N('Project Database'!AJ22))</f>
        <v>0</v>
      </c>
      <c r="BR18" s="5">
        <f>IF('Project Database'!A22="","",N('Project Database'!AK22))</f>
        <v>0</v>
      </c>
      <c r="BS18" s="5">
        <f>IF('Project Database'!A22="","",N('Project Database'!AL22))</f>
        <v>0</v>
      </c>
      <c r="BT18" s="5">
        <f>IF('Project Database'!A22="","",N('Project Database'!AM22))</f>
        <v>0</v>
      </c>
      <c r="BU18" s="5">
        <f>IF('Project Database'!A22="","",N('Project Database'!AN22))</f>
        <v>0</v>
      </c>
      <c r="BV18" s="5">
        <f>IF('Project Database'!A22="","",N('Project Database'!AO22))</f>
        <v>0</v>
      </c>
      <c r="BW18" s="5">
        <f>IF('Project Database'!A22="","",N('Project Database'!AP22))</f>
        <v>0</v>
      </c>
      <c r="BX18" s="5">
        <f t="shared" si="12"/>
        <v>0</v>
      </c>
      <c r="BY18" s="5">
        <f t="shared" si="13"/>
        <v>18</v>
      </c>
    </row>
    <row r="19" spans="1:77" ht="15" customHeight="1" x14ac:dyDescent="0.3">
      <c r="A19" s="66" t="str">
        <f>'Project Database'!A23</f>
        <v>SW31322</v>
      </c>
      <c r="B19" s="66" t="str">
        <f>'Project Database'!B23</f>
        <v>PepsiCo ASRS VN</v>
      </c>
      <c r="C19" s="66">
        <f>'Project Database'!G23</f>
        <v>0</v>
      </c>
      <c r="D19" s="66">
        <f>'Project Database'!H23</f>
        <v>0</v>
      </c>
      <c r="E19" s="66">
        <f>'Project Database'!I23</f>
        <v>0</v>
      </c>
      <c r="F19" s="66">
        <f>'Project Database'!J23</f>
        <v>0</v>
      </c>
      <c r="G19" s="66">
        <f>'Project Database'!K23</f>
        <v>0</v>
      </c>
      <c r="H19" s="66">
        <f>'Project Database'!L23</f>
        <v>0</v>
      </c>
      <c r="I19" s="66">
        <f>'Project Database'!M23</f>
        <v>7</v>
      </c>
      <c r="J19" s="66">
        <f>'Project Database'!N23</f>
        <v>10000</v>
      </c>
      <c r="K19" s="66">
        <f>'Project Database'!O23</f>
        <v>0</v>
      </c>
      <c r="L19" s="66">
        <f>'Project Database'!P23</f>
        <v>500</v>
      </c>
      <c r="M19" s="66">
        <f>'Project Database'!Q23</f>
        <v>32</v>
      </c>
      <c r="N19" s="66">
        <f>'Project Database'!R23</f>
        <v>36</v>
      </c>
      <c r="O19" s="66">
        <f>'Project Database'!S23</f>
        <v>27</v>
      </c>
      <c r="P19" s="66">
        <f>'Project Database'!T23</f>
        <v>47</v>
      </c>
      <c r="Q19" s="66">
        <f>'Project Database'!U23</f>
        <v>21</v>
      </c>
      <c r="R19" s="66">
        <f>'Project Database'!V23</f>
        <v>18</v>
      </c>
      <c r="S19" s="66">
        <f>'Project Database'!W23</f>
        <v>70</v>
      </c>
      <c r="T19" s="66" t="str">
        <f>'Project Database'!X23</f>
        <v>USD</v>
      </c>
      <c r="U19" s="67">
        <f>'Project Database'!Y23</f>
        <v>7.2</v>
      </c>
      <c r="V19" s="66">
        <f>IF('Smart Search'!B13=1,IFERROR(1/'Smart Search'!H13,0),0)</f>
        <v>0</v>
      </c>
      <c r="W19" s="66">
        <f>IF('Smart Search'!B13=1,IFERROR(1/'Smart Search'!H13,0),0)</f>
        <v>0</v>
      </c>
      <c r="X19" s="66">
        <f>IF('Smart Search'!C13=1,IFERROR(1/'Smart Search'!H13,0),0)</f>
        <v>0.5</v>
      </c>
      <c r="Y19" s="66">
        <f>IF('Smart Search'!C13=1,IFERROR(1/'Smart Search'!H13,0),0)</f>
        <v>0.5</v>
      </c>
      <c r="Z19" s="66">
        <f>IF('Smart Search'!D13=1,IFERROR(1/'Smart Search'!H13,0),0)</f>
        <v>0</v>
      </c>
      <c r="AA19" s="66">
        <f>IF('Smart Search'!D13=1,IFERROR(1/'Smart Search'!H13,0),0)</f>
        <v>0</v>
      </c>
      <c r="AB19" s="66">
        <f>IF('Smart Search'!E13=1,IFERROR(1/'Smart Search'!H13,0),0)</f>
        <v>0</v>
      </c>
      <c r="AC19" s="66">
        <f>IF('Smart Search'!E13=1,IFERROR(1/'Smart Search'!H13,0),0)</f>
        <v>0</v>
      </c>
      <c r="AD19" s="66">
        <f>IF('Smart Search'!F13=1,IFERROR(1/'Smart Search'!H13,0),0)</f>
        <v>0</v>
      </c>
      <c r="AE19" s="66">
        <f>IF('Smart Search'!F13=1,IFERROR(1/'Smart Search'!H13,0),0)</f>
        <v>0</v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>0</v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>0</v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>0</v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>0</v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>0</v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>0</v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>0</v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>0</v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>0</v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>0</v>
      </c>
      <c r="AP19" s="66">
        <f t="shared" si="0"/>
        <v>0</v>
      </c>
      <c r="AQ19" s="66">
        <f t="shared" si="1"/>
        <v>0</v>
      </c>
      <c r="AR19" s="66">
        <f t="shared" si="2"/>
        <v>0</v>
      </c>
      <c r="AS19" s="66">
        <f t="shared" si="3"/>
        <v>0</v>
      </c>
      <c r="AT19" s="66">
        <f t="shared" si="4"/>
        <v>0</v>
      </c>
      <c r="AU19" s="66">
        <f t="shared" si="5"/>
        <v>0</v>
      </c>
      <c r="AV19" s="66">
        <f t="shared" si="6"/>
        <v>0</v>
      </c>
      <c r="AW19" s="66">
        <f t="shared" si="7"/>
        <v>0</v>
      </c>
      <c r="AX19" s="66">
        <f t="shared" si="8"/>
        <v>0</v>
      </c>
      <c r="AY19" s="66">
        <f t="shared" si="9"/>
        <v>0</v>
      </c>
      <c r="AZ19" s="66" t="str">
        <f>'Project Database'!Z23</f>
        <v xml:space="preserve">SRM BK25 </v>
      </c>
      <c r="BA19" s="66">
        <f>IF(OR(A19="",'Smart Search'!H13=0),"",MAX(0,BE19*BF19*MAX(0,1-BG19)))</f>
        <v>0</v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>0</v>
      </c>
      <c r="BC19" s="66">
        <f>IF('Smart Search'!G13=1,IFERROR(1/'Smart Search'!H13,0),0)</f>
        <v>0</v>
      </c>
      <c r="BD19" s="66">
        <f t="shared" si="10"/>
        <v>0</v>
      </c>
      <c r="BE19" s="66">
        <f t="shared" si="11"/>
        <v>0</v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>0</v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>0.5</v>
      </c>
      <c r="BH19" s="5">
        <f>IF(AND('Project Database'!A23&lt;&gt;"",OR('Smart Search'!$L$5="",'Smart Search'!$L$5="All",TRIM('Project Database'!D23)=TRIM('Smart Search'!$L$5)),OR(TRIM('Smart Search'!$L$6)="",TRIM('Smart Search'!$L$6)="All",ISNUMBER(SEARCH(SUBSTITUTE(SUBSTITUTE(SUBSTITUTE(TRIM('Smart Search'!$L$6),"~","~~"),"*","~*"),"?","~?"),'Project Database'!C23))),OR('Smart Search'!$L$7="",AND('Project Database'!E23&lt;&gt;"",'Project Database'!E23='Smart Search'!$L$7)),OR('Smart Search'!$L$8="",'Smart Search'!$L$8="All",TRIM('Project Database'!F23)=TRIM('Smart Search'!$L$8))),IF(BA19="","",BA19+ROW()*0.0000000001),"")</f>
        <v>1.9000000000000001E-9</v>
      </c>
      <c r="BI19" s="5" t="str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 xml:space="preserve">SRM Crane, </v>
      </c>
      <c r="BJ19" s="5">
        <f>IF('Project Database'!A23="","",N('Project Database'!AC23))</f>
        <v>0.05</v>
      </c>
      <c r="BK19" s="5">
        <f>IF('Project Database'!A23="","",N('Project Database'!AD23))</f>
        <v>0.05</v>
      </c>
      <c r="BL19" s="5">
        <f>IF('Project Database'!A23="","",N('Project Database'!AE23))</f>
        <v>0.05</v>
      </c>
      <c r="BM19" s="5">
        <f>IF('Project Database'!A23="","",N('Project Database'!AF23))</f>
        <v>7.0000000000000007E-2</v>
      </c>
      <c r="BN19" s="5">
        <f>IF('Project Database'!A23="","",N('Project Database'!AG23))</f>
        <v>0.09</v>
      </c>
      <c r="BO19" s="5">
        <f>IF('Project Database'!A23="","",N('Project Database'!AH23))</f>
        <v>0.06</v>
      </c>
      <c r="BP19" s="5">
        <f>IF('Project Database'!A23="","",N('Project Database'!AI23))</f>
        <v>0.06</v>
      </c>
      <c r="BQ19" s="5">
        <f>IF('Project Database'!A23="","",N('Project Database'!AJ23))</f>
        <v>0.01</v>
      </c>
      <c r="BR19" s="5">
        <f>IF('Project Database'!A23="","",N('Project Database'!AK23))</f>
        <v>0.01</v>
      </c>
      <c r="BS19" s="5">
        <f>IF('Project Database'!A23="","",N('Project Database'!AL23))</f>
        <v>0.01</v>
      </c>
      <c r="BT19" s="5">
        <f>IF('Project Database'!A23="","",N('Project Database'!AM23))</f>
        <v>0.01</v>
      </c>
      <c r="BU19" s="5">
        <f>IF('Project Database'!A23="","",N('Project Database'!AN23))</f>
        <v>0.01</v>
      </c>
      <c r="BV19" s="5">
        <f>IF('Project Database'!A23="","",N('Project Database'!AO23))</f>
        <v>0.04</v>
      </c>
      <c r="BW19" s="5">
        <f>IF('Project Database'!A23="","",N('Project Database'!AP23))</f>
        <v>1E-3</v>
      </c>
      <c r="BX19" s="5">
        <f t="shared" si="12"/>
        <v>0.52100000000000013</v>
      </c>
      <c r="BY19" s="5">
        <f t="shared" si="13"/>
        <v>7.2</v>
      </c>
    </row>
    <row r="20" spans="1:77" ht="15" customHeight="1" x14ac:dyDescent="0.3">
      <c r="A20" s="66" t="str">
        <f>'Project Database'!A24</f>
        <v>SW31325</v>
      </c>
      <c r="B20" s="66" t="str">
        <f>'Project Database'!B24</f>
        <v>MR DIY MY</v>
      </c>
      <c r="C20" s="66">
        <f>'Project Database'!G24</f>
        <v>95</v>
      </c>
      <c r="D20" s="66">
        <f>'Project Database'!H24</f>
        <v>31020</v>
      </c>
      <c r="E20" s="66">
        <f>'Project Database'!I24</f>
        <v>0</v>
      </c>
      <c r="F20" s="66">
        <f>'Project Database'!J24</f>
        <v>0</v>
      </c>
      <c r="G20" s="66">
        <f>'Project Database'!K24</f>
        <v>15</v>
      </c>
      <c r="H20" s="66">
        <f>'Project Database'!L24</f>
        <v>5000</v>
      </c>
      <c r="I20" s="66">
        <f>'Project Database'!M24</f>
        <v>12</v>
      </c>
      <c r="J20" s="66">
        <f>'Project Database'!N24</f>
        <v>30000</v>
      </c>
      <c r="K20" s="66">
        <f>'Project Database'!O24</f>
        <v>1500</v>
      </c>
      <c r="L20" s="66">
        <f>'Project Database'!P24</f>
        <v>500</v>
      </c>
      <c r="M20" s="66">
        <f>'Project Database'!Q24</f>
        <v>60</v>
      </c>
      <c r="N20" s="66">
        <f>'Project Database'!R24</f>
        <v>44</v>
      </c>
      <c r="O20" s="66">
        <f>'Project Database'!S24</f>
        <v>29</v>
      </c>
      <c r="P20" s="66">
        <f>'Project Database'!T24</f>
        <v>59</v>
      </c>
      <c r="Q20" s="66">
        <f>'Project Database'!U24</f>
        <v>88</v>
      </c>
      <c r="R20" s="66">
        <f>'Project Database'!V24</f>
        <v>45</v>
      </c>
      <c r="S20" s="66">
        <f>'Project Database'!W24</f>
        <v>142</v>
      </c>
      <c r="T20" s="66" t="str">
        <f>'Project Database'!X24</f>
        <v>USD</v>
      </c>
      <c r="U20" s="67">
        <f>'Project Database'!Y24</f>
        <v>30.45</v>
      </c>
      <c r="V20" s="66">
        <f>IF('Smart Search'!B13=1,IFERROR(1/'Smart Search'!H13,0),0)</f>
        <v>0</v>
      </c>
      <c r="W20" s="66">
        <f>IF('Smart Search'!B13=1,IFERROR(1/'Smart Search'!H13,0),0)</f>
        <v>0</v>
      </c>
      <c r="X20" s="66">
        <f>IF('Smart Search'!C13=1,IFERROR(1/'Smart Search'!H13,0),0)</f>
        <v>0.5</v>
      </c>
      <c r="Y20" s="66">
        <f>IF('Smart Search'!C13=1,IFERROR(1/'Smart Search'!H13,0),0)</f>
        <v>0.5</v>
      </c>
      <c r="Z20" s="66">
        <f>IF('Smart Search'!D13=1,IFERROR(1/'Smart Search'!H13,0),0)</f>
        <v>0</v>
      </c>
      <c r="AA20" s="66">
        <f>IF('Smart Search'!D13=1,IFERROR(1/'Smart Search'!H13,0),0)</f>
        <v>0</v>
      </c>
      <c r="AB20" s="66">
        <f>IF('Smart Search'!E13=1,IFERROR(1/'Smart Search'!H13,0),0)</f>
        <v>0</v>
      </c>
      <c r="AC20" s="66">
        <f>IF('Smart Search'!E13=1,IFERROR(1/'Smart Search'!H13,0),0)</f>
        <v>0</v>
      </c>
      <c r="AD20" s="66">
        <f>IF('Smart Search'!F13=1,IFERROR(1/'Smart Search'!H13,0),0)</f>
        <v>0</v>
      </c>
      <c r="AE20" s="66">
        <f>IF('Smart Search'!F13=1,IFERROR(1/'Smart Search'!H13,0),0)</f>
        <v>0</v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>0</v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>0</v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>0</v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>0</v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>0</v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>0</v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>0</v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>0</v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>0</v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>0</v>
      </c>
      <c r="AP20" s="66">
        <f t="shared" si="0"/>
        <v>0</v>
      </c>
      <c r="AQ20" s="66">
        <f t="shared" si="1"/>
        <v>0</v>
      </c>
      <c r="AR20" s="66">
        <f t="shared" si="2"/>
        <v>0</v>
      </c>
      <c r="AS20" s="66">
        <f t="shared" si="3"/>
        <v>0</v>
      </c>
      <c r="AT20" s="66">
        <f t="shared" si="4"/>
        <v>0</v>
      </c>
      <c r="AU20" s="66">
        <f t="shared" si="5"/>
        <v>0</v>
      </c>
      <c r="AV20" s="66">
        <f t="shared" si="6"/>
        <v>0</v>
      </c>
      <c r="AW20" s="66">
        <f t="shared" si="7"/>
        <v>0</v>
      </c>
      <c r="AX20" s="66">
        <f t="shared" si="8"/>
        <v>0</v>
      </c>
      <c r="AY20" s="66">
        <f t="shared" si="9"/>
        <v>0</v>
      </c>
      <c r="AZ20" s="66" t="str">
        <f>'Project Database'!Z24</f>
        <v>ASRS MCS DMS</v>
      </c>
      <c r="BA20" s="66">
        <f>IF(OR(A20="",'Smart Search'!H13=0),"",MAX(0,BE20*BF20*MAX(0,1-BG20)))</f>
        <v>0</v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>0</v>
      </c>
      <c r="BC20" s="66">
        <f>IF('Smart Search'!G13=1,IFERROR(1/'Smart Search'!H13,0),0)</f>
        <v>0</v>
      </c>
      <c r="BD20" s="66">
        <f t="shared" si="10"/>
        <v>0</v>
      </c>
      <c r="BE20" s="66">
        <f t="shared" si="11"/>
        <v>0</v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>0</v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>1</v>
      </c>
      <c r="BH20" s="5">
        <f>IF(AND('Project Database'!A24&lt;&gt;"",OR('Smart Search'!$L$5="",'Smart Search'!$L$5="All",TRIM('Project Database'!D24)=TRIM('Smart Search'!$L$5)),OR(TRIM('Smart Search'!$L$6)="",TRIM('Smart Search'!$L$6)="All",ISNUMBER(SEARCH(SUBSTITUTE(SUBSTITUTE(SUBSTITUTE(TRIM('Smart Search'!$L$6),"~","~~"),"*","~*"),"?","~?"),'Project Database'!C24))),OR('Smart Search'!$L$7="",AND('Project Database'!E24&lt;&gt;"",'Project Database'!E24='Smart Search'!$L$7)),OR('Smart Search'!$L$8="",'Smart Search'!$L$8="All",TRIM('Project Database'!F24)=TRIM('Smart Search'!$L$8))),IF(BA20="","",BA20+ROW()*0.0000000001),"")</f>
        <v>2.0000000000000001E-9</v>
      </c>
      <c r="BI20" s="5" t="str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 xml:space="preserve">Multishuttle, Pallet Shuttle, SRM Crane, </v>
      </c>
      <c r="BJ20" s="5">
        <f>IF('Project Database'!A24="","",N('Project Database'!AC24))</f>
        <v>0.05</v>
      </c>
      <c r="BK20" s="5">
        <f>IF('Project Database'!A24="","",N('Project Database'!AD24))</f>
        <v>0.05</v>
      </c>
      <c r="BL20" s="5">
        <f>IF('Project Database'!A24="","",N('Project Database'!AE24))</f>
        <v>0.05</v>
      </c>
      <c r="BM20" s="5">
        <f>IF('Project Database'!A24="","",N('Project Database'!AF24))</f>
        <v>7.0000000000000007E-2</v>
      </c>
      <c r="BN20" s="5">
        <f>IF('Project Database'!A24="","",N('Project Database'!AG24))</f>
        <v>0.09</v>
      </c>
      <c r="BO20" s="5">
        <f>IF('Project Database'!A24="","",N('Project Database'!AH24))</f>
        <v>0.06</v>
      </c>
      <c r="BP20" s="5">
        <f>IF('Project Database'!A24="","",N('Project Database'!AI24))</f>
        <v>0.06</v>
      </c>
      <c r="BQ20" s="5">
        <f>IF('Project Database'!A24="","",N('Project Database'!AJ24))</f>
        <v>0.01</v>
      </c>
      <c r="BR20" s="5">
        <f>IF('Project Database'!A24="","",N('Project Database'!AK24))</f>
        <v>0.01</v>
      </c>
      <c r="BS20" s="5">
        <f>IF('Project Database'!A24="","",N('Project Database'!AL24))</f>
        <v>0.01</v>
      </c>
      <c r="BT20" s="5">
        <f>IF('Project Database'!A24="","",N('Project Database'!AM24))</f>
        <v>0.01</v>
      </c>
      <c r="BU20" s="5">
        <f>IF('Project Database'!A24="","",N('Project Database'!AN24))</f>
        <v>0.01</v>
      </c>
      <c r="BV20" s="5">
        <f>IF('Project Database'!A24="","",N('Project Database'!AO24))</f>
        <v>0.04</v>
      </c>
      <c r="BW20" s="5">
        <f>IF('Project Database'!A24="","",N('Project Database'!AP24))</f>
        <v>1E-3</v>
      </c>
      <c r="BX20" s="5">
        <f t="shared" si="12"/>
        <v>0.52100000000000013</v>
      </c>
      <c r="BY20" s="5">
        <f t="shared" si="13"/>
        <v>30.45</v>
      </c>
    </row>
    <row r="21" spans="1:77" ht="15" customHeight="1" x14ac:dyDescent="0.3">
      <c r="A21" s="66" t="str">
        <f>'Project Database'!A25</f>
        <v>SW31244</v>
      </c>
      <c r="B21" s="66" t="str">
        <f>'Project Database'!B25</f>
        <v>DHL (Project PEW+)</v>
      </c>
      <c r="C21" s="66">
        <f>'Project Database'!G25</f>
        <v>0</v>
      </c>
      <c r="D21" s="66">
        <f>'Project Database'!H25</f>
        <v>0</v>
      </c>
      <c r="E21" s="66">
        <f>'Project Database'!I25</f>
        <v>0</v>
      </c>
      <c r="F21" s="66">
        <f>'Project Database'!J25</f>
        <v>0</v>
      </c>
      <c r="G21" s="66">
        <f>'Project Database'!K25</f>
        <v>0</v>
      </c>
      <c r="H21" s="66">
        <f>'Project Database'!L25</f>
        <v>0</v>
      </c>
      <c r="I21" s="66">
        <f>'Project Database'!M25</f>
        <v>2</v>
      </c>
      <c r="J21" s="66">
        <f>'Project Database'!N25</f>
        <v>13500</v>
      </c>
      <c r="K21" s="66">
        <f>'Project Database'!O25</f>
        <v>0</v>
      </c>
      <c r="L21" s="66">
        <f>'Project Database'!P25</f>
        <v>34</v>
      </c>
      <c r="M21" s="66">
        <f>'Project Database'!Q25</f>
        <v>51</v>
      </c>
      <c r="N21" s="66">
        <f>'Project Database'!R25</f>
        <v>50</v>
      </c>
      <c r="O21" s="66">
        <f>'Project Database'!S25</f>
        <v>0</v>
      </c>
      <c r="P21" s="66">
        <f>'Project Database'!T25</f>
        <v>62</v>
      </c>
      <c r="Q21" s="66">
        <f>'Project Database'!U25</f>
        <v>20</v>
      </c>
      <c r="R21" s="66">
        <f>'Project Database'!V25</f>
        <v>5</v>
      </c>
      <c r="S21" s="66">
        <f>'Project Database'!W25</f>
        <v>80</v>
      </c>
      <c r="T21" s="66" t="str">
        <f>'Project Database'!X25</f>
        <v>MYR</v>
      </c>
      <c r="U21" s="67">
        <f>'Project Database'!Y25</f>
        <v>15.5</v>
      </c>
      <c r="V21" s="66">
        <f>IF('Smart Search'!B13=1,IFERROR(1/'Smart Search'!H13,0),0)</f>
        <v>0</v>
      </c>
      <c r="W21" s="66">
        <f>IF('Smart Search'!B13=1,IFERROR(1/'Smart Search'!H13,0),0)</f>
        <v>0</v>
      </c>
      <c r="X21" s="66">
        <f>IF('Smart Search'!C13=1,IFERROR(1/'Smart Search'!H13,0),0)</f>
        <v>0.5</v>
      </c>
      <c r="Y21" s="66">
        <f>IF('Smart Search'!C13=1,IFERROR(1/'Smart Search'!H13,0),0)</f>
        <v>0.5</v>
      </c>
      <c r="Z21" s="66">
        <f>IF('Smart Search'!D13=1,IFERROR(1/'Smart Search'!H13,0),0)</f>
        <v>0</v>
      </c>
      <c r="AA21" s="66">
        <f>IF('Smart Search'!D13=1,IFERROR(1/'Smart Search'!H13,0),0)</f>
        <v>0</v>
      </c>
      <c r="AB21" s="66">
        <f>IF('Smart Search'!E13=1,IFERROR(1/'Smart Search'!H13,0),0)</f>
        <v>0</v>
      </c>
      <c r="AC21" s="66">
        <f>IF('Smart Search'!E13=1,IFERROR(1/'Smart Search'!H13,0),0)</f>
        <v>0</v>
      </c>
      <c r="AD21" s="66">
        <f>IF('Smart Search'!F13=1,IFERROR(1/'Smart Search'!H13,0),0)</f>
        <v>0</v>
      </c>
      <c r="AE21" s="66">
        <f>IF('Smart Search'!F13=1,IFERROR(1/'Smart Search'!H13,0),0)</f>
        <v>0</v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>0</v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>0</v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>0</v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>0</v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>0</v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>0</v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>0</v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>0</v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>0</v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>0</v>
      </c>
      <c r="AP21" s="66">
        <f t="shared" si="0"/>
        <v>0</v>
      </c>
      <c r="AQ21" s="66">
        <f t="shared" si="1"/>
        <v>0</v>
      </c>
      <c r="AR21" s="66">
        <f t="shared" si="2"/>
        <v>0</v>
      </c>
      <c r="AS21" s="66">
        <f t="shared" si="3"/>
        <v>0</v>
      </c>
      <c r="AT21" s="66">
        <f t="shared" si="4"/>
        <v>0</v>
      </c>
      <c r="AU21" s="66">
        <f t="shared" si="5"/>
        <v>0</v>
      </c>
      <c r="AV21" s="66">
        <f t="shared" si="6"/>
        <v>0</v>
      </c>
      <c r="AW21" s="66">
        <f t="shared" si="7"/>
        <v>0</v>
      </c>
      <c r="AX21" s="66">
        <f t="shared" si="8"/>
        <v>0</v>
      </c>
      <c r="AY21" s="66">
        <f t="shared" si="9"/>
        <v>0</v>
      </c>
      <c r="AZ21" s="66" t="str">
        <f>'Project Database'!Z25</f>
        <v>SRM BK25</v>
      </c>
      <c r="BA21" s="66">
        <f>IF(OR(A21="",'Smart Search'!H13=0),"",MAX(0,BE21*BF21*MAX(0,1-BG21)))</f>
        <v>0</v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>0</v>
      </c>
      <c r="BC21" s="66">
        <f>IF('Smart Search'!G13=1,IFERROR(1/'Smart Search'!H13,0),0)</f>
        <v>0</v>
      </c>
      <c r="BD21" s="66">
        <f t="shared" si="10"/>
        <v>0</v>
      </c>
      <c r="BE21" s="66">
        <f t="shared" si="11"/>
        <v>0</v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>0</v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>0.5</v>
      </c>
      <c r="BH21" s="5">
        <f>IF(AND('Project Database'!A25&lt;&gt;"",OR('Smart Search'!$L$5="",'Smart Search'!$L$5="All",TRIM('Project Database'!D25)=TRIM('Smart Search'!$L$5)),OR(TRIM('Smart Search'!$L$6)="",TRIM('Smart Search'!$L$6)="All",ISNUMBER(SEARCH(SUBSTITUTE(SUBSTITUTE(SUBSTITUTE(TRIM('Smart Search'!$L$6),"~","~~"),"*","~*"),"?","~?"),'Project Database'!C25))),OR('Smart Search'!$L$7="",AND('Project Database'!E25&lt;&gt;"",'Project Database'!E25='Smart Search'!$L$7)),OR('Smart Search'!$L$8="",'Smart Search'!$L$8="All",TRIM('Project Database'!F25)=TRIM('Smart Search'!$L$8))),IF(BA21="","",BA21+ROW()*0.0000000001),"")</f>
        <v>2.1000000000000002E-9</v>
      </c>
      <c r="BI21" s="5" t="str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 xml:space="preserve">SRM Crane, </v>
      </c>
      <c r="BJ21" s="5">
        <f>IF('Project Database'!A25="","",N('Project Database'!AC25))</f>
        <v>0.05</v>
      </c>
      <c r="BK21" s="5">
        <f>IF('Project Database'!A25="","",N('Project Database'!AD25))</f>
        <v>0.05</v>
      </c>
      <c r="BL21" s="5">
        <f>IF('Project Database'!A25="","",N('Project Database'!AE25))</f>
        <v>0.05</v>
      </c>
      <c r="BM21" s="5">
        <f>IF('Project Database'!A25="","",N('Project Database'!AF25))</f>
        <v>7.0000000000000007E-2</v>
      </c>
      <c r="BN21" s="5">
        <f>IF('Project Database'!A25="","",N('Project Database'!AG25))</f>
        <v>0.09</v>
      </c>
      <c r="BO21" s="5">
        <f>IF('Project Database'!A25="","",N('Project Database'!AH25))</f>
        <v>0.06</v>
      </c>
      <c r="BP21" s="5">
        <f>IF('Project Database'!A25="","",N('Project Database'!AI25))</f>
        <v>0.06</v>
      </c>
      <c r="BQ21" s="5">
        <f>IF('Project Database'!A25="","",N('Project Database'!AJ25))</f>
        <v>0.01</v>
      </c>
      <c r="BR21" s="5">
        <f>IF('Project Database'!A25="","",N('Project Database'!AK25))</f>
        <v>0.01</v>
      </c>
      <c r="BS21" s="5">
        <f>IF('Project Database'!A25="","",N('Project Database'!AL25))</f>
        <v>0.01</v>
      </c>
      <c r="BT21" s="5">
        <f>IF('Project Database'!A25="","",N('Project Database'!AM25))</f>
        <v>0.01</v>
      </c>
      <c r="BU21" s="5">
        <f>IF('Project Database'!A25="","",N('Project Database'!AN25))</f>
        <v>0.01</v>
      </c>
      <c r="BV21" s="5">
        <f>IF('Project Database'!A25="","",N('Project Database'!AO25))</f>
        <v>0.04</v>
      </c>
      <c r="BW21" s="5">
        <f>IF('Project Database'!A25="","",N('Project Database'!AP25))</f>
        <v>1E-3</v>
      </c>
      <c r="BX21" s="5">
        <f t="shared" si="12"/>
        <v>0.52100000000000013</v>
      </c>
      <c r="BY21" s="5">
        <f t="shared" si="13"/>
        <v>15.5</v>
      </c>
    </row>
    <row r="22" spans="1:77" ht="15" customHeight="1" x14ac:dyDescent="0.3">
      <c r="A22" s="66" t="str">
        <f>'Project Database'!A26</f>
        <v>SC22206</v>
      </c>
      <c r="B22" s="66" t="str">
        <f>'Project Database'!B26</f>
        <v>FFDC Fairprice PH1</v>
      </c>
      <c r="C22" s="66">
        <f>'Project Database'!G26</f>
        <v>250</v>
      </c>
      <c r="D22" s="66">
        <f>'Project Database'!H26</f>
        <v>120500</v>
      </c>
      <c r="E22" s="66">
        <f>'Project Database'!I26</f>
        <v>0</v>
      </c>
      <c r="F22" s="66">
        <f>'Project Database'!J26</f>
        <v>0</v>
      </c>
      <c r="G22" s="66">
        <f>'Project Database'!K26</f>
        <v>0</v>
      </c>
      <c r="H22" s="66">
        <f>'Project Database'!L26</f>
        <v>0</v>
      </c>
      <c r="I22" s="66">
        <f>'Project Database'!M26</f>
        <v>12</v>
      </c>
      <c r="J22" s="66">
        <f>'Project Database'!N26</f>
        <v>33000</v>
      </c>
      <c r="K22" s="66">
        <f>'Project Database'!O26</f>
        <v>2300</v>
      </c>
      <c r="L22" s="66">
        <f>'Project Database'!P26</f>
        <v>5000</v>
      </c>
      <c r="M22" s="66">
        <f>'Project Database'!Q26</f>
        <v>58</v>
      </c>
      <c r="N22" s="66">
        <f>'Project Database'!R26</f>
        <v>56</v>
      </c>
      <c r="O22" s="66">
        <f>'Project Database'!S26</f>
        <v>24</v>
      </c>
      <c r="P22" s="66">
        <f>'Project Database'!T26</f>
        <v>66</v>
      </c>
      <c r="Q22" s="66">
        <f>'Project Database'!U26</f>
        <v>40</v>
      </c>
      <c r="R22" s="66">
        <f>'Project Database'!V26</f>
        <v>30</v>
      </c>
      <c r="S22" s="66">
        <f>'Project Database'!W26</f>
        <v>114</v>
      </c>
      <c r="T22" s="66" t="str">
        <f>'Project Database'!X26</f>
        <v>SGD</v>
      </c>
      <c r="U22" s="67">
        <f>'Project Database'!Y26</f>
        <v>71</v>
      </c>
      <c r="V22" s="66">
        <f>IF('Smart Search'!B13=1,IFERROR(1/'Smart Search'!H13,0),0)</f>
        <v>0</v>
      </c>
      <c r="W22" s="66">
        <f>IF('Smart Search'!B13=1,IFERROR(1/'Smart Search'!H13,0),0)</f>
        <v>0</v>
      </c>
      <c r="X22" s="66">
        <f>IF('Smart Search'!C13=1,IFERROR(1/'Smart Search'!H13,0),0)</f>
        <v>0.5</v>
      </c>
      <c r="Y22" s="66">
        <f>IF('Smart Search'!C13=1,IFERROR(1/'Smart Search'!H13,0),0)</f>
        <v>0.5</v>
      </c>
      <c r="Z22" s="66">
        <f>IF('Smart Search'!D13=1,IFERROR(1/'Smart Search'!H13,0),0)</f>
        <v>0</v>
      </c>
      <c r="AA22" s="66">
        <f>IF('Smart Search'!D13=1,IFERROR(1/'Smart Search'!H13,0),0)</f>
        <v>0</v>
      </c>
      <c r="AB22" s="66">
        <f>IF('Smart Search'!E13=1,IFERROR(1/'Smart Search'!H13,0),0)</f>
        <v>0</v>
      </c>
      <c r="AC22" s="66">
        <f>IF('Smart Search'!E13=1,IFERROR(1/'Smart Search'!H13,0),0)</f>
        <v>0</v>
      </c>
      <c r="AD22" s="66">
        <f>IF('Smart Search'!F13=1,IFERROR(1/'Smart Search'!H13,0),0)</f>
        <v>0</v>
      </c>
      <c r="AE22" s="66">
        <f>IF('Smart Search'!F13=1,IFERROR(1/'Smart Search'!H13,0),0)</f>
        <v>0</v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>0</v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>0</v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>0</v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>0</v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>0</v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>0</v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>0</v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>0</v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>0</v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>0</v>
      </c>
      <c r="AP22" s="66">
        <f t="shared" si="0"/>
        <v>0</v>
      </c>
      <c r="AQ22" s="66">
        <f t="shared" si="1"/>
        <v>0</v>
      </c>
      <c r="AR22" s="66">
        <f t="shared" si="2"/>
        <v>0</v>
      </c>
      <c r="AS22" s="66">
        <f t="shared" si="3"/>
        <v>0</v>
      </c>
      <c r="AT22" s="66">
        <f t="shared" si="4"/>
        <v>0</v>
      </c>
      <c r="AU22" s="66">
        <f t="shared" si="5"/>
        <v>0</v>
      </c>
      <c r="AV22" s="66">
        <f t="shared" si="6"/>
        <v>0</v>
      </c>
      <c r="AW22" s="66">
        <f t="shared" si="7"/>
        <v>0</v>
      </c>
      <c r="AX22" s="66">
        <f t="shared" si="8"/>
        <v>0</v>
      </c>
      <c r="AY22" s="66">
        <f t="shared" si="9"/>
        <v>0</v>
      </c>
      <c r="AZ22" s="66" t="str">
        <f>'Project Database'!Z26</f>
        <v>SRM BK25 MCS DMS AMCAP MCP FMCF RGV LIFTER PALLET ELTEN SCHWINGHANDL NORIN SUZHOU MARKEM IMAJE METTLER TOLEDO</v>
      </c>
      <c r="BA22" s="66">
        <f>IF(OR(A22="",'Smart Search'!H13=0),"",MAX(0,BE22*BF22*MAX(0,1-BG22)))</f>
        <v>0</v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>0</v>
      </c>
      <c r="BC22" s="66">
        <f>IF('Smart Search'!G13=1,IFERROR(1/'Smart Search'!H13,0),0)</f>
        <v>0</v>
      </c>
      <c r="BD22" s="66">
        <f t="shared" si="10"/>
        <v>0</v>
      </c>
      <c r="BE22" s="66">
        <f t="shared" si="11"/>
        <v>0</v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>0</v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>0.75</v>
      </c>
      <c r="BH22" s="5">
        <f>IF(AND('Project Database'!A26&lt;&gt;"",OR('Smart Search'!$L$5="",'Smart Search'!$L$5="All",TRIM('Project Database'!D26)=TRIM('Smart Search'!$L$5)),OR(TRIM('Smart Search'!$L$6)="",TRIM('Smart Search'!$L$6)="All",ISNUMBER(SEARCH(SUBSTITUTE(SUBSTITUTE(SUBSTITUTE(TRIM('Smart Search'!$L$6),"~","~~"),"*","~*"),"?","~?"),'Project Database'!C26))),OR('Smart Search'!$L$7="",AND('Project Database'!E26&lt;&gt;"",'Project Database'!E26='Smart Search'!$L$7)),OR('Smart Search'!$L$8="",'Smart Search'!$L$8="All",TRIM('Project Database'!F26)=TRIM('Smart Search'!$L$8))),IF(BA22="","",BA22+ROW()*0.0000000001),"")</f>
        <v>2.2000000000000003E-9</v>
      </c>
      <c r="BI22" s="5" t="str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 xml:space="preserve">Multishuttle, SRM Crane, </v>
      </c>
      <c r="BJ22" s="5">
        <f>IF('Project Database'!A26="","",N('Project Database'!AC26))</f>
        <v>0</v>
      </c>
      <c r="BK22" s="5">
        <f>IF('Project Database'!A26="","",N('Project Database'!AD26))</f>
        <v>0</v>
      </c>
      <c r="BL22" s="5">
        <f>IF('Project Database'!A26="","",N('Project Database'!AE26))</f>
        <v>0</v>
      </c>
      <c r="BM22" s="5">
        <f>IF('Project Database'!A26="","",N('Project Database'!AF26))</f>
        <v>0</v>
      </c>
      <c r="BN22" s="5">
        <f>IF('Project Database'!A26="","",N('Project Database'!AG26))</f>
        <v>0</v>
      </c>
      <c r="BO22" s="5">
        <f>IF('Project Database'!A26="","",N('Project Database'!AH26))</f>
        <v>0</v>
      </c>
      <c r="BP22" s="5">
        <f>IF('Project Database'!A26="","",N('Project Database'!AI26))</f>
        <v>0</v>
      </c>
      <c r="BQ22" s="5">
        <f>IF('Project Database'!A26="","",N('Project Database'!AJ26))</f>
        <v>0</v>
      </c>
      <c r="BR22" s="5">
        <f>IF('Project Database'!A26="","",N('Project Database'!AK26))</f>
        <v>0</v>
      </c>
      <c r="BS22" s="5">
        <f>IF('Project Database'!A26="","",N('Project Database'!AL26))</f>
        <v>0</v>
      </c>
      <c r="BT22" s="5">
        <f>IF('Project Database'!A26="","",N('Project Database'!AM26))</f>
        <v>0</v>
      </c>
      <c r="BU22" s="5">
        <f>IF('Project Database'!A26="","",N('Project Database'!AN26))</f>
        <v>0</v>
      </c>
      <c r="BV22" s="5">
        <f>IF('Project Database'!A26="","",N('Project Database'!AO26))</f>
        <v>0</v>
      </c>
      <c r="BW22" s="5">
        <f>IF('Project Database'!A26="","",N('Project Database'!AP26))</f>
        <v>0</v>
      </c>
      <c r="BX22" s="5">
        <f t="shared" si="12"/>
        <v>0</v>
      </c>
      <c r="BY22" s="5">
        <f t="shared" si="13"/>
        <v>71</v>
      </c>
    </row>
    <row r="23" spans="1:77" ht="15" customHeight="1" x14ac:dyDescent="0.3">
      <c r="A23" s="66" t="str">
        <f>'Project Database'!A27</f>
        <v>SW31186</v>
      </c>
      <c r="B23" s="66" t="str">
        <f>'Project Database'!B27</f>
        <v>Gudang Garam H</v>
      </c>
      <c r="C23" s="66">
        <f>'Project Database'!G27</f>
        <v>0</v>
      </c>
      <c r="D23" s="66">
        <f>'Project Database'!H27</f>
        <v>0</v>
      </c>
      <c r="E23" s="66">
        <f>'Project Database'!I27</f>
        <v>0</v>
      </c>
      <c r="F23" s="66">
        <f>'Project Database'!J27</f>
        <v>0</v>
      </c>
      <c r="G23" s="66">
        <f>'Project Database'!K27</f>
        <v>0</v>
      </c>
      <c r="H23" s="66">
        <f>'Project Database'!L27</f>
        <v>0</v>
      </c>
      <c r="I23" s="66">
        <f>'Project Database'!M27</f>
        <v>3</v>
      </c>
      <c r="J23" s="66">
        <f>'Project Database'!N27</f>
        <v>75000</v>
      </c>
      <c r="K23" s="66">
        <f>'Project Database'!O27</f>
        <v>0</v>
      </c>
      <c r="L23" s="66">
        <f>'Project Database'!P27</f>
        <v>100</v>
      </c>
      <c r="M23" s="66">
        <f>'Project Database'!Q27</f>
        <v>28</v>
      </c>
      <c r="N23" s="66">
        <f>'Project Database'!R27</f>
        <v>24</v>
      </c>
      <c r="O23" s="66">
        <f>'Project Database'!S27</f>
        <v>4</v>
      </c>
      <c r="P23" s="66">
        <f>'Project Database'!T27</f>
        <v>24</v>
      </c>
      <c r="Q23" s="66">
        <f>'Project Database'!U27</f>
        <v>28</v>
      </c>
      <c r="R23" s="66">
        <f>'Project Database'!V27</f>
        <v>12</v>
      </c>
      <c r="S23" s="66">
        <f>'Project Database'!W27</f>
        <v>52</v>
      </c>
      <c r="T23" s="66" t="str">
        <f>'Project Database'!X27</f>
        <v>EUR</v>
      </c>
      <c r="U23" s="67">
        <f>'Project Database'!Y27</f>
        <v>11.7</v>
      </c>
      <c r="V23" s="66">
        <f>IF('Smart Search'!B13=1,IFERROR(1/'Smart Search'!H13,0),0)</f>
        <v>0</v>
      </c>
      <c r="W23" s="66">
        <f>IF('Smart Search'!B13=1,IFERROR(1/'Smart Search'!H13,0),0)</f>
        <v>0</v>
      </c>
      <c r="X23" s="66">
        <f>IF('Smart Search'!C13=1,IFERROR(1/'Smart Search'!H13,0),0)</f>
        <v>0.5</v>
      </c>
      <c r="Y23" s="66">
        <f>IF('Smart Search'!C13=1,IFERROR(1/'Smart Search'!H13,0),0)</f>
        <v>0.5</v>
      </c>
      <c r="Z23" s="66">
        <f>IF('Smart Search'!D13=1,IFERROR(1/'Smart Search'!H13,0),0)</f>
        <v>0</v>
      </c>
      <c r="AA23" s="66">
        <f>IF('Smart Search'!D13=1,IFERROR(1/'Smart Search'!H13,0),0)</f>
        <v>0</v>
      </c>
      <c r="AB23" s="66">
        <f>IF('Smart Search'!E13=1,IFERROR(1/'Smart Search'!H13,0),0)</f>
        <v>0</v>
      </c>
      <c r="AC23" s="66">
        <f>IF('Smart Search'!E13=1,IFERROR(1/'Smart Search'!H13,0),0)</f>
        <v>0</v>
      </c>
      <c r="AD23" s="66">
        <f>IF('Smart Search'!F13=1,IFERROR(1/'Smart Search'!H13,0),0)</f>
        <v>0</v>
      </c>
      <c r="AE23" s="66">
        <f>IF('Smart Search'!F13=1,IFERROR(1/'Smart Search'!H13,0),0)</f>
        <v>0</v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>0</v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>0</v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>0</v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>0</v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>0</v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>0</v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>0</v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>0</v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>0</v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>0</v>
      </c>
      <c r="AP23" s="66">
        <f t="shared" si="0"/>
        <v>0</v>
      </c>
      <c r="AQ23" s="66">
        <f t="shared" si="1"/>
        <v>0</v>
      </c>
      <c r="AR23" s="66">
        <f t="shared" si="2"/>
        <v>0</v>
      </c>
      <c r="AS23" s="66">
        <f t="shared" si="3"/>
        <v>0</v>
      </c>
      <c r="AT23" s="66">
        <f t="shared" si="4"/>
        <v>0</v>
      </c>
      <c r="AU23" s="66">
        <f t="shared" si="5"/>
        <v>0</v>
      </c>
      <c r="AV23" s="66">
        <f t="shared" si="6"/>
        <v>0</v>
      </c>
      <c r="AW23" s="66">
        <f t="shared" si="7"/>
        <v>0</v>
      </c>
      <c r="AX23" s="66">
        <f t="shared" si="8"/>
        <v>0</v>
      </c>
      <c r="AY23" s="66">
        <f t="shared" si="9"/>
        <v>0</v>
      </c>
      <c r="AZ23" s="66" t="str">
        <f>'Project Database'!Z27</f>
        <v>SRM BK25 Shuttlecar</v>
      </c>
      <c r="BA23" s="66">
        <f>IF(OR(A23="",'Smart Search'!H13=0),"",MAX(0,BE23*BF23*MAX(0,1-BG23)))</f>
        <v>0</v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>0</v>
      </c>
      <c r="BC23" s="66">
        <f>IF('Smart Search'!G13=1,IFERROR(1/'Smart Search'!H13,0),0)</f>
        <v>0</v>
      </c>
      <c r="BD23" s="66">
        <f t="shared" si="10"/>
        <v>0</v>
      </c>
      <c r="BE23" s="66">
        <f t="shared" si="11"/>
        <v>0</v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>0</v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>0.5</v>
      </c>
      <c r="BH23" s="5">
        <f>IF(AND('Project Database'!A27&lt;&gt;"",OR('Smart Search'!$L$5="",'Smart Search'!$L$5="All",TRIM('Project Database'!D27)=TRIM('Smart Search'!$L$5)),OR(TRIM('Smart Search'!$L$6)="",TRIM('Smart Search'!$L$6)="All",ISNUMBER(SEARCH(SUBSTITUTE(SUBSTITUTE(SUBSTITUTE(TRIM('Smart Search'!$L$6),"~","~~"),"*","~*"),"?","~?"),'Project Database'!C27))),OR('Smart Search'!$L$7="",AND('Project Database'!E27&lt;&gt;"",'Project Database'!E27='Smart Search'!$L$7)),OR('Smart Search'!$L$8="",'Smart Search'!$L$8="All",TRIM('Project Database'!F27)=TRIM('Smart Search'!$L$8))),IF(BA23="","",BA23+ROW()*0.0000000001),"")</f>
        <v>2.2999999999999999E-9</v>
      </c>
      <c r="BI23" s="5" t="str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 xml:space="preserve">SRM Crane, </v>
      </c>
      <c r="BJ23" s="5">
        <f>IF('Project Database'!A27="","",N('Project Database'!AC27))</f>
        <v>0</v>
      </c>
      <c r="BK23" s="5">
        <f>IF('Project Database'!A27="","",N('Project Database'!AD27))</f>
        <v>0</v>
      </c>
      <c r="BL23" s="5">
        <f>IF('Project Database'!A27="","",N('Project Database'!AE27))</f>
        <v>0</v>
      </c>
      <c r="BM23" s="5">
        <f>IF('Project Database'!A27="","",N('Project Database'!AF27))</f>
        <v>0</v>
      </c>
      <c r="BN23" s="5">
        <f>IF('Project Database'!A27="","",N('Project Database'!AG27))</f>
        <v>0</v>
      </c>
      <c r="BO23" s="5">
        <f>IF('Project Database'!A27="","",N('Project Database'!AH27))</f>
        <v>0</v>
      </c>
      <c r="BP23" s="5">
        <f>IF('Project Database'!A27="","",N('Project Database'!AI27))</f>
        <v>0</v>
      </c>
      <c r="BQ23" s="5">
        <f>IF('Project Database'!A27="","",N('Project Database'!AJ27))</f>
        <v>0</v>
      </c>
      <c r="BR23" s="5">
        <f>IF('Project Database'!A27="","",N('Project Database'!AK27))</f>
        <v>0</v>
      </c>
      <c r="BS23" s="5">
        <f>IF('Project Database'!A27="","",N('Project Database'!AL27))</f>
        <v>0</v>
      </c>
      <c r="BT23" s="5">
        <f>IF('Project Database'!A27="","",N('Project Database'!AM27))</f>
        <v>0</v>
      </c>
      <c r="BU23" s="5">
        <f>IF('Project Database'!A27="","",N('Project Database'!AN27))</f>
        <v>0</v>
      </c>
      <c r="BV23" s="5">
        <f>IF('Project Database'!A27="","",N('Project Database'!AO27))</f>
        <v>0</v>
      </c>
      <c r="BW23" s="5">
        <f>IF('Project Database'!A27="","",N('Project Database'!AP27))</f>
        <v>0</v>
      </c>
      <c r="BX23" s="5">
        <f t="shared" si="12"/>
        <v>0</v>
      </c>
      <c r="BY23" s="5">
        <f t="shared" si="13"/>
        <v>11.7</v>
      </c>
    </row>
    <row r="24" spans="1:77" ht="15" customHeight="1" x14ac:dyDescent="0.3">
      <c r="A24" s="66" t="str">
        <f>'Project Database'!A28</f>
        <v>SC22167</v>
      </c>
      <c r="B24" s="66" t="str">
        <f>'Project Database'!B28</f>
        <v>Jabil Autostore</v>
      </c>
      <c r="C24" s="66">
        <f>'Project Database'!G28</f>
        <v>0</v>
      </c>
      <c r="D24" s="66">
        <f>'Project Database'!H28</f>
        <v>0</v>
      </c>
      <c r="E24" s="66">
        <f>'Project Database'!I28</f>
        <v>4</v>
      </c>
      <c r="F24" s="66">
        <f>'Project Database'!J28</f>
        <v>6700</v>
      </c>
      <c r="G24" s="66">
        <f>'Project Database'!K28</f>
        <v>0</v>
      </c>
      <c r="H24" s="66">
        <f>'Project Database'!L28</f>
        <v>0</v>
      </c>
      <c r="I24" s="66">
        <f>'Project Database'!M28</f>
        <v>0</v>
      </c>
      <c r="J24" s="66">
        <f>'Project Database'!N28</f>
        <v>0</v>
      </c>
      <c r="K24" s="66">
        <f>'Project Database'!O28</f>
        <v>0</v>
      </c>
      <c r="L24" s="66">
        <f>'Project Database'!P28</f>
        <v>0</v>
      </c>
      <c r="M24" s="66">
        <f>'Project Database'!Q28</f>
        <v>21</v>
      </c>
      <c r="N24" s="66">
        <f>'Project Database'!R28</f>
        <v>2</v>
      </c>
      <c r="O24" s="66">
        <f>'Project Database'!S28</f>
        <v>2</v>
      </c>
      <c r="P24" s="66">
        <f>'Project Database'!T28</f>
        <v>18</v>
      </c>
      <c r="Q24" s="66">
        <f>'Project Database'!U28</f>
        <v>7</v>
      </c>
      <c r="R24" s="66">
        <f>'Project Database'!V28</f>
        <v>4</v>
      </c>
      <c r="S24" s="66">
        <f>'Project Database'!W28</f>
        <v>24</v>
      </c>
      <c r="T24" s="66" t="str">
        <f>'Project Database'!X28</f>
        <v>USD</v>
      </c>
      <c r="U24" s="67">
        <f>'Project Database'!Y28</f>
        <v>1</v>
      </c>
      <c r="V24" s="66">
        <f>IF('Smart Search'!B13=1,IFERROR(1/'Smart Search'!H13,0),0)</f>
        <v>0</v>
      </c>
      <c r="W24" s="66">
        <f>IF('Smart Search'!B13=1,IFERROR(1/'Smart Search'!H13,0),0)</f>
        <v>0</v>
      </c>
      <c r="X24" s="66">
        <f>IF('Smart Search'!C13=1,IFERROR(1/'Smart Search'!H13,0),0)</f>
        <v>0.5</v>
      </c>
      <c r="Y24" s="66">
        <f>IF('Smart Search'!C13=1,IFERROR(1/'Smart Search'!H13,0),0)</f>
        <v>0.5</v>
      </c>
      <c r="Z24" s="66">
        <f>IF('Smart Search'!D13=1,IFERROR(1/'Smart Search'!H13,0),0)</f>
        <v>0</v>
      </c>
      <c r="AA24" s="66">
        <f>IF('Smart Search'!D13=1,IFERROR(1/'Smart Search'!H13,0),0)</f>
        <v>0</v>
      </c>
      <c r="AB24" s="66">
        <f>IF('Smart Search'!E13=1,IFERROR(1/'Smart Search'!H13,0),0)</f>
        <v>0</v>
      </c>
      <c r="AC24" s="66">
        <f>IF('Smart Search'!E13=1,IFERROR(1/'Smart Search'!H13,0),0)</f>
        <v>0</v>
      </c>
      <c r="AD24" s="66">
        <f>IF('Smart Search'!F13=1,IFERROR(1/'Smart Search'!H13,0),0)</f>
        <v>0</v>
      </c>
      <c r="AE24" s="66">
        <f>IF('Smart Search'!F13=1,IFERROR(1/'Smart Search'!H13,0),0)</f>
        <v>0</v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>0</v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>0</v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>0.19999999999999996</v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>0.66999999999999993</v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>0</v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>0</v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>0</v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>0</v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>0</v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>0</v>
      </c>
      <c r="AP24" s="66">
        <f t="shared" si="0"/>
        <v>0</v>
      </c>
      <c r="AQ24" s="66">
        <f t="shared" si="1"/>
        <v>0</v>
      </c>
      <c r="AR24" s="66">
        <f t="shared" si="2"/>
        <v>9.9999999999999978E-2</v>
      </c>
      <c r="AS24" s="66">
        <f t="shared" si="3"/>
        <v>0.33499999999999996</v>
      </c>
      <c r="AT24" s="66">
        <f t="shared" si="4"/>
        <v>0</v>
      </c>
      <c r="AU24" s="66">
        <f t="shared" si="5"/>
        <v>0</v>
      </c>
      <c r="AV24" s="66">
        <f t="shared" si="6"/>
        <v>0</v>
      </c>
      <c r="AW24" s="66">
        <f t="shared" si="7"/>
        <v>0</v>
      </c>
      <c r="AX24" s="66">
        <f t="shared" si="8"/>
        <v>0</v>
      </c>
      <c r="AY24" s="66">
        <f t="shared" si="9"/>
        <v>0</v>
      </c>
      <c r="AZ24" s="66" t="str">
        <f>'Project Database'!Z28</f>
        <v>Autostore</v>
      </c>
      <c r="BA24" s="66">
        <f>IF(OR(A24="",'Smart Search'!H13=0),"",MAX(0,BE24*BF24*MAX(0,1-BG24)))</f>
        <v>0.43499999999999994</v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>0</v>
      </c>
      <c r="BC24" s="66">
        <f>IF('Smart Search'!G13=1,IFERROR(1/'Smart Search'!H13,0),0)</f>
        <v>0</v>
      </c>
      <c r="BD24" s="66">
        <f t="shared" si="10"/>
        <v>0</v>
      </c>
      <c r="BE24" s="66">
        <f t="shared" si="11"/>
        <v>0.43499999999999994</v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>1</v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>0</v>
      </c>
      <c r="BH24" s="5">
        <f>IF(AND('Project Database'!A28&lt;&gt;"",OR('Smart Search'!$L$5="",'Smart Search'!$L$5="All",TRIM('Project Database'!D28)=TRIM('Smart Search'!$L$5)),OR(TRIM('Smart Search'!$L$6)="",TRIM('Smart Search'!$L$6)="All",ISNUMBER(SEARCH(SUBSTITUTE(SUBSTITUTE(SUBSTITUTE(TRIM('Smart Search'!$L$6),"~","~~"),"*","~*"),"?","~?"),'Project Database'!C28))),OR('Smart Search'!$L$7="",AND('Project Database'!E28&lt;&gt;"",'Project Database'!E28='Smart Search'!$L$7)),OR('Smart Search'!$L$8="",'Smart Search'!$L$8="All",TRIM('Project Database'!F28)=TRIM('Smart Search'!$L$8))),IF(BA24="","",BA24+ROW()*0.0000000001),"")</f>
        <v>0.43500000239999992</v>
      </c>
      <c r="BI24" s="5" t="str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IF('Project Database'!A28="","",N('Project Database'!AC28))</f>
        <v>0</v>
      </c>
      <c r="BK24" s="5">
        <f>IF('Project Database'!A28="","",N('Project Database'!AD28))</f>
        <v>0</v>
      </c>
      <c r="BL24" s="5">
        <f>IF('Project Database'!A28="","",N('Project Database'!AE28))</f>
        <v>0</v>
      </c>
      <c r="BM24" s="5">
        <f>IF('Project Database'!A28="","",N('Project Database'!AF28))</f>
        <v>0</v>
      </c>
      <c r="BN24" s="5">
        <f>IF('Project Database'!A28="","",N('Project Database'!AG28))</f>
        <v>0</v>
      </c>
      <c r="BO24" s="5">
        <f>IF('Project Database'!A28="","",N('Project Database'!AH28))</f>
        <v>0</v>
      </c>
      <c r="BP24" s="5">
        <f>IF('Project Database'!A28="","",N('Project Database'!AI28))</f>
        <v>0</v>
      </c>
      <c r="BQ24" s="5">
        <f>IF('Project Database'!A28="","",N('Project Database'!AJ28))</f>
        <v>0</v>
      </c>
      <c r="BR24" s="5">
        <f>IF('Project Database'!A28="","",N('Project Database'!AK28))</f>
        <v>0</v>
      </c>
      <c r="BS24" s="5">
        <f>IF('Project Database'!A28="","",N('Project Database'!AL28))</f>
        <v>0</v>
      </c>
      <c r="BT24" s="5">
        <f>IF('Project Database'!A28="","",N('Project Database'!AM28))</f>
        <v>0</v>
      </c>
      <c r="BU24" s="5">
        <f>IF('Project Database'!A28="","",N('Project Database'!AN28))</f>
        <v>0</v>
      </c>
      <c r="BV24" s="5">
        <f>IF('Project Database'!A28="","",N('Project Database'!AO28))</f>
        <v>0</v>
      </c>
      <c r="BW24" s="5">
        <f>IF('Project Database'!A28="","",N('Project Database'!AP28))</f>
        <v>0</v>
      </c>
      <c r="BX24" s="5">
        <f t="shared" si="12"/>
        <v>0</v>
      </c>
      <c r="BY24" s="5">
        <f t="shared" si="13"/>
        <v>1</v>
      </c>
    </row>
    <row r="25" spans="1:77" ht="15" customHeight="1" x14ac:dyDescent="0.3">
      <c r="A25" s="66" t="str">
        <f>'Project Database'!A29</f>
        <v>SW31240</v>
      </c>
      <c r="B25" s="66" t="str">
        <f>'Project Database'!B29</f>
        <v>CJ iHerb</v>
      </c>
      <c r="C25" s="66">
        <f>'Project Database'!G29</f>
        <v>0</v>
      </c>
      <c r="D25" s="66">
        <f>'Project Database'!H29</f>
        <v>0</v>
      </c>
      <c r="E25" s="66">
        <f>'Project Database'!I29</f>
        <v>140</v>
      </c>
      <c r="F25" s="66">
        <f>'Project Database'!J29</f>
        <v>93000</v>
      </c>
      <c r="G25" s="66">
        <f>'Project Database'!K29</f>
        <v>0</v>
      </c>
      <c r="H25" s="66">
        <f>'Project Database'!L29</f>
        <v>0</v>
      </c>
      <c r="I25" s="66">
        <f>'Project Database'!M29</f>
        <v>0</v>
      </c>
      <c r="J25" s="66">
        <f>'Project Database'!N29</f>
        <v>0</v>
      </c>
      <c r="K25" s="66">
        <f>'Project Database'!O29</f>
        <v>80</v>
      </c>
      <c r="L25" s="66">
        <f>'Project Database'!P29</f>
        <v>0</v>
      </c>
      <c r="M25" s="66">
        <f>'Project Database'!Q29</f>
        <v>23</v>
      </c>
      <c r="N25" s="66">
        <f>'Project Database'!R29</f>
        <v>10</v>
      </c>
      <c r="O25" s="66">
        <f>'Project Database'!S29</f>
        <v>13</v>
      </c>
      <c r="P25" s="66">
        <f>'Project Database'!T29</f>
        <v>20</v>
      </c>
      <c r="Q25" s="66">
        <f>'Project Database'!U29</f>
        <v>9</v>
      </c>
      <c r="R25" s="66">
        <f>'Project Database'!V29</f>
        <v>12</v>
      </c>
      <c r="S25" s="66">
        <f>'Project Database'!W29</f>
        <v>38</v>
      </c>
      <c r="T25" s="66" t="str">
        <f>'Project Database'!X29</f>
        <v>USD</v>
      </c>
      <c r="U25" s="67">
        <f>'Project Database'!Y29</f>
        <v>10.3</v>
      </c>
      <c r="V25" s="66">
        <f>IF('Smart Search'!B13=1,IFERROR(1/'Smart Search'!H13,0),0)</f>
        <v>0</v>
      </c>
      <c r="W25" s="66">
        <f>IF('Smart Search'!B13=1,IFERROR(1/'Smart Search'!H13,0),0)</f>
        <v>0</v>
      </c>
      <c r="X25" s="66">
        <f>IF('Smart Search'!C13=1,IFERROR(1/'Smart Search'!H13,0),0)</f>
        <v>0.5</v>
      </c>
      <c r="Y25" s="66">
        <f>IF('Smart Search'!C13=1,IFERROR(1/'Smart Search'!H13,0),0)</f>
        <v>0.5</v>
      </c>
      <c r="Z25" s="66">
        <f>IF('Smart Search'!D13=1,IFERROR(1/'Smart Search'!H13,0),0)</f>
        <v>0</v>
      </c>
      <c r="AA25" s="66">
        <f>IF('Smart Search'!D13=1,IFERROR(1/'Smart Search'!H13,0),0)</f>
        <v>0</v>
      </c>
      <c r="AB25" s="66">
        <f>IF('Smart Search'!E13=1,IFERROR(1/'Smart Search'!H13,0),0)</f>
        <v>0</v>
      </c>
      <c r="AC25" s="66">
        <f>IF('Smart Search'!E13=1,IFERROR(1/'Smart Search'!H13,0),0)</f>
        <v>0</v>
      </c>
      <c r="AD25" s="66">
        <f>IF('Smart Search'!F13=1,IFERROR(1/'Smart Search'!H13,0),0)</f>
        <v>0</v>
      </c>
      <c r="AE25" s="66">
        <f>IF('Smart Search'!F13=1,IFERROR(1/'Smart Search'!H13,0),0)</f>
        <v>0</v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>0</v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>0</v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>0.1428571428571429</v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>0.10752688172043012</v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>0</v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>0</v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>0</v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>0</v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>0</v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>0</v>
      </c>
      <c r="AP25" s="66">
        <f t="shared" si="0"/>
        <v>0</v>
      </c>
      <c r="AQ25" s="66">
        <f t="shared" si="1"/>
        <v>0</v>
      </c>
      <c r="AR25" s="66">
        <f t="shared" si="2"/>
        <v>7.1428571428571452E-2</v>
      </c>
      <c r="AS25" s="66">
        <f t="shared" si="3"/>
        <v>5.3763440860215062E-2</v>
      </c>
      <c r="AT25" s="66">
        <f t="shared" si="4"/>
        <v>0</v>
      </c>
      <c r="AU25" s="66">
        <f t="shared" si="5"/>
        <v>0</v>
      </c>
      <c r="AV25" s="66">
        <f t="shared" si="6"/>
        <v>0</v>
      </c>
      <c r="AW25" s="66">
        <f t="shared" si="7"/>
        <v>0</v>
      </c>
      <c r="AX25" s="66">
        <f t="shared" si="8"/>
        <v>0</v>
      </c>
      <c r="AY25" s="66">
        <f t="shared" si="9"/>
        <v>0</v>
      </c>
      <c r="AZ25" s="66" t="str">
        <f>'Project Database'!Z29</f>
        <v>Autostore MCS</v>
      </c>
      <c r="BA25" s="66">
        <f>IF(OR(A25="",'Smart Search'!H13=0),"",MAX(0,BE25*BF25*MAX(0,1-BG25)))</f>
        <v>9.3894009216589885E-2</v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>0</v>
      </c>
      <c r="BC25" s="66">
        <f>IF('Smart Search'!G13=1,IFERROR(1/'Smart Search'!H13,0),0)</f>
        <v>0</v>
      </c>
      <c r="BD25" s="66">
        <f t="shared" si="10"/>
        <v>0</v>
      </c>
      <c r="BE25" s="66">
        <f t="shared" si="11"/>
        <v>0.12519201228878651</v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>1</v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>0.25</v>
      </c>
      <c r="BH25" s="5">
        <f>IF(AND('Project Database'!A29&lt;&gt;"",OR('Smart Search'!$L$5="",'Smart Search'!$L$5="All",TRIM('Project Database'!D29)=TRIM('Smart Search'!$L$5)),OR(TRIM('Smart Search'!$L$6)="",TRIM('Smart Search'!$L$6)="All",ISNUMBER(SEARCH(SUBSTITUTE(SUBSTITUTE(SUBSTITUTE(TRIM('Smart Search'!$L$6),"~","~~"),"*","~*"),"?","~?"),'Project Database'!C29))),OR('Smart Search'!$L$7="",AND('Project Database'!E29&lt;&gt;"",'Project Database'!E29='Smart Search'!$L$7)),OR('Smart Search'!$L$8="",'Smart Search'!$L$8="All",TRIM('Project Database'!F29)=TRIM('Smart Search'!$L$8))),IF(BA25="","",BA25+ROW()*0.0000000001),"")</f>
        <v>9.3894011716589884E-2</v>
      </c>
      <c r="BI25" s="5" t="str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IF('Project Database'!A29="","",N('Project Database'!AC29))</f>
        <v>0</v>
      </c>
      <c r="BK25" s="5">
        <f>IF('Project Database'!A29="","",N('Project Database'!AD29))</f>
        <v>0</v>
      </c>
      <c r="BL25" s="5">
        <f>IF('Project Database'!A29="","",N('Project Database'!AE29))</f>
        <v>0</v>
      </c>
      <c r="BM25" s="5">
        <f>IF('Project Database'!A29="","",N('Project Database'!AF29))</f>
        <v>0</v>
      </c>
      <c r="BN25" s="5">
        <f>IF('Project Database'!A29="","",N('Project Database'!AG29))</f>
        <v>0</v>
      </c>
      <c r="BO25" s="5">
        <f>IF('Project Database'!A29="","",N('Project Database'!AH29))</f>
        <v>0</v>
      </c>
      <c r="BP25" s="5">
        <f>IF('Project Database'!A29="","",N('Project Database'!AI29))</f>
        <v>0</v>
      </c>
      <c r="BQ25" s="5">
        <f>IF('Project Database'!A29="","",N('Project Database'!AJ29))</f>
        <v>0</v>
      </c>
      <c r="BR25" s="5">
        <f>IF('Project Database'!A29="","",N('Project Database'!AK29))</f>
        <v>0</v>
      </c>
      <c r="BS25" s="5">
        <f>IF('Project Database'!A29="","",N('Project Database'!AL29))</f>
        <v>0</v>
      </c>
      <c r="BT25" s="5">
        <f>IF('Project Database'!A29="","",N('Project Database'!AM29))</f>
        <v>0</v>
      </c>
      <c r="BU25" s="5">
        <f>IF('Project Database'!A29="","",N('Project Database'!AN29))</f>
        <v>0</v>
      </c>
      <c r="BV25" s="5">
        <f>IF('Project Database'!A29="","",N('Project Database'!AO29))</f>
        <v>0</v>
      </c>
      <c r="BW25" s="5">
        <f>IF('Project Database'!A29="","",N('Project Database'!AP29))</f>
        <v>0</v>
      </c>
      <c r="BX25" s="5">
        <f t="shared" si="12"/>
        <v>0</v>
      </c>
      <c r="BY25" s="5">
        <f t="shared" si="13"/>
        <v>10.3</v>
      </c>
    </row>
    <row r="26" spans="1:77" ht="15" customHeight="1" x14ac:dyDescent="0.3">
      <c r="A26" s="66" t="str">
        <f>'Project Database'!A30</f>
        <v>SC22204</v>
      </c>
      <c r="B26" s="66" t="str">
        <f>'Project Database'!B30</f>
        <v>Coupang Autostore</v>
      </c>
      <c r="C26" s="66">
        <f>'Project Database'!G30</f>
        <v>0</v>
      </c>
      <c r="D26" s="66">
        <f>'Project Database'!H30</f>
        <v>0</v>
      </c>
      <c r="E26" s="66">
        <f>'Project Database'!I30</f>
        <v>500</v>
      </c>
      <c r="F26" s="66">
        <f>'Project Database'!J30</f>
        <v>200000</v>
      </c>
      <c r="G26" s="66">
        <f>'Project Database'!K30</f>
        <v>0</v>
      </c>
      <c r="H26" s="66">
        <f>'Project Database'!L30</f>
        <v>0</v>
      </c>
      <c r="I26" s="66">
        <f>'Project Database'!M30</f>
        <v>0</v>
      </c>
      <c r="J26" s="66">
        <f>'Project Database'!N30</f>
        <v>0</v>
      </c>
      <c r="K26" s="66">
        <f>'Project Database'!O30</f>
        <v>0</v>
      </c>
      <c r="L26" s="66">
        <f>'Project Database'!P30</f>
        <v>0</v>
      </c>
      <c r="M26" s="66">
        <f>'Project Database'!Q30</f>
        <v>16</v>
      </c>
      <c r="N26" s="66">
        <f>'Project Database'!R30</f>
        <v>7</v>
      </c>
      <c r="O26" s="66">
        <f>'Project Database'!S30</f>
        <v>7</v>
      </c>
      <c r="P26" s="66">
        <f>'Project Database'!T30</f>
        <v>29</v>
      </c>
      <c r="Q26" s="66">
        <f>'Project Database'!U30</f>
        <v>12</v>
      </c>
      <c r="R26" s="66">
        <f>'Project Database'!V30</f>
        <v>17</v>
      </c>
      <c r="S26" s="66">
        <f>'Project Database'!W30</f>
        <v>46</v>
      </c>
      <c r="T26" s="66" t="str">
        <f>'Project Database'!X30</f>
        <v>USD</v>
      </c>
      <c r="U26" s="67">
        <f>'Project Database'!Y30</f>
        <v>9.2200000000000006</v>
      </c>
      <c r="V26" s="66">
        <f>IF('Smart Search'!B13=1,IFERROR(1/'Smart Search'!H13,0),0)</f>
        <v>0</v>
      </c>
      <c r="W26" s="66">
        <f>IF('Smart Search'!B13=1,IFERROR(1/'Smart Search'!H13,0),0)</f>
        <v>0</v>
      </c>
      <c r="X26" s="66">
        <f>IF('Smart Search'!C13=1,IFERROR(1/'Smart Search'!H13,0),0)</f>
        <v>0.5</v>
      </c>
      <c r="Y26" s="66">
        <f>IF('Smart Search'!C13=1,IFERROR(1/'Smart Search'!H13,0),0)</f>
        <v>0.5</v>
      </c>
      <c r="Z26" s="66">
        <f>IF('Smart Search'!D13=1,IFERROR(1/'Smart Search'!H13,0),0)</f>
        <v>0</v>
      </c>
      <c r="AA26" s="66">
        <f>IF('Smart Search'!D13=1,IFERROR(1/'Smart Search'!H13,0),0)</f>
        <v>0</v>
      </c>
      <c r="AB26" s="66">
        <f>IF('Smart Search'!E13=1,IFERROR(1/'Smart Search'!H13,0),0)</f>
        <v>0</v>
      </c>
      <c r="AC26" s="66">
        <f>IF('Smart Search'!E13=1,IFERROR(1/'Smart Search'!H13,0),0)</f>
        <v>0</v>
      </c>
      <c r="AD26" s="66">
        <f>IF('Smart Search'!F13=1,IFERROR(1/'Smart Search'!H13,0),0)</f>
        <v>0</v>
      </c>
      <c r="AE26" s="66">
        <f>IF('Smart Search'!F13=1,IFERROR(1/'Smart Search'!H13,0),0)</f>
        <v>0</v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>0</v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>0</v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>4.0000000000000036E-2</v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>5.0000000000000044E-2</v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>0</v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>0</v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>0</v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>0</v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>0</v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>0</v>
      </c>
      <c r="AP26" s="66">
        <f t="shared" si="0"/>
        <v>0</v>
      </c>
      <c r="AQ26" s="66">
        <f t="shared" si="1"/>
        <v>0</v>
      </c>
      <c r="AR26" s="66">
        <f t="shared" si="2"/>
        <v>2.0000000000000018E-2</v>
      </c>
      <c r="AS26" s="66">
        <f t="shared" si="3"/>
        <v>2.5000000000000022E-2</v>
      </c>
      <c r="AT26" s="66">
        <f t="shared" si="4"/>
        <v>0</v>
      </c>
      <c r="AU26" s="66">
        <f t="shared" si="5"/>
        <v>0</v>
      </c>
      <c r="AV26" s="66">
        <f t="shared" si="6"/>
        <v>0</v>
      </c>
      <c r="AW26" s="66">
        <f t="shared" si="7"/>
        <v>0</v>
      </c>
      <c r="AX26" s="66">
        <f t="shared" si="8"/>
        <v>0</v>
      </c>
      <c r="AY26" s="66">
        <f t="shared" si="9"/>
        <v>0</v>
      </c>
      <c r="AZ26" s="66" t="str">
        <f>'Project Database'!Z30</f>
        <v>Autostore PTL</v>
      </c>
      <c r="BA26" s="66">
        <f>IF(OR(A26="",'Smart Search'!H13=0),"",MAX(0,BE26*BF26*MAX(0,1-BG26)))</f>
        <v>4.500000000000004E-2</v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>0</v>
      </c>
      <c r="BC26" s="66">
        <f>IF('Smart Search'!G13=1,IFERROR(1/'Smart Search'!H13,0),0)</f>
        <v>0</v>
      </c>
      <c r="BD26" s="66">
        <f t="shared" si="10"/>
        <v>0</v>
      </c>
      <c r="BE26" s="66">
        <f t="shared" si="11"/>
        <v>4.500000000000004E-2</v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>1</v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>0</v>
      </c>
      <c r="BH26" s="5">
        <f>IF(AND('Project Database'!A30&lt;&gt;"",OR('Smart Search'!$L$5="",'Smart Search'!$L$5="All",TRIM('Project Database'!D30)=TRIM('Smart Search'!$L$5)),OR(TRIM('Smart Search'!$L$6)="",TRIM('Smart Search'!$L$6)="All",ISNUMBER(SEARCH(SUBSTITUTE(SUBSTITUTE(SUBSTITUTE(TRIM('Smart Search'!$L$6),"~","~~"),"*","~*"),"?","~?"),'Project Database'!C30))),OR('Smart Search'!$L$7="",AND('Project Database'!E30&lt;&gt;"",'Project Database'!E30='Smart Search'!$L$7)),OR('Smart Search'!$L$8="",'Smart Search'!$L$8="All",TRIM('Project Database'!F30)=TRIM('Smart Search'!$L$8))),IF(BA26="","",BA26+ROW()*0.0000000001),"")</f>
        <v>4.500000260000004E-2</v>
      </c>
      <c r="BI26" s="5" t="str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IF('Project Database'!A30="","",N('Project Database'!AC30))</f>
        <v>5.9855338022470485E-2</v>
      </c>
      <c r="BK26" s="5">
        <f>IF('Project Database'!A30="","",N('Project Database'!AD30))</f>
        <v>0</v>
      </c>
      <c r="BL26" s="5">
        <f>IF('Project Database'!A30="","",N('Project Database'!AE30))</f>
        <v>4.8708527017226409E-2</v>
      </c>
      <c r="BM26" s="5">
        <f>IF('Project Database'!A30="","",N('Project Database'!AF30))</f>
        <v>5.0238041168244258E-3</v>
      </c>
      <c r="BN26" s="5">
        <f>IF('Project Database'!A30="","",N('Project Database'!AG30))</f>
        <v>8.7141486779685182E-2</v>
      </c>
      <c r="BO26" s="5">
        <f>IF('Project Database'!A30="","",N('Project Database'!AH30))</f>
        <v>0</v>
      </c>
      <c r="BP26" s="5">
        <f>IF('Project Database'!A30="","",N('Project Database'!AI30))</f>
        <v>3.6028700213567216E-2</v>
      </c>
      <c r="BQ26" s="5">
        <f>IF('Project Database'!A30="","",N('Project Database'!AJ30))</f>
        <v>7.5196041567780791E-4</v>
      </c>
      <c r="BR26" s="5">
        <f>IF('Project Database'!A30="","",N('Project Database'!AK30))</f>
        <v>0</v>
      </c>
      <c r="BS26" s="5">
        <f>IF('Project Database'!A30="","",N('Project Database'!AL30))</f>
        <v>2.1767476456951235E-2</v>
      </c>
      <c r="BT26" s="5">
        <f>IF('Project Database'!A30="","",N('Project Database'!AM30))</f>
        <v>2.8798283891390479E-3</v>
      </c>
      <c r="BU26" s="5">
        <f>IF('Project Database'!A30="","",N('Project Database'!AN30))</f>
        <v>0</v>
      </c>
      <c r="BV26" s="5">
        <f>IF('Project Database'!A30="","",N('Project Database'!AO30))</f>
        <v>7.060868402455088E-2</v>
      </c>
      <c r="BW26" s="5">
        <f>IF('Project Database'!A30="","",N('Project Database'!AP30))</f>
        <v>2.2882497663538282E-2</v>
      </c>
      <c r="BX26" s="5">
        <f t="shared" si="12"/>
        <v>0.35564830309963097</v>
      </c>
      <c r="BY26" s="5">
        <f t="shared" si="13"/>
        <v>9.2200000000000006</v>
      </c>
    </row>
    <row r="27" spans="1:77" ht="15" customHeight="1" x14ac:dyDescent="0.3">
      <c r="A27" s="66" t="str">
        <f>'Project Database'!A31</f>
        <v>SC22076</v>
      </c>
      <c r="B27" s="66" t="str">
        <f>'Project Database'!B31</f>
        <v>Lazada PH1</v>
      </c>
      <c r="C27" s="66">
        <f>'Project Database'!G31</f>
        <v>0</v>
      </c>
      <c r="D27" s="66">
        <f>'Project Database'!H31</f>
        <v>0</v>
      </c>
      <c r="E27" s="66">
        <f>'Project Database'!I31</f>
        <v>0</v>
      </c>
      <c r="F27" s="66">
        <f>'Project Database'!J31</f>
        <v>0</v>
      </c>
      <c r="G27" s="66">
        <f>'Project Database'!K31</f>
        <v>0</v>
      </c>
      <c r="H27" s="66">
        <f>'Project Database'!L31</f>
        <v>0</v>
      </c>
      <c r="I27" s="66">
        <f>'Project Database'!M31</f>
        <v>0</v>
      </c>
      <c r="J27" s="66">
        <f>'Project Database'!N31</f>
        <v>0</v>
      </c>
      <c r="K27" s="66">
        <f>'Project Database'!O31</f>
        <v>2200</v>
      </c>
      <c r="L27" s="66">
        <f>'Project Database'!P31</f>
        <v>0</v>
      </c>
      <c r="M27" s="66">
        <f>'Project Database'!Q31</f>
        <v>28</v>
      </c>
      <c r="N27" s="66">
        <f>'Project Database'!R31</f>
        <v>29</v>
      </c>
      <c r="O27" s="66">
        <f>'Project Database'!S31</f>
        <v>0</v>
      </c>
      <c r="P27" s="66">
        <f>'Project Database'!T31</f>
        <v>23</v>
      </c>
      <c r="Q27" s="66">
        <f>'Project Database'!U31</f>
        <v>22</v>
      </c>
      <c r="R27" s="66">
        <f>'Project Database'!V31</f>
        <v>15</v>
      </c>
      <c r="S27" s="66">
        <f>'Project Database'!W31</f>
        <v>47</v>
      </c>
      <c r="T27" s="66" t="str">
        <f>'Project Database'!X31</f>
        <v>USD</v>
      </c>
      <c r="U27" s="67">
        <f>'Project Database'!Y31</f>
        <v>10.7</v>
      </c>
      <c r="V27" s="66">
        <f>IF('Smart Search'!B13=1,IFERROR(1/'Smart Search'!H13,0),0)</f>
        <v>0</v>
      </c>
      <c r="W27" s="66">
        <f>IF('Smart Search'!B13=1,IFERROR(1/'Smart Search'!H13,0),0)</f>
        <v>0</v>
      </c>
      <c r="X27" s="66">
        <f>IF('Smart Search'!C13=1,IFERROR(1/'Smart Search'!H13,0),0)</f>
        <v>0.5</v>
      </c>
      <c r="Y27" s="66">
        <f>IF('Smart Search'!C13=1,IFERROR(1/'Smart Search'!H13,0),0)</f>
        <v>0.5</v>
      </c>
      <c r="Z27" s="66">
        <f>IF('Smart Search'!D13=1,IFERROR(1/'Smart Search'!H13,0),0)</f>
        <v>0</v>
      </c>
      <c r="AA27" s="66">
        <f>IF('Smart Search'!D13=1,IFERROR(1/'Smart Search'!H13,0),0)</f>
        <v>0</v>
      </c>
      <c r="AB27" s="66">
        <f>IF('Smart Search'!E13=1,IFERROR(1/'Smart Search'!H13,0),0)</f>
        <v>0</v>
      </c>
      <c r="AC27" s="66">
        <f>IF('Smart Search'!E13=1,IFERROR(1/'Smart Search'!H13,0),0)</f>
        <v>0</v>
      </c>
      <c r="AD27" s="66">
        <f>IF('Smart Search'!F13=1,IFERROR(1/'Smart Search'!H13,0),0)</f>
        <v>0</v>
      </c>
      <c r="AE27" s="66">
        <f>IF('Smart Search'!F13=1,IFERROR(1/'Smart Search'!H13,0),0)</f>
        <v>0</v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>0</v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>0</v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>0</v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>0</v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>0</v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>0</v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>0</v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>0</v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>0</v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>0</v>
      </c>
      <c r="AP27" s="66">
        <f t="shared" si="0"/>
        <v>0</v>
      </c>
      <c r="AQ27" s="66">
        <f t="shared" si="1"/>
        <v>0</v>
      </c>
      <c r="AR27" s="66">
        <f t="shared" si="2"/>
        <v>0</v>
      </c>
      <c r="AS27" s="66">
        <f t="shared" si="3"/>
        <v>0</v>
      </c>
      <c r="AT27" s="66">
        <f t="shared" si="4"/>
        <v>0</v>
      </c>
      <c r="AU27" s="66">
        <f t="shared" si="5"/>
        <v>0</v>
      </c>
      <c r="AV27" s="66">
        <f t="shared" si="6"/>
        <v>0</v>
      </c>
      <c r="AW27" s="66">
        <f t="shared" si="7"/>
        <v>0</v>
      </c>
      <c r="AX27" s="66">
        <f t="shared" si="8"/>
        <v>0</v>
      </c>
      <c r="AY27" s="66">
        <f t="shared" si="9"/>
        <v>0</v>
      </c>
      <c r="AZ27" s="66" t="str">
        <f>'Project Database'!Z31</f>
        <v>XB Sorter CBS crossbelt MCS PTL Mezzanine Rack</v>
      </c>
      <c r="BA27" s="66">
        <f>IF(OR(A27="",'Smart Search'!H13=0),"",MAX(0,BE27*BF27*MAX(0,1-BG27)))</f>
        <v>0</v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>0</v>
      </c>
      <c r="BC27" s="66">
        <f>IF('Smart Search'!G13=1,IFERROR(1/'Smart Search'!H13,0),0)</f>
        <v>0</v>
      </c>
      <c r="BD27" s="66">
        <f t="shared" si="10"/>
        <v>0</v>
      </c>
      <c r="BE27" s="66">
        <f t="shared" si="11"/>
        <v>0</v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>0</v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>0.25</v>
      </c>
      <c r="BH27" s="5">
        <f>IF(AND('Project Database'!A31&lt;&gt;"",OR('Smart Search'!$L$5="",'Smart Search'!$L$5="All",TRIM('Project Database'!D31)=TRIM('Smart Search'!$L$5)),OR(TRIM('Smart Search'!$L$6)="",TRIM('Smart Search'!$L$6)="All",ISNUMBER(SEARCH(SUBSTITUTE(SUBSTITUTE(SUBSTITUTE(TRIM('Smart Search'!$L$6),"~","~~"),"*","~*"),"?","~?"),'Project Database'!C31))),OR('Smart Search'!$L$7="",AND('Project Database'!E31&lt;&gt;"",'Project Database'!E31='Smart Search'!$L$7)),OR('Smart Search'!$L$8="",'Smart Search'!$L$8="All",TRIM('Project Database'!F31)=TRIM('Smart Search'!$L$8))),IF(BA27="","",BA27+ROW()*0.0000000001),"")</f>
        <v>2.7000000000000002E-9</v>
      </c>
      <c r="BI27" s="5" t="str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IF('Project Database'!A31="","",N('Project Database'!AC31))</f>
        <v>0</v>
      </c>
      <c r="BK27" s="5">
        <f>IF('Project Database'!A31="","",N('Project Database'!AD31))</f>
        <v>0</v>
      </c>
      <c r="BL27" s="5">
        <f>IF('Project Database'!A31="","",N('Project Database'!AE31))</f>
        <v>0</v>
      </c>
      <c r="BM27" s="5">
        <f>IF('Project Database'!A31="","",N('Project Database'!AF31))</f>
        <v>0</v>
      </c>
      <c r="BN27" s="5">
        <f>IF('Project Database'!A31="","",N('Project Database'!AG31))</f>
        <v>0</v>
      </c>
      <c r="BO27" s="5">
        <f>IF('Project Database'!A31="","",N('Project Database'!AH31))</f>
        <v>0</v>
      </c>
      <c r="BP27" s="5">
        <f>IF('Project Database'!A31="","",N('Project Database'!AI31))</f>
        <v>0</v>
      </c>
      <c r="BQ27" s="5">
        <f>IF('Project Database'!A31="","",N('Project Database'!AJ31))</f>
        <v>0</v>
      </c>
      <c r="BR27" s="5">
        <f>IF('Project Database'!A31="","",N('Project Database'!AK31))</f>
        <v>0</v>
      </c>
      <c r="BS27" s="5">
        <f>IF('Project Database'!A31="","",N('Project Database'!AL31))</f>
        <v>0</v>
      </c>
      <c r="BT27" s="5">
        <f>IF('Project Database'!A31="","",N('Project Database'!AM31))</f>
        <v>0</v>
      </c>
      <c r="BU27" s="5">
        <f>IF('Project Database'!A31="","",N('Project Database'!AN31))</f>
        <v>0</v>
      </c>
      <c r="BV27" s="5">
        <f>IF('Project Database'!A31="","",N('Project Database'!AO31))</f>
        <v>0</v>
      </c>
      <c r="BW27" s="5">
        <f>IF('Project Database'!A31="","",N('Project Database'!AP31))</f>
        <v>0</v>
      </c>
      <c r="BX27" s="5">
        <f t="shared" si="12"/>
        <v>0</v>
      </c>
      <c r="BY27" s="5">
        <f t="shared" si="13"/>
        <v>10.7</v>
      </c>
    </row>
    <row r="28" spans="1:77" ht="15" customHeight="1" x14ac:dyDescent="0.3">
      <c r="A28" s="66" t="str">
        <f>'Project Database'!A32</f>
        <v>SC22088</v>
      </c>
      <c r="B28" s="66" t="str">
        <f>'Project Database'!B32</f>
        <v>LG -CNS Megahub</v>
      </c>
      <c r="C28" s="66">
        <f>'Project Database'!G32</f>
        <v>0</v>
      </c>
      <c r="D28" s="66">
        <f>'Project Database'!H32</f>
        <v>0</v>
      </c>
      <c r="E28" s="66">
        <f>'Project Database'!I32</f>
        <v>0</v>
      </c>
      <c r="F28" s="66">
        <f>'Project Database'!J32</f>
        <v>0</v>
      </c>
      <c r="G28" s="66">
        <f>'Project Database'!K32</f>
        <v>0</v>
      </c>
      <c r="H28" s="66">
        <f>'Project Database'!L32</f>
        <v>0</v>
      </c>
      <c r="I28" s="66">
        <f>'Project Database'!M32</f>
        <v>0</v>
      </c>
      <c r="J28" s="66">
        <f>'Project Database'!N32</f>
        <v>0</v>
      </c>
      <c r="K28" s="66">
        <f>'Project Database'!O32</f>
        <v>3000</v>
      </c>
      <c r="L28" s="66">
        <f>'Project Database'!P32</f>
        <v>0</v>
      </c>
      <c r="M28" s="66">
        <f>'Project Database'!Q32</f>
        <v>66</v>
      </c>
      <c r="N28" s="66">
        <f>'Project Database'!R32</f>
        <v>32</v>
      </c>
      <c r="O28" s="66">
        <f>'Project Database'!S32</f>
        <v>0</v>
      </c>
      <c r="P28" s="66">
        <f>'Project Database'!T32</f>
        <v>49</v>
      </c>
      <c r="Q28" s="66">
        <f>'Project Database'!U32</f>
        <v>36</v>
      </c>
      <c r="R28" s="66">
        <f>'Project Database'!V32</f>
        <v>24</v>
      </c>
      <c r="S28" s="66">
        <f>'Project Database'!W32</f>
        <v>100</v>
      </c>
      <c r="T28" s="66" t="str">
        <f>'Project Database'!X32</f>
        <v>EUR</v>
      </c>
      <c r="U28" s="67">
        <f>'Project Database'!Y32</f>
        <v>37.75</v>
      </c>
      <c r="V28" s="66">
        <f>IF('Smart Search'!B13=1,IFERROR(1/'Smart Search'!H13,0),0)</f>
        <v>0</v>
      </c>
      <c r="W28" s="66">
        <f>IF('Smart Search'!B13=1,IFERROR(1/'Smart Search'!H13,0),0)</f>
        <v>0</v>
      </c>
      <c r="X28" s="66">
        <f>IF('Smart Search'!C13=1,IFERROR(1/'Smart Search'!H13,0),0)</f>
        <v>0.5</v>
      </c>
      <c r="Y28" s="66">
        <f>IF('Smart Search'!C13=1,IFERROR(1/'Smart Search'!H13,0),0)</f>
        <v>0.5</v>
      </c>
      <c r="Z28" s="66">
        <f>IF('Smart Search'!D13=1,IFERROR(1/'Smart Search'!H13,0),0)</f>
        <v>0</v>
      </c>
      <c r="AA28" s="66">
        <f>IF('Smart Search'!D13=1,IFERROR(1/'Smart Search'!H13,0),0)</f>
        <v>0</v>
      </c>
      <c r="AB28" s="66">
        <f>IF('Smart Search'!E13=1,IFERROR(1/'Smart Search'!H13,0),0)</f>
        <v>0</v>
      </c>
      <c r="AC28" s="66">
        <f>IF('Smart Search'!E13=1,IFERROR(1/'Smart Search'!H13,0),0)</f>
        <v>0</v>
      </c>
      <c r="AD28" s="66">
        <f>IF('Smart Search'!F13=1,IFERROR(1/'Smart Search'!H13,0),0)</f>
        <v>0</v>
      </c>
      <c r="AE28" s="66">
        <f>IF('Smart Search'!F13=1,IFERROR(1/'Smart Search'!H13,0),0)</f>
        <v>0</v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>0</v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>0</v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>0</v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>0</v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>0</v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>0</v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>0</v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>0</v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>0</v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>0</v>
      </c>
      <c r="AP28" s="66">
        <f t="shared" si="0"/>
        <v>0</v>
      </c>
      <c r="AQ28" s="66">
        <f t="shared" si="1"/>
        <v>0</v>
      </c>
      <c r="AR28" s="66">
        <f t="shared" si="2"/>
        <v>0</v>
      </c>
      <c r="AS28" s="66">
        <f t="shared" si="3"/>
        <v>0</v>
      </c>
      <c r="AT28" s="66">
        <f t="shared" si="4"/>
        <v>0</v>
      </c>
      <c r="AU28" s="66">
        <f t="shared" si="5"/>
        <v>0</v>
      </c>
      <c r="AV28" s="66">
        <f t="shared" si="6"/>
        <v>0</v>
      </c>
      <c r="AW28" s="66">
        <f t="shared" si="7"/>
        <v>0</v>
      </c>
      <c r="AX28" s="66">
        <f t="shared" si="8"/>
        <v>0</v>
      </c>
      <c r="AY28" s="66">
        <f t="shared" si="9"/>
        <v>0</v>
      </c>
      <c r="AZ28" s="66" t="str">
        <f>'Project Database'!Z32</f>
        <v xml:space="preserve">XB Sorter CBS crossbelt MCS </v>
      </c>
      <c r="BA28" s="66">
        <f>IF(OR(A28="",'Smart Search'!H13=0),"",MAX(0,BE28*BF28*MAX(0,1-BG28)))</f>
        <v>0</v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>0</v>
      </c>
      <c r="BC28" s="66">
        <f>IF('Smart Search'!G13=1,IFERROR(1/'Smart Search'!H13,0),0)</f>
        <v>0</v>
      </c>
      <c r="BD28" s="66">
        <f t="shared" si="10"/>
        <v>0</v>
      </c>
      <c r="BE28" s="66">
        <f t="shared" si="11"/>
        <v>0</v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>0</v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>0.25</v>
      </c>
      <c r="BH28" s="5">
        <f>IF(AND('Project Database'!A32&lt;&gt;"",OR('Smart Search'!$L$5="",'Smart Search'!$L$5="All",TRIM('Project Database'!D32)=TRIM('Smart Search'!$L$5)),OR(TRIM('Smart Search'!$L$6)="",TRIM('Smart Search'!$L$6)="All",ISNUMBER(SEARCH(SUBSTITUTE(SUBSTITUTE(SUBSTITUTE(TRIM('Smart Search'!$L$6),"~","~~"),"*","~*"),"?","~?"),'Project Database'!C32))),OR('Smart Search'!$L$7="",AND('Project Database'!E32&lt;&gt;"",'Project Database'!E32='Smart Search'!$L$7)),OR('Smart Search'!$L$8="",'Smart Search'!$L$8="All",TRIM('Project Database'!F32)=TRIM('Smart Search'!$L$8))),IF(BA28="","",BA28+ROW()*0.0000000001),"")</f>
        <v>2.8000000000000003E-9</v>
      </c>
      <c r="BI28" s="5" t="str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IF('Project Database'!A32="","",N('Project Database'!AC32))</f>
        <v>0.05</v>
      </c>
      <c r="BK28" s="5">
        <f>IF('Project Database'!A32="","",N('Project Database'!AD32))</f>
        <v>0.05</v>
      </c>
      <c r="BL28" s="5">
        <f>IF('Project Database'!A32="","",N('Project Database'!AE32))</f>
        <v>0.05</v>
      </c>
      <c r="BM28" s="5">
        <f>IF('Project Database'!A32="","",N('Project Database'!AF32))</f>
        <v>7.0000000000000007E-2</v>
      </c>
      <c r="BN28" s="5">
        <f>IF('Project Database'!A32="","",N('Project Database'!AG32))</f>
        <v>0.09</v>
      </c>
      <c r="BO28" s="5">
        <f>IF('Project Database'!A32="","",N('Project Database'!AH32))</f>
        <v>0.06</v>
      </c>
      <c r="BP28" s="5">
        <f>IF('Project Database'!A32="","",N('Project Database'!AI32))</f>
        <v>0.06</v>
      </c>
      <c r="BQ28" s="5">
        <f>IF('Project Database'!A32="","",N('Project Database'!AJ32))</f>
        <v>0.01</v>
      </c>
      <c r="BR28" s="5">
        <f>IF('Project Database'!A32="","",N('Project Database'!AK32))</f>
        <v>0.01</v>
      </c>
      <c r="BS28" s="5">
        <f>IF('Project Database'!A32="","",N('Project Database'!AL32))</f>
        <v>0.01</v>
      </c>
      <c r="BT28" s="5">
        <f>IF('Project Database'!A32="","",N('Project Database'!AM32))</f>
        <v>0.01</v>
      </c>
      <c r="BU28" s="5">
        <f>IF('Project Database'!A32="","",N('Project Database'!AN32))</f>
        <v>0.01</v>
      </c>
      <c r="BV28" s="5">
        <f>IF('Project Database'!A32="","",N('Project Database'!AO32))</f>
        <v>0.04</v>
      </c>
      <c r="BW28" s="5">
        <f>IF('Project Database'!A32="","",N('Project Database'!AP32))</f>
        <v>1E-3</v>
      </c>
      <c r="BX28" s="5">
        <f t="shared" si="12"/>
        <v>0.52100000000000013</v>
      </c>
      <c r="BY28" s="5">
        <f t="shared" si="13"/>
        <v>37.75</v>
      </c>
    </row>
    <row r="29" spans="1:77" ht="15" customHeight="1" x14ac:dyDescent="0.3">
      <c r="A29" s="66" t="str">
        <f>'Project Database'!A33</f>
        <v>SW31150</v>
      </c>
      <c r="B29" s="66" t="str">
        <f>'Project Database'!B33</f>
        <v>Lotte Chilsung</v>
      </c>
      <c r="C29" s="66">
        <f>'Project Database'!G33</f>
        <v>64</v>
      </c>
      <c r="D29" s="66">
        <f>'Project Database'!H33</f>
        <v>20500</v>
      </c>
      <c r="E29" s="66">
        <f>'Project Database'!I33</f>
        <v>0</v>
      </c>
      <c r="F29" s="66">
        <f>'Project Database'!J33</f>
        <v>0</v>
      </c>
      <c r="G29" s="66">
        <f>'Project Database'!K33</f>
        <v>3</v>
      </c>
      <c r="H29" s="66">
        <f>'Project Database'!L33</f>
        <v>800</v>
      </c>
      <c r="I29" s="66">
        <f>'Project Database'!M33</f>
        <v>3</v>
      </c>
      <c r="J29" s="66">
        <f>'Project Database'!N33</f>
        <v>8200</v>
      </c>
      <c r="K29" s="66">
        <f>'Project Database'!O33</f>
        <v>120</v>
      </c>
      <c r="L29" s="66">
        <f>'Project Database'!P33</f>
        <v>300</v>
      </c>
      <c r="M29" s="66">
        <f>'Project Database'!Q33</f>
        <v>48</v>
      </c>
      <c r="N29" s="66">
        <f>'Project Database'!R33</f>
        <v>58</v>
      </c>
      <c r="O29" s="66">
        <f>'Project Database'!S33</f>
        <v>0</v>
      </c>
      <c r="P29" s="66">
        <f>'Project Database'!T33</f>
        <v>54</v>
      </c>
      <c r="Q29" s="66">
        <f>'Project Database'!U33</f>
        <v>40</v>
      </c>
      <c r="R29" s="66">
        <f>'Project Database'!V33</f>
        <v>27</v>
      </c>
      <c r="S29" s="66">
        <f>'Project Database'!W33</f>
        <v>104</v>
      </c>
      <c r="T29" s="66" t="str">
        <f>'Project Database'!X33</f>
        <v>USD</v>
      </c>
      <c r="U29" s="67">
        <f>'Project Database'!Y33</f>
        <v>22.2</v>
      </c>
      <c r="V29" s="66">
        <f>IF('Smart Search'!B13=1,IFERROR(1/'Smart Search'!H13,0),0)</f>
        <v>0</v>
      </c>
      <c r="W29" s="66">
        <f>IF('Smart Search'!B13=1,IFERROR(1/'Smart Search'!H13,0),0)</f>
        <v>0</v>
      </c>
      <c r="X29" s="66">
        <f>IF('Smart Search'!C13=1,IFERROR(1/'Smart Search'!H13,0),0)</f>
        <v>0.5</v>
      </c>
      <c r="Y29" s="66">
        <f>IF('Smart Search'!C13=1,IFERROR(1/'Smart Search'!H13,0),0)</f>
        <v>0.5</v>
      </c>
      <c r="Z29" s="66">
        <f>IF('Smart Search'!D13=1,IFERROR(1/'Smart Search'!H13,0),0)</f>
        <v>0</v>
      </c>
      <c r="AA29" s="66">
        <f>IF('Smart Search'!D13=1,IFERROR(1/'Smart Search'!H13,0),0)</f>
        <v>0</v>
      </c>
      <c r="AB29" s="66">
        <f>IF('Smart Search'!E13=1,IFERROR(1/'Smart Search'!H13,0),0)</f>
        <v>0</v>
      </c>
      <c r="AC29" s="66">
        <f>IF('Smart Search'!E13=1,IFERROR(1/'Smart Search'!H13,0),0)</f>
        <v>0</v>
      </c>
      <c r="AD29" s="66">
        <f>IF('Smart Search'!F13=1,IFERROR(1/'Smart Search'!H13,0),0)</f>
        <v>0</v>
      </c>
      <c r="AE29" s="66">
        <f>IF('Smart Search'!F13=1,IFERROR(1/'Smart Search'!H13,0),0)</f>
        <v>0</v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>0</v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>0</v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>0</v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>0</v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>0</v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>0</v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>0</v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>0</v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>0</v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>0</v>
      </c>
      <c r="AP29" s="66">
        <f t="shared" si="0"/>
        <v>0</v>
      </c>
      <c r="AQ29" s="66">
        <f t="shared" si="1"/>
        <v>0</v>
      </c>
      <c r="AR29" s="66">
        <f t="shared" si="2"/>
        <v>0</v>
      </c>
      <c r="AS29" s="66">
        <f t="shared" si="3"/>
        <v>0</v>
      </c>
      <c r="AT29" s="66">
        <f t="shared" si="4"/>
        <v>0</v>
      </c>
      <c r="AU29" s="66">
        <f t="shared" si="5"/>
        <v>0</v>
      </c>
      <c r="AV29" s="66">
        <f t="shared" si="6"/>
        <v>0</v>
      </c>
      <c r="AW29" s="66">
        <f t="shared" si="7"/>
        <v>0</v>
      </c>
      <c r="AX29" s="66">
        <f t="shared" si="8"/>
        <v>0</v>
      </c>
      <c r="AY29" s="66">
        <f t="shared" si="9"/>
        <v>0</v>
      </c>
      <c r="AZ29" s="66" t="str">
        <f>'Project Database'!Z33</f>
        <v>SRM BK25 MCS DMS 2WS AMCAP MCP FMCF RGV LIFTER PALLET ELTEN SCHWINGHANDL NORIN SUZHOU MARKEM IMAJE METTLER TOLEDO KAIXIN</v>
      </c>
      <c r="BA29" s="66">
        <f>IF(OR(A29="",'Smart Search'!H13=0),"",MAX(0,BE29*BF29*MAX(0,1-BG29)))</f>
        <v>0</v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>0</v>
      </c>
      <c r="BC29" s="66">
        <f>IF('Smart Search'!G13=1,IFERROR(1/'Smart Search'!H13,0),0)</f>
        <v>0</v>
      </c>
      <c r="BD29" s="66">
        <f t="shared" si="10"/>
        <v>0</v>
      </c>
      <c r="BE29" s="66">
        <f t="shared" si="11"/>
        <v>0</v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>0</v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>1</v>
      </c>
      <c r="BH29" s="5">
        <f>IF(AND('Project Database'!A33&lt;&gt;"",OR('Smart Search'!$L$5="",'Smart Search'!$L$5="All",TRIM('Project Database'!D33)=TRIM('Smart Search'!$L$5)),OR(TRIM('Smart Search'!$L$6)="",TRIM('Smart Search'!$L$6)="All",ISNUMBER(SEARCH(SUBSTITUTE(SUBSTITUTE(SUBSTITUTE(TRIM('Smart Search'!$L$6),"~","~~"),"*","~*"),"?","~?"),'Project Database'!C33))),OR('Smart Search'!$L$7="",AND('Project Database'!E33&lt;&gt;"",'Project Database'!E33='Smart Search'!$L$7)),OR('Smart Search'!$L$8="",'Smart Search'!$L$8="All",TRIM('Project Database'!F33)=TRIM('Smart Search'!$L$8))),IF(BA29="","",BA29+ROW()*0.0000000001),"")</f>
        <v>2.8999999999999999E-9</v>
      </c>
      <c r="BI29" s="5" t="str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 xml:space="preserve">Multishuttle, Pallet Shuttle, SRM Crane, </v>
      </c>
      <c r="BJ29" s="5">
        <f>IF('Project Database'!A33="","",N('Project Database'!AC33))</f>
        <v>0</v>
      </c>
      <c r="BK29" s="5">
        <f>IF('Project Database'!A33="","",N('Project Database'!AD33))</f>
        <v>0</v>
      </c>
      <c r="BL29" s="5">
        <f>IF('Project Database'!A33="","",N('Project Database'!AE33))</f>
        <v>0</v>
      </c>
      <c r="BM29" s="5">
        <f>IF('Project Database'!A33="","",N('Project Database'!AF33))</f>
        <v>0</v>
      </c>
      <c r="BN29" s="5">
        <f>IF('Project Database'!A33="","",N('Project Database'!AG33))</f>
        <v>0</v>
      </c>
      <c r="BO29" s="5">
        <f>IF('Project Database'!A33="","",N('Project Database'!AH33))</f>
        <v>0</v>
      </c>
      <c r="BP29" s="5">
        <f>IF('Project Database'!A33="","",N('Project Database'!AI33))</f>
        <v>0</v>
      </c>
      <c r="BQ29" s="5">
        <f>IF('Project Database'!A33="","",N('Project Database'!AJ33))</f>
        <v>0</v>
      </c>
      <c r="BR29" s="5">
        <f>IF('Project Database'!A33="","",N('Project Database'!AK33))</f>
        <v>0</v>
      </c>
      <c r="BS29" s="5">
        <f>IF('Project Database'!A33="","",N('Project Database'!AL33))</f>
        <v>0</v>
      </c>
      <c r="BT29" s="5">
        <f>IF('Project Database'!A33="","",N('Project Database'!AM33))</f>
        <v>0</v>
      </c>
      <c r="BU29" s="5">
        <f>IF('Project Database'!A33="","",N('Project Database'!AN33))</f>
        <v>0</v>
      </c>
      <c r="BV29" s="5">
        <f>IF('Project Database'!A33="","",N('Project Database'!AO33))</f>
        <v>0</v>
      </c>
      <c r="BW29" s="5">
        <f>IF('Project Database'!A33="","",N('Project Database'!AP33))</f>
        <v>0</v>
      </c>
      <c r="BX29" s="5">
        <f t="shared" si="12"/>
        <v>0</v>
      </c>
      <c r="BY29" s="5">
        <f t="shared" si="13"/>
        <v>22.2</v>
      </c>
    </row>
    <row r="30" spans="1:77" ht="15" customHeight="1" x14ac:dyDescent="0.3">
      <c r="A30" s="66" t="str">
        <f>'Project Database'!A34</f>
        <v>SW31157</v>
      </c>
      <c r="B30" s="66" t="str">
        <f>'Project Database'!B34</f>
        <v>Lotte LGL Youngnam</v>
      </c>
      <c r="C30" s="66">
        <f>'Project Database'!G34</f>
        <v>56</v>
      </c>
      <c r="D30" s="66">
        <f>'Project Database'!H34</f>
        <v>27500</v>
      </c>
      <c r="E30" s="66">
        <f>'Project Database'!I34</f>
        <v>0</v>
      </c>
      <c r="F30" s="66">
        <f>'Project Database'!J34</f>
        <v>0</v>
      </c>
      <c r="G30" s="66">
        <f>'Project Database'!K34</f>
        <v>0</v>
      </c>
      <c r="H30" s="66">
        <f>'Project Database'!L34</f>
        <v>0</v>
      </c>
      <c r="I30" s="66">
        <f>'Project Database'!M34</f>
        <v>4</v>
      </c>
      <c r="J30" s="66">
        <f>'Project Database'!N34</f>
        <v>8000</v>
      </c>
      <c r="K30" s="66">
        <f>'Project Database'!O34</f>
        <v>1400</v>
      </c>
      <c r="L30" s="66">
        <f>'Project Database'!P34</f>
        <v>400</v>
      </c>
      <c r="M30" s="66">
        <f>'Project Database'!Q34</f>
        <v>38</v>
      </c>
      <c r="N30" s="66">
        <f>'Project Database'!R34</f>
        <v>35</v>
      </c>
      <c r="O30" s="66">
        <f>'Project Database'!S34</f>
        <v>16</v>
      </c>
      <c r="P30" s="66">
        <f>'Project Database'!T34</f>
        <v>42</v>
      </c>
      <c r="Q30" s="66">
        <f>'Project Database'!U34</f>
        <v>32</v>
      </c>
      <c r="R30" s="66">
        <f>'Project Database'!V34</f>
        <v>31</v>
      </c>
      <c r="S30" s="66">
        <f>'Project Database'!W34</f>
        <v>89</v>
      </c>
      <c r="T30" s="66" t="str">
        <f>'Project Database'!X34</f>
        <v>USD</v>
      </c>
      <c r="U30" s="67">
        <f>'Project Database'!Y34</f>
        <v>22.9</v>
      </c>
      <c r="V30" s="66">
        <f>IF('Smart Search'!B13=1,IFERROR(1/'Smart Search'!H13,0),0)</f>
        <v>0</v>
      </c>
      <c r="W30" s="66">
        <f>IF('Smart Search'!B13=1,IFERROR(1/'Smart Search'!H13,0),0)</f>
        <v>0</v>
      </c>
      <c r="X30" s="66">
        <f>IF('Smart Search'!C13=1,IFERROR(1/'Smart Search'!H13,0),0)</f>
        <v>0.5</v>
      </c>
      <c r="Y30" s="66">
        <f>IF('Smart Search'!C13=1,IFERROR(1/'Smart Search'!H13,0),0)</f>
        <v>0.5</v>
      </c>
      <c r="Z30" s="66">
        <f>IF('Smart Search'!D13=1,IFERROR(1/'Smart Search'!H13,0),0)</f>
        <v>0</v>
      </c>
      <c r="AA30" s="66">
        <f>IF('Smart Search'!D13=1,IFERROR(1/'Smart Search'!H13,0),0)</f>
        <v>0</v>
      </c>
      <c r="AB30" s="66">
        <f>IF('Smart Search'!E13=1,IFERROR(1/'Smart Search'!H13,0),0)</f>
        <v>0</v>
      </c>
      <c r="AC30" s="66">
        <f>IF('Smart Search'!E13=1,IFERROR(1/'Smart Search'!H13,0),0)</f>
        <v>0</v>
      </c>
      <c r="AD30" s="66">
        <f>IF('Smart Search'!F13=1,IFERROR(1/'Smart Search'!H13,0),0)</f>
        <v>0</v>
      </c>
      <c r="AE30" s="66">
        <f>IF('Smart Search'!F13=1,IFERROR(1/'Smart Search'!H13,0),0)</f>
        <v>0</v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>0</v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>0</v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>0</v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>0</v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>0</v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>0</v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>0</v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>0</v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>0</v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>0</v>
      </c>
      <c r="AP30" s="66">
        <f t="shared" si="0"/>
        <v>0</v>
      </c>
      <c r="AQ30" s="66">
        <f t="shared" si="1"/>
        <v>0</v>
      </c>
      <c r="AR30" s="66">
        <f t="shared" si="2"/>
        <v>0</v>
      </c>
      <c r="AS30" s="66">
        <f t="shared" si="3"/>
        <v>0</v>
      </c>
      <c r="AT30" s="66">
        <f t="shared" si="4"/>
        <v>0</v>
      </c>
      <c r="AU30" s="66">
        <f t="shared" si="5"/>
        <v>0</v>
      </c>
      <c r="AV30" s="66">
        <f t="shared" si="6"/>
        <v>0</v>
      </c>
      <c r="AW30" s="66">
        <f t="shared" si="7"/>
        <v>0</v>
      </c>
      <c r="AX30" s="66">
        <f t="shared" si="8"/>
        <v>0</v>
      </c>
      <c r="AY30" s="66">
        <f t="shared" si="9"/>
        <v>0</v>
      </c>
      <c r="AZ30" s="66" t="str">
        <f>'Project Database'!Z34</f>
        <v>SRM  BK25 DMS MCS ELTEN QIMAROX Mezz PTL Robot Layer Picker</v>
      </c>
      <c r="BA30" s="66">
        <f>IF(OR(A30="",'Smart Search'!H13=0),"",MAX(0,BE30*BF30*MAX(0,1-BG30)))</f>
        <v>0</v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>0</v>
      </c>
      <c r="BC30" s="66">
        <f>IF('Smart Search'!G13=1,IFERROR(1/'Smart Search'!H13,0),0)</f>
        <v>0</v>
      </c>
      <c r="BD30" s="66">
        <f t="shared" si="10"/>
        <v>0</v>
      </c>
      <c r="BE30" s="66">
        <f t="shared" si="11"/>
        <v>0</v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>0</v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>0.75</v>
      </c>
      <c r="BH30" s="5">
        <f>IF(AND('Project Database'!A34&lt;&gt;"",OR('Smart Search'!$L$5="",'Smart Search'!$L$5="All",TRIM('Project Database'!D34)=TRIM('Smart Search'!$L$5)),OR(TRIM('Smart Search'!$L$6)="",TRIM('Smart Search'!$L$6)="All",ISNUMBER(SEARCH(SUBSTITUTE(SUBSTITUTE(SUBSTITUTE(TRIM('Smart Search'!$L$6),"~","~~"),"*","~*"),"?","~?"),'Project Database'!C34))),OR('Smart Search'!$L$7="",AND('Project Database'!E34&lt;&gt;"",'Project Database'!E34='Smart Search'!$L$7)),OR('Smart Search'!$L$8="",'Smart Search'!$L$8="All",TRIM('Project Database'!F34)=TRIM('Smart Search'!$L$8))),IF(BA30="","",BA30+ROW()*0.0000000001),"")</f>
        <v>3E-9</v>
      </c>
      <c r="BI30" s="5" t="str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 xml:space="preserve">Multishuttle, SRM Crane, </v>
      </c>
      <c r="BJ30" s="5">
        <f>IF('Project Database'!A34="","",N('Project Database'!AC34))</f>
        <v>0</v>
      </c>
      <c r="BK30" s="5">
        <f>IF('Project Database'!A34="","",N('Project Database'!AD34))</f>
        <v>0</v>
      </c>
      <c r="BL30" s="5">
        <f>IF('Project Database'!A34="","",N('Project Database'!AE34))</f>
        <v>0</v>
      </c>
      <c r="BM30" s="5">
        <f>IF('Project Database'!A34="","",N('Project Database'!AF34))</f>
        <v>0</v>
      </c>
      <c r="BN30" s="5">
        <f>IF('Project Database'!A34="","",N('Project Database'!AG34))</f>
        <v>0</v>
      </c>
      <c r="BO30" s="5">
        <f>IF('Project Database'!A34="","",N('Project Database'!AH34))</f>
        <v>0</v>
      </c>
      <c r="BP30" s="5">
        <f>IF('Project Database'!A34="","",N('Project Database'!AI34))</f>
        <v>0</v>
      </c>
      <c r="BQ30" s="5">
        <f>IF('Project Database'!A34="","",N('Project Database'!AJ34))</f>
        <v>0</v>
      </c>
      <c r="BR30" s="5">
        <f>IF('Project Database'!A34="","",N('Project Database'!AK34))</f>
        <v>0</v>
      </c>
      <c r="BS30" s="5">
        <f>IF('Project Database'!A34="","",N('Project Database'!AL34))</f>
        <v>0</v>
      </c>
      <c r="BT30" s="5">
        <f>IF('Project Database'!A34="","",N('Project Database'!AM34))</f>
        <v>0</v>
      </c>
      <c r="BU30" s="5">
        <f>IF('Project Database'!A34="","",N('Project Database'!AN34))</f>
        <v>0</v>
      </c>
      <c r="BV30" s="5">
        <f>IF('Project Database'!A34="","",N('Project Database'!AO34))</f>
        <v>0</v>
      </c>
      <c r="BW30" s="5">
        <f>IF('Project Database'!A34="","",N('Project Database'!AP34))</f>
        <v>0</v>
      </c>
      <c r="BX30" s="5">
        <f t="shared" si="12"/>
        <v>0</v>
      </c>
      <c r="BY30" s="5">
        <f t="shared" si="13"/>
        <v>22.9</v>
      </c>
    </row>
    <row r="31" spans="1:77" ht="15" customHeight="1" x14ac:dyDescent="0.3">
      <c r="A31" s="66" t="str">
        <f>'Project Database'!A35</f>
        <v>SC22094</v>
      </c>
      <c r="B31" s="66" t="str">
        <f>'Project Database'!B35</f>
        <v>Hsu Maw Autostore</v>
      </c>
      <c r="C31" s="66">
        <f>'Project Database'!G35</f>
        <v>0</v>
      </c>
      <c r="D31" s="66">
        <f>'Project Database'!H35</f>
        <v>0</v>
      </c>
      <c r="E31" s="66">
        <f>'Project Database'!I35</f>
        <v>5</v>
      </c>
      <c r="F31" s="66">
        <f>'Project Database'!J35</f>
        <v>15000</v>
      </c>
      <c r="G31" s="66">
        <f>'Project Database'!K35</f>
        <v>0</v>
      </c>
      <c r="H31" s="66">
        <f>'Project Database'!L35</f>
        <v>0</v>
      </c>
      <c r="I31" s="66">
        <f>'Project Database'!M35</f>
        <v>0</v>
      </c>
      <c r="J31" s="66">
        <f>'Project Database'!N35</f>
        <v>0</v>
      </c>
      <c r="K31" s="66">
        <f>'Project Database'!O35</f>
        <v>0</v>
      </c>
      <c r="L31" s="66">
        <f>'Project Database'!P35</f>
        <v>0</v>
      </c>
      <c r="M31" s="66">
        <f>'Project Database'!Q35</f>
        <v>20</v>
      </c>
      <c r="N31" s="66">
        <f>'Project Database'!R35</f>
        <v>2</v>
      </c>
      <c r="O31" s="66">
        <f>'Project Database'!S35</f>
        <v>4</v>
      </c>
      <c r="P31" s="66">
        <f>'Project Database'!T35</f>
        <v>24</v>
      </c>
      <c r="Q31" s="66">
        <f>'Project Database'!U35</f>
        <v>6</v>
      </c>
      <c r="R31" s="66">
        <f>'Project Database'!V35</f>
        <v>5</v>
      </c>
      <c r="S31" s="66">
        <f>'Project Database'!W35</f>
        <v>34</v>
      </c>
      <c r="T31" s="66" t="str">
        <f>'Project Database'!X35</f>
        <v>USD</v>
      </c>
      <c r="U31" s="67">
        <f>'Project Database'!Y35</f>
        <v>1.02</v>
      </c>
      <c r="V31" s="66">
        <f>IF('Smart Search'!B13=1,IFERROR(1/'Smart Search'!H13,0),0)</f>
        <v>0</v>
      </c>
      <c r="W31" s="66">
        <f>IF('Smart Search'!B13=1,IFERROR(1/'Smart Search'!H13,0),0)</f>
        <v>0</v>
      </c>
      <c r="X31" s="66">
        <f>IF('Smart Search'!C13=1,IFERROR(1/'Smart Search'!H13,0),0)</f>
        <v>0.5</v>
      </c>
      <c r="Y31" s="66">
        <f>IF('Smart Search'!C13=1,IFERROR(1/'Smart Search'!H13,0),0)</f>
        <v>0.5</v>
      </c>
      <c r="Z31" s="66">
        <f>IF('Smart Search'!D13=1,IFERROR(1/'Smart Search'!H13,0),0)</f>
        <v>0</v>
      </c>
      <c r="AA31" s="66">
        <f>IF('Smart Search'!D13=1,IFERROR(1/'Smart Search'!H13,0),0)</f>
        <v>0</v>
      </c>
      <c r="AB31" s="66">
        <f>IF('Smart Search'!E13=1,IFERROR(1/'Smart Search'!H13,0),0)</f>
        <v>0</v>
      </c>
      <c r="AC31" s="66">
        <f>IF('Smart Search'!E13=1,IFERROR(1/'Smart Search'!H13,0),0)</f>
        <v>0</v>
      </c>
      <c r="AD31" s="66">
        <f>IF('Smart Search'!F13=1,IFERROR(1/'Smart Search'!H13,0),0)</f>
        <v>0</v>
      </c>
      <c r="AE31" s="66">
        <f>IF('Smart Search'!F13=1,IFERROR(1/'Smart Search'!H13,0),0)</f>
        <v>0</v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>0</v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>0</v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>0.25</v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>0.66666666666666674</v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>0</v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>0</v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>0</v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>0</v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>0</v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>0</v>
      </c>
      <c r="AP31" s="66">
        <f t="shared" si="0"/>
        <v>0</v>
      </c>
      <c r="AQ31" s="66">
        <f t="shared" si="1"/>
        <v>0</v>
      </c>
      <c r="AR31" s="66">
        <f t="shared" si="2"/>
        <v>0.125</v>
      </c>
      <c r="AS31" s="66">
        <f t="shared" si="3"/>
        <v>0.33333333333333337</v>
      </c>
      <c r="AT31" s="66">
        <f t="shared" si="4"/>
        <v>0</v>
      </c>
      <c r="AU31" s="66">
        <f t="shared" si="5"/>
        <v>0</v>
      </c>
      <c r="AV31" s="66">
        <f t="shared" si="6"/>
        <v>0</v>
      </c>
      <c r="AW31" s="66">
        <f t="shared" si="7"/>
        <v>0</v>
      </c>
      <c r="AX31" s="66">
        <f t="shared" si="8"/>
        <v>0</v>
      </c>
      <c r="AY31" s="66">
        <f t="shared" si="9"/>
        <v>0</v>
      </c>
      <c r="AZ31" s="66" t="str">
        <f>'Project Database'!Z35</f>
        <v>Autostore</v>
      </c>
      <c r="BA31" s="66">
        <f>IF(OR(A31="",'Smart Search'!H13=0),"",MAX(0,BE31*BF31*MAX(0,1-BG31)))</f>
        <v>0.45833333333333337</v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>0</v>
      </c>
      <c r="BC31" s="66">
        <f>IF('Smart Search'!G13=1,IFERROR(1/'Smart Search'!H13,0),0)</f>
        <v>0</v>
      </c>
      <c r="BD31" s="66">
        <f t="shared" si="10"/>
        <v>0</v>
      </c>
      <c r="BE31" s="66">
        <f t="shared" si="11"/>
        <v>0.45833333333333337</v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>1</v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>0</v>
      </c>
      <c r="BH31" s="5">
        <f>IF(AND('Project Database'!A35&lt;&gt;"",OR('Smart Search'!$L$5="",'Smart Search'!$L$5="All",TRIM('Project Database'!D35)=TRIM('Smart Search'!$L$5)),OR(TRIM('Smart Search'!$L$6)="",TRIM('Smart Search'!$L$6)="All",ISNUMBER(SEARCH(SUBSTITUTE(SUBSTITUTE(SUBSTITUTE(TRIM('Smart Search'!$L$6),"~","~~"),"*","~*"),"?","~?"),'Project Database'!C35))),OR('Smart Search'!$L$7="",AND('Project Database'!E35&lt;&gt;"",'Project Database'!E35='Smart Search'!$L$7)),OR('Smart Search'!$L$8="",'Smart Search'!$L$8="All",TRIM('Project Database'!F35)=TRIM('Smart Search'!$L$8))),IF(BA31="","",BA31+ROW()*0.0000000001),"")</f>
        <v>0.45833333643333335</v>
      </c>
      <c r="BI31" s="5" t="str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IF('Project Database'!A35="","",N('Project Database'!AC35))</f>
        <v>0</v>
      </c>
      <c r="BK31" s="5">
        <f>IF('Project Database'!A35="","",N('Project Database'!AD35))</f>
        <v>0</v>
      </c>
      <c r="BL31" s="5">
        <f>IF('Project Database'!A35="","",N('Project Database'!AE35))</f>
        <v>4.8722053630885075E-2</v>
      </c>
      <c r="BM31" s="5">
        <f>IF('Project Database'!A35="","",N('Project Database'!AF35))</f>
        <v>0</v>
      </c>
      <c r="BN31" s="5">
        <f>IF('Project Database'!A35="","",N('Project Database'!AG35))</f>
        <v>6.2850567070619704E-3</v>
      </c>
      <c r="BO31" s="5">
        <f>IF('Project Database'!A35="","",N('Project Database'!AH35))</f>
        <v>0</v>
      </c>
      <c r="BP31" s="5">
        <f>IF('Project Database'!A35="","",N('Project Database'!AI35))</f>
        <v>2.4120283415259753E-2</v>
      </c>
      <c r="BQ31" s="5">
        <f>IF('Project Database'!A35="","",N('Project Database'!AJ35))</f>
        <v>8.8828801459809176E-2</v>
      </c>
      <c r="BR31" s="5">
        <f>IF('Project Database'!A35="","",N('Project Database'!AK35))</f>
        <v>0</v>
      </c>
      <c r="BS31" s="5">
        <f>IF('Project Database'!A35="","",N('Project Database'!AL35))</f>
        <v>0</v>
      </c>
      <c r="BT31" s="5">
        <f>IF('Project Database'!A35="","",N('Project Database'!AM35))</f>
        <v>0</v>
      </c>
      <c r="BU31" s="5">
        <f>IF('Project Database'!A35="","",N('Project Database'!AN35))</f>
        <v>0</v>
      </c>
      <c r="BV31" s="5">
        <f>IF('Project Database'!A35="","",N('Project Database'!AO35))</f>
        <v>2.4661689593968524E-2</v>
      </c>
      <c r="BW31" s="5">
        <f>IF('Project Database'!A35="","",N('Project Database'!AP35))</f>
        <v>0</v>
      </c>
      <c r="BX31" s="5">
        <f t="shared" si="12"/>
        <v>0.1926178848069845</v>
      </c>
      <c r="BY31" s="5">
        <f t="shared" si="13"/>
        <v>1.02</v>
      </c>
    </row>
    <row r="32" spans="1:77" ht="15" customHeight="1" x14ac:dyDescent="0.3">
      <c r="A32" s="66" t="str">
        <f>'Project Database'!A36</f>
        <v>SW31193</v>
      </c>
      <c r="B32" s="66" t="str">
        <f>'Project Database'!B36</f>
        <v>LF Phoenix ASRS</v>
      </c>
      <c r="C32" s="66">
        <f>'Project Database'!G36</f>
        <v>0</v>
      </c>
      <c r="D32" s="66">
        <f>'Project Database'!H36</f>
        <v>0</v>
      </c>
      <c r="E32" s="66">
        <f>'Project Database'!I36</f>
        <v>0</v>
      </c>
      <c r="F32" s="66">
        <f>'Project Database'!J36</f>
        <v>0</v>
      </c>
      <c r="G32" s="66">
        <f>'Project Database'!K36</f>
        <v>0</v>
      </c>
      <c r="H32" s="66">
        <f>'Project Database'!L36</f>
        <v>0</v>
      </c>
      <c r="I32" s="66">
        <f>'Project Database'!M36</f>
        <v>7</v>
      </c>
      <c r="J32" s="66">
        <f>'Project Database'!N36</f>
        <v>0</v>
      </c>
      <c r="K32" s="66">
        <f>'Project Database'!O36</f>
        <v>0</v>
      </c>
      <c r="L32" s="66">
        <f>'Project Database'!P36</f>
        <v>500</v>
      </c>
      <c r="M32" s="66">
        <f>'Project Database'!Q36</f>
        <v>36</v>
      </c>
      <c r="N32" s="66">
        <f>'Project Database'!R36</f>
        <v>34</v>
      </c>
      <c r="O32" s="66">
        <f>'Project Database'!S36</f>
        <v>16</v>
      </c>
      <c r="P32" s="66">
        <f>'Project Database'!T36</f>
        <v>42</v>
      </c>
      <c r="Q32" s="66">
        <f>'Project Database'!U36</f>
        <v>27</v>
      </c>
      <c r="R32" s="66">
        <f>'Project Database'!V36</f>
        <v>26</v>
      </c>
      <c r="S32" s="66">
        <f>'Project Database'!W36</f>
        <v>75</v>
      </c>
      <c r="T32" s="66" t="str">
        <f>'Project Database'!X36</f>
        <v>MYR</v>
      </c>
      <c r="U32" s="67">
        <f>'Project Database'!Y36</f>
        <v>24.29</v>
      </c>
      <c r="V32" s="66">
        <f>IF('Smart Search'!B13=1,IFERROR(1/'Smart Search'!H13,0),0)</f>
        <v>0</v>
      </c>
      <c r="W32" s="66">
        <f>IF('Smart Search'!B13=1,IFERROR(1/'Smart Search'!H13,0),0)</f>
        <v>0</v>
      </c>
      <c r="X32" s="66">
        <f>IF('Smart Search'!C13=1,IFERROR(1/'Smart Search'!H13,0),0)</f>
        <v>0.5</v>
      </c>
      <c r="Y32" s="66">
        <f>IF('Smart Search'!C13=1,IFERROR(1/'Smart Search'!H13,0),0)</f>
        <v>0.5</v>
      </c>
      <c r="Z32" s="66">
        <f>IF('Smart Search'!D13=1,IFERROR(1/'Smart Search'!H13,0),0)</f>
        <v>0</v>
      </c>
      <c r="AA32" s="66">
        <f>IF('Smart Search'!D13=1,IFERROR(1/'Smart Search'!H13,0),0)</f>
        <v>0</v>
      </c>
      <c r="AB32" s="66">
        <f>IF('Smart Search'!E13=1,IFERROR(1/'Smart Search'!H13,0),0)</f>
        <v>0</v>
      </c>
      <c r="AC32" s="66">
        <f>IF('Smart Search'!E13=1,IFERROR(1/'Smart Search'!H13,0),0)</f>
        <v>0</v>
      </c>
      <c r="AD32" s="66">
        <f>IF('Smart Search'!F13=1,IFERROR(1/'Smart Search'!H13,0),0)</f>
        <v>0</v>
      </c>
      <c r="AE32" s="66">
        <f>IF('Smart Search'!F13=1,IFERROR(1/'Smart Search'!H13,0),0)</f>
        <v>0</v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>0</v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>0</v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>0</v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>0</v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>0</v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>0</v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>0</v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>0</v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>0</v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>0</v>
      </c>
      <c r="AP32" s="66">
        <f t="shared" si="0"/>
        <v>0</v>
      </c>
      <c r="AQ32" s="66">
        <f t="shared" si="1"/>
        <v>0</v>
      </c>
      <c r="AR32" s="66">
        <f t="shared" si="2"/>
        <v>0</v>
      </c>
      <c r="AS32" s="66">
        <f t="shared" si="3"/>
        <v>0</v>
      </c>
      <c r="AT32" s="66">
        <f t="shared" si="4"/>
        <v>0</v>
      </c>
      <c r="AU32" s="66">
        <f t="shared" si="5"/>
        <v>0</v>
      </c>
      <c r="AV32" s="66">
        <f t="shared" si="6"/>
        <v>0</v>
      </c>
      <c r="AW32" s="66">
        <f t="shared" si="7"/>
        <v>0</v>
      </c>
      <c r="AX32" s="66">
        <f t="shared" si="8"/>
        <v>0</v>
      </c>
      <c r="AY32" s="66">
        <f t="shared" si="9"/>
        <v>0</v>
      </c>
      <c r="AZ32" s="66" t="str">
        <f>'Project Database'!Z36</f>
        <v>SRM BK25</v>
      </c>
      <c r="BA32" s="66">
        <f>IF(OR(A32="",'Smart Search'!H13=0),"",MAX(0,BE32*BF32*MAX(0,1-BG32)))</f>
        <v>0</v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>0</v>
      </c>
      <c r="BC32" s="66">
        <f>IF('Smart Search'!G13=1,IFERROR(1/'Smart Search'!H13,0),0)</f>
        <v>0</v>
      </c>
      <c r="BD32" s="66">
        <f t="shared" si="10"/>
        <v>0</v>
      </c>
      <c r="BE32" s="66">
        <f t="shared" si="11"/>
        <v>0</v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>0</v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>0.5</v>
      </c>
      <c r="BH32" s="5">
        <f>IF(AND('Project Database'!A36&lt;&gt;"",OR('Smart Search'!$L$5="",'Smart Search'!$L$5="All",TRIM('Project Database'!D36)=TRIM('Smart Search'!$L$5)),OR(TRIM('Smart Search'!$L$6)="",TRIM('Smart Search'!$L$6)="All",ISNUMBER(SEARCH(SUBSTITUTE(SUBSTITUTE(SUBSTITUTE(TRIM('Smart Search'!$L$6),"~","~~"),"*","~*"),"?","~?"),'Project Database'!C36))),OR('Smart Search'!$L$7="",AND('Project Database'!E36&lt;&gt;"",'Project Database'!E36='Smart Search'!$L$7)),OR('Smart Search'!$L$8="",'Smart Search'!$L$8="All",TRIM('Project Database'!F36)=TRIM('Smart Search'!$L$8))),IF(BA32="","",BA32+ROW()*0.0000000001),"")</f>
        <v>3.2000000000000001E-9</v>
      </c>
      <c r="BI32" s="5" t="str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 xml:space="preserve">SRM Crane, </v>
      </c>
      <c r="BJ32" s="5">
        <f>IF('Project Database'!A36="","",N('Project Database'!AC36))</f>
        <v>3.9633689561359514E-2</v>
      </c>
      <c r="BK32" s="5">
        <f>IF('Project Database'!A36="","",N('Project Database'!AD36))</f>
        <v>3.0647515431436685E-2</v>
      </c>
      <c r="BL32" s="5">
        <f>IF('Project Database'!A36="","",N('Project Database'!AE36))</f>
        <v>5.3052543881658129E-2</v>
      </c>
      <c r="BM32" s="5">
        <f>IF('Project Database'!A36="","",N('Project Database'!AF36))</f>
        <v>3.8165095008079455E-3</v>
      </c>
      <c r="BN32" s="5">
        <f>IF('Project Database'!A36="","",N('Project Database'!AG36))</f>
        <v>1.5383814758115124E-2</v>
      </c>
      <c r="BO32" s="5">
        <f>IF('Project Database'!A36="","",N('Project Database'!AH36))</f>
        <v>0</v>
      </c>
      <c r="BP32" s="5">
        <f>IF('Project Database'!A36="","",N('Project Database'!AI36))</f>
        <v>2.0365040094625881E-2</v>
      </c>
      <c r="BQ32" s="5">
        <f>IF('Project Database'!A36="","",N('Project Database'!AJ36))</f>
        <v>2.5045831691533738E-2</v>
      </c>
      <c r="BR32" s="5">
        <f>IF('Project Database'!A36="","",N('Project Database'!AK36))</f>
        <v>4.0094111089038487E-3</v>
      </c>
      <c r="BS32" s="5">
        <f>IF('Project Database'!A36="","",N('Project Database'!AL36))</f>
        <v>1.0353872197533412E-2</v>
      </c>
      <c r="BT32" s="5">
        <f>IF('Project Database'!A36="","",N('Project Database'!AM36))</f>
        <v>3.458066536155243E-2</v>
      </c>
      <c r="BU32" s="5">
        <f>IF('Project Database'!A36="","",N('Project Database'!AN36))</f>
        <v>4.8047841795323024E-2</v>
      </c>
      <c r="BV32" s="5">
        <f>IF('Project Database'!A36="","",N('Project Database'!AO36))</f>
        <v>2.3024824825430397E-2</v>
      </c>
      <c r="BW32" s="5">
        <f>IF('Project Database'!A36="","",N('Project Database'!AP36))</f>
        <v>2.4442673224758793E-3</v>
      </c>
      <c r="BX32" s="5">
        <f t="shared" si="12"/>
        <v>0.31040582753075602</v>
      </c>
      <c r="BY32" s="5">
        <f t="shared" si="13"/>
        <v>24.29</v>
      </c>
    </row>
    <row r="33" spans="1:77" ht="15" customHeight="1" x14ac:dyDescent="0.3">
      <c r="A33" s="66" t="str">
        <f>'Project Database'!A37</f>
        <v>SW31261</v>
      </c>
      <c r="B33" s="66" t="str">
        <f>'Project Database'!B37</f>
        <v>Plexus Seaside</v>
      </c>
      <c r="C33" s="66">
        <f>'Project Database'!G37</f>
        <v>0</v>
      </c>
      <c r="D33" s="66">
        <f>'Project Database'!H37</f>
        <v>0</v>
      </c>
      <c r="E33" s="66">
        <f>'Project Database'!I37</f>
        <v>12</v>
      </c>
      <c r="F33" s="66">
        <f>'Project Database'!J37</f>
        <v>10000</v>
      </c>
      <c r="G33" s="66">
        <f>'Project Database'!K37</f>
        <v>0</v>
      </c>
      <c r="H33" s="66">
        <f>'Project Database'!L37</f>
        <v>0</v>
      </c>
      <c r="I33" s="66">
        <f>'Project Database'!M37</f>
        <v>0</v>
      </c>
      <c r="J33" s="66">
        <f>'Project Database'!N37</f>
        <v>0</v>
      </c>
      <c r="K33" s="66">
        <f>'Project Database'!O37</f>
        <v>0</v>
      </c>
      <c r="L33" s="66">
        <f>'Project Database'!P37</f>
        <v>0</v>
      </c>
      <c r="M33" s="66">
        <f>'Project Database'!Q37</f>
        <v>18</v>
      </c>
      <c r="N33" s="66">
        <f>'Project Database'!R37</f>
        <v>2</v>
      </c>
      <c r="O33" s="66">
        <f>'Project Database'!S37</f>
        <v>12</v>
      </c>
      <c r="P33" s="66">
        <f>'Project Database'!T37</f>
        <v>24</v>
      </c>
      <c r="Q33" s="66">
        <f>'Project Database'!U37</f>
        <v>10</v>
      </c>
      <c r="R33" s="66">
        <f>'Project Database'!V37</f>
        <v>23</v>
      </c>
      <c r="S33" s="66">
        <f>'Project Database'!W37</f>
        <v>42</v>
      </c>
      <c r="T33" s="66" t="str">
        <f>'Project Database'!X37</f>
        <v>USD</v>
      </c>
      <c r="U33" s="67">
        <f>'Project Database'!Y37</f>
        <v>1.63</v>
      </c>
      <c r="V33" s="66">
        <f>IF('Smart Search'!B13=1,IFERROR(1/'Smart Search'!H13,0),0)</f>
        <v>0</v>
      </c>
      <c r="W33" s="66">
        <f>IF('Smart Search'!B13=1,IFERROR(1/'Smart Search'!H13,0),0)</f>
        <v>0</v>
      </c>
      <c r="X33" s="66">
        <f>IF('Smart Search'!C13=1,IFERROR(1/'Smart Search'!H13,0),0)</f>
        <v>0.5</v>
      </c>
      <c r="Y33" s="66">
        <f>IF('Smart Search'!C13=1,IFERROR(1/'Smart Search'!H13,0),0)</f>
        <v>0.5</v>
      </c>
      <c r="Z33" s="66">
        <f>IF('Smart Search'!D13=1,IFERROR(1/'Smart Search'!H13,0),0)</f>
        <v>0</v>
      </c>
      <c r="AA33" s="66">
        <f>IF('Smart Search'!D13=1,IFERROR(1/'Smart Search'!H13,0),0)</f>
        <v>0</v>
      </c>
      <c r="AB33" s="66">
        <f>IF('Smart Search'!E13=1,IFERROR(1/'Smart Search'!H13,0),0)</f>
        <v>0</v>
      </c>
      <c r="AC33" s="66">
        <f>IF('Smart Search'!E13=1,IFERROR(1/'Smart Search'!H13,0),0)</f>
        <v>0</v>
      </c>
      <c r="AD33" s="66">
        <f>IF('Smart Search'!F13=1,IFERROR(1/'Smart Search'!H13,0),0)</f>
        <v>0</v>
      </c>
      <c r="AE33" s="66">
        <f>IF('Smart Search'!F13=1,IFERROR(1/'Smart Search'!H13,0),0)</f>
        <v>0</v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>0</v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>0</v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>0.6</v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>1</v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>0</v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>0</v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>0</v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>0</v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>0</v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>0</v>
      </c>
      <c r="AP33" s="66">
        <f t="shared" si="0"/>
        <v>0</v>
      </c>
      <c r="AQ33" s="66">
        <f t="shared" si="1"/>
        <v>0</v>
      </c>
      <c r="AR33" s="66">
        <f t="shared" si="2"/>
        <v>0.3</v>
      </c>
      <c r="AS33" s="66">
        <f t="shared" si="3"/>
        <v>0.5</v>
      </c>
      <c r="AT33" s="66">
        <f t="shared" si="4"/>
        <v>0</v>
      </c>
      <c r="AU33" s="66">
        <f t="shared" si="5"/>
        <v>0</v>
      </c>
      <c r="AV33" s="66">
        <f t="shared" si="6"/>
        <v>0</v>
      </c>
      <c r="AW33" s="66">
        <f t="shared" si="7"/>
        <v>0</v>
      </c>
      <c r="AX33" s="66">
        <f t="shared" si="8"/>
        <v>0</v>
      </c>
      <c r="AY33" s="66">
        <f t="shared" si="9"/>
        <v>0</v>
      </c>
      <c r="AZ33" s="66" t="str">
        <f>'Project Database'!Z37</f>
        <v>Autostore</v>
      </c>
      <c r="BA33" s="66">
        <f>IF(OR(A33="",'Smart Search'!H13=0),"",MAX(0,BE33*BF33*MAX(0,1-BG33)))</f>
        <v>0.8</v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>0</v>
      </c>
      <c r="BC33" s="66">
        <f>IF('Smart Search'!G13=1,IFERROR(1/'Smart Search'!H13,0),0)</f>
        <v>0</v>
      </c>
      <c r="BD33" s="66">
        <f t="shared" si="10"/>
        <v>0</v>
      </c>
      <c r="BE33" s="66">
        <f t="shared" si="11"/>
        <v>0.8</v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>1</v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>0</v>
      </c>
      <c r="BH33" s="5">
        <f>IF(AND('Project Database'!A37&lt;&gt;"",OR('Smart Search'!$L$5="",'Smart Search'!$L$5="All",TRIM('Project Database'!D37)=TRIM('Smart Search'!$L$5)),OR(TRIM('Smart Search'!$L$6)="",TRIM('Smart Search'!$L$6)="All",ISNUMBER(SEARCH(SUBSTITUTE(SUBSTITUTE(SUBSTITUTE(TRIM('Smart Search'!$L$6),"~","~~"),"*","~*"),"?","~?"),'Project Database'!C37))),OR('Smart Search'!$L$7="",AND('Project Database'!E37&lt;&gt;"",'Project Database'!E37='Smart Search'!$L$7)),OR('Smart Search'!$L$8="",'Smart Search'!$L$8="All",TRIM('Project Database'!F37)=TRIM('Smart Search'!$L$8))),IF(BA33="","",BA33+ROW()*0.0000000001),"")</f>
        <v>0.8000000033000001</v>
      </c>
      <c r="BI33" s="5" t="str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IF('Project Database'!A37="","",N('Project Database'!AC37))</f>
        <v>3.444602869956017E-2</v>
      </c>
      <c r="BK33" s="5">
        <f>IF('Project Database'!A37="","",N('Project Database'!AD37))</f>
        <v>0</v>
      </c>
      <c r="BL33" s="5">
        <f>IF('Project Database'!A37="","",N('Project Database'!AE37))</f>
        <v>3.2577048457189638E-2</v>
      </c>
      <c r="BM33" s="5">
        <f>IF('Project Database'!A37="","",N('Project Database'!AF37))</f>
        <v>0</v>
      </c>
      <c r="BN33" s="5">
        <f>IF('Project Database'!A37="","",N('Project Database'!AG37))</f>
        <v>3.6433635908538292E-2</v>
      </c>
      <c r="BO33" s="5">
        <f>IF('Project Database'!A37="","",N('Project Database'!AH37))</f>
        <v>0</v>
      </c>
      <c r="BP33" s="5">
        <f>IF('Project Database'!A37="","",N('Project Database'!AI37))</f>
        <v>1.5017999187251916E-2</v>
      </c>
      <c r="BQ33" s="5">
        <f>IF('Project Database'!A37="","",N('Project Database'!AJ37))</f>
        <v>0</v>
      </c>
      <c r="BR33" s="5">
        <f>IF('Project Database'!A37="","",N('Project Database'!AK37))</f>
        <v>0</v>
      </c>
      <c r="BS33" s="5">
        <f>IF('Project Database'!A37="","",N('Project Database'!AL37))</f>
        <v>2.5212433614306174E-4</v>
      </c>
      <c r="BT33" s="5">
        <f>IF('Project Database'!A37="","",N('Project Database'!AM37))</f>
        <v>4.0869455595146228E-3</v>
      </c>
      <c r="BU33" s="5">
        <f>IF('Project Database'!A37="","",N('Project Database'!AN37))</f>
        <v>0</v>
      </c>
      <c r="BV33" s="5">
        <f>IF('Project Database'!A37="","",N('Project Database'!AO37))</f>
        <v>9.428801895920387E-2</v>
      </c>
      <c r="BW33" s="5">
        <f>IF('Project Database'!A37="","",N('Project Database'!AP37))</f>
        <v>4.4380778986219394E-5</v>
      </c>
      <c r="BX33" s="5">
        <f t="shared" si="12"/>
        <v>0.21714618188638779</v>
      </c>
      <c r="BY33" s="5">
        <f t="shared" si="13"/>
        <v>1.63</v>
      </c>
    </row>
    <row r="34" spans="1:77" ht="15" customHeight="1" x14ac:dyDescent="0.3">
      <c r="A34" s="66" t="str">
        <f>'Project Database'!A38</f>
        <v>SC22126</v>
      </c>
      <c r="B34" s="66" t="str">
        <f>'Project Database'!B38</f>
        <v>Plexus Riverside</v>
      </c>
      <c r="C34" s="66">
        <f>'Project Database'!G38</f>
        <v>0</v>
      </c>
      <c r="D34" s="66">
        <f>'Project Database'!H38</f>
        <v>0</v>
      </c>
      <c r="E34" s="66">
        <f>'Project Database'!I38</f>
        <v>14</v>
      </c>
      <c r="F34" s="66">
        <f>'Project Database'!J38</f>
        <v>11000</v>
      </c>
      <c r="G34" s="66">
        <f>'Project Database'!K38</f>
        <v>0</v>
      </c>
      <c r="H34" s="66">
        <f>'Project Database'!L38</f>
        <v>0</v>
      </c>
      <c r="I34" s="66">
        <f>'Project Database'!M38</f>
        <v>0</v>
      </c>
      <c r="J34" s="66">
        <f>'Project Database'!N38</f>
        <v>0</v>
      </c>
      <c r="K34" s="66">
        <f>'Project Database'!O38</f>
        <v>0</v>
      </c>
      <c r="L34" s="66">
        <f>'Project Database'!P38</f>
        <v>0</v>
      </c>
      <c r="M34" s="66">
        <f>'Project Database'!Q38</f>
        <v>25</v>
      </c>
      <c r="N34" s="66">
        <f>'Project Database'!R38</f>
        <v>2</v>
      </c>
      <c r="O34" s="66">
        <f>'Project Database'!S38</f>
        <v>12</v>
      </c>
      <c r="P34" s="66">
        <f>'Project Database'!T38</f>
        <v>40</v>
      </c>
      <c r="Q34" s="66">
        <f>'Project Database'!U38</f>
        <v>10</v>
      </c>
      <c r="R34" s="66">
        <f>'Project Database'!V38</f>
        <v>15</v>
      </c>
      <c r="S34" s="66">
        <f>'Project Database'!W38</f>
        <v>52</v>
      </c>
      <c r="T34" s="66" t="str">
        <f>'Project Database'!X38</f>
        <v>USD</v>
      </c>
      <c r="U34" s="67">
        <f>'Project Database'!Y38</f>
        <v>1.79</v>
      </c>
      <c r="V34" s="66">
        <f>IF('Smart Search'!B13=1,IFERROR(1/'Smart Search'!H13,0),0)</f>
        <v>0</v>
      </c>
      <c r="W34" s="66">
        <f>IF('Smart Search'!B13=1,IFERROR(1/'Smart Search'!H13,0),0)</f>
        <v>0</v>
      </c>
      <c r="X34" s="66">
        <f>IF('Smart Search'!C13=1,IFERROR(1/'Smart Search'!H13,0),0)</f>
        <v>0.5</v>
      </c>
      <c r="Y34" s="66">
        <f>IF('Smart Search'!C13=1,IFERROR(1/'Smart Search'!H13,0),0)</f>
        <v>0.5</v>
      </c>
      <c r="Z34" s="66">
        <f>IF('Smart Search'!D13=1,IFERROR(1/'Smart Search'!H13,0),0)</f>
        <v>0</v>
      </c>
      <c r="AA34" s="66">
        <f>IF('Smart Search'!D13=1,IFERROR(1/'Smart Search'!H13,0),0)</f>
        <v>0</v>
      </c>
      <c r="AB34" s="66">
        <f>IF('Smart Search'!E13=1,IFERROR(1/'Smart Search'!H13,0),0)</f>
        <v>0</v>
      </c>
      <c r="AC34" s="66">
        <f>IF('Smart Search'!E13=1,IFERROR(1/'Smart Search'!H13,0),0)</f>
        <v>0</v>
      </c>
      <c r="AD34" s="66">
        <f>IF('Smart Search'!F13=1,IFERROR(1/'Smart Search'!H13,0),0)</f>
        <v>0</v>
      </c>
      <c r="AE34" s="66">
        <f>IF('Smart Search'!F13=1,IFERROR(1/'Smart Search'!H13,0),0)</f>
        <v>0</v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>0</v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>0</v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>0.7</v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>0.90909090909090906</v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>0</v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>0</v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>0</v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>0</v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>0</v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>0</v>
      </c>
      <c r="AP34" s="66">
        <f t="shared" si="0"/>
        <v>0</v>
      </c>
      <c r="AQ34" s="66">
        <f t="shared" si="1"/>
        <v>0</v>
      </c>
      <c r="AR34" s="66">
        <f t="shared" si="2"/>
        <v>0.35</v>
      </c>
      <c r="AS34" s="66">
        <f t="shared" si="3"/>
        <v>0.45454545454545453</v>
      </c>
      <c r="AT34" s="66">
        <f t="shared" si="4"/>
        <v>0</v>
      </c>
      <c r="AU34" s="66">
        <f t="shared" si="5"/>
        <v>0</v>
      </c>
      <c r="AV34" s="66">
        <f t="shared" si="6"/>
        <v>0</v>
      </c>
      <c r="AW34" s="66">
        <f t="shared" si="7"/>
        <v>0</v>
      </c>
      <c r="AX34" s="66">
        <f t="shared" si="8"/>
        <v>0</v>
      </c>
      <c r="AY34" s="66">
        <f t="shared" si="9"/>
        <v>0</v>
      </c>
      <c r="AZ34" s="66" t="str">
        <f>'Project Database'!Z38</f>
        <v>Autostore</v>
      </c>
      <c r="BA34" s="66">
        <f>IF(OR(A34="",'Smart Search'!H13=0),"",MAX(0,BE34*BF34*MAX(0,1-BG34)))</f>
        <v>0.80454545454545445</v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>0</v>
      </c>
      <c r="BC34" s="66">
        <f>IF('Smart Search'!G13=1,IFERROR(1/'Smart Search'!H13,0),0)</f>
        <v>0</v>
      </c>
      <c r="BD34" s="66">
        <f t="shared" si="10"/>
        <v>0</v>
      </c>
      <c r="BE34" s="66">
        <f t="shared" si="11"/>
        <v>0.80454545454545445</v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>1</v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>0</v>
      </c>
      <c r="BH34" s="5">
        <f>IF(AND('Project Database'!A38&lt;&gt;"",OR('Smart Search'!$L$5="",'Smart Search'!$L$5="All",TRIM('Project Database'!D38)=TRIM('Smart Search'!$L$5)),OR(TRIM('Smart Search'!$L$6)="",TRIM('Smart Search'!$L$6)="All",ISNUMBER(SEARCH(SUBSTITUTE(SUBSTITUTE(SUBSTITUTE(TRIM('Smart Search'!$L$6),"~","~~"),"*","~*"),"?","~?"),'Project Database'!C38))),OR('Smart Search'!$L$7="",AND('Project Database'!E38&lt;&gt;"",'Project Database'!E38='Smart Search'!$L$7)),OR('Smart Search'!$L$8="",'Smart Search'!$L$8="All",TRIM('Project Database'!F38)=TRIM('Smart Search'!$L$8))),IF(BA34="","",BA34+ROW()*0.0000000001),"")</f>
        <v>0.8045454579454544</v>
      </c>
      <c r="BI34" s="5" t="str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IF('Project Database'!A38="","",N('Project Database'!AC38))</f>
        <v>3.0585652025361378E-2</v>
      </c>
      <c r="BK34" s="5">
        <f>IF('Project Database'!A38="","",N('Project Database'!AD38))</f>
        <v>6.6329113601896299E-3</v>
      </c>
      <c r="BL34" s="5">
        <f>IF('Project Database'!A38="","",N('Project Database'!AE38))</f>
        <v>5.1984802925830555E-2</v>
      </c>
      <c r="BM34" s="5">
        <f>IF('Project Database'!A38="","",N('Project Database'!AF38))</f>
        <v>0</v>
      </c>
      <c r="BN34" s="5">
        <f>IF('Project Database'!A38="","",N('Project Database'!AG38))</f>
        <v>5.7168810674455284E-3</v>
      </c>
      <c r="BO34" s="5">
        <f>IF('Project Database'!A38="","",N('Project Database'!AH38))</f>
        <v>0</v>
      </c>
      <c r="BP34" s="5">
        <f>IF('Project Database'!A38="","",N('Project Database'!AI38))</f>
        <v>1.0319314066555891E-2</v>
      </c>
      <c r="BQ34" s="5">
        <f>IF('Project Database'!A38="","",N('Project Database'!AJ38))</f>
        <v>0</v>
      </c>
      <c r="BR34" s="5">
        <f>IF('Project Database'!A38="","",N('Project Database'!AK38))</f>
        <v>0</v>
      </c>
      <c r="BS34" s="5">
        <f>IF('Project Database'!A38="","",N('Project Database'!AL38))</f>
        <v>0</v>
      </c>
      <c r="BT34" s="5">
        <f>IF('Project Database'!A38="","",N('Project Database'!AM38))</f>
        <v>0</v>
      </c>
      <c r="BU34" s="5">
        <f>IF('Project Database'!A38="","",N('Project Database'!AN38))</f>
        <v>0</v>
      </c>
      <c r="BV34" s="5">
        <f>IF('Project Database'!A38="","",N('Project Database'!AO38))</f>
        <v>0.14425470114306677</v>
      </c>
      <c r="BW34" s="5">
        <f>IF('Project Database'!A38="","",N('Project Database'!AP38))</f>
        <v>0</v>
      </c>
      <c r="BX34" s="5">
        <f t="shared" si="12"/>
        <v>0.24949426258844976</v>
      </c>
      <c r="BY34" s="5">
        <f t="shared" si="13"/>
        <v>1.79</v>
      </c>
    </row>
    <row r="35" spans="1:77" ht="15" customHeight="1" x14ac:dyDescent="0.3">
      <c r="A35" s="66" t="str">
        <f>'Project Database'!A39</f>
        <v>SW31179</v>
      </c>
      <c r="B35" s="66" t="str">
        <f>'Project Database'!B39</f>
        <v>Caterpillar Autostore</v>
      </c>
      <c r="C35" s="66">
        <f>'Project Database'!G39</f>
        <v>0</v>
      </c>
      <c r="D35" s="66">
        <f>'Project Database'!H39</f>
        <v>0</v>
      </c>
      <c r="E35" s="66">
        <f>'Project Database'!I39</f>
        <v>84</v>
      </c>
      <c r="F35" s="66">
        <f>'Project Database'!J39</f>
        <v>163000</v>
      </c>
      <c r="G35" s="66">
        <f>'Project Database'!K39</f>
        <v>0</v>
      </c>
      <c r="H35" s="66">
        <f>'Project Database'!L39</f>
        <v>0</v>
      </c>
      <c r="I35" s="66">
        <f>'Project Database'!M39</f>
        <v>0</v>
      </c>
      <c r="J35" s="66">
        <f>'Project Database'!N39</f>
        <v>0</v>
      </c>
      <c r="K35" s="66">
        <f>'Project Database'!O39</f>
        <v>300</v>
      </c>
      <c r="L35" s="66">
        <f>'Project Database'!P39</f>
        <v>0</v>
      </c>
      <c r="M35" s="66">
        <f>'Project Database'!Q39</f>
        <v>24</v>
      </c>
      <c r="N35" s="66">
        <f>'Project Database'!R39</f>
        <v>27</v>
      </c>
      <c r="O35" s="66">
        <f>'Project Database'!S39</f>
        <v>9</v>
      </c>
      <c r="P35" s="66">
        <f>'Project Database'!T39</f>
        <v>26</v>
      </c>
      <c r="Q35" s="66">
        <f>'Project Database'!U39</f>
        <v>15</v>
      </c>
      <c r="R35" s="66">
        <f>'Project Database'!V39</f>
        <v>22</v>
      </c>
      <c r="S35" s="66">
        <f>'Project Database'!W39</f>
        <v>52</v>
      </c>
      <c r="T35" s="66" t="str">
        <f>'Project Database'!X39</f>
        <v>SGD</v>
      </c>
      <c r="U35" s="67">
        <f>'Project Database'!Y39</f>
        <v>16.899999999999999</v>
      </c>
      <c r="V35" s="66">
        <f>IF('Smart Search'!B13=1,IFERROR(1/'Smart Search'!H13,0),0)</f>
        <v>0</v>
      </c>
      <c r="W35" s="66">
        <f>IF('Smart Search'!B13=1,IFERROR(1/'Smart Search'!H13,0),0)</f>
        <v>0</v>
      </c>
      <c r="X35" s="66">
        <f>IF('Smart Search'!C13=1,IFERROR(1/'Smart Search'!H13,0),0)</f>
        <v>0.5</v>
      </c>
      <c r="Y35" s="66">
        <f>IF('Smart Search'!C13=1,IFERROR(1/'Smart Search'!H13,0),0)</f>
        <v>0.5</v>
      </c>
      <c r="Z35" s="66">
        <f>IF('Smart Search'!D13=1,IFERROR(1/'Smart Search'!H13,0),0)</f>
        <v>0</v>
      </c>
      <c r="AA35" s="66">
        <f>IF('Smart Search'!D13=1,IFERROR(1/'Smart Search'!H13,0),0)</f>
        <v>0</v>
      </c>
      <c r="AB35" s="66">
        <f>IF('Smart Search'!E13=1,IFERROR(1/'Smart Search'!H13,0),0)</f>
        <v>0</v>
      </c>
      <c r="AC35" s="66">
        <f>IF('Smart Search'!E13=1,IFERROR(1/'Smart Search'!H13,0),0)</f>
        <v>0</v>
      </c>
      <c r="AD35" s="66">
        <f>IF('Smart Search'!F13=1,IFERROR(1/'Smart Search'!H13,0),0)</f>
        <v>0</v>
      </c>
      <c r="AE35" s="66">
        <f>IF('Smart Search'!F13=1,IFERROR(1/'Smart Search'!H13,0),0)</f>
        <v>0</v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>0</v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>0</v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>0.23809523809523814</v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>6.1349693251533721E-2</v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>0</v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>0</v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>0</v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>0</v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>0</v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>0</v>
      </c>
      <c r="AP35" s="66">
        <f t="shared" si="0"/>
        <v>0</v>
      </c>
      <c r="AQ35" s="66">
        <f t="shared" si="1"/>
        <v>0</v>
      </c>
      <c r="AR35" s="66">
        <f t="shared" si="2"/>
        <v>0.11904761904761907</v>
      </c>
      <c r="AS35" s="66">
        <f t="shared" si="3"/>
        <v>3.0674846625766861E-2</v>
      </c>
      <c r="AT35" s="66">
        <f t="shared" si="4"/>
        <v>0</v>
      </c>
      <c r="AU35" s="66">
        <f t="shared" si="5"/>
        <v>0</v>
      </c>
      <c r="AV35" s="66">
        <f t="shared" si="6"/>
        <v>0</v>
      </c>
      <c r="AW35" s="66">
        <f t="shared" si="7"/>
        <v>0</v>
      </c>
      <c r="AX35" s="66">
        <f t="shared" si="8"/>
        <v>0</v>
      </c>
      <c r="AY35" s="66">
        <f t="shared" si="9"/>
        <v>0</v>
      </c>
      <c r="AZ35" s="66" t="str">
        <f>'Project Database'!Z39</f>
        <v>Autostore MCS</v>
      </c>
      <c r="BA35" s="66">
        <f>IF(OR(A35="",'Smart Search'!H13=0),"",MAX(0,BE35*BF35*MAX(0,1-BG35)))</f>
        <v>0.11229184925503945</v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>0</v>
      </c>
      <c r="BC35" s="66">
        <f>IF('Smart Search'!G13=1,IFERROR(1/'Smart Search'!H13,0),0)</f>
        <v>0</v>
      </c>
      <c r="BD35" s="66">
        <f t="shared" si="10"/>
        <v>0</v>
      </c>
      <c r="BE35" s="66">
        <f t="shared" si="11"/>
        <v>0.14972246567338593</v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>1</v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>0.25</v>
      </c>
      <c r="BH35" s="5">
        <f>IF(AND('Project Database'!A39&lt;&gt;"",OR('Smart Search'!$L$5="",'Smart Search'!$L$5="All",TRIM('Project Database'!D39)=TRIM('Smart Search'!$L$5)),OR(TRIM('Smart Search'!$L$6)="",TRIM('Smart Search'!$L$6)="All",ISNUMBER(SEARCH(SUBSTITUTE(SUBSTITUTE(SUBSTITUTE(TRIM('Smart Search'!$L$6),"~","~~"),"*","~*"),"?","~?"),'Project Database'!C39))),OR('Smart Search'!$L$7="",AND('Project Database'!E39&lt;&gt;"",'Project Database'!E39='Smart Search'!$L$7)),OR('Smart Search'!$L$8="",'Smart Search'!$L$8="All",TRIM('Project Database'!F39)=TRIM('Smart Search'!$L$8))),IF(BA35="","",BA35+ROW()*0.0000000001),"")</f>
        <v>0.11229185275503945</v>
      </c>
      <c r="BI35" s="5" t="str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IF('Project Database'!A39="","",N('Project Database'!AC39))</f>
        <v>0</v>
      </c>
      <c r="BK35" s="5">
        <f>IF('Project Database'!A39="","",N('Project Database'!AD39))</f>
        <v>0</v>
      </c>
      <c r="BL35" s="5">
        <f>IF('Project Database'!A39="","",N('Project Database'!AE39))</f>
        <v>0</v>
      </c>
      <c r="BM35" s="5">
        <f>IF('Project Database'!A39="","",N('Project Database'!AF39))</f>
        <v>0</v>
      </c>
      <c r="BN35" s="5">
        <f>IF('Project Database'!A39="","",N('Project Database'!AG39))</f>
        <v>0</v>
      </c>
      <c r="BO35" s="5">
        <f>IF('Project Database'!A39="","",N('Project Database'!AH39))</f>
        <v>0</v>
      </c>
      <c r="BP35" s="5">
        <f>IF('Project Database'!A39="","",N('Project Database'!AI39))</f>
        <v>0</v>
      </c>
      <c r="BQ35" s="5">
        <f>IF('Project Database'!A39="","",N('Project Database'!AJ39))</f>
        <v>0</v>
      </c>
      <c r="BR35" s="5">
        <f>IF('Project Database'!A39="","",N('Project Database'!AK39))</f>
        <v>0</v>
      </c>
      <c r="BS35" s="5">
        <f>IF('Project Database'!A39="","",N('Project Database'!AL39))</f>
        <v>0</v>
      </c>
      <c r="BT35" s="5">
        <f>IF('Project Database'!A39="","",N('Project Database'!AM39))</f>
        <v>0</v>
      </c>
      <c r="BU35" s="5">
        <f>IF('Project Database'!A39="","",N('Project Database'!AN39))</f>
        <v>0</v>
      </c>
      <c r="BV35" s="5">
        <f>IF('Project Database'!A39="","",N('Project Database'!AO39))</f>
        <v>0</v>
      </c>
      <c r="BW35" s="5">
        <f>IF('Project Database'!A39="","",N('Project Database'!AP39))</f>
        <v>0</v>
      </c>
      <c r="BX35" s="5">
        <f t="shared" si="12"/>
        <v>0</v>
      </c>
      <c r="BY35" s="5">
        <f t="shared" si="13"/>
        <v>16.899999999999999</v>
      </c>
    </row>
    <row r="36" spans="1:77" ht="15" customHeight="1" x14ac:dyDescent="0.3">
      <c r="A36" s="66" t="str">
        <f>'Project Database'!A40</f>
        <v>SC22103</v>
      </c>
      <c r="B36" s="66" t="str">
        <f>'Project Database'!B40</f>
        <v>WDS Tainan</v>
      </c>
      <c r="C36" s="66">
        <f>'Project Database'!G40</f>
        <v>78</v>
      </c>
      <c r="D36" s="66">
        <f>'Project Database'!H40</f>
        <v>15000</v>
      </c>
      <c r="E36" s="66">
        <f>'Project Database'!I40</f>
        <v>0</v>
      </c>
      <c r="F36" s="66">
        <f>'Project Database'!J40</f>
        <v>0</v>
      </c>
      <c r="G36" s="66">
        <f>'Project Database'!K40</f>
        <v>0</v>
      </c>
      <c r="H36" s="66">
        <f>'Project Database'!L40</f>
        <v>0</v>
      </c>
      <c r="I36" s="66">
        <f>'Project Database'!M40</f>
        <v>0</v>
      </c>
      <c r="J36" s="66">
        <f>'Project Database'!N40</f>
        <v>0</v>
      </c>
      <c r="K36" s="66">
        <f>'Project Database'!O40</f>
        <v>2400</v>
      </c>
      <c r="L36" s="66">
        <f>'Project Database'!P40</f>
        <v>100</v>
      </c>
      <c r="M36" s="66">
        <f>'Project Database'!Q40</f>
        <v>56</v>
      </c>
      <c r="N36" s="66">
        <f>'Project Database'!R40</f>
        <v>38</v>
      </c>
      <c r="O36" s="66">
        <f>'Project Database'!S40</f>
        <v>12</v>
      </c>
      <c r="P36" s="66">
        <f>'Project Database'!T40</f>
        <v>75</v>
      </c>
      <c r="Q36" s="66">
        <f>'Project Database'!U40</f>
        <v>57</v>
      </c>
      <c r="R36" s="66">
        <f>'Project Database'!V40</f>
        <v>50</v>
      </c>
      <c r="S36" s="66">
        <f>'Project Database'!W40</f>
        <v>120</v>
      </c>
      <c r="T36" s="66" t="str">
        <f>'Project Database'!X40</f>
        <v>USD</v>
      </c>
      <c r="U36" s="67">
        <f>'Project Database'!Y40</f>
        <v>22.03</v>
      </c>
      <c r="V36" s="66">
        <f>IF('Smart Search'!B13=1,IFERROR(1/'Smart Search'!H13,0),0)</f>
        <v>0</v>
      </c>
      <c r="W36" s="66">
        <f>IF('Smart Search'!B13=1,IFERROR(1/'Smart Search'!H13,0),0)</f>
        <v>0</v>
      </c>
      <c r="X36" s="66">
        <f>IF('Smart Search'!C13=1,IFERROR(1/'Smart Search'!H13,0),0)</f>
        <v>0.5</v>
      </c>
      <c r="Y36" s="66">
        <f>IF('Smart Search'!C13=1,IFERROR(1/'Smart Search'!H13,0),0)</f>
        <v>0.5</v>
      </c>
      <c r="Z36" s="66">
        <f>IF('Smart Search'!D13=1,IFERROR(1/'Smart Search'!H13,0),0)</f>
        <v>0</v>
      </c>
      <c r="AA36" s="66">
        <f>IF('Smart Search'!D13=1,IFERROR(1/'Smart Search'!H13,0),0)</f>
        <v>0</v>
      </c>
      <c r="AB36" s="66">
        <f>IF('Smart Search'!E13=1,IFERROR(1/'Smart Search'!H13,0),0)</f>
        <v>0</v>
      </c>
      <c r="AC36" s="66">
        <f>IF('Smart Search'!E13=1,IFERROR(1/'Smart Search'!H13,0),0)</f>
        <v>0</v>
      </c>
      <c r="AD36" s="66">
        <f>IF('Smart Search'!F13=1,IFERROR(1/'Smart Search'!H13,0),0)</f>
        <v>0</v>
      </c>
      <c r="AE36" s="66">
        <f>IF('Smart Search'!F13=1,IFERROR(1/'Smart Search'!H13,0),0)</f>
        <v>0</v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>0</v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>0</v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>0</v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>0</v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>0</v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>0</v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>0</v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>0</v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>0</v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>0</v>
      </c>
      <c r="AP36" s="66">
        <f t="shared" si="0"/>
        <v>0</v>
      </c>
      <c r="AQ36" s="66">
        <f t="shared" si="1"/>
        <v>0</v>
      </c>
      <c r="AR36" s="66">
        <f t="shared" si="2"/>
        <v>0</v>
      </c>
      <c r="AS36" s="66">
        <f t="shared" si="3"/>
        <v>0</v>
      </c>
      <c r="AT36" s="66">
        <f t="shared" si="4"/>
        <v>0</v>
      </c>
      <c r="AU36" s="66">
        <f t="shared" si="5"/>
        <v>0</v>
      </c>
      <c r="AV36" s="66">
        <f t="shared" si="6"/>
        <v>0</v>
      </c>
      <c r="AW36" s="66">
        <f t="shared" si="7"/>
        <v>0</v>
      </c>
      <c r="AX36" s="66">
        <f t="shared" si="8"/>
        <v>0</v>
      </c>
      <c r="AY36" s="66">
        <f t="shared" si="9"/>
        <v>0</v>
      </c>
      <c r="AZ36" s="66" t="str">
        <f>'Project Database'!Z40</f>
        <v>XB Sorter CBS crossbelt MCS DMS BK25 PTL Mezzanine Selective Rack</v>
      </c>
      <c r="BA36" s="66">
        <f>IF(OR(A36="",'Smart Search'!H13=0),"",MAX(0,BE36*BF36*MAX(0,1-BG36)))</f>
        <v>0</v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>0</v>
      </c>
      <c r="BC36" s="66">
        <f>IF('Smart Search'!G13=1,IFERROR(1/'Smart Search'!H13,0),0)</f>
        <v>0</v>
      </c>
      <c r="BD36" s="66">
        <f t="shared" si="10"/>
        <v>0</v>
      </c>
      <c r="BE36" s="66">
        <f t="shared" si="11"/>
        <v>0</v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>0</v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>0.5</v>
      </c>
      <c r="BH36" s="5">
        <f>IF(AND('Project Database'!A40&lt;&gt;"",OR('Smart Search'!$L$5="",'Smart Search'!$L$5="All",TRIM('Project Database'!D40)=TRIM('Smart Search'!$L$5)),OR(TRIM('Smart Search'!$L$6)="",TRIM('Smart Search'!$L$6)="All",ISNUMBER(SEARCH(SUBSTITUTE(SUBSTITUTE(SUBSTITUTE(TRIM('Smart Search'!$L$6),"~","~~"),"*","~*"),"?","~?"),'Project Database'!C40))),OR('Smart Search'!$L$7="",AND('Project Database'!E40&lt;&gt;"",'Project Database'!E40='Smart Search'!$L$7)),OR('Smart Search'!$L$8="",'Smart Search'!$L$8="All",TRIM('Project Database'!F40)=TRIM('Smart Search'!$L$8))),IF(BA36="","",BA36+ROW()*0.0000000001),"")</f>
        <v>3.6E-9</v>
      </c>
      <c r="BI36" s="5" t="str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 xml:space="preserve">Multishuttle, </v>
      </c>
      <c r="BJ36" s="5">
        <f>IF('Project Database'!A40="","",N('Project Database'!AC40))</f>
        <v>0</v>
      </c>
      <c r="BK36" s="5">
        <f>IF('Project Database'!A40="","",N('Project Database'!AD40))</f>
        <v>0</v>
      </c>
      <c r="BL36" s="5">
        <f>IF('Project Database'!A40="","",N('Project Database'!AE40))</f>
        <v>0</v>
      </c>
      <c r="BM36" s="5">
        <f>IF('Project Database'!A40="","",N('Project Database'!AF40))</f>
        <v>0</v>
      </c>
      <c r="BN36" s="5">
        <f>IF('Project Database'!A40="","",N('Project Database'!AG40))</f>
        <v>0</v>
      </c>
      <c r="BO36" s="5">
        <f>IF('Project Database'!A40="","",N('Project Database'!AH40))</f>
        <v>0</v>
      </c>
      <c r="BP36" s="5">
        <f>IF('Project Database'!A40="","",N('Project Database'!AI40))</f>
        <v>0</v>
      </c>
      <c r="BQ36" s="5">
        <f>IF('Project Database'!A40="","",N('Project Database'!AJ40))</f>
        <v>0</v>
      </c>
      <c r="BR36" s="5">
        <f>IF('Project Database'!A40="","",N('Project Database'!AK40))</f>
        <v>0</v>
      </c>
      <c r="BS36" s="5">
        <f>IF('Project Database'!A40="","",N('Project Database'!AL40))</f>
        <v>0</v>
      </c>
      <c r="BT36" s="5">
        <f>IF('Project Database'!A40="","",N('Project Database'!AM40))</f>
        <v>0</v>
      </c>
      <c r="BU36" s="5">
        <f>IF('Project Database'!A40="","",N('Project Database'!AN40))</f>
        <v>0</v>
      </c>
      <c r="BV36" s="5">
        <f>IF('Project Database'!A40="","",N('Project Database'!AO40))</f>
        <v>0</v>
      </c>
      <c r="BW36" s="5">
        <f>IF('Project Database'!A40="","",N('Project Database'!AP40))</f>
        <v>0</v>
      </c>
      <c r="BX36" s="5">
        <f t="shared" si="12"/>
        <v>0</v>
      </c>
      <c r="BY36" s="5">
        <f t="shared" si="13"/>
        <v>22.03</v>
      </c>
    </row>
    <row r="37" spans="1:77" ht="15" customHeight="1" x14ac:dyDescent="0.3">
      <c r="A37" s="66" t="str">
        <f>'Project Database'!A41</f>
        <v>SC22136</v>
      </c>
      <c r="B37" s="66" t="str">
        <f>'Project Database'!B41</f>
        <v>WDS Keelung</v>
      </c>
      <c r="C37" s="66">
        <f>'Project Database'!G41</f>
        <v>0</v>
      </c>
      <c r="D37" s="66">
        <f>'Project Database'!H41</f>
        <v>0</v>
      </c>
      <c r="E37" s="66">
        <f>'Project Database'!I41</f>
        <v>0</v>
      </c>
      <c r="F37" s="66">
        <f>'Project Database'!J41</f>
        <v>0</v>
      </c>
      <c r="G37" s="66">
        <f>'Project Database'!K41</f>
        <v>0</v>
      </c>
      <c r="H37" s="66">
        <f>'Project Database'!L41</f>
        <v>0</v>
      </c>
      <c r="I37" s="66">
        <f>'Project Database'!M41</f>
        <v>0</v>
      </c>
      <c r="J37" s="66">
        <f>'Project Database'!N41</f>
        <v>0</v>
      </c>
      <c r="K37" s="66">
        <f>'Project Database'!O41</f>
        <v>800</v>
      </c>
      <c r="L37" s="66">
        <f>'Project Database'!P41</f>
        <v>0</v>
      </c>
      <c r="M37" s="66">
        <f>'Project Database'!Q41</f>
        <v>60</v>
      </c>
      <c r="N37" s="66">
        <f>'Project Database'!R41</f>
        <v>40</v>
      </c>
      <c r="O37" s="66">
        <f>'Project Database'!S41</f>
        <v>12</v>
      </c>
      <c r="P37" s="66">
        <f>'Project Database'!T41</f>
        <v>69</v>
      </c>
      <c r="Q37" s="66">
        <f>'Project Database'!U41</f>
        <v>26</v>
      </c>
      <c r="R37" s="66">
        <f>'Project Database'!V41</f>
        <v>40</v>
      </c>
      <c r="S37" s="66">
        <f>'Project Database'!W41</f>
        <v>105</v>
      </c>
      <c r="T37" s="66" t="str">
        <f>'Project Database'!X41</f>
        <v>USD</v>
      </c>
      <c r="U37" s="67">
        <f>'Project Database'!Y41</f>
        <v>9.52</v>
      </c>
      <c r="V37" s="66">
        <f>IF('Smart Search'!B13=1,IFERROR(1/'Smart Search'!H13,0),0)</f>
        <v>0</v>
      </c>
      <c r="W37" s="66">
        <f>IF('Smart Search'!B13=1,IFERROR(1/'Smart Search'!H13,0),0)</f>
        <v>0</v>
      </c>
      <c r="X37" s="66">
        <f>IF('Smart Search'!C13=1,IFERROR(1/'Smart Search'!H13,0),0)</f>
        <v>0.5</v>
      </c>
      <c r="Y37" s="66">
        <f>IF('Smart Search'!C13=1,IFERROR(1/'Smart Search'!H13,0),0)</f>
        <v>0.5</v>
      </c>
      <c r="Z37" s="66">
        <f>IF('Smart Search'!D13=1,IFERROR(1/'Smart Search'!H13,0),0)</f>
        <v>0</v>
      </c>
      <c r="AA37" s="66">
        <f>IF('Smart Search'!D13=1,IFERROR(1/'Smart Search'!H13,0),0)</f>
        <v>0</v>
      </c>
      <c r="AB37" s="66">
        <f>IF('Smart Search'!E13=1,IFERROR(1/'Smart Search'!H13,0),0)</f>
        <v>0</v>
      </c>
      <c r="AC37" s="66">
        <f>IF('Smart Search'!E13=1,IFERROR(1/'Smart Search'!H13,0),0)</f>
        <v>0</v>
      </c>
      <c r="AD37" s="66">
        <f>IF('Smart Search'!F13=1,IFERROR(1/'Smart Search'!H13,0),0)</f>
        <v>0</v>
      </c>
      <c r="AE37" s="66">
        <f>IF('Smart Search'!F13=1,IFERROR(1/'Smart Search'!H13,0),0)</f>
        <v>0</v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>0</v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>0</v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>0</v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>0</v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>0</v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>0</v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>0</v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>0</v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>0</v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>0</v>
      </c>
      <c r="AP37" s="66">
        <f t="shared" si="0"/>
        <v>0</v>
      </c>
      <c r="AQ37" s="66">
        <f t="shared" si="1"/>
        <v>0</v>
      </c>
      <c r="AR37" s="66">
        <f t="shared" si="2"/>
        <v>0</v>
      </c>
      <c r="AS37" s="66">
        <f t="shared" si="3"/>
        <v>0</v>
      </c>
      <c r="AT37" s="66">
        <f t="shared" si="4"/>
        <v>0</v>
      </c>
      <c r="AU37" s="66">
        <f t="shared" si="5"/>
        <v>0</v>
      </c>
      <c r="AV37" s="66">
        <f t="shared" si="6"/>
        <v>0</v>
      </c>
      <c r="AW37" s="66">
        <f t="shared" si="7"/>
        <v>0</v>
      </c>
      <c r="AX37" s="66">
        <f t="shared" si="8"/>
        <v>0</v>
      </c>
      <c r="AY37" s="66">
        <f t="shared" si="9"/>
        <v>0</v>
      </c>
      <c r="AZ37" s="66" t="str">
        <f>'Project Database'!Z41</f>
        <v>XB Sorter CBS Crossbelt MCS Libiao Mezzanine</v>
      </c>
      <c r="BA37" s="66">
        <f>IF(OR(A37="",'Smart Search'!H13=0),"",MAX(0,BE37*BF37*MAX(0,1-BG37)))</f>
        <v>0</v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>0</v>
      </c>
      <c r="BC37" s="66">
        <f>IF('Smart Search'!G13=1,IFERROR(1/'Smart Search'!H13,0),0)</f>
        <v>0</v>
      </c>
      <c r="BD37" s="66">
        <f t="shared" si="10"/>
        <v>0</v>
      </c>
      <c r="BE37" s="66">
        <f t="shared" si="11"/>
        <v>0</v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>0</v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>0.25</v>
      </c>
      <c r="BH37" s="5">
        <f>IF(AND('Project Database'!A41&lt;&gt;"",OR('Smart Search'!$L$5="",'Smart Search'!$L$5="All",TRIM('Project Database'!D41)=TRIM('Smart Search'!$L$5)),OR(TRIM('Smart Search'!$L$6)="",TRIM('Smart Search'!$L$6)="All",ISNUMBER(SEARCH(SUBSTITUTE(SUBSTITUTE(SUBSTITUTE(TRIM('Smart Search'!$L$6),"~","~~"),"*","~*"),"?","~?"),'Project Database'!C41))),OR('Smart Search'!$L$7="",AND('Project Database'!E41&lt;&gt;"",'Project Database'!E41='Smart Search'!$L$7)),OR('Smart Search'!$L$8="",'Smart Search'!$L$8="All",TRIM('Project Database'!F41)=TRIM('Smart Search'!$L$8))),IF(BA37="","",BA37+ROW()*0.0000000001),"")</f>
        <v>3.7E-9</v>
      </c>
      <c r="BI37" s="5" t="str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IF('Project Database'!A41="","",N('Project Database'!AC41))</f>
        <v>0</v>
      </c>
      <c r="BK37" s="5">
        <f>IF('Project Database'!A41="","",N('Project Database'!AD41))</f>
        <v>0</v>
      </c>
      <c r="BL37" s="5">
        <f>IF('Project Database'!A41="","",N('Project Database'!AE41))</f>
        <v>0</v>
      </c>
      <c r="BM37" s="5">
        <f>IF('Project Database'!A41="","",N('Project Database'!AF41))</f>
        <v>0</v>
      </c>
      <c r="BN37" s="5">
        <f>IF('Project Database'!A41="","",N('Project Database'!AG41))</f>
        <v>0</v>
      </c>
      <c r="BO37" s="5">
        <f>IF('Project Database'!A41="","",N('Project Database'!AH41))</f>
        <v>0</v>
      </c>
      <c r="BP37" s="5">
        <f>IF('Project Database'!A41="","",N('Project Database'!AI41))</f>
        <v>0</v>
      </c>
      <c r="BQ37" s="5">
        <f>IF('Project Database'!A41="","",N('Project Database'!AJ41))</f>
        <v>0</v>
      </c>
      <c r="BR37" s="5">
        <f>IF('Project Database'!A41="","",N('Project Database'!AK41))</f>
        <v>0</v>
      </c>
      <c r="BS37" s="5">
        <f>IF('Project Database'!A41="","",N('Project Database'!AL41))</f>
        <v>0</v>
      </c>
      <c r="BT37" s="5">
        <f>IF('Project Database'!A41="","",N('Project Database'!AM41))</f>
        <v>0</v>
      </c>
      <c r="BU37" s="5">
        <f>IF('Project Database'!A41="","",N('Project Database'!AN41))</f>
        <v>0</v>
      </c>
      <c r="BV37" s="5">
        <f>IF('Project Database'!A41="","",N('Project Database'!AO41))</f>
        <v>0</v>
      </c>
      <c r="BW37" s="5">
        <f>IF('Project Database'!A41="","",N('Project Database'!AP41))</f>
        <v>0</v>
      </c>
      <c r="BX37" s="5">
        <f t="shared" si="12"/>
        <v>0</v>
      </c>
      <c r="BY37" s="5">
        <f t="shared" si="13"/>
        <v>9.52</v>
      </c>
    </row>
    <row r="38" spans="1:77" ht="15" customHeight="1" x14ac:dyDescent="0.3">
      <c r="A38" s="66" t="str">
        <f>'Project Database'!A42</f>
        <v>SW31344</v>
      </c>
      <c r="B38" s="66" t="str">
        <f>'Project Database'!B42</f>
        <v>DHL Project Consumer</v>
      </c>
      <c r="C38" s="66">
        <f>'Project Database'!G42</f>
        <v>0</v>
      </c>
      <c r="D38" s="66">
        <f>'Project Database'!H42</f>
        <v>0</v>
      </c>
      <c r="E38" s="66">
        <f>'Project Database'!I42</f>
        <v>0</v>
      </c>
      <c r="F38" s="66">
        <f>'Project Database'!J42</f>
        <v>0</v>
      </c>
      <c r="G38" s="66">
        <f>'Project Database'!K42</f>
        <v>56</v>
      </c>
      <c r="H38" s="66">
        <f>'Project Database'!L42</f>
        <v>45000</v>
      </c>
      <c r="I38" s="66">
        <f>'Project Database'!M42</f>
        <v>0</v>
      </c>
      <c r="J38" s="66">
        <f>'Project Database'!N42</f>
        <v>0</v>
      </c>
      <c r="K38" s="66">
        <f>'Project Database'!O42</f>
        <v>0</v>
      </c>
      <c r="L38" s="66">
        <f>'Project Database'!P42</f>
        <v>178</v>
      </c>
      <c r="M38" s="66">
        <f>'Project Database'!Q42</f>
        <v>52</v>
      </c>
      <c r="N38" s="66">
        <f>'Project Database'!R42</f>
        <v>0</v>
      </c>
      <c r="O38" s="66">
        <f>'Project Database'!S42</f>
        <v>25</v>
      </c>
      <c r="P38" s="66">
        <f>'Project Database'!T42</f>
        <v>45</v>
      </c>
      <c r="Q38" s="66">
        <f>'Project Database'!U42</f>
        <v>21</v>
      </c>
      <c r="R38" s="66">
        <f>'Project Database'!V42</f>
        <v>31</v>
      </c>
      <c r="S38" s="66">
        <f>'Project Database'!W42</f>
        <v>106.4</v>
      </c>
      <c r="T38" s="66" t="str">
        <f>'Project Database'!X42</f>
        <v>USD</v>
      </c>
      <c r="U38" s="67">
        <f>'Project Database'!Y42</f>
        <v>19.010000000000002</v>
      </c>
      <c r="V38" s="66">
        <f>IF('Smart Search'!B13=1,IFERROR(1/'Smart Search'!H13,0),0)</f>
        <v>0</v>
      </c>
      <c r="W38" s="66">
        <f>IF('Smart Search'!B13=1,IFERROR(1/'Smart Search'!H13,0),0)</f>
        <v>0</v>
      </c>
      <c r="X38" s="66">
        <f>IF('Smart Search'!C13=1,IFERROR(1/'Smart Search'!H13,0),0)</f>
        <v>0.5</v>
      </c>
      <c r="Y38" s="66">
        <f>IF('Smart Search'!C13=1,IFERROR(1/'Smart Search'!H13,0),0)</f>
        <v>0.5</v>
      </c>
      <c r="Z38" s="66">
        <f>IF('Smart Search'!D13=1,IFERROR(1/'Smart Search'!H13,0),0)</f>
        <v>0</v>
      </c>
      <c r="AA38" s="66">
        <f>IF('Smart Search'!D13=1,IFERROR(1/'Smart Search'!H13,0),0)</f>
        <v>0</v>
      </c>
      <c r="AB38" s="66">
        <f>IF('Smart Search'!E13=1,IFERROR(1/'Smart Search'!H13,0),0)</f>
        <v>0</v>
      </c>
      <c r="AC38" s="66">
        <f>IF('Smart Search'!E13=1,IFERROR(1/'Smart Search'!H13,0),0)</f>
        <v>0</v>
      </c>
      <c r="AD38" s="66">
        <f>IF('Smart Search'!F13=1,IFERROR(1/'Smart Search'!H13,0),0)</f>
        <v>0</v>
      </c>
      <c r="AE38" s="66">
        <f>IF('Smart Search'!F13=1,IFERROR(1/'Smart Search'!H13,0),0)</f>
        <v>0</v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>0</v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>0</v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>0</v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>0</v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>0</v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>0</v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>0</v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>0</v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>0</v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>0</v>
      </c>
      <c r="AP38" s="66">
        <f t="shared" si="0"/>
        <v>0</v>
      </c>
      <c r="AQ38" s="66">
        <f t="shared" si="1"/>
        <v>0</v>
      </c>
      <c r="AR38" s="66">
        <f t="shared" si="2"/>
        <v>0</v>
      </c>
      <c r="AS38" s="66">
        <f t="shared" si="3"/>
        <v>0</v>
      </c>
      <c r="AT38" s="66">
        <f t="shared" si="4"/>
        <v>0</v>
      </c>
      <c r="AU38" s="66">
        <f t="shared" si="5"/>
        <v>0</v>
      </c>
      <c r="AV38" s="66">
        <f t="shared" si="6"/>
        <v>0</v>
      </c>
      <c r="AW38" s="66">
        <f t="shared" si="7"/>
        <v>0</v>
      </c>
      <c r="AX38" s="66">
        <f t="shared" si="8"/>
        <v>0</v>
      </c>
      <c r="AY38" s="66">
        <f t="shared" si="9"/>
        <v>0</v>
      </c>
      <c r="AZ38" s="66" t="str">
        <f>'Project Database'!Z42</f>
        <v>4WS Pallet + AMR</v>
      </c>
      <c r="BA38" s="66">
        <f>IF(OR(A38="",'Smart Search'!H13=0),"",MAX(0,BE38*BF38*MAX(0,1-BG38)))</f>
        <v>0</v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>0</v>
      </c>
      <c r="BC38" s="66">
        <f>IF('Smart Search'!G13=1,IFERROR(1/'Smart Search'!H13,0),0)</f>
        <v>0</v>
      </c>
      <c r="BD38" s="66">
        <f t="shared" si="10"/>
        <v>0</v>
      </c>
      <c r="BE38" s="66">
        <f t="shared" si="11"/>
        <v>0</v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>0</v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>0.5</v>
      </c>
      <c r="BH38" s="5">
        <f>IF(AND('Project Database'!A42&lt;&gt;"",OR('Smart Search'!$L$5="",'Smart Search'!$L$5="All",TRIM('Project Database'!D42)=TRIM('Smart Search'!$L$5)),OR(TRIM('Smart Search'!$L$6)="",TRIM('Smart Search'!$L$6)="All",ISNUMBER(SEARCH(SUBSTITUTE(SUBSTITUTE(SUBSTITUTE(TRIM('Smart Search'!$L$6),"~","~~"),"*","~*"),"?","~?"),'Project Database'!C42))),OR('Smart Search'!$L$7="",AND('Project Database'!E42&lt;&gt;"",'Project Database'!E42='Smart Search'!$L$7)),OR('Smart Search'!$L$8="",'Smart Search'!$L$8="All",TRIM('Project Database'!F42)=TRIM('Smart Search'!$L$8))),IF(BA38="","",BA38+ROW()*0.0000000001),"")</f>
        <v>3.8000000000000001E-9</v>
      </c>
      <c r="BI38" s="5" t="str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 xml:space="preserve">Pallet Shuttle, </v>
      </c>
      <c r="BJ38" s="5">
        <f>IF('Project Database'!A42="","",N('Project Database'!AC42))</f>
        <v>0.05</v>
      </c>
      <c r="BK38" s="5">
        <f>IF('Project Database'!A42="","",N('Project Database'!AD42))</f>
        <v>0.05</v>
      </c>
      <c r="BL38" s="5">
        <f>IF('Project Database'!A42="","",N('Project Database'!AE42))</f>
        <v>0.05</v>
      </c>
      <c r="BM38" s="5">
        <f>IF('Project Database'!A42="","",N('Project Database'!AF42))</f>
        <v>7.0000000000000007E-2</v>
      </c>
      <c r="BN38" s="5">
        <f>IF('Project Database'!A42="","",N('Project Database'!AG42))</f>
        <v>0.09</v>
      </c>
      <c r="BO38" s="5">
        <f>IF('Project Database'!A42="","",N('Project Database'!AH42))</f>
        <v>0.06</v>
      </c>
      <c r="BP38" s="5">
        <f>IF('Project Database'!A42="","",N('Project Database'!AI42))</f>
        <v>0.06</v>
      </c>
      <c r="BQ38" s="5">
        <f>IF('Project Database'!A42="","",N('Project Database'!AJ42))</f>
        <v>0.01</v>
      </c>
      <c r="BR38" s="5">
        <f>IF('Project Database'!A42="","",N('Project Database'!AK42))</f>
        <v>0.01</v>
      </c>
      <c r="BS38" s="5">
        <f>IF('Project Database'!A42="","",N('Project Database'!AL42))</f>
        <v>0.01</v>
      </c>
      <c r="BT38" s="5">
        <f>IF('Project Database'!A42="","",N('Project Database'!AM42))</f>
        <v>0.01</v>
      </c>
      <c r="BU38" s="5">
        <f>IF('Project Database'!A42="","",N('Project Database'!AN42))</f>
        <v>0.01</v>
      </c>
      <c r="BV38" s="5">
        <f>IF('Project Database'!A42="","",N('Project Database'!AO42))</f>
        <v>0.04</v>
      </c>
      <c r="BW38" s="5">
        <f>IF('Project Database'!A42="","",N('Project Database'!AP42))</f>
        <v>1E-3</v>
      </c>
      <c r="BX38" s="5">
        <f t="shared" si="12"/>
        <v>0.52100000000000013</v>
      </c>
      <c r="BY38" s="5">
        <f t="shared" si="13"/>
        <v>19.010000000000002</v>
      </c>
    </row>
    <row r="39" spans="1:77" ht="15" customHeight="1" x14ac:dyDescent="0.3">
      <c r="A39" s="66" t="str">
        <f>'Project Database'!A43</f>
        <v>SC22228</v>
      </c>
      <c r="B39" s="66" t="str">
        <f>'Project Database'!B43</f>
        <v>Changmaru (Box4U)</v>
      </c>
      <c r="C39" s="66">
        <f>'Project Database'!G43</f>
        <v>30</v>
      </c>
      <c r="D39" s="66">
        <f>'Project Database'!H43</f>
        <v>6200</v>
      </c>
      <c r="E39" s="66">
        <f>'Project Database'!I43</f>
        <v>0</v>
      </c>
      <c r="F39" s="66">
        <f>'Project Database'!J43</f>
        <v>0</v>
      </c>
      <c r="G39" s="66">
        <f>'Project Database'!K43</f>
        <v>0</v>
      </c>
      <c r="H39" s="66">
        <f>'Project Database'!L43</f>
        <v>0</v>
      </c>
      <c r="I39" s="66">
        <f>'Project Database'!M43</f>
        <v>3</v>
      </c>
      <c r="J39" s="66">
        <f>'Project Database'!N43</f>
        <v>4300</v>
      </c>
      <c r="K39" s="66">
        <f>'Project Database'!O43</f>
        <v>350</v>
      </c>
      <c r="L39" s="66">
        <f>'Project Database'!P43</f>
        <v>255</v>
      </c>
      <c r="M39" s="66">
        <f>'Project Database'!Q43</f>
        <v>46</v>
      </c>
      <c r="N39" s="66">
        <f>'Project Database'!R43</f>
        <v>48</v>
      </c>
      <c r="O39" s="66">
        <f>'Project Database'!S43</f>
        <v>27</v>
      </c>
      <c r="P39" s="66">
        <f>'Project Database'!T43</f>
        <v>57</v>
      </c>
      <c r="Q39" s="66">
        <f>'Project Database'!U43</f>
        <v>28</v>
      </c>
      <c r="R39" s="66">
        <f>'Project Database'!V43</f>
        <v>35</v>
      </c>
      <c r="S39" s="66">
        <f>'Project Database'!W43</f>
        <v>108</v>
      </c>
      <c r="T39" s="66" t="str">
        <f>'Project Database'!X43</f>
        <v>USD</v>
      </c>
      <c r="U39" s="67">
        <f>'Project Database'!Y43</f>
        <v>11.9</v>
      </c>
      <c r="V39" s="66">
        <f>IF('Smart Search'!B13=1,IFERROR(1/'Smart Search'!H13,0),0)</f>
        <v>0</v>
      </c>
      <c r="W39" s="66">
        <f>IF('Smart Search'!B13=1,IFERROR(1/'Smart Search'!H13,0),0)</f>
        <v>0</v>
      </c>
      <c r="X39" s="66">
        <f>IF('Smart Search'!C13=1,IFERROR(1/'Smart Search'!H13,0),0)</f>
        <v>0.5</v>
      </c>
      <c r="Y39" s="66">
        <f>IF('Smart Search'!C13=1,IFERROR(1/'Smart Search'!H13,0),0)</f>
        <v>0.5</v>
      </c>
      <c r="Z39" s="66">
        <f>IF('Smart Search'!D13=1,IFERROR(1/'Smart Search'!H13,0),0)</f>
        <v>0</v>
      </c>
      <c r="AA39" s="66">
        <f>IF('Smart Search'!D13=1,IFERROR(1/'Smart Search'!H13,0),0)</f>
        <v>0</v>
      </c>
      <c r="AB39" s="66">
        <f>IF('Smart Search'!E13=1,IFERROR(1/'Smart Search'!H13,0),0)</f>
        <v>0</v>
      </c>
      <c r="AC39" s="66">
        <f>IF('Smart Search'!E13=1,IFERROR(1/'Smart Search'!H13,0),0)</f>
        <v>0</v>
      </c>
      <c r="AD39" s="66">
        <f>IF('Smart Search'!F13=1,IFERROR(1/'Smart Search'!H13,0),0)</f>
        <v>0</v>
      </c>
      <c r="AE39" s="66">
        <f>IF('Smart Search'!F13=1,IFERROR(1/'Smart Search'!H13,0),0)</f>
        <v>0</v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>0</v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>0</v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>0</v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>0</v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>0</v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>0</v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>0</v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>0</v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>0</v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>0</v>
      </c>
      <c r="AP39" s="66">
        <f t="shared" si="0"/>
        <v>0</v>
      </c>
      <c r="AQ39" s="66">
        <f t="shared" si="1"/>
        <v>0</v>
      </c>
      <c r="AR39" s="66">
        <f t="shared" si="2"/>
        <v>0</v>
      </c>
      <c r="AS39" s="66">
        <f t="shared" si="3"/>
        <v>0</v>
      </c>
      <c r="AT39" s="66">
        <f t="shared" si="4"/>
        <v>0</v>
      </c>
      <c r="AU39" s="66">
        <f t="shared" si="5"/>
        <v>0</v>
      </c>
      <c r="AV39" s="66">
        <f t="shared" si="6"/>
        <v>0</v>
      </c>
      <c r="AW39" s="66">
        <f t="shared" si="7"/>
        <v>0</v>
      </c>
      <c r="AX39" s="66">
        <f t="shared" si="8"/>
        <v>0</v>
      </c>
      <c r="AY39" s="66">
        <f t="shared" si="9"/>
        <v>0</v>
      </c>
      <c r="AZ39" s="66" t="str">
        <f>'Project Database'!Z43</f>
        <v>ASRS, DMS, Layer Picker</v>
      </c>
      <c r="BA39" s="66">
        <f>IF(OR(A39="",'Smart Search'!H13=0),"",MAX(0,BE39*BF39*MAX(0,1-BG39)))</f>
        <v>0</v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>0</v>
      </c>
      <c r="BC39" s="66">
        <f>IF('Smart Search'!G13=1,IFERROR(1/'Smart Search'!H13,0),0)</f>
        <v>0</v>
      </c>
      <c r="BD39" s="66">
        <f t="shared" si="10"/>
        <v>0</v>
      </c>
      <c r="BE39" s="66">
        <f t="shared" si="11"/>
        <v>0</v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>0</v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>0.75</v>
      </c>
      <c r="BH39" s="5">
        <f>IF(AND('Project Database'!A43&lt;&gt;"",OR('Smart Search'!$L$5="",'Smart Search'!$L$5="All",TRIM('Project Database'!D43)=TRIM('Smart Search'!$L$5)),OR(TRIM('Smart Search'!$L$6)="",TRIM('Smart Search'!$L$6)="All",ISNUMBER(SEARCH(SUBSTITUTE(SUBSTITUTE(SUBSTITUTE(TRIM('Smart Search'!$L$6),"~","~~"),"*","~*"),"?","~?"),'Project Database'!C43))),OR('Smart Search'!$L$7="",AND('Project Database'!E43&lt;&gt;"",'Project Database'!E43='Smart Search'!$L$7)),OR('Smart Search'!$L$8="",'Smart Search'!$L$8="All",TRIM('Project Database'!F43)=TRIM('Smart Search'!$L$8))),IF(BA39="","",BA39+ROW()*0.0000000001),"")</f>
        <v>3.9000000000000002E-9</v>
      </c>
      <c r="BI39" s="5" t="str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 xml:space="preserve">Multishuttle, SRM Crane, </v>
      </c>
      <c r="BJ39" s="5">
        <f>IF('Project Database'!A43="","",N('Project Database'!AC43))</f>
        <v>5.1999999999999998E-2</v>
      </c>
      <c r="BK39" s="5">
        <f>IF('Project Database'!A43="","",N('Project Database'!AD43))</f>
        <v>5.1999999999999998E-2</v>
      </c>
      <c r="BL39" s="5">
        <f>IF('Project Database'!A43="","",N('Project Database'!AE43))</f>
        <v>5.1999999999999998E-2</v>
      </c>
      <c r="BM39" s="5">
        <f>IF('Project Database'!A43="","",N('Project Database'!AF43))</f>
        <v>8.0000000000000002E-3</v>
      </c>
      <c r="BN39" s="5">
        <f>IF('Project Database'!A43="","",N('Project Database'!AG43))</f>
        <v>2.1999999999999999E-2</v>
      </c>
      <c r="BO39" s="5">
        <f>IF('Project Database'!A43="","",N('Project Database'!AH43))</f>
        <v>0.01</v>
      </c>
      <c r="BP39" s="5">
        <f>IF('Project Database'!A43="","",N('Project Database'!AI43))</f>
        <v>0.01</v>
      </c>
      <c r="BQ39" s="5">
        <f>IF('Project Database'!A43="","",N('Project Database'!AJ43))</f>
        <v>3.1E-2</v>
      </c>
      <c r="BR39" s="5">
        <f>IF('Project Database'!A43="","",N('Project Database'!AK43))</f>
        <v>3.1E-2</v>
      </c>
      <c r="BS39" s="5">
        <f>IF('Project Database'!A43="","",N('Project Database'!AL43))</f>
        <v>3.1E-2</v>
      </c>
      <c r="BT39" s="5">
        <f>IF('Project Database'!A43="","",N('Project Database'!AM43))</f>
        <v>3.7999999999999999E-2</v>
      </c>
      <c r="BU39" s="5">
        <f>IF('Project Database'!A43="","",N('Project Database'!AN43))</f>
        <v>3.7999999999999999E-2</v>
      </c>
      <c r="BV39" s="5">
        <f>IF('Project Database'!A43="","",N('Project Database'!AO43))</f>
        <v>0</v>
      </c>
      <c r="BW39" s="5">
        <f>IF('Project Database'!A43="","",N('Project Database'!AP43))</f>
        <v>1E-3</v>
      </c>
      <c r="BX39" s="5">
        <f t="shared" si="12"/>
        <v>0.376</v>
      </c>
      <c r="BY39" s="5">
        <f t="shared" si="13"/>
        <v>11.9</v>
      </c>
    </row>
    <row r="40" spans="1:77" ht="15" customHeight="1" x14ac:dyDescent="0.3">
      <c r="A40" s="66" t="str">
        <f>'Project Database'!A44</f>
        <v>SC22176</v>
      </c>
      <c r="B40" s="66" t="str">
        <f>'Project Database'!B44</f>
        <v>Zuellig Cebu</v>
      </c>
      <c r="C40" s="66">
        <f>'Project Database'!G44</f>
        <v>0</v>
      </c>
      <c r="D40" s="66">
        <f>'Project Database'!H44</f>
        <v>0</v>
      </c>
      <c r="E40" s="66">
        <f>'Project Database'!I44</f>
        <v>0</v>
      </c>
      <c r="F40" s="66">
        <f>'Project Database'!J44</f>
        <v>0</v>
      </c>
      <c r="G40" s="66">
        <f>'Project Database'!K44</f>
        <v>0</v>
      </c>
      <c r="H40" s="66">
        <f>'Project Database'!L44</f>
        <v>0</v>
      </c>
      <c r="I40" s="66">
        <f>'Project Database'!M44</f>
        <v>0</v>
      </c>
      <c r="J40" s="66">
        <f>'Project Database'!N44</f>
        <v>0</v>
      </c>
      <c r="K40" s="66">
        <f>'Project Database'!O44</f>
        <v>230</v>
      </c>
      <c r="L40" s="66">
        <f>'Project Database'!P44</f>
        <v>0</v>
      </c>
      <c r="M40" s="66">
        <f>'Project Database'!Q44</f>
        <v>7</v>
      </c>
      <c r="N40" s="66">
        <f>'Project Database'!R44</f>
        <v>7</v>
      </c>
      <c r="O40" s="66">
        <f>'Project Database'!S44</f>
        <v>7</v>
      </c>
      <c r="P40" s="66">
        <f>'Project Database'!T44</f>
        <v>20</v>
      </c>
      <c r="Q40" s="66">
        <f>'Project Database'!U44</f>
        <v>28</v>
      </c>
      <c r="R40" s="66">
        <f>'Project Database'!V44</f>
        <v>13</v>
      </c>
      <c r="S40" s="66">
        <f>'Project Database'!W44</f>
        <v>53</v>
      </c>
      <c r="T40" s="66" t="str">
        <f>'Project Database'!X44</f>
        <v>USD</v>
      </c>
      <c r="U40" s="67">
        <f>'Project Database'!Y44</f>
        <v>1.5</v>
      </c>
      <c r="V40" s="66">
        <f>IF('Smart Search'!B13=1,IFERROR(1/'Smart Search'!H13,0),0)</f>
        <v>0</v>
      </c>
      <c r="W40" s="66">
        <f>IF('Smart Search'!B13=1,IFERROR(1/'Smart Search'!H13,0),0)</f>
        <v>0</v>
      </c>
      <c r="X40" s="66">
        <f>IF('Smart Search'!C13=1,IFERROR(1/'Smart Search'!H13,0),0)</f>
        <v>0.5</v>
      </c>
      <c r="Y40" s="66">
        <f>IF('Smart Search'!C13=1,IFERROR(1/'Smart Search'!H13,0),0)</f>
        <v>0.5</v>
      </c>
      <c r="Z40" s="66">
        <f>IF('Smart Search'!D13=1,IFERROR(1/'Smart Search'!H13,0),0)</f>
        <v>0</v>
      </c>
      <c r="AA40" s="66">
        <f>IF('Smart Search'!D13=1,IFERROR(1/'Smart Search'!H13,0),0)</f>
        <v>0</v>
      </c>
      <c r="AB40" s="66">
        <f>IF('Smart Search'!E13=1,IFERROR(1/'Smart Search'!H13,0),0)</f>
        <v>0</v>
      </c>
      <c r="AC40" s="66">
        <f>IF('Smart Search'!E13=1,IFERROR(1/'Smart Search'!H13,0),0)</f>
        <v>0</v>
      </c>
      <c r="AD40" s="66">
        <f>IF('Smart Search'!F13=1,IFERROR(1/'Smart Search'!H13,0),0)</f>
        <v>0</v>
      </c>
      <c r="AE40" s="66">
        <f>IF('Smart Search'!F13=1,IFERROR(1/'Smart Search'!H13,0),0)</f>
        <v>0</v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>0</v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>0</v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>0</v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>0</v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>0</v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>0</v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>0</v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>0</v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>0</v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>0</v>
      </c>
      <c r="AP40" s="66">
        <f t="shared" si="0"/>
        <v>0</v>
      </c>
      <c r="AQ40" s="66">
        <f t="shared" si="1"/>
        <v>0</v>
      </c>
      <c r="AR40" s="66">
        <f t="shared" si="2"/>
        <v>0</v>
      </c>
      <c r="AS40" s="66">
        <f t="shared" si="3"/>
        <v>0</v>
      </c>
      <c r="AT40" s="66">
        <f t="shared" si="4"/>
        <v>0</v>
      </c>
      <c r="AU40" s="66">
        <f t="shared" si="5"/>
        <v>0</v>
      </c>
      <c r="AV40" s="66">
        <f t="shared" si="6"/>
        <v>0</v>
      </c>
      <c r="AW40" s="66">
        <f t="shared" si="7"/>
        <v>0</v>
      </c>
      <c r="AX40" s="66">
        <f t="shared" si="8"/>
        <v>0</v>
      </c>
      <c r="AY40" s="66">
        <f t="shared" si="9"/>
        <v>0</v>
      </c>
      <c r="AZ40" s="66" t="str">
        <f>'Project Database'!Z44</f>
        <v>MCS</v>
      </c>
      <c r="BA40" s="66">
        <f>IF(OR(A40="",'Smart Search'!H13=0),"",MAX(0,BE40*BF40*MAX(0,1-BG40)))</f>
        <v>0</v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>0</v>
      </c>
      <c r="BC40" s="66">
        <f>IF('Smart Search'!G13=1,IFERROR(1/'Smart Search'!H13,0),0)</f>
        <v>0</v>
      </c>
      <c r="BD40" s="66">
        <f t="shared" si="10"/>
        <v>0</v>
      </c>
      <c r="BE40" s="66">
        <f t="shared" si="11"/>
        <v>0</v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>0</v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>0.25</v>
      </c>
      <c r="BH40" s="5">
        <f>IF(AND('Project Database'!A44&lt;&gt;"",OR('Smart Search'!$L$5="",'Smart Search'!$L$5="All",TRIM('Project Database'!D44)=TRIM('Smart Search'!$L$5)),OR(TRIM('Smart Search'!$L$6)="",TRIM('Smart Search'!$L$6)="All",ISNUMBER(SEARCH(SUBSTITUTE(SUBSTITUTE(SUBSTITUTE(TRIM('Smart Search'!$L$6),"~","~~"),"*","~*"),"?","~?"),'Project Database'!C44))),OR('Smart Search'!$L$7="",AND('Project Database'!E44&lt;&gt;"",'Project Database'!E44='Smart Search'!$L$7)),OR('Smart Search'!$L$8="",'Smart Search'!$L$8="All",TRIM('Project Database'!F44)=TRIM('Smart Search'!$L$8))),IF(BA40="","",BA40+ROW()*0.0000000001),"")</f>
        <v>4.0000000000000002E-9</v>
      </c>
      <c r="BI40" s="5" t="str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IF('Project Database'!A44="","",N('Project Database'!AC44))</f>
        <v>0</v>
      </c>
      <c r="BK40" s="5">
        <f>IF('Project Database'!A44="","",N('Project Database'!AD44))</f>
        <v>0</v>
      </c>
      <c r="BL40" s="5">
        <f>IF('Project Database'!A44="","",N('Project Database'!AE44))</f>
        <v>0</v>
      </c>
      <c r="BM40" s="5">
        <f>IF('Project Database'!A44="","",N('Project Database'!AF44))</f>
        <v>0</v>
      </c>
      <c r="BN40" s="5">
        <f>IF('Project Database'!A44="","",N('Project Database'!AG44))</f>
        <v>0</v>
      </c>
      <c r="BO40" s="5">
        <f>IF('Project Database'!A44="","",N('Project Database'!AH44))</f>
        <v>0</v>
      </c>
      <c r="BP40" s="5">
        <f>IF('Project Database'!A44="","",N('Project Database'!AI44))</f>
        <v>0</v>
      </c>
      <c r="BQ40" s="5">
        <f>IF('Project Database'!A44="","",N('Project Database'!AJ44))</f>
        <v>0</v>
      </c>
      <c r="BR40" s="5">
        <f>IF('Project Database'!A44="","",N('Project Database'!AK44))</f>
        <v>0</v>
      </c>
      <c r="BS40" s="5">
        <f>IF('Project Database'!A44="","",N('Project Database'!AL44))</f>
        <v>0</v>
      </c>
      <c r="BT40" s="5">
        <f>IF('Project Database'!A44="","",N('Project Database'!AM44))</f>
        <v>0</v>
      </c>
      <c r="BU40" s="5">
        <f>IF('Project Database'!A44="","",N('Project Database'!AN44))</f>
        <v>0</v>
      </c>
      <c r="BV40" s="5">
        <f>IF('Project Database'!A44="","",N('Project Database'!AO44))</f>
        <v>0</v>
      </c>
      <c r="BW40" s="5">
        <f>IF('Project Database'!A44="","",N('Project Database'!AP44))</f>
        <v>0</v>
      </c>
      <c r="BX40" s="5">
        <f t="shared" si="12"/>
        <v>0</v>
      </c>
      <c r="BY40" s="5">
        <f t="shared" si="13"/>
        <v>1.5</v>
      </c>
    </row>
    <row r="41" spans="1:77" ht="15" customHeight="1" x14ac:dyDescent="0.3">
      <c r="A41" s="66" t="str">
        <f>'Project Database'!A45</f>
        <v>SC22185</v>
      </c>
      <c r="B41" s="66" t="str">
        <f>'Project Database'!B45</f>
        <v>Starlux Taoyuan</v>
      </c>
      <c r="C41" s="66">
        <f>'Project Database'!G45</f>
        <v>64</v>
      </c>
      <c r="D41" s="66">
        <f>'Project Database'!H45</f>
        <v>7000</v>
      </c>
      <c r="E41" s="66">
        <f>'Project Database'!I45</f>
        <v>0</v>
      </c>
      <c r="F41" s="66">
        <f>'Project Database'!J45</f>
        <v>0</v>
      </c>
      <c r="G41" s="66">
        <f>'Project Database'!K45</f>
        <v>0</v>
      </c>
      <c r="H41" s="66">
        <f>'Project Database'!L45</f>
        <v>0</v>
      </c>
      <c r="I41" s="66">
        <f>'Project Database'!M45</f>
        <v>6</v>
      </c>
      <c r="J41" s="66">
        <f>'Project Database'!N45</f>
        <v>900</v>
      </c>
      <c r="K41" s="66">
        <f>'Project Database'!O45</f>
        <v>473</v>
      </c>
      <c r="L41" s="66">
        <f>'Project Database'!P45</f>
        <v>200</v>
      </c>
      <c r="M41" s="66">
        <f>'Project Database'!Q45</f>
        <v>58</v>
      </c>
      <c r="N41" s="66">
        <f>'Project Database'!R45</f>
        <v>44</v>
      </c>
      <c r="O41" s="66">
        <f>'Project Database'!S45</f>
        <v>27</v>
      </c>
      <c r="P41" s="66">
        <f>'Project Database'!T45</f>
        <v>39</v>
      </c>
      <c r="Q41" s="66">
        <f>'Project Database'!U45</f>
        <v>30</v>
      </c>
      <c r="R41" s="66">
        <f>'Project Database'!V45</f>
        <v>33</v>
      </c>
      <c r="S41" s="66">
        <f>'Project Database'!W45</f>
        <v>107</v>
      </c>
      <c r="T41" s="66" t="str">
        <f>'Project Database'!X45</f>
        <v>USD</v>
      </c>
      <c r="U41" s="67">
        <f>'Project Database'!Y45</f>
        <v>11.9</v>
      </c>
      <c r="V41" s="66">
        <f>IF('Smart Search'!B13=1,IFERROR(1/'Smart Search'!H13,0),0)</f>
        <v>0</v>
      </c>
      <c r="W41" s="66">
        <f>IF('Smart Search'!B13=1,IFERROR(1/'Smart Search'!H13,0),0)</f>
        <v>0</v>
      </c>
      <c r="X41" s="66">
        <f>IF('Smart Search'!C13=1,IFERROR(1/'Smart Search'!H13,0),0)</f>
        <v>0.5</v>
      </c>
      <c r="Y41" s="66">
        <f>IF('Smart Search'!C13=1,IFERROR(1/'Smart Search'!H13,0),0)</f>
        <v>0.5</v>
      </c>
      <c r="Z41" s="66">
        <f>IF('Smart Search'!D13=1,IFERROR(1/'Smart Search'!H13,0),0)</f>
        <v>0</v>
      </c>
      <c r="AA41" s="66">
        <f>IF('Smart Search'!D13=1,IFERROR(1/'Smart Search'!H13,0),0)</f>
        <v>0</v>
      </c>
      <c r="AB41" s="66">
        <f>IF('Smart Search'!E13=1,IFERROR(1/'Smart Search'!H13,0),0)</f>
        <v>0</v>
      </c>
      <c r="AC41" s="66">
        <f>IF('Smart Search'!E13=1,IFERROR(1/'Smart Search'!H13,0),0)</f>
        <v>0</v>
      </c>
      <c r="AD41" s="66">
        <f>IF('Smart Search'!F13=1,IFERROR(1/'Smart Search'!H13,0),0)</f>
        <v>0</v>
      </c>
      <c r="AE41" s="66">
        <f>IF('Smart Search'!F13=1,IFERROR(1/'Smart Search'!H13,0),0)</f>
        <v>0</v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>0</v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>0</v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>0</v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>0</v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>0</v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>0</v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>0</v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>0</v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>0</v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>0</v>
      </c>
      <c r="AP41" s="66">
        <f t="shared" si="0"/>
        <v>0</v>
      </c>
      <c r="AQ41" s="66">
        <f t="shared" si="1"/>
        <v>0</v>
      </c>
      <c r="AR41" s="66">
        <f t="shared" si="2"/>
        <v>0</v>
      </c>
      <c r="AS41" s="66">
        <f t="shared" si="3"/>
        <v>0</v>
      </c>
      <c r="AT41" s="66">
        <f t="shared" si="4"/>
        <v>0</v>
      </c>
      <c r="AU41" s="66">
        <f t="shared" si="5"/>
        <v>0</v>
      </c>
      <c r="AV41" s="66">
        <f t="shared" si="6"/>
        <v>0</v>
      </c>
      <c r="AW41" s="66">
        <f t="shared" si="7"/>
        <v>0</v>
      </c>
      <c r="AX41" s="66">
        <f t="shared" si="8"/>
        <v>0</v>
      </c>
      <c r="AY41" s="66">
        <f t="shared" si="9"/>
        <v>0</v>
      </c>
      <c r="AZ41" s="66" t="str">
        <f>'Project Database'!Z45</f>
        <v>ML SRM MCS BK25 DMS</v>
      </c>
      <c r="BA41" s="66">
        <f>IF(OR(A41="",'Smart Search'!H13=0),"",MAX(0,BE41*BF41*MAX(0,1-BG41)))</f>
        <v>0</v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>0</v>
      </c>
      <c r="BC41" s="66">
        <f>IF('Smart Search'!G13=1,IFERROR(1/'Smart Search'!H13,0),0)</f>
        <v>0</v>
      </c>
      <c r="BD41" s="66">
        <f t="shared" si="10"/>
        <v>0</v>
      </c>
      <c r="BE41" s="66">
        <f t="shared" si="11"/>
        <v>0</v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>0</v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>0.75</v>
      </c>
      <c r="BH41" s="5">
        <f>IF(AND('Project Database'!A45&lt;&gt;"",OR('Smart Search'!$L$5="",'Smart Search'!$L$5="All",TRIM('Project Database'!D45)=TRIM('Smart Search'!$L$5)),OR(TRIM('Smart Search'!$L$6)="",TRIM('Smart Search'!$L$6)="All",ISNUMBER(SEARCH(SUBSTITUTE(SUBSTITUTE(SUBSTITUTE(TRIM('Smart Search'!$L$6),"~","~~"),"*","~*"),"?","~?"),'Project Database'!C45))),OR('Smart Search'!$L$7="",AND('Project Database'!E45&lt;&gt;"",'Project Database'!E45='Smart Search'!$L$7)),OR('Smart Search'!$L$8="",'Smart Search'!$L$8="All",TRIM('Project Database'!F45)=TRIM('Smart Search'!$L$8))),IF(BA41="","",BA41+ROW()*0.0000000001),"")</f>
        <v>4.1000000000000003E-9</v>
      </c>
      <c r="BI41" s="5" t="str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 xml:space="preserve">Multishuttle, SRM Crane, </v>
      </c>
      <c r="BJ41" s="5">
        <f>IF('Project Database'!A45="","",N('Project Database'!AC45))</f>
        <v>0</v>
      </c>
      <c r="BK41" s="5">
        <f>IF('Project Database'!A45="","",N('Project Database'!AD45))</f>
        <v>0</v>
      </c>
      <c r="BL41" s="5">
        <f>IF('Project Database'!A45="","",N('Project Database'!AE45))</f>
        <v>0</v>
      </c>
      <c r="BM41" s="5">
        <f>IF('Project Database'!A45="","",N('Project Database'!AF45))</f>
        <v>0</v>
      </c>
      <c r="BN41" s="5">
        <f>IF('Project Database'!A45="","",N('Project Database'!AG45))</f>
        <v>0</v>
      </c>
      <c r="BO41" s="5">
        <f>IF('Project Database'!A45="","",N('Project Database'!AH45))</f>
        <v>0</v>
      </c>
      <c r="BP41" s="5">
        <f>IF('Project Database'!A45="","",N('Project Database'!AI45))</f>
        <v>0</v>
      </c>
      <c r="BQ41" s="5">
        <f>IF('Project Database'!A45="","",N('Project Database'!AJ45))</f>
        <v>0</v>
      </c>
      <c r="BR41" s="5">
        <f>IF('Project Database'!A45="","",N('Project Database'!AK45))</f>
        <v>0</v>
      </c>
      <c r="BS41" s="5">
        <f>IF('Project Database'!A45="","",N('Project Database'!AL45))</f>
        <v>0</v>
      </c>
      <c r="BT41" s="5">
        <f>IF('Project Database'!A45="","",N('Project Database'!AM45))</f>
        <v>0</v>
      </c>
      <c r="BU41" s="5">
        <f>IF('Project Database'!A45="","",N('Project Database'!AN45))</f>
        <v>0</v>
      </c>
      <c r="BV41" s="5">
        <f>IF('Project Database'!A45="","",N('Project Database'!AO45))</f>
        <v>0</v>
      </c>
      <c r="BW41" s="5">
        <f>IF('Project Database'!A45="","",N('Project Database'!AP45))</f>
        <v>0</v>
      </c>
      <c r="BX41" s="5">
        <f t="shared" si="12"/>
        <v>0</v>
      </c>
      <c r="BY41" s="5">
        <f t="shared" si="13"/>
        <v>11.9</v>
      </c>
    </row>
    <row r="42" spans="1:77" ht="15" customHeight="1" x14ac:dyDescent="0.3">
      <c r="A42" s="66">
        <f>'Project Database'!A46</f>
        <v>0</v>
      </c>
      <c r="B42" s="66">
        <f>'Project Database'!B46</f>
        <v>0</v>
      </c>
      <c r="C42" s="66">
        <f>'Project Database'!G46</f>
        <v>0</v>
      </c>
      <c r="D42" s="66">
        <f>'Project Database'!H46</f>
        <v>0</v>
      </c>
      <c r="E42" s="66">
        <f>'Project Database'!I46</f>
        <v>0</v>
      </c>
      <c r="F42" s="66">
        <f>'Project Database'!J46</f>
        <v>0</v>
      </c>
      <c r="G42" s="66">
        <f>'Project Database'!K46</f>
        <v>0</v>
      </c>
      <c r="H42" s="66">
        <f>'Project Database'!L46</f>
        <v>0</v>
      </c>
      <c r="I42" s="66">
        <f>'Project Database'!M46</f>
        <v>0</v>
      </c>
      <c r="J42" s="66">
        <f>'Project Database'!N46</f>
        <v>0</v>
      </c>
      <c r="K42" s="66">
        <f>'Project Database'!O46</f>
        <v>0</v>
      </c>
      <c r="L42" s="66">
        <f>'Project Database'!P46</f>
        <v>0</v>
      </c>
      <c r="M42" s="66">
        <f>'Project Database'!Q46</f>
        <v>0</v>
      </c>
      <c r="N42" s="66">
        <f>'Project Database'!R46</f>
        <v>0</v>
      </c>
      <c r="O42" s="66">
        <f>'Project Database'!S46</f>
        <v>0</v>
      </c>
      <c r="P42" s="66">
        <f>'Project Database'!T46</f>
        <v>0</v>
      </c>
      <c r="Q42" s="66">
        <f>'Project Database'!U46</f>
        <v>0</v>
      </c>
      <c r="R42" s="66">
        <f>'Project Database'!V46</f>
        <v>0</v>
      </c>
      <c r="S42" s="66">
        <f>'Project Database'!W46</f>
        <v>0</v>
      </c>
      <c r="T42" s="66">
        <f>'Project Database'!X46</f>
        <v>0</v>
      </c>
      <c r="U42" s="67">
        <f>'Project Database'!Y46</f>
        <v>0</v>
      </c>
      <c r="V42" s="66">
        <f>IF('Smart Search'!B13=1,IFERROR(1/'Smart Search'!H13,0),0)</f>
        <v>0</v>
      </c>
      <c r="W42" s="66">
        <f>IF('Smart Search'!B13=1,IFERROR(1/'Smart Search'!H13,0),0)</f>
        <v>0</v>
      </c>
      <c r="X42" s="66">
        <f>IF('Smart Search'!C13=1,IFERROR(1/'Smart Search'!H13,0),0)</f>
        <v>0.5</v>
      </c>
      <c r="Y42" s="66">
        <f>IF('Smart Search'!C13=1,IFERROR(1/'Smart Search'!H13,0),0)</f>
        <v>0.5</v>
      </c>
      <c r="Z42" s="66">
        <f>IF('Smart Search'!D13=1,IFERROR(1/'Smart Search'!H13,0),0)</f>
        <v>0</v>
      </c>
      <c r="AA42" s="66">
        <f>IF('Smart Search'!D13=1,IFERROR(1/'Smart Search'!H13,0),0)</f>
        <v>0</v>
      </c>
      <c r="AB42" s="66">
        <f>IF('Smart Search'!E13=1,IFERROR(1/'Smart Search'!H13,0),0)</f>
        <v>0</v>
      </c>
      <c r="AC42" s="66">
        <f>IF('Smart Search'!E13=1,IFERROR(1/'Smart Search'!H13,0),0)</f>
        <v>0</v>
      </c>
      <c r="AD42" s="66">
        <f>IF('Smart Search'!F13=1,IFERROR(1/'Smart Search'!H13,0),0)</f>
        <v>0</v>
      </c>
      <c r="AE42" s="66">
        <f>IF('Smart Search'!F13=1,IFERROR(1/'Smart Search'!H13,0),0)</f>
        <v>0</v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>0</v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>0</v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>0</v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>0</v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>0</v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>0</v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>0</v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>0</v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>0</v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>0</v>
      </c>
      <c r="AP42" s="66">
        <f t="shared" si="0"/>
        <v>0</v>
      </c>
      <c r="AQ42" s="66">
        <f t="shared" si="1"/>
        <v>0</v>
      </c>
      <c r="AR42" s="66">
        <f t="shared" si="2"/>
        <v>0</v>
      </c>
      <c r="AS42" s="66">
        <f t="shared" si="3"/>
        <v>0</v>
      </c>
      <c r="AT42" s="66">
        <f t="shared" si="4"/>
        <v>0</v>
      </c>
      <c r="AU42" s="66">
        <f t="shared" si="5"/>
        <v>0</v>
      </c>
      <c r="AV42" s="66">
        <f t="shared" si="6"/>
        <v>0</v>
      </c>
      <c r="AW42" s="66">
        <f t="shared" si="7"/>
        <v>0</v>
      </c>
      <c r="AX42" s="66">
        <f t="shared" si="8"/>
        <v>0</v>
      </c>
      <c r="AY42" s="66">
        <f t="shared" si="9"/>
        <v>0</v>
      </c>
      <c r="AZ42" s="66">
        <f>'Project Database'!Z46</f>
        <v>0</v>
      </c>
      <c r="BA42" s="66">
        <f>IF(OR(A42="",'Smart Search'!H13=0),"",MAX(0,BE42*BF42*MAX(0,1-BG42)))</f>
        <v>0</v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>0</v>
      </c>
      <c r="BC42" s="66">
        <f>IF('Smart Search'!G13=1,IFERROR(1/'Smart Search'!H13,0),0)</f>
        <v>0</v>
      </c>
      <c r="BD42" s="66">
        <f t="shared" si="10"/>
        <v>0</v>
      </c>
      <c r="BE42" s="66">
        <f t="shared" si="11"/>
        <v>0</v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>0</v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>0</v>
      </c>
      <c r="BH42" s="5" t="str">
        <f>IF(AND('Project Database'!A46&lt;&gt;"",OR('Smart Search'!$L$5="",'Smart Search'!$L$5="All",TRIM('Project Database'!D46)=TRIM('Smart Search'!$L$5)),OR(TRIM('Smart Search'!$L$6)="",TRIM('Smart Search'!$L$6)="All",ISNUMBER(SEARCH(SUBSTITUTE(SUBSTITUTE(SUBSTITUTE(TRIM('Smart Search'!$L$6),"~","~~"),"*","~*"),"?","~?"),'Project Database'!C46))),OR('Smart Search'!$L$7="",AND('Project Database'!E46&lt;&gt;"",'Project Database'!E46='Smart Search'!$L$7)),OR('Smart Search'!$L$8="",'Smart Search'!$L$8="All",TRIM('Project Database'!F46)=TRIM('Smart Search'!$L$8))),IF(BA42="","",BA42+ROW()*0.0000000001),"")</f>
        <v/>
      </c>
      <c r="BI42" s="5" t="str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 t="str">
        <f>IF('Project Database'!A46="","",N('Project Database'!AC46))</f>
        <v/>
      </c>
      <c r="BK42" s="5" t="str">
        <f>IF('Project Database'!A46="","",N('Project Database'!AD46))</f>
        <v/>
      </c>
      <c r="BL42" s="5" t="str">
        <f>IF('Project Database'!A46="","",N('Project Database'!AE46))</f>
        <v/>
      </c>
      <c r="BM42" s="5" t="str">
        <f>IF('Project Database'!A46="","",N('Project Database'!AF46))</f>
        <v/>
      </c>
      <c r="BN42" s="5" t="str">
        <f>IF('Project Database'!A46="","",N('Project Database'!AG46))</f>
        <v/>
      </c>
      <c r="BO42" s="5" t="str">
        <f>IF('Project Database'!A46="","",N('Project Database'!AH46))</f>
        <v/>
      </c>
      <c r="BP42" s="5" t="str">
        <f>IF('Project Database'!A46="","",N('Project Database'!AI46))</f>
        <v/>
      </c>
      <c r="BQ42" s="5" t="str">
        <f>IF('Project Database'!A46="","",N('Project Database'!AJ46))</f>
        <v/>
      </c>
      <c r="BR42" s="5" t="str">
        <f>IF('Project Database'!A46="","",N('Project Database'!AK46))</f>
        <v/>
      </c>
      <c r="BS42" s="5" t="str">
        <f>IF('Project Database'!A46="","",N('Project Database'!AL46))</f>
        <v/>
      </c>
      <c r="BT42" s="5" t="str">
        <f>IF('Project Database'!A46="","",N('Project Database'!AM46))</f>
        <v/>
      </c>
      <c r="BU42" s="5" t="str">
        <f>IF('Project Database'!A46="","",N('Project Database'!AN46))</f>
        <v/>
      </c>
      <c r="BV42" s="5" t="str">
        <f>IF('Project Database'!A46="","",N('Project Database'!AO46))</f>
        <v/>
      </c>
      <c r="BW42" s="5" t="str">
        <f>IF('Project Database'!A46="","",N('Project Database'!AP46))</f>
        <v/>
      </c>
      <c r="BX42" s="5">
        <f t="shared" si="12"/>
        <v>0</v>
      </c>
      <c r="BY42" s="5">
        <f t="shared" si="13"/>
        <v>0</v>
      </c>
    </row>
    <row r="43" spans="1:77" ht="15" customHeight="1" x14ac:dyDescent="0.3">
      <c r="A43" s="66">
        <f>'Project Database'!A47</f>
        <v>0</v>
      </c>
      <c r="B43" s="66">
        <f>'Project Database'!B47</f>
        <v>0</v>
      </c>
      <c r="C43" s="66">
        <f>'Project Database'!G47</f>
        <v>0</v>
      </c>
      <c r="D43" s="66">
        <f>'Project Database'!H47</f>
        <v>0</v>
      </c>
      <c r="E43" s="66">
        <f>'Project Database'!I47</f>
        <v>0</v>
      </c>
      <c r="F43" s="66">
        <f>'Project Database'!J47</f>
        <v>0</v>
      </c>
      <c r="G43" s="66">
        <f>'Project Database'!K47</f>
        <v>0</v>
      </c>
      <c r="H43" s="66">
        <f>'Project Database'!L47</f>
        <v>0</v>
      </c>
      <c r="I43" s="66">
        <f>'Project Database'!M47</f>
        <v>0</v>
      </c>
      <c r="J43" s="66">
        <f>'Project Database'!N47</f>
        <v>0</v>
      </c>
      <c r="K43" s="66">
        <f>'Project Database'!O47</f>
        <v>0</v>
      </c>
      <c r="L43" s="66">
        <f>'Project Database'!P47</f>
        <v>0</v>
      </c>
      <c r="M43" s="66">
        <f>'Project Database'!Q47</f>
        <v>0</v>
      </c>
      <c r="N43" s="66">
        <f>'Project Database'!R47</f>
        <v>0</v>
      </c>
      <c r="O43" s="66">
        <f>'Project Database'!S47</f>
        <v>0</v>
      </c>
      <c r="P43" s="66">
        <f>'Project Database'!T47</f>
        <v>0</v>
      </c>
      <c r="Q43" s="66">
        <f>'Project Database'!U47</f>
        <v>0</v>
      </c>
      <c r="R43" s="66">
        <f>'Project Database'!V47</f>
        <v>0</v>
      </c>
      <c r="S43" s="66">
        <f>'Project Database'!W47</f>
        <v>0</v>
      </c>
      <c r="T43" s="66">
        <f>'Project Database'!X47</f>
        <v>0</v>
      </c>
      <c r="U43" s="67">
        <f>'Project Database'!Y47</f>
        <v>0</v>
      </c>
      <c r="V43" s="66">
        <f>IF('Smart Search'!B13=1,IFERROR(1/'Smart Search'!H13,0),0)</f>
        <v>0</v>
      </c>
      <c r="W43" s="66">
        <f>IF('Smart Search'!B13=1,IFERROR(1/'Smart Search'!H13,0),0)</f>
        <v>0</v>
      </c>
      <c r="X43" s="66">
        <f>IF('Smart Search'!C13=1,IFERROR(1/'Smart Search'!H13,0),0)</f>
        <v>0.5</v>
      </c>
      <c r="Y43" s="66">
        <f>IF('Smart Search'!C13=1,IFERROR(1/'Smart Search'!H13,0),0)</f>
        <v>0.5</v>
      </c>
      <c r="Z43" s="66">
        <f>IF('Smart Search'!D13=1,IFERROR(1/'Smart Search'!H13,0),0)</f>
        <v>0</v>
      </c>
      <c r="AA43" s="66">
        <f>IF('Smart Search'!D13=1,IFERROR(1/'Smart Search'!H13,0),0)</f>
        <v>0</v>
      </c>
      <c r="AB43" s="66">
        <f>IF('Smart Search'!E13=1,IFERROR(1/'Smart Search'!H13,0),0)</f>
        <v>0</v>
      </c>
      <c r="AC43" s="66">
        <f>IF('Smart Search'!E13=1,IFERROR(1/'Smart Search'!H13,0),0)</f>
        <v>0</v>
      </c>
      <c r="AD43" s="66">
        <f>IF('Smart Search'!F13=1,IFERROR(1/'Smart Search'!H13,0),0)</f>
        <v>0</v>
      </c>
      <c r="AE43" s="66">
        <f>IF('Smart Search'!F13=1,IFERROR(1/'Smart Search'!H13,0),0)</f>
        <v>0</v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>0</v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>0</v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>0</v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>0</v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>0</v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>0</v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>0</v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>0</v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>0</v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>0</v>
      </c>
      <c r="AP43" s="66">
        <f t="shared" si="0"/>
        <v>0</v>
      </c>
      <c r="AQ43" s="66">
        <f t="shared" si="1"/>
        <v>0</v>
      </c>
      <c r="AR43" s="66">
        <f t="shared" si="2"/>
        <v>0</v>
      </c>
      <c r="AS43" s="66">
        <f t="shared" si="3"/>
        <v>0</v>
      </c>
      <c r="AT43" s="66">
        <f t="shared" si="4"/>
        <v>0</v>
      </c>
      <c r="AU43" s="66">
        <f t="shared" si="5"/>
        <v>0</v>
      </c>
      <c r="AV43" s="66">
        <f t="shared" si="6"/>
        <v>0</v>
      </c>
      <c r="AW43" s="66">
        <f t="shared" si="7"/>
        <v>0</v>
      </c>
      <c r="AX43" s="66">
        <f t="shared" si="8"/>
        <v>0</v>
      </c>
      <c r="AY43" s="66">
        <f t="shared" si="9"/>
        <v>0</v>
      </c>
      <c r="AZ43" s="66">
        <f>'Project Database'!Z47</f>
        <v>0</v>
      </c>
      <c r="BA43" s="66">
        <f>IF(OR(A43="",'Smart Search'!H13=0),"",MAX(0,BE43*BF43*MAX(0,1-BG43)))</f>
        <v>0</v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>0</v>
      </c>
      <c r="BC43" s="66">
        <f>IF('Smart Search'!G13=1,IFERROR(1/'Smart Search'!H13,0),0)</f>
        <v>0</v>
      </c>
      <c r="BD43" s="66">
        <f t="shared" si="10"/>
        <v>0</v>
      </c>
      <c r="BE43" s="66">
        <f t="shared" si="11"/>
        <v>0</v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>0</v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>0</v>
      </c>
      <c r="BH43" s="5" t="str">
        <f>IF(AND('Project Database'!A47&lt;&gt;"",OR('Smart Search'!$L$5="",'Smart Search'!$L$5="All",TRIM('Project Database'!D47)=TRIM('Smart Search'!$L$5)),OR(TRIM('Smart Search'!$L$6)="",TRIM('Smart Search'!$L$6)="All",ISNUMBER(SEARCH(SUBSTITUTE(SUBSTITUTE(SUBSTITUTE(TRIM('Smart Search'!$L$6),"~","~~"),"*","~*"),"?","~?"),'Project Database'!C47))),OR('Smart Search'!$L$7="",AND('Project Database'!E47&lt;&gt;"",'Project Database'!E47='Smart Search'!$L$7)),OR('Smart Search'!$L$8="",'Smart Search'!$L$8="All",TRIM('Project Database'!F47)=TRIM('Smart Search'!$L$8))),IF(BA43="","",BA43+ROW()*0.0000000001),"")</f>
        <v/>
      </c>
      <c r="BI43" s="5" t="str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 t="str">
        <f>IF('Project Database'!A47="","",N('Project Database'!AC47))</f>
        <v/>
      </c>
      <c r="BK43" s="5" t="str">
        <f>IF('Project Database'!A47="","",N('Project Database'!AD47))</f>
        <v/>
      </c>
      <c r="BL43" s="5" t="str">
        <f>IF('Project Database'!A47="","",N('Project Database'!AE47))</f>
        <v/>
      </c>
      <c r="BM43" s="5" t="str">
        <f>IF('Project Database'!A47="","",N('Project Database'!AF47))</f>
        <v/>
      </c>
      <c r="BN43" s="5" t="str">
        <f>IF('Project Database'!A47="","",N('Project Database'!AG47))</f>
        <v/>
      </c>
      <c r="BO43" s="5" t="str">
        <f>IF('Project Database'!A47="","",N('Project Database'!AH47))</f>
        <v/>
      </c>
      <c r="BP43" s="5" t="str">
        <f>IF('Project Database'!A47="","",N('Project Database'!AI47))</f>
        <v/>
      </c>
      <c r="BQ43" s="5" t="str">
        <f>IF('Project Database'!A47="","",N('Project Database'!AJ47))</f>
        <v/>
      </c>
      <c r="BR43" s="5" t="str">
        <f>IF('Project Database'!A47="","",N('Project Database'!AK47))</f>
        <v/>
      </c>
      <c r="BS43" s="5" t="str">
        <f>IF('Project Database'!A47="","",N('Project Database'!AL47))</f>
        <v/>
      </c>
      <c r="BT43" s="5" t="str">
        <f>IF('Project Database'!A47="","",N('Project Database'!AM47))</f>
        <v/>
      </c>
      <c r="BU43" s="5" t="str">
        <f>IF('Project Database'!A47="","",N('Project Database'!AN47))</f>
        <v/>
      </c>
      <c r="BV43" s="5" t="str">
        <f>IF('Project Database'!A47="","",N('Project Database'!AO47))</f>
        <v/>
      </c>
      <c r="BW43" s="5" t="str">
        <f>IF('Project Database'!A47="","",N('Project Database'!AP47))</f>
        <v/>
      </c>
      <c r="BX43" s="5">
        <f t="shared" si="12"/>
        <v>0</v>
      </c>
      <c r="BY43" s="5">
        <f t="shared" si="13"/>
        <v>0</v>
      </c>
    </row>
    <row r="44" spans="1:77" ht="15" customHeight="1" x14ac:dyDescent="0.3">
      <c r="A44" s="66">
        <f>'Project Database'!A48</f>
        <v>0</v>
      </c>
      <c r="B44" s="66">
        <f>'Project Database'!B48</f>
        <v>0</v>
      </c>
      <c r="C44" s="66">
        <f>'Project Database'!G48</f>
        <v>0</v>
      </c>
      <c r="D44" s="66">
        <f>'Project Database'!H48</f>
        <v>0</v>
      </c>
      <c r="E44" s="66">
        <f>'Project Database'!I48</f>
        <v>0</v>
      </c>
      <c r="F44" s="66">
        <f>'Project Database'!J48</f>
        <v>0</v>
      </c>
      <c r="G44" s="66">
        <f>'Project Database'!K48</f>
        <v>0</v>
      </c>
      <c r="H44" s="66">
        <f>'Project Database'!L48</f>
        <v>0</v>
      </c>
      <c r="I44" s="66">
        <f>'Project Database'!M48</f>
        <v>0</v>
      </c>
      <c r="J44" s="66">
        <f>'Project Database'!N48</f>
        <v>0</v>
      </c>
      <c r="K44" s="66">
        <f>'Project Database'!O48</f>
        <v>0</v>
      </c>
      <c r="L44" s="66">
        <f>'Project Database'!P48</f>
        <v>0</v>
      </c>
      <c r="M44" s="66">
        <f>'Project Database'!Q48</f>
        <v>0</v>
      </c>
      <c r="N44" s="66">
        <f>'Project Database'!R48</f>
        <v>0</v>
      </c>
      <c r="O44" s="66">
        <f>'Project Database'!S48</f>
        <v>0</v>
      </c>
      <c r="P44" s="66">
        <f>'Project Database'!T48</f>
        <v>0</v>
      </c>
      <c r="Q44" s="66">
        <f>'Project Database'!U48</f>
        <v>0</v>
      </c>
      <c r="R44" s="66">
        <f>'Project Database'!V48</f>
        <v>0</v>
      </c>
      <c r="S44" s="66">
        <f>'Project Database'!W48</f>
        <v>0</v>
      </c>
      <c r="T44" s="66">
        <f>'Project Database'!X48</f>
        <v>0</v>
      </c>
      <c r="U44" s="67">
        <f>'Project Database'!Y48</f>
        <v>0</v>
      </c>
      <c r="V44" s="66">
        <f>IF('Smart Search'!B13=1,IFERROR(1/'Smart Search'!H13,0),0)</f>
        <v>0</v>
      </c>
      <c r="W44" s="66">
        <f>IF('Smart Search'!B13=1,IFERROR(1/'Smart Search'!H13,0),0)</f>
        <v>0</v>
      </c>
      <c r="X44" s="66">
        <f>IF('Smart Search'!C13=1,IFERROR(1/'Smart Search'!H13,0),0)</f>
        <v>0.5</v>
      </c>
      <c r="Y44" s="66">
        <f>IF('Smart Search'!C13=1,IFERROR(1/'Smart Search'!H13,0),0)</f>
        <v>0.5</v>
      </c>
      <c r="Z44" s="66">
        <f>IF('Smart Search'!D13=1,IFERROR(1/'Smart Search'!H13,0),0)</f>
        <v>0</v>
      </c>
      <c r="AA44" s="66">
        <f>IF('Smart Search'!D13=1,IFERROR(1/'Smart Search'!H13,0),0)</f>
        <v>0</v>
      </c>
      <c r="AB44" s="66">
        <f>IF('Smart Search'!E13=1,IFERROR(1/'Smart Search'!H13,0),0)</f>
        <v>0</v>
      </c>
      <c r="AC44" s="66">
        <f>IF('Smart Search'!E13=1,IFERROR(1/'Smart Search'!H13,0),0)</f>
        <v>0</v>
      </c>
      <c r="AD44" s="66">
        <f>IF('Smart Search'!F13=1,IFERROR(1/'Smart Search'!H13,0),0)</f>
        <v>0</v>
      </c>
      <c r="AE44" s="66">
        <f>IF('Smart Search'!F13=1,IFERROR(1/'Smart Search'!H13,0),0)</f>
        <v>0</v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>0</v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>0</v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>0</v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>0</v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>0</v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>0</v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>0</v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>0</v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>0</v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>0</v>
      </c>
      <c r="AP44" s="66">
        <f t="shared" si="0"/>
        <v>0</v>
      </c>
      <c r="AQ44" s="66">
        <f t="shared" si="1"/>
        <v>0</v>
      </c>
      <c r="AR44" s="66">
        <f t="shared" si="2"/>
        <v>0</v>
      </c>
      <c r="AS44" s="66">
        <f t="shared" si="3"/>
        <v>0</v>
      </c>
      <c r="AT44" s="66">
        <f t="shared" si="4"/>
        <v>0</v>
      </c>
      <c r="AU44" s="66">
        <f t="shared" si="5"/>
        <v>0</v>
      </c>
      <c r="AV44" s="66">
        <f t="shared" si="6"/>
        <v>0</v>
      </c>
      <c r="AW44" s="66">
        <f t="shared" si="7"/>
        <v>0</v>
      </c>
      <c r="AX44" s="66">
        <f t="shared" si="8"/>
        <v>0</v>
      </c>
      <c r="AY44" s="66">
        <f t="shared" si="9"/>
        <v>0</v>
      </c>
      <c r="AZ44" s="66">
        <f>'Project Database'!Z48</f>
        <v>0</v>
      </c>
      <c r="BA44" s="66">
        <f>IF(OR(A44="",'Smart Search'!H13=0),"",MAX(0,BE44*BF44*MAX(0,1-BG44)))</f>
        <v>0</v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>0</v>
      </c>
      <c r="BC44" s="66">
        <f>IF('Smart Search'!G13=1,IFERROR(1/'Smart Search'!H13,0),0)</f>
        <v>0</v>
      </c>
      <c r="BD44" s="66">
        <f t="shared" si="10"/>
        <v>0</v>
      </c>
      <c r="BE44" s="66">
        <f t="shared" si="11"/>
        <v>0</v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>0</v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>0</v>
      </c>
      <c r="BH44" s="5" t="str">
        <f>IF(AND('Project Database'!A48&lt;&gt;"",OR('Smart Search'!$L$5="",'Smart Search'!$L$5="All",TRIM('Project Database'!D48)=TRIM('Smart Search'!$L$5)),OR(TRIM('Smart Search'!$L$6)="",TRIM('Smart Search'!$L$6)="All",ISNUMBER(SEARCH(SUBSTITUTE(SUBSTITUTE(SUBSTITUTE(TRIM('Smart Search'!$L$6),"~","~~"),"*","~*"),"?","~?"),'Project Database'!C48))),OR('Smart Search'!$L$7="",AND('Project Database'!E48&lt;&gt;"",'Project Database'!E48='Smart Search'!$L$7)),OR('Smart Search'!$L$8="",'Smart Search'!$L$8="All",TRIM('Project Database'!F48)=TRIM('Smart Search'!$L$8))),IF(BA44="","",BA44+ROW()*0.0000000001),"")</f>
        <v/>
      </c>
      <c r="BI44" s="5" t="str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 t="str">
        <f>IF('Project Database'!A48="","",N('Project Database'!AC48))</f>
        <v/>
      </c>
      <c r="BK44" s="5" t="str">
        <f>IF('Project Database'!A48="","",N('Project Database'!AD48))</f>
        <v/>
      </c>
      <c r="BL44" s="5" t="str">
        <f>IF('Project Database'!A48="","",N('Project Database'!AE48))</f>
        <v/>
      </c>
      <c r="BM44" s="5" t="str">
        <f>IF('Project Database'!A48="","",N('Project Database'!AF48))</f>
        <v/>
      </c>
      <c r="BN44" s="5" t="str">
        <f>IF('Project Database'!A48="","",N('Project Database'!AG48))</f>
        <v/>
      </c>
      <c r="BO44" s="5" t="str">
        <f>IF('Project Database'!A48="","",N('Project Database'!AH48))</f>
        <v/>
      </c>
      <c r="BP44" s="5" t="str">
        <f>IF('Project Database'!A48="","",N('Project Database'!AI48))</f>
        <v/>
      </c>
      <c r="BQ44" s="5" t="str">
        <f>IF('Project Database'!A48="","",N('Project Database'!AJ48))</f>
        <v/>
      </c>
      <c r="BR44" s="5" t="str">
        <f>IF('Project Database'!A48="","",N('Project Database'!AK48))</f>
        <v/>
      </c>
      <c r="BS44" s="5" t="str">
        <f>IF('Project Database'!A48="","",N('Project Database'!AL48))</f>
        <v/>
      </c>
      <c r="BT44" s="5" t="str">
        <f>IF('Project Database'!A48="","",N('Project Database'!AM48))</f>
        <v/>
      </c>
      <c r="BU44" s="5" t="str">
        <f>IF('Project Database'!A48="","",N('Project Database'!AN48))</f>
        <v/>
      </c>
      <c r="BV44" s="5" t="str">
        <f>IF('Project Database'!A48="","",N('Project Database'!AO48))</f>
        <v/>
      </c>
      <c r="BW44" s="5" t="str">
        <f>IF('Project Database'!A48="","",N('Project Database'!AP48))</f>
        <v/>
      </c>
      <c r="BX44" s="5">
        <f t="shared" si="12"/>
        <v>0</v>
      </c>
      <c r="BY44" s="5">
        <f t="shared" si="13"/>
        <v>0</v>
      </c>
    </row>
    <row r="45" spans="1:77" ht="15" customHeight="1" x14ac:dyDescent="0.3">
      <c r="A45" s="66">
        <f>'Project Database'!A49</f>
        <v>0</v>
      </c>
      <c r="B45" s="66">
        <f>'Project Database'!B49</f>
        <v>0</v>
      </c>
      <c r="C45" s="66">
        <f>'Project Database'!G49</f>
        <v>0</v>
      </c>
      <c r="D45" s="66">
        <f>'Project Database'!H49</f>
        <v>0</v>
      </c>
      <c r="E45" s="66">
        <f>'Project Database'!I49</f>
        <v>0</v>
      </c>
      <c r="F45" s="66">
        <f>'Project Database'!J49</f>
        <v>0</v>
      </c>
      <c r="G45" s="66">
        <f>'Project Database'!K49</f>
        <v>0</v>
      </c>
      <c r="H45" s="66">
        <f>'Project Database'!L49</f>
        <v>0</v>
      </c>
      <c r="I45" s="66">
        <f>'Project Database'!M49</f>
        <v>0</v>
      </c>
      <c r="J45" s="66">
        <f>'Project Database'!N49</f>
        <v>0</v>
      </c>
      <c r="K45" s="66">
        <f>'Project Database'!O49</f>
        <v>0</v>
      </c>
      <c r="L45" s="66">
        <f>'Project Database'!P49</f>
        <v>0</v>
      </c>
      <c r="M45" s="66">
        <f>'Project Database'!Q49</f>
        <v>0</v>
      </c>
      <c r="N45" s="66">
        <f>'Project Database'!R49</f>
        <v>0</v>
      </c>
      <c r="O45" s="66">
        <f>'Project Database'!S49</f>
        <v>0</v>
      </c>
      <c r="P45" s="66">
        <f>'Project Database'!T49</f>
        <v>0</v>
      </c>
      <c r="Q45" s="66">
        <f>'Project Database'!U49</f>
        <v>0</v>
      </c>
      <c r="R45" s="66">
        <f>'Project Database'!V49</f>
        <v>0</v>
      </c>
      <c r="S45" s="66">
        <f>'Project Database'!W49</f>
        <v>0</v>
      </c>
      <c r="T45" s="66">
        <f>'Project Database'!X49</f>
        <v>0</v>
      </c>
      <c r="U45" s="67">
        <f>'Project Database'!Y49</f>
        <v>0</v>
      </c>
      <c r="V45" s="66">
        <f>IF('Smart Search'!B13=1,IFERROR(1/'Smart Search'!H13,0),0)</f>
        <v>0</v>
      </c>
      <c r="W45" s="66">
        <f>IF('Smart Search'!B13=1,IFERROR(1/'Smart Search'!H13,0),0)</f>
        <v>0</v>
      </c>
      <c r="X45" s="66">
        <f>IF('Smart Search'!C13=1,IFERROR(1/'Smart Search'!H13,0),0)</f>
        <v>0.5</v>
      </c>
      <c r="Y45" s="66">
        <f>IF('Smart Search'!C13=1,IFERROR(1/'Smart Search'!H13,0),0)</f>
        <v>0.5</v>
      </c>
      <c r="Z45" s="66">
        <f>IF('Smart Search'!D13=1,IFERROR(1/'Smart Search'!H13,0),0)</f>
        <v>0</v>
      </c>
      <c r="AA45" s="66">
        <f>IF('Smart Search'!D13=1,IFERROR(1/'Smart Search'!H13,0),0)</f>
        <v>0</v>
      </c>
      <c r="AB45" s="66">
        <f>IF('Smart Search'!E13=1,IFERROR(1/'Smart Search'!H13,0),0)</f>
        <v>0</v>
      </c>
      <c r="AC45" s="66">
        <f>IF('Smart Search'!E13=1,IFERROR(1/'Smart Search'!H13,0),0)</f>
        <v>0</v>
      </c>
      <c r="AD45" s="66">
        <f>IF('Smart Search'!F13=1,IFERROR(1/'Smart Search'!H13,0),0)</f>
        <v>0</v>
      </c>
      <c r="AE45" s="66">
        <f>IF('Smart Search'!F13=1,IFERROR(1/'Smart Search'!H13,0),0)</f>
        <v>0</v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>0</v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>0</v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>0</v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>0</v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>0</v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>0</v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>0</v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>0</v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>0</v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>0</v>
      </c>
      <c r="AP45" s="66">
        <f t="shared" si="0"/>
        <v>0</v>
      </c>
      <c r="AQ45" s="66">
        <f t="shared" si="1"/>
        <v>0</v>
      </c>
      <c r="AR45" s="66">
        <f t="shared" si="2"/>
        <v>0</v>
      </c>
      <c r="AS45" s="66">
        <f t="shared" si="3"/>
        <v>0</v>
      </c>
      <c r="AT45" s="66">
        <f t="shared" si="4"/>
        <v>0</v>
      </c>
      <c r="AU45" s="66">
        <f t="shared" si="5"/>
        <v>0</v>
      </c>
      <c r="AV45" s="66">
        <f t="shared" si="6"/>
        <v>0</v>
      </c>
      <c r="AW45" s="66">
        <f t="shared" si="7"/>
        <v>0</v>
      </c>
      <c r="AX45" s="66">
        <f t="shared" si="8"/>
        <v>0</v>
      </c>
      <c r="AY45" s="66">
        <f t="shared" si="9"/>
        <v>0</v>
      </c>
      <c r="AZ45" s="66">
        <f>'Project Database'!Z49</f>
        <v>0</v>
      </c>
      <c r="BA45" s="66">
        <f>IF(OR(A45="",'Smart Search'!H13=0),"",MAX(0,BE45*BF45*MAX(0,1-BG45)))</f>
        <v>0</v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>0</v>
      </c>
      <c r="BC45" s="66">
        <f>IF('Smart Search'!G13=1,IFERROR(1/'Smart Search'!H13,0),0)</f>
        <v>0</v>
      </c>
      <c r="BD45" s="66">
        <f t="shared" si="10"/>
        <v>0</v>
      </c>
      <c r="BE45" s="66">
        <f t="shared" si="11"/>
        <v>0</v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>0</v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>0</v>
      </c>
      <c r="BH45" s="5" t="str">
        <f>IF(AND('Project Database'!A49&lt;&gt;"",OR('Smart Search'!$L$5="",'Smart Search'!$L$5="All",TRIM('Project Database'!D49)=TRIM('Smart Search'!$L$5)),OR(TRIM('Smart Search'!$L$6)="",TRIM('Smart Search'!$L$6)="All",ISNUMBER(SEARCH(SUBSTITUTE(SUBSTITUTE(SUBSTITUTE(TRIM('Smart Search'!$L$6),"~","~~"),"*","~*"),"?","~?"),'Project Database'!C49))),OR('Smart Search'!$L$7="",AND('Project Database'!E49&lt;&gt;"",'Project Database'!E49='Smart Search'!$L$7)),OR('Smart Search'!$L$8="",'Smart Search'!$L$8="All",TRIM('Project Database'!F49)=TRIM('Smart Search'!$L$8))),IF(BA45="","",BA45+ROW()*0.0000000001),"")</f>
        <v/>
      </c>
      <c r="BI45" s="5" t="str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 t="str">
        <f>IF('Project Database'!A49="","",N('Project Database'!AC49))</f>
        <v/>
      </c>
      <c r="BK45" s="5" t="str">
        <f>IF('Project Database'!A49="","",N('Project Database'!AD49))</f>
        <v/>
      </c>
      <c r="BL45" s="5" t="str">
        <f>IF('Project Database'!A49="","",N('Project Database'!AE49))</f>
        <v/>
      </c>
      <c r="BM45" s="5" t="str">
        <f>IF('Project Database'!A49="","",N('Project Database'!AF49))</f>
        <v/>
      </c>
      <c r="BN45" s="5" t="str">
        <f>IF('Project Database'!A49="","",N('Project Database'!AG49))</f>
        <v/>
      </c>
      <c r="BO45" s="5" t="str">
        <f>IF('Project Database'!A49="","",N('Project Database'!AH49))</f>
        <v/>
      </c>
      <c r="BP45" s="5" t="str">
        <f>IF('Project Database'!A49="","",N('Project Database'!AI49))</f>
        <v/>
      </c>
      <c r="BQ45" s="5" t="str">
        <f>IF('Project Database'!A49="","",N('Project Database'!AJ49))</f>
        <v/>
      </c>
      <c r="BR45" s="5" t="str">
        <f>IF('Project Database'!A49="","",N('Project Database'!AK49))</f>
        <v/>
      </c>
      <c r="BS45" s="5" t="str">
        <f>IF('Project Database'!A49="","",N('Project Database'!AL49))</f>
        <v/>
      </c>
      <c r="BT45" s="5" t="str">
        <f>IF('Project Database'!A49="","",N('Project Database'!AM49))</f>
        <v/>
      </c>
      <c r="BU45" s="5" t="str">
        <f>IF('Project Database'!A49="","",N('Project Database'!AN49))</f>
        <v/>
      </c>
      <c r="BV45" s="5" t="str">
        <f>IF('Project Database'!A49="","",N('Project Database'!AO49))</f>
        <v/>
      </c>
      <c r="BW45" s="5" t="str">
        <f>IF('Project Database'!A49="","",N('Project Database'!AP49))</f>
        <v/>
      </c>
      <c r="BX45" s="5">
        <f t="shared" si="12"/>
        <v>0</v>
      </c>
      <c r="BY45" s="5">
        <f t="shared" si="13"/>
        <v>0</v>
      </c>
    </row>
    <row r="46" spans="1:77" ht="15" customHeight="1" x14ac:dyDescent="0.3">
      <c r="A46" s="66">
        <f>'Project Database'!A50</f>
        <v>0</v>
      </c>
      <c r="B46" s="66">
        <f>'Project Database'!B50</f>
        <v>0</v>
      </c>
      <c r="C46" s="66">
        <f>'Project Database'!G50</f>
        <v>0</v>
      </c>
      <c r="D46" s="66">
        <f>'Project Database'!H50</f>
        <v>0</v>
      </c>
      <c r="E46" s="66">
        <f>'Project Database'!I50</f>
        <v>0</v>
      </c>
      <c r="F46" s="66">
        <f>'Project Database'!J50</f>
        <v>0</v>
      </c>
      <c r="G46" s="66">
        <f>'Project Database'!K50</f>
        <v>0</v>
      </c>
      <c r="H46" s="66">
        <f>'Project Database'!L50</f>
        <v>0</v>
      </c>
      <c r="I46" s="66">
        <f>'Project Database'!M50</f>
        <v>0</v>
      </c>
      <c r="J46" s="66">
        <f>'Project Database'!N50</f>
        <v>0</v>
      </c>
      <c r="K46" s="66">
        <f>'Project Database'!O50</f>
        <v>0</v>
      </c>
      <c r="L46" s="66">
        <f>'Project Database'!P50</f>
        <v>0</v>
      </c>
      <c r="M46" s="66">
        <f>'Project Database'!Q50</f>
        <v>0</v>
      </c>
      <c r="N46" s="66">
        <f>'Project Database'!R50</f>
        <v>0</v>
      </c>
      <c r="O46" s="66">
        <f>'Project Database'!S50</f>
        <v>0</v>
      </c>
      <c r="P46" s="66">
        <f>'Project Database'!T50</f>
        <v>0</v>
      </c>
      <c r="Q46" s="66">
        <f>'Project Database'!U50</f>
        <v>0</v>
      </c>
      <c r="R46" s="66">
        <f>'Project Database'!V50</f>
        <v>0</v>
      </c>
      <c r="S46" s="66">
        <f>'Project Database'!W50</f>
        <v>0</v>
      </c>
      <c r="T46" s="66">
        <f>'Project Database'!X50</f>
        <v>0</v>
      </c>
      <c r="U46" s="67">
        <f>'Project Database'!Y50</f>
        <v>0</v>
      </c>
      <c r="V46" s="66">
        <f>IF('Smart Search'!B13=1,IFERROR(1/'Smart Search'!H13,0),0)</f>
        <v>0</v>
      </c>
      <c r="W46" s="66">
        <f>IF('Smart Search'!B13=1,IFERROR(1/'Smart Search'!H13,0),0)</f>
        <v>0</v>
      </c>
      <c r="X46" s="66">
        <f>IF('Smart Search'!C13=1,IFERROR(1/'Smart Search'!H13,0),0)</f>
        <v>0.5</v>
      </c>
      <c r="Y46" s="66">
        <f>IF('Smart Search'!C13=1,IFERROR(1/'Smart Search'!H13,0),0)</f>
        <v>0.5</v>
      </c>
      <c r="Z46" s="66">
        <f>IF('Smart Search'!D13=1,IFERROR(1/'Smart Search'!H13,0),0)</f>
        <v>0</v>
      </c>
      <c r="AA46" s="66">
        <f>IF('Smart Search'!D13=1,IFERROR(1/'Smart Search'!H13,0),0)</f>
        <v>0</v>
      </c>
      <c r="AB46" s="66">
        <f>IF('Smart Search'!E13=1,IFERROR(1/'Smart Search'!H13,0),0)</f>
        <v>0</v>
      </c>
      <c r="AC46" s="66">
        <f>IF('Smart Search'!E13=1,IFERROR(1/'Smart Search'!H13,0),0)</f>
        <v>0</v>
      </c>
      <c r="AD46" s="66">
        <f>IF('Smart Search'!F13=1,IFERROR(1/'Smart Search'!H13,0),0)</f>
        <v>0</v>
      </c>
      <c r="AE46" s="66">
        <f>IF('Smart Search'!F13=1,IFERROR(1/'Smart Search'!H13,0),0)</f>
        <v>0</v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>0</v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>0</v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>0</v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>0</v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>0</v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>0</v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>0</v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>0</v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>0</v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>0</v>
      </c>
      <c r="AP46" s="66">
        <f t="shared" si="0"/>
        <v>0</v>
      </c>
      <c r="AQ46" s="66">
        <f t="shared" si="1"/>
        <v>0</v>
      </c>
      <c r="AR46" s="66">
        <f t="shared" si="2"/>
        <v>0</v>
      </c>
      <c r="AS46" s="66">
        <f t="shared" si="3"/>
        <v>0</v>
      </c>
      <c r="AT46" s="66">
        <f t="shared" si="4"/>
        <v>0</v>
      </c>
      <c r="AU46" s="66">
        <f t="shared" si="5"/>
        <v>0</v>
      </c>
      <c r="AV46" s="66">
        <f t="shared" si="6"/>
        <v>0</v>
      </c>
      <c r="AW46" s="66">
        <f t="shared" si="7"/>
        <v>0</v>
      </c>
      <c r="AX46" s="66">
        <f t="shared" si="8"/>
        <v>0</v>
      </c>
      <c r="AY46" s="66">
        <f t="shared" si="9"/>
        <v>0</v>
      </c>
      <c r="AZ46" s="66">
        <f>'Project Database'!Z50</f>
        <v>0</v>
      </c>
      <c r="BA46" s="66">
        <f>IF(OR(A46="",'Smart Search'!H13=0),"",MAX(0,BE46*BF46*MAX(0,1-BG46)))</f>
        <v>0</v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>0</v>
      </c>
      <c r="BC46" s="66">
        <f>IF('Smart Search'!G13=1,IFERROR(1/'Smart Search'!H13,0),0)</f>
        <v>0</v>
      </c>
      <c r="BD46" s="66">
        <f t="shared" si="10"/>
        <v>0</v>
      </c>
      <c r="BE46" s="66">
        <f t="shared" si="11"/>
        <v>0</v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>0</v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>0</v>
      </c>
      <c r="BH46" s="5" t="str">
        <f>IF(AND('Project Database'!A50&lt;&gt;"",OR('Smart Search'!$L$5="",'Smart Search'!$L$5="All",TRIM('Project Database'!D50)=TRIM('Smart Search'!$L$5)),OR(TRIM('Smart Search'!$L$6)="",TRIM('Smart Search'!$L$6)="All",ISNUMBER(SEARCH(SUBSTITUTE(SUBSTITUTE(SUBSTITUTE(TRIM('Smart Search'!$L$6),"~","~~"),"*","~*"),"?","~?"),'Project Database'!C50))),OR('Smart Search'!$L$7="",AND('Project Database'!E50&lt;&gt;"",'Project Database'!E50='Smart Search'!$L$7)),OR('Smart Search'!$L$8="",'Smart Search'!$L$8="All",TRIM('Project Database'!F50)=TRIM('Smart Search'!$L$8))),IF(BA46="","",BA46+ROW()*0.0000000001),"")</f>
        <v/>
      </c>
      <c r="BI46" s="5" t="str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 t="str">
        <f>IF('Project Database'!A50="","",N('Project Database'!AC50))</f>
        <v/>
      </c>
      <c r="BK46" s="5" t="str">
        <f>IF('Project Database'!A50="","",N('Project Database'!AD50))</f>
        <v/>
      </c>
      <c r="BL46" s="5" t="str">
        <f>IF('Project Database'!A50="","",N('Project Database'!AE50))</f>
        <v/>
      </c>
      <c r="BM46" s="5" t="str">
        <f>IF('Project Database'!A50="","",N('Project Database'!AF50))</f>
        <v/>
      </c>
      <c r="BN46" s="5" t="str">
        <f>IF('Project Database'!A50="","",N('Project Database'!AG50))</f>
        <v/>
      </c>
      <c r="BO46" s="5" t="str">
        <f>IF('Project Database'!A50="","",N('Project Database'!AH50))</f>
        <v/>
      </c>
      <c r="BP46" s="5" t="str">
        <f>IF('Project Database'!A50="","",N('Project Database'!AI50))</f>
        <v/>
      </c>
      <c r="BQ46" s="5" t="str">
        <f>IF('Project Database'!A50="","",N('Project Database'!AJ50))</f>
        <v/>
      </c>
      <c r="BR46" s="5" t="str">
        <f>IF('Project Database'!A50="","",N('Project Database'!AK50))</f>
        <v/>
      </c>
      <c r="BS46" s="5" t="str">
        <f>IF('Project Database'!A50="","",N('Project Database'!AL50))</f>
        <v/>
      </c>
      <c r="BT46" s="5" t="str">
        <f>IF('Project Database'!A50="","",N('Project Database'!AM50))</f>
        <v/>
      </c>
      <c r="BU46" s="5" t="str">
        <f>IF('Project Database'!A50="","",N('Project Database'!AN50))</f>
        <v/>
      </c>
      <c r="BV46" s="5" t="str">
        <f>IF('Project Database'!A50="","",N('Project Database'!AO50))</f>
        <v/>
      </c>
      <c r="BW46" s="5" t="str">
        <f>IF('Project Database'!A50="","",N('Project Database'!AP50))</f>
        <v/>
      </c>
      <c r="BX46" s="5">
        <f t="shared" si="12"/>
        <v>0</v>
      </c>
      <c r="BY46" s="5">
        <f t="shared" si="13"/>
        <v>0</v>
      </c>
    </row>
    <row r="47" spans="1:77" ht="15" customHeight="1" x14ac:dyDescent="0.3">
      <c r="A47" s="66">
        <f>'Project Database'!A51</f>
        <v>0</v>
      </c>
      <c r="B47" s="66">
        <f>'Project Database'!B51</f>
        <v>0</v>
      </c>
      <c r="C47" s="66">
        <f>'Project Database'!G51</f>
        <v>0</v>
      </c>
      <c r="D47" s="66">
        <f>'Project Database'!H51</f>
        <v>0</v>
      </c>
      <c r="E47" s="66">
        <f>'Project Database'!I51</f>
        <v>0</v>
      </c>
      <c r="F47" s="66">
        <f>'Project Database'!J51</f>
        <v>0</v>
      </c>
      <c r="G47" s="66">
        <f>'Project Database'!K51</f>
        <v>0</v>
      </c>
      <c r="H47" s="66">
        <f>'Project Database'!L51</f>
        <v>0</v>
      </c>
      <c r="I47" s="66">
        <f>'Project Database'!M51</f>
        <v>0</v>
      </c>
      <c r="J47" s="66">
        <f>'Project Database'!N51</f>
        <v>0</v>
      </c>
      <c r="K47" s="66">
        <f>'Project Database'!O51</f>
        <v>0</v>
      </c>
      <c r="L47" s="66">
        <f>'Project Database'!P51</f>
        <v>0</v>
      </c>
      <c r="M47" s="66">
        <f>'Project Database'!Q51</f>
        <v>0</v>
      </c>
      <c r="N47" s="66">
        <f>'Project Database'!R51</f>
        <v>0</v>
      </c>
      <c r="O47" s="66">
        <f>'Project Database'!S51</f>
        <v>0</v>
      </c>
      <c r="P47" s="66">
        <f>'Project Database'!T51</f>
        <v>0</v>
      </c>
      <c r="Q47" s="66">
        <f>'Project Database'!U51</f>
        <v>0</v>
      </c>
      <c r="R47" s="66">
        <f>'Project Database'!V51</f>
        <v>0</v>
      </c>
      <c r="S47" s="66">
        <f>'Project Database'!W51</f>
        <v>0</v>
      </c>
      <c r="T47" s="66">
        <f>'Project Database'!X51</f>
        <v>0</v>
      </c>
      <c r="U47" s="67">
        <f>'Project Database'!Y51</f>
        <v>0</v>
      </c>
      <c r="V47" s="66">
        <f>IF('Smart Search'!B13=1,IFERROR(1/'Smart Search'!H13,0),0)</f>
        <v>0</v>
      </c>
      <c r="W47" s="66">
        <f>IF('Smart Search'!B13=1,IFERROR(1/'Smart Search'!H13,0),0)</f>
        <v>0</v>
      </c>
      <c r="X47" s="66">
        <f>IF('Smart Search'!C13=1,IFERROR(1/'Smart Search'!H13,0),0)</f>
        <v>0.5</v>
      </c>
      <c r="Y47" s="66">
        <f>IF('Smart Search'!C13=1,IFERROR(1/'Smart Search'!H13,0),0)</f>
        <v>0.5</v>
      </c>
      <c r="Z47" s="66">
        <f>IF('Smart Search'!D13=1,IFERROR(1/'Smart Search'!H13,0),0)</f>
        <v>0</v>
      </c>
      <c r="AA47" s="66">
        <f>IF('Smart Search'!D13=1,IFERROR(1/'Smart Search'!H13,0),0)</f>
        <v>0</v>
      </c>
      <c r="AB47" s="66">
        <f>IF('Smart Search'!E13=1,IFERROR(1/'Smart Search'!H13,0),0)</f>
        <v>0</v>
      </c>
      <c r="AC47" s="66">
        <f>IF('Smart Search'!E13=1,IFERROR(1/'Smart Search'!H13,0),0)</f>
        <v>0</v>
      </c>
      <c r="AD47" s="66">
        <f>IF('Smart Search'!F13=1,IFERROR(1/'Smart Search'!H13,0),0)</f>
        <v>0</v>
      </c>
      <c r="AE47" s="66">
        <f>IF('Smart Search'!F13=1,IFERROR(1/'Smart Search'!H13,0),0)</f>
        <v>0</v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>0</v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>0</v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>0</v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>0</v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>0</v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>0</v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>0</v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>0</v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>0</v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>0</v>
      </c>
      <c r="AP47" s="66">
        <f t="shared" si="0"/>
        <v>0</v>
      </c>
      <c r="AQ47" s="66">
        <f t="shared" si="1"/>
        <v>0</v>
      </c>
      <c r="AR47" s="66">
        <f t="shared" si="2"/>
        <v>0</v>
      </c>
      <c r="AS47" s="66">
        <f t="shared" si="3"/>
        <v>0</v>
      </c>
      <c r="AT47" s="66">
        <f t="shared" si="4"/>
        <v>0</v>
      </c>
      <c r="AU47" s="66">
        <f t="shared" si="5"/>
        <v>0</v>
      </c>
      <c r="AV47" s="66">
        <f t="shared" si="6"/>
        <v>0</v>
      </c>
      <c r="AW47" s="66">
        <f t="shared" si="7"/>
        <v>0</v>
      </c>
      <c r="AX47" s="66">
        <f t="shared" si="8"/>
        <v>0</v>
      </c>
      <c r="AY47" s="66">
        <f t="shared" si="9"/>
        <v>0</v>
      </c>
      <c r="AZ47" s="66">
        <f>'Project Database'!Z51</f>
        <v>0</v>
      </c>
      <c r="BA47" s="66">
        <f>IF(OR(A47="",'Smart Search'!H13=0),"",MAX(0,BE47*BF47*MAX(0,1-BG47)))</f>
        <v>0</v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>0</v>
      </c>
      <c r="BC47" s="66">
        <f>IF('Smart Search'!G13=1,IFERROR(1/'Smart Search'!H13,0),0)</f>
        <v>0</v>
      </c>
      <c r="BD47" s="66">
        <f t="shared" si="10"/>
        <v>0</v>
      </c>
      <c r="BE47" s="66">
        <f t="shared" si="11"/>
        <v>0</v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>0</v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>0</v>
      </c>
      <c r="BH47" s="5" t="str">
        <f>IF(AND('Project Database'!A51&lt;&gt;"",OR('Smart Search'!$L$5="",'Smart Search'!$L$5="All",TRIM('Project Database'!D51)=TRIM('Smart Search'!$L$5)),OR(TRIM('Smart Search'!$L$6)="",TRIM('Smart Search'!$L$6)="All",ISNUMBER(SEARCH(SUBSTITUTE(SUBSTITUTE(SUBSTITUTE(TRIM('Smart Search'!$L$6),"~","~~"),"*","~*"),"?","~?"),'Project Database'!C51))),OR('Smart Search'!$L$7="",AND('Project Database'!E51&lt;&gt;"",'Project Database'!E51='Smart Search'!$L$7)),OR('Smart Search'!$L$8="",'Smart Search'!$L$8="All",TRIM('Project Database'!F51)=TRIM('Smart Search'!$L$8))),IF(BA47="","",BA47+ROW()*0.0000000001),"")</f>
        <v/>
      </c>
      <c r="BI47" s="5" t="str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 t="str">
        <f>IF('Project Database'!A51="","",N('Project Database'!AC51))</f>
        <v/>
      </c>
      <c r="BK47" s="5" t="str">
        <f>IF('Project Database'!A51="","",N('Project Database'!AD51))</f>
        <v/>
      </c>
      <c r="BL47" s="5" t="str">
        <f>IF('Project Database'!A51="","",N('Project Database'!AE51))</f>
        <v/>
      </c>
      <c r="BM47" s="5" t="str">
        <f>IF('Project Database'!A51="","",N('Project Database'!AF51))</f>
        <v/>
      </c>
      <c r="BN47" s="5" t="str">
        <f>IF('Project Database'!A51="","",N('Project Database'!AG51))</f>
        <v/>
      </c>
      <c r="BO47" s="5" t="str">
        <f>IF('Project Database'!A51="","",N('Project Database'!AH51))</f>
        <v/>
      </c>
      <c r="BP47" s="5" t="str">
        <f>IF('Project Database'!A51="","",N('Project Database'!AI51))</f>
        <v/>
      </c>
      <c r="BQ47" s="5" t="str">
        <f>IF('Project Database'!A51="","",N('Project Database'!AJ51))</f>
        <v/>
      </c>
      <c r="BR47" s="5" t="str">
        <f>IF('Project Database'!A51="","",N('Project Database'!AK51))</f>
        <v/>
      </c>
      <c r="BS47" s="5" t="str">
        <f>IF('Project Database'!A51="","",N('Project Database'!AL51))</f>
        <v/>
      </c>
      <c r="BT47" s="5" t="str">
        <f>IF('Project Database'!A51="","",N('Project Database'!AM51))</f>
        <v/>
      </c>
      <c r="BU47" s="5" t="str">
        <f>IF('Project Database'!A51="","",N('Project Database'!AN51))</f>
        <v/>
      </c>
      <c r="BV47" s="5" t="str">
        <f>IF('Project Database'!A51="","",N('Project Database'!AO51))</f>
        <v/>
      </c>
      <c r="BW47" s="5" t="str">
        <f>IF('Project Database'!A51="","",N('Project Database'!AP51))</f>
        <v/>
      </c>
      <c r="BX47" s="5">
        <f t="shared" si="12"/>
        <v>0</v>
      </c>
      <c r="BY47" s="5">
        <f t="shared" si="13"/>
        <v>0</v>
      </c>
    </row>
    <row r="48" spans="1:77" ht="15" customHeight="1" x14ac:dyDescent="0.3">
      <c r="A48" s="66">
        <f>'Project Database'!A52</f>
        <v>0</v>
      </c>
      <c r="B48" s="66">
        <f>'Project Database'!B52</f>
        <v>0</v>
      </c>
      <c r="C48" s="66">
        <f>'Project Database'!G52</f>
        <v>0</v>
      </c>
      <c r="D48" s="66">
        <f>'Project Database'!H52</f>
        <v>0</v>
      </c>
      <c r="E48" s="66">
        <f>'Project Database'!I52</f>
        <v>0</v>
      </c>
      <c r="F48" s="66">
        <f>'Project Database'!J52</f>
        <v>0</v>
      </c>
      <c r="G48" s="66">
        <f>'Project Database'!K52</f>
        <v>0</v>
      </c>
      <c r="H48" s="66">
        <f>'Project Database'!L52</f>
        <v>0</v>
      </c>
      <c r="I48" s="66">
        <f>'Project Database'!M52</f>
        <v>0</v>
      </c>
      <c r="J48" s="66">
        <f>'Project Database'!N52</f>
        <v>0</v>
      </c>
      <c r="K48" s="66">
        <f>'Project Database'!O52</f>
        <v>0</v>
      </c>
      <c r="L48" s="66">
        <f>'Project Database'!P52</f>
        <v>0</v>
      </c>
      <c r="M48" s="66">
        <f>'Project Database'!Q52</f>
        <v>0</v>
      </c>
      <c r="N48" s="66">
        <f>'Project Database'!R52</f>
        <v>0</v>
      </c>
      <c r="O48" s="66">
        <f>'Project Database'!S52</f>
        <v>0</v>
      </c>
      <c r="P48" s="66">
        <f>'Project Database'!T52</f>
        <v>0</v>
      </c>
      <c r="Q48" s="66">
        <f>'Project Database'!U52</f>
        <v>0</v>
      </c>
      <c r="R48" s="66">
        <f>'Project Database'!V52</f>
        <v>0</v>
      </c>
      <c r="S48" s="66">
        <f>'Project Database'!W52</f>
        <v>0</v>
      </c>
      <c r="T48" s="66">
        <f>'Project Database'!X52</f>
        <v>0</v>
      </c>
      <c r="U48" s="67">
        <f>'Project Database'!Y52</f>
        <v>0</v>
      </c>
      <c r="V48" s="66">
        <f>IF('Smart Search'!B13=1,IFERROR(1/'Smart Search'!H13,0),0)</f>
        <v>0</v>
      </c>
      <c r="W48" s="66">
        <f>IF('Smart Search'!B13=1,IFERROR(1/'Smart Search'!H13,0),0)</f>
        <v>0</v>
      </c>
      <c r="X48" s="66">
        <f>IF('Smart Search'!C13=1,IFERROR(1/'Smart Search'!H13,0),0)</f>
        <v>0.5</v>
      </c>
      <c r="Y48" s="66">
        <f>IF('Smart Search'!C13=1,IFERROR(1/'Smart Search'!H13,0),0)</f>
        <v>0.5</v>
      </c>
      <c r="Z48" s="66">
        <f>IF('Smart Search'!D13=1,IFERROR(1/'Smart Search'!H13,0),0)</f>
        <v>0</v>
      </c>
      <c r="AA48" s="66">
        <f>IF('Smart Search'!D13=1,IFERROR(1/'Smart Search'!H13,0),0)</f>
        <v>0</v>
      </c>
      <c r="AB48" s="66">
        <f>IF('Smart Search'!E13=1,IFERROR(1/'Smart Search'!H13,0),0)</f>
        <v>0</v>
      </c>
      <c r="AC48" s="66">
        <f>IF('Smart Search'!E13=1,IFERROR(1/'Smart Search'!H13,0),0)</f>
        <v>0</v>
      </c>
      <c r="AD48" s="66">
        <f>IF('Smart Search'!F13=1,IFERROR(1/'Smart Search'!H13,0),0)</f>
        <v>0</v>
      </c>
      <c r="AE48" s="66">
        <f>IF('Smart Search'!F13=1,IFERROR(1/'Smart Search'!H13,0),0)</f>
        <v>0</v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>0</v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>0</v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>0</v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>0</v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>0</v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>0</v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>0</v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>0</v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>0</v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>0</v>
      </c>
      <c r="AP48" s="66">
        <f t="shared" si="0"/>
        <v>0</v>
      </c>
      <c r="AQ48" s="66">
        <f t="shared" si="1"/>
        <v>0</v>
      </c>
      <c r="AR48" s="66">
        <f t="shared" si="2"/>
        <v>0</v>
      </c>
      <c r="AS48" s="66">
        <f t="shared" si="3"/>
        <v>0</v>
      </c>
      <c r="AT48" s="66">
        <f t="shared" si="4"/>
        <v>0</v>
      </c>
      <c r="AU48" s="66">
        <f t="shared" si="5"/>
        <v>0</v>
      </c>
      <c r="AV48" s="66">
        <f t="shared" si="6"/>
        <v>0</v>
      </c>
      <c r="AW48" s="66">
        <f t="shared" si="7"/>
        <v>0</v>
      </c>
      <c r="AX48" s="66">
        <f t="shared" si="8"/>
        <v>0</v>
      </c>
      <c r="AY48" s="66">
        <f t="shared" si="9"/>
        <v>0</v>
      </c>
      <c r="AZ48" s="66">
        <f>'Project Database'!Z52</f>
        <v>0</v>
      </c>
      <c r="BA48" s="66">
        <f>IF(OR(A48="",'Smart Search'!H13=0),"",MAX(0,BE48*BF48*MAX(0,1-BG48)))</f>
        <v>0</v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>0</v>
      </c>
      <c r="BC48" s="66">
        <f>IF('Smart Search'!G13=1,IFERROR(1/'Smart Search'!H13,0),0)</f>
        <v>0</v>
      </c>
      <c r="BD48" s="66">
        <f t="shared" si="10"/>
        <v>0</v>
      </c>
      <c r="BE48" s="66">
        <f t="shared" si="11"/>
        <v>0</v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>0</v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>0</v>
      </c>
      <c r="BH48" s="5" t="str">
        <f>IF(AND('Project Database'!A52&lt;&gt;"",OR('Smart Search'!$L$5="",'Smart Search'!$L$5="All",TRIM('Project Database'!D52)=TRIM('Smart Search'!$L$5)),OR(TRIM('Smart Search'!$L$6)="",TRIM('Smart Search'!$L$6)="All",ISNUMBER(SEARCH(SUBSTITUTE(SUBSTITUTE(SUBSTITUTE(TRIM('Smart Search'!$L$6),"~","~~"),"*","~*"),"?","~?"),'Project Database'!C52))),OR('Smart Search'!$L$7="",AND('Project Database'!E52&lt;&gt;"",'Project Database'!E52='Smart Search'!$L$7)),OR('Smart Search'!$L$8="",'Smart Search'!$L$8="All",TRIM('Project Database'!F52)=TRIM('Smart Search'!$L$8))),IF(BA48="","",BA48+ROW()*0.0000000001),"")</f>
        <v/>
      </c>
      <c r="BI48" s="5" t="str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 t="str">
        <f>IF('Project Database'!A52="","",N('Project Database'!AC52))</f>
        <v/>
      </c>
      <c r="BK48" s="5" t="str">
        <f>IF('Project Database'!A52="","",N('Project Database'!AD52))</f>
        <v/>
      </c>
      <c r="BL48" s="5" t="str">
        <f>IF('Project Database'!A52="","",N('Project Database'!AE52))</f>
        <v/>
      </c>
      <c r="BM48" s="5" t="str">
        <f>IF('Project Database'!A52="","",N('Project Database'!AF52))</f>
        <v/>
      </c>
      <c r="BN48" s="5" t="str">
        <f>IF('Project Database'!A52="","",N('Project Database'!AG52))</f>
        <v/>
      </c>
      <c r="BO48" s="5" t="str">
        <f>IF('Project Database'!A52="","",N('Project Database'!AH52))</f>
        <v/>
      </c>
      <c r="BP48" s="5" t="str">
        <f>IF('Project Database'!A52="","",N('Project Database'!AI52))</f>
        <v/>
      </c>
      <c r="BQ48" s="5" t="str">
        <f>IF('Project Database'!A52="","",N('Project Database'!AJ52))</f>
        <v/>
      </c>
      <c r="BR48" s="5" t="str">
        <f>IF('Project Database'!A52="","",N('Project Database'!AK52))</f>
        <v/>
      </c>
      <c r="BS48" s="5" t="str">
        <f>IF('Project Database'!A52="","",N('Project Database'!AL52))</f>
        <v/>
      </c>
      <c r="BT48" s="5" t="str">
        <f>IF('Project Database'!A52="","",N('Project Database'!AM52))</f>
        <v/>
      </c>
      <c r="BU48" s="5" t="str">
        <f>IF('Project Database'!A52="","",N('Project Database'!AN52))</f>
        <v/>
      </c>
      <c r="BV48" s="5" t="str">
        <f>IF('Project Database'!A52="","",N('Project Database'!AO52))</f>
        <v/>
      </c>
      <c r="BW48" s="5" t="str">
        <f>IF('Project Database'!A52="","",N('Project Database'!AP52))</f>
        <v/>
      </c>
      <c r="BX48" s="5">
        <f t="shared" si="12"/>
        <v>0</v>
      </c>
      <c r="BY48" s="5">
        <f t="shared" si="13"/>
        <v>0</v>
      </c>
    </row>
    <row r="49" spans="1:77" ht="15" customHeight="1" x14ac:dyDescent="0.3">
      <c r="A49" s="66">
        <f>'Project Database'!A53</f>
        <v>0</v>
      </c>
      <c r="B49" s="66">
        <f>'Project Database'!B53</f>
        <v>0</v>
      </c>
      <c r="C49" s="66">
        <f>'Project Database'!G53</f>
        <v>0</v>
      </c>
      <c r="D49" s="66">
        <f>'Project Database'!H53</f>
        <v>0</v>
      </c>
      <c r="E49" s="66">
        <f>'Project Database'!I53</f>
        <v>0</v>
      </c>
      <c r="F49" s="66">
        <f>'Project Database'!J53</f>
        <v>0</v>
      </c>
      <c r="G49" s="66">
        <f>'Project Database'!K53</f>
        <v>0</v>
      </c>
      <c r="H49" s="66">
        <f>'Project Database'!L53</f>
        <v>0</v>
      </c>
      <c r="I49" s="66">
        <f>'Project Database'!M53</f>
        <v>0</v>
      </c>
      <c r="J49" s="66">
        <f>'Project Database'!N53</f>
        <v>0</v>
      </c>
      <c r="K49" s="66">
        <f>'Project Database'!O53</f>
        <v>0</v>
      </c>
      <c r="L49" s="66">
        <f>'Project Database'!P53</f>
        <v>0</v>
      </c>
      <c r="M49" s="66">
        <f>'Project Database'!Q53</f>
        <v>0</v>
      </c>
      <c r="N49" s="66">
        <f>'Project Database'!R53</f>
        <v>0</v>
      </c>
      <c r="O49" s="66">
        <f>'Project Database'!S53</f>
        <v>0</v>
      </c>
      <c r="P49" s="66">
        <f>'Project Database'!T53</f>
        <v>0</v>
      </c>
      <c r="Q49" s="66">
        <f>'Project Database'!U53</f>
        <v>0</v>
      </c>
      <c r="R49" s="66">
        <f>'Project Database'!V53</f>
        <v>0</v>
      </c>
      <c r="S49" s="66">
        <f>'Project Database'!W53</f>
        <v>0</v>
      </c>
      <c r="T49" s="66">
        <f>'Project Database'!X53</f>
        <v>0</v>
      </c>
      <c r="U49" s="67">
        <f>'Project Database'!Y53</f>
        <v>0</v>
      </c>
      <c r="V49" s="66">
        <f>IF('Smart Search'!B13=1,IFERROR(1/'Smart Search'!H13,0),0)</f>
        <v>0</v>
      </c>
      <c r="W49" s="66">
        <f>IF('Smart Search'!B13=1,IFERROR(1/'Smart Search'!H13,0),0)</f>
        <v>0</v>
      </c>
      <c r="X49" s="66">
        <f>IF('Smart Search'!C13=1,IFERROR(1/'Smart Search'!H13,0),0)</f>
        <v>0.5</v>
      </c>
      <c r="Y49" s="66">
        <f>IF('Smart Search'!C13=1,IFERROR(1/'Smart Search'!H13,0),0)</f>
        <v>0.5</v>
      </c>
      <c r="Z49" s="66">
        <f>IF('Smart Search'!D13=1,IFERROR(1/'Smart Search'!H13,0),0)</f>
        <v>0</v>
      </c>
      <c r="AA49" s="66">
        <f>IF('Smart Search'!D13=1,IFERROR(1/'Smart Search'!H13,0),0)</f>
        <v>0</v>
      </c>
      <c r="AB49" s="66">
        <f>IF('Smart Search'!E13=1,IFERROR(1/'Smart Search'!H13,0),0)</f>
        <v>0</v>
      </c>
      <c r="AC49" s="66">
        <f>IF('Smart Search'!E13=1,IFERROR(1/'Smart Search'!H13,0),0)</f>
        <v>0</v>
      </c>
      <c r="AD49" s="66">
        <f>IF('Smart Search'!F13=1,IFERROR(1/'Smart Search'!H13,0),0)</f>
        <v>0</v>
      </c>
      <c r="AE49" s="66">
        <f>IF('Smart Search'!F13=1,IFERROR(1/'Smart Search'!H13,0),0)</f>
        <v>0</v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>0</v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>0</v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>0</v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>0</v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>0</v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>0</v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>0</v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>0</v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>0</v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>0</v>
      </c>
      <c r="AP49" s="66">
        <f t="shared" si="0"/>
        <v>0</v>
      </c>
      <c r="AQ49" s="66">
        <f t="shared" si="1"/>
        <v>0</v>
      </c>
      <c r="AR49" s="66">
        <f t="shared" si="2"/>
        <v>0</v>
      </c>
      <c r="AS49" s="66">
        <f t="shared" si="3"/>
        <v>0</v>
      </c>
      <c r="AT49" s="66">
        <f t="shared" si="4"/>
        <v>0</v>
      </c>
      <c r="AU49" s="66">
        <f t="shared" si="5"/>
        <v>0</v>
      </c>
      <c r="AV49" s="66">
        <f t="shared" si="6"/>
        <v>0</v>
      </c>
      <c r="AW49" s="66">
        <f t="shared" si="7"/>
        <v>0</v>
      </c>
      <c r="AX49" s="66">
        <f t="shared" si="8"/>
        <v>0</v>
      </c>
      <c r="AY49" s="66">
        <f t="shared" si="9"/>
        <v>0</v>
      </c>
      <c r="AZ49" s="66">
        <f>'Project Database'!Z53</f>
        <v>0</v>
      </c>
      <c r="BA49" s="66">
        <f>IF(OR(A49="",'Smart Search'!H13=0),"",MAX(0,BE49*BF49*MAX(0,1-BG49)))</f>
        <v>0</v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>0</v>
      </c>
      <c r="BC49" s="66">
        <f>IF('Smart Search'!G13=1,IFERROR(1/'Smart Search'!H13,0),0)</f>
        <v>0</v>
      </c>
      <c r="BD49" s="66">
        <f t="shared" si="10"/>
        <v>0</v>
      </c>
      <c r="BE49" s="66">
        <f t="shared" si="11"/>
        <v>0</v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>0</v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>0</v>
      </c>
      <c r="BH49" s="5" t="str">
        <f>IF(AND('Project Database'!A53&lt;&gt;"",OR('Smart Search'!$L$5="",'Smart Search'!$L$5="All",TRIM('Project Database'!D53)=TRIM('Smart Search'!$L$5)),OR(TRIM('Smart Search'!$L$6)="",TRIM('Smart Search'!$L$6)="All",ISNUMBER(SEARCH(SUBSTITUTE(SUBSTITUTE(SUBSTITUTE(TRIM('Smart Search'!$L$6),"~","~~"),"*","~*"),"?","~?"),'Project Database'!C53))),OR('Smart Search'!$L$7="",AND('Project Database'!E53&lt;&gt;"",'Project Database'!E53='Smart Search'!$L$7)),OR('Smart Search'!$L$8="",'Smart Search'!$L$8="All",TRIM('Project Database'!F53)=TRIM('Smart Search'!$L$8))),IF(BA49="","",BA49+ROW()*0.0000000001),"")</f>
        <v/>
      </c>
      <c r="BI49" s="5" t="str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 t="str">
        <f>IF('Project Database'!A53="","",N('Project Database'!AC53))</f>
        <v/>
      </c>
      <c r="BK49" s="5" t="str">
        <f>IF('Project Database'!A53="","",N('Project Database'!AD53))</f>
        <v/>
      </c>
      <c r="BL49" s="5" t="str">
        <f>IF('Project Database'!A53="","",N('Project Database'!AE53))</f>
        <v/>
      </c>
      <c r="BM49" s="5" t="str">
        <f>IF('Project Database'!A53="","",N('Project Database'!AF53))</f>
        <v/>
      </c>
      <c r="BN49" s="5" t="str">
        <f>IF('Project Database'!A53="","",N('Project Database'!AG53))</f>
        <v/>
      </c>
      <c r="BO49" s="5" t="str">
        <f>IF('Project Database'!A53="","",N('Project Database'!AH53))</f>
        <v/>
      </c>
      <c r="BP49" s="5" t="str">
        <f>IF('Project Database'!A53="","",N('Project Database'!AI53))</f>
        <v/>
      </c>
      <c r="BQ49" s="5" t="str">
        <f>IF('Project Database'!A53="","",N('Project Database'!AJ53))</f>
        <v/>
      </c>
      <c r="BR49" s="5" t="str">
        <f>IF('Project Database'!A53="","",N('Project Database'!AK53))</f>
        <v/>
      </c>
      <c r="BS49" s="5" t="str">
        <f>IF('Project Database'!A53="","",N('Project Database'!AL53))</f>
        <v/>
      </c>
      <c r="BT49" s="5" t="str">
        <f>IF('Project Database'!A53="","",N('Project Database'!AM53))</f>
        <v/>
      </c>
      <c r="BU49" s="5" t="str">
        <f>IF('Project Database'!A53="","",N('Project Database'!AN53))</f>
        <v/>
      </c>
      <c r="BV49" s="5" t="str">
        <f>IF('Project Database'!A53="","",N('Project Database'!AO53))</f>
        <v/>
      </c>
      <c r="BW49" s="5" t="str">
        <f>IF('Project Database'!A53="","",N('Project Database'!AP53))</f>
        <v/>
      </c>
      <c r="BX49" s="5">
        <f t="shared" si="12"/>
        <v>0</v>
      </c>
      <c r="BY49" s="5">
        <f t="shared" si="13"/>
        <v>0</v>
      </c>
    </row>
    <row r="50" spans="1:77" ht="15" customHeight="1" x14ac:dyDescent="0.3">
      <c r="A50" s="66">
        <f>'Project Database'!A54</f>
        <v>0</v>
      </c>
      <c r="B50" s="66">
        <f>'Project Database'!B54</f>
        <v>0</v>
      </c>
      <c r="C50" s="66">
        <f>'Project Database'!G54</f>
        <v>0</v>
      </c>
      <c r="D50" s="66">
        <f>'Project Database'!H54</f>
        <v>0</v>
      </c>
      <c r="E50" s="66">
        <f>'Project Database'!I54</f>
        <v>0</v>
      </c>
      <c r="F50" s="66">
        <f>'Project Database'!J54</f>
        <v>0</v>
      </c>
      <c r="G50" s="66">
        <f>'Project Database'!K54</f>
        <v>0</v>
      </c>
      <c r="H50" s="66">
        <f>'Project Database'!L54</f>
        <v>0</v>
      </c>
      <c r="I50" s="66">
        <f>'Project Database'!M54</f>
        <v>0</v>
      </c>
      <c r="J50" s="66">
        <f>'Project Database'!N54</f>
        <v>0</v>
      </c>
      <c r="K50" s="66">
        <f>'Project Database'!O54</f>
        <v>0</v>
      </c>
      <c r="L50" s="66">
        <f>'Project Database'!P54</f>
        <v>0</v>
      </c>
      <c r="M50" s="66">
        <f>'Project Database'!Q54</f>
        <v>0</v>
      </c>
      <c r="N50" s="66">
        <f>'Project Database'!R54</f>
        <v>0</v>
      </c>
      <c r="O50" s="66">
        <f>'Project Database'!S54</f>
        <v>0</v>
      </c>
      <c r="P50" s="66">
        <f>'Project Database'!T54</f>
        <v>0</v>
      </c>
      <c r="Q50" s="66">
        <f>'Project Database'!U54</f>
        <v>0</v>
      </c>
      <c r="R50" s="66">
        <f>'Project Database'!V54</f>
        <v>0</v>
      </c>
      <c r="S50" s="66">
        <f>'Project Database'!W54</f>
        <v>0</v>
      </c>
      <c r="T50" s="66">
        <f>'Project Database'!X54</f>
        <v>0</v>
      </c>
      <c r="U50" s="67">
        <f>'Project Database'!Y54</f>
        <v>0</v>
      </c>
      <c r="V50" s="66">
        <f>IF('Smart Search'!B13=1,IFERROR(1/'Smart Search'!H13,0),0)</f>
        <v>0</v>
      </c>
      <c r="W50" s="66">
        <f>IF('Smart Search'!B13=1,IFERROR(1/'Smart Search'!H13,0),0)</f>
        <v>0</v>
      </c>
      <c r="X50" s="66">
        <f>IF('Smart Search'!C13=1,IFERROR(1/'Smart Search'!H13,0),0)</f>
        <v>0.5</v>
      </c>
      <c r="Y50" s="66">
        <f>IF('Smart Search'!C13=1,IFERROR(1/'Smart Search'!H13,0),0)</f>
        <v>0.5</v>
      </c>
      <c r="Z50" s="66">
        <f>IF('Smart Search'!D13=1,IFERROR(1/'Smart Search'!H13,0),0)</f>
        <v>0</v>
      </c>
      <c r="AA50" s="66">
        <f>IF('Smart Search'!D13=1,IFERROR(1/'Smart Search'!H13,0),0)</f>
        <v>0</v>
      </c>
      <c r="AB50" s="66">
        <f>IF('Smart Search'!E13=1,IFERROR(1/'Smart Search'!H13,0),0)</f>
        <v>0</v>
      </c>
      <c r="AC50" s="66">
        <f>IF('Smart Search'!E13=1,IFERROR(1/'Smart Search'!H13,0),0)</f>
        <v>0</v>
      </c>
      <c r="AD50" s="66">
        <f>IF('Smart Search'!F13=1,IFERROR(1/'Smart Search'!H13,0),0)</f>
        <v>0</v>
      </c>
      <c r="AE50" s="66">
        <f>IF('Smart Search'!F13=1,IFERROR(1/'Smart Search'!H13,0),0)</f>
        <v>0</v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>0</v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>0</v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>0</v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>0</v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>0</v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>0</v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>0</v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>0</v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>0</v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>0</v>
      </c>
      <c r="AP50" s="66">
        <f t="shared" si="0"/>
        <v>0</v>
      </c>
      <c r="AQ50" s="66">
        <f t="shared" si="1"/>
        <v>0</v>
      </c>
      <c r="AR50" s="66">
        <f t="shared" si="2"/>
        <v>0</v>
      </c>
      <c r="AS50" s="66">
        <f t="shared" si="3"/>
        <v>0</v>
      </c>
      <c r="AT50" s="66">
        <f t="shared" si="4"/>
        <v>0</v>
      </c>
      <c r="AU50" s="66">
        <f t="shared" si="5"/>
        <v>0</v>
      </c>
      <c r="AV50" s="66">
        <f t="shared" si="6"/>
        <v>0</v>
      </c>
      <c r="AW50" s="66">
        <f t="shared" si="7"/>
        <v>0</v>
      </c>
      <c r="AX50" s="66">
        <f t="shared" si="8"/>
        <v>0</v>
      </c>
      <c r="AY50" s="66">
        <f t="shared" si="9"/>
        <v>0</v>
      </c>
      <c r="AZ50" s="66">
        <f>'Project Database'!Z54</f>
        <v>0</v>
      </c>
      <c r="BA50" s="66">
        <f>IF(OR(A50="",'Smart Search'!H13=0),"",MAX(0,BE50*BF50*MAX(0,1-BG50)))</f>
        <v>0</v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>0</v>
      </c>
      <c r="BC50" s="66">
        <f>IF('Smart Search'!G13=1,IFERROR(1/'Smart Search'!H13,0),0)</f>
        <v>0</v>
      </c>
      <c r="BD50" s="66">
        <f t="shared" si="10"/>
        <v>0</v>
      </c>
      <c r="BE50" s="66">
        <f t="shared" si="11"/>
        <v>0</v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>0</v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>0</v>
      </c>
      <c r="BH50" s="5" t="str">
        <f>IF(AND('Project Database'!A54&lt;&gt;"",OR('Smart Search'!$L$5="",'Smart Search'!$L$5="All",TRIM('Project Database'!D54)=TRIM('Smart Search'!$L$5)),OR(TRIM('Smart Search'!$L$6)="",TRIM('Smart Search'!$L$6)="All",ISNUMBER(SEARCH(SUBSTITUTE(SUBSTITUTE(SUBSTITUTE(TRIM('Smart Search'!$L$6),"~","~~"),"*","~*"),"?","~?"),'Project Database'!C54))),OR('Smart Search'!$L$7="",AND('Project Database'!E54&lt;&gt;"",'Project Database'!E54='Smart Search'!$L$7)),OR('Smart Search'!$L$8="",'Smart Search'!$L$8="All",TRIM('Project Database'!F54)=TRIM('Smart Search'!$L$8))),IF(BA50="","",BA50+ROW()*0.0000000001),"")</f>
        <v/>
      </c>
      <c r="BI50" s="5" t="str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 t="str">
        <f>IF('Project Database'!A54="","",N('Project Database'!AC54))</f>
        <v/>
      </c>
      <c r="BK50" s="5" t="str">
        <f>IF('Project Database'!A54="","",N('Project Database'!AD54))</f>
        <v/>
      </c>
      <c r="BL50" s="5" t="str">
        <f>IF('Project Database'!A54="","",N('Project Database'!AE54))</f>
        <v/>
      </c>
      <c r="BM50" s="5" t="str">
        <f>IF('Project Database'!A54="","",N('Project Database'!AF54))</f>
        <v/>
      </c>
      <c r="BN50" s="5" t="str">
        <f>IF('Project Database'!A54="","",N('Project Database'!AG54))</f>
        <v/>
      </c>
      <c r="BO50" s="5" t="str">
        <f>IF('Project Database'!A54="","",N('Project Database'!AH54))</f>
        <v/>
      </c>
      <c r="BP50" s="5" t="str">
        <f>IF('Project Database'!A54="","",N('Project Database'!AI54))</f>
        <v/>
      </c>
      <c r="BQ50" s="5" t="str">
        <f>IF('Project Database'!A54="","",N('Project Database'!AJ54))</f>
        <v/>
      </c>
      <c r="BR50" s="5" t="str">
        <f>IF('Project Database'!A54="","",N('Project Database'!AK54))</f>
        <v/>
      </c>
      <c r="BS50" s="5" t="str">
        <f>IF('Project Database'!A54="","",N('Project Database'!AL54))</f>
        <v/>
      </c>
      <c r="BT50" s="5" t="str">
        <f>IF('Project Database'!A54="","",N('Project Database'!AM54))</f>
        <v/>
      </c>
      <c r="BU50" s="5" t="str">
        <f>IF('Project Database'!A54="","",N('Project Database'!AN54))</f>
        <v/>
      </c>
      <c r="BV50" s="5" t="str">
        <f>IF('Project Database'!A54="","",N('Project Database'!AO54))</f>
        <v/>
      </c>
      <c r="BW50" s="5" t="str">
        <f>IF('Project Database'!A54="","",N('Project Database'!AP54))</f>
        <v/>
      </c>
      <c r="BX50" s="5">
        <f t="shared" si="12"/>
        <v>0</v>
      </c>
      <c r="BY50" s="5">
        <f t="shared" si="13"/>
        <v>0</v>
      </c>
    </row>
    <row r="51" spans="1:77" ht="15" customHeight="1" x14ac:dyDescent="0.3">
      <c r="A51" s="66">
        <f>'Project Database'!A55</f>
        <v>0</v>
      </c>
      <c r="B51" s="66">
        <f>'Project Database'!B55</f>
        <v>0</v>
      </c>
      <c r="C51" s="66">
        <f>'Project Database'!G55</f>
        <v>0</v>
      </c>
      <c r="D51" s="66">
        <f>'Project Database'!H55</f>
        <v>0</v>
      </c>
      <c r="E51" s="66">
        <f>'Project Database'!I55</f>
        <v>0</v>
      </c>
      <c r="F51" s="66">
        <f>'Project Database'!J55</f>
        <v>0</v>
      </c>
      <c r="G51" s="66">
        <f>'Project Database'!K55</f>
        <v>0</v>
      </c>
      <c r="H51" s="66">
        <f>'Project Database'!L55</f>
        <v>0</v>
      </c>
      <c r="I51" s="66">
        <f>'Project Database'!M55</f>
        <v>0</v>
      </c>
      <c r="J51" s="66">
        <f>'Project Database'!N55</f>
        <v>0</v>
      </c>
      <c r="K51" s="66">
        <f>'Project Database'!O55</f>
        <v>0</v>
      </c>
      <c r="L51" s="66">
        <f>'Project Database'!P55</f>
        <v>0</v>
      </c>
      <c r="M51" s="66">
        <f>'Project Database'!Q55</f>
        <v>0</v>
      </c>
      <c r="N51" s="66">
        <f>'Project Database'!R55</f>
        <v>0</v>
      </c>
      <c r="O51" s="66">
        <f>'Project Database'!S55</f>
        <v>0</v>
      </c>
      <c r="P51" s="66">
        <f>'Project Database'!T55</f>
        <v>0</v>
      </c>
      <c r="Q51" s="66">
        <f>'Project Database'!U55</f>
        <v>0</v>
      </c>
      <c r="R51" s="66">
        <f>'Project Database'!V55</f>
        <v>0</v>
      </c>
      <c r="S51" s="66">
        <f>'Project Database'!W55</f>
        <v>0</v>
      </c>
      <c r="T51" s="66">
        <f>'Project Database'!X55</f>
        <v>0</v>
      </c>
      <c r="U51" s="67">
        <f>'Project Database'!Y55</f>
        <v>0</v>
      </c>
      <c r="V51" s="66">
        <f>IF('Smart Search'!B13=1,IFERROR(1/'Smart Search'!H13,0),0)</f>
        <v>0</v>
      </c>
      <c r="W51" s="66">
        <f>IF('Smart Search'!B13=1,IFERROR(1/'Smart Search'!H13,0),0)</f>
        <v>0</v>
      </c>
      <c r="X51" s="66">
        <f>IF('Smart Search'!C13=1,IFERROR(1/'Smart Search'!H13,0),0)</f>
        <v>0.5</v>
      </c>
      <c r="Y51" s="66">
        <f>IF('Smart Search'!C13=1,IFERROR(1/'Smart Search'!H13,0),0)</f>
        <v>0.5</v>
      </c>
      <c r="Z51" s="66">
        <f>IF('Smart Search'!D13=1,IFERROR(1/'Smart Search'!H13,0),0)</f>
        <v>0</v>
      </c>
      <c r="AA51" s="66">
        <f>IF('Smart Search'!D13=1,IFERROR(1/'Smart Search'!H13,0),0)</f>
        <v>0</v>
      </c>
      <c r="AB51" s="66">
        <f>IF('Smart Search'!E13=1,IFERROR(1/'Smart Search'!H13,0),0)</f>
        <v>0</v>
      </c>
      <c r="AC51" s="66">
        <f>IF('Smart Search'!E13=1,IFERROR(1/'Smart Search'!H13,0),0)</f>
        <v>0</v>
      </c>
      <c r="AD51" s="66">
        <f>IF('Smart Search'!F13=1,IFERROR(1/'Smart Search'!H13,0),0)</f>
        <v>0</v>
      </c>
      <c r="AE51" s="66">
        <f>IF('Smart Search'!F13=1,IFERROR(1/'Smart Search'!H13,0),0)</f>
        <v>0</v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>0</v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>0</v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>0</v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>0</v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>0</v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>0</v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>0</v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>0</v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>0</v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>0</v>
      </c>
      <c r="AP51" s="66">
        <f t="shared" si="0"/>
        <v>0</v>
      </c>
      <c r="AQ51" s="66">
        <f t="shared" si="1"/>
        <v>0</v>
      </c>
      <c r="AR51" s="66">
        <f t="shared" si="2"/>
        <v>0</v>
      </c>
      <c r="AS51" s="66">
        <f t="shared" si="3"/>
        <v>0</v>
      </c>
      <c r="AT51" s="66">
        <f t="shared" si="4"/>
        <v>0</v>
      </c>
      <c r="AU51" s="66">
        <f t="shared" si="5"/>
        <v>0</v>
      </c>
      <c r="AV51" s="66">
        <f t="shared" si="6"/>
        <v>0</v>
      </c>
      <c r="AW51" s="66">
        <f t="shared" si="7"/>
        <v>0</v>
      </c>
      <c r="AX51" s="66">
        <f t="shared" si="8"/>
        <v>0</v>
      </c>
      <c r="AY51" s="66">
        <f t="shared" si="9"/>
        <v>0</v>
      </c>
      <c r="AZ51" s="66">
        <f>'Project Database'!Z55</f>
        <v>0</v>
      </c>
      <c r="BA51" s="66">
        <f>IF(OR(A51="",'Smart Search'!H13=0),"",MAX(0,BE51*BF51*MAX(0,1-BG51)))</f>
        <v>0</v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>0</v>
      </c>
      <c r="BC51" s="66">
        <f>IF('Smart Search'!G13=1,IFERROR(1/'Smart Search'!H13,0),0)</f>
        <v>0</v>
      </c>
      <c r="BD51" s="66">
        <f t="shared" si="10"/>
        <v>0</v>
      </c>
      <c r="BE51" s="66">
        <f t="shared" si="11"/>
        <v>0</v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>0</v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>0</v>
      </c>
      <c r="BH51" s="5" t="str">
        <f>IF(AND('Project Database'!A55&lt;&gt;"",OR('Smart Search'!$L$5="",'Smart Search'!$L$5="All",TRIM('Project Database'!D55)=TRIM('Smart Search'!$L$5)),OR(TRIM('Smart Search'!$L$6)="",TRIM('Smart Search'!$L$6)="All",ISNUMBER(SEARCH(SUBSTITUTE(SUBSTITUTE(SUBSTITUTE(TRIM('Smart Search'!$L$6),"~","~~"),"*","~*"),"?","~?"),'Project Database'!C55))),OR('Smart Search'!$L$7="",AND('Project Database'!E55&lt;&gt;"",'Project Database'!E55='Smart Search'!$L$7)),OR('Smart Search'!$L$8="",'Smart Search'!$L$8="All",TRIM('Project Database'!F55)=TRIM('Smart Search'!$L$8))),IF(BA51="","",BA51+ROW()*0.0000000001),"")</f>
        <v/>
      </c>
      <c r="BI51" s="5" t="str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 t="str">
        <f>IF('Project Database'!A55="","",N('Project Database'!AC55))</f>
        <v/>
      </c>
      <c r="BK51" s="5" t="str">
        <f>IF('Project Database'!A55="","",N('Project Database'!AD55))</f>
        <v/>
      </c>
      <c r="BL51" s="5" t="str">
        <f>IF('Project Database'!A55="","",N('Project Database'!AE55))</f>
        <v/>
      </c>
      <c r="BM51" s="5" t="str">
        <f>IF('Project Database'!A55="","",N('Project Database'!AF55))</f>
        <v/>
      </c>
      <c r="BN51" s="5" t="str">
        <f>IF('Project Database'!A55="","",N('Project Database'!AG55))</f>
        <v/>
      </c>
      <c r="BO51" s="5" t="str">
        <f>IF('Project Database'!A55="","",N('Project Database'!AH55))</f>
        <v/>
      </c>
      <c r="BP51" s="5" t="str">
        <f>IF('Project Database'!A55="","",N('Project Database'!AI55))</f>
        <v/>
      </c>
      <c r="BQ51" s="5" t="str">
        <f>IF('Project Database'!A55="","",N('Project Database'!AJ55))</f>
        <v/>
      </c>
      <c r="BR51" s="5" t="str">
        <f>IF('Project Database'!A55="","",N('Project Database'!AK55))</f>
        <v/>
      </c>
      <c r="BS51" s="5" t="str">
        <f>IF('Project Database'!A55="","",N('Project Database'!AL55))</f>
        <v/>
      </c>
      <c r="BT51" s="5" t="str">
        <f>IF('Project Database'!A55="","",N('Project Database'!AM55))</f>
        <v/>
      </c>
      <c r="BU51" s="5" t="str">
        <f>IF('Project Database'!A55="","",N('Project Database'!AN55))</f>
        <v/>
      </c>
      <c r="BV51" s="5" t="str">
        <f>IF('Project Database'!A55="","",N('Project Database'!AO55))</f>
        <v/>
      </c>
      <c r="BW51" s="5" t="str">
        <f>IF('Project Database'!A55="","",N('Project Database'!AP55))</f>
        <v/>
      </c>
      <c r="BX51" s="5">
        <f t="shared" si="12"/>
        <v>0</v>
      </c>
      <c r="BY51" s="5">
        <f t="shared" si="13"/>
        <v>0</v>
      </c>
    </row>
    <row r="52" spans="1:77" ht="15" customHeight="1" x14ac:dyDescent="0.3">
      <c r="A52" s="66">
        <f>'Project Database'!A56</f>
        <v>0</v>
      </c>
      <c r="B52" s="66">
        <f>'Project Database'!B56</f>
        <v>0</v>
      </c>
      <c r="C52" s="66">
        <f>'Project Database'!G56</f>
        <v>0</v>
      </c>
      <c r="D52" s="66">
        <f>'Project Database'!H56</f>
        <v>0</v>
      </c>
      <c r="E52" s="66">
        <f>'Project Database'!I56</f>
        <v>0</v>
      </c>
      <c r="F52" s="66">
        <f>'Project Database'!J56</f>
        <v>0</v>
      </c>
      <c r="G52" s="66">
        <f>'Project Database'!K56</f>
        <v>0</v>
      </c>
      <c r="H52" s="66">
        <f>'Project Database'!L56</f>
        <v>0</v>
      </c>
      <c r="I52" s="66">
        <f>'Project Database'!M56</f>
        <v>0</v>
      </c>
      <c r="J52" s="66">
        <f>'Project Database'!N56</f>
        <v>0</v>
      </c>
      <c r="K52" s="66">
        <f>'Project Database'!O56</f>
        <v>0</v>
      </c>
      <c r="L52" s="66">
        <f>'Project Database'!P56</f>
        <v>0</v>
      </c>
      <c r="M52" s="66">
        <f>'Project Database'!Q56</f>
        <v>0</v>
      </c>
      <c r="N52" s="66">
        <f>'Project Database'!R56</f>
        <v>0</v>
      </c>
      <c r="O52" s="66">
        <f>'Project Database'!S56</f>
        <v>0</v>
      </c>
      <c r="P52" s="66">
        <f>'Project Database'!T56</f>
        <v>0</v>
      </c>
      <c r="Q52" s="66">
        <f>'Project Database'!U56</f>
        <v>0</v>
      </c>
      <c r="R52" s="66">
        <f>'Project Database'!V56</f>
        <v>0</v>
      </c>
      <c r="S52" s="66">
        <f>'Project Database'!W56</f>
        <v>0</v>
      </c>
      <c r="T52" s="66">
        <f>'Project Database'!X56</f>
        <v>0</v>
      </c>
      <c r="U52" s="67">
        <f>'Project Database'!Y56</f>
        <v>0</v>
      </c>
      <c r="V52" s="66">
        <f>IF('Smart Search'!B13=1,IFERROR(1/'Smart Search'!H13,0),0)</f>
        <v>0</v>
      </c>
      <c r="W52" s="66">
        <f>IF('Smart Search'!B13=1,IFERROR(1/'Smart Search'!H13,0),0)</f>
        <v>0</v>
      </c>
      <c r="X52" s="66">
        <f>IF('Smart Search'!C13=1,IFERROR(1/'Smart Search'!H13,0),0)</f>
        <v>0.5</v>
      </c>
      <c r="Y52" s="66">
        <f>IF('Smart Search'!C13=1,IFERROR(1/'Smart Search'!H13,0),0)</f>
        <v>0.5</v>
      </c>
      <c r="Z52" s="66">
        <f>IF('Smart Search'!D13=1,IFERROR(1/'Smart Search'!H13,0),0)</f>
        <v>0</v>
      </c>
      <c r="AA52" s="66">
        <f>IF('Smart Search'!D13=1,IFERROR(1/'Smart Search'!H13,0),0)</f>
        <v>0</v>
      </c>
      <c r="AB52" s="66">
        <f>IF('Smart Search'!E13=1,IFERROR(1/'Smart Search'!H13,0),0)</f>
        <v>0</v>
      </c>
      <c r="AC52" s="66">
        <f>IF('Smart Search'!E13=1,IFERROR(1/'Smart Search'!H13,0),0)</f>
        <v>0</v>
      </c>
      <c r="AD52" s="66">
        <f>IF('Smart Search'!F13=1,IFERROR(1/'Smart Search'!H13,0),0)</f>
        <v>0</v>
      </c>
      <c r="AE52" s="66">
        <f>IF('Smart Search'!F13=1,IFERROR(1/'Smart Search'!H13,0),0)</f>
        <v>0</v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>0</v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>0</v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>0</v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>0</v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>0</v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>0</v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>0</v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>0</v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>0</v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>0</v>
      </c>
      <c r="AP52" s="66">
        <f t="shared" si="0"/>
        <v>0</v>
      </c>
      <c r="AQ52" s="66">
        <f t="shared" si="1"/>
        <v>0</v>
      </c>
      <c r="AR52" s="66">
        <f t="shared" si="2"/>
        <v>0</v>
      </c>
      <c r="AS52" s="66">
        <f t="shared" si="3"/>
        <v>0</v>
      </c>
      <c r="AT52" s="66">
        <f t="shared" si="4"/>
        <v>0</v>
      </c>
      <c r="AU52" s="66">
        <f t="shared" si="5"/>
        <v>0</v>
      </c>
      <c r="AV52" s="66">
        <f t="shared" si="6"/>
        <v>0</v>
      </c>
      <c r="AW52" s="66">
        <f t="shared" si="7"/>
        <v>0</v>
      </c>
      <c r="AX52" s="66">
        <f t="shared" si="8"/>
        <v>0</v>
      </c>
      <c r="AY52" s="66">
        <f t="shared" si="9"/>
        <v>0</v>
      </c>
      <c r="AZ52" s="66">
        <f>'Project Database'!Z56</f>
        <v>0</v>
      </c>
      <c r="BA52" s="66">
        <f>IF(OR(A52="",'Smart Search'!H13=0),"",MAX(0,BE52*BF52*MAX(0,1-BG52)))</f>
        <v>0</v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>0</v>
      </c>
      <c r="BC52" s="66">
        <f>IF('Smart Search'!G13=1,IFERROR(1/'Smart Search'!H13,0),0)</f>
        <v>0</v>
      </c>
      <c r="BD52" s="66">
        <f t="shared" si="10"/>
        <v>0</v>
      </c>
      <c r="BE52" s="66">
        <f t="shared" si="11"/>
        <v>0</v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>0</v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>0</v>
      </c>
      <c r="BH52" s="5" t="str">
        <f>IF(AND('Project Database'!A56&lt;&gt;"",OR('Smart Search'!$L$5="",'Smart Search'!$L$5="All",TRIM('Project Database'!D56)=TRIM('Smart Search'!$L$5)),OR(TRIM('Smart Search'!$L$6)="",TRIM('Smart Search'!$L$6)="All",ISNUMBER(SEARCH(SUBSTITUTE(SUBSTITUTE(SUBSTITUTE(TRIM('Smart Search'!$L$6),"~","~~"),"*","~*"),"?","~?"),'Project Database'!C56))),OR('Smart Search'!$L$7="",AND('Project Database'!E56&lt;&gt;"",'Project Database'!E56='Smart Search'!$L$7)),OR('Smart Search'!$L$8="",'Smart Search'!$L$8="All",TRIM('Project Database'!F56)=TRIM('Smart Search'!$L$8))),IF(BA52="","",BA52+ROW()*0.0000000001),"")</f>
        <v/>
      </c>
      <c r="BI52" s="5" t="str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 t="str">
        <f>IF('Project Database'!A56="","",N('Project Database'!AC56))</f>
        <v/>
      </c>
      <c r="BK52" s="5" t="str">
        <f>IF('Project Database'!A56="","",N('Project Database'!AD56))</f>
        <v/>
      </c>
      <c r="BL52" s="5" t="str">
        <f>IF('Project Database'!A56="","",N('Project Database'!AE56))</f>
        <v/>
      </c>
      <c r="BM52" s="5" t="str">
        <f>IF('Project Database'!A56="","",N('Project Database'!AF56))</f>
        <v/>
      </c>
      <c r="BN52" s="5" t="str">
        <f>IF('Project Database'!A56="","",N('Project Database'!AG56))</f>
        <v/>
      </c>
      <c r="BO52" s="5" t="str">
        <f>IF('Project Database'!A56="","",N('Project Database'!AH56))</f>
        <v/>
      </c>
      <c r="BP52" s="5" t="str">
        <f>IF('Project Database'!A56="","",N('Project Database'!AI56))</f>
        <v/>
      </c>
      <c r="BQ52" s="5" t="str">
        <f>IF('Project Database'!A56="","",N('Project Database'!AJ56))</f>
        <v/>
      </c>
      <c r="BR52" s="5" t="str">
        <f>IF('Project Database'!A56="","",N('Project Database'!AK56))</f>
        <v/>
      </c>
      <c r="BS52" s="5" t="str">
        <f>IF('Project Database'!A56="","",N('Project Database'!AL56))</f>
        <v/>
      </c>
      <c r="BT52" s="5" t="str">
        <f>IF('Project Database'!A56="","",N('Project Database'!AM56))</f>
        <v/>
      </c>
      <c r="BU52" s="5" t="str">
        <f>IF('Project Database'!A56="","",N('Project Database'!AN56))</f>
        <v/>
      </c>
      <c r="BV52" s="5" t="str">
        <f>IF('Project Database'!A56="","",N('Project Database'!AO56))</f>
        <v/>
      </c>
      <c r="BW52" s="5" t="str">
        <f>IF('Project Database'!A56="","",N('Project Database'!AP56))</f>
        <v/>
      </c>
      <c r="BX52" s="5">
        <f t="shared" si="12"/>
        <v>0</v>
      </c>
      <c r="BY52" s="5">
        <f t="shared" si="13"/>
        <v>0</v>
      </c>
    </row>
    <row r="53" spans="1:77" ht="15" customHeight="1" x14ac:dyDescent="0.3">
      <c r="A53" s="66">
        <f>'Project Database'!A57</f>
        <v>0</v>
      </c>
      <c r="B53" s="66">
        <f>'Project Database'!B57</f>
        <v>0</v>
      </c>
      <c r="C53" s="66">
        <f>'Project Database'!G57</f>
        <v>0</v>
      </c>
      <c r="D53" s="66">
        <f>'Project Database'!H57</f>
        <v>0</v>
      </c>
      <c r="E53" s="66">
        <f>'Project Database'!I57</f>
        <v>0</v>
      </c>
      <c r="F53" s="66">
        <f>'Project Database'!J57</f>
        <v>0</v>
      </c>
      <c r="G53" s="66">
        <f>'Project Database'!K57</f>
        <v>0</v>
      </c>
      <c r="H53" s="66">
        <f>'Project Database'!L57</f>
        <v>0</v>
      </c>
      <c r="I53" s="66">
        <f>'Project Database'!M57</f>
        <v>0</v>
      </c>
      <c r="J53" s="66">
        <f>'Project Database'!N57</f>
        <v>0</v>
      </c>
      <c r="K53" s="66">
        <f>'Project Database'!O57</f>
        <v>0</v>
      </c>
      <c r="L53" s="66">
        <f>'Project Database'!P57</f>
        <v>0</v>
      </c>
      <c r="M53" s="66">
        <f>'Project Database'!Q57</f>
        <v>0</v>
      </c>
      <c r="N53" s="66">
        <f>'Project Database'!R57</f>
        <v>0</v>
      </c>
      <c r="O53" s="66">
        <f>'Project Database'!S57</f>
        <v>0</v>
      </c>
      <c r="P53" s="66">
        <f>'Project Database'!T57</f>
        <v>0</v>
      </c>
      <c r="Q53" s="66">
        <f>'Project Database'!U57</f>
        <v>0</v>
      </c>
      <c r="R53" s="66">
        <f>'Project Database'!V57</f>
        <v>0</v>
      </c>
      <c r="S53" s="66">
        <f>'Project Database'!W57</f>
        <v>0</v>
      </c>
      <c r="T53" s="66">
        <f>'Project Database'!X57</f>
        <v>0</v>
      </c>
      <c r="U53" s="67">
        <f>'Project Database'!Y57</f>
        <v>0</v>
      </c>
      <c r="V53" s="66">
        <f>IF('Smart Search'!B13=1,IFERROR(1/'Smart Search'!H13,0),0)</f>
        <v>0</v>
      </c>
      <c r="W53" s="66">
        <f>IF('Smart Search'!B13=1,IFERROR(1/'Smart Search'!H13,0),0)</f>
        <v>0</v>
      </c>
      <c r="X53" s="66">
        <f>IF('Smart Search'!C13=1,IFERROR(1/'Smart Search'!H13,0),0)</f>
        <v>0.5</v>
      </c>
      <c r="Y53" s="66">
        <f>IF('Smart Search'!C13=1,IFERROR(1/'Smart Search'!H13,0),0)</f>
        <v>0.5</v>
      </c>
      <c r="Z53" s="66">
        <f>IF('Smart Search'!D13=1,IFERROR(1/'Smart Search'!H13,0),0)</f>
        <v>0</v>
      </c>
      <c r="AA53" s="66">
        <f>IF('Smart Search'!D13=1,IFERROR(1/'Smart Search'!H13,0),0)</f>
        <v>0</v>
      </c>
      <c r="AB53" s="66">
        <f>IF('Smart Search'!E13=1,IFERROR(1/'Smart Search'!H13,0),0)</f>
        <v>0</v>
      </c>
      <c r="AC53" s="66">
        <f>IF('Smart Search'!E13=1,IFERROR(1/'Smart Search'!H13,0),0)</f>
        <v>0</v>
      </c>
      <c r="AD53" s="66">
        <f>IF('Smart Search'!F13=1,IFERROR(1/'Smart Search'!H13,0),0)</f>
        <v>0</v>
      </c>
      <c r="AE53" s="66">
        <f>IF('Smart Search'!F13=1,IFERROR(1/'Smart Search'!H13,0),0)</f>
        <v>0</v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>0</v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>0</v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>0</v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>0</v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>0</v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>0</v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>0</v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>0</v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>0</v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>0</v>
      </c>
      <c r="AP53" s="66">
        <f t="shared" si="0"/>
        <v>0</v>
      </c>
      <c r="AQ53" s="66">
        <f t="shared" si="1"/>
        <v>0</v>
      </c>
      <c r="AR53" s="66">
        <f t="shared" si="2"/>
        <v>0</v>
      </c>
      <c r="AS53" s="66">
        <f t="shared" si="3"/>
        <v>0</v>
      </c>
      <c r="AT53" s="66">
        <f t="shared" si="4"/>
        <v>0</v>
      </c>
      <c r="AU53" s="66">
        <f t="shared" si="5"/>
        <v>0</v>
      </c>
      <c r="AV53" s="66">
        <f t="shared" si="6"/>
        <v>0</v>
      </c>
      <c r="AW53" s="66">
        <f t="shared" si="7"/>
        <v>0</v>
      </c>
      <c r="AX53" s="66">
        <f t="shared" si="8"/>
        <v>0</v>
      </c>
      <c r="AY53" s="66">
        <f t="shared" si="9"/>
        <v>0</v>
      </c>
      <c r="AZ53" s="66">
        <f>'Project Database'!Z57</f>
        <v>0</v>
      </c>
      <c r="BA53" s="66">
        <f>IF(OR(A53="",'Smart Search'!H13=0),"",MAX(0,BE53*BF53*MAX(0,1-BG53)))</f>
        <v>0</v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>0</v>
      </c>
      <c r="BC53" s="66">
        <f>IF('Smart Search'!G13=1,IFERROR(1/'Smart Search'!H13,0),0)</f>
        <v>0</v>
      </c>
      <c r="BD53" s="66">
        <f t="shared" si="10"/>
        <v>0</v>
      </c>
      <c r="BE53" s="66">
        <f t="shared" si="11"/>
        <v>0</v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>0</v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>0</v>
      </c>
      <c r="BH53" s="5" t="str">
        <f>IF(AND('Project Database'!A57&lt;&gt;"",OR('Smart Search'!$L$5="",'Smart Search'!$L$5="All",TRIM('Project Database'!D57)=TRIM('Smart Search'!$L$5)),OR(TRIM('Smart Search'!$L$6)="",TRIM('Smart Search'!$L$6)="All",ISNUMBER(SEARCH(SUBSTITUTE(SUBSTITUTE(SUBSTITUTE(TRIM('Smart Search'!$L$6),"~","~~"),"*","~*"),"?","~?"),'Project Database'!C57))),OR('Smart Search'!$L$7="",AND('Project Database'!E57&lt;&gt;"",'Project Database'!E57='Smart Search'!$L$7)),OR('Smart Search'!$L$8="",'Smart Search'!$L$8="All",TRIM('Project Database'!F57)=TRIM('Smart Search'!$L$8))),IF(BA53="","",BA53+ROW()*0.0000000001),"")</f>
        <v/>
      </c>
      <c r="BI53" s="5" t="str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 t="str">
        <f>IF('Project Database'!A57="","",N('Project Database'!AC57))</f>
        <v/>
      </c>
      <c r="BK53" s="5" t="str">
        <f>IF('Project Database'!A57="","",N('Project Database'!AD57))</f>
        <v/>
      </c>
      <c r="BL53" s="5" t="str">
        <f>IF('Project Database'!A57="","",N('Project Database'!AE57))</f>
        <v/>
      </c>
      <c r="BM53" s="5" t="str">
        <f>IF('Project Database'!A57="","",N('Project Database'!AF57))</f>
        <v/>
      </c>
      <c r="BN53" s="5" t="str">
        <f>IF('Project Database'!A57="","",N('Project Database'!AG57))</f>
        <v/>
      </c>
      <c r="BO53" s="5" t="str">
        <f>IF('Project Database'!A57="","",N('Project Database'!AH57))</f>
        <v/>
      </c>
      <c r="BP53" s="5" t="str">
        <f>IF('Project Database'!A57="","",N('Project Database'!AI57))</f>
        <v/>
      </c>
      <c r="BQ53" s="5" t="str">
        <f>IF('Project Database'!A57="","",N('Project Database'!AJ57))</f>
        <v/>
      </c>
      <c r="BR53" s="5" t="str">
        <f>IF('Project Database'!A57="","",N('Project Database'!AK57))</f>
        <v/>
      </c>
      <c r="BS53" s="5" t="str">
        <f>IF('Project Database'!A57="","",N('Project Database'!AL57))</f>
        <v/>
      </c>
      <c r="BT53" s="5" t="str">
        <f>IF('Project Database'!A57="","",N('Project Database'!AM57))</f>
        <v/>
      </c>
      <c r="BU53" s="5" t="str">
        <f>IF('Project Database'!A57="","",N('Project Database'!AN57))</f>
        <v/>
      </c>
      <c r="BV53" s="5" t="str">
        <f>IF('Project Database'!A57="","",N('Project Database'!AO57))</f>
        <v/>
      </c>
      <c r="BW53" s="5" t="str">
        <f>IF('Project Database'!A57="","",N('Project Database'!AP57))</f>
        <v/>
      </c>
      <c r="BX53" s="5">
        <f t="shared" si="12"/>
        <v>0</v>
      </c>
      <c r="BY53" s="5">
        <f t="shared" si="13"/>
        <v>0</v>
      </c>
    </row>
    <row r="54" spans="1:77" ht="15" customHeight="1" x14ac:dyDescent="0.3">
      <c r="A54" s="66">
        <f>'Project Database'!A58</f>
        <v>0</v>
      </c>
      <c r="B54" s="66">
        <f>'Project Database'!B58</f>
        <v>0</v>
      </c>
      <c r="C54" s="66">
        <f>'Project Database'!G58</f>
        <v>0</v>
      </c>
      <c r="D54" s="66">
        <f>'Project Database'!H58</f>
        <v>0</v>
      </c>
      <c r="E54" s="66">
        <f>'Project Database'!I58</f>
        <v>0</v>
      </c>
      <c r="F54" s="66">
        <f>'Project Database'!J58</f>
        <v>0</v>
      </c>
      <c r="G54" s="66">
        <f>'Project Database'!K58</f>
        <v>0</v>
      </c>
      <c r="H54" s="66">
        <f>'Project Database'!L58</f>
        <v>0</v>
      </c>
      <c r="I54" s="66">
        <f>'Project Database'!M58</f>
        <v>0</v>
      </c>
      <c r="J54" s="66">
        <f>'Project Database'!N58</f>
        <v>0</v>
      </c>
      <c r="K54" s="66">
        <f>'Project Database'!O58</f>
        <v>0</v>
      </c>
      <c r="L54" s="66">
        <f>'Project Database'!P58</f>
        <v>0</v>
      </c>
      <c r="M54" s="66">
        <f>'Project Database'!Q58</f>
        <v>0</v>
      </c>
      <c r="N54" s="66">
        <f>'Project Database'!R58</f>
        <v>0</v>
      </c>
      <c r="O54" s="66">
        <f>'Project Database'!S58</f>
        <v>0</v>
      </c>
      <c r="P54" s="66">
        <f>'Project Database'!T58</f>
        <v>0</v>
      </c>
      <c r="Q54" s="66">
        <f>'Project Database'!U58</f>
        <v>0</v>
      </c>
      <c r="R54" s="66">
        <f>'Project Database'!V58</f>
        <v>0</v>
      </c>
      <c r="S54" s="66">
        <f>'Project Database'!W58</f>
        <v>0</v>
      </c>
      <c r="T54" s="66">
        <f>'Project Database'!X58</f>
        <v>0</v>
      </c>
      <c r="U54" s="67">
        <f>'Project Database'!Y58</f>
        <v>0</v>
      </c>
      <c r="V54" s="66">
        <f>IF('Smart Search'!B13=1,IFERROR(1/'Smart Search'!H13,0),0)</f>
        <v>0</v>
      </c>
      <c r="W54" s="66">
        <f>IF('Smart Search'!B13=1,IFERROR(1/'Smart Search'!H13,0),0)</f>
        <v>0</v>
      </c>
      <c r="X54" s="66">
        <f>IF('Smart Search'!C13=1,IFERROR(1/'Smart Search'!H13,0),0)</f>
        <v>0.5</v>
      </c>
      <c r="Y54" s="66">
        <f>IF('Smart Search'!C13=1,IFERROR(1/'Smart Search'!H13,0),0)</f>
        <v>0.5</v>
      </c>
      <c r="Z54" s="66">
        <f>IF('Smart Search'!D13=1,IFERROR(1/'Smart Search'!H13,0),0)</f>
        <v>0</v>
      </c>
      <c r="AA54" s="66">
        <f>IF('Smart Search'!D13=1,IFERROR(1/'Smart Search'!H13,0),0)</f>
        <v>0</v>
      </c>
      <c r="AB54" s="66">
        <f>IF('Smart Search'!E13=1,IFERROR(1/'Smart Search'!H13,0),0)</f>
        <v>0</v>
      </c>
      <c r="AC54" s="66">
        <f>IF('Smart Search'!E13=1,IFERROR(1/'Smart Search'!H13,0),0)</f>
        <v>0</v>
      </c>
      <c r="AD54" s="66">
        <f>IF('Smart Search'!F13=1,IFERROR(1/'Smart Search'!H13,0),0)</f>
        <v>0</v>
      </c>
      <c r="AE54" s="66">
        <f>IF('Smart Search'!F13=1,IFERROR(1/'Smart Search'!H13,0),0)</f>
        <v>0</v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>0</v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>0</v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>0</v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>0</v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>0</v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>0</v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>0</v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>0</v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>0</v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>0</v>
      </c>
      <c r="AP54" s="66">
        <f t="shared" si="0"/>
        <v>0</v>
      </c>
      <c r="AQ54" s="66">
        <f t="shared" si="1"/>
        <v>0</v>
      </c>
      <c r="AR54" s="66">
        <f t="shared" si="2"/>
        <v>0</v>
      </c>
      <c r="AS54" s="66">
        <f t="shared" si="3"/>
        <v>0</v>
      </c>
      <c r="AT54" s="66">
        <f t="shared" si="4"/>
        <v>0</v>
      </c>
      <c r="AU54" s="66">
        <f t="shared" si="5"/>
        <v>0</v>
      </c>
      <c r="AV54" s="66">
        <f t="shared" si="6"/>
        <v>0</v>
      </c>
      <c r="AW54" s="66">
        <f t="shared" si="7"/>
        <v>0</v>
      </c>
      <c r="AX54" s="66">
        <f t="shared" si="8"/>
        <v>0</v>
      </c>
      <c r="AY54" s="66">
        <f t="shared" si="9"/>
        <v>0</v>
      </c>
      <c r="AZ54" s="66">
        <f>'Project Database'!Z58</f>
        <v>0</v>
      </c>
      <c r="BA54" s="66">
        <f>IF(OR(A54="",'Smart Search'!H13=0),"",MAX(0,BE54*BF54*MAX(0,1-BG54)))</f>
        <v>0</v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>0</v>
      </c>
      <c r="BC54" s="66">
        <f>IF('Smart Search'!G13=1,IFERROR(1/'Smart Search'!H13,0),0)</f>
        <v>0</v>
      </c>
      <c r="BD54" s="66">
        <f t="shared" si="10"/>
        <v>0</v>
      </c>
      <c r="BE54" s="66">
        <f t="shared" si="11"/>
        <v>0</v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>0</v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>0</v>
      </c>
      <c r="BH54" s="5" t="str">
        <f>IF(AND('Project Database'!A58&lt;&gt;"",OR('Smart Search'!$L$5="",'Smart Search'!$L$5="All",TRIM('Project Database'!D58)=TRIM('Smart Search'!$L$5)),OR(TRIM('Smart Search'!$L$6)="",TRIM('Smart Search'!$L$6)="All",ISNUMBER(SEARCH(SUBSTITUTE(SUBSTITUTE(SUBSTITUTE(TRIM('Smart Search'!$L$6),"~","~~"),"*","~*"),"?","~?"),'Project Database'!C58))),OR('Smart Search'!$L$7="",AND('Project Database'!E58&lt;&gt;"",'Project Database'!E58='Smart Search'!$L$7)),OR('Smart Search'!$L$8="",'Smart Search'!$L$8="All",TRIM('Project Database'!F58)=TRIM('Smart Search'!$L$8))),IF(BA54="","",BA54+ROW()*0.0000000001),"")</f>
        <v/>
      </c>
      <c r="BI54" s="5" t="str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 t="str">
        <f>IF('Project Database'!A58="","",N('Project Database'!AC58))</f>
        <v/>
      </c>
      <c r="BK54" s="5" t="str">
        <f>IF('Project Database'!A58="","",N('Project Database'!AD58))</f>
        <v/>
      </c>
      <c r="BL54" s="5" t="str">
        <f>IF('Project Database'!A58="","",N('Project Database'!AE58))</f>
        <v/>
      </c>
      <c r="BM54" s="5" t="str">
        <f>IF('Project Database'!A58="","",N('Project Database'!AF58))</f>
        <v/>
      </c>
      <c r="BN54" s="5" t="str">
        <f>IF('Project Database'!A58="","",N('Project Database'!AG58))</f>
        <v/>
      </c>
      <c r="BO54" s="5" t="str">
        <f>IF('Project Database'!A58="","",N('Project Database'!AH58))</f>
        <v/>
      </c>
      <c r="BP54" s="5" t="str">
        <f>IF('Project Database'!A58="","",N('Project Database'!AI58))</f>
        <v/>
      </c>
      <c r="BQ54" s="5" t="str">
        <f>IF('Project Database'!A58="","",N('Project Database'!AJ58))</f>
        <v/>
      </c>
      <c r="BR54" s="5" t="str">
        <f>IF('Project Database'!A58="","",N('Project Database'!AK58))</f>
        <v/>
      </c>
      <c r="BS54" s="5" t="str">
        <f>IF('Project Database'!A58="","",N('Project Database'!AL58))</f>
        <v/>
      </c>
      <c r="BT54" s="5" t="str">
        <f>IF('Project Database'!A58="","",N('Project Database'!AM58))</f>
        <v/>
      </c>
      <c r="BU54" s="5" t="str">
        <f>IF('Project Database'!A58="","",N('Project Database'!AN58))</f>
        <v/>
      </c>
      <c r="BV54" s="5" t="str">
        <f>IF('Project Database'!A58="","",N('Project Database'!AO58))</f>
        <v/>
      </c>
      <c r="BW54" s="5" t="str">
        <f>IF('Project Database'!A58="","",N('Project Database'!AP58))</f>
        <v/>
      </c>
      <c r="BX54" s="5">
        <f t="shared" si="12"/>
        <v>0</v>
      </c>
      <c r="BY54" s="5">
        <f t="shared" si="13"/>
        <v>0</v>
      </c>
    </row>
    <row r="55" spans="1:77" ht="15" customHeight="1" x14ac:dyDescent="0.3">
      <c r="A55" s="66">
        <f>'Project Database'!A59</f>
        <v>0</v>
      </c>
      <c r="B55" s="66">
        <f>'Project Database'!B59</f>
        <v>0</v>
      </c>
      <c r="C55" s="66">
        <f>'Project Database'!G59</f>
        <v>0</v>
      </c>
      <c r="D55" s="66">
        <f>'Project Database'!H59</f>
        <v>0</v>
      </c>
      <c r="E55" s="66">
        <f>'Project Database'!I59</f>
        <v>0</v>
      </c>
      <c r="F55" s="66">
        <f>'Project Database'!J59</f>
        <v>0</v>
      </c>
      <c r="G55" s="66">
        <f>'Project Database'!K59</f>
        <v>0</v>
      </c>
      <c r="H55" s="66">
        <f>'Project Database'!L59</f>
        <v>0</v>
      </c>
      <c r="I55" s="66">
        <f>'Project Database'!M59</f>
        <v>0</v>
      </c>
      <c r="J55" s="66">
        <f>'Project Database'!N59</f>
        <v>0</v>
      </c>
      <c r="K55" s="66">
        <f>'Project Database'!O59</f>
        <v>0</v>
      </c>
      <c r="L55" s="66">
        <f>'Project Database'!P59</f>
        <v>0</v>
      </c>
      <c r="M55" s="66">
        <f>'Project Database'!Q59</f>
        <v>0</v>
      </c>
      <c r="N55" s="66">
        <f>'Project Database'!R59</f>
        <v>0</v>
      </c>
      <c r="O55" s="66">
        <f>'Project Database'!S59</f>
        <v>0</v>
      </c>
      <c r="P55" s="66">
        <f>'Project Database'!T59</f>
        <v>0</v>
      </c>
      <c r="Q55" s="66">
        <f>'Project Database'!U59</f>
        <v>0</v>
      </c>
      <c r="R55" s="66">
        <f>'Project Database'!V59</f>
        <v>0</v>
      </c>
      <c r="S55" s="66">
        <f>'Project Database'!W59</f>
        <v>0</v>
      </c>
      <c r="T55" s="66">
        <f>'Project Database'!X59</f>
        <v>0</v>
      </c>
      <c r="U55" s="67">
        <f>'Project Database'!Y59</f>
        <v>0</v>
      </c>
      <c r="V55" s="66">
        <f>IF('Smart Search'!B13=1,IFERROR(1/'Smart Search'!H13,0),0)</f>
        <v>0</v>
      </c>
      <c r="W55" s="66">
        <f>IF('Smart Search'!B13=1,IFERROR(1/'Smart Search'!H13,0),0)</f>
        <v>0</v>
      </c>
      <c r="X55" s="66">
        <f>IF('Smart Search'!C13=1,IFERROR(1/'Smart Search'!H13,0),0)</f>
        <v>0.5</v>
      </c>
      <c r="Y55" s="66">
        <f>IF('Smart Search'!C13=1,IFERROR(1/'Smart Search'!H13,0),0)</f>
        <v>0.5</v>
      </c>
      <c r="Z55" s="66">
        <f>IF('Smart Search'!D13=1,IFERROR(1/'Smart Search'!H13,0),0)</f>
        <v>0</v>
      </c>
      <c r="AA55" s="66">
        <f>IF('Smart Search'!D13=1,IFERROR(1/'Smart Search'!H13,0),0)</f>
        <v>0</v>
      </c>
      <c r="AB55" s="66">
        <f>IF('Smart Search'!E13=1,IFERROR(1/'Smart Search'!H13,0),0)</f>
        <v>0</v>
      </c>
      <c r="AC55" s="66">
        <f>IF('Smart Search'!E13=1,IFERROR(1/'Smart Search'!H13,0),0)</f>
        <v>0</v>
      </c>
      <c r="AD55" s="66">
        <f>IF('Smart Search'!F13=1,IFERROR(1/'Smart Search'!H13,0),0)</f>
        <v>0</v>
      </c>
      <c r="AE55" s="66">
        <f>IF('Smart Search'!F13=1,IFERROR(1/'Smart Search'!H13,0),0)</f>
        <v>0</v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>0</v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>0</v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>0</v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>0</v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>0</v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>0</v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>0</v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>0</v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>0</v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>0</v>
      </c>
      <c r="AP55" s="66">
        <f t="shared" si="0"/>
        <v>0</v>
      </c>
      <c r="AQ55" s="66">
        <f t="shared" si="1"/>
        <v>0</v>
      </c>
      <c r="AR55" s="66">
        <f t="shared" si="2"/>
        <v>0</v>
      </c>
      <c r="AS55" s="66">
        <f t="shared" si="3"/>
        <v>0</v>
      </c>
      <c r="AT55" s="66">
        <f t="shared" si="4"/>
        <v>0</v>
      </c>
      <c r="AU55" s="66">
        <f t="shared" si="5"/>
        <v>0</v>
      </c>
      <c r="AV55" s="66">
        <f t="shared" si="6"/>
        <v>0</v>
      </c>
      <c r="AW55" s="66">
        <f t="shared" si="7"/>
        <v>0</v>
      </c>
      <c r="AX55" s="66">
        <f t="shared" si="8"/>
        <v>0</v>
      </c>
      <c r="AY55" s="66">
        <f t="shared" si="9"/>
        <v>0</v>
      </c>
      <c r="AZ55" s="66">
        <f>'Project Database'!Z59</f>
        <v>0</v>
      </c>
      <c r="BA55" s="66">
        <f>IF(OR(A55="",'Smart Search'!H13=0),"",MAX(0,BE55*BF55*MAX(0,1-BG55)))</f>
        <v>0</v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>0</v>
      </c>
      <c r="BC55" s="66">
        <f>IF('Smart Search'!G13=1,IFERROR(1/'Smart Search'!H13,0),0)</f>
        <v>0</v>
      </c>
      <c r="BD55" s="66">
        <f t="shared" si="10"/>
        <v>0</v>
      </c>
      <c r="BE55" s="66">
        <f t="shared" si="11"/>
        <v>0</v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>0</v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>0</v>
      </c>
      <c r="BH55" s="5" t="str">
        <f>IF(AND('Project Database'!A59&lt;&gt;"",OR('Smart Search'!$L$5="",'Smart Search'!$L$5="All",TRIM('Project Database'!D59)=TRIM('Smart Search'!$L$5)),OR(TRIM('Smart Search'!$L$6)="",TRIM('Smart Search'!$L$6)="All",ISNUMBER(SEARCH(SUBSTITUTE(SUBSTITUTE(SUBSTITUTE(TRIM('Smart Search'!$L$6),"~","~~"),"*","~*"),"?","~?"),'Project Database'!C59))),OR('Smart Search'!$L$7="",AND('Project Database'!E59&lt;&gt;"",'Project Database'!E59='Smart Search'!$L$7)),OR('Smart Search'!$L$8="",'Smart Search'!$L$8="All",TRIM('Project Database'!F59)=TRIM('Smart Search'!$L$8))),IF(BA55="","",BA55+ROW()*0.0000000001),"")</f>
        <v/>
      </c>
      <c r="BI55" s="5" t="str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 t="str">
        <f>IF('Project Database'!A59="","",N('Project Database'!AC59))</f>
        <v/>
      </c>
      <c r="BK55" s="5" t="str">
        <f>IF('Project Database'!A59="","",N('Project Database'!AD59))</f>
        <v/>
      </c>
      <c r="BL55" s="5" t="str">
        <f>IF('Project Database'!A59="","",N('Project Database'!AE59))</f>
        <v/>
      </c>
      <c r="BM55" s="5" t="str">
        <f>IF('Project Database'!A59="","",N('Project Database'!AF59))</f>
        <v/>
      </c>
      <c r="BN55" s="5" t="str">
        <f>IF('Project Database'!A59="","",N('Project Database'!AG59))</f>
        <v/>
      </c>
      <c r="BO55" s="5" t="str">
        <f>IF('Project Database'!A59="","",N('Project Database'!AH59))</f>
        <v/>
      </c>
      <c r="BP55" s="5" t="str">
        <f>IF('Project Database'!A59="","",N('Project Database'!AI59))</f>
        <v/>
      </c>
      <c r="BQ55" s="5" t="str">
        <f>IF('Project Database'!A59="","",N('Project Database'!AJ59))</f>
        <v/>
      </c>
      <c r="BR55" s="5" t="str">
        <f>IF('Project Database'!A59="","",N('Project Database'!AK59))</f>
        <v/>
      </c>
      <c r="BS55" s="5" t="str">
        <f>IF('Project Database'!A59="","",N('Project Database'!AL59))</f>
        <v/>
      </c>
      <c r="BT55" s="5" t="str">
        <f>IF('Project Database'!A59="","",N('Project Database'!AM59))</f>
        <v/>
      </c>
      <c r="BU55" s="5" t="str">
        <f>IF('Project Database'!A59="","",N('Project Database'!AN59))</f>
        <v/>
      </c>
      <c r="BV55" s="5" t="str">
        <f>IF('Project Database'!A59="","",N('Project Database'!AO59))</f>
        <v/>
      </c>
      <c r="BW55" s="5" t="str">
        <f>IF('Project Database'!A59="","",N('Project Database'!AP59))</f>
        <v/>
      </c>
      <c r="BX55" s="5">
        <f t="shared" si="12"/>
        <v>0</v>
      </c>
      <c r="BY55" s="5">
        <f t="shared" si="13"/>
        <v>0</v>
      </c>
    </row>
    <row r="56" spans="1:77" ht="15" customHeight="1" x14ac:dyDescent="0.3">
      <c r="A56" s="66">
        <f>'Project Database'!A60</f>
        <v>0</v>
      </c>
      <c r="B56" s="66">
        <f>'Project Database'!B60</f>
        <v>0</v>
      </c>
      <c r="C56" s="66">
        <f>'Project Database'!G60</f>
        <v>0</v>
      </c>
      <c r="D56" s="66">
        <f>'Project Database'!H60</f>
        <v>0</v>
      </c>
      <c r="E56" s="66">
        <f>'Project Database'!I60</f>
        <v>0</v>
      </c>
      <c r="F56" s="66">
        <f>'Project Database'!J60</f>
        <v>0</v>
      </c>
      <c r="G56" s="66">
        <f>'Project Database'!K60</f>
        <v>0</v>
      </c>
      <c r="H56" s="66">
        <f>'Project Database'!L60</f>
        <v>0</v>
      </c>
      <c r="I56" s="66">
        <f>'Project Database'!M60</f>
        <v>0</v>
      </c>
      <c r="J56" s="66">
        <f>'Project Database'!N60</f>
        <v>0</v>
      </c>
      <c r="K56" s="66">
        <f>'Project Database'!O60</f>
        <v>0</v>
      </c>
      <c r="L56" s="66">
        <f>'Project Database'!P60</f>
        <v>0</v>
      </c>
      <c r="M56" s="66">
        <f>'Project Database'!Q60</f>
        <v>0</v>
      </c>
      <c r="N56" s="66">
        <f>'Project Database'!R60</f>
        <v>0</v>
      </c>
      <c r="O56" s="66">
        <f>'Project Database'!S60</f>
        <v>0</v>
      </c>
      <c r="P56" s="66">
        <f>'Project Database'!T60</f>
        <v>0</v>
      </c>
      <c r="Q56" s="66">
        <f>'Project Database'!U60</f>
        <v>0</v>
      </c>
      <c r="R56" s="66">
        <f>'Project Database'!V60</f>
        <v>0</v>
      </c>
      <c r="S56" s="66">
        <f>'Project Database'!W60</f>
        <v>0</v>
      </c>
      <c r="T56" s="66">
        <f>'Project Database'!X60</f>
        <v>0</v>
      </c>
      <c r="U56" s="67">
        <f>'Project Database'!Y60</f>
        <v>0</v>
      </c>
      <c r="V56" s="66">
        <f>IF('Smart Search'!B13=1,IFERROR(1/'Smart Search'!H13,0),0)</f>
        <v>0</v>
      </c>
      <c r="W56" s="66">
        <f>IF('Smart Search'!B13=1,IFERROR(1/'Smart Search'!H13,0),0)</f>
        <v>0</v>
      </c>
      <c r="X56" s="66">
        <f>IF('Smart Search'!C13=1,IFERROR(1/'Smart Search'!H13,0),0)</f>
        <v>0.5</v>
      </c>
      <c r="Y56" s="66">
        <f>IF('Smart Search'!C13=1,IFERROR(1/'Smart Search'!H13,0),0)</f>
        <v>0.5</v>
      </c>
      <c r="Z56" s="66">
        <f>IF('Smart Search'!D13=1,IFERROR(1/'Smart Search'!H13,0),0)</f>
        <v>0</v>
      </c>
      <c r="AA56" s="66">
        <f>IF('Smart Search'!D13=1,IFERROR(1/'Smart Search'!H13,0),0)</f>
        <v>0</v>
      </c>
      <c r="AB56" s="66">
        <f>IF('Smart Search'!E13=1,IFERROR(1/'Smart Search'!H13,0),0)</f>
        <v>0</v>
      </c>
      <c r="AC56" s="66">
        <f>IF('Smart Search'!E13=1,IFERROR(1/'Smart Search'!H13,0),0)</f>
        <v>0</v>
      </c>
      <c r="AD56" s="66">
        <f>IF('Smart Search'!F13=1,IFERROR(1/'Smart Search'!H13,0),0)</f>
        <v>0</v>
      </c>
      <c r="AE56" s="66">
        <f>IF('Smart Search'!F13=1,IFERROR(1/'Smart Search'!H13,0),0)</f>
        <v>0</v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>0</v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>0</v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>0</v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>0</v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>0</v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>0</v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>0</v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>0</v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>0</v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>0</v>
      </c>
      <c r="AP56" s="66">
        <f t="shared" si="0"/>
        <v>0</v>
      </c>
      <c r="AQ56" s="66">
        <f t="shared" si="1"/>
        <v>0</v>
      </c>
      <c r="AR56" s="66">
        <f t="shared" si="2"/>
        <v>0</v>
      </c>
      <c r="AS56" s="66">
        <f t="shared" si="3"/>
        <v>0</v>
      </c>
      <c r="AT56" s="66">
        <f t="shared" si="4"/>
        <v>0</v>
      </c>
      <c r="AU56" s="66">
        <f t="shared" si="5"/>
        <v>0</v>
      </c>
      <c r="AV56" s="66">
        <f t="shared" si="6"/>
        <v>0</v>
      </c>
      <c r="AW56" s="66">
        <f t="shared" si="7"/>
        <v>0</v>
      </c>
      <c r="AX56" s="66">
        <f t="shared" si="8"/>
        <v>0</v>
      </c>
      <c r="AY56" s="66">
        <f t="shared" si="9"/>
        <v>0</v>
      </c>
      <c r="AZ56" s="66">
        <f>'Project Database'!Z60</f>
        <v>0</v>
      </c>
      <c r="BA56" s="66">
        <f>IF(OR(A56="",'Smart Search'!H13=0),"",MAX(0,BE56*BF56*MAX(0,1-BG56)))</f>
        <v>0</v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>0</v>
      </c>
      <c r="BC56" s="66">
        <f>IF('Smart Search'!G13=1,IFERROR(1/'Smart Search'!H13,0),0)</f>
        <v>0</v>
      </c>
      <c r="BD56" s="66">
        <f t="shared" si="10"/>
        <v>0</v>
      </c>
      <c r="BE56" s="66">
        <f t="shared" si="11"/>
        <v>0</v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>0</v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>0</v>
      </c>
      <c r="BH56" s="5" t="str">
        <f>IF(AND('Project Database'!A60&lt;&gt;"",OR('Smart Search'!$L$5="",'Smart Search'!$L$5="All",TRIM('Project Database'!D60)=TRIM('Smart Search'!$L$5)),OR(TRIM('Smart Search'!$L$6)="",TRIM('Smart Search'!$L$6)="All",ISNUMBER(SEARCH(SUBSTITUTE(SUBSTITUTE(SUBSTITUTE(TRIM('Smart Search'!$L$6),"~","~~"),"*","~*"),"?","~?"),'Project Database'!C60))),OR('Smart Search'!$L$7="",AND('Project Database'!E60&lt;&gt;"",'Project Database'!E60='Smart Search'!$L$7)),OR('Smart Search'!$L$8="",'Smart Search'!$L$8="All",TRIM('Project Database'!F60)=TRIM('Smart Search'!$L$8))),IF(BA56="","",BA56+ROW()*0.0000000001),"")</f>
        <v/>
      </c>
      <c r="BI56" s="5" t="str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 t="str">
        <f>IF('Project Database'!A60="","",N('Project Database'!AC60))</f>
        <v/>
      </c>
      <c r="BK56" s="5" t="str">
        <f>IF('Project Database'!A60="","",N('Project Database'!AD60))</f>
        <v/>
      </c>
      <c r="BL56" s="5" t="str">
        <f>IF('Project Database'!A60="","",N('Project Database'!AE60))</f>
        <v/>
      </c>
      <c r="BM56" s="5" t="str">
        <f>IF('Project Database'!A60="","",N('Project Database'!AF60))</f>
        <v/>
      </c>
      <c r="BN56" s="5" t="str">
        <f>IF('Project Database'!A60="","",N('Project Database'!AG60))</f>
        <v/>
      </c>
      <c r="BO56" s="5" t="str">
        <f>IF('Project Database'!A60="","",N('Project Database'!AH60))</f>
        <v/>
      </c>
      <c r="BP56" s="5" t="str">
        <f>IF('Project Database'!A60="","",N('Project Database'!AI60))</f>
        <v/>
      </c>
      <c r="BQ56" s="5" t="str">
        <f>IF('Project Database'!A60="","",N('Project Database'!AJ60))</f>
        <v/>
      </c>
      <c r="BR56" s="5" t="str">
        <f>IF('Project Database'!A60="","",N('Project Database'!AK60))</f>
        <v/>
      </c>
      <c r="BS56" s="5" t="str">
        <f>IF('Project Database'!A60="","",N('Project Database'!AL60))</f>
        <v/>
      </c>
      <c r="BT56" s="5" t="str">
        <f>IF('Project Database'!A60="","",N('Project Database'!AM60))</f>
        <v/>
      </c>
      <c r="BU56" s="5" t="str">
        <f>IF('Project Database'!A60="","",N('Project Database'!AN60))</f>
        <v/>
      </c>
      <c r="BV56" s="5" t="str">
        <f>IF('Project Database'!A60="","",N('Project Database'!AO60))</f>
        <v/>
      </c>
      <c r="BW56" s="5" t="str">
        <f>IF('Project Database'!A60="","",N('Project Database'!AP60))</f>
        <v/>
      </c>
      <c r="BX56" s="5">
        <f t="shared" si="12"/>
        <v>0</v>
      </c>
      <c r="BY56" s="5">
        <f t="shared" si="13"/>
        <v>0</v>
      </c>
    </row>
    <row r="57" spans="1:77" ht="15" customHeight="1" x14ac:dyDescent="0.3">
      <c r="A57" s="66">
        <f>'Project Database'!A61</f>
        <v>0</v>
      </c>
      <c r="B57" s="66">
        <f>'Project Database'!B61</f>
        <v>0</v>
      </c>
      <c r="C57" s="66">
        <f>'Project Database'!G61</f>
        <v>0</v>
      </c>
      <c r="D57" s="66">
        <f>'Project Database'!H61</f>
        <v>0</v>
      </c>
      <c r="E57" s="66">
        <f>'Project Database'!I61</f>
        <v>0</v>
      </c>
      <c r="F57" s="66">
        <f>'Project Database'!J61</f>
        <v>0</v>
      </c>
      <c r="G57" s="66">
        <f>'Project Database'!K61</f>
        <v>0</v>
      </c>
      <c r="H57" s="66">
        <f>'Project Database'!L61</f>
        <v>0</v>
      </c>
      <c r="I57" s="66">
        <f>'Project Database'!M61</f>
        <v>0</v>
      </c>
      <c r="J57" s="66">
        <f>'Project Database'!N61</f>
        <v>0</v>
      </c>
      <c r="K57" s="66">
        <f>'Project Database'!O61</f>
        <v>0</v>
      </c>
      <c r="L57" s="66">
        <f>'Project Database'!P61</f>
        <v>0</v>
      </c>
      <c r="M57" s="66">
        <f>'Project Database'!Q61</f>
        <v>0</v>
      </c>
      <c r="N57" s="66">
        <f>'Project Database'!R61</f>
        <v>0</v>
      </c>
      <c r="O57" s="66">
        <f>'Project Database'!S61</f>
        <v>0</v>
      </c>
      <c r="P57" s="66">
        <f>'Project Database'!T61</f>
        <v>0</v>
      </c>
      <c r="Q57" s="66">
        <f>'Project Database'!U61</f>
        <v>0</v>
      </c>
      <c r="R57" s="66">
        <f>'Project Database'!V61</f>
        <v>0</v>
      </c>
      <c r="S57" s="66">
        <f>'Project Database'!W61</f>
        <v>0</v>
      </c>
      <c r="T57" s="66">
        <f>'Project Database'!X61</f>
        <v>0</v>
      </c>
      <c r="U57" s="67">
        <f>'Project Database'!Y61</f>
        <v>0</v>
      </c>
      <c r="V57" s="66">
        <f>IF('Smart Search'!B13=1,IFERROR(1/'Smart Search'!H13,0),0)</f>
        <v>0</v>
      </c>
      <c r="W57" s="66">
        <f>IF('Smart Search'!B13=1,IFERROR(1/'Smart Search'!H13,0),0)</f>
        <v>0</v>
      </c>
      <c r="X57" s="66">
        <f>IF('Smart Search'!C13=1,IFERROR(1/'Smart Search'!H13,0),0)</f>
        <v>0.5</v>
      </c>
      <c r="Y57" s="66">
        <f>IF('Smart Search'!C13=1,IFERROR(1/'Smart Search'!H13,0),0)</f>
        <v>0.5</v>
      </c>
      <c r="Z57" s="66">
        <f>IF('Smart Search'!D13=1,IFERROR(1/'Smart Search'!H13,0),0)</f>
        <v>0</v>
      </c>
      <c r="AA57" s="66">
        <f>IF('Smart Search'!D13=1,IFERROR(1/'Smart Search'!H13,0),0)</f>
        <v>0</v>
      </c>
      <c r="AB57" s="66">
        <f>IF('Smart Search'!E13=1,IFERROR(1/'Smart Search'!H13,0),0)</f>
        <v>0</v>
      </c>
      <c r="AC57" s="66">
        <f>IF('Smart Search'!E13=1,IFERROR(1/'Smart Search'!H13,0),0)</f>
        <v>0</v>
      </c>
      <c r="AD57" s="66">
        <f>IF('Smart Search'!F13=1,IFERROR(1/'Smart Search'!H13,0),0)</f>
        <v>0</v>
      </c>
      <c r="AE57" s="66">
        <f>IF('Smart Search'!F13=1,IFERROR(1/'Smart Search'!H13,0),0)</f>
        <v>0</v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>0</v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>0</v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>0</v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>0</v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>0</v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>0</v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>0</v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>0</v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>0</v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>0</v>
      </c>
      <c r="AP57" s="66">
        <f t="shared" si="0"/>
        <v>0</v>
      </c>
      <c r="AQ57" s="66">
        <f t="shared" si="1"/>
        <v>0</v>
      </c>
      <c r="AR57" s="66">
        <f t="shared" si="2"/>
        <v>0</v>
      </c>
      <c r="AS57" s="66">
        <f t="shared" si="3"/>
        <v>0</v>
      </c>
      <c r="AT57" s="66">
        <f t="shared" si="4"/>
        <v>0</v>
      </c>
      <c r="AU57" s="66">
        <f t="shared" si="5"/>
        <v>0</v>
      </c>
      <c r="AV57" s="66">
        <f t="shared" si="6"/>
        <v>0</v>
      </c>
      <c r="AW57" s="66">
        <f t="shared" si="7"/>
        <v>0</v>
      </c>
      <c r="AX57" s="66">
        <f t="shared" si="8"/>
        <v>0</v>
      </c>
      <c r="AY57" s="66">
        <f t="shared" si="9"/>
        <v>0</v>
      </c>
      <c r="AZ57" s="66">
        <f>'Project Database'!Z61</f>
        <v>0</v>
      </c>
      <c r="BA57" s="66">
        <f>IF(OR(A57="",'Smart Search'!H13=0),"",MAX(0,BE57*BF57*MAX(0,1-BG57)))</f>
        <v>0</v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>0</v>
      </c>
      <c r="BC57" s="66">
        <f>IF('Smart Search'!G13=1,IFERROR(1/'Smart Search'!H13,0),0)</f>
        <v>0</v>
      </c>
      <c r="BD57" s="66">
        <f t="shared" si="10"/>
        <v>0</v>
      </c>
      <c r="BE57" s="66">
        <f t="shared" si="11"/>
        <v>0</v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>0</v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>0</v>
      </c>
      <c r="BH57" s="5" t="str">
        <f>IF(AND('Project Database'!A61&lt;&gt;"",OR('Smart Search'!$L$5="",'Smart Search'!$L$5="All",TRIM('Project Database'!D61)=TRIM('Smart Search'!$L$5)),OR(TRIM('Smart Search'!$L$6)="",TRIM('Smart Search'!$L$6)="All",ISNUMBER(SEARCH(SUBSTITUTE(SUBSTITUTE(SUBSTITUTE(TRIM('Smart Search'!$L$6),"~","~~"),"*","~*"),"?","~?"),'Project Database'!C61))),OR('Smart Search'!$L$7="",AND('Project Database'!E61&lt;&gt;"",'Project Database'!E61='Smart Search'!$L$7)),OR('Smart Search'!$L$8="",'Smart Search'!$L$8="All",TRIM('Project Database'!F61)=TRIM('Smart Search'!$L$8))),IF(BA57="","",BA57+ROW()*0.0000000001),"")</f>
        <v/>
      </c>
      <c r="BI57" s="5" t="str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 t="str">
        <f>IF('Project Database'!A61="","",N('Project Database'!AC61))</f>
        <v/>
      </c>
      <c r="BK57" s="5" t="str">
        <f>IF('Project Database'!A61="","",N('Project Database'!AD61))</f>
        <v/>
      </c>
      <c r="BL57" s="5" t="str">
        <f>IF('Project Database'!A61="","",N('Project Database'!AE61))</f>
        <v/>
      </c>
      <c r="BM57" s="5" t="str">
        <f>IF('Project Database'!A61="","",N('Project Database'!AF61))</f>
        <v/>
      </c>
      <c r="BN57" s="5" t="str">
        <f>IF('Project Database'!A61="","",N('Project Database'!AG61))</f>
        <v/>
      </c>
      <c r="BO57" s="5" t="str">
        <f>IF('Project Database'!A61="","",N('Project Database'!AH61))</f>
        <v/>
      </c>
      <c r="BP57" s="5" t="str">
        <f>IF('Project Database'!A61="","",N('Project Database'!AI61))</f>
        <v/>
      </c>
      <c r="BQ57" s="5" t="str">
        <f>IF('Project Database'!A61="","",N('Project Database'!AJ61))</f>
        <v/>
      </c>
      <c r="BR57" s="5" t="str">
        <f>IF('Project Database'!A61="","",N('Project Database'!AK61))</f>
        <v/>
      </c>
      <c r="BS57" s="5" t="str">
        <f>IF('Project Database'!A61="","",N('Project Database'!AL61))</f>
        <v/>
      </c>
      <c r="BT57" s="5" t="str">
        <f>IF('Project Database'!A61="","",N('Project Database'!AM61))</f>
        <v/>
      </c>
      <c r="BU57" s="5" t="str">
        <f>IF('Project Database'!A61="","",N('Project Database'!AN61))</f>
        <v/>
      </c>
      <c r="BV57" s="5" t="str">
        <f>IF('Project Database'!A61="","",N('Project Database'!AO61))</f>
        <v/>
      </c>
      <c r="BW57" s="5" t="str">
        <f>IF('Project Database'!A61="","",N('Project Database'!AP61))</f>
        <v/>
      </c>
      <c r="BX57" s="5">
        <f t="shared" si="12"/>
        <v>0</v>
      </c>
      <c r="BY57" s="5">
        <f t="shared" si="13"/>
        <v>0</v>
      </c>
    </row>
    <row r="58" spans="1:77" ht="15" customHeight="1" x14ac:dyDescent="0.3">
      <c r="A58" s="66">
        <f>'Project Database'!A62</f>
        <v>0</v>
      </c>
      <c r="B58" s="66">
        <f>'Project Database'!B62</f>
        <v>0</v>
      </c>
      <c r="C58" s="66">
        <f>'Project Database'!G62</f>
        <v>0</v>
      </c>
      <c r="D58" s="66">
        <f>'Project Database'!H62</f>
        <v>0</v>
      </c>
      <c r="E58" s="66">
        <f>'Project Database'!I62</f>
        <v>0</v>
      </c>
      <c r="F58" s="66">
        <f>'Project Database'!J62</f>
        <v>0</v>
      </c>
      <c r="G58" s="66">
        <f>'Project Database'!K62</f>
        <v>0</v>
      </c>
      <c r="H58" s="66">
        <f>'Project Database'!L62</f>
        <v>0</v>
      </c>
      <c r="I58" s="66">
        <f>'Project Database'!M62</f>
        <v>0</v>
      </c>
      <c r="J58" s="66">
        <f>'Project Database'!N62</f>
        <v>0</v>
      </c>
      <c r="K58" s="66">
        <f>'Project Database'!O62</f>
        <v>0</v>
      </c>
      <c r="L58" s="66">
        <f>'Project Database'!P62</f>
        <v>0</v>
      </c>
      <c r="M58" s="66">
        <f>'Project Database'!Q62</f>
        <v>0</v>
      </c>
      <c r="N58" s="66">
        <f>'Project Database'!R62</f>
        <v>0</v>
      </c>
      <c r="O58" s="66">
        <f>'Project Database'!S62</f>
        <v>0</v>
      </c>
      <c r="P58" s="66">
        <f>'Project Database'!T62</f>
        <v>0</v>
      </c>
      <c r="Q58" s="66">
        <f>'Project Database'!U62</f>
        <v>0</v>
      </c>
      <c r="R58" s="66">
        <f>'Project Database'!V62</f>
        <v>0</v>
      </c>
      <c r="S58" s="66">
        <f>'Project Database'!W62</f>
        <v>0</v>
      </c>
      <c r="T58" s="66">
        <f>'Project Database'!X62</f>
        <v>0</v>
      </c>
      <c r="U58" s="67">
        <f>'Project Database'!Y62</f>
        <v>0</v>
      </c>
      <c r="V58" s="66">
        <f>IF('Smart Search'!B13=1,IFERROR(1/'Smart Search'!H13,0),0)</f>
        <v>0</v>
      </c>
      <c r="W58" s="66">
        <f>IF('Smart Search'!B13=1,IFERROR(1/'Smart Search'!H13,0),0)</f>
        <v>0</v>
      </c>
      <c r="X58" s="66">
        <f>IF('Smart Search'!C13=1,IFERROR(1/'Smart Search'!H13,0),0)</f>
        <v>0.5</v>
      </c>
      <c r="Y58" s="66">
        <f>IF('Smart Search'!C13=1,IFERROR(1/'Smart Search'!H13,0),0)</f>
        <v>0.5</v>
      </c>
      <c r="Z58" s="66">
        <f>IF('Smart Search'!D13=1,IFERROR(1/'Smart Search'!H13,0),0)</f>
        <v>0</v>
      </c>
      <c r="AA58" s="66">
        <f>IF('Smart Search'!D13=1,IFERROR(1/'Smart Search'!H13,0),0)</f>
        <v>0</v>
      </c>
      <c r="AB58" s="66">
        <f>IF('Smart Search'!E13=1,IFERROR(1/'Smart Search'!H13,0),0)</f>
        <v>0</v>
      </c>
      <c r="AC58" s="66">
        <f>IF('Smart Search'!E13=1,IFERROR(1/'Smart Search'!H13,0),0)</f>
        <v>0</v>
      </c>
      <c r="AD58" s="66">
        <f>IF('Smart Search'!F13=1,IFERROR(1/'Smart Search'!H13,0),0)</f>
        <v>0</v>
      </c>
      <c r="AE58" s="66">
        <f>IF('Smart Search'!F13=1,IFERROR(1/'Smart Search'!H13,0),0)</f>
        <v>0</v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>0</v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>0</v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>0</v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>0</v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>0</v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>0</v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>0</v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>0</v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>0</v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>0</v>
      </c>
      <c r="AP58" s="66">
        <f t="shared" si="0"/>
        <v>0</v>
      </c>
      <c r="AQ58" s="66">
        <f t="shared" si="1"/>
        <v>0</v>
      </c>
      <c r="AR58" s="66">
        <f t="shared" si="2"/>
        <v>0</v>
      </c>
      <c r="AS58" s="66">
        <f t="shared" si="3"/>
        <v>0</v>
      </c>
      <c r="AT58" s="66">
        <f t="shared" si="4"/>
        <v>0</v>
      </c>
      <c r="AU58" s="66">
        <f t="shared" si="5"/>
        <v>0</v>
      </c>
      <c r="AV58" s="66">
        <f t="shared" si="6"/>
        <v>0</v>
      </c>
      <c r="AW58" s="66">
        <f t="shared" si="7"/>
        <v>0</v>
      </c>
      <c r="AX58" s="66">
        <f t="shared" si="8"/>
        <v>0</v>
      </c>
      <c r="AY58" s="66">
        <f t="shared" si="9"/>
        <v>0</v>
      </c>
      <c r="AZ58" s="66">
        <f>'Project Database'!Z62</f>
        <v>0</v>
      </c>
      <c r="BA58" s="66">
        <f>IF(OR(A58="",'Smart Search'!H13=0),"",MAX(0,BE58*BF58*MAX(0,1-BG58)))</f>
        <v>0</v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>0</v>
      </c>
      <c r="BC58" s="66">
        <f>IF('Smart Search'!G13=1,IFERROR(1/'Smart Search'!H13,0),0)</f>
        <v>0</v>
      </c>
      <c r="BD58" s="66">
        <f t="shared" si="10"/>
        <v>0</v>
      </c>
      <c r="BE58" s="66">
        <f t="shared" si="11"/>
        <v>0</v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>0</v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>0</v>
      </c>
      <c r="BH58" s="5" t="str">
        <f>IF(AND('Project Database'!A62&lt;&gt;"",OR('Smart Search'!$L$5="",'Smart Search'!$L$5="All",TRIM('Project Database'!D62)=TRIM('Smart Search'!$L$5)),OR(TRIM('Smart Search'!$L$6)="",TRIM('Smart Search'!$L$6)="All",ISNUMBER(SEARCH(SUBSTITUTE(SUBSTITUTE(SUBSTITUTE(TRIM('Smart Search'!$L$6),"~","~~"),"*","~*"),"?","~?"),'Project Database'!C62))),OR('Smart Search'!$L$7="",AND('Project Database'!E62&lt;&gt;"",'Project Database'!E62='Smart Search'!$L$7)),OR('Smart Search'!$L$8="",'Smart Search'!$L$8="All",TRIM('Project Database'!F62)=TRIM('Smart Search'!$L$8))),IF(BA58="","",BA58+ROW()*0.0000000001),"")</f>
        <v/>
      </c>
      <c r="BI58" s="5" t="str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 t="str">
        <f>IF('Project Database'!A62="","",N('Project Database'!AC62))</f>
        <v/>
      </c>
      <c r="BK58" s="5" t="str">
        <f>IF('Project Database'!A62="","",N('Project Database'!AD62))</f>
        <v/>
      </c>
      <c r="BL58" s="5" t="str">
        <f>IF('Project Database'!A62="","",N('Project Database'!AE62))</f>
        <v/>
      </c>
      <c r="BM58" s="5" t="str">
        <f>IF('Project Database'!A62="","",N('Project Database'!AF62))</f>
        <v/>
      </c>
      <c r="BN58" s="5" t="str">
        <f>IF('Project Database'!A62="","",N('Project Database'!AG62))</f>
        <v/>
      </c>
      <c r="BO58" s="5" t="str">
        <f>IF('Project Database'!A62="","",N('Project Database'!AH62))</f>
        <v/>
      </c>
      <c r="BP58" s="5" t="str">
        <f>IF('Project Database'!A62="","",N('Project Database'!AI62))</f>
        <v/>
      </c>
      <c r="BQ58" s="5" t="str">
        <f>IF('Project Database'!A62="","",N('Project Database'!AJ62))</f>
        <v/>
      </c>
      <c r="BR58" s="5" t="str">
        <f>IF('Project Database'!A62="","",N('Project Database'!AK62))</f>
        <v/>
      </c>
      <c r="BS58" s="5" t="str">
        <f>IF('Project Database'!A62="","",N('Project Database'!AL62))</f>
        <v/>
      </c>
      <c r="BT58" s="5" t="str">
        <f>IF('Project Database'!A62="","",N('Project Database'!AM62))</f>
        <v/>
      </c>
      <c r="BU58" s="5" t="str">
        <f>IF('Project Database'!A62="","",N('Project Database'!AN62))</f>
        <v/>
      </c>
      <c r="BV58" s="5" t="str">
        <f>IF('Project Database'!A62="","",N('Project Database'!AO62))</f>
        <v/>
      </c>
      <c r="BW58" s="5" t="str">
        <f>IF('Project Database'!A62="","",N('Project Database'!AP62))</f>
        <v/>
      </c>
      <c r="BX58" s="5">
        <f t="shared" si="12"/>
        <v>0</v>
      </c>
      <c r="BY58" s="5">
        <f t="shared" si="13"/>
        <v>0</v>
      </c>
    </row>
    <row r="59" spans="1:77" ht="15" customHeight="1" x14ac:dyDescent="0.3">
      <c r="A59" s="66">
        <f>'Project Database'!A63</f>
        <v>0</v>
      </c>
      <c r="B59" s="66">
        <f>'Project Database'!B63</f>
        <v>0</v>
      </c>
      <c r="C59" s="66">
        <f>'Project Database'!G63</f>
        <v>0</v>
      </c>
      <c r="D59" s="66">
        <f>'Project Database'!H63</f>
        <v>0</v>
      </c>
      <c r="E59" s="66">
        <f>'Project Database'!I63</f>
        <v>0</v>
      </c>
      <c r="F59" s="66">
        <f>'Project Database'!J63</f>
        <v>0</v>
      </c>
      <c r="G59" s="66">
        <f>'Project Database'!K63</f>
        <v>0</v>
      </c>
      <c r="H59" s="66">
        <f>'Project Database'!L63</f>
        <v>0</v>
      </c>
      <c r="I59" s="66">
        <f>'Project Database'!M63</f>
        <v>0</v>
      </c>
      <c r="J59" s="66">
        <f>'Project Database'!N63</f>
        <v>0</v>
      </c>
      <c r="K59" s="66">
        <f>'Project Database'!O63</f>
        <v>0</v>
      </c>
      <c r="L59" s="66">
        <f>'Project Database'!P63</f>
        <v>0</v>
      </c>
      <c r="M59" s="66">
        <f>'Project Database'!Q63</f>
        <v>0</v>
      </c>
      <c r="N59" s="66">
        <f>'Project Database'!R63</f>
        <v>0</v>
      </c>
      <c r="O59" s="66">
        <f>'Project Database'!S63</f>
        <v>0</v>
      </c>
      <c r="P59" s="66">
        <f>'Project Database'!T63</f>
        <v>0</v>
      </c>
      <c r="Q59" s="66">
        <f>'Project Database'!U63</f>
        <v>0</v>
      </c>
      <c r="R59" s="66">
        <f>'Project Database'!V63</f>
        <v>0</v>
      </c>
      <c r="S59" s="66">
        <f>'Project Database'!W63</f>
        <v>0</v>
      </c>
      <c r="T59" s="66">
        <f>'Project Database'!X63</f>
        <v>0</v>
      </c>
      <c r="U59" s="67">
        <f>'Project Database'!Y63</f>
        <v>0</v>
      </c>
      <c r="V59" s="66">
        <f>IF('Smart Search'!B13=1,IFERROR(1/'Smart Search'!H13,0),0)</f>
        <v>0</v>
      </c>
      <c r="W59" s="66">
        <f>IF('Smart Search'!B13=1,IFERROR(1/'Smart Search'!H13,0),0)</f>
        <v>0</v>
      </c>
      <c r="X59" s="66">
        <f>IF('Smart Search'!C13=1,IFERROR(1/'Smart Search'!H13,0),0)</f>
        <v>0.5</v>
      </c>
      <c r="Y59" s="66">
        <f>IF('Smart Search'!C13=1,IFERROR(1/'Smart Search'!H13,0),0)</f>
        <v>0.5</v>
      </c>
      <c r="Z59" s="66">
        <f>IF('Smart Search'!D13=1,IFERROR(1/'Smart Search'!H13,0),0)</f>
        <v>0</v>
      </c>
      <c r="AA59" s="66">
        <f>IF('Smart Search'!D13=1,IFERROR(1/'Smart Search'!H13,0),0)</f>
        <v>0</v>
      </c>
      <c r="AB59" s="66">
        <f>IF('Smart Search'!E13=1,IFERROR(1/'Smart Search'!H13,0),0)</f>
        <v>0</v>
      </c>
      <c r="AC59" s="66">
        <f>IF('Smart Search'!E13=1,IFERROR(1/'Smart Search'!H13,0),0)</f>
        <v>0</v>
      </c>
      <c r="AD59" s="66">
        <f>IF('Smart Search'!F13=1,IFERROR(1/'Smart Search'!H13,0),0)</f>
        <v>0</v>
      </c>
      <c r="AE59" s="66">
        <f>IF('Smart Search'!F13=1,IFERROR(1/'Smart Search'!H13,0),0)</f>
        <v>0</v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>0</v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>0</v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>0</v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>0</v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>0</v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>0</v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>0</v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>0</v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>0</v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>0</v>
      </c>
      <c r="AP59" s="66">
        <f t="shared" si="0"/>
        <v>0</v>
      </c>
      <c r="AQ59" s="66">
        <f t="shared" si="1"/>
        <v>0</v>
      </c>
      <c r="AR59" s="66">
        <f t="shared" si="2"/>
        <v>0</v>
      </c>
      <c r="AS59" s="66">
        <f t="shared" si="3"/>
        <v>0</v>
      </c>
      <c r="AT59" s="66">
        <f t="shared" si="4"/>
        <v>0</v>
      </c>
      <c r="AU59" s="66">
        <f t="shared" si="5"/>
        <v>0</v>
      </c>
      <c r="AV59" s="66">
        <f t="shared" si="6"/>
        <v>0</v>
      </c>
      <c r="AW59" s="66">
        <f t="shared" si="7"/>
        <v>0</v>
      </c>
      <c r="AX59" s="66">
        <f t="shared" si="8"/>
        <v>0</v>
      </c>
      <c r="AY59" s="66">
        <f t="shared" si="9"/>
        <v>0</v>
      </c>
      <c r="AZ59" s="66">
        <f>'Project Database'!Z63</f>
        <v>0</v>
      </c>
      <c r="BA59" s="66">
        <f>IF(OR(A59="",'Smart Search'!H13=0),"",MAX(0,BE59*BF59*MAX(0,1-BG59)))</f>
        <v>0</v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>0</v>
      </c>
      <c r="BC59" s="66">
        <f>IF('Smart Search'!G13=1,IFERROR(1/'Smart Search'!H13,0),0)</f>
        <v>0</v>
      </c>
      <c r="BD59" s="66">
        <f t="shared" si="10"/>
        <v>0</v>
      </c>
      <c r="BE59" s="66">
        <f t="shared" si="11"/>
        <v>0</v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>0</v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>0</v>
      </c>
      <c r="BH59" s="5" t="str">
        <f>IF(AND('Project Database'!A63&lt;&gt;"",OR('Smart Search'!$L$5="",'Smart Search'!$L$5="All",TRIM('Project Database'!D63)=TRIM('Smart Search'!$L$5)),OR(TRIM('Smart Search'!$L$6)="",TRIM('Smart Search'!$L$6)="All",ISNUMBER(SEARCH(SUBSTITUTE(SUBSTITUTE(SUBSTITUTE(TRIM('Smart Search'!$L$6),"~","~~"),"*","~*"),"?","~?"),'Project Database'!C63))),OR('Smart Search'!$L$7="",AND('Project Database'!E63&lt;&gt;"",'Project Database'!E63='Smart Search'!$L$7)),OR('Smart Search'!$L$8="",'Smart Search'!$L$8="All",TRIM('Project Database'!F63)=TRIM('Smart Search'!$L$8))),IF(BA59="","",BA59+ROW()*0.0000000001),"")</f>
        <v/>
      </c>
      <c r="BI59" s="5" t="str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 t="str">
        <f>IF('Project Database'!A63="","",N('Project Database'!AC63))</f>
        <v/>
      </c>
      <c r="BK59" s="5" t="str">
        <f>IF('Project Database'!A63="","",N('Project Database'!AD63))</f>
        <v/>
      </c>
      <c r="BL59" s="5" t="str">
        <f>IF('Project Database'!A63="","",N('Project Database'!AE63))</f>
        <v/>
      </c>
      <c r="BM59" s="5" t="str">
        <f>IF('Project Database'!A63="","",N('Project Database'!AF63))</f>
        <v/>
      </c>
      <c r="BN59" s="5" t="str">
        <f>IF('Project Database'!A63="","",N('Project Database'!AG63))</f>
        <v/>
      </c>
      <c r="BO59" s="5" t="str">
        <f>IF('Project Database'!A63="","",N('Project Database'!AH63))</f>
        <v/>
      </c>
      <c r="BP59" s="5" t="str">
        <f>IF('Project Database'!A63="","",N('Project Database'!AI63))</f>
        <v/>
      </c>
      <c r="BQ59" s="5" t="str">
        <f>IF('Project Database'!A63="","",N('Project Database'!AJ63))</f>
        <v/>
      </c>
      <c r="BR59" s="5" t="str">
        <f>IF('Project Database'!A63="","",N('Project Database'!AK63))</f>
        <v/>
      </c>
      <c r="BS59" s="5" t="str">
        <f>IF('Project Database'!A63="","",N('Project Database'!AL63))</f>
        <v/>
      </c>
      <c r="BT59" s="5" t="str">
        <f>IF('Project Database'!A63="","",N('Project Database'!AM63))</f>
        <v/>
      </c>
      <c r="BU59" s="5" t="str">
        <f>IF('Project Database'!A63="","",N('Project Database'!AN63))</f>
        <v/>
      </c>
      <c r="BV59" s="5" t="str">
        <f>IF('Project Database'!A63="","",N('Project Database'!AO63))</f>
        <v/>
      </c>
      <c r="BW59" s="5" t="str">
        <f>IF('Project Database'!A63="","",N('Project Database'!AP63))</f>
        <v/>
      </c>
      <c r="BX59" s="5">
        <f t="shared" si="12"/>
        <v>0</v>
      </c>
      <c r="BY59" s="5">
        <f t="shared" si="13"/>
        <v>0</v>
      </c>
    </row>
    <row r="60" spans="1:77" ht="15" customHeight="1" x14ac:dyDescent="0.3">
      <c r="A60" s="66">
        <f>'Project Database'!A64</f>
        <v>0</v>
      </c>
      <c r="B60" s="66">
        <f>'Project Database'!B64</f>
        <v>0</v>
      </c>
      <c r="C60" s="66">
        <f>'Project Database'!G64</f>
        <v>0</v>
      </c>
      <c r="D60" s="66">
        <f>'Project Database'!H64</f>
        <v>0</v>
      </c>
      <c r="E60" s="66">
        <f>'Project Database'!I64</f>
        <v>0</v>
      </c>
      <c r="F60" s="66">
        <f>'Project Database'!J64</f>
        <v>0</v>
      </c>
      <c r="G60" s="66">
        <f>'Project Database'!K64</f>
        <v>0</v>
      </c>
      <c r="H60" s="66">
        <f>'Project Database'!L64</f>
        <v>0</v>
      </c>
      <c r="I60" s="66">
        <f>'Project Database'!M64</f>
        <v>0</v>
      </c>
      <c r="J60" s="66">
        <f>'Project Database'!N64</f>
        <v>0</v>
      </c>
      <c r="K60" s="66">
        <f>'Project Database'!O64</f>
        <v>0</v>
      </c>
      <c r="L60" s="66">
        <f>'Project Database'!P64</f>
        <v>0</v>
      </c>
      <c r="M60" s="66">
        <f>'Project Database'!Q64</f>
        <v>0</v>
      </c>
      <c r="N60" s="66">
        <f>'Project Database'!R64</f>
        <v>0</v>
      </c>
      <c r="O60" s="66">
        <f>'Project Database'!S64</f>
        <v>0</v>
      </c>
      <c r="P60" s="66">
        <f>'Project Database'!T64</f>
        <v>0</v>
      </c>
      <c r="Q60" s="66">
        <f>'Project Database'!U64</f>
        <v>0</v>
      </c>
      <c r="R60" s="66">
        <f>'Project Database'!V64</f>
        <v>0</v>
      </c>
      <c r="S60" s="66">
        <f>'Project Database'!W64</f>
        <v>0</v>
      </c>
      <c r="T60" s="66">
        <f>'Project Database'!X64</f>
        <v>0</v>
      </c>
      <c r="U60" s="67">
        <f>'Project Database'!Y64</f>
        <v>0</v>
      </c>
      <c r="V60" s="66">
        <f>IF('Smart Search'!B13=1,IFERROR(1/'Smart Search'!H13,0),0)</f>
        <v>0</v>
      </c>
      <c r="W60" s="66">
        <f>IF('Smart Search'!B13=1,IFERROR(1/'Smart Search'!H13,0),0)</f>
        <v>0</v>
      </c>
      <c r="X60" s="66">
        <f>IF('Smart Search'!C13=1,IFERROR(1/'Smart Search'!H13,0),0)</f>
        <v>0.5</v>
      </c>
      <c r="Y60" s="66">
        <f>IF('Smart Search'!C13=1,IFERROR(1/'Smart Search'!H13,0),0)</f>
        <v>0.5</v>
      </c>
      <c r="Z60" s="66">
        <f>IF('Smart Search'!D13=1,IFERROR(1/'Smart Search'!H13,0),0)</f>
        <v>0</v>
      </c>
      <c r="AA60" s="66">
        <f>IF('Smart Search'!D13=1,IFERROR(1/'Smart Search'!H13,0),0)</f>
        <v>0</v>
      </c>
      <c r="AB60" s="66">
        <f>IF('Smart Search'!E13=1,IFERROR(1/'Smart Search'!H13,0),0)</f>
        <v>0</v>
      </c>
      <c r="AC60" s="66">
        <f>IF('Smart Search'!E13=1,IFERROR(1/'Smart Search'!H13,0),0)</f>
        <v>0</v>
      </c>
      <c r="AD60" s="66">
        <f>IF('Smart Search'!F13=1,IFERROR(1/'Smart Search'!H13,0),0)</f>
        <v>0</v>
      </c>
      <c r="AE60" s="66">
        <f>IF('Smart Search'!F13=1,IFERROR(1/'Smart Search'!H13,0),0)</f>
        <v>0</v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>0</v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>0</v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>0</v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>0</v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>0</v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>0</v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>0</v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>0</v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>0</v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>0</v>
      </c>
      <c r="AP60" s="66">
        <f t="shared" si="0"/>
        <v>0</v>
      </c>
      <c r="AQ60" s="66">
        <f t="shared" si="1"/>
        <v>0</v>
      </c>
      <c r="AR60" s="66">
        <f t="shared" si="2"/>
        <v>0</v>
      </c>
      <c r="AS60" s="66">
        <f t="shared" si="3"/>
        <v>0</v>
      </c>
      <c r="AT60" s="66">
        <f t="shared" si="4"/>
        <v>0</v>
      </c>
      <c r="AU60" s="66">
        <f t="shared" si="5"/>
        <v>0</v>
      </c>
      <c r="AV60" s="66">
        <f t="shared" si="6"/>
        <v>0</v>
      </c>
      <c r="AW60" s="66">
        <f t="shared" si="7"/>
        <v>0</v>
      </c>
      <c r="AX60" s="66">
        <f t="shared" si="8"/>
        <v>0</v>
      </c>
      <c r="AY60" s="66">
        <f t="shared" si="9"/>
        <v>0</v>
      </c>
      <c r="AZ60" s="66">
        <f>'Project Database'!Z64</f>
        <v>0</v>
      </c>
      <c r="BA60" s="66">
        <f>IF(OR(A60="",'Smart Search'!H13=0),"",MAX(0,BE60*BF60*MAX(0,1-BG60)))</f>
        <v>0</v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>0</v>
      </c>
      <c r="BC60" s="66">
        <f>IF('Smart Search'!G13=1,IFERROR(1/'Smart Search'!H13,0),0)</f>
        <v>0</v>
      </c>
      <c r="BD60" s="66">
        <f t="shared" si="10"/>
        <v>0</v>
      </c>
      <c r="BE60" s="66">
        <f t="shared" si="11"/>
        <v>0</v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>0</v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>0</v>
      </c>
      <c r="BH60" s="5" t="str">
        <f>IF(AND('Project Database'!A64&lt;&gt;"",OR('Smart Search'!$L$5="",'Smart Search'!$L$5="All",TRIM('Project Database'!D64)=TRIM('Smart Search'!$L$5)),OR(TRIM('Smart Search'!$L$6)="",TRIM('Smart Search'!$L$6)="All",ISNUMBER(SEARCH(SUBSTITUTE(SUBSTITUTE(SUBSTITUTE(TRIM('Smart Search'!$L$6),"~","~~"),"*","~*"),"?","~?"),'Project Database'!C64))),OR('Smart Search'!$L$7="",AND('Project Database'!E64&lt;&gt;"",'Project Database'!E64='Smart Search'!$L$7)),OR('Smart Search'!$L$8="",'Smart Search'!$L$8="All",TRIM('Project Database'!F64)=TRIM('Smart Search'!$L$8))),IF(BA60="","",BA60+ROW()*0.0000000001),"")</f>
        <v/>
      </c>
      <c r="BI60" s="5" t="str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 t="str">
        <f>IF('Project Database'!A64="","",N('Project Database'!AC64))</f>
        <v/>
      </c>
      <c r="BK60" s="5" t="str">
        <f>IF('Project Database'!A64="","",N('Project Database'!AD64))</f>
        <v/>
      </c>
      <c r="BL60" s="5" t="str">
        <f>IF('Project Database'!A64="","",N('Project Database'!AE64))</f>
        <v/>
      </c>
      <c r="BM60" s="5" t="str">
        <f>IF('Project Database'!A64="","",N('Project Database'!AF64))</f>
        <v/>
      </c>
      <c r="BN60" s="5" t="str">
        <f>IF('Project Database'!A64="","",N('Project Database'!AG64))</f>
        <v/>
      </c>
      <c r="BO60" s="5" t="str">
        <f>IF('Project Database'!A64="","",N('Project Database'!AH64))</f>
        <v/>
      </c>
      <c r="BP60" s="5" t="str">
        <f>IF('Project Database'!A64="","",N('Project Database'!AI64))</f>
        <v/>
      </c>
      <c r="BQ60" s="5" t="str">
        <f>IF('Project Database'!A64="","",N('Project Database'!AJ64))</f>
        <v/>
      </c>
      <c r="BR60" s="5" t="str">
        <f>IF('Project Database'!A64="","",N('Project Database'!AK64))</f>
        <v/>
      </c>
      <c r="BS60" s="5" t="str">
        <f>IF('Project Database'!A64="","",N('Project Database'!AL64))</f>
        <v/>
      </c>
      <c r="BT60" s="5" t="str">
        <f>IF('Project Database'!A64="","",N('Project Database'!AM64))</f>
        <v/>
      </c>
      <c r="BU60" s="5" t="str">
        <f>IF('Project Database'!A64="","",N('Project Database'!AN64))</f>
        <v/>
      </c>
      <c r="BV60" s="5" t="str">
        <f>IF('Project Database'!A64="","",N('Project Database'!AO64))</f>
        <v/>
      </c>
      <c r="BW60" s="5" t="str">
        <f>IF('Project Database'!A64="","",N('Project Database'!AP64))</f>
        <v/>
      </c>
      <c r="BX60" s="5">
        <f t="shared" si="12"/>
        <v>0</v>
      </c>
      <c r="BY60" s="5">
        <f t="shared" si="13"/>
        <v>0</v>
      </c>
    </row>
    <row r="61" spans="1:77" ht="15" customHeight="1" x14ac:dyDescent="0.3">
      <c r="A61" s="66">
        <f>'Project Database'!A65</f>
        <v>0</v>
      </c>
      <c r="B61" s="66">
        <f>'Project Database'!B65</f>
        <v>0</v>
      </c>
      <c r="C61" s="66">
        <f>'Project Database'!G65</f>
        <v>0</v>
      </c>
      <c r="D61" s="66">
        <f>'Project Database'!H65</f>
        <v>0</v>
      </c>
      <c r="E61" s="66">
        <f>'Project Database'!I65</f>
        <v>0</v>
      </c>
      <c r="F61" s="66">
        <f>'Project Database'!J65</f>
        <v>0</v>
      </c>
      <c r="G61" s="66">
        <f>'Project Database'!K65</f>
        <v>0</v>
      </c>
      <c r="H61" s="66">
        <f>'Project Database'!L65</f>
        <v>0</v>
      </c>
      <c r="I61" s="66">
        <f>'Project Database'!M65</f>
        <v>0</v>
      </c>
      <c r="J61" s="66">
        <f>'Project Database'!N65</f>
        <v>0</v>
      </c>
      <c r="K61" s="66">
        <f>'Project Database'!O65</f>
        <v>0</v>
      </c>
      <c r="L61" s="66">
        <f>'Project Database'!P65</f>
        <v>0</v>
      </c>
      <c r="M61" s="66">
        <f>'Project Database'!Q65</f>
        <v>0</v>
      </c>
      <c r="N61" s="66">
        <f>'Project Database'!R65</f>
        <v>0</v>
      </c>
      <c r="O61" s="66">
        <f>'Project Database'!S65</f>
        <v>0</v>
      </c>
      <c r="P61" s="66">
        <f>'Project Database'!T65</f>
        <v>0</v>
      </c>
      <c r="Q61" s="66">
        <f>'Project Database'!U65</f>
        <v>0</v>
      </c>
      <c r="R61" s="66">
        <f>'Project Database'!V65</f>
        <v>0</v>
      </c>
      <c r="S61" s="66">
        <f>'Project Database'!W65</f>
        <v>0</v>
      </c>
      <c r="T61" s="66">
        <f>'Project Database'!X65</f>
        <v>0</v>
      </c>
      <c r="U61" s="67">
        <f>'Project Database'!Y65</f>
        <v>0</v>
      </c>
      <c r="V61" s="66">
        <f>IF('Smart Search'!B13=1,IFERROR(1/'Smart Search'!H13,0),0)</f>
        <v>0</v>
      </c>
      <c r="W61" s="66">
        <f>IF('Smart Search'!B13=1,IFERROR(1/'Smart Search'!H13,0),0)</f>
        <v>0</v>
      </c>
      <c r="X61" s="66">
        <f>IF('Smart Search'!C13=1,IFERROR(1/'Smart Search'!H13,0),0)</f>
        <v>0.5</v>
      </c>
      <c r="Y61" s="66">
        <f>IF('Smart Search'!C13=1,IFERROR(1/'Smart Search'!H13,0),0)</f>
        <v>0.5</v>
      </c>
      <c r="Z61" s="66">
        <f>IF('Smart Search'!D13=1,IFERROR(1/'Smart Search'!H13,0),0)</f>
        <v>0</v>
      </c>
      <c r="AA61" s="66">
        <f>IF('Smart Search'!D13=1,IFERROR(1/'Smart Search'!H13,0),0)</f>
        <v>0</v>
      </c>
      <c r="AB61" s="66">
        <f>IF('Smart Search'!E13=1,IFERROR(1/'Smart Search'!H13,0),0)</f>
        <v>0</v>
      </c>
      <c r="AC61" s="66">
        <f>IF('Smart Search'!E13=1,IFERROR(1/'Smart Search'!H13,0),0)</f>
        <v>0</v>
      </c>
      <c r="AD61" s="66">
        <f>IF('Smart Search'!F13=1,IFERROR(1/'Smart Search'!H13,0),0)</f>
        <v>0</v>
      </c>
      <c r="AE61" s="66">
        <f>IF('Smart Search'!F13=1,IFERROR(1/'Smart Search'!H13,0),0)</f>
        <v>0</v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>0</v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>0</v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>0</v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>0</v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>0</v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>0</v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>0</v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>0</v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>0</v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>0</v>
      </c>
      <c r="AP61" s="66">
        <f t="shared" si="0"/>
        <v>0</v>
      </c>
      <c r="AQ61" s="66">
        <f t="shared" si="1"/>
        <v>0</v>
      </c>
      <c r="AR61" s="66">
        <f t="shared" si="2"/>
        <v>0</v>
      </c>
      <c r="AS61" s="66">
        <f t="shared" si="3"/>
        <v>0</v>
      </c>
      <c r="AT61" s="66">
        <f t="shared" si="4"/>
        <v>0</v>
      </c>
      <c r="AU61" s="66">
        <f t="shared" si="5"/>
        <v>0</v>
      </c>
      <c r="AV61" s="66">
        <f t="shared" si="6"/>
        <v>0</v>
      </c>
      <c r="AW61" s="66">
        <f t="shared" si="7"/>
        <v>0</v>
      </c>
      <c r="AX61" s="66">
        <f t="shared" si="8"/>
        <v>0</v>
      </c>
      <c r="AY61" s="66">
        <f t="shared" si="9"/>
        <v>0</v>
      </c>
      <c r="AZ61" s="66">
        <f>'Project Database'!Z65</f>
        <v>0</v>
      </c>
      <c r="BA61" s="66">
        <f>IF(OR(A61="",'Smart Search'!H13=0),"",MAX(0,BE61*BF61*MAX(0,1-BG61)))</f>
        <v>0</v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>0</v>
      </c>
      <c r="BC61" s="66">
        <f>IF('Smart Search'!G13=1,IFERROR(1/'Smart Search'!H13,0),0)</f>
        <v>0</v>
      </c>
      <c r="BD61" s="66">
        <f t="shared" si="10"/>
        <v>0</v>
      </c>
      <c r="BE61" s="66">
        <f t="shared" si="11"/>
        <v>0</v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>0</v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>0</v>
      </c>
      <c r="BH61" s="5" t="str">
        <f>IF(AND('Project Database'!A65&lt;&gt;"",OR('Smart Search'!$L$5="",'Smart Search'!$L$5="All",TRIM('Project Database'!D65)=TRIM('Smart Search'!$L$5)),OR(TRIM('Smart Search'!$L$6)="",TRIM('Smart Search'!$L$6)="All",ISNUMBER(SEARCH(SUBSTITUTE(SUBSTITUTE(SUBSTITUTE(TRIM('Smart Search'!$L$6),"~","~~"),"*","~*"),"?","~?"),'Project Database'!C65))),OR('Smart Search'!$L$7="",AND('Project Database'!E65&lt;&gt;"",'Project Database'!E65='Smart Search'!$L$7)),OR('Smart Search'!$L$8="",'Smart Search'!$L$8="All",TRIM('Project Database'!F65)=TRIM('Smart Search'!$L$8))),IF(BA61="","",BA61+ROW()*0.0000000001),"")</f>
        <v/>
      </c>
      <c r="BI61" s="5" t="str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 t="str">
        <f>IF('Project Database'!A65="","",N('Project Database'!AC65))</f>
        <v/>
      </c>
      <c r="BK61" s="5" t="str">
        <f>IF('Project Database'!A65="","",N('Project Database'!AD65))</f>
        <v/>
      </c>
      <c r="BL61" s="5" t="str">
        <f>IF('Project Database'!A65="","",N('Project Database'!AE65))</f>
        <v/>
      </c>
      <c r="BM61" s="5" t="str">
        <f>IF('Project Database'!A65="","",N('Project Database'!AF65))</f>
        <v/>
      </c>
      <c r="BN61" s="5" t="str">
        <f>IF('Project Database'!A65="","",N('Project Database'!AG65))</f>
        <v/>
      </c>
      <c r="BO61" s="5" t="str">
        <f>IF('Project Database'!A65="","",N('Project Database'!AH65))</f>
        <v/>
      </c>
      <c r="BP61" s="5" t="str">
        <f>IF('Project Database'!A65="","",N('Project Database'!AI65))</f>
        <v/>
      </c>
      <c r="BQ61" s="5" t="str">
        <f>IF('Project Database'!A65="","",N('Project Database'!AJ65))</f>
        <v/>
      </c>
      <c r="BR61" s="5" t="str">
        <f>IF('Project Database'!A65="","",N('Project Database'!AK65))</f>
        <v/>
      </c>
      <c r="BS61" s="5" t="str">
        <f>IF('Project Database'!A65="","",N('Project Database'!AL65))</f>
        <v/>
      </c>
      <c r="BT61" s="5" t="str">
        <f>IF('Project Database'!A65="","",N('Project Database'!AM65))</f>
        <v/>
      </c>
      <c r="BU61" s="5" t="str">
        <f>IF('Project Database'!A65="","",N('Project Database'!AN65))</f>
        <v/>
      </c>
      <c r="BV61" s="5" t="str">
        <f>IF('Project Database'!A65="","",N('Project Database'!AO65))</f>
        <v/>
      </c>
      <c r="BW61" s="5" t="str">
        <f>IF('Project Database'!A65="","",N('Project Database'!AP65))</f>
        <v/>
      </c>
      <c r="BX61" s="5">
        <f t="shared" si="12"/>
        <v>0</v>
      </c>
      <c r="BY61" s="5">
        <f t="shared" si="13"/>
        <v>0</v>
      </c>
    </row>
    <row r="62" spans="1:77" ht="15" customHeight="1" x14ac:dyDescent="0.3">
      <c r="A62" s="66">
        <f>'Project Database'!A66</f>
        <v>0</v>
      </c>
      <c r="B62" s="66">
        <f>'Project Database'!B66</f>
        <v>0</v>
      </c>
      <c r="C62" s="66">
        <f>'Project Database'!G66</f>
        <v>0</v>
      </c>
      <c r="D62" s="66">
        <f>'Project Database'!H66</f>
        <v>0</v>
      </c>
      <c r="E62" s="66">
        <f>'Project Database'!I66</f>
        <v>0</v>
      </c>
      <c r="F62" s="66">
        <f>'Project Database'!J66</f>
        <v>0</v>
      </c>
      <c r="G62" s="66">
        <f>'Project Database'!K66</f>
        <v>0</v>
      </c>
      <c r="H62" s="66">
        <f>'Project Database'!L66</f>
        <v>0</v>
      </c>
      <c r="I62" s="66">
        <f>'Project Database'!M66</f>
        <v>0</v>
      </c>
      <c r="J62" s="66">
        <f>'Project Database'!N66</f>
        <v>0</v>
      </c>
      <c r="K62" s="66">
        <f>'Project Database'!O66</f>
        <v>0</v>
      </c>
      <c r="L62" s="66">
        <f>'Project Database'!P66</f>
        <v>0</v>
      </c>
      <c r="M62" s="66">
        <f>'Project Database'!Q66</f>
        <v>0</v>
      </c>
      <c r="N62" s="66">
        <f>'Project Database'!R66</f>
        <v>0</v>
      </c>
      <c r="O62" s="66">
        <f>'Project Database'!S66</f>
        <v>0</v>
      </c>
      <c r="P62" s="66">
        <f>'Project Database'!T66</f>
        <v>0</v>
      </c>
      <c r="Q62" s="66">
        <f>'Project Database'!U66</f>
        <v>0</v>
      </c>
      <c r="R62" s="66">
        <f>'Project Database'!V66</f>
        <v>0</v>
      </c>
      <c r="S62" s="66">
        <f>'Project Database'!W66</f>
        <v>0</v>
      </c>
      <c r="T62" s="66">
        <f>'Project Database'!X66</f>
        <v>0</v>
      </c>
      <c r="U62" s="67">
        <f>'Project Database'!Y66</f>
        <v>0</v>
      </c>
      <c r="V62" s="66">
        <f>IF('Smart Search'!B13=1,IFERROR(1/'Smart Search'!H13,0),0)</f>
        <v>0</v>
      </c>
      <c r="W62" s="66">
        <f>IF('Smart Search'!B13=1,IFERROR(1/'Smart Search'!H13,0),0)</f>
        <v>0</v>
      </c>
      <c r="X62" s="66">
        <f>IF('Smart Search'!C13=1,IFERROR(1/'Smart Search'!H13,0),0)</f>
        <v>0.5</v>
      </c>
      <c r="Y62" s="66">
        <f>IF('Smart Search'!C13=1,IFERROR(1/'Smart Search'!H13,0),0)</f>
        <v>0.5</v>
      </c>
      <c r="Z62" s="66">
        <f>IF('Smart Search'!D13=1,IFERROR(1/'Smart Search'!H13,0),0)</f>
        <v>0</v>
      </c>
      <c r="AA62" s="66">
        <f>IF('Smart Search'!D13=1,IFERROR(1/'Smart Search'!H13,0),0)</f>
        <v>0</v>
      </c>
      <c r="AB62" s="66">
        <f>IF('Smart Search'!E13=1,IFERROR(1/'Smart Search'!H13,0),0)</f>
        <v>0</v>
      </c>
      <c r="AC62" s="66">
        <f>IF('Smart Search'!E13=1,IFERROR(1/'Smart Search'!H13,0),0)</f>
        <v>0</v>
      </c>
      <c r="AD62" s="66">
        <f>IF('Smart Search'!F13=1,IFERROR(1/'Smart Search'!H13,0),0)</f>
        <v>0</v>
      </c>
      <c r="AE62" s="66">
        <f>IF('Smart Search'!F13=1,IFERROR(1/'Smart Search'!H13,0),0)</f>
        <v>0</v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>0</v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>0</v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>0</v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>0</v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>0</v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>0</v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>0</v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>0</v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>0</v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>0</v>
      </c>
      <c r="AP62" s="66">
        <f t="shared" si="0"/>
        <v>0</v>
      </c>
      <c r="AQ62" s="66">
        <f t="shared" si="1"/>
        <v>0</v>
      </c>
      <c r="AR62" s="66">
        <f t="shared" si="2"/>
        <v>0</v>
      </c>
      <c r="AS62" s="66">
        <f t="shared" si="3"/>
        <v>0</v>
      </c>
      <c r="AT62" s="66">
        <f t="shared" si="4"/>
        <v>0</v>
      </c>
      <c r="AU62" s="66">
        <f t="shared" si="5"/>
        <v>0</v>
      </c>
      <c r="AV62" s="66">
        <f t="shared" si="6"/>
        <v>0</v>
      </c>
      <c r="AW62" s="66">
        <f t="shared" si="7"/>
        <v>0</v>
      </c>
      <c r="AX62" s="66">
        <f t="shared" si="8"/>
        <v>0</v>
      </c>
      <c r="AY62" s="66">
        <f t="shared" si="9"/>
        <v>0</v>
      </c>
      <c r="AZ62" s="66">
        <f>'Project Database'!Z66</f>
        <v>0</v>
      </c>
      <c r="BA62" s="66">
        <f>IF(OR(A62="",'Smart Search'!H13=0),"",MAX(0,BE62*BF62*MAX(0,1-BG62)))</f>
        <v>0</v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>0</v>
      </c>
      <c r="BC62" s="66">
        <f>IF('Smart Search'!G13=1,IFERROR(1/'Smart Search'!H13,0),0)</f>
        <v>0</v>
      </c>
      <c r="BD62" s="66">
        <f t="shared" si="10"/>
        <v>0</v>
      </c>
      <c r="BE62" s="66">
        <f t="shared" si="11"/>
        <v>0</v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>0</v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>0</v>
      </c>
      <c r="BH62" s="5" t="str">
        <f>IF(AND('Project Database'!A66&lt;&gt;"",OR('Smart Search'!$L$5="",'Smart Search'!$L$5="All",TRIM('Project Database'!D66)=TRIM('Smart Search'!$L$5)),OR(TRIM('Smart Search'!$L$6)="",TRIM('Smart Search'!$L$6)="All",ISNUMBER(SEARCH(SUBSTITUTE(SUBSTITUTE(SUBSTITUTE(TRIM('Smart Search'!$L$6),"~","~~"),"*","~*"),"?","~?"),'Project Database'!C66))),OR('Smart Search'!$L$7="",AND('Project Database'!E66&lt;&gt;"",'Project Database'!E66='Smart Search'!$L$7)),OR('Smart Search'!$L$8="",'Smart Search'!$L$8="All",TRIM('Project Database'!F66)=TRIM('Smart Search'!$L$8))),IF(BA62="","",BA62+ROW()*0.0000000001),"")</f>
        <v/>
      </c>
      <c r="BI62" s="5" t="str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 t="str">
        <f>IF('Project Database'!A66="","",N('Project Database'!AC66))</f>
        <v/>
      </c>
      <c r="BK62" s="5" t="str">
        <f>IF('Project Database'!A66="","",N('Project Database'!AD66))</f>
        <v/>
      </c>
      <c r="BL62" s="5" t="str">
        <f>IF('Project Database'!A66="","",N('Project Database'!AE66))</f>
        <v/>
      </c>
      <c r="BM62" s="5" t="str">
        <f>IF('Project Database'!A66="","",N('Project Database'!AF66))</f>
        <v/>
      </c>
      <c r="BN62" s="5" t="str">
        <f>IF('Project Database'!A66="","",N('Project Database'!AG66))</f>
        <v/>
      </c>
      <c r="BO62" s="5" t="str">
        <f>IF('Project Database'!A66="","",N('Project Database'!AH66))</f>
        <v/>
      </c>
      <c r="BP62" s="5" t="str">
        <f>IF('Project Database'!A66="","",N('Project Database'!AI66))</f>
        <v/>
      </c>
      <c r="BQ62" s="5" t="str">
        <f>IF('Project Database'!A66="","",N('Project Database'!AJ66))</f>
        <v/>
      </c>
      <c r="BR62" s="5" t="str">
        <f>IF('Project Database'!A66="","",N('Project Database'!AK66))</f>
        <v/>
      </c>
      <c r="BS62" s="5" t="str">
        <f>IF('Project Database'!A66="","",N('Project Database'!AL66))</f>
        <v/>
      </c>
      <c r="BT62" s="5" t="str">
        <f>IF('Project Database'!A66="","",N('Project Database'!AM66))</f>
        <v/>
      </c>
      <c r="BU62" s="5" t="str">
        <f>IF('Project Database'!A66="","",N('Project Database'!AN66))</f>
        <v/>
      </c>
      <c r="BV62" s="5" t="str">
        <f>IF('Project Database'!A66="","",N('Project Database'!AO66))</f>
        <v/>
      </c>
      <c r="BW62" s="5" t="str">
        <f>IF('Project Database'!A66="","",N('Project Database'!AP66))</f>
        <v/>
      </c>
      <c r="BX62" s="5">
        <f t="shared" si="12"/>
        <v>0</v>
      </c>
      <c r="BY62" s="5">
        <f t="shared" si="13"/>
        <v>0</v>
      </c>
    </row>
    <row r="63" spans="1:77" ht="15" customHeight="1" x14ac:dyDescent="0.3">
      <c r="A63" s="66">
        <f>'Project Database'!A67</f>
        <v>0</v>
      </c>
      <c r="B63" s="66">
        <f>'Project Database'!B67</f>
        <v>0</v>
      </c>
      <c r="C63" s="66">
        <f>'Project Database'!G67</f>
        <v>0</v>
      </c>
      <c r="D63" s="66">
        <f>'Project Database'!H67</f>
        <v>0</v>
      </c>
      <c r="E63" s="66">
        <f>'Project Database'!I67</f>
        <v>0</v>
      </c>
      <c r="F63" s="66">
        <f>'Project Database'!J67</f>
        <v>0</v>
      </c>
      <c r="G63" s="66">
        <f>'Project Database'!K67</f>
        <v>0</v>
      </c>
      <c r="H63" s="66">
        <f>'Project Database'!L67</f>
        <v>0</v>
      </c>
      <c r="I63" s="66">
        <f>'Project Database'!M67</f>
        <v>0</v>
      </c>
      <c r="J63" s="66">
        <f>'Project Database'!N67</f>
        <v>0</v>
      </c>
      <c r="K63" s="66">
        <f>'Project Database'!O67</f>
        <v>0</v>
      </c>
      <c r="L63" s="66">
        <f>'Project Database'!P67</f>
        <v>0</v>
      </c>
      <c r="M63" s="66">
        <f>'Project Database'!Q67</f>
        <v>0</v>
      </c>
      <c r="N63" s="66">
        <f>'Project Database'!R67</f>
        <v>0</v>
      </c>
      <c r="O63" s="66">
        <f>'Project Database'!S67</f>
        <v>0</v>
      </c>
      <c r="P63" s="66">
        <f>'Project Database'!T67</f>
        <v>0</v>
      </c>
      <c r="Q63" s="66">
        <f>'Project Database'!U67</f>
        <v>0</v>
      </c>
      <c r="R63" s="66">
        <f>'Project Database'!V67</f>
        <v>0</v>
      </c>
      <c r="S63" s="66">
        <f>'Project Database'!W67</f>
        <v>0</v>
      </c>
      <c r="T63" s="66">
        <f>'Project Database'!X67</f>
        <v>0</v>
      </c>
      <c r="U63" s="67">
        <f>'Project Database'!Y67</f>
        <v>0</v>
      </c>
      <c r="V63" s="66">
        <f>IF('Smart Search'!B13=1,IFERROR(1/'Smart Search'!H13,0),0)</f>
        <v>0</v>
      </c>
      <c r="W63" s="66">
        <f>IF('Smart Search'!B13=1,IFERROR(1/'Smart Search'!H13,0),0)</f>
        <v>0</v>
      </c>
      <c r="X63" s="66">
        <f>IF('Smart Search'!C13=1,IFERROR(1/'Smart Search'!H13,0),0)</f>
        <v>0.5</v>
      </c>
      <c r="Y63" s="66">
        <f>IF('Smart Search'!C13=1,IFERROR(1/'Smart Search'!H13,0),0)</f>
        <v>0.5</v>
      </c>
      <c r="Z63" s="66">
        <f>IF('Smart Search'!D13=1,IFERROR(1/'Smart Search'!H13,0),0)</f>
        <v>0</v>
      </c>
      <c r="AA63" s="66">
        <f>IF('Smart Search'!D13=1,IFERROR(1/'Smart Search'!H13,0),0)</f>
        <v>0</v>
      </c>
      <c r="AB63" s="66">
        <f>IF('Smart Search'!E13=1,IFERROR(1/'Smart Search'!H13,0),0)</f>
        <v>0</v>
      </c>
      <c r="AC63" s="66">
        <f>IF('Smart Search'!E13=1,IFERROR(1/'Smart Search'!H13,0),0)</f>
        <v>0</v>
      </c>
      <c r="AD63" s="66">
        <f>IF('Smart Search'!F13=1,IFERROR(1/'Smart Search'!H13,0),0)</f>
        <v>0</v>
      </c>
      <c r="AE63" s="66">
        <f>IF('Smart Search'!F13=1,IFERROR(1/'Smart Search'!H13,0),0)</f>
        <v>0</v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>0</v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>0</v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>0</v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>0</v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>0</v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>0</v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>0</v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>0</v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>0</v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>0</v>
      </c>
      <c r="AP63" s="66">
        <f t="shared" si="0"/>
        <v>0</v>
      </c>
      <c r="AQ63" s="66">
        <f t="shared" si="1"/>
        <v>0</v>
      </c>
      <c r="AR63" s="66">
        <f t="shared" si="2"/>
        <v>0</v>
      </c>
      <c r="AS63" s="66">
        <f t="shared" si="3"/>
        <v>0</v>
      </c>
      <c r="AT63" s="66">
        <f t="shared" si="4"/>
        <v>0</v>
      </c>
      <c r="AU63" s="66">
        <f t="shared" si="5"/>
        <v>0</v>
      </c>
      <c r="AV63" s="66">
        <f t="shared" si="6"/>
        <v>0</v>
      </c>
      <c r="AW63" s="66">
        <f t="shared" si="7"/>
        <v>0</v>
      </c>
      <c r="AX63" s="66">
        <f t="shared" si="8"/>
        <v>0</v>
      </c>
      <c r="AY63" s="66">
        <f t="shared" si="9"/>
        <v>0</v>
      </c>
      <c r="AZ63" s="66">
        <f>'Project Database'!Z67</f>
        <v>0</v>
      </c>
      <c r="BA63" s="66">
        <f>IF(OR(A63="",'Smart Search'!H13=0),"",MAX(0,BE63*BF63*MAX(0,1-BG63)))</f>
        <v>0</v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>0</v>
      </c>
      <c r="BC63" s="66">
        <f>IF('Smart Search'!G13=1,IFERROR(1/'Smart Search'!H13,0),0)</f>
        <v>0</v>
      </c>
      <c r="BD63" s="66">
        <f t="shared" si="10"/>
        <v>0</v>
      </c>
      <c r="BE63" s="66">
        <f t="shared" si="11"/>
        <v>0</v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>0</v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>0</v>
      </c>
      <c r="BH63" s="5" t="str">
        <f>IF(AND('Project Database'!A67&lt;&gt;"",OR('Smart Search'!$L$5="",'Smart Search'!$L$5="All",TRIM('Project Database'!D67)=TRIM('Smart Search'!$L$5)),OR(TRIM('Smart Search'!$L$6)="",TRIM('Smart Search'!$L$6)="All",ISNUMBER(SEARCH(SUBSTITUTE(SUBSTITUTE(SUBSTITUTE(TRIM('Smart Search'!$L$6),"~","~~"),"*","~*"),"?","~?"),'Project Database'!C67))),OR('Smart Search'!$L$7="",AND('Project Database'!E67&lt;&gt;"",'Project Database'!E67='Smart Search'!$L$7)),OR('Smart Search'!$L$8="",'Smart Search'!$L$8="All",TRIM('Project Database'!F67)=TRIM('Smart Search'!$L$8))),IF(BA63="","",BA63+ROW()*0.0000000001),"")</f>
        <v/>
      </c>
      <c r="BI63" s="5" t="str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 t="str">
        <f>IF('Project Database'!A67="","",N('Project Database'!AC67))</f>
        <v/>
      </c>
      <c r="BK63" s="5" t="str">
        <f>IF('Project Database'!A67="","",N('Project Database'!AD67))</f>
        <v/>
      </c>
      <c r="BL63" s="5" t="str">
        <f>IF('Project Database'!A67="","",N('Project Database'!AE67))</f>
        <v/>
      </c>
      <c r="BM63" s="5" t="str">
        <f>IF('Project Database'!A67="","",N('Project Database'!AF67))</f>
        <v/>
      </c>
      <c r="BN63" s="5" t="str">
        <f>IF('Project Database'!A67="","",N('Project Database'!AG67))</f>
        <v/>
      </c>
      <c r="BO63" s="5" t="str">
        <f>IF('Project Database'!A67="","",N('Project Database'!AH67))</f>
        <v/>
      </c>
      <c r="BP63" s="5" t="str">
        <f>IF('Project Database'!A67="","",N('Project Database'!AI67))</f>
        <v/>
      </c>
      <c r="BQ63" s="5" t="str">
        <f>IF('Project Database'!A67="","",N('Project Database'!AJ67))</f>
        <v/>
      </c>
      <c r="BR63" s="5" t="str">
        <f>IF('Project Database'!A67="","",N('Project Database'!AK67))</f>
        <v/>
      </c>
      <c r="BS63" s="5" t="str">
        <f>IF('Project Database'!A67="","",N('Project Database'!AL67))</f>
        <v/>
      </c>
      <c r="BT63" s="5" t="str">
        <f>IF('Project Database'!A67="","",N('Project Database'!AM67))</f>
        <v/>
      </c>
      <c r="BU63" s="5" t="str">
        <f>IF('Project Database'!A67="","",N('Project Database'!AN67))</f>
        <v/>
      </c>
      <c r="BV63" s="5" t="str">
        <f>IF('Project Database'!A67="","",N('Project Database'!AO67))</f>
        <v/>
      </c>
      <c r="BW63" s="5" t="str">
        <f>IF('Project Database'!A67="","",N('Project Database'!AP67))</f>
        <v/>
      </c>
      <c r="BX63" s="5">
        <f t="shared" si="12"/>
        <v>0</v>
      </c>
      <c r="BY63" s="5">
        <f t="shared" si="13"/>
        <v>0</v>
      </c>
    </row>
    <row r="64" spans="1:77" ht="15" customHeight="1" x14ac:dyDescent="0.3">
      <c r="A64" s="66">
        <f>'Project Database'!A68</f>
        <v>0</v>
      </c>
      <c r="B64" s="66">
        <f>'Project Database'!B68</f>
        <v>0</v>
      </c>
      <c r="C64" s="66">
        <f>'Project Database'!G68</f>
        <v>0</v>
      </c>
      <c r="D64" s="66">
        <f>'Project Database'!H68</f>
        <v>0</v>
      </c>
      <c r="E64" s="66">
        <f>'Project Database'!I68</f>
        <v>0</v>
      </c>
      <c r="F64" s="66">
        <f>'Project Database'!J68</f>
        <v>0</v>
      </c>
      <c r="G64" s="66">
        <f>'Project Database'!K68</f>
        <v>0</v>
      </c>
      <c r="H64" s="66">
        <f>'Project Database'!L68</f>
        <v>0</v>
      </c>
      <c r="I64" s="66">
        <f>'Project Database'!M68</f>
        <v>0</v>
      </c>
      <c r="J64" s="66">
        <f>'Project Database'!N68</f>
        <v>0</v>
      </c>
      <c r="K64" s="66">
        <f>'Project Database'!O68</f>
        <v>0</v>
      </c>
      <c r="L64" s="66">
        <f>'Project Database'!P68</f>
        <v>0</v>
      </c>
      <c r="M64" s="66">
        <f>'Project Database'!Q68</f>
        <v>0</v>
      </c>
      <c r="N64" s="66">
        <f>'Project Database'!R68</f>
        <v>0</v>
      </c>
      <c r="O64" s="66">
        <f>'Project Database'!S68</f>
        <v>0</v>
      </c>
      <c r="P64" s="66">
        <f>'Project Database'!T68</f>
        <v>0</v>
      </c>
      <c r="Q64" s="66">
        <f>'Project Database'!U68</f>
        <v>0</v>
      </c>
      <c r="R64" s="66">
        <f>'Project Database'!V68</f>
        <v>0</v>
      </c>
      <c r="S64" s="66">
        <f>'Project Database'!W68</f>
        <v>0</v>
      </c>
      <c r="T64" s="66">
        <f>'Project Database'!X68</f>
        <v>0</v>
      </c>
      <c r="U64" s="67">
        <f>'Project Database'!Y68</f>
        <v>0</v>
      </c>
      <c r="V64" s="66">
        <f>IF('Smart Search'!B13=1,IFERROR(1/'Smart Search'!H13,0),0)</f>
        <v>0</v>
      </c>
      <c r="W64" s="66">
        <f>IF('Smart Search'!B13=1,IFERROR(1/'Smart Search'!H13,0),0)</f>
        <v>0</v>
      </c>
      <c r="X64" s="66">
        <f>IF('Smart Search'!C13=1,IFERROR(1/'Smart Search'!H13,0),0)</f>
        <v>0.5</v>
      </c>
      <c r="Y64" s="66">
        <f>IF('Smart Search'!C13=1,IFERROR(1/'Smart Search'!H13,0),0)</f>
        <v>0.5</v>
      </c>
      <c r="Z64" s="66">
        <f>IF('Smart Search'!D13=1,IFERROR(1/'Smart Search'!H13,0),0)</f>
        <v>0</v>
      </c>
      <c r="AA64" s="66">
        <f>IF('Smart Search'!D13=1,IFERROR(1/'Smart Search'!H13,0),0)</f>
        <v>0</v>
      </c>
      <c r="AB64" s="66">
        <f>IF('Smart Search'!E13=1,IFERROR(1/'Smart Search'!H13,0),0)</f>
        <v>0</v>
      </c>
      <c r="AC64" s="66">
        <f>IF('Smart Search'!E13=1,IFERROR(1/'Smart Search'!H13,0),0)</f>
        <v>0</v>
      </c>
      <c r="AD64" s="66">
        <f>IF('Smart Search'!F13=1,IFERROR(1/'Smart Search'!H13,0),0)</f>
        <v>0</v>
      </c>
      <c r="AE64" s="66">
        <f>IF('Smart Search'!F13=1,IFERROR(1/'Smart Search'!H13,0),0)</f>
        <v>0</v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>0</v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>0</v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>0</v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>0</v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>0</v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>0</v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>0</v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>0</v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>0</v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>0</v>
      </c>
      <c r="AP64" s="66">
        <f t="shared" si="0"/>
        <v>0</v>
      </c>
      <c r="AQ64" s="66">
        <f t="shared" si="1"/>
        <v>0</v>
      </c>
      <c r="AR64" s="66">
        <f t="shared" si="2"/>
        <v>0</v>
      </c>
      <c r="AS64" s="66">
        <f t="shared" si="3"/>
        <v>0</v>
      </c>
      <c r="AT64" s="66">
        <f t="shared" si="4"/>
        <v>0</v>
      </c>
      <c r="AU64" s="66">
        <f t="shared" si="5"/>
        <v>0</v>
      </c>
      <c r="AV64" s="66">
        <f t="shared" si="6"/>
        <v>0</v>
      </c>
      <c r="AW64" s="66">
        <f t="shared" si="7"/>
        <v>0</v>
      </c>
      <c r="AX64" s="66">
        <f t="shared" si="8"/>
        <v>0</v>
      </c>
      <c r="AY64" s="66">
        <f t="shared" si="9"/>
        <v>0</v>
      </c>
      <c r="AZ64" s="66">
        <f>'Project Database'!Z68</f>
        <v>0</v>
      </c>
      <c r="BA64" s="66">
        <f>IF(OR(A64="",'Smart Search'!H13=0),"",MAX(0,BE64*BF64*MAX(0,1-BG64)))</f>
        <v>0</v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>0</v>
      </c>
      <c r="BC64" s="66">
        <f>IF('Smart Search'!G13=1,IFERROR(1/'Smart Search'!H13,0),0)</f>
        <v>0</v>
      </c>
      <c r="BD64" s="66">
        <f t="shared" si="10"/>
        <v>0</v>
      </c>
      <c r="BE64" s="66">
        <f t="shared" si="11"/>
        <v>0</v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>0</v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>0</v>
      </c>
      <c r="BH64" s="5" t="str">
        <f>IF(AND('Project Database'!A68&lt;&gt;"",OR('Smart Search'!$L$5="",'Smart Search'!$L$5="All",TRIM('Project Database'!D68)=TRIM('Smart Search'!$L$5)),OR(TRIM('Smart Search'!$L$6)="",TRIM('Smart Search'!$L$6)="All",ISNUMBER(SEARCH(SUBSTITUTE(SUBSTITUTE(SUBSTITUTE(TRIM('Smart Search'!$L$6),"~","~~"),"*","~*"),"?","~?"),'Project Database'!C68))),OR('Smart Search'!$L$7="",AND('Project Database'!E68&lt;&gt;"",'Project Database'!E68='Smart Search'!$L$7)),OR('Smart Search'!$L$8="",'Smart Search'!$L$8="All",TRIM('Project Database'!F68)=TRIM('Smart Search'!$L$8))),IF(BA64="","",BA64+ROW()*0.0000000001),"")</f>
        <v/>
      </c>
      <c r="BI64" s="5" t="str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 t="str">
        <f>IF('Project Database'!A68="","",N('Project Database'!AC68))</f>
        <v/>
      </c>
      <c r="BK64" s="5" t="str">
        <f>IF('Project Database'!A68="","",N('Project Database'!AD68))</f>
        <v/>
      </c>
      <c r="BL64" s="5" t="str">
        <f>IF('Project Database'!A68="","",N('Project Database'!AE68))</f>
        <v/>
      </c>
      <c r="BM64" s="5" t="str">
        <f>IF('Project Database'!A68="","",N('Project Database'!AF68))</f>
        <v/>
      </c>
      <c r="BN64" s="5" t="str">
        <f>IF('Project Database'!A68="","",N('Project Database'!AG68))</f>
        <v/>
      </c>
      <c r="BO64" s="5" t="str">
        <f>IF('Project Database'!A68="","",N('Project Database'!AH68))</f>
        <v/>
      </c>
      <c r="BP64" s="5" t="str">
        <f>IF('Project Database'!A68="","",N('Project Database'!AI68))</f>
        <v/>
      </c>
      <c r="BQ64" s="5" t="str">
        <f>IF('Project Database'!A68="","",N('Project Database'!AJ68))</f>
        <v/>
      </c>
      <c r="BR64" s="5" t="str">
        <f>IF('Project Database'!A68="","",N('Project Database'!AK68))</f>
        <v/>
      </c>
      <c r="BS64" s="5" t="str">
        <f>IF('Project Database'!A68="","",N('Project Database'!AL68))</f>
        <v/>
      </c>
      <c r="BT64" s="5" t="str">
        <f>IF('Project Database'!A68="","",N('Project Database'!AM68))</f>
        <v/>
      </c>
      <c r="BU64" s="5" t="str">
        <f>IF('Project Database'!A68="","",N('Project Database'!AN68))</f>
        <v/>
      </c>
      <c r="BV64" s="5" t="str">
        <f>IF('Project Database'!A68="","",N('Project Database'!AO68))</f>
        <v/>
      </c>
      <c r="BW64" s="5" t="str">
        <f>IF('Project Database'!A68="","",N('Project Database'!AP68))</f>
        <v/>
      </c>
      <c r="BX64" s="5">
        <f t="shared" si="12"/>
        <v>0</v>
      </c>
      <c r="BY64" s="5">
        <f t="shared" si="13"/>
        <v>0</v>
      </c>
    </row>
    <row r="65" spans="1:77" ht="15" customHeight="1" x14ac:dyDescent="0.3">
      <c r="A65" s="66">
        <f>'Project Database'!A69</f>
        <v>0</v>
      </c>
      <c r="B65" s="66">
        <f>'Project Database'!B69</f>
        <v>0</v>
      </c>
      <c r="C65" s="66">
        <f>'Project Database'!G69</f>
        <v>0</v>
      </c>
      <c r="D65" s="66">
        <f>'Project Database'!H69</f>
        <v>0</v>
      </c>
      <c r="E65" s="66">
        <f>'Project Database'!I69</f>
        <v>0</v>
      </c>
      <c r="F65" s="66">
        <f>'Project Database'!J69</f>
        <v>0</v>
      </c>
      <c r="G65" s="66">
        <f>'Project Database'!K69</f>
        <v>0</v>
      </c>
      <c r="H65" s="66">
        <f>'Project Database'!L69</f>
        <v>0</v>
      </c>
      <c r="I65" s="66">
        <f>'Project Database'!M69</f>
        <v>0</v>
      </c>
      <c r="J65" s="66">
        <f>'Project Database'!N69</f>
        <v>0</v>
      </c>
      <c r="K65" s="66">
        <f>'Project Database'!O69</f>
        <v>0</v>
      </c>
      <c r="L65" s="66">
        <f>'Project Database'!P69</f>
        <v>0</v>
      </c>
      <c r="M65" s="66">
        <f>'Project Database'!Q69</f>
        <v>0</v>
      </c>
      <c r="N65" s="66">
        <f>'Project Database'!R69</f>
        <v>0</v>
      </c>
      <c r="O65" s="66">
        <f>'Project Database'!S69</f>
        <v>0</v>
      </c>
      <c r="P65" s="66">
        <f>'Project Database'!T69</f>
        <v>0</v>
      </c>
      <c r="Q65" s="66">
        <f>'Project Database'!U69</f>
        <v>0</v>
      </c>
      <c r="R65" s="66">
        <f>'Project Database'!V69</f>
        <v>0</v>
      </c>
      <c r="S65" s="66">
        <f>'Project Database'!W69</f>
        <v>0</v>
      </c>
      <c r="T65" s="66">
        <f>'Project Database'!X69</f>
        <v>0</v>
      </c>
      <c r="U65" s="67">
        <f>'Project Database'!Y69</f>
        <v>0</v>
      </c>
      <c r="V65" s="66">
        <f>IF('Smart Search'!B13=1,IFERROR(1/'Smart Search'!H13,0),0)</f>
        <v>0</v>
      </c>
      <c r="W65" s="66">
        <f>IF('Smart Search'!B13=1,IFERROR(1/'Smart Search'!H13,0),0)</f>
        <v>0</v>
      </c>
      <c r="X65" s="66">
        <f>IF('Smart Search'!C13=1,IFERROR(1/'Smart Search'!H13,0),0)</f>
        <v>0.5</v>
      </c>
      <c r="Y65" s="66">
        <f>IF('Smart Search'!C13=1,IFERROR(1/'Smart Search'!H13,0),0)</f>
        <v>0.5</v>
      </c>
      <c r="Z65" s="66">
        <f>IF('Smart Search'!D13=1,IFERROR(1/'Smart Search'!H13,0),0)</f>
        <v>0</v>
      </c>
      <c r="AA65" s="66">
        <f>IF('Smart Search'!D13=1,IFERROR(1/'Smart Search'!H13,0),0)</f>
        <v>0</v>
      </c>
      <c r="AB65" s="66">
        <f>IF('Smart Search'!E13=1,IFERROR(1/'Smart Search'!H13,0),0)</f>
        <v>0</v>
      </c>
      <c r="AC65" s="66">
        <f>IF('Smart Search'!E13=1,IFERROR(1/'Smart Search'!H13,0),0)</f>
        <v>0</v>
      </c>
      <c r="AD65" s="66">
        <f>IF('Smart Search'!F13=1,IFERROR(1/'Smart Search'!H13,0),0)</f>
        <v>0</v>
      </c>
      <c r="AE65" s="66">
        <f>IF('Smart Search'!F13=1,IFERROR(1/'Smart Search'!H13,0),0)</f>
        <v>0</v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>0</v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>0</v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>0</v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>0</v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>0</v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>0</v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>0</v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>0</v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>0</v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>0</v>
      </c>
      <c r="AP65" s="66">
        <f t="shared" si="0"/>
        <v>0</v>
      </c>
      <c r="AQ65" s="66">
        <f t="shared" si="1"/>
        <v>0</v>
      </c>
      <c r="AR65" s="66">
        <f t="shared" si="2"/>
        <v>0</v>
      </c>
      <c r="AS65" s="66">
        <f t="shared" si="3"/>
        <v>0</v>
      </c>
      <c r="AT65" s="66">
        <f t="shared" si="4"/>
        <v>0</v>
      </c>
      <c r="AU65" s="66">
        <f t="shared" si="5"/>
        <v>0</v>
      </c>
      <c r="AV65" s="66">
        <f t="shared" si="6"/>
        <v>0</v>
      </c>
      <c r="AW65" s="66">
        <f t="shared" si="7"/>
        <v>0</v>
      </c>
      <c r="AX65" s="66">
        <f t="shared" si="8"/>
        <v>0</v>
      </c>
      <c r="AY65" s="66">
        <f t="shared" si="9"/>
        <v>0</v>
      </c>
      <c r="AZ65" s="66">
        <f>'Project Database'!Z69</f>
        <v>0</v>
      </c>
      <c r="BA65" s="66">
        <f>IF(OR(A65="",'Smart Search'!H13=0),"",MAX(0,BE65*BF65*MAX(0,1-BG65)))</f>
        <v>0</v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>0</v>
      </c>
      <c r="BC65" s="66">
        <f>IF('Smart Search'!G13=1,IFERROR(1/'Smart Search'!H13,0),0)</f>
        <v>0</v>
      </c>
      <c r="BD65" s="66">
        <f t="shared" si="10"/>
        <v>0</v>
      </c>
      <c r="BE65" s="66">
        <f t="shared" si="11"/>
        <v>0</v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>0</v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>0</v>
      </c>
      <c r="BH65" s="5" t="str">
        <f>IF(AND('Project Database'!A69&lt;&gt;"",OR('Smart Search'!$L$5="",'Smart Search'!$L$5="All",TRIM('Project Database'!D69)=TRIM('Smart Search'!$L$5)),OR(TRIM('Smart Search'!$L$6)="",TRIM('Smart Search'!$L$6)="All",ISNUMBER(SEARCH(SUBSTITUTE(SUBSTITUTE(SUBSTITUTE(TRIM('Smart Search'!$L$6),"~","~~"),"*","~*"),"?","~?"),'Project Database'!C69))),OR('Smart Search'!$L$7="",AND('Project Database'!E69&lt;&gt;"",'Project Database'!E69='Smart Search'!$L$7)),OR('Smart Search'!$L$8="",'Smart Search'!$L$8="All",TRIM('Project Database'!F69)=TRIM('Smart Search'!$L$8))),IF(BA65="","",BA65+ROW()*0.0000000001),"")</f>
        <v/>
      </c>
      <c r="BI65" s="5" t="str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 t="str">
        <f>IF('Project Database'!A69="","",N('Project Database'!AC69))</f>
        <v/>
      </c>
      <c r="BK65" s="5" t="str">
        <f>IF('Project Database'!A69="","",N('Project Database'!AD69))</f>
        <v/>
      </c>
      <c r="BL65" s="5" t="str">
        <f>IF('Project Database'!A69="","",N('Project Database'!AE69))</f>
        <v/>
      </c>
      <c r="BM65" s="5" t="str">
        <f>IF('Project Database'!A69="","",N('Project Database'!AF69))</f>
        <v/>
      </c>
      <c r="BN65" s="5" t="str">
        <f>IF('Project Database'!A69="","",N('Project Database'!AG69))</f>
        <v/>
      </c>
      <c r="BO65" s="5" t="str">
        <f>IF('Project Database'!A69="","",N('Project Database'!AH69))</f>
        <v/>
      </c>
      <c r="BP65" s="5" t="str">
        <f>IF('Project Database'!A69="","",N('Project Database'!AI69))</f>
        <v/>
      </c>
      <c r="BQ65" s="5" t="str">
        <f>IF('Project Database'!A69="","",N('Project Database'!AJ69))</f>
        <v/>
      </c>
      <c r="BR65" s="5" t="str">
        <f>IF('Project Database'!A69="","",N('Project Database'!AK69))</f>
        <v/>
      </c>
      <c r="BS65" s="5" t="str">
        <f>IF('Project Database'!A69="","",N('Project Database'!AL69))</f>
        <v/>
      </c>
      <c r="BT65" s="5" t="str">
        <f>IF('Project Database'!A69="","",N('Project Database'!AM69))</f>
        <v/>
      </c>
      <c r="BU65" s="5" t="str">
        <f>IF('Project Database'!A69="","",N('Project Database'!AN69))</f>
        <v/>
      </c>
      <c r="BV65" s="5" t="str">
        <f>IF('Project Database'!A69="","",N('Project Database'!AO69))</f>
        <v/>
      </c>
      <c r="BW65" s="5" t="str">
        <f>IF('Project Database'!A69="","",N('Project Database'!AP69))</f>
        <v/>
      </c>
      <c r="BX65" s="5">
        <f t="shared" si="12"/>
        <v>0</v>
      </c>
      <c r="BY65" s="5">
        <f t="shared" si="13"/>
        <v>0</v>
      </c>
    </row>
    <row r="66" spans="1:77" ht="15" customHeight="1" x14ac:dyDescent="0.3">
      <c r="A66" s="66">
        <f>'Project Database'!A70</f>
        <v>0</v>
      </c>
      <c r="B66" s="66">
        <f>'Project Database'!B70</f>
        <v>0</v>
      </c>
      <c r="C66" s="66">
        <f>'Project Database'!G70</f>
        <v>0</v>
      </c>
      <c r="D66" s="66">
        <f>'Project Database'!H70</f>
        <v>0</v>
      </c>
      <c r="E66" s="66">
        <f>'Project Database'!I70</f>
        <v>0</v>
      </c>
      <c r="F66" s="66">
        <f>'Project Database'!J70</f>
        <v>0</v>
      </c>
      <c r="G66" s="66">
        <f>'Project Database'!K70</f>
        <v>0</v>
      </c>
      <c r="H66" s="66">
        <f>'Project Database'!L70</f>
        <v>0</v>
      </c>
      <c r="I66" s="66">
        <f>'Project Database'!M70</f>
        <v>0</v>
      </c>
      <c r="J66" s="66">
        <f>'Project Database'!N70</f>
        <v>0</v>
      </c>
      <c r="K66" s="66">
        <f>'Project Database'!O70</f>
        <v>0</v>
      </c>
      <c r="L66" s="66">
        <f>'Project Database'!P70</f>
        <v>0</v>
      </c>
      <c r="M66" s="66">
        <f>'Project Database'!Q70</f>
        <v>0</v>
      </c>
      <c r="N66" s="66">
        <f>'Project Database'!R70</f>
        <v>0</v>
      </c>
      <c r="O66" s="66">
        <f>'Project Database'!S70</f>
        <v>0</v>
      </c>
      <c r="P66" s="66">
        <f>'Project Database'!T70</f>
        <v>0</v>
      </c>
      <c r="Q66" s="66">
        <f>'Project Database'!U70</f>
        <v>0</v>
      </c>
      <c r="R66" s="66">
        <f>'Project Database'!V70</f>
        <v>0</v>
      </c>
      <c r="S66" s="66">
        <f>'Project Database'!W70</f>
        <v>0</v>
      </c>
      <c r="T66" s="66">
        <f>'Project Database'!X70</f>
        <v>0</v>
      </c>
      <c r="U66" s="67">
        <f>'Project Database'!Y70</f>
        <v>0</v>
      </c>
      <c r="V66" s="66">
        <f>IF('Smart Search'!B13=1,IFERROR(1/'Smart Search'!H13,0),0)</f>
        <v>0</v>
      </c>
      <c r="W66" s="66">
        <f>IF('Smart Search'!B13=1,IFERROR(1/'Smart Search'!H13,0),0)</f>
        <v>0</v>
      </c>
      <c r="X66" s="66">
        <f>IF('Smart Search'!C13=1,IFERROR(1/'Smart Search'!H13,0),0)</f>
        <v>0.5</v>
      </c>
      <c r="Y66" s="66">
        <f>IF('Smart Search'!C13=1,IFERROR(1/'Smart Search'!H13,0),0)</f>
        <v>0.5</v>
      </c>
      <c r="Z66" s="66">
        <f>IF('Smart Search'!D13=1,IFERROR(1/'Smart Search'!H13,0),0)</f>
        <v>0</v>
      </c>
      <c r="AA66" s="66">
        <f>IF('Smart Search'!D13=1,IFERROR(1/'Smart Search'!H13,0),0)</f>
        <v>0</v>
      </c>
      <c r="AB66" s="66">
        <f>IF('Smart Search'!E13=1,IFERROR(1/'Smart Search'!H13,0),0)</f>
        <v>0</v>
      </c>
      <c r="AC66" s="66">
        <f>IF('Smart Search'!E13=1,IFERROR(1/'Smart Search'!H13,0),0)</f>
        <v>0</v>
      </c>
      <c r="AD66" s="66">
        <f>IF('Smart Search'!F13=1,IFERROR(1/'Smart Search'!H13,0),0)</f>
        <v>0</v>
      </c>
      <c r="AE66" s="66">
        <f>IF('Smart Search'!F13=1,IFERROR(1/'Smart Search'!H13,0),0)</f>
        <v>0</v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>0</v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>0</v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>0</v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>0</v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>0</v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>0</v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>0</v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>0</v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>0</v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>0</v>
      </c>
      <c r="AP66" s="66">
        <f t="shared" ref="AP66:AP129" si="14">AF66*V66</f>
        <v>0</v>
      </c>
      <c r="AQ66" s="66">
        <f t="shared" ref="AQ66:AQ129" si="15">AG66*W66</f>
        <v>0</v>
      </c>
      <c r="AR66" s="66">
        <f t="shared" ref="AR66:AR129" si="16">AH66*X66</f>
        <v>0</v>
      </c>
      <c r="AS66" s="66">
        <f t="shared" ref="AS66:AS129" si="17">AI66*Y66</f>
        <v>0</v>
      </c>
      <c r="AT66" s="66">
        <f t="shared" ref="AT66:AT129" si="18">AJ66*Z66</f>
        <v>0</v>
      </c>
      <c r="AU66" s="66">
        <f t="shared" ref="AU66:AU129" si="19">AK66*AA66</f>
        <v>0</v>
      </c>
      <c r="AV66" s="66">
        <f t="shared" ref="AV66:AV129" si="20">AL66*AB66</f>
        <v>0</v>
      </c>
      <c r="AW66" s="66">
        <f t="shared" ref="AW66:AW129" si="21">AM66*AC66</f>
        <v>0</v>
      </c>
      <c r="AX66" s="66">
        <f t="shared" ref="AX66:AX129" si="22">AN66*AD66</f>
        <v>0</v>
      </c>
      <c r="AY66" s="66">
        <f t="shared" ref="AY66:AY129" si="23">AO66*AE66</f>
        <v>0</v>
      </c>
      <c r="AZ66" s="66">
        <f>'Project Database'!Z70</f>
        <v>0</v>
      </c>
      <c r="BA66" s="66">
        <f>IF(OR(A66="",'Smart Search'!H13=0),"",MAX(0,BE66*BF66*MAX(0,1-BG66)))</f>
        <v>0</v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>0</v>
      </c>
      <c r="BC66" s="66">
        <f>IF('Smart Search'!G13=1,IFERROR(1/'Smart Search'!H13,0),0)</f>
        <v>0</v>
      </c>
      <c r="BD66" s="66">
        <f t="shared" ref="BD66:BD129" si="24">BB66*BC66</f>
        <v>0</v>
      </c>
      <c r="BE66" s="66">
        <f t="shared" ref="BE66:BE129" si="25">AP66+AQ66+AR66+AS66+AT66+AU66+AV66+AW66+AX66+AY66+BD66</f>
        <v>0</v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>0</v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>0</v>
      </c>
      <c r="BH66" s="5" t="str">
        <f>IF(AND('Project Database'!A70&lt;&gt;"",OR('Smart Search'!$L$5="",'Smart Search'!$L$5="All",TRIM('Project Database'!D70)=TRIM('Smart Search'!$L$5)),OR(TRIM('Smart Search'!$L$6)="",TRIM('Smart Search'!$L$6)="All",ISNUMBER(SEARCH(SUBSTITUTE(SUBSTITUTE(SUBSTITUTE(TRIM('Smart Search'!$L$6),"~","~~"),"*","~*"),"?","~?"),'Project Database'!C70))),OR('Smart Search'!$L$7="",AND('Project Database'!E70&lt;&gt;"",'Project Database'!E70='Smart Search'!$L$7)),OR('Smart Search'!$L$8="",'Smart Search'!$L$8="All",TRIM('Project Database'!F70)=TRIM('Smart Search'!$L$8))),IF(BA66="","",BA66+ROW()*0.0000000001),"")</f>
        <v/>
      </c>
      <c r="BI66" s="5" t="str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 t="str">
        <f>IF('Project Database'!A70="","",N('Project Database'!AC70))</f>
        <v/>
      </c>
      <c r="BK66" s="5" t="str">
        <f>IF('Project Database'!A70="","",N('Project Database'!AD70))</f>
        <v/>
      </c>
      <c r="BL66" s="5" t="str">
        <f>IF('Project Database'!A70="","",N('Project Database'!AE70))</f>
        <v/>
      </c>
      <c r="BM66" s="5" t="str">
        <f>IF('Project Database'!A70="","",N('Project Database'!AF70))</f>
        <v/>
      </c>
      <c r="BN66" s="5" t="str">
        <f>IF('Project Database'!A70="","",N('Project Database'!AG70))</f>
        <v/>
      </c>
      <c r="BO66" s="5" t="str">
        <f>IF('Project Database'!A70="","",N('Project Database'!AH70))</f>
        <v/>
      </c>
      <c r="BP66" s="5" t="str">
        <f>IF('Project Database'!A70="","",N('Project Database'!AI70))</f>
        <v/>
      </c>
      <c r="BQ66" s="5" t="str">
        <f>IF('Project Database'!A70="","",N('Project Database'!AJ70))</f>
        <v/>
      </c>
      <c r="BR66" s="5" t="str">
        <f>IF('Project Database'!A70="","",N('Project Database'!AK70))</f>
        <v/>
      </c>
      <c r="BS66" s="5" t="str">
        <f>IF('Project Database'!A70="","",N('Project Database'!AL70))</f>
        <v/>
      </c>
      <c r="BT66" s="5" t="str">
        <f>IF('Project Database'!A70="","",N('Project Database'!AM70))</f>
        <v/>
      </c>
      <c r="BU66" s="5" t="str">
        <f>IF('Project Database'!A70="","",N('Project Database'!AN70))</f>
        <v/>
      </c>
      <c r="BV66" s="5" t="str">
        <f>IF('Project Database'!A70="","",N('Project Database'!AO70))</f>
        <v/>
      </c>
      <c r="BW66" s="5" t="str">
        <f>IF('Project Database'!A70="","",N('Project Database'!AP70))</f>
        <v/>
      </c>
      <c r="BX66" s="5">
        <f t="shared" ref="BX66:BX129" si="26">IF(A66="","",SUM(BJ66:BW66))</f>
        <v>0</v>
      </c>
      <c r="BY66" s="5">
        <f t="shared" ref="BY66:BY129" si="27">IF(A66="","",IFERROR(IF(ISNUMBER(U66),U66,VALUE(SUBSTITUTE(SUBSTITUTE(SUBSTITUTE(UPPER(TRIM(U66)),"M",""),",","")," ",""))),0))</f>
        <v>0</v>
      </c>
    </row>
    <row r="67" spans="1:77" ht="15" customHeight="1" x14ac:dyDescent="0.3">
      <c r="A67" s="66">
        <f>'Project Database'!A71</f>
        <v>0</v>
      </c>
      <c r="B67" s="66">
        <f>'Project Database'!B71</f>
        <v>0</v>
      </c>
      <c r="C67" s="66">
        <f>'Project Database'!G71</f>
        <v>0</v>
      </c>
      <c r="D67" s="66">
        <f>'Project Database'!H71</f>
        <v>0</v>
      </c>
      <c r="E67" s="66">
        <f>'Project Database'!I71</f>
        <v>0</v>
      </c>
      <c r="F67" s="66">
        <f>'Project Database'!J71</f>
        <v>0</v>
      </c>
      <c r="G67" s="66">
        <f>'Project Database'!K71</f>
        <v>0</v>
      </c>
      <c r="H67" s="66">
        <f>'Project Database'!L71</f>
        <v>0</v>
      </c>
      <c r="I67" s="66">
        <f>'Project Database'!M71</f>
        <v>0</v>
      </c>
      <c r="J67" s="66">
        <f>'Project Database'!N71</f>
        <v>0</v>
      </c>
      <c r="K67" s="66">
        <f>'Project Database'!O71</f>
        <v>0</v>
      </c>
      <c r="L67" s="66">
        <f>'Project Database'!P71</f>
        <v>0</v>
      </c>
      <c r="M67" s="66">
        <f>'Project Database'!Q71</f>
        <v>0</v>
      </c>
      <c r="N67" s="66">
        <f>'Project Database'!R71</f>
        <v>0</v>
      </c>
      <c r="O67" s="66">
        <f>'Project Database'!S71</f>
        <v>0</v>
      </c>
      <c r="P67" s="66">
        <f>'Project Database'!T71</f>
        <v>0</v>
      </c>
      <c r="Q67" s="66">
        <f>'Project Database'!U71</f>
        <v>0</v>
      </c>
      <c r="R67" s="66">
        <f>'Project Database'!V71</f>
        <v>0</v>
      </c>
      <c r="S67" s="66">
        <f>'Project Database'!W71</f>
        <v>0</v>
      </c>
      <c r="T67" s="66">
        <f>'Project Database'!X71</f>
        <v>0</v>
      </c>
      <c r="U67" s="67">
        <f>'Project Database'!Y71</f>
        <v>0</v>
      </c>
      <c r="V67" s="66">
        <f>IF('Smart Search'!B13=1,IFERROR(1/'Smart Search'!H13,0),0)</f>
        <v>0</v>
      </c>
      <c r="W67" s="66">
        <f>IF('Smart Search'!B13=1,IFERROR(1/'Smart Search'!H13,0),0)</f>
        <v>0</v>
      </c>
      <c r="X67" s="66">
        <f>IF('Smart Search'!C13=1,IFERROR(1/'Smart Search'!H13,0),0)</f>
        <v>0.5</v>
      </c>
      <c r="Y67" s="66">
        <f>IF('Smart Search'!C13=1,IFERROR(1/'Smart Search'!H13,0),0)</f>
        <v>0.5</v>
      </c>
      <c r="Z67" s="66">
        <f>IF('Smart Search'!D13=1,IFERROR(1/'Smart Search'!H13,0),0)</f>
        <v>0</v>
      </c>
      <c r="AA67" s="66">
        <f>IF('Smart Search'!D13=1,IFERROR(1/'Smart Search'!H13,0),0)</f>
        <v>0</v>
      </c>
      <c r="AB67" s="66">
        <f>IF('Smart Search'!E13=1,IFERROR(1/'Smart Search'!H13,0),0)</f>
        <v>0</v>
      </c>
      <c r="AC67" s="66">
        <f>IF('Smart Search'!E13=1,IFERROR(1/'Smart Search'!H13,0),0)</f>
        <v>0</v>
      </c>
      <c r="AD67" s="66">
        <f>IF('Smart Search'!F13=1,IFERROR(1/'Smart Search'!H13,0),0)</f>
        <v>0</v>
      </c>
      <c r="AE67" s="66">
        <f>IF('Smart Search'!F13=1,IFERROR(1/'Smart Search'!H13,0),0)</f>
        <v>0</v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>0</v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>0</v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>0</v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>0</v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>0</v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>0</v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>0</v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>0</v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>0</v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>0</v>
      </c>
      <c r="AP67" s="66">
        <f t="shared" si="14"/>
        <v>0</v>
      </c>
      <c r="AQ67" s="66">
        <f t="shared" si="15"/>
        <v>0</v>
      </c>
      <c r="AR67" s="66">
        <f t="shared" si="16"/>
        <v>0</v>
      </c>
      <c r="AS67" s="66">
        <f t="shared" si="17"/>
        <v>0</v>
      </c>
      <c r="AT67" s="66">
        <f t="shared" si="18"/>
        <v>0</v>
      </c>
      <c r="AU67" s="66">
        <f t="shared" si="19"/>
        <v>0</v>
      </c>
      <c r="AV67" s="66">
        <f t="shared" si="20"/>
        <v>0</v>
      </c>
      <c r="AW67" s="66">
        <f t="shared" si="21"/>
        <v>0</v>
      </c>
      <c r="AX67" s="66">
        <f t="shared" si="22"/>
        <v>0</v>
      </c>
      <c r="AY67" s="66">
        <f t="shared" si="23"/>
        <v>0</v>
      </c>
      <c r="AZ67" s="66">
        <f>'Project Database'!Z71</f>
        <v>0</v>
      </c>
      <c r="BA67" s="66">
        <f>IF(OR(A67="",'Smart Search'!H13=0),"",MAX(0,BE67*BF67*MAX(0,1-BG67)))</f>
        <v>0</v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>0</v>
      </c>
      <c r="BC67" s="66">
        <f>IF('Smart Search'!G13=1,IFERROR(1/'Smart Search'!H13,0),0)</f>
        <v>0</v>
      </c>
      <c r="BD67" s="66">
        <f t="shared" si="24"/>
        <v>0</v>
      </c>
      <c r="BE67" s="66">
        <f t="shared" si="25"/>
        <v>0</v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>0</v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>0</v>
      </c>
      <c r="BH67" s="5" t="str">
        <f>IF(AND('Project Database'!A71&lt;&gt;"",OR('Smart Search'!$L$5="",'Smart Search'!$L$5="All",TRIM('Project Database'!D71)=TRIM('Smart Search'!$L$5)),OR(TRIM('Smart Search'!$L$6)="",TRIM('Smart Search'!$L$6)="All",ISNUMBER(SEARCH(SUBSTITUTE(SUBSTITUTE(SUBSTITUTE(TRIM('Smart Search'!$L$6),"~","~~"),"*","~*"),"?","~?"),'Project Database'!C71))),OR('Smart Search'!$L$7="",AND('Project Database'!E71&lt;&gt;"",'Project Database'!E71='Smart Search'!$L$7)),OR('Smart Search'!$L$8="",'Smart Search'!$L$8="All",TRIM('Project Database'!F71)=TRIM('Smart Search'!$L$8))),IF(BA67="","",BA67+ROW()*0.0000000001),"")</f>
        <v/>
      </c>
      <c r="BI67" s="5" t="str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 t="str">
        <f>IF('Project Database'!A71="","",N('Project Database'!AC71))</f>
        <v/>
      </c>
      <c r="BK67" s="5" t="str">
        <f>IF('Project Database'!A71="","",N('Project Database'!AD71))</f>
        <v/>
      </c>
      <c r="BL67" s="5" t="str">
        <f>IF('Project Database'!A71="","",N('Project Database'!AE71))</f>
        <v/>
      </c>
      <c r="BM67" s="5" t="str">
        <f>IF('Project Database'!A71="","",N('Project Database'!AF71))</f>
        <v/>
      </c>
      <c r="BN67" s="5" t="str">
        <f>IF('Project Database'!A71="","",N('Project Database'!AG71))</f>
        <v/>
      </c>
      <c r="BO67" s="5" t="str">
        <f>IF('Project Database'!A71="","",N('Project Database'!AH71))</f>
        <v/>
      </c>
      <c r="BP67" s="5" t="str">
        <f>IF('Project Database'!A71="","",N('Project Database'!AI71))</f>
        <v/>
      </c>
      <c r="BQ67" s="5" t="str">
        <f>IF('Project Database'!A71="","",N('Project Database'!AJ71))</f>
        <v/>
      </c>
      <c r="BR67" s="5" t="str">
        <f>IF('Project Database'!A71="","",N('Project Database'!AK71))</f>
        <v/>
      </c>
      <c r="BS67" s="5" t="str">
        <f>IF('Project Database'!A71="","",N('Project Database'!AL71))</f>
        <v/>
      </c>
      <c r="BT67" s="5" t="str">
        <f>IF('Project Database'!A71="","",N('Project Database'!AM71))</f>
        <v/>
      </c>
      <c r="BU67" s="5" t="str">
        <f>IF('Project Database'!A71="","",N('Project Database'!AN71))</f>
        <v/>
      </c>
      <c r="BV67" s="5" t="str">
        <f>IF('Project Database'!A71="","",N('Project Database'!AO71))</f>
        <v/>
      </c>
      <c r="BW67" s="5" t="str">
        <f>IF('Project Database'!A71="","",N('Project Database'!AP71))</f>
        <v/>
      </c>
      <c r="BX67" s="5">
        <f t="shared" si="26"/>
        <v>0</v>
      </c>
      <c r="BY67" s="5">
        <f t="shared" si="27"/>
        <v>0</v>
      </c>
    </row>
    <row r="68" spans="1:77" ht="15" customHeight="1" x14ac:dyDescent="0.3">
      <c r="A68" s="66">
        <f>'Project Database'!A72</f>
        <v>0</v>
      </c>
      <c r="B68" s="66">
        <f>'Project Database'!B72</f>
        <v>0</v>
      </c>
      <c r="C68" s="66">
        <f>'Project Database'!G72</f>
        <v>0</v>
      </c>
      <c r="D68" s="66">
        <f>'Project Database'!H72</f>
        <v>0</v>
      </c>
      <c r="E68" s="66">
        <f>'Project Database'!I72</f>
        <v>0</v>
      </c>
      <c r="F68" s="66">
        <f>'Project Database'!J72</f>
        <v>0</v>
      </c>
      <c r="G68" s="66">
        <f>'Project Database'!K72</f>
        <v>0</v>
      </c>
      <c r="H68" s="66">
        <f>'Project Database'!L72</f>
        <v>0</v>
      </c>
      <c r="I68" s="66">
        <f>'Project Database'!M72</f>
        <v>0</v>
      </c>
      <c r="J68" s="66">
        <f>'Project Database'!N72</f>
        <v>0</v>
      </c>
      <c r="K68" s="66">
        <f>'Project Database'!O72</f>
        <v>0</v>
      </c>
      <c r="L68" s="66">
        <f>'Project Database'!P72</f>
        <v>0</v>
      </c>
      <c r="M68" s="66">
        <f>'Project Database'!Q72</f>
        <v>0</v>
      </c>
      <c r="N68" s="66">
        <f>'Project Database'!R72</f>
        <v>0</v>
      </c>
      <c r="O68" s="66">
        <f>'Project Database'!S72</f>
        <v>0</v>
      </c>
      <c r="P68" s="66">
        <f>'Project Database'!T72</f>
        <v>0</v>
      </c>
      <c r="Q68" s="66">
        <f>'Project Database'!U72</f>
        <v>0</v>
      </c>
      <c r="R68" s="66">
        <f>'Project Database'!V72</f>
        <v>0</v>
      </c>
      <c r="S68" s="66">
        <f>'Project Database'!W72</f>
        <v>0</v>
      </c>
      <c r="T68" s="66">
        <f>'Project Database'!X72</f>
        <v>0</v>
      </c>
      <c r="U68" s="67">
        <f>'Project Database'!Y72</f>
        <v>0</v>
      </c>
      <c r="V68" s="66">
        <f>IF('Smart Search'!B13=1,IFERROR(1/'Smart Search'!H13,0),0)</f>
        <v>0</v>
      </c>
      <c r="W68" s="66">
        <f>IF('Smart Search'!B13=1,IFERROR(1/'Smart Search'!H13,0),0)</f>
        <v>0</v>
      </c>
      <c r="X68" s="66">
        <f>IF('Smart Search'!C13=1,IFERROR(1/'Smart Search'!H13,0),0)</f>
        <v>0.5</v>
      </c>
      <c r="Y68" s="66">
        <f>IF('Smart Search'!C13=1,IFERROR(1/'Smart Search'!H13,0),0)</f>
        <v>0.5</v>
      </c>
      <c r="Z68" s="66">
        <f>IF('Smart Search'!D13=1,IFERROR(1/'Smart Search'!H13,0),0)</f>
        <v>0</v>
      </c>
      <c r="AA68" s="66">
        <f>IF('Smart Search'!D13=1,IFERROR(1/'Smart Search'!H13,0),0)</f>
        <v>0</v>
      </c>
      <c r="AB68" s="66">
        <f>IF('Smart Search'!E13=1,IFERROR(1/'Smart Search'!H13,0),0)</f>
        <v>0</v>
      </c>
      <c r="AC68" s="66">
        <f>IF('Smart Search'!E13=1,IFERROR(1/'Smart Search'!H13,0),0)</f>
        <v>0</v>
      </c>
      <c r="AD68" s="66">
        <f>IF('Smart Search'!F13=1,IFERROR(1/'Smart Search'!H13,0),0)</f>
        <v>0</v>
      </c>
      <c r="AE68" s="66">
        <f>IF('Smart Search'!F13=1,IFERROR(1/'Smart Search'!H13,0),0)</f>
        <v>0</v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>0</v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>0</v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>0</v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>0</v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>0</v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>0</v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>0</v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>0</v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>0</v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>0</v>
      </c>
      <c r="AP68" s="66">
        <f t="shared" si="14"/>
        <v>0</v>
      </c>
      <c r="AQ68" s="66">
        <f t="shared" si="15"/>
        <v>0</v>
      </c>
      <c r="AR68" s="66">
        <f t="shared" si="16"/>
        <v>0</v>
      </c>
      <c r="AS68" s="66">
        <f t="shared" si="17"/>
        <v>0</v>
      </c>
      <c r="AT68" s="66">
        <f t="shared" si="18"/>
        <v>0</v>
      </c>
      <c r="AU68" s="66">
        <f t="shared" si="19"/>
        <v>0</v>
      </c>
      <c r="AV68" s="66">
        <f t="shared" si="20"/>
        <v>0</v>
      </c>
      <c r="AW68" s="66">
        <f t="shared" si="21"/>
        <v>0</v>
      </c>
      <c r="AX68" s="66">
        <f t="shared" si="22"/>
        <v>0</v>
      </c>
      <c r="AY68" s="66">
        <f t="shared" si="23"/>
        <v>0</v>
      </c>
      <c r="AZ68" s="66">
        <f>'Project Database'!Z72</f>
        <v>0</v>
      </c>
      <c r="BA68" s="66">
        <f>IF(OR(A68="",'Smart Search'!H13=0),"",MAX(0,BE68*BF68*MAX(0,1-BG68)))</f>
        <v>0</v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>0</v>
      </c>
      <c r="BC68" s="66">
        <f>IF('Smart Search'!G13=1,IFERROR(1/'Smart Search'!H13,0),0)</f>
        <v>0</v>
      </c>
      <c r="BD68" s="66">
        <f t="shared" si="24"/>
        <v>0</v>
      </c>
      <c r="BE68" s="66">
        <f t="shared" si="25"/>
        <v>0</v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>0</v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>0</v>
      </c>
      <c r="BH68" s="5" t="str">
        <f>IF(AND('Project Database'!A72&lt;&gt;"",OR('Smart Search'!$L$5="",'Smart Search'!$L$5="All",TRIM('Project Database'!D72)=TRIM('Smart Search'!$L$5)),OR(TRIM('Smart Search'!$L$6)="",TRIM('Smart Search'!$L$6)="All",ISNUMBER(SEARCH(SUBSTITUTE(SUBSTITUTE(SUBSTITUTE(TRIM('Smart Search'!$L$6),"~","~~"),"*","~*"),"?","~?"),'Project Database'!C72))),OR('Smart Search'!$L$7="",AND('Project Database'!E72&lt;&gt;"",'Project Database'!E72='Smart Search'!$L$7)),OR('Smart Search'!$L$8="",'Smart Search'!$L$8="All",TRIM('Project Database'!F72)=TRIM('Smart Search'!$L$8))),IF(BA68="","",BA68+ROW()*0.0000000001),"")</f>
        <v/>
      </c>
      <c r="BI68" s="5" t="str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 t="str">
        <f>IF('Project Database'!A72="","",N('Project Database'!AC72))</f>
        <v/>
      </c>
      <c r="BK68" s="5" t="str">
        <f>IF('Project Database'!A72="","",N('Project Database'!AD72))</f>
        <v/>
      </c>
      <c r="BL68" s="5" t="str">
        <f>IF('Project Database'!A72="","",N('Project Database'!AE72))</f>
        <v/>
      </c>
      <c r="BM68" s="5" t="str">
        <f>IF('Project Database'!A72="","",N('Project Database'!AF72))</f>
        <v/>
      </c>
      <c r="BN68" s="5" t="str">
        <f>IF('Project Database'!A72="","",N('Project Database'!AG72))</f>
        <v/>
      </c>
      <c r="BO68" s="5" t="str">
        <f>IF('Project Database'!A72="","",N('Project Database'!AH72))</f>
        <v/>
      </c>
      <c r="BP68" s="5" t="str">
        <f>IF('Project Database'!A72="","",N('Project Database'!AI72))</f>
        <v/>
      </c>
      <c r="BQ68" s="5" t="str">
        <f>IF('Project Database'!A72="","",N('Project Database'!AJ72))</f>
        <v/>
      </c>
      <c r="BR68" s="5" t="str">
        <f>IF('Project Database'!A72="","",N('Project Database'!AK72))</f>
        <v/>
      </c>
      <c r="BS68" s="5" t="str">
        <f>IF('Project Database'!A72="","",N('Project Database'!AL72))</f>
        <v/>
      </c>
      <c r="BT68" s="5" t="str">
        <f>IF('Project Database'!A72="","",N('Project Database'!AM72))</f>
        <v/>
      </c>
      <c r="BU68" s="5" t="str">
        <f>IF('Project Database'!A72="","",N('Project Database'!AN72))</f>
        <v/>
      </c>
      <c r="BV68" s="5" t="str">
        <f>IF('Project Database'!A72="","",N('Project Database'!AO72))</f>
        <v/>
      </c>
      <c r="BW68" s="5" t="str">
        <f>IF('Project Database'!A72="","",N('Project Database'!AP72))</f>
        <v/>
      </c>
      <c r="BX68" s="5">
        <f t="shared" si="26"/>
        <v>0</v>
      </c>
      <c r="BY68" s="5">
        <f t="shared" si="27"/>
        <v>0</v>
      </c>
    </row>
    <row r="69" spans="1:77" ht="15" customHeight="1" x14ac:dyDescent="0.3">
      <c r="A69" s="66">
        <f>'Project Database'!A73</f>
        <v>0</v>
      </c>
      <c r="B69" s="66">
        <f>'Project Database'!B73</f>
        <v>0</v>
      </c>
      <c r="C69" s="66">
        <f>'Project Database'!G73</f>
        <v>0</v>
      </c>
      <c r="D69" s="66">
        <f>'Project Database'!H73</f>
        <v>0</v>
      </c>
      <c r="E69" s="66">
        <f>'Project Database'!I73</f>
        <v>0</v>
      </c>
      <c r="F69" s="66">
        <f>'Project Database'!J73</f>
        <v>0</v>
      </c>
      <c r="G69" s="66">
        <f>'Project Database'!K73</f>
        <v>0</v>
      </c>
      <c r="H69" s="66">
        <f>'Project Database'!L73</f>
        <v>0</v>
      </c>
      <c r="I69" s="66">
        <f>'Project Database'!M73</f>
        <v>0</v>
      </c>
      <c r="J69" s="66">
        <f>'Project Database'!N73</f>
        <v>0</v>
      </c>
      <c r="K69" s="66">
        <f>'Project Database'!O73</f>
        <v>0</v>
      </c>
      <c r="L69" s="66">
        <f>'Project Database'!P73</f>
        <v>0</v>
      </c>
      <c r="M69" s="66">
        <f>'Project Database'!Q73</f>
        <v>0</v>
      </c>
      <c r="N69" s="66">
        <f>'Project Database'!R73</f>
        <v>0</v>
      </c>
      <c r="O69" s="66">
        <f>'Project Database'!S73</f>
        <v>0</v>
      </c>
      <c r="P69" s="66">
        <f>'Project Database'!T73</f>
        <v>0</v>
      </c>
      <c r="Q69" s="66">
        <f>'Project Database'!U73</f>
        <v>0</v>
      </c>
      <c r="R69" s="66">
        <f>'Project Database'!V73</f>
        <v>0</v>
      </c>
      <c r="S69" s="66">
        <f>'Project Database'!W73</f>
        <v>0</v>
      </c>
      <c r="T69" s="66">
        <f>'Project Database'!X73</f>
        <v>0</v>
      </c>
      <c r="U69" s="67">
        <f>'Project Database'!Y73</f>
        <v>0</v>
      </c>
      <c r="V69" s="66">
        <f>IF('Smart Search'!B13=1,IFERROR(1/'Smart Search'!H13,0),0)</f>
        <v>0</v>
      </c>
      <c r="W69" s="66">
        <f>IF('Smart Search'!B13=1,IFERROR(1/'Smart Search'!H13,0),0)</f>
        <v>0</v>
      </c>
      <c r="X69" s="66">
        <f>IF('Smart Search'!C13=1,IFERROR(1/'Smart Search'!H13,0),0)</f>
        <v>0.5</v>
      </c>
      <c r="Y69" s="66">
        <f>IF('Smart Search'!C13=1,IFERROR(1/'Smart Search'!H13,0),0)</f>
        <v>0.5</v>
      </c>
      <c r="Z69" s="66">
        <f>IF('Smart Search'!D13=1,IFERROR(1/'Smart Search'!H13,0),0)</f>
        <v>0</v>
      </c>
      <c r="AA69" s="66">
        <f>IF('Smart Search'!D13=1,IFERROR(1/'Smart Search'!H13,0),0)</f>
        <v>0</v>
      </c>
      <c r="AB69" s="66">
        <f>IF('Smart Search'!E13=1,IFERROR(1/'Smart Search'!H13,0),0)</f>
        <v>0</v>
      </c>
      <c r="AC69" s="66">
        <f>IF('Smart Search'!E13=1,IFERROR(1/'Smart Search'!H13,0),0)</f>
        <v>0</v>
      </c>
      <c r="AD69" s="66">
        <f>IF('Smart Search'!F13=1,IFERROR(1/'Smart Search'!H13,0),0)</f>
        <v>0</v>
      </c>
      <c r="AE69" s="66">
        <f>IF('Smart Search'!F13=1,IFERROR(1/'Smart Search'!H13,0),0)</f>
        <v>0</v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>0</v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>0</v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>0</v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>0</v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>0</v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>0</v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>0</v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>0</v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>0</v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>0</v>
      </c>
      <c r="AP69" s="66">
        <f t="shared" si="14"/>
        <v>0</v>
      </c>
      <c r="AQ69" s="66">
        <f t="shared" si="15"/>
        <v>0</v>
      </c>
      <c r="AR69" s="66">
        <f t="shared" si="16"/>
        <v>0</v>
      </c>
      <c r="AS69" s="66">
        <f t="shared" si="17"/>
        <v>0</v>
      </c>
      <c r="AT69" s="66">
        <f t="shared" si="18"/>
        <v>0</v>
      </c>
      <c r="AU69" s="66">
        <f t="shared" si="19"/>
        <v>0</v>
      </c>
      <c r="AV69" s="66">
        <f t="shared" si="20"/>
        <v>0</v>
      </c>
      <c r="AW69" s="66">
        <f t="shared" si="21"/>
        <v>0</v>
      </c>
      <c r="AX69" s="66">
        <f t="shared" si="22"/>
        <v>0</v>
      </c>
      <c r="AY69" s="66">
        <f t="shared" si="23"/>
        <v>0</v>
      </c>
      <c r="AZ69" s="66">
        <f>'Project Database'!Z73</f>
        <v>0</v>
      </c>
      <c r="BA69" s="66">
        <f>IF(OR(A69="",'Smart Search'!H13=0),"",MAX(0,BE69*BF69*MAX(0,1-BG69)))</f>
        <v>0</v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>0</v>
      </c>
      <c r="BC69" s="66">
        <f>IF('Smart Search'!G13=1,IFERROR(1/'Smart Search'!H13,0),0)</f>
        <v>0</v>
      </c>
      <c r="BD69" s="66">
        <f t="shared" si="24"/>
        <v>0</v>
      </c>
      <c r="BE69" s="66">
        <f t="shared" si="25"/>
        <v>0</v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>0</v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>0</v>
      </c>
      <c r="BH69" s="5" t="str">
        <f>IF(AND('Project Database'!A73&lt;&gt;"",OR('Smart Search'!$L$5="",'Smart Search'!$L$5="All",TRIM('Project Database'!D73)=TRIM('Smart Search'!$L$5)),OR(TRIM('Smart Search'!$L$6)="",TRIM('Smart Search'!$L$6)="All",ISNUMBER(SEARCH(SUBSTITUTE(SUBSTITUTE(SUBSTITUTE(TRIM('Smart Search'!$L$6),"~","~~"),"*","~*"),"?","~?"),'Project Database'!C73))),OR('Smart Search'!$L$7="",AND('Project Database'!E73&lt;&gt;"",'Project Database'!E73='Smart Search'!$L$7)),OR('Smart Search'!$L$8="",'Smart Search'!$L$8="All",TRIM('Project Database'!F73)=TRIM('Smart Search'!$L$8))),IF(BA69="","",BA69+ROW()*0.0000000001),"")</f>
        <v/>
      </c>
      <c r="BI69" s="5" t="str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 t="str">
        <f>IF('Project Database'!A73="","",N('Project Database'!AC73))</f>
        <v/>
      </c>
      <c r="BK69" s="5" t="str">
        <f>IF('Project Database'!A73="","",N('Project Database'!AD73))</f>
        <v/>
      </c>
      <c r="BL69" s="5" t="str">
        <f>IF('Project Database'!A73="","",N('Project Database'!AE73))</f>
        <v/>
      </c>
      <c r="BM69" s="5" t="str">
        <f>IF('Project Database'!A73="","",N('Project Database'!AF73))</f>
        <v/>
      </c>
      <c r="BN69" s="5" t="str">
        <f>IF('Project Database'!A73="","",N('Project Database'!AG73))</f>
        <v/>
      </c>
      <c r="BO69" s="5" t="str">
        <f>IF('Project Database'!A73="","",N('Project Database'!AH73))</f>
        <v/>
      </c>
      <c r="BP69" s="5" t="str">
        <f>IF('Project Database'!A73="","",N('Project Database'!AI73))</f>
        <v/>
      </c>
      <c r="BQ69" s="5" t="str">
        <f>IF('Project Database'!A73="","",N('Project Database'!AJ73))</f>
        <v/>
      </c>
      <c r="BR69" s="5" t="str">
        <f>IF('Project Database'!A73="","",N('Project Database'!AK73))</f>
        <v/>
      </c>
      <c r="BS69" s="5" t="str">
        <f>IF('Project Database'!A73="","",N('Project Database'!AL73))</f>
        <v/>
      </c>
      <c r="BT69" s="5" t="str">
        <f>IF('Project Database'!A73="","",N('Project Database'!AM73))</f>
        <v/>
      </c>
      <c r="BU69" s="5" t="str">
        <f>IF('Project Database'!A73="","",N('Project Database'!AN73))</f>
        <v/>
      </c>
      <c r="BV69" s="5" t="str">
        <f>IF('Project Database'!A73="","",N('Project Database'!AO73))</f>
        <v/>
      </c>
      <c r="BW69" s="5" t="str">
        <f>IF('Project Database'!A73="","",N('Project Database'!AP73))</f>
        <v/>
      </c>
      <c r="BX69" s="5">
        <f t="shared" si="26"/>
        <v>0</v>
      </c>
      <c r="BY69" s="5">
        <f t="shared" si="27"/>
        <v>0</v>
      </c>
    </row>
    <row r="70" spans="1:77" ht="15" customHeight="1" x14ac:dyDescent="0.3">
      <c r="A70" s="66">
        <f>'Project Database'!A74</f>
        <v>0</v>
      </c>
      <c r="B70" s="66">
        <f>'Project Database'!B74</f>
        <v>0</v>
      </c>
      <c r="C70" s="66">
        <f>'Project Database'!G74</f>
        <v>0</v>
      </c>
      <c r="D70" s="66">
        <f>'Project Database'!H74</f>
        <v>0</v>
      </c>
      <c r="E70" s="66">
        <f>'Project Database'!I74</f>
        <v>0</v>
      </c>
      <c r="F70" s="66">
        <f>'Project Database'!J74</f>
        <v>0</v>
      </c>
      <c r="G70" s="66">
        <f>'Project Database'!K74</f>
        <v>0</v>
      </c>
      <c r="H70" s="66">
        <f>'Project Database'!L74</f>
        <v>0</v>
      </c>
      <c r="I70" s="66">
        <f>'Project Database'!M74</f>
        <v>0</v>
      </c>
      <c r="J70" s="66">
        <f>'Project Database'!N74</f>
        <v>0</v>
      </c>
      <c r="K70" s="66">
        <f>'Project Database'!O74</f>
        <v>0</v>
      </c>
      <c r="L70" s="66">
        <f>'Project Database'!P74</f>
        <v>0</v>
      </c>
      <c r="M70" s="66">
        <f>'Project Database'!Q74</f>
        <v>0</v>
      </c>
      <c r="N70" s="66">
        <f>'Project Database'!R74</f>
        <v>0</v>
      </c>
      <c r="O70" s="66">
        <f>'Project Database'!S74</f>
        <v>0</v>
      </c>
      <c r="P70" s="66">
        <f>'Project Database'!T74</f>
        <v>0</v>
      </c>
      <c r="Q70" s="66">
        <f>'Project Database'!U74</f>
        <v>0</v>
      </c>
      <c r="R70" s="66">
        <f>'Project Database'!V74</f>
        <v>0</v>
      </c>
      <c r="S70" s="66">
        <f>'Project Database'!W74</f>
        <v>0</v>
      </c>
      <c r="T70" s="66">
        <f>'Project Database'!X74</f>
        <v>0</v>
      </c>
      <c r="U70" s="67">
        <f>'Project Database'!Y74</f>
        <v>0</v>
      </c>
      <c r="V70" s="66">
        <f>IF('Smart Search'!B13=1,IFERROR(1/'Smart Search'!H13,0),0)</f>
        <v>0</v>
      </c>
      <c r="W70" s="66">
        <f>IF('Smart Search'!B13=1,IFERROR(1/'Smart Search'!H13,0),0)</f>
        <v>0</v>
      </c>
      <c r="X70" s="66">
        <f>IF('Smart Search'!C13=1,IFERROR(1/'Smart Search'!H13,0),0)</f>
        <v>0.5</v>
      </c>
      <c r="Y70" s="66">
        <f>IF('Smart Search'!C13=1,IFERROR(1/'Smart Search'!H13,0),0)</f>
        <v>0.5</v>
      </c>
      <c r="Z70" s="66">
        <f>IF('Smart Search'!D13=1,IFERROR(1/'Smart Search'!H13,0),0)</f>
        <v>0</v>
      </c>
      <c r="AA70" s="66">
        <f>IF('Smart Search'!D13=1,IFERROR(1/'Smart Search'!H13,0),0)</f>
        <v>0</v>
      </c>
      <c r="AB70" s="66">
        <f>IF('Smart Search'!E13=1,IFERROR(1/'Smart Search'!H13,0),0)</f>
        <v>0</v>
      </c>
      <c r="AC70" s="66">
        <f>IF('Smart Search'!E13=1,IFERROR(1/'Smart Search'!H13,0),0)</f>
        <v>0</v>
      </c>
      <c r="AD70" s="66">
        <f>IF('Smart Search'!F13=1,IFERROR(1/'Smart Search'!H13,0),0)</f>
        <v>0</v>
      </c>
      <c r="AE70" s="66">
        <f>IF('Smart Search'!F13=1,IFERROR(1/'Smart Search'!H13,0),0)</f>
        <v>0</v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>0</v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>0</v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>0</v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>0</v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>0</v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>0</v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>0</v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>0</v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>0</v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>0</v>
      </c>
      <c r="AP70" s="66">
        <f t="shared" si="14"/>
        <v>0</v>
      </c>
      <c r="AQ70" s="66">
        <f t="shared" si="15"/>
        <v>0</v>
      </c>
      <c r="AR70" s="66">
        <f t="shared" si="16"/>
        <v>0</v>
      </c>
      <c r="AS70" s="66">
        <f t="shared" si="17"/>
        <v>0</v>
      </c>
      <c r="AT70" s="66">
        <f t="shared" si="18"/>
        <v>0</v>
      </c>
      <c r="AU70" s="66">
        <f t="shared" si="19"/>
        <v>0</v>
      </c>
      <c r="AV70" s="66">
        <f t="shared" si="20"/>
        <v>0</v>
      </c>
      <c r="AW70" s="66">
        <f t="shared" si="21"/>
        <v>0</v>
      </c>
      <c r="AX70" s="66">
        <f t="shared" si="22"/>
        <v>0</v>
      </c>
      <c r="AY70" s="66">
        <f t="shared" si="23"/>
        <v>0</v>
      </c>
      <c r="AZ70" s="66">
        <f>'Project Database'!Z74</f>
        <v>0</v>
      </c>
      <c r="BA70" s="66">
        <f>IF(OR(A70="",'Smart Search'!H13=0),"",MAX(0,BE70*BF70*MAX(0,1-BG70)))</f>
        <v>0</v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>0</v>
      </c>
      <c r="BC70" s="66">
        <f>IF('Smart Search'!G13=1,IFERROR(1/'Smart Search'!H13,0),0)</f>
        <v>0</v>
      </c>
      <c r="BD70" s="66">
        <f t="shared" si="24"/>
        <v>0</v>
      </c>
      <c r="BE70" s="66">
        <f t="shared" si="25"/>
        <v>0</v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>0</v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>0</v>
      </c>
      <c r="BH70" s="5" t="str">
        <f>IF(AND('Project Database'!A74&lt;&gt;"",OR('Smart Search'!$L$5="",'Smart Search'!$L$5="All",TRIM('Project Database'!D74)=TRIM('Smart Search'!$L$5)),OR(TRIM('Smart Search'!$L$6)="",TRIM('Smart Search'!$L$6)="All",ISNUMBER(SEARCH(SUBSTITUTE(SUBSTITUTE(SUBSTITUTE(TRIM('Smart Search'!$L$6),"~","~~"),"*","~*"),"?","~?"),'Project Database'!C74))),OR('Smart Search'!$L$7="",AND('Project Database'!E74&lt;&gt;"",'Project Database'!E74='Smart Search'!$L$7)),OR('Smart Search'!$L$8="",'Smart Search'!$L$8="All",TRIM('Project Database'!F74)=TRIM('Smart Search'!$L$8))),IF(BA70="","",BA70+ROW()*0.0000000001),"")</f>
        <v/>
      </c>
      <c r="BI70" s="5" t="str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 t="str">
        <f>IF('Project Database'!A74="","",N('Project Database'!AC74))</f>
        <v/>
      </c>
      <c r="BK70" s="5" t="str">
        <f>IF('Project Database'!A74="","",N('Project Database'!AD74))</f>
        <v/>
      </c>
      <c r="BL70" s="5" t="str">
        <f>IF('Project Database'!A74="","",N('Project Database'!AE74))</f>
        <v/>
      </c>
      <c r="BM70" s="5" t="str">
        <f>IF('Project Database'!A74="","",N('Project Database'!AF74))</f>
        <v/>
      </c>
      <c r="BN70" s="5" t="str">
        <f>IF('Project Database'!A74="","",N('Project Database'!AG74))</f>
        <v/>
      </c>
      <c r="BO70" s="5" t="str">
        <f>IF('Project Database'!A74="","",N('Project Database'!AH74))</f>
        <v/>
      </c>
      <c r="BP70" s="5" t="str">
        <f>IF('Project Database'!A74="","",N('Project Database'!AI74))</f>
        <v/>
      </c>
      <c r="BQ70" s="5" t="str">
        <f>IF('Project Database'!A74="","",N('Project Database'!AJ74))</f>
        <v/>
      </c>
      <c r="BR70" s="5" t="str">
        <f>IF('Project Database'!A74="","",N('Project Database'!AK74))</f>
        <v/>
      </c>
      <c r="BS70" s="5" t="str">
        <f>IF('Project Database'!A74="","",N('Project Database'!AL74))</f>
        <v/>
      </c>
      <c r="BT70" s="5" t="str">
        <f>IF('Project Database'!A74="","",N('Project Database'!AM74))</f>
        <v/>
      </c>
      <c r="BU70" s="5" t="str">
        <f>IF('Project Database'!A74="","",N('Project Database'!AN74))</f>
        <v/>
      </c>
      <c r="BV70" s="5" t="str">
        <f>IF('Project Database'!A74="","",N('Project Database'!AO74))</f>
        <v/>
      </c>
      <c r="BW70" s="5" t="str">
        <f>IF('Project Database'!A74="","",N('Project Database'!AP74))</f>
        <v/>
      </c>
      <c r="BX70" s="5">
        <f t="shared" si="26"/>
        <v>0</v>
      </c>
      <c r="BY70" s="5">
        <f t="shared" si="27"/>
        <v>0</v>
      </c>
    </row>
    <row r="71" spans="1:77" ht="15" customHeight="1" x14ac:dyDescent="0.3">
      <c r="A71" s="66">
        <f>'Project Database'!A75</f>
        <v>0</v>
      </c>
      <c r="B71" s="66">
        <f>'Project Database'!B75</f>
        <v>0</v>
      </c>
      <c r="C71" s="66">
        <f>'Project Database'!G75</f>
        <v>0</v>
      </c>
      <c r="D71" s="66">
        <f>'Project Database'!H75</f>
        <v>0</v>
      </c>
      <c r="E71" s="66">
        <f>'Project Database'!I75</f>
        <v>0</v>
      </c>
      <c r="F71" s="66">
        <f>'Project Database'!J75</f>
        <v>0</v>
      </c>
      <c r="G71" s="66">
        <f>'Project Database'!K75</f>
        <v>0</v>
      </c>
      <c r="H71" s="66">
        <f>'Project Database'!L75</f>
        <v>0</v>
      </c>
      <c r="I71" s="66">
        <f>'Project Database'!M75</f>
        <v>0</v>
      </c>
      <c r="J71" s="66">
        <f>'Project Database'!N75</f>
        <v>0</v>
      </c>
      <c r="K71" s="66">
        <f>'Project Database'!O75</f>
        <v>0</v>
      </c>
      <c r="L71" s="66">
        <f>'Project Database'!P75</f>
        <v>0</v>
      </c>
      <c r="M71" s="66">
        <f>'Project Database'!Q75</f>
        <v>0</v>
      </c>
      <c r="N71" s="66">
        <f>'Project Database'!R75</f>
        <v>0</v>
      </c>
      <c r="O71" s="66">
        <f>'Project Database'!S75</f>
        <v>0</v>
      </c>
      <c r="P71" s="66">
        <f>'Project Database'!T75</f>
        <v>0</v>
      </c>
      <c r="Q71" s="66">
        <f>'Project Database'!U75</f>
        <v>0</v>
      </c>
      <c r="R71" s="66">
        <f>'Project Database'!V75</f>
        <v>0</v>
      </c>
      <c r="S71" s="66">
        <f>'Project Database'!W75</f>
        <v>0</v>
      </c>
      <c r="T71" s="66">
        <f>'Project Database'!X75</f>
        <v>0</v>
      </c>
      <c r="U71" s="67">
        <f>'Project Database'!Y75</f>
        <v>0</v>
      </c>
      <c r="V71" s="66">
        <f>IF('Smart Search'!B13=1,IFERROR(1/'Smart Search'!H13,0),0)</f>
        <v>0</v>
      </c>
      <c r="W71" s="66">
        <f>IF('Smart Search'!B13=1,IFERROR(1/'Smart Search'!H13,0),0)</f>
        <v>0</v>
      </c>
      <c r="X71" s="66">
        <f>IF('Smart Search'!C13=1,IFERROR(1/'Smart Search'!H13,0),0)</f>
        <v>0.5</v>
      </c>
      <c r="Y71" s="66">
        <f>IF('Smart Search'!C13=1,IFERROR(1/'Smart Search'!H13,0),0)</f>
        <v>0.5</v>
      </c>
      <c r="Z71" s="66">
        <f>IF('Smart Search'!D13=1,IFERROR(1/'Smart Search'!H13,0),0)</f>
        <v>0</v>
      </c>
      <c r="AA71" s="66">
        <f>IF('Smart Search'!D13=1,IFERROR(1/'Smart Search'!H13,0),0)</f>
        <v>0</v>
      </c>
      <c r="AB71" s="66">
        <f>IF('Smart Search'!E13=1,IFERROR(1/'Smart Search'!H13,0),0)</f>
        <v>0</v>
      </c>
      <c r="AC71" s="66">
        <f>IF('Smart Search'!E13=1,IFERROR(1/'Smart Search'!H13,0),0)</f>
        <v>0</v>
      </c>
      <c r="AD71" s="66">
        <f>IF('Smart Search'!F13=1,IFERROR(1/'Smart Search'!H13,0),0)</f>
        <v>0</v>
      </c>
      <c r="AE71" s="66">
        <f>IF('Smart Search'!F13=1,IFERROR(1/'Smart Search'!H13,0),0)</f>
        <v>0</v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>0</v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>0</v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>0</v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>0</v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>0</v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>0</v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>0</v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>0</v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>0</v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>0</v>
      </c>
      <c r="AP71" s="66">
        <f t="shared" si="14"/>
        <v>0</v>
      </c>
      <c r="AQ71" s="66">
        <f t="shared" si="15"/>
        <v>0</v>
      </c>
      <c r="AR71" s="66">
        <f t="shared" si="16"/>
        <v>0</v>
      </c>
      <c r="AS71" s="66">
        <f t="shared" si="17"/>
        <v>0</v>
      </c>
      <c r="AT71" s="66">
        <f t="shared" si="18"/>
        <v>0</v>
      </c>
      <c r="AU71" s="66">
        <f t="shared" si="19"/>
        <v>0</v>
      </c>
      <c r="AV71" s="66">
        <f t="shared" si="20"/>
        <v>0</v>
      </c>
      <c r="AW71" s="66">
        <f t="shared" si="21"/>
        <v>0</v>
      </c>
      <c r="AX71" s="66">
        <f t="shared" si="22"/>
        <v>0</v>
      </c>
      <c r="AY71" s="66">
        <f t="shared" si="23"/>
        <v>0</v>
      </c>
      <c r="AZ71" s="66">
        <f>'Project Database'!Z75</f>
        <v>0</v>
      </c>
      <c r="BA71" s="66">
        <f>IF(OR(A71="",'Smart Search'!H13=0),"",MAX(0,BE71*BF71*MAX(0,1-BG71)))</f>
        <v>0</v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>0</v>
      </c>
      <c r="BC71" s="66">
        <f>IF('Smart Search'!G13=1,IFERROR(1/'Smart Search'!H13,0),0)</f>
        <v>0</v>
      </c>
      <c r="BD71" s="66">
        <f t="shared" si="24"/>
        <v>0</v>
      </c>
      <c r="BE71" s="66">
        <f t="shared" si="25"/>
        <v>0</v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>0</v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>0</v>
      </c>
      <c r="BH71" s="5" t="str">
        <f>IF(AND('Project Database'!A75&lt;&gt;"",OR('Smart Search'!$L$5="",'Smart Search'!$L$5="All",TRIM('Project Database'!D75)=TRIM('Smart Search'!$L$5)),OR(TRIM('Smart Search'!$L$6)="",TRIM('Smart Search'!$L$6)="All",ISNUMBER(SEARCH(SUBSTITUTE(SUBSTITUTE(SUBSTITUTE(TRIM('Smart Search'!$L$6),"~","~~"),"*","~*"),"?","~?"),'Project Database'!C75))),OR('Smart Search'!$L$7="",AND('Project Database'!E75&lt;&gt;"",'Project Database'!E75='Smart Search'!$L$7)),OR('Smart Search'!$L$8="",'Smart Search'!$L$8="All",TRIM('Project Database'!F75)=TRIM('Smart Search'!$L$8))),IF(BA71="","",BA71+ROW()*0.0000000001),"")</f>
        <v/>
      </c>
      <c r="BI71" s="5" t="str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 t="str">
        <f>IF('Project Database'!A75="","",N('Project Database'!AC75))</f>
        <v/>
      </c>
      <c r="BK71" s="5" t="str">
        <f>IF('Project Database'!A75="","",N('Project Database'!AD75))</f>
        <v/>
      </c>
      <c r="BL71" s="5" t="str">
        <f>IF('Project Database'!A75="","",N('Project Database'!AE75))</f>
        <v/>
      </c>
      <c r="BM71" s="5" t="str">
        <f>IF('Project Database'!A75="","",N('Project Database'!AF75))</f>
        <v/>
      </c>
      <c r="BN71" s="5" t="str">
        <f>IF('Project Database'!A75="","",N('Project Database'!AG75))</f>
        <v/>
      </c>
      <c r="BO71" s="5" t="str">
        <f>IF('Project Database'!A75="","",N('Project Database'!AH75))</f>
        <v/>
      </c>
      <c r="BP71" s="5" t="str">
        <f>IF('Project Database'!A75="","",N('Project Database'!AI75))</f>
        <v/>
      </c>
      <c r="BQ71" s="5" t="str">
        <f>IF('Project Database'!A75="","",N('Project Database'!AJ75))</f>
        <v/>
      </c>
      <c r="BR71" s="5" t="str">
        <f>IF('Project Database'!A75="","",N('Project Database'!AK75))</f>
        <v/>
      </c>
      <c r="BS71" s="5" t="str">
        <f>IF('Project Database'!A75="","",N('Project Database'!AL75))</f>
        <v/>
      </c>
      <c r="BT71" s="5" t="str">
        <f>IF('Project Database'!A75="","",N('Project Database'!AM75))</f>
        <v/>
      </c>
      <c r="BU71" s="5" t="str">
        <f>IF('Project Database'!A75="","",N('Project Database'!AN75))</f>
        <v/>
      </c>
      <c r="BV71" s="5" t="str">
        <f>IF('Project Database'!A75="","",N('Project Database'!AO75))</f>
        <v/>
      </c>
      <c r="BW71" s="5" t="str">
        <f>IF('Project Database'!A75="","",N('Project Database'!AP75))</f>
        <v/>
      </c>
      <c r="BX71" s="5">
        <f t="shared" si="26"/>
        <v>0</v>
      </c>
      <c r="BY71" s="5">
        <f t="shared" si="27"/>
        <v>0</v>
      </c>
    </row>
    <row r="72" spans="1:77" ht="15" customHeight="1" x14ac:dyDescent="0.3">
      <c r="A72" s="66">
        <f>'Project Database'!A76</f>
        <v>0</v>
      </c>
      <c r="B72" s="66">
        <f>'Project Database'!B76</f>
        <v>0</v>
      </c>
      <c r="C72" s="66">
        <f>'Project Database'!G76</f>
        <v>0</v>
      </c>
      <c r="D72" s="66">
        <f>'Project Database'!H76</f>
        <v>0</v>
      </c>
      <c r="E72" s="66">
        <f>'Project Database'!I76</f>
        <v>0</v>
      </c>
      <c r="F72" s="66">
        <f>'Project Database'!J76</f>
        <v>0</v>
      </c>
      <c r="G72" s="66">
        <f>'Project Database'!K76</f>
        <v>0</v>
      </c>
      <c r="H72" s="66">
        <f>'Project Database'!L76</f>
        <v>0</v>
      </c>
      <c r="I72" s="66">
        <f>'Project Database'!M76</f>
        <v>0</v>
      </c>
      <c r="J72" s="66">
        <f>'Project Database'!N76</f>
        <v>0</v>
      </c>
      <c r="K72" s="66">
        <f>'Project Database'!O76</f>
        <v>0</v>
      </c>
      <c r="L72" s="66">
        <f>'Project Database'!P76</f>
        <v>0</v>
      </c>
      <c r="M72" s="66">
        <f>'Project Database'!Q76</f>
        <v>0</v>
      </c>
      <c r="N72" s="66">
        <f>'Project Database'!R76</f>
        <v>0</v>
      </c>
      <c r="O72" s="66">
        <f>'Project Database'!S76</f>
        <v>0</v>
      </c>
      <c r="P72" s="66">
        <f>'Project Database'!T76</f>
        <v>0</v>
      </c>
      <c r="Q72" s="66">
        <f>'Project Database'!U76</f>
        <v>0</v>
      </c>
      <c r="R72" s="66">
        <f>'Project Database'!V76</f>
        <v>0</v>
      </c>
      <c r="S72" s="66">
        <f>'Project Database'!W76</f>
        <v>0</v>
      </c>
      <c r="T72" s="66">
        <f>'Project Database'!X76</f>
        <v>0</v>
      </c>
      <c r="U72" s="67">
        <f>'Project Database'!Y76</f>
        <v>0</v>
      </c>
      <c r="V72" s="66">
        <f>IF('Smart Search'!B13=1,IFERROR(1/'Smart Search'!H13,0),0)</f>
        <v>0</v>
      </c>
      <c r="W72" s="66">
        <f>IF('Smart Search'!B13=1,IFERROR(1/'Smart Search'!H13,0),0)</f>
        <v>0</v>
      </c>
      <c r="X72" s="66">
        <f>IF('Smart Search'!C13=1,IFERROR(1/'Smart Search'!H13,0),0)</f>
        <v>0.5</v>
      </c>
      <c r="Y72" s="66">
        <f>IF('Smart Search'!C13=1,IFERROR(1/'Smart Search'!H13,0),0)</f>
        <v>0.5</v>
      </c>
      <c r="Z72" s="66">
        <f>IF('Smart Search'!D13=1,IFERROR(1/'Smart Search'!H13,0),0)</f>
        <v>0</v>
      </c>
      <c r="AA72" s="66">
        <f>IF('Smart Search'!D13=1,IFERROR(1/'Smart Search'!H13,0),0)</f>
        <v>0</v>
      </c>
      <c r="AB72" s="66">
        <f>IF('Smart Search'!E13=1,IFERROR(1/'Smart Search'!H13,0),0)</f>
        <v>0</v>
      </c>
      <c r="AC72" s="66">
        <f>IF('Smart Search'!E13=1,IFERROR(1/'Smart Search'!H13,0),0)</f>
        <v>0</v>
      </c>
      <c r="AD72" s="66">
        <f>IF('Smart Search'!F13=1,IFERROR(1/'Smart Search'!H13,0),0)</f>
        <v>0</v>
      </c>
      <c r="AE72" s="66">
        <f>IF('Smart Search'!F13=1,IFERROR(1/'Smart Search'!H13,0),0)</f>
        <v>0</v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>0</v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>0</v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>0</v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>0</v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>0</v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>0</v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>0</v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>0</v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>0</v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>0</v>
      </c>
      <c r="AP72" s="66">
        <f t="shared" si="14"/>
        <v>0</v>
      </c>
      <c r="AQ72" s="66">
        <f t="shared" si="15"/>
        <v>0</v>
      </c>
      <c r="AR72" s="66">
        <f t="shared" si="16"/>
        <v>0</v>
      </c>
      <c r="AS72" s="66">
        <f t="shared" si="17"/>
        <v>0</v>
      </c>
      <c r="AT72" s="66">
        <f t="shared" si="18"/>
        <v>0</v>
      </c>
      <c r="AU72" s="66">
        <f t="shared" si="19"/>
        <v>0</v>
      </c>
      <c r="AV72" s="66">
        <f t="shared" si="20"/>
        <v>0</v>
      </c>
      <c r="AW72" s="66">
        <f t="shared" si="21"/>
        <v>0</v>
      </c>
      <c r="AX72" s="66">
        <f t="shared" si="22"/>
        <v>0</v>
      </c>
      <c r="AY72" s="66">
        <f t="shared" si="23"/>
        <v>0</v>
      </c>
      <c r="AZ72" s="66">
        <f>'Project Database'!Z76</f>
        <v>0</v>
      </c>
      <c r="BA72" s="66">
        <f>IF(OR(A72="",'Smart Search'!H13=0),"",MAX(0,BE72*BF72*MAX(0,1-BG72)))</f>
        <v>0</v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>0</v>
      </c>
      <c r="BC72" s="66">
        <f>IF('Smart Search'!G13=1,IFERROR(1/'Smart Search'!H13,0),0)</f>
        <v>0</v>
      </c>
      <c r="BD72" s="66">
        <f t="shared" si="24"/>
        <v>0</v>
      </c>
      <c r="BE72" s="66">
        <f t="shared" si="25"/>
        <v>0</v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>0</v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>0</v>
      </c>
      <c r="BH72" s="5" t="str">
        <f>IF(AND('Project Database'!A76&lt;&gt;"",OR('Smart Search'!$L$5="",'Smart Search'!$L$5="All",TRIM('Project Database'!D76)=TRIM('Smart Search'!$L$5)),OR(TRIM('Smart Search'!$L$6)="",TRIM('Smart Search'!$L$6)="All",ISNUMBER(SEARCH(SUBSTITUTE(SUBSTITUTE(SUBSTITUTE(TRIM('Smart Search'!$L$6),"~","~~"),"*","~*"),"?","~?"),'Project Database'!C76))),OR('Smart Search'!$L$7="",AND('Project Database'!E76&lt;&gt;"",'Project Database'!E76='Smart Search'!$L$7)),OR('Smart Search'!$L$8="",'Smart Search'!$L$8="All",TRIM('Project Database'!F76)=TRIM('Smart Search'!$L$8))),IF(BA72="","",BA72+ROW()*0.0000000001),"")</f>
        <v/>
      </c>
      <c r="BI72" s="5" t="str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 t="str">
        <f>IF('Project Database'!A76="","",N('Project Database'!AC76))</f>
        <v/>
      </c>
      <c r="BK72" s="5" t="str">
        <f>IF('Project Database'!A76="","",N('Project Database'!AD76))</f>
        <v/>
      </c>
      <c r="BL72" s="5" t="str">
        <f>IF('Project Database'!A76="","",N('Project Database'!AE76))</f>
        <v/>
      </c>
      <c r="BM72" s="5" t="str">
        <f>IF('Project Database'!A76="","",N('Project Database'!AF76))</f>
        <v/>
      </c>
      <c r="BN72" s="5" t="str">
        <f>IF('Project Database'!A76="","",N('Project Database'!AG76))</f>
        <v/>
      </c>
      <c r="BO72" s="5" t="str">
        <f>IF('Project Database'!A76="","",N('Project Database'!AH76))</f>
        <v/>
      </c>
      <c r="BP72" s="5" t="str">
        <f>IF('Project Database'!A76="","",N('Project Database'!AI76))</f>
        <v/>
      </c>
      <c r="BQ72" s="5" t="str">
        <f>IF('Project Database'!A76="","",N('Project Database'!AJ76))</f>
        <v/>
      </c>
      <c r="BR72" s="5" t="str">
        <f>IF('Project Database'!A76="","",N('Project Database'!AK76))</f>
        <v/>
      </c>
      <c r="BS72" s="5" t="str">
        <f>IF('Project Database'!A76="","",N('Project Database'!AL76))</f>
        <v/>
      </c>
      <c r="BT72" s="5" t="str">
        <f>IF('Project Database'!A76="","",N('Project Database'!AM76))</f>
        <v/>
      </c>
      <c r="BU72" s="5" t="str">
        <f>IF('Project Database'!A76="","",N('Project Database'!AN76))</f>
        <v/>
      </c>
      <c r="BV72" s="5" t="str">
        <f>IF('Project Database'!A76="","",N('Project Database'!AO76))</f>
        <v/>
      </c>
      <c r="BW72" s="5" t="str">
        <f>IF('Project Database'!A76="","",N('Project Database'!AP76))</f>
        <v/>
      </c>
      <c r="BX72" s="5">
        <f t="shared" si="26"/>
        <v>0</v>
      </c>
      <c r="BY72" s="5">
        <f t="shared" si="27"/>
        <v>0</v>
      </c>
    </row>
    <row r="73" spans="1:77" ht="15" customHeight="1" x14ac:dyDescent="0.3">
      <c r="A73" s="66">
        <f>'Project Database'!A77</f>
        <v>0</v>
      </c>
      <c r="B73" s="66">
        <f>'Project Database'!B77</f>
        <v>0</v>
      </c>
      <c r="C73" s="66">
        <f>'Project Database'!G77</f>
        <v>0</v>
      </c>
      <c r="D73" s="66">
        <f>'Project Database'!H77</f>
        <v>0</v>
      </c>
      <c r="E73" s="66">
        <f>'Project Database'!I77</f>
        <v>0</v>
      </c>
      <c r="F73" s="66">
        <f>'Project Database'!J77</f>
        <v>0</v>
      </c>
      <c r="G73" s="66">
        <f>'Project Database'!K77</f>
        <v>0</v>
      </c>
      <c r="H73" s="66">
        <f>'Project Database'!L77</f>
        <v>0</v>
      </c>
      <c r="I73" s="66">
        <f>'Project Database'!M77</f>
        <v>0</v>
      </c>
      <c r="J73" s="66">
        <f>'Project Database'!N77</f>
        <v>0</v>
      </c>
      <c r="K73" s="66">
        <f>'Project Database'!O77</f>
        <v>0</v>
      </c>
      <c r="L73" s="66">
        <f>'Project Database'!P77</f>
        <v>0</v>
      </c>
      <c r="M73" s="66">
        <f>'Project Database'!Q77</f>
        <v>0</v>
      </c>
      <c r="N73" s="66">
        <f>'Project Database'!R77</f>
        <v>0</v>
      </c>
      <c r="O73" s="66">
        <f>'Project Database'!S77</f>
        <v>0</v>
      </c>
      <c r="P73" s="66">
        <f>'Project Database'!T77</f>
        <v>0</v>
      </c>
      <c r="Q73" s="66">
        <f>'Project Database'!U77</f>
        <v>0</v>
      </c>
      <c r="R73" s="66">
        <f>'Project Database'!V77</f>
        <v>0</v>
      </c>
      <c r="S73" s="66">
        <f>'Project Database'!W77</f>
        <v>0</v>
      </c>
      <c r="T73" s="66">
        <f>'Project Database'!X77</f>
        <v>0</v>
      </c>
      <c r="U73" s="67">
        <f>'Project Database'!Y77</f>
        <v>0</v>
      </c>
      <c r="V73" s="66">
        <f>IF('Smart Search'!B13=1,IFERROR(1/'Smart Search'!H13,0),0)</f>
        <v>0</v>
      </c>
      <c r="W73" s="66">
        <f>IF('Smart Search'!B13=1,IFERROR(1/'Smart Search'!H13,0),0)</f>
        <v>0</v>
      </c>
      <c r="X73" s="66">
        <f>IF('Smart Search'!C13=1,IFERROR(1/'Smart Search'!H13,0),0)</f>
        <v>0.5</v>
      </c>
      <c r="Y73" s="66">
        <f>IF('Smart Search'!C13=1,IFERROR(1/'Smart Search'!H13,0),0)</f>
        <v>0.5</v>
      </c>
      <c r="Z73" s="66">
        <f>IF('Smart Search'!D13=1,IFERROR(1/'Smart Search'!H13,0),0)</f>
        <v>0</v>
      </c>
      <c r="AA73" s="66">
        <f>IF('Smart Search'!D13=1,IFERROR(1/'Smart Search'!H13,0),0)</f>
        <v>0</v>
      </c>
      <c r="AB73" s="66">
        <f>IF('Smart Search'!E13=1,IFERROR(1/'Smart Search'!H13,0),0)</f>
        <v>0</v>
      </c>
      <c r="AC73" s="66">
        <f>IF('Smart Search'!E13=1,IFERROR(1/'Smart Search'!H13,0),0)</f>
        <v>0</v>
      </c>
      <c r="AD73" s="66">
        <f>IF('Smart Search'!F13=1,IFERROR(1/'Smart Search'!H13,0),0)</f>
        <v>0</v>
      </c>
      <c r="AE73" s="66">
        <f>IF('Smart Search'!F13=1,IFERROR(1/'Smart Search'!H13,0),0)</f>
        <v>0</v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>0</v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>0</v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>0</v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>0</v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>0</v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>0</v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>0</v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>0</v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>0</v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>0</v>
      </c>
      <c r="AP73" s="66">
        <f t="shared" si="14"/>
        <v>0</v>
      </c>
      <c r="AQ73" s="66">
        <f t="shared" si="15"/>
        <v>0</v>
      </c>
      <c r="AR73" s="66">
        <f t="shared" si="16"/>
        <v>0</v>
      </c>
      <c r="AS73" s="66">
        <f t="shared" si="17"/>
        <v>0</v>
      </c>
      <c r="AT73" s="66">
        <f t="shared" si="18"/>
        <v>0</v>
      </c>
      <c r="AU73" s="66">
        <f t="shared" si="19"/>
        <v>0</v>
      </c>
      <c r="AV73" s="66">
        <f t="shared" si="20"/>
        <v>0</v>
      </c>
      <c r="AW73" s="66">
        <f t="shared" si="21"/>
        <v>0</v>
      </c>
      <c r="AX73" s="66">
        <f t="shared" si="22"/>
        <v>0</v>
      </c>
      <c r="AY73" s="66">
        <f t="shared" si="23"/>
        <v>0</v>
      </c>
      <c r="AZ73" s="66">
        <f>'Project Database'!Z77</f>
        <v>0</v>
      </c>
      <c r="BA73" s="66">
        <f>IF(OR(A73="",'Smart Search'!H13=0),"",MAX(0,BE73*BF73*MAX(0,1-BG73)))</f>
        <v>0</v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>0</v>
      </c>
      <c r="BC73" s="66">
        <f>IF('Smart Search'!G13=1,IFERROR(1/'Smart Search'!H13,0),0)</f>
        <v>0</v>
      </c>
      <c r="BD73" s="66">
        <f t="shared" si="24"/>
        <v>0</v>
      </c>
      <c r="BE73" s="66">
        <f t="shared" si="25"/>
        <v>0</v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>0</v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>0</v>
      </c>
      <c r="BH73" s="5" t="str">
        <f>IF(AND('Project Database'!A77&lt;&gt;"",OR('Smart Search'!$L$5="",'Smart Search'!$L$5="All",TRIM('Project Database'!D77)=TRIM('Smart Search'!$L$5)),OR(TRIM('Smart Search'!$L$6)="",TRIM('Smart Search'!$L$6)="All",ISNUMBER(SEARCH(SUBSTITUTE(SUBSTITUTE(SUBSTITUTE(TRIM('Smart Search'!$L$6),"~","~~"),"*","~*"),"?","~?"),'Project Database'!C77))),OR('Smart Search'!$L$7="",AND('Project Database'!E77&lt;&gt;"",'Project Database'!E77='Smart Search'!$L$7)),OR('Smart Search'!$L$8="",'Smart Search'!$L$8="All",TRIM('Project Database'!F77)=TRIM('Smart Search'!$L$8))),IF(BA73="","",BA73+ROW()*0.0000000001),"")</f>
        <v/>
      </c>
      <c r="BI73" s="5" t="str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 t="str">
        <f>IF('Project Database'!A77="","",N('Project Database'!AC77))</f>
        <v/>
      </c>
      <c r="BK73" s="5" t="str">
        <f>IF('Project Database'!A77="","",N('Project Database'!AD77))</f>
        <v/>
      </c>
      <c r="BL73" s="5" t="str">
        <f>IF('Project Database'!A77="","",N('Project Database'!AE77))</f>
        <v/>
      </c>
      <c r="BM73" s="5" t="str">
        <f>IF('Project Database'!A77="","",N('Project Database'!AF77))</f>
        <v/>
      </c>
      <c r="BN73" s="5" t="str">
        <f>IF('Project Database'!A77="","",N('Project Database'!AG77))</f>
        <v/>
      </c>
      <c r="BO73" s="5" t="str">
        <f>IF('Project Database'!A77="","",N('Project Database'!AH77))</f>
        <v/>
      </c>
      <c r="BP73" s="5" t="str">
        <f>IF('Project Database'!A77="","",N('Project Database'!AI77))</f>
        <v/>
      </c>
      <c r="BQ73" s="5" t="str">
        <f>IF('Project Database'!A77="","",N('Project Database'!AJ77))</f>
        <v/>
      </c>
      <c r="BR73" s="5" t="str">
        <f>IF('Project Database'!A77="","",N('Project Database'!AK77))</f>
        <v/>
      </c>
      <c r="BS73" s="5" t="str">
        <f>IF('Project Database'!A77="","",N('Project Database'!AL77))</f>
        <v/>
      </c>
      <c r="BT73" s="5" t="str">
        <f>IF('Project Database'!A77="","",N('Project Database'!AM77))</f>
        <v/>
      </c>
      <c r="BU73" s="5" t="str">
        <f>IF('Project Database'!A77="","",N('Project Database'!AN77))</f>
        <v/>
      </c>
      <c r="BV73" s="5" t="str">
        <f>IF('Project Database'!A77="","",N('Project Database'!AO77))</f>
        <v/>
      </c>
      <c r="BW73" s="5" t="str">
        <f>IF('Project Database'!A77="","",N('Project Database'!AP77))</f>
        <v/>
      </c>
      <c r="BX73" s="5">
        <f t="shared" si="26"/>
        <v>0</v>
      </c>
      <c r="BY73" s="5">
        <f t="shared" si="27"/>
        <v>0</v>
      </c>
    </row>
    <row r="74" spans="1:77" ht="15" customHeight="1" x14ac:dyDescent="0.3">
      <c r="A74" s="66">
        <f>'Project Database'!A78</f>
        <v>0</v>
      </c>
      <c r="B74" s="66">
        <f>'Project Database'!B78</f>
        <v>0</v>
      </c>
      <c r="C74" s="66">
        <f>'Project Database'!G78</f>
        <v>0</v>
      </c>
      <c r="D74" s="66">
        <f>'Project Database'!H78</f>
        <v>0</v>
      </c>
      <c r="E74" s="66">
        <f>'Project Database'!I78</f>
        <v>0</v>
      </c>
      <c r="F74" s="66">
        <f>'Project Database'!J78</f>
        <v>0</v>
      </c>
      <c r="G74" s="66">
        <f>'Project Database'!K78</f>
        <v>0</v>
      </c>
      <c r="H74" s="66">
        <f>'Project Database'!L78</f>
        <v>0</v>
      </c>
      <c r="I74" s="66">
        <f>'Project Database'!M78</f>
        <v>0</v>
      </c>
      <c r="J74" s="66">
        <f>'Project Database'!N78</f>
        <v>0</v>
      </c>
      <c r="K74" s="66">
        <f>'Project Database'!O78</f>
        <v>0</v>
      </c>
      <c r="L74" s="66">
        <f>'Project Database'!P78</f>
        <v>0</v>
      </c>
      <c r="M74" s="66">
        <f>'Project Database'!Q78</f>
        <v>0</v>
      </c>
      <c r="N74" s="66">
        <f>'Project Database'!R78</f>
        <v>0</v>
      </c>
      <c r="O74" s="66">
        <f>'Project Database'!S78</f>
        <v>0</v>
      </c>
      <c r="P74" s="66">
        <f>'Project Database'!T78</f>
        <v>0</v>
      </c>
      <c r="Q74" s="66">
        <f>'Project Database'!U78</f>
        <v>0</v>
      </c>
      <c r="R74" s="66">
        <f>'Project Database'!V78</f>
        <v>0</v>
      </c>
      <c r="S74" s="66">
        <f>'Project Database'!W78</f>
        <v>0</v>
      </c>
      <c r="T74" s="66">
        <f>'Project Database'!X78</f>
        <v>0</v>
      </c>
      <c r="U74" s="67">
        <f>'Project Database'!Y78</f>
        <v>0</v>
      </c>
      <c r="V74" s="66">
        <f>IF('Smart Search'!B13=1,IFERROR(1/'Smart Search'!H13,0),0)</f>
        <v>0</v>
      </c>
      <c r="W74" s="66">
        <f>IF('Smart Search'!B13=1,IFERROR(1/'Smart Search'!H13,0),0)</f>
        <v>0</v>
      </c>
      <c r="X74" s="66">
        <f>IF('Smart Search'!C13=1,IFERROR(1/'Smart Search'!H13,0),0)</f>
        <v>0.5</v>
      </c>
      <c r="Y74" s="66">
        <f>IF('Smart Search'!C13=1,IFERROR(1/'Smart Search'!H13,0),0)</f>
        <v>0.5</v>
      </c>
      <c r="Z74" s="66">
        <f>IF('Smart Search'!D13=1,IFERROR(1/'Smart Search'!H13,0),0)</f>
        <v>0</v>
      </c>
      <c r="AA74" s="66">
        <f>IF('Smart Search'!D13=1,IFERROR(1/'Smart Search'!H13,0),0)</f>
        <v>0</v>
      </c>
      <c r="AB74" s="66">
        <f>IF('Smart Search'!E13=1,IFERROR(1/'Smart Search'!H13,0),0)</f>
        <v>0</v>
      </c>
      <c r="AC74" s="66">
        <f>IF('Smart Search'!E13=1,IFERROR(1/'Smart Search'!H13,0),0)</f>
        <v>0</v>
      </c>
      <c r="AD74" s="66">
        <f>IF('Smart Search'!F13=1,IFERROR(1/'Smart Search'!H13,0),0)</f>
        <v>0</v>
      </c>
      <c r="AE74" s="66">
        <f>IF('Smart Search'!F13=1,IFERROR(1/'Smart Search'!H13,0),0)</f>
        <v>0</v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>0</v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>0</v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>0</v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>0</v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>0</v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>0</v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>0</v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>0</v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>0</v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>0</v>
      </c>
      <c r="AP74" s="66">
        <f t="shared" si="14"/>
        <v>0</v>
      </c>
      <c r="AQ74" s="66">
        <f t="shared" si="15"/>
        <v>0</v>
      </c>
      <c r="AR74" s="66">
        <f t="shared" si="16"/>
        <v>0</v>
      </c>
      <c r="AS74" s="66">
        <f t="shared" si="17"/>
        <v>0</v>
      </c>
      <c r="AT74" s="66">
        <f t="shared" si="18"/>
        <v>0</v>
      </c>
      <c r="AU74" s="66">
        <f t="shared" si="19"/>
        <v>0</v>
      </c>
      <c r="AV74" s="66">
        <f t="shared" si="20"/>
        <v>0</v>
      </c>
      <c r="AW74" s="66">
        <f t="shared" si="21"/>
        <v>0</v>
      </c>
      <c r="AX74" s="66">
        <f t="shared" si="22"/>
        <v>0</v>
      </c>
      <c r="AY74" s="66">
        <f t="shared" si="23"/>
        <v>0</v>
      </c>
      <c r="AZ74" s="66">
        <f>'Project Database'!Z78</f>
        <v>0</v>
      </c>
      <c r="BA74" s="66">
        <f>IF(OR(A74="",'Smart Search'!H13=0),"",MAX(0,BE74*BF74*MAX(0,1-BG74)))</f>
        <v>0</v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>0</v>
      </c>
      <c r="BC74" s="66">
        <f>IF('Smart Search'!G13=1,IFERROR(1/'Smart Search'!H13,0),0)</f>
        <v>0</v>
      </c>
      <c r="BD74" s="66">
        <f t="shared" si="24"/>
        <v>0</v>
      </c>
      <c r="BE74" s="66">
        <f t="shared" si="25"/>
        <v>0</v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>0</v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>0</v>
      </c>
      <c r="BH74" s="5" t="str">
        <f>IF(AND('Project Database'!A78&lt;&gt;"",OR('Smart Search'!$L$5="",'Smart Search'!$L$5="All",TRIM('Project Database'!D78)=TRIM('Smart Search'!$L$5)),OR(TRIM('Smart Search'!$L$6)="",TRIM('Smart Search'!$L$6)="All",ISNUMBER(SEARCH(SUBSTITUTE(SUBSTITUTE(SUBSTITUTE(TRIM('Smart Search'!$L$6),"~","~~"),"*","~*"),"?","~?"),'Project Database'!C78))),OR('Smart Search'!$L$7="",AND('Project Database'!E78&lt;&gt;"",'Project Database'!E78='Smart Search'!$L$7)),OR('Smart Search'!$L$8="",'Smart Search'!$L$8="All",TRIM('Project Database'!F78)=TRIM('Smart Search'!$L$8))),IF(BA74="","",BA74+ROW()*0.0000000001),"")</f>
        <v/>
      </c>
      <c r="BI74" s="5" t="str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 t="str">
        <f>IF('Project Database'!A78="","",N('Project Database'!AC78))</f>
        <v/>
      </c>
      <c r="BK74" s="5" t="str">
        <f>IF('Project Database'!A78="","",N('Project Database'!AD78))</f>
        <v/>
      </c>
      <c r="BL74" s="5" t="str">
        <f>IF('Project Database'!A78="","",N('Project Database'!AE78))</f>
        <v/>
      </c>
      <c r="BM74" s="5" t="str">
        <f>IF('Project Database'!A78="","",N('Project Database'!AF78))</f>
        <v/>
      </c>
      <c r="BN74" s="5" t="str">
        <f>IF('Project Database'!A78="","",N('Project Database'!AG78))</f>
        <v/>
      </c>
      <c r="BO74" s="5" t="str">
        <f>IF('Project Database'!A78="","",N('Project Database'!AH78))</f>
        <v/>
      </c>
      <c r="BP74" s="5" t="str">
        <f>IF('Project Database'!A78="","",N('Project Database'!AI78))</f>
        <v/>
      </c>
      <c r="BQ74" s="5" t="str">
        <f>IF('Project Database'!A78="","",N('Project Database'!AJ78))</f>
        <v/>
      </c>
      <c r="BR74" s="5" t="str">
        <f>IF('Project Database'!A78="","",N('Project Database'!AK78))</f>
        <v/>
      </c>
      <c r="BS74" s="5" t="str">
        <f>IF('Project Database'!A78="","",N('Project Database'!AL78))</f>
        <v/>
      </c>
      <c r="BT74" s="5" t="str">
        <f>IF('Project Database'!A78="","",N('Project Database'!AM78))</f>
        <v/>
      </c>
      <c r="BU74" s="5" t="str">
        <f>IF('Project Database'!A78="","",N('Project Database'!AN78))</f>
        <v/>
      </c>
      <c r="BV74" s="5" t="str">
        <f>IF('Project Database'!A78="","",N('Project Database'!AO78))</f>
        <v/>
      </c>
      <c r="BW74" s="5" t="str">
        <f>IF('Project Database'!A78="","",N('Project Database'!AP78))</f>
        <v/>
      </c>
      <c r="BX74" s="5">
        <f t="shared" si="26"/>
        <v>0</v>
      </c>
      <c r="BY74" s="5">
        <f t="shared" si="27"/>
        <v>0</v>
      </c>
    </row>
    <row r="75" spans="1:77" ht="15" customHeight="1" x14ac:dyDescent="0.3">
      <c r="A75" s="66">
        <f>'Project Database'!A79</f>
        <v>0</v>
      </c>
      <c r="B75" s="66">
        <f>'Project Database'!B79</f>
        <v>0</v>
      </c>
      <c r="C75" s="66">
        <f>'Project Database'!G79</f>
        <v>0</v>
      </c>
      <c r="D75" s="66">
        <f>'Project Database'!H79</f>
        <v>0</v>
      </c>
      <c r="E75" s="66">
        <f>'Project Database'!I79</f>
        <v>0</v>
      </c>
      <c r="F75" s="66">
        <f>'Project Database'!J79</f>
        <v>0</v>
      </c>
      <c r="G75" s="66">
        <f>'Project Database'!K79</f>
        <v>0</v>
      </c>
      <c r="H75" s="66">
        <f>'Project Database'!L79</f>
        <v>0</v>
      </c>
      <c r="I75" s="66">
        <f>'Project Database'!M79</f>
        <v>0</v>
      </c>
      <c r="J75" s="66">
        <f>'Project Database'!N79</f>
        <v>0</v>
      </c>
      <c r="K75" s="66">
        <f>'Project Database'!O79</f>
        <v>0</v>
      </c>
      <c r="L75" s="66">
        <f>'Project Database'!P79</f>
        <v>0</v>
      </c>
      <c r="M75" s="66">
        <f>'Project Database'!Q79</f>
        <v>0</v>
      </c>
      <c r="N75" s="66">
        <f>'Project Database'!R79</f>
        <v>0</v>
      </c>
      <c r="O75" s="66">
        <f>'Project Database'!S79</f>
        <v>0</v>
      </c>
      <c r="P75" s="66">
        <f>'Project Database'!T79</f>
        <v>0</v>
      </c>
      <c r="Q75" s="66">
        <f>'Project Database'!U79</f>
        <v>0</v>
      </c>
      <c r="R75" s="66">
        <f>'Project Database'!V79</f>
        <v>0</v>
      </c>
      <c r="S75" s="66">
        <f>'Project Database'!W79</f>
        <v>0</v>
      </c>
      <c r="T75" s="66">
        <f>'Project Database'!X79</f>
        <v>0</v>
      </c>
      <c r="U75" s="67">
        <f>'Project Database'!Y79</f>
        <v>0</v>
      </c>
      <c r="V75" s="66">
        <f>IF('Smart Search'!B13=1,IFERROR(1/'Smart Search'!H13,0),0)</f>
        <v>0</v>
      </c>
      <c r="W75" s="66">
        <f>IF('Smart Search'!B13=1,IFERROR(1/'Smart Search'!H13,0),0)</f>
        <v>0</v>
      </c>
      <c r="X75" s="66">
        <f>IF('Smart Search'!C13=1,IFERROR(1/'Smart Search'!H13,0),0)</f>
        <v>0.5</v>
      </c>
      <c r="Y75" s="66">
        <f>IF('Smart Search'!C13=1,IFERROR(1/'Smart Search'!H13,0),0)</f>
        <v>0.5</v>
      </c>
      <c r="Z75" s="66">
        <f>IF('Smart Search'!D13=1,IFERROR(1/'Smart Search'!H13,0),0)</f>
        <v>0</v>
      </c>
      <c r="AA75" s="66">
        <f>IF('Smart Search'!D13=1,IFERROR(1/'Smart Search'!H13,0),0)</f>
        <v>0</v>
      </c>
      <c r="AB75" s="66">
        <f>IF('Smart Search'!E13=1,IFERROR(1/'Smart Search'!H13,0),0)</f>
        <v>0</v>
      </c>
      <c r="AC75" s="66">
        <f>IF('Smart Search'!E13=1,IFERROR(1/'Smart Search'!H13,0),0)</f>
        <v>0</v>
      </c>
      <c r="AD75" s="66">
        <f>IF('Smart Search'!F13=1,IFERROR(1/'Smart Search'!H13,0),0)</f>
        <v>0</v>
      </c>
      <c r="AE75" s="66">
        <f>IF('Smart Search'!F13=1,IFERROR(1/'Smart Search'!H13,0),0)</f>
        <v>0</v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>0</v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>0</v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>0</v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>0</v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>0</v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>0</v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>0</v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>0</v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>0</v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>0</v>
      </c>
      <c r="AP75" s="66">
        <f t="shared" si="14"/>
        <v>0</v>
      </c>
      <c r="AQ75" s="66">
        <f t="shared" si="15"/>
        <v>0</v>
      </c>
      <c r="AR75" s="66">
        <f t="shared" si="16"/>
        <v>0</v>
      </c>
      <c r="AS75" s="66">
        <f t="shared" si="17"/>
        <v>0</v>
      </c>
      <c r="AT75" s="66">
        <f t="shared" si="18"/>
        <v>0</v>
      </c>
      <c r="AU75" s="66">
        <f t="shared" si="19"/>
        <v>0</v>
      </c>
      <c r="AV75" s="66">
        <f t="shared" si="20"/>
        <v>0</v>
      </c>
      <c r="AW75" s="66">
        <f t="shared" si="21"/>
        <v>0</v>
      </c>
      <c r="AX75" s="66">
        <f t="shared" si="22"/>
        <v>0</v>
      </c>
      <c r="AY75" s="66">
        <f t="shared" si="23"/>
        <v>0</v>
      </c>
      <c r="AZ75" s="66">
        <f>'Project Database'!Z79</f>
        <v>0</v>
      </c>
      <c r="BA75" s="66">
        <f>IF(OR(A75="",'Smart Search'!H13=0),"",MAX(0,BE75*BF75*MAX(0,1-BG75)))</f>
        <v>0</v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>0</v>
      </c>
      <c r="BC75" s="66">
        <f>IF('Smart Search'!G13=1,IFERROR(1/'Smart Search'!H13,0),0)</f>
        <v>0</v>
      </c>
      <c r="BD75" s="66">
        <f t="shared" si="24"/>
        <v>0</v>
      </c>
      <c r="BE75" s="66">
        <f t="shared" si="25"/>
        <v>0</v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>0</v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>0</v>
      </c>
      <c r="BH75" s="5" t="str">
        <f>IF(AND('Project Database'!A79&lt;&gt;"",OR('Smart Search'!$L$5="",'Smart Search'!$L$5="All",TRIM('Project Database'!D79)=TRIM('Smart Search'!$L$5)),OR(TRIM('Smart Search'!$L$6)="",TRIM('Smart Search'!$L$6)="All",ISNUMBER(SEARCH(SUBSTITUTE(SUBSTITUTE(SUBSTITUTE(TRIM('Smart Search'!$L$6),"~","~~"),"*","~*"),"?","~?"),'Project Database'!C79))),OR('Smart Search'!$L$7="",AND('Project Database'!E79&lt;&gt;"",'Project Database'!E79='Smart Search'!$L$7)),OR('Smart Search'!$L$8="",'Smart Search'!$L$8="All",TRIM('Project Database'!F79)=TRIM('Smart Search'!$L$8))),IF(BA75="","",BA75+ROW()*0.0000000001),"")</f>
        <v/>
      </c>
      <c r="BI75" s="5" t="str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 t="str">
        <f>IF('Project Database'!A79="","",N('Project Database'!AC79))</f>
        <v/>
      </c>
      <c r="BK75" s="5" t="str">
        <f>IF('Project Database'!A79="","",N('Project Database'!AD79))</f>
        <v/>
      </c>
      <c r="BL75" s="5" t="str">
        <f>IF('Project Database'!A79="","",N('Project Database'!AE79))</f>
        <v/>
      </c>
      <c r="BM75" s="5" t="str">
        <f>IF('Project Database'!A79="","",N('Project Database'!AF79))</f>
        <v/>
      </c>
      <c r="BN75" s="5" t="str">
        <f>IF('Project Database'!A79="","",N('Project Database'!AG79))</f>
        <v/>
      </c>
      <c r="BO75" s="5" t="str">
        <f>IF('Project Database'!A79="","",N('Project Database'!AH79))</f>
        <v/>
      </c>
      <c r="BP75" s="5" t="str">
        <f>IF('Project Database'!A79="","",N('Project Database'!AI79))</f>
        <v/>
      </c>
      <c r="BQ75" s="5" t="str">
        <f>IF('Project Database'!A79="","",N('Project Database'!AJ79))</f>
        <v/>
      </c>
      <c r="BR75" s="5" t="str">
        <f>IF('Project Database'!A79="","",N('Project Database'!AK79))</f>
        <v/>
      </c>
      <c r="BS75" s="5" t="str">
        <f>IF('Project Database'!A79="","",N('Project Database'!AL79))</f>
        <v/>
      </c>
      <c r="BT75" s="5" t="str">
        <f>IF('Project Database'!A79="","",N('Project Database'!AM79))</f>
        <v/>
      </c>
      <c r="BU75" s="5" t="str">
        <f>IF('Project Database'!A79="","",N('Project Database'!AN79))</f>
        <v/>
      </c>
      <c r="BV75" s="5" t="str">
        <f>IF('Project Database'!A79="","",N('Project Database'!AO79))</f>
        <v/>
      </c>
      <c r="BW75" s="5" t="str">
        <f>IF('Project Database'!A79="","",N('Project Database'!AP79))</f>
        <v/>
      </c>
      <c r="BX75" s="5">
        <f t="shared" si="26"/>
        <v>0</v>
      </c>
      <c r="BY75" s="5">
        <f t="shared" si="27"/>
        <v>0</v>
      </c>
    </row>
    <row r="76" spans="1:77" ht="15" customHeight="1" x14ac:dyDescent="0.3">
      <c r="A76" s="66">
        <f>'Project Database'!A80</f>
        <v>0</v>
      </c>
      <c r="B76" s="66">
        <f>'Project Database'!B80</f>
        <v>0</v>
      </c>
      <c r="C76" s="66">
        <f>'Project Database'!G80</f>
        <v>0</v>
      </c>
      <c r="D76" s="66">
        <f>'Project Database'!H80</f>
        <v>0</v>
      </c>
      <c r="E76" s="66">
        <f>'Project Database'!I80</f>
        <v>0</v>
      </c>
      <c r="F76" s="66">
        <f>'Project Database'!J80</f>
        <v>0</v>
      </c>
      <c r="G76" s="66">
        <f>'Project Database'!K80</f>
        <v>0</v>
      </c>
      <c r="H76" s="66">
        <f>'Project Database'!L80</f>
        <v>0</v>
      </c>
      <c r="I76" s="66">
        <f>'Project Database'!M80</f>
        <v>0</v>
      </c>
      <c r="J76" s="66">
        <f>'Project Database'!N80</f>
        <v>0</v>
      </c>
      <c r="K76" s="66">
        <f>'Project Database'!O80</f>
        <v>0</v>
      </c>
      <c r="L76" s="66">
        <f>'Project Database'!P80</f>
        <v>0</v>
      </c>
      <c r="M76" s="66">
        <f>'Project Database'!Q80</f>
        <v>0</v>
      </c>
      <c r="N76" s="66">
        <f>'Project Database'!R80</f>
        <v>0</v>
      </c>
      <c r="O76" s="66">
        <f>'Project Database'!S80</f>
        <v>0</v>
      </c>
      <c r="P76" s="66">
        <f>'Project Database'!T80</f>
        <v>0</v>
      </c>
      <c r="Q76" s="66">
        <f>'Project Database'!U80</f>
        <v>0</v>
      </c>
      <c r="R76" s="66">
        <f>'Project Database'!V80</f>
        <v>0</v>
      </c>
      <c r="S76" s="66">
        <f>'Project Database'!W80</f>
        <v>0</v>
      </c>
      <c r="T76" s="66">
        <f>'Project Database'!X80</f>
        <v>0</v>
      </c>
      <c r="U76" s="67">
        <f>'Project Database'!Y80</f>
        <v>0</v>
      </c>
      <c r="V76" s="66">
        <f>IF('Smart Search'!B13=1,IFERROR(1/'Smart Search'!H13,0),0)</f>
        <v>0</v>
      </c>
      <c r="W76" s="66">
        <f>IF('Smart Search'!B13=1,IFERROR(1/'Smart Search'!H13,0),0)</f>
        <v>0</v>
      </c>
      <c r="X76" s="66">
        <f>IF('Smart Search'!C13=1,IFERROR(1/'Smart Search'!H13,0),0)</f>
        <v>0.5</v>
      </c>
      <c r="Y76" s="66">
        <f>IF('Smart Search'!C13=1,IFERROR(1/'Smart Search'!H13,0),0)</f>
        <v>0.5</v>
      </c>
      <c r="Z76" s="66">
        <f>IF('Smart Search'!D13=1,IFERROR(1/'Smart Search'!H13,0),0)</f>
        <v>0</v>
      </c>
      <c r="AA76" s="66">
        <f>IF('Smart Search'!D13=1,IFERROR(1/'Smart Search'!H13,0),0)</f>
        <v>0</v>
      </c>
      <c r="AB76" s="66">
        <f>IF('Smart Search'!E13=1,IFERROR(1/'Smart Search'!H13,0),0)</f>
        <v>0</v>
      </c>
      <c r="AC76" s="66">
        <f>IF('Smart Search'!E13=1,IFERROR(1/'Smart Search'!H13,0),0)</f>
        <v>0</v>
      </c>
      <c r="AD76" s="66">
        <f>IF('Smart Search'!F13=1,IFERROR(1/'Smart Search'!H13,0),0)</f>
        <v>0</v>
      </c>
      <c r="AE76" s="66">
        <f>IF('Smart Search'!F13=1,IFERROR(1/'Smart Search'!H13,0),0)</f>
        <v>0</v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>0</v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>0</v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>0</v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>0</v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>0</v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>0</v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>0</v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>0</v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>0</v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>0</v>
      </c>
      <c r="AP76" s="66">
        <f t="shared" si="14"/>
        <v>0</v>
      </c>
      <c r="AQ76" s="66">
        <f t="shared" si="15"/>
        <v>0</v>
      </c>
      <c r="AR76" s="66">
        <f t="shared" si="16"/>
        <v>0</v>
      </c>
      <c r="AS76" s="66">
        <f t="shared" si="17"/>
        <v>0</v>
      </c>
      <c r="AT76" s="66">
        <f t="shared" si="18"/>
        <v>0</v>
      </c>
      <c r="AU76" s="66">
        <f t="shared" si="19"/>
        <v>0</v>
      </c>
      <c r="AV76" s="66">
        <f t="shared" si="20"/>
        <v>0</v>
      </c>
      <c r="AW76" s="66">
        <f t="shared" si="21"/>
        <v>0</v>
      </c>
      <c r="AX76" s="66">
        <f t="shared" si="22"/>
        <v>0</v>
      </c>
      <c r="AY76" s="66">
        <f t="shared" si="23"/>
        <v>0</v>
      </c>
      <c r="AZ76" s="66">
        <f>'Project Database'!Z80</f>
        <v>0</v>
      </c>
      <c r="BA76" s="66">
        <f>IF(OR(A76="",'Smart Search'!H13=0),"",MAX(0,BE76*BF76*MAX(0,1-BG76)))</f>
        <v>0</v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>0</v>
      </c>
      <c r="BC76" s="66">
        <f>IF('Smart Search'!G13=1,IFERROR(1/'Smart Search'!H13,0),0)</f>
        <v>0</v>
      </c>
      <c r="BD76" s="66">
        <f t="shared" si="24"/>
        <v>0</v>
      </c>
      <c r="BE76" s="66">
        <f t="shared" si="25"/>
        <v>0</v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>0</v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>0</v>
      </c>
      <c r="BH76" s="5" t="str">
        <f>IF(AND('Project Database'!A80&lt;&gt;"",OR('Smart Search'!$L$5="",'Smart Search'!$L$5="All",TRIM('Project Database'!D80)=TRIM('Smart Search'!$L$5)),OR(TRIM('Smart Search'!$L$6)="",TRIM('Smart Search'!$L$6)="All",ISNUMBER(SEARCH(SUBSTITUTE(SUBSTITUTE(SUBSTITUTE(TRIM('Smart Search'!$L$6),"~","~~"),"*","~*"),"?","~?"),'Project Database'!C80))),OR('Smart Search'!$L$7="",AND('Project Database'!E80&lt;&gt;"",'Project Database'!E80='Smart Search'!$L$7)),OR('Smart Search'!$L$8="",'Smart Search'!$L$8="All",TRIM('Project Database'!F80)=TRIM('Smart Search'!$L$8))),IF(BA76="","",BA76+ROW()*0.0000000001),"")</f>
        <v/>
      </c>
      <c r="BI76" s="5" t="str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 t="str">
        <f>IF('Project Database'!A80="","",N('Project Database'!AC80))</f>
        <v/>
      </c>
      <c r="BK76" s="5" t="str">
        <f>IF('Project Database'!A80="","",N('Project Database'!AD80))</f>
        <v/>
      </c>
      <c r="BL76" s="5" t="str">
        <f>IF('Project Database'!A80="","",N('Project Database'!AE80))</f>
        <v/>
      </c>
      <c r="BM76" s="5" t="str">
        <f>IF('Project Database'!A80="","",N('Project Database'!AF80))</f>
        <v/>
      </c>
      <c r="BN76" s="5" t="str">
        <f>IF('Project Database'!A80="","",N('Project Database'!AG80))</f>
        <v/>
      </c>
      <c r="BO76" s="5" t="str">
        <f>IF('Project Database'!A80="","",N('Project Database'!AH80))</f>
        <v/>
      </c>
      <c r="BP76" s="5" t="str">
        <f>IF('Project Database'!A80="","",N('Project Database'!AI80))</f>
        <v/>
      </c>
      <c r="BQ76" s="5" t="str">
        <f>IF('Project Database'!A80="","",N('Project Database'!AJ80))</f>
        <v/>
      </c>
      <c r="BR76" s="5" t="str">
        <f>IF('Project Database'!A80="","",N('Project Database'!AK80))</f>
        <v/>
      </c>
      <c r="BS76" s="5" t="str">
        <f>IF('Project Database'!A80="","",N('Project Database'!AL80))</f>
        <v/>
      </c>
      <c r="BT76" s="5" t="str">
        <f>IF('Project Database'!A80="","",N('Project Database'!AM80))</f>
        <v/>
      </c>
      <c r="BU76" s="5" t="str">
        <f>IF('Project Database'!A80="","",N('Project Database'!AN80))</f>
        <v/>
      </c>
      <c r="BV76" s="5" t="str">
        <f>IF('Project Database'!A80="","",N('Project Database'!AO80))</f>
        <v/>
      </c>
      <c r="BW76" s="5" t="str">
        <f>IF('Project Database'!A80="","",N('Project Database'!AP80))</f>
        <v/>
      </c>
      <c r="BX76" s="5">
        <f t="shared" si="26"/>
        <v>0</v>
      </c>
      <c r="BY76" s="5">
        <f t="shared" si="27"/>
        <v>0</v>
      </c>
    </row>
    <row r="77" spans="1:77" ht="15" customHeight="1" x14ac:dyDescent="0.3">
      <c r="A77" s="66">
        <f>'Project Database'!A81</f>
        <v>0</v>
      </c>
      <c r="B77" s="66">
        <f>'Project Database'!B81</f>
        <v>0</v>
      </c>
      <c r="C77" s="66">
        <f>'Project Database'!G81</f>
        <v>0</v>
      </c>
      <c r="D77" s="66">
        <f>'Project Database'!H81</f>
        <v>0</v>
      </c>
      <c r="E77" s="66">
        <f>'Project Database'!I81</f>
        <v>0</v>
      </c>
      <c r="F77" s="66">
        <f>'Project Database'!J81</f>
        <v>0</v>
      </c>
      <c r="G77" s="66">
        <f>'Project Database'!K81</f>
        <v>0</v>
      </c>
      <c r="H77" s="66">
        <f>'Project Database'!L81</f>
        <v>0</v>
      </c>
      <c r="I77" s="66">
        <f>'Project Database'!M81</f>
        <v>0</v>
      </c>
      <c r="J77" s="66">
        <f>'Project Database'!N81</f>
        <v>0</v>
      </c>
      <c r="K77" s="66">
        <f>'Project Database'!O81</f>
        <v>0</v>
      </c>
      <c r="L77" s="66">
        <f>'Project Database'!P81</f>
        <v>0</v>
      </c>
      <c r="M77" s="66">
        <f>'Project Database'!Q81</f>
        <v>0</v>
      </c>
      <c r="N77" s="66">
        <f>'Project Database'!R81</f>
        <v>0</v>
      </c>
      <c r="O77" s="66">
        <f>'Project Database'!S81</f>
        <v>0</v>
      </c>
      <c r="P77" s="66">
        <f>'Project Database'!T81</f>
        <v>0</v>
      </c>
      <c r="Q77" s="66">
        <f>'Project Database'!U81</f>
        <v>0</v>
      </c>
      <c r="R77" s="66">
        <f>'Project Database'!V81</f>
        <v>0</v>
      </c>
      <c r="S77" s="66">
        <f>'Project Database'!W81</f>
        <v>0</v>
      </c>
      <c r="T77" s="66">
        <f>'Project Database'!X81</f>
        <v>0</v>
      </c>
      <c r="U77" s="67">
        <f>'Project Database'!Y81</f>
        <v>0</v>
      </c>
      <c r="V77" s="66">
        <f>IF('Smart Search'!B13=1,IFERROR(1/'Smart Search'!H13,0),0)</f>
        <v>0</v>
      </c>
      <c r="W77" s="66">
        <f>IF('Smart Search'!B13=1,IFERROR(1/'Smart Search'!H13,0),0)</f>
        <v>0</v>
      </c>
      <c r="X77" s="66">
        <f>IF('Smart Search'!C13=1,IFERROR(1/'Smart Search'!H13,0),0)</f>
        <v>0.5</v>
      </c>
      <c r="Y77" s="66">
        <f>IF('Smart Search'!C13=1,IFERROR(1/'Smart Search'!H13,0),0)</f>
        <v>0.5</v>
      </c>
      <c r="Z77" s="66">
        <f>IF('Smart Search'!D13=1,IFERROR(1/'Smart Search'!H13,0),0)</f>
        <v>0</v>
      </c>
      <c r="AA77" s="66">
        <f>IF('Smart Search'!D13=1,IFERROR(1/'Smart Search'!H13,0),0)</f>
        <v>0</v>
      </c>
      <c r="AB77" s="66">
        <f>IF('Smart Search'!E13=1,IFERROR(1/'Smart Search'!H13,0),0)</f>
        <v>0</v>
      </c>
      <c r="AC77" s="66">
        <f>IF('Smart Search'!E13=1,IFERROR(1/'Smart Search'!H13,0),0)</f>
        <v>0</v>
      </c>
      <c r="AD77" s="66">
        <f>IF('Smart Search'!F13=1,IFERROR(1/'Smart Search'!H13,0),0)</f>
        <v>0</v>
      </c>
      <c r="AE77" s="66">
        <f>IF('Smart Search'!F13=1,IFERROR(1/'Smart Search'!H13,0),0)</f>
        <v>0</v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>0</v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>0</v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>0</v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>0</v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>0</v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>0</v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>0</v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>0</v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>0</v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>0</v>
      </c>
      <c r="AP77" s="66">
        <f t="shared" si="14"/>
        <v>0</v>
      </c>
      <c r="AQ77" s="66">
        <f t="shared" si="15"/>
        <v>0</v>
      </c>
      <c r="AR77" s="66">
        <f t="shared" si="16"/>
        <v>0</v>
      </c>
      <c r="AS77" s="66">
        <f t="shared" si="17"/>
        <v>0</v>
      </c>
      <c r="AT77" s="66">
        <f t="shared" si="18"/>
        <v>0</v>
      </c>
      <c r="AU77" s="66">
        <f t="shared" si="19"/>
        <v>0</v>
      </c>
      <c r="AV77" s="66">
        <f t="shared" si="20"/>
        <v>0</v>
      </c>
      <c r="AW77" s="66">
        <f t="shared" si="21"/>
        <v>0</v>
      </c>
      <c r="AX77" s="66">
        <f t="shared" si="22"/>
        <v>0</v>
      </c>
      <c r="AY77" s="66">
        <f t="shared" si="23"/>
        <v>0</v>
      </c>
      <c r="AZ77" s="66">
        <f>'Project Database'!Z81</f>
        <v>0</v>
      </c>
      <c r="BA77" s="66">
        <f>IF(OR(A77="",'Smart Search'!H13=0),"",MAX(0,BE77*BF77*MAX(0,1-BG77)))</f>
        <v>0</v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>0</v>
      </c>
      <c r="BC77" s="66">
        <f>IF('Smart Search'!G13=1,IFERROR(1/'Smart Search'!H13,0),0)</f>
        <v>0</v>
      </c>
      <c r="BD77" s="66">
        <f t="shared" si="24"/>
        <v>0</v>
      </c>
      <c r="BE77" s="66">
        <f t="shared" si="25"/>
        <v>0</v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>0</v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>0</v>
      </c>
      <c r="BH77" s="5" t="str">
        <f>IF(AND('Project Database'!A81&lt;&gt;"",OR('Smart Search'!$L$5="",'Smart Search'!$L$5="All",TRIM('Project Database'!D81)=TRIM('Smart Search'!$L$5)),OR(TRIM('Smart Search'!$L$6)="",TRIM('Smart Search'!$L$6)="All",ISNUMBER(SEARCH(SUBSTITUTE(SUBSTITUTE(SUBSTITUTE(TRIM('Smart Search'!$L$6),"~","~~"),"*","~*"),"?","~?"),'Project Database'!C81))),OR('Smart Search'!$L$7="",AND('Project Database'!E81&lt;&gt;"",'Project Database'!E81='Smart Search'!$L$7)),OR('Smart Search'!$L$8="",'Smart Search'!$L$8="All",TRIM('Project Database'!F81)=TRIM('Smart Search'!$L$8))),IF(BA77="","",BA77+ROW()*0.0000000001),"")</f>
        <v/>
      </c>
      <c r="BI77" s="5" t="str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 t="str">
        <f>IF('Project Database'!A81="","",N('Project Database'!AC81))</f>
        <v/>
      </c>
      <c r="BK77" s="5" t="str">
        <f>IF('Project Database'!A81="","",N('Project Database'!AD81))</f>
        <v/>
      </c>
      <c r="BL77" s="5" t="str">
        <f>IF('Project Database'!A81="","",N('Project Database'!AE81))</f>
        <v/>
      </c>
      <c r="BM77" s="5" t="str">
        <f>IF('Project Database'!A81="","",N('Project Database'!AF81))</f>
        <v/>
      </c>
      <c r="BN77" s="5" t="str">
        <f>IF('Project Database'!A81="","",N('Project Database'!AG81))</f>
        <v/>
      </c>
      <c r="BO77" s="5" t="str">
        <f>IF('Project Database'!A81="","",N('Project Database'!AH81))</f>
        <v/>
      </c>
      <c r="BP77" s="5" t="str">
        <f>IF('Project Database'!A81="","",N('Project Database'!AI81))</f>
        <v/>
      </c>
      <c r="BQ77" s="5" t="str">
        <f>IF('Project Database'!A81="","",N('Project Database'!AJ81))</f>
        <v/>
      </c>
      <c r="BR77" s="5" t="str">
        <f>IF('Project Database'!A81="","",N('Project Database'!AK81))</f>
        <v/>
      </c>
      <c r="BS77" s="5" t="str">
        <f>IF('Project Database'!A81="","",N('Project Database'!AL81))</f>
        <v/>
      </c>
      <c r="BT77" s="5" t="str">
        <f>IF('Project Database'!A81="","",N('Project Database'!AM81))</f>
        <v/>
      </c>
      <c r="BU77" s="5" t="str">
        <f>IF('Project Database'!A81="","",N('Project Database'!AN81))</f>
        <v/>
      </c>
      <c r="BV77" s="5" t="str">
        <f>IF('Project Database'!A81="","",N('Project Database'!AO81))</f>
        <v/>
      </c>
      <c r="BW77" s="5" t="str">
        <f>IF('Project Database'!A81="","",N('Project Database'!AP81))</f>
        <v/>
      </c>
      <c r="BX77" s="5">
        <f t="shared" si="26"/>
        <v>0</v>
      </c>
      <c r="BY77" s="5">
        <f t="shared" si="27"/>
        <v>0</v>
      </c>
    </row>
    <row r="78" spans="1:77" ht="15" customHeight="1" x14ac:dyDescent="0.3">
      <c r="A78" s="66">
        <f>'Project Database'!A82</f>
        <v>0</v>
      </c>
      <c r="B78" s="66">
        <f>'Project Database'!B82</f>
        <v>0</v>
      </c>
      <c r="C78" s="66">
        <f>'Project Database'!G82</f>
        <v>0</v>
      </c>
      <c r="D78" s="66">
        <f>'Project Database'!H82</f>
        <v>0</v>
      </c>
      <c r="E78" s="66">
        <f>'Project Database'!I82</f>
        <v>0</v>
      </c>
      <c r="F78" s="66">
        <f>'Project Database'!J82</f>
        <v>0</v>
      </c>
      <c r="G78" s="66">
        <f>'Project Database'!K82</f>
        <v>0</v>
      </c>
      <c r="H78" s="66">
        <f>'Project Database'!L82</f>
        <v>0</v>
      </c>
      <c r="I78" s="66">
        <f>'Project Database'!M82</f>
        <v>0</v>
      </c>
      <c r="J78" s="66">
        <f>'Project Database'!N82</f>
        <v>0</v>
      </c>
      <c r="K78" s="66">
        <f>'Project Database'!O82</f>
        <v>0</v>
      </c>
      <c r="L78" s="66">
        <f>'Project Database'!P82</f>
        <v>0</v>
      </c>
      <c r="M78" s="66">
        <f>'Project Database'!Q82</f>
        <v>0</v>
      </c>
      <c r="N78" s="66">
        <f>'Project Database'!R82</f>
        <v>0</v>
      </c>
      <c r="O78" s="66">
        <f>'Project Database'!S82</f>
        <v>0</v>
      </c>
      <c r="P78" s="66">
        <f>'Project Database'!T82</f>
        <v>0</v>
      </c>
      <c r="Q78" s="66">
        <f>'Project Database'!U82</f>
        <v>0</v>
      </c>
      <c r="R78" s="66">
        <f>'Project Database'!V82</f>
        <v>0</v>
      </c>
      <c r="S78" s="66">
        <f>'Project Database'!W82</f>
        <v>0</v>
      </c>
      <c r="T78" s="66">
        <f>'Project Database'!X82</f>
        <v>0</v>
      </c>
      <c r="U78" s="67">
        <f>'Project Database'!Y82</f>
        <v>0</v>
      </c>
      <c r="V78" s="66">
        <f>IF('Smart Search'!B13=1,IFERROR(1/'Smart Search'!H13,0),0)</f>
        <v>0</v>
      </c>
      <c r="W78" s="66">
        <f>IF('Smart Search'!B13=1,IFERROR(1/'Smart Search'!H13,0),0)</f>
        <v>0</v>
      </c>
      <c r="X78" s="66">
        <f>IF('Smart Search'!C13=1,IFERROR(1/'Smart Search'!H13,0),0)</f>
        <v>0.5</v>
      </c>
      <c r="Y78" s="66">
        <f>IF('Smart Search'!C13=1,IFERROR(1/'Smart Search'!H13,0),0)</f>
        <v>0.5</v>
      </c>
      <c r="Z78" s="66">
        <f>IF('Smart Search'!D13=1,IFERROR(1/'Smart Search'!H13,0),0)</f>
        <v>0</v>
      </c>
      <c r="AA78" s="66">
        <f>IF('Smart Search'!D13=1,IFERROR(1/'Smart Search'!H13,0),0)</f>
        <v>0</v>
      </c>
      <c r="AB78" s="66">
        <f>IF('Smart Search'!E13=1,IFERROR(1/'Smart Search'!H13,0),0)</f>
        <v>0</v>
      </c>
      <c r="AC78" s="66">
        <f>IF('Smart Search'!E13=1,IFERROR(1/'Smart Search'!H13,0),0)</f>
        <v>0</v>
      </c>
      <c r="AD78" s="66">
        <f>IF('Smart Search'!F13=1,IFERROR(1/'Smart Search'!H13,0),0)</f>
        <v>0</v>
      </c>
      <c r="AE78" s="66">
        <f>IF('Smart Search'!F13=1,IFERROR(1/'Smart Search'!H13,0),0)</f>
        <v>0</v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>0</v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>0</v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>0</v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>0</v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>0</v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>0</v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>0</v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>0</v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>0</v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>0</v>
      </c>
      <c r="AP78" s="66">
        <f t="shared" si="14"/>
        <v>0</v>
      </c>
      <c r="AQ78" s="66">
        <f t="shared" si="15"/>
        <v>0</v>
      </c>
      <c r="AR78" s="66">
        <f t="shared" si="16"/>
        <v>0</v>
      </c>
      <c r="AS78" s="66">
        <f t="shared" si="17"/>
        <v>0</v>
      </c>
      <c r="AT78" s="66">
        <f t="shared" si="18"/>
        <v>0</v>
      </c>
      <c r="AU78" s="66">
        <f t="shared" si="19"/>
        <v>0</v>
      </c>
      <c r="AV78" s="66">
        <f t="shared" si="20"/>
        <v>0</v>
      </c>
      <c r="AW78" s="66">
        <f t="shared" si="21"/>
        <v>0</v>
      </c>
      <c r="AX78" s="66">
        <f t="shared" si="22"/>
        <v>0</v>
      </c>
      <c r="AY78" s="66">
        <f t="shared" si="23"/>
        <v>0</v>
      </c>
      <c r="AZ78" s="66">
        <f>'Project Database'!Z82</f>
        <v>0</v>
      </c>
      <c r="BA78" s="66">
        <f>IF(OR(A78="",'Smart Search'!H13=0),"",MAX(0,BE78*BF78*MAX(0,1-BG78)))</f>
        <v>0</v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>0</v>
      </c>
      <c r="BC78" s="66">
        <f>IF('Smart Search'!G13=1,IFERROR(1/'Smart Search'!H13,0),0)</f>
        <v>0</v>
      </c>
      <c r="BD78" s="66">
        <f t="shared" si="24"/>
        <v>0</v>
      </c>
      <c r="BE78" s="66">
        <f t="shared" si="25"/>
        <v>0</v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>0</v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>0</v>
      </c>
      <c r="BH78" s="5" t="str">
        <f>IF(AND('Project Database'!A82&lt;&gt;"",OR('Smart Search'!$L$5="",'Smart Search'!$L$5="All",TRIM('Project Database'!D82)=TRIM('Smart Search'!$L$5)),OR(TRIM('Smart Search'!$L$6)="",TRIM('Smart Search'!$L$6)="All",ISNUMBER(SEARCH(SUBSTITUTE(SUBSTITUTE(SUBSTITUTE(TRIM('Smart Search'!$L$6),"~","~~"),"*","~*"),"?","~?"),'Project Database'!C82))),OR('Smart Search'!$L$7="",AND('Project Database'!E82&lt;&gt;"",'Project Database'!E82='Smart Search'!$L$7)),OR('Smart Search'!$L$8="",'Smart Search'!$L$8="All",TRIM('Project Database'!F82)=TRIM('Smart Search'!$L$8))),IF(BA78="","",BA78+ROW()*0.0000000001),"")</f>
        <v/>
      </c>
      <c r="BI78" s="5" t="str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 t="str">
        <f>IF('Project Database'!A82="","",N('Project Database'!AC82))</f>
        <v/>
      </c>
      <c r="BK78" s="5" t="str">
        <f>IF('Project Database'!A82="","",N('Project Database'!AD82))</f>
        <v/>
      </c>
      <c r="BL78" s="5" t="str">
        <f>IF('Project Database'!A82="","",N('Project Database'!AE82))</f>
        <v/>
      </c>
      <c r="BM78" s="5" t="str">
        <f>IF('Project Database'!A82="","",N('Project Database'!AF82))</f>
        <v/>
      </c>
      <c r="BN78" s="5" t="str">
        <f>IF('Project Database'!A82="","",N('Project Database'!AG82))</f>
        <v/>
      </c>
      <c r="BO78" s="5" t="str">
        <f>IF('Project Database'!A82="","",N('Project Database'!AH82))</f>
        <v/>
      </c>
      <c r="BP78" s="5" t="str">
        <f>IF('Project Database'!A82="","",N('Project Database'!AI82))</f>
        <v/>
      </c>
      <c r="BQ78" s="5" t="str">
        <f>IF('Project Database'!A82="","",N('Project Database'!AJ82))</f>
        <v/>
      </c>
      <c r="BR78" s="5" t="str">
        <f>IF('Project Database'!A82="","",N('Project Database'!AK82))</f>
        <v/>
      </c>
      <c r="BS78" s="5" t="str">
        <f>IF('Project Database'!A82="","",N('Project Database'!AL82))</f>
        <v/>
      </c>
      <c r="BT78" s="5" t="str">
        <f>IF('Project Database'!A82="","",N('Project Database'!AM82))</f>
        <v/>
      </c>
      <c r="BU78" s="5" t="str">
        <f>IF('Project Database'!A82="","",N('Project Database'!AN82))</f>
        <v/>
      </c>
      <c r="BV78" s="5" t="str">
        <f>IF('Project Database'!A82="","",N('Project Database'!AO82))</f>
        <v/>
      </c>
      <c r="BW78" s="5" t="str">
        <f>IF('Project Database'!A82="","",N('Project Database'!AP82))</f>
        <v/>
      </c>
      <c r="BX78" s="5">
        <f t="shared" si="26"/>
        <v>0</v>
      </c>
      <c r="BY78" s="5">
        <f t="shared" si="27"/>
        <v>0</v>
      </c>
    </row>
    <row r="79" spans="1:77" ht="15" customHeight="1" x14ac:dyDescent="0.3">
      <c r="A79" s="66">
        <f>'Project Database'!A83</f>
        <v>0</v>
      </c>
      <c r="B79" s="66">
        <f>'Project Database'!B83</f>
        <v>0</v>
      </c>
      <c r="C79" s="66">
        <f>'Project Database'!G83</f>
        <v>0</v>
      </c>
      <c r="D79" s="66">
        <f>'Project Database'!H83</f>
        <v>0</v>
      </c>
      <c r="E79" s="66">
        <f>'Project Database'!I83</f>
        <v>0</v>
      </c>
      <c r="F79" s="66">
        <f>'Project Database'!J83</f>
        <v>0</v>
      </c>
      <c r="G79" s="66">
        <f>'Project Database'!K83</f>
        <v>0</v>
      </c>
      <c r="H79" s="66">
        <f>'Project Database'!L83</f>
        <v>0</v>
      </c>
      <c r="I79" s="66">
        <f>'Project Database'!M83</f>
        <v>0</v>
      </c>
      <c r="J79" s="66">
        <f>'Project Database'!N83</f>
        <v>0</v>
      </c>
      <c r="K79" s="66">
        <f>'Project Database'!O83</f>
        <v>0</v>
      </c>
      <c r="L79" s="66">
        <f>'Project Database'!P83</f>
        <v>0</v>
      </c>
      <c r="M79" s="66">
        <f>'Project Database'!Q83</f>
        <v>0</v>
      </c>
      <c r="N79" s="66">
        <f>'Project Database'!R83</f>
        <v>0</v>
      </c>
      <c r="O79" s="66">
        <f>'Project Database'!S83</f>
        <v>0</v>
      </c>
      <c r="P79" s="66">
        <f>'Project Database'!T83</f>
        <v>0</v>
      </c>
      <c r="Q79" s="66">
        <f>'Project Database'!U83</f>
        <v>0</v>
      </c>
      <c r="R79" s="66">
        <f>'Project Database'!V83</f>
        <v>0</v>
      </c>
      <c r="S79" s="66">
        <f>'Project Database'!W83</f>
        <v>0</v>
      </c>
      <c r="T79" s="66">
        <f>'Project Database'!X83</f>
        <v>0</v>
      </c>
      <c r="U79" s="67">
        <f>'Project Database'!Y83</f>
        <v>0</v>
      </c>
      <c r="V79" s="66">
        <f>IF('Smart Search'!B13=1,IFERROR(1/'Smart Search'!H13,0),0)</f>
        <v>0</v>
      </c>
      <c r="W79" s="66">
        <f>IF('Smart Search'!B13=1,IFERROR(1/'Smart Search'!H13,0),0)</f>
        <v>0</v>
      </c>
      <c r="X79" s="66">
        <f>IF('Smart Search'!C13=1,IFERROR(1/'Smart Search'!H13,0),0)</f>
        <v>0.5</v>
      </c>
      <c r="Y79" s="66">
        <f>IF('Smart Search'!C13=1,IFERROR(1/'Smart Search'!H13,0),0)</f>
        <v>0.5</v>
      </c>
      <c r="Z79" s="66">
        <f>IF('Smart Search'!D13=1,IFERROR(1/'Smart Search'!H13,0),0)</f>
        <v>0</v>
      </c>
      <c r="AA79" s="66">
        <f>IF('Smart Search'!D13=1,IFERROR(1/'Smart Search'!H13,0),0)</f>
        <v>0</v>
      </c>
      <c r="AB79" s="66">
        <f>IF('Smart Search'!E13=1,IFERROR(1/'Smart Search'!H13,0),0)</f>
        <v>0</v>
      </c>
      <c r="AC79" s="66">
        <f>IF('Smart Search'!E13=1,IFERROR(1/'Smart Search'!H13,0),0)</f>
        <v>0</v>
      </c>
      <c r="AD79" s="66">
        <f>IF('Smart Search'!F13=1,IFERROR(1/'Smart Search'!H13,0),0)</f>
        <v>0</v>
      </c>
      <c r="AE79" s="66">
        <f>IF('Smart Search'!F13=1,IFERROR(1/'Smart Search'!H13,0),0)</f>
        <v>0</v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>0</v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>0</v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>0</v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>0</v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>0</v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>0</v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>0</v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>0</v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>0</v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>0</v>
      </c>
      <c r="AP79" s="66">
        <f t="shared" si="14"/>
        <v>0</v>
      </c>
      <c r="AQ79" s="66">
        <f t="shared" si="15"/>
        <v>0</v>
      </c>
      <c r="AR79" s="66">
        <f t="shared" si="16"/>
        <v>0</v>
      </c>
      <c r="AS79" s="66">
        <f t="shared" si="17"/>
        <v>0</v>
      </c>
      <c r="AT79" s="66">
        <f t="shared" si="18"/>
        <v>0</v>
      </c>
      <c r="AU79" s="66">
        <f t="shared" si="19"/>
        <v>0</v>
      </c>
      <c r="AV79" s="66">
        <f t="shared" si="20"/>
        <v>0</v>
      </c>
      <c r="AW79" s="66">
        <f t="shared" si="21"/>
        <v>0</v>
      </c>
      <c r="AX79" s="66">
        <f t="shared" si="22"/>
        <v>0</v>
      </c>
      <c r="AY79" s="66">
        <f t="shared" si="23"/>
        <v>0</v>
      </c>
      <c r="AZ79" s="66">
        <f>'Project Database'!Z83</f>
        <v>0</v>
      </c>
      <c r="BA79" s="66">
        <f>IF(OR(A79="",'Smart Search'!H13=0),"",MAX(0,BE79*BF79*MAX(0,1-BG79)))</f>
        <v>0</v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>0</v>
      </c>
      <c r="BC79" s="66">
        <f>IF('Smart Search'!G13=1,IFERROR(1/'Smart Search'!H13,0),0)</f>
        <v>0</v>
      </c>
      <c r="BD79" s="66">
        <f t="shared" si="24"/>
        <v>0</v>
      </c>
      <c r="BE79" s="66">
        <f t="shared" si="25"/>
        <v>0</v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>0</v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>0</v>
      </c>
      <c r="BH79" s="5" t="str">
        <f>IF(AND('Project Database'!A83&lt;&gt;"",OR('Smart Search'!$L$5="",'Smart Search'!$L$5="All",TRIM('Project Database'!D83)=TRIM('Smart Search'!$L$5)),OR(TRIM('Smart Search'!$L$6)="",TRIM('Smart Search'!$L$6)="All",ISNUMBER(SEARCH(SUBSTITUTE(SUBSTITUTE(SUBSTITUTE(TRIM('Smart Search'!$L$6),"~","~~"),"*","~*"),"?","~?"),'Project Database'!C83))),OR('Smart Search'!$L$7="",AND('Project Database'!E83&lt;&gt;"",'Project Database'!E83='Smart Search'!$L$7)),OR('Smart Search'!$L$8="",'Smart Search'!$L$8="All",TRIM('Project Database'!F83)=TRIM('Smart Search'!$L$8))),IF(BA79="","",BA79+ROW()*0.0000000001),"")</f>
        <v/>
      </c>
      <c r="BI79" s="5" t="str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 t="str">
        <f>IF('Project Database'!A83="","",N('Project Database'!AC83))</f>
        <v/>
      </c>
      <c r="BK79" s="5" t="str">
        <f>IF('Project Database'!A83="","",N('Project Database'!AD83))</f>
        <v/>
      </c>
      <c r="BL79" s="5" t="str">
        <f>IF('Project Database'!A83="","",N('Project Database'!AE83))</f>
        <v/>
      </c>
      <c r="BM79" s="5" t="str">
        <f>IF('Project Database'!A83="","",N('Project Database'!AF83))</f>
        <v/>
      </c>
      <c r="BN79" s="5" t="str">
        <f>IF('Project Database'!A83="","",N('Project Database'!AG83))</f>
        <v/>
      </c>
      <c r="BO79" s="5" t="str">
        <f>IF('Project Database'!A83="","",N('Project Database'!AH83))</f>
        <v/>
      </c>
      <c r="BP79" s="5" t="str">
        <f>IF('Project Database'!A83="","",N('Project Database'!AI83))</f>
        <v/>
      </c>
      <c r="BQ79" s="5" t="str">
        <f>IF('Project Database'!A83="","",N('Project Database'!AJ83))</f>
        <v/>
      </c>
      <c r="BR79" s="5" t="str">
        <f>IF('Project Database'!A83="","",N('Project Database'!AK83))</f>
        <v/>
      </c>
      <c r="BS79" s="5" t="str">
        <f>IF('Project Database'!A83="","",N('Project Database'!AL83))</f>
        <v/>
      </c>
      <c r="BT79" s="5" t="str">
        <f>IF('Project Database'!A83="","",N('Project Database'!AM83))</f>
        <v/>
      </c>
      <c r="BU79" s="5" t="str">
        <f>IF('Project Database'!A83="","",N('Project Database'!AN83))</f>
        <v/>
      </c>
      <c r="BV79" s="5" t="str">
        <f>IF('Project Database'!A83="","",N('Project Database'!AO83))</f>
        <v/>
      </c>
      <c r="BW79" s="5" t="str">
        <f>IF('Project Database'!A83="","",N('Project Database'!AP83))</f>
        <v/>
      </c>
      <c r="BX79" s="5">
        <f t="shared" si="26"/>
        <v>0</v>
      </c>
      <c r="BY79" s="5">
        <f t="shared" si="27"/>
        <v>0</v>
      </c>
    </row>
    <row r="80" spans="1:77" ht="15" customHeight="1" x14ac:dyDescent="0.3">
      <c r="A80" s="66">
        <f>'Project Database'!A84</f>
        <v>0</v>
      </c>
      <c r="B80" s="66">
        <f>'Project Database'!B84</f>
        <v>0</v>
      </c>
      <c r="C80" s="66">
        <f>'Project Database'!G84</f>
        <v>0</v>
      </c>
      <c r="D80" s="66">
        <f>'Project Database'!H84</f>
        <v>0</v>
      </c>
      <c r="E80" s="66">
        <f>'Project Database'!I84</f>
        <v>0</v>
      </c>
      <c r="F80" s="66">
        <f>'Project Database'!J84</f>
        <v>0</v>
      </c>
      <c r="G80" s="66">
        <f>'Project Database'!K84</f>
        <v>0</v>
      </c>
      <c r="H80" s="66">
        <f>'Project Database'!L84</f>
        <v>0</v>
      </c>
      <c r="I80" s="66">
        <f>'Project Database'!M84</f>
        <v>0</v>
      </c>
      <c r="J80" s="66">
        <f>'Project Database'!N84</f>
        <v>0</v>
      </c>
      <c r="K80" s="66">
        <f>'Project Database'!O84</f>
        <v>0</v>
      </c>
      <c r="L80" s="66">
        <f>'Project Database'!P84</f>
        <v>0</v>
      </c>
      <c r="M80" s="66">
        <f>'Project Database'!Q84</f>
        <v>0</v>
      </c>
      <c r="N80" s="66">
        <f>'Project Database'!R84</f>
        <v>0</v>
      </c>
      <c r="O80" s="66">
        <f>'Project Database'!S84</f>
        <v>0</v>
      </c>
      <c r="P80" s="66">
        <f>'Project Database'!T84</f>
        <v>0</v>
      </c>
      <c r="Q80" s="66">
        <f>'Project Database'!U84</f>
        <v>0</v>
      </c>
      <c r="R80" s="66">
        <f>'Project Database'!V84</f>
        <v>0</v>
      </c>
      <c r="S80" s="66">
        <f>'Project Database'!W84</f>
        <v>0</v>
      </c>
      <c r="T80" s="66">
        <f>'Project Database'!X84</f>
        <v>0</v>
      </c>
      <c r="U80" s="67">
        <f>'Project Database'!Y84</f>
        <v>0</v>
      </c>
      <c r="V80" s="66">
        <f>IF('Smart Search'!B13=1,IFERROR(1/'Smart Search'!H13,0),0)</f>
        <v>0</v>
      </c>
      <c r="W80" s="66">
        <f>IF('Smart Search'!B13=1,IFERROR(1/'Smart Search'!H13,0),0)</f>
        <v>0</v>
      </c>
      <c r="X80" s="66">
        <f>IF('Smart Search'!C13=1,IFERROR(1/'Smart Search'!H13,0),0)</f>
        <v>0.5</v>
      </c>
      <c r="Y80" s="66">
        <f>IF('Smart Search'!C13=1,IFERROR(1/'Smart Search'!H13,0),0)</f>
        <v>0.5</v>
      </c>
      <c r="Z80" s="66">
        <f>IF('Smart Search'!D13=1,IFERROR(1/'Smart Search'!H13,0),0)</f>
        <v>0</v>
      </c>
      <c r="AA80" s="66">
        <f>IF('Smart Search'!D13=1,IFERROR(1/'Smart Search'!H13,0),0)</f>
        <v>0</v>
      </c>
      <c r="AB80" s="66">
        <f>IF('Smart Search'!E13=1,IFERROR(1/'Smart Search'!H13,0),0)</f>
        <v>0</v>
      </c>
      <c r="AC80" s="66">
        <f>IF('Smart Search'!E13=1,IFERROR(1/'Smart Search'!H13,0),0)</f>
        <v>0</v>
      </c>
      <c r="AD80" s="66">
        <f>IF('Smart Search'!F13=1,IFERROR(1/'Smart Search'!H13,0),0)</f>
        <v>0</v>
      </c>
      <c r="AE80" s="66">
        <f>IF('Smart Search'!F13=1,IFERROR(1/'Smart Search'!H13,0),0)</f>
        <v>0</v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>0</v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>0</v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>0</v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>0</v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>0</v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>0</v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>0</v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>0</v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>0</v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>0</v>
      </c>
      <c r="AP80" s="66">
        <f t="shared" si="14"/>
        <v>0</v>
      </c>
      <c r="AQ80" s="66">
        <f t="shared" si="15"/>
        <v>0</v>
      </c>
      <c r="AR80" s="66">
        <f t="shared" si="16"/>
        <v>0</v>
      </c>
      <c r="AS80" s="66">
        <f t="shared" si="17"/>
        <v>0</v>
      </c>
      <c r="AT80" s="66">
        <f t="shared" si="18"/>
        <v>0</v>
      </c>
      <c r="AU80" s="66">
        <f t="shared" si="19"/>
        <v>0</v>
      </c>
      <c r="AV80" s="66">
        <f t="shared" si="20"/>
        <v>0</v>
      </c>
      <c r="AW80" s="66">
        <f t="shared" si="21"/>
        <v>0</v>
      </c>
      <c r="AX80" s="66">
        <f t="shared" si="22"/>
        <v>0</v>
      </c>
      <c r="AY80" s="66">
        <f t="shared" si="23"/>
        <v>0</v>
      </c>
      <c r="AZ80" s="66">
        <f>'Project Database'!Z84</f>
        <v>0</v>
      </c>
      <c r="BA80" s="66">
        <f>IF(OR(A80="",'Smart Search'!H13=0),"",MAX(0,BE80*BF80*MAX(0,1-BG80)))</f>
        <v>0</v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>0</v>
      </c>
      <c r="BC80" s="66">
        <f>IF('Smart Search'!G13=1,IFERROR(1/'Smart Search'!H13,0),0)</f>
        <v>0</v>
      </c>
      <c r="BD80" s="66">
        <f t="shared" si="24"/>
        <v>0</v>
      </c>
      <c r="BE80" s="66">
        <f t="shared" si="25"/>
        <v>0</v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>0</v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>0</v>
      </c>
      <c r="BH80" s="5" t="str">
        <f>IF(AND('Project Database'!A84&lt;&gt;"",OR('Smart Search'!$L$5="",'Smart Search'!$L$5="All",TRIM('Project Database'!D84)=TRIM('Smart Search'!$L$5)),OR(TRIM('Smart Search'!$L$6)="",TRIM('Smart Search'!$L$6)="All",ISNUMBER(SEARCH(SUBSTITUTE(SUBSTITUTE(SUBSTITUTE(TRIM('Smart Search'!$L$6),"~","~~"),"*","~*"),"?","~?"),'Project Database'!C84))),OR('Smart Search'!$L$7="",AND('Project Database'!E84&lt;&gt;"",'Project Database'!E84='Smart Search'!$L$7)),OR('Smart Search'!$L$8="",'Smart Search'!$L$8="All",TRIM('Project Database'!F84)=TRIM('Smart Search'!$L$8))),IF(BA80="","",BA80+ROW()*0.0000000001),"")</f>
        <v/>
      </c>
      <c r="BI80" s="5" t="str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 t="str">
        <f>IF('Project Database'!A84="","",N('Project Database'!AC84))</f>
        <v/>
      </c>
      <c r="BK80" s="5" t="str">
        <f>IF('Project Database'!A84="","",N('Project Database'!AD84))</f>
        <v/>
      </c>
      <c r="BL80" s="5" t="str">
        <f>IF('Project Database'!A84="","",N('Project Database'!AE84))</f>
        <v/>
      </c>
      <c r="BM80" s="5" t="str">
        <f>IF('Project Database'!A84="","",N('Project Database'!AF84))</f>
        <v/>
      </c>
      <c r="BN80" s="5" t="str">
        <f>IF('Project Database'!A84="","",N('Project Database'!AG84))</f>
        <v/>
      </c>
      <c r="BO80" s="5" t="str">
        <f>IF('Project Database'!A84="","",N('Project Database'!AH84))</f>
        <v/>
      </c>
      <c r="BP80" s="5" t="str">
        <f>IF('Project Database'!A84="","",N('Project Database'!AI84))</f>
        <v/>
      </c>
      <c r="BQ80" s="5" t="str">
        <f>IF('Project Database'!A84="","",N('Project Database'!AJ84))</f>
        <v/>
      </c>
      <c r="BR80" s="5" t="str">
        <f>IF('Project Database'!A84="","",N('Project Database'!AK84))</f>
        <v/>
      </c>
      <c r="BS80" s="5" t="str">
        <f>IF('Project Database'!A84="","",N('Project Database'!AL84))</f>
        <v/>
      </c>
      <c r="BT80" s="5" t="str">
        <f>IF('Project Database'!A84="","",N('Project Database'!AM84))</f>
        <v/>
      </c>
      <c r="BU80" s="5" t="str">
        <f>IF('Project Database'!A84="","",N('Project Database'!AN84))</f>
        <v/>
      </c>
      <c r="BV80" s="5" t="str">
        <f>IF('Project Database'!A84="","",N('Project Database'!AO84))</f>
        <v/>
      </c>
      <c r="BW80" s="5" t="str">
        <f>IF('Project Database'!A84="","",N('Project Database'!AP84))</f>
        <v/>
      </c>
      <c r="BX80" s="5">
        <f t="shared" si="26"/>
        <v>0</v>
      </c>
      <c r="BY80" s="5">
        <f t="shared" si="27"/>
        <v>0</v>
      </c>
    </row>
    <row r="81" spans="1:77" ht="15" customHeight="1" x14ac:dyDescent="0.3">
      <c r="A81" s="66">
        <f>'Project Database'!A85</f>
        <v>0</v>
      </c>
      <c r="B81" s="66">
        <f>'Project Database'!B85</f>
        <v>0</v>
      </c>
      <c r="C81" s="66">
        <f>'Project Database'!G85</f>
        <v>0</v>
      </c>
      <c r="D81" s="66">
        <f>'Project Database'!H85</f>
        <v>0</v>
      </c>
      <c r="E81" s="66">
        <f>'Project Database'!I85</f>
        <v>0</v>
      </c>
      <c r="F81" s="66">
        <f>'Project Database'!J85</f>
        <v>0</v>
      </c>
      <c r="G81" s="66">
        <f>'Project Database'!K85</f>
        <v>0</v>
      </c>
      <c r="H81" s="66">
        <f>'Project Database'!L85</f>
        <v>0</v>
      </c>
      <c r="I81" s="66">
        <f>'Project Database'!M85</f>
        <v>0</v>
      </c>
      <c r="J81" s="66">
        <f>'Project Database'!N85</f>
        <v>0</v>
      </c>
      <c r="K81" s="66">
        <f>'Project Database'!O85</f>
        <v>0</v>
      </c>
      <c r="L81" s="66">
        <f>'Project Database'!P85</f>
        <v>0</v>
      </c>
      <c r="M81" s="66">
        <f>'Project Database'!Q85</f>
        <v>0</v>
      </c>
      <c r="N81" s="66">
        <f>'Project Database'!R85</f>
        <v>0</v>
      </c>
      <c r="O81" s="66">
        <f>'Project Database'!S85</f>
        <v>0</v>
      </c>
      <c r="P81" s="66">
        <f>'Project Database'!T85</f>
        <v>0</v>
      </c>
      <c r="Q81" s="66">
        <f>'Project Database'!U85</f>
        <v>0</v>
      </c>
      <c r="R81" s="66">
        <f>'Project Database'!V85</f>
        <v>0</v>
      </c>
      <c r="S81" s="66">
        <f>'Project Database'!W85</f>
        <v>0</v>
      </c>
      <c r="T81" s="66">
        <f>'Project Database'!X85</f>
        <v>0</v>
      </c>
      <c r="U81" s="67">
        <f>'Project Database'!Y85</f>
        <v>0</v>
      </c>
      <c r="V81" s="66">
        <f>IF('Smart Search'!B13=1,IFERROR(1/'Smart Search'!H13,0),0)</f>
        <v>0</v>
      </c>
      <c r="W81" s="66">
        <f>IF('Smart Search'!B13=1,IFERROR(1/'Smart Search'!H13,0),0)</f>
        <v>0</v>
      </c>
      <c r="X81" s="66">
        <f>IF('Smart Search'!C13=1,IFERROR(1/'Smart Search'!H13,0),0)</f>
        <v>0.5</v>
      </c>
      <c r="Y81" s="66">
        <f>IF('Smart Search'!C13=1,IFERROR(1/'Smart Search'!H13,0),0)</f>
        <v>0.5</v>
      </c>
      <c r="Z81" s="66">
        <f>IF('Smart Search'!D13=1,IFERROR(1/'Smart Search'!H13,0),0)</f>
        <v>0</v>
      </c>
      <c r="AA81" s="66">
        <f>IF('Smart Search'!D13=1,IFERROR(1/'Smart Search'!H13,0),0)</f>
        <v>0</v>
      </c>
      <c r="AB81" s="66">
        <f>IF('Smart Search'!E13=1,IFERROR(1/'Smart Search'!H13,0),0)</f>
        <v>0</v>
      </c>
      <c r="AC81" s="66">
        <f>IF('Smart Search'!E13=1,IFERROR(1/'Smart Search'!H13,0),0)</f>
        <v>0</v>
      </c>
      <c r="AD81" s="66">
        <f>IF('Smart Search'!F13=1,IFERROR(1/'Smart Search'!H13,0),0)</f>
        <v>0</v>
      </c>
      <c r="AE81" s="66">
        <f>IF('Smart Search'!F13=1,IFERROR(1/'Smart Search'!H13,0),0)</f>
        <v>0</v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>0</v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>0</v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>0</v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>0</v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>0</v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>0</v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>0</v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>0</v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>0</v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>0</v>
      </c>
      <c r="AP81" s="66">
        <f t="shared" si="14"/>
        <v>0</v>
      </c>
      <c r="AQ81" s="66">
        <f t="shared" si="15"/>
        <v>0</v>
      </c>
      <c r="AR81" s="66">
        <f t="shared" si="16"/>
        <v>0</v>
      </c>
      <c r="AS81" s="66">
        <f t="shared" si="17"/>
        <v>0</v>
      </c>
      <c r="AT81" s="66">
        <f t="shared" si="18"/>
        <v>0</v>
      </c>
      <c r="AU81" s="66">
        <f t="shared" si="19"/>
        <v>0</v>
      </c>
      <c r="AV81" s="66">
        <f t="shared" si="20"/>
        <v>0</v>
      </c>
      <c r="AW81" s="66">
        <f t="shared" si="21"/>
        <v>0</v>
      </c>
      <c r="AX81" s="66">
        <f t="shared" si="22"/>
        <v>0</v>
      </c>
      <c r="AY81" s="66">
        <f t="shared" si="23"/>
        <v>0</v>
      </c>
      <c r="AZ81" s="66">
        <f>'Project Database'!Z85</f>
        <v>0</v>
      </c>
      <c r="BA81" s="66">
        <f>IF(OR(A81="",'Smart Search'!H13=0),"",MAX(0,BE81*BF81*MAX(0,1-BG81)))</f>
        <v>0</v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>0</v>
      </c>
      <c r="BC81" s="66">
        <f>IF('Smart Search'!G13=1,IFERROR(1/'Smart Search'!H13,0),0)</f>
        <v>0</v>
      </c>
      <c r="BD81" s="66">
        <f t="shared" si="24"/>
        <v>0</v>
      </c>
      <c r="BE81" s="66">
        <f t="shared" si="25"/>
        <v>0</v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>0</v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>0</v>
      </c>
      <c r="BH81" s="5" t="str">
        <f>IF(AND('Project Database'!A85&lt;&gt;"",OR('Smart Search'!$L$5="",'Smart Search'!$L$5="All",TRIM('Project Database'!D85)=TRIM('Smart Search'!$L$5)),OR(TRIM('Smart Search'!$L$6)="",TRIM('Smart Search'!$L$6)="All",ISNUMBER(SEARCH(SUBSTITUTE(SUBSTITUTE(SUBSTITUTE(TRIM('Smart Search'!$L$6),"~","~~"),"*","~*"),"?","~?"),'Project Database'!C85))),OR('Smart Search'!$L$7="",AND('Project Database'!E85&lt;&gt;"",'Project Database'!E85='Smart Search'!$L$7)),OR('Smart Search'!$L$8="",'Smart Search'!$L$8="All",TRIM('Project Database'!F85)=TRIM('Smart Search'!$L$8))),IF(BA81="","",BA81+ROW()*0.0000000001),"")</f>
        <v/>
      </c>
      <c r="BI81" s="5" t="str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 t="str">
        <f>IF('Project Database'!A85="","",N('Project Database'!AC85))</f>
        <v/>
      </c>
      <c r="BK81" s="5" t="str">
        <f>IF('Project Database'!A85="","",N('Project Database'!AD85))</f>
        <v/>
      </c>
      <c r="BL81" s="5" t="str">
        <f>IF('Project Database'!A85="","",N('Project Database'!AE85))</f>
        <v/>
      </c>
      <c r="BM81" s="5" t="str">
        <f>IF('Project Database'!A85="","",N('Project Database'!AF85))</f>
        <v/>
      </c>
      <c r="BN81" s="5" t="str">
        <f>IF('Project Database'!A85="","",N('Project Database'!AG85))</f>
        <v/>
      </c>
      <c r="BO81" s="5" t="str">
        <f>IF('Project Database'!A85="","",N('Project Database'!AH85))</f>
        <v/>
      </c>
      <c r="BP81" s="5" t="str">
        <f>IF('Project Database'!A85="","",N('Project Database'!AI85))</f>
        <v/>
      </c>
      <c r="BQ81" s="5" t="str">
        <f>IF('Project Database'!A85="","",N('Project Database'!AJ85))</f>
        <v/>
      </c>
      <c r="BR81" s="5" t="str">
        <f>IF('Project Database'!A85="","",N('Project Database'!AK85))</f>
        <v/>
      </c>
      <c r="BS81" s="5" t="str">
        <f>IF('Project Database'!A85="","",N('Project Database'!AL85))</f>
        <v/>
      </c>
      <c r="BT81" s="5" t="str">
        <f>IF('Project Database'!A85="","",N('Project Database'!AM85))</f>
        <v/>
      </c>
      <c r="BU81" s="5" t="str">
        <f>IF('Project Database'!A85="","",N('Project Database'!AN85))</f>
        <v/>
      </c>
      <c r="BV81" s="5" t="str">
        <f>IF('Project Database'!A85="","",N('Project Database'!AO85))</f>
        <v/>
      </c>
      <c r="BW81" s="5" t="str">
        <f>IF('Project Database'!A85="","",N('Project Database'!AP85))</f>
        <v/>
      </c>
      <c r="BX81" s="5">
        <f t="shared" si="26"/>
        <v>0</v>
      </c>
      <c r="BY81" s="5">
        <f t="shared" si="27"/>
        <v>0</v>
      </c>
    </row>
    <row r="82" spans="1:77" ht="15" customHeight="1" x14ac:dyDescent="0.3">
      <c r="A82" s="66">
        <f>'Project Database'!A86</f>
        <v>0</v>
      </c>
      <c r="B82" s="66">
        <f>'Project Database'!B86</f>
        <v>0</v>
      </c>
      <c r="C82" s="66">
        <f>'Project Database'!G86</f>
        <v>0</v>
      </c>
      <c r="D82" s="66">
        <f>'Project Database'!H86</f>
        <v>0</v>
      </c>
      <c r="E82" s="66">
        <f>'Project Database'!I86</f>
        <v>0</v>
      </c>
      <c r="F82" s="66">
        <f>'Project Database'!J86</f>
        <v>0</v>
      </c>
      <c r="G82" s="66">
        <f>'Project Database'!K86</f>
        <v>0</v>
      </c>
      <c r="H82" s="66">
        <f>'Project Database'!L86</f>
        <v>0</v>
      </c>
      <c r="I82" s="66">
        <f>'Project Database'!M86</f>
        <v>0</v>
      </c>
      <c r="J82" s="66">
        <f>'Project Database'!N86</f>
        <v>0</v>
      </c>
      <c r="K82" s="66">
        <f>'Project Database'!O86</f>
        <v>0</v>
      </c>
      <c r="L82" s="66">
        <f>'Project Database'!P86</f>
        <v>0</v>
      </c>
      <c r="M82" s="66">
        <f>'Project Database'!Q86</f>
        <v>0</v>
      </c>
      <c r="N82" s="66">
        <f>'Project Database'!R86</f>
        <v>0</v>
      </c>
      <c r="O82" s="66">
        <f>'Project Database'!S86</f>
        <v>0</v>
      </c>
      <c r="P82" s="66">
        <f>'Project Database'!T86</f>
        <v>0</v>
      </c>
      <c r="Q82" s="66">
        <f>'Project Database'!U86</f>
        <v>0</v>
      </c>
      <c r="R82" s="66">
        <f>'Project Database'!V86</f>
        <v>0</v>
      </c>
      <c r="S82" s="66">
        <f>'Project Database'!W86</f>
        <v>0</v>
      </c>
      <c r="T82" s="66">
        <f>'Project Database'!X86</f>
        <v>0</v>
      </c>
      <c r="U82" s="67">
        <f>'Project Database'!Y86</f>
        <v>0</v>
      </c>
      <c r="V82" s="66">
        <f>IF('Smart Search'!B13=1,IFERROR(1/'Smart Search'!H13,0),0)</f>
        <v>0</v>
      </c>
      <c r="W82" s="66">
        <f>IF('Smart Search'!B13=1,IFERROR(1/'Smart Search'!H13,0),0)</f>
        <v>0</v>
      </c>
      <c r="X82" s="66">
        <f>IF('Smart Search'!C13=1,IFERROR(1/'Smart Search'!H13,0),0)</f>
        <v>0.5</v>
      </c>
      <c r="Y82" s="66">
        <f>IF('Smart Search'!C13=1,IFERROR(1/'Smart Search'!H13,0),0)</f>
        <v>0.5</v>
      </c>
      <c r="Z82" s="66">
        <f>IF('Smart Search'!D13=1,IFERROR(1/'Smart Search'!H13,0),0)</f>
        <v>0</v>
      </c>
      <c r="AA82" s="66">
        <f>IF('Smart Search'!D13=1,IFERROR(1/'Smart Search'!H13,0),0)</f>
        <v>0</v>
      </c>
      <c r="AB82" s="66">
        <f>IF('Smart Search'!E13=1,IFERROR(1/'Smart Search'!H13,0),0)</f>
        <v>0</v>
      </c>
      <c r="AC82" s="66">
        <f>IF('Smart Search'!E13=1,IFERROR(1/'Smart Search'!H13,0),0)</f>
        <v>0</v>
      </c>
      <c r="AD82" s="66">
        <f>IF('Smart Search'!F13=1,IFERROR(1/'Smart Search'!H13,0),0)</f>
        <v>0</v>
      </c>
      <c r="AE82" s="66">
        <f>IF('Smart Search'!F13=1,IFERROR(1/'Smart Search'!H13,0),0)</f>
        <v>0</v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>0</v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>0</v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>0</v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>0</v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>0</v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>0</v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>0</v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>0</v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>0</v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>0</v>
      </c>
      <c r="AP82" s="66">
        <f t="shared" si="14"/>
        <v>0</v>
      </c>
      <c r="AQ82" s="66">
        <f t="shared" si="15"/>
        <v>0</v>
      </c>
      <c r="AR82" s="66">
        <f t="shared" si="16"/>
        <v>0</v>
      </c>
      <c r="AS82" s="66">
        <f t="shared" si="17"/>
        <v>0</v>
      </c>
      <c r="AT82" s="66">
        <f t="shared" si="18"/>
        <v>0</v>
      </c>
      <c r="AU82" s="66">
        <f t="shared" si="19"/>
        <v>0</v>
      </c>
      <c r="AV82" s="66">
        <f t="shared" si="20"/>
        <v>0</v>
      </c>
      <c r="AW82" s="66">
        <f t="shared" si="21"/>
        <v>0</v>
      </c>
      <c r="AX82" s="66">
        <f t="shared" si="22"/>
        <v>0</v>
      </c>
      <c r="AY82" s="66">
        <f t="shared" si="23"/>
        <v>0</v>
      </c>
      <c r="AZ82" s="66">
        <f>'Project Database'!Z86</f>
        <v>0</v>
      </c>
      <c r="BA82" s="66">
        <f>IF(OR(A82="",'Smart Search'!H13=0),"",MAX(0,BE82*BF82*MAX(0,1-BG82)))</f>
        <v>0</v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>0</v>
      </c>
      <c r="BC82" s="66">
        <f>IF('Smart Search'!G13=1,IFERROR(1/'Smart Search'!H13,0),0)</f>
        <v>0</v>
      </c>
      <c r="BD82" s="66">
        <f t="shared" si="24"/>
        <v>0</v>
      </c>
      <c r="BE82" s="66">
        <f t="shared" si="25"/>
        <v>0</v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>0</v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>0</v>
      </c>
      <c r="BH82" s="5" t="str">
        <f>IF(AND('Project Database'!A86&lt;&gt;"",OR('Smart Search'!$L$5="",'Smart Search'!$L$5="All",TRIM('Project Database'!D86)=TRIM('Smart Search'!$L$5)),OR(TRIM('Smart Search'!$L$6)="",TRIM('Smart Search'!$L$6)="All",ISNUMBER(SEARCH(SUBSTITUTE(SUBSTITUTE(SUBSTITUTE(TRIM('Smart Search'!$L$6),"~","~~"),"*","~*"),"?","~?"),'Project Database'!C86))),OR('Smart Search'!$L$7="",AND('Project Database'!E86&lt;&gt;"",'Project Database'!E86='Smart Search'!$L$7)),OR('Smart Search'!$L$8="",'Smart Search'!$L$8="All",TRIM('Project Database'!F86)=TRIM('Smart Search'!$L$8))),IF(BA82="","",BA82+ROW()*0.0000000001),"")</f>
        <v/>
      </c>
      <c r="BI82" s="5" t="str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 t="str">
        <f>IF('Project Database'!A86="","",N('Project Database'!AC86))</f>
        <v/>
      </c>
      <c r="BK82" s="5" t="str">
        <f>IF('Project Database'!A86="","",N('Project Database'!AD86))</f>
        <v/>
      </c>
      <c r="BL82" s="5" t="str">
        <f>IF('Project Database'!A86="","",N('Project Database'!AE86))</f>
        <v/>
      </c>
      <c r="BM82" s="5" t="str">
        <f>IF('Project Database'!A86="","",N('Project Database'!AF86))</f>
        <v/>
      </c>
      <c r="BN82" s="5" t="str">
        <f>IF('Project Database'!A86="","",N('Project Database'!AG86))</f>
        <v/>
      </c>
      <c r="BO82" s="5" t="str">
        <f>IF('Project Database'!A86="","",N('Project Database'!AH86))</f>
        <v/>
      </c>
      <c r="BP82" s="5" t="str">
        <f>IF('Project Database'!A86="","",N('Project Database'!AI86))</f>
        <v/>
      </c>
      <c r="BQ82" s="5" t="str">
        <f>IF('Project Database'!A86="","",N('Project Database'!AJ86))</f>
        <v/>
      </c>
      <c r="BR82" s="5" t="str">
        <f>IF('Project Database'!A86="","",N('Project Database'!AK86))</f>
        <v/>
      </c>
      <c r="BS82" s="5" t="str">
        <f>IF('Project Database'!A86="","",N('Project Database'!AL86))</f>
        <v/>
      </c>
      <c r="BT82" s="5" t="str">
        <f>IF('Project Database'!A86="","",N('Project Database'!AM86))</f>
        <v/>
      </c>
      <c r="BU82" s="5" t="str">
        <f>IF('Project Database'!A86="","",N('Project Database'!AN86))</f>
        <v/>
      </c>
      <c r="BV82" s="5" t="str">
        <f>IF('Project Database'!A86="","",N('Project Database'!AO86))</f>
        <v/>
      </c>
      <c r="BW82" s="5" t="str">
        <f>IF('Project Database'!A86="","",N('Project Database'!AP86))</f>
        <v/>
      </c>
      <c r="BX82" s="5">
        <f t="shared" si="26"/>
        <v>0</v>
      </c>
      <c r="BY82" s="5">
        <f t="shared" si="27"/>
        <v>0</v>
      </c>
    </row>
    <row r="83" spans="1:77" ht="15" customHeight="1" x14ac:dyDescent="0.3">
      <c r="A83" s="66">
        <f>'Project Database'!A87</f>
        <v>0</v>
      </c>
      <c r="B83" s="66">
        <f>'Project Database'!B87</f>
        <v>0</v>
      </c>
      <c r="C83" s="66">
        <f>'Project Database'!G87</f>
        <v>0</v>
      </c>
      <c r="D83" s="66">
        <f>'Project Database'!H87</f>
        <v>0</v>
      </c>
      <c r="E83" s="66">
        <f>'Project Database'!I87</f>
        <v>0</v>
      </c>
      <c r="F83" s="66">
        <f>'Project Database'!J87</f>
        <v>0</v>
      </c>
      <c r="G83" s="66">
        <f>'Project Database'!K87</f>
        <v>0</v>
      </c>
      <c r="H83" s="66">
        <f>'Project Database'!L87</f>
        <v>0</v>
      </c>
      <c r="I83" s="66">
        <f>'Project Database'!M87</f>
        <v>0</v>
      </c>
      <c r="J83" s="66">
        <f>'Project Database'!N87</f>
        <v>0</v>
      </c>
      <c r="K83" s="66">
        <f>'Project Database'!O87</f>
        <v>0</v>
      </c>
      <c r="L83" s="66">
        <f>'Project Database'!P87</f>
        <v>0</v>
      </c>
      <c r="M83" s="66">
        <f>'Project Database'!Q87</f>
        <v>0</v>
      </c>
      <c r="N83" s="66">
        <f>'Project Database'!R87</f>
        <v>0</v>
      </c>
      <c r="O83" s="66">
        <f>'Project Database'!S87</f>
        <v>0</v>
      </c>
      <c r="P83" s="66">
        <f>'Project Database'!T87</f>
        <v>0</v>
      </c>
      <c r="Q83" s="66">
        <f>'Project Database'!U87</f>
        <v>0</v>
      </c>
      <c r="R83" s="66">
        <f>'Project Database'!V87</f>
        <v>0</v>
      </c>
      <c r="S83" s="66">
        <f>'Project Database'!W87</f>
        <v>0</v>
      </c>
      <c r="T83" s="66">
        <f>'Project Database'!X87</f>
        <v>0</v>
      </c>
      <c r="U83" s="67">
        <f>'Project Database'!Y87</f>
        <v>0</v>
      </c>
      <c r="V83" s="66">
        <f>IF('Smart Search'!B13=1,IFERROR(1/'Smart Search'!H13,0),0)</f>
        <v>0</v>
      </c>
      <c r="W83" s="66">
        <f>IF('Smart Search'!B13=1,IFERROR(1/'Smart Search'!H13,0),0)</f>
        <v>0</v>
      </c>
      <c r="X83" s="66">
        <f>IF('Smart Search'!C13=1,IFERROR(1/'Smart Search'!H13,0),0)</f>
        <v>0.5</v>
      </c>
      <c r="Y83" s="66">
        <f>IF('Smart Search'!C13=1,IFERROR(1/'Smart Search'!H13,0),0)</f>
        <v>0.5</v>
      </c>
      <c r="Z83" s="66">
        <f>IF('Smart Search'!D13=1,IFERROR(1/'Smart Search'!H13,0),0)</f>
        <v>0</v>
      </c>
      <c r="AA83" s="66">
        <f>IF('Smart Search'!D13=1,IFERROR(1/'Smart Search'!H13,0),0)</f>
        <v>0</v>
      </c>
      <c r="AB83" s="66">
        <f>IF('Smart Search'!E13=1,IFERROR(1/'Smart Search'!H13,0),0)</f>
        <v>0</v>
      </c>
      <c r="AC83" s="66">
        <f>IF('Smart Search'!E13=1,IFERROR(1/'Smart Search'!H13,0),0)</f>
        <v>0</v>
      </c>
      <c r="AD83" s="66">
        <f>IF('Smart Search'!F13=1,IFERROR(1/'Smart Search'!H13,0),0)</f>
        <v>0</v>
      </c>
      <c r="AE83" s="66">
        <f>IF('Smart Search'!F13=1,IFERROR(1/'Smart Search'!H13,0),0)</f>
        <v>0</v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>0</v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>0</v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>0</v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>0</v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>0</v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>0</v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>0</v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>0</v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>0</v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>0</v>
      </c>
      <c r="AP83" s="66">
        <f t="shared" si="14"/>
        <v>0</v>
      </c>
      <c r="AQ83" s="66">
        <f t="shared" si="15"/>
        <v>0</v>
      </c>
      <c r="AR83" s="66">
        <f t="shared" si="16"/>
        <v>0</v>
      </c>
      <c r="AS83" s="66">
        <f t="shared" si="17"/>
        <v>0</v>
      </c>
      <c r="AT83" s="66">
        <f t="shared" si="18"/>
        <v>0</v>
      </c>
      <c r="AU83" s="66">
        <f t="shared" si="19"/>
        <v>0</v>
      </c>
      <c r="AV83" s="66">
        <f t="shared" si="20"/>
        <v>0</v>
      </c>
      <c r="AW83" s="66">
        <f t="shared" si="21"/>
        <v>0</v>
      </c>
      <c r="AX83" s="66">
        <f t="shared" si="22"/>
        <v>0</v>
      </c>
      <c r="AY83" s="66">
        <f t="shared" si="23"/>
        <v>0</v>
      </c>
      <c r="AZ83" s="66">
        <f>'Project Database'!Z87</f>
        <v>0</v>
      </c>
      <c r="BA83" s="66">
        <f>IF(OR(A83="",'Smart Search'!H13=0),"",MAX(0,BE83*BF83*MAX(0,1-BG83)))</f>
        <v>0</v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>0</v>
      </c>
      <c r="BC83" s="66">
        <f>IF('Smart Search'!G13=1,IFERROR(1/'Smart Search'!H13,0),0)</f>
        <v>0</v>
      </c>
      <c r="BD83" s="66">
        <f t="shared" si="24"/>
        <v>0</v>
      </c>
      <c r="BE83" s="66">
        <f t="shared" si="25"/>
        <v>0</v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>0</v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>0</v>
      </c>
      <c r="BH83" s="5" t="str">
        <f>IF(AND('Project Database'!A87&lt;&gt;"",OR('Smart Search'!$L$5="",'Smart Search'!$L$5="All",TRIM('Project Database'!D87)=TRIM('Smart Search'!$L$5)),OR(TRIM('Smart Search'!$L$6)="",TRIM('Smart Search'!$L$6)="All",ISNUMBER(SEARCH(SUBSTITUTE(SUBSTITUTE(SUBSTITUTE(TRIM('Smart Search'!$L$6),"~","~~"),"*","~*"),"?","~?"),'Project Database'!C87))),OR('Smart Search'!$L$7="",AND('Project Database'!E87&lt;&gt;"",'Project Database'!E87='Smart Search'!$L$7)),OR('Smart Search'!$L$8="",'Smart Search'!$L$8="All",TRIM('Project Database'!F87)=TRIM('Smart Search'!$L$8))),IF(BA83="","",BA83+ROW()*0.0000000001),"")</f>
        <v/>
      </c>
      <c r="BI83" s="5" t="str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 t="str">
        <f>IF('Project Database'!A87="","",N('Project Database'!AC87))</f>
        <v/>
      </c>
      <c r="BK83" s="5" t="str">
        <f>IF('Project Database'!A87="","",N('Project Database'!AD87))</f>
        <v/>
      </c>
      <c r="BL83" s="5" t="str">
        <f>IF('Project Database'!A87="","",N('Project Database'!AE87))</f>
        <v/>
      </c>
      <c r="BM83" s="5" t="str">
        <f>IF('Project Database'!A87="","",N('Project Database'!AF87))</f>
        <v/>
      </c>
      <c r="BN83" s="5" t="str">
        <f>IF('Project Database'!A87="","",N('Project Database'!AG87))</f>
        <v/>
      </c>
      <c r="BO83" s="5" t="str">
        <f>IF('Project Database'!A87="","",N('Project Database'!AH87))</f>
        <v/>
      </c>
      <c r="BP83" s="5" t="str">
        <f>IF('Project Database'!A87="","",N('Project Database'!AI87))</f>
        <v/>
      </c>
      <c r="BQ83" s="5" t="str">
        <f>IF('Project Database'!A87="","",N('Project Database'!AJ87))</f>
        <v/>
      </c>
      <c r="BR83" s="5" t="str">
        <f>IF('Project Database'!A87="","",N('Project Database'!AK87))</f>
        <v/>
      </c>
      <c r="BS83" s="5" t="str">
        <f>IF('Project Database'!A87="","",N('Project Database'!AL87))</f>
        <v/>
      </c>
      <c r="BT83" s="5" t="str">
        <f>IF('Project Database'!A87="","",N('Project Database'!AM87))</f>
        <v/>
      </c>
      <c r="BU83" s="5" t="str">
        <f>IF('Project Database'!A87="","",N('Project Database'!AN87))</f>
        <v/>
      </c>
      <c r="BV83" s="5" t="str">
        <f>IF('Project Database'!A87="","",N('Project Database'!AO87))</f>
        <v/>
      </c>
      <c r="BW83" s="5" t="str">
        <f>IF('Project Database'!A87="","",N('Project Database'!AP87))</f>
        <v/>
      </c>
      <c r="BX83" s="5">
        <f t="shared" si="26"/>
        <v>0</v>
      </c>
      <c r="BY83" s="5">
        <f t="shared" si="27"/>
        <v>0</v>
      </c>
    </row>
    <row r="84" spans="1:77" ht="15" customHeight="1" x14ac:dyDescent="0.3">
      <c r="A84" s="66">
        <f>'Project Database'!A88</f>
        <v>0</v>
      </c>
      <c r="B84" s="66">
        <f>'Project Database'!B88</f>
        <v>0</v>
      </c>
      <c r="C84" s="66">
        <f>'Project Database'!G88</f>
        <v>0</v>
      </c>
      <c r="D84" s="66">
        <f>'Project Database'!H88</f>
        <v>0</v>
      </c>
      <c r="E84" s="66">
        <f>'Project Database'!I88</f>
        <v>0</v>
      </c>
      <c r="F84" s="66">
        <f>'Project Database'!J88</f>
        <v>0</v>
      </c>
      <c r="G84" s="66">
        <f>'Project Database'!K88</f>
        <v>0</v>
      </c>
      <c r="H84" s="66">
        <f>'Project Database'!L88</f>
        <v>0</v>
      </c>
      <c r="I84" s="66">
        <f>'Project Database'!M88</f>
        <v>0</v>
      </c>
      <c r="J84" s="66">
        <f>'Project Database'!N88</f>
        <v>0</v>
      </c>
      <c r="K84" s="66">
        <f>'Project Database'!O88</f>
        <v>0</v>
      </c>
      <c r="L84" s="66">
        <f>'Project Database'!P88</f>
        <v>0</v>
      </c>
      <c r="M84" s="66">
        <f>'Project Database'!Q88</f>
        <v>0</v>
      </c>
      <c r="N84" s="66">
        <f>'Project Database'!R88</f>
        <v>0</v>
      </c>
      <c r="O84" s="66">
        <f>'Project Database'!S88</f>
        <v>0</v>
      </c>
      <c r="P84" s="66">
        <f>'Project Database'!T88</f>
        <v>0</v>
      </c>
      <c r="Q84" s="66">
        <f>'Project Database'!U88</f>
        <v>0</v>
      </c>
      <c r="R84" s="66">
        <f>'Project Database'!V88</f>
        <v>0</v>
      </c>
      <c r="S84" s="66">
        <f>'Project Database'!W88</f>
        <v>0</v>
      </c>
      <c r="T84" s="66">
        <f>'Project Database'!X88</f>
        <v>0</v>
      </c>
      <c r="U84" s="67">
        <f>'Project Database'!Y88</f>
        <v>0</v>
      </c>
      <c r="V84" s="66">
        <f>IF('Smart Search'!B13=1,IFERROR(1/'Smart Search'!H13,0),0)</f>
        <v>0</v>
      </c>
      <c r="W84" s="66">
        <f>IF('Smart Search'!B13=1,IFERROR(1/'Smart Search'!H13,0),0)</f>
        <v>0</v>
      </c>
      <c r="X84" s="66">
        <f>IF('Smart Search'!C13=1,IFERROR(1/'Smart Search'!H13,0),0)</f>
        <v>0.5</v>
      </c>
      <c r="Y84" s="66">
        <f>IF('Smart Search'!C13=1,IFERROR(1/'Smart Search'!H13,0),0)</f>
        <v>0.5</v>
      </c>
      <c r="Z84" s="66">
        <f>IF('Smart Search'!D13=1,IFERROR(1/'Smart Search'!H13,0),0)</f>
        <v>0</v>
      </c>
      <c r="AA84" s="66">
        <f>IF('Smart Search'!D13=1,IFERROR(1/'Smart Search'!H13,0),0)</f>
        <v>0</v>
      </c>
      <c r="AB84" s="66">
        <f>IF('Smart Search'!E13=1,IFERROR(1/'Smart Search'!H13,0),0)</f>
        <v>0</v>
      </c>
      <c r="AC84" s="66">
        <f>IF('Smart Search'!E13=1,IFERROR(1/'Smart Search'!H13,0),0)</f>
        <v>0</v>
      </c>
      <c r="AD84" s="66">
        <f>IF('Smart Search'!F13=1,IFERROR(1/'Smart Search'!H13,0),0)</f>
        <v>0</v>
      </c>
      <c r="AE84" s="66">
        <f>IF('Smart Search'!F13=1,IFERROR(1/'Smart Search'!H13,0),0)</f>
        <v>0</v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>0</v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>0</v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>0</v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>0</v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>0</v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>0</v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>0</v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>0</v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>0</v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>0</v>
      </c>
      <c r="AP84" s="66">
        <f t="shared" si="14"/>
        <v>0</v>
      </c>
      <c r="AQ84" s="66">
        <f t="shared" si="15"/>
        <v>0</v>
      </c>
      <c r="AR84" s="66">
        <f t="shared" si="16"/>
        <v>0</v>
      </c>
      <c r="AS84" s="66">
        <f t="shared" si="17"/>
        <v>0</v>
      </c>
      <c r="AT84" s="66">
        <f t="shared" si="18"/>
        <v>0</v>
      </c>
      <c r="AU84" s="66">
        <f t="shared" si="19"/>
        <v>0</v>
      </c>
      <c r="AV84" s="66">
        <f t="shared" si="20"/>
        <v>0</v>
      </c>
      <c r="AW84" s="66">
        <f t="shared" si="21"/>
        <v>0</v>
      </c>
      <c r="AX84" s="66">
        <f t="shared" si="22"/>
        <v>0</v>
      </c>
      <c r="AY84" s="66">
        <f t="shared" si="23"/>
        <v>0</v>
      </c>
      <c r="AZ84" s="66">
        <f>'Project Database'!Z88</f>
        <v>0</v>
      </c>
      <c r="BA84" s="66">
        <f>IF(OR(A84="",'Smart Search'!H13=0),"",MAX(0,BE84*BF84*MAX(0,1-BG84)))</f>
        <v>0</v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>0</v>
      </c>
      <c r="BC84" s="66">
        <f>IF('Smart Search'!G13=1,IFERROR(1/'Smart Search'!H13,0),0)</f>
        <v>0</v>
      </c>
      <c r="BD84" s="66">
        <f t="shared" si="24"/>
        <v>0</v>
      </c>
      <c r="BE84" s="66">
        <f t="shared" si="25"/>
        <v>0</v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>0</v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>0</v>
      </c>
      <c r="BH84" s="5" t="str">
        <f>IF(AND('Project Database'!A88&lt;&gt;"",OR('Smart Search'!$L$5="",'Smart Search'!$L$5="All",TRIM('Project Database'!D88)=TRIM('Smart Search'!$L$5)),OR(TRIM('Smart Search'!$L$6)="",TRIM('Smart Search'!$L$6)="All",ISNUMBER(SEARCH(SUBSTITUTE(SUBSTITUTE(SUBSTITUTE(TRIM('Smart Search'!$L$6),"~","~~"),"*","~*"),"?","~?"),'Project Database'!C88))),OR('Smart Search'!$L$7="",AND('Project Database'!E88&lt;&gt;"",'Project Database'!E88='Smart Search'!$L$7)),OR('Smart Search'!$L$8="",'Smart Search'!$L$8="All",TRIM('Project Database'!F88)=TRIM('Smart Search'!$L$8))),IF(BA84="","",BA84+ROW()*0.0000000001),"")</f>
        <v/>
      </c>
      <c r="BI84" s="5" t="str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 t="str">
        <f>IF('Project Database'!A88="","",N('Project Database'!AC88))</f>
        <v/>
      </c>
      <c r="BK84" s="5" t="str">
        <f>IF('Project Database'!A88="","",N('Project Database'!AD88))</f>
        <v/>
      </c>
      <c r="BL84" s="5" t="str">
        <f>IF('Project Database'!A88="","",N('Project Database'!AE88))</f>
        <v/>
      </c>
      <c r="BM84" s="5" t="str">
        <f>IF('Project Database'!A88="","",N('Project Database'!AF88))</f>
        <v/>
      </c>
      <c r="BN84" s="5" t="str">
        <f>IF('Project Database'!A88="","",N('Project Database'!AG88))</f>
        <v/>
      </c>
      <c r="BO84" s="5" t="str">
        <f>IF('Project Database'!A88="","",N('Project Database'!AH88))</f>
        <v/>
      </c>
      <c r="BP84" s="5" t="str">
        <f>IF('Project Database'!A88="","",N('Project Database'!AI88))</f>
        <v/>
      </c>
      <c r="BQ84" s="5" t="str">
        <f>IF('Project Database'!A88="","",N('Project Database'!AJ88))</f>
        <v/>
      </c>
      <c r="BR84" s="5" t="str">
        <f>IF('Project Database'!A88="","",N('Project Database'!AK88))</f>
        <v/>
      </c>
      <c r="BS84" s="5" t="str">
        <f>IF('Project Database'!A88="","",N('Project Database'!AL88))</f>
        <v/>
      </c>
      <c r="BT84" s="5" t="str">
        <f>IF('Project Database'!A88="","",N('Project Database'!AM88))</f>
        <v/>
      </c>
      <c r="BU84" s="5" t="str">
        <f>IF('Project Database'!A88="","",N('Project Database'!AN88))</f>
        <v/>
      </c>
      <c r="BV84" s="5" t="str">
        <f>IF('Project Database'!A88="","",N('Project Database'!AO88))</f>
        <v/>
      </c>
      <c r="BW84" s="5" t="str">
        <f>IF('Project Database'!A88="","",N('Project Database'!AP88))</f>
        <v/>
      </c>
      <c r="BX84" s="5">
        <f t="shared" si="26"/>
        <v>0</v>
      </c>
      <c r="BY84" s="5">
        <f t="shared" si="27"/>
        <v>0</v>
      </c>
    </row>
    <row r="85" spans="1:77" ht="15" customHeight="1" x14ac:dyDescent="0.3">
      <c r="A85" s="66">
        <f>'Project Database'!A89</f>
        <v>0</v>
      </c>
      <c r="B85" s="66">
        <f>'Project Database'!B89</f>
        <v>0</v>
      </c>
      <c r="C85" s="66">
        <f>'Project Database'!G89</f>
        <v>0</v>
      </c>
      <c r="D85" s="66">
        <f>'Project Database'!H89</f>
        <v>0</v>
      </c>
      <c r="E85" s="66">
        <f>'Project Database'!I89</f>
        <v>0</v>
      </c>
      <c r="F85" s="66">
        <f>'Project Database'!J89</f>
        <v>0</v>
      </c>
      <c r="G85" s="66">
        <f>'Project Database'!K89</f>
        <v>0</v>
      </c>
      <c r="H85" s="66">
        <f>'Project Database'!L89</f>
        <v>0</v>
      </c>
      <c r="I85" s="66">
        <f>'Project Database'!M89</f>
        <v>0</v>
      </c>
      <c r="J85" s="66">
        <f>'Project Database'!N89</f>
        <v>0</v>
      </c>
      <c r="K85" s="66">
        <f>'Project Database'!O89</f>
        <v>0</v>
      </c>
      <c r="L85" s="66">
        <f>'Project Database'!P89</f>
        <v>0</v>
      </c>
      <c r="M85" s="66">
        <f>'Project Database'!Q89</f>
        <v>0</v>
      </c>
      <c r="N85" s="66">
        <f>'Project Database'!R89</f>
        <v>0</v>
      </c>
      <c r="O85" s="66">
        <f>'Project Database'!S89</f>
        <v>0</v>
      </c>
      <c r="P85" s="66">
        <f>'Project Database'!T89</f>
        <v>0</v>
      </c>
      <c r="Q85" s="66">
        <f>'Project Database'!U89</f>
        <v>0</v>
      </c>
      <c r="R85" s="66">
        <f>'Project Database'!V89</f>
        <v>0</v>
      </c>
      <c r="S85" s="66">
        <f>'Project Database'!W89</f>
        <v>0</v>
      </c>
      <c r="T85" s="66">
        <f>'Project Database'!X89</f>
        <v>0</v>
      </c>
      <c r="U85" s="67">
        <f>'Project Database'!Y89</f>
        <v>0</v>
      </c>
      <c r="V85" s="66">
        <f>IF('Smart Search'!B13=1,IFERROR(1/'Smart Search'!H13,0),0)</f>
        <v>0</v>
      </c>
      <c r="W85" s="66">
        <f>IF('Smart Search'!B13=1,IFERROR(1/'Smart Search'!H13,0),0)</f>
        <v>0</v>
      </c>
      <c r="X85" s="66">
        <f>IF('Smart Search'!C13=1,IFERROR(1/'Smart Search'!H13,0),0)</f>
        <v>0.5</v>
      </c>
      <c r="Y85" s="66">
        <f>IF('Smart Search'!C13=1,IFERROR(1/'Smart Search'!H13,0),0)</f>
        <v>0.5</v>
      </c>
      <c r="Z85" s="66">
        <f>IF('Smart Search'!D13=1,IFERROR(1/'Smart Search'!H13,0),0)</f>
        <v>0</v>
      </c>
      <c r="AA85" s="66">
        <f>IF('Smart Search'!D13=1,IFERROR(1/'Smart Search'!H13,0),0)</f>
        <v>0</v>
      </c>
      <c r="AB85" s="66">
        <f>IF('Smart Search'!E13=1,IFERROR(1/'Smart Search'!H13,0),0)</f>
        <v>0</v>
      </c>
      <c r="AC85" s="66">
        <f>IF('Smart Search'!E13=1,IFERROR(1/'Smart Search'!H13,0),0)</f>
        <v>0</v>
      </c>
      <c r="AD85" s="66">
        <f>IF('Smart Search'!F13=1,IFERROR(1/'Smart Search'!H13,0),0)</f>
        <v>0</v>
      </c>
      <c r="AE85" s="66">
        <f>IF('Smart Search'!F13=1,IFERROR(1/'Smart Search'!H13,0),0)</f>
        <v>0</v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>0</v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>0</v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>0</v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>0</v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>0</v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>0</v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>0</v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>0</v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>0</v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>0</v>
      </c>
      <c r="AP85" s="66">
        <f t="shared" si="14"/>
        <v>0</v>
      </c>
      <c r="AQ85" s="66">
        <f t="shared" si="15"/>
        <v>0</v>
      </c>
      <c r="AR85" s="66">
        <f t="shared" si="16"/>
        <v>0</v>
      </c>
      <c r="AS85" s="66">
        <f t="shared" si="17"/>
        <v>0</v>
      </c>
      <c r="AT85" s="66">
        <f t="shared" si="18"/>
        <v>0</v>
      </c>
      <c r="AU85" s="66">
        <f t="shared" si="19"/>
        <v>0</v>
      </c>
      <c r="AV85" s="66">
        <f t="shared" si="20"/>
        <v>0</v>
      </c>
      <c r="AW85" s="66">
        <f t="shared" si="21"/>
        <v>0</v>
      </c>
      <c r="AX85" s="66">
        <f t="shared" si="22"/>
        <v>0</v>
      </c>
      <c r="AY85" s="66">
        <f t="shared" si="23"/>
        <v>0</v>
      </c>
      <c r="AZ85" s="66">
        <f>'Project Database'!Z89</f>
        <v>0</v>
      </c>
      <c r="BA85" s="66">
        <f>IF(OR(A85="",'Smart Search'!H13=0),"",MAX(0,BE85*BF85*MAX(0,1-BG85)))</f>
        <v>0</v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>0</v>
      </c>
      <c r="BC85" s="66">
        <f>IF('Smart Search'!G13=1,IFERROR(1/'Smart Search'!H13,0),0)</f>
        <v>0</v>
      </c>
      <c r="BD85" s="66">
        <f t="shared" si="24"/>
        <v>0</v>
      </c>
      <c r="BE85" s="66">
        <f t="shared" si="25"/>
        <v>0</v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>0</v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>0</v>
      </c>
      <c r="BH85" s="5" t="str">
        <f>IF(AND('Project Database'!A89&lt;&gt;"",OR('Smart Search'!$L$5="",'Smart Search'!$L$5="All",TRIM('Project Database'!D89)=TRIM('Smart Search'!$L$5)),OR(TRIM('Smart Search'!$L$6)="",TRIM('Smart Search'!$L$6)="All",ISNUMBER(SEARCH(SUBSTITUTE(SUBSTITUTE(SUBSTITUTE(TRIM('Smart Search'!$L$6),"~","~~"),"*","~*"),"?","~?"),'Project Database'!C89))),OR('Smart Search'!$L$7="",AND('Project Database'!E89&lt;&gt;"",'Project Database'!E89='Smart Search'!$L$7)),OR('Smart Search'!$L$8="",'Smart Search'!$L$8="All",TRIM('Project Database'!F89)=TRIM('Smart Search'!$L$8))),IF(BA85="","",BA85+ROW()*0.0000000001),"")</f>
        <v/>
      </c>
      <c r="BI85" s="5" t="str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 t="str">
        <f>IF('Project Database'!A89="","",N('Project Database'!AC89))</f>
        <v/>
      </c>
      <c r="BK85" s="5" t="str">
        <f>IF('Project Database'!A89="","",N('Project Database'!AD89))</f>
        <v/>
      </c>
      <c r="BL85" s="5" t="str">
        <f>IF('Project Database'!A89="","",N('Project Database'!AE89))</f>
        <v/>
      </c>
      <c r="BM85" s="5" t="str">
        <f>IF('Project Database'!A89="","",N('Project Database'!AF89))</f>
        <v/>
      </c>
      <c r="BN85" s="5" t="str">
        <f>IF('Project Database'!A89="","",N('Project Database'!AG89))</f>
        <v/>
      </c>
      <c r="BO85" s="5" t="str">
        <f>IF('Project Database'!A89="","",N('Project Database'!AH89))</f>
        <v/>
      </c>
      <c r="BP85" s="5" t="str">
        <f>IF('Project Database'!A89="","",N('Project Database'!AI89))</f>
        <v/>
      </c>
      <c r="BQ85" s="5" t="str">
        <f>IF('Project Database'!A89="","",N('Project Database'!AJ89))</f>
        <v/>
      </c>
      <c r="BR85" s="5" t="str">
        <f>IF('Project Database'!A89="","",N('Project Database'!AK89))</f>
        <v/>
      </c>
      <c r="BS85" s="5" t="str">
        <f>IF('Project Database'!A89="","",N('Project Database'!AL89))</f>
        <v/>
      </c>
      <c r="BT85" s="5" t="str">
        <f>IF('Project Database'!A89="","",N('Project Database'!AM89))</f>
        <v/>
      </c>
      <c r="BU85" s="5" t="str">
        <f>IF('Project Database'!A89="","",N('Project Database'!AN89))</f>
        <v/>
      </c>
      <c r="BV85" s="5" t="str">
        <f>IF('Project Database'!A89="","",N('Project Database'!AO89))</f>
        <v/>
      </c>
      <c r="BW85" s="5" t="str">
        <f>IF('Project Database'!A89="","",N('Project Database'!AP89))</f>
        <v/>
      </c>
      <c r="BX85" s="5">
        <f t="shared" si="26"/>
        <v>0</v>
      </c>
      <c r="BY85" s="5">
        <f t="shared" si="27"/>
        <v>0</v>
      </c>
    </row>
    <row r="86" spans="1:77" ht="15" customHeight="1" x14ac:dyDescent="0.3">
      <c r="A86" s="66">
        <f>'Project Database'!A90</f>
        <v>0</v>
      </c>
      <c r="B86" s="66">
        <f>'Project Database'!B90</f>
        <v>0</v>
      </c>
      <c r="C86" s="66">
        <f>'Project Database'!G90</f>
        <v>0</v>
      </c>
      <c r="D86" s="66">
        <f>'Project Database'!H90</f>
        <v>0</v>
      </c>
      <c r="E86" s="66">
        <f>'Project Database'!I90</f>
        <v>0</v>
      </c>
      <c r="F86" s="66">
        <f>'Project Database'!J90</f>
        <v>0</v>
      </c>
      <c r="G86" s="66">
        <f>'Project Database'!K90</f>
        <v>0</v>
      </c>
      <c r="H86" s="66">
        <f>'Project Database'!L90</f>
        <v>0</v>
      </c>
      <c r="I86" s="66">
        <f>'Project Database'!M90</f>
        <v>0</v>
      </c>
      <c r="J86" s="66">
        <f>'Project Database'!N90</f>
        <v>0</v>
      </c>
      <c r="K86" s="66">
        <f>'Project Database'!O90</f>
        <v>0</v>
      </c>
      <c r="L86" s="66">
        <f>'Project Database'!P90</f>
        <v>0</v>
      </c>
      <c r="M86" s="66">
        <f>'Project Database'!Q90</f>
        <v>0</v>
      </c>
      <c r="N86" s="66">
        <f>'Project Database'!R90</f>
        <v>0</v>
      </c>
      <c r="O86" s="66">
        <f>'Project Database'!S90</f>
        <v>0</v>
      </c>
      <c r="P86" s="66">
        <f>'Project Database'!T90</f>
        <v>0</v>
      </c>
      <c r="Q86" s="66">
        <f>'Project Database'!U90</f>
        <v>0</v>
      </c>
      <c r="R86" s="66">
        <f>'Project Database'!V90</f>
        <v>0</v>
      </c>
      <c r="S86" s="66">
        <f>'Project Database'!W90</f>
        <v>0</v>
      </c>
      <c r="T86" s="66">
        <f>'Project Database'!X90</f>
        <v>0</v>
      </c>
      <c r="U86" s="67">
        <f>'Project Database'!Y90</f>
        <v>0</v>
      </c>
      <c r="V86" s="66">
        <f>IF('Smart Search'!B13=1,IFERROR(1/'Smart Search'!H13,0),0)</f>
        <v>0</v>
      </c>
      <c r="W86" s="66">
        <f>IF('Smart Search'!B13=1,IFERROR(1/'Smart Search'!H13,0),0)</f>
        <v>0</v>
      </c>
      <c r="X86" s="66">
        <f>IF('Smart Search'!C13=1,IFERROR(1/'Smart Search'!H13,0),0)</f>
        <v>0.5</v>
      </c>
      <c r="Y86" s="66">
        <f>IF('Smart Search'!C13=1,IFERROR(1/'Smart Search'!H13,0),0)</f>
        <v>0.5</v>
      </c>
      <c r="Z86" s="66">
        <f>IF('Smart Search'!D13=1,IFERROR(1/'Smart Search'!H13,0),0)</f>
        <v>0</v>
      </c>
      <c r="AA86" s="66">
        <f>IF('Smart Search'!D13=1,IFERROR(1/'Smart Search'!H13,0),0)</f>
        <v>0</v>
      </c>
      <c r="AB86" s="66">
        <f>IF('Smart Search'!E13=1,IFERROR(1/'Smart Search'!H13,0),0)</f>
        <v>0</v>
      </c>
      <c r="AC86" s="66">
        <f>IF('Smart Search'!E13=1,IFERROR(1/'Smart Search'!H13,0),0)</f>
        <v>0</v>
      </c>
      <c r="AD86" s="66">
        <f>IF('Smart Search'!F13=1,IFERROR(1/'Smart Search'!H13,0),0)</f>
        <v>0</v>
      </c>
      <c r="AE86" s="66">
        <f>IF('Smart Search'!F13=1,IFERROR(1/'Smart Search'!H13,0),0)</f>
        <v>0</v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>0</v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>0</v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>0</v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>0</v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>0</v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>0</v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>0</v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>0</v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>0</v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>0</v>
      </c>
      <c r="AP86" s="66">
        <f t="shared" si="14"/>
        <v>0</v>
      </c>
      <c r="AQ86" s="66">
        <f t="shared" si="15"/>
        <v>0</v>
      </c>
      <c r="AR86" s="66">
        <f t="shared" si="16"/>
        <v>0</v>
      </c>
      <c r="AS86" s="66">
        <f t="shared" si="17"/>
        <v>0</v>
      </c>
      <c r="AT86" s="66">
        <f t="shared" si="18"/>
        <v>0</v>
      </c>
      <c r="AU86" s="66">
        <f t="shared" si="19"/>
        <v>0</v>
      </c>
      <c r="AV86" s="66">
        <f t="shared" si="20"/>
        <v>0</v>
      </c>
      <c r="AW86" s="66">
        <f t="shared" si="21"/>
        <v>0</v>
      </c>
      <c r="AX86" s="66">
        <f t="shared" si="22"/>
        <v>0</v>
      </c>
      <c r="AY86" s="66">
        <f t="shared" si="23"/>
        <v>0</v>
      </c>
      <c r="AZ86" s="66">
        <f>'Project Database'!Z90</f>
        <v>0</v>
      </c>
      <c r="BA86" s="66">
        <f>IF(OR(A86="",'Smart Search'!H13=0),"",MAX(0,BE86*BF86*MAX(0,1-BG86)))</f>
        <v>0</v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>0</v>
      </c>
      <c r="BC86" s="66">
        <f>IF('Smart Search'!G13=1,IFERROR(1/'Smart Search'!H13,0),0)</f>
        <v>0</v>
      </c>
      <c r="BD86" s="66">
        <f t="shared" si="24"/>
        <v>0</v>
      </c>
      <c r="BE86" s="66">
        <f t="shared" si="25"/>
        <v>0</v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>0</v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>0</v>
      </c>
      <c r="BH86" s="5" t="str">
        <f>IF(AND('Project Database'!A90&lt;&gt;"",OR('Smart Search'!$L$5="",'Smart Search'!$L$5="All",TRIM('Project Database'!D90)=TRIM('Smart Search'!$L$5)),OR(TRIM('Smart Search'!$L$6)="",TRIM('Smart Search'!$L$6)="All",ISNUMBER(SEARCH(SUBSTITUTE(SUBSTITUTE(SUBSTITUTE(TRIM('Smart Search'!$L$6),"~","~~"),"*","~*"),"?","~?"),'Project Database'!C90))),OR('Smart Search'!$L$7="",AND('Project Database'!E90&lt;&gt;"",'Project Database'!E90='Smart Search'!$L$7)),OR('Smart Search'!$L$8="",'Smart Search'!$L$8="All",TRIM('Project Database'!F90)=TRIM('Smart Search'!$L$8))),IF(BA86="","",BA86+ROW()*0.0000000001),"")</f>
        <v/>
      </c>
      <c r="BI86" s="5" t="str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 t="str">
        <f>IF('Project Database'!A90="","",N('Project Database'!AC90))</f>
        <v/>
      </c>
      <c r="BK86" s="5" t="str">
        <f>IF('Project Database'!A90="","",N('Project Database'!AD90))</f>
        <v/>
      </c>
      <c r="BL86" s="5" t="str">
        <f>IF('Project Database'!A90="","",N('Project Database'!AE90))</f>
        <v/>
      </c>
      <c r="BM86" s="5" t="str">
        <f>IF('Project Database'!A90="","",N('Project Database'!AF90))</f>
        <v/>
      </c>
      <c r="BN86" s="5" t="str">
        <f>IF('Project Database'!A90="","",N('Project Database'!AG90))</f>
        <v/>
      </c>
      <c r="BO86" s="5" t="str">
        <f>IF('Project Database'!A90="","",N('Project Database'!AH90))</f>
        <v/>
      </c>
      <c r="BP86" s="5" t="str">
        <f>IF('Project Database'!A90="","",N('Project Database'!AI90))</f>
        <v/>
      </c>
      <c r="BQ86" s="5" t="str">
        <f>IF('Project Database'!A90="","",N('Project Database'!AJ90))</f>
        <v/>
      </c>
      <c r="BR86" s="5" t="str">
        <f>IF('Project Database'!A90="","",N('Project Database'!AK90))</f>
        <v/>
      </c>
      <c r="BS86" s="5" t="str">
        <f>IF('Project Database'!A90="","",N('Project Database'!AL90))</f>
        <v/>
      </c>
      <c r="BT86" s="5" t="str">
        <f>IF('Project Database'!A90="","",N('Project Database'!AM90))</f>
        <v/>
      </c>
      <c r="BU86" s="5" t="str">
        <f>IF('Project Database'!A90="","",N('Project Database'!AN90))</f>
        <v/>
      </c>
      <c r="BV86" s="5" t="str">
        <f>IF('Project Database'!A90="","",N('Project Database'!AO90))</f>
        <v/>
      </c>
      <c r="BW86" s="5" t="str">
        <f>IF('Project Database'!A90="","",N('Project Database'!AP90))</f>
        <v/>
      </c>
      <c r="BX86" s="5">
        <f t="shared" si="26"/>
        <v>0</v>
      </c>
      <c r="BY86" s="5">
        <f t="shared" si="27"/>
        <v>0</v>
      </c>
    </row>
    <row r="87" spans="1:77" ht="15" customHeight="1" x14ac:dyDescent="0.3">
      <c r="A87" s="66">
        <f>'Project Database'!A91</f>
        <v>0</v>
      </c>
      <c r="B87" s="66">
        <f>'Project Database'!B91</f>
        <v>0</v>
      </c>
      <c r="C87" s="66">
        <f>'Project Database'!G91</f>
        <v>0</v>
      </c>
      <c r="D87" s="66">
        <f>'Project Database'!H91</f>
        <v>0</v>
      </c>
      <c r="E87" s="66">
        <f>'Project Database'!I91</f>
        <v>0</v>
      </c>
      <c r="F87" s="66">
        <f>'Project Database'!J91</f>
        <v>0</v>
      </c>
      <c r="G87" s="66">
        <f>'Project Database'!K91</f>
        <v>0</v>
      </c>
      <c r="H87" s="66">
        <f>'Project Database'!L91</f>
        <v>0</v>
      </c>
      <c r="I87" s="66">
        <f>'Project Database'!M91</f>
        <v>0</v>
      </c>
      <c r="J87" s="66">
        <f>'Project Database'!N91</f>
        <v>0</v>
      </c>
      <c r="K87" s="66">
        <f>'Project Database'!O91</f>
        <v>0</v>
      </c>
      <c r="L87" s="66">
        <f>'Project Database'!P91</f>
        <v>0</v>
      </c>
      <c r="M87" s="66">
        <f>'Project Database'!Q91</f>
        <v>0</v>
      </c>
      <c r="N87" s="66">
        <f>'Project Database'!R91</f>
        <v>0</v>
      </c>
      <c r="O87" s="66">
        <f>'Project Database'!S91</f>
        <v>0</v>
      </c>
      <c r="P87" s="66">
        <f>'Project Database'!T91</f>
        <v>0</v>
      </c>
      <c r="Q87" s="66">
        <f>'Project Database'!U91</f>
        <v>0</v>
      </c>
      <c r="R87" s="66">
        <f>'Project Database'!V91</f>
        <v>0</v>
      </c>
      <c r="S87" s="66">
        <f>'Project Database'!W91</f>
        <v>0</v>
      </c>
      <c r="T87" s="66">
        <f>'Project Database'!X91</f>
        <v>0</v>
      </c>
      <c r="U87" s="67">
        <f>'Project Database'!Y91</f>
        <v>0</v>
      </c>
      <c r="V87" s="66">
        <f>IF('Smart Search'!B13=1,IFERROR(1/'Smart Search'!H13,0),0)</f>
        <v>0</v>
      </c>
      <c r="W87" s="66">
        <f>IF('Smart Search'!B13=1,IFERROR(1/'Smart Search'!H13,0),0)</f>
        <v>0</v>
      </c>
      <c r="X87" s="66">
        <f>IF('Smart Search'!C13=1,IFERROR(1/'Smart Search'!H13,0),0)</f>
        <v>0.5</v>
      </c>
      <c r="Y87" s="66">
        <f>IF('Smart Search'!C13=1,IFERROR(1/'Smart Search'!H13,0),0)</f>
        <v>0.5</v>
      </c>
      <c r="Z87" s="66">
        <f>IF('Smart Search'!D13=1,IFERROR(1/'Smart Search'!H13,0),0)</f>
        <v>0</v>
      </c>
      <c r="AA87" s="66">
        <f>IF('Smart Search'!D13=1,IFERROR(1/'Smart Search'!H13,0),0)</f>
        <v>0</v>
      </c>
      <c r="AB87" s="66">
        <f>IF('Smart Search'!E13=1,IFERROR(1/'Smart Search'!H13,0),0)</f>
        <v>0</v>
      </c>
      <c r="AC87" s="66">
        <f>IF('Smart Search'!E13=1,IFERROR(1/'Smart Search'!H13,0),0)</f>
        <v>0</v>
      </c>
      <c r="AD87" s="66">
        <f>IF('Smart Search'!F13=1,IFERROR(1/'Smart Search'!H13,0),0)</f>
        <v>0</v>
      </c>
      <c r="AE87" s="66">
        <f>IF('Smart Search'!F13=1,IFERROR(1/'Smart Search'!H13,0),0)</f>
        <v>0</v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>0</v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>0</v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>0</v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>0</v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>0</v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>0</v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>0</v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>0</v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>0</v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>0</v>
      </c>
      <c r="AP87" s="66">
        <f t="shared" si="14"/>
        <v>0</v>
      </c>
      <c r="AQ87" s="66">
        <f t="shared" si="15"/>
        <v>0</v>
      </c>
      <c r="AR87" s="66">
        <f t="shared" si="16"/>
        <v>0</v>
      </c>
      <c r="AS87" s="66">
        <f t="shared" si="17"/>
        <v>0</v>
      </c>
      <c r="AT87" s="66">
        <f t="shared" si="18"/>
        <v>0</v>
      </c>
      <c r="AU87" s="66">
        <f t="shared" si="19"/>
        <v>0</v>
      </c>
      <c r="AV87" s="66">
        <f t="shared" si="20"/>
        <v>0</v>
      </c>
      <c r="AW87" s="66">
        <f t="shared" si="21"/>
        <v>0</v>
      </c>
      <c r="AX87" s="66">
        <f t="shared" si="22"/>
        <v>0</v>
      </c>
      <c r="AY87" s="66">
        <f t="shared" si="23"/>
        <v>0</v>
      </c>
      <c r="AZ87" s="66">
        <f>'Project Database'!Z91</f>
        <v>0</v>
      </c>
      <c r="BA87" s="66">
        <f>IF(OR(A87="",'Smart Search'!H13=0),"",MAX(0,BE87*BF87*MAX(0,1-BG87)))</f>
        <v>0</v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>0</v>
      </c>
      <c r="BC87" s="66">
        <f>IF('Smart Search'!G13=1,IFERROR(1/'Smart Search'!H13,0),0)</f>
        <v>0</v>
      </c>
      <c r="BD87" s="66">
        <f t="shared" si="24"/>
        <v>0</v>
      </c>
      <c r="BE87" s="66">
        <f t="shared" si="25"/>
        <v>0</v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>0</v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>0</v>
      </c>
      <c r="BH87" s="5" t="str">
        <f>IF(AND('Project Database'!A91&lt;&gt;"",OR('Smart Search'!$L$5="",'Smart Search'!$L$5="All",TRIM('Project Database'!D91)=TRIM('Smart Search'!$L$5)),OR(TRIM('Smart Search'!$L$6)="",TRIM('Smart Search'!$L$6)="All",ISNUMBER(SEARCH(SUBSTITUTE(SUBSTITUTE(SUBSTITUTE(TRIM('Smart Search'!$L$6),"~","~~"),"*","~*"),"?","~?"),'Project Database'!C91))),OR('Smart Search'!$L$7="",AND('Project Database'!E91&lt;&gt;"",'Project Database'!E91='Smart Search'!$L$7)),OR('Smart Search'!$L$8="",'Smart Search'!$L$8="All",TRIM('Project Database'!F91)=TRIM('Smart Search'!$L$8))),IF(BA87="","",BA87+ROW()*0.0000000001),"")</f>
        <v/>
      </c>
      <c r="BI87" s="5" t="str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 t="str">
        <f>IF('Project Database'!A91="","",N('Project Database'!AC91))</f>
        <v/>
      </c>
      <c r="BK87" s="5" t="str">
        <f>IF('Project Database'!A91="","",N('Project Database'!AD91))</f>
        <v/>
      </c>
      <c r="BL87" s="5" t="str">
        <f>IF('Project Database'!A91="","",N('Project Database'!AE91))</f>
        <v/>
      </c>
      <c r="BM87" s="5" t="str">
        <f>IF('Project Database'!A91="","",N('Project Database'!AF91))</f>
        <v/>
      </c>
      <c r="BN87" s="5" t="str">
        <f>IF('Project Database'!A91="","",N('Project Database'!AG91))</f>
        <v/>
      </c>
      <c r="BO87" s="5" t="str">
        <f>IF('Project Database'!A91="","",N('Project Database'!AH91))</f>
        <v/>
      </c>
      <c r="BP87" s="5" t="str">
        <f>IF('Project Database'!A91="","",N('Project Database'!AI91))</f>
        <v/>
      </c>
      <c r="BQ87" s="5" t="str">
        <f>IF('Project Database'!A91="","",N('Project Database'!AJ91))</f>
        <v/>
      </c>
      <c r="BR87" s="5" t="str">
        <f>IF('Project Database'!A91="","",N('Project Database'!AK91))</f>
        <v/>
      </c>
      <c r="BS87" s="5" t="str">
        <f>IF('Project Database'!A91="","",N('Project Database'!AL91))</f>
        <v/>
      </c>
      <c r="BT87" s="5" t="str">
        <f>IF('Project Database'!A91="","",N('Project Database'!AM91))</f>
        <v/>
      </c>
      <c r="BU87" s="5" t="str">
        <f>IF('Project Database'!A91="","",N('Project Database'!AN91))</f>
        <v/>
      </c>
      <c r="BV87" s="5" t="str">
        <f>IF('Project Database'!A91="","",N('Project Database'!AO91))</f>
        <v/>
      </c>
      <c r="BW87" s="5" t="str">
        <f>IF('Project Database'!A91="","",N('Project Database'!AP91))</f>
        <v/>
      </c>
      <c r="BX87" s="5">
        <f t="shared" si="26"/>
        <v>0</v>
      </c>
      <c r="BY87" s="5">
        <f t="shared" si="27"/>
        <v>0</v>
      </c>
    </row>
    <row r="88" spans="1:77" ht="15" customHeight="1" x14ac:dyDescent="0.3">
      <c r="A88" s="66">
        <f>'Project Database'!A92</f>
        <v>0</v>
      </c>
      <c r="B88" s="66">
        <f>'Project Database'!B92</f>
        <v>0</v>
      </c>
      <c r="C88" s="66">
        <f>'Project Database'!G92</f>
        <v>0</v>
      </c>
      <c r="D88" s="66">
        <f>'Project Database'!H92</f>
        <v>0</v>
      </c>
      <c r="E88" s="66">
        <f>'Project Database'!I92</f>
        <v>0</v>
      </c>
      <c r="F88" s="66">
        <f>'Project Database'!J92</f>
        <v>0</v>
      </c>
      <c r="G88" s="66">
        <f>'Project Database'!K92</f>
        <v>0</v>
      </c>
      <c r="H88" s="66">
        <f>'Project Database'!L92</f>
        <v>0</v>
      </c>
      <c r="I88" s="66">
        <f>'Project Database'!M92</f>
        <v>0</v>
      </c>
      <c r="J88" s="66">
        <f>'Project Database'!N92</f>
        <v>0</v>
      </c>
      <c r="K88" s="66">
        <f>'Project Database'!O92</f>
        <v>0</v>
      </c>
      <c r="L88" s="66">
        <f>'Project Database'!P92</f>
        <v>0</v>
      </c>
      <c r="M88" s="66">
        <f>'Project Database'!Q92</f>
        <v>0</v>
      </c>
      <c r="N88" s="66">
        <f>'Project Database'!R92</f>
        <v>0</v>
      </c>
      <c r="O88" s="66">
        <f>'Project Database'!S92</f>
        <v>0</v>
      </c>
      <c r="P88" s="66">
        <f>'Project Database'!T92</f>
        <v>0</v>
      </c>
      <c r="Q88" s="66">
        <f>'Project Database'!U92</f>
        <v>0</v>
      </c>
      <c r="R88" s="66">
        <f>'Project Database'!V92</f>
        <v>0</v>
      </c>
      <c r="S88" s="66">
        <f>'Project Database'!W92</f>
        <v>0</v>
      </c>
      <c r="T88" s="66">
        <f>'Project Database'!X92</f>
        <v>0</v>
      </c>
      <c r="U88" s="67">
        <f>'Project Database'!Y92</f>
        <v>0</v>
      </c>
      <c r="V88" s="66">
        <f>IF('Smart Search'!B13=1,IFERROR(1/'Smart Search'!H13,0),0)</f>
        <v>0</v>
      </c>
      <c r="W88" s="66">
        <f>IF('Smart Search'!B13=1,IFERROR(1/'Smart Search'!H13,0),0)</f>
        <v>0</v>
      </c>
      <c r="X88" s="66">
        <f>IF('Smart Search'!C13=1,IFERROR(1/'Smart Search'!H13,0),0)</f>
        <v>0.5</v>
      </c>
      <c r="Y88" s="66">
        <f>IF('Smart Search'!C13=1,IFERROR(1/'Smart Search'!H13,0),0)</f>
        <v>0.5</v>
      </c>
      <c r="Z88" s="66">
        <f>IF('Smart Search'!D13=1,IFERROR(1/'Smart Search'!H13,0),0)</f>
        <v>0</v>
      </c>
      <c r="AA88" s="66">
        <f>IF('Smart Search'!D13=1,IFERROR(1/'Smart Search'!H13,0),0)</f>
        <v>0</v>
      </c>
      <c r="AB88" s="66">
        <f>IF('Smart Search'!E13=1,IFERROR(1/'Smart Search'!H13,0),0)</f>
        <v>0</v>
      </c>
      <c r="AC88" s="66">
        <f>IF('Smart Search'!E13=1,IFERROR(1/'Smart Search'!H13,0),0)</f>
        <v>0</v>
      </c>
      <c r="AD88" s="66">
        <f>IF('Smart Search'!F13=1,IFERROR(1/'Smart Search'!H13,0),0)</f>
        <v>0</v>
      </c>
      <c r="AE88" s="66">
        <f>IF('Smart Search'!F13=1,IFERROR(1/'Smart Search'!H13,0),0)</f>
        <v>0</v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>0</v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>0</v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>0</v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>0</v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>0</v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>0</v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>0</v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>0</v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>0</v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>0</v>
      </c>
      <c r="AP88" s="66">
        <f t="shared" si="14"/>
        <v>0</v>
      </c>
      <c r="AQ88" s="66">
        <f t="shared" si="15"/>
        <v>0</v>
      </c>
      <c r="AR88" s="66">
        <f t="shared" si="16"/>
        <v>0</v>
      </c>
      <c r="AS88" s="66">
        <f t="shared" si="17"/>
        <v>0</v>
      </c>
      <c r="AT88" s="66">
        <f t="shared" si="18"/>
        <v>0</v>
      </c>
      <c r="AU88" s="66">
        <f t="shared" si="19"/>
        <v>0</v>
      </c>
      <c r="AV88" s="66">
        <f t="shared" si="20"/>
        <v>0</v>
      </c>
      <c r="AW88" s="66">
        <f t="shared" si="21"/>
        <v>0</v>
      </c>
      <c r="AX88" s="66">
        <f t="shared" si="22"/>
        <v>0</v>
      </c>
      <c r="AY88" s="66">
        <f t="shared" si="23"/>
        <v>0</v>
      </c>
      <c r="AZ88" s="66">
        <f>'Project Database'!Z92</f>
        <v>0</v>
      </c>
      <c r="BA88" s="66">
        <f>IF(OR(A88="",'Smart Search'!H13=0),"",MAX(0,BE88*BF88*MAX(0,1-BG88)))</f>
        <v>0</v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>0</v>
      </c>
      <c r="BC88" s="66">
        <f>IF('Smart Search'!G13=1,IFERROR(1/'Smart Search'!H13,0),0)</f>
        <v>0</v>
      </c>
      <c r="BD88" s="66">
        <f t="shared" si="24"/>
        <v>0</v>
      </c>
      <c r="BE88" s="66">
        <f t="shared" si="25"/>
        <v>0</v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>0</v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>0</v>
      </c>
      <c r="BH88" s="5" t="str">
        <f>IF(AND('Project Database'!A92&lt;&gt;"",OR('Smart Search'!$L$5="",'Smart Search'!$L$5="All",TRIM('Project Database'!D92)=TRIM('Smart Search'!$L$5)),OR(TRIM('Smart Search'!$L$6)="",TRIM('Smart Search'!$L$6)="All",ISNUMBER(SEARCH(SUBSTITUTE(SUBSTITUTE(SUBSTITUTE(TRIM('Smart Search'!$L$6),"~","~~"),"*","~*"),"?","~?"),'Project Database'!C92))),OR('Smart Search'!$L$7="",AND('Project Database'!E92&lt;&gt;"",'Project Database'!E92='Smart Search'!$L$7)),OR('Smart Search'!$L$8="",'Smart Search'!$L$8="All",TRIM('Project Database'!F92)=TRIM('Smart Search'!$L$8))),IF(BA88="","",BA88+ROW()*0.0000000001),"")</f>
        <v/>
      </c>
      <c r="BI88" s="5" t="str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 t="str">
        <f>IF('Project Database'!A92="","",N('Project Database'!AC92))</f>
        <v/>
      </c>
      <c r="BK88" s="5" t="str">
        <f>IF('Project Database'!A92="","",N('Project Database'!AD92))</f>
        <v/>
      </c>
      <c r="BL88" s="5" t="str">
        <f>IF('Project Database'!A92="","",N('Project Database'!AE92))</f>
        <v/>
      </c>
      <c r="BM88" s="5" t="str">
        <f>IF('Project Database'!A92="","",N('Project Database'!AF92))</f>
        <v/>
      </c>
      <c r="BN88" s="5" t="str">
        <f>IF('Project Database'!A92="","",N('Project Database'!AG92))</f>
        <v/>
      </c>
      <c r="BO88" s="5" t="str">
        <f>IF('Project Database'!A92="","",N('Project Database'!AH92))</f>
        <v/>
      </c>
      <c r="BP88" s="5" t="str">
        <f>IF('Project Database'!A92="","",N('Project Database'!AI92))</f>
        <v/>
      </c>
      <c r="BQ88" s="5" t="str">
        <f>IF('Project Database'!A92="","",N('Project Database'!AJ92))</f>
        <v/>
      </c>
      <c r="BR88" s="5" t="str">
        <f>IF('Project Database'!A92="","",N('Project Database'!AK92))</f>
        <v/>
      </c>
      <c r="BS88" s="5" t="str">
        <f>IF('Project Database'!A92="","",N('Project Database'!AL92))</f>
        <v/>
      </c>
      <c r="BT88" s="5" t="str">
        <f>IF('Project Database'!A92="","",N('Project Database'!AM92))</f>
        <v/>
      </c>
      <c r="BU88" s="5" t="str">
        <f>IF('Project Database'!A92="","",N('Project Database'!AN92))</f>
        <v/>
      </c>
      <c r="BV88" s="5" t="str">
        <f>IF('Project Database'!A92="","",N('Project Database'!AO92))</f>
        <v/>
      </c>
      <c r="BW88" s="5" t="str">
        <f>IF('Project Database'!A92="","",N('Project Database'!AP92))</f>
        <v/>
      </c>
      <c r="BX88" s="5">
        <f t="shared" si="26"/>
        <v>0</v>
      </c>
      <c r="BY88" s="5">
        <f t="shared" si="27"/>
        <v>0</v>
      </c>
    </row>
    <row r="89" spans="1:77" ht="15" customHeight="1" x14ac:dyDescent="0.3">
      <c r="A89" s="66">
        <f>'Project Database'!A93</f>
        <v>0</v>
      </c>
      <c r="B89" s="66">
        <f>'Project Database'!B93</f>
        <v>0</v>
      </c>
      <c r="C89" s="66">
        <f>'Project Database'!G93</f>
        <v>0</v>
      </c>
      <c r="D89" s="66">
        <f>'Project Database'!H93</f>
        <v>0</v>
      </c>
      <c r="E89" s="66">
        <f>'Project Database'!I93</f>
        <v>0</v>
      </c>
      <c r="F89" s="66">
        <f>'Project Database'!J93</f>
        <v>0</v>
      </c>
      <c r="G89" s="66">
        <f>'Project Database'!K93</f>
        <v>0</v>
      </c>
      <c r="H89" s="66">
        <f>'Project Database'!L93</f>
        <v>0</v>
      </c>
      <c r="I89" s="66">
        <f>'Project Database'!M93</f>
        <v>0</v>
      </c>
      <c r="J89" s="66">
        <f>'Project Database'!N93</f>
        <v>0</v>
      </c>
      <c r="K89" s="66">
        <f>'Project Database'!O93</f>
        <v>0</v>
      </c>
      <c r="L89" s="66">
        <f>'Project Database'!P93</f>
        <v>0</v>
      </c>
      <c r="M89" s="66">
        <f>'Project Database'!Q93</f>
        <v>0</v>
      </c>
      <c r="N89" s="66">
        <f>'Project Database'!R93</f>
        <v>0</v>
      </c>
      <c r="O89" s="66">
        <f>'Project Database'!S93</f>
        <v>0</v>
      </c>
      <c r="P89" s="66">
        <f>'Project Database'!T93</f>
        <v>0</v>
      </c>
      <c r="Q89" s="66">
        <f>'Project Database'!U93</f>
        <v>0</v>
      </c>
      <c r="R89" s="66">
        <f>'Project Database'!V93</f>
        <v>0</v>
      </c>
      <c r="S89" s="66">
        <f>'Project Database'!W93</f>
        <v>0</v>
      </c>
      <c r="T89" s="66">
        <f>'Project Database'!X93</f>
        <v>0</v>
      </c>
      <c r="U89" s="67">
        <f>'Project Database'!Y93</f>
        <v>0</v>
      </c>
      <c r="V89" s="66">
        <f>IF('Smart Search'!B13=1,IFERROR(1/'Smart Search'!H13,0),0)</f>
        <v>0</v>
      </c>
      <c r="W89" s="66">
        <f>IF('Smart Search'!B13=1,IFERROR(1/'Smart Search'!H13,0),0)</f>
        <v>0</v>
      </c>
      <c r="X89" s="66">
        <f>IF('Smart Search'!C13=1,IFERROR(1/'Smart Search'!H13,0),0)</f>
        <v>0.5</v>
      </c>
      <c r="Y89" s="66">
        <f>IF('Smart Search'!C13=1,IFERROR(1/'Smart Search'!H13,0),0)</f>
        <v>0.5</v>
      </c>
      <c r="Z89" s="66">
        <f>IF('Smart Search'!D13=1,IFERROR(1/'Smart Search'!H13,0),0)</f>
        <v>0</v>
      </c>
      <c r="AA89" s="66">
        <f>IF('Smart Search'!D13=1,IFERROR(1/'Smart Search'!H13,0),0)</f>
        <v>0</v>
      </c>
      <c r="AB89" s="66">
        <f>IF('Smart Search'!E13=1,IFERROR(1/'Smart Search'!H13,0),0)</f>
        <v>0</v>
      </c>
      <c r="AC89" s="66">
        <f>IF('Smart Search'!E13=1,IFERROR(1/'Smart Search'!H13,0),0)</f>
        <v>0</v>
      </c>
      <c r="AD89" s="66">
        <f>IF('Smart Search'!F13=1,IFERROR(1/'Smart Search'!H13,0),0)</f>
        <v>0</v>
      </c>
      <c r="AE89" s="66">
        <f>IF('Smart Search'!F13=1,IFERROR(1/'Smart Search'!H13,0),0)</f>
        <v>0</v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>0</v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>0</v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>0</v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>0</v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>0</v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>0</v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>0</v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>0</v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>0</v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>0</v>
      </c>
      <c r="AP89" s="66">
        <f t="shared" si="14"/>
        <v>0</v>
      </c>
      <c r="AQ89" s="66">
        <f t="shared" si="15"/>
        <v>0</v>
      </c>
      <c r="AR89" s="66">
        <f t="shared" si="16"/>
        <v>0</v>
      </c>
      <c r="AS89" s="66">
        <f t="shared" si="17"/>
        <v>0</v>
      </c>
      <c r="AT89" s="66">
        <f t="shared" si="18"/>
        <v>0</v>
      </c>
      <c r="AU89" s="66">
        <f t="shared" si="19"/>
        <v>0</v>
      </c>
      <c r="AV89" s="66">
        <f t="shared" si="20"/>
        <v>0</v>
      </c>
      <c r="AW89" s="66">
        <f t="shared" si="21"/>
        <v>0</v>
      </c>
      <c r="AX89" s="66">
        <f t="shared" si="22"/>
        <v>0</v>
      </c>
      <c r="AY89" s="66">
        <f t="shared" si="23"/>
        <v>0</v>
      </c>
      <c r="AZ89" s="66">
        <f>'Project Database'!Z93</f>
        <v>0</v>
      </c>
      <c r="BA89" s="66">
        <f>IF(OR(A89="",'Smart Search'!H13=0),"",MAX(0,BE89*BF89*MAX(0,1-BG89)))</f>
        <v>0</v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>0</v>
      </c>
      <c r="BC89" s="66">
        <f>IF('Smart Search'!G13=1,IFERROR(1/'Smart Search'!H13,0),0)</f>
        <v>0</v>
      </c>
      <c r="BD89" s="66">
        <f t="shared" si="24"/>
        <v>0</v>
      </c>
      <c r="BE89" s="66">
        <f t="shared" si="25"/>
        <v>0</v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>0</v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>0</v>
      </c>
      <c r="BH89" s="5" t="str">
        <f>IF(AND('Project Database'!A93&lt;&gt;"",OR('Smart Search'!$L$5="",'Smart Search'!$L$5="All",TRIM('Project Database'!D93)=TRIM('Smart Search'!$L$5)),OR(TRIM('Smart Search'!$L$6)="",TRIM('Smart Search'!$L$6)="All",ISNUMBER(SEARCH(SUBSTITUTE(SUBSTITUTE(SUBSTITUTE(TRIM('Smart Search'!$L$6),"~","~~"),"*","~*"),"?","~?"),'Project Database'!C93))),OR('Smart Search'!$L$7="",AND('Project Database'!E93&lt;&gt;"",'Project Database'!E93='Smart Search'!$L$7)),OR('Smart Search'!$L$8="",'Smart Search'!$L$8="All",TRIM('Project Database'!F93)=TRIM('Smart Search'!$L$8))),IF(BA89="","",BA89+ROW()*0.0000000001),"")</f>
        <v/>
      </c>
      <c r="BI89" s="5" t="str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 t="str">
        <f>IF('Project Database'!A93="","",N('Project Database'!AC93))</f>
        <v/>
      </c>
      <c r="BK89" s="5" t="str">
        <f>IF('Project Database'!A93="","",N('Project Database'!AD93))</f>
        <v/>
      </c>
      <c r="BL89" s="5" t="str">
        <f>IF('Project Database'!A93="","",N('Project Database'!AE93))</f>
        <v/>
      </c>
      <c r="BM89" s="5" t="str">
        <f>IF('Project Database'!A93="","",N('Project Database'!AF93))</f>
        <v/>
      </c>
      <c r="BN89" s="5" t="str">
        <f>IF('Project Database'!A93="","",N('Project Database'!AG93))</f>
        <v/>
      </c>
      <c r="BO89" s="5" t="str">
        <f>IF('Project Database'!A93="","",N('Project Database'!AH93))</f>
        <v/>
      </c>
      <c r="BP89" s="5" t="str">
        <f>IF('Project Database'!A93="","",N('Project Database'!AI93))</f>
        <v/>
      </c>
      <c r="BQ89" s="5" t="str">
        <f>IF('Project Database'!A93="","",N('Project Database'!AJ93))</f>
        <v/>
      </c>
      <c r="BR89" s="5" t="str">
        <f>IF('Project Database'!A93="","",N('Project Database'!AK93))</f>
        <v/>
      </c>
      <c r="BS89" s="5" t="str">
        <f>IF('Project Database'!A93="","",N('Project Database'!AL93))</f>
        <v/>
      </c>
      <c r="BT89" s="5" t="str">
        <f>IF('Project Database'!A93="","",N('Project Database'!AM93))</f>
        <v/>
      </c>
      <c r="BU89" s="5" t="str">
        <f>IF('Project Database'!A93="","",N('Project Database'!AN93))</f>
        <v/>
      </c>
      <c r="BV89" s="5" t="str">
        <f>IF('Project Database'!A93="","",N('Project Database'!AO93))</f>
        <v/>
      </c>
      <c r="BW89" s="5" t="str">
        <f>IF('Project Database'!A93="","",N('Project Database'!AP93))</f>
        <v/>
      </c>
      <c r="BX89" s="5">
        <f t="shared" si="26"/>
        <v>0</v>
      </c>
      <c r="BY89" s="5">
        <f t="shared" si="27"/>
        <v>0</v>
      </c>
    </row>
    <row r="90" spans="1:77" ht="15" customHeight="1" x14ac:dyDescent="0.3">
      <c r="A90" s="66">
        <f>'Project Database'!A94</f>
        <v>0</v>
      </c>
      <c r="B90" s="66">
        <f>'Project Database'!B94</f>
        <v>0</v>
      </c>
      <c r="C90" s="66">
        <f>'Project Database'!G94</f>
        <v>0</v>
      </c>
      <c r="D90" s="66">
        <f>'Project Database'!H94</f>
        <v>0</v>
      </c>
      <c r="E90" s="66">
        <f>'Project Database'!I94</f>
        <v>0</v>
      </c>
      <c r="F90" s="66">
        <f>'Project Database'!J94</f>
        <v>0</v>
      </c>
      <c r="G90" s="66">
        <f>'Project Database'!K94</f>
        <v>0</v>
      </c>
      <c r="H90" s="66">
        <f>'Project Database'!L94</f>
        <v>0</v>
      </c>
      <c r="I90" s="66">
        <f>'Project Database'!M94</f>
        <v>0</v>
      </c>
      <c r="J90" s="66">
        <f>'Project Database'!N94</f>
        <v>0</v>
      </c>
      <c r="K90" s="66">
        <f>'Project Database'!O94</f>
        <v>0</v>
      </c>
      <c r="L90" s="66">
        <f>'Project Database'!P94</f>
        <v>0</v>
      </c>
      <c r="M90" s="66">
        <f>'Project Database'!Q94</f>
        <v>0</v>
      </c>
      <c r="N90" s="66">
        <f>'Project Database'!R94</f>
        <v>0</v>
      </c>
      <c r="O90" s="66">
        <f>'Project Database'!S94</f>
        <v>0</v>
      </c>
      <c r="P90" s="66">
        <f>'Project Database'!T94</f>
        <v>0</v>
      </c>
      <c r="Q90" s="66">
        <f>'Project Database'!U94</f>
        <v>0</v>
      </c>
      <c r="R90" s="66">
        <f>'Project Database'!V94</f>
        <v>0</v>
      </c>
      <c r="S90" s="66">
        <f>'Project Database'!W94</f>
        <v>0</v>
      </c>
      <c r="T90" s="66">
        <f>'Project Database'!X94</f>
        <v>0</v>
      </c>
      <c r="U90" s="67">
        <f>'Project Database'!Y94</f>
        <v>0</v>
      </c>
      <c r="V90" s="66">
        <f>IF('Smart Search'!B13=1,IFERROR(1/'Smart Search'!H13,0),0)</f>
        <v>0</v>
      </c>
      <c r="W90" s="66">
        <f>IF('Smart Search'!B13=1,IFERROR(1/'Smart Search'!H13,0),0)</f>
        <v>0</v>
      </c>
      <c r="X90" s="66">
        <f>IF('Smart Search'!C13=1,IFERROR(1/'Smart Search'!H13,0),0)</f>
        <v>0.5</v>
      </c>
      <c r="Y90" s="66">
        <f>IF('Smart Search'!C13=1,IFERROR(1/'Smart Search'!H13,0),0)</f>
        <v>0.5</v>
      </c>
      <c r="Z90" s="66">
        <f>IF('Smart Search'!D13=1,IFERROR(1/'Smart Search'!H13,0),0)</f>
        <v>0</v>
      </c>
      <c r="AA90" s="66">
        <f>IF('Smart Search'!D13=1,IFERROR(1/'Smart Search'!H13,0),0)</f>
        <v>0</v>
      </c>
      <c r="AB90" s="66">
        <f>IF('Smart Search'!E13=1,IFERROR(1/'Smart Search'!H13,0),0)</f>
        <v>0</v>
      </c>
      <c r="AC90" s="66">
        <f>IF('Smart Search'!E13=1,IFERROR(1/'Smart Search'!H13,0),0)</f>
        <v>0</v>
      </c>
      <c r="AD90" s="66">
        <f>IF('Smart Search'!F13=1,IFERROR(1/'Smart Search'!H13,0),0)</f>
        <v>0</v>
      </c>
      <c r="AE90" s="66">
        <f>IF('Smart Search'!F13=1,IFERROR(1/'Smart Search'!H13,0),0)</f>
        <v>0</v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>0</v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>0</v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>0</v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>0</v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>0</v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>0</v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>0</v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>0</v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>0</v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>0</v>
      </c>
      <c r="AP90" s="66">
        <f t="shared" si="14"/>
        <v>0</v>
      </c>
      <c r="AQ90" s="66">
        <f t="shared" si="15"/>
        <v>0</v>
      </c>
      <c r="AR90" s="66">
        <f t="shared" si="16"/>
        <v>0</v>
      </c>
      <c r="AS90" s="66">
        <f t="shared" si="17"/>
        <v>0</v>
      </c>
      <c r="AT90" s="66">
        <f t="shared" si="18"/>
        <v>0</v>
      </c>
      <c r="AU90" s="66">
        <f t="shared" si="19"/>
        <v>0</v>
      </c>
      <c r="AV90" s="66">
        <f t="shared" si="20"/>
        <v>0</v>
      </c>
      <c r="AW90" s="66">
        <f t="shared" si="21"/>
        <v>0</v>
      </c>
      <c r="AX90" s="66">
        <f t="shared" si="22"/>
        <v>0</v>
      </c>
      <c r="AY90" s="66">
        <f t="shared" si="23"/>
        <v>0</v>
      </c>
      <c r="AZ90" s="66">
        <f>'Project Database'!Z94</f>
        <v>0</v>
      </c>
      <c r="BA90" s="66">
        <f>IF(OR(A90="",'Smart Search'!H13=0),"",MAX(0,BE90*BF90*MAX(0,1-BG90)))</f>
        <v>0</v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>0</v>
      </c>
      <c r="BC90" s="66">
        <f>IF('Smart Search'!G13=1,IFERROR(1/'Smart Search'!H13,0),0)</f>
        <v>0</v>
      </c>
      <c r="BD90" s="66">
        <f t="shared" si="24"/>
        <v>0</v>
      </c>
      <c r="BE90" s="66">
        <f t="shared" si="25"/>
        <v>0</v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>0</v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>0</v>
      </c>
      <c r="BH90" s="5" t="str">
        <f>IF(AND('Project Database'!A94&lt;&gt;"",OR('Smart Search'!$L$5="",'Smart Search'!$L$5="All",TRIM('Project Database'!D94)=TRIM('Smart Search'!$L$5)),OR(TRIM('Smart Search'!$L$6)="",TRIM('Smart Search'!$L$6)="All",ISNUMBER(SEARCH(SUBSTITUTE(SUBSTITUTE(SUBSTITUTE(TRIM('Smart Search'!$L$6),"~","~~"),"*","~*"),"?","~?"),'Project Database'!C94))),OR('Smart Search'!$L$7="",AND('Project Database'!E94&lt;&gt;"",'Project Database'!E94='Smart Search'!$L$7)),OR('Smart Search'!$L$8="",'Smart Search'!$L$8="All",TRIM('Project Database'!F94)=TRIM('Smart Search'!$L$8))),IF(BA90="","",BA90+ROW()*0.0000000001),"")</f>
        <v/>
      </c>
      <c r="BI90" s="5" t="str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 t="str">
        <f>IF('Project Database'!A94="","",N('Project Database'!AC94))</f>
        <v/>
      </c>
      <c r="BK90" s="5" t="str">
        <f>IF('Project Database'!A94="","",N('Project Database'!AD94))</f>
        <v/>
      </c>
      <c r="BL90" s="5" t="str">
        <f>IF('Project Database'!A94="","",N('Project Database'!AE94))</f>
        <v/>
      </c>
      <c r="BM90" s="5" t="str">
        <f>IF('Project Database'!A94="","",N('Project Database'!AF94))</f>
        <v/>
      </c>
      <c r="BN90" s="5" t="str">
        <f>IF('Project Database'!A94="","",N('Project Database'!AG94))</f>
        <v/>
      </c>
      <c r="BO90" s="5" t="str">
        <f>IF('Project Database'!A94="","",N('Project Database'!AH94))</f>
        <v/>
      </c>
      <c r="BP90" s="5" t="str">
        <f>IF('Project Database'!A94="","",N('Project Database'!AI94))</f>
        <v/>
      </c>
      <c r="BQ90" s="5" t="str">
        <f>IF('Project Database'!A94="","",N('Project Database'!AJ94))</f>
        <v/>
      </c>
      <c r="BR90" s="5" t="str">
        <f>IF('Project Database'!A94="","",N('Project Database'!AK94))</f>
        <v/>
      </c>
      <c r="BS90" s="5" t="str">
        <f>IF('Project Database'!A94="","",N('Project Database'!AL94))</f>
        <v/>
      </c>
      <c r="BT90" s="5" t="str">
        <f>IF('Project Database'!A94="","",N('Project Database'!AM94))</f>
        <v/>
      </c>
      <c r="BU90" s="5" t="str">
        <f>IF('Project Database'!A94="","",N('Project Database'!AN94))</f>
        <v/>
      </c>
      <c r="BV90" s="5" t="str">
        <f>IF('Project Database'!A94="","",N('Project Database'!AO94))</f>
        <v/>
      </c>
      <c r="BW90" s="5" t="str">
        <f>IF('Project Database'!A94="","",N('Project Database'!AP94))</f>
        <v/>
      </c>
      <c r="BX90" s="5">
        <f t="shared" si="26"/>
        <v>0</v>
      </c>
      <c r="BY90" s="5">
        <f t="shared" si="27"/>
        <v>0</v>
      </c>
    </row>
    <row r="91" spans="1:77" ht="15" customHeight="1" x14ac:dyDescent="0.3">
      <c r="A91" s="66">
        <f>'Project Database'!A95</f>
        <v>0</v>
      </c>
      <c r="B91" s="66">
        <f>'Project Database'!B95</f>
        <v>0</v>
      </c>
      <c r="C91" s="66">
        <f>'Project Database'!G95</f>
        <v>0</v>
      </c>
      <c r="D91" s="66">
        <f>'Project Database'!H95</f>
        <v>0</v>
      </c>
      <c r="E91" s="66">
        <f>'Project Database'!I95</f>
        <v>0</v>
      </c>
      <c r="F91" s="66">
        <f>'Project Database'!J95</f>
        <v>0</v>
      </c>
      <c r="G91" s="66">
        <f>'Project Database'!K95</f>
        <v>0</v>
      </c>
      <c r="H91" s="66">
        <f>'Project Database'!L95</f>
        <v>0</v>
      </c>
      <c r="I91" s="66">
        <f>'Project Database'!M95</f>
        <v>0</v>
      </c>
      <c r="J91" s="66">
        <f>'Project Database'!N95</f>
        <v>0</v>
      </c>
      <c r="K91" s="66">
        <f>'Project Database'!O95</f>
        <v>0</v>
      </c>
      <c r="L91" s="66">
        <f>'Project Database'!P95</f>
        <v>0</v>
      </c>
      <c r="M91" s="66">
        <f>'Project Database'!Q95</f>
        <v>0</v>
      </c>
      <c r="N91" s="66">
        <f>'Project Database'!R95</f>
        <v>0</v>
      </c>
      <c r="O91" s="66">
        <f>'Project Database'!S95</f>
        <v>0</v>
      </c>
      <c r="P91" s="66">
        <f>'Project Database'!T95</f>
        <v>0</v>
      </c>
      <c r="Q91" s="66">
        <f>'Project Database'!U95</f>
        <v>0</v>
      </c>
      <c r="R91" s="66">
        <f>'Project Database'!V95</f>
        <v>0</v>
      </c>
      <c r="S91" s="66">
        <f>'Project Database'!W95</f>
        <v>0</v>
      </c>
      <c r="T91" s="66">
        <f>'Project Database'!X95</f>
        <v>0</v>
      </c>
      <c r="U91" s="67">
        <f>'Project Database'!Y95</f>
        <v>0</v>
      </c>
      <c r="V91" s="66">
        <f>IF('Smart Search'!B13=1,IFERROR(1/'Smart Search'!H13,0),0)</f>
        <v>0</v>
      </c>
      <c r="W91" s="66">
        <f>IF('Smart Search'!B13=1,IFERROR(1/'Smart Search'!H13,0),0)</f>
        <v>0</v>
      </c>
      <c r="X91" s="66">
        <f>IF('Smart Search'!C13=1,IFERROR(1/'Smart Search'!H13,0),0)</f>
        <v>0.5</v>
      </c>
      <c r="Y91" s="66">
        <f>IF('Smart Search'!C13=1,IFERROR(1/'Smart Search'!H13,0),0)</f>
        <v>0.5</v>
      </c>
      <c r="Z91" s="66">
        <f>IF('Smart Search'!D13=1,IFERROR(1/'Smart Search'!H13,0),0)</f>
        <v>0</v>
      </c>
      <c r="AA91" s="66">
        <f>IF('Smart Search'!D13=1,IFERROR(1/'Smart Search'!H13,0),0)</f>
        <v>0</v>
      </c>
      <c r="AB91" s="66">
        <f>IF('Smart Search'!E13=1,IFERROR(1/'Smart Search'!H13,0),0)</f>
        <v>0</v>
      </c>
      <c r="AC91" s="66">
        <f>IF('Smart Search'!E13=1,IFERROR(1/'Smart Search'!H13,0),0)</f>
        <v>0</v>
      </c>
      <c r="AD91" s="66">
        <f>IF('Smart Search'!F13=1,IFERROR(1/'Smart Search'!H13,0),0)</f>
        <v>0</v>
      </c>
      <c r="AE91" s="66">
        <f>IF('Smart Search'!F13=1,IFERROR(1/'Smart Search'!H13,0),0)</f>
        <v>0</v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>0</v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>0</v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>0</v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>0</v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>0</v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>0</v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>0</v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>0</v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>0</v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>0</v>
      </c>
      <c r="AP91" s="66">
        <f t="shared" si="14"/>
        <v>0</v>
      </c>
      <c r="AQ91" s="66">
        <f t="shared" si="15"/>
        <v>0</v>
      </c>
      <c r="AR91" s="66">
        <f t="shared" si="16"/>
        <v>0</v>
      </c>
      <c r="AS91" s="66">
        <f t="shared" si="17"/>
        <v>0</v>
      </c>
      <c r="AT91" s="66">
        <f t="shared" si="18"/>
        <v>0</v>
      </c>
      <c r="AU91" s="66">
        <f t="shared" si="19"/>
        <v>0</v>
      </c>
      <c r="AV91" s="66">
        <f t="shared" si="20"/>
        <v>0</v>
      </c>
      <c r="AW91" s="66">
        <f t="shared" si="21"/>
        <v>0</v>
      </c>
      <c r="AX91" s="66">
        <f t="shared" si="22"/>
        <v>0</v>
      </c>
      <c r="AY91" s="66">
        <f t="shared" si="23"/>
        <v>0</v>
      </c>
      <c r="AZ91" s="66">
        <f>'Project Database'!Z95</f>
        <v>0</v>
      </c>
      <c r="BA91" s="66">
        <f>IF(OR(A91="",'Smart Search'!H13=0),"",MAX(0,BE91*BF91*MAX(0,1-BG91)))</f>
        <v>0</v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>0</v>
      </c>
      <c r="BC91" s="66">
        <f>IF('Smart Search'!G13=1,IFERROR(1/'Smart Search'!H13,0),0)</f>
        <v>0</v>
      </c>
      <c r="BD91" s="66">
        <f t="shared" si="24"/>
        <v>0</v>
      </c>
      <c r="BE91" s="66">
        <f t="shared" si="25"/>
        <v>0</v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>0</v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>0</v>
      </c>
      <c r="BH91" s="5" t="str">
        <f>IF(AND('Project Database'!A95&lt;&gt;"",OR('Smart Search'!$L$5="",'Smart Search'!$L$5="All",TRIM('Project Database'!D95)=TRIM('Smart Search'!$L$5)),OR(TRIM('Smart Search'!$L$6)="",TRIM('Smart Search'!$L$6)="All",ISNUMBER(SEARCH(SUBSTITUTE(SUBSTITUTE(SUBSTITUTE(TRIM('Smart Search'!$L$6),"~","~~"),"*","~*"),"?","~?"),'Project Database'!C95))),OR('Smart Search'!$L$7="",AND('Project Database'!E95&lt;&gt;"",'Project Database'!E95='Smart Search'!$L$7)),OR('Smart Search'!$L$8="",'Smart Search'!$L$8="All",TRIM('Project Database'!F95)=TRIM('Smart Search'!$L$8))),IF(BA91="","",BA91+ROW()*0.0000000001),"")</f>
        <v/>
      </c>
      <c r="BI91" s="5" t="str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 t="str">
        <f>IF('Project Database'!A95="","",N('Project Database'!AC95))</f>
        <v/>
      </c>
      <c r="BK91" s="5" t="str">
        <f>IF('Project Database'!A95="","",N('Project Database'!AD95))</f>
        <v/>
      </c>
      <c r="BL91" s="5" t="str">
        <f>IF('Project Database'!A95="","",N('Project Database'!AE95))</f>
        <v/>
      </c>
      <c r="BM91" s="5" t="str">
        <f>IF('Project Database'!A95="","",N('Project Database'!AF95))</f>
        <v/>
      </c>
      <c r="BN91" s="5" t="str">
        <f>IF('Project Database'!A95="","",N('Project Database'!AG95))</f>
        <v/>
      </c>
      <c r="BO91" s="5" t="str">
        <f>IF('Project Database'!A95="","",N('Project Database'!AH95))</f>
        <v/>
      </c>
      <c r="BP91" s="5" t="str">
        <f>IF('Project Database'!A95="","",N('Project Database'!AI95))</f>
        <v/>
      </c>
      <c r="BQ91" s="5" t="str">
        <f>IF('Project Database'!A95="","",N('Project Database'!AJ95))</f>
        <v/>
      </c>
      <c r="BR91" s="5" t="str">
        <f>IF('Project Database'!A95="","",N('Project Database'!AK95))</f>
        <v/>
      </c>
      <c r="BS91" s="5" t="str">
        <f>IF('Project Database'!A95="","",N('Project Database'!AL95))</f>
        <v/>
      </c>
      <c r="BT91" s="5" t="str">
        <f>IF('Project Database'!A95="","",N('Project Database'!AM95))</f>
        <v/>
      </c>
      <c r="BU91" s="5" t="str">
        <f>IF('Project Database'!A95="","",N('Project Database'!AN95))</f>
        <v/>
      </c>
      <c r="BV91" s="5" t="str">
        <f>IF('Project Database'!A95="","",N('Project Database'!AO95))</f>
        <v/>
      </c>
      <c r="BW91" s="5" t="str">
        <f>IF('Project Database'!A95="","",N('Project Database'!AP95))</f>
        <v/>
      </c>
      <c r="BX91" s="5">
        <f t="shared" si="26"/>
        <v>0</v>
      </c>
      <c r="BY91" s="5">
        <f t="shared" si="27"/>
        <v>0</v>
      </c>
    </row>
    <row r="92" spans="1:77" ht="15" customHeight="1" x14ac:dyDescent="0.3">
      <c r="A92" s="66">
        <f>'Project Database'!A96</f>
        <v>0</v>
      </c>
      <c r="B92" s="66">
        <f>'Project Database'!B96</f>
        <v>0</v>
      </c>
      <c r="C92" s="66">
        <f>'Project Database'!G96</f>
        <v>0</v>
      </c>
      <c r="D92" s="66">
        <f>'Project Database'!H96</f>
        <v>0</v>
      </c>
      <c r="E92" s="66">
        <f>'Project Database'!I96</f>
        <v>0</v>
      </c>
      <c r="F92" s="66">
        <f>'Project Database'!J96</f>
        <v>0</v>
      </c>
      <c r="G92" s="66">
        <f>'Project Database'!K96</f>
        <v>0</v>
      </c>
      <c r="H92" s="66">
        <f>'Project Database'!L96</f>
        <v>0</v>
      </c>
      <c r="I92" s="66">
        <f>'Project Database'!M96</f>
        <v>0</v>
      </c>
      <c r="J92" s="66">
        <f>'Project Database'!N96</f>
        <v>0</v>
      </c>
      <c r="K92" s="66">
        <f>'Project Database'!O96</f>
        <v>0</v>
      </c>
      <c r="L92" s="66">
        <f>'Project Database'!P96</f>
        <v>0</v>
      </c>
      <c r="M92" s="66">
        <f>'Project Database'!Q96</f>
        <v>0</v>
      </c>
      <c r="N92" s="66">
        <f>'Project Database'!R96</f>
        <v>0</v>
      </c>
      <c r="O92" s="66">
        <f>'Project Database'!S96</f>
        <v>0</v>
      </c>
      <c r="P92" s="66">
        <f>'Project Database'!T96</f>
        <v>0</v>
      </c>
      <c r="Q92" s="66">
        <f>'Project Database'!U96</f>
        <v>0</v>
      </c>
      <c r="R92" s="66">
        <f>'Project Database'!V96</f>
        <v>0</v>
      </c>
      <c r="S92" s="66">
        <f>'Project Database'!W96</f>
        <v>0</v>
      </c>
      <c r="T92" s="66">
        <f>'Project Database'!X96</f>
        <v>0</v>
      </c>
      <c r="U92" s="67">
        <f>'Project Database'!Y96</f>
        <v>0</v>
      </c>
      <c r="V92" s="66">
        <f>IF('Smart Search'!B13=1,IFERROR(1/'Smart Search'!H13,0),0)</f>
        <v>0</v>
      </c>
      <c r="W92" s="66">
        <f>IF('Smart Search'!B13=1,IFERROR(1/'Smart Search'!H13,0),0)</f>
        <v>0</v>
      </c>
      <c r="X92" s="66">
        <f>IF('Smart Search'!C13=1,IFERROR(1/'Smart Search'!H13,0),0)</f>
        <v>0.5</v>
      </c>
      <c r="Y92" s="66">
        <f>IF('Smart Search'!C13=1,IFERROR(1/'Smart Search'!H13,0),0)</f>
        <v>0.5</v>
      </c>
      <c r="Z92" s="66">
        <f>IF('Smart Search'!D13=1,IFERROR(1/'Smart Search'!H13,0),0)</f>
        <v>0</v>
      </c>
      <c r="AA92" s="66">
        <f>IF('Smart Search'!D13=1,IFERROR(1/'Smart Search'!H13,0),0)</f>
        <v>0</v>
      </c>
      <c r="AB92" s="66">
        <f>IF('Smart Search'!E13=1,IFERROR(1/'Smart Search'!H13,0),0)</f>
        <v>0</v>
      </c>
      <c r="AC92" s="66">
        <f>IF('Smart Search'!E13=1,IFERROR(1/'Smart Search'!H13,0),0)</f>
        <v>0</v>
      </c>
      <c r="AD92" s="66">
        <f>IF('Smart Search'!F13=1,IFERROR(1/'Smart Search'!H13,0),0)</f>
        <v>0</v>
      </c>
      <c r="AE92" s="66">
        <f>IF('Smart Search'!F13=1,IFERROR(1/'Smart Search'!H13,0),0)</f>
        <v>0</v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>0</v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>0</v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>0</v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>0</v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>0</v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>0</v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>0</v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>0</v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>0</v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>0</v>
      </c>
      <c r="AP92" s="66">
        <f t="shared" si="14"/>
        <v>0</v>
      </c>
      <c r="AQ92" s="66">
        <f t="shared" si="15"/>
        <v>0</v>
      </c>
      <c r="AR92" s="66">
        <f t="shared" si="16"/>
        <v>0</v>
      </c>
      <c r="AS92" s="66">
        <f t="shared" si="17"/>
        <v>0</v>
      </c>
      <c r="AT92" s="66">
        <f t="shared" si="18"/>
        <v>0</v>
      </c>
      <c r="AU92" s="66">
        <f t="shared" si="19"/>
        <v>0</v>
      </c>
      <c r="AV92" s="66">
        <f t="shared" si="20"/>
        <v>0</v>
      </c>
      <c r="AW92" s="66">
        <f t="shared" si="21"/>
        <v>0</v>
      </c>
      <c r="AX92" s="66">
        <f t="shared" si="22"/>
        <v>0</v>
      </c>
      <c r="AY92" s="66">
        <f t="shared" si="23"/>
        <v>0</v>
      </c>
      <c r="AZ92" s="66">
        <f>'Project Database'!Z96</f>
        <v>0</v>
      </c>
      <c r="BA92" s="66">
        <f>IF(OR(A92="",'Smart Search'!H13=0),"",MAX(0,BE92*BF92*MAX(0,1-BG92)))</f>
        <v>0</v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>0</v>
      </c>
      <c r="BC92" s="66">
        <f>IF('Smart Search'!G13=1,IFERROR(1/'Smart Search'!H13,0),0)</f>
        <v>0</v>
      </c>
      <c r="BD92" s="66">
        <f t="shared" si="24"/>
        <v>0</v>
      </c>
      <c r="BE92" s="66">
        <f t="shared" si="25"/>
        <v>0</v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>0</v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>0</v>
      </c>
      <c r="BH92" s="5" t="str">
        <f>IF(AND('Project Database'!A96&lt;&gt;"",OR('Smart Search'!$L$5="",'Smart Search'!$L$5="All",TRIM('Project Database'!D96)=TRIM('Smart Search'!$L$5)),OR(TRIM('Smart Search'!$L$6)="",TRIM('Smart Search'!$L$6)="All",ISNUMBER(SEARCH(SUBSTITUTE(SUBSTITUTE(SUBSTITUTE(TRIM('Smart Search'!$L$6),"~","~~"),"*","~*"),"?","~?"),'Project Database'!C96))),OR('Smart Search'!$L$7="",AND('Project Database'!E96&lt;&gt;"",'Project Database'!E96='Smart Search'!$L$7)),OR('Smart Search'!$L$8="",'Smart Search'!$L$8="All",TRIM('Project Database'!F96)=TRIM('Smart Search'!$L$8))),IF(BA92="","",BA92+ROW()*0.0000000001),"")</f>
        <v/>
      </c>
      <c r="BI92" s="5" t="str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 t="str">
        <f>IF('Project Database'!A96="","",N('Project Database'!AC96))</f>
        <v/>
      </c>
      <c r="BK92" s="5" t="str">
        <f>IF('Project Database'!A96="","",N('Project Database'!AD96))</f>
        <v/>
      </c>
      <c r="BL92" s="5" t="str">
        <f>IF('Project Database'!A96="","",N('Project Database'!AE96))</f>
        <v/>
      </c>
      <c r="BM92" s="5" t="str">
        <f>IF('Project Database'!A96="","",N('Project Database'!AF96))</f>
        <v/>
      </c>
      <c r="BN92" s="5" t="str">
        <f>IF('Project Database'!A96="","",N('Project Database'!AG96))</f>
        <v/>
      </c>
      <c r="BO92" s="5" t="str">
        <f>IF('Project Database'!A96="","",N('Project Database'!AH96))</f>
        <v/>
      </c>
      <c r="BP92" s="5" t="str">
        <f>IF('Project Database'!A96="","",N('Project Database'!AI96))</f>
        <v/>
      </c>
      <c r="BQ92" s="5" t="str">
        <f>IF('Project Database'!A96="","",N('Project Database'!AJ96))</f>
        <v/>
      </c>
      <c r="BR92" s="5" t="str">
        <f>IF('Project Database'!A96="","",N('Project Database'!AK96))</f>
        <v/>
      </c>
      <c r="BS92" s="5" t="str">
        <f>IF('Project Database'!A96="","",N('Project Database'!AL96))</f>
        <v/>
      </c>
      <c r="BT92" s="5" t="str">
        <f>IF('Project Database'!A96="","",N('Project Database'!AM96))</f>
        <v/>
      </c>
      <c r="BU92" s="5" t="str">
        <f>IF('Project Database'!A96="","",N('Project Database'!AN96))</f>
        <v/>
      </c>
      <c r="BV92" s="5" t="str">
        <f>IF('Project Database'!A96="","",N('Project Database'!AO96))</f>
        <v/>
      </c>
      <c r="BW92" s="5" t="str">
        <f>IF('Project Database'!A96="","",N('Project Database'!AP96))</f>
        <v/>
      </c>
      <c r="BX92" s="5">
        <f t="shared" si="26"/>
        <v>0</v>
      </c>
      <c r="BY92" s="5">
        <f t="shared" si="27"/>
        <v>0</v>
      </c>
    </row>
    <row r="93" spans="1:77" ht="15" customHeight="1" x14ac:dyDescent="0.3">
      <c r="A93" s="66">
        <f>'Project Database'!A97</f>
        <v>0</v>
      </c>
      <c r="B93" s="66">
        <f>'Project Database'!B97</f>
        <v>0</v>
      </c>
      <c r="C93" s="66">
        <f>'Project Database'!G97</f>
        <v>0</v>
      </c>
      <c r="D93" s="66">
        <f>'Project Database'!H97</f>
        <v>0</v>
      </c>
      <c r="E93" s="66">
        <f>'Project Database'!I97</f>
        <v>0</v>
      </c>
      <c r="F93" s="66">
        <f>'Project Database'!J97</f>
        <v>0</v>
      </c>
      <c r="G93" s="66">
        <f>'Project Database'!K97</f>
        <v>0</v>
      </c>
      <c r="H93" s="66">
        <f>'Project Database'!L97</f>
        <v>0</v>
      </c>
      <c r="I93" s="66">
        <f>'Project Database'!M97</f>
        <v>0</v>
      </c>
      <c r="J93" s="66">
        <f>'Project Database'!N97</f>
        <v>0</v>
      </c>
      <c r="K93" s="66">
        <f>'Project Database'!O97</f>
        <v>0</v>
      </c>
      <c r="L93" s="66">
        <f>'Project Database'!P97</f>
        <v>0</v>
      </c>
      <c r="M93" s="66">
        <f>'Project Database'!Q97</f>
        <v>0</v>
      </c>
      <c r="N93" s="66">
        <f>'Project Database'!R97</f>
        <v>0</v>
      </c>
      <c r="O93" s="66">
        <f>'Project Database'!S97</f>
        <v>0</v>
      </c>
      <c r="P93" s="66">
        <f>'Project Database'!T97</f>
        <v>0</v>
      </c>
      <c r="Q93" s="66">
        <f>'Project Database'!U97</f>
        <v>0</v>
      </c>
      <c r="R93" s="66">
        <f>'Project Database'!V97</f>
        <v>0</v>
      </c>
      <c r="S93" s="66">
        <f>'Project Database'!W97</f>
        <v>0</v>
      </c>
      <c r="T93" s="66">
        <f>'Project Database'!X97</f>
        <v>0</v>
      </c>
      <c r="U93" s="67">
        <f>'Project Database'!Y97</f>
        <v>0</v>
      </c>
      <c r="V93" s="66">
        <f>IF('Smart Search'!B13=1,IFERROR(1/'Smart Search'!H13,0),0)</f>
        <v>0</v>
      </c>
      <c r="W93" s="66">
        <f>IF('Smart Search'!B13=1,IFERROR(1/'Smart Search'!H13,0),0)</f>
        <v>0</v>
      </c>
      <c r="X93" s="66">
        <f>IF('Smart Search'!C13=1,IFERROR(1/'Smart Search'!H13,0),0)</f>
        <v>0.5</v>
      </c>
      <c r="Y93" s="66">
        <f>IF('Smart Search'!C13=1,IFERROR(1/'Smart Search'!H13,0),0)</f>
        <v>0.5</v>
      </c>
      <c r="Z93" s="66">
        <f>IF('Smart Search'!D13=1,IFERROR(1/'Smart Search'!H13,0),0)</f>
        <v>0</v>
      </c>
      <c r="AA93" s="66">
        <f>IF('Smart Search'!D13=1,IFERROR(1/'Smart Search'!H13,0),0)</f>
        <v>0</v>
      </c>
      <c r="AB93" s="66">
        <f>IF('Smart Search'!E13=1,IFERROR(1/'Smart Search'!H13,0),0)</f>
        <v>0</v>
      </c>
      <c r="AC93" s="66">
        <f>IF('Smart Search'!E13=1,IFERROR(1/'Smart Search'!H13,0),0)</f>
        <v>0</v>
      </c>
      <c r="AD93" s="66">
        <f>IF('Smart Search'!F13=1,IFERROR(1/'Smart Search'!H13,0),0)</f>
        <v>0</v>
      </c>
      <c r="AE93" s="66">
        <f>IF('Smart Search'!F13=1,IFERROR(1/'Smart Search'!H13,0),0)</f>
        <v>0</v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>0</v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>0</v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>0</v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>0</v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>0</v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>0</v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>0</v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>0</v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>0</v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>0</v>
      </c>
      <c r="AP93" s="66">
        <f t="shared" si="14"/>
        <v>0</v>
      </c>
      <c r="AQ93" s="66">
        <f t="shared" si="15"/>
        <v>0</v>
      </c>
      <c r="AR93" s="66">
        <f t="shared" si="16"/>
        <v>0</v>
      </c>
      <c r="AS93" s="66">
        <f t="shared" si="17"/>
        <v>0</v>
      </c>
      <c r="AT93" s="66">
        <f t="shared" si="18"/>
        <v>0</v>
      </c>
      <c r="AU93" s="66">
        <f t="shared" si="19"/>
        <v>0</v>
      </c>
      <c r="AV93" s="66">
        <f t="shared" si="20"/>
        <v>0</v>
      </c>
      <c r="AW93" s="66">
        <f t="shared" si="21"/>
        <v>0</v>
      </c>
      <c r="AX93" s="66">
        <f t="shared" si="22"/>
        <v>0</v>
      </c>
      <c r="AY93" s="66">
        <f t="shared" si="23"/>
        <v>0</v>
      </c>
      <c r="AZ93" s="66">
        <f>'Project Database'!Z97</f>
        <v>0</v>
      </c>
      <c r="BA93" s="66">
        <f>IF(OR(A93="",'Smart Search'!H13=0),"",MAX(0,BE93*BF93*MAX(0,1-BG93)))</f>
        <v>0</v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>0</v>
      </c>
      <c r="BC93" s="66">
        <f>IF('Smart Search'!G13=1,IFERROR(1/'Smart Search'!H13,0),0)</f>
        <v>0</v>
      </c>
      <c r="BD93" s="66">
        <f t="shared" si="24"/>
        <v>0</v>
      </c>
      <c r="BE93" s="66">
        <f t="shared" si="25"/>
        <v>0</v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>0</v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>0</v>
      </c>
      <c r="BH93" s="5" t="str">
        <f>IF(AND('Project Database'!A97&lt;&gt;"",OR('Smart Search'!$L$5="",'Smart Search'!$L$5="All",TRIM('Project Database'!D97)=TRIM('Smart Search'!$L$5)),OR(TRIM('Smart Search'!$L$6)="",TRIM('Smart Search'!$L$6)="All",ISNUMBER(SEARCH(SUBSTITUTE(SUBSTITUTE(SUBSTITUTE(TRIM('Smart Search'!$L$6),"~","~~"),"*","~*"),"?","~?"),'Project Database'!C97))),OR('Smart Search'!$L$7="",AND('Project Database'!E97&lt;&gt;"",'Project Database'!E97='Smart Search'!$L$7)),OR('Smart Search'!$L$8="",'Smart Search'!$L$8="All",TRIM('Project Database'!F97)=TRIM('Smart Search'!$L$8))),IF(BA93="","",BA93+ROW()*0.0000000001),"")</f>
        <v/>
      </c>
      <c r="BI93" s="5" t="str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 t="str">
        <f>IF('Project Database'!A97="","",N('Project Database'!AC97))</f>
        <v/>
      </c>
      <c r="BK93" s="5" t="str">
        <f>IF('Project Database'!A97="","",N('Project Database'!AD97))</f>
        <v/>
      </c>
      <c r="BL93" s="5" t="str">
        <f>IF('Project Database'!A97="","",N('Project Database'!AE97))</f>
        <v/>
      </c>
      <c r="BM93" s="5" t="str">
        <f>IF('Project Database'!A97="","",N('Project Database'!AF97))</f>
        <v/>
      </c>
      <c r="BN93" s="5" t="str">
        <f>IF('Project Database'!A97="","",N('Project Database'!AG97))</f>
        <v/>
      </c>
      <c r="BO93" s="5" t="str">
        <f>IF('Project Database'!A97="","",N('Project Database'!AH97))</f>
        <v/>
      </c>
      <c r="BP93" s="5" t="str">
        <f>IF('Project Database'!A97="","",N('Project Database'!AI97))</f>
        <v/>
      </c>
      <c r="BQ93" s="5" t="str">
        <f>IF('Project Database'!A97="","",N('Project Database'!AJ97))</f>
        <v/>
      </c>
      <c r="BR93" s="5" t="str">
        <f>IF('Project Database'!A97="","",N('Project Database'!AK97))</f>
        <v/>
      </c>
      <c r="BS93" s="5" t="str">
        <f>IF('Project Database'!A97="","",N('Project Database'!AL97))</f>
        <v/>
      </c>
      <c r="BT93" s="5" t="str">
        <f>IF('Project Database'!A97="","",N('Project Database'!AM97))</f>
        <v/>
      </c>
      <c r="BU93" s="5" t="str">
        <f>IF('Project Database'!A97="","",N('Project Database'!AN97))</f>
        <v/>
      </c>
      <c r="BV93" s="5" t="str">
        <f>IF('Project Database'!A97="","",N('Project Database'!AO97))</f>
        <v/>
      </c>
      <c r="BW93" s="5" t="str">
        <f>IF('Project Database'!A97="","",N('Project Database'!AP97))</f>
        <v/>
      </c>
      <c r="BX93" s="5">
        <f t="shared" si="26"/>
        <v>0</v>
      </c>
      <c r="BY93" s="5">
        <f t="shared" si="27"/>
        <v>0</v>
      </c>
    </row>
    <row r="94" spans="1:77" ht="15" customHeight="1" x14ac:dyDescent="0.3">
      <c r="A94" s="66">
        <f>'Project Database'!A98</f>
        <v>0</v>
      </c>
      <c r="B94" s="66">
        <f>'Project Database'!B98</f>
        <v>0</v>
      </c>
      <c r="C94" s="66">
        <f>'Project Database'!G98</f>
        <v>0</v>
      </c>
      <c r="D94" s="66">
        <f>'Project Database'!H98</f>
        <v>0</v>
      </c>
      <c r="E94" s="66">
        <f>'Project Database'!I98</f>
        <v>0</v>
      </c>
      <c r="F94" s="66">
        <f>'Project Database'!J98</f>
        <v>0</v>
      </c>
      <c r="G94" s="66">
        <f>'Project Database'!K98</f>
        <v>0</v>
      </c>
      <c r="H94" s="66">
        <f>'Project Database'!L98</f>
        <v>0</v>
      </c>
      <c r="I94" s="66">
        <f>'Project Database'!M98</f>
        <v>0</v>
      </c>
      <c r="J94" s="66">
        <f>'Project Database'!N98</f>
        <v>0</v>
      </c>
      <c r="K94" s="66">
        <f>'Project Database'!O98</f>
        <v>0</v>
      </c>
      <c r="L94" s="66">
        <f>'Project Database'!P98</f>
        <v>0</v>
      </c>
      <c r="M94" s="66">
        <f>'Project Database'!Q98</f>
        <v>0</v>
      </c>
      <c r="N94" s="66">
        <f>'Project Database'!R98</f>
        <v>0</v>
      </c>
      <c r="O94" s="66">
        <f>'Project Database'!S98</f>
        <v>0</v>
      </c>
      <c r="P94" s="66">
        <f>'Project Database'!T98</f>
        <v>0</v>
      </c>
      <c r="Q94" s="66">
        <f>'Project Database'!U98</f>
        <v>0</v>
      </c>
      <c r="R94" s="66">
        <f>'Project Database'!V98</f>
        <v>0</v>
      </c>
      <c r="S94" s="66">
        <f>'Project Database'!W98</f>
        <v>0</v>
      </c>
      <c r="T94" s="66">
        <f>'Project Database'!X98</f>
        <v>0</v>
      </c>
      <c r="U94" s="67">
        <f>'Project Database'!Y98</f>
        <v>0</v>
      </c>
      <c r="V94" s="66">
        <f>IF('Smart Search'!B13=1,IFERROR(1/'Smart Search'!H13,0),0)</f>
        <v>0</v>
      </c>
      <c r="W94" s="66">
        <f>IF('Smart Search'!B13=1,IFERROR(1/'Smart Search'!H13,0),0)</f>
        <v>0</v>
      </c>
      <c r="X94" s="66">
        <f>IF('Smart Search'!C13=1,IFERROR(1/'Smart Search'!H13,0),0)</f>
        <v>0.5</v>
      </c>
      <c r="Y94" s="66">
        <f>IF('Smart Search'!C13=1,IFERROR(1/'Smart Search'!H13,0),0)</f>
        <v>0.5</v>
      </c>
      <c r="Z94" s="66">
        <f>IF('Smart Search'!D13=1,IFERROR(1/'Smart Search'!H13,0),0)</f>
        <v>0</v>
      </c>
      <c r="AA94" s="66">
        <f>IF('Smart Search'!D13=1,IFERROR(1/'Smart Search'!H13,0),0)</f>
        <v>0</v>
      </c>
      <c r="AB94" s="66">
        <f>IF('Smart Search'!E13=1,IFERROR(1/'Smart Search'!H13,0),0)</f>
        <v>0</v>
      </c>
      <c r="AC94" s="66">
        <f>IF('Smart Search'!E13=1,IFERROR(1/'Smart Search'!H13,0),0)</f>
        <v>0</v>
      </c>
      <c r="AD94" s="66">
        <f>IF('Smart Search'!F13=1,IFERROR(1/'Smart Search'!H13,0),0)</f>
        <v>0</v>
      </c>
      <c r="AE94" s="66">
        <f>IF('Smart Search'!F13=1,IFERROR(1/'Smart Search'!H13,0),0)</f>
        <v>0</v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>0</v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>0</v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>0</v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>0</v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>0</v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>0</v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>0</v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>0</v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>0</v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>0</v>
      </c>
      <c r="AP94" s="66">
        <f t="shared" si="14"/>
        <v>0</v>
      </c>
      <c r="AQ94" s="66">
        <f t="shared" si="15"/>
        <v>0</v>
      </c>
      <c r="AR94" s="66">
        <f t="shared" si="16"/>
        <v>0</v>
      </c>
      <c r="AS94" s="66">
        <f t="shared" si="17"/>
        <v>0</v>
      </c>
      <c r="AT94" s="66">
        <f t="shared" si="18"/>
        <v>0</v>
      </c>
      <c r="AU94" s="66">
        <f t="shared" si="19"/>
        <v>0</v>
      </c>
      <c r="AV94" s="66">
        <f t="shared" si="20"/>
        <v>0</v>
      </c>
      <c r="AW94" s="66">
        <f t="shared" si="21"/>
        <v>0</v>
      </c>
      <c r="AX94" s="66">
        <f t="shared" si="22"/>
        <v>0</v>
      </c>
      <c r="AY94" s="66">
        <f t="shared" si="23"/>
        <v>0</v>
      </c>
      <c r="AZ94" s="66">
        <f>'Project Database'!Z98</f>
        <v>0</v>
      </c>
      <c r="BA94" s="66">
        <f>IF(OR(A94="",'Smart Search'!H13=0),"",MAX(0,BE94*BF94*MAX(0,1-BG94)))</f>
        <v>0</v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>0</v>
      </c>
      <c r="BC94" s="66">
        <f>IF('Smart Search'!G13=1,IFERROR(1/'Smart Search'!H13,0),0)</f>
        <v>0</v>
      </c>
      <c r="BD94" s="66">
        <f t="shared" si="24"/>
        <v>0</v>
      </c>
      <c r="BE94" s="66">
        <f t="shared" si="25"/>
        <v>0</v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>0</v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>0</v>
      </c>
      <c r="BH94" s="5" t="str">
        <f>IF(AND('Project Database'!A98&lt;&gt;"",OR('Smart Search'!$L$5="",'Smart Search'!$L$5="All",TRIM('Project Database'!D98)=TRIM('Smart Search'!$L$5)),OR(TRIM('Smart Search'!$L$6)="",TRIM('Smart Search'!$L$6)="All",ISNUMBER(SEARCH(SUBSTITUTE(SUBSTITUTE(SUBSTITUTE(TRIM('Smart Search'!$L$6),"~","~~"),"*","~*"),"?","~?"),'Project Database'!C98))),OR('Smart Search'!$L$7="",AND('Project Database'!E98&lt;&gt;"",'Project Database'!E98='Smart Search'!$L$7)),OR('Smart Search'!$L$8="",'Smart Search'!$L$8="All",TRIM('Project Database'!F98)=TRIM('Smart Search'!$L$8))),IF(BA94="","",BA94+ROW()*0.0000000001),"")</f>
        <v/>
      </c>
      <c r="BI94" s="5" t="str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 t="str">
        <f>IF('Project Database'!A98="","",N('Project Database'!AC98))</f>
        <v/>
      </c>
      <c r="BK94" s="5" t="str">
        <f>IF('Project Database'!A98="","",N('Project Database'!AD98))</f>
        <v/>
      </c>
      <c r="BL94" s="5" t="str">
        <f>IF('Project Database'!A98="","",N('Project Database'!AE98))</f>
        <v/>
      </c>
      <c r="BM94" s="5" t="str">
        <f>IF('Project Database'!A98="","",N('Project Database'!AF98))</f>
        <v/>
      </c>
      <c r="BN94" s="5" t="str">
        <f>IF('Project Database'!A98="","",N('Project Database'!AG98))</f>
        <v/>
      </c>
      <c r="BO94" s="5" t="str">
        <f>IF('Project Database'!A98="","",N('Project Database'!AH98))</f>
        <v/>
      </c>
      <c r="BP94" s="5" t="str">
        <f>IF('Project Database'!A98="","",N('Project Database'!AI98))</f>
        <v/>
      </c>
      <c r="BQ94" s="5" t="str">
        <f>IF('Project Database'!A98="","",N('Project Database'!AJ98))</f>
        <v/>
      </c>
      <c r="BR94" s="5" t="str">
        <f>IF('Project Database'!A98="","",N('Project Database'!AK98))</f>
        <v/>
      </c>
      <c r="BS94" s="5" t="str">
        <f>IF('Project Database'!A98="","",N('Project Database'!AL98))</f>
        <v/>
      </c>
      <c r="BT94" s="5" t="str">
        <f>IF('Project Database'!A98="","",N('Project Database'!AM98))</f>
        <v/>
      </c>
      <c r="BU94" s="5" t="str">
        <f>IF('Project Database'!A98="","",N('Project Database'!AN98))</f>
        <v/>
      </c>
      <c r="BV94" s="5" t="str">
        <f>IF('Project Database'!A98="","",N('Project Database'!AO98))</f>
        <v/>
      </c>
      <c r="BW94" s="5" t="str">
        <f>IF('Project Database'!A98="","",N('Project Database'!AP98))</f>
        <v/>
      </c>
      <c r="BX94" s="5">
        <f t="shared" si="26"/>
        <v>0</v>
      </c>
      <c r="BY94" s="5">
        <f t="shared" si="27"/>
        <v>0</v>
      </c>
    </row>
    <row r="95" spans="1:77" ht="15" customHeight="1" x14ac:dyDescent="0.3">
      <c r="A95" s="66">
        <f>'Project Database'!A99</f>
        <v>0</v>
      </c>
      <c r="B95" s="66">
        <f>'Project Database'!B99</f>
        <v>0</v>
      </c>
      <c r="C95" s="66">
        <f>'Project Database'!G99</f>
        <v>0</v>
      </c>
      <c r="D95" s="66">
        <f>'Project Database'!H99</f>
        <v>0</v>
      </c>
      <c r="E95" s="66">
        <f>'Project Database'!I99</f>
        <v>0</v>
      </c>
      <c r="F95" s="66">
        <f>'Project Database'!J99</f>
        <v>0</v>
      </c>
      <c r="G95" s="66">
        <f>'Project Database'!K99</f>
        <v>0</v>
      </c>
      <c r="H95" s="66">
        <f>'Project Database'!L99</f>
        <v>0</v>
      </c>
      <c r="I95" s="66">
        <f>'Project Database'!M99</f>
        <v>0</v>
      </c>
      <c r="J95" s="66">
        <f>'Project Database'!N99</f>
        <v>0</v>
      </c>
      <c r="K95" s="66">
        <f>'Project Database'!O99</f>
        <v>0</v>
      </c>
      <c r="L95" s="66">
        <f>'Project Database'!P99</f>
        <v>0</v>
      </c>
      <c r="M95" s="66">
        <f>'Project Database'!Q99</f>
        <v>0</v>
      </c>
      <c r="N95" s="66">
        <f>'Project Database'!R99</f>
        <v>0</v>
      </c>
      <c r="O95" s="66">
        <f>'Project Database'!S99</f>
        <v>0</v>
      </c>
      <c r="P95" s="66">
        <f>'Project Database'!T99</f>
        <v>0</v>
      </c>
      <c r="Q95" s="66">
        <f>'Project Database'!U99</f>
        <v>0</v>
      </c>
      <c r="R95" s="66">
        <f>'Project Database'!V99</f>
        <v>0</v>
      </c>
      <c r="S95" s="66">
        <f>'Project Database'!W99</f>
        <v>0</v>
      </c>
      <c r="T95" s="66">
        <f>'Project Database'!X99</f>
        <v>0</v>
      </c>
      <c r="U95" s="67">
        <f>'Project Database'!Y99</f>
        <v>0</v>
      </c>
      <c r="V95" s="66">
        <f>IF('Smart Search'!B13=1,IFERROR(1/'Smart Search'!H13,0),0)</f>
        <v>0</v>
      </c>
      <c r="W95" s="66">
        <f>IF('Smart Search'!B13=1,IFERROR(1/'Smart Search'!H13,0),0)</f>
        <v>0</v>
      </c>
      <c r="X95" s="66">
        <f>IF('Smart Search'!C13=1,IFERROR(1/'Smart Search'!H13,0),0)</f>
        <v>0.5</v>
      </c>
      <c r="Y95" s="66">
        <f>IF('Smart Search'!C13=1,IFERROR(1/'Smart Search'!H13,0),0)</f>
        <v>0.5</v>
      </c>
      <c r="Z95" s="66">
        <f>IF('Smart Search'!D13=1,IFERROR(1/'Smart Search'!H13,0),0)</f>
        <v>0</v>
      </c>
      <c r="AA95" s="66">
        <f>IF('Smart Search'!D13=1,IFERROR(1/'Smart Search'!H13,0),0)</f>
        <v>0</v>
      </c>
      <c r="AB95" s="66">
        <f>IF('Smart Search'!E13=1,IFERROR(1/'Smart Search'!H13,0),0)</f>
        <v>0</v>
      </c>
      <c r="AC95" s="66">
        <f>IF('Smart Search'!E13=1,IFERROR(1/'Smart Search'!H13,0),0)</f>
        <v>0</v>
      </c>
      <c r="AD95" s="66">
        <f>IF('Smart Search'!F13=1,IFERROR(1/'Smart Search'!H13,0),0)</f>
        <v>0</v>
      </c>
      <c r="AE95" s="66">
        <f>IF('Smart Search'!F13=1,IFERROR(1/'Smart Search'!H13,0),0)</f>
        <v>0</v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>0</v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>0</v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>0</v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>0</v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>0</v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>0</v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>0</v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>0</v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>0</v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>0</v>
      </c>
      <c r="AP95" s="66">
        <f t="shared" si="14"/>
        <v>0</v>
      </c>
      <c r="AQ95" s="66">
        <f t="shared" si="15"/>
        <v>0</v>
      </c>
      <c r="AR95" s="66">
        <f t="shared" si="16"/>
        <v>0</v>
      </c>
      <c r="AS95" s="66">
        <f t="shared" si="17"/>
        <v>0</v>
      </c>
      <c r="AT95" s="66">
        <f t="shared" si="18"/>
        <v>0</v>
      </c>
      <c r="AU95" s="66">
        <f t="shared" si="19"/>
        <v>0</v>
      </c>
      <c r="AV95" s="66">
        <f t="shared" si="20"/>
        <v>0</v>
      </c>
      <c r="AW95" s="66">
        <f t="shared" si="21"/>
        <v>0</v>
      </c>
      <c r="AX95" s="66">
        <f t="shared" si="22"/>
        <v>0</v>
      </c>
      <c r="AY95" s="66">
        <f t="shared" si="23"/>
        <v>0</v>
      </c>
      <c r="AZ95" s="66">
        <f>'Project Database'!Z99</f>
        <v>0</v>
      </c>
      <c r="BA95" s="66">
        <f>IF(OR(A95="",'Smart Search'!H13=0),"",MAX(0,BE95*BF95*MAX(0,1-BG95)))</f>
        <v>0</v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>0</v>
      </c>
      <c r="BC95" s="66">
        <f>IF('Smart Search'!G13=1,IFERROR(1/'Smart Search'!H13,0),0)</f>
        <v>0</v>
      </c>
      <c r="BD95" s="66">
        <f t="shared" si="24"/>
        <v>0</v>
      </c>
      <c r="BE95" s="66">
        <f t="shared" si="25"/>
        <v>0</v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>0</v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>0</v>
      </c>
      <c r="BH95" s="5" t="str">
        <f>IF(AND('Project Database'!A99&lt;&gt;"",OR('Smart Search'!$L$5="",'Smart Search'!$L$5="All",TRIM('Project Database'!D99)=TRIM('Smart Search'!$L$5)),OR(TRIM('Smart Search'!$L$6)="",TRIM('Smart Search'!$L$6)="All",ISNUMBER(SEARCH(SUBSTITUTE(SUBSTITUTE(SUBSTITUTE(TRIM('Smart Search'!$L$6),"~","~~"),"*","~*"),"?","~?"),'Project Database'!C99))),OR('Smart Search'!$L$7="",AND('Project Database'!E99&lt;&gt;"",'Project Database'!E99='Smart Search'!$L$7)),OR('Smart Search'!$L$8="",'Smart Search'!$L$8="All",TRIM('Project Database'!F99)=TRIM('Smart Search'!$L$8))),IF(BA95="","",BA95+ROW()*0.0000000001),"")</f>
        <v/>
      </c>
      <c r="BI95" s="5" t="str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 t="str">
        <f>IF('Project Database'!A99="","",N('Project Database'!AC99))</f>
        <v/>
      </c>
      <c r="BK95" s="5" t="str">
        <f>IF('Project Database'!A99="","",N('Project Database'!AD99))</f>
        <v/>
      </c>
      <c r="BL95" s="5" t="str">
        <f>IF('Project Database'!A99="","",N('Project Database'!AE99))</f>
        <v/>
      </c>
      <c r="BM95" s="5" t="str">
        <f>IF('Project Database'!A99="","",N('Project Database'!AF99))</f>
        <v/>
      </c>
      <c r="BN95" s="5" t="str">
        <f>IF('Project Database'!A99="","",N('Project Database'!AG99))</f>
        <v/>
      </c>
      <c r="BO95" s="5" t="str">
        <f>IF('Project Database'!A99="","",N('Project Database'!AH99))</f>
        <v/>
      </c>
      <c r="BP95" s="5" t="str">
        <f>IF('Project Database'!A99="","",N('Project Database'!AI99))</f>
        <v/>
      </c>
      <c r="BQ95" s="5" t="str">
        <f>IF('Project Database'!A99="","",N('Project Database'!AJ99))</f>
        <v/>
      </c>
      <c r="BR95" s="5" t="str">
        <f>IF('Project Database'!A99="","",N('Project Database'!AK99))</f>
        <v/>
      </c>
      <c r="BS95" s="5" t="str">
        <f>IF('Project Database'!A99="","",N('Project Database'!AL99))</f>
        <v/>
      </c>
      <c r="BT95" s="5" t="str">
        <f>IF('Project Database'!A99="","",N('Project Database'!AM99))</f>
        <v/>
      </c>
      <c r="BU95" s="5" t="str">
        <f>IF('Project Database'!A99="","",N('Project Database'!AN99))</f>
        <v/>
      </c>
      <c r="BV95" s="5" t="str">
        <f>IF('Project Database'!A99="","",N('Project Database'!AO99))</f>
        <v/>
      </c>
      <c r="BW95" s="5" t="str">
        <f>IF('Project Database'!A99="","",N('Project Database'!AP99))</f>
        <v/>
      </c>
      <c r="BX95" s="5">
        <f t="shared" si="26"/>
        <v>0</v>
      </c>
      <c r="BY95" s="5">
        <f t="shared" si="27"/>
        <v>0</v>
      </c>
    </row>
    <row r="96" spans="1:77" ht="15" customHeight="1" x14ac:dyDescent="0.3">
      <c r="A96" s="66">
        <f>'Project Database'!A100</f>
        <v>0</v>
      </c>
      <c r="B96" s="66">
        <f>'Project Database'!B100</f>
        <v>0</v>
      </c>
      <c r="C96" s="66">
        <f>'Project Database'!G100</f>
        <v>0</v>
      </c>
      <c r="D96" s="66">
        <f>'Project Database'!H100</f>
        <v>0</v>
      </c>
      <c r="E96" s="66">
        <f>'Project Database'!I100</f>
        <v>0</v>
      </c>
      <c r="F96" s="66">
        <f>'Project Database'!J100</f>
        <v>0</v>
      </c>
      <c r="G96" s="66">
        <f>'Project Database'!K100</f>
        <v>0</v>
      </c>
      <c r="H96" s="66">
        <f>'Project Database'!L100</f>
        <v>0</v>
      </c>
      <c r="I96" s="66">
        <f>'Project Database'!M100</f>
        <v>0</v>
      </c>
      <c r="J96" s="66">
        <f>'Project Database'!N100</f>
        <v>0</v>
      </c>
      <c r="K96" s="66">
        <f>'Project Database'!O100</f>
        <v>0</v>
      </c>
      <c r="L96" s="66">
        <f>'Project Database'!P100</f>
        <v>0</v>
      </c>
      <c r="M96" s="66">
        <f>'Project Database'!Q100</f>
        <v>0</v>
      </c>
      <c r="N96" s="66">
        <f>'Project Database'!R100</f>
        <v>0</v>
      </c>
      <c r="O96" s="66">
        <f>'Project Database'!S100</f>
        <v>0</v>
      </c>
      <c r="P96" s="66">
        <f>'Project Database'!T100</f>
        <v>0</v>
      </c>
      <c r="Q96" s="66">
        <f>'Project Database'!U100</f>
        <v>0</v>
      </c>
      <c r="R96" s="66">
        <f>'Project Database'!V100</f>
        <v>0</v>
      </c>
      <c r="S96" s="66">
        <f>'Project Database'!W100</f>
        <v>0</v>
      </c>
      <c r="T96" s="66">
        <f>'Project Database'!X100</f>
        <v>0</v>
      </c>
      <c r="U96" s="67">
        <f>'Project Database'!Y100</f>
        <v>0</v>
      </c>
      <c r="V96" s="66">
        <f>IF('Smart Search'!B13=1,IFERROR(1/'Smart Search'!H13,0),0)</f>
        <v>0</v>
      </c>
      <c r="W96" s="66">
        <f>IF('Smart Search'!B13=1,IFERROR(1/'Smart Search'!H13,0),0)</f>
        <v>0</v>
      </c>
      <c r="X96" s="66">
        <f>IF('Smart Search'!C13=1,IFERROR(1/'Smart Search'!H13,0),0)</f>
        <v>0.5</v>
      </c>
      <c r="Y96" s="66">
        <f>IF('Smart Search'!C13=1,IFERROR(1/'Smart Search'!H13,0),0)</f>
        <v>0.5</v>
      </c>
      <c r="Z96" s="66">
        <f>IF('Smart Search'!D13=1,IFERROR(1/'Smart Search'!H13,0),0)</f>
        <v>0</v>
      </c>
      <c r="AA96" s="66">
        <f>IF('Smart Search'!D13=1,IFERROR(1/'Smart Search'!H13,0),0)</f>
        <v>0</v>
      </c>
      <c r="AB96" s="66">
        <f>IF('Smart Search'!E13=1,IFERROR(1/'Smart Search'!H13,0),0)</f>
        <v>0</v>
      </c>
      <c r="AC96" s="66">
        <f>IF('Smart Search'!E13=1,IFERROR(1/'Smart Search'!H13,0),0)</f>
        <v>0</v>
      </c>
      <c r="AD96" s="66">
        <f>IF('Smart Search'!F13=1,IFERROR(1/'Smart Search'!H13,0),0)</f>
        <v>0</v>
      </c>
      <c r="AE96" s="66">
        <f>IF('Smart Search'!F13=1,IFERROR(1/'Smart Search'!H13,0),0)</f>
        <v>0</v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>0</v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>0</v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>0</v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>0</v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>0</v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>0</v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>0</v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>0</v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>0</v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>0</v>
      </c>
      <c r="AP96" s="66">
        <f t="shared" si="14"/>
        <v>0</v>
      </c>
      <c r="AQ96" s="66">
        <f t="shared" si="15"/>
        <v>0</v>
      </c>
      <c r="AR96" s="66">
        <f t="shared" si="16"/>
        <v>0</v>
      </c>
      <c r="AS96" s="66">
        <f t="shared" si="17"/>
        <v>0</v>
      </c>
      <c r="AT96" s="66">
        <f t="shared" si="18"/>
        <v>0</v>
      </c>
      <c r="AU96" s="66">
        <f t="shared" si="19"/>
        <v>0</v>
      </c>
      <c r="AV96" s="66">
        <f t="shared" si="20"/>
        <v>0</v>
      </c>
      <c r="AW96" s="66">
        <f t="shared" si="21"/>
        <v>0</v>
      </c>
      <c r="AX96" s="66">
        <f t="shared" si="22"/>
        <v>0</v>
      </c>
      <c r="AY96" s="66">
        <f t="shared" si="23"/>
        <v>0</v>
      </c>
      <c r="AZ96" s="66">
        <f>'Project Database'!Z100</f>
        <v>0</v>
      </c>
      <c r="BA96" s="66">
        <f>IF(OR(A96="",'Smart Search'!H13=0),"",MAX(0,BE96*BF96*MAX(0,1-BG96)))</f>
        <v>0</v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>0</v>
      </c>
      <c r="BC96" s="66">
        <f>IF('Smart Search'!G13=1,IFERROR(1/'Smart Search'!H13,0),0)</f>
        <v>0</v>
      </c>
      <c r="BD96" s="66">
        <f t="shared" si="24"/>
        <v>0</v>
      </c>
      <c r="BE96" s="66">
        <f t="shared" si="25"/>
        <v>0</v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>0</v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>0</v>
      </c>
      <c r="BH96" s="5" t="str">
        <f>IF(AND('Project Database'!A100&lt;&gt;"",OR('Smart Search'!$L$5="",'Smart Search'!$L$5="All",TRIM('Project Database'!D100)=TRIM('Smart Search'!$L$5)),OR(TRIM('Smart Search'!$L$6)="",TRIM('Smart Search'!$L$6)="All",ISNUMBER(SEARCH(SUBSTITUTE(SUBSTITUTE(SUBSTITUTE(TRIM('Smart Search'!$L$6),"~","~~"),"*","~*"),"?","~?"),'Project Database'!C100))),OR('Smart Search'!$L$7="",AND('Project Database'!E100&lt;&gt;"",'Project Database'!E100='Smart Search'!$L$7)),OR('Smart Search'!$L$8="",'Smart Search'!$L$8="All",TRIM('Project Database'!F100)=TRIM('Smart Search'!$L$8))),IF(BA96="","",BA96+ROW()*0.0000000001),"")</f>
        <v/>
      </c>
      <c r="BI96" s="5" t="str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 t="str">
        <f>IF('Project Database'!A100="","",N('Project Database'!AC100))</f>
        <v/>
      </c>
      <c r="BK96" s="5" t="str">
        <f>IF('Project Database'!A100="","",N('Project Database'!AD100))</f>
        <v/>
      </c>
      <c r="BL96" s="5" t="str">
        <f>IF('Project Database'!A100="","",N('Project Database'!AE100))</f>
        <v/>
      </c>
      <c r="BM96" s="5" t="str">
        <f>IF('Project Database'!A100="","",N('Project Database'!AF100))</f>
        <v/>
      </c>
      <c r="BN96" s="5" t="str">
        <f>IF('Project Database'!A100="","",N('Project Database'!AG100))</f>
        <v/>
      </c>
      <c r="BO96" s="5" t="str">
        <f>IF('Project Database'!A100="","",N('Project Database'!AH100))</f>
        <v/>
      </c>
      <c r="BP96" s="5" t="str">
        <f>IF('Project Database'!A100="","",N('Project Database'!AI100))</f>
        <v/>
      </c>
      <c r="BQ96" s="5" t="str">
        <f>IF('Project Database'!A100="","",N('Project Database'!AJ100))</f>
        <v/>
      </c>
      <c r="BR96" s="5" t="str">
        <f>IF('Project Database'!A100="","",N('Project Database'!AK100))</f>
        <v/>
      </c>
      <c r="BS96" s="5" t="str">
        <f>IF('Project Database'!A100="","",N('Project Database'!AL100))</f>
        <v/>
      </c>
      <c r="BT96" s="5" t="str">
        <f>IF('Project Database'!A100="","",N('Project Database'!AM100))</f>
        <v/>
      </c>
      <c r="BU96" s="5" t="str">
        <f>IF('Project Database'!A100="","",N('Project Database'!AN100))</f>
        <v/>
      </c>
      <c r="BV96" s="5" t="str">
        <f>IF('Project Database'!A100="","",N('Project Database'!AO100))</f>
        <v/>
      </c>
      <c r="BW96" s="5" t="str">
        <f>IF('Project Database'!A100="","",N('Project Database'!AP100))</f>
        <v/>
      </c>
      <c r="BX96" s="5">
        <f t="shared" si="26"/>
        <v>0</v>
      </c>
      <c r="BY96" s="5">
        <f t="shared" si="27"/>
        <v>0</v>
      </c>
    </row>
    <row r="97" spans="1:77" ht="15" customHeight="1" x14ac:dyDescent="0.3">
      <c r="A97" s="66">
        <f>'Project Database'!A101</f>
        <v>0</v>
      </c>
      <c r="B97" s="66">
        <f>'Project Database'!B101</f>
        <v>0</v>
      </c>
      <c r="C97" s="66">
        <f>'Project Database'!G101</f>
        <v>0</v>
      </c>
      <c r="D97" s="66">
        <f>'Project Database'!H101</f>
        <v>0</v>
      </c>
      <c r="E97" s="66">
        <f>'Project Database'!I101</f>
        <v>0</v>
      </c>
      <c r="F97" s="66">
        <f>'Project Database'!J101</f>
        <v>0</v>
      </c>
      <c r="G97" s="66">
        <f>'Project Database'!K101</f>
        <v>0</v>
      </c>
      <c r="H97" s="66">
        <f>'Project Database'!L101</f>
        <v>0</v>
      </c>
      <c r="I97" s="66">
        <f>'Project Database'!M101</f>
        <v>0</v>
      </c>
      <c r="J97" s="66">
        <f>'Project Database'!N101</f>
        <v>0</v>
      </c>
      <c r="K97" s="66">
        <f>'Project Database'!O101</f>
        <v>0</v>
      </c>
      <c r="L97" s="66">
        <f>'Project Database'!P101</f>
        <v>0</v>
      </c>
      <c r="M97" s="66">
        <f>'Project Database'!Q101</f>
        <v>0</v>
      </c>
      <c r="N97" s="66">
        <f>'Project Database'!R101</f>
        <v>0</v>
      </c>
      <c r="O97" s="66">
        <f>'Project Database'!S101</f>
        <v>0</v>
      </c>
      <c r="P97" s="66">
        <f>'Project Database'!T101</f>
        <v>0</v>
      </c>
      <c r="Q97" s="66">
        <f>'Project Database'!U101</f>
        <v>0</v>
      </c>
      <c r="R97" s="66">
        <f>'Project Database'!V101</f>
        <v>0</v>
      </c>
      <c r="S97" s="66">
        <f>'Project Database'!W101</f>
        <v>0</v>
      </c>
      <c r="T97" s="66">
        <f>'Project Database'!X101</f>
        <v>0</v>
      </c>
      <c r="U97" s="67">
        <f>'Project Database'!Y101</f>
        <v>0</v>
      </c>
      <c r="V97" s="66">
        <f>IF('Smart Search'!B13=1,IFERROR(1/'Smart Search'!H13,0),0)</f>
        <v>0</v>
      </c>
      <c r="W97" s="66">
        <f>IF('Smart Search'!B13=1,IFERROR(1/'Smart Search'!H13,0),0)</f>
        <v>0</v>
      </c>
      <c r="X97" s="66">
        <f>IF('Smart Search'!C13=1,IFERROR(1/'Smart Search'!H13,0),0)</f>
        <v>0.5</v>
      </c>
      <c r="Y97" s="66">
        <f>IF('Smart Search'!C13=1,IFERROR(1/'Smart Search'!H13,0),0)</f>
        <v>0.5</v>
      </c>
      <c r="Z97" s="66">
        <f>IF('Smart Search'!D13=1,IFERROR(1/'Smart Search'!H13,0),0)</f>
        <v>0</v>
      </c>
      <c r="AA97" s="66">
        <f>IF('Smart Search'!D13=1,IFERROR(1/'Smart Search'!H13,0),0)</f>
        <v>0</v>
      </c>
      <c r="AB97" s="66">
        <f>IF('Smart Search'!E13=1,IFERROR(1/'Smart Search'!H13,0),0)</f>
        <v>0</v>
      </c>
      <c r="AC97" s="66">
        <f>IF('Smart Search'!E13=1,IFERROR(1/'Smart Search'!H13,0),0)</f>
        <v>0</v>
      </c>
      <c r="AD97" s="66">
        <f>IF('Smart Search'!F13=1,IFERROR(1/'Smart Search'!H13,0),0)</f>
        <v>0</v>
      </c>
      <c r="AE97" s="66">
        <f>IF('Smart Search'!F13=1,IFERROR(1/'Smart Search'!H13,0),0)</f>
        <v>0</v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>0</v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>0</v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>0</v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>0</v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>0</v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>0</v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>0</v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>0</v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>0</v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>0</v>
      </c>
      <c r="AP97" s="66">
        <f t="shared" si="14"/>
        <v>0</v>
      </c>
      <c r="AQ97" s="66">
        <f t="shared" si="15"/>
        <v>0</v>
      </c>
      <c r="AR97" s="66">
        <f t="shared" si="16"/>
        <v>0</v>
      </c>
      <c r="AS97" s="66">
        <f t="shared" si="17"/>
        <v>0</v>
      </c>
      <c r="AT97" s="66">
        <f t="shared" si="18"/>
        <v>0</v>
      </c>
      <c r="AU97" s="66">
        <f t="shared" si="19"/>
        <v>0</v>
      </c>
      <c r="AV97" s="66">
        <f t="shared" si="20"/>
        <v>0</v>
      </c>
      <c r="AW97" s="66">
        <f t="shared" si="21"/>
        <v>0</v>
      </c>
      <c r="AX97" s="66">
        <f t="shared" si="22"/>
        <v>0</v>
      </c>
      <c r="AY97" s="66">
        <f t="shared" si="23"/>
        <v>0</v>
      </c>
      <c r="AZ97" s="66">
        <f>'Project Database'!Z101</f>
        <v>0</v>
      </c>
      <c r="BA97" s="66">
        <f>IF(OR(A97="",'Smart Search'!H13=0),"",MAX(0,BE97*BF97*MAX(0,1-BG97)))</f>
        <v>0</v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>0</v>
      </c>
      <c r="BC97" s="66">
        <f>IF('Smart Search'!G13=1,IFERROR(1/'Smart Search'!H13,0),0)</f>
        <v>0</v>
      </c>
      <c r="BD97" s="66">
        <f t="shared" si="24"/>
        <v>0</v>
      </c>
      <c r="BE97" s="66">
        <f t="shared" si="25"/>
        <v>0</v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>0</v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>0</v>
      </c>
      <c r="BH97" s="5" t="str">
        <f>IF(AND('Project Database'!A101&lt;&gt;"",OR('Smart Search'!$L$5="",'Smart Search'!$L$5="All",TRIM('Project Database'!D101)=TRIM('Smart Search'!$L$5)),OR(TRIM('Smart Search'!$L$6)="",TRIM('Smart Search'!$L$6)="All",ISNUMBER(SEARCH(SUBSTITUTE(SUBSTITUTE(SUBSTITUTE(TRIM('Smart Search'!$L$6),"~","~~"),"*","~*"),"?","~?"),'Project Database'!C101))),OR('Smart Search'!$L$7="",AND('Project Database'!E101&lt;&gt;"",'Project Database'!E101='Smart Search'!$L$7)),OR('Smart Search'!$L$8="",'Smart Search'!$L$8="All",TRIM('Project Database'!F101)=TRIM('Smart Search'!$L$8))),IF(BA97="","",BA97+ROW()*0.0000000001),"")</f>
        <v/>
      </c>
      <c r="BI97" s="5" t="str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 t="str">
        <f>IF('Project Database'!A101="","",N('Project Database'!AC101))</f>
        <v/>
      </c>
      <c r="BK97" s="5" t="str">
        <f>IF('Project Database'!A101="","",N('Project Database'!AD101))</f>
        <v/>
      </c>
      <c r="BL97" s="5" t="str">
        <f>IF('Project Database'!A101="","",N('Project Database'!AE101))</f>
        <v/>
      </c>
      <c r="BM97" s="5" t="str">
        <f>IF('Project Database'!A101="","",N('Project Database'!AF101))</f>
        <v/>
      </c>
      <c r="BN97" s="5" t="str">
        <f>IF('Project Database'!A101="","",N('Project Database'!AG101))</f>
        <v/>
      </c>
      <c r="BO97" s="5" t="str">
        <f>IF('Project Database'!A101="","",N('Project Database'!AH101))</f>
        <v/>
      </c>
      <c r="BP97" s="5" t="str">
        <f>IF('Project Database'!A101="","",N('Project Database'!AI101))</f>
        <v/>
      </c>
      <c r="BQ97" s="5" t="str">
        <f>IF('Project Database'!A101="","",N('Project Database'!AJ101))</f>
        <v/>
      </c>
      <c r="BR97" s="5" t="str">
        <f>IF('Project Database'!A101="","",N('Project Database'!AK101))</f>
        <v/>
      </c>
      <c r="BS97" s="5" t="str">
        <f>IF('Project Database'!A101="","",N('Project Database'!AL101))</f>
        <v/>
      </c>
      <c r="BT97" s="5" t="str">
        <f>IF('Project Database'!A101="","",N('Project Database'!AM101))</f>
        <v/>
      </c>
      <c r="BU97" s="5" t="str">
        <f>IF('Project Database'!A101="","",N('Project Database'!AN101))</f>
        <v/>
      </c>
      <c r="BV97" s="5" t="str">
        <f>IF('Project Database'!A101="","",N('Project Database'!AO101))</f>
        <v/>
      </c>
      <c r="BW97" s="5" t="str">
        <f>IF('Project Database'!A101="","",N('Project Database'!AP101))</f>
        <v/>
      </c>
      <c r="BX97" s="5">
        <f t="shared" si="26"/>
        <v>0</v>
      </c>
      <c r="BY97" s="5">
        <f t="shared" si="27"/>
        <v>0</v>
      </c>
    </row>
    <row r="98" spans="1:77" ht="15" customHeight="1" x14ac:dyDescent="0.3">
      <c r="A98" s="66">
        <f>'Project Database'!A102</f>
        <v>0</v>
      </c>
      <c r="B98" s="66">
        <f>'Project Database'!B102</f>
        <v>0</v>
      </c>
      <c r="C98" s="66">
        <f>'Project Database'!G102</f>
        <v>0</v>
      </c>
      <c r="D98" s="66">
        <f>'Project Database'!H102</f>
        <v>0</v>
      </c>
      <c r="E98" s="66">
        <f>'Project Database'!I102</f>
        <v>0</v>
      </c>
      <c r="F98" s="66">
        <f>'Project Database'!J102</f>
        <v>0</v>
      </c>
      <c r="G98" s="66">
        <f>'Project Database'!K102</f>
        <v>0</v>
      </c>
      <c r="H98" s="66">
        <f>'Project Database'!L102</f>
        <v>0</v>
      </c>
      <c r="I98" s="66">
        <f>'Project Database'!M102</f>
        <v>0</v>
      </c>
      <c r="J98" s="66">
        <f>'Project Database'!N102</f>
        <v>0</v>
      </c>
      <c r="K98" s="66">
        <f>'Project Database'!O102</f>
        <v>0</v>
      </c>
      <c r="L98" s="66">
        <f>'Project Database'!P102</f>
        <v>0</v>
      </c>
      <c r="M98" s="66">
        <f>'Project Database'!Q102</f>
        <v>0</v>
      </c>
      <c r="N98" s="66">
        <f>'Project Database'!R102</f>
        <v>0</v>
      </c>
      <c r="O98" s="66">
        <f>'Project Database'!S102</f>
        <v>0</v>
      </c>
      <c r="P98" s="66">
        <f>'Project Database'!T102</f>
        <v>0</v>
      </c>
      <c r="Q98" s="66">
        <f>'Project Database'!U102</f>
        <v>0</v>
      </c>
      <c r="R98" s="66">
        <f>'Project Database'!V102</f>
        <v>0</v>
      </c>
      <c r="S98" s="66">
        <f>'Project Database'!W102</f>
        <v>0</v>
      </c>
      <c r="T98" s="66">
        <f>'Project Database'!X102</f>
        <v>0</v>
      </c>
      <c r="U98" s="67">
        <f>'Project Database'!Y102</f>
        <v>0</v>
      </c>
      <c r="V98" s="66">
        <f>IF('Smart Search'!B13=1,IFERROR(1/'Smart Search'!H13,0),0)</f>
        <v>0</v>
      </c>
      <c r="W98" s="66">
        <f>IF('Smart Search'!B13=1,IFERROR(1/'Smart Search'!H13,0),0)</f>
        <v>0</v>
      </c>
      <c r="X98" s="66">
        <f>IF('Smart Search'!C13=1,IFERROR(1/'Smart Search'!H13,0),0)</f>
        <v>0.5</v>
      </c>
      <c r="Y98" s="66">
        <f>IF('Smart Search'!C13=1,IFERROR(1/'Smart Search'!H13,0),0)</f>
        <v>0.5</v>
      </c>
      <c r="Z98" s="66">
        <f>IF('Smart Search'!D13=1,IFERROR(1/'Smart Search'!H13,0),0)</f>
        <v>0</v>
      </c>
      <c r="AA98" s="66">
        <f>IF('Smart Search'!D13=1,IFERROR(1/'Smart Search'!H13,0),0)</f>
        <v>0</v>
      </c>
      <c r="AB98" s="66">
        <f>IF('Smart Search'!E13=1,IFERROR(1/'Smart Search'!H13,0),0)</f>
        <v>0</v>
      </c>
      <c r="AC98" s="66">
        <f>IF('Smart Search'!E13=1,IFERROR(1/'Smart Search'!H13,0),0)</f>
        <v>0</v>
      </c>
      <c r="AD98" s="66">
        <f>IF('Smart Search'!F13=1,IFERROR(1/'Smart Search'!H13,0),0)</f>
        <v>0</v>
      </c>
      <c r="AE98" s="66">
        <f>IF('Smart Search'!F13=1,IFERROR(1/'Smart Search'!H13,0),0)</f>
        <v>0</v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>0</v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>0</v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>0</v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>0</v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>0</v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>0</v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>0</v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>0</v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>0</v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>0</v>
      </c>
      <c r="AP98" s="66">
        <f t="shared" si="14"/>
        <v>0</v>
      </c>
      <c r="AQ98" s="66">
        <f t="shared" si="15"/>
        <v>0</v>
      </c>
      <c r="AR98" s="66">
        <f t="shared" si="16"/>
        <v>0</v>
      </c>
      <c r="AS98" s="66">
        <f t="shared" si="17"/>
        <v>0</v>
      </c>
      <c r="AT98" s="66">
        <f t="shared" si="18"/>
        <v>0</v>
      </c>
      <c r="AU98" s="66">
        <f t="shared" si="19"/>
        <v>0</v>
      </c>
      <c r="AV98" s="66">
        <f t="shared" si="20"/>
        <v>0</v>
      </c>
      <c r="AW98" s="66">
        <f t="shared" si="21"/>
        <v>0</v>
      </c>
      <c r="AX98" s="66">
        <f t="shared" si="22"/>
        <v>0</v>
      </c>
      <c r="AY98" s="66">
        <f t="shared" si="23"/>
        <v>0</v>
      </c>
      <c r="AZ98" s="66">
        <f>'Project Database'!Z102</f>
        <v>0</v>
      </c>
      <c r="BA98" s="66">
        <f>IF(OR(A98="",'Smart Search'!H13=0),"",MAX(0,BE98*BF98*MAX(0,1-BG98)))</f>
        <v>0</v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>0</v>
      </c>
      <c r="BC98" s="66">
        <f>IF('Smart Search'!G13=1,IFERROR(1/'Smart Search'!H13,0),0)</f>
        <v>0</v>
      </c>
      <c r="BD98" s="66">
        <f t="shared" si="24"/>
        <v>0</v>
      </c>
      <c r="BE98" s="66">
        <f t="shared" si="25"/>
        <v>0</v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>0</v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>0</v>
      </c>
      <c r="BH98" s="5" t="str">
        <f>IF(AND('Project Database'!A102&lt;&gt;"",OR('Smart Search'!$L$5="",'Smart Search'!$L$5="All",TRIM('Project Database'!D102)=TRIM('Smart Search'!$L$5)),OR(TRIM('Smart Search'!$L$6)="",TRIM('Smart Search'!$L$6)="All",ISNUMBER(SEARCH(SUBSTITUTE(SUBSTITUTE(SUBSTITUTE(TRIM('Smart Search'!$L$6),"~","~~"),"*","~*"),"?","~?"),'Project Database'!C102))),OR('Smart Search'!$L$7="",AND('Project Database'!E102&lt;&gt;"",'Project Database'!E102='Smart Search'!$L$7)),OR('Smart Search'!$L$8="",'Smart Search'!$L$8="All",TRIM('Project Database'!F102)=TRIM('Smart Search'!$L$8))),IF(BA98="","",BA98+ROW()*0.0000000001),"")</f>
        <v/>
      </c>
      <c r="BI98" s="5" t="str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 t="str">
        <f>IF('Project Database'!A102="","",N('Project Database'!AC102))</f>
        <v/>
      </c>
      <c r="BK98" s="5" t="str">
        <f>IF('Project Database'!A102="","",N('Project Database'!AD102))</f>
        <v/>
      </c>
      <c r="BL98" s="5" t="str">
        <f>IF('Project Database'!A102="","",N('Project Database'!AE102))</f>
        <v/>
      </c>
      <c r="BM98" s="5" t="str">
        <f>IF('Project Database'!A102="","",N('Project Database'!AF102))</f>
        <v/>
      </c>
      <c r="BN98" s="5" t="str">
        <f>IF('Project Database'!A102="","",N('Project Database'!AG102))</f>
        <v/>
      </c>
      <c r="BO98" s="5" t="str">
        <f>IF('Project Database'!A102="","",N('Project Database'!AH102))</f>
        <v/>
      </c>
      <c r="BP98" s="5" t="str">
        <f>IF('Project Database'!A102="","",N('Project Database'!AI102))</f>
        <v/>
      </c>
      <c r="BQ98" s="5" t="str">
        <f>IF('Project Database'!A102="","",N('Project Database'!AJ102))</f>
        <v/>
      </c>
      <c r="BR98" s="5" t="str">
        <f>IF('Project Database'!A102="","",N('Project Database'!AK102))</f>
        <v/>
      </c>
      <c r="BS98" s="5" t="str">
        <f>IF('Project Database'!A102="","",N('Project Database'!AL102))</f>
        <v/>
      </c>
      <c r="BT98" s="5" t="str">
        <f>IF('Project Database'!A102="","",N('Project Database'!AM102))</f>
        <v/>
      </c>
      <c r="BU98" s="5" t="str">
        <f>IF('Project Database'!A102="","",N('Project Database'!AN102))</f>
        <v/>
      </c>
      <c r="BV98" s="5" t="str">
        <f>IF('Project Database'!A102="","",N('Project Database'!AO102))</f>
        <v/>
      </c>
      <c r="BW98" s="5" t="str">
        <f>IF('Project Database'!A102="","",N('Project Database'!AP102))</f>
        <v/>
      </c>
      <c r="BX98" s="5">
        <f t="shared" si="26"/>
        <v>0</v>
      </c>
      <c r="BY98" s="5">
        <f t="shared" si="27"/>
        <v>0</v>
      </c>
    </row>
    <row r="99" spans="1:77" ht="15" customHeight="1" x14ac:dyDescent="0.3">
      <c r="A99" s="66">
        <f>'Project Database'!A103</f>
        <v>0</v>
      </c>
      <c r="B99" s="66">
        <f>'Project Database'!B103</f>
        <v>0</v>
      </c>
      <c r="C99" s="66">
        <f>'Project Database'!G103</f>
        <v>0</v>
      </c>
      <c r="D99" s="66">
        <f>'Project Database'!H103</f>
        <v>0</v>
      </c>
      <c r="E99" s="66">
        <f>'Project Database'!I103</f>
        <v>0</v>
      </c>
      <c r="F99" s="66">
        <f>'Project Database'!J103</f>
        <v>0</v>
      </c>
      <c r="G99" s="66">
        <f>'Project Database'!K103</f>
        <v>0</v>
      </c>
      <c r="H99" s="66">
        <f>'Project Database'!L103</f>
        <v>0</v>
      </c>
      <c r="I99" s="66">
        <f>'Project Database'!M103</f>
        <v>0</v>
      </c>
      <c r="J99" s="66">
        <f>'Project Database'!N103</f>
        <v>0</v>
      </c>
      <c r="K99" s="66">
        <f>'Project Database'!O103</f>
        <v>0</v>
      </c>
      <c r="L99" s="66">
        <f>'Project Database'!P103</f>
        <v>0</v>
      </c>
      <c r="M99" s="66">
        <f>'Project Database'!Q103</f>
        <v>0</v>
      </c>
      <c r="N99" s="66">
        <f>'Project Database'!R103</f>
        <v>0</v>
      </c>
      <c r="O99" s="66">
        <f>'Project Database'!S103</f>
        <v>0</v>
      </c>
      <c r="P99" s="66">
        <f>'Project Database'!T103</f>
        <v>0</v>
      </c>
      <c r="Q99" s="66">
        <f>'Project Database'!U103</f>
        <v>0</v>
      </c>
      <c r="R99" s="66">
        <f>'Project Database'!V103</f>
        <v>0</v>
      </c>
      <c r="S99" s="66">
        <f>'Project Database'!W103</f>
        <v>0</v>
      </c>
      <c r="T99" s="66">
        <f>'Project Database'!X103</f>
        <v>0</v>
      </c>
      <c r="U99" s="67">
        <f>'Project Database'!Y103</f>
        <v>0</v>
      </c>
      <c r="V99" s="66">
        <f>IF('Smart Search'!B13=1,IFERROR(1/'Smart Search'!H13,0),0)</f>
        <v>0</v>
      </c>
      <c r="W99" s="66">
        <f>IF('Smart Search'!B13=1,IFERROR(1/'Smart Search'!H13,0),0)</f>
        <v>0</v>
      </c>
      <c r="X99" s="66">
        <f>IF('Smart Search'!C13=1,IFERROR(1/'Smart Search'!H13,0),0)</f>
        <v>0.5</v>
      </c>
      <c r="Y99" s="66">
        <f>IF('Smart Search'!C13=1,IFERROR(1/'Smart Search'!H13,0),0)</f>
        <v>0.5</v>
      </c>
      <c r="Z99" s="66">
        <f>IF('Smart Search'!D13=1,IFERROR(1/'Smart Search'!H13,0),0)</f>
        <v>0</v>
      </c>
      <c r="AA99" s="66">
        <f>IF('Smart Search'!D13=1,IFERROR(1/'Smart Search'!H13,0),0)</f>
        <v>0</v>
      </c>
      <c r="AB99" s="66">
        <f>IF('Smart Search'!E13=1,IFERROR(1/'Smart Search'!H13,0),0)</f>
        <v>0</v>
      </c>
      <c r="AC99" s="66">
        <f>IF('Smart Search'!E13=1,IFERROR(1/'Smart Search'!H13,0),0)</f>
        <v>0</v>
      </c>
      <c r="AD99" s="66">
        <f>IF('Smart Search'!F13=1,IFERROR(1/'Smart Search'!H13,0),0)</f>
        <v>0</v>
      </c>
      <c r="AE99" s="66">
        <f>IF('Smart Search'!F13=1,IFERROR(1/'Smart Search'!H13,0),0)</f>
        <v>0</v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>0</v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>0</v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>0</v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>0</v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>0</v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>0</v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>0</v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>0</v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>0</v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>0</v>
      </c>
      <c r="AP99" s="66">
        <f t="shared" si="14"/>
        <v>0</v>
      </c>
      <c r="AQ99" s="66">
        <f t="shared" si="15"/>
        <v>0</v>
      </c>
      <c r="AR99" s="66">
        <f t="shared" si="16"/>
        <v>0</v>
      </c>
      <c r="AS99" s="66">
        <f t="shared" si="17"/>
        <v>0</v>
      </c>
      <c r="AT99" s="66">
        <f t="shared" si="18"/>
        <v>0</v>
      </c>
      <c r="AU99" s="66">
        <f t="shared" si="19"/>
        <v>0</v>
      </c>
      <c r="AV99" s="66">
        <f t="shared" si="20"/>
        <v>0</v>
      </c>
      <c r="AW99" s="66">
        <f t="shared" si="21"/>
        <v>0</v>
      </c>
      <c r="AX99" s="66">
        <f t="shared" si="22"/>
        <v>0</v>
      </c>
      <c r="AY99" s="66">
        <f t="shared" si="23"/>
        <v>0</v>
      </c>
      <c r="AZ99" s="66">
        <f>'Project Database'!Z103</f>
        <v>0</v>
      </c>
      <c r="BA99" s="66">
        <f>IF(OR(A99="",'Smart Search'!H13=0),"",MAX(0,BE99*BF99*MAX(0,1-BG99)))</f>
        <v>0</v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>0</v>
      </c>
      <c r="BC99" s="66">
        <f>IF('Smart Search'!G13=1,IFERROR(1/'Smart Search'!H13,0),0)</f>
        <v>0</v>
      </c>
      <c r="BD99" s="66">
        <f t="shared" si="24"/>
        <v>0</v>
      </c>
      <c r="BE99" s="66">
        <f t="shared" si="25"/>
        <v>0</v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>0</v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>0</v>
      </c>
      <c r="BH99" s="5" t="str">
        <f>IF(AND('Project Database'!A103&lt;&gt;"",OR('Smart Search'!$L$5="",'Smart Search'!$L$5="All",TRIM('Project Database'!D103)=TRIM('Smart Search'!$L$5)),OR(TRIM('Smart Search'!$L$6)="",TRIM('Smart Search'!$L$6)="All",ISNUMBER(SEARCH(SUBSTITUTE(SUBSTITUTE(SUBSTITUTE(TRIM('Smart Search'!$L$6),"~","~~"),"*","~*"),"?","~?"),'Project Database'!C103))),OR('Smart Search'!$L$7="",AND('Project Database'!E103&lt;&gt;"",'Project Database'!E103='Smart Search'!$L$7)),OR('Smart Search'!$L$8="",'Smart Search'!$L$8="All",TRIM('Project Database'!F103)=TRIM('Smart Search'!$L$8))),IF(BA99="","",BA99+ROW()*0.0000000001),"")</f>
        <v/>
      </c>
      <c r="BI99" s="5" t="str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 t="str">
        <f>IF('Project Database'!A103="","",N('Project Database'!AC103))</f>
        <v/>
      </c>
      <c r="BK99" s="5" t="str">
        <f>IF('Project Database'!A103="","",N('Project Database'!AD103))</f>
        <v/>
      </c>
      <c r="BL99" s="5" t="str">
        <f>IF('Project Database'!A103="","",N('Project Database'!AE103))</f>
        <v/>
      </c>
      <c r="BM99" s="5" t="str">
        <f>IF('Project Database'!A103="","",N('Project Database'!AF103))</f>
        <v/>
      </c>
      <c r="BN99" s="5" t="str">
        <f>IF('Project Database'!A103="","",N('Project Database'!AG103))</f>
        <v/>
      </c>
      <c r="BO99" s="5" t="str">
        <f>IF('Project Database'!A103="","",N('Project Database'!AH103))</f>
        <v/>
      </c>
      <c r="BP99" s="5" t="str">
        <f>IF('Project Database'!A103="","",N('Project Database'!AI103))</f>
        <v/>
      </c>
      <c r="BQ99" s="5" t="str">
        <f>IF('Project Database'!A103="","",N('Project Database'!AJ103))</f>
        <v/>
      </c>
      <c r="BR99" s="5" t="str">
        <f>IF('Project Database'!A103="","",N('Project Database'!AK103))</f>
        <v/>
      </c>
      <c r="BS99" s="5" t="str">
        <f>IF('Project Database'!A103="","",N('Project Database'!AL103))</f>
        <v/>
      </c>
      <c r="BT99" s="5" t="str">
        <f>IF('Project Database'!A103="","",N('Project Database'!AM103))</f>
        <v/>
      </c>
      <c r="BU99" s="5" t="str">
        <f>IF('Project Database'!A103="","",N('Project Database'!AN103))</f>
        <v/>
      </c>
      <c r="BV99" s="5" t="str">
        <f>IF('Project Database'!A103="","",N('Project Database'!AO103))</f>
        <v/>
      </c>
      <c r="BW99" s="5" t="str">
        <f>IF('Project Database'!A103="","",N('Project Database'!AP103))</f>
        <v/>
      </c>
      <c r="BX99" s="5">
        <f t="shared" si="26"/>
        <v>0</v>
      </c>
      <c r="BY99" s="5">
        <f t="shared" si="27"/>
        <v>0</v>
      </c>
    </row>
    <row r="100" spans="1:77" ht="15" customHeight="1" x14ac:dyDescent="0.3">
      <c r="A100" s="66">
        <f>'Project Database'!A104</f>
        <v>0</v>
      </c>
      <c r="B100" s="66">
        <f>'Project Database'!B104</f>
        <v>0</v>
      </c>
      <c r="C100" s="66">
        <f>'Project Database'!G104</f>
        <v>0</v>
      </c>
      <c r="D100" s="66">
        <f>'Project Database'!H104</f>
        <v>0</v>
      </c>
      <c r="E100" s="66">
        <f>'Project Database'!I104</f>
        <v>0</v>
      </c>
      <c r="F100" s="66">
        <f>'Project Database'!J104</f>
        <v>0</v>
      </c>
      <c r="G100" s="66">
        <f>'Project Database'!K104</f>
        <v>0</v>
      </c>
      <c r="H100" s="66">
        <f>'Project Database'!L104</f>
        <v>0</v>
      </c>
      <c r="I100" s="66">
        <f>'Project Database'!M104</f>
        <v>0</v>
      </c>
      <c r="J100" s="66">
        <f>'Project Database'!N104</f>
        <v>0</v>
      </c>
      <c r="K100" s="66">
        <f>'Project Database'!O104</f>
        <v>0</v>
      </c>
      <c r="L100" s="66">
        <f>'Project Database'!P104</f>
        <v>0</v>
      </c>
      <c r="M100" s="66">
        <f>'Project Database'!Q104</f>
        <v>0</v>
      </c>
      <c r="N100" s="66">
        <f>'Project Database'!R104</f>
        <v>0</v>
      </c>
      <c r="O100" s="66">
        <f>'Project Database'!S104</f>
        <v>0</v>
      </c>
      <c r="P100" s="66">
        <f>'Project Database'!T104</f>
        <v>0</v>
      </c>
      <c r="Q100" s="66">
        <f>'Project Database'!U104</f>
        <v>0</v>
      </c>
      <c r="R100" s="66">
        <f>'Project Database'!V104</f>
        <v>0</v>
      </c>
      <c r="S100" s="66">
        <f>'Project Database'!W104</f>
        <v>0</v>
      </c>
      <c r="T100" s="66">
        <f>'Project Database'!X104</f>
        <v>0</v>
      </c>
      <c r="U100" s="67">
        <f>'Project Database'!Y104</f>
        <v>0</v>
      </c>
      <c r="V100" s="66">
        <f>IF('Smart Search'!B13=1,IFERROR(1/'Smart Search'!H13,0),0)</f>
        <v>0</v>
      </c>
      <c r="W100" s="66">
        <f>IF('Smart Search'!B13=1,IFERROR(1/'Smart Search'!H13,0),0)</f>
        <v>0</v>
      </c>
      <c r="X100" s="66">
        <f>IF('Smart Search'!C13=1,IFERROR(1/'Smart Search'!H13,0),0)</f>
        <v>0.5</v>
      </c>
      <c r="Y100" s="66">
        <f>IF('Smart Search'!C13=1,IFERROR(1/'Smart Search'!H13,0),0)</f>
        <v>0.5</v>
      </c>
      <c r="Z100" s="66">
        <f>IF('Smart Search'!D13=1,IFERROR(1/'Smart Search'!H13,0),0)</f>
        <v>0</v>
      </c>
      <c r="AA100" s="66">
        <f>IF('Smart Search'!D13=1,IFERROR(1/'Smart Search'!H13,0),0)</f>
        <v>0</v>
      </c>
      <c r="AB100" s="66">
        <f>IF('Smart Search'!E13=1,IFERROR(1/'Smart Search'!H13,0),0)</f>
        <v>0</v>
      </c>
      <c r="AC100" s="66">
        <f>IF('Smart Search'!E13=1,IFERROR(1/'Smart Search'!H13,0),0)</f>
        <v>0</v>
      </c>
      <c r="AD100" s="66">
        <f>IF('Smart Search'!F13=1,IFERROR(1/'Smart Search'!H13,0),0)</f>
        <v>0</v>
      </c>
      <c r="AE100" s="66">
        <f>IF('Smart Search'!F13=1,IFERROR(1/'Smart Search'!H13,0),0)</f>
        <v>0</v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>0</v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>0</v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>0</v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>0</v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>0</v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>0</v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>0</v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>0</v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>0</v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>0</v>
      </c>
      <c r="AP100" s="66">
        <f t="shared" si="14"/>
        <v>0</v>
      </c>
      <c r="AQ100" s="66">
        <f t="shared" si="15"/>
        <v>0</v>
      </c>
      <c r="AR100" s="66">
        <f t="shared" si="16"/>
        <v>0</v>
      </c>
      <c r="AS100" s="66">
        <f t="shared" si="17"/>
        <v>0</v>
      </c>
      <c r="AT100" s="66">
        <f t="shared" si="18"/>
        <v>0</v>
      </c>
      <c r="AU100" s="66">
        <f t="shared" si="19"/>
        <v>0</v>
      </c>
      <c r="AV100" s="66">
        <f t="shared" si="20"/>
        <v>0</v>
      </c>
      <c r="AW100" s="66">
        <f t="shared" si="21"/>
        <v>0</v>
      </c>
      <c r="AX100" s="66">
        <f t="shared" si="22"/>
        <v>0</v>
      </c>
      <c r="AY100" s="66">
        <f t="shared" si="23"/>
        <v>0</v>
      </c>
      <c r="AZ100" s="66">
        <f>'Project Database'!Z104</f>
        <v>0</v>
      </c>
      <c r="BA100" s="66">
        <f>IF(OR(A100="",'Smart Search'!H13=0),"",MAX(0,BE100*BF100*MAX(0,1-BG100)))</f>
        <v>0</v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>0</v>
      </c>
      <c r="BC100" s="66">
        <f>IF('Smart Search'!G13=1,IFERROR(1/'Smart Search'!H13,0),0)</f>
        <v>0</v>
      </c>
      <c r="BD100" s="66">
        <f t="shared" si="24"/>
        <v>0</v>
      </c>
      <c r="BE100" s="66">
        <f t="shared" si="25"/>
        <v>0</v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>0</v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>0</v>
      </c>
      <c r="BH100" s="5" t="str">
        <f>IF(AND('Project Database'!A104&lt;&gt;"",OR('Smart Search'!$L$5="",'Smart Search'!$L$5="All",TRIM('Project Database'!D104)=TRIM('Smart Search'!$L$5)),OR(TRIM('Smart Search'!$L$6)="",TRIM('Smart Search'!$L$6)="All",ISNUMBER(SEARCH(SUBSTITUTE(SUBSTITUTE(SUBSTITUTE(TRIM('Smart Search'!$L$6),"~","~~"),"*","~*"),"?","~?"),'Project Database'!C104))),OR('Smart Search'!$L$7="",AND('Project Database'!E104&lt;&gt;"",'Project Database'!E104='Smart Search'!$L$7)),OR('Smart Search'!$L$8="",'Smart Search'!$L$8="All",TRIM('Project Database'!F104)=TRIM('Smart Search'!$L$8))),IF(BA100="","",BA100+ROW()*0.0000000001),"")</f>
        <v/>
      </c>
      <c r="BI100" s="5" t="str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 t="str">
        <f>IF('Project Database'!A104="","",N('Project Database'!AC104))</f>
        <v/>
      </c>
      <c r="BK100" s="5" t="str">
        <f>IF('Project Database'!A104="","",N('Project Database'!AD104))</f>
        <v/>
      </c>
      <c r="BL100" s="5" t="str">
        <f>IF('Project Database'!A104="","",N('Project Database'!AE104))</f>
        <v/>
      </c>
      <c r="BM100" s="5" t="str">
        <f>IF('Project Database'!A104="","",N('Project Database'!AF104))</f>
        <v/>
      </c>
      <c r="BN100" s="5" t="str">
        <f>IF('Project Database'!A104="","",N('Project Database'!AG104))</f>
        <v/>
      </c>
      <c r="BO100" s="5" t="str">
        <f>IF('Project Database'!A104="","",N('Project Database'!AH104))</f>
        <v/>
      </c>
      <c r="BP100" s="5" t="str">
        <f>IF('Project Database'!A104="","",N('Project Database'!AI104))</f>
        <v/>
      </c>
      <c r="BQ100" s="5" t="str">
        <f>IF('Project Database'!A104="","",N('Project Database'!AJ104))</f>
        <v/>
      </c>
      <c r="BR100" s="5" t="str">
        <f>IF('Project Database'!A104="","",N('Project Database'!AK104))</f>
        <v/>
      </c>
      <c r="BS100" s="5" t="str">
        <f>IF('Project Database'!A104="","",N('Project Database'!AL104))</f>
        <v/>
      </c>
      <c r="BT100" s="5" t="str">
        <f>IF('Project Database'!A104="","",N('Project Database'!AM104))</f>
        <v/>
      </c>
      <c r="BU100" s="5" t="str">
        <f>IF('Project Database'!A104="","",N('Project Database'!AN104))</f>
        <v/>
      </c>
      <c r="BV100" s="5" t="str">
        <f>IF('Project Database'!A104="","",N('Project Database'!AO104))</f>
        <v/>
      </c>
      <c r="BW100" s="5" t="str">
        <f>IF('Project Database'!A104="","",N('Project Database'!AP104))</f>
        <v/>
      </c>
      <c r="BX100" s="5">
        <f t="shared" si="26"/>
        <v>0</v>
      </c>
      <c r="BY100" s="5">
        <f t="shared" si="27"/>
        <v>0</v>
      </c>
    </row>
    <row r="101" spans="1:77" ht="15" customHeight="1" x14ac:dyDescent="0.3">
      <c r="A101" s="66">
        <f>'Project Database'!A105</f>
        <v>0</v>
      </c>
      <c r="B101" s="66">
        <f>'Project Database'!B105</f>
        <v>0</v>
      </c>
      <c r="C101" s="66">
        <f>'Project Database'!G105</f>
        <v>0</v>
      </c>
      <c r="D101" s="66">
        <f>'Project Database'!H105</f>
        <v>0</v>
      </c>
      <c r="E101" s="66">
        <f>'Project Database'!I105</f>
        <v>0</v>
      </c>
      <c r="F101" s="66">
        <f>'Project Database'!J105</f>
        <v>0</v>
      </c>
      <c r="G101" s="66">
        <f>'Project Database'!K105</f>
        <v>0</v>
      </c>
      <c r="H101" s="66">
        <f>'Project Database'!L105</f>
        <v>0</v>
      </c>
      <c r="I101" s="66">
        <f>'Project Database'!M105</f>
        <v>0</v>
      </c>
      <c r="J101" s="66">
        <f>'Project Database'!N105</f>
        <v>0</v>
      </c>
      <c r="K101" s="66">
        <f>'Project Database'!O105</f>
        <v>0</v>
      </c>
      <c r="L101" s="66">
        <f>'Project Database'!P105</f>
        <v>0</v>
      </c>
      <c r="M101" s="66">
        <f>'Project Database'!Q105</f>
        <v>0</v>
      </c>
      <c r="N101" s="66">
        <f>'Project Database'!R105</f>
        <v>0</v>
      </c>
      <c r="O101" s="66">
        <f>'Project Database'!S105</f>
        <v>0</v>
      </c>
      <c r="P101" s="66">
        <f>'Project Database'!T105</f>
        <v>0</v>
      </c>
      <c r="Q101" s="66">
        <f>'Project Database'!U105</f>
        <v>0</v>
      </c>
      <c r="R101" s="66">
        <f>'Project Database'!V105</f>
        <v>0</v>
      </c>
      <c r="S101" s="66">
        <f>'Project Database'!W105</f>
        <v>0</v>
      </c>
      <c r="T101" s="66">
        <f>'Project Database'!X105</f>
        <v>0</v>
      </c>
      <c r="U101" s="67">
        <f>'Project Database'!Y105</f>
        <v>0</v>
      </c>
      <c r="V101" s="66">
        <f>IF('Smart Search'!B13=1,IFERROR(1/'Smart Search'!H13,0),0)</f>
        <v>0</v>
      </c>
      <c r="W101" s="66">
        <f>IF('Smart Search'!B13=1,IFERROR(1/'Smart Search'!H13,0),0)</f>
        <v>0</v>
      </c>
      <c r="X101" s="66">
        <f>IF('Smart Search'!C13=1,IFERROR(1/'Smart Search'!H13,0),0)</f>
        <v>0.5</v>
      </c>
      <c r="Y101" s="66">
        <f>IF('Smart Search'!C13=1,IFERROR(1/'Smart Search'!H13,0),0)</f>
        <v>0.5</v>
      </c>
      <c r="Z101" s="66">
        <f>IF('Smart Search'!D13=1,IFERROR(1/'Smart Search'!H13,0),0)</f>
        <v>0</v>
      </c>
      <c r="AA101" s="66">
        <f>IF('Smart Search'!D13=1,IFERROR(1/'Smart Search'!H13,0),0)</f>
        <v>0</v>
      </c>
      <c r="AB101" s="66">
        <f>IF('Smart Search'!E13=1,IFERROR(1/'Smart Search'!H13,0),0)</f>
        <v>0</v>
      </c>
      <c r="AC101" s="66">
        <f>IF('Smart Search'!E13=1,IFERROR(1/'Smart Search'!H13,0),0)</f>
        <v>0</v>
      </c>
      <c r="AD101" s="66">
        <f>IF('Smart Search'!F13=1,IFERROR(1/'Smart Search'!H13,0),0)</f>
        <v>0</v>
      </c>
      <c r="AE101" s="66">
        <f>IF('Smart Search'!F13=1,IFERROR(1/'Smart Search'!H13,0),0)</f>
        <v>0</v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>0</v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>0</v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>0</v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>0</v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>0</v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>0</v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>0</v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>0</v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>0</v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>0</v>
      </c>
      <c r="AP101" s="66">
        <f t="shared" si="14"/>
        <v>0</v>
      </c>
      <c r="AQ101" s="66">
        <f t="shared" si="15"/>
        <v>0</v>
      </c>
      <c r="AR101" s="66">
        <f t="shared" si="16"/>
        <v>0</v>
      </c>
      <c r="AS101" s="66">
        <f t="shared" si="17"/>
        <v>0</v>
      </c>
      <c r="AT101" s="66">
        <f t="shared" si="18"/>
        <v>0</v>
      </c>
      <c r="AU101" s="66">
        <f t="shared" si="19"/>
        <v>0</v>
      </c>
      <c r="AV101" s="66">
        <f t="shared" si="20"/>
        <v>0</v>
      </c>
      <c r="AW101" s="66">
        <f t="shared" si="21"/>
        <v>0</v>
      </c>
      <c r="AX101" s="66">
        <f t="shared" si="22"/>
        <v>0</v>
      </c>
      <c r="AY101" s="66">
        <f t="shared" si="23"/>
        <v>0</v>
      </c>
      <c r="AZ101" s="66">
        <f>'Project Database'!Z105</f>
        <v>0</v>
      </c>
      <c r="BA101" s="66">
        <f>IF(OR(A101="",'Smart Search'!H13=0),"",MAX(0,BE101*BF101*MAX(0,1-BG101)))</f>
        <v>0</v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>0</v>
      </c>
      <c r="BC101" s="66">
        <f>IF('Smart Search'!G13=1,IFERROR(1/'Smart Search'!H13,0),0)</f>
        <v>0</v>
      </c>
      <c r="BD101" s="66">
        <f t="shared" si="24"/>
        <v>0</v>
      </c>
      <c r="BE101" s="66">
        <f t="shared" si="25"/>
        <v>0</v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>0</v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>0</v>
      </c>
      <c r="BH101" s="5" t="str">
        <f>IF(AND('Project Database'!A105&lt;&gt;"",OR('Smart Search'!$L$5="",'Smart Search'!$L$5="All",TRIM('Project Database'!D105)=TRIM('Smart Search'!$L$5)),OR(TRIM('Smart Search'!$L$6)="",TRIM('Smart Search'!$L$6)="All",ISNUMBER(SEARCH(SUBSTITUTE(SUBSTITUTE(SUBSTITUTE(TRIM('Smart Search'!$L$6),"~","~~"),"*","~*"),"?","~?"),'Project Database'!C105))),OR('Smart Search'!$L$7="",AND('Project Database'!E105&lt;&gt;"",'Project Database'!E105='Smart Search'!$L$7)),OR('Smart Search'!$L$8="",'Smart Search'!$L$8="All",TRIM('Project Database'!F105)=TRIM('Smart Search'!$L$8))),IF(BA101="","",BA101+ROW()*0.0000000001),"")</f>
        <v/>
      </c>
      <c r="BI101" s="5" t="str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 t="str">
        <f>IF('Project Database'!A105="","",N('Project Database'!AC105))</f>
        <v/>
      </c>
      <c r="BK101" s="5" t="str">
        <f>IF('Project Database'!A105="","",N('Project Database'!AD105))</f>
        <v/>
      </c>
      <c r="BL101" s="5" t="str">
        <f>IF('Project Database'!A105="","",N('Project Database'!AE105))</f>
        <v/>
      </c>
      <c r="BM101" s="5" t="str">
        <f>IF('Project Database'!A105="","",N('Project Database'!AF105))</f>
        <v/>
      </c>
      <c r="BN101" s="5" t="str">
        <f>IF('Project Database'!A105="","",N('Project Database'!AG105))</f>
        <v/>
      </c>
      <c r="BO101" s="5" t="str">
        <f>IF('Project Database'!A105="","",N('Project Database'!AH105))</f>
        <v/>
      </c>
      <c r="BP101" s="5" t="str">
        <f>IF('Project Database'!A105="","",N('Project Database'!AI105))</f>
        <v/>
      </c>
      <c r="BQ101" s="5" t="str">
        <f>IF('Project Database'!A105="","",N('Project Database'!AJ105))</f>
        <v/>
      </c>
      <c r="BR101" s="5" t="str">
        <f>IF('Project Database'!A105="","",N('Project Database'!AK105))</f>
        <v/>
      </c>
      <c r="BS101" s="5" t="str">
        <f>IF('Project Database'!A105="","",N('Project Database'!AL105))</f>
        <v/>
      </c>
      <c r="BT101" s="5" t="str">
        <f>IF('Project Database'!A105="","",N('Project Database'!AM105))</f>
        <v/>
      </c>
      <c r="BU101" s="5" t="str">
        <f>IF('Project Database'!A105="","",N('Project Database'!AN105))</f>
        <v/>
      </c>
      <c r="BV101" s="5" t="str">
        <f>IF('Project Database'!A105="","",N('Project Database'!AO105))</f>
        <v/>
      </c>
      <c r="BW101" s="5" t="str">
        <f>IF('Project Database'!A105="","",N('Project Database'!AP105))</f>
        <v/>
      </c>
      <c r="BX101" s="5">
        <f t="shared" si="26"/>
        <v>0</v>
      </c>
      <c r="BY101" s="5">
        <f t="shared" si="27"/>
        <v>0</v>
      </c>
    </row>
    <row r="102" spans="1:77" ht="15" customHeight="1" x14ac:dyDescent="0.3">
      <c r="A102" s="66">
        <f>'Project Database'!A106</f>
        <v>0</v>
      </c>
      <c r="B102" s="66">
        <f>'Project Database'!B106</f>
        <v>0</v>
      </c>
      <c r="C102" s="66">
        <f>'Project Database'!G106</f>
        <v>0</v>
      </c>
      <c r="D102" s="66">
        <f>'Project Database'!H106</f>
        <v>0</v>
      </c>
      <c r="E102" s="66">
        <f>'Project Database'!I106</f>
        <v>0</v>
      </c>
      <c r="F102" s="66">
        <f>'Project Database'!J106</f>
        <v>0</v>
      </c>
      <c r="G102" s="66">
        <f>'Project Database'!K106</f>
        <v>0</v>
      </c>
      <c r="H102" s="66">
        <f>'Project Database'!L106</f>
        <v>0</v>
      </c>
      <c r="I102" s="66">
        <f>'Project Database'!M106</f>
        <v>0</v>
      </c>
      <c r="J102" s="66">
        <f>'Project Database'!N106</f>
        <v>0</v>
      </c>
      <c r="K102" s="66">
        <f>'Project Database'!O106</f>
        <v>0</v>
      </c>
      <c r="L102" s="66">
        <f>'Project Database'!P106</f>
        <v>0</v>
      </c>
      <c r="M102" s="66">
        <f>'Project Database'!Q106</f>
        <v>0</v>
      </c>
      <c r="N102" s="66">
        <f>'Project Database'!R106</f>
        <v>0</v>
      </c>
      <c r="O102" s="66">
        <f>'Project Database'!S106</f>
        <v>0</v>
      </c>
      <c r="P102" s="66">
        <f>'Project Database'!T106</f>
        <v>0</v>
      </c>
      <c r="Q102" s="66">
        <f>'Project Database'!U106</f>
        <v>0</v>
      </c>
      <c r="R102" s="66">
        <f>'Project Database'!V106</f>
        <v>0</v>
      </c>
      <c r="S102" s="66">
        <f>'Project Database'!W106</f>
        <v>0</v>
      </c>
      <c r="T102" s="66">
        <f>'Project Database'!X106</f>
        <v>0</v>
      </c>
      <c r="U102" s="67">
        <f>'Project Database'!Y106</f>
        <v>0</v>
      </c>
      <c r="V102" s="66">
        <f>IF('Smart Search'!B13=1,IFERROR(1/'Smart Search'!H13,0),0)</f>
        <v>0</v>
      </c>
      <c r="W102" s="66">
        <f>IF('Smart Search'!B13=1,IFERROR(1/'Smart Search'!H13,0),0)</f>
        <v>0</v>
      </c>
      <c r="X102" s="66">
        <f>IF('Smart Search'!C13=1,IFERROR(1/'Smart Search'!H13,0),0)</f>
        <v>0.5</v>
      </c>
      <c r="Y102" s="66">
        <f>IF('Smart Search'!C13=1,IFERROR(1/'Smart Search'!H13,0),0)</f>
        <v>0.5</v>
      </c>
      <c r="Z102" s="66">
        <f>IF('Smart Search'!D13=1,IFERROR(1/'Smart Search'!H13,0),0)</f>
        <v>0</v>
      </c>
      <c r="AA102" s="66">
        <f>IF('Smart Search'!D13=1,IFERROR(1/'Smart Search'!H13,0),0)</f>
        <v>0</v>
      </c>
      <c r="AB102" s="66">
        <f>IF('Smart Search'!E13=1,IFERROR(1/'Smart Search'!H13,0),0)</f>
        <v>0</v>
      </c>
      <c r="AC102" s="66">
        <f>IF('Smart Search'!E13=1,IFERROR(1/'Smart Search'!H13,0),0)</f>
        <v>0</v>
      </c>
      <c r="AD102" s="66">
        <f>IF('Smart Search'!F13=1,IFERROR(1/'Smart Search'!H13,0),0)</f>
        <v>0</v>
      </c>
      <c r="AE102" s="66">
        <f>IF('Smart Search'!F13=1,IFERROR(1/'Smart Search'!H13,0),0)</f>
        <v>0</v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>0</v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>0</v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>0</v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>0</v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>0</v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>0</v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>0</v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>0</v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>0</v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>0</v>
      </c>
      <c r="AP102" s="66">
        <f t="shared" si="14"/>
        <v>0</v>
      </c>
      <c r="AQ102" s="66">
        <f t="shared" si="15"/>
        <v>0</v>
      </c>
      <c r="AR102" s="66">
        <f t="shared" si="16"/>
        <v>0</v>
      </c>
      <c r="AS102" s="66">
        <f t="shared" si="17"/>
        <v>0</v>
      </c>
      <c r="AT102" s="66">
        <f t="shared" si="18"/>
        <v>0</v>
      </c>
      <c r="AU102" s="66">
        <f t="shared" si="19"/>
        <v>0</v>
      </c>
      <c r="AV102" s="66">
        <f t="shared" si="20"/>
        <v>0</v>
      </c>
      <c r="AW102" s="66">
        <f t="shared" si="21"/>
        <v>0</v>
      </c>
      <c r="AX102" s="66">
        <f t="shared" si="22"/>
        <v>0</v>
      </c>
      <c r="AY102" s="66">
        <f t="shared" si="23"/>
        <v>0</v>
      </c>
      <c r="AZ102" s="66">
        <f>'Project Database'!Z106</f>
        <v>0</v>
      </c>
      <c r="BA102" s="66">
        <f>IF(OR(A102="",'Smart Search'!H13=0),"",MAX(0,BE102*BF102*MAX(0,1-BG102)))</f>
        <v>0</v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>0</v>
      </c>
      <c r="BC102" s="66">
        <f>IF('Smart Search'!G13=1,IFERROR(1/'Smart Search'!H13,0),0)</f>
        <v>0</v>
      </c>
      <c r="BD102" s="66">
        <f t="shared" si="24"/>
        <v>0</v>
      </c>
      <c r="BE102" s="66">
        <f t="shared" si="25"/>
        <v>0</v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>0</v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>0</v>
      </c>
      <c r="BH102" s="5" t="str">
        <f>IF(AND('Project Database'!A106&lt;&gt;"",OR('Smart Search'!$L$5="",'Smart Search'!$L$5="All",TRIM('Project Database'!D106)=TRIM('Smart Search'!$L$5)),OR(TRIM('Smart Search'!$L$6)="",TRIM('Smart Search'!$L$6)="All",ISNUMBER(SEARCH(SUBSTITUTE(SUBSTITUTE(SUBSTITUTE(TRIM('Smart Search'!$L$6),"~","~~"),"*","~*"),"?","~?"),'Project Database'!C106))),OR('Smart Search'!$L$7="",AND('Project Database'!E106&lt;&gt;"",'Project Database'!E106='Smart Search'!$L$7)),OR('Smart Search'!$L$8="",'Smart Search'!$L$8="All",TRIM('Project Database'!F106)=TRIM('Smart Search'!$L$8))),IF(BA102="","",BA102+ROW()*0.0000000001),"")</f>
        <v/>
      </c>
      <c r="BI102" s="5" t="str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 t="str">
        <f>IF('Project Database'!A106="","",N('Project Database'!AC106))</f>
        <v/>
      </c>
      <c r="BK102" s="5" t="str">
        <f>IF('Project Database'!A106="","",N('Project Database'!AD106))</f>
        <v/>
      </c>
      <c r="BL102" s="5" t="str">
        <f>IF('Project Database'!A106="","",N('Project Database'!AE106))</f>
        <v/>
      </c>
      <c r="BM102" s="5" t="str">
        <f>IF('Project Database'!A106="","",N('Project Database'!AF106))</f>
        <v/>
      </c>
      <c r="BN102" s="5" t="str">
        <f>IF('Project Database'!A106="","",N('Project Database'!AG106))</f>
        <v/>
      </c>
      <c r="BO102" s="5" t="str">
        <f>IF('Project Database'!A106="","",N('Project Database'!AH106))</f>
        <v/>
      </c>
      <c r="BP102" s="5" t="str">
        <f>IF('Project Database'!A106="","",N('Project Database'!AI106))</f>
        <v/>
      </c>
      <c r="BQ102" s="5" t="str">
        <f>IF('Project Database'!A106="","",N('Project Database'!AJ106))</f>
        <v/>
      </c>
      <c r="BR102" s="5" t="str">
        <f>IF('Project Database'!A106="","",N('Project Database'!AK106))</f>
        <v/>
      </c>
      <c r="BS102" s="5" t="str">
        <f>IF('Project Database'!A106="","",N('Project Database'!AL106))</f>
        <v/>
      </c>
      <c r="BT102" s="5" t="str">
        <f>IF('Project Database'!A106="","",N('Project Database'!AM106))</f>
        <v/>
      </c>
      <c r="BU102" s="5" t="str">
        <f>IF('Project Database'!A106="","",N('Project Database'!AN106))</f>
        <v/>
      </c>
      <c r="BV102" s="5" t="str">
        <f>IF('Project Database'!A106="","",N('Project Database'!AO106))</f>
        <v/>
      </c>
      <c r="BW102" s="5" t="str">
        <f>IF('Project Database'!A106="","",N('Project Database'!AP106))</f>
        <v/>
      </c>
      <c r="BX102" s="5">
        <f t="shared" si="26"/>
        <v>0</v>
      </c>
      <c r="BY102" s="5">
        <f t="shared" si="27"/>
        <v>0</v>
      </c>
    </row>
    <row r="103" spans="1:77" ht="15" customHeight="1" x14ac:dyDescent="0.3">
      <c r="A103" s="66">
        <f>'Project Database'!A107</f>
        <v>0</v>
      </c>
      <c r="B103" s="66">
        <f>'Project Database'!B107</f>
        <v>0</v>
      </c>
      <c r="C103" s="66">
        <f>'Project Database'!G107</f>
        <v>0</v>
      </c>
      <c r="D103" s="66">
        <f>'Project Database'!H107</f>
        <v>0</v>
      </c>
      <c r="E103" s="66">
        <f>'Project Database'!I107</f>
        <v>0</v>
      </c>
      <c r="F103" s="66">
        <f>'Project Database'!J107</f>
        <v>0</v>
      </c>
      <c r="G103" s="66">
        <f>'Project Database'!K107</f>
        <v>0</v>
      </c>
      <c r="H103" s="66">
        <f>'Project Database'!L107</f>
        <v>0</v>
      </c>
      <c r="I103" s="66">
        <f>'Project Database'!M107</f>
        <v>0</v>
      </c>
      <c r="J103" s="66">
        <f>'Project Database'!N107</f>
        <v>0</v>
      </c>
      <c r="K103" s="66">
        <f>'Project Database'!O107</f>
        <v>0</v>
      </c>
      <c r="L103" s="66">
        <f>'Project Database'!P107</f>
        <v>0</v>
      </c>
      <c r="M103" s="66">
        <f>'Project Database'!Q107</f>
        <v>0</v>
      </c>
      <c r="N103" s="66">
        <f>'Project Database'!R107</f>
        <v>0</v>
      </c>
      <c r="O103" s="66">
        <f>'Project Database'!S107</f>
        <v>0</v>
      </c>
      <c r="P103" s="66">
        <f>'Project Database'!T107</f>
        <v>0</v>
      </c>
      <c r="Q103" s="66">
        <f>'Project Database'!U107</f>
        <v>0</v>
      </c>
      <c r="R103" s="66">
        <f>'Project Database'!V107</f>
        <v>0</v>
      </c>
      <c r="S103" s="66">
        <f>'Project Database'!W107</f>
        <v>0</v>
      </c>
      <c r="T103" s="66">
        <f>'Project Database'!X107</f>
        <v>0</v>
      </c>
      <c r="U103" s="67">
        <f>'Project Database'!Y107</f>
        <v>0</v>
      </c>
      <c r="V103" s="66">
        <f>IF('Smart Search'!B13=1,IFERROR(1/'Smart Search'!H13,0),0)</f>
        <v>0</v>
      </c>
      <c r="W103" s="66">
        <f>IF('Smart Search'!B13=1,IFERROR(1/'Smart Search'!H13,0),0)</f>
        <v>0</v>
      </c>
      <c r="X103" s="66">
        <f>IF('Smart Search'!C13=1,IFERROR(1/'Smart Search'!H13,0),0)</f>
        <v>0.5</v>
      </c>
      <c r="Y103" s="66">
        <f>IF('Smart Search'!C13=1,IFERROR(1/'Smart Search'!H13,0),0)</f>
        <v>0.5</v>
      </c>
      <c r="Z103" s="66">
        <f>IF('Smart Search'!D13=1,IFERROR(1/'Smart Search'!H13,0),0)</f>
        <v>0</v>
      </c>
      <c r="AA103" s="66">
        <f>IF('Smart Search'!D13=1,IFERROR(1/'Smart Search'!H13,0),0)</f>
        <v>0</v>
      </c>
      <c r="AB103" s="66">
        <f>IF('Smart Search'!E13=1,IFERROR(1/'Smart Search'!H13,0),0)</f>
        <v>0</v>
      </c>
      <c r="AC103" s="66">
        <f>IF('Smart Search'!E13=1,IFERROR(1/'Smart Search'!H13,0),0)</f>
        <v>0</v>
      </c>
      <c r="AD103" s="66">
        <f>IF('Smart Search'!F13=1,IFERROR(1/'Smart Search'!H13,0),0)</f>
        <v>0</v>
      </c>
      <c r="AE103" s="66">
        <f>IF('Smart Search'!F13=1,IFERROR(1/'Smart Search'!H13,0),0)</f>
        <v>0</v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>0</v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>0</v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>0</v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>0</v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>0</v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>0</v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>0</v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>0</v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>0</v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>0</v>
      </c>
      <c r="AP103" s="66">
        <f t="shared" si="14"/>
        <v>0</v>
      </c>
      <c r="AQ103" s="66">
        <f t="shared" si="15"/>
        <v>0</v>
      </c>
      <c r="AR103" s="66">
        <f t="shared" si="16"/>
        <v>0</v>
      </c>
      <c r="AS103" s="66">
        <f t="shared" si="17"/>
        <v>0</v>
      </c>
      <c r="AT103" s="66">
        <f t="shared" si="18"/>
        <v>0</v>
      </c>
      <c r="AU103" s="66">
        <f t="shared" si="19"/>
        <v>0</v>
      </c>
      <c r="AV103" s="66">
        <f t="shared" si="20"/>
        <v>0</v>
      </c>
      <c r="AW103" s="66">
        <f t="shared" si="21"/>
        <v>0</v>
      </c>
      <c r="AX103" s="66">
        <f t="shared" si="22"/>
        <v>0</v>
      </c>
      <c r="AY103" s="66">
        <f t="shared" si="23"/>
        <v>0</v>
      </c>
      <c r="AZ103" s="66">
        <f>'Project Database'!Z107</f>
        <v>0</v>
      </c>
      <c r="BA103" s="66">
        <f>IF(OR(A103="",'Smart Search'!H13=0),"",MAX(0,BE103*BF103*MAX(0,1-BG103)))</f>
        <v>0</v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>0</v>
      </c>
      <c r="BC103" s="66">
        <f>IF('Smart Search'!G13=1,IFERROR(1/'Smart Search'!H13,0),0)</f>
        <v>0</v>
      </c>
      <c r="BD103" s="66">
        <f t="shared" si="24"/>
        <v>0</v>
      </c>
      <c r="BE103" s="66">
        <f t="shared" si="25"/>
        <v>0</v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>0</v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>0</v>
      </c>
      <c r="BH103" s="5" t="str">
        <f>IF(AND('Project Database'!A107&lt;&gt;"",OR('Smart Search'!$L$5="",'Smart Search'!$L$5="All",TRIM('Project Database'!D107)=TRIM('Smart Search'!$L$5)),OR(TRIM('Smart Search'!$L$6)="",TRIM('Smart Search'!$L$6)="All",ISNUMBER(SEARCH(SUBSTITUTE(SUBSTITUTE(SUBSTITUTE(TRIM('Smart Search'!$L$6),"~","~~"),"*","~*"),"?","~?"),'Project Database'!C107))),OR('Smart Search'!$L$7="",AND('Project Database'!E107&lt;&gt;"",'Project Database'!E107='Smart Search'!$L$7)),OR('Smart Search'!$L$8="",'Smart Search'!$L$8="All",TRIM('Project Database'!F107)=TRIM('Smart Search'!$L$8))),IF(BA103="","",BA103+ROW()*0.0000000001),"")</f>
        <v/>
      </c>
      <c r="BI103" s="5" t="str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 t="str">
        <f>IF('Project Database'!A107="","",N('Project Database'!AC107))</f>
        <v/>
      </c>
      <c r="BK103" s="5" t="str">
        <f>IF('Project Database'!A107="","",N('Project Database'!AD107))</f>
        <v/>
      </c>
      <c r="BL103" s="5" t="str">
        <f>IF('Project Database'!A107="","",N('Project Database'!AE107))</f>
        <v/>
      </c>
      <c r="BM103" s="5" t="str">
        <f>IF('Project Database'!A107="","",N('Project Database'!AF107))</f>
        <v/>
      </c>
      <c r="BN103" s="5" t="str">
        <f>IF('Project Database'!A107="","",N('Project Database'!AG107))</f>
        <v/>
      </c>
      <c r="BO103" s="5" t="str">
        <f>IF('Project Database'!A107="","",N('Project Database'!AH107))</f>
        <v/>
      </c>
      <c r="BP103" s="5" t="str">
        <f>IF('Project Database'!A107="","",N('Project Database'!AI107))</f>
        <v/>
      </c>
      <c r="BQ103" s="5" t="str">
        <f>IF('Project Database'!A107="","",N('Project Database'!AJ107))</f>
        <v/>
      </c>
      <c r="BR103" s="5" t="str">
        <f>IF('Project Database'!A107="","",N('Project Database'!AK107))</f>
        <v/>
      </c>
      <c r="BS103" s="5" t="str">
        <f>IF('Project Database'!A107="","",N('Project Database'!AL107))</f>
        <v/>
      </c>
      <c r="BT103" s="5" t="str">
        <f>IF('Project Database'!A107="","",N('Project Database'!AM107))</f>
        <v/>
      </c>
      <c r="BU103" s="5" t="str">
        <f>IF('Project Database'!A107="","",N('Project Database'!AN107))</f>
        <v/>
      </c>
      <c r="BV103" s="5" t="str">
        <f>IF('Project Database'!A107="","",N('Project Database'!AO107))</f>
        <v/>
      </c>
      <c r="BW103" s="5" t="str">
        <f>IF('Project Database'!A107="","",N('Project Database'!AP107))</f>
        <v/>
      </c>
      <c r="BX103" s="5">
        <f t="shared" si="26"/>
        <v>0</v>
      </c>
      <c r="BY103" s="5">
        <f t="shared" si="27"/>
        <v>0</v>
      </c>
    </row>
    <row r="104" spans="1:77" ht="15" customHeight="1" x14ac:dyDescent="0.3">
      <c r="A104" s="66">
        <f>'Project Database'!A108</f>
        <v>0</v>
      </c>
      <c r="B104" s="66">
        <f>'Project Database'!B108</f>
        <v>0</v>
      </c>
      <c r="C104" s="66">
        <f>'Project Database'!G108</f>
        <v>0</v>
      </c>
      <c r="D104" s="66">
        <f>'Project Database'!H108</f>
        <v>0</v>
      </c>
      <c r="E104" s="66">
        <f>'Project Database'!I108</f>
        <v>0</v>
      </c>
      <c r="F104" s="66">
        <f>'Project Database'!J108</f>
        <v>0</v>
      </c>
      <c r="G104" s="66">
        <f>'Project Database'!K108</f>
        <v>0</v>
      </c>
      <c r="H104" s="66">
        <f>'Project Database'!L108</f>
        <v>0</v>
      </c>
      <c r="I104" s="66">
        <f>'Project Database'!M108</f>
        <v>0</v>
      </c>
      <c r="J104" s="66">
        <f>'Project Database'!N108</f>
        <v>0</v>
      </c>
      <c r="K104" s="66">
        <f>'Project Database'!O108</f>
        <v>0</v>
      </c>
      <c r="L104" s="66">
        <f>'Project Database'!P108</f>
        <v>0</v>
      </c>
      <c r="M104" s="66">
        <f>'Project Database'!Q108</f>
        <v>0</v>
      </c>
      <c r="N104" s="66">
        <f>'Project Database'!R108</f>
        <v>0</v>
      </c>
      <c r="O104" s="66">
        <f>'Project Database'!S108</f>
        <v>0</v>
      </c>
      <c r="P104" s="66">
        <f>'Project Database'!T108</f>
        <v>0</v>
      </c>
      <c r="Q104" s="66">
        <f>'Project Database'!U108</f>
        <v>0</v>
      </c>
      <c r="R104" s="66">
        <f>'Project Database'!V108</f>
        <v>0</v>
      </c>
      <c r="S104" s="66">
        <f>'Project Database'!W108</f>
        <v>0</v>
      </c>
      <c r="T104" s="66">
        <f>'Project Database'!X108</f>
        <v>0</v>
      </c>
      <c r="U104" s="67">
        <f>'Project Database'!Y108</f>
        <v>0</v>
      </c>
      <c r="V104" s="66">
        <f>IF('Smart Search'!B13=1,IFERROR(1/'Smart Search'!H13,0),0)</f>
        <v>0</v>
      </c>
      <c r="W104" s="66">
        <f>IF('Smart Search'!B13=1,IFERROR(1/'Smart Search'!H13,0),0)</f>
        <v>0</v>
      </c>
      <c r="X104" s="66">
        <f>IF('Smart Search'!C13=1,IFERROR(1/'Smart Search'!H13,0),0)</f>
        <v>0.5</v>
      </c>
      <c r="Y104" s="66">
        <f>IF('Smart Search'!C13=1,IFERROR(1/'Smart Search'!H13,0),0)</f>
        <v>0.5</v>
      </c>
      <c r="Z104" s="66">
        <f>IF('Smart Search'!D13=1,IFERROR(1/'Smart Search'!H13,0),0)</f>
        <v>0</v>
      </c>
      <c r="AA104" s="66">
        <f>IF('Smart Search'!D13=1,IFERROR(1/'Smart Search'!H13,0),0)</f>
        <v>0</v>
      </c>
      <c r="AB104" s="66">
        <f>IF('Smart Search'!E13=1,IFERROR(1/'Smart Search'!H13,0),0)</f>
        <v>0</v>
      </c>
      <c r="AC104" s="66">
        <f>IF('Smart Search'!E13=1,IFERROR(1/'Smart Search'!H13,0),0)</f>
        <v>0</v>
      </c>
      <c r="AD104" s="66">
        <f>IF('Smart Search'!F13=1,IFERROR(1/'Smart Search'!H13,0),0)</f>
        <v>0</v>
      </c>
      <c r="AE104" s="66">
        <f>IF('Smart Search'!F13=1,IFERROR(1/'Smart Search'!H13,0),0)</f>
        <v>0</v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>0</v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>0</v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>0</v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>0</v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>0</v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>0</v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>0</v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>0</v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>0</v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>0</v>
      </c>
      <c r="AP104" s="66">
        <f t="shared" si="14"/>
        <v>0</v>
      </c>
      <c r="AQ104" s="66">
        <f t="shared" si="15"/>
        <v>0</v>
      </c>
      <c r="AR104" s="66">
        <f t="shared" si="16"/>
        <v>0</v>
      </c>
      <c r="AS104" s="66">
        <f t="shared" si="17"/>
        <v>0</v>
      </c>
      <c r="AT104" s="66">
        <f t="shared" si="18"/>
        <v>0</v>
      </c>
      <c r="AU104" s="66">
        <f t="shared" si="19"/>
        <v>0</v>
      </c>
      <c r="AV104" s="66">
        <f t="shared" si="20"/>
        <v>0</v>
      </c>
      <c r="AW104" s="66">
        <f t="shared" si="21"/>
        <v>0</v>
      </c>
      <c r="AX104" s="66">
        <f t="shared" si="22"/>
        <v>0</v>
      </c>
      <c r="AY104" s="66">
        <f t="shared" si="23"/>
        <v>0</v>
      </c>
      <c r="AZ104" s="66">
        <f>'Project Database'!Z108</f>
        <v>0</v>
      </c>
      <c r="BA104" s="66">
        <f>IF(OR(A104="",'Smart Search'!H13=0),"",MAX(0,BE104*BF104*MAX(0,1-BG104)))</f>
        <v>0</v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>0</v>
      </c>
      <c r="BC104" s="66">
        <f>IF('Smart Search'!G13=1,IFERROR(1/'Smart Search'!H13,0),0)</f>
        <v>0</v>
      </c>
      <c r="BD104" s="66">
        <f t="shared" si="24"/>
        <v>0</v>
      </c>
      <c r="BE104" s="66">
        <f t="shared" si="25"/>
        <v>0</v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>0</v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>0</v>
      </c>
      <c r="BH104" s="5" t="str">
        <f>IF(AND('Project Database'!A108&lt;&gt;"",OR('Smart Search'!$L$5="",'Smart Search'!$L$5="All",TRIM('Project Database'!D108)=TRIM('Smart Search'!$L$5)),OR(TRIM('Smart Search'!$L$6)="",TRIM('Smart Search'!$L$6)="All",ISNUMBER(SEARCH(SUBSTITUTE(SUBSTITUTE(SUBSTITUTE(TRIM('Smart Search'!$L$6),"~","~~"),"*","~*"),"?","~?"),'Project Database'!C108))),OR('Smart Search'!$L$7="",AND('Project Database'!E108&lt;&gt;"",'Project Database'!E108='Smart Search'!$L$7)),OR('Smart Search'!$L$8="",'Smart Search'!$L$8="All",TRIM('Project Database'!F108)=TRIM('Smart Search'!$L$8))),IF(BA104="","",BA104+ROW()*0.0000000001),"")</f>
        <v/>
      </c>
      <c r="BI104" s="5" t="str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 t="str">
        <f>IF('Project Database'!A108="","",N('Project Database'!AC108))</f>
        <v/>
      </c>
      <c r="BK104" s="5" t="str">
        <f>IF('Project Database'!A108="","",N('Project Database'!AD108))</f>
        <v/>
      </c>
      <c r="BL104" s="5" t="str">
        <f>IF('Project Database'!A108="","",N('Project Database'!AE108))</f>
        <v/>
      </c>
      <c r="BM104" s="5" t="str">
        <f>IF('Project Database'!A108="","",N('Project Database'!AF108))</f>
        <v/>
      </c>
      <c r="BN104" s="5" t="str">
        <f>IF('Project Database'!A108="","",N('Project Database'!AG108))</f>
        <v/>
      </c>
      <c r="BO104" s="5" t="str">
        <f>IF('Project Database'!A108="","",N('Project Database'!AH108))</f>
        <v/>
      </c>
      <c r="BP104" s="5" t="str">
        <f>IF('Project Database'!A108="","",N('Project Database'!AI108))</f>
        <v/>
      </c>
      <c r="BQ104" s="5" t="str">
        <f>IF('Project Database'!A108="","",N('Project Database'!AJ108))</f>
        <v/>
      </c>
      <c r="BR104" s="5" t="str">
        <f>IF('Project Database'!A108="","",N('Project Database'!AK108))</f>
        <v/>
      </c>
      <c r="BS104" s="5" t="str">
        <f>IF('Project Database'!A108="","",N('Project Database'!AL108))</f>
        <v/>
      </c>
      <c r="BT104" s="5" t="str">
        <f>IF('Project Database'!A108="","",N('Project Database'!AM108))</f>
        <v/>
      </c>
      <c r="BU104" s="5" t="str">
        <f>IF('Project Database'!A108="","",N('Project Database'!AN108))</f>
        <v/>
      </c>
      <c r="BV104" s="5" t="str">
        <f>IF('Project Database'!A108="","",N('Project Database'!AO108))</f>
        <v/>
      </c>
      <c r="BW104" s="5" t="str">
        <f>IF('Project Database'!A108="","",N('Project Database'!AP108))</f>
        <v/>
      </c>
      <c r="BX104" s="5">
        <f t="shared" si="26"/>
        <v>0</v>
      </c>
      <c r="BY104" s="5">
        <f t="shared" si="27"/>
        <v>0</v>
      </c>
    </row>
    <row r="105" spans="1:77" ht="15" customHeight="1" x14ac:dyDescent="0.3">
      <c r="A105" s="66">
        <f>'Project Database'!A109</f>
        <v>0</v>
      </c>
      <c r="B105" s="66">
        <f>'Project Database'!B109</f>
        <v>0</v>
      </c>
      <c r="C105" s="66">
        <f>'Project Database'!G109</f>
        <v>0</v>
      </c>
      <c r="D105" s="66">
        <f>'Project Database'!H109</f>
        <v>0</v>
      </c>
      <c r="E105" s="66">
        <f>'Project Database'!I109</f>
        <v>0</v>
      </c>
      <c r="F105" s="66">
        <f>'Project Database'!J109</f>
        <v>0</v>
      </c>
      <c r="G105" s="66">
        <f>'Project Database'!K109</f>
        <v>0</v>
      </c>
      <c r="H105" s="66">
        <f>'Project Database'!L109</f>
        <v>0</v>
      </c>
      <c r="I105" s="66">
        <f>'Project Database'!M109</f>
        <v>0</v>
      </c>
      <c r="J105" s="66">
        <f>'Project Database'!N109</f>
        <v>0</v>
      </c>
      <c r="K105" s="66">
        <f>'Project Database'!O109</f>
        <v>0</v>
      </c>
      <c r="L105" s="66">
        <f>'Project Database'!P109</f>
        <v>0</v>
      </c>
      <c r="M105" s="66">
        <f>'Project Database'!Q109</f>
        <v>0</v>
      </c>
      <c r="N105" s="66">
        <f>'Project Database'!R109</f>
        <v>0</v>
      </c>
      <c r="O105" s="66">
        <f>'Project Database'!S109</f>
        <v>0</v>
      </c>
      <c r="P105" s="66">
        <f>'Project Database'!T109</f>
        <v>0</v>
      </c>
      <c r="Q105" s="66">
        <f>'Project Database'!U109</f>
        <v>0</v>
      </c>
      <c r="R105" s="66">
        <f>'Project Database'!V109</f>
        <v>0</v>
      </c>
      <c r="S105" s="66">
        <f>'Project Database'!W109</f>
        <v>0</v>
      </c>
      <c r="T105" s="66">
        <f>'Project Database'!X109</f>
        <v>0</v>
      </c>
      <c r="U105" s="67">
        <f>'Project Database'!Y109</f>
        <v>0</v>
      </c>
      <c r="V105" s="66">
        <f>IF('Smart Search'!B13=1,IFERROR(1/'Smart Search'!H13,0),0)</f>
        <v>0</v>
      </c>
      <c r="W105" s="66">
        <f>IF('Smart Search'!B13=1,IFERROR(1/'Smart Search'!H13,0),0)</f>
        <v>0</v>
      </c>
      <c r="X105" s="66">
        <f>IF('Smart Search'!C13=1,IFERROR(1/'Smart Search'!H13,0),0)</f>
        <v>0.5</v>
      </c>
      <c r="Y105" s="66">
        <f>IF('Smart Search'!C13=1,IFERROR(1/'Smart Search'!H13,0),0)</f>
        <v>0.5</v>
      </c>
      <c r="Z105" s="66">
        <f>IF('Smart Search'!D13=1,IFERROR(1/'Smart Search'!H13,0),0)</f>
        <v>0</v>
      </c>
      <c r="AA105" s="66">
        <f>IF('Smart Search'!D13=1,IFERROR(1/'Smart Search'!H13,0),0)</f>
        <v>0</v>
      </c>
      <c r="AB105" s="66">
        <f>IF('Smart Search'!E13=1,IFERROR(1/'Smart Search'!H13,0),0)</f>
        <v>0</v>
      </c>
      <c r="AC105" s="66">
        <f>IF('Smart Search'!E13=1,IFERROR(1/'Smart Search'!H13,0),0)</f>
        <v>0</v>
      </c>
      <c r="AD105" s="66">
        <f>IF('Smart Search'!F13=1,IFERROR(1/'Smart Search'!H13,0),0)</f>
        <v>0</v>
      </c>
      <c r="AE105" s="66">
        <f>IF('Smart Search'!F13=1,IFERROR(1/'Smart Search'!H13,0),0)</f>
        <v>0</v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>0</v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>0</v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>0</v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>0</v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>0</v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>0</v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>0</v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>0</v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>0</v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>0</v>
      </c>
      <c r="AP105" s="66">
        <f t="shared" si="14"/>
        <v>0</v>
      </c>
      <c r="AQ105" s="66">
        <f t="shared" si="15"/>
        <v>0</v>
      </c>
      <c r="AR105" s="66">
        <f t="shared" si="16"/>
        <v>0</v>
      </c>
      <c r="AS105" s="66">
        <f t="shared" si="17"/>
        <v>0</v>
      </c>
      <c r="AT105" s="66">
        <f t="shared" si="18"/>
        <v>0</v>
      </c>
      <c r="AU105" s="66">
        <f t="shared" si="19"/>
        <v>0</v>
      </c>
      <c r="AV105" s="66">
        <f t="shared" si="20"/>
        <v>0</v>
      </c>
      <c r="AW105" s="66">
        <f t="shared" si="21"/>
        <v>0</v>
      </c>
      <c r="AX105" s="66">
        <f t="shared" si="22"/>
        <v>0</v>
      </c>
      <c r="AY105" s="66">
        <f t="shared" si="23"/>
        <v>0</v>
      </c>
      <c r="AZ105" s="66">
        <f>'Project Database'!Z109</f>
        <v>0</v>
      </c>
      <c r="BA105" s="66">
        <f>IF(OR(A105="",'Smart Search'!H13=0),"",MAX(0,BE105*BF105*MAX(0,1-BG105)))</f>
        <v>0</v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>0</v>
      </c>
      <c r="BC105" s="66">
        <f>IF('Smart Search'!G13=1,IFERROR(1/'Smart Search'!H13,0),0)</f>
        <v>0</v>
      </c>
      <c r="BD105" s="66">
        <f t="shared" si="24"/>
        <v>0</v>
      </c>
      <c r="BE105" s="66">
        <f t="shared" si="25"/>
        <v>0</v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>0</v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>0</v>
      </c>
      <c r="BH105" s="5" t="str">
        <f>IF(AND('Project Database'!A109&lt;&gt;"",OR('Smart Search'!$L$5="",'Smart Search'!$L$5="All",TRIM('Project Database'!D109)=TRIM('Smart Search'!$L$5)),OR(TRIM('Smart Search'!$L$6)="",TRIM('Smart Search'!$L$6)="All",ISNUMBER(SEARCH(SUBSTITUTE(SUBSTITUTE(SUBSTITUTE(TRIM('Smart Search'!$L$6),"~","~~"),"*","~*"),"?","~?"),'Project Database'!C109))),OR('Smart Search'!$L$7="",AND('Project Database'!E109&lt;&gt;"",'Project Database'!E109='Smart Search'!$L$7)),OR('Smart Search'!$L$8="",'Smart Search'!$L$8="All",TRIM('Project Database'!F109)=TRIM('Smart Search'!$L$8))),IF(BA105="","",BA105+ROW()*0.0000000001),"")</f>
        <v/>
      </c>
      <c r="BI105" s="5" t="str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 t="str">
        <f>IF('Project Database'!A109="","",N('Project Database'!AC109))</f>
        <v/>
      </c>
      <c r="BK105" s="5" t="str">
        <f>IF('Project Database'!A109="","",N('Project Database'!AD109))</f>
        <v/>
      </c>
      <c r="BL105" s="5" t="str">
        <f>IF('Project Database'!A109="","",N('Project Database'!AE109))</f>
        <v/>
      </c>
      <c r="BM105" s="5" t="str">
        <f>IF('Project Database'!A109="","",N('Project Database'!AF109))</f>
        <v/>
      </c>
      <c r="BN105" s="5" t="str">
        <f>IF('Project Database'!A109="","",N('Project Database'!AG109))</f>
        <v/>
      </c>
      <c r="BO105" s="5" t="str">
        <f>IF('Project Database'!A109="","",N('Project Database'!AH109))</f>
        <v/>
      </c>
      <c r="BP105" s="5" t="str">
        <f>IF('Project Database'!A109="","",N('Project Database'!AI109))</f>
        <v/>
      </c>
      <c r="BQ105" s="5" t="str">
        <f>IF('Project Database'!A109="","",N('Project Database'!AJ109))</f>
        <v/>
      </c>
      <c r="BR105" s="5" t="str">
        <f>IF('Project Database'!A109="","",N('Project Database'!AK109))</f>
        <v/>
      </c>
      <c r="BS105" s="5" t="str">
        <f>IF('Project Database'!A109="","",N('Project Database'!AL109))</f>
        <v/>
      </c>
      <c r="BT105" s="5" t="str">
        <f>IF('Project Database'!A109="","",N('Project Database'!AM109))</f>
        <v/>
      </c>
      <c r="BU105" s="5" t="str">
        <f>IF('Project Database'!A109="","",N('Project Database'!AN109))</f>
        <v/>
      </c>
      <c r="BV105" s="5" t="str">
        <f>IF('Project Database'!A109="","",N('Project Database'!AO109))</f>
        <v/>
      </c>
      <c r="BW105" s="5" t="str">
        <f>IF('Project Database'!A109="","",N('Project Database'!AP109))</f>
        <v/>
      </c>
      <c r="BX105" s="5">
        <f t="shared" si="26"/>
        <v>0</v>
      </c>
      <c r="BY105" s="5">
        <f t="shared" si="27"/>
        <v>0</v>
      </c>
    </row>
    <row r="106" spans="1:77" ht="15" customHeight="1" x14ac:dyDescent="0.3">
      <c r="A106" s="66">
        <f>'Project Database'!A110</f>
        <v>0</v>
      </c>
      <c r="B106" s="66">
        <f>'Project Database'!B110</f>
        <v>0</v>
      </c>
      <c r="C106" s="66">
        <f>'Project Database'!G110</f>
        <v>0</v>
      </c>
      <c r="D106" s="66">
        <f>'Project Database'!H110</f>
        <v>0</v>
      </c>
      <c r="E106" s="66">
        <f>'Project Database'!I110</f>
        <v>0</v>
      </c>
      <c r="F106" s="66">
        <f>'Project Database'!J110</f>
        <v>0</v>
      </c>
      <c r="G106" s="66">
        <f>'Project Database'!K110</f>
        <v>0</v>
      </c>
      <c r="H106" s="66">
        <f>'Project Database'!L110</f>
        <v>0</v>
      </c>
      <c r="I106" s="66">
        <f>'Project Database'!M110</f>
        <v>0</v>
      </c>
      <c r="J106" s="66">
        <f>'Project Database'!N110</f>
        <v>0</v>
      </c>
      <c r="K106" s="66">
        <f>'Project Database'!O110</f>
        <v>0</v>
      </c>
      <c r="L106" s="66">
        <f>'Project Database'!P110</f>
        <v>0</v>
      </c>
      <c r="M106" s="66">
        <f>'Project Database'!Q110</f>
        <v>0</v>
      </c>
      <c r="N106" s="66">
        <f>'Project Database'!R110</f>
        <v>0</v>
      </c>
      <c r="O106" s="66">
        <f>'Project Database'!S110</f>
        <v>0</v>
      </c>
      <c r="P106" s="66">
        <f>'Project Database'!T110</f>
        <v>0</v>
      </c>
      <c r="Q106" s="66">
        <f>'Project Database'!U110</f>
        <v>0</v>
      </c>
      <c r="R106" s="66">
        <f>'Project Database'!V110</f>
        <v>0</v>
      </c>
      <c r="S106" s="66">
        <f>'Project Database'!W110</f>
        <v>0</v>
      </c>
      <c r="T106" s="66">
        <f>'Project Database'!X110</f>
        <v>0</v>
      </c>
      <c r="U106" s="67">
        <f>'Project Database'!Y110</f>
        <v>0</v>
      </c>
      <c r="V106" s="66">
        <f>IF('Smart Search'!B13=1,IFERROR(1/'Smart Search'!H13,0),0)</f>
        <v>0</v>
      </c>
      <c r="W106" s="66">
        <f>IF('Smart Search'!B13=1,IFERROR(1/'Smart Search'!H13,0),0)</f>
        <v>0</v>
      </c>
      <c r="X106" s="66">
        <f>IF('Smart Search'!C13=1,IFERROR(1/'Smart Search'!H13,0),0)</f>
        <v>0.5</v>
      </c>
      <c r="Y106" s="66">
        <f>IF('Smart Search'!C13=1,IFERROR(1/'Smart Search'!H13,0),0)</f>
        <v>0.5</v>
      </c>
      <c r="Z106" s="66">
        <f>IF('Smart Search'!D13=1,IFERROR(1/'Smart Search'!H13,0),0)</f>
        <v>0</v>
      </c>
      <c r="AA106" s="66">
        <f>IF('Smart Search'!D13=1,IFERROR(1/'Smart Search'!H13,0),0)</f>
        <v>0</v>
      </c>
      <c r="AB106" s="66">
        <f>IF('Smart Search'!E13=1,IFERROR(1/'Smart Search'!H13,0),0)</f>
        <v>0</v>
      </c>
      <c r="AC106" s="66">
        <f>IF('Smart Search'!E13=1,IFERROR(1/'Smart Search'!H13,0),0)</f>
        <v>0</v>
      </c>
      <c r="AD106" s="66">
        <f>IF('Smart Search'!F13=1,IFERROR(1/'Smart Search'!H13,0),0)</f>
        <v>0</v>
      </c>
      <c r="AE106" s="66">
        <f>IF('Smart Search'!F13=1,IFERROR(1/'Smart Search'!H13,0),0)</f>
        <v>0</v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>0</v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>0</v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>0</v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>0</v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>0</v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>0</v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>0</v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>0</v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>0</v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>0</v>
      </c>
      <c r="AP106" s="66">
        <f t="shared" si="14"/>
        <v>0</v>
      </c>
      <c r="AQ106" s="66">
        <f t="shared" si="15"/>
        <v>0</v>
      </c>
      <c r="AR106" s="66">
        <f t="shared" si="16"/>
        <v>0</v>
      </c>
      <c r="AS106" s="66">
        <f t="shared" si="17"/>
        <v>0</v>
      </c>
      <c r="AT106" s="66">
        <f t="shared" si="18"/>
        <v>0</v>
      </c>
      <c r="AU106" s="66">
        <f t="shared" si="19"/>
        <v>0</v>
      </c>
      <c r="AV106" s="66">
        <f t="shared" si="20"/>
        <v>0</v>
      </c>
      <c r="AW106" s="66">
        <f t="shared" si="21"/>
        <v>0</v>
      </c>
      <c r="AX106" s="66">
        <f t="shared" si="22"/>
        <v>0</v>
      </c>
      <c r="AY106" s="66">
        <f t="shared" si="23"/>
        <v>0</v>
      </c>
      <c r="AZ106" s="66">
        <f>'Project Database'!Z110</f>
        <v>0</v>
      </c>
      <c r="BA106" s="66">
        <f>IF(OR(A106="",'Smart Search'!H13=0),"",MAX(0,BE106*BF106*MAX(0,1-BG106)))</f>
        <v>0</v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>0</v>
      </c>
      <c r="BC106" s="66">
        <f>IF('Smart Search'!G13=1,IFERROR(1/'Smart Search'!H13,0),0)</f>
        <v>0</v>
      </c>
      <c r="BD106" s="66">
        <f t="shared" si="24"/>
        <v>0</v>
      </c>
      <c r="BE106" s="66">
        <f t="shared" si="25"/>
        <v>0</v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>0</v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>0</v>
      </c>
      <c r="BH106" s="5" t="str">
        <f>IF(AND('Project Database'!A110&lt;&gt;"",OR('Smart Search'!$L$5="",'Smart Search'!$L$5="All",TRIM('Project Database'!D110)=TRIM('Smart Search'!$L$5)),OR(TRIM('Smart Search'!$L$6)="",TRIM('Smart Search'!$L$6)="All",ISNUMBER(SEARCH(SUBSTITUTE(SUBSTITUTE(SUBSTITUTE(TRIM('Smart Search'!$L$6),"~","~~"),"*","~*"),"?","~?"),'Project Database'!C110))),OR('Smart Search'!$L$7="",AND('Project Database'!E110&lt;&gt;"",'Project Database'!E110='Smart Search'!$L$7)),OR('Smart Search'!$L$8="",'Smart Search'!$L$8="All",TRIM('Project Database'!F110)=TRIM('Smart Search'!$L$8))),IF(BA106="","",BA106+ROW()*0.0000000001),"")</f>
        <v/>
      </c>
      <c r="BI106" s="5" t="str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 t="str">
        <f>IF('Project Database'!A110="","",N('Project Database'!AC110))</f>
        <v/>
      </c>
      <c r="BK106" s="5" t="str">
        <f>IF('Project Database'!A110="","",N('Project Database'!AD110))</f>
        <v/>
      </c>
      <c r="BL106" s="5" t="str">
        <f>IF('Project Database'!A110="","",N('Project Database'!AE110))</f>
        <v/>
      </c>
      <c r="BM106" s="5" t="str">
        <f>IF('Project Database'!A110="","",N('Project Database'!AF110))</f>
        <v/>
      </c>
      <c r="BN106" s="5" t="str">
        <f>IF('Project Database'!A110="","",N('Project Database'!AG110))</f>
        <v/>
      </c>
      <c r="BO106" s="5" t="str">
        <f>IF('Project Database'!A110="","",N('Project Database'!AH110))</f>
        <v/>
      </c>
      <c r="BP106" s="5" t="str">
        <f>IF('Project Database'!A110="","",N('Project Database'!AI110))</f>
        <v/>
      </c>
      <c r="BQ106" s="5" t="str">
        <f>IF('Project Database'!A110="","",N('Project Database'!AJ110))</f>
        <v/>
      </c>
      <c r="BR106" s="5" t="str">
        <f>IF('Project Database'!A110="","",N('Project Database'!AK110))</f>
        <v/>
      </c>
      <c r="BS106" s="5" t="str">
        <f>IF('Project Database'!A110="","",N('Project Database'!AL110))</f>
        <v/>
      </c>
      <c r="BT106" s="5" t="str">
        <f>IF('Project Database'!A110="","",N('Project Database'!AM110))</f>
        <v/>
      </c>
      <c r="BU106" s="5" t="str">
        <f>IF('Project Database'!A110="","",N('Project Database'!AN110))</f>
        <v/>
      </c>
      <c r="BV106" s="5" t="str">
        <f>IF('Project Database'!A110="","",N('Project Database'!AO110))</f>
        <v/>
      </c>
      <c r="BW106" s="5" t="str">
        <f>IF('Project Database'!A110="","",N('Project Database'!AP110))</f>
        <v/>
      </c>
      <c r="BX106" s="5">
        <f t="shared" si="26"/>
        <v>0</v>
      </c>
      <c r="BY106" s="5">
        <f t="shared" si="27"/>
        <v>0</v>
      </c>
    </row>
    <row r="107" spans="1:77" ht="15" customHeight="1" x14ac:dyDescent="0.3">
      <c r="A107" s="66">
        <f>'Project Database'!A111</f>
        <v>0</v>
      </c>
      <c r="B107" s="66">
        <f>'Project Database'!B111</f>
        <v>0</v>
      </c>
      <c r="C107" s="66">
        <f>'Project Database'!G111</f>
        <v>0</v>
      </c>
      <c r="D107" s="66">
        <f>'Project Database'!H111</f>
        <v>0</v>
      </c>
      <c r="E107" s="66">
        <f>'Project Database'!I111</f>
        <v>0</v>
      </c>
      <c r="F107" s="66">
        <f>'Project Database'!J111</f>
        <v>0</v>
      </c>
      <c r="G107" s="66">
        <f>'Project Database'!K111</f>
        <v>0</v>
      </c>
      <c r="H107" s="66">
        <f>'Project Database'!L111</f>
        <v>0</v>
      </c>
      <c r="I107" s="66">
        <f>'Project Database'!M111</f>
        <v>0</v>
      </c>
      <c r="J107" s="66">
        <f>'Project Database'!N111</f>
        <v>0</v>
      </c>
      <c r="K107" s="66">
        <f>'Project Database'!O111</f>
        <v>0</v>
      </c>
      <c r="L107" s="66">
        <f>'Project Database'!P111</f>
        <v>0</v>
      </c>
      <c r="M107" s="66">
        <f>'Project Database'!Q111</f>
        <v>0</v>
      </c>
      <c r="N107" s="66">
        <f>'Project Database'!R111</f>
        <v>0</v>
      </c>
      <c r="O107" s="66">
        <f>'Project Database'!S111</f>
        <v>0</v>
      </c>
      <c r="P107" s="66">
        <f>'Project Database'!T111</f>
        <v>0</v>
      </c>
      <c r="Q107" s="66">
        <f>'Project Database'!U111</f>
        <v>0</v>
      </c>
      <c r="R107" s="66">
        <f>'Project Database'!V111</f>
        <v>0</v>
      </c>
      <c r="S107" s="66">
        <f>'Project Database'!W111</f>
        <v>0</v>
      </c>
      <c r="T107" s="66">
        <f>'Project Database'!X111</f>
        <v>0</v>
      </c>
      <c r="U107" s="67">
        <f>'Project Database'!Y111</f>
        <v>0</v>
      </c>
      <c r="V107" s="66">
        <f>IF('Smart Search'!B13=1,IFERROR(1/'Smart Search'!H13,0),0)</f>
        <v>0</v>
      </c>
      <c r="W107" s="66">
        <f>IF('Smart Search'!B13=1,IFERROR(1/'Smart Search'!H13,0),0)</f>
        <v>0</v>
      </c>
      <c r="X107" s="66">
        <f>IF('Smart Search'!C13=1,IFERROR(1/'Smart Search'!H13,0),0)</f>
        <v>0.5</v>
      </c>
      <c r="Y107" s="66">
        <f>IF('Smart Search'!C13=1,IFERROR(1/'Smart Search'!H13,0),0)</f>
        <v>0.5</v>
      </c>
      <c r="Z107" s="66">
        <f>IF('Smart Search'!D13=1,IFERROR(1/'Smart Search'!H13,0),0)</f>
        <v>0</v>
      </c>
      <c r="AA107" s="66">
        <f>IF('Smart Search'!D13=1,IFERROR(1/'Smart Search'!H13,0),0)</f>
        <v>0</v>
      </c>
      <c r="AB107" s="66">
        <f>IF('Smart Search'!E13=1,IFERROR(1/'Smart Search'!H13,0),0)</f>
        <v>0</v>
      </c>
      <c r="AC107" s="66">
        <f>IF('Smart Search'!E13=1,IFERROR(1/'Smart Search'!H13,0),0)</f>
        <v>0</v>
      </c>
      <c r="AD107" s="66">
        <f>IF('Smart Search'!F13=1,IFERROR(1/'Smart Search'!H13,0),0)</f>
        <v>0</v>
      </c>
      <c r="AE107" s="66">
        <f>IF('Smart Search'!F13=1,IFERROR(1/'Smart Search'!H13,0),0)</f>
        <v>0</v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>0</v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>0</v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>0</v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>0</v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>0</v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>0</v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>0</v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>0</v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>0</v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>0</v>
      </c>
      <c r="AP107" s="66">
        <f t="shared" si="14"/>
        <v>0</v>
      </c>
      <c r="AQ107" s="66">
        <f t="shared" si="15"/>
        <v>0</v>
      </c>
      <c r="AR107" s="66">
        <f t="shared" si="16"/>
        <v>0</v>
      </c>
      <c r="AS107" s="66">
        <f t="shared" si="17"/>
        <v>0</v>
      </c>
      <c r="AT107" s="66">
        <f t="shared" si="18"/>
        <v>0</v>
      </c>
      <c r="AU107" s="66">
        <f t="shared" si="19"/>
        <v>0</v>
      </c>
      <c r="AV107" s="66">
        <f t="shared" si="20"/>
        <v>0</v>
      </c>
      <c r="AW107" s="66">
        <f t="shared" si="21"/>
        <v>0</v>
      </c>
      <c r="AX107" s="66">
        <f t="shared" si="22"/>
        <v>0</v>
      </c>
      <c r="AY107" s="66">
        <f t="shared" si="23"/>
        <v>0</v>
      </c>
      <c r="AZ107" s="66">
        <f>'Project Database'!Z111</f>
        <v>0</v>
      </c>
      <c r="BA107" s="66">
        <f>IF(OR(A107="",'Smart Search'!H13=0),"",MAX(0,BE107*BF107*MAX(0,1-BG107)))</f>
        <v>0</v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>0</v>
      </c>
      <c r="BC107" s="66">
        <f>IF('Smart Search'!G13=1,IFERROR(1/'Smart Search'!H13,0),0)</f>
        <v>0</v>
      </c>
      <c r="BD107" s="66">
        <f t="shared" si="24"/>
        <v>0</v>
      </c>
      <c r="BE107" s="66">
        <f t="shared" si="25"/>
        <v>0</v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>0</v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>0</v>
      </c>
      <c r="BH107" s="5" t="str">
        <f>IF(AND('Project Database'!A111&lt;&gt;"",OR('Smart Search'!$L$5="",'Smart Search'!$L$5="All",TRIM('Project Database'!D111)=TRIM('Smart Search'!$L$5)),OR(TRIM('Smart Search'!$L$6)="",TRIM('Smart Search'!$L$6)="All",ISNUMBER(SEARCH(SUBSTITUTE(SUBSTITUTE(SUBSTITUTE(TRIM('Smart Search'!$L$6),"~","~~"),"*","~*"),"?","~?"),'Project Database'!C111))),OR('Smart Search'!$L$7="",AND('Project Database'!E111&lt;&gt;"",'Project Database'!E111='Smart Search'!$L$7)),OR('Smart Search'!$L$8="",'Smart Search'!$L$8="All",TRIM('Project Database'!F111)=TRIM('Smart Search'!$L$8))),IF(BA107="","",BA107+ROW()*0.0000000001),"")</f>
        <v/>
      </c>
      <c r="BI107" s="5" t="str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 t="str">
        <f>IF('Project Database'!A111="","",N('Project Database'!AC111))</f>
        <v/>
      </c>
      <c r="BK107" s="5" t="str">
        <f>IF('Project Database'!A111="","",N('Project Database'!AD111))</f>
        <v/>
      </c>
      <c r="BL107" s="5" t="str">
        <f>IF('Project Database'!A111="","",N('Project Database'!AE111))</f>
        <v/>
      </c>
      <c r="BM107" s="5" t="str">
        <f>IF('Project Database'!A111="","",N('Project Database'!AF111))</f>
        <v/>
      </c>
      <c r="BN107" s="5" t="str">
        <f>IF('Project Database'!A111="","",N('Project Database'!AG111))</f>
        <v/>
      </c>
      <c r="BO107" s="5" t="str">
        <f>IF('Project Database'!A111="","",N('Project Database'!AH111))</f>
        <v/>
      </c>
      <c r="BP107" s="5" t="str">
        <f>IF('Project Database'!A111="","",N('Project Database'!AI111))</f>
        <v/>
      </c>
      <c r="BQ107" s="5" t="str">
        <f>IF('Project Database'!A111="","",N('Project Database'!AJ111))</f>
        <v/>
      </c>
      <c r="BR107" s="5" t="str">
        <f>IF('Project Database'!A111="","",N('Project Database'!AK111))</f>
        <v/>
      </c>
      <c r="BS107" s="5" t="str">
        <f>IF('Project Database'!A111="","",N('Project Database'!AL111))</f>
        <v/>
      </c>
      <c r="BT107" s="5" t="str">
        <f>IF('Project Database'!A111="","",N('Project Database'!AM111))</f>
        <v/>
      </c>
      <c r="BU107" s="5" t="str">
        <f>IF('Project Database'!A111="","",N('Project Database'!AN111))</f>
        <v/>
      </c>
      <c r="BV107" s="5" t="str">
        <f>IF('Project Database'!A111="","",N('Project Database'!AO111))</f>
        <v/>
      </c>
      <c r="BW107" s="5" t="str">
        <f>IF('Project Database'!A111="","",N('Project Database'!AP111))</f>
        <v/>
      </c>
      <c r="BX107" s="5">
        <f t="shared" si="26"/>
        <v>0</v>
      </c>
      <c r="BY107" s="5">
        <f t="shared" si="27"/>
        <v>0</v>
      </c>
    </row>
    <row r="108" spans="1:77" ht="15" customHeight="1" x14ac:dyDescent="0.3">
      <c r="A108" s="66">
        <f>'Project Database'!A112</f>
        <v>0</v>
      </c>
      <c r="B108" s="66">
        <f>'Project Database'!B112</f>
        <v>0</v>
      </c>
      <c r="C108" s="66">
        <f>'Project Database'!G112</f>
        <v>0</v>
      </c>
      <c r="D108" s="66">
        <f>'Project Database'!H112</f>
        <v>0</v>
      </c>
      <c r="E108" s="66">
        <f>'Project Database'!I112</f>
        <v>0</v>
      </c>
      <c r="F108" s="66">
        <f>'Project Database'!J112</f>
        <v>0</v>
      </c>
      <c r="G108" s="66">
        <f>'Project Database'!K112</f>
        <v>0</v>
      </c>
      <c r="H108" s="66">
        <f>'Project Database'!L112</f>
        <v>0</v>
      </c>
      <c r="I108" s="66">
        <f>'Project Database'!M112</f>
        <v>0</v>
      </c>
      <c r="J108" s="66">
        <f>'Project Database'!N112</f>
        <v>0</v>
      </c>
      <c r="K108" s="66">
        <f>'Project Database'!O112</f>
        <v>0</v>
      </c>
      <c r="L108" s="66">
        <f>'Project Database'!P112</f>
        <v>0</v>
      </c>
      <c r="M108" s="66">
        <f>'Project Database'!Q112</f>
        <v>0</v>
      </c>
      <c r="N108" s="66">
        <f>'Project Database'!R112</f>
        <v>0</v>
      </c>
      <c r="O108" s="66">
        <f>'Project Database'!S112</f>
        <v>0</v>
      </c>
      <c r="P108" s="66">
        <f>'Project Database'!T112</f>
        <v>0</v>
      </c>
      <c r="Q108" s="66">
        <f>'Project Database'!U112</f>
        <v>0</v>
      </c>
      <c r="R108" s="66">
        <f>'Project Database'!V112</f>
        <v>0</v>
      </c>
      <c r="S108" s="66">
        <f>'Project Database'!W112</f>
        <v>0</v>
      </c>
      <c r="T108" s="66">
        <f>'Project Database'!X112</f>
        <v>0</v>
      </c>
      <c r="U108" s="67">
        <f>'Project Database'!Y112</f>
        <v>0</v>
      </c>
      <c r="V108" s="66">
        <f>IF('Smart Search'!B13=1,IFERROR(1/'Smart Search'!H13,0),0)</f>
        <v>0</v>
      </c>
      <c r="W108" s="66">
        <f>IF('Smart Search'!B13=1,IFERROR(1/'Smart Search'!H13,0),0)</f>
        <v>0</v>
      </c>
      <c r="X108" s="66">
        <f>IF('Smart Search'!C13=1,IFERROR(1/'Smart Search'!H13,0),0)</f>
        <v>0.5</v>
      </c>
      <c r="Y108" s="66">
        <f>IF('Smart Search'!C13=1,IFERROR(1/'Smart Search'!H13,0),0)</f>
        <v>0.5</v>
      </c>
      <c r="Z108" s="66">
        <f>IF('Smart Search'!D13=1,IFERROR(1/'Smart Search'!H13,0),0)</f>
        <v>0</v>
      </c>
      <c r="AA108" s="66">
        <f>IF('Smart Search'!D13=1,IFERROR(1/'Smart Search'!H13,0),0)</f>
        <v>0</v>
      </c>
      <c r="AB108" s="66">
        <f>IF('Smart Search'!E13=1,IFERROR(1/'Smart Search'!H13,0),0)</f>
        <v>0</v>
      </c>
      <c r="AC108" s="66">
        <f>IF('Smart Search'!E13=1,IFERROR(1/'Smart Search'!H13,0),0)</f>
        <v>0</v>
      </c>
      <c r="AD108" s="66">
        <f>IF('Smart Search'!F13=1,IFERROR(1/'Smart Search'!H13,0),0)</f>
        <v>0</v>
      </c>
      <c r="AE108" s="66">
        <f>IF('Smart Search'!F13=1,IFERROR(1/'Smart Search'!H13,0),0)</f>
        <v>0</v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>0</v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>0</v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>0</v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>0</v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>0</v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>0</v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>0</v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>0</v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>0</v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>0</v>
      </c>
      <c r="AP108" s="66">
        <f t="shared" si="14"/>
        <v>0</v>
      </c>
      <c r="AQ108" s="66">
        <f t="shared" si="15"/>
        <v>0</v>
      </c>
      <c r="AR108" s="66">
        <f t="shared" si="16"/>
        <v>0</v>
      </c>
      <c r="AS108" s="66">
        <f t="shared" si="17"/>
        <v>0</v>
      </c>
      <c r="AT108" s="66">
        <f t="shared" si="18"/>
        <v>0</v>
      </c>
      <c r="AU108" s="66">
        <f t="shared" si="19"/>
        <v>0</v>
      </c>
      <c r="AV108" s="66">
        <f t="shared" si="20"/>
        <v>0</v>
      </c>
      <c r="AW108" s="66">
        <f t="shared" si="21"/>
        <v>0</v>
      </c>
      <c r="AX108" s="66">
        <f t="shared" si="22"/>
        <v>0</v>
      </c>
      <c r="AY108" s="66">
        <f t="shared" si="23"/>
        <v>0</v>
      </c>
      <c r="AZ108" s="66">
        <f>'Project Database'!Z112</f>
        <v>0</v>
      </c>
      <c r="BA108" s="66">
        <f>IF(OR(A108="",'Smart Search'!H13=0),"",MAX(0,BE108*BF108*MAX(0,1-BG108)))</f>
        <v>0</v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>0</v>
      </c>
      <c r="BC108" s="66">
        <f>IF('Smart Search'!G13=1,IFERROR(1/'Smart Search'!H13,0),0)</f>
        <v>0</v>
      </c>
      <c r="BD108" s="66">
        <f t="shared" si="24"/>
        <v>0</v>
      </c>
      <c r="BE108" s="66">
        <f t="shared" si="25"/>
        <v>0</v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>0</v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>0</v>
      </c>
      <c r="BH108" s="5" t="str">
        <f>IF(AND('Project Database'!A112&lt;&gt;"",OR('Smart Search'!$L$5="",'Smart Search'!$L$5="All",TRIM('Project Database'!D112)=TRIM('Smart Search'!$L$5)),OR(TRIM('Smart Search'!$L$6)="",TRIM('Smart Search'!$L$6)="All",ISNUMBER(SEARCH(SUBSTITUTE(SUBSTITUTE(SUBSTITUTE(TRIM('Smart Search'!$L$6),"~","~~"),"*","~*"),"?","~?"),'Project Database'!C112))),OR('Smart Search'!$L$7="",AND('Project Database'!E112&lt;&gt;"",'Project Database'!E112='Smart Search'!$L$7)),OR('Smart Search'!$L$8="",'Smart Search'!$L$8="All",TRIM('Project Database'!F112)=TRIM('Smart Search'!$L$8))),IF(BA108="","",BA108+ROW()*0.0000000001),"")</f>
        <v/>
      </c>
      <c r="BI108" s="5" t="str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 t="str">
        <f>IF('Project Database'!A112="","",N('Project Database'!AC112))</f>
        <v/>
      </c>
      <c r="BK108" s="5" t="str">
        <f>IF('Project Database'!A112="","",N('Project Database'!AD112))</f>
        <v/>
      </c>
      <c r="BL108" s="5" t="str">
        <f>IF('Project Database'!A112="","",N('Project Database'!AE112))</f>
        <v/>
      </c>
      <c r="BM108" s="5" t="str">
        <f>IF('Project Database'!A112="","",N('Project Database'!AF112))</f>
        <v/>
      </c>
      <c r="BN108" s="5" t="str">
        <f>IF('Project Database'!A112="","",N('Project Database'!AG112))</f>
        <v/>
      </c>
      <c r="BO108" s="5" t="str">
        <f>IF('Project Database'!A112="","",N('Project Database'!AH112))</f>
        <v/>
      </c>
      <c r="BP108" s="5" t="str">
        <f>IF('Project Database'!A112="","",N('Project Database'!AI112))</f>
        <v/>
      </c>
      <c r="BQ108" s="5" t="str">
        <f>IF('Project Database'!A112="","",N('Project Database'!AJ112))</f>
        <v/>
      </c>
      <c r="BR108" s="5" t="str">
        <f>IF('Project Database'!A112="","",N('Project Database'!AK112))</f>
        <v/>
      </c>
      <c r="BS108" s="5" t="str">
        <f>IF('Project Database'!A112="","",N('Project Database'!AL112))</f>
        <v/>
      </c>
      <c r="BT108" s="5" t="str">
        <f>IF('Project Database'!A112="","",N('Project Database'!AM112))</f>
        <v/>
      </c>
      <c r="BU108" s="5" t="str">
        <f>IF('Project Database'!A112="","",N('Project Database'!AN112))</f>
        <v/>
      </c>
      <c r="BV108" s="5" t="str">
        <f>IF('Project Database'!A112="","",N('Project Database'!AO112))</f>
        <v/>
      </c>
      <c r="BW108" s="5" t="str">
        <f>IF('Project Database'!A112="","",N('Project Database'!AP112))</f>
        <v/>
      </c>
      <c r="BX108" s="5">
        <f t="shared" si="26"/>
        <v>0</v>
      </c>
      <c r="BY108" s="5">
        <f t="shared" si="27"/>
        <v>0</v>
      </c>
    </row>
    <row r="109" spans="1:77" ht="15" customHeight="1" x14ac:dyDescent="0.3">
      <c r="A109" s="66">
        <f>'Project Database'!A113</f>
        <v>0</v>
      </c>
      <c r="B109" s="66">
        <f>'Project Database'!B113</f>
        <v>0</v>
      </c>
      <c r="C109" s="66">
        <f>'Project Database'!G113</f>
        <v>0</v>
      </c>
      <c r="D109" s="66">
        <f>'Project Database'!H113</f>
        <v>0</v>
      </c>
      <c r="E109" s="66">
        <f>'Project Database'!I113</f>
        <v>0</v>
      </c>
      <c r="F109" s="66">
        <f>'Project Database'!J113</f>
        <v>0</v>
      </c>
      <c r="G109" s="66">
        <f>'Project Database'!K113</f>
        <v>0</v>
      </c>
      <c r="H109" s="66">
        <f>'Project Database'!L113</f>
        <v>0</v>
      </c>
      <c r="I109" s="66">
        <f>'Project Database'!M113</f>
        <v>0</v>
      </c>
      <c r="J109" s="66">
        <f>'Project Database'!N113</f>
        <v>0</v>
      </c>
      <c r="K109" s="66">
        <f>'Project Database'!O113</f>
        <v>0</v>
      </c>
      <c r="L109" s="66">
        <f>'Project Database'!P113</f>
        <v>0</v>
      </c>
      <c r="M109" s="66">
        <f>'Project Database'!Q113</f>
        <v>0</v>
      </c>
      <c r="N109" s="66">
        <f>'Project Database'!R113</f>
        <v>0</v>
      </c>
      <c r="O109" s="66">
        <f>'Project Database'!S113</f>
        <v>0</v>
      </c>
      <c r="P109" s="66">
        <f>'Project Database'!T113</f>
        <v>0</v>
      </c>
      <c r="Q109" s="66">
        <f>'Project Database'!U113</f>
        <v>0</v>
      </c>
      <c r="R109" s="66">
        <f>'Project Database'!V113</f>
        <v>0</v>
      </c>
      <c r="S109" s="66">
        <f>'Project Database'!W113</f>
        <v>0</v>
      </c>
      <c r="T109" s="66">
        <f>'Project Database'!X113</f>
        <v>0</v>
      </c>
      <c r="U109" s="67">
        <f>'Project Database'!Y113</f>
        <v>0</v>
      </c>
      <c r="V109" s="66">
        <f>IF('Smart Search'!B13=1,IFERROR(1/'Smart Search'!H13,0),0)</f>
        <v>0</v>
      </c>
      <c r="W109" s="66">
        <f>IF('Smart Search'!B13=1,IFERROR(1/'Smart Search'!H13,0),0)</f>
        <v>0</v>
      </c>
      <c r="X109" s="66">
        <f>IF('Smart Search'!C13=1,IFERROR(1/'Smart Search'!H13,0),0)</f>
        <v>0.5</v>
      </c>
      <c r="Y109" s="66">
        <f>IF('Smart Search'!C13=1,IFERROR(1/'Smart Search'!H13,0),0)</f>
        <v>0.5</v>
      </c>
      <c r="Z109" s="66">
        <f>IF('Smart Search'!D13=1,IFERROR(1/'Smart Search'!H13,0),0)</f>
        <v>0</v>
      </c>
      <c r="AA109" s="66">
        <f>IF('Smart Search'!D13=1,IFERROR(1/'Smart Search'!H13,0),0)</f>
        <v>0</v>
      </c>
      <c r="AB109" s="66">
        <f>IF('Smart Search'!E13=1,IFERROR(1/'Smart Search'!H13,0),0)</f>
        <v>0</v>
      </c>
      <c r="AC109" s="66">
        <f>IF('Smart Search'!E13=1,IFERROR(1/'Smart Search'!H13,0),0)</f>
        <v>0</v>
      </c>
      <c r="AD109" s="66">
        <f>IF('Smart Search'!F13=1,IFERROR(1/'Smart Search'!H13,0),0)</f>
        <v>0</v>
      </c>
      <c r="AE109" s="66">
        <f>IF('Smart Search'!F13=1,IFERROR(1/'Smart Search'!H13,0),0)</f>
        <v>0</v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>0</v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>0</v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>0</v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>0</v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>0</v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>0</v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>0</v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>0</v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>0</v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>0</v>
      </c>
      <c r="AP109" s="66">
        <f t="shared" si="14"/>
        <v>0</v>
      </c>
      <c r="AQ109" s="66">
        <f t="shared" si="15"/>
        <v>0</v>
      </c>
      <c r="AR109" s="66">
        <f t="shared" si="16"/>
        <v>0</v>
      </c>
      <c r="AS109" s="66">
        <f t="shared" si="17"/>
        <v>0</v>
      </c>
      <c r="AT109" s="66">
        <f t="shared" si="18"/>
        <v>0</v>
      </c>
      <c r="AU109" s="66">
        <f t="shared" si="19"/>
        <v>0</v>
      </c>
      <c r="AV109" s="66">
        <f t="shared" si="20"/>
        <v>0</v>
      </c>
      <c r="AW109" s="66">
        <f t="shared" si="21"/>
        <v>0</v>
      </c>
      <c r="AX109" s="66">
        <f t="shared" si="22"/>
        <v>0</v>
      </c>
      <c r="AY109" s="66">
        <f t="shared" si="23"/>
        <v>0</v>
      </c>
      <c r="AZ109" s="66">
        <f>'Project Database'!Z113</f>
        <v>0</v>
      </c>
      <c r="BA109" s="66">
        <f>IF(OR(A109="",'Smart Search'!H13=0),"",MAX(0,BE109*BF109*MAX(0,1-BG109)))</f>
        <v>0</v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>0</v>
      </c>
      <c r="BC109" s="66">
        <f>IF('Smart Search'!G13=1,IFERROR(1/'Smart Search'!H13,0),0)</f>
        <v>0</v>
      </c>
      <c r="BD109" s="66">
        <f t="shared" si="24"/>
        <v>0</v>
      </c>
      <c r="BE109" s="66">
        <f t="shared" si="25"/>
        <v>0</v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>0</v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>0</v>
      </c>
      <c r="BH109" s="5" t="str">
        <f>IF(AND('Project Database'!A113&lt;&gt;"",OR('Smart Search'!$L$5="",'Smart Search'!$L$5="All",TRIM('Project Database'!D113)=TRIM('Smart Search'!$L$5)),OR(TRIM('Smart Search'!$L$6)="",TRIM('Smart Search'!$L$6)="All",ISNUMBER(SEARCH(SUBSTITUTE(SUBSTITUTE(SUBSTITUTE(TRIM('Smart Search'!$L$6),"~","~~"),"*","~*"),"?","~?"),'Project Database'!C113))),OR('Smart Search'!$L$7="",AND('Project Database'!E113&lt;&gt;"",'Project Database'!E113='Smart Search'!$L$7)),OR('Smart Search'!$L$8="",'Smart Search'!$L$8="All",TRIM('Project Database'!F113)=TRIM('Smart Search'!$L$8))),IF(BA109="","",BA109+ROW()*0.0000000001),"")</f>
        <v/>
      </c>
      <c r="BI109" s="5" t="str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 t="str">
        <f>IF('Project Database'!A113="","",N('Project Database'!AC113))</f>
        <v/>
      </c>
      <c r="BK109" s="5" t="str">
        <f>IF('Project Database'!A113="","",N('Project Database'!AD113))</f>
        <v/>
      </c>
      <c r="BL109" s="5" t="str">
        <f>IF('Project Database'!A113="","",N('Project Database'!AE113))</f>
        <v/>
      </c>
      <c r="BM109" s="5" t="str">
        <f>IF('Project Database'!A113="","",N('Project Database'!AF113))</f>
        <v/>
      </c>
      <c r="BN109" s="5" t="str">
        <f>IF('Project Database'!A113="","",N('Project Database'!AG113))</f>
        <v/>
      </c>
      <c r="BO109" s="5" t="str">
        <f>IF('Project Database'!A113="","",N('Project Database'!AH113))</f>
        <v/>
      </c>
      <c r="BP109" s="5" t="str">
        <f>IF('Project Database'!A113="","",N('Project Database'!AI113))</f>
        <v/>
      </c>
      <c r="BQ109" s="5" t="str">
        <f>IF('Project Database'!A113="","",N('Project Database'!AJ113))</f>
        <v/>
      </c>
      <c r="BR109" s="5" t="str">
        <f>IF('Project Database'!A113="","",N('Project Database'!AK113))</f>
        <v/>
      </c>
      <c r="BS109" s="5" t="str">
        <f>IF('Project Database'!A113="","",N('Project Database'!AL113))</f>
        <v/>
      </c>
      <c r="BT109" s="5" t="str">
        <f>IF('Project Database'!A113="","",N('Project Database'!AM113))</f>
        <v/>
      </c>
      <c r="BU109" s="5" t="str">
        <f>IF('Project Database'!A113="","",N('Project Database'!AN113))</f>
        <v/>
      </c>
      <c r="BV109" s="5" t="str">
        <f>IF('Project Database'!A113="","",N('Project Database'!AO113))</f>
        <v/>
      </c>
      <c r="BW109" s="5" t="str">
        <f>IF('Project Database'!A113="","",N('Project Database'!AP113))</f>
        <v/>
      </c>
      <c r="BX109" s="5">
        <f t="shared" si="26"/>
        <v>0</v>
      </c>
      <c r="BY109" s="5">
        <f t="shared" si="27"/>
        <v>0</v>
      </c>
    </row>
    <row r="110" spans="1:77" ht="15" customHeight="1" x14ac:dyDescent="0.3">
      <c r="A110" s="66">
        <f>'Project Database'!A114</f>
        <v>0</v>
      </c>
      <c r="B110" s="66">
        <f>'Project Database'!B114</f>
        <v>0</v>
      </c>
      <c r="C110" s="66">
        <f>'Project Database'!G114</f>
        <v>0</v>
      </c>
      <c r="D110" s="66">
        <f>'Project Database'!H114</f>
        <v>0</v>
      </c>
      <c r="E110" s="66">
        <f>'Project Database'!I114</f>
        <v>0</v>
      </c>
      <c r="F110" s="66">
        <f>'Project Database'!J114</f>
        <v>0</v>
      </c>
      <c r="G110" s="66">
        <f>'Project Database'!K114</f>
        <v>0</v>
      </c>
      <c r="H110" s="66">
        <f>'Project Database'!L114</f>
        <v>0</v>
      </c>
      <c r="I110" s="66">
        <f>'Project Database'!M114</f>
        <v>0</v>
      </c>
      <c r="J110" s="66">
        <f>'Project Database'!N114</f>
        <v>0</v>
      </c>
      <c r="K110" s="66">
        <f>'Project Database'!O114</f>
        <v>0</v>
      </c>
      <c r="L110" s="66">
        <f>'Project Database'!P114</f>
        <v>0</v>
      </c>
      <c r="M110" s="66">
        <f>'Project Database'!Q114</f>
        <v>0</v>
      </c>
      <c r="N110" s="66">
        <f>'Project Database'!R114</f>
        <v>0</v>
      </c>
      <c r="O110" s="66">
        <f>'Project Database'!S114</f>
        <v>0</v>
      </c>
      <c r="P110" s="66">
        <f>'Project Database'!T114</f>
        <v>0</v>
      </c>
      <c r="Q110" s="66">
        <f>'Project Database'!U114</f>
        <v>0</v>
      </c>
      <c r="R110" s="66">
        <f>'Project Database'!V114</f>
        <v>0</v>
      </c>
      <c r="S110" s="66">
        <f>'Project Database'!W114</f>
        <v>0</v>
      </c>
      <c r="T110" s="66">
        <f>'Project Database'!X114</f>
        <v>0</v>
      </c>
      <c r="U110" s="67">
        <f>'Project Database'!Y114</f>
        <v>0</v>
      </c>
      <c r="V110" s="66">
        <f>IF('Smart Search'!B13=1,IFERROR(1/'Smart Search'!H13,0),0)</f>
        <v>0</v>
      </c>
      <c r="W110" s="66">
        <f>IF('Smart Search'!B13=1,IFERROR(1/'Smart Search'!H13,0),0)</f>
        <v>0</v>
      </c>
      <c r="X110" s="66">
        <f>IF('Smart Search'!C13=1,IFERROR(1/'Smart Search'!H13,0),0)</f>
        <v>0.5</v>
      </c>
      <c r="Y110" s="66">
        <f>IF('Smart Search'!C13=1,IFERROR(1/'Smart Search'!H13,0),0)</f>
        <v>0.5</v>
      </c>
      <c r="Z110" s="66">
        <f>IF('Smart Search'!D13=1,IFERROR(1/'Smart Search'!H13,0),0)</f>
        <v>0</v>
      </c>
      <c r="AA110" s="66">
        <f>IF('Smart Search'!D13=1,IFERROR(1/'Smart Search'!H13,0),0)</f>
        <v>0</v>
      </c>
      <c r="AB110" s="66">
        <f>IF('Smart Search'!E13=1,IFERROR(1/'Smart Search'!H13,0),0)</f>
        <v>0</v>
      </c>
      <c r="AC110" s="66">
        <f>IF('Smart Search'!E13=1,IFERROR(1/'Smart Search'!H13,0),0)</f>
        <v>0</v>
      </c>
      <c r="AD110" s="66">
        <f>IF('Smart Search'!F13=1,IFERROR(1/'Smart Search'!H13,0),0)</f>
        <v>0</v>
      </c>
      <c r="AE110" s="66">
        <f>IF('Smart Search'!F13=1,IFERROR(1/'Smart Search'!H13,0),0)</f>
        <v>0</v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>0</v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>0</v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>0</v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>0</v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>0</v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>0</v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>0</v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>0</v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>0</v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>0</v>
      </c>
      <c r="AP110" s="66">
        <f t="shared" si="14"/>
        <v>0</v>
      </c>
      <c r="AQ110" s="66">
        <f t="shared" si="15"/>
        <v>0</v>
      </c>
      <c r="AR110" s="66">
        <f t="shared" si="16"/>
        <v>0</v>
      </c>
      <c r="AS110" s="66">
        <f t="shared" si="17"/>
        <v>0</v>
      </c>
      <c r="AT110" s="66">
        <f t="shared" si="18"/>
        <v>0</v>
      </c>
      <c r="AU110" s="66">
        <f t="shared" si="19"/>
        <v>0</v>
      </c>
      <c r="AV110" s="66">
        <f t="shared" si="20"/>
        <v>0</v>
      </c>
      <c r="AW110" s="66">
        <f t="shared" si="21"/>
        <v>0</v>
      </c>
      <c r="AX110" s="66">
        <f t="shared" si="22"/>
        <v>0</v>
      </c>
      <c r="AY110" s="66">
        <f t="shared" si="23"/>
        <v>0</v>
      </c>
      <c r="AZ110" s="66">
        <f>'Project Database'!Z114</f>
        <v>0</v>
      </c>
      <c r="BA110" s="66">
        <f>IF(OR(A110="",'Smart Search'!H13=0),"",MAX(0,BE110*BF110*MAX(0,1-BG110)))</f>
        <v>0</v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>0</v>
      </c>
      <c r="BC110" s="66">
        <f>IF('Smart Search'!G13=1,IFERROR(1/'Smart Search'!H13,0),0)</f>
        <v>0</v>
      </c>
      <c r="BD110" s="66">
        <f t="shared" si="24"/>
        <v>0</v>
      </c>
      <c r="BE110" s="66">
        <f t="shared" si="25"/>
        <v>0</v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>0</v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>0</v>
      </c>
      <c r="BH110" s="5" t="str">
        <f>IF(AND('Project Database'!A114&lt;&gt;"",OR('Smart Search'!$L$5="",'Smart Search'!$L$5="All",TRIM('Project Database'!D114)=TRIM('Smart Search'!$L$5)),OR(TRIM('Smart Search'!$L$6)="",TRIM('Smart Search'!$L$6)="All",ISNUMBER(SEARCH(SUBSTITUTE(SUBSTITUTE(SUBSTITUTE(TRIM('Smart Search'!$L$6),"~","~~"),"*","~*"),"?","~?"),'Project Database'!C114))),OR('Smart Search'!$L$7="",AND('Project Database'!E114&lt;&gt;"",'Project Database'!E114='Smart Search'!$L$7)),OR('Smart Search'!$L$8="",'Smart Search'!$L$8="All",TRIM('Project Database'!F114)=TRIM('Smart Search'!$L$8))),IF(BA110="","",BA110+ROW()*0.0000000001),"")</f>
        <v/>
      </c>
      <c r="BI110" s="5" t="str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 t="str">
        <f>IF('Project Database'!A114="","",N('Project Database'!AC114))</f>
        <v/>
      </c>
      <c r="BK110" s="5" t="str">
        <f>IF('Project Database'!A114="","",N('Project Database'!AD114))</f>
        <v/>
      </c>
      <c r="BL110" s="5" t="str">
        <f>IF('Project Database'!A114="","",N('Project Database'!AE114))</f>
        <v/>
      </c>
      <c r="BM110" s="5" t="str">
        <f>IF('Project Database'!A114="","",N('Project Database'!AF114))</f>
        <v/>
      </c>
      <c r="BN110" s="5" t="str">
        <f>IF('Project Database'!A114="","",N('Project Database'!AG114))</f>
        <v/>
      </c>
      <c r="BO110" s="5" t="str">
        <f>IF('Project Database'!A114="","",N('Project Database'!AH114))</f>
        <v/>
      </c>
      <c r="BP110" s="5" t="str">
        <f>IF('Project Database'!A114="","",N('Project Database'!AI114))</f>
        <v/>
      </c>
      <c r="BQ110" s="5" t="str">
        <f>IF('Project Database'!A114="","",N('Project Database'!AJ114))</f>
        <v/>
      </c>
      <c r="BR110" s="5" t="str">
        <f>IF('Project Database'!A114="","",N('Project Database'!AK114))</f>
        <v/>
      </c>
      <c r="BS110" s="5" t="str">
        <f>IF('Project Database'!A114="","",N('Project Database'!AL114))</f>
        <v/>
      </c>
      <c r="BT110" s="5" t="str">
        <f>IF('Project Database'!A114="","",N('Project Database'!AM114))</f>
        <v/>
      </c>
      <c r="BU110" s="5" t="str">
        <f>IF('Project Database'!A114="","",N('Project Database'!AN114))</f>
        <v/>
      </c>
      <c r="BV110" s="5" t="str">
        <f>IF('Project Database'!A114="","",N('Project Database'!AO114))</f>
        <v/>
      </c>
      <c r="BW110" s="5" t="str">
        <f>IF('Project Database'!A114="","",N('Project Database'!AP114))</f>
        <v/>
      </c>
      <c r="BX110" s="5">
        <f t="shared" si="26"/>
        <v>0</v>
      </c>
      <c r="BY110" s="5">
        <f t="shared" si="27"/>
        <v>0</v>
      </c>
    </row>
    <row r="111" spans="1:77" ht="15" customHeight="1" x14ac:dyDescent="0.3">
      <c r="A111" s="66">
        <f>'Project Database'!A115</f>
        <v>0</v>
      </c>
      <c r="B111" s="66">
        <f>'Project Database'!B115</f>
        <v>0</v>
      </c>
      <c r="C111" s="66">
        <f>'Project Database'!G115</f>
        <v>0</v>
      </c>
      <c r="D111" s="66">
        <f>'Project Database'!H115</f>
        <v>0</v>
      </c>
      <c r="E111" s="66">
        <f>'Project Database'!I115</f>
        <v>0</v>
      </c>
      <c r="F111" s="66">
        <f>'Project Database'!J115</f>
        <v>0</v>
      </c>
      <c r="G111" s="66">
        <f>'Project Database'!K115</f>
        <v>0</v>
      </c>
      <c r="H111" s="66">
        <f>'Project Database'!L115</f>
        <v>0</v>
      </c>
      <c r="I111" s="66">
        <f>'Project Database'!M115</f>
        <v>0</v>
      </c>
      <c r="J111" s="66">
        <f>'Project Database'!N115</f>
        <v>0</v>
      </c>
      <c r="K111" s="66">
        <f>'Project Database'!O115</f>
        <v>0</v>
      </c>
      <c r="L111" s="66">
        <f>'Project Database'!P115</f>
        <v>0</v>
      </c>
      <c r="M111" s="66">
        <f>'Project Database'!Q115</f>
        <v>0</v>
      </c>
      <c r="N111" s="66">
        <f>'Project Database'!R115</f>
        <v>0</v>
      </c>
      <c r="O111" s="66">
        <f>'Project Database'!S115</f>
        <v>0</v>
      </c>
      <c r="P111" s="66">
        <f>'Project Database'!T115</f>
        <v>0</v>
      </c>
      <c r="Q111" s="66">
        <f>'Project Database'!U115</f>
        <v>0</v>
      </c>
      <c r="R111" s="66">
        <f>'Project Database'!V115</f>
        <v>0</v>
      </c>
      <c r="S111" s="66">
        <f>'Project Database'!W115</f>
        <v>0</v>
      </c>
      <c r="T111" s="66">
        <f>'Project Database'!X115</f>
        <v>0</v>
      </c>
      <c r="U111" s="67">
        <f>'Project Database'!Y115</f>
        <v>0</v>
      </c>
      <c r="V111" s="66">
        <f>IF('Smart Search'!B13=1,IFERROR(1/'Smart Search'!H13,0),0)</f>
        <v>0</v>
      </c>
      <c r="W111" s="66">
        <f>IF('Smart Search'!B13=1,IFERROR(1/'Smart Search'!H13,0),0)</f>
        <v>0</v>
      </c>
      <c r="X111" s="66">
        <f>IF('Smart Search'!C13=1,IFERROR(1/'Smart Search'!H13,0),0)</f>
        <v>0.5</v>
      </c>
      <c r="Y111" s="66">
        <f>IF('Smart Search'!C13=1,IFERROR(1/'Smart Search'!H13,0),0)</f>
        <v>0.5</v>
      </c>
      <c r="Z111" s="66">
        <f>IF('Smart Search'!D13=1,IFERROR(1/'Smart Search'!H13,0),0)</f>
        <v>0</v>
      </c>
      <c r="AA111" s="66">
        <f>IF('Smart Search'!D13=1,IFERROR(1/'Smart Search'!H13,0),0)</f>
        <v>0</v>
      </c>
      <c r="AB111" s="66">
        <f>IF('Smart Search'!E13=1,IFERROR(1/'Smart Search'!H13,0),0)</f>
        <v>0</v>
      </c>
      <c r="AC111" s="66">
        <f>IF('Smart Search'!E13=1,IFERROR(1/'Smart Search'!H13,0),0)</f>
        <v>0</v>
      </c>
      <c r="AD111" s="66">
        <f>IF('Smart Search'!F13=1,IFERROR(1/'Smart Search'!H13,0),0)</f>
        <v>0</v>
      </c>
      <c r="AE111" s="66">
        <f>IF('Smart Search'!F13=1,IFERROR(1/'Smart Search'!H13,0),0)</f>
        <v>0</v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>0</v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>0</v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>0</v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>0</v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>0</v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>0</v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>0</v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>0</v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>0</v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>0</v>
      </c>
      <c r="AP111" s="66">
        <f t="shared" si="14"/>
        <v>0</v>
      </c>
      <c r="AQ111" s="66">
        <f t="shared" si="15"/>
        <v>0</v>
      </c>
      <c r="AR111" s="66">
        <f t="shared" si="16"/>
        <v>0</v>
      </c>
      <c r="AS111" s="66">
        <f t="shared" si="17"/>
        <v>0</v>
      </c>
      <c r="AT111" s="66">
        <f t="shared" si="18"/>
        <v>0</v>
      </c>
      <c r="AU111" s="66">
        <f t="shared" si="19"/>
        <v>0</v>
      </c>
      <c r="AV111" s="66">
        <f t="shared" si="20"/>
        <v>0</v>
      </c>
      <c r="AW111" s="66">
        <f t="shared" si="21"/>
        <v>0</v>
      </c>
      <c r="AX111" s="66">
        <f t="shared" si="22"/>
        <v>0</v>
      </c>
      <c r="AY111" s="66">
        <f t="shared" si="23"/>
        <v>0</v>
      </c>
      <c r="AZ111" s="66">
        <f>'Project Database'!Z115</f>
        <v>0</v>
      </c>
      <c r="BA111" s="66">
        <f>IF(OR(A111="",'Smart Search'!H13=0),"",MAX(0,BE111*BF111*MAX(0,1-BG111)))</f>
        <v>0</v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>0</v>
      </c>
      <c r="BC111" s="66">
        <f>IF('Smart Search'!G13=1,IFERROR(1/'Smart Search'!H13,0),0)</f>
        <v>0</v>
      </c>
      <c r="BD111" s="66">
        <f t="shared" si="24"/>
        <v>0</v>
      </c>
      <c r="BE111" s="66">
        <f t="shared" si="25"/>
        <v>0</v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>0</v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>0</v>
      </c>
      <c r="BH111" s="5" t="str">
        <f>IF(AND('Project Database'!A115&lt;&gt;"",OR('Smart Search'!$L$5="",'Smart Search'!$L$5="All",TRIM('Project Database'!D115)=TRIM('Smart Search'!$L$5)),OR(TRIM('Smart Search'!$L$6)="",TRIM('Smart Search'!$L$6)="All",ISNUMBER(SEARCH(SUBSTITUTE(SUBSTITUTE(SUBSTITUTE(TRIM('Smart Search'!$L$6),"~","~~"),"*","~*"),"?","~?"),'Project Database'!C115))),OR('Smart Search'!$L$7="",AND('Project Database'!E115&lt;&gt;"",'Project Database'!E115='Smart Search'!$L$7)),OR('Smart Search'!$L$8="",'Smart Search'!$L$8="All",TRIM('Project Database'!F115)=TRIM('Smart Search'!$L$8))),IF(BA111="","",BA111+ROW()*0.0000000001),"")</f>
        <v/>
      </c>
      <c r="BI111" s="5" t="str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 t="str">
        <f>IF('Project Database'!A115="","",N('Project Database'!AC115))</f>
        <v/>
      </c>
      <c r="BK111" s="5" t="str">
        <f>IF('Project Database'!A115="","",N('Project Database'!AD115))</f>
        <v/>
      </c>
      <c r="BL111" s="5" t="str">
        <f>IF('Project Database'!A115="","",N('Project Database'!AE115))</f>
        <v/>
      </c>
      <c r="BM111" s="5" t="str">
        <f>IF('Project Database'!A115="","",N('Project Database'!AF115))</f>
        <v/>
      </c>
      <c r="BN111" s="5" t="str">
        <f>IF('Project Database'!A115="","",N('Project Database'!AG115))</f>
        <v/>
      </c>
      <c r="BO111" s="5" t="str">
        <f>IF('Project Database'!A115="","",N('Project Database'!AH115))</f>
        <v/>
      </c>
      <c r="BP111" s="5" t="str">
        <f>IF('Project Database'!A115="","",N('Project Database'!AI115))</f>
        <v/>
      </c>
      <c r="BQ111" s="5" t="str">
        <f>IF('Project Database'!A115="","",N('Project Database'!AJ115))</f>
        <v/>
      </c>
      <c r="BR111" s="5" t="str">
        <f>IF('Project Database'!A115="","",N('Project Database'!AK115))</f>
        <v/>
      </c>
      <c r="BS111" s="5" t="str">
        <f>IF('Project Database'!A115="","",N('Project Database'!AL115))</f>
        <v/>
      </c>
      <c r="BT111" s="5" t="str">
        <f>IF('Project Database'!A115="","",N('Project Database'!AM115))</f>
        <v/>
      </c>
      <c r="BU111" s="5" t="str">
        <f>IF('Project Database'!A115="","",N('Project Database'!AN115))</f>
        <v/>
      </c>
      <c r="BV111" s="5" t="str">
        <f>IF('Project Database'!A115="","",N('Project Database'!AO115))</f>
        <v/>
      </c>
      <c r="BW111" s="5" t="str">
        <f>IF('Project Database'!A115="","",N('Project Database'!AP115))</f>
        <v/>
      </c>
      <c r="BX111" s="5">
        <f t="shared" si="26"/>
        <v>0</v>
      </c>
      <c r="BY111" s="5">
        <f t="shared" si="27"/>
        <v>0</v>
      </c>
    </row>
    <row r="112" spans="1:77" ht="15" customHeight="1" x14ac:dyDescent="0.3">
      <c r="A112" s="66">
        <f>'Project Database'!A116</f>
        <v>0</v>
      </c>
      <c r="B112" s="66">
        <f>'Project Database'!B116</f>
        <v>0</v>
      </c>
      <c r="C112" s="66">
        <f>'Project Database'!G116</f>
        <v>0</v>
      </c>
      <c r="D112" s="66">
        <f>'Project Database'!H116</f>
        <v>0</v>
      </c>
      <c r="E112" s="66">
        <f>'Project Database'!I116</f>
        <v>0</v>
      </c>
      <c r="F112" s="66">
        <f>'Project Database'!J116</f>
        <v>0</v>
      </c>
      <c r="G112" s="66">
        <f>'Project Database'!K116</f>
        <v>0</v>
      </c>
      <c r="H112" s="66">
        <f>'Project Database'!L116</f>
        <v>0</v>
      </c>
      <c r="I112" s="66">
        <f>'Project Database'!M116</f>
        <v>0</v>
      </c>
      <c r="J112" s="66">
        <f>'Project Database'!N116</f>
        <v>0</v>
      </c>
      <c r="K112" s="66">
        <f>'Project Database'!O116</f>
        <v>0</v>
      </c>
      <c r="L112" s="66">
        <f>'Project Database'!P116</f>
        <v>0</v>
      </c>
      <c r="M112" s="66">
        <f>'Project Database'!Q116</f>
        <v>0</v>
      </c>
      <c r="N112" s="66">
        <f>'Project Database'!R116</f>
        <v>0</v>
      </c>
      <c r="O112" s="66">
        <f>'Project Database'!S116</f>
        <v>0</v>
      </c>
      <c r="P112" s="66">
        <f>'Project Database'!T116</f>
        <v>0</v>
      </c>
      <c r="Q112" s="66">
        <f>'Project Database'!U116</f>
        <v>0</v>
      </c>
      <c r="R112" s="66">
        <f>'Project Database'!V116</f>
        <v>0</v>
      </c>
      <c r="S112" s="66">
        <f>'Project Database'!W116</f>
        <v>0</v>
      </c>
      <c r="T112" s="66">
        <f>'Project Database'!X116</f>
        <v>0</v>
      </c>
      <c r="U112" s="67">
        <f>'Project Database'!Y116</f>
        <v>0</v>
      </c>
      <c r="V112" s="66">
        <f>IF('Smart Search'!B13=1,IFERROR(1/'Smart Search'!H13,0),0)</f>
        <v>0</v>
      </c>
      <c r="W112" s="66">
        <f>IF('Smart Search'!B13=1,IFERROR(1/'Smart Search'!H13,0),0)</f>
        <v>0</v>
      </c>
      <c r="X112" s="66">
        <f>IF('Smart Search'!C13=1,IFERROR(1/'Smart Search'!H13,0),0)</f>
        <v>0.5</v>
      </c>
      <c r="Y112" s="66">
        <f>IF('Smart Search'!C13=1,IFERROR(1/'Smart Search'!H13,0),0)</f>
        <v>0.5</v>
      </c>
      <c r="Z112" s="66">
        <f>IF('Smart Search'!D13=1,IFERROR(1/'Smart Search'!H13,0),0)</f>
        <v>0</v>
      </c>
      <c r="AA112" s="66">
        <f>IF('Smart Search'!D13=1,IFERROR(1/'Smart Search'!H13,0),0)</f>
        <v>0</v>
      </c>
      <c r="AB112" s="66">
        <f>IF('Smart Search'!E13=1,IFERROR(1/'Smart Search'!H13,0),0)</f>
        <v>0</v>
      </c>
      <c r="AC112" s="66">
        <f>IF('Smart Search'!E13=1,IFERROR(1/'Smart Search'!H13,0),0)</f>
        <v>0</v>
      </c>
      <c r="AD112" s="66">
        <f>IF('Smart Search'!F13=1,IFERROR(1/'Smart Search'!H13,0),0)</f>
        <v>0</v>
      </c>
      <c r="AE112" s="66">
        <f>IF('Smart Search'!F13=1,IFERROR(1/'Smart Search'!H13,0),0)</f>
        <v>0</v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>0</v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>0</v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>0</v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>0</v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>0</v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>0</v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>0</v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>0</v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>0</v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>0</v>
      </c>
      <c r="AP112" s="66">
        <f t="shared" si="14"/>
        <v>0</v>
      </c>
      <c r="AQ112" s="66">
        <f t="shared" si="15"/>
        <v>0</v>
      </c>
      <c r="AR112" s="66">
        <f t="shared" si="16"/>
        <v>0</v>
      </c>
      <c r="AS112" s="66">
        <f t="shared" si="17"/>
        <v>0</v>
      </c>
      <c r="AT112" s="66">
        <f t="shared" si="18"/>
        <v>0</v>
      </c>
      <c r="AU112" s="66">
        <f t="shared" si="19"/>
        <v>0</v>
      </c>
      <c r="AV112" s="66">
        <f t="shared" si="20"/>
        <v>0</v>
      </c>
      <c r="AW112" s="66">
        <f t="shared" si="21"/>
        <v>0</v>
      </c>
      <c r="AX112" s="66">
        <f t="shared" si="22"/>
        <v>0</v>
      </c>
      <c r="AY112" s="66">
        <f t="shared" si="23"/>
        <v>0</v>
      </c>
      <c r="AZ112" s="66">
        <f>'Project Database'!Z116</f>
        <v>0</v>
      </c>
      <c r="BA112" s="66">
        <f>IF(OR(A112="",'Smart Search'!H13=0),"",MAX(0,BE112*BF112*MAX(0,1-BG112)))</f>
        <v>0</v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>0</v>
      </c>
      <c r="BC112" s="66">
        <f>IF('Smart Search'!G13=1,IFERROR(1/'Smart Search'!H13,0),0)</f>
        <v>0</v>
      </c>
      <c r="BD112" s="66">
        <f t="shared" si="24"/>
        <v>0</v>
      </c>
      <c r="BE112" s="66">
        <f t="shared" si="25"/>
        <v>0</v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>0</v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>0</v>
      </c>
      <c r="BH112" s="5" t="str">
        <f>IF(AND('Project Database'!A116&lt;&gt;"",OR('Smart Search'!$L$5="",'Smart Search'!$L$5="All",TRIM('Project Database'!D116)=TRIM('Smart Search'!$L$5)),OR(TRIM('Smart Search'!$L$6)="",TRIM('Smart Search'!$L$6)="All",ISNUMBER(SEARCH(SUBSTITUTE(SUBSTITUTE(SUBSTITUTE(TRIM('Smart Search'!$L$6),"~","~~"),"*","~*"),"?","~?"),'Project Database'!C116))),OR('Smart Search'!$L$7="",AND('Project Database'!E116&lt;&gt;"",'Project Database'!E116='Smart Search'!$L$7)),OR('Smart Search'!$L$8="",'Smart Search'!$L$8="All",TRIM('Project Database'!F116)=TRIM('Smart Search'!$L$8))),IF(BA112="","",BA112+ROW()*0.0000000001),"")</f>
        <v/>
      </c>
      <c r="BI112" s="5" t="str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 t="str">
        <f>IF('Project Database'!A116="","",N('Project Database'!AC116))</f>
        <v/>
      </c>
      <c r="BK112" s="5" t="str">
        <f>IF('Project Database'!A116="","",N('Project Database'!AD116))</f>
        <v/>
      </c>
      <c r="BL112" s="5" t="str">
        <f>IF('Project Database'!A116="","",N('Project Database'!AE116))</f>
        <v/>
      </c>
      <c r="BM112" s="5" t="str">
        <f>IF('Project Database'!A116="","",N('Project Database'!AF116))</f>
        <v/>
      </c>
      <c r="BN112" s="5" t="str">
        <f>IF('Project Database'!A116="","",N('Project Database'!AG116))</f>
        <v/>
      </c>
      <c r="BO112" s="5" t="str">
        <f>IF('Project Database'!A116="","",N('Project Database'!AH116))</f>
        <v/>
      </c>
      <c r="BP112" s="5" t="str">
        <f>IF('Project Database'!A116="","",N('Project Database'!AI116))</f>
        <v/>
      </c>
      <c r="BQ112" s="5" t="str">
        <f>IF('Project Database'!A116="","",N('Project Database'!AJ116))</f>
        <v/>
      </c>
      <c r="BR112" s="5" t="str">
        <f>IF('Project Database'!A116="","",N('Project Database'!AK116))</f>
        <v/>
      </c>
      <c r="BS112" s="5" t="str">
        <f>IF('Project Database'!A116="","",N('Project Database'!AL116))</f>
        <v/>
      </c>
      <c r="BT112" s="5" t="str">
        <f>IF('Project Database'!A116="","",N('Project Database'!AM116))</f>
        <v/>
      </c>
      <c r="BU112" s="5" t="str">
        <f>IF('Project Database'!A116="","",N('Project Database'!AN116))</f>
        <v/>
      </c>
      <c r="BV112" s="5" t="str">
        <f>IF('Project Database'!A116="","",N('Project Database'!AO116))</f>
        <v/>
      </c>
      <c r="BW112" s="5" t="str">
        <f>IF('Project Database'!A116="","",N('Project Database'!AP116))</f>
        <v/>
      </c>
      <c r="BX112" s="5">
        <f t="shared" si="26"/>
        <v>0</v>
      </c>
      <c r="BY112" s="5">
        <f t="shared" si="27"/>
        <v>0</v>
      </c>
    </row>
    <row r="113" spans="1:77" ht="15" customHeight="1" x14ac:dyDescent="0.3">
      <c r="A113" s="66">
        <f>'Project Database'!A117</f>
        <v>0</v>
      </c>
      <c r="B113" s="66">
        <f>'Project Database'!B117</f>
        <v>0</v>
      </c>
      <c r="C113" s="66">
        <f>'Project Database'!G117</f>
        <v>0</v>
      </c>
      <c r="D113" s="66">
        <f>'Project Database'!H117</f>
        <v>0</v>
      </c>
      <c r="E113" s="66">
        <f>'Project Database'!I117</f>
        <v>0</v>
      </c>
      <c r="F113" s="66">
        <f>'Project Database'!J117</f>
        <v>0</v>
      </c>
      <c r="G113" s="66">
        <f>'Project Database'!K117</f>
        <v>0</v>
      </c>
      <c r="H113" s="66">
        <f>'Project Database'!L117</f>
        <v>0</v>
      </c>
      <c r="I113" s="66">
        <f>'Project Database'!M117</f>
        <v>0</v>
      </c>
      <c r="J113" s="66">
        <f>'Project Database'!N117</f>
        <v>0</v>
      </c>
      <c r="K113" s="66">
        <f>'Project Database'!O117</f>
        <v>0</v>
      </c>
      <c r="L113" s="66">
        <f>'Project Database'!P117</f>
        <v>0</v>
      </c>
      <c r="M113" s="66">
        <f>'Project Database'!Q117</f>
        <v>0</v>
      </c>
      <c r="N113" s="66">
        <f>'Project Database'!R117</f>
        <v>0</v>
      </c>
      <c r="O113" s="66">
        <f>'Project Database'!S117</f>
        <v>0</v>
      </c>
      <c r="P113" s="66">
        <f>'Project Database'!T117</f>
        <v>0</v>
      </c>
      <c r="Q113" s="66">
        <f>'Project Database'!U117</f>
        <v>0</v>
      </c>
      <c r="R113" s="66">
        <f>'Project Database'!V117</f>
        <v>0</v>
      </c>
      <c r="S113" s="66">
        <f>'Project Database'!W117</f>
        <v>0</v>
      </c>
      <c r="T113" s="66">
        <f>'Project Database'!X117</f>
        <v>0</v>
      </c>
      <c r="U113" s="67">
        <f>'Project Database'!Y117</f>
        <v>0</v>
      </c>
      <c r="V113" s="66">
        <f>IF('Smart Search'!B13=1,IFERROR(1/'Smart Search'!H13,0),0)</f>
        <v>0</v>
      </c>
      <c r="W113" s="66">
        <f>IF('Smart Search'!B13=1,IFERROR(1/'Smart Search'!H13,0),0)</f>
        <v>0</v>
      </c>
      <c r="X113" s="66">
        <f>IF('Smart Search'!C13=1,IFERROR(1/'Smart Search'!H13,0),0)</f>
        <v>0.5</v>
      </c>
      <c r="Y113" s="66">
        <f>IF('Smart Search'!C13=1,IFERROR(1/'Smart Search'!H13,0),0)</f>
        <v>0.5</v>
      </c>
      <c r="Z113" s="66">
        <f>IF('Smart Search'!D13=1,IFERROR(1/'Smart Search'!H13,0),0)</f>
        <v>0</v>
      </c>
      <c r="AA113" s="66">
        <f>IF('Smart Search'!D13=1,IFERROR(1/'Smart Search'!H13,0),0)</f>
        <v>0</v>
      </c>
      <c r="AB113" s="66">
        <f>IF('Smart Search'!E13=1,IFERROR(1/'Smart Search'!H13,0),0)</f>
        <v>0</v>
      </c>
      <c r="AC113" s="66">
        <f>IF('Smart Search'!E13=1,IFERROR(1/'Smart Search'!H13,0),0)</f>
        <v>0</v>
      </c>
      <c r="AD113" s="66">
        <f>IF('Smart Search'!F13=1,IFERROR(1/'Smart Search'!H13,0),0)</f>
        <v>0</v>
      </c>
      <c r="AE113" s="66">
        <f>IF('Smart Search'!F13=1,IFERROR(1/'Smart Search'!H13,0),0)</f>
        <v>0</v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>0</v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>0</v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>0</v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>0</v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>0</v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>0</v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>0</v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>0</v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>0</v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>0</v>
      </c>
      <c r="AP113" s="66">
        <f t="shared" si="14"/>
        <v>0</v>
      </c>
      <c r="AQ113" s="66">
        <f t="shared" si="15"/>
        <v>0</v>
      </c>
      <c r="AR113" s="66">
        <f t="shared" si="16"/>
        <v>0</v>
      </c>
      <c r="AS113" s="66">
        <f t="shared" si="17"/>
        <v>0</v>
      </c>
      <c r="AT113" s="66">
        <f t="shared" si="18"/>
        <v>0</v>
      </c>
      <c r="AU113" s="66">
        <f t="shared" si="19"/>
        <v>0</v>
      </c>
      <c r="AV113" s="66">
        <f t="shared" si="20"/>
        <v>0</v>
      </c>
      <c r="AW113" s="66">
        <f t="shared" si="21"/>
        <v>0</v>
      </c>
      <c r="AX113" s="66">
        <f t="shared" si="22"/>
        <v>0</v>
      </c>
      <c r="AY113" s="66">
        <f t="shared" si="23"/>
        <v>0</v>
      </c>
      <c r="AZ113" s="66">
        <f>'Project Database'!Z117</f>
        <v>0</v>
      </c>
      <c r="BA113" s="66">
        <f>IF(OR(A113="",'Smart Search'!H13=0),"",MAX(0,BE113*BF113*MAX(0,1-BG113)))</f>
        <v>0</v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>0</v>
      </c>
      <c r="BC113" s="66">
        <f>IF('Smart Search'!G13=1,IFERROR(1/'Smart Search'!H13,0),0)</f>
        <v>0</v>
      </c>
      <c r="BD113" s="66">
        <f t="shared" si="24"/>
        <v>0</v>
      </c>
      <c r="BE113" s="66">
        <f t="shared" si="25"/>
        <v>0</v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>0</v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>0</v>
      </c>
      <c r="BH113" s="5" t="str">
        <f>IF(AND('Project Database'!A117&lt;&gt;"",OR('Smart Search'!$L$5="",'Smart Search'!$L$5="All",TRIM('Project Database'!D117)=TRIM('Smart Search'!$L$5)),OR(TRIM('Smart Search'!$L$6)="",TRIM('Smart Search'!$L$6)="All",ISNUMBER(SEARCH(SUBSTITUTE(SUBSTITUTE(SUBSTITUTE(TRIM('Smart Search'!$L$6),"~","~~"),"*","~*"),"?","~?"),'Project Database'!C117))),OR('Smart Search'!$L$7="",AND('Project Database'!E117&lt;&gt;"",'Project Database'!E117='Smart Search'!$L$7)),OR('Smart Search'!$L$8="",'Smart Search'!$L$8="All",TRIM('Project Database'!F117)=TRIM('Smart Search'!$L$8))),IF(BA113="","",BA113+ROW()*0.0000000001),"")</f>
        <v/>
      </c>
      <c r="BI113" s="5" t="str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 t="str">
        <f>IF('Project Database'!A117="","",N('Project Database'!AC117))</f>
        <v/>
      </c>
      <c r="BK113" s="5" t="str">
        <f>IF('Project Database'!A117="","",N('Project Database'!AD117))</f>
        <v/>
      </c>
      <c r="BL113" s="5" t="str">
        <f>IF('Project Database'!A117="","",N('Project Database'!AE117))</f>
        <v/>
      </c>
      <c r="BM113" s="5" t="str">
        <f>IF('Project Database'!A117="","",N('Project Database'!AF117))</f>
        <v/>
      </c>
      <c r="BN113" s="5" t="str">
        <f>IF('Project Database'!A117="","",N('Project Database'!AG117))</f>
        <v/>
      </c>
      <c r="BO113" s="5" t="str">
        <f>IF('Project Database'!A117="","",N('Project Database'!AH117))</f>
        <v/>
      </c>
      <c r="BP113" s="5" t="str">
        <f>IF('Project Database'!A117="","",N('Project Database'!AI117))</f>
        <v/>
      </c>
      <c r="BQ113" s="5" t="str">
        <f>IF('Project Database'!A117="","",N('Project Database'!AJ117))</f>
        <v/>
      </c>
      <c r="BR113" s="5" t="str">
        <f>IF('Project Database'!A117="","",N('Project Database'!AK117))</f>
        <v/>
      </c>
      <c r="BS113" s="5" t="str">
        <f>IF('Project Database'!A117="","",N('Project Database'!AL117))</f>
        <v/>
      </c>
      <c r="BT113" s="5" t="str">
        <f>IF('Project Database'!A117="","",N('Project Database'!AM117))</f>
        <v/>
      </c>
      <c r="BU113" s="5" t="str">
        <f>IF('Project Database'!A117="","",N('Project Database'!AN117))</f>
        <v/>
      </c>
      <c r="BV113" s="5" t="str">
        <f>IF('Project Database'!A117="","",N('Project Database'!AO117))</f>
        <v/>
      </c>
      <c r="BW113" s="5" t="str">
        <f>IF('Project Database'!A117="","",N('Project Database'!AP117))</f>
        <v/>
      </c>
      <c r="BX113" s="5">
        <f t="shared" si="26"/>
        <v>0</v>
      </c>
      <c r="BY113" s="5">
        <f t="shared" si="27"/>
        <v>0</v>
      </c>
    </row>
    <row r="114" spans="1:77" ht="15" customHeight="1" x14ac:dyDescent="0.3">
      <c r="A114" s="66">
        <f>'Project Database'!A118</f>
        <v>0</v>
      </c>
      <c r="B114" s="66">
        <f>'Project Database'!B118</f>
        <v>0</v>
      </c>
      <c r="C114" s="66">
        <f>'Project Database'!G118</f>
        <v>0</v>
      </c>
      <c r="D114" s="66">
        <f>'Project Database'!H118</f>
        <v>0</v>
      </c>
      <c r="E114" s="66">
        <f>'Project Database'!I118</f>
        <v>0</v>
      </c>
      <c r="F114" s="66">
        <f>'Project Database'!J118</f>
        <v>0</v>
      </c>
      <c r="G114" s="66">
        <f>'Project Database'!K118</f>
        <v>0</v>
      </c>
      <c r="H114" s="66">
        <f>'Project Database'!L118</f>
        <v>0</v>
      </c>
      <c r="I114" s="66">
        <f>'Project Database'!M118</f>
        <v>0</v>
      </c>
      <c r="J114" s="66">
        <f>'Project Database'!N118</f>
        <v>0</v>
      </c>
      <c r="K114" s="66">
        <f>'Project Database'!O118</f>
        <v>0</v>
      </c>
      <c r="L114" s="66">
        <f>'Project Database'!P118</f>
        <v>0</v>
      </c>
      <c r="M114" s="66">
        <f>'Project Database'!Q118</f>
        <v>0</v>
      </c>
      <c r="N114" s="66">
        <f>'Project Database'!R118</f>
        <v>0</v>
      </c>
      <c r="O114" s="66">
        <f>'Project Database'!S118</f>
        <v>0</v>
      </c>
      <c r="P114" s="66">
        <f>'Project Database'!T118</f>
        <v>0</v>
      </c>
      <c r="Q114" s="66">
        <f>'Project Database'!U118</f>
        <v>0</v>
      </c>
      <c r="R114" s="66">
        <f>'Project Database'!V118</f>
        <v>0</v>
      </c>
      <c r="S114" s="66">
        <f>'Project Database'!W118</f>
        <v>0</v>
      </c>
      <c r="T114" s="66">
        <f>'Project Database'!X118</f>
        <v>0</v>
      </c>
      <c r="U114" s="67">
        <f>'Project Database'!Y118</f>
        <v>0</v>
      </c>
      <c r="V114" s="66">
        <f>IF('Smart Search'!B13=1,IFERROR(1/'Smart Search'!H13,0),0)</f>
        <v>0</v>
      </c>
      <c r="W114" s="66">
        <f>IF('Smart Search'!B13=1,IFERROR(1/'Smart Search'!H13,0),0)</f>
        <v>0</v>
      </c>
      <c r="X114" s="66">
        <f>IF('Smart Search'!C13=1,IFERROR(1/'Smart Search'!H13,0),0)</f>
        <v>0.5</v>
      </c>
      <c r="Y114" s="66">
        <f>IF('Smart Search'!C13=1,IFERROR(1/'Smart Search'!H13,0),0)</f>
        <v>0.5</v>
      </c>
      <c r="Z114" s="66">
        <f>IF('Smart Search'!D13=1,IFERROR(1/'Smart Search'!H13,0),0)</f>
        <v>0</v>
      </c>
      <c r="AA114" s="66">
        <f>IF('Smart Search'!D13=1,IFERROR(1/'Smart Search'!H13,0),0)</f>
        <v>0</v>
      </c>
      <c r="AB114" s="66">
        <f>IF('Smart Search'!E13=1,IFERROR(1/'Smart Search'!H13,0),0)</f>
        <v>0</v>
      </c>
      <c r="AC114" s="66">
        <f>IF('Smart Search'!E13=1,IFERROR(1/'Smart Search'!H13,0),0)</f>
        <v>0</v>
      </c>
      <c r="AD114" s="66">
        <f>IF('Smart Search'!F13=1,IFERROR(1/'Smart Search'!H13,0),0)</f>
        <v>0</v>
      </c>
      <c r="AE114" s="66">
        <f>IF('Smart Search'!F13=1,IFERROR(1/'Smart Search'!H13,0),0)</f>
        <v>0</v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>0</v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>0</v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>0</v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>0</v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>0</v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>0</v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>0</v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>0</v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>0</v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>0</v>
      </c>
      <c r="AP114" s="66">
        <f t="shared" si="14"/>
        <v>0</v>
      </c>
      <c r="AQ114" s="66">
        <f t="shared" si="15"/>
        <v>0</v>
      </c>
      <c r="AR114" s="66">
        <f t="shared" si="16"/>
        <v>0</v>
      </c>
      <c r="AS114" s="66">
        <f t="shared" si="17"/>
        <v>0</v>
      </c>
      <c r="AT114" s="66">
        <f t="shared" si="18"/>
        <v>0</v>
      </c>
      <c r="AU114" s="66">
        <f t="shared" si="19"/>
        <v>0</v>
      </c>
      <c r="AV114" s="66">
        <f t="shared" si="20"/>
        <v>0</v>
      </c>
      <c r="AW114" s="66">
        <f t="shared" si="21"/>
        <v>0</v>
      </c>
      <c r="AX114" s="66">
        <f t="shared" si="22"/>
        <v>0</v>
      </c>
      <c r="AY114" s="66">
        <f t="shared" si="23"/>
        <v>0</v>
      </c>
      <c r="AZ114" s="66">
        <f>'Project Database'!Z118</f>
        <v>0</v>
      </c>
      <c r="BA114" s="66">
        <f>IF(OR(A114="",'Smart Search'!H13=0),"",MAX(0,BE114*BF114*MAX(0,1-BG114)))</f>
        <v>0</v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>0</v>
      </c>
      <c r="BC114" s="66">
        <f>IF('Smart Search'!G13=1,IFERROR(1/'Smart Search'!H13,0),0)</f>
        <v>0</v>
      </c>
      <c r="BD114" s="66">
        <f t="shared" si="24"/>
        <v>0</v>
      </c>
      <c r="BE114" s="66">
        <f t="shared" si="25"/>
        <v>0</v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>0</v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>0</v>
      </c>
      <c r="BH114" s="5" t="str">
        <f>IF(AND('Project Database'!A118&lt;&gt;"",OR('Smart Search'!$L$5="",'Smart Search'!$L$5="All",TRIM('Project Database'!D118)=TRIM('Smart Search'!$L$5)),OR(TRIM('Smart Search'!$L$6)="",TRIM('Smart Search'!$L$6)="All",ISNUMBER(SEARCH(SUBSTITUTE(SUBSTITUTE(SUBSTITUTE(TRIM('Smart Search'!$L$6),"~","~~"),"*","~*"),"?","~?"),'Project Database'!C118))),OR('Smart Search'!$L$7="",AND('Project Database'!E118&lt;&gt;"",'Project Database'!E118='Smart Search'!$L$7)),OR('Smart Search'!$L$8="",'Smart Search'!$L$8="All",TRIM('Project Database'!F118)=TRIM('Smart Search'!$L$8))),IF(BA114="","",BA114+ROW()*0.0000000001),"")</f>
        <v/>
      </c>
      <c r="BI114" s="5" t="str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 t="str">
        <f>IF('Project Database'!A118="","",N('Project Database'!AC118))</f>
        <v/>
      </c>
      <c r="BK114" s="5" t="str">
        <f>IF('Project Database'!A118="","",N('Project Database'!AD118))</f>
        <v/>
      </c>
      <c r="BL114" s="5" t="str">
        <f>IF('Project Database'!A118="","",N('Project Database'!AE118))</f>
        <v/>
      </c>
      <c r="BM114" s="5" t="str">
        <f>IF('Project Database'!A118="","",N('Project Database'!AF118))</f>
        <v/>
      </c>
      <c r="BN114" s="5" t="str">
        <f>IF('Project Database'!A118="","",N('Project Database'!AG118))</f>
        <v/>
      </c>
      <c r="BO114" s="5" t="str">
        <f>IF('Project Database'!A118="","",N('Project Database'!AH118))</f>
        <v/>
      </c>
      <c r="BP114" s="5" t="str">
        <f>IF('Project Database'!A118="","",N('Project Database'!AI118))</f>
        <v/>
      </c>
      <c r="BQ114" s="5" t="str">
        <f>IF('Project Database'!A118="","",N('Project Database'!AJ118))</f>
        <v/>
      </c>
      <c r="BR114" s="5" t="str">
        <f>IF('Project Database'!A118="","",N('Project Database'!AK118))</f>
        <v/>
      </c>
      <c r="BS114" s="5" t="str">
        <f>IF('Project Database'!A118="","",N('Project Database'!AL118))</f>
        <v/>
      </c>
      <c r="BT114" s="5" t="str">
        <f>IF('Project Database'!A118="","",N('Project Database'!AM118))</f>
        <v/>
      </c>
      <c r="BU114" s="5" t="str">
        <f>IF('Project Database'!A118="","",N('Project Database'!AN118))</f>
        <v/>
      </c>
      <c r="BV114" s="5" t="str">
        <f>IF('Project Database'!A118="","",N('Project Database'!AO118))</f>
        <v/>
      </c>
      <c r="BW114" s="5" t="str">
        <f>IF('Project Database'!A118="","",N('Project Database'!AP118))</f>
        <v/>
      </c>
      <c r="BX114" s="5">
        <f t="shared" si="26"/>
        <v>0</v>
      </c>
      <c r="BY114" s="5">
        <f t="shared" si="27"/>
        <v>0</v>
      </c>
    </row>
    <row r="115" spans="1:77" ht="15" customHeight="1" x14ac:dyDescent="0.3">
      <c r="A115" s="66">
        <f>'Project Database'!A119</f>
        <v>0</v>
      </c>
      <c r="B115" s="66">
        <f>'Project Database'!B119</f>
        <v>0</v>
      </c>
      <c r="C115" s="66">
        <f>'Project Database'!G119</f>
        <v>0</v>
      </c>
      <c r="D115" s="66">
        <f>'Project Database'!H119</f>
        <v>0</v>
      </c>
      <c r="E115" s="66">
        <f>'Project Database'!I119</f>
        <v>0</v>
      </c>
      <c r="F115" s="66">
        <f>'Project Database'!J119</f>
        <v>0</v>
      </c>
      <c r="G115" s="66">
        <f>'Project Database'!K119</f>
        <v>0</v>
      </c>
      <c r="H115" s="66">
        <f>'Project Database'!L119</f>
        <v>0</v>
      </c>
      <c r="I115" s="66">
        <f>'Project Database'!M119</f>
        <v>0</v>
      </c>
      <c r="J115" s="66">
        <f>'Project Database'!N119</f>
        <v>0</v>
      </c>
      <c r="K115" s="66">
        <f>'Project Database'!O119</f>
        <v>0</v>
      </c>
      <c r="L115" s="66">
        <f>'Project Database'!P119</f>
        <v>0</v>
      </c>
      <c r="M115" s="66">
        <f>'Project Database'!Q119</f>
        <v>0</v>
      </c>
      <c r="N115" s="66">
        <f>'Project Database'!R119</f>
        <v>0</v>
      </c>
      <c r="O115" s="66">
        <f>'Project Database'!S119</f>
        <v>0</v>
      </c>
      <c r="P115" s="66">
        <f>'Project Database'!T119</f>
        <v>0</v>
      </c>
      <c r="Q115" s="66">
        <f>'Project Database'!U119</f>
        <v>0</v>
      </c>
      <c r="R115" s="66">
        <f>'Project Database'!V119</f>
        <v>0</v>
      </c>
      <c r="S115" s="66">
        <f>'Project Database'!W119</f>
        <v>0</v>
      </c>
      <c r="T115" s="66">
        <f>'Project Database'!X119</f>
        <v>0</v>
      </c>
      <c r="U115" s="67">
        <f>'Project Database'!Y119</f>
        <v>0</v>
      </c>
      <c r="V115" s="66">
        <f>IF('Smart Search'!B13=1,IFERROR(1/'Smart Search'!H13,0),0)</f>
        <v>0</v>
      </c>
      <c r="W115" s="66">
        <f>IF('Smart Search'!B13=1,IFERROR(1/'Smart Search'!H13,0),0)</f>
        <v>0</v>
      </c>
      <c r="X115" s="66">
        <f>IF('Smart Search'!C13=1,IFERROR(1/'Smart Search'!H13,0),0)</f>
        <v>0.5</v>
      </c>
      <c r="Y115" s="66">
        <f>IF('Smart Search'!C13=1,IFERROR(1/'Smart Search'!H13,0),0)</f>
        <v>0.5</v>
      </c>
      <c r="Z115" s="66">
        <f>IF('Smart Search'!D13=1,IFERROR(1/'Smart Search'!H13,0),0)</f>
        <v>0</v>
      </c>
      <c r="AA115" s="66">
        <f>IF('Smart Search'!D13=1,IFERROR(1/'Smart Search'!H13,0),0)</f>
        <v>0</v>
      </c>
      <c r="AB115" s="66">
        <f>IF('Smart Search'!E13=1,IFERROR(1/'Smart Search'!H13,0),0)</f>
        <v>0</v>
      </c>
      <c r="AC115" s="66">
        <f>IF('Smart Search'!E13=1,IFERROR(1/'Smart Search'!H13,0),0)</f>
        <v>0</v>
      </c>
      <c r="AD115" s="66">
        <f>IF('Smart Search'!F13=1,IFERROR(1/'Smart Search'!H13,0),0)</f>
        <v>0</v>
      </c>
      <c r="AE115" s="66">
        <f>IF('Smart Search'!F13=1,IFERROR(1/'Smart Search'!H13,0),0)</f>
        <v>0</v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>0</v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>0</v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>0</v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>0</v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>0</v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>0</v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>0</v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>0</v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>0</v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>0</v>
      </c>
      <c r="AP115" s="66">
        <f t="shared" si="14"/>
        <v>0</v>
      </c>
      <c r="AQ115" s="66">
        <f t="shared" si="15"/>
        <v>0</v>
      </c>
      <c r="AR115" s="66">
        <f t="shared" si="16"/>
        <v>0</v>
      </c>
      <c r="AS115" s="66">
        <f t="shared" si="17"/>
        <v>0</v>
      </c>
      <c r="AT115" s="66">
        <f t="shared" si="18"/>
        <v>0</v>
      </c>
      <c r="AU115" s="66">
        <f t="shared" si="19"/>
        <v>0</v>
      </c>
      <c r="AV115" s="66">
        <f t="shared" si="20"/>
        <v>0</v>
      </c>
      <c r="AW115" s="66">
        <f t="shared" si="21"/>
        <v>0</v>
      </c>
      <c r="AX115" s="66">
        <f t="shared" si="22"/>
        <v>0</v>
      </c>
      <c r="AY115" s="66">
        <f t="shared" si="23"/>
        <v>0</v>
      </c>
      <c r="AZ115" s="66">
        <f>'Project Database'!Z119</f>
        <v>0</v>
      </c>
      <c r="BA115" s="66">
        <f>IF(OR(A115="",'Smart Search'!H13=0),"",MAX(0,BE115*BF115*MAX(0,1-BG115)))</f>
        <v>0</v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>0</v>
      </c>
      <c r="BC115" s="66">
        <f>IF('Smart Search'!G13=1,IFERROR(1/'Smart Search'!H13,0),0)</f>
        <v>0</v>
      </c>
      <c r="BD115" s="66">
        <f t="shared" si="24"/>
        <v>0</v>
      </c>
      <c r="BE115" s="66">
        <f t="shared" si="25"/>
        <v>0</v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>0</v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>0</v>
      </c>
      <c r="BH115" s="5" t="str">
        <f>IF(AND('Project Database'!A119&lt;&gt;"",OR('Smart Search'!$L$5="",'Smart Search'!$L$5="All",TRIM('Project Database'!D119)=TRIM('Smart Search'!$L$5)),OR(TRIM('Smart Search'!$L$6)="",TRIM('Smart Search'!$L$6)="All",ISNUMBER(SEARCH(SUBSTITUTE(SUBSTITUTE(SUBSTITUTE(TRIM('Smart Search'!$L$6),"~","~~"),"*","~*"),"?","~?"),'Project Database'!C119))),OR('Smart Search'!$L$7="",AND('Project Database'!E119&lt;&gt;"",'Project Database'!E119='Smart Search'!$L$7)),OR('Smart Search'!$L$8="",'Smart Search'!$L$8="All",TRIM('Project Database'!F119)=TRIM('Smart Search'!$L$8))),IF(BA115="","",BA115+ROW()*0.0000000001),"")</f>
        <v/>
      </c>
      <c r="BI115" s="5" t="str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 t="str">
        <f>IF('Project Database'!A119="","",N('Project Database'!AC119))</f>
        <v/>
      </c>
      <c r="BK115" s="5" t="str">
        <f>IF('Project Database'!A119="","",N('Project Database'!AD119))</f>
        <v/>
      </c>
      <c r="BL115" s="5" t="str">
        <f>IF('Project Database'!A119="","",N('Project Database'!AE119))</f>
        <v/>
      </c>
      <c r="BM115" s="5" t="str">
        <f>IF('Project Database'!A119="","",N('Project Database'!AF119))</f>
        <v/>
      </c>
      <c r="BN115" s="5" t="str">
        <f>IF('Project Database'!A119="","",N('Project Database'!AG119))</f>
        <v/>
      </c>
      <c r="BO115" s="5" t="str">
        <f>IF('Project Database'!A119="","",N('Project Database'!AH119))</f>
        <v/>
      </c>
      <c r="BP115" s="5" t="str">
        <f>IF('Project Database'!A119="","",N('Project Database'!AI119))</f>
        <v/>
      </c>
      <c r="BQ115" s="5" t="str">
        <f>IF('Project Database'!A119="","",N('Project Database'!AJ119))</f>
        <v/>
      </c>
      <c r="BR115" s="5" t="str">
        <f>IF('Project Database'!A119="","",N('Project Database'!AK119))</f>
        <v/>
      </c>
      <c r="BS115" s="5" t="str">
        <f>IF('Project Database'!A119="","",N('Project Database'!AL119))</f>
        <v/>
      </c>
      <c r="BT115" s="5" t="str">
        <f>IF('Project Database'!A119="","",N('Project Database'!AM119))</f>
        <v/>
      </c>
      <c r="BU115" s="5" t="str">
        <f>IF('Project Database'!A119="","",N('Project Database'!AN119))</f>
        <v/>
      </c>
      <c r="BV115" s="5" t="str">
        <f>IF('Project Database'!A119="","",N('Project Database'!AO119))</f>
        <v/>
      </c>
      <c r="BW115" s="5" t="str">
        <f>IF('Project Database'!A119="","",N('Project Database'!AP119))</f>
        <v/>
      </c>
      <c r="BX115" s="5">
        <f t="shared" si="26"/>
        <v>0</v>
      </c>
      <c r="BY115" s="5">
        <f t="shared" si="27"/>
        <v>0</v>
      </c>
    </row>
    <row r="116" spans="1:77" ht="15" customHeight="1" x14ac:dyDescent="0.3">
      <c r="A116" s="66">
        <f>'Project Database'!A120</f>
        <v>0</v>
      </c>
      <c r="B116" s="66">
        <f>'Project Database'!B120</f>
        <v>0</v>
      </c>
      <c r="C116" s="66">
        <f>'Project Database'!G120</f>
        <v>0</v>
      </c>
      <c r="D116" s="66">
        <f>'Project Database'!H120</f>
        <v>0</v>
      </c>
      <c r="E116" s="66">
        <f>'Project Database'!I120</f>
        <v>0</v>
      </c>
      <c r="F116" s="66">
        <f>'Project Database'!J120</f>
        <v>0</v>
      </c>
      <c r="G116" s="66">
        <f>'Project Database'!K120</f>
        <v>0</v>
      </c>
      <c r="H116" s="66">
        <f>'Project Database'!L120</f>
        <v>0</v>
      </c>
      <c r="I116" s="66">
        <f>'Project Database'!M120</f>
        <v>0</v>
      </c>
      <c r="J116" s="66">
        <f>'Project Database'!N120</f>
        <v>0</v>
      </c>
      <c r="K116" s="66">
        <f>'Project Database'!O120</f>
        <v>0</v>
      </c>
      <c r="L116" s="66">
        <f>'Project Database'!P120</f>
        <v>0</v>
      </c>
      <c r="M116" s="66">
        <f>'Project Database'!Q120</f>
        <v>0</v>
      </c>
      <c r="N116" s="66">
        <f>'Project Database'!R120</f>
        <v>0</v>
      </c>
      <c r="O116" s="66">
        <f>'Project Database'!S120</f>
        <v>0</v>
      </c>
      <c r="P116" s="66">
        <f>'Project Database'!T120</f>
        <v>0</v>
      </c>
      <c r="Q116" s="66">
        <f>'Project Database'!U120</f>
        <v>0</v>
      </c>
      <c r="R116" s="66">
        <f>'Project Database'!V120</f>
        <v>0</v>
      </c>
      <c r="S116" s="66">
        <f>'Project Database'!W120</f>
        <v>0</v>
      </c>
      <c r="T116" s="66">
        <f>'Project Database'!X120</f>
        <v>0</v>
      </c>
      <c r="U116" s="67">
        <f>'Project Database'!Y120</f>
        <v>0</v>
      </c>
      <c r="V116" s="66">
        <f>IF('Smart Search'!B13=1,IFERROR(1/'Smart Search'!H13,0),0)</f>
        <v>0</v>
      </c>
      <c r="W116" s="66">
        <f>IF('Smart Search'!B13=1,IFERROR(1/'Smart Search'!H13,0),0)</f>
        <v>0</v>
      </c>
      <c r="X116" s="66">
        <f>IF('Smart Search'!C13=1,IFERROR(1/'Smart Search'!H13,0),0)</f>
        <v>0.5</v>
      </c>
      <c r="Y116" s="66">
        <f>IF('Smart Search'!C13=1,IFERROR(1/'Smart Search'!H13,0),0)</f>
        <v>0.5</v>
      </c>
      <c r="Z116" s="66">
        <f>IF('Smart Search'!D13=1,IFERROR(1/'Smart Search'!H13,0),0)</f>
        <v>0</v>
      </c>
      <c r="AA116" s="66">
        <f>IF('Smart Search'!D13=1,IFERROR(1/'Smart Search'!H13,0),0)</f>
        <v>0</v>
      </c>
      <c r="AB116" s="66">
        <f>IF('Smart Search'!E13=1,IFERROR(1/'Smart Search'!H13,0),0)</f>
        <v>0</v>
      </c>
      <c r="AC116" s="66">
        <f>IF('Smart Search'!E13=1,IFERROR(1/'Smart Search'!H13,0),0)</f>
        <v>0</v>
      </c>
      <c r="AD116" s="66">
        <f>IF('Smart Search'!F13=1,IFERROR(1/'Smart Search'!H13,0),0)</f>
        <v>0</v>
      </c>
      <c r="AE116" s="66">
        <f>IF('Smart Search'!F13=1,IFERROR(1/'Smart Search'!H13,0),0)</f>
        <v>0</v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>0</v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>0</v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>0</v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>0</v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>0</v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>0</v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>0</v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>0</v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>0</v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>0</v>
      </c>
      <c r="AP116" s="66">
        <f t="shared" si="14"/>
        <v>0</v>
      </c>
      <c r="AQ116" s="66">
        <f t="shared" si="15"/>
        <v>0</v>
      </c>
      <c r="AR116" s="66">
        <f t="shared" si="16"/>
        <v>0</v>
      </c>
      <c r="AS116" s="66">
        <f t="shared" si="17"/>
        <v>0</v>
      </c>
      <c r="AT116" s="66">
        <f t="shared" si="18"/>
        <v>0</v>
      </c>
      <c r="AU116" s="66">
        <f t="shared" si="19"/>
        <v>0</v>
      </c>
      <c r="AV116" s="66">
        <f t="shared" si="20"/>
        <v>0</v>
      </c>
      <c r="AW116" s="66">
        <f t="shared" si="21"/>
        <v>0</v>
      </c>
      <c r="AX116" s="66">
        <f t="shared" si="22"/>
        <v>0</v>
      </c>
      <c r="AY116" s="66">
        <f t="shared" si="23"/>
        <v>0</v>
      </c>
      <c r="AZ116" s="66">
        <f>'Project Database'!Z120</f>
        <v>0</v>
      </c>
      <c r="BA116" s="66">
        <f>IF(OR(A116="",'Smart Search'!H13=0),"",MAX(0,BE116*BF116*MAX(0,1-BG116)))</f>
        <v>0</v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>0</v>
      </c>
      <c r="BC116" s="66">
        <f>IF('Smart Search'!G13=1,IFERROR(1/'Smart Search'!H13,0),0)</f>
        <v>0</v>
      </c>
      <c r="BD116" s="66">
        <f t="shared" si="24"/>
        <v>0</v>
      </c>
      <c r="BE116" s="66">
        <f t="shared" si="25"/>
        <v>0</v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>0</v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>0</v>
      </c>
      <c r="BH116" s="5" t="str">
        <f>IF(AND('Project Database'!A120&lt;&gt;"",OR('Smart Search'!$L$5="",'Smart Search'!$L$5="All",TRIM('Project Database'!D120)=TRIM('Smart Search'!$L$5)),OR(TRIM('Smart Search'!$L$6)="",TRIM('Smart Search'!$L$6)="All",ISNUMBER(SEARCH(SUBSTITUTE(SUBSTITUTE(SUBSTITUTE(TRIM('Smart Search'!$L$6),"~","~~"),"*","~*"),"?","~?"),'Project Database'!C120))),OR('Smart Search'!$L$7="",AND('Project Database'!E120&lt;&gt;"",'Project Database'!E120='Smart Search'!$L$7)),OR('Smart Search'!$L$8="",'Smart Search'!$L$8="All",TRIM('Project Database'!F120)=TRIM('Smart Search'!$L$8))),IF(BA116="","",BA116+ROW()*0.0000000001),"")</f>
        <v/>
      </c>
      <c r="BI116" s="5" t="str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 t="str">
        <f>IF('Project Database'!A120="","",N('Project Database'!AC120))</f>
        <v/>
      </c>
      <c r="BK116" s="5" t="str">
        <f>IF('Project Database'!A120="","",N('Project Database'!AD120))</f>
        <v/>
      </c>
      <c r="BL116" s="5" t="str">
        <f>IF('Project Database'!A120="","",N('Project Database'!AE120))</f>
        <v/>
      </c>
      <c r="BM116" s="5" t="str">
        <f>IF('Project Database'!A120="","",N('Project Database'!AF120))</f>
        <v/>
      </c>
      <c r="BN116" s="5" t="str">
        <f>IF('Project Database'!A120="","",N('Project Database'!AG120))</f>
        <v/>
      </c>
      <c r="BO116" s="5" t="str">
        <f>IF('Project Database'!A120="","",N('Project Database'!AH120))</f>
        <v/>
      </c>
      <c r="BP116" s="5" t="str">
        <f>IF('Project Database'!A120="","",N('Project Database'!AI120))</f>
        <v/>
      </c>
      <c r="BQ116" s="5" t="str">
        <f>IF('Project Database'!A120="","",N('Project Database'!AJ120))</f>
        <v/>
      </c>
      <c r="BR116" s="5" t="str">
        <f>IF('Project Database'!A120="","",N('Project Database'!AK120))</f>
        <v/>
      </c>
      <c r="BS116" s="5" t="str">
        <f>IF('Project Database'!A120="","",N('Project Database'!AL120))</f>
        <v/>
      </c>
      <c r="BT116" s="5" t="str">
        <f>IF('Project Database'!A120="","",N('Project Database'!AM120))</f>
        <v/>
      </c>
      <c r="BU116" s="5" t="str">
        <f>IF('Project Database'!A120="","",N('Project Database'!AN120))</f>
        <v/>
      </c>
      <c r="BV116" s="5" t="str">
        <f>IF('Project Database'!A120="","",N('Project Database'!AO120))</f>
        <v/>
      </c>
      <c r="BW116" s="5" t="str">
        <f>IF('Project Database'!A120="","",N('Project Database'!AP120))</f>
        <v/>
      </c>
      <c r="BX116" s="5">
        <f t="shared" si="26"/>
        <v>0</v>
      </c>
      <c r="BY116" s="5">
        <f t="shared" si="27"/>
        <v>0</v>
      </c>
    </row>
    <row r="117" spans="1:77" ht="15" customHeight="1" x14ac:dyDescent="0.3">
      <c r="A117" s="66">
        <f>'Project Database'!A121</f>
        <v>0</v>
      </c>
      <c r="B117" s="66">
        <f>'Project Database'!B121</f>
        <v>0</v>
      </c>
      <c r="C117" s="66">
        <f>'Project Database'!G121</f>
        <v>0</v>
      </c>
      <c r="D117" s="66">
        <f>'Project Database'!H121</f>
        <v>0</v>
      </c>
      <c r="E117" s="66">
        <f>'Project Database'!I121</f>
        <v>0</v>
      </c>
      <c r="F117" s="66">
        <f>'Project Database'!J121</f>
        <v>0</v>
      </c>
      <c r="G117" s="66">
        <f>'Project Database'!K121</f>
        <v>0</v>
      </c>
      <c r="H117" s="66">
        <f>'Project Database'!L121</f>
        <v>0</v>
      </c>
      <c r="I117" s="66">
        <f>'Project Database'!M121</f>
        <v>0</v>
      </c>
      <c r="J117" s="66">
        <f>'Project Database'!N121</f>
        <v>0</v>
      </c>
      <c r="K117" s="66">
        <f>'Project Database'!O121</f>
        <v>0</v>
      </c>
      <c r="L117" s="66">
        <f>'Project Database'!P121</f>
        <v>0</v>
      </c>
      <c r="M117" s="66">
        <f>'Project Database'!Q121</f>
        <v>0</v>
      </c>
      <c r="N117" s="66">
        <f>'Project Database'!R121</f>
        <v>0</v>
      </c>
      <c r="O117" s="66">
        <f>'Project Database'!S121</f>
        <v>0</v>
      </c>
      <c r="P117" s="66">
        <f>'Project Database'!T121</f>
        <v>0</v>
      </c>
      <c r="Q117" s="66">
        <f>'Project Database'!U121</f>
        <v>0</v>
      </c>
      <c r="R117" s="66">
        <f>'Project Database'!V121</f>
        <v>0</v>
      </c>
      <c r="S117" s="66">
        <f>'Project Database'!W121</f>
        <v>0</v>
      </c>
      <c r="T117" s="66">
        <f>'Project Database'!X121</f>
        <v>0</v>
      </c>
      <c r="U117" s="67">
        <f>'Project Database'!Y121</f>
        <v>0</v>
      </c>
      <c r="V117" s="66">
        <f>IF('Smart Search'!B13=1,IFERROR(1/'Smart Search'!H13,0),0)</f>
        <v>0</v>
      </c>
      <c r="W117" s="66">
        <f>IF('Smart Search'!B13=1,IFERROR(1/'Smart Search'!H13,0),0)</f>
        <v>0</v>
      </c>
      <c r="X117" s="66">
        <f>IF('Smart Search'!C13=1,IFERROR(1/'Smart Search'!H13,0),0)</f>
        <v>0.5</v>
      </c>
      <c r="Y117" s="66">
        <f>IF('Smart Search'!C13=1,IFERROR(1/'Smart Search'!H13,0),0)</f>
        <v>0.5</v>
      </c>
      <c r="Z117" s="66">
        <f>IF('Smart Search'!D13=1,IFERROR(1/'Smart Search'!H13,0),0)</f>
        <v>0</v>
      </c>
      <c r="AA117" s="66">
        <f>IF('Smart Search'!D13=1,IFERROR(1/'Smart Search'!H13,0),0)</f>
        <v>0</v>
      </c>
      <c r="AB117" s="66">
        <f>IF('Smart Search'!E13=1,IFERROR(1/'Smart Search'!H13,0),0)</f>
        <v>0</v>
      </c>
      <c r="AC117" s="66">
        <f>IF('Smart Search'!E13=1,IFERROR(1/'Smart Search'!H13,0),0)</f>
        <v>0</v>
      </c>
      <c r="AD117" s="66">
        <f>IF('Smart Search'!F13=1,IFERROR(1/'Smart Search'!H13,0),0)</f>
        <v>0</v>
      </c>
      <c r="AE117" s="66">
        <f>IF('Smart Search'!F13=1,IFERROR(1/'Smart Search'!H13,0),0)</f>
        <v>0</v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>0</v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>0</v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>0</v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>0</v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>0</v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>0</v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>0</v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>0</v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>0</v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>0</v>
      </c>
      <c r="AP117" s="66">
        <f t="shared" si="14"/>
        <v>0</v>
      </c>
      <c r="AQ117" s="66">
        <f t="shared" si="15"/>
        <v>0</v>
      </c>
      <c r="AR117" s="66">
        <f t="shared" si="16"/>
        <v>0</v>
      </c>
      <c r="AS117" s="66">
        <f t="shared" si="17"/>
        <v>0</v>
      </c>
      <c r="AT117" s="66">
        <f t="shared" si="18"/>
        <v>0</v>
      </c>
      <c r="AU117" s="66">
        <f t="shared" si="19"/>
        <v>0</v>
      </c>
      <c r="AV117" s="66">
        <f t="shared" si="20"/>
        <v>0</v>
      </c>
      <c r="AW117" s="66">
        <f t="shared" si="21"/>
        <v>0</v>
      </c>
      <c r="AX117" s="66">
        <f t="shared" si="22"/>
        <v>0</v>
      </c>
      <c r="AY117" s="66">
        <f t="shared" si="23"/>
        <v>0</v>
      </c>
      <c r="AZ117" s="66">
        <f>'Project Database'!Z121</f>
        <v>0</v>
      </c>
      <c r="BA117" s="66">
        <f>IF(OR(A117="",'Smart Search'!H13=0),"",MAX(0,BE117*BF117*MAX(0,1-BG117)))</f>
        <v>0</v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>0</v>
      </c>
      <c r="BC117" s="66">
        <f>IF('Smart Search'!G13=1,IFERROR(1/'Smart Search'!H13,0),0)</f>
        <v>0</v>
      </c>
      <c r="BD117" s="66">
        <f t="shared" si="24"/>
        <v>0</v>
      </c>
      <c r="BE117" s="66">
        <f t="shared" si="25"/>
        <v>0</v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>0</v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>0</v>
      </c>
      <c r="BH117" s="5" t="str">
        <f>IF(AND('Project Database'!A121&lt;&gt;"",OR('Smart Search'!$L$5="",'Smart Search'!$L$5="All",TRIM('Project Database'!D121)=TRIM('Smart Search'!$L$5)),OR(TRIM('Smart Search'!$L$6)="",TRIM('Smart Search'!$L$6)="All",ISNUMBER(SEARCH(SUBSTITUTE(SUBSTITUTE(SUBSTITUTE(TRIM('Smart Search'!$L$6),"~","~~"),"*","~*"),"?","~?"),'Project Database'!C121))),OR('Smart Search'!$L$7="",AND('Project Database'!E121&lt;&gt;"",'Project Database'!E121='Smart Search'!$L$7)),OR('Smart Search'!$L$8="",'Smart Search'!$L$8="All",TRIM('Project Database'!F121)=TRIM('Smart Search'!$L$8))),IF(BA117="","",BA117+ROW()*0.0000000001),"")</f>
        <v/>
      </c>
      <c r="BI117" s="5" t="str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 t="str">
        <f>IF('Project Database'!A121="","",N('Project Database'!AC121))</f>
        <v/>
      </c>
      <c r="BK117" s="5" t="str">
        <f>IF('Project Database'!A121="","",N('Project Database'!AD121))</f>
        <v/>
      </c>
      <c r="BL117" s="5" t="str">
        <f>IF('Project Database'!A121="","",N('Project Database'!AE121))</f>
        <v/>
      </c>
      <c r="BM117" s="5" t="str">
        <f>IF('Project Database'!A121="","",N('Project Database'!AF121))</f>
        <v/>
      </c>
      <c r="BN117" s="5" t="str">
        <f>IF('Project Database'!A121="","",N('Project Database'!AG121))</f>
        <v/>
      </c>
      <c r="BO117" s="5" t="str">
        <f>IF('Project Database'!A121="","",N('Project Database'!AH121))</f>
        <v/>
      </c>
      <c r="BP117" s="5" t="str">
        <f>IF('Project Database'!A121="","",N('Project Database'!AI121))</f>
        <v/>
      </c>
      <c r="BQ117" s="5" t="str">
        <f>IF('Project Database'!A121="","",N('Project Database'!AJ121))</f>
        <v/>
      </c>
      <c r="BR117" s="5" t="str">
        <f>IF('Project Database'!A121="","",N('Project Database'!AK121))</f>
        <v/>
      </c>
      <c r="BS117" s="5" t="str">
        <f>IF('Project Database'!A121="","",N('Project Database'!AL121))</f>
        <v/>
      </c>
      <c r="BT117" s="5" t="str">
        <f>IF('Project Database'!A121="","",N('Project Database'!AM121))</f>
        <v/>
      </c>
      <c r="BU117" s="5" t="str">
        <f>IF('Project Database'!A121="","",N('Project Database'!AN121))</f>
        <v/>
      </c>
      <c r="BV117" s="5" t="str">
        <f>IF('Project Database'!A121="","",N('Project Database'!AO121))</f>
        <v/>
      </c>
      <c r="BW117" s="5" t="str">
        <f>IF('Project Database'!A121="","",N('Project Database'!AP121))</f>
        <v/>
      </c>
      <c r="BX117" s="5">
        <f t="shared" si="26"/>
        <v>0</v>
      </c>
      <c r="BY117" s="5">
        <f t="shared" si="27"/>
        <v>0</v>
      </c>
    </row>
    <row r="118" spans="1:77" ht="15" customHeight="1" x14ac:dyDescent="0.3">
      <c r="A118" s="66">
        <f>'Project Database'!A122</f>
        <v>0</v>
      </c>
      <c r="B118" s="66">
        <f>'Project Database'!B122</f>
        <v>0</v>
      </c>
      <c r="C118" s="66">
        <f>'Project Database'!G122</f>
        <v>0</v>
      </c>
      <c r="D118" s="66">
        <f>'Project Database'!H122</f>
        <v>0</v>
      </c>
      <c r="E118" s="66">
        <f>'Project Database'!I122</f>
        <v>0</v>
      </c>
      <c r="F118" s="66">
        <f>'Project Database'!J122</f>
        <v>0</v>
      </c>
      <c r="G118" s="66">
        <f>'Project Database'!K122</f>
        <v>0</v>
      </c>
      <c r="H118" s="66">
        <f>'Project Database'!L122</f>
        <v>0</v>
      </c>
      <c r="I118" s="66">
        <f>'Project Database'!M122</f>
        <v>0</v>
      </c>
      <c r="J118" s="66">
        <f>'Project Database'!N122</f>
        <v>0</v>
      </c>
      <c r="K118" s="66">
        <f>'Project Database'!O122</f>
        <v>0</v>
      </c>
      <c r="L118" s="66">
        <f>'Project Database'!P122</f>
        <v>0</v>
      </c>
      <c r="M118" s="66">
        <f>'Project Database'!Q122</f>
        <v>0</v>
      </c>
      <c r="N118" s="66">
        <f>'Project Database'!R122</f>
        <v>0</v>
      </c>
      <c r="O118" s="66">
        <f>'Project Database'!S122</f>
        <v>0</v>
      </c>
      <c r="P118" s="66">
        <f>'Project Database'!T122</f>
        <v>0</v>
      </c>
      <c r="Q118" s="66">
        <f>'Project Database'!U122</f>
        <v>0</v>
      </c>
      <c r="R118" s="66">
        <f>'Project Database'!V122</f>
        <v>0</v>
      </c>
      <c r="S118" s="66">
        <f>'Project Database'!W122</f>
        <v>0</v>
      </c>
      <c r="T118" s="66">
        <f>'Project Database'!X122</f>
        <v>0</v>
      </c>
      <c r="U118" s="67">
        <f>'Project Database'!Y122</f>
        <v>0</v>
      </c>
      <c r="V118" s="66">
        <f>IF('Smart Search'!B13=1,IFERROR(1/'Smart Search'!H13,0),0)</f>
        <v>0</v>
      </c>
      <c r="W118" s="66">
        <f>IF('Smart Search'!B13=1,IFERROR(1/'Smart Search'!H13,0),0)</f>
        <v>0</v>
      </c>
      <c r="X118" s="66">
        <f>IF('Smart Search'!C13=1,IFERROR(1/'Smart Search'!H13,0),0)</f>
        <v>0.5</v>
      </c>
      <c r="Y118" s="66">
        <f>IF('Smart Search'!C13=1,IFERROR(1/'Smart Search'!H13,0),0)</f>
        <v>0.5</v>
      </c>
      <c r="Z118" s="66">
        <f>IF('Smart Search'!D13=1,IFERROR(1/'Smart Search'!H13,0),0)</f>
        <v>0</v>
      </c>
      <c r="AA118" s="66">
        <f>IF('Smart Search'!D13=1,IFERROR(1/'Smart Search'!H13,0),0)</f>
        <v>0</v>
      </c>
      <c r="AB118" s="66">
        <f>IF('Smart Search'!E13=1,IFERROR(1/'Smart Search'!H13,0),0)</f>
        <v>0</v>
      </c>
      <c r="AC118" s="66">
        <f>IF('Smart Search'!E13=1,IFERROR(1/'Smart Search'!H13,0),0)</f>
        <v>0</v>
      </c>
      <c r="AD118" s="66">
        <f>IF('Smart Search'!F13=1,IFERROR(1/'Smart Search'!H13,0),0)</f>
        <v>0</v>
      </c>
      <c r="AE118" s="66">
        <f>IF('Smart Search'!F13=1,IFERROR(1/'Smart Search'!H13,0),0)</f>
        <v>0</v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>0</v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>0</v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>0</v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>0</v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>0</v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>0</v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>0</v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>0</v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>0</v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>0</v>
      </c>
      <c r="AP118" s="66">
        <f t="shared" si="14"/>
        <v>0</v>
      </c>
      <c r="AQ118" s="66">
        <f t="shared" si="15"/>
        <v>0</v>
      </c>
      <c r="AR118" s="66">
        <f t="shared" si="16"/>
        <v>0</v>
      </c>
      <c r="AS118" s="66">
        <f t="shared" si="17"/>
        <v>0</v>
      </c>
      <c r="AT118" s="66">
        <f t="shared" si="18"/>
        <v>0</v>
      </c>
      <c r="AU118" s="66">
        <f t="shared" si="19"/>
        <v>0</v>
      </c>
      <c r="AV118" s="66">
        <f t="shared" si="20"/>
        <v>0</v>
      </c>
      <c r="AW118" s="66">
        <f t="shared" si="21"/>
        <v>0</v>
      </c>
      <c r="AX118" s="66">
        <f t="shared" si="22"/>
        <v>0</v>
      </c>
      <c r="AY118" s="66">
        <f t="shared" si="23"/>
        <v>0</v>
      </c>
      <c r="AZ118" s="66">
        <f>'Project Database'!Z122</f>
        <v>0</v>
      </c>
      <c r="BA118" s="66">
        <f>IF(OR(A118="",'Smart Search'!H13=0),"",MAX(0,BE118*BF118*MAX(0,1-BG118)))</f>
        <v>0</v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>0</v>
      </c>
      <c r="BC118" s="66">
        <f>IF('Smart Search'!G13=1,IFERROR(1/'Smart Search'!H13,0),0)</f>
        <v>0</v>
      </c>
      <c r="BD118" s="66">
        <f t="shared" si="24"/>
        <v>0</v>
      </c>
      <c r="BE118" s="66">
        <f t="shared" si="25"/>
        <v>0</v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>0</v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>0</v>
      </c>
      <c r="BH118" s="5" t="str">
        <f>IF(AND('Project Database'!A122&lt;&gt;"",OR('Smart Search'!$L$5="",'Smart Search'!$L$5="All",TRIM('Project Database'!D122)=TRIM('Smart Search'!$L$5)),OR(TRIM('Smart Search'!$L$6)="",TRIM('Smart Search'!$L$6)="All",ISNUMBER(SEARCH(SUBSTITUTE(SUBSTITUTE(SUBSTITUTE(TRIM('Smart Search'!$L$6),"~","~~"),"*","~*"),"?","~?"),'Project Database'!C122))),OR('Smart Search'!$L$7="",AND('Project Database'!E122&lt;&gt;"",'Project Database'!E122='Smart Search'!$L$7)),OR('Smart Search'!$L$8="",'Smart Search'!$L$8="All",TRIM('Project Database'!F122)=TRIM('Smart Search'!$L$8))),IF(BA118="","",BA118+ROW()*0.0000000001),"")</f>
        <v/>
      </c>
      <c r="BI118" s="5" t="str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 t="str">
        <f>IF('Project Database'!A122="","",N('Project Database'!AC122))</f>
        <v/>
      </c>
      <c r="BK118" s="5" t="str">
        <f>IF('Project Database'!A122="","",N('Project Database'!AD122))</f>
        <v/>
      </c>
      <c r="BL118" s="5" t="str">
        <f>IF('Project Database'!A122="","",N('Project Database'!AE122))</f>
        <v/>
      </c>
      <c r="BM118" s="5" t="str">
        <f>IF('Project Database'!A122="","",N('Project Database'!AF122))</f>
        <v/>
      </c>
      <c r="BN118" s="5" t="str">
        <f>IF('Project Database'!A122="","",N('Project Database'!AG122))</f>
        <v/>
      </c>
      <c r="BO118" s="5" t="str">
        <f>IF('Project Database'!A122="","",N('Project Database'!AH122))</f>
        <v/>
      </c>
      <c r="BP118" s="5" t="str">
        <f>IF('Project Database'!A122="","",N('Project Database'!AI122))</f>
        <v/>
      </c>
      <c r="BQ118" s="5" t="str">
        <f>IF('Project Database'!A122="","",N('Project Database'!AJ122))</f>
        <v/>
      </c>
      <c r="BR118" s="5" t="str">
        <f>IF('Project Database'!A122="","",N('Project Database'!AK122))</f>
        <v/>
      </c>
      <c r="BS118" s="5" t="str">
        <f>IF('Project Database'!A122="","",N('Project Database'!AL122))</f>
        <v/>
      </c>
      <c r="BT118" s="5" t="str">
        <f>IF('Project Database'!A122="","",N('Project Database'!AM122))</f>
        <v/>
      </c>
      <c r="BU118" s="5" t="str">
        <f>IF('Project Database'!A122="","",N('Project Database'!AN122))</f>
        <v/>
      </c>
      <c r="BV118" s="5" t="str">
        <f>IF('Project Database'!A122="","",N('Project Database'!AO122))</f>
        <v/>
      </c>
      <c r="BW118" s="5" t="str">
        <f>IF('Project Database'!A122="","",N('Project Database'!AP122))</f>
        <v/>
      </c>
      <c r="BX118" s="5">
        <f t="shared" si="26"/>
        <v>0</v>
      </c>
      <c r="BY118" s="5">
        <f t="shared" si="27"/>
        <v>0</v>
      </c>
    </row>
    <row r="119" spans="1:77" ht="15" customHeight="1" x14ac:dyDescent="0.3">
      <c r="A119" s="66">
        <f>'Project Database'!A123</f>
        <v>0</v>
      </c>
      <c r="B119" s="66">
        <f>'Project Database'!B123</f>
        <v>0</v>
      </c>
      <c r="C119" s="66">
        <f>'Project Database'!G123</f>
        <v>0</v>
      </c>
      <c r="D119" s="66">
        <f>'Project Database'!H123</f>
        <v>0</v>
      </c>
      <c r="E119" s="66">
        <f>'Project Database'!I123</f>
        <v>0</v>
      </c>
      <c r="F119" s="66">
        <f>'Project Database'!J123</f>
        <v>0</v>
      </c>
      <c r="G119" s="66">
        <f>'Project Database'!K123</f>
        <v>0</v>
      </c>
      <c r="H119" s="66">
        <f>'Project Database'!L123</f>
        <v>0</v>
      </c>
      <c r="I119" s="66">
        <f>'Project Database'!M123</f>
        <v>0</v>
      </c>
      <c r="J119" s="66">
        <f>'Project Database'!N123</f>
        <v>0</v>
      </c>
      <c r="K119" s="66">
        <f>'Project Database'!O123</f>
        <v>0</v>
      </c>
      <c r="L119" s="66">
        <f>'Project Database'!P123</f>
        <v>0</v>
      </c>
      <c r="M119" s="66">
        <f>'Project Database'!Q123</f>
        <v>0</v>
      </c>
      <c r="N119" s="66">
        <f>'Project Database'!R123</f>
        <v>0</v>
      </c>
      <c r="O119" s="66">
        <f>'Project Database'!S123</f>
        <v>0</v>
      </c>
      <c r="P119" s="66">
        <f>'Project Database'!T123</f>
        <v>0</v>
      </c>
      <c r="Q119" s="66">
        <f>'Project Database'!U123</f>
        <v>0</v>
      </c>
      <c r="R119" s="66">
        <f>'Project Database'!V123</f>
        <v>0</v>
      </c>
      <c r="S119" s="66">
        <f>'Project Database'!W123</f>
        <v>0</v>
      </c>
      <c r="T119" s="66">
        <f>'Project Database'!X123</f>
        <v>0</v>
      </c>
      <c r="U119" s="67">
        <f>'Project Database'!Y123</f>
        <v>0</v>
      </c>
      <c r="V119" s="66">
        <f>IF('Smart Search'!B13=1,IFERROR(1/'Smart Search'!H13,0),0)</f>
        <v>0</v>
      </c>
      <c r="W119" s="66">
        <f>IF('Smart Search'!B13=1,IFERROR(1/'Smart Search'!H13,0),0)</f>
        <v>0</v>
      </c>
      <c r="X119" s="66">
        <f>IF('Smart Search'!C13=1,IFERROR(1/'Smart Search'!H13,0),0)</f>
        <v>0.5</v>
      </c>
      <c r="Y119" s="66">
        <f>IF('Smart Search'!C13=1,IFERROR(1/'Smart Search'!H13,0),0)</f>
        <v>0.5</v>
      </c>
      <c r="Z119" s="66">
        <f>IF('Smart Search'!D13=1,IFERROR(1/'Smart Search'!H13,0),0)</f>
        <v>0</v>
      </c>
      <c r="AA119" s="66">
        <f>IF('Smart Search'!D13=1,IFERROR(1/'Smart Search'!H13,0),0)</f>
        <v>0</v>
      </c>
      <c r="AB119" s="66">
        <f>IF('Smart Search'!E13=1,IFERROR(1/'Smart Search'!H13,0),0)</f>
        <v>0</v>
      </c>
      <c r="AC119" s="66">
        <f>IF('Smart Search'!E13=1,IFERROR(1/'Smart Search'!H13,0),0)</f>
        <v>0</v>
      </c>
      <c r="AD119" s="66">
        <f>IF('Smart Search'!F13=1,IFERROR(1/'Smart Search'!H13,0),0)</f>
        <v>0</v>
      </c>
      <c r="AE119" s="66">
        <f>IF('Smart Search'!F13=1,IFERROR(1/'Smart Search'!H13,0),0)</f>
        <v>0</v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>0</v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>0</v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>0</v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>0</v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>0</v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>0</v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>0</v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>0</v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>0</v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>0</v>
      </c>
      <c r="AP119" s="66">
        <f t="shared" si="14"/>
        <v>0</v>
      </c>
      <c r="AQ119" s="66">
        <f t="shared" si="15"/>
        <v>0</v>
      </c>
      <c r="AR119" s="66">
        <f t="shared" si="16"/>
        <v>0</v>
      </c>
      <c r="AS119" s="66">
        <f t="shared" si="17"/>
        <v>0</v>
      </c>
      <c r="AT119" s="66">
        <f t="shared" si="18"/>
        <v>0</v>
      </c>
      <c r="AU119" s="66">
        <f t="shared" si="19"/>
        <v>0</v>
      </c>
      <c r="AV119" s="66">
        <f t="shared" si="20"/>
        <v>0</v>
      </c>
      <c r="AW119" s="66">
        <f t="shared" si="21"/>
        <v>0</v>
      </c>
      <c r="AX119" s="66">
        <f t="shared" si="22"/>
        <v>0</v>
      </c>
      <c r="AY119" s="66">
        <f t="shared" si="23"/>
        <v>0</v>
      </c>
      <c r="AZ119" s="66">
        <f>'Project Database'!Z123</f>
        <v>0</v>
      </c>
      <c r="BA119" s="66">
        <f>IF(OR(A119="",'Smart Search'!H13=0),"",MAX(0,BE119*BF119*MAX(0,1-BG119)))</f>
        <v>0</v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>0</v>
      </c>
      <c r="BC119" s="66">
        <f>IF('Smart Search'!G13=1,IFERROR(1/'Smart Search'!H13,0),0)</f>
        <v>0</v>
      </c>
      <c r="BD119" s="66">
        <f t="shared" si="24"/>
        <v>0</v>
      </c>
      <c r="BE119" s="66">
        <f t="shared" si="25"/>
        <v>0</v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>0</v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>0</v>
      </c>
      <c r="BH119" s="5" t="str">
        <f>IF(AND('Project Database'!A123&lt;&gt;"",OR('Smart Search'!$L$5="",'Smart Search'!$L$5="All",TRIM('Project Database'!D123)=TRIM('Smart Search'!$L$5)),OR(TRIM('Smart Search'!$L$6)="",TRIM('Smart Search'!$L$6)="All",ISNUMBER(SEARCH(SUBSTITUTE(SUBSTITUTE(SUBSTITUTE(TRIM('Smart Search'!$L$6),"~","~~"),"*","~*"),"?","~?"),'Project Database'!C123))),OR('Smart Search'!$L$7="",AND('Project Database'!E123&lt;&gt;"",'Project Database'!E123='Smart Search'!$L$7)),OR('Smart Search'!$L$8="",'Smart Search'!$L$8="All",TRIM('Project Database'!F123)=TRIM('Smart Search'!$L$8))),IF(BA119="","",BA119+ROW()*0.0000000001),"")</f>
        <v/>
      </c>
      <c r="BI119" s="5" t="str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 t="str">
        <f>IF('Project Database'!A123="","",N('Project Database'!AC123))</f>
        <v/>
      </c>
      <c r="BK119" s="5" t="str">
        <f>IF('Project Database'!A123="","",N('Project Database'!AD123))</f>
        <v/>
      </c>
      <c r="BL119" s="5" t="str">
        <f>IF('Project Database'!A123="","",N('Project Database'!AE123))</f>
        <v/>
      </c>
      <c r="BM119" s="5" t="str">
        <f>IF('Project Database'!A123="","",N('Project Database'!AF123))</f>
        <v/>
      </c>
      <c r="BN119" s="5" t="str">
        <f>IF('Project Database'!A123="","",N('Project Database'!AG123))</f>
        <v/>
      </c>
      <c r="BO119" s="5" t="str">
        <f>IF('Project Database'!A123="","",N('Project Database'!AH123))</f>
        <v/>
      </c>
      <c r="BP119" s="5" t="str">
        <f>IF('Project Database'!A123="","",N('Project Database'!AI123))</f>
        <v/>
      </c>
      <c r="BQ119" s="5" t="str">
        <f>IF('Project Database'!A123="","",N('Project Database'!AJ123))</f>
        <v/>
      </c>
      <c r="BR119" s="5" t="str">
        <f>IF('Project Database'!A123="","",N('Project Database'!AK123))</f>
        <v/>
      </c>
      <c r="BS119" s="5" t="str">
        <f>IF('Project Database'!A123="","",N('Project Database'!AL123))</f>
        <v/>
      </c>
      <c r="BT119" s="5" t="str">
        <f>IF('Project Database'!A123="","",N('Project Database'!AM123))</f>
        <v/>
      </c>
      <c r="BU119" s="5" t="str">
        <f>IF('Project Database'!A123="","",N('Project Database'!AN123))</f>
        <v/>
      </c>
      <c r="BV119" s="5" t="str">
        <f>IF('Project Database'!A123="","",N('Project Database'!AO123))</f>
        <v/>
      </c>
      <c r="BW119" s="5" t="str">
        <f>IF('Project Database'!A123="","",N('Project Database'!AP123))</f>
        <v/>
      </c>
      <c r="BX119" s="5">
        <f t="shared" si="26"/>
        <v>0</v>
      </c>
      <c r="BY119" s="5">
        <f t="shared" si="27"/>
        <v>0</v>
      </c>
    </row>
    <row r="120" spans="1:77" ht="15" customHeight="1" x14ac:dyDescent="0.3">
      <c r="A120" s="66">
        <f>'Project Database'!A124</f>
        <v>0</v>
      </c>
      <c r="B120" s="66">
        <f>'Project Database'!B124</f>
        <v>0</v>
      </c>
      <c r="C120" s="66">
        <f>'Project Database'!G124</f>
        <v>0</v>
      </c>
      <c r="D120" s="66">
        <f>'Project Database'!H124</f>
        <v>0</v>
      </c>
      <c r="E120" s="66">
        <f>'Project Database'!I124</f>
        <v>0</v>
      </c>
      <c r="F120" s="66">
        <f>'Project Database'!J124</f>
        <v>0</v>
      </c>
      <c r="G120" s="66">
        <f>'Project Database'!K124</f>
        <v>0</v>
      </c>
      <c r="H120" s="66">
        <f>'Project Database'!L124</f>
        <v>0</v>
      </c>
      <c r="I120" s="66">
        <f>'Project Database'!M124</f>
        <v>0</v>
      </c>
      <c r="J120" s="66">
        <f>'Project Database'!N124</f>
        <v>0</v>
      </c>
      <c r="K120" s="66">
        <f>'Project Database'!O124</f>
        <v>0</v>
      </c>
      <c r="L120" s="66">
        <f>'Project Database'!P124</f>
        <v>0</v>
      </c>
      <c r="M120" s="66">
        <f>'Project Database'!Q124</f>
        <v>0</v>
      </c>
      <c r="N120" s="66">
        <f>'Project Database'!R124</f>
        <v>0</v>
      </c>
      <c r="O120" s="66">
        <f>'Project Database'!S124</f>
        <v>0</v>
      </c>
      <c r="P120" s="66">
        <f>'Project Database'!T124</f>
        <v>0</v>
      </c>
      <c r="Q120" s="66">
        <f>'Project Database'!U124</f>
        <v>0</v>
      </c>
      <c r="R120" s="66">
        <f>'Project Database'!V124</f>
        <v>0</v>
      </c>
      <c r="S120" s="66">
        <f>'Project Database'!W124</f>
        <v>0</v>
      </c>
      <c r="T120" s="66">
        <f>'Project Database'!X124</f>
        <v>0</v>
      </c>
      <c r="U120" s="67">
        <f>'Project Database'!Y124</f>
        <v>0</v>
      </c>
      <c r="V120" s="66">
        <f>IF('Smart Search'!B13=1,IFERROR(1/'Smart Search'!H13,0),0)</f>
        <v>0</v>
      </c>
      <c r="W120" s="66">
        <f>IF('Smart Search'!B13=1,IFERROR(1/'Smart Search'!H13,0),0)</f>
        <v>0</v>
      </c>
      <c r="X120" s="66">
        <f>IF('Smart Search'!C13=1,IFERROR(1/'Smart Search'!H13,0),0)</f>
        <v>0.5</v>
      </c>
      <c r="Y120" s="66">
        <f>IF('Smart Search'!C13=1,IFERROR(1/'Smart Search'!H13,0),0)</f>
        <v>0.5</v>
      </c>
      <c r="Z120" s="66">
        <f>IF('Smart Search'!D13=1,IFERROR(1/'Smart Search'!H13,0),0)</f>
        <v>0</v>
      </c>
      <c r="AA120" s="66">
        <f>IF('Smart Search'!D13=1,IFERROR(1/'Smart Search'!H13,0),0)</f>
        <v>0</v>
      </c>
      <c r="AB120" s="66">
        <f>IF('Smart Search'!E13=1,IFERROR(1/'Smart Search'!H13,0),0)</f>
        <v>0</v>
      </c>
      <c r="AC120" s="66">
        <f>IF('Smart Search'!E13=1,IFERROR(1/'Smart Search'!H13,0),0)</f>
        <v>0</v>
      </c>
      <c r="AD120" s="66">
        <f>IF('Smart Search'!F13=1,IFERROR(1/'Smart Search'!H13,0),0)</f>
        <v>0</v>
      </c>
      <c r="AE120" s="66">
        <f>IF('Smart Search'!F13=1,IFERROR(1/'Smart Search'!H13,0),0)</f>
        <v>0</v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>0</v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>0</v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>0</v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>0</v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>0</v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>0</v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>0</v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>0</v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>0</v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>0</v>
      </c>
      <c r="AP120" s="66">
        <f t="shared" si="14"/>
        <v>0</v>
      </c>
      <c r="AQ120" s="66">
        <f t="shared" si="15"/>
        <v>0</v>
      </c>
      <c r="AR120" s="66">
        <f t="shared" si="16"/>
        <v>0</v>
      </c>
      <c r="AS120" s="66">
        <f t="shared" si="17"/>
        <v>0</v>
      </c>
      <c r="AT120" s="66">
        <f t="shared" si="18"/>
        <v>0</v>
      </c>
      <c r="AU120" s="66">
        <f t="shared" si="19"/>
        <v>0</v>
      </c>
      <c r="AV120" s="66">
        <f t="shared" si="20"/>
        <v>0</v>
      </c>
      <c r="AW120" s="66">
        <f t="shared" si="21"/>
        <v>0</v>
      </c>
      <c r="AX120" s="66">
        <f t="shared" si="22"/>
        <v>0</v>
      </c>
      <c r="AY120" s="66">
        <f t="shared" si="23"/>
        <v>0</v>
      </c>
      <c r="AZ120" s="66">
        <f>'Project Database'!Z124</f>
        <v>0</v>
      </c>
      <c r="BA120" s="66">
        <f>IF(OR(A120="",'Smart Search'!H13=0),"",MAX(0,BE120*BF120*MAX(0,1-BG120)))</f>
        <v>0</v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>0</v>
      </c>
      <c r="BC120" s="66">
        <f>IF('Smart Search'!G13=1,IFERROR(1/'Smart Search'!H13,0),0)</f>
        <v>0</v>
      </c>
      <c r="BD120" s="66">
        <f t="shared" si="24"/>
        <v>0</v>
      </c>
      <c r="BE120" s="66">
        <f t="shared" si="25"/>
        <v>0</v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>0</v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>0</v>
      </c>
      <c r="BH120" s="5" t="str">
        <f>IF(AND('Project Database'!A124&lt;&gt;"",OR('Smart Search'!$L$5="",'Smart Search'!$L$5="All",TRIM('Project Database'!D124)=TRIM('Smart Search'!$L$5)),OR(TRIM('Smart Search'!$L$6)="",TRIM('Smart Search'!$L$6)="All",ISNUMBER(SEARCH(SUBSTITUTE(SUBSTITUTE(SUBSTITUTE(TRIM('Smart Search'!$L$6),"~","~~"),"*","~*"),"?","~?"),'Project Database'!C124))),OR('Smart Search'!$L$7="",AND('Project Database'!E124&lt;&gt;"",'Project Database'!E124='Smart Search'!$L$7)),OR('Smart Search'!$L$8="",'Smart Search'!$L$8="All",TRIM('Project Database'!F124)=TRIM('Smart Search'!$L$8))),IF(BA120="","",BA120+ROW()*0.0000000001),"")</f>
        <v/>
      </c>
      <c r="BI120" s="5" t="str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 t="str">
        <f>IF('Project Database'!A124="","",N('Project Database'!AC124))</f>
        <v/>
      </c>
      <c r="BK120" s="5" t="str">
        <f>IF('Project Database'!A124="","",N('Project Database'!AD124))</f>
        <v/>
      </c>
      <c r="BL120" s="5" t="str">
        <f>IF('Project Database'!A124="","",N('Project Database'!AE124))</f>
        <v/>
      </c>
      <c r="BM120" s="5" t="str">
        <f>IF('Project Database'!A124="","",N('Project Database'!AF124))</f>
        <v/>
      </c>
      <c r="BN120" s="5" t="str">
        <f>IF('Project Database'!A124="","",N('Project Database'!AG124))</f>
        <v/>
      </c>
      <c r="BO120" s="5" t="str">
        <f>IF('Project Database'!A124="","",N('Project Database'!AH124))</f>
        <v/>
      </c>
      <c r="BP120" s="5" t="str">
        <f>IF('Project Database'!A124="","",N('Project Database'!AI124))</f>
        <v/>
      </c>
      <c r="BQ120" s="5" t="str">
        <f>IF('Project Database'!A124="","",N('Project Database'!AJ124))</f>
        <v/>
      </c>
      <c r="BR120" s="5" t="str">
        <f>IF('Project Database'!A124="","",N('Project Database'!AK124))</f>
        <v/>
      </c>
      <c r="BS120" s="5" t="str">
        <f>IF('Project Database'!A124="","",N('Project Database'!AL124))</f>
        <v/>
      </c>
      <c r="BT120" s="5" t="str">
        <f>IF('Project Database'!A124="","",N('Project Database'!AM124))</f>
        <v/>
      </c>
      <c r="BU120" s="5" t="str">
        <f>IF('Project Database'!A124="","",N('Project Database'!AN124))</f>
        <v/>
      </c>
      <c r="BV120" s="5" t="str">
        <f>IF('Project Database'!A124="","",N('Project Database'!AO124))</f>
        <v/>
      </c>
      <c r="BW120" s="5" t="str">
        <f>IF('Project Database'!A124="","",N('Project Database'!AP124))</f>
        <v/>
      </c>
      <c r="BX120" s="5">
        <f t="shared" si="26"/>
        <v>0</v>
      </c>
      <c r="BY120" s="5">
        <f t="shared" si="27"/>
        <v>0</v>
      </c>
    </row>
    <row r="121" spans="1:77" ht="15" customHeight="1" x14ac:dyDescent="0.3">
      <c r="A121" s="66">
        <f>'Project Database'!A125</f>
        <v>0</v>
      </c>
      <c r="B121" s="66">
        <f>'Project Database'!B125</f>
        <v>0</v>
      </c>
      <c r="C121" s="66">
        <f>'Project Database'!G125</f>
        <v>0</v>
      </c>
      <c r="D121" s="66">
        <f>'Project Database'!H125</f>
        <v>0</v>
      </c>
      <c r="E121" s="66">
        <f>'Project Database'!I125</f>
        <v>0</v>
      </c>
      <c r="F121" s="66">
        <f>'Project Database'!J125</f>
        <v>0</v>
      </c>
      <c r="G121" s="66">
        <f>'Project Database'!K125</f>
        <v>0</v>
      </c>
      <c r="H121" s="66">
        <f>'Project Database'!L125</f>
        <v>0</v>
      </c>
      <c r="I121" s="66">
        <f>'Project Database'!M125</f>
        <v>0</v>
      </c>
      <c r="J121" s="66">
        <f>'Project Database'!N125</f>
        <v>0</v>
      </c>
      <c r="K121" s="66">
        <f>'Project Database'!O125</f>
        <v>0</v>
      </c>
      <c r="L121" s="66">
        <f>'Project Database'!P125</f>
        <v>0</v>
      </c>
      <c r="M121" s="66">
        <f>'Project Database'!Q125</f>
        <v>0</v>
      </c>
      <c r="N121" s="66">
        <f>'Project Database'!R125</f>
        <v>0</v>
      </c>
      <c r="O121" s="66">
        <f>'Project Database'!S125</f>
        <v>0</v>
      </c>
      <c r="P121" s="66">
        <f>'Project Database'!T125</f>
        <v>0</v>
      </c>
      <c r="Q121" s="66">
        <f>'Project Database'!U125</f>
        <v>0</v>
      </c>
      <c r="R121" s="66">
        <f>'Project Database'!V125</f>
        <v>0</v>
      </c>
      <c r="S121" s="66">
        <f>'Project Database'!W125</f>
        <v>0</v>
      </c>
      <c r="T121" s="66">
        <f>'Project Database'!X125</f>
        <v>0</v>
      </c>
      <c r="U121" s="67">
        <f>'Project Database'!Y125</f>
        <v>0</v>
      </c>
      <c r="V121" s="66">
        <f>IF('Smart Search'!B13=1,IFERROR(1/'Smart Search'!H13,0),0)</f>
        <v>0</v>
      </c>
      <c r="W121" s="66">
        <f>IF('Smart Search'!B13=1,IFERROR(1/'Smart Search'!H13,0),0)</f>
        <v>0</v>
      </c>
      <c r="X121" s="66">
        <f>IF('Smart Search'!C13=1,IFERROR(1/'Smart Search'!H13,0),0)</f>
        <v>0.5</v>
      </c>
      <c r="Y121" s="66">
        <f>IF('Smart Search'!C13=1,IFERROR(1/'Smart Search'!H13,0),0)</f>
        <v>0.5</v>
      </c>
      <c r="Z121" s="66">
        <f>IF('Smart Search'!D13=1,IFERROR(1/'Smart Search'!H13,0),0)</f>
        <v>0</v>
      </c>
      <c r="AA121" s="66">
        <f>IF('Smart Search'!D13=1,IFERROR(1/'Smart Search'!H13,0),0)</f>
        <v>0</v>
      </c>
      <c r="AB121" s="66">
        <f>IF('Smart Search'!E13=1,IFERROR(1/'Smart Search'!H13,0),0)</f>
        <v>0</v>
      </c>
      <c r="AC121" s="66">
        <f>IF('Smart Search'!E13=1,IFERROR(1/'Smart Search'!H13,0),0)</f>
        <v>0</v>
      </c>
      <c r="AD121" s="66">
        <f>IF('Smart Search'!F13=1,IFERROR(1/'Smart Search'!H13,0),0)</f>
        <v>0</v>
      </c>
      <c r="AE121" s="66">
        <f>IF('Smart Search'!F13=1,IFERROR(1/'Smart Search'!H13,0),0)</f>
        <v>0</v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>0</v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>0</v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>0</v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>0</v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>0</v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>0</v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>0</v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>0</v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>0</v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>0</v>
      </c>
      <c r="AP121" s="66">
        <f t="shared" si="14"/>
        <v>0</v>
      </c>
      <c r="AQ121" s="66">
        <f t="shared" si="15"/>
        <v>0</v>
      </c>
      <c r="AR121" s="66">
        <f t="shared" si="16"/>
        <v>0</v>
      </c>
      <c r="AS121" s="66">
        <f t="shared" si="17"/>
        <v>0</v>
      </c>
      <c r="AT121" s="66">
        <f t="shared" si="18"/>
        <v>0</v>
      </c>
      <c r="AU121" s="66">
        <f t="shared" si="19"/>
        <v>0</v>
      </c>
      <c r="AV121" s="66">
        <f t="shared" si="20"/>
        <v>0</v>
      </c>
      <c r="AW121" s="66">
        <f t="shared" si="21"/>
        <v>0</v>
      </c>
      <c r="AX121" s="66">
        <f t="shared" si="22"/>
        <v>0</v>
      </c>
      <c r="AY121" s="66">
        <f t="shared" si="23"/>
        <v>0</v>
      </c>
      <c r="AZ121" s="66">
        <f>'Project Database'!Z125</f>
        <v>0</v>
      </c>
      <c r="BA121" s="66">
        <f>IF(OR(A121="",'Smart Search'!H13=0),"",MAX(0,BE121*BF121*MAX(0,1-BG121)))</f>
        <v>0</v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>0</v>
      </c>
      <c r="BC121" s="66">
        <f>IF('Smart Search'!G13=1,IFERROR(1/'Smart Search'!H13,0),0)</f>
        <v>0</v>
      </c>
      <c r="BD121" s="66">
        <f t="shared" si="24"/>
        <v>0</v>
      </c>
      <c r="BE121" s="66">
        <f t="shared" si="25"/>
        <v>0</v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>0</v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>0</v>
      </c>
      <c r="BH121" s="5" t="str">
        <f>IF(AND('Project Database'!A125&lt;&gt;"",OR('Smart Search'!$L$5="",'Smart Search'!$L$5="All",TRIM('Project Database'!D125)=TRIM('Smart Search'!$L$5)),OR(TRIM('Smart Search'!$L$6)="",TRIM('Smart Search'!$L$6)="All",ISNUMBER(SEARCH(SUBSTITUTE(SUBSTITUTE(SUBSTITUTE(TRIM('Smart Search'!$L$6),"~","~~"),"*","~*"),"?","~?"),'Project Database'!C125))),OR('Smart Search'!$L$7="",AND('Project Database'!E125&lt;&gt;"",'Project Database'!E125='Smart Search'!$L$7)),OR('Smart Search'!$L$8="",'Smart Search'!$L$8="All",TRIM('Project Database'!F125)=TRIM('Smart Search'!$L$8))),IF(BA121="","",BA121+ROW()*0.0000000001),"")</f>
        <v/>
      </c>
      <c r="BI121" s="5" t="str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 t="str">
        <f>IF('Project Database'!A125="","",N('Project Database'!AC125))</f>
        <v/>
      </c>
      <c r="BK121" s="5" t="str">
        <f>IF('Project Database'!A125="","",N('Project Database'!AD125))</f>
        <v/>
      </c>
      <c r="BL121" s="5" t="str">
        <f>IF('Project Database'!A125="","",N('Project Database'!AE125))</f>
        <v/>
      </c>
      <c r="BM121" s="5" t="str">
        <f>IF('Project Database'!A125="","",N('Project Database'!AF125))</f>
        <v/>
      </c>
      <c r="BN121" s="5" t="str">
        <f>IF('Project Database'!A125="","",N('Project Database'!AG125))</f>
        <v/>
      </c>
      <c r="BO121" s="5" t="str">
        <f>IF('Project Database'!A125="","",N('Project Database'!AH125))</f>
        <v/>
      </c>
      <c r="BP121" s="5" t="str">
        <f>IF('Project Database'!A125="","",N('Project Database'!AI125))</f>
        <v/>
      </c>
      <c r="BQ121" s="5" t="str">
        <f>IF('Project Database'!A125="","",N('Project Database'!AJ125))</f>
        <v/>
      </c>
      <c r="BR121" s="5" t="str">
        <f>IF('Project Database'!A125="","",N('Project Database'!AK125))</f>
        <v/>
      </c>
      <c r="BS121" s="5" t="str">
        <f>IF('Project Database'!A125="","",N('Project Database'!AL125))</f>
        <v/>
      </c>
      <c r="BT121" s="5" t="str">
        <f>IF('Project Database'!A125="","",N('Project Database'!AM125))</f>
        <v/>
      </c>
      <c r="BU121" s="5" t="str">
        <f>IF('Project Database'!A125="","",N('Project Database'!AN125))</f>
        <v/>
      </c>
      <c r="BV121" s="5" t="str">
        <f>IF('Project Database'!A125="","",N('Project Database'!AO125))</f>
        <v/>
      </c>
      <c r="BW121" s="5" t="str">
        <f>IF('Project Database'!A125="","",N('Project Database'!AP125))</f>
        <v/>
      </c>
      <c r="BX121" s="5">
        <f t="shared" si="26"/>
        <v>0</v>
      </c>
      <c r="BY121" s="5">
        <f t="shared" si="27"/>
        <v>0</v>
      </c>
    </row>
    <row r="122" spans="1:77" ht="15" customHeight="1" x14ac:dyDescent="0.3">
      <c r="A122" s="66">
        <f>'Project Database'!A126</f>
        <v>0</v>
      </c>
      <c r="B122" s="66">
        <f>'Project Database'!B126</f>
        <v>0</v>
      </c>
      <c r="C122" s="66">
        <f>'Project Database'!G126</f>
        <v>0</v>
      </c>
      <c r="D122" s="66">
        <f>'Project Database'!H126</f>
        <v>0</v>
      </c>
      <c r="E122" s="66">
        <f>'Project Database'!I126</f>
        <v>0</v>
      </c>
      <c r="F122" s="66">
        <f>'Project Database'!J126</f>
        <v>0</v>
      </c>
      <c r="G122" s="66">
        <f>'Project Database'!K126</f>
        <v>0</v>
      </c>
      <c r="H122" s="66">
        <f>'Project Database'!L126</f>
        <v>0</v>
      </c>
      <c r="I122" s="66">
        <f>'Project Database'!M126</f>
        <v>0</v>
      </c>
      <c r="J122" s="66">
        <f>'Project Database'!N126</f>
        <v>0</v>
      </c>
      <c r="K122" s="66">
        <f>'Project Database'!O126</f>
        <v>0</v>
      </c>
      <c r="L122" s="66">
        <f>'Project Database'!P126</f>
        <v>0</v>
      </c>
      <c r="M122" s="66">
        <f>'Project Database'!Q126</f>
        <v>0</v>
      </c>
      <c r="N122" s="66">
        <f>'Project Database'!R126</f>
        <v>0</v>
      </c>
      <c r="O122" s="66">
        <f>'Project Database'!S126</f>
        <v>0</v>
      </c>
      <c r="P122" s="66">
        <f>'Project Database'!T126</f>
        <v>0</v>
      </c>
      <c r="Q122" s="66">
        <f>'Project Database'!U126</f>
        <v>0</v>
      </c>
      <c r="R122" s="66">
        <f>'Project Database'!V126</f>
        <v>0</v>
      </c>
      <c r="S122" s="66">
        <f>'Project Database'!W126</f>
        <v>0</v>
      </c>
      <c r="T122" s="66">
        <f>'Project Database'!X126</f>
        <v>0</v>
      </c>
      <c r="U122" s="67">
        <f>'Project Database'!Y126</f>
        <v>0</v>
      </c>
      <c r="V122" s="66">
        <f>IF('Smart Search'!B13=1,IFERROR(1/'Smart Search'!H13,0),0)</f>
        <v>0</v>
      </c>
      <c r="W122" s="66">
        <f>IF('Smart Search'!B13=1,IFERROR(1/'Smart Search'!H13,0),0)</f>
        <v>0</v>
      </c>
      <c r="X122" s="66">
        <f>IF('Smart Search'!C13=1,IFERROR(1/'Smart Search'!H13,0),0)</f>
        <v>0.5</v>
      </c>
      <c r="Y122" s="66">
        <f>IF('Smart Search'!C13=1,IFERROR(1/'Smart Search'!H13,0),0)</f>
        <v>0.5</v>
      </c>
      <c r="Z122" s="66">
        <f>IF('Smart Search'!D13=1,IFERROR(1/'Smart Search'!H13,0),0)</f>
        <v>0</v>
      </c>
      <c r="AA122" s="66">
        <f>IF('Smart Search'!D13=1,IFERROR(1/'Smart Search'!H13,0),0)</f>
        <v>0</v>
      </c>
      <c r="AB122" s="66">
        <f>IF('Smart Search'!E13=1,IFERROR(1/'Smart Search'!H13,0),0)</f>
        <v>0</v>
      </c>
      <c r="AC122" s="66">
        <f>IF('Smart Search'!E13=1,IFERROR(1/'Smart Search'!H13,0),0)</f>
        <v>0</v>
      </c>
      <c r="AD122" s="66">
        <f>IF('Smart Search'!F13=1,IFERROR(1/'Smart Search'!H13,0),0)</f>
        <v>0</v>
      </c>
      <c r="AE122" s="66">
        <f>IF('Smart Search'!F13=1,IFERROR(1/'Smart Search'!H13,0),0)</f>
        <v>0</v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>0</v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>0</v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>0</v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>0</v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>0</v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>0</v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>0</v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>0</v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>0</v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>0</v>
      </c>
      <c r="AP122" s="66">
        <f t="shared" si="14"/>
        <v>0</v>
      </c>
      <c r="AQ122" s="66">
        <f t="shared" si="15"/>
        <v>0</v>
      </c>
      <c r="AR122" s="66">
        <f t="shared" si="16"/>
        <v>0</v>
      </c>
      <c r="AS122" s="66">
        <f t="shared" si="17"/>
        <v>0</v>
      </c>
      <c r="AT122" s="66">
        <f t="shared" si="18"/>
        <v>0</v>
      </c>
      <c r="AU122" s="66">
        <f t="shared" si="19"/>
        <v>0</v>
      </c>
      <c r="AV122" s="66">
        <f t="shared" si="20"/>
        <v>0</v>
      </c>
      <c r="AW122" s="66">
        <f t="shared" si="21"/>
        <v>0</v>
      </c>
      <c r="AX122" s="66">
        <f t="shared" si="22"/>
        <v>0</v>
      </c>
      <c r="AY122" s="66">
        <f t="shared" si="23"/>
        <v>0</v>
      </c>
      <c r="AZ122" s="66">
        <f>'Project Database'!Z126</f>
        <v>0</v>
      </c>
      <c r="BA122" s="66">
        <f>IF(OR(A122="",'Smart Search'!H13=0),"",MAX(0,BE122*BF122*MAX(0,1-BG122)))</f>
        <v>0</v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>0</v>
      </c>
      <c r="BC122" s="66">
        <f>IF('Smart Search'!G13=1,IFERROR(1/'Smart Search'!H13,0),0)</f>
        <v>0</v>
      </c>
      <c r="BD122" s="66">
        <f t="shared" si="24"/>
        <v>0</v>
      </c>
      <c r="BE122" s="66">
        <f t="shared" si="25"/>
        <v>0</v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>0</v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>0</v>
      </c>
      <c r="BH122" s="5" t="str">
        <f>IF(AND('Project Database'!A126&lt;&gt;"",OR('Smart Search'!$L$5="",'Smart Search'!$L$5="All",TRIM('Project Database'!D126)=TRIM('Smart Search'!$L$5)),OR(TRIM('Smart Search'!$L$6)="",TRIM('Smart Search'!$L$6)="All",ISNUMBER(SEARCH(SUBSTITUTE(SUBSTITUTE(SUBSTITUTE(TRIM('Smart Search'!$L$6),"~","~~"),"*","~*"),"?","~?"),'Project Database'!C126))),OR('Smart Search'!$L$7="",AND('Project Database'!E126&lt;&gt;"",'Project Database'!E126='Smart Search'!$L$7)),OR('Smart Search'!$L$8="",'Smart Search'!$L$8="All",TRIM('Project Database'!F126)=TRIM('Smart Search'!$L$8))),IF(BA122="","",BA122+ROW()*0.0000000001),"")</f>
        <v/>
      </c>
      <c r="BI122" s="5" t="str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 t="str">
        <f>IF('Project Database'!A126="","",N('Project Database'!AC126))</f>
        <v/>
      </c>
      <c r="BK122" s="5" t="str">
        <f>IF('Project Database'!A126="","",N('Project Database'!AD126))</f>
        <v/>
      </c>
      <c r="BL122" s="5" t="str">
        <f>IF('Project Database'!A126="","",N('Project Database'!AE126))</f>
        <v/>
      </c>
      <c r="BM122" s="5" t="str">
        <f>IF('Project Database'!A126="","",N('Project Database'!AF126))</f>
        <v/>
      </c>
      <c r="BN122" s="5" t="str">
        <f>IF('Project Database'!A126="","",N('Project Database'!AG126))</f>
        <v/>
      </c>
      <c r="BO122" s="5" t="str">
        <f>IF('Project Database'!A126="","",N('Project Database'!AH126))</f>
        <v/>
      </c>
      <c r="BP122" s="5" t="str">
        <f>IF('Project Database'!A126="","",N('Project Database'!AI126))</f>
        <v/>
      </c>
      <c r="BQ122" s="5" t="str">
        <f>IF('Project Database'!A126="","",N('Project Database'!AJ126))</f>
        <v/>
      </c>
      <c r="BR122" s="5" t="str">
        <f>IF('Project Database'!A126="","",N('Project Database'!AK126))</f>
        <v/>
      </c>
      <c r="BS122" s="5" t="str">
        <f>IF('Project Database'!A126="","",N('Project Database'!AL126))</f>
        <v/>
      </c>
      <c r="BT122" s="5" t="str">
        <f>IF('Project Database'!A126="","",N('Project Database'!AM126))</f>
        <v/>
      </c>
      <c r="BU122" s="5" t="str">
        <f>IF('Project Database'!A126="","",N('Project Database'!AN126))</f>
        <v/>
      </c>
      <c r="BV122" s="5" t="str">
        <f>IF('Project Database'!A126="","",N('Project Database'!AO126))</f>
        <v/>
      </c>
      <c r="BW122" s="5" t="str">
        <f>IF('Project Database'!A126="","",N('Project Database'!AP126))</f>
        <v/>
      </c>
      <c r="BX122" s="5">
        <f t="shared" si="26"/>
        <v>0</v>
      </c>
      <c r="BY122" s="5">
        <f t="shared" si="27"/>
        <v>0</v>
      </c>
    </row>
    <row r="123" spans="1:77" ht="15" customHeight="1" x14ac:dyDescent="0.3">
      <c r="A123" s="66">
        <f>'Project Database'!A127</f>
        <v>0</v>
      </c>
      <c r="B123" s="66">
        <f>'Project Database'!B127</f>
        <v>0</v>
      </c>
      <c r="C123" s="66">
        <f>'Project Database'!G127</f>
        <v>0</v>
      </c>
      <c r="D123" s="66">
        <f>'Project Database'!H127</f>
        <v>0</v>
      </c>
      <c r="E123" s="66">
        <f>'Project Database'!I127</f>
        <v>0</v>
      </c>
      <c r="F123" s="66">
        <f>'Project Database'!J127</f>
        <v>0</v>
      </c>
      <c r="G123" s="66">
        <f>'Project Database'!K127</f>
        <v>0</v>
      </c>
      <c r="H123" s="66">
        <f>'Project Database'!L127</f>
        <v>0</v>
      </c>
      <c r="I123" s="66">
        <f>'Project Database'!M127</f>
        <v>0</v>
      </c>
      <c r="J123" s="66">
        <f>'Project Database'!N127</f>
        <v>0</v>
      </c>
      <c r="K123" s="66">
        <f>'Project Database'!O127</f>
        <v>0</v>
      </c>
      <c r="L123" s="66">
        <f>'Project Database'!P127</f>
        <v>0</v>
      </c>
      <c r="M123" s="66">
        <f>'Project Database'!Q127</f>
        <v>0</v>
      </c>
      <c r="N123" s="66">
        <f>'Project Database'!R127</f>
        <v>0</v>
      </c>
      <c r="O123" s="66">
        <f>'Project Database'!S127</f>
        <v>0</v>
      </c>
      <c r="P123" s="66">
        <f>'Project Database'!T127</f>
        <v>0</v>
      </c>
      <c r="Q123" s="66">
        <f>'Project Database'!U127</f>
        <v>0</v>
      </c>
      <c r="R123" s="66">
        <f>'Project Database'!V127</f>
        <v>0</v>
      </c>
      <c r="S123" s="66">
        <f>'Project Database'!W127</f>
        <v>0</v>
      </c>
      <c r="T123" s="66">
        <f>'Project Database'!X127</f>
        <v>0</v>
      </c>
      <c r="U123" s="67">
        <f>'Project Database'!Y127</f>
        <v>0</v>
      </c>
      <c r="V123" s="66">
        <f>IF('Smart Search'!B13=1,IFERROR(1/'Smart Search'!H13,0),0)</f>
        <v>0</v>
      </c>
      <c r="W123" s="66">
        <f>IF('Smart Search'!B13=1,IFERROR(1/'Smart Search'!H13,0),0)</f>
        <v>0</v>
      </c>
      <c r="X123" s="66">
        <f>IF('Smart Search'!C13=1,IFERROR(1/'Smart Search'!H13,0),0)</f>
        <v>0.5</v>
      </c>
      <c r="Y123" s="66">
        <f>IF('Smart Search'!C13=1,IFERROR(1/'Smart Search'!H13,0),0)</f>
        <v>0.5</v>
      </c>
      <c r="Z123" s="66">
        <f>IF('Smart Search'!D13=1,IFERROR(1/'Smart Search'!H13,0),0)</f>
        <v>0</v>
      </c>
      <c r="AA123" s="66">
        <f>IF('Smart Search'!D13=1,IFERROR(1/'Smart Search'!H13,0),0)</f>
        <v>0</v>
      </c>
      <c r="AB123" s="66">
        <f>IF('Smart Search'!E13=1,IFERROR(1/'Smart Search'!H13,0),0)</f>
        <v>0</v>
      </c>
      <c r="AC123" s="66">
        <f>IF('Smart Search'!E13=1,IFERROR(1/'Smart Search'!H13,0),0)</f>
        <v>0</v>
      </c>
      <c r="AD123" s="66">
        <f>IF('Smart Search'!F13=1,IFERROR(1/'Smart Search'!H13,0),0)</f>
        <v>0</v>
      </c>
      <c r="AE123" s="66">
        <f>IF('Smart Search'!F13=1,IFERROR(1/'Smart Search'!H13,0),0)</f>
        <v>0</v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>0</v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>0</v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>0</v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>0</v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>0</v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>0</v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>0</v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>0</v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>0</v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>0</v>
      </c>
      <c r="AP123" s="66">
        <f t="shared" si="14"/>
        <v>0</v>
      </c>
      <c r="AQ123" s="66">
        <f t="shared" si="15"/>
        <v>0</v>
      </c>
      <c r="AR123" s="66">
        <f t="shared" si="16"/>
        <v>0</v>
      </c>
      <c r="AS123" s="66">
        <f t="shared" si="17"/>
        <v>0</v>
      </c>
      <c r="AT123" s="66">
        <f t="shared" si="18"/>
        <v>0</v>
      </c>
      <c r="AU123" s="66">
        <f t="shared" si="19"/>
        <v>0</v>
      </c>
      <c r="AV123" s="66">
        <f t="shared" si="20"/>
        <v>0</v>
      </c>
      <c r="AW123" s="66">
        <f t="shared" si="21"/>
        <v>0</v>
      </c>
      <c r="AX123" s="66">
        <f t="shared" si="22"/>
        <v>0</v>
      </c>
      <c r="AY123" s="66">
        <f t="shared" si="23"/>
        <v>0</v>
      </c>
      <c r="AZ123" s="66">
        <f>'Project Database'!Z127</f>
        <v>0</v>
      </c>
      <c r="BA123" s="66">
        <f>IF(OR(A123="",'Smart Search'!H13=0),"",MAX(0,BE123*BF123*MAX(0,1-BG123)))</f>
        <v>0</v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>0</v>
      </c>
      <c r="BC123" s="66">
        <f>IF('Smart Search'!G13=1,IFERROR(1/'Smart Search'!H13,0),0)</f>
        <v>0</v>
      </c>
      <c r="BD123" s="66">
        <f t="shared" si="24"/>
        <v>0</v>
      </c>
      <c r="BE123" s="66">
        <f t="shared" si="25"/>
        <v>0</v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>0</v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>0</v>
      </c>
      <c r="BH123" s="5" t="str">
        <f>IF(AND('Project Database'!A127&lt;&gt;"",OR('Smart Search'!$L$5="",'Smart Search'!$L$5="All",TRIM('Project Database'!D127)=TRIM('Smart Search'!$L$5)),OR(TRIM('Smart Search'!$L$6)="",TRIM('Smart Search'!$L$6)="All",ISNUMBER(SEARCH(SUBSTITUTE(SUBSTITUTE(SUBSTITUTE(TRIM('Smart Search'!$L$6),"~","~~"),"*","~*"),"?","~?"),'Project Database'!C127))),OR('Smart Search'!$L$7="",AND('Project Database'!E127&lt;&gt;"",'Project Database'!E127='Smart Search'!$L$7)),OR('Smart Search'!$L$8="",'Smart Search'!$L$8="All",TRIM('Project Database'!F127)=TRIM('Smart Search'!$L$8))),IF(BA123="","",BA123+ROW()*0.0000000001),"")</f>
        <v/>
      </c>
      <c r="BI123" s="5" t="str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 t="str">
        <f>IF('Project Database'!A127="","",N('Project Database'!AC127))</f>
        <v/>
      </c>
      <c r="BK123" s="5" t="str">
        <f>IF('Project Database'!A127="","",N('Project Database'!AD127))</f>
        <v/>
      </c>
      <c r="BL123" s="5" t="str">
        <f>IF('Project Database'!A127="","",N('Project Database'!AE127))</f>
        <v/>
      </c>
      <c r="BM123" s="5" t="str">
        <f>IF('Project Database'!A127="","",N('Project Database'!AF127))</f>
        <v/>
      </c>
      <c r="BN123" s="5" t="str">
        <f>IF('Project Database'!A127="","",N('Project Database'!AG127))</f>
        <v/>
      </c>
      <c r="BO123" s="5" t="str">
        <f>IF('Project Database'!A127="","",N('Project Database'!AH127))</f>
        <v/>
      </c>
      <c r="BP123" s="5" t="str">
        <f>IF('Project Database'!A127="","",N('Project Database'!AI127))</f>
        <v/>
      </c>
      <c r="BQ123" s="5" t="str">
        <f>IF('Project Database'!A127="","",N('Project Database'!AJ127))</f>
        <v/>
      </c>
      <c r="BR123" s="5" t="str">
        <f>IF('Project Database'!A127="","",N('Project Database'!AK127))</f>
        <v/>
      </c>
      <c r="BS123" s="5" t="str">
        <f>IF('Project Database'!A127="","",N('Project Database'!AL127))</f>
        <v/>
      </c>
      <c r="BT123" s="5" t="str">
        <f>IF('Project Database'!A127="","",N('Project Database'!AM127))</f>
        <v/>
      </c>
      <c r="BU123" s="5" t="str">
        <f>IF('Project Database'!A127="","",N('Project Database'!AN127))</f>
        <v/>
      </c>
      <c r="BV123" s="5" t="str">
        <f>IF('Project Database'!A127="","",N('Project Database'!AO127))</f>
        <v/>
      </c>
      <c r="BW123" s="5" t="str">
        <f>IF('Project Database'!A127="","",N('Project Database'!AP127))</f>
        <v/>
      </c>
      <c r="BX123" s="5">
        <f t="shared" si="26"/>
        <v>0</v>
      </c>
      <c r="BY123" s="5">
        <f t="shared" si="27"/>
        <v>0</v>
      </c>
    </row>
    <row r="124" spans="1:77" ht="15" customHeight="1" x14ac:dyDescent="0.3">
      <c r="A124" s="66">
        <f>'Project Database'!A128</f>
        <v>0</v>
      </c>
      <c r="B124" s="66">
        <f>'Project Database'!B128</f>
        <v>0</v>
      </c>
      <c r="C124" s="66">
        <f>'Project Database'!G128</f>
        <v>0</v>
      </c>
      <c r="D124" s="66">
        <f>'Project Database'!H128</f>
        <v>0</v>
      </c>
      <c r="E124" s="66">
        <f>'Project Database'!I128</f>
        <v>0</v>
      </c>
      <c r="F124" s="66">
        <f>'Project Database'!J128</f>
        <v>0</v>
      </c>
      <c r="G124" s="66">
        <f>'Project Database'!K128</f>
        <v>0</v>
      </c>
      <c r="H124" s="66">
        <f>'Project Database'!L128</f>
        <v>0</v>
      </c>
      <c r="I124" s="66">
        <f>'Project Database'!M128</f>
        <v>0</v>
      </c>
      <c r="J124" s="66">
        <f>'Project Database'!N128</f>
        <v>0</v>
      </c>
      <c r="K124" s="66">
        <f>'Project Database'!O128</f>
        <v>0</v>
      </c>
      <c r="L124" s="66">
        <f>'Project Database'!P128</f>
        <v>0</v>
      </c>
      <c r="M124" s="66">
        <f>'Project Database'!Q128</f>
        <v>0</v>
      </c>
      <c r="N124" s="66">
        <f>'Project Database'!R128</f>
        <v>0</v>
      </c>
      <c r="O124" s="66">
        <f>'Project Database'!S128</f>
        <v>0</v>
      </c>
      <c r="P124" s="66">
        <f>'Project Database'!T128</f>
        <v>0</v>
      </c>
      <c r="Q124" s="66">
        <f>'Project Database'!U128</f>
        <v>0</v>
      </c>
      <c r="R124" s="66">
        <f>'Project Database'!V128</f>
        <v>0</v>
      </c>
      <c r="S124" s="66">
        <f>'Project Database'!W128</f>
        <v>0</v>
      </c>
      <c r="T124" s="66">
        <f>'Project Database'!X128</f>
        <v>0</v>
      </c>
      <c r="U124" s="67">
        <f>'Project Database'!Y128</f>
        <v>0</v>
      </c>
      <c r="V124" s="66">
        <f>IF('Smart Search'!B13=1,IFERROR(1/'Smart Search'!H13,0),0)</f>
        <v>0</v>
      </c>
      <c r="W124" s="66">
        <f>IF('Smart Search'!B13=1,IFERROR(1/'Smart Search'!H13,0),0)</f>
        <v>0</v>
      </c>
      <c r="X124" s="66">
        <f>IF('Smart Search'!C13=1,IFERROR(1/'Smart Search'!H13,0),0)</f>
        <v>0.5</v>
      </c>
      <c r="Y124" s="66">
        <f>IF('Smart Search'!C13=1,IFERROR(1/'Smart Search'!H13,0),0)</f>
        <v>0.5</v>
      </c>
      <c r="Z124" s="66">
        <f>IF('Smart Search'!D13=1,IFERROR(1/'Smart Search'!H13,0),0)</f>
        <v>0</v>
      </c>
      <c r="AA124" s="66">
        <f>IF('Smart Search'!D13=1,IFERROR(1/'Smart Search'!H13,0),0)</f>
        <v>0</v>
      </c>
      <c r="AB124" s="66">
        <f>IF('Smart Search'!E13=1,IFERROR(1/'Smart Search'!H13,0),0)</f>
        <v>0</v>
      </c>
      <c r="AC124" s="66">
        <f>IF('Smart Search'!E13=1,IFERROR(1/'Smart Search'!H13,0),0)</f>
        <v>0</v>
      </c>
      <c r="AD124" s="66">
        <f>IF('Smart Search'!F13=1,IFERROR(1/'Smart Search'!H13,0),0)</f>
        <v>0</v>
      </c>
      <c r="AE124" s="66">
        <f>IF('Smart Search'!F13=1,IFERROR(1/'Smart Search'!H13,0),0)</f>
        <v>0</v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>0</v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>0</v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>0</v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>0</v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>0</v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>0</v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>0</v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>0</v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>0</v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>0</v>
      </c>
      <c r="AP124" s="66">
        <f t="shared" si="14"/>
        <v>0</v>
      </c>
      <c r="AQ124" s="66">
        <f t="shared" si="15"/>
        <v>0</v>
      </c>
      <c r="AR124" s="66">
        <f t="shared" si="16"/>
        <v>0</v>
      </c>
      <c r="AS124" s="66">
        <f t="shared" si="17"/>
        <v>0</v>
      </c>
      <c r="AT124" s="66">
        <f t="shared" si="18"/>
        <v>0</v>
      </c>
      <c r="AU124" s="66">
        <f t="shared" si="19"/>
        <v>0</v>
      </c>
      <c r="AV124" s="66">
        <f t="shared" si="20"/>
        <v>0</v>
      </c>
      <c r="AW124" s="66">
        <f t="shared" si="21"/>
        <v>0</v>
      </c>
      <c r="AX124" s="66">
        <f t="shared" si="22"/>
        <v>0</v>
      </c>
      <c r="AY124" s="66">
        <f t="shared" si="23"/>
        <v>0</v>
      </c>
      <c r="AZ124" s="66">
        <f>'Project Database'!Z128</f>
        <v>0</v>
      </c>
      <c r="BA124" s="66">
        <f>IF(OR(A124="",'Smart Search'!H13=0),"",MAX(0,BE124*BF124*MAX(0,1-BG124)))</f>
        <v>0</v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>0</v>
      </c>
      <c r="BC124" s="66">
        <f>IF('Smart Search'!G13=1,IFERROR(1/'Smart Search'!H13,0),0)</f>
        <v>0</v>
      </c>
      <c r="BD124" s="66">
        <f t="shared" si="24"/>
        <v>0</v>
      </c>
      <c r="BE124" s="66">
        <f t="shared" si="25"/>
        <v>0</v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>0</v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>0</v>
      </c>
      <c r="BH124" s="5" t="str">
        <f>IF(AND('Project Database'!A128&lt;&gt;"",OR('Smart Search'!$L$5="",'Smart Search'!$L$5="All",TRIM('Project Database'!D128)=TRIM('Smart Search'!$L$5)),OR(TRIM('Smart Search'!$L$6)="",TRIM('Smart Search'!$L$6)="All",ISNUMBER(SEARCH(SUBSTITUTE(SUBSTITUTE(SUBSTITUTE(TRIM('Smart Search'!$L$6),"~","~~"),"*","~*"),"?","~?"),'Project Database'!C128))),OR('Smart Search'!$L$7="",AND('Project Database'!E128&lt;&gt;"",'Project Database'!E128='Smart Search'!$L$7)),OR('Smart Search'!$L$8="",'Smart Search'!$L$8="All",TRIM('Project Database'!F128)=TRIM('Smart Search'!$L$8))),IF(BA124="","",BA124+ROW()*0.0000000001),"")</f>
        <v/>
      </c>
      <c r="BI124" s="5" t="str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 t="str">
        <f>IF('Project Database'!A128="","",N('Project Database'!AC128))</f>
        <v/>
      </c>
      <c r="BK124" s="5" t="str">
        <f>IF('Project Database'!A128="","",N('Project Database'!AD128))</f>
        <v/>
      </c>
      <c r="BL124" s="5" t="str">
        <f>IF('Project Database'!A128="","",N('Project Database'!AE128))</f>
        <v/>
      </c>
      <c r="BM124" s="5" t="str">
        <f>IF('Project Database'!A128="","",N('Project Database'!AF128))</f>
        <v/>
      </c>
      <c r="BN124" s="5" t="str">
        <f>IF('Project Database'!A128="","",N('Project Database'!AG128))</f>
        <v/>
      </c>
      <c r="BO124" s="5" t="str">
        <f>IF('Project Database'!A128="","",N('Project Database'!AH128))</f>
        <v/>
      </c>
      <c r="BP124" s="5" t="str">
        <f>IF('Project Database'!A128="","",N('Project Database'!AI128))</f>
        <v/>
      </c>
      <c r="BQ124" s="5" t="str">
        <f>IF('Project Database'!A128="","",N('Project Database'!AJ128))</f>
        <v/>
      </c>
      <c r="BR124" s="5" t="str">
        <f>IF('Project Database'!A128="","",N('Project Database'!AK128))</f>
        <v/>
      </c>
      <c r="BS124" s="5" t="str">
        <f>IF('Project Database'!A128="","",N('Project Database'!AL128))</f>
        <v/>
      </c>
      <c r="BT124" s="5" t="str">
        <f>IF('Project Database'!A128="","",N('Project Database'!AM128))</f>
        <v/>
      </c>
      <c r="BU124" s="5" t="str">
        <f>IF('Project Database'!A128="","",N('Project Database'!AN128))</f>
        <v/>
      </c>
      <c r="BV124" s="5" t="str">
        <f>IF('Project Database'!A128="","",N('Project Database'!AO128))</f>
        <v/>
      </c>
      <c r="BW124" s="5" t="str">
        <f>IF('Project Database'!A128="","",N('Project Database'!AP128))</f>
        <v/>
      </c>
      <c r="BX124" s="5">
        <f t="shared" si="26"/>
        <v>0</v>
      </c>
      <c r="BY124" s="5">
        <f t="shared" si="27"/>
        <v>0</v>
      </c>
    </row>
    <row r="125" spans="1:77" ht="15" customHeight="1" x14ac:dyDescent="0.3">
      <c r="A125" s="66">
        <f>'Project Database'!A129</f>
        <v>0</v>
      </c>
      <c r="B125" s="66">
        <f>'Project Database'!B129</f>
        <v>0</v>
      </c>
      <c r="C125" s="66">
        <f>'Project Database'!G129</f>
        <v>0</v>
      </c>
      <c r="D125" s="66">
        <f>'Project Database'!H129</f>
        <v>0</v>
      </c>
      <c r="E125" s="66">
        <f>'Project Database'!I129</f>
        <v>0</v>
      </c>
      <c r="F125" s="66">
        <f>'Project Database'!J129</f>
        <v>0</v>
      </c>
      <c r="G125" s="66">
        <f>'Project Database'!K129</f>
        <v>0</v>
      </c>
      <c r="H125" s="66">
        <f>'Project Database'!L129</f>
        <v>0</v>
      </c>
      <c r="I125" s="66">
        <f>'Project Database'!M129</f>
        <v>0</v>
      </c>
      <c r="J125" s="66">
        <f>'Project Database'!N129</f>
        <v>0</v>
      </c>
      <c r="K125" s="66">
        <f>'Project Database'!O129</f>
        <v>0</v>
      </c>
      <c r="L125" s="66">
        <f>'Project Database'!P129</f>
        <v>0</v>
      </c>
      <c r="M125" s="66">
        <f>'Project Database'!Q129</f>
        <v>0</v>
      </c>
      <c r="N125" s="66">
        <f>'Project Database'!R129</f>
        <v>0</v>
      </c>
      <c r="O125" s="66">
        <f>'Project Database'!S129</f>
        <v>0</v>
      </c>
      <c r="P125" s="66">
        <f>'Project Database'!T129</f>
        <v>0</v>
      </c>
      <c r="Q125" s="66">
        <f>'Project Database'!U129</f>
        <v>0</v>
      </c>
      <c r="R125" s="66">
        <f>'Project Database'!V129</f>
        <v>0</v>
      </c>
      <c r="S125" s="66">
        <f>'Project Database'!W129</f>
        <v>0</v>
      </c>
      <c r="T125" s="66">
        <f>'Project Database'!X129</f>
        <v>0</v>
      </c>
      <c r="U125" s="67">
        <f>'Project Database'!Y129</f>
        <v>0</v>
      </c>
      <c r="V125" s="66">
        <f>IF('Smart Search'!B13=1,IFERROR(1/'Smart Search'!H13,0),0)</f>
        <v>0</v>
      </c>
      <c r="W125" s="66">
        <f>IF('Smart Search'!B13=1,IFERROR(1/'Smart Search'!H13,0),0)</f>
        <v>0</v>
      </c>
      <c r="X125" s="66">
        <f>IF('Smart Search'!C13=1,IFERROR(1/'Smart Search'!H13,0),0)</f>
        <v>0.5</v>
      </c>
      <c r="Y125" s="66">
        <f>IF('Smart Search'!C13=1,IFERROR(1/'Smart Search'!H13,0),0)</f>
        <v>0.5</v>
      </c>
      <c r="Z125" s="66">
        <f>IF('Smart Search'!D13=1,IFERROR(1/'Smart Search'!H13,0),0)</f>
        <v>0</v>
      </c>
      <c r="AA125" s="66">
        <f>IF('Smart Search'!D13=1,IFERROR(1/'Smart Search'!H13,0),0)</f>
        <v>0</v>
      </c>
      <c r="AB125" s="66">
        <f>IF('Smart Search'!E13=1,IFERROR(1/'Smart Search'!H13,0),0)</f>
        <v>0</v>
      </c>
      <c r="AC125" s="66">
        <f>IF('Smart Search'!E13=1,IFERROR(1/'Smart Search'!H13,0),0)</f>
        <v>0</v>
      </c>
      <c r="AD125" s="66">
        <f>IF('Smart Search'!F13=1,IFERROR(1/'Smart Search'!H13,0),0)</f>
        <v>0</v>
      </c>
      <c r="AE125" s="66">
        <f>IF('Smart Search'!F13=1,IFERROR(1/'Smart Search'!H13,0),0)</f>
        <v>0</v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>0</v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>0</v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>0</v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>0</v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>0</v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>0</v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>0</v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>0</v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>0</v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>0</v>
      </c>
      <c r="AP125" s="66">
        <f t="shared" si="14"/>
        <v>0</v>
      </c>
      <c r="AQ125" s="66">
        <f t="shared" si="15"/>
        <v>0</v>
      </c>
      <c r="AR125" s="66">
        <f t="shared" si="16"/>
        <v>0</v>
      </c>
      <c r="AS125" s="66">
        <f t="shared" si="17"/>
        <v>0</v>
      </c>
      <c r="AT125" s="66">
        <f t="shared" si="18"/>
        <v>0</v>
      </c>
      <c r="AU125" s="66">
        <f t="shared" si="19"/>
        <v>0</v>
      </c>
      <c r="AV125" s="66">
        <f t="shared" si="20"/>
        <v>0</v>
      </c>
      <c r="AW125" s="66">
        <f t="shared" si="21"/>
        <v>0</v>
      </c>
      <c r="AX125" s="66">
        <f t="shared" si="22"/>
        <v>0</v>
      </c>
      <c r="AY125" s="66">
        <f t="shared" si="23"/>
        <v>0</v>
      </c>
      <c r="AZ125" s="66">
        <f>'Project Database'!Z129</f>
        <v>0</v>
      </c>
      <c r="BA125" s="66">
        <f>IF(OR(A125="",'Smart Search'!H13=0),"",MAX(0,BE125*BF125*MAX(0,1-BG125)))</f>
        <v>0</v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>0</v>
      </c>
      <c r="BC125" s="66">
        <f>IF('Smart Search'!G13=1,IFERROR(1/'Smart Search'!H13,0),0)</f>
        <v>0</v>
      </c>
      <c r="BD125" s="66">
        <f t="shared" si="24"/>
        <v>0</v>
      </c>
      <c r="BE125" s="66">
        <f t="shared" si="25"/>
        <v>0</v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>0</v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>0</v>
      </c>
      <c r="BH125" s="5" t="str">
        <f>IF(AND('Project Database'!A129&lt;&gt;"",OR('Smart Search'!$L$5="",'Smart Search'!$L$5="All",TRIM('Project Database'!D129)=TRIM('Smart Search'!$L$5)),OR(TRIM('Smart Search'!$L$6)="",TRIM('Smart Search'!$L$6)="All",ISNUMBER(SEARCH(SUBSTITUTE(SUBSTITUTE(SUBSTITUTE(TRIM('Smart Search'!$L$6),"~","~~"),"*","~*"),"?","~?"),'Project Database'!C129))),OR('Smart Search'!$L$7="",AND('Project Database'!E129&lt;&gt;"",'Project Database'!E129='Smart Search'!$L$7)),OR('Smart Search'!$L$8="",'Smart Search'!$L$8="All",TRIM('Project Database'!F129)=TRIM('Smart Search'!$L$8))),IF(BA125="","",BA125+ROW()*0.0000000001),"")</f>
        <v/>
      </c>
      <c r="BI125" s="5" t="str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 t="str">
        <f>IF('Project Database'!A129="","",N('Project Database'!AC129))</f>
        <v/>
      </c>
      <c r="BK125" s="5" t="str">
        <f>IF('Project Database'!A129="","",N('Project Database'!AD129))</f>
        <v/>
      </c>
      <c r="BL125" s="5" t="str">
        <f>IF('Project Database'!A129="","",N('Project Database'!AE129))</f>
        <v/>
      </c>
      <c r="BM125" s="5" t="str">
        <f>IF('Project Database'!A129="","",N('Project Database'!AF129))</f>
        <v/>
      </c>
      <c r="BN125" s="5" t="str">
        <f>IF('Project Database'!A129="","",N('Project Database'!AG129))</f>
        <v/>
      </c>
      <c r="BO125" s="5" t="str">
        <f>IF('Project Database'!A129="","",N('Project Database'!AH129))</f>
        <v/>
      </c>
      <c r="BP125" s="5" t="str">
        <f>IF('Project Database'!A129="","",N('Project Database'!AI129))</f>
        <v/>
      </c>
      <c r="BQ125" s="5" t="str">
        <f>IF('Project Database'!A129="","",N('Project Database'!AJ129))</f>
        <v/>
      </c>
      <c r="BR125" s="5" t="str">
        <f>IF('Project Database'!A129="","",N('Project Database'!AK129))</f>
        <v/>
      </c>
      <c r="BS125" s="5" t="str">
        <f>IF('Project Database'!A129="","",N('Project Database'!AL129))</f>
        <v/>
      </c>
      <c r="BT125" s="5" t="str">
        <f>IF('Project Database'!A129="","",N('Project Database'!AM129))</f>
        <v/>
      </c>
      <c r="BU125" s="5" t="str">
        <f>IF('Project Database'!A129="","",N('Project Database'!AN129))</f>
        <v/>
      </c>
      <c r="BV125" s="5" t="str">
        <f>IF('Project Database'!A129="","",N('Project Database'!AO129))</f>
        <v/>
      </c>
      <c r="BW125" s="5" t="str">
        <f>IF('Project Database'!A129="","",N('Project Database'!AP129))</f>
        <v/>
      </c>
      <c r="BX125" s="5">
        <f t="shared" si="26"/>
        <v>0</v>
      </c>
      <c r="BY125" s="5">
        <f t="shared" si="27"/>
        <v>0</v>
      </c>
    </row>
    <row r="126" spans="1:77" ht="15" customHeight="1" x14ac:dyDescent="0.3">
      <c r="A126" s="66">
        <f>'Project Database'!A130</f>
        <v>0</v>
      </c>
      <c r="B126" s="66">
        <f>'Project Database'!B130</f>
        <v>0</v>
      </c>
      <c r="C126" s="66">
        <f>'Project Database'!G130</f>
        <v>0</v>
      </c>
      <c r="D126" s="66">
        <f>'Project Database'!H130</f>
        <v>0</v>
      </c>
      <c r="E126" s="66">
        <f>'Project Database'!I130</f>
        <v>0</v>
      </c>
      <c r="F126" s="66">
        <f>'Project Database'!J130</f>
        <v>0</v>
      </c>
      <c r="G126" s="66">
        <f>'Project Database'!K130</f>
        <v>0</v>
      </c>
      <c r="H126" s="66">
        <f>'Project Database'!L130</f>
        <v>0</v>
      </c>
      <c r="I126" s="66">
        <f>'Project Database'!M130</f>
        <v>0</v>
      </c>
      <c r="J126" s="66">
        <f>'Project Database'!N130</f>
        <v>0</v>
      </c>
      <c r="K126" s="66">
        <f>'Project Database'!O130</f>
        <v>0</v>
      </c>
      <c r="L126" s="66">
        <f>'Project Database'!P130</f>
        <v>0</v>
      </c>
      <c r="M126" s="66">
        <f>'Project Database'!Q130</f>
        <v>0</v>
      </c>
      <c r="N126" s="66">
        <f>'Project Database'!R130</f>
        <v>0</v>
      </c>
      <c r="O126" s="66">
        <f>'Project Database'!S130</f>
        <v>0</v>
      </c>
      <c r="P126" s="66">
        <f>'Project Database'!T130</f>
        <v>0</v>
      </c>
      <c r="Q126" s="66">
        <f>'Project Database'!U130</f>
        <v>0</v>
      </c>
      <c r="R126" s="66">
        <f>'Project Database'!V130</f>
        <v>0</v>
      </c>
      <c r="S126" s="66">
        <f>'Project Database'!W130</f>
        <v>0</v>
      </c>
      <c r="T126" s="66">
        <f>'Project Database'!X130</f>
        <v>0</v>
      </c>
      <c r="U126" s="67">
        <f>'Project Database'!Y130</f>
        <v>0</v>
      </c>
      <c r="V126" s="66">
        <f>IF('Smart Search'!B13=1,IFERROR(1/'Smart Search'!H13,0),0)</f>
        <v>0</v>
      </c>
      <c r="W126" s="66">
        <f>IF('Smart Search'!B13=1,IFERROR(1/'Smart Search'!H13,0),0)</f>
        <v>0</v>
      </c>
      <c r="X126" s="66">
        <f>IF('Smart Search'!C13=1,IFERROR(1/'Smart Search'!H13,0),0)</f>
        <v>0.5</v>
      </c>
      <c r="Y126" s="66">
        <f>IF('Smart Search'!C13=1,IFERROR(1/'Smart Search'!H13,0),0)</f>
        <v>0.5</v>
      </c>
      <c r="Z126" s="66">
        <f>IF('Smart Search'!D13=1,IFERROR(1/'Smart Search'!H13,0),0)</f>
        <v>0</v>
      </c>
      <c r="AA126" s="66">
        <f>IF('Smart Search'!D13=1,IFERROR(1/'Smart Search'!H13,0),0)</f>
        <v>0</v>
      </c>
      <c r="AB126" s="66">
        <f>IF('Smart Search'!E13=1,IFERROR(1/'Smart Search'!H13,0),0)</f>
        <v>0</v>
      </c>
      <c r="AC126" s="66">
        <f>IF('Smart Search'!E13=1,IFERROR(1/'Smart Search'!H13,0),0)</f>
        <v>0</v>
      </c>
      <c r="AD126" s="66">
        <f>IF('Smart Search'!F13=1,IFERROR(1/'Smart Search'!H13,0),0)</f>
        <v>0</v>
      </c>
      <c r="AE126" s="66">
        <f>IF('Smart Search'!F13=1,IFERROR(1/'Smart Search'!H13,0),0)</f>
        <v>0</v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>0</v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>0</v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>0</v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>0</v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>0</v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>0</v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>0</v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>0</v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>0</v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>0</v>
      </c>
      <c r="AP126" s="66">
        <f t="shared" si="14"/>
        <v>0</v>
      </c>
      <c r="AQ126" s="66">
        <f t="shared" si="15"/>
        <v>0</v>
      </c>
      <c r="AR126" s="66">
        <f t="shared" si="16"/>
        <v>0</v>
      </c>
      <c r="AS126" s="66">
        <f t="shared" si="17"/>
        <v>0</v>
      </c>
      <c r="AT126" s="66">
        <f t="shared" si="18"/>
        <v>0</v>
      </c>
      <c r="AU126" s="66">
        <f t="shared" si="19"/>
        <v>0</v>
      </c>
      <c r="AV126" s="66">
        <f t="shared" si="20"/>
        <v>0</v>
      </c>
      <c r="AW126" s="66">
        <f t="shared" si="21"/>
        <v>0</v>
      </c>
      <c r="AX126" s="66">
        <f t="shared" si="22"/>
        <v>0</v>
      </c>
      <c r="AY126" s="66">
        <f t="shared" si="23"/>
        <v>0</v>
      </c>
      <c r="AZ126" s="66">
        <f>'Project Database'!Z130</f>
        <v>0</v>
      </c>
      <c r="BA126" s="66">
        <f>IF(OR(A126="",'Smart Search'!H13=0),"",MAX(0,BE126*BF126*MAX(0,1-BG126)))</f>
        <v>0</v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>0</v>
      </c>
      <c r="BC126" s="66">
        <f>IF('Smart Search'!G13=1,IFERROR(1/'Smart Search'!H13,0),0)</f>
        <v>0</v>
      </c>
      <c r="BD126" s="66">
        <f t="shared" si="24"/>
        <v>0</v>
      </c>
      <c r="BE126" s="66">
        <f t="shared" si="25"/>
        <v>0</v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>0</v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>0</v>
      </c>
      <c r="BH126" s="5" t="str">
        <f>IF(AND('Project Database'!A130&lt;&gt;"",OR('Smart Search'!$L$5="",'Smart Search'!$L$5="All",TRIM('Project Database'!D130)=TRIM('Smart Search'!$L$5)),OR(TRIM('Smart Search'!$L$6)="",TRIM('Smart Search'!$L$6)="All",ISNUMBER(SEARCH(SUBSTITUTE(SUBSTITUTE(SUBSTITUTE(TRIM('Smart Search'!$L$6),"~","~~"),"*","~*"),"?","~?"),'Project Database'!C130))),OR('Smart Search'!$L$7="",AND('Project Database'!E130&lt;&gt;"",'Project Database'!E130='Smart Search'!$L$7)),OR('Smart Search'!$L$8="",'Smart Search'!$L$8="All",TRIM('Project Database'!F130)=TRIM('Smart Search'!$L$8))),IF(BA126="","",BA126+ROW()*0.0000000001),"")</f>
        <v/>
      </c>
      <c r="BI126" s="5" t="str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 t="str">
        <f>IF('Project Database'!A130="","",N('Project Database'!AC130))</f>
        <v/>
      </c>
      <c r="BK126" s="5" t="str">
        <f>IF('Project Database'!A130="","",N('Project Database'!AD130))</f>
        <v/>
      </c>
      <c r="BL126" s="5" t="str">
        <f>IF('Project Database'!A130="","",N('Project Database'!AE130))</f>
        <v/>
      </c>
      <c r="BM126" s="5" t="str">
        <f>IF('Project Database'!A130="","",N('Project Database'!AF130))</f>
        <v/>
      </c>
      <c r="BN126" s="5" t="str">
        <f>IF('Project Database'!A130="","",N('Project Database'!AG130))</f>
        <v/>
      </c>
      <c r="BO126" s="5" t="str">
        <f>IF('Project Database'!A130="","",N('Project Database'!AH130))</f>
        <v/>
      </c>
      <c r="BP126" s="5" t="str">
        <f>IF('Project Database'!A130="","",N('Project Database'!AI130))</f>
        <v/>
      </c>
      <c r="BQ126" s="5" t="str">
        <f>IF('Project Database'!A130="","",N('Project Database'!AJ130))</f>
        <v/>
      </c>
      <c r="BR126" s="5" t="str">
        <f>IF('Project Database'!A130="","",N('Project Database'!AK130))</f>
        <v/>
      </c>
      <c r="BS126" s="5" t="str">
        <f>IF('Project Database'!A130="","",N('Project Database'!AL130))</f>
        <v/>
      </c>
      <c r="BT126" s="5" t="str">
        <f>IF('Project Database'!A130="","",N('Project Database'!AM130))</f>
        <v/>
      </c>
      <c r="BU126" s="5" t="str">
        <f>IF('Project Database'!A130="","",N('Project Database'!AN130))</f>
        <v/>
      </c>
      <c r="BV126" s="5" t="str">
        <f>IF('Project Database'!A130="","",N('Project Database'!AO130))</f>
        <v/>
      </c>
      <c r="BW126" s="5" t="str">
        <f>IF('Project Database'!A130="","",N('Project Database'!AP130))</f>
        <v/>
      </c>
      <c r="BX126" s="5">
        <f t="shared" si="26"/>
        <v>0</v>
      </c>
      <c r="BY126" s="5">
        <f t="shared" si="27"/>
        <v>0</v>
      </c>
    </row>
    <row r="127" spans="1:77" ht="15" customHeight="1" x14ac:dyDescent="0.3">
      <c r="A127" s="66">
        <f>'Project Database'!A131</f>
        <v>0</v>
      </c>
      <c r="B127" s="66">
        <f>'Project Database'!B131</f>
        <v>0</v>
      </c>
      <c r="C127" s="66">
        <f>'Project Database'!G131</f>
        <v>0</v>
      </c>
      <c r="D127" s="66">
        <f>'Project Database'!H131</f>
        <v>0</v>
      </c>
      <c r="E127" s="66">
        <f>'Project Database'!I131</f>
        <v>0</v>
      </c>
      <c r="F127" s="66">
        <f>'Project Database'!J131</f>
        <v>0</v>
      </c>
      <c r="G127" s="66">
        <f>'Project Database'!K131</f>
        <v>0</v>
      </c>
      <c r="H127" s="66">
        <f>'Project Database'!L131</f>
        <v>0</v>
      </c>
      <c r="I127" s="66">
        <f>'Project Database'!M131</f>
        <v>0</v>
      </c>
      <c r="J127" s="66">
        <f>'Project Database'!N131</f>
        <v>0</v>
      </c>
      <c r="K127" s="66">
        <f>'Project Database'!O131</f>
        <v>0</v>
      </c>
      <c r="L127" s="66">
        <f>'Project Database'!P131</f>
        <v>0</v>
      </c>
      <c r="M127" s="66">
        <f>'Project Database'!Q131</f>
        <v>0</v>
      </c>
      <c r="N127" s="66">
        <f>'Project Database'!R131</f>
        <v>0</v>
      </c>
      <c r="O127" s="66">
        <f>'Project Database'!S131</f>
        <v>0</v>
      </c>
      <c r="P127" s="66">
        <f>'Project Database'!T131</f>
        <v>0</v>
      </c>
      <c r="Q127" s="66">
        <f>'Project Database'!U131</f>
        <v>0</v>
      </c>
      <c r="R127" s="66">
        <f>'Project Database'!V131</f>
        <v>0</v>
      </c>
      <c r="S127" s="66">
        <f>'Project Database'!W131</f>
        <v>0</v>
      </c>
      <c r="T127" s="66">
        <f>'Project Database'!X131</f>
        <v>0</v>
      </c>
      <c r="U127" s="67">
        <f>'Project Database'!Y131</f>
        <v>0</v>
      </c>
      <c r="V127" s="66">
        <f>IF('Smart Search'!B13=1,IFERROR(1/'Smart Search'!H13,0),0)</f>
        <v>0</v>
      </c>
      <c r="W127" s="66">
        <f>IF('Smart Search'!B13=1,IFERROR(1/'Smart Search'!H13,0),0)</f>
        <v>0</v>
      </c>
      <c r="X127" s="66">
        <f>IF('Smart Search'!C13=1,IFERROR(1/'Smart Search'!H13,0),0)</f>
        <v>0.5</v>
      </c>
      <c r="Y127" s="66">
        <f>IF('Smart Search'!C13=1,IFERROR(1/'Smart Search'!H13,0),0)</f>
        <v>0.5</v>
      </c>
      <c r="Z127" s="66">
        <f>IF('Smart Search'!D13=1,IFERROR(1/'Smart Search'!H13,0),0)</f>
        <v>0</v>
      </c>
      <c r="AA127" s="66">
        <f>IF('Smart Search'!D13=1,IFERROR(1/'Smart Search'!H13,0),0)</f>
        <v>0</v>
      </c>
      <c r="AB127" s="66">
        <f>IF('Smart Search'!E13=1,IFERROR(1/'Smart Search'!H13,0),0)</f>
        <v>0</v>
      </c>
      <c r="AC127" s="66">
        <f>IF('Smart Search'!E13=1,IFERROR(1/'Smart Search'!H13,0),0)</f>
        <v>0</v>
      </c>
      <c r="AD127" s="66">
        <f>IF('Smart Search'!F13=1,IFERROR(1/'Smart Search'!H13,0),0)</f>
        <v>0</v>
      </c>
      <c r="AE127" s="66">
        <f>IF('Smart Search'!F13=1,IFERROR(1/'Smart Search'!H13,0),0)</f>
        <v>0</v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>0</v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>0</v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>0</v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>0</v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>0</v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>0</v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>0</v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>0</v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>0</v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>0</v>
      </c>
      <c r="AP127" s="66">
        <f t="shared" si="14"/>
        <v>0</v>
      </c>
      <c r="AQ127" s="66">
        <f t="shared" si="15"/>
        <v>0</v>
      </c>
      <c r="AR127" s="66">
        <f t="shared" si="16"/>
        <v>0</v>
      </c>
      <c r="AS127" s="66">
        <f t="shared" si="17"/>
        <v>0</v>
      </c>
      <c r="AT127" s="66">
        <f t="shared" si="18"/>
        <v>0</v>
      </c>
      <c r="AU127" s="66">
        <f t="shared" si="19"/>
        <v>0</v>
      </c>
      <c r="AV127" s="66">
        <f t="shared" si="20"/>
        <v>0</v>
      </c>
      <c r="AW127" s="66">
        <f t="shared" si="21"/>
        <v>0</v>
      </c>
      <c r="AX127" s="66">
        <f t="shared" si="22"/>
        <v>0</v>
      </c>
      <c r="AY127" s="66">
        <f t="shared" si="23"/>
        <v>0</v>
      </c>
      <c r="AZ127" s="66">
        <f>'Project Database'!Z131</f>
        <v>0</v>
      </c>
      <c r="BA127" s="66">
        <f>IF(OR(A127="",'Smart Search'!H13=0),"",MAX(0,BE127*BF127*MAX(0,1-BG127)))</f>
        <v>0</v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>0</v>
      </c>
      <c r="BC127" s="66">
        <f>IF('Smart Search'!G13=1,IFERROR(1/'Smart Search'!H13,0),0)</f>
        <v>0</v>
      </c>
      <c r="BD127" s="66">
        <f t="shared" si="24"/>
        <v>0</v>
      </c>
      <c r="BE127" s="66">
        <f t="shared" si="25"/>
        <v>0</v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>0</v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>0</v>
      </c>
      <c r="BH127" s="5" t="str">
        <f>IF(AND('Project Database'!A131&lt;&gt;"",OR('Smart Search'!$L$5="",'Smart Search'!$L$5="All",TRIM('Project Database'!D131)=TRIM('Smart Search'!$L$5)),OR(TRIM('Smart Search'!$L$6)="",TRIM('Smart Search'!$L$6)="All",ISNUMBER(SEARCH(SUBSTITUTE(SUBSTITUTE(SUBSTITUTE(TRIM('Smart Search'!$L$6),"~","~~"),"*","~*"),"?","~?"),'Project Database'!C131))),OR('Smart Search'!$L$7="",AND('Project Database'!E131&lt;&gt;"",'Project Database'!E131='Smart Search'!$L$7)),OR('Smart Search'!$L$8="",'Smart Search'!$L$8="All",TRIM('Project Database'!F131)=TRIM('Smart Search'!$L$8))),IF(BA127="","",BA127+ROW()*0.0000000001),"")</f>
        <v/>
      </c>
      <c r="BI127" s="5" t="str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 t="str">
        <f>IF('Project Database'!A131="","",N('Project Database'!AC131))</f>
        <v/>
      </c>
      <c r="BK127" s="5" t="str">
        <f>IF('Project Database'!A131="","",N('Project Database'!AD131))</f>
        <v/>
      </c>
      <c r="BL127" s="5" t="str">
        <f>IF('Project Database'!A131="","",N('Project Database'!AE131))</f>
        <v/>
      </c>
      <c r="BM127" s="5" t="str">
        <f>IF('Project Database'!A131="","",N('Project Database'!AF131))</f>
        <v/>
      </c>
      <c r="BN127" s="5" t="str">
        <f>IF('Project Database'!A131="","",N('Project Database'!AG131))</f>
        <v/>
      </c>
      <c r="BO127" s="5" t="str">
        <f>IF('Project Database'!A131="","",N('Project Database'!AH131))</f>
        <v/>
      </c>
      <c r="BP127" s="5" t="str">
        <f>IF('Project Database'!A131="","",N('Project Database'!AI131))</f>
        <v/>
      </c>
      <c r="BQ127" s="5" t="str">
        <f>IF('Project Database'!A131="","",N('Project Database'!AJ131))</f>
        <v/>
      </c>
      <c r="BR127" s="5" t="str">
        <f>IF('Project Database'!A131="","",N('Project Database'!AK131))</f>
        <v/>
      </c>
      <c r="BS127" s="5" t="str">
        <f>IF('Project Database'!A131="","",N('Project Database'!AL131))</f>
        <v/>
      </c>
      <c r="BT127" s="5" t="str">
        <f>IF('Project Database'!A131="","",N('Project Database'!AM131))</f>
        <v/>
      </c>
      <c r="BU127" s="5" t="str">
        <f>IF('Project Database'!A131="","",N('Project Database'!AN131))</f>
        <v/>
      </c>
      <c r="BV127" s="5" t="str">
        <f>IF('Project Database'!A131="","",N('Project Database'!AO131))</f>
        <v/>
      </c>
      <c r="BW127" s="5" t="str">
        <f>IF('Project Database'!A131="","",N('Project Database'!AP131))</f>
        <v/>
      </c>
      <c r="BX127" s="5">
        <f t="shared" si="26"/>
        <v>0</v>
      </c>
      <c r="BY127" s="5">
        <f t="shared" si="27"/>
        <v>0</v>
      </c>
    </row>
    <row r="128" spans="1:77" ht="15" customHeight="1" x14ac:dyDescent="0.3">
      <c r="A128" s="66">
        <f>'Project Database'!A132</f>
        <v>0</v>
      </c>
      <c r="B128" s="66">
        <f>'Project Database'!B132</f>
        <v>0</v>
      </c>
      <c r="C128" s="66">
        <f>'Project Database'!G132</f>
        <v>0</v>
      </c>
      <c r="D128" s="66">
        <f>'Project Database'!H132</f>
        <v>0</v>
      </c>
      <c r="E128" s="66">
        <f>'Project Database'!I132</f>
        <v>0</v>
      </c>
      <c r="F128" s="66">
        <f>'Project Database'!J132</f>
        <v>0</v>
      </c>
      <c r="G128" s="66">
        <f>'Project Database'!K132</f>
        <v>0</v>
      </c>
      <c r="H128" s="66">
        <f>'Project Database'!L132</f>
        <v>0</v>
      </c>
      <c r="I128" s="66">
        <f>'Project Database'!M132</f>
        <v>0</v>
      </c>
      <c r="J128" s="66">
        <f>'Project Database'!N132</f>
        <v>0</v>
      </c>
      <c r="K128" s="66">
        <f>'Project Database'!O132</f>
        <v>0</v>
      </c>
      <c r="L128" s="66">
        <f>'Project Database'!P132</f>
        <v>0</v>
      </c>
      <c r="M128" s="66">
        <f>'Project Database'!Q132</f>
        <v>0</v>
      </c>
      <c r="N128" s="66">
        <f>'Project Database'!R132</f>
        <v>0</v>
      </c>
      <c r="O128" s="66">
        <f>'Project Database'!S132</f>
        <v>0</v>
      </c>
      <c r="P128" s="66">
        <f>'Project Database'!T132</f>
        <v>0</v>
      </c>
      <c r="Q128" s="66">
        <f>'Project Database'!U132</f>
        <v>0</v>
      </c>
      <c r="R128" s="66">
        <f>'Project Database'!V132</f>
        <v>0</v>
      </c>
      <c r="S128" s="66">
        <f>'Project Database'!W132</f>
        <v>0</v>
      </c>
      <c r="T128" s="66">
        <f>'Project Database'!X132</f>
        <v>0</v>
      </c>
      <c r="U128" s="67">
        <f>'Project Database'!Y132</f>
        <v>0</v>
      </c>
      <c r="V128" s="66">
        <f>IF('Smart Search'!B13=1,IFERROR(1/'Smart Search'!H13,0),0)</f>
        <v>0</v>
      </c>
      <c r="W128" s="66">
        <f>IF('Smart Search'!B13=1,IFERROR(1/'Smart Search'!H13,0),0)</f>
        <v>0</v>
      </c>
      <c r="X128" s="66">
        <f>IF('Smart Search'!C13=1,IFERROR(1/'Smart Search'!H13,0),0)</f>
        <v>0.5</v>
      </c>
      <c r="Y128" s="66">
        <f>IF('Smart Search'!C13=1,IFERROR(1/'Smart Search'!H13,0),0)</f>
        <v>0.5</v>
      </c>
      <c r="Z128" s="66">
        <f>IF('Smart Search'!D13=1,IFERROR(1/'Smart Search'!H13,0),0)</f>
        <v>0</v>
      </c>
      <c r="AA128" s="66">
        <f>IF('Smart Search'!D13=1,IFERROR(1/'Smart Search'!H13,0),0)</f>
        <v>0</v>
      </c>
      <c r="AB128" s="66">
        <f>IF('Smart Search'!E13=1,IFERROR(1/'Smart Search'!H13,0),0)</f>
        <v>0</v>
      </c>
      <c r="AC128" s="66">
        <f>IF('Smart Search'!E13=1,IFERROR(1/'Smart Search'!H13,0),0)</f>
        <v>0</v>
      </c>
      <c r="AD128" s="66">
        <f>IF('Smart Search'!F13=1,IFERROR(1/'Smart Search'!H13,0),0)</f>
        <v>0</v>
      </c>
      <c r="AE128" s="66">
        <f>IF('Smart Search'!F13=1,IFERROR(1/'Smart Search'!H13,0),0)</f>
        <v>0</v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>0</v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>0</v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>0</v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>0</v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>0</v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>0</v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>0</v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>0</v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>0</v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>0</v>
      </c>
      <c r="AP128" s="66">
        <f t="shared" si="14"/>
        <v>0</v>
      </c>
      <c r="AQ128" s="66">
        <f t="shared" si="15"/>
        <v>0</v>
      </c>
      <c r="AR128" s="66">
        <f t="shared" si="16"/>
        <v>0</v>
      </c>
      <c r="AS128" s="66">
        <f t="shared" si="17"/>
        <v>0</v>
      </c>
      <c r="AT128" s="66">
        <f t="shared" si="18"/>
        <v>0</v>
      </c>
      <c r="AU128" s="66">
        <f t="shared" si="19"/>
        <v>0</v>
      </c>
      <c r="AV128" s="66">
        <f t="shared" si="20"/>
        <v>0</v>
      </c>
      <c r="AW128" s="66">
        <f t="shared" si="21"/>
        <v>0</v>
      </c>
      <c r="AX128" s="66">
        <f t="shared" si="22"/>
        <v>0</v>
      </c>
      <c r="AY128" s="66">
        <f t="shared" si="23"/>
        <v>0</v>
      </c>
      <c r="AZ128" s="66">
        <f>'Project Database'!Z132</f>
        <v>0</v>
      </c>
      <c r="BA128" s="66">
        <f>IF(OR(A128="",'Smart Search'!H13=0),"",MAX(0,BE128*BF128*MAX(0,1-BG128)))</f>
        <v>0</v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>0</v>
      </c>
      <c r="BC128" s="66">
        <f>IF('Smart Search'!G13=1,IFERROR(1/'Smart Search'!H13,0),0)</f>
        <v>0</v>
      </c>
      <c r="BD128" s="66">
        <f t="shared" si="24"/>
        <v>0</v>
      </c>
      <c r="BE128" s="66">
        <f t="shared" si="25"/>
        <v>0</v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>0</v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>0</v>
      </c>
      <c r="BH128" s="5" t="str">
        <f>IF(AND('Project Database'!A132&lt;&gt;"",OR('Smart Search'!$L$5="",'Smart Search'!$L$5="All",TRIM('Project Database'!D132)=TRIM('Smart Search'!$L$5)),OR(TRIM('Smart Search'!$L$6)="",TRIM('Smart Search'!$L$6)="All",ISNUMBER(SEARCH(SUBSTITUTE(SUBSTITUTE(SUBSTITUTE(TRIM('Smart Search'!$L$6),"~","~~"),"*","~*"),"?","~?"),'Project Database'!C132))),OR('Smart Search'!$L$7="",AND('Project Database'!E132&lt;&gt;"",'Project Database'!E132='Smart Search'!$L$7)),OR('Smart Search'!$L$8="",'Smart Search'!$L$8="All",TRIM('Project Database'!F132)=TRIM('Smart Search'!$L$8))),IF(BA128="","",BA128+ROW()*0.0000000001),"")</f>
        <v/>
      </c>
      <c r="BI128" s="5" t="str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 t="str">
        <f>IF('Project Database'!A132="","",N('Project Database'!AC132))</f>
        <v/>
      </c>
      <c r="BK128" s="5" t="str">
        <f>IF('Project Database'!A132="","",N('Project Database'!AD132))</f>
        <v/>
      </c>
      <c r="BL128" s="5" t="str">
        <f>IF('Project Database'!A132="","",N('Project Database'!AE132))</f>
        <v/>
      </c>
      <c r="BM128" s="5" t="str">
        <f>IF('Project Database'!A132="","",N('Project Database'!AF132))</f>
        <v/>
      </c>
      <c r="BN128" s="5" t="str">
        <f>IF('Project Database'!A132="","",N('Project Database'!AG132))</f>
        <v/>
      </c>
      <c r="BO128" s="5" t="str">
        <f>IF('Project Database'!A132="","",N('Project Database'!AH132))</f>
        <v/>
      </c>
      <c r="BP128" s="5" t="str">
        <f>IF('Project Database'!A132="","",N('Project Database'!AI132))</f>
        <v/>
      </c>
      <c r="BQ128" s="5" t="str">
        <f>IF('Project Database'!A132="","",N('Project Database'!AJ132))</f>
        <v/>
      </c>
      <c r="BR128" s="5" t="str">
        <f>IF('Project Database'!A132="","",N('Project Database'!AK132))</f>
        <v/>
      </c>
      <c r="BS128" s="5" t="str">
        <f>IF('Project Database'!A132="","",N('Project Database'!AL132))</f>
        <v/>
      </c>
      <c r="BT128" s="5" t="str">
        <f>IF('Project Database'!A132="","",N('Project Database'!AM132))</f>
        <v/>
      </c>
      <c r="BU128" s="5" t="str">
        <f>IF('Project Database'!A132="","",N('Project Database'!AN132))</f>
        <v/>
      </c>
      <c r="BV128" s="5" t="str">
        <f>IF('Project Database'!A132="","",N('Project Database'!AO132))</f>
        <v/>
      </c>
      <c r="BW128" s="5" t="str">
        <f>IF('Project Database'!A132="","",N('Project Database'!AP132))</f>
        <v/>
      </c>
      <c r="BX128" s="5">
        <f t="shared" si="26"/>
        <v>0</v>
      </c>
      <c r="BY128" s="5">
        <f t="shared" si="27"/>
        <v>0</v>
      </c>
    </row>
    <row r="129" spans="1:77" ht="15" customHeight="1" x14ac:dyDescent="0.3">
      <c r="A129" s="66">
        <f>'Project Database'!A133</f>
        <v>0</v>
      </c>
      <c r="B129" s="66">
        <f>'Project Database'!B133</f>
        <v>0</v>
      </c>
      <c r="C129" s="66">
        <f>'Project Database'!G133</f>
        <v>0</v>
      </c>
      <c r="D129" s="66">
        <f>'Project Database'!H133</f>
        <v>0</v>
      </c>
      <c r="E129" s="66">
        <f>'Project Database'!I133</f>
        <v>0</v>
      </c>
      <c r="F129" s="66">
        <f>'Project Database'!J133</f>
        <v>0</v>
      </c>
      <c r="G129" s="66">
        <f>'Project Database'!K133</f>
        <v>0</v>
      </c>
      <c r="H129" s="66">
        <f>'Project Database'!L133</f>
        <v>0</v>
      </c>
      <c r="I129" s="66">
        <f>'Project Database'!M133</f>
        <v>0</v>
      </c>
      <c r="J129" s="66">
        <f>'Project Database'!N133</f>
        <v>0</v>
      </c>
      <c r="K129" s="66">
        <f>'Project Database'!O133</f>
        <v>0</v>
      </c>
      <c r="L129" s="66">
        <f>'Project Database'!P133</f>
        <v>0</v>
      </c>
      <c r="M129" s="66">
        <f>'Project Database'!Q133</f>
        <v>0</v>
      </c>
      <c r="N129" s="66">
        <f>'Project Database'!R133</f>
        <v>0</v>
      </c>
      <c r="O129" s="66">
        <f>'Project Database'!S133</f>
        <v>0</v>
      </c>
      <c r="P129" s="66">
        <f>'Project Database'!T133</f>
        <v>0</v>
      </c>
      <c r="Q129" s="66">
        <f>'Project Database'!U133</f>
        <v>0</v>
      </c>
      <c r="R129" s="66">
        <f>'Project Database'!V133</f>
        <v>0</v>
      </c>
      <c r="S129" s="66">
        <f>'Project Database'!W133</f>
        <v>0</v>
      </c>
      <c r="T129" s="66">
        <f>'Project Database'!X133</f>
        <v>0</v>
      </c>
      <c r="U129" s="67">
        <f>'Project Database'!Y133</f>
        <v>0</v>
      </c>
      <c r="V129" s="66">
        <f>IF('Smart Search'!B13=1,IFERROR(1/'Smart Search'!H13,0),0)</f>
        <v>0</v>
      </c>
      <c r="W129" s="66">
        <f>IF('Smart Search'!B13=1,IFERROR(1/'Smart Search'!H13,0),0)</f>
        <v>0</v>
      </c>
      <c r="X129" s="66">
        <f>IF('Smart Search'!C13=1,IFERROR(1/'Smart Search'!H13,0),0)</f>
        <v>0.5</v>
      </c>
      <c r="Y129" s="66">
        <f>IF('Smart Search'!C13=1,IFERROR(1/'Smart Search'!H13,0),0)</f>
        <v>0.5</v>
      </c>
      <c r="Z129" s="66">
        <f>IF('Smart Search'!D13=1,IFERROR(1/'Smart Search'!H13,0),0)</f>
        <v>0</v>
      </c>
      <c r="AA129" s="66">
        <f>IF('Smart Search'!D13=1,IFERROR(1/'Smart Search'!H13,0),0)</f>
        <v>0</v>
      </c>
      <c r="AB129" s="66">
        <f>IF('Smart Search'!E13=1,IFERROR(1/'Smart Search'!H13,0),0)</f>
        <v>0</v>
      </c>
      <c r="AC129" s="66">
        <f>IF('Smart Search'!E13=1,IFERROR(1/'Smart Search'!H13,0),0)</f>
        <v>0</v>
      </c>
      <c r="AD129" s="66">
        <f>IF('Smart Search'!F13=1,IFERROR(1/'Smart Search'!H13,0),0)</f>
        <v>0</v>
      </c>
      <c r="AE129" s="66">
        <f>IF('Smart Search'!F13=1,IFERROR(1/'Smart Search'!H13,0),0)</f>
        <v>0</v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>0</v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>0</v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>0</v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>0</v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>0</v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>0</v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>0</v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>0</v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>0</v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>0</v>
      </c>
      <c r="AP129" s="66">
        <f t="shared" si="14"/>
        <v>0</v>
      </c>
      <c r="AQ129" s="66">
        <f t="shared" si="15"/>
        <v>0</v>
      </c>
      <c r="AR129" s="66">
        <f t="shared" si="16"/>
        <v>0</v>
      </c>
      <c r="AS129" s="66">
        <f t="shared" si="17"/>
        <v>0</v>
      </c>
      <c r="AT129" s="66">
        <f t="shared" si="18"/>
        <v>0</v>
      </c>
      <c r="AU129" s="66">
        <f t="shared" si="19"/>
        <v>0</v>
      </c>
      <c r="AV129" s="66">
        <f t="shared" si="20"/>
        <v>0</v>
      </c>
      <c r="AW129" s="66">
        <f t="shared" si="21"/>
        <v>0</v>
      </c>
      <c r="AX129" s="66">
        <f t="shared" si="22"/>
        <v>0</v>
      </c>
      <c r="AY129" s="66">
        <f t="shared" si="23"/>
        <v>0</v>
      </c>
      <c r="AZ129" s="66">
        <f>'Project Database'!Z133</f>
        <v>0</v>
      </c>
      <c r="BA129" s="66">
        <f>IF(OR(A129="",'Smart Search'!H13=0),"",MAX(0,BE129*BF129*MAX(0,1-BG129)))</f>
        <v>0</v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>0</v>
      </c>
      <c r="BC129" s="66">
        <f>IF('Smart Search'!G13=1,IFERROR(1/'Smart Search'!H13,0),0)</f>
        <v>0</v>
      </c>
      <c r="BD129" s="66">
        <f t="shared" si="24"/>
        <v>0</v>
      </c>
      <c r="BE129" s="66">
        <f t="shared" si="25"/>
        <v>0</v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>0</v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>0</v>
      </c>
      <c r="BH129" s="5" t="str">
        <f>IF(AND('Project Database'!A133&lt;&gt;"",OR('Smart Search'!$L$5="",'Smart Search'!$L$5="All",TRIM('Project Database'!D133)=TRIM('Smart Search'!$L$5)),OR(TRIM('Smart Search'!$L$6)="",TRIM('Smart Search'!$L$6)="All",ISNUMBER(SEARCH(SUBSTITUTE(SUBSTITUTE(SUBSTITUTE(TRIM('Smart Search'!$L$6),"~","~~"),"*","~*"),"?","~?"),'Project Database'!C133))),OR('Smart Search'!$L$7="",AND('Project Database'!E133&lt;&gt;"",'Project Database'!E133='Smart Search'!$L$7)),OR('Smart Search'!$L$8="",'Smart Search'!$L$8="All",TRIM('Project Database'!F133)=TRIM('Smart Search'!$L$8))),IF(BA129="","",BA129+ROW()*0.0000000001),"")</f>
        <v/>
      </c>
      <c r="BI129" s="5" t="str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 t="str">
        <f>IF('Project Database'!A133="","",N('Project Database'!AC133))</f>
        <v/>
      </c>
      <c r="BK129" s="5" t="str">
        <f>IF('Project Database'!A133="","",N('Project Database'!AD133))</f>
        <v/>
      </c>
      <c r="BL129" s="5" t="str">
        <f>IF('Project Database'!A133="","",N('Project Database'!AE133))</f>
        <v/>
      </c>
      <c r="BM129" s="5" t="str">
        <f>IF('Project Database'!A133="","",N('Project Database'!AF133))</f>
        <v/>
      </c>
      <c r="BN129" s="5" t="str">
        <f>IF('Project Database'!A133="","",N('Project Database'!AG133))</f>
        <v/>
      </c>
      <c r="BO129" s="5" t="str">
        <f>IF('Project Database'!A133="","",N('Project Database'!AH133))</f>
        <v/>
      </c>
      <c r="BP129" s="5" t="str">
        <f>IF('Project Database'!A133="","",N('Project Database'!AI133))</f>
        <v/>
      </c>
      <c r="BQ129" s="5" t="str">
        <f>IF('Project Database'!A133="","",N('Project Database'!AJ133))</f>
        <v/>
      </c>
      <c r="BR129" s="5" t="str">
        <f>IF('Project Database'!A133="","",N('Project Database'!AK133))</f>
        <v/>
      </c>
      <c r="BS129" s="5" t="str">
        <f>IF('Project Database'!A133="","",N('Project Database'!AL133))</f>
        <v/>
      </c>
      <c r="BT129" s="5" t="str">
        <f>IF('Project Database'!A133="","",N('Project Database'!AM133))</f>
        <v/>
      </c>
      <c r="BU129" s="5" t="str">
        <f>IF('Project Database'!A133="","",N('Project Database'!AN133))</f>
        <v/>
      </c>
      <c r="BV129" s="5" t="str">
        <f>IF('Project Database'!A133="","",N('Project Database'!AO133))</f>
        <v/>
      </c>
      <c r="BW129" s="5" t="str">
        <f>IF('Project Database'!A133="","",N('Project Database'!AP133))</f>
        <v/>
      </c>
      <c r="BX129" s="5">
        <f t="shared" si="26"/>
        <v>0</v>
      </c>
      <c r="BY129" s="5">
        <f t="shared" si="27"/>
        <v>0</v>
      </c>
    </row>
    <row r="130" spans="1:77" ht="15" customHeight="1" x14ac:dyDescent="0.3">
      <c r="A130" s="66">
        <f>'Project Database'!A134</f>
        <v>0</v>
      </c>
      <c r="B130" s="66">
        <f>'Project Database'!B134</f>
        <v>0</v>
      </c>
      <c r="C130" s="66">
        <f>'Project Database'!G134</f>
        <v>0</v>
      </c>
      <c r="D130" s="66">
        <f>'Project Database'!H134</f>
        <v>0</v>
      </c>
      <c r="E130" s="66">
        <f>'Project Database'!I134</f>
        <v>0</v>
      </c>
      <c r="F130" s="66">
        <f>'Project Database'!J134</f>
        <v>0</v>
      </c>
      <c r="G130" s="66">
        <f>'Project Database'!K134</f>
        <v>0</v>
      </c>
      <c r="H130" s="66">
        <f>'Project Database'!L134</f>
        <v>0</v>
      </c>
      <c r="I130" s="66">
        <f>'Project Database'!M134</f>
        <v>0</v>
      </c>
      <c r="J130" s="66">
        <f>'Project Database'!N134</f>
        <v>0</v>
      </c>
      <c r="K130" s="66">
        <f>'Project Database'!O134</f>
        <v>0</v>
      </c>
      <c r="L130" s="66">
        <f>'Project Database'!P134</f>
        <v>0</v>
      </c>
      <c r="M130" s="66">
        <f>'Project Database'!Q134</f>
        <v>0</v>
      </c>
      <c r="N130" s="66">
        <f>'Project Database'!R134</f>
        <v>0</v>
      </c>
      <c r="O130" s="66">
        <f>'Project Database'!S134</f>
        <v>0</v>
      </c>
      <c r="P130" s="66">
        <f>'Project Database'!T134</f>
        <v>0</v>
      </c>
      <c r="Q130" s="66">
        <f>'Project Database'!U134</f>
        <v>0</v>
      </c>
      <c r="R130" s="66">
        <f>'Project Database'!V134</f>
        <v>0</v>
      </c>
      <c r="S130" s="66">
        <f>'Project Database'!W134</f>
        <v>0</v>
      </c>
      <c r="T130" s="66">
        <f>'Project Database'!X134</f>
        <v>0</v>
      </c>
      <c r="U130" s="67">
        <f>'Project Database'!Y134</f>
        <v>0</v>
      </c>
      <c r="V130" s="66">
        <f>IF('Smart Search'!B13=1,IFERROR(1/'Smart Search'!H13,0),0)</f>
        <v>0</v>
      </c>
      <c r="W130" s="66">
        <f>IF('Smart Search'!B13=1,IFERROR(1/'Smart Search'!H13,0),0)</f>
        <v>0</v>
      </c>
      <c r="X130" s="66">
        <f>IF('Smart Search'!C13=1,IFERROR(1/'Smart Search'!H13,0),0)</f>
        <v>0.5</v>
      </c>
      <c r="Y130" s="66">
        <f>IF('Smart Search'!C13=1,IFERROR(1/'Smart Search'!H13,0),0)</f>
        <v>0.5</v>
      </c>
      <c r="Z130" s="66">
        <f>IF('Smart Search'!D13=1,IFERROR(1/'Smart Search'!H13,0),0)</f>
        <v>0</v>
      </c>
      <c r="AA130" s="66">
        <f>IF('Smart Search'!D13=1,IFERROR(1/'Smart Search'!H13,0),0)</f>
        <v>0</v>
      </c>
      <c r="AB130" s="66">
        <f>IF('Smart Search'!E13=1,IFERROR(1/'Smart Search'!H13,0),0)</f>
        <v>0</v>
      </c>
      <c r="AC130" s="66">
        <f>IF('Smart Search'!E13=1,IFERROR(1/'Smart Search'!H13,0),0)</f>
        <v>0</v>
      </c>
      <c r="AD130" s="66">
        <f>IF('Smart Search'!F13=1,IFERROR(1/'Smart Search'!H13,0),0)</f>
        <v>0</v>
      </c>
      <c r="AE130" s="66">
        <f>IF('Smart Search'!F13=1,IFERROR(1/'Smart Search'!H13,0),0)</f>
        <v>0</v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>0</v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>0</v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>0</v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>0</v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>0</v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>0</v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>0</v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>0</v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>0</v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>0</v>
      </c>
      <c r="AP130" s="66">
        <f t="shared" ref="AP130:AP193" si="28">AF130*V130</f>
        <v>0</v>
      </c>
      <c r="AQ130" s="66">
        <f t="shared" ref="AQ130:AQ193" si="29">AG130*W130</f>
        <v>0</v>
      </c>
      <c r="AR130" s="66">
        <f t="shared" ref="AR130:AR193" si="30">AH130*X130</f>
        <v>0</v>
      </c>
      <c r="AS130" s="66">
        <f t="shared" ref="AS130:AS193" si="31">AI130*Y130</f>
        <v>0</v>
      </c>
      <c r="AT130" s="66">
        <f t="shared" ref="AT130:AT193" si="32">AJ130*Z130</f>
        <v>0</v>
      </c>
      <c r="AU130" s="66">
        <f t="shared" ref="AU130:AU193" si="33">AK130*AA130</f>
        <v>0</v>
      </c>
      <c r="AV130" s="66">
        <f t="shared" ref="AV130:AV193" si="34">AL130*AB130</f>
        <v>0</v>
      </c>
      <c r="AW130" s="66">
        <f t="shared" ref="AW130:AW193" si="35">AM130*AC130</f>
        <v>0</v>
      </c>
      <c r="AX130" s="66">
        <f t="shared" ref="AX130:AX193" si="36">AN130*AD130</f>
        <v>0</v>
      </c>
      <c r="AY130" s="66">
        <f t="shared" ref="AY130:AY193" si="37">AO130*AE130</f>
        <v>0</v>
      </c>
      <c r="AZ130" s="66">
        <f>'Project Database'!Z134</f>
        <v>0</v>
      </c>
      <c r="BA130" s="66">
        <f>IF(OR(A130="",'Smart Search'!H13=0),"",MAX(0,BE130*BF130*MAX(0,1-BG130)))</f>
        <v>0</v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>0</v>
      </c>
      <c r="BC130" s="66">
        <f>IF('Smart Search'!G13=1,IFERROR(1/'Smart Search'!H13,0),0)</f>
        <v>0</v>
      </c>
      <c r="BD130" s="66">
        <f t="shared" ref="BD130:BD193" si="38">BB130*BC130</f>
        <v>0</v>
      </c>
      <c r="BE130" s="66">
        <f t="shared" ref="BE130:BE193" si="39">AP130+AQ130+AR130+AS130+AT130+AU130+AV130+AW130+AX130+AY130+BD130</f>
        <v>0</v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>0</v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>0</v>
      </c>
      <c r="BH130" s="5" t="str">
        <f>IF(AND('Project Database'!A134&lt;&gt;"",OR('Smart Search'!$L$5="",'Smart Search'!$L$5="All",TRIM('Project Database'!D134)=TRIM('Smart Search'!$L$5)),OR(TRIM('Smart Search'!$L$6)="",TRIM('Smart Search'!$L$6)="All",ISNUMBER(SEARCH(SUBSTITUTE(SUBSTITUTE(SUBSTITUTE(TRIM('Smart Search'!$L$6),"~","~~"),"*","~*"),"?","~?"),'Project Database'!C134))),OR('Smart Search'!$L$7="",AND('Project Database'!E134&lt;&gt;"",'Project Database'!E134='Smart Search'!$L$7)),OR('Smart Search'!$L$8="",'Smart Search'!$L$8="All",TRIM('Project Database'!F134)=TRIM('Smart Search'!$L$8))),IF(BA130="","",BA130+ROW()*0.0000000001),"")</f>
        <v/>
      </c>
      <c r="BI130" s="5" t="str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 t="str">
        <f>IF('Project Database'!A134="","",N('Project Database'!AC134))</f>
        <v/>
      </c>
      <c r="BK130" s="5" t="str">
        <f>IF('Project Database'!A134="","",N('Project Database'!AD134))</f>
        <v/>
      </c>
      <c r="BL130" s="5" t="str">
        <f>IF('Project Database'!A134="","",N('Project Database'!AE134))</f>
        <v/>
      </c>
      <c r="BM130" s="5" t="str">
        <f>IF('Project Database'!A134="","",N('Project Database'!AF134))</f>
        <v/>
      </c>
      <c r="BN130" s="5" t="str">
        <f>IF('Project Database'!A134="","",N('Project Database'!AG134))</f>
        <v/>
      </c>
      <c r="BO130" s="5" t="str">
        <f>IF('Project Database'!A134="","",N('Project Database'!AH134))</f>
        <v/>
      </c>
      <c r="BP130" s="5" t="str">
        <f>IF('Project Database'!A134="","",N('Project Database'!AI134))</f>
        <v/>
      </c>
      <c r="BQ130" s="5" t="str">
        <f>IF('Project Database'!A134="","",N('Project Database'!AJ134))</f>
        <v/>
      </c>
      <c r="BR130" s="5" t="str">
        <f>IF('Project Database'!A134="","",N('Project Database'!AK134))</f>
        <v/>
      </c>
      <c r="BS130" s="5" t="str">
        <f>IF('Project Database'!A134="","",N('Project Database'!AL134))</f>
        <v/>
      </c>
      <c r="BT130" s="5" t="str">
        <f>IF('Project Database'!A134="","",N('Project Database'!AM134))</f>
        <v/>
      </c>
      <c r="BU130" s="5" t="str">
        <f>IF('Project Database'!A134="","",N('Project Database'!AN134))</f>
        <v/>
      </c>
      <c r="BV130" s="5" t="str">
        <f>IF('Project Database'!A134="","",N('Project Database'!AO134))</f>
        <v/>
      </c>
      <c r="BW130" s="5" t="str">
        <f>IF('Project Database'!A134="","",N('Project Database'!AP134))</f>
        <v/>
      </c>
      <c r="BX130" s="5">
        <f t="shared" ref="BX130:BX193" si="40">IF(A130="","",SUM(BJ130:BW130))</f>
        <v>0</v>
      </c>
      <c r="BY130" s="5">
        <f t="shared" ref="BY130:BY193" si="41">IF(A130="","",IFERROR(IF(ISNUMBER(U130),U130,VALUE(SUBSTITUTE(SUBSTITUTE(SUBSTITUTE(UPPER(TRIM(U130)),"M",""),",","")," ",""))),0))</f>
        <v>0</v>
      </c>
    </row>
    <row r="131" spans="1:77" ht="15" customHeight="1" x14ac:dyDescent="0.3">
      <c r="A131" s="66">
        <f>'Project Database'!A135</f>
        <v>0</v>
      </c>
      <c r="B131" s="66">
        <f>'Project Database'!B135</f>
        <v>0</v>
      </c>
      <c r="C131" s="66">
        <f>'Project Database'!G135</f>
        <v>0</v>
      </c>
      <c r="D131" s="66">
        <f>'Project Database'!H135</f>
        <v>0</v>
      </c>
      <c r="E131" s="66">
        <f>'Project Database'!I135</f>
        <v>0</v>
      </c>
      <c r="F131" s="66">
        <f>'Project Database'!J135</f>
        <v>0</v>
      </c>
      <c r="G131" s="66">
        <f>'Project Database'!K135</f>
        <v>0</v>
      </c>
      <c r="H131" s="66">
        <f>'Project Database'!L135</f>
        <v>0</v>
      </c>
      <c r="I131" s="66">
        <f>'Project Database'!M135</f>
        <v>0</v>
      </c>
      <c r="J131" s="66">
        <f>'Project Database'!N135</f>
        <v>0</v>
      </c>
      <c r="K131" s="66">
        <f>'Project Database'!O135</f>
        <v>0</v>
      </c>
      <c r="L131" s="66">
        <f>'Project Database'!P135</f>
        <v>0</v>
      </c>
      <c r="M131" s="66">
        <f>'Project Database'!Q135</f>
        <v>0</v>
      </c>
      <c r="N131" s="66">
        <f>'Project Database'!R135</f>
        <v>0</v>
      </c>
      <c r="O131" s="66">
        <f>'Project Database'!S135</f>
        <v>0</v>
      </c>
      <c r="P131" s="66">
        <f>'Project Database'!T135</f>
        <v>0</v>
      </c>
      <c r="Q131" s="66">
        <f>'Project Database'!U135</f>
        <v>0</v>
      </c>
      <c r="R131" s="66">
        <f>'Project Database'!V135</f>
        <v>0</v>
      </c>
      <c r="S131" s="66">
        <f>'Project Database'!W135</f>
        <v>0</v>
      </c>
      <c r="T131" s="66">
        <f>'Project Database'!X135</f>
        <v>0</v>
      </c>
      <c r="U131" s="67">
        <f>'Project Database'!Y135</f>
        <v>0</v>
      </c>
      <c r="V131" s="66">
        <f>IF('Smart Search'!B13=1,IFERROR(1/'Smart Search'!H13,0),0)</f>
        <v>0</v>
      </c>
      <c r="W131" s="66">
        <f>IF('Smart Search'!B13=1,IFERROR(1/'Smart Search'!H13,0),0)</f>
        <v>0</v>
      </c>
      <c r="X131" s="66">
        <f>IF('Smart Search'!C13=1,IFERROR(1/'Smart Search'!H13,0),0)</f>
        <v>0.5</v>
      </c>
      <c r="Y131" s="66">
        <f>IF('Smart Search'!C13=1,IFERROR(1/'Smart Search'!H13,0),0)</f>
        <v>0.5</v>
      </c>
      <c r="Z131" s="66">
        <f>IF('Smart Search'!D13=1,IFERROR(1/'Smart Search'!H13,0),0)</f>
        <v>0</v>
      </c>
      <c r="AA131" s="66">
        <f>IF('Smart Search'!D13=1,IFERROR(1/'Smart Search'!H13,0),0)</f>
        <v>0</v>
      </c>
      <c r="AB131" s="66">
        <f>IF('Smart Search'!E13=1,IFERROR(1/'Smart Search'!H13,0),0)</f>
        <v>0</v>
      </c>
      <c r="AC131" s="66">
        <f>IF('Smart Search'!E13=1,IFERROR(1/'Smart Search'!H13,0),0)</f>
        <v>0</v>
      </c>
      <c r="AD131" s="66">
        <f>IF('Smart Search'!F13=1,IFERROR(1/'Smart Search'!H13,0),0)</f>
        <v>0</v>
      </c>
      <c r="AE131" s="66">
        <f>IF('Smart Search'!F13=1,IFERROR(1/'Smart Search'!H13,0),0)</f>
        <v>0</v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>0</v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>0</v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>0</v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>0</v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>0</v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>0</v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>0</v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>0</v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>0</v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>0</v>
      </c>
      <c r="AP131" s="66">
        <f t="shared" si="28"/>
        <v>0</v>
      </c>
      <c r="AQ131" s="66">
        <f t="shared" si="29"/>
        <v>0</v>
      </c>
      <c r="AR131" s="66">
        <f t="shared" si="30"/>
        <v>0</v>
      </c>
      <c r="AS131" s="66">
        <f t="shared" si="31"/>
        <v>0</v>
      </c>
      <c r="AT131" s="66">
        <f t="shared" si="32"/>
        <v>0</v>
      </c>
      <c r="AU131" s="66">
        <f t="shared" si="33"/>
        <v>0</v>
      </c>
      <c r="AV131" s="66">
        <f t="shared" si="34"/>
        <v>0</v>
      </c>
      <c r="AW131" s="66">
        <f t="shared" si="35"/>
        <v>0</v>
      </c>
      <c r="AX131" s="66">
        <f t="shared" si="36"/>
        <v>0</v>
      </c>
      <c r="AY131" s="66">
        <f t="shared" si="37"/>
        <v>0</v>
      </c>
      <c r="AZ131" s="66">
        <f>'Project Database'!Z135</f>
        <v>0</v>
      </c>
      <c r="BA131" s="66">
        <f>IF(OR(A131="",'Smart Search'!H13=0),"",MAX(0,BE131*BF131*MAX(0,1-BG131)))</f>
        <v>0</v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>0</v>
      </c>
      <c r="BC131" s="66">
        <f>IF('Smart Search'!G13=1,IFERROR(1/'Smart Search'!H13,0),0)</f>
        <v>0</v>
      </c>
      <c r="BD131" s="66">
        <f t="shared" si="38"/>
        <v>0</v>
      </c>
      <c r="BE131" s="66">
        <f t="shared" si="39"/>
        <v>0</v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>0</v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>0</v>
      </c>
      <c r="BH131" s="5" t="str">
        <f>IF(AND('Project Database'!A135&lt;&gt;"",OR('Smart Search'!$L$5="",'Smart Search'!$L$5="All",TRIM('Project Database'!D135)=TRIM('Smart Search'!$L$5)),OR(TRIM('Smart Search'!$L$6)="",TRIM('Smart Search'!$L$6)="All",ISNUMBER(SEARCH(SUBSTITUTE(SUBSTITUTE(SUBSTITUTE(TRIM('Smart Search'!$L$6),"~","~~"),"*","~*"),"?","~?"),'Project Database'!C135))),OR('Smart Search'!$L$7="",AND('Project Database'!E135&lt;&gt;"",'Project Database'!E135='Smart Search'!$L$7)),OR('Smart Search'!$L$8="",'Smart Search'!$L$8="All",TRIM('Project Database'!F135)=TRIM('Smart Search'!$L$8))),IF(BA131="","",BA131+ROW()*0.0000000001),"")</f>
        <v/>
      </c>
      <c r="BI131" s="5" t="str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 t="str">
        <f>IF('Project Database'!A135="","",N('Project Database'!AC135))</f>
        <v/>
      </c>
      <c r="BK131" s="5" t="str">
        <f>IF('Project Database'!A135="","",N('Project Database'!AD135))</f>
        <v/>
      </c>
      <c r="BL131" s="5" t="str">
        <f>IF('Project Database'!A135="","",N('Project Database'!AE135))</f>
        <v/>
      </c>
      <c r="BM131" s="5" t="str">
        <f>IF('Project Database'!A135="","",N('Project Database'!AF135))</f>
        <v/>
      </c>
      <c r="BN131" s="5" t="str">
        <f>IF('Project Database'!A135="","",N('Project Database'!AG135))</f>
        <v/>
      </c>
      <c r="BO131" s="5" t="str">
        <f>IF('Project Database'!A135="","",N('Project Database'!AH135))</f>
        <v/>
      </c>
      <c r="BP131" s="5" t="str">
        <f>IF('Project Database'!A135="","",N('Project Database'!AI135))</f>
        <v/>
      </c>
      <c r="BQ131" s="5" t="str">
        <f>IF('Project Database'!A135="","",N('Project Database'!AJ135))</f>
        <v/>
      </c>
      <c r="BR131" s="5" t="str">
        <f>IF('Project Database'!A135="","",N('Project Database'!AK135))</f>
        <v/>
      </c>
      <c r="BS131" s="5" t="str">
        <f>IF('Project Database'!A135="","",N('Project Database'!AL135))</f>
        <v/>
      </c>
      <c r="BT131" s="5" t="str">
        <f>IF('Project Database'!A135="","",N('Project Database'!AM135))</f>
        <v/>
      </c>
      <c r="BU131" s="5" t="str">
        <f>IF('Project Database'!A135="","",N('Project Database'!AN135))</f>
        <v/>
      </c>
      <c r="BV131" s="5" t="str">
        <f>IF('Project Database'!A135="","",N('Project Database'!AO135))</f>
        <v/>
      </c>
      <c r="BW131" s="5" t="str">
        <f>IF('Project Database'!A135="","",N('Project Database'!AP135))</f>
        <v/>
      </c>
      <c r="BX131" s="5">
        <f t="shared" si="40"/>
        <v>0</v>
      </c>
      <c r="BY131" s="5">
        <f t="shared" si="41"/>
        <v>0</v>
      </c>
    </row>
    <row r="132" spans="1:77" ht="15" customHeight="1" x14ac:dyDescent="0.3">
      <c r="A132" s="66">
        <f>'Project Database'!A136</f>
        <v>0</v>
      </c>
      <c r="B132" s="66">
        <f>'Project Database'!B136</f>
        <v>0</v>
      </c>
      <c r="C132" s="66">
        <f>'Project Database'!G136</f>
        <v>0</v>
      </c>
      <c r="D132" s="66">
        <f>'Project Database'!H136</f>
        <v>0</v>
      </c>
      <c r="E132" s="66">
        <f>'Project Database'!I136</f>
        <v>0</v>
      </c>
      <c r="F132" s="66">
        <f>'Project Database'!J136</f>
        <v>0</v>
      </c>
      <c r="G132" s="66">
        <f>'Project Database'!K136</f>
        <v>0</v>
      </c>
      <c r="H132" s="66">
        <f>'Project Database'!L136</f>
        <v>0</v>
      </c>
      <c r="I132" s="66">
        <f>'Project Database'!M136</f>
        <v>0</v>
      </c>
      <c r="J132" s="66">
        <f>'Project Database'!N136</f>
        <v>0</v>
      </c>
      <c r="K132" s="66">
        <f>'Project Database'!O136</f>
        <v>0</v>
      </c>
      <c r="L132" s="66">
        <f>'Project Database'!P136</f>
        <v>0</v>
      </c>
      <c r="M132" s="66">
        <f>'Project Database'!Q136</f>
        <v>0</v>
      </c>
      <c r="N132" s="66">
        <f>'Project Database'!R136</f>
        <v>0</v>
      </c>
      <c r="O132" s="66">
        <f>'Project Database'!S136</f>
        <v>0</v>
      </c>
      <c r="P132" s="66">
        <f>'Project Database'!T136</f>
        <v>0</v>
      </c>
      <c r="Q132" s="66">
        <f>'Project Database'!U136</f>
        <v>0</v>
      </c>
      <c r="R132" s="66">
        <f>'Project Database'!V136</f>
        <v>0</v>
      </c>
      <c r="S132" s="66">
        <f>'Project Database'!W136</f>
        <v>0</v>
      </c>
      <c r="T132" s="66">
        <f>'Project Database'!X136</f>
        <v>0</v>
      </c>
      <c r="U132" s="67">
        <f>'Project Database'!Y136</f>
        <v>0</v>
      </c>
      <c r="V132" s="66">
        <f>IF('Smart Search'!B13=1,IFERROR(1/'Smart Search'!H13,0),0)</f>
        <v>0</v>
      </c>
      <c r="W132" s="66">
        <f>IF('Smart Search'!B13=1,IFERROR(1/'Smart Search'!H13,0),0)</f>
        <v>0</v>
      </c>
      <c r="X132" s="66">
        <f>IF('Smart Search'!C13=1,IFERROR(1/'Smart Search'!H13,0),0)</f>
        <v>0.5</v>
      </c>
      <c r="Y132" s="66">
        <f>IF('Smart Search'!C13=1,IFERROR(1/'Smart Search'!H13,0),0)</f>
        <v>0.5</v>
      </c>
      <c r="Z132" s="66">
        <f>IF('Smart Search'!D13=1,IFERROR(1/'Smart Search'!H13,0),0)</f>
        <v>0</v>
      </c>
      <c r="AA132" s="66">
        <f>IF('Smart Search'!D13=1,IFERROR(1/'Smart Search'!H13,0),0)</f>
        <v>0</v>
      </c>
      <c r="AB132" s="66">
        <f>IF('Smart Search'!E13=1,IFERROR(1/'Smart Search'!H13,0),0)</f>
        <v>0</v>
      </c>
      <c r="AC132" s="66">
        <f>IF('Smart Search'!E13=1,IFERROR(1/'Smart Search'!H13,0),0)</f>
        <v>0</v>
      </c>
      <c r="AD132" s="66">
        <f>IF('Smart Search'!F13=1,IFERROR(1/'Smart Search'!H13,0),0)</f>
        <v>0</v>
      </c>
      <c r="AE132" s="66">
        <f>IF('Smart Search'!F13=1,IFERROR(1/'Smart Search'!H13,0),0)</f>
        <v>0</v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>0</v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>0</v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>0</v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>0</v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>0</v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>0</v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>0</v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>0</v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>0</v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>0</v>
      </c>
      <c r="AP132" s="66">
        <f t="shared" si="28"/>
        <v>0</v>
      </c>
      <c r="AQ132" s="66">
        <f t="shared" si="29"/>
        <v>0</v>
      </c>
      <c r="AR132" s="66">
        <f t="shared" si="30"/>
        <v>0</v>
      </c>
      <c r="AS132" s="66">
        <f t="shared" si="31"/>
        <v>0</v>
      </c>
      <c r="AT132" s="66">
        <f t="shared" si="32"/>
        <v>0</v>
      </c>
      <c r="AU132" s="66">
        <f t="shared" si="33"/>
        <v>0</v>
      </c>
      <c r="AV132" s="66">
        <f t="shared" si="34"/>
        <v>0</v>
      </c>
      <c r="AW132" s="66">
        <f t="shared" si="35"/>
        <v>0</v>
      </c>
      <c r="AX132" s="66">
        <f t="shared" si="36"/>
        <v>0</v>
      </c>
      <c r="AY132" s="66">
        <f t="shared" si="37"/>
        <v>0</v>
      </c>
      <c r="AZ132" s="66">
        <f>'Project Database'!Z136</f>
        <v>0</v>
      </c>
      <c r="BA132" s="66">
        <f>IF(OR(A132="",'Smart Search'!H13=0),"",MAX(0,BE132*BF132*MAX(0,1-BG132)))</f>
        <v>0</v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>0</v>
      </c>
      <c r="BC132" s="66">
        <f>IF('Smart Search'!G13=1,IFERROR(1/'Smart Search'!H13,0),0)</f>
        <v>0</v>
      </c>
      <c r="BD132" s="66">
        <f t="shared" si="38"/>
        <v>0</v>
      </c>
      <c r="BE132" s="66">
        <f t="shared" si="39"/>
        <v>0</v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>0</v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>0</v>
      </c>
      <c r="BH132" s="5" t="str">
        <f>IF(AND('Project Database'!A136&lt;&gt;"",OR('Smart Search'!$L$5="",'Smart Search'!$L$5="All",TRIM('Project Database'!D136)=TRIM('Smart Search'!$L$5)),OR(TRIM('Smart Search'!$L$6)="",TRIM('Smart Search'!$L$6)="All",ISNUMBER(SEARCH(SUBSTITUTE(SUBSTITUTE(SUBSTITUTE(TRIM('Smart Search'!$L$6),"~","~~"),"*","~*"),"?","~?"),'Project Database'!C136))),OR('Smart Search'!$L$7="",AND('Project Database'!E136&lt;&gt;"",'Project Database'!E136='Smart Search'!$L$7)),OR('Smart Search'!$L$8="",'Smart Search'!$L$8="All",TRIM('Project Database'!F136)=TRIM('Smart Search'!$L$8))),IF(BA132="","",BA132+ROW()*0.0000000001),"")</f>
        <v/>
      </c>
      <c r="BI132" s="5" t="str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 t="str">
        <f>IF('Project Database'!A136="","",N('Project Database'!AC136))</f>
        <v/>
      </c>
      <c r="BK132" s="5" t="str">
        <f>IF('Project Database'!A136="","",N('Project Database'!AD136))</f>
        <v/>
      </c>
      <c r="BL132" s="5" t="str">
        <f>IF('Project Database'!A136="","",N('Project Database'!AE136))</f>
        <v/>
      </c>
      <c r="BM132" s="5" t="str">
        <f>IF('Project Database'!A136="","",N('Project Database'!AF136))</f>
        <v/>
      </c>
      <c r="BN132" s="5" t="str">
        <f>IF('Project Database'!A136="","",N('Project Database'!AG136))</f>
        <v/>
      </c>
      <c r="BO132" s="5" t="str">
        <f>IF('Project Database'!A136="","",N('Project Database'!AH136))</f>
        <v/>
      </c>
      <c r="BP132" s="5" t="str">
        <f>IF('Project Database'!A136="","",N('Project Database'!AI136))</f>
        <v/>
      </c>
      <c r="BQ132" s="5" t="str">
        <f>IF('Project Database'!A136="","",N('Project Database'!AJ136))</f>
        <v/>
      </c>
      <c r="BR132" s="5" t="str">
        <f>IF('Project Database'!A136="","",N('Project Database'!AK136))</f>
        <v/>
      </c>
      <c r="BS132" s="5" t="str">
        <f>IF('Project Database'!A136="","",N('Project Database'!AL136))</f>
        <v/>
      </c>
      <c r="BT132" s="5" t="str">
        <f>IF('Project Database'!A136="","",N('Project Database'!AM136))</f>
        <v/>
      </c>
      <c r="BU132" s="5" t="str">
        <f>IF('Project Database'!A136="","",N('Project Database'!AN136))</f>
        <v/>
      </c>
      <c r="BV132" s="5" t="str">
        <f>IF('Project Database'!A136="","",N('Project Database'!AO136))</f>
        <v/>
      </c>
      <c r="BW132" s="5" t="str">
        <f>IF('Project Database'!A136="","",N('Project Database'!AP136))</f>
        <v/>
      </c>
      <c r="BX132" s="5">
        <f t="shared" si="40"/>
        <v>0</v>
      </c>
      <c r="BY132" s="5">
        <f t="shared" si="41"/>
        <v>0</v>
      </c>
    </row>
    <row r="133" spans="1:77" ht="15" customHeight="1" x14ac:dyDescent="0.3">
      <c r="A133" s="66">
        <f>'Project Database'!A137</f>
        <v>0</v>
      </c>
      <c r="B133" s="66">
        <f>'Project Database'!B137</f>
        <v>0</v>
      </c>
      <c r="C133" s="66">
        <f>'Project Database'!G137</f>
        <v>0</v>
      </c>
      <c r="D133" s="66">
        <f>'Project Database'!H137</f>
        <v>0</v>
      </c>
      <c r="E133" s="66">
        <f>'Project Database'!I137</f>
        <v>0</v>
      </c>
      <c r="F133" s="66">
        <f>'Project Database'!J137</f>
        <v>0</v>
      </c>
      <c r="G133" s="66">
        <f>'Project Database'!K137</f>
        <v>0</v>
      </c>
      <c r="H133" s="66">
        <f>'Project Database'!L137</f>
        <v>0</v>
      </c>
      <c r="I133" s="66">
        <f>'Project Database'!M137</f>
        <v>0</v>
      </c>
      <c r="J133" s="66">
        <f>'Project Database'!N137</f>
        <v>0</v>
      </c>
      <c r="K133" s="66">
        <f>'Project Database'!O137</f>
        <v>0</v>
      </c>
      <c r="L133" s="66">
        <f>'Project Database'!P137</f>
        <v>0</v>
      </c>
      <c r="M133" s="66">
        <f>'Project Database'!Q137</f>
        <v>0</v>
      </c>
      <c r="N133" s="66">
        <f>'Project Database'!R137</f>
        <v>0</v>
      </c>
      <c r="O133" s="66">
        <f>'Project Database'!S137</f>
        <v>0</v>
      </c>
      <c r="P133" s="66">
        <f>'Project Database'!T137</f>
        <v>0</v>
      </c>
      <c r="Q133" s="66">
        <f>'Project Database'!U137</f>
        <v>0</v>
      </c>
      <c r="R133" s="66">
        <f>'Project Database'!V137</f>
        <v>0</v>
      </c>
      <c r="S133" s="66">
        <f>'Project Database'!W137</f>
        <v>0</v>
      </c>
      <c r="T133" s="66">
        <f>'Project Database'!X137</f>
        <v>0</v>
      </c>
      <c r="U133" s="67">
        <f>'Project Database'!Y137</f>
        <v>0</v>
      </c>
      <c r="V133" s="66">
        <f>IF('Smart Search'!B13=1,IFERROR(1/'Smart Search'!H13,0),0)</f>
        <v>0</v>
      </c>
      <c r="W133" s="66">
        <f>IF('Smart Search'!B13=1,IFERROR(1/'Smart Search'!H13,0),0)</f>
        <v>0</v>
      </c>
      <c r="X133" s="66">
        <f>IF('Smart Search'!C13=1,IFERROR(1/'Smart Search'!H13,0),0)</f>
        <v>0.5</v>
      </c>
      <c r="Y133" s="66">
        <f>IF('Smart Search'!C13=1,IFERROR(1/'Smart Search'!H13,0),0)</f>
        <v>0.5</v>
      </c>
      <c r="Z133" s="66">
        <f>IF('Smart Search'!D13=1,IFERROR(1/'Smart Search'!H13,0),0)</f>
        <v>0</v>
      </c>
      <c r="AA133" s="66">
        <f>IF('Smart Search'!D13=1,IFERROR(1/'Smart Search'!H13,0),0)</f>
        <v>0</v>
      </c>
      <c r="AB133" s="66">
        <f>IF('Smart Search'!E13=1,IFERROR(1/'Smart Search'!H13,0),0)</f>
        <v>0</v>
      </c>
      <c r="AC133" s="66">
        <f>IF('Smart Search'!E13=1,IFERROR(1/'Smart Search'!H13,0),0)</f>
        <v>0</v>
      </c>
      <c r="AD133" s="66">
        <f>IF('Smart Search'!F13=1,IFERROR(1/'Smart Search'!H13,0),0)</f>
        <v>0</v>
      </c>
      <c r="AE133" s="66">
        <f>IF('Smart Search'!F13=1,IFERROR(1/'Smart Search'!H13,0),0)</f>
        <v>0</v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>0</v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>0</v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>0</v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>0</v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>0</v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>0</v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>0</v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>0</v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>0</v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>0</v>
      </c>
      <c r="AP133" s="66">
        <f t="shared" si="28"/>
        <v>0</v>
      </c>
      <c r="AQ133" s="66">
        <f t="shared" si="29"/>
        <v>0</v>
      </c>
      <c r="AR133" s="66">
        <f t="shared" si="30"/>
        <v>0</v>
      </c>
      <c r="AS133" s="66">
        <f t="shared" si="31"/>
        <v>0</v>
      </c>
      <c r="AT133" s="66">
        <f t="shared" si="32"/>
        <v>0</v>
      </c>
      <c r="AU133" s="66">
        <f t="shared" si="33"/>
        <v>0</v>
      </c>
      <c r="AV133" s="66">
        <f t="shared" si="34"/>
        <v>0</v>
      </c>
      <c r="AW133" s="66">
        <f t="shared" si="35"/>
        <v>0</v>
      </c>
      <c r="AX133" s="66">
        <f t="shared" si="36"/>
        <v>0</v>
      </c>
      <c r="AY133" s="66">
        <f t="shared" si="37"/>
        <v>0</v>
      </c>
      <c r="AZ133" s="66">
        <f>'Project Database'!Z137</f>
        <v>0</v>
      </c>
      <c r="BA133" s="66">
        <f>IF(OR(A133="",'Smart Search'!H13=0),"",MAX(0,BE133*BF133*MAX(0,1-BG133)))</f>
        <v>0</v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>0</v>
      </c>
      <c r="BC133" s="66">
        <f>IF('Smart Search'!G13=1,IFERROR(1/'Smart Search'!H13,0),0)</f>
        <v>0</v>
      </c>
      <c r="BD133" s="66">
        <f t="shared" si="38"/>
        <v>0</v>
      </c>
      <c r="BE133" s="66">
        <f t="shared" si="39"/>
        <v>0</v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>0</v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>0</v>
      </c>
      <c r="BH133" s="5" t="str">
        <f>IF(AND('Project Database'!A137&lt;&gt;"",OR('Smart Search'!$L$5="",'Smart Search'!$L$5="All",TRIM('Project Database'!D137)=TRIM('Smart Search'!$L$5)),OR(TRIM('Smart Search'!$L$6)="",TRIM('Smart Search'!$L$6)="All",ISNUMBER(SEARCH(SUBSTITUTE(SUBSTITUTE(SUBSTITUTE(TRIM('Smart Search'!$L$6),"~","~~"),"*","~*"),"?","~?"),'Project Database'!C137))),OR('Smart Search'!$L$7="",AND('Project Database'!E137&lt;&gt;"",'Project Database'!E137='Smart Search'!$L$7)),OR('Smart Search'!$L$8="",'Smart Search'!$L$8="All",TRIM('Project Database'!F137)=TRIM('Smart Search'!$L$8))),IF(BA133="","",BA133+ROW()*0.0000000001),"")</f>
        <v/>
      </c>
      <c r="BI133" s="5" t="str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 t="str">
        <f>IF('Project Database'!A137="","",N('Project Database'!AC137))</f>
        <v/>
      </c>
      <c r="BK133" s="5" t="str">
        <f>IF('Project Database'!A137="","",N('Project Database'!AD137))</f>
        <v/>
      </c>
      <c r="BL133" s="5" t="str">
        <f>IF('Project Database'!A137="","",N('Project Database'!AE137))</f>
        <v/>
      </c>
      <c r="BM133" s="5" t="str">
        <f>IF('Project Database'!A137="","",N('Project Database'!AF137))</f>
        <v/>
      </c>
      <c r="BN133" s="5" t="str">
        <f>IF('Project Database'!A137="","",N('Project Database'!AG137))</f>
        <v/>
      </c>
      <c r="BO133" s="5" t="str">
        <f>IF('Project Database'!A137="","",N('Project Database'!AH137))</f>
        <v/>
      </c>
      <c r="BP133" s="5" t="str">
        <f>IF('Project Database'!A137="","",N('Project Database'!AI137))</f>
        <v/>
      </c>
      <c r="BQ133" s="5" t="str">
        <f>IF('Project Database'!A137="","",N('Project Database'!AJ137))</f>
        <v/>
      </c>
      <c r="BR133" s="5" t="str">
        <f>IF('Project Database'!A137="","",N('Project Database'!AK137))</f>
        <v/>
      </c>
      <c r="BS133" s="5" t="str">
        <f>IF('Project Database'!A137="","",N('Project Database'!AL137))</f>
        <v/>
      </c>
      <c r="BT133" s="5" t="str">
        <f>IF('Project Database'!A137="","",N('Project Database'!AM137))</f>
        <v/>
      </c>
      <c r="BU133" s="5" t="str">
        <f>IF('Project Database'!A137="","",N('Project Database'!AN137))</f>
        <v/>
      </c>
      <c r="BV133" s="5" t="str">
        <f>IF('Project Database'!A137="","",N('Project Database'!AO137))</f>
        <v/>
      </c>
      <c r="BW133" s="5" t="str">
        <f>IF('Project Database'!A137="","",N('Project Database'!AP137))</f>
        <v/>
      </c>
      <c r="BX133" s="5">
        <f t="shared" si="40"/>
        <v>0</v>
      </c>
      <c r="BY133" s="5">
        <f t="shared" si="41"/>
        <v>0</v>
      </c>
    </row>
    <row r="134" spans="1:77" ht="15" customHeight="1" x14ac:dyDescent="0.3">
      <c r="A134" s="66">
        <f>'Project Database'!A138</f>
        <v>0</v>
      </c>
      <c r="B134" s="66">
        <f>'Project Database'!B138</f>
        <v>0</v>
      </c>
      <c r="C134" s="66">
        <f>'Project Database'!G138</f>
        <v>0</v>
      </c>
      <c r="D134" s="66">
        <f>'Project Database'!H138</f>
        <v>0</v>
      </c>
      <c r="E134" s="66">
        <f>'Project Database'!I138</f>
        <v>0</v>
      </c>
      <c r="F134" s="66">
        <f>'Project Database'!J138</f>
        <v>0</v>
      </c>
      <c r="G134" s="66">
        <f>'Project Database'!K138</f>
        <v>0</v>
      </c>
      <c r="H134" s="66">
        <f>'Project Database'!L138</f>
        <v>0</v>
      </c>
      <c r="I134" s="66">
        <f>'Project Database'!M138</f>
        <v>0</v>
      </c>
      <c r="J134" s="66">
        <f>'Project Database'!N138</f>
        <v>0</v>
      </c>
      <c r="K134" s="66">
        <f>'Project Database'!O138</f>
        <v>0</v>
      </c>
      <c r="L134" s="66">
        <f>'Project Database'!P138</f>
        <v>0</v>
      </c>
      <c r="M134" s="66">
        <f>'Project Database'!Q138</f>
        <v>0</v>
      </c>
      <c r="N134" s="66">
        <f>'Project Database'!R138</f>
        <v>0</v>
      </c>
      <c r="O134" s="66">
        <f>'Project Database'!S138</f>
        <v>0</v>
      </c>
      <c r="P134" s="66">
        <f>'Project Database'!T138</f>
        <v>0</v>
      </c>
      <c r="Q134" s="66">
        <f>'Project Database'!U138</f>
        <v>0</v>
      </c>
      <c r="R134" s="66">
        <f>'Project Database'!V138</f>
        <v>0</v>
      </c>
      <c r="S134" s="66">
        <f>'Project Database'!W138</f>
        <v>0</v>
      </c>
      <c r="T134" s="66">
        <f>'Project Database'!X138</f>
        <v>0</v>
      </c>
      <c r="U134" s="67">
        <f>'Project Database'!Y138</f>
        <v>0</v>
      </c>
      <c r="V134" s="66">
        <f>IF('Smart Search'!B13=1,IFERROR(1/'Smart Search'!H13,0),0)</f>
        <v>0</v>
      </c>
      <c r="W134" s="66">
        <f>IF('Smart Search'!B13=1,IFERROR(1/'Smart Search'!H13,0),0)</f>
        <v>0</v>
      </c>
      <c r="X134" s="66">
        <f>IF('Smart Search'!C13=1,IFERROR(1/'Smart Search'!H13,0),0)</f>
        <v>0.5</v>
      </c>
      <c r="Y134" s="66">
        <f>IF('Smart Search'!C13=1,IFERROR(1/'Smart Search'!H13,0),0)</f>
        <v>0.5</v>
      </c>
      <c r="Z134" s="66">
        <f>IF('Smart Search'!D13=1,IFERROR(1/'Smart Search'!H13,0),0)</f>
        <v>0</v>
      </c>
      <c r="AA134" s="66">
        <f>IF('Smart Search'!D13=1,IFERROR(1/'Smart Search'!H13,0),0)</f>
        <v>0</v>
      </c>
      <c r="AB134" s="66">
        <f>IF('Smart Search'!E13=1,IFERROR(1/'Smart Search'!H13,0),0)</f>
        <v>0</v>
      </c>
      <c r="AC134" s="66">
        <f>IF('Smart Search'!E13=1,IFERROR(1/'Smart Search'!H13,0),0)</f>
        <v>0</v>
      </c>
      <c r="AD134" s="66">
        <f>IF('Smart Search'!F13=1,IFERROR(1/'Smart Search'!H13,0),0)</f>
        <v>0</v>
      </c>
      <c r="AE134" s="66">
        <f>IF('Smart Search'!F13=1,IFERROR(1/'Smart Search'!H13,0),0)</f>
        <v>0</v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>0</v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>0</v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>0</v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>0</v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>0</v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>0</v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>0</v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>0</v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>0</v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>0</v>
      </c>
      <c r="AP134" s="66">
        <f t="shared" si="28"/>
        <v>0</v>
      </c>
      <c r="AQ134" s="66">
        <f t="shared" si="29"/>
        <v>0</v>
      </c>
      <c r="AR134" s="66">
        <f t="shared" si="30"/>
        <v>0</v>
      </c>
      <c r="AS134" s="66">
        <f t="shared" si="31"/>
        <v>0</v>
      </c>
      <c r="AT134" s="66">
        <f t="shared" si="32"/>
        <v>0</v>
      </c>
      <c r="AU134" s="66">
        <f t="shared" si="33"/>
        <v>0</v>
      </c>
      <c r="AV134" s="66">
        <f t="shared" si="34"/>
        <v>0</v>
      </c>
      <c r="AW134" s="66">
        <f t="shared" si="35"/>
        <v>0</v>
      </c>
      <c r="AX134" s="66">
        <f t="shared" si="36"/>
        <v>0</v>
      </c>
      <c r="AY134" s="66">
        <f t="shared" si="37"/>
        <v>0</v>
      </c>
      <c r="AZ134" s="66">
        <f>'Project Database'!Z138</f>
        <v>0</v>
      </c>
      <c r="BA134" s="66">
        <f>IF(OR(A134="",'Smart Search'!H13=0),"",MAX(0,BE134*BF134*MAX(0,1-BG134)))</f>
        <v>0</v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>0</v>
      </c>
      <c r="BC134" s="66">
        <f>IF('Smart Search'!G13=1,IFERROR(1/'Smart Search'!H13,0),0)</f>
        <v>0</v>
      </c>
      <c r="BD134" s="66">
        <f t="shared" si="38"/>
        <v>0</v>
      </c>
      <c r="BE134" s="66">
        <f t="shared" si="39"/>
        <v>0</v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>0</v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>0</v>
      </c>
      <c r="BH134" s="5" t="str">
        <f>IF(AND('Project Database'!A138&lt;&gt;"",OR('Smart Search'!$L$5="",'Smart Search'!$L$5="All",TRIM('Project Database'!D138)=TRIM('Smart Search'!$L$5)),OR(TRIM('Smart Search'!$L$6)="",TRIM('Smart Search'!$L$6)="All",ISNUMBER(SEARCH(SUBSTITUTE(SUBSTITUTE(SUBSTITUTE(TRIM('Smart Search'!$L$6),"~","~~"),"*","~*"),"?","~?"),'Project Database'!C138))),OR('Smart Search'!$L$7="",AND('Project Database'!E138&lt;&gt;"",'Project Database'!E138='Smart Search'!$L$7)),OR('Smart Search'!$L$8="",'Smart Search'!$L$8="All",TRIM('Project Database'!F138)=TRIM('Smart Search'!$L$8))),IF(BA134="","",BA134+ROW()*0.0000000001),"")</f>
        <v/>
      </c>
      <c r="BI134" s="5" t="str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 t="str">
        <f>IF('Project Database'!A138="","",N('Project Database'!AC138))</f>
        <v/>
      </c>
      <c r="BK134" s="5" t="str">
        <f>IF('Project Database'!A138="","",N('Project Database'!AD138))</f>
        <v/>
      </c>
      <c r="BL134" s="5" t="str">
        <f>IF('Project Database'!A138="","",N('Project Database'!AE138))</f>
        <v/>
      </c>
      <c r="BM134" s="5" t="str">
        <f>IF('Project Database'!A138="","",N('Project Database'!AF138))</f>
        <v/>
      </c>
      <c r="BN134" s="5" t="str">
        <f>IF('Project Database'!A138="","",N('Project Database'!AG138))</f>
        <v/>
      </c>
      <c r="BO134" s="5" t="str">
        <f>IF('Project Database'!A138="","",N('Project Database'!AH138))</f>
        <v/>
      </c>
      <c r="BP134" s="5" t="str">
        <f>IF('Project Database'!A138="","",N('Project Database'!AI138))</f>
        <v/>
      </c>
      <c r="BQ134" s="5" t="str">
        <f>IF('Project Database'!A138="","",N('Project Database'!AJ138))</f>
        <v/>
      </c>
      <c r="BR134" s="5" t="str">
        <f>IF('Project Database'!A138="","",N('Project Database'!AK138))</f>
        <v/>
      </c>
      <c r="BS134" s="5" t="str">
        <f>IF('Project Database'!A138="","",N('Project Database'!AL138))</f>
        <v/>
      </c>
      <c r="BT134" s="5" t="str">
        <f>IF('Project Database'!A138="","",N('Project Database'!AM138))</f>
        <v/>
      </c>
      <c r="BU134" s="5" t="str">
        <f>IF('Project Database'!A138="","",N('Project Database'!AN138))</f>
        <v/>
      </c>
      <c r="BV134" s="5" t="str">
        <f>IF('Project Database'!A138="","",N('Project Database'!AO138))</f>
        <v/>
      </c>
      <c r="BW134" s="5" t="str">
        <f>IF('Project Database'!A138="","",N('Project Database'!AP138))</f>
        <v/>
      </c>
      <c r="BX134" s="5">
        <f t="shared" si="40"/>
        <v>0</v>
      </c>
      <c r="BY134" s="5">
        <f t="shared" si="41"/>
        <v>0</v>
      </c>
    </row>
    <row r="135" spans="1:77" ht="15" customHeight="1" x14ac:dyDescent="0.3">
      <c r="A135" s="66">
        <f>'Project Database'!A139</f>
        <v>0</v>
      </c>
      <c r="B135" s="66">
        <f>'Project Database'!B139</f>
        <v>0</v>
      </c>
      <c r="C135" s="66">
        <f>'Project Database'!G139</f>
        <v>0</v>
      </c>
      <c r="D135" s="66">
        <f>'Project Database'!H139</f>
        <v>0</v>
      </c>
      <c r="E135" s="66">
        <f>'Project Database'!I139</f>
        <v>0</v>
      </c>
      <c r="F135" s="66">
        <f>'Project Database'!J139</f>
        <v>0</v>
      </c>
      <c r="G135" s="66">
        <f>'Project Database'!K139</f>
        <v>0</v>
      </c>
      <c r="H135" s="66">
        <f>'Project Database'!L139</f>
        <v>0</v>
      </c>
      <c r="I135" s="66">
        <f>'Project Database'!M139</f>
        <v>0</v>
      </c>
      <c r="J135" s="66">
        <f>'Project Database'!N139</f>
        <v>0</v>
      </c>
      <c r="K135" s="66">
        <f>'Project Database'!O139</f>
        <v>0</v>
      </c>
      <c r="L135" s="66">
        <f>'Project Database'!P139</f>
        <v>0</v>
      </c>
      <c r="M135" s="66">
        <f>'Project Database'!Q139</f>
        <v>0</v>
      </c>
      <c r="N135" s="66">
        <f>'Project Database'!R139</f>
        <v>0</v>
      </c>
      <c r="O135" s="66">
        <f>'Project Database'!S139</f>
        <v>0</v>
      </c>
      <c r="P135" s="66">
        <f>'Project Database'!T139</f>
        <v>0</v>
      </c>
      <c r="Q135" s="66">
        <f>'Project Database'!U139</f>
        <v>0</v>
      </c>
      <c r="R135" s="66">
        <f>'Project Database'!V139</f>
        <v>0</v>
      </c>
      <c r="S135" s="66">
        <f>'Project Database'!W139</f>
        <v>0</v>
      </c>
      <c r="T135" s="66">
        <f>'Project Database'!X139</f>
        <v>0</v>
      </c>
      <c r="U135" s="67">
        <f>'Project Database'!Y139</f>
        <v>0</v>
      </c>
      <c r="V135" s="66">
        <f>IF('Smart Search'!B13=1,IFERROR(1/'Smart Search'!H13,0),0)</f>
        <v>0</v>
      </c>
      <c r="W135" s="66">
        <f>IF('Smart Search'!B13=1,IFERROR(1/'Smart Search'!H13,0),0)</f>
        <v>0</v>
      </c>
      <c r="X135" s="66">
        <f>IF('Smart Search'!C13=1,IFERROR(1/'Smart Search'!H13,0),0)</f>
        <v>0.5</v>
      </c>
      <c r="Y135" s="66">
        <f>IF('Smart Search'!C13=1,IFERROR(1/'Smart Search'!H13,0),0)</f>
        <v>0.5</v>
      </c>
      <c r="Z135" s="66">
        <f>IF('Smart Search'!D13=1,IFERROR(1/'Smart Search'!H13,0),0)</f>
        <v>0</v>
      </c>
      <c r="AA135" s="66">
        <f>IF('Smart Search'!D13=1,IFERROR(1/'Smart Search'!H13,0),0)</f>
        <v>0</v>
      </c>
      <c r="AB135" s="66">
        <f>IF('Smart Search'!E13=1,IFERROR(1/'Smart Search'!H13,0),0)</f>
        <v>0</v>
      </c>
      <c r="AC135" s="66">
        <f>IF('Smart Search'!E13=1,IFERROR(1/'Smart Search'!H13,0),0)</f>
        <v>0</v>
      </c>
      <c r="AD135" s="66">
        <f>IF('Smart Search'!F13=1,IFERROR(1/'Smart Search'!H13,0),0)</f>
        <v>0</v>
      </c>
      <c r="AE135" s="66">
        <f>IF('Smart Search'!F13=1,IFERROR(1/'Smart Search'!H13,0),0)</f>
        <v>0</v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>0</v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>0</v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>0</v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>0</v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>0</v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>0</v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>0</v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>0</v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>0</v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>0</v>
      </c>
      <c r="AP135" s="66">
        <f t="shared" si="28"/>
        <v>0</v>
      </c>
      <c r="AQ135" s="66">
        <f t="shared" si="29"/>
        <v>0</v>
      </c>
      <c r="AR135" s="66">
        <f t="shared" si="30"/>
        <v>0</v>
      </c>
      <c r="AS135" s="66">
        <f t="shared" si="31"/>
        <v>0</v>
      </c>
      <c r="AT135" s="66">
        <f t="shared" si="32"/>
        <v>0</v>
      </c>
      <c r="AU135" s="66">
        <f t="shared" si="33"/>
        <v>0</v>
      </c>
      <c r="AV135" s="66">
        <f t="shared" si="34"/>
        <v>0</v>
      </c>
      <c r="AW135" s="66">
        <f t="shared" si="35"/>
        <v>0</v>
      </c>
      <c r="AX135" s="66">
        <f t="shared" si="36"/>
        <v>0</v>
      </c>
      <c r="AY135" s="66">
        <f t="shared" si="37"/>
        <v>0</v>
      </c>
      <c r="AZ135" s="66">
        <f>'Project Database'!Z139</f>
        <v>0</v>
      </c>
      <c r="BA135" s="66">
        <f>IF(OR(A135="",'Smart Search'!H13=0),"",MAX(0,BE135*BF135*MAX(0,1-BG135)))</f>
        <v>0</v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>0</v>
      </c>
      <c r="BC135" s="66">
        <f>IF('Smart Search'!G13=1,IFERROR(1/'Smart Search'!H13,0),0)</f>
        <v>0</v>
      </c>
      <c r="BD135" s="66">
        <f t="shared" si="38"/>
        <v>0</v>
      </c>
      <c r="BE135" s="66">
        <f t="shared" si="39"/>
        <v>0</v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>0</v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>0</v>
      </c>
      <c r="BH135" s="5" t="str">
        <f>IF(AND('Project Database'!A139&lt;&gt;"",OR('Smart Search'!$L$5="",'Smart Search'!$L$5="All",TRIM('Project Database'!D139)=TRIM('Smart Search'!$L$5)),OR(TRIM('Smart Search'!$L$6)="",TRIM('Smart Search'!$L$6)="All",ISNUMBER(SEARCH(SUBSTITUTE(SUBSTITUTE(SUBSTITUTE(TRIM('Smart Search'!$L$6),"~","~~"),"*","~*"),"?","~?"),'Project Database'!C139))),OR('Smart Search'!$L$7="",AND('Project Database'!E139&lt;&gt;"",'Project Database'!E139='Smart Search'!$L$7)),OR('Smart Search'!$L$8="",'Smart Search'!$L$8="All",TRIM('Project Database'!F139)=TRIM('Smart Search'!$L$8))),IF(BA135="","",BA135+ROW()*0.0000000001),"")</f>
        <v/>
      </c>
      <c r="BI135" s="5" t="str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 t="str">
        <f>IF('Project Database'!A139="","",N('Project Database'!AC139))</f>
        <v/>
      </c>
      <c r="BK135" s="5" t="str">
        <f>IF('Project Database'!A139="","",N('Project Database'!AD139))</f>
        <v/>
      </c>
      <c r="BL135" s="5" t="str">
        <f>IF('Project Database'!A139="","",N('Project Database'!AE139))</f>
        <v/>
      </c>
      <c r="BM135" s="5" t="str">
        <f>IF('Project Database'!A139="","",N('Project Database'!AF139))</f>
        <v/>
      </c>
      <c r="BN135" s="5" t="str">
        <f>IF('Project Database'!A139="","",N('Project Database'!AG139))</f>
        <v/>
      </c>
      <c r="BO135" s="5" t="str">
        <f>IF('Project Database'!A139="","",N('Project Database'!AH139))</f>
        <v/>
      </c>
      <c r="BP135" s="5" t="str">
        <f>IF('Project Database'!A139="","",N('Project Database'!AI139))</f>
        <v/>
      </c>
      <c r="BQ135" s="5" t="str">
        <f>IF('Project Database'!A139="","",N('Project Database'!AJ139))</f>
        <v/>
      </c>
      <c r="BR135" s="5" t="str">
        <f>IF('Project Database'!A139="","",N('Project Database'!AK139))</f>
        <v/>
      </c>
      <c r="BS135" s="5" t="str">
        <f>IF('Project Database'!A139="","",N('Project Database'!AL139))</f>
        <v/>
      </c>
      <c r="BT135" s="5" t="str">
        <f>IF('Project Database'!A139="","",N('Project Database'!AM139))</f>
        <v/>
      </c>
      <c r="BU135" s="5" t="str">
        <f>IF('Project Database'!A139="","",N('Project Database'!AN139))</f>
        <v/>
      </c>
      <c r="BV135" s="5" t="str">
        <f>IF('Project Database'!A139="","",N('Project Database'!AO139))</f>
        <v/>
      </c>
      <c r="BW135" s="5" t="str">
        <f>IF('Project Database'!A139="","",N('Project Database'!AP139))</f>
        <v/>
      </c>
      <c r="BX135" s="5">
        <f t="shared" si="40"/>
        <v>0</v>
      </c>
      <c r="BY135" s="5">
        <f t="shared" si="41"/>
        <v>0</v>
      </c>
    </row>
    <row r="136" spans="1:77" ht="15" customHeight="1" x14ac:dyDescent="0.3">
      <c r="A136" s="66">
        <f>'Project Database'!A140</f>
        <v>0</v>
      </c>
      <c r="B136" s="66">
        <f>'Project Database'!B140</f>
        <v>0</v>
      </c>
      <c r="C136" s="66">
        <f>'Project Database'!G140</f>
        <v>0</v>
      </c>
      <c r="D136" s="66">
        <f>'Project Database'!H140</f>
        <v>0</v>
      </c>
      <c r="E136" s="66">
        <f>'Project Database'!I140</f>
        <v>0</v>
      </c>
      <c r="F136" s="66">
        <f>'Project Database'!J140</f>
        <v>0</v>
      </c>
      <c r="G136" s="66">
        <f>'Project Database'!K140</f>
        <v>0</v>
      </c>
      <c r="H136" s="66">
        <f>'Project Database'!L140</f>
        <v>0</v>
      </c>
      <c r="I136" s="66">
        <f>'Project Database'!M140</f>
        <v>0</v>
      </c>
      <c r="J136" s="66">
        <f>'Project Database'!N140</f>
        <v>0</v>
      </c>
      <c r="K136" s="66">
        <f>'Project Database'!O140</f>
        <v>0</v>
      </c>
      <c r="L136" s="66">
        <f>'Project Database'!P140</f>
        <v>0</v>
      </c>
      <c r="M136" s="66">
        <f>'Project Database'!Q140</f>
        <v>0</v>
      </c>
      <c r="N136" s="66">
        <f>'Project Database'!R140</f>
        <v>0</v>
      </c>
      <c r="O136" s="66">
        <f>'Project Database'!S140</f>
        <v>0</v>
      </c>
      <c r="P136" s="66">
        <f>'Project Database'!T140</f>
        <v>0</v>
      </c>
      <c r="Q136" s="66">
        <f>'Project Database'!U140</f>
        <v>0</v>
      </c>
      <c r="R136" s="66">
        <f>'Project Database'!V140</f>
        <v>0</v>
      </c>
      <c r="S136" s="66">
        <f>'Project Database'!W140</f>
        <v>0</v>
      </c>
      <c r="T136" s="66">
        <f>'Project Database'!X140</f>
        <v>0</v>
      </c>
      <c r="U136" s="67">
        <f>'Project Database'!Y140</f>
        <v>0</v>
      </c>
      <c r="V136" s="66">
        <f>IF('Smart Search'!B13=1,IFERROR(1/'Smart Search'!H13,0),0)</f>
        <v>0</v>
      </c>
      <c r="W136" s="66">
        <f>IF('Smart Search'!B13=1,IFERROR(1/'Smart Search'!H13,0),0)</f>
        <v>0</v>
      </c>
      <c r="X136" s="66">
        <f>IF('Smart Search'!C13=1,IFERROR(1/'Smart Search'!H13,0),0)</f>
        <v>0.5</v>
      </c>
      <c r="Y136" s="66">
        <f>IF('Smart Search'!C13=1,IFERROR(1/'Smart Search'!H13,0),0)</f>
        <v>0.5</v>
      </c>
      <c r="Z136" s="66">
        <f>IF('Smart Search'!D13=1,IFERROR(1/'Smart Search'!H13,0),0)</f>
        <v>0</v>
      </c>
      <c r="AA136" s="66">
        <f>IF('Smart Search'!D13=1,IFERROR(1/'Smart Search'!H13,0),0)</f>
        <v>0</v>
      </c>
      <c r="AB136" s="66">
        <f>IF('Smart Search'!E13=1,IFERROR(1/'Smart Search'!H13,0),0)</f>
        <v>0</v>
      </c>
      <c r="AC136" s="66">
        <f>IF('Smart Search'!E13=1,IFERROR(1/'Smart Search'!H13,0),0)</f>
        <v>0</v>
      </c>
      <c r="AD136" s="66">
        <f>IF('Smart Search'!F13=1,IFERROR(1/'Smart Search'!H13,0),0)</f>
        <v>0</v>
      </c>
      <c r="AE136" s="66">
        <f>IF('Smart Search'!F13=1,IFERROR(1/'Smart Search'!H13,0),0)</f>
        <v>0</v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>0</v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>0</v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>0</v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>0</v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>0</v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>0</v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>0</v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>0</v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>0</v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>0</v>
      </c>
      <c r="AP136" s="66">
        <f t="shared" si="28"/>
        <v>0</v>
      </c>
      <c r="AQ136" s="66">
        <f t="shared" si="29"/>
        <v>0</v>
      </c>
      <c r="AR136" s="66">
        <f t="shared" si="30"/>
        <v>0</v>
      </c>
      <c r="AS136" s="66">
        <f t="shared" si="31"/>
        <v>0</v>
      </c>
      <c r="AT136" s="66">
        <f t="shared" si="32"/>
        <v>0</v>
      </c>
      <c r="AU136" s="66">
        <f t="shared" si="33"/>
        <v>0</v>
      </c>
      <c r="AV136" s="66">
        <f t="shared" si="34"/>
        <v>0</v>
      </c>
      <c r="AW136" s="66">
        <f t="shared" si="35"/>
        <v>0</v>
      </c>
      <c r="AX136" s="66">
        <f t="shared" si="36"/>
        <v>0</v>
      </c>
      <c r="AY136" s="66">
        <f t="shared" si="37"/>
        <v>0</v>
      </c>
      <c r="AZ136" s="66">
        <f>'Project Database'!Z140</f>
        <v>0</v>
      </c>
      <c r="BA136" s="66">
        <f>IF(OR(A136="",'Smart Search'!H13=0),"",MAX(0,BE136*BF136*MAX(0,1-BG136)))</f>
        <v>0</v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>0</v>
      </c>
      <c r="BC136" s="66">
        <f>IF('Smart Search'!G13=1,IFERROR(1/'Smart Search'!H13,0),0)</f>
        <v>0</v>
      </c>
      <c r="BD136" s="66">
        <f t="shared" si="38"/>
        <v>0</v>
      </c>
      <c r="BE136" s="66">
        <f t="shared" si="39"/>
        <v>0</v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>0</v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>0</v>
      </c>
      <c r="BH136" s="5" t="str">
        <f>IF(AND('Project Database'!A140&lt;&gt;"",OR('Smart Search'!$L$5="",'Smart Search'!$L$5="All",TRIM('Project Database'!D140)=TRIM('Smart Search'!$L$5)),OR(TRIM('Smart Search'!$L$6)="",TRIM('Smart Search'!$L$6)="All",ISNUMBER(SEARCH(SUBSTITUTE(SUBSTITUTE(SUBSTITUTE(TRIM('Smart Search'!$L$6),"~","~~"),"*","~*"),"?","~?"),'Project Database'!C140))),OR('Smart Search'!$L$7="",AND('Project Database'!E140&lt;&gt;"",'Project Database'!E140='Smart Search'!$L$7)),OR('Smart Search'!$L$8="",'Smart Search'!$L$8="All",TRIM('Project Database'!F140)=TRIM('Smart Search'!$L$8))),IF(BA136="","",BA136+ROW()*0.0000000001),"")</f>
        <v/>
      </c>
      <c r="BI136" s="5" t="str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 t="str">
        <f>IF('Project Database'!A140="","",N('Project Database'!AC140))</f>
        <v/>
      </c>
      <c r="BK136" s="5" t="str">
        <f>IF('Project Database'!A140="","",N('Project Database'!AD140))</f>
        <v/>
      </c>
      <c r="BL136" s="5" t="str">
        <f>IF('Project Database'!A140="","",N('Project Database'!AE140))</f>
        <v/>
      </c>
      <c r="BM136" s="5" t="str">
        <f>IF('Project Database'!A140="","",N('Project Database'!AF140))</f>
        <v/>
      </c>
      <c r="BN136" s="5" t="str">
        <f>IF('Project Database'!A140="","",N('Project Database'!AG140))</f>
        <v/>
      </c>
      <c r="BO136" s="5" t="str">
        <f>IF('Project Database'!A140="","",N('Project Database'!AH140))</f>
        <v/>
      </c>
      <c r="BP136" s="5" t="str">
        <f>IF('Project Database'!A140="","",N('Project Database'!AI140))</f>
        <v/>
      </c>
      <c r="BQ136" s="5" t="str">
        <f>IF('Project Database'!A140="","",N('Project Database'!AJ140))</f>
        <v/>
      </c>
      <c r="BR136" s="5" t="str">
        <f>IF('Project Database'!A140="","",N('Project Database'!AK140))</f>
        <v/>
      </c>
      <c r="BS136" s="5" t="str">
        <f>IF('Project Database'!A140="","",N('Project Database'!AL140))</f>
        <v/>
      </c>
      <c r="BT136" s="5" t="str">
        <f>IF('Project Database'!A140="","",N('Project Database'!AM140))</f>
        <v/>
      </c>
      <c r="BU136" s="5" t="str">
        <f>IF('Project Database'!A140="","",N('Project Database'!AN140))</f>
        <v/>
      </c>
      <c r="BV136" s="5" t="str">
        <f>IF('Project Database'!A140="","",N('Project Database'!AO140))</f>
        <v/>
      </c>
      <c r="BW136" s="5" t="str">
        <f>IF('Project Database'!A140="","",N('Project Database'!AP140))</f>
        <v/>
      </c>
      <c r="BX136" s="5">
        <f t="shared" si="40"/>
        <v>0</v>
      </c>
      <c r="BY136" s="5">
        <f t="shared" si="41"/>
        <v>0</v>
      </c>
    </row>
    <row r="137" spans="1:77" ht="15" customHeight="1" x14ac:dyDescent="0.3">
      <c r="A137" s="66">
        <f>'Project Database'!A141</f>
        <v>0</v>
      </c>
      <c r="B137" s="66">
        <f>'Project Database'!B141</f>
        <v>0</v>
      </c>
      <c r="C137" s="66">
        <f>'Project Database'!G141</f>
        <v>0</v>
      </c>
      <c r="D137" s="66">
        <f>'Project Database'!H141</f>
        <v>0</v>
      </c>
      <c r="E137" s="66">
        <f>'Project Database'!I141</f>
        <v>0</v>
      </c>
      <c r="F137" s="66">
        <f>'Project Database'!J141</f>
        <v>0</v>
      </c>
      <c r="G137" s="66">
        <f>'Project Database'!K141</f>
        <v>0</v>
      </c>
      <c r="H137" s="66">
        <f>'Project Database'!L141</f>
        <v>0</v>
      </c>
      <c r="I137" s="66">
        <f>'Project Database'!M141</f>
        <v>0</v>
      </c>
      <c r="J137" s="66">
        <f>'Project Database'!N141</f>
        <v>0</v>
      </c>
      <c r="K137" s="66">
        <f>'Project Database'!O141</f>
        <v>0</v>
      </c>
      <c r="L137" s="66">
        <f>'Project Database'!P141</f>
        <v>0</v>
      </c>
      <c r="M137" s="66">
        <f>'Project Database'!Q141</f>
        <v>0</v>
      </c>
      <c r="N137" s="66">
        <f>'Project Database'!R141</f>
        <v>0</v>
      </c>
      <c r="O137" s="66">
        <f>'Project Database'!S141</f>
        <v>0</v>
      </c>
      <c r="P137" s="66">
        <f>'Project Database'!T141</f>
        <v>0</v>
      </c>
      <c r="Q137" s="66">
        <f>'Project Database'!U141</f>
        <v>0</v>
      </c>
      <c r="R137" s="66">
        <f>'Project Database'!V141</f>
        <v>0</v>
      </c>
      <c r="S137" s="66">
        <f>'Project Database'!W141</f>
        <v>0</v>
      </c>
      <c r="T137" s="66">
        <f>'Project Database'!X141</f>
        <v>0</v>
      </c>
      <c r="U137" s="67">
        <f>'Project Database'!Y141</f>
        <v>0</v>
      </c>
      <c r="V137" s="66">
        <f>IF('Smart Search'!B13=1,IFERROR(1/'Smart Search'!H13,0),0)</f>
        <v>0</v>
      </c>
      <c r="W137" s="66">
        <f>IF('Smart Search'!B13=1,IFERROR(1/'Smart Search'!H13,0),0)</f>
        <v>0</v>
      </c>
      <c r="X137" s="66">
        <f>IF('Smart Search'!C13=1,IFERROR(1/'Smart Search'!H13,0),0)</f>
        <v>0.5</v>
      </c>
      <c r="Y137" s="66">
        <f>IF('Smart Search'!C13=1,IFERROR(1/'Smart Search'!H13,0),0)</f>
        <v>0.5</v>
      </c>
      <c r="Z137" s="66">
        <f>IF('Smart Search'!D13=1,IFERROR(1/'Smart Search'!H13,0),0)</f>
        <v>0</v>
      </c>
      <c r="AA137" s="66">
        <f>IF('Smart Search'!D13=1,IFERROR(1/'Smart Search'!H13,0),0)</f>
        <v>0</v>
      </c>
      <c r="AB137" s="66">
        <f>IF('Smart Search'!E13=1,IFERROR(1/'Smart Search'!H13,0),0)</f>
        <v>0</v>
      </c>
      <c r="AC137" s="66">
        <f>IF('Smart Search'!E13=1,IFERROR(1/'Smart Search'!H13,0),0)</f>
        <v>0</v>
      </c>
      <c r="AD137" s="66">
        <f>IF('Smart Search'!F13=1,IFERROR(1/'Smart Search'!H13,0),0)</f>
        <v>0</v>
      </c>
      <c r="AE137" s="66">
        <f>IF('Smart Search'!F13=1,IFERROR(1/'Smart Search'!H13,0),0)</f>
        <v>0</v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>0</v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>0</v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>0</v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>0</v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>0</v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>0</v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>0</v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>0</v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>0</v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>0</v>
      </c>
      <c r="AP137" s="66">
        <f t="shared" si="28"/>
        <v>0</v>
      </c>
      <c r="AQ137" s="66">
        <f t="shared" si="29"/>
        <v>0</v>
      </c>
      <c r="AR137" s="66">
        <f t="shared" si="30"/>
        <v>0</v>
      </c>
      <c r="AS137" s="66">
        <f t="shared" si="31"/>
        <v>0</v>
      </c>
      <c r="AT137" s="66">
        <f t="shared" si="32"/>
        <v>0</v>
      </c>
      <c r="AU137" s="66">
        <f t="shared" si="33"/>
        <v>0</v>
      </c>
      <c r="AV137" s="66">
        <f t="shared" si="34"/>
        <v>0</v>
      </c>
      <c r="AW137" s="66">
        <f t="shared" si="35"/>
        <v>0</v>
      </c>
      <c r="AX137" s="66">
        <f t="shared" si="36"/>
        <v>0</v>
      </c>
      <c r="AY137" s="66">
        <f t="shared" si="37"/>
        <v>0</v>
      </c>
      <c r="AZ137" s="66">
        <f>'Project Database'!Z141</f>
        <v>0</v>
      </c>
      <c r="BA137" s="66">
        <f>IF(OR(A137="",'Smart Search'!H13=0),"",MAX(0,BE137*BF137*MAX(0,1-BG137)))</f>
        <v>0</v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>0</v>
      </c>
      <c r="BC137" s="66">
        <f>IF('Smart Search'!G13=1,IFERROR(1/'Smart Search'!H13,0),0)</f>
        <v>0</v>
      </c>
      <c r="BD137" s="66">
        <f t="shared" si="38"/>
        <v>0</v>
      </c>
      <c r="BE137" s="66">
        <f t="shared" si="39"/>
        <v>0</v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>0</v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>0</v>
      </c>
      <c r="BH137" s="5" t="str">
        <f>IF(AND('Project Database'!A141&lt;&gt;"",OR('Smart Search'!$L$5="",'Smart Search'!$L$5="All",TRIM('Project Database'!D141)=TRIM('Smart Search'!$L$5)),OR(TRIM('Smart Search'!$L$6)="",TRIM('Smart Search'!$L$6)="All",ISNUMBER(SEARCH(SUBSTITUTE(SUBSTITUTE(SUBSTITUTE(TRIM('Smart Search'!$L$6),"~","~~"),"*","~*"),"?","~?"),'Project Database'!C141))),OR('Smart Search'!$L$7="",AND('Project Database'!E141&lt;&gt;"",'Project Database'!E141='Smart Search'!$L$7)),OR('Smart Search'!$L$8="",'Smart Search'!$L$8="All",TRIM('Project Database'!F141)=TRIM('Smart Search'!$L$8))),IF(BA137="","",BA137+ROW()*0.0000000001),"")</f>
        <v/>
      </c>
      <c r="BI137" s="5" t="str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 t="str">
        <f>IF('Project Database'!A141="","",N('Project Database'!AC141))</f>
        <v/>
      </c>
      <c r="BK137" s="5" t="str">
        <f>IF('Project Database'!A141="","",N('Project Database'!AD141))</f>
        <v/>
      </c>
      <c r="BL137" s="5" t="str">
        <f>IF('Project Database'!A141="","",N('Project Database'!AE141))</f>
        <v/>
      </c>
      <c r="BM137" s="5" t="str">
        <f>IF('Project Database'!A141="","",N('Project Database'!AF141))</f>
        <v/>
      </c>
      <c r="BN137" s="5" t="str">
        <f>IF('Project Database'!A141="","",N('Project Database'!AG141))</f>
        <v/>
      </c>
      <c r="BO137" s="5" t="str">
        <f>IF('Project Database'!A141="","",N('Project Database'!AH141))</f>
        <v/>
      </c>
      <c r="BP137" s="5" t="str">
        <f>IF('Project Database'!A141="","",N('Project Database'!AI141))</f>
        <v/>
      </c>
      <c r="BQ137" s="5" t="str">
        <f>IF('Project Database'!A141="","",N('Project Database'!AJ141))</f>
        <v/>
      </c>
      <c r="BR137" s="5" t="str">
        <f>IF('Project Database'!A141="","",N('Project Database'!AK141))</f>
        <v/>
      </c>
      <c r="BS137" s="5" t="str">
        <f>IF('Project Database'!A141="","",N('Project Database'!AL141))</f>
        <v/>
      </c>
      <c r="BT137" s="5" t="str">
        <f>IF('Project Database'!A141="","",N('Project Database'!AM141))</f>
        <v/>
      </c>
      <c r="BU137" s="5" t="str">
        <f>IF('Project Database'!A141="","",N('Project Database'!AN141))</f>
        <v/>
      </c>
      <c r="BV137" s="5" t="str">
        <f>IF('Project Database'!A141="","",N('Project Database'!AO141))</f>
        <v/>
      </c>
      <c r="BW137" s="5" t="str">
        <f>IF('Project Database'!A141="","",N('Project Database'!AP141))</f>
        <v/>
      </c>
      <c r="BX137" s="5">
        <f t="shared" si="40"/>
        <v>0</v>
      </c>
      <c r="BY137" s="5">
        <f t="shared" si="41"/>
        <v>0</v>
      </c>
    </row>
    <row r="138" spans="1:77" ht="15" customHeight="1" x14ac:dyDescent="0.3">
      <c r="A138" s="66">
        <f>'Project Database'!A142</f>
        <v>0</v>
      </c>
      <c r="B138" s="66">
        <f>'Project Database'!B142</f>
        <v>0</v>
      </c>
      <c r="C138" s="66">
        <f>'Project Database'!G142</f>
        <v>0</v>
      </c>
      <c r="D138" s="66">
        <f>'Project Database'!H142</f>
        <v>0</v>
      </c>
      <c r="E138" s="66">
        <f>'Project Database'!I142</f>
        <v>0</v>
      </c>
      <c r="F138" s="66">
        <f>'Project Database'!J142</f>
        <v>0</v>
      </c>
      <c r="G138" s="66">
        <f>'Project Database'!K142</f>
        <v>0</v>
      </c>
      <c r="H138" s="66">
        <f>'Project Database'!L142</f>
        <v>0</v>
      </c>
      <c r="I138" s="66">
        <f>'Project Database'!M142</f>
        <v>0</v>
      </c>
      <c r="J138" s="66">
        <f>'Project Database'!N142</f>
        <v>0</v>
      </c>
      <c r="K138" s="66">
        <f>'Project Database'!O142</f>
        <v>0</v>
      </c>
      <c r="L138" s="66">
        <f>'Project Database'!P142</f>
        <v>0</v>
      </c>
      <c r="M138" s="66">
        <f>'Project Database'!Q142</f>
        <v>0</v>
      </c>
      <c r="N138" s="66">
        <f>'Project Database'!R142</f>
        <v>0</v>
      </c>
      <c r="O138" s="66">
        <f>'Project Database'!S142</f>
        <v>0</v>
      </c>
      <c r="P138" s="66">
        <f>'Project Database'!T142</f>
        <v>0</v>
      </c>
      <c r="Q138" s="66">
        <f>'Project Database'!U142</f>
        <v>0</v>
      </c>
      <c r="R138" s="66">
        <f>'Project Database'!V142</f>
        <v>0</v>
      </c>
      <c r="S138" s="66">
        <f>'Project Database'!W142</f>
        <v>0</v>
      </c>
      <c r="T138" s="66">
        <f>'Project Database'!X142</f>
        <v>0</v>
      </c>
      <c r="U138" s="67">
        <f>'Project Database'!Y142</f>
        <v>0</v>
      </c>
      <c r="V138" s="66">
        <f>IF('Smart Search'!B13=1,IFERROR(1/'Smart Search'!H13,0),0)</f>
        <v>0</v>
      </c>
      <c r="W138" s="66">
        <f>IF('Smart Search'!B13=1,IFERROR(1/'Smart Search'!H13,0),0)</f>
        <v>0</v>
      </c>
      <c r="X138" s="66">
        <f>IF('Smart Search'!C13=1,IFERROR(1/'Smart Search'!H13,0),0)</f>
        <v>0.5</v>
      </c>
      <c r="Y138" s="66">
        <f>IF('Smart Search'!C13=1,IFERROR(1/'Smart Search'!H13,0),0)</f>
        <v>0.5</v>
      </c>
      <c r="Z138" s="66">
        <f>IF('Smart Search'!D13=1,IFERROR(1/'Smart Search'!H13,0),0)</f>
        <v>0</v>
      </c>
      <c r="AA138" s="66">
        <f>IF('Smart Search'!D13=1,IFERROR(1/'Smart Search'!H13,0),0)</f>
        <v>0</v>
      </c>
      <c r="AB138" s="66">
        <f>IF('Smart Search'!E13=1,IFERROR(1/'Smart Search'!H13,0),0)</f>
        <v>0</v>
      </c>
      <c r="AC138" s="66">
        <f>IF('Smart Search'!E13=1,IFERROR(1/'Smart Search'!H13,0),0)</f>
        <v>0</v>
      </c>
      <c r="AD138" s="66">
        <f>IF('Smart Search'!F13=1,IFERROR(1/'Smart Search'!H13,0),0)</f>
        <v>0</v>
      </c>
      <c r="AE138" s="66">
        <f>IF('Smart Search'!F13=1,IFERROR(1/'Smart Search'!H13,0),0)</f>
        <v>0</v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>0</v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>0</v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>0</v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>0</v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>0</v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>0</v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>0</v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>0</v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>0</v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>0</v>
      </c>
      <c r="AP138" s="66">
        <f t="shared" si="28"/>
        <v>0</v>
      </c>
      <c r="AQ138" s="66">
        <f t="shared" si="29"/>
        <v>0</v>
      </c>
      <c r="AR138" s="66">
        <f t="shared" si="30"/>
        <v>0</v>
      </c>
      <c r="AS138" s="66">
        <f t="shared" si="31"/>
        <v>0</v>
      </c>
      <c r="AT138" s="66">
        <f t="shared" si="32"/>
        <v>0</v>
      </c>
      <c r="AU138" s="66">
        <f t="shared" si="33"/>
        <v>0</v>
      </c>
      <c r="AV138" s="66">
        <f t="shared" si="34"/>
        <v>0</v>
      </c>
      <c r="AW138" s="66">
        <f t="shared" si="35"/>
        <v>0</v>
      </c>
      <c r="AX138" s="66">
        <f t="shared" si="36"/>
        <v>0</v>
      </c>
      <c r="AY138" s="66">
        <f t="shared" si="37"/>
        <v>0</v>
      </c>
      <c r="AZ138" s="66">
        <f>'Project Database'!Z142</f>
        <v>0</v>
      </c>
      <c r="BA138" s="66">
        <f>IF(OR(A138="",'Smart Search'!H13=0),"",MAX(0,BE138*BF138*MAX(0,1-BG138)))</f>
        <v>0</v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>0</v>
      </c>
      <c r="BC138" s="66">
        <f>IF('Smart Search'!G13=1,IFERROR(1/'Smart Search'!H13,0),0)</f>
        <v>0</v>
      </c>
      <c r="BD138" s="66">
        <f t="shared" si="38"/>
        <v>0</v>
      </c>
      <c r="BE138" s="66">
        <f t="shared" si="39"/>
        <v>0</v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>0</v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>0</v>
      </c>
      <c r="BH138" s="5" t="str">
        <f>IF(AND('Project Database'!A142&lt;&gt;"",OR('Smart Search'!$L$5="",'Smart Search'!$L$5="All",TRIM('Project Database'!D142)=TRIM('Smart Search'!$L$5)),OR(TRIM('Smart Search'!$L$6)="",TRIM('Smart Search'!$L$6)="All",ISNUMBER(SEARCH(SUBSTITUTE(SUBSTITUTE(SUBSTITUTE(TRIM('Smart Search'!$L$6),"~","~~"),"*","~*"),"?","~?"),'Project Database'!C142))),OR('Smart Search'!$L$7="",AND('Project Database'!E142&lt;&gt;"",'Project Database'!E142='Smart Search'!$L$7)),OR('Smart Search'!$L$8="",'Smart Search'!$L$8="All",TRIM('Project Database'!F142)=TRIM('Smart Search'!$L$8))),IF(BA138="","",BA138+ROW()*0.0000000001),"")</f>
        <v/>
      </c>
      <c r="BI138" s="5" t="str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 t="str">
        <f>IF('Project Database'!A142="","",N('Project Database'!AC142))</f>
        <v/>
      </c>
      <c r="BK138" s="5" t="str">
        <f>IF('Project Database'!A142="","",N('Project Database'!AD142))</f>
        <v/>
      </c>
      <c r="BL138" s="5" t="str">
        <f>IF('Project Database'!A142="","",N('Project Database'!AE142))</f>
        <v/>
      </c>
      <c r="BM138" s="5" t="str">
        <f>IF('Project Database'!A142="","",N('Project Database'!AF142))</f>
        <v/>
      </c>
      <c r="BN138" s="5" t="str">
        <f>IF('Project Database'!A142="","",N('Project Database'!AG142))</f>
        <v/>
      </c>
      <c r="BO138" s="5" t="str">
        <f>IF('Project Database'!A142="","",N('Project Database'!AH142))</f>
        <v/>
      </c>
      <c r="BP138" s="5" t="str">
        <f>IF('Project Database'!A142="","",N('Project Database'!AI142))</f>
        <v/>
      </c>
      <c r="BQ138" s="5" t="str">
        <f>IF('Project Database'!A142="","",N('Project Database'!AJ142))</f>
        <v/>
      </c>
      <c r="BR138" s="5" t="str">
        <f>IF('Project Database'!A142="","",N('Project Database'!AK142))</f>
        <v/>
      </c>
      <c r="BS138" s="5" t="str">
        <f>IF('Project Database'!A142="","",N('Project Database'!AL142))</f>
        <v/>
      </c>
      <c r="BT138" s="5" t="str">
        <f>IF('Project Database'!A142="","",N('Project Database'!AM142))</f>
        <v/>
      </c>
      <c r="BU138" s="5" t="str">
        <f>IF('Project Database'!A142="","",N('Project Database'!AN142))</f>
        <v/>
      </c>
      <c r="BV138" s="5" t="str">
        <f>IF('Project Database'!A142="","",N('Project Database'!AO142))</f>
        <v/>
      </c>
      <c r="BW138" s="5" t="str">
        <f>IF('Project Database'!A142="","",N('Project Database'!AP142))</f>
        <v/>
      </c>
      <c r="BX138" s="5">
        <f t="shared" si="40"/>
        <v>0</v>
      </c>
      <c r="BY138" s="5">
        <f t="shared" si="41"/>
        <v>0</v>
      </c>
    </row>
    <row r="139" spans="1:77" ht="15" customHeight="1" x14ac:dyDescent="0.3">
      <c r="A139" s="66">
        <f>'Project Database'!A143</f>
        <v>0</v>
      </c>
      <c r="B139" s="66">
        <f>'Project Database'!B143</f>
        <v>0</v>
      </c>
      <c r="C139" s="66">
        <f>'Project Database'!G143</f>
        <v>0</v>
      </c>
      <c r="D139" s="66">
        <f>'Project Database'!H143</f>
        <v>0</v>
      </c>
      <c r="E139" s="66">
        <f>'Project Database'!I143</f>
        <v>0</v>
      </c>
      <c r="F139" s="66">
        <f>'Project Database'!J143</f>
        <v>0</v>
      </c>
      <c r="G139" s="66">
        <f>'Project Database'!K143</f>
        <v>0</v>
      </c>
      <c r="H139" s="66">
        <f>'Project Database'!L143</f>
        <v>0</v>
      </c>
      <c r="I139" s="66">
        <f>'Project Database'!M143</f>
        <v>0</v>
      </c>
      <c r="J139" s="66">
        <f>'Project Database'!N143</f>
        <v>0</v>
      </c>
      <c r="K139" s="66">
        <f>'Project Database'!O143</f>
        <v>0</v>
      </c>
      <c r="L139" s="66">
        <f>'Project Database'!P143</f>
        <v>0</v>
      </c>
      <c r="M139" s="66">
        <f>'Project Database'!Q143</f>
        <v>0</v>
      </c>
      <c r="N139" s="66">
        <f>'Project Database'!R143</f>
        <v>0</v>
      </c>
      <c r="O139" s="66">
        <f>'Project Database'!S143</f>
        <v>0</v>
      </c>
      <c r="P139" s="66">
        <f>'Project Database'!T143</f>
        <v>0</v>
      </c>
      <c r="Q139" s="66">
        <f>'Project Database'!U143</f>
        <v>0</v>
      </c>
      <c r="R139" s="66">
        <f>'Project Database'!V143</f>
        <v>0</v>
      </c>
      <c r="S139" s="66">
        <f>'Project Database'!W143</f>
        <v>0</v>
      </c>
      <c r="T139" s="66">
        <f>'Project Database'!X143</f>
        <v>0</v>
      </c>
      <c r="U139" s="67">
        <f>'Project Database'!Y143</f>
        <v>0</v>
      </c>
      <c r="V139" s="66">
        <f>IF('Smart Search'!B13=1,IFERROR(1/'Smart Search'!H13,0),0)</f>
        <v>0</v>
      </c>
      <c r="W139" s="66">
        <f>IF('Smart Search'!B13=1,IFERROR(1/'Smart Search'!H13,0),0)</f>
        <v>0</v>
      </c>
      <c r="X139" s="66">
        <f>IF('Smart Search'!C13=1,IFERROR(1/'Smart Search'!H13,0),0)</f>
        <v>0.5</v>
      </c>
      <c r="Y139" s="66">
        <f>IF('Smart Search'!C13=1,IFERROR(1/'Smart Search'!H13,0),0)</f>
        <v>0.5</v>
      </c>
      <c r="Z139" s="66">
        <f>IF('Smart Search'!D13=1,IFERROR(1/'Smart Search'!H13,0),0)</f>
        <v>0</v>
      </c>
      <c r="AA139" s="66">
        <f>IF('Smart Search'!D13=1,IFERROR(1/'Smart Search'!H13,0),0)</f>
        <v>0</v>
      </c>
      <c r="AB139" s="66">
        <f>IF('Smart Search'!E13=1,IFERROR(1/'Smart Search'!H13,0),0)</f>
        <v>0</v>
      </c>
      <c r="AC139" s="66">
        <f>IF('Smart Search'!E13=1,IFERROR(1/'Smart Search'!H13,0),0)</f>
        <v>0</v>
      </c>
      <c r="AD139" s="66">
        <f>IF('Smart Search'!F13=1,IFERROR(1/'Smart Search'!H13,0),0)</f>
        <v>0</v>
      </c>
      <c r="AE139" s="66">
        <f>IF('Smart Search'!F13=1,IFERROR(1/'Smart Search'!H13,0),0)</f>
        <v>0</v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>0</v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>0</v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>0</v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>0</v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>0</v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>0</v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>0</v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>0</v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>0</v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>0</v>
      </c>
      <c r="AP139" s="66">
        <f t="shared" si="28"/>
        <v>0</v>
      </c>
      <c r="AQ139" s="66">
        <f t="shared" si="29"/>
        <v>0</v>
      </c>
      <c r="AR139" s="66">
        <f t="shared" si="30"/>
        <v>0</v>
      </c>
      <c r="AS139" s="66">
        <f t="shared" si="31"/>
        <v>0</v>
      </c>
      <c r="AT139" s="66">
        <f t="shared" si="32"/>
        <v>0</v>
      </c>
      <c r="AU139" s="66">
        <f t="shared" si="33"/>
        <v>0</v>
      </c>
      <c r="AV139" s="66">
        <f t="shared" si="34"/>
        <v>0</v>
      </c>
      <c r="AW139" s="66">
        <f t="shared" si="35"/>
        <v>0</v>
      </c>
      <c r="AX139" s="66">
        <f t="shared" si="36"/>
        <v>0</v>
      </c>
      <c r="AY139" s="66">
        <f t="shared" si="37"/>
        <v>0</v>
      </c>
      <c r="AZ139" s="66">
        <f>'Project Database'!Z143</f>
        <v>0</v>
      </c>
      <c r="BA139" s="66">
        <f>IF(OR(A139="",'Smart Search'!H13=0),"",MAX(0,BE139*BF139*MAX(0,1-BG139)))</f>
        <v>0</v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>0</v>
      </c>
      <c r="BC139" s="66">
        <f>IF('Smart Search'!G13=1,IFERROR(1/'Smart Search'!H13,0),0)</f>
        <v>0</v>
      </c>
      <c r="BD139" s="66">
        <f t="shared" si="38"/>
        <v>0</v>
      </c>
      <c r="BE139" s="66">
        <f t="shared" si="39"/>
        <v>0</v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>0</v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>0</v>
      </c>
      <c r="BH139" s="5" t="str">
        <f>IF(AND('Project Database'!A143&lt;&gt;"",OR('Smart Search'!$L$5="",'Smart Search'!$L$5="All",TRIM('Project Database'!D143)=TRIM('Smart Search'!$L$5)),OR(TRIM('Smart Search'!$L$6)="",TRIM('Smart Search'!$L$6)="All",ISNUMBER(SEARCH(SUBSTITUTE(SUBSTITUTE(SUBSTITUTE(TRIM('Smart Search'!$L$6),"~","~~"),"*","~*"),"?","~?"),'Project Database'!C143))),OR('Smart Search'!$L$7="",AND('Project Database'!E143&lt;&gt;"",'Project Database'!E143='Smart Search'!$L$7)),OR('Smart Search'!$L$8="",'Smart Search'!$L$8="All",TRIM('Project Database'!F143)=TRIM('Smart Search'!$L$8))),IF(BA139="","",BA139+ROW()*0.0000000001),"")</f>
        <v/>
      </c>
      <c r="BI139" s="5" t="str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 t="str">
        <f>IF('Project Database'!A143="","",N('Project Database'!AC143))</f>
        <v/>
      </c>
      <c r="BK139" s="5" t="str">
        <f>IF('Project Database'!A143="","",N('Project Database'!AD143))</f>
        <v/>
      </c>
      <c r="BL139" s="5" t="str">
        <f>IF('Project Database'!A143="","",N('Project Database'!AE143))</f>
        <v/>
      </c>
      <c r="BM139" s="5" t="str">
        <f>IF('Project Database'!A143="","",N('Project Database'!AF143))</f>
        <v/>
      </c>
      <c r="BN139" s="5" t="str">
        <f>IF('Project Database'!A143="","",N('Project Database'!AG143))</f>
        <v/>
      </c>
      <c r="BO139" s="5" t="str">
        <f>IF('Project Database'!A143="","",N('Project Database'!AH143))</f>
        <v/>
      </c>
      <c r="BP139" s="5" t="str">
        <f>IF('Project Database'!A143="","",N('Project Database'!AI143))</f>
        <v/>
      </c>
      <c r="BQ139" s="5" t="str">
        <f>IF('Project Database'!A143="","",N('Project Database'!AJ143))</f>
        <v/>
      </c>
      <c r="BR139" s="5" t="str">
        <f>IF('Project Database'!A143="","",N('Project Database'!AK143))</f>
        <v/>
      </c>
      <c r="BS139" s="5" t="str">
        <f>IF('Project Database'!A143="","",N('Project Database'!AL143))</f>
        <v/>
      </c>
      <c r="BT139" s="5" t="str">
        <f>IF('Project Database'!A143="","",N('Project Database'!AM143))</f>
        <v/>
      </c>
      <c r="BU139" s="5" t="str">
        <f>IF('Project Database'!A143="","",N('Project Database'!AN143))</f>
        <v/>
      </c>
      <c r="BV139" s="5" t="str">
        <f>IF('Project Database'!A143="","",N('Project Database'!AO143))</f>
        <v/>
      </c>
      <c r="BW139" s="5" t="str">
        <f>IF('Project Database'!A143="","",N('Project Database'!AP143))</f>
        <v/>
      </c>
      <c r="BX139" s="5">
        <f t="shared" si="40"/>
        <v>0</v>
      </c>
      <c r="BY139" s="5">
        <f t="shared" si="41"/>
        <v>0</v>
      </c>
    </row>
    <row r="140" spans="1:77" ht="15" customHeight="1" x14ac:dyDescent="0.3">
      <c r="A140" s="66">
        <f>'Project Database'!A144</f>
        <v>0</v>
      </c>
      <c r="B140" s="66">
        <f>'Project Database'!B144</f>
        <v>0</v>
      </c>
      <c r="C140" s="66">
        <f>'Project Database'!G144</f>
        <v>0</v>
      </c>
      <c r="D140" s="66">
        <f>'Project Database'!H144</f>
        <v>0</v>
      </c>
      <c r="E140" s="66">
        <f>'Project Database'!I144</f>
        <v>0</v>
      </c>
      <c r="F140" s="66">
        <f>'Project Database'!J144</f>
        <v>0</v>
      </c>
      <c r="G140" s="66">
        <f>'Project Database'!K144</f>
        <v>0</v>
      </c>
      <c r="H140" s="66">
        <f>'Project Database'!L144</f>
        <v>0</v>
      </c>
      <c r="I140" s="66">
        <f>'Project Database'!M144</f>
        <v>0</v>
      </c>
      <c r="J140" s="66">
        <f>'Project Database'!N144</f>
        <v>0</v>
      </c>
      <c r="K140" s="66">
        <f>'Project Database'!O144</f>
        <v>0</v>
      </c>
      <c r="L140" s="66">
        <f>'Project Database'!P144</f>
        <v>0</v>
      </c>
      <c r="M140" s="66">
        <f>'Project Database'!Q144</f>
        <v>0</v>
      </c>
      <c r="N140" s="66">
        <f>'Project Database'!R144</f>
        <v>0</v>
      </c>
      <c r="O140" s="66">
        <f>'Project Database'!S144</f>
        <v>0</v>
      </c>
      <c r="P140" s="66">
        <f>'Project Database'!T144</f>
        <v>0</v>
      </c>
      <c r="Q140" s="66">
        <f>'Project Database'!U144</f>
        <v>0</v>
      </c>
      <c r="R140" s="66">
        <f>'Project Database'!V144</f>
        <v>0</v>
      </c>
      <c r="S140" s="66">
        <f>'Project Database'!W144</f>
        <v>0</v>
      </c>
      <c r="T140" s="66">
        <f>'Project Database'!X144</f>
        <v>0</v>
      </c>
      <c r="U140" s="67">
        <f>'Project Database'!Y144</f>
        <v>0</v>
      </c>
      <c r="V140" s="66">
        <f>IF('Smart Search'!B13=1,IFERROR(1/'Smart Search'!H13,0),0)</f>
        <v>0</v>
      </c>
      <c r="W140" s="66">
        <f>IF('Smart Search'!B13=1,IFERROR(1/'Smart Search'!H13,0),0)</f>
        <v>0</v>
      </c>
      <c r="X140" s="66">
        <f>IF('Smart Search'!C13=1,IFERROR(1/'Smart Search'!H13,0),0)</f>
        <v>0.5</v>
      </c>
      <c r="Y140" s="66">
        <f>IF('Smart Search'!C13=1,IFERROR(1/'Smart Search'!H13,0),0)</f>
        <v>0.5</v>
      </c>
      <c r="Z140" s="66">
        <f>IF('Smart Search'!D13=1,IFERROR(1/'Smart Search'!H13,0),0)</f>
        <v>0</v>
      </c>
      <c r="AA140" s="66">
        <f>IF('Smart Search'!D13=1,IFERROR(1/'Smart Search'!H13,0),0)</f>
        <v>0</v>
      </c>
      <c r="AB140" s="66">
        <f>IF('Smart Search'!E13=1,IFERROR(1/'Smart Search'!H13,0),0)</f>
        <v>0</v>
      </c>
      <c r="AC140" s="66">
        <f>IF('Smart Search'!E13=1,IFERROR(1/'Smart Search'!H13,0),0)</f>
        <v>0</v>
      </c>
      <c r="AD140" s="66">
        <f>IF('Smart Search'!F13=1,IFERROR(1/'Smart Search'!H13,0),0)</f>
        <v>0</v>
      </c>
      <c r="AE140" s="66">
        <f>IF('Smart Search'!F13=1,IFERROR(1/'Smart Search'!H13,0),0)</f>
        <v>0</v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>0</v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>0</v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>0</v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>0</v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>0</v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>0</v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>0</v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>0</v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>0</v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>0</v>
      </c>
      <c r="AP140" s="66">
        <f t="shared" si="28"/>
        <v>0</v>
      </c>
      <c r="AQ140" s="66">
        <f t="shared" si="29"/>
        <v>0</v>
      </c>
      <c r="AR140" s="66">
        <f t="shared" si="30"/>
        <v>0</v>
      </c>
      <c r="AS140" s="66">
        <f t="shared" si="31"/>
        <v>0</v>
      </c>
      <c r="AT140" s="66">
        <f t="shared" si="32"/>
        <v>0</v>
      </c>
      <c r="AU140" s="66">
        <f t="shared" si="33"/>
        <v>0</v>
      </c>
      <c r="AV140" s="66">
        <f t="shared" si="34"/>
        <v>0</v>
      </c>
      <c r="AW140" s="66">
        <f t="shared" si="35"/>
        <v>0</v>
      </c>
      <c r="AX140" s="66">
        <f t="shared" si="36"/>
        <v>0</v>
      </c>
      <c r="AY140" s="66">
        <f t="shared" si="37"/>
        <v>0</v>
      </c>
      <c r="AZ140" s="66">
        <f>'Project Database'!Z144</f>
        <v>0</v>
      </c>
      <c r="BA140" s="66">
        <f>IF(OR(A140="",'Smart Search'!H13=0),"",MAX(0,BE140*BF140*MAX(0,1-BG140)))</f>
        <v>0</v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>0</v>
      </c>
      <c r="BC140" s="66">
        <f>IF('Smart Search'!G13=1,IFERROR(1/'Smart Search'!H13,0),0)</f>
        <v>0</v>
      </c>
      <c r="BD140" s="66">
        <f t="shared" si="38"/>
        <v>0</v>
      </c>
      <c r="BE140" s="66">
        <f t="shared" si="39"/>
        <v>0</v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>0</v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>0</v>
      </c>
      <c r="BH140" s="5" t="str">
        <f>IF(AND('Project Database'!A144&lt;&gt;"",OR('Smart Search'!$L$5="",'Smart Search'!$L$5="All",TRIM('Project Database'!D144)=TRIM('Smart Search'!$L$5)),OR(TRIM('Smart Search'!$L$6)="",TRIM('Smart Search'!$L$6)="All",ISNUMBER(SEARCH(SUBSTITUTE(SUBSTITUTE(SUBSTITUTE(TRIM('Smart Search'!$L$6),"~","~~"),"*","~*"),"?","~?"),'Project Database'!C144))),OR('Smart Search'!$L$7="",AND('Project Database'!E144&lt;&gt;"",'Project Database'!E144='Smart Search'!$L$7)),OR('Smart Search'!$L$8="",'Smart Search'!$L$8="All",TRIM('Project Database'!F144)=TRIM('Smart Search'!$L$8))),IF(BA140="","",BA140+ROW()*0.0000000001),"")</f>
        <v/>
      </c>
      <c r="BI140" s="5" t="str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 t="str">
        <f>IF('Project Database'!A144="","",N('Project Database'!AC144))</f>
        <v/>
      </c>
      <c r="BK140" s="5" t="str">
        <f>IF('Project Database'!A144="","",N('Project Database'!AD144))</f>
        <v/>
      </c>
      <c r="BL140" s="5" t="str">
        <f>IF('Project Database'!A144="","",N('Project Database'!AE144))</f>
        <v/>
      </c>
      <c r="BM140" s="5" t="str">
        <f>IF('Project Database'!A144="","",N('Project Database'!AF144))</f>
        <v/>
      </c>
      <c r="BN140" s="5" t="str">
        <f>IF('Project Database'!A144="","",N('Project Database'!AG144))</f>
        <v/>
      </c>
      <c r="BO140" s="5" t="str">
        <f>IF('Project Database'!A144="","",N('Project Database'!AH144))</f>
        <v/>
      </c>
      <c r="BP140" s="5" t="str">
        <f>IF('Project Database'!A144="","",N('Project Database'!AI144))</f>
        <v/>
      </c>
      <c r="BQ140" s="5" t="str">
        <f>IF('Project Database'!A144="","",N('Project Database'!AJ144))</f>
        <v/>
      </c>
      <c r="BR140" s="5" t="str">
        <f>IF('Project Database'!A144="","",N('Project Database'!AK144))</f>
        <v/>
      </c>
      <c r="BS140" s="5" t="str">
        <f>IF('Project Database'!A144="","",N('Project Database'!AL144))</f>
        <v/>
      </c>
      <c r="BT140" s="5" t="str">
        <f>IF('Project Database'!A144="","",N('Project Database'!AM144))</f>
        <v/>
      </c>
      <c r="BU140" s="5" t="str">
        <f>IF('Project Database'!A144="","",N('Project Database'!AN144))</f>
        <v/>
      </c>
      <c r="BV140" s="5" t="str">
        <f>IF('Project Database'!A144="","",N('Project Database'!AO144))</f>
        <v/>
      </c>
      <c r="BW140" s="5" t="str">
        <f>IF('Project Database'!A144="","",N('Project Database'!AP144))</f>
        <v/>
      </c>
      <c r="BX140" s="5">
        <f t="shared" si="40"/>
        <v>0</v>
      </c>
      <c r="BY140" s="5">
        <f t="shared" si="41"/>
        <v>0</v>
      </c>
    </row>
    <row r="141" spans="1:77" ht="15" customHeight="1" x14ac:dyDescent="0.3">
      <c r="A141" s="66">
        <f>'Project Database'!A145</f>
        <v>0</v>
      </c>
      <c r="B141" s="66">
        <f>'Project Database'!B145</f>
        <v>0</v>
      </c>
      <c r="C141" s="66">
        <f>'Project Database'!G145</f>
        <v>0</v>
      </c>
      <c r="D141" s="66">
        <f>'Project Database'!H145</f>
        <v>0</v>
      </c>
      <c r="E141" s="66">
        <f>'Project Database'!I145</f>
        <v>0</v>
      </c>
      <c r="F141" s="66">
        <f>'Project Database'!J145</f>
        <v>0</v>
      </c>
      <c r="G141" s="66">
        <f>'Project Database'!K145</f>
        <v>0</v>
      </c>
      <c r="H141" s="66">
        <f>'Project Database'!L145</f>
        <v>0</v>
      </c>
      <c r="I141" s="66">
        <f>'Project Database'!M145</f>
        <v>0</v>
      </c>
      <c r="J141" s="66">
        <f>'Project Database'!N145</f>
        <v>0</v>
      </c>
      <c r="K141" s="66">
        <f>'Project Database'!O145</f>
        <v>0</v>
      </c>
      <c r="L141" s="66">
        <f>'Project Database'!P145</f>
        <v>0</v>
      </c>
      <c r="M141" s="66">
        <f>'Project Database'!Q145</f>
        <v>0</v>
      </c>
      <c r="N141" s="66">
        <f>'Project Database'!R145</f>
        <v>0</v>
      </c>
      <c r="O141" s="66">
        <f>'Project Database'!S145</f>
        <v>0</v>
      </c>
      <c r="P141" s="66">
        <f>'Project Database'!T145</f>
        <v>0</v>
      </c>
      <c r="Q141" s="66">
        <f>'Project Database'!U145</f>
        <v>0</v>
      </c>
      <c r="R141" s="66">
        <f>'Project Database'!V145</f>
        <v>0</v>
      </c>
      <c r="S141" s="66">
        <f>'Project Database'!W145</f>
        <v>0</v>
      </c>
      <c r="T141" s="66">
        <f>'Project Database'!X145</f>
        <v>0</v>
      </c>
      <c r="U141" s="67">
        <f>'Project Database'!Y145</f>
        <v>0</v>
      </c>
      <c r="V141" s="66">
        <f>IF('Smart Search'!B13=1,IFERROR(1/'Smart Search'!H13,0),0)</f>
        <v>0</v>
      </c>
      <c r="W141" s="66">
        <f>IF('Smart Search'!B13=1,IFERROR(1/'Smart Search'!H13,0),0)</f>
        <v>0</v>
      </c>
      <c r="X141" s="66">
        <f>IF('Smart Search'!C13=1,IFERROR(1/'Smart Search'!H13,0),0)</f>
        <v>0.5</v>
      </c>
      <c r="Y141" s="66">
        <f>IF('Smart Search'!C13=1,IFERROR(1/'Smart Search'!H13,0),0)</f>
        <v>0.5</v>
      </c>
      <c r="Z141" s="66">
        <f>IF('Smart Search'!D13=1,IFERROR(1/'Smart Search'!H13,0),0)</f>
        <v>0</v>
      </c>
      <c r="AA141" s="66">
        <f>IF('Smart Search'!D13=1,IFERROR(1/'Smart Search'!H13,0),0)</f>
        <v>0</v>
      </c>
      <c r="AB141" s="66">
        <f>IF('Smart Search'!E13=1,IFERROR(1/'Smart Search'!H13,0),0)</f>
        <v>0</v>
      </c>
      <c r="AC141" s="66">
        <f>IF('Smart Search'!E13=1,IFERROR(1/'Smart Search'!H13,0),0)</f>
        <v>0</v>
      </c>
      <c r="AD141" s="66">
        <f>IF('Smart Search'!F13=1,IFERROR(1/'Smart Search'!H13,0),0)</f>
        <v>0</v>
      </c>
      <c r="AE141" s="66">
        <f>IF('Smart Search'!F13=1,IFERROR(1/'Smart Search'!H13,0),0)</f>
        <v>0</v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>0</v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>0</v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>0</v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>0</v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>0</v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>0</v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>0</v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>0</v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>0</v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>0</v>
      </c>
      <c r="AP141" s="66">
        <f t="shared" si="28"/>
        <v>0</v>
      </c>
      <c r="AQ141" s="66">
        <f t="shared" si="29"/>
        <v>0</v>
      </c>
      <c r="AR141" s="66">
        <f t="shared" si="30"/>
        <v>0</v>
      </c>
      <c r="AS141" s="66">
        <f t="shared" si="31"/>
        <v>0</v>
      </c>
      <c r="AT141" s="66">
        <f t="shared" si="32"/>
        <v>0</v>
      </c>
      <c r="AU141" s="66">
        <f t="shared" si="33"/>
        <v>0</v>
      </c>
      <c r="AV141" s="66">
        <f t="shared" si="34"/>
        <v>0</v>
      </c>
      <c r="AW141" s="66">
        <f t="shared" si="35"/>
        <v>0</v>
      </c>
      <c r="AX141" s="66">
        <f t="shared" si="36"/>
        <v>0</v>
      </c>
      <c r="AY141" s="66">
        <f t="shared" si="37"/>
        <v>0</v>
      </c>
      <c r="AZ141" s="66">
        <f>'Project Database'!Z145</f>
        <v>0</v>
      </c>
      <c r="BA141" s="66">
        <f>IF(OR(A141="",'Smart Search'!H13=0),"",MAX(0,BE141*BF141*MAX(0,1-BG141)))</f>
        <v>0</v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>0</v>
      </c>
      <c r="BC141" s="66">
        <f>IF('Smart Search'!G13=1,IFERROR(1/'Smart Search'!H13,0),0)</f>
        <v>0</v>
      </c>
      <c r="BD141" s="66">
        <f t="shared" si="38"/>
        <v>0</v>
      </c>
      <c r="BE141" s="66">
        <f t="shared" si="39"/>
        <v>0</v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>0</v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>0</v>
      </c>
      <c r="BH141" s="5" t="str">
        <f>IF(AND('Project Database'!A145&lt;&gt;"",OR('Smart Search'!$L$5="",'Smart Search'!$L$5="All",TRIM('Project Database'!D145)=TRIM('Smart Search'!$L$5)),OR(TRIM('Smart Search'!$L$6)="",TRIM('Smart Search'!$L$6)="All",ISNUMBER(SEARCH(SUBSTITUTE(SUBSTITUTE(SUBSTITUTE(TRIM('Smart Search'!$L$6),"~","~~"),"*","~*"),"?","~?"),'Project Database'!C145))),OR('Smart Search'!$L$7="",AND('Project Database'!E145&lt;&gt;"",'Project Database'!E145='Smart Search'!$L$7)),OR('Smart Search'!$L$8="",'Smart Search'!$L$8="All",TRIM('Project Database'!F145)=TRIM('Smart Search'!$L$8))),IF(BA141="","",BA141+ROW()*0.0000000001),"")</f>
        <v/>
      </c>
      <c r="BI141" s="5" t="str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 t="str">
        <f>IF('Project Database'!A145="","",N('Project Database'!AC145))</f>
        <v/>
      </c>
      <c r="BK141" s="5" t="str">
        <f>IF('Project Database'!A145="","",N('Project Database'!AD145))</f>
        <v/>
      </c>
      <c r="BL141" s="5" t="str">
        <f>IF('Project Database'!A145="","",N('Project Database'!AE145))</f>
        <v/>
      </c>
      <c r="BM141" s="5" t="str">
        <f>IF('Project Database'!A145="","",N('Project Database'!AF145))</f>
        <v/>
      </c>
      <c r="BN141" s="5" t="str">
        <f>IF('Project Database'!A145="","",N('Project Database'!AG145))</f>
        <v/>
      </c>
      <c r="BO141" s="5" t="str">
        <f>IF('Project Database'!A145="","",N('Project Database'!AH145))</f>
        <v/>
      </c>
      <c r="BP141" s="5" t="str">
        <f>IF('Project Database'!A145="","",N('Project Database'!AI145))</f>
        <v/>
      </c>
      <c r="BQ141" s="5" t="str">
        <f>IF('Project Database'!A145="","",N('Project Database'!AJ145))</f>
        <v/>
      </c>
      <c r="BR141" s="5" t="str">
        <f>IF('Project Database'!A145="","",N('Project Database'!AK145))</f>
        <v/>
      </c>
      <c r="BS141" s="5" t="str">
        <f>IF('Project Database'!A145="","",N('Project Database'!AL145))</f>
        <v/>
      </c>
      <c r="BT141" s="5" t="str">
        <f>IF('Project Database'!A145="","",N('Project Database'!AM145))</f>
        <v/>
      </c>
      <c r="BU141" s="5" t="str">
        <f>IF('Project Database'!A145="","",N('Project Database'!AN145))</f>
        <v/>
      </c>
      <c r="BV141" s="5" t="str">
        <f>IF('Project Database'!A145="","",N('Project Database'!AO145))</f>
        <v/>
      </c>
      <c r="BW141" s="5" t="str">
        <f>IF('Project Database'!A145="","",N('Project Database'!AP145))</f>
        <v/>
      </c>
      <c r="BX141" s="5">
        <f t="shared" si="40"/>
        <v>0</v>
      </c>
      <c r="BY141" s="5">
        <f t="shared" si="41"/>
        <v>0</v>
      </c>
    </row>
    <row r="142" spans="1:77" ht="15" customHeight="1" x14ac:dyDescent="0.3">
      <c r="A142" s="66">
        <f>'Project Database'!A146</f>
        <v>0</v>
      </c>
      <c r="B142" s="66">
        <f>'Project Database'!B146</f>
        <v>0</v>
      </c>
      <c r="C142" s="66">
        <f>'Project Database'!G146</f>
        <v>0</v>
      </c>
      <c r="D142" s="66">
        <f>'Project Database'!H146</f>
        <v>0</v>
      </c>
      <c r="E142" s="66">
        <f>'Project Database'!I146</f>
        <v>0</v>
      </c>
      <c r="F142" s="66">
        <f>'Project Database'!J146</f>
        <v>0</v>
      </c>
      <c r="G142" s="66">
        <f>'Project Database'!K146</f>
        <v>0</v>
      </c>
      <c r="H142" s="66">
        <f>'Project Database'!L146</f>
        <v>0</v>
      </c>
      <c r="I142" s="66">
        <f>'Project Database'!M146</f>
        <v>0</v>
      </c>
      <c r="J142" s="66">
        <f>'Project Database'!N146</f>
        <v>0</v>
      </c>
      <c r="K142" s="66">
        <f>'Project Database'!O146</f>
        <v>0</v>
      </c>
      <c r="L142" s="66">
        <f>'Project Database'!P146</f>
        <v>0</v>
      </c>
      <c r="M142" s="66">
        <f>'Project Database'!Q146</f>
        <v>0</v>
      </c>
      <c r="N142" s="66">
        <f>'Project Database'!R146</f>
        <v>0</v>
      </c>
      <c r="O142" s="66">
        <f>'Project Database'!S146</f>
        <v>0</v>
      </c>
      <c r="P142" s="66">
        <f>'Project Database'!T146</f>
        <v>0</v>
      </c>
      <c r="Q142" s="66">
        <f>'Project Database'!U146</f>
        <v>0</v>
      </c>
      <c r="R142" s="66">
        <f>'Project Database'!V146</f>
        <v>0</v>
      </c>
      <c r="S142" s="66">
        <f>'Project Database'!W146</f>
        <v>0</v>
      </c>
      <c r="T142" s="66">
        <f>'Project Database'!X146</f>
        <v>0</v>
      </c>
      <c r="U142" s="67">
        <f>'Project Database'!Y146</f>
        <v>0</v>
      </c>
      <c r="V142" s="66">
        <f>IF('Smart Search'!B13=1,IFERROR(1/'Smart Search'!H13,0),0)</f>
        <v>0</v>
      </c>
      <c r="W142" s="66">
        <f>IF('Smart Search'!B13=1,IFERROR(1/'Smart Search'!H13,0),0)</f>
        <v>0</v>
      </c>
      <c r="X142" s="66">
        <f>IF('Smart Search'!C13=1,IFERROR(1/'Smart Search'!H13,0),0)</f>
        <v>0.5</v>
      </c>
      <c r="Y142" s="66">
        <f>IF('Smart Search'!C13=1,IFERROR(1/'Smart Search'!H13,0),0)</f>
        <v>0.5</v>
      </c>
      <c r="Z142" s="66">
        <f>IF('Smart Search'!D13=1,IFERROR(1/'Smart Search'!H13,0),0)</f>
        <v>0</v>
      </c>
      <c r="AA142" s="66">
        <f>IF('Smart Search'!D13=1,IFERROR(1/'Smart Search'!H13,0),0)</f>
        <v>0</v>
      </c>
      <c r="AB142" s="66">
        <f>IF('Smart Search'!E13=1,IFERROR(1/'Smart Search'!H13,0),0)</f>
        <v>0</v>
      </c>
      <c r="AC142" s="66">
        <f>IF('Smart Search'!E13=1,IFERROR(1/'Smart Search'!H13,0),0)</f>
        <v>0</v>
      </c>
      <c r="AD142" s="66">
        <f>IF('Smart Search'!F13=1,IFERROR(1/'Smart Search'!H13,0),0)</f>
        <v>0</v>
      </c>
      <c r="AE142" s="66">
        <f>IF('Smart Search'!F13=1,IFERROR(1/'Smart Search'!H13,0),0)</f>
        <v>0</v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>0</v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>0</v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>0</v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>0</v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>0</v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>0</v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>0</v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>0</v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>0</v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>0</v>
      </c>
      <c r="AP142" s="66">
        <f t="shared" si="28"/>
        <v>0</v>
      </c>
      <c r="AQ142" s="66">
        <f t="shared" si="29"/>
        <v>0</v>
      </c>
      <c r="AR142" s="66">
        <f t="shared" si="30"/>
        <v>0</v>
      </c>
      <c r="AS142" s="66">
        <f t="shared" si="31"/>
        <v>0</v>
      </c>
      <c r="AT142" s="66">
        <f t="shared" si="32"/>
        <v>0</v>
      </c>
      <c r="AU142" s="66">
        <f t="shared" si="33"/>
        <v>0</v>
      </c>
      <c r="AV142" s="66">
        <f t="shared" si="34"/>
        <v>0</v>
      </c>
      <c r="AW142" s="66">
        <f t="shared" si="35"/>
        <v>0</v>
      </c>
      <c r="AX142" s="66">
        <f t="shared" si="36"/>
        <v>0</v>
      </c>
      <c r="AY142" s="66">
        <f t="shared" si="37"/>
        <v>0</v>
      </c>
      <c r="AZ142" s="66">
        <f>'Project Database'!Z146</f>
        <v>0</v>
      </c>
      <c r="BA142" s="66">
        <f>IF(OR(A142="",'Smart Search'!H13=0),"",MAX(0,BE142*BF142*MAX(0,1-BG142)))</f>
        <v>0</v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>0</v>
      </c>
      <c r="BC142" s="66">
        <f>IF('Smart Search'!G13=1,IFERROR(1/'Smart Search'!H13,0),0)</f>
        <v>0</v>
      </c>
      <c r="BD142" s="66">
        <f t="shared" si="38"/>
        <v>0</v>
      </c>
      <c r="BE142" s="66">
        <f t="shared" si="39"/>
        <v>0</v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>0</v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>0</v>
      </c>
      <c r="BH142" s="5" t="str">
        <f>IF(AND('Project Database'!A146&lt;&gt;"",OR('Smart Search'!$L$5="",'Smart Search'!$L$5="All",TRIM('Project Database'!D146)=TRIM('Smart Search'!$L$5)),OR(TRIM('Smart Search'!$L$6)="",TRIM('Smart Search'!$L$6)="All",ISNUMBER(SEARCH(SUBSTITUTE(SUBSTITUTE(SUBSTITUTE(TRIM('Smart Search'!$L$6),"~","~~"),"*","~*"),"?","~?"),'Project Database'!C146))),OR('Smart Search'!$L$7="",AND('Project Database'!E146&lt;&gt;"",'Project Database'!E146='Smart Search'!$L$7)),OR('Smart Search'!$L$8="",'Smart Search'!$L$8="All",TRIM('Project Database'!F146)=TRIM('Smart Search'!$L$8))),IF(BA142="","",BA142+ROW()*0.0000000001),"")</f>
        <v/>
      </c>
      <c r="BI142" s="5" t="str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 t="str">
        <f>IF('Project Database'!A146="","",N('Project Database'!AC146))</f>
        <v/>
      </c>
      <c r="BK142" s="5" t="str">
        <f>IF('Project Database'!A146="","",N('Project Database'!AD146))</f>
        <v/>
      </c>
      <c r="BL142" s="5" t="str">
        <f>IF('Project Database'!A146="","",N('Project Database'!AE146))</f>
        <v/>
      </c>
      <c r="BM142" s="5" t="str">
        <f>IF('Project Database'!A146="","",N('Project Database'!AF146))</f>
        <v/>
      </c>
      <c r="BN142" s="5" t="str">
        <f>IF('Project Database'!A146="","",N('Project Database'!AG146))</f>
        <v/>
      </c>
      <c r="BO142" s="5" t="str">
        <f>IF('Project Database'!A146="","",N('Project Database'!AH146))</f>
        <v/>
      </c>
      <c r="BP142" s="5" t="str">
        <f>IF('Project Database'!A146="","",N('Project Database'!AI146))</f>
        <v/>
      </c>
      <c r="BQ142" s="5" t="str">
        <f>IF('Project Database'!A146="","",N('Project Database'!AJ146))</f>
        <v/>
      </c>
      <c r="BR142" s="5" t="str">
        <f>IF('Project Database'!A146="","",N('Project Database'!AK146))</f>
        <v/>
      </c>
      <c r="BS142" s="5" t="str">
        <f>IF('Project Database'!A146="","",N('Project Database'!AL146))</f>
        <v/>
      </c>
      <c r="BT142" s="5" t="str">
        <f>IF('Project Database'!A146="","",N('Project Database'!AM146))</f>
        <v/>
      </c>
      <c r="BU142" s="5" t="str">
        <f>IF('Project Database'!A146="","",N('Project Database'!AN146))</f>
        <v/>
      </c>
      <c r="BV142" s="5" t="str">
        <f>IF('Project Database'!A146="","",N('Project Database'!AO146))</f>
        <v/>
      </c>
      <c r="BW142" s="5" t="str">
        <f>IF('Project Database'!A146="","",N('Project Database'!AP146))</f>
        <v/>
      </c>
      <c r="BX142" s="5">
        <f t="shared" si="40"/>
        <v>0</v>
      </c>
      <c r="BY142" s="5">
        <f t="shared" si="41"/>
        <v>0</v>
      </c>
    </row>
    <row r="143" spans="1:77" ht="15" customHeight="1" x14ac:dyDescent="0.3">
      <c r="A143" s="66">
        <f>'Project Database'!A147</f>
        <v>0</v>
      </c>
      <c r="B143" s="66">
        <f>'Project Database'!B147</f>
        <v>0</v>
      </c>
      <c r="C143" s="66">
        <f>'Project Database'!G147</f>
        <v>0</v>
      </c>
      <c r="D143" s="66">
        <f>'Project Database'!H147</f>
        <v>0</v>
      </c>
      <c r="E143" s="66">
        <f>'Project Database'!I147</f>
        <v>0</v>
      </c>
      <c r="F143" s="66">
        <f>'Project Database'!J147</f>
        <v>0</v>
      </c>
      <c r="G143" s="66">
        <f>'Project Database'!K147</f>
        <v>0</v>
      </c>
      <c r="H143" s="66">
        <f>'Project Database'!L147</f>
        <v>0</v>
      </c>
      <c r="I143" s="66">
        <f>'Project Database'!M147</f>
        <v>0</v>
      </c>
      <c r="J143" s="66">
        <f>'Project Database'!N147</f>
        <v>0</v>
      </c>
      <c r="K143" s="66">
        <f>'Project Database'!O147</f>
        <v>0</v>
      </c>
      <c r="L143" s="66">
        <f>'Project Database'!P147</f>
        <v>0</v>
      </c>
      <c r="M143" s="66">
        <f>'Project Database'!Q147</f>
        <v>0</v>
      </c>
      <c r="N143" s="66">
        <f>'Project Database'!R147</f>
        <v>0</v>
      </c>
      <c r="O143" s="66">
        <f>'Project Database'!S147</f>
        <v>0</v>
      </c>
      <c r="P143" s="66">
        <f>'Project Database'!T147</f>
        <v>0</v>
      </c>
      <c r="Q143" s="66">
        <f>'Project Database'!U147</f>
        <v>0</v>
      </c>
      <c r="R143" s="66">
        <f>'Project Database'!V147</f>
        <v>0</v>
      </c>
      <c r="S143" s="66">
        <f>'Project Database'!W147</f>
        <v>0</v>
      </c>
      <c r="T143" s="66">
        <f>'Project Database'!X147</f>
        <v>0</v>
      </c>
      <c r="U143" s="67">
        <f>'Project Database'!Y147</f>
        <v>0</v>
      </c>
      <c r="V143" s="66">
        <f>IF('Smart Search'!B13=1,IFERROR(1/'Smart Search'!H13,0),0)</f>
        <v>0</v>
      </c>
      <c r="W143" s="66">
        <f>IF('Smart Search'!B13=1,IFERROR(1/'Smart Search'!H13,0),0)</f>
        <v>0</v>
      </c>
      <c r="X143" s="66">
        <f>IF('Smart Search'!C13=1,IFERROR(1/'Smart Search'!H13,0),0)</f>
        <v>0.5</v>
      </c>
      <c r="Y143" s="66">
        <f>IF('Smart Search'!C13=1,IFERROR(1/'Smart Search'!H13,0),0)</f>
        <v>0.5</v>
      </c>
      <c r="Z143" s="66">
        <f>IF('Smart Search'!D13=1,IFERROR(1/'Smart Search'!H13,0),0)</f>
        <v>0</v>
      </c>
      <c r="AA143" s="66">
        <f>IF('Smart Search'!D13=1,IFERROR(1/'Smart Search'!H13,0),0)</f>
        <v>0</v>
      </c>
      <c r="AB143" s="66">
        <f>IF('Smart Search'!E13=1,IFERROR(1/'Smart Search'!H13,0),0)</f>
        <v>0</v>
      </c>
      <c r="AC143" s="66">
        <f>IF('Smart Search'!E13=1,IFERROR(1/'Smart Search'!H13,0),0)</f>
        <v>0</v>
      </c>
      <c r="AD143" s="66">
        <f>IF('Smart Search'!F13=1,IFERROR(1/'Smart Search'!H13,0),0)</f>
        <v>0</v>
      </c>
      <c r="AE143" s="66">
        <f>IF('Smart Search'!F13=1,IFERROR(1/'Smart Search'!H13,0),0)</f>
        <v>0</v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>0</v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>0</v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>0</v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>0</v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>0</v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>0</v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>0</v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>0</v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>0</v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>0</v>
      </c>
      <c r="AP143" s="66">
        <f t="shared" si="28"/>
        <v>0</v>
      </c>
      <c r="AQ143" s="66">
        <f t="shared" si="29"/>
        <v>0</v>
      </c>
      <c r="AR143" s="66">
        <f t="shared" si="30"/>
        <v>0</v>
      </c>
      <c r="AS143" s="66">
        <f t="shared" si="31"/>
        <v>0</v>
      </c>
      <c r="AT143" s="66">
        <f t="shared" si="32"/>
        <v>0</v>
      </c>
      <c r="AU143" s="66">
        <f t="shared" si="33"/>
        <v>0</v>
      </c>
      <c r="AV143" s="66">
        <f t="shared" si="34"/>
        <v>0</v>
      </c>
      <c r="AW143" s="66">
        <f t="shared" si="35"/>
        <v>0</v>
      </c>
      <c r="AX143" s="66">
        <f t="shared" si="36"/>
        <v>0</v>
      </c>
      <c r="AY143" s="66">
        <f t="shared" si="37"/>
        <v>0</v>
      </c>
      <c r="AZ143" s="66">
        <f>'Project Database'!Z147</f>
        <v>0</v>
      </c>
      <c r="BA143" s="66">
        <f>IF(OR(A143="",'Smart Search'!H13=0),"",MAX(0,BE143*BF143*MAX(0,1-BG143)))</f>
        <v>0</v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>0</v>
      </c>
      <c r="BC143" s="66">
        <f>IF('Smart Search'!G13=1,IFERROR(1/'Smart Search'!H13,0),0)</f>
        <v>0</v>
      </c>
      <c r="BD143" s="66">
        <f t="shared" si="38"/>
        <v>0</v>
      </c>
      <c r="BE143" s="66">
        <f t="shared" si="39"/>
        <v>0</v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>0</v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>0</v>
      </c>
      <c r="BH143" s="5" t="str">
        <f>IF(AND('Project Database'!A147&lt;&gt;"",OR('Smart Search'!$L$5="",'Smart Search'!$L$5="All",TRIM('Project Database'!D147)=TRIM('Smart Search'!$L$5)),OR(TRIM('Smart Search'!$L$6)="",TRIM('Smart Search'!$L$6)="All",ISNUMBER(SEARCH(SUBSTITUTE(SUBSTITUTE(SUBSTITUTE(TRIM('Smart Search'!$L$6),"~","~~"),"*","~*"),"?","~?"),'Project Database'!C147))),OR('Smart Search'!$L$7="",AND('Project Database'!E147&lt;&gt;"",'Project Database'!E147='Smart Search'!$L$7)),OR('Smart Search'!$L$8="",'Smart Search'!$L$8="All",TRIM('Project Database'!F147)=TRIM('Smart Search'!$L$8))),IF(BA143="","",BA143+ROW()*0.0000000001),"")</f>
        <v/>
      </c>
      <c r="BI143" s="5" t="str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 t="str">
        <f>IF('Project Database'!A147="","",N('Project Database'!AC147))</f>
        <v/>
      </c>
      <c r="BK143" s="5" t="str">
        <f>IF('Project Database'!A147="","",N('Project Database'!AD147))</f>
        <v/>
      </c>
      <c r="BL143" s="5" t="str">
        <f>IF('Project Database'!A147="","",N('Project Database'!AE147))</f>
        <v/>
      </c>
      <c r="BM143" s="5" t="str">
        <f>IF('Project Database'!A147="","",N('Project Database'!AF147))</f>
        <v/>
      </c>
      <c r="BN143" s="5" t="str">
        <f>IF('Project Database'!A147="","",N('Project Database'!AG147))</f>
        <v/>
      </c>
      <c r="BO143" s="5" t="str">
        <f>IF('Project Database'!A147="","",N('Project Database'!AH147))</f>
        <v/>
      </c>
      <c r="BP143" s="5" t="str">
        <f>IF('Project Database'!A147="","",N('Project Database'!AI147))</f>
        <v/>
      </c>
      <c r="BQ143" s="5" t="str">
        <f>IF('Project Database'!A147="","",N('Project Database'!AJ147))</f>
        <v/>
      </c>
      <c r="BR143" s="5" t="str">
        <f>IF('Project Database'!A147="","",N('Project Database'!AK147))</f>
        <v/>
      </c>
      <c r="BS143" s="5" t="str">
        <f>IF('Project Database'!A147="","",N('Project Database'!AL147))</f>
        <v/>
      </c>
      <c r="BT143" s="5" t="str">
        <f>IF('Project Database'!A147="","",N('Project Database'!AM147))</f>
        <v/>
      </c>
      <c r="BU143" s="5" t="str">
        <f>IF('Project Database'!A147="","",N('Project Database'!AN147))</f>
        <v/>
      </c>
      <c r="BV143" s="5" t="str">
        <f>IF('Project Database'!A147="","",N('Project Database'!AO147))</f>
        <v/>
      </c>
      <c r="BW143" s="5" t="str">
        <f>IF('Project Database'!A147="","",N('Project Database'!AP147))</f>
        <v/>
      </c>
      <c r="BX143" s="5">
        <f t="shared" si="40"/>
        <v>0</v>
      </c>
      <c r="BY143" s="5">
        <f t="shared" si="41"/>
        <v>0</v>
      </c>
    </row>
    <row r="144" spans="1:77" ht="15" customHeight="1" x14ac:dyDescent="0.3">
      <c r="A144" s="66">
        <f>'Project Database'!A148</f>
        <v>0</v>
      </c>
      <c r="B144" s="66">
        <f>'Project Database'!B148</f>
        <v>0</v>
      </c>
      <c r="C144" s="66">
        <f>'Project Database'!G148</f>
        <v>0</v>
      </c>
      <c r="D144" s="66">
        <f>'Project Database'!H148</f>
        <v>0</v>
      </c>
      <c r="E144" s="66">
        <f>'Project Database'!I148</f>
        <v>0</v>
      </c>
      <c r="F144" s="66">
        <f>'Project Database'!J148</f>
        <v>0</v>
      </c>
      <c r="G144" s="66">
        <f>'Project Database'!K148</f>
        <v>0</v>
      </c>
      <c r="H144" s="66">
        <f>'Project Database'!L148</f>
        <v>0</v>
      </c>
      <c r="I144" s="66">
        <f>'Project Database'!M148</f>
        <v>0</v>
      </c>
      <c r="J144" s="66">
        <f>'Project Database'!N148</f>
        <v>0</v>
      </c>
      <c r="K144" s="66">
        <f>'Project Database'!O148</f>
        <v>0</v>
      </c>
      <c r="L144" s="66">
        <f>'Project Database'!P148</f>
        <v>0</v>
      </c>
      <c r="M144" s="66">
        <f>'Project Database'!Q148</f>
        <v>0</v>
      </c>
      <c r="N144" s="66">
        <f>'Project Database'!R148</f>
        <v>0</v>
      </c>
      <c r="O144" s="66">
        <f>'Project Database'!S148</f>
        <v>0</v>
      </c>
      <c r="P144" s="66">
        <f>'Project Database'!T148</f>
        <v>0</v>
      </c>
      <c r="Q144" s="66">
        <f>'Project Database'!U148</f>
        <v>0</v>
      </c>
      <c r="R144" s="66">
        <f>'Project Database'!V148</f>
        <v>0</v>
      </c>
      <c r="S144" s="66">
        <f>'Project Database'!W148</f>
        <v>0</v>
      </c>
      <c r="T144" s="66">
        <f>'Project Database'!X148</f>
        <v>0</v>
      </c>
      <c r="U144" s="67">
        <f>'Project Database'!Y148</f>
        <v>0</v>
      </c>
      <c r="V144" s="66">
        <f>IF('Smart Search'!B13=1,IFERROR(1/'Smart Search'!H13,0),0)</f>
        <v>0</v>
      </c>
      <c r="W144" s="66">
        <f>IF('Smart Search'!B13=1,IFERROR(1/'Smart Search'!H13,0),0)</f>
        <v>0</v>
      </c>
      <c r="X144" s="66">
        <f>IF('Smart Search'!C13=1,IFERROR(1/'Smart Search'!H13,0),0)</f>
        <v>0.5</v>
      </c>
      <c r="Y144" s="66">
        <f>IF('Smart Search'!C13=1,IFERROR(1/'Smart Search'!H13,0),0)</f>
        <v>0.5</v>
      </c>
      <c r="Z144" s="66">
        <f>IF('Smart Search'!D13=1,IFERROR(1/'Smart Search'!H13,0),0)</f>
        <v>0</v>
      </c>
      <c r="AA144" s="66">
        <f>IF('Smart Search'!D13=1,IFERROR(1/'Smart Search'!H13,0),0)</f>
        <v>0</v>
      </c>
      <c r="AB144" s="66">
        <f>IF('Smart Search'!E13=1,IFERROR(1/'Smart Search'!H13,0),0)</f>
        <v>0</v>
      </c>
      <c r="AC144" s="66">
        <f>IF('Smart Search'!E13=1,IFERROR(1/'Smart Search'!H13,0),0)</f>
        <v>0</v>
      </c>
      <c r="AD144" s="66">
        <f>IF('Smart Search'!F13=1,IFERROR(1/'Smart Search'!H13,0),0)</f>
        <v>0</v>
      </c>
      <c r="AE144" s="66">
        <f>IF('Smart Search'!F13=1,IFERROR(1/'Smart Search'!H13,0),0)</f>
        <v>0</v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>0</v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>0</v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>0</v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>0</v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>0</v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>0</v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>0</v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>0</v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>0</v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>0</v>
      </c>
      <c r="AP144" s="66">
        <f t="shared" si="28"/>
        <v>0</v>
      </c>
      <c r="AQ144" s="66">
        <f t="shared" si="29"/>
        <v>0</v>
      </c>
      <c r="AR144" s="66">
        <f t="shared" si="30"/>
        <v>0</v>
      </c>
      <c r="AS144" s="66">
        <f t="shared" si="31"/>
        <v>0</v>
      </c>
      <c r="AT144" s="66">
        <f t="shared" si="32"/>
        <v>0</v>
      </c>
      <c r="AU144" s="66">
        <f t="shared" si="33"/>
        <v>0</v>
      </c>
      <c r="AV144" s="66">
        <f t="shared" si="34"/>
        <v>0</v>
      </c>
      <c r="AW144" s="66">
        <f t="shared" si="35"/>
        <v>0</v>
      </c>
      <c r="AX144" s="66">
        <f t="shared" si="36"/>
        <v>0</v>
      </c>
      <c r="AY144" s="66">
        <f t="shared" si="37"/>
        <v>0</v>
      </c>
      <c r="AZ144" s="66">
        <f>'Project Database'!Z148</f>
        <v>0</v>
      </c>
      <c r="BA144" s="66">
        <f>IF(OR(A144="",'Smart Search'!H13=0),"",MAX(0,BE144*BF144*MAX(0,1-BG144)))</f>
        <v>0</v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>0</v>
      </c>
      <c r="BC144" s="66">
        <f>IF('Smart Search'!G13=1,IFERROR(1/'Smart Search'!H13,0),0)</f>
        <v>0</v>
      </c>
      <c r="BD144" s="66">
        <f t="shared" si="38"/>
        <v>0</v>
      </c>
      <c r="BE144" s="66">
        <f t="shared" si="39"/>
        <v>0</v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>0</v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>0</v>
      </c>
      <c r="BH144" s="5" t="str">
        <f>IF(AND('Project Database'!A148&lt;&gt;"",OR('Smart Search'!$L$5="",'Smart Search'!$L$5="All",TRIM('Project Database'!D148)=TRIM('Smart Search'!$L$5)),OR(TRIM('Smart Search'!$L$6)="",TRIM('Smart Search'!$L$6)="All",ISNUMBER(SEARCH(SUBSTITUTE(SUBSTITUTE(SUBSTITUTE(TRIM('Smart Search'!$L$6),"~","~~"),"*","~*"),"?","~?"),'Project Database'!C148))),OR('Smart Search'!$L$7="",AND('Project Database'!E148&lt;&gt;"",'Project Database'!E148='Smart Search'!$L$7)),OR('Smart Search'!$L$8="",'Smart Search'!$L$8="All",TRIM('Project Database'!F148)=TRIM('Smart Search'!$L$8))),IF(BA144="","",BA144+ROW()*0.0000000001),"")</f>
        <v/>
      </c>
      <c r="BI144" s="5" t="str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 t="str">
        <f>IF('Project Database'!A148="","",N('Project Database'!AC148))</f>
        <v/>
      </c>
      <c r="BK144" s="5" t="str">
        <f>IF('Project Database'!A148="","",N('Project Database'!AD148))</f>
        <v/>
      </c>
      <c r="BL144" s="5" t="str">
        <f>IF('Project Database'!A148="","",N('Project Database'!AE148))</f>
        <v/>
      </c>
      <c r="BM144" s="5" t="str">
        <f>IF('Project Database'!A148="","",N('Project Database'!AF148))</f>
        <v/>
      </c>
      <c r="BN144" s="5" t="str">
        <f>IF('Project Database'!A148="","",N('Project Database'!AG148))</f>
        <v/>
      </c>
      <c r="BO144" s="5" t="str">
        <f>IF('Project Database'!A148="","",N('Project Database'!AH148))</f>
        <v/>
      </c>
      <c r="BP144" s="5" t="str">
        <f>IF('Project Database'!A148="","",N('Project Database'!AI148))</f>
        <v/>
      </c>
      <c r="BQ144" s="5" t="str">
        <f>IF('Project Database'!A148="","",N('Project Database'!AJ148))</f>
        <v/>
      </c>
      <c r="BR144" s="5" t="str">
        <f>IF('Project Database'!A148="","",N('Project Database'!AK148))</f>
        <v/>
      </c>
      <c r="BS144" s="5" t="str">
        <f>IF('Project Database'!A148="","",N('Project Database'!AL148))</f>
        <v/>
      </c>
      <c r="BT144" s="5" t="str">
        <f>IF('Project Database'!A148="","",N('Project Database'!AM148))</f>
        <v/>
      </c>
      <c r="BU144" s="5" t="str">
        <f>IF('Project Database'!A148="","",N('Project Database'!AN148))</f>
        <v/>
      </c>
      <c r="BV144" s="5" t="str">
        <f>IF('Project Database'!A148="","",N('Project Database'!AO148))</f>
        <v/>
      </c>
      <c r="BW144" s="5" t="str">
        <f>IF('Project Database'!A148="","",N('Project Database'!AP148))</f>
        <v/>
      </c>
      <c r="BX144" s="5">
        <f t="shared" si="40"/>
        <v>0</v>
      </c>
      <c r="BY144" s="5">
        <f t="shared" si="41"/>
        <v>0</v>
      </c>
    </row>
    <row r="145" spans="1:77" ht="15" customHeight="1" x14ac:dyDescent="0.3">
      <c r="A145" s="66">
        <f>'Project Database'!A149</f>
        <v>0</v>
      </c>
      <c r="B145" s="66">
        <f>'Project Database'!B149</f>
        <v>0</v>
      </c>
      <c r="C145" s="66">
        <f>'Project Database'!G149</f>
        <v>0</v>
      </c>
      <c r="D145" s="66">
        <f>'Project Database'!H149</f>
        <v>0</v>
      </c>
      <c r="E145" s="66">
        <f>'Project Database'!I149</f>
        <v>0</v>
      </c>
      <c r="F145" s="66">
        <f>'Project Database'!J149</f>
        <v>0</v>
      </c>
      <c r="G145" s="66">
        <f>'Project Database'!K149</f>
        <v>0</v>
      </c>
      <c r="H145" s="66">
        <f>'Project Database'!L149</f>
        <v>0</v>
      </c>
      <c r="I145" s="66">
        <f>'Project Database'!M149</f>
        <v>0</v>
      </c>
      <c r="J145" s="66">
        <f>'Project Database'!N149</f>
        <v>0</v>
      </c>
      <c r="K145" s="66">
        <f>'Project Database'!O149</f>
        <v>0</v>
      </c>
      <c r="L145" s="66">
        <f>'Project Database'!P149</f>
        <v>0</v>
      </c>
      <c r="M145" s="66">
        <f>'Project Database'!Q149</f>
        <v>0</v>
      </c>
      <c r="N145" s="66">
        <f>'Project Database'!R149</f>
        <v>0</v>
      </c>
      <c r="O145" s="66">
        <f>'Project Database'!S149</f>
        <v>0</v>
      </c>
      <c r="P145" s="66">
        <f>'Project Database'!T149</f>
        <v>0</v>
      </c>
      <c r="Q145" s="66">
        <f>'Project Database'!U149</f>
        <v>0</v>
      </c>
      <c r="R145" s="66">
        <f>'Project Database'!V149</f>
        <v>0</v>
      </c>
      <c r="S145" s="66">
        <f>'Project Database'!W149</f>
        <v>0</v>
      </c>
      <c r="T145" s="66">
        <f>'Project Database'!X149</f>
        <v>0</v>
      </c>
      <c r="U145" s="67">
        <f>'Project Database'!Y149</f>
        <v>0</v>
      </c>
      <c r="V145" s="66">
        <f>IF('Smart Search'!B13=1,IFERROR(1/'Smart Search'!H13,0),0)</f>
        <v>0</v>
      </c>
      <c r="W145" s="66">
        <f>IF('Smart Search'!B13=1,IFERROR(1/'Smart Search'!H13,0),0)</f>
        <v>0</v>
      </c>
      <c r="X145" s="66">
        <f>IF('Smart Search'!C13=1,IFERROR(1/'Smart Search'!H13,0),0)</f>
        <v>0.5</v>
      </c>
      <c r="Y145" s="66">
        <f>IF('Smart Search'!C13=1,IFERROR(1/'Smart Search'!H13,0),0)</f>
        <v>0.5</v>
      </c>
      <c r="Z145" s="66">
        <f>IF('Smart Search'!D13=1,IFERROR(1/'Smart Search'!H13,0),0)</f>
        <v>0</v>
      </c>
      <c r="AA145" s="66">
        <f>IF('Smart Search'!D13=1,IFERROR(1/'Smart Search'!H13,0),0)</f>
        <v>0</v>
      </c>
      <c r="AB145" s="66">
        <f>IF('Smart Search'!E13=1,IFERROR(1/'Smart Search'!H13,0),0)</f>
        <v>0</v>
      </c>
      <c r="AC145" s="66">
        <f>IF('Smart Search'!E13=1,IFERROR(1/'Smart Search'!H13,0),0)</f>
        <v>0</v>
      </c>
      <c r="AD145" s="66">
        <f>IF('Smart Search'!F13=1,IFERROR(1/'Smart Search'!H13,0),0)</f>
        <v>0</v>
      </c>
      <c r="AE145" s="66">
        <f>IF('Smart Search'!F13=1,IFERROR(1/'Smart Search'!H13,0),0)</f>
        <v>0</v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>0</v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>0</v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>0</v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>0</v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>0</v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>0</v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>0</v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>0</v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>0</v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>0</v>
      </c>
      <c r="AP145" s="66">
        <f t="shared" si="28"/>
        <v>0</v>
      </c>
      <c r="AQ145" s="66">
        <f t="shared" si="29"/>
        <v>0</v>
      </c>
      <c r="AR145" s="66">
        <f t="shared" si="30"/>
        <v>0</v>
      </c>
      <c r="AS145" s="66">
        <f t="shared" si="31"/>
        <v>0</v>
      </c>
      <c r="AT145" s="66">
        <f t="shared" si="32"/>
        <v>0</v>
      </c>
      <c r="AU145" s="66">
        <f t="shared" si="33"/>
        <v>0</v>
      </c>
      <c r="AV145" s="66">
        <f t="shared" si="34"/>
        <v>0</v>
      </c>
      <c r="AW145" s="66">
        <f t="shared" si="35"/>
        <v>0</v>
      </c>
      <c r="AX145" s="66">
        <f t="shared" si="36"/>
        <v>0</v>
      </c>
      <c r="AY145" s="66">
        <f t="shared" si="37"/>
        <v>0</v>
      </c>
      <c r="AZ145" s="66">
        <f>'Project Database'!Z149</f>
        <v>0</v>
      </c>
      <c r="BA145" s="66">
        <f>IF(OR(A145="",'Smart Search'!H13=0),"",MAX(0,BE145*BF145*MAX(0,1-BG145)))</f>
        <v>0</v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>0</v>
      </c>
      <c r="BC145" s="66">
        <f>IF('Smart Search'!G13=1,IFERROR(1/'Smart Search'!H13,0),0)</f>
        <v>0</v>
      </c>
      <c r="BD145" s="66">
        <f t="shared" si="38"/>
        <v>0</v>
      </c>
      <c r="BE145" s="66">
        <f t="shared" si="39"/>
        <v>0</v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>0</v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>0</v>
      </c>
      <c r="BH145" s="5" t="str">
        <f>IF(AND('Project Database'!A149&lt;&gt;"",OR('Smart Search'!$L$5="",'Smart Search'!$L$5="All",TRIM('Project Database'!D149)=TRIM('Smart Search'!$L$5)),OR(TRIM('Smart Search'!$L$6)="",TRIM('Smart Search'!$L$6)="All",ISNUMBER(SEARCH(SUBSTITUTE(SUBSTITUTE(SUBSTITUTE(TRIM('Smart Search'!$L$6),"~","~~"),"*","~*"),"?","~?"),'Project Database'!C149))),OR('Smart Search'!$L$7="",AND('Project Database'!E149&lt;&gt;"",'Project Database'!E149='Smart Search'!$L$7)),OR('Smart Search'!$L$8="",'Smart Search'!$L$8="All",TRIM('Project Database'!F149)=TRIM('Smart Search'!$L$8))),IF(BA145="","",BA145+ROW()*0.0000000001),"")</f>
        <v/>
      </c>
      <c r="BI145" s="5" t="str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 t="str">
        <f>IF('Project Database'!A149="","",N('Project Database'!AC149))</f>
        <v/>
      </c>
      <c r="BK145" s="5" t="str">
        <f>IF('Project Database'!A149="","",N('Project Database'!AD149))</f>
        <v/>
      </c>
      <c r="BL145" s="5" t="str">
        <f>IF('Project Database'!A149="","",N('Project Database'!AE149))</f>
        <v/>
      </c>
      <c r="BM145" s="5" t="str">
        <f>IF('Project Database'!A149="","",N('Project Database'!AF149))</f>
        <v/>
      </c>
      <c r="BN145" s="5" t="str">
        <f>IF('Project Database'!A149="","",N('Project Database'!AG149))</f>
        <v/>
      </c>
      <c r="BO145" s="5" t="str">
        <f>IF('Project Database'!A149="","",N('Project Database'!AH149))</f>
        <v/>
      </c>
      <c r="BP145" s="5" t="str">
        <f>IF('Project Database'!A149="","",N('Project Database'!AI149))</f>
        <v/>
      </c>
      <c r="BQ145" s="5" t="str">
        <f>IF('Project Database'!A149="","",N('Project Database'!AJ149))</f>
        <v/>
      </c>
      <c r="BR145" s="5" t="str">
        <f>IF('Project Database'!A149="","",N('Project Database'!AK149))</f>
        <v/>
      </c>
      <c r="BS145" s="5" t="str">
        <f>IF('Project Database'!A149="","",N('Project Database'!AL149))</f>
        <v/>
      </c>
      <c r="BT145" s="5" t="str">
        <f>IF('Project Database'!A149="","",N('Project Database'!AM149))</f>
        <v/>
      </c>
      <c r="BU145" s="5" t="str">
        <f>IF('Project Database'!A149="","",N('Project Database'!AN149))</f>
        <v/>
      </c>
      <c r="BV145" s="5" t="str">
        <f>IF('Project Database'!A149="","",N('Project Database'!AO149))</f>
        <v/>
      </c>
      <c r="BW145" s="5" t="str">
        <f>IF('Project Database'!A149="","",N('Project Database'!AP149))</f>
        <v/>
      </c>
      <c r="BX145" s="5">
        <f t="shared" si="40"/>
        <v>0</v>
      </c>
      <c r="BY145" s="5">
        <f t="shared" si="41"/>
        <v>0</v>
      </c>
    </row>
    <row r="146" spans="1:77" ht="15" customHeight="1" x14ac:dyDescent="0.3">
      <c r="A146" s="66">
        <f>'Project Database'!A150</f>
        <v>0</v>
      </c>
      <c r="B146" s="66">
        <f>'Project Database'!B150</f>
        <v>0</v>
      </c>
      <c r="C146" s="66">
        <f>'Project Database'!G150</f>
        <v>0</v>
      </c>
      <c r="D146" s="66">
        <f>'Project Database'!H150</f>
        <v>0</v>
      </c>
      <c r="E146" s="66">
        <f>'Project Database'!I150</f>
        <v>0</v>
      </c>
      <c r="F146" s="66">
        <f>'Project Database'!J150</f>
        <v>0</v>
      </c>
      <c r="G146" s="66">
        <f>'Project Database'!K150</f>
        <v>0</v>
      </c>
      <c r="H146" s="66">
        <f>'Project Database'!L150</f>
        <v>0</v>
      </c>
      <c r="I146" s="66">
        <f>'Project Database'!M150</f>
        <v>0</v>
      </c>
      <c r="J146" s="66">
        <f>'Project Database'!N150</f>
        <v>0</v>
      </c>
      <c r="K146" s="66">
        <f>'Project Database'!O150</f>
        <v>0</v>
      </c>
      <c r="L146" s="66">
        <f>'Project Database'!P150</f>
        <v>0</v>
      </c>
      <c r="M146" s="66">
        <f>'Project Database'!Q150</f>
        <v>0</v>
      </c>
      <c r="N146" s="66">
        <f>'Project Database'!R150</f>
        <v>0</v>
      </c>
      <c r="O146" s="66">
        <f>'Project Database'!S150</f>
        <v>0</v>
      </c>
      <c r="P146" s="66">
        <f>'Project Database'!T150</f>
        <v>0</v>
      </c>
      <c r="Q146" s="66">
        <f>'Project Database'!U150</f>
        <v>0</v>
      </c>
      <c r="R146" s="66">
        <f>'Project Database'!V150</f>
        <v>0</v>
      </c>
      <c r="S146" s="66">
        <f>'Project Database'!W150</f>
        <v>0</v>
      </c>
      <c r="T146" s="66">
        <f>'Project Database'!X150</f>
        <v>0</v>
      </c>
      <c r="U146" s="67">
        <f>'Project Database'!Y150</f>
        <v>0</v>
      </c>
      <c r="V146" s="66">
        <f>IF('Smart Search'!B13=1,IFERROR(1/'Smart Search'!H13,0),0)</f>
        <v>0</v>
      </c>
      <c r="W146" s="66">
        <f>IF('Smart Search'!B13=1,IFERROR(1/'Smart Search'!H13,0),0)</f>
        <v>0</v>
      </c>
      <c r="X146" s="66">
        <f>IF('Smart Search'!C13=1,IFERROR(1/'Smart Search'!H13,0),0)</f>
        <v>0.5</v>
      </c>
      <c r="Y146" s="66">
        <f>IF('Smart Search'!C13=1,IFERROR(1/'Smart Search'!H13,0),0)</f>
        <v>0.5</v>
      </c>
      <c r="Z146" s="66">
        <f>IF('Smart Search'!D13=1,IFERROR(1/'Smart Search'!H13,0),0)</f>
        <v>0</v>
      </c>
      <c r="AA146" s="66">
        <f>IF('Smart Search'!D13=1,IFERROR(1/'Smart Search'!H13,0),0)</f>
        <v>0</v>
      </c>
      <c r="AB146" s="66">
        <f>IF('Smart Search'!E13=1,IFERROR(1/'Smart Search'!H13,0),0)</f>
        <v>0</v>
      </c>
      <c r="AC146" s="66">
        <f>IF('Smart Search'!E13=1,IFERROR(1/'Smart Search'!H13,0),0)</f>
        <v>0</v>
      </c>
      <c r="AD146" s="66">
        <f>IF('Smart Search'!F13=1,IFERROR(1/'Smart Search'!H13,0),0)</f>
        <v>0</v>
      </c>
      <c r="AE146" s="66">
        <f>IF('Smart Search'!F13=1,IFERROR(1/'Smart Search'!H13,0),0)</f>
        <v>0</v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>0</v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>0</v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>0</v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>0</v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>0</v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>0</v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>0</v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>0</v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>0</v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>0</v>
      </c>
      <c r="AP146" s="66">
        <f t="shared" si="28"/>
        <v>0</v>
      </c>
      <c r="AQ146" s="66">
        <f t="shared" si="29"/>
        <v>0</v>
      </c>
      <c r="AR146" s="66">
        <f t="shared" si="30"/>
        <v>0</v>
      </c>
      <c r="AS146" s="66">
        <f t="shared" si="31"/>
        <v>0</v>
      </c>
      <c r="AT146" s="66">
        <f t="shared" si="32"/>
        <v>0</v>
      </c>
      <c r="AU146" s="66">
        <f t="shared" si="33"/>
        <v>0</v>
      </c>
      <c r="AV146" s="66">
        <f t="shared" si="34"/>
        <v>0</v>
      </c>
      <c r="AW146" s="66">
        <f t="shared" si="35"/>
        <v>0</v>
      </c>
      <c r="AX146" s="66">
        <f t="shared" si="36"/>
        <v>0</v>
      </c>
      <c r="AY146" s="66">
        <f t="shared" si="37"/>
        <v>0</v>
      </c>
      <c r="AZ146" s="66">
        <f>'Project Database'!Z150</f>
        <v>0</v>
      </c>
      <c r="BA146" s="66">
        <f>IF(OR(A146="",'Smart Search'!H13=0),"",MAX(0,BE146*BF146*MAX(0,1-BG146)))</f>
        <v>0</v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>0</v>
      </c>
      <c r="BC146" s="66">
        <f>IF('Smart Search'!G13=1,IFERROR(1/'Smart Search'!H13,0),0)</f>
        <v>0</v>
      </c>
      <c r="BD146" s="66">
        <f t="shared" si="38"/>
        <v>0</v>
      </c>
      <c r="BE146" s="66">
        <f t="shared" si="39"/>
        <v>0</v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>0</v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>0</v>
      </c>
      <c r="BH146" s="5" t="str">
        <f>IF(AND('Project Database'!A150&lt;&gt;"",OR('Smart Search'!$L$5="",'Smart Search'!$L$5="All",TRIM('Project Database'!D150)=TRIM('Smart Search'!$L$5)),OR(TRIM('Smart Search'!$L$6)="",TRIM('Smart Search'!$L$6)="All",ISNUMBER(SEARCH(SUBSTITUTE(SUBSTITUTE(SUBSTITUTE(TRIM('Smart Search'!$L$6),"~","~~"),"*","~*"),"?","~?"),'Project Database'!C150))),OR('Smart Search'!$L$7="",AND('Project Database'!E150&lt;&gt;"",'Project Database'!E150='Smart Search'!$L$7)),OR('Smart Search'!$L$8="",'Smart Search'!$L$8="All",TRIM('Project Database'!F150)=TRIM('Smart Search'!$L$8))),IF(BA146="","",BA146+ROW()*0.0000000001),"")</f>
        <v/>
      </c>
      <c r="BI146" s="5" t="str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 t="str">
        <f>IF('Project Database'!A150="","",N('Project Database'!AC150))</f>
        <v/>
      </c>
      <c r="BK146" s="5" t="str">
        <f>IF('Project Database'!A150="","",N('Project Database'!AD150))</f>
        <v/>
      </c>
      <c r="BL146" s="5" t="str">
        <f>IF('Project Database'!A150="","",N('Project Database'!AE150))</f>
        <v/>
      </c>
      <c r="BM146" s="5" t="str">
        <f>IF('Project Database'!A150="","",N('Project Database'!AF150))</f>
        <v/>
      </c>
      <c r="BN146" s="5" t="str">
        <f>IF('Project Database'!A150="","",N('Project Database'!AG150))</f>
        <v/>
      </c>
      <c r="BO146" s="5" t="str">
        <f>IF('Project Database'!A150="","",N('Project Database'!AH150))</f>
        <v/>
      </c>
      <c r="BP146" s="5" t="str">
        <f>IF('Project Database'!A150="","",N('Project Database'!AI150))</f>
        <v/>
      </c>
      <c r="BQ146" s="5" t="str">
        <f>IF('Project Database'!A150="","",N('Project Database'!AJ150))</f>
        <v/>
      </c>
      <c r="BR146" s="5" t="str">
        <f>IF('Project Database'!A150="","",N('Project Database'!AK150))</f>
        <v/>
      </c>
      <c r="BS146" s="5" t="str">
        <f>IF('Project Database'!A150="","",N('Project Database'!AL150))</f>
        <v/>
      </c>
      <c r="BT146" s="5" t="str">
        <f>IF('Project Database'!A150="","",N('Project Database'!AM150))</f>
        <v/>
      </c>
      <c r="BU146" s="5" t="str">
        <f>IF('Project Database'!A150="","",N('Project Database'!AN150))</f>
        <v/>
      </c>
      <c r="BV146" s="5" t="str">
        <f>IF('Project Database'!A150="","",N('Project Database'!AO150))</f>
        <v/>
      </c>
      <c r="BW146" s="5" t="str">
        <f>IF('Project Database'!A150="","",N('Project Database'!AP150))</f>
        <v/>
      </c>
      <c r="BX146" s="5">
        <f t="shared" si="40"/>
        <v>0</v>
      </c>
      <c r="BY146" s="5">
        <f t="shared" si="41"/>
        <v>0</v>
      </c>
    </row>
    <row r="147" spans="1:77" ht="15" customHeight="1" x14ac:dyDescent="0.3">
      <c r="A147" s="66">
        <f>'Project Database'!A151</f>
        <v>0</v>
      </c>
      <c r="B147" s="66">
        <f>'Project Database'!B151</f>
        <v>0</v>
      </c>
      <c r="C147" s="66">
        <f>'Project Database'!G151</f>
        <v>0</v>
      </c>
      <c r="D147" s="66">
        <f>'Project Database'!H151</f>
        <v>0</v>
      </c>
      <c r="E147" s="66">
        <f>'Project Database'!I151</f>
        <v>0</v>
      </c>
      <c r="F147" s="66">
        <f>'Project Database'!J151</f>
        <v>0</v>
      </c>
      <c r="G147" s="66">
        <f>'Project Database'!K151</f>
        <v>0</v>
      </c>
      <c r="H147" s="66">
        <f>'Project Database'!L151</f>
        <v>0</v>
      </c>
      <c r="I147" s="66">
        <f>'Project Database'!M151</f>
        <v>0</v>
      </c>
      <c r="J147" s="66">
        <f>'Project Database'!N151</f>
        <v>0</v>
      </c>
      <c r="K147" s="66">
        <f>'Project Database'!O151</f>
        <v>0</v>
      </c>
      <c r="L147" s="66">
        <f>'Project Database'!P151</f>
        <v>0</v>
      </c>
      <c r="M147" s="66">
        <f>'Project Database'!Q151</f>
        <v>0</v>
      </c>
      <c r="N147" s="66">
        <f>'Project Database'!R151</f>
        <v>0</v>
      </c>
      <c r="O147" s="66">
        <f>'Project Database'!S151</f>
        <v>0</v>
      </c>
      <c r="P147" s="66">
        <f>'Project Database'!T151</f>
        <v>0</v>
      </c>
      <c r="Q147" s="66">
        <f>'Project Database'!U151</f>
        <v>0</v>
      </c>
      <c r="R147" s="66">
        <f>'Project Database'!V151</f>
        <v>0</v>
      </c>
      <c r="S147" s="66">
        <f>'Project Database'!W151</f>
        <v>0</v>
      </c>
      <c r="T147" s="66">
        <f>'Project Database'!X151</f>
        <v>0</v>
      </c>
      <c r="U147" s="67">
        <f>'Project Database'!Y151</f>
        <v>0</v>
      </c>
      <c r="V147" s="66">
        <f>IF('Smart Search'!B13=1,IFERROR(1/'Smart Search'!H13,0),0)</f>
        <v>0</v>
      </c>
      <c r="W147" s="66">
        <f>IF('Smart Search'!B13=1,IFERROR(1/'Smart Search'!H13,0),0)</f>
        <v>0</v>
      </c>
      <c r="X147" s="66">
        <f>IF('Smart Search'!C13=1,IFERROR(1/'Smart Search'!H13,0),0)</f>
        <v>0.5</v>
      </c>
      <c r="Y147" s="66">
        <f>IF('Smart Search'!C13=1,IFERROR(1/'Smart Search'!H13,0),0)</f>
        <v>0.5</v>
      </c>
      <c r="Z147" s="66">
        <f>IF('Smart Search'!D13=1,IFERROR(1/'Smart Search'!H13,0),0)</f>
        <v>0</v>
      </c>
      <c r="AA147" s="66">
        <f>IF('Smart Search'!D13=1,IFERROR(1/'Smart Search'!H13,0),0)</f>
        <v>0</v>
      </c>
      <c r="AB147" s="66">
        <f>IF('Smart Search'!E13=1,IFERROR(1/'Smart Search'!H13,0),0)</f>
        <v>0</v>
      </c>
      <c r="AC147" s="66">
        <f>IF('Smart Search'!E13=1,IFERROR(1/'Smart Search'!H13,0),0)</f>
        <v>0</v>
      </c>
      <c r="AD147" s="66">
        <f>IF('Smart Search'!F13=1,IFERROR(1/'Smart Search'!H13,0),0)</f>
        <v>0</v>
      </c>
      <c r="AE147" s="66">
        <f>IF('Smart Search'!F13=1,IFERROR(1/'Smart Search'!H13,0),0)</f>
        <v>0</v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>0</v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>0</v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>0</v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>0</v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>0</v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>0</v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>0</v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>0</v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>0</v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>0</v>
      </c>
      <c r="AP147" s="66">
        <f t="shared" si="28"/>
        <v>0</v>
      </c>
      <c r="AQ147" s="66">
        <f t="shared" si="29"/>
        <v>0</v>
      </c>
      <c r="AR147" s="66">
        <f t="shared" si="30"/>
        <v>0</v>
      </c>
      <c r="AS147" s="66">
        <f t="shared" si="31"/>
        <v>0</v>
      </c>
      <c r="AT147" s="66">
        <f t="shared" si="32"/>
        <v>0</v>
      </c>
      <c r="AU147" s="66">
        <f t="shared" si="33"/>
        <v>0</v>
      </c>
      <c r="AV147" s="66">
        <f t="shared" si="34"/>
        <v>0</v>
      </c>
      <c r="AW147" s="66">
        <f t="shared" si="35"/>
        <v>0</v>
      </c>
      <c r="AX147" s="66">
        <f t="shared" si="36"/>
        <v>0</v>
      </c>
      <c r="AY147" s="66">
        <f t="shared" si="37"/>
        <v>0</v>
      </c>
      <c r="AZ147" s="66">
        <f>'Project Database'!Z151</f>
        <v>0</v>
      </c>
      <c r="BA147" s="66">
        <f>IF(OR(A147="",'Smart Search'!H13=0),"",MAX(0,BE147*BF147*MAX(0,1-BG147)))</f>
        <v>0</v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>0</v>
      </c>
      <c r="BC147" s="66">
        <f>IF('Smart Search'!G13=1,IFERROR(1/'Smart Search'!H13,0),0)</f>
        <v>0</v>
      </c>
      <c r="BD147" s="66">
        <f t="shared" si="38"/>
        <v>0</v>
      </c>
      <c r="BE147" s="66">
        <f t="shared" si="39"/>
        <v>0</v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>0</v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>0</v>
      </c>
      <c r="BH147" s="5" t="str">
        <f>IF(AND('Project Database'!A151&lt;&gt;"",OR('Smart Search'!$L$5="",'Smart Search'!$L$5="All",TRIM('Project Database'!D151)=TRIM('Smart Search'!$L$5)),OR(TRIM('Smart Search'!$L$6)="",TRIM('Smart Search'!$L$6)="All",ISNUMBER(SEARCH(SUBSTITUTE(SUBSTITUTE(SUBSTITUTE(TRIM('Smart Search'!$L$6),"~","~~"),"*","~*"),"?","~?"),'Project Database'!C151))),OR('Smart Search'!$L$7="",AND('Project Database'!E151&lt;&gt;"",'Project Database'!E151='Smart Search'!$L$7)),OR('Smart Search'!$L$8="",'Smart Search'!$L$8="All",TRIM('Project Database'!F151)=TRIM('Smart Search'!$L$8))),IF(BA147="","",BA147+ROW()*0.0000000001),"")</f>
        <v/>
      </c>
      <c r="BI147" s="5" t="str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 t="str">
        <f>IF('Project Database'!A151="","",N('Project Database'!AC151))</f>
        <v/>
      </c>
      <c r="BK147" s="5" t="str">
        <f>IF('Project Database'!A151="","",N('Project Database'!AD151))</f>
        <v/>
      </c>
      <c r="BL147" s="5" t="str">
        <f>IF('Project Database'!A151="","",N('Project Database'!AE151))</f>
        <v/>
      </c>
      <c r="BM147" s="5" t="str">
        <f>IF('Project Database'!A151="","",N('Project Database'!AF151))</f>
        <v/>
      </c>
      <c r="BN147" s="5" t="str">
        <f>IF('Project Database'!A151="","",N('Project Database'!AG151))</f>
        <v/>
      </c>
      <c r="BO147" s="5" t="str">
        <f>IF('Project Database'!A151="","",N('Project Database'!AH151))</f>
        <v/>
      </c>
      <c r="BP147" s="5" t="str">
        <f>IF('Project Database'!A151="","",N('Project Database'!AI151))</f>
        <v/>
      </c>
      <c r="BQ147" s="5" t="str">
        <f>IF('Project Database'!A151="","",N('Project Database'!AJ151))</f>
        <v/>
      </c>
      <c r="BR147" s="5" t="str">
        <f>IF('Project Database'!A151="","",N('Project Database'!AK151))</f>
        <v/>
      </c>
      <c r="BS147" s="5" t="str">
        <f>IF('Project Database'!A151="","",N('Project Database'!AL151))</f>
        <v/>
      </c>
      <c r="BT147" s="5" t="str">
        <f>IF('Project Database'!A151="","",N('Project Database'!AM151))</f>
        <v/>
      </c>
      <c r="BU147" s="5" t="str">
        <f>IF('Project Database'!A151="","",N('Project Database'!AN151))</f>
        <v/>
      </c>
      <c r="BV147" s="5" t="str">
        <f>IF('Project Database'!A151="","",N('Project Database'!AO151))</f>
        <v/>
      </c>
      <c r="BW147" s="5" t="str">
        <f>IF('Project Database'!A151="","",N('Project Database'!AP151))</f>
        <v/>
      </c>
      <c r="BX147" s="5">
        <f t="shared" si="40"/>
        <v>0</v>
      </c>
      <c r="BY147" s="5">
        <f t="shared" si="41"/>
        <v>0</v>
      </c>
    </row>
    <row r="148" spans="1:77" ht="15" customHeight="1" x14ac:dyDescent="0.3">
      <c r="A148" s="66">
        <f>'Project Database'!A152</f>
        <v>0</v>
      </c>
      <c r="B148" s="66">
        <f>'Project Database'!B152</f>
        <v>0</v>
      </c>
      <c r="C148" s="66">
        <f>'Project Database'!G152</f>
        <v>0</v>
      </c>
      <c r="D148" s="66">
        <f>'Project Database'!H152</f>
        <v>0</v>
      </c>
      <c r="E148" s="66">
        <f>'Project Database'!I152</f>
        <v>0</v>
      </c>
      <c r="F148" s="66">
        <f>'Project Database'!J152</f>
        <v>0</v>
      </c>
      <c r="G148" s="66">
        <f>'Project Database'!K152</f>
        <v>0</v>
      </c>
      <c r="H148" s="66">
        <f>'Project Database'!L152</f>
        <v>0</v>
      </c>
      <c r="I148" s="66">
        <f>'Project Database'!M152</f>
        <v>0</v>
      </c>
      <c r="J148" s="66">
        <f>'Project Database'!N152</f>
        <v>0</v>
      </c>
      <c r="K148" s="66">
        <f>'Project Database'!O152</f>
        <v>0</v>
      </c>
      <c r="L148" s="66">
        <f>'Project Database'!P152</f>
        <v>0</v>
      </c>
      <c r="M148" s="66">
        <f>'Project Database'!Q152</f>
        <v>0</v>
      </c>
      <c r="N148" s="66">
        <f>'Project Database'!R152</f>
        <v>0</v>
      </c>
      <c r="O148" s="66">
        <f>'Project Database'!S152</f>
        <v>0</v>
      </c>
      <c r="P148" s="66">
        <f>'Project Database'!T152</f>
        <v>0</v>
      </c>
      <c r="Q148" s="66">
        <f>'Project Database'!U152</f>
        <v>0</v>
      </c>
      <c r="R148" s="66">
        <f>'Project Database'!V152</f>
        <v>0</v>
      </c>
      <c r="S148" s="66">
        <f>'Project Database'!W152</f>
        <v>0</v>
      </c>
      <c r="T148" s="66">
        <f>'Project Database'!X152</f>
        <v>0</v>
      </c>
      <c r="U148" s="67">
        <f>'Project Database'!Y152</f>
        <v>0</v>
      </c>
      <c r="V148" s="66">
        <f>IF('Smart Search'!B13=1,IFERROR(1/'Smart Search'!H13,0),0)</f>
        <v>0</v>
      </c>
      <c r="W148" s="66">
        <f>IF('Smart Search'!B13=1,IFERROR(1/'Smart Search'!H13,0),0)</f>
        <v>0</v>
      </c>
      <c r="X148" s="66">
        <f>IF('Smart Search'!C13=1,IFERROR(1/'Smart Search'!H13,0),0)</f>
        <v>0.5</v>
      </c>
      <c r="Y148" s="66">
        <f>IF('Smart Search'!C13=1,IFERROR(1/'Smart Search'!H13,0),0)</f>
        <v>0.5</v>
      </c>
      <c r="Z148" s="66">
        <f>IF('Smart Search'!D13=1,IFERROR(1/'Smart Search'!H13,0),0)</f>
        <v>0</v>
      </c>
      <c r="AA148" s="66">
        <f>IF('Smart Search'!D13=1,IFERROR(1/'Smart Search'!H13,0),0)</f>
        <v>0</v>
      </c>
      <c r="AB148" s="66">
        <f>IF('Smart Search'!E13=1,IFERROR(1/'Smart Search'!H13,0),0)</f>
        <v>0</v>
      </c>
      <c r="AC148" s="66">
        <f>IF('Smart Search'!E13=1,IFERROR(1/'Smart Search'!H13,0),0)</f>
        <v>0</v>
      </c>
      <c r="AD148" s="66">
        <f>IF('Smart Search'!F13=1,IFERROR(1/'Smart Search'!H13,0),0)</f>
        <v>0</v>
      </c>
      <c r="AE148" s="66">
        <f>IF('Smart Search'!F13=1,IFERROR(1/'Smart Search'!H13,0),0)</f>
        <v>0</v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>0</v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>0</v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>0</v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>0</v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>0</v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>0</v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>0</v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>0</v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>0</v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>0</v>
      </c>
      <c r="AP148" s="66">
        <f t="shared" si="28"/>
        <v>0</v>
      </c>
      <c r="AQ148" s="66">
        <f t="shared" si="29"/>
        <v>0</v>
      </c>
      <c r="AR148" s="66">
        <f t="shared" si="30"/>
        <v>0</v>
      </c>
      <c r="AS148" s="66">
        <f t="shared" si="31"/>
        <v>0</v>
      </c>
      <c r="AT148" s="66">
        <f t="shared" si="32"/>
        <v>0</v>
      </c>
      <c r="AU148" s="66">
        <f t="shared" si="33"/>
        <v>0</v>
      </c>
      <c r="AV148" s="66">
        <f t="shared" si="34"/>
        <v>0</v>
      </c>
      <c r="AW148" s="66">
        <f t="shared" si="35"/>
        <v>0</v>
      </c>
      <c r="AX148" s="66">
        <f t="shared" si="36"/>
        <v>0</v>
      </c>
      <c r="AY148" s="66">
        <f t="shared" si="37"/>
        <v>0</v>
      </c>
      <c r="AZ148" s="66">
        <f>'Project Database'!Z152</f>
        <v>0</v>
      </c>
      <c r="BA148" s="66">
        <f>IF(OR(A148="",'Smart Search'!H13=0),"",MAX(0,BE148*BF148*MAX(0,1-BG148)))</f>
        <v>0</v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>0</v>
      </c>
      <c r="BC148" s="66">
        <f>IF('Smart Search'!G13=1,IFERROR(1/'Smart Search'!H13,0),0)</f>
        <v>0</v>
      </c>
      <c r="BD148" s="66">
        <f t="shared" si="38"/>
        <v>0</v>
      </c>
      <c r="BE148" s="66">
        <f t="shared" si="39"/>
        <v>0</v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>0</v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>0</v>
      </c>
      <c r="BH148" s="5" t="str">
        <f>IF(AND('Project Database'!A152&lt;&gt;"",OR('Smart Search'!$L$5="",'Smart Search'!$L$5="All",TRIM('Project Database'!D152)=TRIM('Smart Search'!$L$5)),OR(TRIM('Smart Search'!$L$6)="",TRIM('Smart Search'!$L$6)="All",ISNUMBER(SEARCH(SUBSTITUTE(SUBSTITUTE(SUBSTITUTE(TRIM('Smart Search'!$L$6),"~","~~"),"*","~*"),"?","~?"),'Project Database'!C152))),OR('Smart Search'!$L$7="",AND('Project Database'!E152&lt;&gt;"",'Project Database'!E152='Smart Search'!$L$7)),OR('Smart Search'!$L$8="",'Smart Search'!$L$8="All",TRIM('Project Database'!F152)=TRIM('Smart Search'!$L$8))),IF(BA148="","",BA148+ROW()*0.0000000001),"")</f>
        <v/>
      </c>
      <c r="BI148" s="5" t="str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 t="str">
        <f>IF('Project Database'!A152="","",N('Project Database'!AC152))</f>
        <v/>
      </c>
      <c r="BK148" s="5" t="str">
        <f>IF('Project Database'!A152="","",N('Project Database'!AD152))</f>
        <v/>
      </c>
      <c r="BL148" s="5" t="str">
        <f>IF('Project Database'!A152="","",N('Project Database'!AE152))</f>
        <v/>
      </c>
      <c r="BM148" s="5" t="str">
        <f>IF('Project Database'!A152="","",N('Project Database'!AF152))</f>
        <v/>
      </c>
      <c r="BN148" s="5" t="str">
        <f>IF('Project Database'!A152="","",N('Project Database'!AG152))</f>
        <v/>
      </c>
      <c r="BO148" s="5" t="str">
        <f>IF('Project Database'!A152="","",N('Project Database'!AH152))</f>
        <v/>
      </c>
      <c r="BP148" s="5" t="str">
        <f>IF('Project Database'!A152="","",N('Project Database'!AI152))</f>
        <v/>
      </c>
      <c r="BQ148" s="5" t="str">
        <f>IF('Project Database'!A152="","",N('Project Database'!AJ152))</f>
        <v/>
      </c>
      <c r="BR148" s="5" t="str">
        <f>IF('Project Database'!A152="","",N('Project Database'!AK152))</f>
        <v/>
      </c>
      <c r="BS148" s="5" t="str">
        <f>IF('Project Database'!A152="","",N('Project Database'!AL152))</f>
        <v/>
      </c>
      <c r="BT148" s="5" t="str">
        <f>IF('Project Database'!A152="","",N('Project Database'!AM152))</f>
        <v/>
      </c>
      <c r="BU148" s="5" t="str">
        <f>IF('Project Database'!A152="","",N('Project Database'!AN152))</f>
        <v/>
      </c>
      <c r="BV148" s="5" t="str">
        <f>IF('Project Database'!A152="","",N('Project Database'!AO152))</f>
        <v/>
      </c>
      <c r="BW148" s="5" t="str">
        <f>IF('Project Database'!A152="","",N('Project Database'!AP152))</f>
        <v/>
      </c>
      <c r="BX148" s="5">
        <f t="shared" si="40"/>
        <v>0</v>
      </c>
      <c r="BY148" s="5">
        <f t="shared" si="41"/>
        <v>0</v>
      </c>
    </row>
    <row r="149" spans="1:77" ht="15" customHeight="1" x14ac:dyDescent="0.3">
      <c r="A149" s="66">
        <f>'Project Database'!A153</f>
        <v>0</v>
      </c>
      <c r="B149" s="66">
        <f>'Project Database'!B153</f>
        <v>0</v>
      </c>
      <c r="C149" s="66">
        <f>'Project Database'!G153</f>
        <v>0</v>
      </c>
      <c r="D149" s="66">
        <f>'Project Database'!H153</f>
        <v>0</v>
      </c>
      <c r="E149" s="66">
        <f>'Project Database'!I153</f>
        <v>0</v>
      </c>
      <c r="F149" s="66">
        <f>'Project Database'!J153</f>
        <v>0</v>
      </c>
      <c r="G149" s="66">
        <f>'Project Database'!K153</f>
        <v>0</v>
      </c>
      <c r="H149" s="66">
        <f>'Project Database'!L153</f>
        <v>0</v>
      </c>
      <c r="I149" s="66">
        <f>'Project Database'!M153</f>
        <v>0</v>
      </c>
      <c r="J149" s="66">
        <f>'Project Database'!N153</f>
        <v>0</v>
      </c>
      <c r="K149" s="66">
        <f>'Project Database'!O153</f>
        <v>0</v>
      </c>
      <c r="L149" s="66">
        <f>'Project Database'!P153</f>
        <v>0</v>
      </c>
      <c r="M149" s="66">
        <f>'Project Database'!Q153</f>
        <v>0</v>
      </c>
      <c r="N149" s="66">
        <f>'Project Database'!R153</f>
        <v>0</v>
      </c>
      <c r="O149" s="66">
        <f>'Project Database'!S153</f>
        <v>0</v>
      </c>
      <c r="P149" s="66">
        <f>'Project Database'!T153</f>
        <v>0</v>
      </c>
      <c r="Q149" s="66">
        <f>'Project Database'!U153</f>
        <v>0</v>
      </c>
      <c r="R149" s="66">
        <f>'Project Database'!V153</f>
        <v>0</v>
      </c>
      <c r="S149" s="66">
        <f>'Project Database'!W153</f>
        <v>0</v>
      </c>
      <c r="T149" s="66">
        <f>'Project Database'!X153</f>
        <v>0</v>
      </c>
      <c r="U149" s="67">
        <f>'Project Database'!Y153</f>
        <v>0</v>
      </c>
      <c r="V149" s="66">
        <f>IF('Smart Search'!B13=1,IFERROR(1/'Smart Search'!H13,0),0)</f>
        <v>0</v>
      </c>
      <c r="W149" s="66">
        <f>IF('Smart Search'!B13=1,IFERROR(1/'Smart Search'!H13,0),0)</f>
        <v>0</v>
      </c>
      <c r="X149" s="66">
        <f>IF('Smart Search'!C13=1,IFERROR(1/'Smart Search'!H13,0),0)</f>
        <v>0.5</v>
      </c>
      <c r="Y149" s="66">
        <f>IF('Smart Search'!C13=1,IFERROR(1/'Smart Search'!H13,0),0)</f>
        <v>0.5</v>
      </c>
      <c r="Z149" s="66">
        <f>IF('Smart Search'!D13=1,IFERROR(1/'Smart Search'!H13,0),0)</f>
        <v>0</v>
      </c>
      <c r="AA149" s="66">
        <f>IF('Smart Search'!D13=1,IFERROR(1/'Smart Search'!H13,0),0)</f>
        <v>0</v>
      </c>
      <c r="AB149" s="66">
        <f>IF('Smart Search'!E13=1,IFERROR(1/'Smart Search'!H13,0),0)</f>
        <v>0</v>
      </c>
      <c r="AC149" s="66">
        <f>IF('Smart Search'!E13=1,IFERROR(1/'Smart Search'!H13,0),0)</f>
        <v>0</v>
      </c>
      <c r="AD149" s="66">
        <f>IF('Smart Search'!F13=1,IFERROR(1/'Smart Search'!H13,0),0)</f>
        <v>0</v>
      </c>
      <c r="AE149" s="66">
        <f>IF('Smart Search'!F13=1,IFERROR(1/'Smart Search'!H13,0),0)</f>
        <v>0</v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>0</v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>0</v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>0</v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>0</v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>0</v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>0</v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>0</v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>0</v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>0</v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>0</v>
      </c>
      <c r="AP149" s="66">
        <f t="shared" si="28"/>
        <v>0</v>
      </c>
      <c r="AQ149" s="66">
        <f t="shared" si="29"/>
        <v>0</v>
      </c>
      <c r="AR149" s="66">
        <f t="shared" si="30"/>
        <v>0</v>
      </c>
      <c r="AS149" s="66">
        <f t="shared" si="31"/>
        <v>0</v>
      </c>
      <c r="AT149" s="66">
        <f t="shared" si="32"/>
        <v>0</v>
      </c>
      <c r="AU149" s="66">
        <f t="shared" si="33"/>
        <v>0</v>
      </c>
      <c r="AV149" s="66">
        <f t="shared" si="34"/>
        <v>0</v>
      </c>
      <c r="AW149" s="66">
        <f t="shared" si="35"/>
        <v>0</v>
      </c>
      <c r="AX149" s="66">
        <f t="shared" si="36"/>
        <v>0</v>
      </c>
      <c r="AY149" s="66">
        <f t="shared" si="37"/>
        <v>0</v>
      </c>
      <c r="AZ149" s="66">
        <f>'Project Database'!Z153</f>
        <v>0</v>
      </c>
      <c r="BA149" s="66">
        <f>IF(OR(A149="",'Smart Search'!H13=0),"",MAX(0,BE149*BF149*MAX(0,1-BG149)))</f>
        <v>0</v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>0</v>
      </c>
      <c r="BC149" s="66">
        <f>IF('Smart Search'!G13=1,IFERROR(1/'Smart Search'!H13,0),0)</f>
        <v>0</v>
      </c>
      <c r="BD149" s="66">
        <f t="shared" si="38"/>
        <v>0</v>
      </c>
      <c r="BE149" s="66">
        <f t="shared" si="39"/>
        <v>0</v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>0</v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>0</v>
      </c>
      <c r="BH149" s="5" t="str">
        <f>IF(AND('Project Database'!A153&lt;&gt;"",OR('Smart Search'!$L$5="",'Smart Search'!$L$5="All",TRIM('Project Database'!D153)=TRIM('Smart Search'!$L$5)),OR(TRIM('Smart Search'!$L$6)="",TRIM('Smart Search'!$L$6)="All",ISNUMBER(SEARCH(SUBSTITUTE(SUBSTITUTE(SUBSTITUTE(TRIM('Smart Search'!$L$6),"~","~~"),"*","~*"),"?","~?"),'Project Database'!C153))),OR('Smart Search'!$L$7="",AND('Project Database'!E153&lt;&gt;"",'Project Database'!E153='Smart Search'!$L$7)),OR('Smart Search'!$L$8="",'Smart Search'!$L$8="All",TRIM('Project Database'!F153)=TRIM('Smart Search'!$L$8))),IF(BA149="","",BA149+ROW()*0.0000000001),"")</f>
        <v/>
      </c>
      <c r="BI149" s="5" t="str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 t="str">
        <f>IF('Project Database'!A153="","",N('Project Database'!AC153))</f>
        <v/>
      </c>
      <c r="BK149" s="5" t="str">
        <f>IF('Project Database'!A153="","",N('Project Database'!AD153))</f>
        <v/>
      </c>
      <c r="BL149" s="5" t="str">
        <f>IF('Project Database'!A153="","",N('Project Database'!AE153))</f>
        <v/>
      </c>
      <c r="BM149" s="5" t="str">
        <f>IF('Project Database'!A153="","",N('Project Database'!AF153))</f>
        <v/>
      </c>
      <c r="BN149" s="5" t="str">
        <f>IF('Project Database'!A153="","",N('Project Database'!AG153))</f>
        <v/>
      </c>
      <c r="BO149" s="5" t="str">
        <f>IF('Project Database'!A153="","",N('Project Database'!AH153))</f>
        <v/>
      </c>
      <c r="BP149" s="5" t="str">
        <f>IF('Project Database'!A153="","",N('Project Database'!AI153))</f>
        <v/>
      </c>
      <c r="BQ149" s="5" t="str">
        <f>IF('Project Database'!A153="","",N('Project Database'!AJ153))</f>
        <v/>
      </c>
      <c r="BR149" s="5" t="str">
        <f>IF('Project Database'!A153="","",N('Project Database'!AK153))</f>
        <v/>
      </c>
      <c r="BS149" s="5" t="str">
        <f>IF('Project Database'!A153="","",N('Project Database'!AL153))</f>
        <v/>
      </c>
      <c r="BT149" s="5" t="str">
        <f>IF('Project Database'!A153="","",N('Project Database'!AM153))</f>
        <v/>
      </c>
      <c r="BU149" s="5" t="str">
        <f>IF('Project Database'!A153="","",N('Project Database'!AN153))</f>
        <v/>
      </c>
      <c r="BV149" s="5" t="str">
        <f>IF('Project Database'!A153="","",N('Project Database'!AO153))</f>
        <v/>
      </c>
      <c r="BW149" s="5" t="str">
        <f>IF('Project Database'!A153="","",N('Project Database'!AP153))</f>
        <v/>
      </c>
      <c r="BX149" s="5">
        <f t="shared" si="40"/>
        <v>0</v>
      </c>
      <c r="BY149" s="5">
        <f t="shared" si="41"/>
        <v>0</v>
      </c>
    </row>
    <row r="150" spans="1:77" ht="15" customHeight="1" x14ac:dyDescent="0.3">
      <c r="A150" s="66">
        <f>'Project Database'!A154</f>
        <v>0</v>
      </c>
      <c r="B150" s="66">
        <f>'Project Database'!B154</f>
        <v>0</v>
      </c>
      <c r="C150" s="66">
        <f>'Project Database'!G154</f>
        <v>0</v>
      </c>
      <c r="D150" s="66">
        <f>'Project Database'!H154</f>
        <v>0</v>
      </c>
      <c r="E150" s="66">
        <f>'Project Database'!I154</f>
        <v>0</v>
      </c>
      <c r="F150" s="66">
        <f>'Project Database'!J154</f>
        <v>0</v>
      </c>
      <c r="G150" s="66">
        <f>'Project Database'!K154</f>
        <v>0</v>
      </c>
      <c r="H150" s="66">
        <f>'Project Database'!L154</f>
        <v>0</v>
      </c>
      <c r="I150" s="66">
        <f>'Project Database'!M154</f>
        <v>0</v>
      </c>
      <c r="J150" s="66">
        <f>'Project Database'!N154</f>
        <v>0</v>
      </c>
      <c r="K150" s="66">
        <f>'Project Database'!O154</f>
        <v>0</v>
      </c>
      <c r="L150" s="66">
        <f>'Project Database'!P154</f>
        <v>0</v>
      </c>
      <c r="M150" s="66">
        <f>'Project Database'!Q154</f>
        <v>0</v>
      </c>
      <c r="N150" s="66">
        <f>'Project Database'!R154</f>
        <v>0</v>
      </c>
      <c r="O150" s="66">
        <f>'Project Database'!S154</f>
        <v>0</v>
      </c>
      <c r="P150" s="66">
        <f>'Project Database'!T154</f>
        <v>0</v>
      </c>
      <c r="Q150" s="66">
        <f>'Project Database'!U154</f>
        <v>0</v>
      </c>
      <c r="R150" s="66">
        <f>'Project Database'!V154</f>
        <v>0</v>
      </c>
      <c r="S150" s="66">
        <f>'Project Database'!W154</f>
        <v>0</v>
      </c>
      <c r="T150" s="66">
        <f>'Project Database'!X154</f>
        <v>0</v>
      </c>
      <c r="U150" s="67">
        <f>'Project Database'!Y154</f>
        <v>0</v>
      </c>
      <c r="V150" s="66">
        <f>IF('Smart Search'!B13=1,IFERROR(1/'Smart Search'!H13,0),0)</f>
        <v>0</v>
      </c>
      <c r="W150" s="66">
        <f>IF('Smart Search'!B13=1,IFERROR(1/'Smart Search'!H13,0),0)</f>
        <v>0</v>
      </c>
      <c r="X150" s="66">
        <f>IF('Smart Search'!C13=1,IFERROR(1/'Smart Search'!H13,0),0)</f>
        <v>0.5</v>
      </c>
      <c r="Y150" s="66">
        <f>IF('Smart Search'!C13=1,IFERROR(1/'Smart Search'!H13,0),0)</f>
        <v>0.5</v>
      </c>
      <c r="Z150" s="66">
        <f>IF('Smart Search'!D13=1,IFERROR(1/'Smart Search'!H13,0),0)</f>
        <v>0</v>
      </c>
      <c r="AA150" s="66">
        <f>IF('Smart Search'!D13=1,IFERROR(1/'Smart Search'!H13,0),0)</f>
        <v>0</v>
      </c>
      <c r="AB150" s="66">
        <f>IF('Smart Search'!E13=1,IFERROR(1/'Smart Search'!H13,0),0)</f>
        <v>0</v>
      </c>
      <c r="AC150" s="66">
        <f>IF('Smart Search'!E13=1,IFERROR(1/'Smart Search'!H13,0),0)</f>
        <v>0</v>
      </c>
      <c r="AD150" s="66">
        <f>IF('Smart Search'!F13=1,IFERROR(1/'Smart Search'!H13,0),0)</f>
        <v>0</v>
      </c>
      <c r="AE150" s="66">
        <f>IF('Smart Search'!F13=1,IFERROR(1/'Smart Search'!H13,0),0)</f>
        <v>0</v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>0</v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>0</v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>0</v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>0</v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>0</v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>0</v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>0</v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>0</v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>0</v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>0</v>
      </c>
      <c r="AP150" s="66">
        <f t="shared" si="28"/>
        <v>0</v>
      </c>
      <c r="AQ150" s="66">
        <f t="shared" si="29"/>
        <v>0</v>
      </c>
      <c r="AR150" s="66">
        <f t="shared" si="30"/>
        <v>0</v>
      </c>
      <c r="AS150" s="66">
        <f t="shared" si="31"/>
        <v>0</v>
      </c>
      <c r="AT150" s="66">
        <f t="shared" si="32"/>
        <v>0</v>
      </c>
      <c r="AU150" s="66">
        <f t="shared" si="33"/>
        <v>0</v>
      </c>
      <c r="AV150" s="66">
        <f t="shared" si="34"/>
        <v>0</v>
      </c>
      <c r="AW150" s="66">
        <f t="shared" si="35"/>
        <v>0</v>
      </c>
      <c r="AX150" s="66">
        <f t="shared" si="36"/>
        <v>0</v>
      </c>
      <c r="AY150" s="66">
        <f t="shared" si="37"/>
        <v>0</v>
      </c>
      <c r="AZ150" s="66">
        <f>'Project Database'!Z154</f>
        <v>0</v>
      </c>
      <c r="BA150" s="66">
        <f>IF(OR(A150="",'Smart Search'!H13=0),"",MAX(0,BE150*BF150*MAX(0,1-BG150)))</f>
        <v>0</v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>0</v>
      </c>
      <c r="BC150" s="66">
        <f>IF('Smart Search'!G13=1,IFERROR(1/'Smart Search'!H13,0),0)</f>
        <v>0</v>
      </c>
      <c r="BD150" s="66">
        <f t="shared" si="38"/>
        <v>0</v>
      </c>
      <c r="BE150" s="66">
        <f t="shared" si="39"/>
        <v>0</v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>0</v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>0</v>
      </c>
      <c r="BH150" s="5" t="str">
        <f>IF(AND('Project Database'!A154&lt;&gt;"",OR('Smart Search'!$L$5="",'Smart Search'!$L$5="All",TRIM('Project Database'!D154)=TRIM('Smart Search'!$L$5)),OR(TRIM('Smart Search'!$L$6)="",TRIM('Smart Search'!$L$6)="All",ISNUMBER(SEARCH(SUBSTITUTE(SUBSTITUTE(SUBSTITUTE(TRIM('Smart Search'!$L$6),"~","~~"),"*","~*"),"?","~?"),'Project Database'!C154))),OR('Smart Search'!$L$7="",AND('Project Database'!E154&lt;&gt;"",'Project Database'!E154='Smart Search'!$L$7)),OR('Smart Search'!$L$8="",'Smart Search'!$L$8="All",TRIM('Project Database'!F154)=TRIM('Smart Search'!$L$8))),IF(BA150="","",BA150+ROW()*0.0000000001),"")</f>
        <v/>
      </c>
      <c r="BI150" s="5" t="str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 t="str">
        <f>IF('Project Database'!A154="","",N('Project Database'!AC154))</f>
        <v/>
      </c>
      <c r="BK150" s="5" t="str">
        <f>IF('Project Database'!A154="","",N('Project Database'!AD154))</f>
        <v/>
      </c>
      <c r="BL150" s="5" t="str">
        <f>IF('Project Database'!A154="","",N('Project Database'!AE154))</f>
        <v/>
      </c>
      <c r="BM150" s="5" t="str">
        <f>IF('Project Database'!A154="","",N('Project Database'!AF154))</f>
        <v/>
      </c>
      <c r="BN150" s="5" t="str">
        <f>IF('Project Database'!A154="","",N('Project Database'!AG154))</f>
        <v/>
      </c>
      <c r="BO150" s="5" t="str">
        <f>IF('Project Database'!A154="","",N('Project Database'!AH154))</f>
        <v/>
      </c>
      <c r="BP150" s="5" t="str">
        <f>IF('Project Database'!A154="","",N('Project Database'!AI154))</f>
        <v/>
      </c>
      <c r="BQ150" s="5" t="str">
        <f>IF('Project Database'!A154="","",N('Project Database'!AJ154))</f>
        <v/>
      </c>
      <c r="BR150" s="5" t="str">
        <f>IF('Project Database'!A154="","",N('Project Database'!AK154))</f>
        <v/>
      </c>
      <c r="BS150" s="5" t="str">
        <f>IF('Project Database'!A154="","",N('Project Database'!AL154))</f>
        <v/>
      </c>
      <c r="BT150" s="5" t="str">
        <f>IF('Project Database'!A154="","",N('Project Database'!AM154))</f>
        <v/>
      </c>
      <c r="BU150" s="5" t="str">
        <f>IF('Project Database'!A154="","",N('Project Database'!AN154))</f>
        <v/>
      </c>
      <c r="BV150" s="5" t="str">
        <f>IF('Project Database'!A154="","",N('Project Database'!AO154))</f>
        <v/>
      </c>
      <c r="BW150" s="5" t="str">
        <f>IF('Project Database'!A154="","",N('Project Database'!AP154))</f>
        <v/>
      </c>
      <c r="BX150" s="5">
        <f t="shared" si="40"/>
        <v>0</v>
      </c>
      <c r="BY150" s="5">
        <f t="shared" si="41"/>
        <v>0</v>
      </c>
    </row>
    <row r="151" spans="1:77" ht="15" customHeight="1" x14ac:dyDescent="0.3">
      <c r="A151" s="66">
        <f>'Project Database'!A155</f>
        <v>0</v>
      </c>
      <c r="B151" s="66">
        <f>'Project Database'!B155</f>
        <v>0</v>
      </c>
      <c r="C151" s="66">
        <f>'Project Database'!G155</f>
        <v>0</v>
      </c>
      <c r="D151" s="66">
        <f>'Project Database'!H155</f>
        <v>0</v>
      </c>
      <c r="E151" s="66">
        <f>'Project Database'!I155</f>
        <v>0</v>
      </c>
      <c r="F151" s="66">
        <f>'Project Database'!J155</f>
        <v>0</v>
      </c>
      <c r="G151" s="66">
        <f>'Project Database'!K155</f>
        <v>0</v>
      </c>
      <c r="H151" s="66">
        <f>'Project Database'!L155</f>
        <v>0</v>
      </c>
      <c r="I151" s="66">
        <f>'Project Database'!M155</f>
        <v>0</v>
      </c>
      <c r="J151" s="66">
        <f>'Project Database'!N155</f>
        <v>0</v>
      </c>
      <c r="K151" s="66">
        <f>'Project Database'!O155</f>
        <v>0</v>
      </c>
      <c r="L151" s="66">
        <f>'Project Database'!P155</f>
        <v>0</v>
      </c>
      <c r="M151" s="66">
        <f>'Project Database'!Q155</f>
        <v>0</v>
      </c>
      <c r="N151" s="66">
        <f>'Project Database'!R155</f>
        <v>0</v>
      </c>
      <c r="O151" s="66">
        <f>'Project Database'!S155</f>
        <v>0</v>
      </c>
      <c r="P151" s="66">
        <f>'Project Database'!T155</f>
        <v>0</v>
      </c>
      <c r="Q151" s="66">
        <f>'Project Database'!U155</f>
        <v>0</v>
      </c>
      <c r="R151" s="66">
        <f>'Project Database'!V155</f>
        <v>0</v>
      </c>
      <c r="S151" s="66">
        <f>'Project Database'!W155</f>
        <v>0</v>
      </c>
      <c r="T151" s="66">
        <f>'Project Database'!X155</f>
        <v>0</v>
      </c>
      <c r="U151" s="67">
        <f>'Project Database'!Y155</f>
        <v>0</v>
      </c>
      <c r="V151" s="66">
        <f>IF('Smart Search'!B13=1,IFERROR(1/'Smart Search'!H13,0),0)</f>
        <v>0</v>
      </c>
      <c r="W151" s="66">
        <f>IF('Smart Search'!B13=1,IFERROR(1/'Smart Search'!H13,0),0)</f>
        <v>0</v>
      </c>
      <c r="X151" s="66">
        <f>IF('Smart Search'!C13=1,IFERROR(1/'Smart Search'!H13,0),0)</f>
        <v>0.5</v>
      </c>
      <c r="Y151" s="66">
        <f>IF('Smart Search'!C13=1,IFERROR(1/'Smart Search'!H13,0),0)</f>
        <v>0.5</v>
      </c>
      <c r="Z151" s="66">
        <f>IF('Smart Search'!D13=1,IFERROR(1/'Smart Search'!H13,0),0)</f>
        <v>0</v>
      </c>
      <c r="AA151" s="66">
        <f>IF('Smart Search'!D13=1,IFERROR(1/'Smart Search'!H13,0),0)</f>
        <v>0</v>
      </c>
      <c r="AB151" s="66">
        <f>IF('Smart Search'!E13=1,IFERROR(1/'Smart Search'!H13,0),0)</f>
        <v>0</v>
      </c>
      <c r="AC151" s="66">
        <f>IF('Smart Search'!E13=1,IFERROR(1/'Smart Search'!H13,0),0)</f>
        <v>0</v>
      </c>
      <c r="AD151" s="66">
        <f>IF('Smart Search'!F13=1,IFERROR(1/'Smart Search'!H13,0),0)</f>
        <v>0</v>
      </c>
      <c r="AE151" s="66">
        <f>IF('Smart Search'!F13=1,IFERROR(1/'Smart Search'!H13,0),0)</f>
        <v>0</v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>0</v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>0</v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>0</v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>0</v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>0</v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>0</v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>0</v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>0</v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>0</v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>0</v>
      </c>
      <c r="AP151" s="66">
        <f t="shared" si="28"/>
        <v>0</v>
      </c>
      <c r="AQ151" s="66">
        <f t="shared" si="29"/>
        <v>0</v>
      </c>
      <c r="AR151" s="66">
        <f t="shared" si="30"/>
        <v>0</v>
      </c>
      <c r="AS151" s="66">
        <f t="shared" si="31"/>
        <v>0</v>
      </c>
      <c r="AT151" s="66">
        <f t="shared" si="32"/>
        <v>0</v>
      </c>
      <c r="AU151" s="66">
        <f t="shared" si="33"/>
        <v>0</v>
      </c>
      <c r="AV151" s="66">
        <f t="shared" si="34"/>
        <v>0</v>
      </c>
      <c r="AW151" s="66">
        <f t="shared" si="35"/>
        <v>0</v>
      </c>
      <c r="AX151" s="66">
        <f t="shared" si="36"/>
        <v>0</v>
      </c>
      <c r="AY151" s="66">
        <f t="shared" si="37"/>
        <v>0</v>
      </c>
      <c r="AZ151" s="66">
        <f>'Project Database'!Z155</f>
        <v>0</v>
      </c>
      <c r="BA151" s="66">
        <f>IF(OR(A151="",'Smart Search'!H13=0),"",MAX(0,BE151*BF151*MAX(0,1-BG151)))</f>
        <v>0</v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>0</v>
      </c>
      <c r="BC151" s="66">
        <f>IF('Smart Search'!G13=1,IFERROR(1/'Smart Search'!H13,0),0)</f>
        <v>0</v>
      </c>
      <c r="BD151" s="66">
        <f t="shared" si="38"/>
        <v>0</v>
      </c>
      <c r="BE151" s="66">
        <f t="shared" si="39"/>
        <v>0</v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>0</v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>0</v>
      </c>
      <c r="BH151" s="5" t="str">
        <f>IF(AND('Project Database'!A155&lt;&gt;"",OR('Smart Search'!$L$5="",'Smart Search'!$L$5="All",TRIM('Project Database'!D155)=TRIM('Smart Search'!$L$5)),OR(TRIM('Smart Search'!$L$6)="",TRIM('Smart Search'!$L$6)="All",ISNUMBER(SEARCH(SUBSTITUTE(SUBSTITUTE(SUBSTITUTE(TRIM('Smart Search'!$L$6),"~","~~"),"*","~*"),"?","~?"),'Project Database'!C155))),OR('Smart Search'!$L$7="",AND('Project Database'!E155&lt;&gt;"",'Project Database'!E155='Smart Search'!$L$7)),OR('Smart Search'!$L$8="",'Smart Search'!$L$8="All",TRIM('Project Database'!F155)=TRIM('Smart Search'!$L$8))),IF(BA151="","",BA151+ROW()*0.0000000001),"")</f>
        <v/>
      </c>
      <c r="BI151" s="5" t="str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 t="str">
        <f>IF('Project Database'!A155="","",N('Project Database'!AC155))</f>
        <v/>
      </c>
      <c r="BK151" s="5" t="str">
        <f>IF('Project Database'!A155="","",N('Project Database'!AD155))</f>
        <v/>
      </c>
      <c r="BL151" s="5" t="str">
        <f>IF('Project Database'!A155="","",N('Project Database'!AE155))</f>
        <v/>
      </c>
      <c r="BM151" s="5" t="str">
        <f>IF('Project Database'!A155="","",N('Project Database'!AF155))</f>
        <v/>
      </c>
      <c r="BN151" s="5" t="str">
        <f>IF('Project Database'!A155="","",N('Project Database'!AG155))</f>
        <v/>
      </c>
      <c r="BO151" s="5" t="str">
        <f>IF('Project Database'!A155="","",N('Project Database'!AH155))</f>
        <v/>
      </c>
      <c r="BP151" s="5" t="str">
        <f>IF('Project Database'!A155="","",N('Project Database'!AI155))</f>
        <v/>
      </c>
      <c r="BQ151" s="5" t="str">
        <f>IF('Project Database'!A155="","",N('Project Database'!AJ155))</f>
        <v/>
      </c>
      <c r="BR151" s="5" t="str">
        <f>IF('Project Database'!A155="","",N('Project Database'!AK155))</f>
        <v/>
      </c>
      <c r="BS151" s="5" t="str">
        <f>IF('Project Database'!A155="","",N('Project Database'!AL155))</f>
        <v/>
      </c>
      <c r="BT151" s="5" t="str">
        <f>IF('Project Database'!A155="","",N('Project Database'!AM155))</f>
        <v/>
      </c>
      <c r="BU151" s="5" t="str">
        <f>IF('Project Database'!A155="","",N('Project Database'!AN155))</f>
        <v/>
      </c>
      <c r="BV151" s="5" t="str">
        <f>IF('Project Database'!A155="","",N('Project Database'!AO155))</f>
        <v/>
      </c>
      <c r="BW151" s="5" t="str">
        <f>IF('Project Database'!A155="","",N('Project Database'!AP155))</f>
        <v/>
      </c>
      <c r="BX151" s="5">
        <f t="shared" si="40"/>
        <v>0</v>
      </c>
      <c r="BY151" s="5">
        <f t="shared" si="41"/>
        <v>0</v>
      </c>
    </row>
    <row r="152" spans="1:77" ht="15" customHeight="1" x14ac:dyDescent="0.3">
      <c r="A152" s="66">
        <f>'Project Database'!A156</f>
        <v>0</v>
      </c>
      <c r="B152" s="66">
        <f>'Project Database'!B156</f>
        <v>0</v>
      </c>
      <c r="C152" s="66">
        <f>'Project Database'!G156</f>
        <v>0</v>
      </c>
      <c r="D152" s="66">
        <f>'Project Database'!H156</f>
        <v>0</v>
      </c>
      <c r="E152" s="66">
        <f>'Project Database'!I156</f>
        <v>0</v>
      </c>
      <c r="F152" s="66">
        <f>'Project Database'!J156</f>
        <v>0</v>
      </c>
      <c r="G152" s="66">
        <f>'Project Database'!K156</f>
        <v>0</v>
      </c>
      <c r="H152" s="66">
        <f>'Project Database'!L156</f>
        <v>0</v>
      </c>
      <c r="I152" s="66">
        <f>'Project Database'!M156</f>
        <v>0</v>
      </c>
      <c r="J152" s="66">
        <f>'Project Database'!N156</f>
        <v>0</v>
      </c>
      <c r="K152" s="66">
        <f>'Project Database'!O156</f>
        <v>0</v>
      </c>
      <c r="L152" s="66">
        <f>'Project Database'!P156</f>
        <v>0</v>
      </c>
      <c r="M152" s="66">
        <f>'Project Database'!Q156</f>
        <v>0</v>
      </c>
      <c r="N152" s="66">
        <f>'Project Database'!R156</f>
        <v>0</v>
      </c>
      <c r="O152" s="66">
        <f>'Project Database'!S156</f>
        <v>0</v>
      </c>
      <c r="P152" s="66">
        <f>'Project Database'!T156</f>
        <v>0</v>
      </c>
      <c r="Q152" s="66">
        <f>'Project Database'!U156</f>
        <v>0</v>
      </c>
      <c r="R152" s="66">
        <f>'Project Database'!V156</f>
        <v>0</v>
      </c>
      <c r="S152" s="66">
        <f>'Project Database'!W156</f>
        <v>0</v>
      </c>
      <c r="T152" s="66">
        <f>'Project Database'!X156</f>
        <v>0</v>
      </c>
      <c r="U152" s="67">
        <f>'Project Database'!Y156</f>
        <v>0</v>
      </c>
      <c r="V152" s="66">
        <f>IF('Smart Search'!B13=1,IFERROR(1/'Smart Search'!H13,0),0)</f>
        <v>0</v>
      </c>
      <c r="W152" s="66">
        <f>IF('Smart Search'!B13=1,IFERROR(1/'Smart Search'!H13,0),0)</f>
        <v>0</v>
      </c>
      <c r="X152" s="66">
        <f>IF('Smart Search'!C13=1,IFERROR(1/'Smart Search'!H13,0),0)</f>
        <v>0.5</v>
      </c>
      <c r="Y152" s="66">
        <f>IF('Smart Search'!C13=1,IFERROR(1/'Smart Search'!H13,0),0)</f>
        <v>0.5</v>
      </c>
      <c r="Z152" s="66">
        <f>IF('Smart Search'!D13=1,IFERROR(1/'Smart Search'!H13,0),0)</f>
        <v>0</v>
      </c>
      <c r="AA152" s="66">
        <f>IF('Smart Search'!D13=1,IFERROR(1/'Smart Search'!H13,0),0)</f>
        <v>0</v>
      </c>
      <c r="AB152" s="66">
        <f>IF('Smart Search'!E13=1,IFERROR(1/'Smart Search'!H13,0),0)</f>
        <v>0</v>
      </c>
      <c r="AC152" s="66">
        <f>IF('Smart Search'!E13=1,IFERROR(1/'Smart Search'!H13,0),0)</f>
        <v>0</v>
      </c>
      <c r="AD152" s="66">
        <f>IF('Smart Search'!F13=1,IFERROR(1/'Smart Search'!H13,0),0)</f>
        <v>0</v>
      </c>
      <c r="AE152" s="66">
        <f>IF('Smart Search'!F13=1,IFERROR(1/'Smart Search'!H13,0),0)</f>
        <v>0</v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>0</v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>0</v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>0</v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>0</v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>0</v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>0</v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>0</v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>0</v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>0</v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>0</v>
      </c>
      <c r="AP152" s="66">
        <f t="shared" si="28"/>
        <v>0</v>
      </c>
      <c r="AQ152" s="66">
        <f t="shared" si="29"/>
        <v>0</v>
      </c>
      <c r="AR152" s="66">
        <f t="shared" si="30"/>
        <v>0</v>
      </c>
      <c r="AS152" s="66">
        <f t="shared" si="31"/>
        <v>0</v>
      </c>
      <c r="AT152" s="66">
        <f t="shared" si="32"/>
        <v>0</v>
      </c>
      <c r="AU152" s="66">
        <f t="shared" si="33"/>
        <v>0</v>
      </c>
      <c r="AV152" s="66">
        <f t="shared" si="34"/>
        <v>0</v>
      </c>
      <c r="AW152" s="66">
        <f t="shared" si="35"/>
        <v>0</v>
      </c>
      <c r="AX152" s="66">
        <f t="shared" si="36"/>
        <v>0</v>
      </c>
      <c r="AY152" s="66">
        <f t="shared" si="37"/>
        <v>0</v>
      </c>
      <c r="AZ152" s="66">
        <f>'Project Database'!Z156</f>
        <v>0</v>
      </c>
      <c r="BA152" s="66">
        <f>IF(OR(A152="",'Smart Search'!H13=0),"",MAX(0,BE152*BF152*MAX(0,1-BG152)))</f>
        <v>0</v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>0</v>
      </c>
      <c r="BC152" s="66">
        <f>IF('Smart Search'!G13=1,IFERROR(1/'Smart Search'!H13,0),0)</f>
        <v>0</v>
      </c>
      <c r="BD152" s="66">
        <f t="shared" si="38"/>
        <v>0</v>
      </c>
      <c r="BE152" s="66">
        <f t="shared" si="39"/>
        <v>0</v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>0</v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>0</v>
      </c>
      <c r="BH152" s="5" t="str">
        <f>IF(AND('Project Database'!A156&lt;&gt;"",OR('Smart Search'!$L$5="",'Smart Search'!$L$5="All",TRIM('Project Database'!D156)=TRIM('Smart Search'!$L$5)),OR(TRIM('Smart Search'!$L$6)="",TRIM('Smart Search'!$L$6)="All",ISNUMBER(SEARCH(SUBSTITUTE(SUBSTITUTE(SUBSTITUTE(TRIM('Smart Search'!$L$6),"~","~~"),"*","~*"),"?","~?"),'Project Database'!C156))),OR('Smart Search'!$L$7="",AND('Project Database'!E156&lt;&gt;"",'Project Database'!E156='Smart Search'!$L$7)),OR('Smart Search'!$L$8="",'Smart Search'!$L$8="All",TRIM('Project Database'!F156)=TRIM('Smart Search'!$L$8))),IF(BA152="","",BA152+ROW()*0.0000000001),"")</f>
        <v/>
      </c>
      <c r="BI152" s="5" t="str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 t="str">
        <f>IF('Project Database'!A156="","",N('Project Database'!AC156))</f>
        <v/>
      </c>
      <c r="BK152" s="5" t="str">
        <f>IF('Project Database'!A156="","",N('Project Database'!AD156))</f>
        <v/>
      </c>
      <c r="BL152" s="5" t="str">
        <f>IF('Project Database'!A156="","",N('Project Database'!AE156))</f>
        <v/>
      </c>
      <c r="BM152" s="5" t="str">
        <f>IF('Project Database'!A156="","",N('Project Database'!AF156))</f>
        <v/>
      </c>
      <c r="BN152" s="5" t="str">
        <f>IF('Project Database'!A156="","",N('Project Database'!AG156))</f>
        <v/>
      </c>
      <c r="BO152" s="5" t="str">
        <f>IF('Project Database'!A156="","",N('Project Database'!AH156))</f>
        <v/>
      </c>
      <c r="BP152" s="5" t="str">
        <f>IF('Project Database'!A156="","",N('Project Database'!AI156))</f>
        <v/>
      </c>
      <c r="BQ152" s="5" t="str">
        <f>IF('Project Database'!A156="","",N('Project Database'!AJ156))</f>
        <v/>
      </c>
      <c r="BR152" s="5" t="str">
        <f>IF('Project Database'!A156="","",N('Project Database'!AK156))</f>
        <v/>
      </c>
      <c r="BS152" s="5" t="str">
        <f>IF('Project Database'!A156="","",N('Project Database'!AL156))</f>
        <v/>
      </c>
      <c r="BT152" s="5" t="str">
        <f>IF('Project Database'!A156="","",N('Project Database'!AM156))</f>
        <v/>
      </c>
      <c r="BU152" s="5" t="str">
        <f>IF('Project Database'!A156="","",N('Project Database'!AN156))</f>
        <v/>
      </c>
      <c r="BV152" s="5" t="str">
        <f>IF('Project Database'!A156="","",N('Project Database'!AO156))</f>
        <v/>
      </c>
      <c r="BW152" s="5" t="str">
        <f>IF('Project Database'!A156="","",N('Project Database'!AP156))</f>
        <v/>
      </c>
      <c r="BX152" s="5">
        <f t="shared" si="40"/>
        <v>0</v>
      </c>
      <c r="BY152" s="5">
        <f t="shared" si="41"/>
        <v>0</v>
      </c>
    </row>
    <row r="153" spans="1:77" ht="15" customHeight="1" x14ac:dyDescent="0.3">
      <c r="A153" s="66">
        <f>'Project Database'!A157</f>
        <v>0</v>
      </c>
      <c r="B153" s="66">
        <f>'Project Database'!B157</f>
        <v>0</v>
      </c>
      <c r="C153" s="66">
        <f>'Project Database'!G157</f>
        <v>0</v>
      </c>
      <c r="D153" s="66">
        <f>'Project Database'!H157</f>
        <v>0</v>
      </c>
      <c r="E153" s="66">
        <f>'Project Database'!I157</f>
        <v>0</v>
      </c>
      <c r="F153" s="66">
        <f>'Project Database'!J157</f>
        <v>0</v>
      </c>
      <c r="G153" s="66">
        <f>'Project Database'!K157</f>
        <v>0</v>
      </c>
      <c r="H153" s="66">
        <f>'Project Database'!L157</f>
        <v>0</v>
      </c>
      <c r="I153" s="66">
        <f>'Project Database'!M157</f>
        <v>0</v>
      </c>
      <c r="J153" s="66">
        <f>'Project Database'!N157</f>
        <v>0</v>
      </c>
      <c r="K153" s="66">
        <f>'Project Database'!O157</f>
        <v>0</v>
      </c>
      <c r="L153" s="66">
        <f>'Project Database'!P157</f>
        <v>0</v>
      </c>
      <c r="M153" s="66">
        <f>'Project Database'!Q157</f>
        <v>0</v>
      </c>
      <c r="N153" s="66">
        <f>'Project Database'!R157</f>
        <v>0</v>
      </c>
      <c r="O153" s="66">
        <f>'Project Database'!S157</f>
        <v>0</v>
      </c>
      <c r="P153" s="66">
        <f>'Project Database'!T157</f>
        <v>0</v>
      </c>
      <c r="Q153" s="66">
        <f>'Project Database'!U157</f>
        <v>0</v>
      </c>
      <c r="R153" s="66">
        <f>'Project Database'!V157</f>
        <v>0</v>
      </c>
      <c r="S153" s="66">
        <f>'Project Database'!W157</f>
        <v>0</v>
      </c>
      <c r="T153" s="66">
        <f>'Project Database'!X157</f>
        <v>0</v>
      </c>
      <c r="U153" s="67">
        <f>'Project Database'!Y157</f>
        <v>0</v>
      </c>
      <c r="V153" s="66">
        <f>IF('Smart Search'!B13=1,IFERROR(1/'Smart Search'!H13,0),0)</f>
        <v>0</v>
      </c>
      <c r="W153" s="66">
        <f>IF('Smart Search'!B13=1,IFERROR(1/'Smart Search'!H13,0),0)</f>
        <v>0</v>
      </c>
      <c r="X153" s="66">
        <f>IF('Smart Search'!C13=1,IFERROR(1/'Smart Search'!H13,0),0)</f>
        <v>0.5</v>
      </c>
      <c r="Y153" s="66">
        <f>IF('Smart Search'!C13=1,IFERROR(1/'Smart Search'!H13,0),0)</f>
        <v>0.5</v>
      </c>
      <c r="Z153" s="66">
        <f>IF('Smart Search'!D13=1,IFERROR(1/'Smart Search'!H13,0),0)</f>
        <v>0</v>
      </c>
      <c r="AA153" s="66">
        <f>IF('Smart Search'!D13=1,IFERROR(1/'Smart Search'!H13,0),0)</f>
        <v>0</v>
      </c>
      <c r="AB153" s="66">
        <f>IF('Smart Search'!E13=1,IFERROR(1/'Smart Search'!H13,0),0)</f>
        <v>0</v>
      </c>
      <c r="AC153" s="66">
        <f>IF('Smart Search'!E13=1,IFERROR(1/'Smart Search'!H13,0),0)</f>
        <v>0</v>
      </c>
      <c r="AD153" s="66">
        <f>IF('Smart Search'!F13=1,IFERROR(1/'Smart Search'!H13,0),0)</f>
        <v>0</v>
      </c>
      <c r="AE153" s="66">
        <f>IF('Smart Search'!F13=1,IFERROR(1/'Smart Search'!H13,0),0)</f>
        <v>0</v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>0</v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>0</v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>0</v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>0</v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>0</v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>0</v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>0</v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>0</v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>0</v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>0</v>
      </c>
      <c r="AP153" s="66">
        <f t="shared" si="28"/>
        <v>0</v>
      </c>
      <c r="AQ153" s="66">
        <f t="shared" si="29"/>
        <v>0</v>
      </c>
      <c r="AR153" s="66">
        <f t="shared" si="30"/>
        <v>0</v>
      </c>
      <c r="AS153" s="66">
        <f t="shared" si="31"/>
        <v>0</v>
      </c>
      <c r="AT153" s="66">
        <f t="shared" si="32"/>
        <v>0</v>
      </c>
      <c r="AU153" s="66">
        <f t="shared" si="33"/>
        <v>0</v>
      </c>
      <c r="AV153" s="66">
        <f t="shared" si="34"/>
        <v>0</v>
      </c>
      <c r="AW153" s="66">
        <f t="shared" si="35"/>
        <v>0</v>
      </c>
      <c r="AX153" s="66">
        <f t="shared" si="36"/>
        <v>0</v>
      </c>
      <c r="AY153" s="66">
        <f t="shared" si="37"/>
        <v>0</v>
      </c>
      <c r="AZ153" s="66">
        <f>'Project Database'!Z157</f>
        <v>0</v>
      </c>
      <c r="BA153" s="66">
        <f>IF(OR(A153="",'Smart Search'!H13=0),"",MAX(0,BE153*BF153*MAX(0,1-BG153)))</f>
        <v>0</v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>0</v>
      </c>
      <c r="BC153" s="66">
        <f>IF('Smart Search'!G13=1,IFERROR(1/'Smart Search'!H13,0),0)</f>
        <v>0</v>
      </c>
      <c r="BD153" s="66">
        <f t="shared" si="38"/>
        <v>0</v>
      </c>
      <c r="BE153" s="66">
        <f t="shared" si="39"/>
        <v>0</v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>0</v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>0</v>
      </c>
      <c r="BH153" s="5" t="str">
        <f>IF(AND('Project Database'!A157&lt;&gt;"",OR('Smart Search'!$L$5="",'Smart Search'!$L$5="All",TRIM('Project Database'!D157)=TRIM('Smart Search'!$L$5)),OR(TRIM('Smart Search'!$L$6)="",TRIM('Smart Search'!$L$6)="All",ISNUMBER(SEARCH(SUBSTITUTE(SUBSTITUTE(SUBSTITUTE(TRIM('Smart Search'!$L$6),"~","~~"),"*","~*"),"?","~?"),'Project Database'!C157))),OR('Smart Search'!$L$7="",AND('Project Database'!E157&lt;&gt;"",'Project Database'!E157='Smart Search'!$L$7)),OR('Smart Search'!$L$8="",'Smart Search'!$L$8="All",TRIM('Project Database'!F157)=TRIM('Smart Search'!$L$8))),IF(BA153="","",BA153+ROW()*0.0000000001),"")</f>
        <v/>
      </c>
      <c r="BI153" s="5" t="str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 t="str">
        <f>IF('Project Database'!A157="","",N('Project Database'!AC157))</f>
        <v/>
      </c>
      <c r="BK153" s="5" t="str">
        <f>IF('Project Database'!A157="","",N('Project Database'!AD157))</f>
        <v/>
      </c>
      <c r="BL153" s="5" t="str">
        <f>IF('Project Database'!A157="","",N('Project Database'!AE157))</f>
        <v/>
      </c>
      <c r="BM153" s="5" t="str">
        <f>IF('Project Database'!A157="","",N('Project Database'!AF157))</f>
        <v/>
      </c>
      <c r="BN153" s="5" t="str">
        <f>IF('Project Database'!A157="","",N('Project Database'!AG157))</f>
        <v/>
      </c>
      <c r="BO153" s="5" t="str">
        <f>IF('Project Database'!A157="","",N('Project Database'!AH157))</f>
        <v/>
      </c>
      <c r="BP153" s="5" t="str">
        <f>IF('Project Database'!A157="","",N('Project Database'!AI157))</f>
        <v/>
      </c>
      <c r="BQ153" s="5" t="str">
        <f>IF('Project Database'!A157="","",N('Project Database'!AJ157))</f>
        <v/>
      </c>
      <c r="BR153" s="5" t="str">
        <f>IF('Project Database'!A157="","",N('Project Database'!AK157))</f>
        <v/>
      </c>
      <c r="BS153" s="5" t="str">
        <f>IF('Project Database'!A157="","",N('Project Database'!AL157))</f>
        <v/>
      </c>
      <c r="BT153" s="5" t="str">
        <f>IF('Project Database'!A157="","",N('Project Database'!AM157))</f>
        <v/>
      </c>
      <c r="BU153" s="5" t="str">
        <f>IF('Project Database'!A157="","",N('Project Database'!AN157))</f>
        <v/>
      </c>
      <c r="BV153" s="5" t="str">
        <f>IF('Project Database'!A157="","",N('Project Database'!AO157))</f>
        <v/>
      </c>
      <c r="BW153" s="5" t="str">
        <f>IF('Project Database'!A157="","",N('Project Database'!AP157))</f>
        <v/>
      </c>
      <c r="BX153" s="5">
        <f t="shared" si="40"/>
        <v>0</v>
      </c>
      <c r="BY153" s="5">
        <f t="shared" si="41"/>
        <v>0</v>
      </c>
    </row>
    <row r="154" spans="1:77" ht="15" customHeight="1" x14ac:dyDescent="0.3">
      <c r="A154" s="66">
        <f>'Project Database'!A158</f>
        <v>0</v>
      </c>
      <c r="B154" s="66">
        <f>'Project Database'!B158</f>
        <v>0</v>
      </c>
      <c r="C154" s="66">
        <f>'Project Database'!G158</f>
        <v>0</v>
      </c>
      <c r="D154" s="66">
        <f>'Project Database'!H158</f>
        <v>0</v>
      </c>
      <c r="E154" s="66">
        <f>'Project Database'!I158</f>
        <v>0</v>
      </c>
      <c r="F154" s="66">
        <f>'Project Database'!J158</f>
        <v>0</v>
      </c>
      <c r="G154" s="66">
        <f>'Project Database'!K158</f>
        <v>0</v>
      </c>
      <c r="H154" s="66">
        <f>'Project Database'!L158</f>
        <v>0</v>
      </c>
      <c r="I154" s="66">
        <f>'Project Database'!M158</f>
        <v>0</v>
      </c>
      <c r="J154" s="66">
        <f>'Project Database'!N158</f>
        <v>0</v>
      </c>
      <c r="K154" s="66">
        <f>'Project Database'!O158</f>
        <v>0</v>
      </c>
      <c r="L154" s="66">
        <f>'Project Database'!P158</f>
        <v>0</v>
      </c>
      <c r="M154" s="66">
        <f>'Project Database'!Q158</f>
        <v>0</v>
      </c>
      <c r="N154" s="66">
        <f>'Project Database'!R158</f>
        <v>0</v>
      </c>
      <c r="O154" s="66">
        <f>'Project Database'!S158</f>
        <v>0</v>
      </c>
      <c r="P154" s="66">
        <f>'Project Database'!T158</f>
        <v>0</v>
      </c>
      <c r="Q154" s="66">
        <f>'Project Database'!U158</f>
        <v>0</v>
      </c>
      <c r="R154" s="66">
        <f>'Project Database'!V158</f>
        <v>0</v>
      </c>
      <c r="S154" s="66">
        <f>'Project Database'!W158</f>
        <v>0</v>
      </c>
      <c r="T154" s="66">
        <f>'Project Database'!X158</f>
        <v>0</v>
      </c>
      <c r="U154" s="67">
        <f>'Project Database'!Y158</f>
        <v>0</v>
      </c>
      <c r="V154" s="66">
        <f>IF('Smart Search'!B13=1,IFERROR(1/'Smart Search'!H13,0),0)</f>
        <v>0</v>
      </c>
      <c r="W154" s="66">
        <f>IF('Smart Search'!B13=1,IFERROR(1/'Smart Search'!H13,0),0)</f>
        <v>0</v>
      </c>
      <c r="X154" s="66">
        <f>IF('Smart Search'!C13=1,IFERROR(1/'Smart Search'!H13,0),0)</f>
        <v>0.5</v>
      </c>
      <c r="Y154" s="66">
        <f>IF('Smart Search'!C13=1,IFERROR(1/'Smart Search'!H13,0),0)</f>
        <v>0.5</v>
      </c>
      <c r="Z154" s="66">
        <f>IF('Smart Search'!D13=1,IFERROR(1/'Smart Search'!H13,0),0)</f>
        <v>0</v>
      </c>
      <c r="AA154" s="66">
        <f>IF('Smart Search'!D13=1,IFERROR(1/'Smart Search'!H13,0),0)</f>
        <v>0</v>
      </c>
      <c r="AB154" s="66">
        <f>IF('Smart Search'!E13=1,IFERROR(1/'Smart Search'!H13,0),0)</f>
        <v>0</v>
      </c>
      <c r="AC154" s="66">
        <f>IF('Smart Search'!E13=1,IFERROR(1/'Smart Search'!H13,0),0)</f>
        <v>0</v>
      </c>
      <c r="AD154" s="66">
        <f>IF('Smart Search'!F13=1,IFERROR(1/'Smart Search'!H13,0),0)</f>
        <v>0</v>
      </c>
      <c r="AE154" s="66">
        <f>IF('Smart Search'!F13=1,IFERROR(1/'Smart Search'!H13,0),0)</f>
        <v>0</v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>0</v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>0</v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>0</v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>0</v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>0</v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>0</v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>0</v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>0</v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>0</v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>0</v>
      </c>
      <c r="AP154" s="66">
        <f t="shared" si="28"/>
        <v>0</v>
      </c>
      <c r="AQ154" s="66">
        <f t="shared" si="29"/>
        <v>0</v>
      </c>
      <c r="AR154" s="66">
        <f t="shared" si="30"/>
        <v>0</v>
      </c>
      <c r="AS154" s="66">
        <f t="shared" si="31"/>
        <v>0</v>
      </c>
      <c r="AT154" s="66">
        <f t="shared" si="32"/>
        <v>0</v>
      </c>
      <c r="AU154" s="66">
        <f t="shared" si="33"/>
        <v>0</v>
      </c>
      <c r="AV154" s="66">
        <f t="shared" si="34"/>
        <v>0</v>
      </c>
      <c r="AW154" s="66">
        <f t="shared" si="35"/>
        <v>0</v>
      </c>
      <c r="AX154" s="66">
        <f t="shared" si="36"/>
        <v>0</v>
      </c>
      <c r="AY154" s="66">
        <f t="shared" si="37"/>
        <v>0</v>
      </c>
      <c r="AZ154" s="66">
        <f>'Project Database'!Z158</f>
        <v>0</v>
      </c>
      <c r="BA154" s="66">
        <f>IF(OR(A154="",'Smart Search'!H13=0),"",MAX(0,BE154*BF154*MAX(0,1-BG154)))</f>
        <v>0</v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>0</v>
      </c>
      <c r="BC154" s="66">
        <f>IF('Smart Search'!G13=1,IFERROR(1/'Smart Search'!H13,0),0)</f>
        <v>0</v>
      </c>
      <c r="BD154" s="66">
        <f t="shared" si="38"/>
        <v>0</v>
      </c>
      <c r="BE154" s="66">
        <f t="shared" si="39"/>
        <v>0</v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>0</v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>0</v>
      </c>
      <c r="BH154" s="5" t="str">
        <f>IF(AND('Project Database'!A158&lt;&gt;"",OR('Smart Search'!$L$5="",'Smart Search'!$L$5="All",TRIM('Project Database'!D158)=TRIM('Smart Search'!$L$5)),OR(TRIM('Smart Search'!$L$6)="",TRIM('Smart Search'!$L$6)="All",ISNUMBER(SEARCH(SUBSTITUTE(SUBSTITUTE(SUBSTITUTE(TRIM('Smart Search'!$L$6),"~","~~"),"*","~*"),"?","~?"),'Project Database'!C158))),OR('Smart Search'!$L$7="",AND('Project Database'!E158&lt;&gt;"",'Project Database'!E158='Smart Search'!$L$7)),OR('Smart Search'!$L$8="",'Smart Search'!$L$8="All",TRIM('Project Database'!F158)=TRIM('Smart Search'!$L$8))),IF(BA154="","",BA154+ROW()*0.0000000001),"")</f>
        <v/>
      </c>
      <c r="BI154" s="5" t="str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 t="str">
        <f>IF('Project Database'!A158="","",N('Project Database'!AC158))</f>
        <v/>
      </c>
      <c r="BK154" s="5" t="str">
        <f>IF('Project Database'!A158="","",N('Project Database'!AD158))</f>
        <v/>
      </c>
      <c r="BL154" s="5" t="str">
        <f>IF('Project Database'!A158="","",N('Project Database'!AE158))</f>
        <v/>
      </c>
      <c r="BM154" s="5" t="str">
        <f>IF('Project Database'!A158="","",N('Project Database'!AF158))</f>
        <v/>
      </c>
      <c r="BN154" s="5" t="str">
        <f>IF('Project Database'!A158="","",N('Project Database'!AG158))</f>
        <v/>
      </c>
      <c r="BO154" s="5" t="str">
        <f>IF('Project Database'!A158="","",N('Project Database'!AH158))</f>
        <v/>
      </c>
      <c r="BP154" s="5" t="str">
        <f>IF('Project Database'!A158="","",N('Project Database'!AI158))</f>
        <v/>
      </c>
      <c r="BQ154" s="5" t="str">
        <f>IF('Project Database'!A158="","",N('Project Database'!AJ158))</f>
        <v/>
      </c>
      <c r="BR154" s="5" t="str">
        <f>IF('Project Database'!A158="","",N('Project Database'!AK158))</f>
        <v/>
      </c>
      <c r="BS154" s="5" t="str">
        <f>IF('Project Database'!A158="","",N('Project Database'!AL158))</f>
        <v/>
      </c>
      <c r="BT154" s="5" t="str">
        <f>IF('Project Database'!A158="","",N('Project Database'!AM158))</f>
        <v/>
      </c>
      <c r="BU154" s="5" t="str">
        <f>IF('Project Database'!A158="","",N('Project Database'!AN158))</f>
        <v/>
      </c>
      <c r="BV154" s="5" t="str">
        <f>IF('Project Database'!A158="","",N('Project Database'!AO158))</f>
        <v/>
      </c>
      <c r="BW154" s="5" t="str">
        <f>IF('Project Database'!A158="","",N('Project Database'!AP158))</f>
        <v/>
      </c>
      <c r="BX154" s="5">
        <f t="shared" si="40"/>
        <v>0</v>
      </c>
      <c r="BY154" s="5">
        <f t="shared" si="41"/>
        <v>0</v>
      </c>
    </row>
    <row r="155" spans="1:77" ht="15" customHeight="1" x14ac:dyDescent="0.3">
      <c r="A155" s="66">
        <f>'Project Database'!A159</f>
        <v>0</v>
      </c>
      <c r="B155" s="66">
        <f>'Project Database'!B159</f>
        <v>0</v>
      </c>
      <c r="C155" s="66">
        <f>'Project Database'!G159</f>
        <v>0</v>
      </c>
      <c r="D155" s="66">
        <f>'Project Database'!H159</f>
        <v>0</v>
      </c>
      <c r="E155" s="66">
        <f>'Project Database'!I159</f>
        <v>0</v>
      </c>
      <c r="F155" s="66">
        <f>'Project Database'!J159</f>
        <v>0</v>
      </c>
      <c r="G155" s="66">
        <f>'Project Database'!K159</f>
        <v>0</v>
      </c>
      <c r="H155" s="66">
        <f>'Project Database'!L159</f>
        <v>0</v>
      </c>
      <c r="I155" s="66">
        <f>'Project Database'!M159</f>
        <v>0</v>
      </c>
      <c r="J155" s="66">
        <f>'Project Database'!N159</f>
        <v>0</v>
      </c>
      <c r="K155" s="66">
        <f>'Project Database'!O159</f>
        <v>0</v>
      </c>
      <c r="L155" s="66">
        <f>'Project Database'!P159</f>
        <v>0</v>
      </c>
      <c r="M155" s="66">
        <f>'Project Database'!Q159</f>
        <v>0</v>
      </c>
      <c r="N155" s="66">
        <f>'Project Database'!R159</f>
        <v>0</v>
      </c>
      <c r="O155" s="66">
        <f>'Project Database'!S159</f>
        <v>0</v>
      </c>
      <c r="P155" s="66">
        <f>'Project Database'!T159</f>
        <v>0</v>
      </c>
      <c r="Q155" s="66">
        <f>'Project Database'!U159</f>
        <v>0</v>
      </c>
      <c r="R155" s="66">
        <f>'Project Database'!V159</f>
        <v>0</v>
      </c>
      <c r="S155" s="66">
        <f>'Project Database'!W159</f>
        <v>0</v>
      </c>
      <c r="T155" s="66">
        <f>'Project Database'!X159</f>
        <v>0</v>
      </c>
      <c r="U155" s="67">
        <f>'Project Database'!Y159</f>
        <v>0</v>
      </c>
      <c r="V155" s="66">
        <f>IF('Smart Search'!B13=1,IFERROR(1/'Smart Search'!H13,0),0)</f>
        <v>0</v>
      </c>
      <c r="W155" s="66">
        <f>IF('Smart Search'!B13=1,IFERROR(1/'Smart Search'!H13,0),0)</f>
        <v>0</v>
      </c>
      <c r="X155" s="66">
        <f>IF('Smart Search'!C13=1,IFERROR(1/'Smart Search'!H13,0),0)</f>
        <v>0.5</v>
      </c>
      <c r="Y155" s="66">
        <f>IF('Smart Search'!C13=1,IFERROR(1/'Smart Search'!H13,0),0)</f>
        <v>0.5</v>
      </c>
      <c r="Z155" s="66">
        <f>IF('Smart Search'!D13=1,IFERROR(1/'Smart Search'!H13,0),0)</f>
        <v>0</v>
      </c>
      <c r="AA155" s="66">
        <f>IF('Smart Search'!D13=1,IFERROR(1/'Smart Search'!H13,0),0)</f>
        <v>0</v>
      </c>
      <c r="AB155" s="66">
        <f>IF('Smart Search'!E13=1,IFERROR(1/'Smart Search'!H13,0),0)</f>
        <v>0</v>
      </c>
      <c r="AC155" s="66">
        <f>IF('Smart Search'!E13=1,IFERROR(1/'Smart Search'!H13,0),0)</f>
        <v>0</v>
      </c>
      <c r="AD155" s="66">
        <f>IF('Smart Search'!F13=1,IFERROR(1/'Smart Search'!H13,0),0)</f>
        <v>0</v>
      </c>
      <c r="AE155" s="66">
        <f>IF('Smart Search'!F13=1,IFERROR(1/'Smart Search'!H13,0),0)</f>
        <v>0</v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>0</v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>0</v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>0</v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>0</v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>0</v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>0</v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>0</v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>0</v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>0</v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>0</v>
      </c>
      <c r="AP155" s="66">
        <f t="shared" si="28"/>
        <v>0</v>
      </c>
      <c r="AQ155" s="66">
        <f t="shared" si="29"/>
        <v>0</v>
      </c>
      <c r="AR155" s="66">
        <f t="shared" si="30"/>
        <v>0</v>
      </c>
      <c r="AS155" s="66">
        <f t="shared" si="31"/>
        <v>0</v>
      </c>
      <c r="AT155" s="66">
        <f t="shared" si="32"/>
        <v>0</v>
      </c>
      <c r="AU155" s="66">
        <f t="shared" si="33"/>
        <v>0</v>
      </c>
      <c r="AV155" s="66">
        <f t="shared" si="34"/>
        <v>0</v>
      </c>
      <c r="AW155" s="66">
        <f t="shared" si="35"/>
        <v>0</v>
      </c>
      <c r="AX155" s="66">
        <f t="shared" si="36"/>
        <v>0</v>
      </c>
      <c r="AY155" s="66">
        <f t="shared" si="37"/>
        <v>0</v>
      </c>
      <c r="AZ155" s="66">
        <f>'Project Database'!Z159</f>
        <v>0</v>
      </c>
      <c r="BA155" s="66">
        <f>IF(OR(A155="",'Smart Search'!H13=0),"",MAX(0,BE155*BF155*MAX(0,1-BG155)))</f>
        <v>0</v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>0</v>
      </c>
      <c r="BC155" s="66">
        <f>IF('Smart Search'!G13=1,IFERROR(1/'Smart Search'!H13,0),0)</f>
        <v>0</v>
      </c>
      <c r="BD155" s="66">
        <f t="shared" si="38"/>
        <v>0</v>
      </c>
      <c r="BE155" s="66">
        <f t="shared" si="39"/>
        <v>0</v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>0</v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>0</v>
      </c>
      <c r="BH155" s="5" t="str">
        <f>IF(AND('Project Database'!A159&lt;&gt;"",OR('Smart Search'!$L$5="",'Smart Search'!$L$5="All",TRIM('Project Database'!D159)=TRIM('Smart Search'!$L$5)),OR(TRIM('Smart Search'!$L$6)="",TRIM('Smart Search'!$L$6)="All",ISNUMBER(SEARCH(SUBSTITUTE(SUBSTITUTE(SUBSTITUTE(TRIM('Smart Search'!$L$6),"~","~~"),"*","~*"),"?","~?"),'Project Database'!C159))),OR('Smart Search'!$L$7="",AND('Project Database'!E159&lt;&gt;"",'Project Database'!E159='Smart Search'!$L$7)),OR('Smart Search'!$L$8="",'Smart Search'!$L$8="All",TRIM('Project Database'!F159)=TRIM('Smart Search'!$L$8))),IF(BA155="","",BA155+ROW()*0.0000000001),"")</f>
        <v/>
      </c>
      <c r="BI155" s="5" t="str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 t="str">
        <f>IF('Project Database'!A159="","",N('Project Database'!AC159))</f>
        <v/>
      </c>
      <c r="BK155" s="5" t="str">
        <f>IF('Project Database'!A159="","",N('Project Database'!AD159))</f>
        <v/>
      </c>
      <c r="BL155" s="5" t="str">
        <f>IF('Project Database'!A159="","",N('Project Database'!AE159))</f>
        <v/>
      </c>
      <c r="BM155" s="5" t="str">
        <f>IF('Project Database'!A159="","",N('Project Database'!AF159))</f>
        <v/>
      </c>
      <c r="BN155" s="5" t="str">
        <f>IF('Project Database'!A159="","",N('Project Database'!AG159))</f>
        <v/>
      </c>
      <c r="BO155" s="5" t="str">
        <f>IF('Project Database'!A159="","",N('Project Database'!AH159))</f>
        <v/>
      </c>
      <c r="BP155" s="5" t="str">
        <f>IF('Project Database'!A159="","",N('Project Database'!AI159))</f>
        <v/>
      </c>
      <c r="BQ155" s="5" t="str">
        <f>IF('Project Database'!A159="","",N('Project Database'!AJ159))</f>
        <v/>
      </c>
      <c r="BR155" s="5" t="str">
        <f>IF('Project Database'!A159="","",N('Project Database'!AK159))</f>
        <v/>
      </c>
      <c r="BS155" s="5" t="str">
        <f>IF('Project Database'!A159="","",N('Project Database'!AL159))</f>
        <v/>
      </c>
      <c r="BT155" s="5" t="str">
        <f>IF('Project Database'!A159="","",N('Project Database'!AM159))</f>
        <v/>
      </c>
      <c r="BU155" s="5" t="str">
        <f>IF('Project Database'!A159="","",N('Project Database'!AN159))</f>
        <v/>
      </c>
      <c r="BV155" s="5" t="str">
        <f>IF('Project Database'!A159="","",N('Project Database'!AO159))</f>
        <v/>
      </c>
      <c r="BW155" s="5" t="str">
        <f>IF('Project Database'!A159="","",N('Project Database'!AP159))</f>
        <v/>
      </c>
      <c r="BX155" s="5">
        <f t="shared" si="40"/>
        <v>0</v>
      </c>
      <c r="BY155" s="5">
        <f t="shared" si="41"/>
        <v>0</v>
      </c>
    </row>
    <row r="156" spans="1:77" ht="15" customHeight="1" x14ac:dyDescent="0.3">
      <c r="A156" s="66">
        <f>'Project Database'!A160</f>
        <v>0</v>
      </c>
      <c r="B156" s="66">
        <f>'Project Database'!B160</f>
        <v>0</v>
      </c>
      <c r="C156" s="66">
        <f>'Project Database'!G160</f>
        <v>0</v>
      </c>
      <c r="D156" s="66">
        <f>'Project Database'!H160</f>
        <v>0</v>
      </c>
      <c r="E156" s="66">
        <f>'Project Database'!I160</f>
        <v>0</v>
      </c>
      <c r="F156" s="66">
        <f>'Project Database'!J160</f>
        <v>0</v>
      </c>
      <c r="G156" s="66">
        <f>'Project Database'!K160</f>
        <v>0</v>
      </c>
      <c r="H156" s="66">
        <f>'Project Database'!L160</f>
        <v>0</v>
      </c>
      <c r="I156" s="66">
        <f>'Project Database'!M160</f>
        <v>0</v>
      </c>
      <c r="J156" s="66">
        <f>'Project Database'!N160</f>
        <v>0</v>
      </c>
      <c r="K156" s="66">
        <f>'Project Database'!O160</f>
        <v>0</v>
      </c>
      <c r="L156" s="66">
        <f>'Project Database'!P160</f>
        <v>0</v>
      </c>
      <c r="M156" s="66">
        <f>'Project Database'!Q160</f>
        <v>0</v>
      </c>
      <c r="N156" s="66">
        <f>'Project Database'!R160</f>
        <v>0</v>
      </c>
      <c r="O156" s="66">
        <f>'Project Database'!S160</f>
        <v>0</v>
      </c>
      <c r="P156" s="66">
        <f>'Project Database'!T160</f>
        <v>0</v>
      </c>
      <c r="Q156" s="66">
        <f>'Project Database'!U160</f>
        <v>0</v>
      </c>
      <c r="R156" s="66">
        <f>'Project Database'!V160</f>
        <v>0</v>
      </c>
      <c r="S156" s="66">
        <f>'Project Database'!W160</f>
        <v>0</v>
      </c>
      <c r="T156" s="66">
        <f>'Project Database'!X160</f>
        <v>0</v>
      </c>
      <c r="U156" s="67">
        <f>'Project Database'!Y160</f>
        <v>0</v>
      </c>
      <c r="V156" s="66">
        <f>IF('Smart Search'!B13=1,IFERROR(1/'Smart Search'!H13,0),0)</f>
        <v>0</v>
      </c>
      <c r="W156" s="66">
        <f>IF('Smart Search'!B13=1,IFERROR(1/'Smart Search'!H13,0),0)</f>
        <v>0</v>
      </c>
      <c r="X156" s="66">
        <f>IF('Smart Search'!C13=1,IFERROR(1/'Smart Search'!H13,0),0)</f>
        <v>0.5</v>
      </c>
      <c r="Y156" s="66">
        <f>IF('Smart Search'!C13=1,IFERROR(1/'Smart Search'!H13,0),0)</f>
        <v>0.5</v>
      </c>
      <c r="Z156" s="66">
        <f>IF('Smart Search'!D13=1,IFERROR(1/'Smart Search'!H13,0),0)</f>
        <v>0</v>
      </c>
      <c r="AA156" s="66">
        <f>IF('Smart Search'!D13=1,IFERROR(1/'Smart Search'!H13,0),0)</f>
        <v>0</v>
      </c>
      <c r="AB156" s="66">
        <f>IF('Smart Search'!E13=1,IFERROR(1/'Smart Search'!H13,0),0)</f>
        <v>0</v>
      </c>
      <c r="AC156" s="66">
        <f>IF('Smart Search'!E13=1,IFERROR(1/'Smart Search'!H13,0),0)</f>
        <v>0</v>
      </c>
      <c r="AD156" s="66">
        <f>IF('Smart Search'!F13=1,IFERROR(1/'Smart Search'!H13,0),0)</f>
        <v>0</v>
      </c>
      <c r="AE156" s="66">
        <f>IF('Smart Search'!F13=1,IFERROR(1/'Smart Search'!H13,0),0)</f>
        <v>0</v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>0</v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>0</v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>0</v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>0</v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>0</v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>0</v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>0</v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>0</v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>0</v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>0</v>
      </c>
      <c r="AP156" s="66">
        <f t="shared" si="28"/>
        <v>0</v>
      </c>
      <c r="AQ156" s="66">
        <f t="shared" si="29"/>
        <v>0</v>
      </c>
      <c r="AR156" s="66">
        <f t="shared" si="30"/>
        <v>0</v>
      </c>
      <c r="AS156" s="66">
        <f t="shared" si="31"/>
        <v>0</v>
      </c>
      <c r="AT156" s="66">
        <f t="shared" si="32"/>
        <v>0</v>
      </c>
      <c r="AU156" s="66">
        <f t="shared" si="33"/>
        <v>0</v>
      </c>
      <c r="AV156" s="66">
        <f t="shared" si="34"/>
        <v>0</v>
      </c>
      <c r="AW156" s="66">
        <f t="shared" si="35"/>
        <v>0</v>
      </c>
      <c r="AX156" s="66">
        <f t="shared" si="36"/>
        <v>0</v>
      </c>
      <c r="AY156" s="66">
        <f t="shared" si="37"/>
        <v>0</v>
      </c>
      <c r="AZ156" s="66">
        <f>'Project Database'!Z160</f>
        <v>0</v>
      </c>
      <c r="BA156" s="66">
        <f>IF(OR(A156="",'Smart Search'!H13=0),"",MAX(0,BE156*BF156*MAX(0,1-BG156)))</f>
        <v>0</v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>0</v>
      </c>
      <c r="BC156" s="66">
        <f>IF('Smart Search'!G13=1,IFERROR(1/'Smart Search'!H13,0),0)</f>
        <v>0</v>
      </c>
      <c r="BD156" s="66">
        <f t="shared" si="38"/>
        <v>0</v>
      </c>
      <c r="BE156" s="66">
        <f t="shared" si="39"/>
        <v>0</v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>0</v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>0</v>
      </c>
      <c r="BH156" s="5" t="str">
        <f>IF(AND('Project Database'!A160&lt;&gt;"",OR('Smart Search'!$L$5="",'Smart Search'!$L$5="All",TRIM('Project Database'!D160)=TRIM('Smart Search'!$L$5)),OR(TRIM('Smart Search'!$L$6)="",TRIM('Smart Search'!$L$6)="All",ISNUMBER(SEARCH(SUBSTITUTE(SUBSTITUTE(SUBSTITUTE(TRIM('Smart Search'!$L$6),"~","~~"),"*","~*"),"?","~?"),'Project Database'!C160))),OR('Smart Search'!$L$7="",AND('Project Database'!E160&lt;&gt;"",'Project Database'!E160='Smart Search'!$L$7)),OR('Smart Search'!$L$8="",'Smart Search'!$L$8="All",TRIM('Project Database'!F160)=TRIM('Smart Search'!$L$8))),IF(BA156="","",BA156+ROW()*0.0000000001),"")</f>
        <v/>
      </c>
      <c r="BI156" s="5" t="str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 t="str">
        <f>IF('Project Database'!A160="","",N('Project Database'!AC160))</f>
        <v/>
      </c>
      <c r="BK156" s="5" t="str">
        <f>IF('Project Database'!A160="","",N('Project Database'!AD160))</f>
        <v/>
      </c>
      <c r="BL156" s="5" t="str">
        <f>IF('Project Database'!A160="","",N('Project Database'!AE160))</f>
        <v/>
      </c>
      <c r="BM156" s="5" t="str">
        <f>IF('Project Database'!A160="","",N('Project Database'!AF160))</f>
        <v/>
      </c>
      <c r="BN156" s="5" t="str">
        <f>IF('Project Database'!A160="","",N('Project Database'!AG160))</f>
        <v/>
      </c>
      <c r="BO156" s="5" t="str">
        <f>IF('Project Database'!A160="","",N('Project Database'!AH160))</f>
        <v/>
      </c>
      <c r="BP156" s="5" t="str">
        <f>IF('Project Database'!A160="","",N('Project Database'!AI160))</f>
        <v/>
      </c>
      <c r="BQ156" s="5" t="str">
        <f>IF('Project Database'!A160="","",N('Project Database'!AJ160))</f>
        <v/>
      </c>
      <c r="BR156" s="5" t="str">
        <f>IF('Project Database'!A160="","",N('Project Database'!AK160))</f>
        <v/>
      </c>
      <c r="BS156" s="5" t="str">
        <f>IF('Project Database'!A160="","",N('Project Database'!AL160))</f>
        <v/>
      </c>
      <c r="BT156" s="5" t="str">
        <f>IF('Project Database'!A160="","",N('Project Database'!AM160))</f>
        <v/>
      </c>
      <c r="BU156" s="5" t="str">
        <f>IF('Project Database'!A160="","",N('Project Database'!AN160))</f>
        <v/>
      </c>
      <c r="BV156" s="5" t="str">
        <f>IF('Project Database'!A160="","",N('Project Database'!AO160))</f>
        <v/>
      </c>
      <c r="BW156" s="5" t="str">
        <f>IF('Project Database'!A160="","",N('Project Database'!AP160))</f>
        <v/>
      </c>
      <c r="BX156" s="5">
        <f t="shared" si="40"/>
        <v>0</v>
      </c>
      <c r="BY156" s="5">
        <f t="shared" si="41"/>
        <v>0</v>
      </c>
    </row>
    <row r="157" spans="1:77" ht="15" customHeight="1" x14ac:dyDescent="0.3">
      <c r="A157" s="66">
        <f>'Project Database'!A161</f>
        <v>0</v>
      </c>
      <c r="B157" s="66">
        <f>'Project Database'!B161</f>
        <v>0</v>
      </c>
      <c r="C157" s="66">
        <f>'Project Database'!G161</f>
        <v>0</v>
      </c>
      <c r="D157" s="66">
        <f>'Project Database'!H161</f>
        <v>0</v>
      </c>
      <c r="E157" s="66">
        <f>'Project Database'!I161</f>
        <v>0</v>
      </c>
      <c r="F157" s="66">
        <f>'Project Database'!J161</f>
        <v>0</v>
      </c>
      <c r="G157" s="66">
        <f>'Project Database'!K161</f>
        <v>0</v>
      </c>
      <c r="H157" s="66">
        <f>'Project Database'!L161</f>
        <v>0</v>
      </c>
      <c r="I157" s="66">
        <f>'Project Database'!M161</f>
        <v>0</v>
      </c>
      <c r="J157" s="66">
        <f>'Project Database'!N161</f>
        <v>0</v>
      </c>
      <c r="K157" s="66">
        <f>'Project Database'!O161</f>
        <v>0</v>
      </c>
      <c r="L157" s="66">
        <f>'Project Database'!P161</f>
        <v>0</v>
      </c>
      <c r="M157" s="66">
        <f>'Project Database'!Q161</f>
        <v>0</v>
      </c>
      <c r="N157" s="66">
        <f>'Project Database'!R161</f>
        <v>0</v>
      </c>
      <c r="O157" s="66">
        <f>'Project Database'!S161</f>
        <v>0</v>
      </c>
      <c r="P157" s="66">
        <f>'Project Database'!T161</f>
        <v>0</v>
      </c>
      <c r="Q157" s="66">
        <f>'Project Database'!U161</f>
        <v>0</v>
      </c>
      <c r="R157" s="66">
        <f>'Project Database'!V161</f>
        <v>0</v>
      </c>
      <c r="S157" s="66">
        <f>'Project Database'!W161</f>
        <v>0</v>
      </c>
      <c r="T157" s="66">
        <f>'Project Database'!X161</f>
        <v>0</v>
      </c>
      <c r="U157" s="67">
        <f>'Project Database'!Y161</f>
        <v>0</v>
      </c>
      <c r="V157" s="66">
        <f>IF('Smart Search'!B13=1,IFERROR(1/'Smart Search'!H13,0),0)</f>
        <v>0</v>
      </c>
      <c r="W157" s="66">
        <f>IF('Smart Search'!B13=1,IFERROR(1/'Smart Search'!H13,0),0)</f>
        <v>0</v>
      </c>
      <c r="X157" s="66">
        <f>IF('Smart Search'!C13=1,IFERROR(1/'Smart Search'!H13,0),0)</f>
        <v>0.5</v>
      </c>
      <c r="Y157" s="66">
        <f>IF('Smart Search'!C13=1,IFERROR(1/'Smart Search'!H13,0),0)</f>
        <v>0.5</v>
      </c>
      <c r="Z157" s="66">
        <f>IF('Smart Search'!D13=1,IFERROR(1/'Smart Search'!H13,0),0)</f>
        <v>0</v>
      </c>
      <c r="AA157" s="66">
        <f>IF('Smart Search'!D13=1,IFERROR(1/'Smart Search'!H13,0),0)</f>
        <v>0</v>
      </c>
      <c r="AB157" s="66">
        <f>IF('Smart Search'!E13=1,IFERROR(1/'Smart Search'!H13,0),0)</f>
        <v>0</v>
      </c>
      <c r="AC157" s="66">
        <f>IF('Smart Search'!E13=1,IFERROR(1/'Smart Search'!H13,0),0)</f>
        <v>0</v>
      </c>
      <c r="AD157" s="66">
        <f>IF('Smart Search'!F13=1,IFERROR(1/'Smart Search'!H13,0),0)</f>
        <v>0</v>
      </c>
      <c r="AE157" s="66">
        <f>IF('Smart Search'!F13=1,IFERROR(1/'Smart Search'!H13,0),0)</f>
        <v>0</v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>0</v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>0</v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>0</v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>0</v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>0</v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>0</v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>0</v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>0</v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>0</v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>0</v>
      </c>
      <c r="AP157" s="66">
        <f t="shared" si="28"/>
        <v>0</v>
      </c>
      <c r="AQ157" s="66">
        <f t="shared" si="29"/>
        <v>0</v>
      </c>
      <c r="AR157" s="66">
        <f t="shared" si="30"/>
        <v>0</v>
      </c>
      <c r="AS157" s="66">
        <f t="shared" si="31"/>
        <v>0</v>
      </c>
      <c r="AT157" s="66">
        <f t="shared" si="32"/>
        <v>0</v>
      </c>
      <c r="AU157" s="66">
        <f t="shared" si="33"/>
        <v>0</v>
      </c>
      <c r="AV157" s="66">
        <f t="shared" si="34"/>
        <v>0</v>
      </c>
      <c r="AW157" s="66">
        <f t="shared" si="35"/>
        <v>0</v>
      </c>
      <c r="AX157" s="66">
        <f t="shared" si="36"/>
        <v>0</v>
      </c>
      <c r="AY157" s="66">
        <f t="shared" si="37"/>
        <v>0</v>
      </c>
      <c r="AZ157" s="66">
        <f>'Project Database'!Z161</f>
        <v>0</v>
      </c>
      <c r="BA157" s="66">
        <f>IF(OR(A157="",'Smart Search'!H13=0),"",MAX(0,BE157*BF157*MAX(0,1-BG157)))</f>
        <v>0</v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>0</v>
      </c>
      <c r="BC157" s="66">
        <f>IF('Smart Search'!G13=1,IFERROR(1/'Smart Search'!H13,0),0)</f>
        <v>0</v>
      </c>
      <c r="BD157" s="66">
        <f t="shared" si="38"/>
        <v>0</v>
      </c>
      <c r="BE157" s="66">
        <f t="shared" si="39"/>
        <v>0</v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>0</v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>0</v>
      </c>
      <c r="BH157" s="5" t="str">
        <f>IF(AND('Project Database'!A161&lt;&gt;"",OR('Smart Search'!$L$5="",'Smart Search'!$L$5="All",TRIM('Project Database'!D161)=TRIM('Smart Search'!$L$5)),OR(TRIM('Smart Search'!$L$6)="",TRIM('Smart Search'!$L$6)="All",ISNUMBER(SEARCH(SUBSTITUTE(SUBSTITUTE(SUBSTITUTE(TRIM('Smart Search'!$L$6),"~","~~"),"*","~*"),"?","~?"),'Project Database'!C161))),OR('Smart Search'!$L$7="",AND('Project Database'!E161&lt;&gt;"",'Project Database'!E161='Smart Search'!$L$7)),OR('Smart Search'!$L$8="",'Smart Search'!$L$8="All",TRIM('Project Database'!F161)=TRIM('Smart Search'!$L$8))),IF(BA157="","",BA157+ROW()*0.0000000001),"")</f>
        <v/>
      </c>
      <c r="BI157" s="5" t="str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 t="str">
        <f>IF('Project Database'!A161="","",N('Project Database'!AC161))</f>
        <v/>
      </c>
      <c r="BK157" s="5" t="str">
        <f>IF('Project Database'!A161="","",N('Project Database'!AD161))</f>
        <v/>
      </c>
      <c r="BL157" s="5" t="str">
        <f>IF('Project Database'!A161="","",N('Project Database'!AE161))</f>
        <v/>
      </c>
      <c r="BM157" s="5" t="str">
        <f>IF('Project Database'!A161="","",N('Project Database'!AF161))</f>
        <v/>
      </c>
      <c r="BN157" s="5" t="str">
        <f>IF('Project Database'!A161="","",N('Project Database'!AG161))</f>
        <v/>
      </c>
      <c r="BO157" s="5" t="str">
        <f>IF('Project Database'!A161="","",N('Project Database'!AH161))</f>
        <v/>
      </c>
      <c r="BP157" s="5" t="str">
        <f>IF('Project Database'!A161="","",N('Project Database'!AI161))</f>
        <v/>
      </c>
      <c r="BQ157" s="5" t="str">
        <f>IF('Project Database'!A161="","",N('Project Database'!AJ161))</f>
        <v/>
      </c>
      <c r="BR157" s="5" t="str">
        <f>IF('Project Database'!A161="","",N('Project Database'!AK161))</f>
        <v/>
      </c>
      <c r="BS157" s="5" t="str">
        <f>IF('Project Database'!A161="","",N('Project Database'!AL161))</f>
        <v/>
      </c>
      <c r="BT157" s="5" t="str">
        <f>IF('Project Database'!A161="","",N('Project Database'!AM161))</f>
        <v/>
      </c>
      <c r="BU157" s="5" t="str">
        <f>IF('Project Database'!A161="","",N('Project Database'!AN161))</f>
        <v/>
      </c>
      <c r="BV157" s="5" t="str">
        <f>IF('Project Database'!A161="","",N('Project Database'!AO161))</f>
        <v/>
      </c>
      <c r="BW157" s="5" t="str">
        <f>IF('Project Database'!A161="","",N('Project Database'!AP161))</f>
        <v/>
      </c>
      <c r="BX157" s="5">
        <f t="shared" si="40"/>
        <v>0</v>
      </c>
      <c r="BY157" s="5">
        <f t="shared" si="41"/>
        <v>0</v>
      </c>
    </row>
    <row r="158" spans="1:77" ht="15" customHeight="1" x14ac:dyDescent="0.3">
      <c r="A158" s="66">
        <f>'Project Database'!A162</f>
        <v>0</v>
      </c>
      <c r="B158" s="66">
        <f>'Project Database'!B162</f>
        <v>0</v>
      </c>
      <c r="C158" s="66">
        <f>'Project Database'!G162</f>
        <v>0</v>
      </c>
      <c r="D158" s="66">
        <f>'Project Database'!H162</f>
        <v>0</v>
      </c>
      <c r="E158" s="66">
        <f>'Project Database'!I162</f>
        <v>0</v>
      </c>
      <c r="F158" s="66">
        <f>'Project Database'!J162</f>
        <v>0</v>
      </c>
      <c r="G158" s="66">
        <f>'Project Database'!K162</f>
        <v>0</v>
      </c>
      <c r="H158" s="66">
        <f>'Project Database'!L162</f>
        <v>0</v>
      </c>
      <c r="I158" s="66">
        <f>'Project Database'!M162</f>
        <v>0</v>
      </c>
      <c r="J158" s="66">
        <f>'Project Database'!N162</f>
        <v>0</v>
      </c>
      <c r="K158" s="66">
        <f>'Project Database'!O162</f>
        <v>0</v>
      </c>
      <c r="L158" s="66">
        <f>'Project Database'!P162</f>
        <v>0</v>
      </c>
      <c r="M158" s="66">
        <f>'Project Database'!Q162</f>
        <v>0</v>
      </c>
      <c r="N158" s="66">
        <f>'Project Database'!R162</f>
        <v>0</v>
      </c>
      <c r="O158" s="66">
        <f>'Project Database'!S162</f>
        <v>0</v>
      </c>
      <c r="P158" s="66">
        <f>'Project Database'!T162</f>
        <v>0</v>
      </c>
      <c r="Q158" s="66">
        <f>'Project Database'!U162</f>
        <v>0</v>
      </c>
      <c r="R158" s="66">
        <f>'Project Database'!V162</f>
        <v>0</v>
      </c>
      <c r="S158" s="66">
        <f>'Project Database'!W162</f>
        <v>0</v>
      </c>
      <c r="T158" s="66">
        <f>'Project Database'!X162</f>
        <v>0</v>
      </c>
      <c r="U158" s="67">
        <f>'Project Database'!Y162</f>
        <v>0</v>
      </c>
      <c r="V158" s="66">
        <f>IF('Smart Search'!B13=1,IFERROR(1/'Smart Search'!H13,0),0)</f>
        <v>0</v>
      </c>
      <c r="W158" s="66">
        <f>IF('Smart Search'!B13=1,IFERROR(1/'Smart Search'!H13,0),0)</f>
        <v>0</v>
      </c>
      <c r="X158" s="66">
        <f>IF('Smart Search'!C13=1,IFERROR(1/'Smart Search'!H13,0),0)</f>
        <v>0.5</v>
      </c>
      <c r="Y158" s="66">
        <f>IF('Smart Search'!C13=1,IFERROR(1/'Smart Search'!H13,0),0)</f>
        <v>0.5</v>
      </c>
      <c r="Z158" s="66">
        <f>IF('Smart Search'!D13=1,IFERROR(1/'Smart Search'!H13,0),0)</f>
        <v>0</v>
      </c>
      <c r="AA158" s="66">
        <f>IF('Smart Search'!D13=1,IFERROR(1/'Smart Search'!H13,0),0)</f>
        <v>0</v>
      </c>
      <c r="AB158" s="66">
        <f>IF('Smart Search'!E13=1,IFERROR(1/'Smart Search'!H13,0),0)</f>
        <v>0</v>
      </c>
      <c r="AC158" s="66">
        <f>IF('Smart Search'!E13=1,IFERROR(1/'Smart Search'!H13,0),0)</f>
        <v>0</v>
      </c>
      <c r="AD158" s="66">
        <f>IF('Smart Search'!F13=1,IFERROR(1/'Smart Search'!H13,0),0)</f>
        <v>0</v>
      </c>
      <c r="AE158" s="66">
        <f>IF('Smart Search'!F13=1,IFERROR(1/'Smart Search'!H13,0),0)</f>
        <v>0</v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>0</v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>0</v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>0</v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>0</v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>0</v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>0</v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>0</v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>0</v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>0</v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>0</v>
      </c>
      <c r="AP158" s="66">
        <f t="shared" si="28"/>
        <v>0</v>
      </c>
      <c r="AQ158" s="66">
        <f t="shared" si="29"/>
        <v>0</v>
      </c>
      <c r="AR158" s="66">
        <f t="shared" si="30"/>
        <v>0</v>
      </c>
      <c r="AS158" s="66">
        <f t="shared" si="31"/>
        <v>0</v>
      </c>
      <c r="AT158" s="66">
        <f t="shared" si="32"/>
        <v>0</v>
      </c>
      <c r="AU158" s="66">
        <f t="shared" si="33"/>
        <v>0</v>
      </c>
      <c r="AV158" s="66">
        <f t="shared" si="34"/>
        <v>0</v>
      </c>
      <c r="AW158" s="66">
        <f t="shared" si="35"/>
        <v>0</v>
      </c>
      <c r="AX158" s="66">
        <f t="shared" si="36"/>
        <v>0</v>
      </c>
      <c r="AY158" s="66">
        <f t="shared" si="37"/>
        <v>0</v>
      </c>
      <c r="AZ158" s="66">
        <f>'Project Database'!Z162</f>
        <v>0</v>
      </c>
      <c r="BA158" s="66">
        <f>IF(OR(A158="",'Smart Search'!H13=0),"",MAX(0,BE158*BF158*MAX(0,1-BG158)))</f>
        <v>0</v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>0</v>
      </c>
      <c r="BC158" s="66">
        <f>IF('Smart Search'!G13=1,IFERROR(1/'Smart Search'!H13,0),0)</f>
        <v>0</v>
      </c>
      <c r="BD158" s="66">
        <f t="shared" si="38"/>
        <v>0</v>
      </c>
      <c r="BE158" s="66">
        <f t="shared" si="39"/>
        <v>0</v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>0</v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>0</v>
      </c>
      <c r="BH158" s="5" t="str">
        <f>IF(AND('Project Database'!A162&lt;&gt;"",OR('Smart Search'!$L$5="",'Smart Search'!$L$5="All",TRIM('Project Database'!D162)=TRIM('Smart Search'!$L$5)),OR(TRIM('Smart Search'!$L$6)="",TRIM('Smart Search'!$L$6)="All",ISNUMBER(SEARCH(SUBSTITUTE(SUBSTITUTE(SUBSTITUTE(TRIM('Smart Search'!$L$6),"~","~~"),"*","~*"),"?","~?"),'Project Database'!C162))),OR('Smart Search'!$L$7="",AND('Project Database'!E162&lt;&gt;"",'Project Database'!E162='Smart Search'!$L$7)),OR('Smart Search'!$L$8="",'Smart Search'!$L$8="All",TRIM('Project Database'!F162)=TRIM('Smart Search'!$L$8))),IF(BA158="","",BA158+ROW()*0.0000000001),"")</f>
        <v/>
      </c>
      <c r="BI158" s="5" t="str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 t="str">
        <f>IF('Project Database'!A162="","",N('Project Database'!AC162))</f>
        <v/>
      </c>
      <c r="BK158" s="5" t="str">
        <f>IF('Project Database'!A162="","",N('Project Database'!AD162))</f>
        <v/>
      </c>
      <c r="BL158" s="5" t="str">
        <f>IF('Project Database'!A162="","",N('Project Database'!AE162))</f>
        <v/>
      </c>
      <c r="BM158" s="5" t="str">
        <f>IF('Project Database'!A162="","",N('Project Database'!AF162))</f>
        <v/>
      </c>
      <c r="BN158" s="5" t="str">
        <f>IF('Project Database'!A162="","",N('Project Database'!AG162))</f>
        <v/>
      </c>
      <c r="BO158" s="5" t="str">
        <f>IF('Project Database'!A162="","",N('Project Database'!AH162))</f>
        <v/>
      </c>
      <c r="BP158" s="5" t="str">
        <f>IF('Project Database'!A162="","",N('Project Database'!AI162))</f>
        <v/>
      </c>
      <c r="BQ158" s="5" t="str">
        <f>IF('Project Database'!A162="","",N('Project Database'!AJ162))</f>
        <v/>
      </c>
      <c r="BR158" s="5" t="str">
        <f>IF('Project Database'!A162="","",N('Project Database'!AK162))</f>
        <v/>
      </c>
      <c r="BS158" s="5" t="str">
        <f>IF('Project Database'!A162="","",N('Project Database'!AL162))</f>
        <v/>
      </c>
      <c r="BT158" s="5" t="str">
        <f>IF('Project Database'!A162="","",N('Project Database'!AM162))</f>
        <v/>
      </c>
      <c r="BU158" s="5" t="str">
        <f>IF('Project Database'!A162="","",N('Project Database'!AN162))</f>
        <v/>
      </c>
      <c r="BV158" s="5" t="str">
        <f>IF('Project Database'!A162="","",N('Project Database'!AO162))</f>
        <v/>
      </c>
      <c r="BW158" s="5" t="str">
        <f>IF('Project Database'!A162="","",N('Project Database'!AP162))</f>
        <v/>
      </c>
      <c r="BX158" s="5">
        <f t="shared" si="40"/>
        <v>0</v>
      </c>
      <c r="BY158" s="5">
        <f t="shared" si="41"/>
        <v>0</v>
      </c>
    </row>
    <row r="159" spans="1:77" ht="15" customHeight="1" x14ac:dyDescent="0.3">
      <c r="A159" s="66">
        <f>'Project Database'!A163</f>
        <v>0</v>
      </c>
      <c r="B159" s="66">
        <f>'Project Database'!B163</f>
        <v>0</v>
      </c>
      <c r="C159" s="66">
        <f>'Project Database'!G163</f>
        <v>0</v>
      </c>
      <c r="D159" s="66">
        <f>'Project Database'!H163</f>
        <v>0</v>
      </c>
      <c r="E159" s="66">
        <f>'Project Database'!I163</f>
        <v>0</v>
      </c>
      <c r="F159" s="66">
        <f>'Project Database'!J163</f>
        <v>0</v>
      </c>
      <c r="G159" s="66">
        <f>'Project Database'!K163</f>
        <v>0</v>
      </c>
      <c r="H159" s="66">
        <f>'Project Database'!L163</f>
        <v>0</v>
      </c>
      <c r="I159" s="66">
        <f>'Project Database'!M163</f>
        <v>0</v>
      </c>
      <c r="J159" s="66">
        <f>'Project Database'!N163</f>
        <v>0</v>
      </c>
      <c r="K159" s="66">
        <f>'Project Database'!O163</f>
        <v>0</v>
      </c>
      <c r="L159" s="66">
        <f>'Project Database'!P163</f>
        <v>0</v>
      </c>
      <c r="M159" s="66">
        <f>'Project Database'!Q163</f>
        <v>0</v>
      </c>
      <c r="N159" s="66">
        <f>'Project Database'!R163</f>
        <v>0</v>
      </c>
      <c r="O159" s="66">
        <f>'Project Database'!S163</f>
        <v>0</v>
      </c>
      <c r="P159" s="66">
        <f>'Project Database'!T163</f>
        <v>0</v>
      </c>
      <c r="Q159" s="66">
        <f>'Project Database'!U163</f>
        <v>0</v>
      </c>
      <c r="R159" s="66">
        <f>'Project Database'!V163</f>
        <v>0</v>
      </c>
      <c r="S159" s="66">
        <f>'Project Database'!W163</f>
        <v>0</v>
      </c>
      <c r="T159" s="66">
        <f>'Project Database'!X163</f>
        <v>0</v>
      </c>
      <c r="U159" s="67">
        <f>'Project Database'!Y163</f>
        <v>0</v>
      </c>
      <c r="V159" s="66">
        <f>IF('Smart Search'!B13=1,IFERROR(1/'Smart Search'!H13,0),0)</f>
        <v>0</v>
      </c>
      <c r="W159" s="66">
        <f>IF('Smart Search'!B13=1,IFERROR(1/'Smart Search'!H13,0),0)</f>
        <v>0</v>
      </c>
      <c r="X159" s="66">
        <f>IF('Smart Search'!C13=1,IFERROR(1/'Smart Search'!H13,0),0)</f>
        <v>0.5</v>
      </c>
      <c r="Y159" s="66">
        <f>IF('Smart Search'!C13=1,IFERROR(1/'Smart Search'!H13,0),0)</f>
        <v>0.5</v>
      </c>
      <c r="Z159" s="66">
        <f>IF('Smart Search'!D13=1,IFERROR(1/'Smart Search'!H13,0),0)</f>
        <v>0</v>
      </c>
      <c r="AA159" s="66">
        <f>IF('Smart Search'!D13=1,IFERROR(1/'Smart Search'!H13,0),0)</f>
        <v>0</v>
      </c>
      <c r="AB159" s="66">
        <f>IF('Smart Search'!E13=1,IFERROR(1/'Smart Search'!H13,0),0)</f>
        <v>0</v>
      </c>
      <c r="AC159" s="66">
        <f>IF('Smart Search'!E13=1,IFERROR(1/'Smart Search'!H13,0),0)</f>
        <v>0</v>
      </c>
      <c r="AD159" s="66">
        <f>IF('Smart Search'!F13=1,IFERROR(1/'Smart Search'!H13,0),0)</f>
        <v>0</v>
      </c>
      <c r="AE159" s="66">
        <f>IF('Smart Search'!F13=1,IFERROR(1/'Smart Search'!H13,0),0)</f>
        <v>0</v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>0</v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>0</v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>0</v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>0</v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>0</v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>0</v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>0</v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>0</v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>0</v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>0</v>
      </c>
      <c r="AP159" s="66">
        <f t="shared" si="28"/>
        <v>0</v>
      </c>
      <c r="AQ159" s="66">
        <f t="shared" si="29"/>
        <v>0</v>
      </c>
      <c r="AR159" s="66">
        <f t="shared" si="30"/>
        <v>0</v>
      </c>
      <c r="AS159" s="66">
        <f t="shared" si="31"/>
        <v>0</v>
      </c>
      <c r="AT159" s="66">
        <f t="shared" si="32"/>
        <v>0</v>
      </c>
      <c r="AU159" s="66">
        <f t="shared" si="33"/>
        <v>0</v>
      </c>
      <c r="AV159" s="66">
        <f t="shared" si="34"/>
        <v>0</v>
      </c>
      <c r="AW159" s="66">
        <f t="shared" si="35"/>
        <v>0</v>
      </c>
      <c r="AX159" s="66">
        <f t="shared" si="36"/>
        <v>0</v>
      </c>
      <c r="AY159" s="66">
        <f t="shared" si="37"/>
        <v>0</v>
      </c>
      <c r="AZ159" s="66">
        <f>'Project Database'!Z163</f>
        <v>0</v>
      </c>
      <c r="BA159" s="66">
        <f>IF(OR(A159="",'Smart Search'!H13=0),"",MAX(0,BE159*BF159*MAX(0,1-BG159)))</f>
        <v>0</v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>0</v>
      </c>
      <c r="BC159" s="66">
        <f>IF('Smart Search'!G13=1,IFERROR(1/'Smart Search'!H13,0),0)</f>
        <v>0</v>
      </c>
      <c r="BD159" s="66">
        <f t="shared" si="38"/>
        <v>0</v>
      </c>
      <c r="BE159" s="66">
        <f t="shared" si="39"/>
        <v>0</v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>0</v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>0</v>
      </c>
      <c r="BH159" s="5" t="str">
        <f>IF(AND('Project Database'!A163&lt;&gt;"",OR('Smart Search'!$L$5="",'Smart Search'!$L$5="All",TRIM('Project Database'!D163)=TRIM('Smart Search'!$L$5)),OR(TRIM('Smart Search'!$L$6)="",TRIM('Smart Search'!$L$6)="All",ISNUMBER(SEARCH(SUBSTITUTE(SUBSTITUTE(SUBSTITUTE(TRIM('Smart Search'!$L$6),"~","~~"),"*","~*"),"?","~?"),'Project Database'!C163))),OR('Smart Search'!$L$7="",AND('Project Database'!E163&lt;&gt;"",'Project Database'!E163='Smart Search'!$L$7)),OR('Smart Search'!$L$8="",'Smart Search'!$L$8="All",TRIM('Project Database'!F163)=TRIM('Smart Search'!$L$8))),IF(BA159="","",BA159+ROW()*0.0000000001),"")</f>
        <v/>
      </c>
      <c r="BI159" s="5" t="str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 t="str">
        <f>IF('Project Database'!A163="","",N('Project Database'!AC163))</f>
        <v/>
      </c>
      <c r="BK159" s="5" t="str">
        <f>IF('Project Database'!A163="","",N('Project Database'!AD163))</f>
        <v/>
      </c>
      <c r="BL159" s="5" t="str">
        <f>IF('Project Database'!A163="","",N('Project Database'!AE163))</f>
        <v/>
      </c>
      <c r="BM159" s="5" t="str">
        <f>IF('Project Database'!A163="","",N('Project Database'!AF163))</f>
        <v/>
      </c>
      <c r="BN159" s="5" t="str">
        <f>IF('Project Database'!A163="","",N('Project Database'!AG163))</f>
        <v/>
      </c>
      <c r="BO159" s="5" t="str">
        <f>IF('Project Database'!A163="","",N('Project Database'!AH163))</f>
        <v/>
      </c>
      <c r="BP159" s="5" t="str">
        <f>IF('Project Database'!A163="","",N('Project Database'!AI163))</f>
        <v/>
      </c>
      <c r="BQ159" s="5" t="str">
        <f>IF('Project Database'!A163="","",N('Project Database'!AJ163))</f>
        <v/>
      </c>
      <c r="BR159" s="5" t="str">
        <f>IF('Project Database'!A163="","",N('Project Database'!AK163))</f>
        <v/>
      </c>
      <c r="BS159" s="5" t="str">
        <f>IF('Project Database'!A163="","",N('Project Database'!AL163))</f>
        <v/>
      </c>
      <c r="BT159" s="5" t="str">
        <f>IF('Project Database'!A163="","",N('Project Database'!AM163))</f>
        <v/>
      </c>
      <c r="BU159" s="5" t="str">
        <f>IF('Project Database'!A163="","",N('Project Database'!AN163))</f>
        <v/>
      </c>
      <c r="BV159" s="5" t="str">
        <f>IF('Project Database'!A163="","",N('Project Database'!AO163))</f>
        <v/>
      </c>
      <c r="BW159" s="5" t="str">
        <f>IF('Project Database'!A163="","",N('Project Database'!AP163))</f>
        <v/>
      </c>
      <c r="BX159" s="5">
        <f t="shared" si="40"/>
        <v>0</v>
      </c>
      <c r="BY159" s="5">
        <f t="shared" si="41"/>
        <v>0</v>
      </c>
    </row>
    <row r="160" spans="1:77" ht="15" customHeight="1" x14ac:dyDescent="0.3">
      <c r="A160" s="66">
        <f>'Project Database'!A164</f>
        <v>0</v>
      </c>
      <c r="B160" s="66">
        <f>'Project Database'!B164</f>
        <v>0</v>
      </c>
      <c r="C160" s="66">
        <f>'Project Database'!G164</f>
        <v>0</v>
      </c>
      <c r="D160" s="66">
        <f>'Project Database'!H164</f>
        <v>0</v>
      </c>
      <c r="E160" s="66">
        <f>'Project Database'!I164</f>
        <v>0</v>
      </c>
      <c r="F160" s="66">
        <f>'Project Database'!J164</f>
        <v>0</v>
      </c>
      <c r="G160" s="66">
        <f>'Project Database'!K164</f>
        <v>0</v>
      </c>
      <c r="H160" s="66">
        <f>'Project Database'!L164</f>
        <v>0</v>
      </c>
      <c r="I160" s="66">
        <f>'Project Database'!M164</f>
        <v>0</v>
      </c>
      <c r="J160" s="66">
        <f>'Project Database'!N164</f>
        <v>0</v>
      </c>
      <c r="K160" s="66">
        <f>'Project Database'!O164</f>
        <v>0</v>
      </c>
      <c r="L160" s="66">
        <f>'Project Database'!P164</f>
        <v>0</v>
      </c>
      <c r="M160" s="66">
        <f>'Project Database'!Q164</f>
        <v>0</v>
      </c>
      <c r="N160" s="66">
        <f>'Project Database'!R164</f>
        <v>0</v>
      </c>
      <c r="O160" s="66">
        <f>'Project Database'!S164</f>
        <v>0</v>
      </c>
      <c r="P160" s="66">
        <f>'Project Database'!T164</f>
        <v>0</v>
      </c>
      <c r="Q160" s="66">
        <f>'Project Database'!U164</f>
        <v>0</v>
      </c>
      <c r="R160" s="66">
        <f>'Project Database'!V164</f>
        <v>0</v>
      </c>
      <c r="S160" s="66">
        <f>'Project Database'!W164</f>
        <v>0</v>
      </c>
      <c r="T160" s="66">
        <f>'Project Database'!X164</f>
        <v>0</v>
      </c>
      <c r="U160" s="67">
        <f>'Project Database'!Y164</f>
        <v>0</v>
      </c>
      <c r="V160" s="66">
        <f>IF('Smart Search'!B13=1,IFERROR(1/'Smart Search'!H13,0),0)</f>
        <v>0</v>
      </c>
      <c r="W160" s="66">
        <f>IF('Smart Search'!B13=1,IFERROR(1/'Smart Search'!H13,0),0)</f>
        <v>0</v>
      </c>
      <c r="X160" s="66">
        <f>IF('Smart Search'!C13=1,IFERROR(1/'Smart Search'!H13,0),0)</f>
        <v>0.5</v>
      </c>
      <c r="Y160" s="66">
        <f>IF('Smart Search'!C13=1,IFERROR(1/'Smart Search'!H13,0),0)</f>
        <v>0.5</v>
      </c>
      <c r="Z160" s="66">
        <f>IF('Smart Search'!D13=1,IFERROR(1/'Smart Search'!H13,0),0)</f>
        <v>0</v>
      </c>
      <c r="AA160" s="66">
        <f>IF('Smart Search'!D13=1,IFERROR(1/'Smart Search'!H13,0),0)</f>
        <v>0</v>
      </c>
      <c r="AB160" s="66">
        <f>IF('Smart Search'!E13=1,IFERROR(1/'Smart Search'!H13,0),0)</f>
        <v>0</v>
      </c>
      <c r="AC160" s="66">
        <f>IF('Smart Search'!E13=1,IFERROR(1/'Smart Search'!H13,0),0)</f>
        <v>0</v>
      </c>
      <c r="AD160" s="66">
        <f>IF('Smart Search'!F13=1,IFERROR(1/'Smart Search'!H13,0),0)</f>
        <v>0</v>
      </c>
      <c r="AE160" s="66">
        <f>IF('Smart Search'!F13=1,IFERROR(1/'Smart Search'!H13,0),0)</f>
        <v>0</v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>0</v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>0</v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>0</v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>0</v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>0</v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>0</v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>0</v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>0</v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>0</v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>0</v>
      </c>
      <c r="AP160" s="66">
        <f t="shared" si="28"/>
        <v>0</v>
      </c>
      <c r="AQ160" s="66">
        <f t="shared" si="29"/>
        <v>0</v>
      </c>
      <c r="AR160" s="66">
        <f t="shared" si="30"/>
        <v>0</v>
      </c>
      <c r="AS160" s="66">
        <f t="shared" si="31"/>
        <v>0</v>
      </c>
      <c r="AT160" s="66">
        <f t="shared" si="32"/>
        <v>0</v>
      </c>
      <c r="AU160" s="66">
        <f t="shared" si="33"/>
        <v>0</v>
      </c>
      <c r="AV160" s="66">
        <f t="shared" si="34"/>
        <v>0</v>
      </c>
      <c r="AW160" s="66">
        <f t="shared" si="35"/>
        <v>0</v>
      </c>
      <c r="AX160" s="66">
        <f t="shared" si="36"/>
        <v>0</v>
      </c>
      <c r="AY160" s="66">
        <f t="shared" si="37"/>
        <v>0</v>
      </c>
      <c r="AZ160" s="66">
        <f>'Project Database'!Z164</f>
        <v>0</v>
      </c>
      <c r="BA160" s="66">
        <f>IF(OR(A160="",'Smart Search'!H13=0),"",MAX(0,BE160*BF160*MAX(0,1-BG160)))</f>
        <v>0</v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>0</v>
      </c>
      <c r="BC160" s="66">
        <f>IF('Smart Search'!G13=1,IFERROR(1/'Smart Search'!H13,0),0)</f>
        <v>0</v>
      </c>
      <c r="BD160" s="66">
        <f t="shared" si="38"/>
        <v>0</v>
      </c>
      <c r="BE160" s="66">
        <f t="shared" si="39"/>
        <v>0</v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>0</v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>0</v>
      </c>
      <c r="BH160" s="5" t="str">
        <f>IF(AND('Project Database'!A164&lt;&gt;"",OR('Smart Search'!$L$5="",'Smart Search'!$L$5="All",TRIM('Project Database'!D164)=TRIM('Smart Search'!$L$5)),OR(TRIM('Smart Search'!$L$6)="",TRIM('Smart Search'!$L$6)="All",ISNUMBER(SEARCH(SUBSTITUTE(SUBSTITUTE(SUBSTITUTE(TRIM('Smart Search'!$L$6),"~","~~"),"*","~*"),"?","~?"),'Project Database'!C164))),OR('Smart Search'!$L$7="",AND('Project Database'!E164&lt;&gt;"",'Project Database'!E164='Smart Search'!$L$7)),OR('Smart Search'!$L$8="",'Smart Search'!$L$8="All",TRIM('Project Database'!F164)=TRIM('Smart Search'!$L$8))),IF(BA160="","",BA160+ROW()*0.0000000001),"")</f>
        <v/>
      </c>
      <c r="BI160" s="5" t="str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 t="str">
        <f>IF('Project Database'!A164="","",N('Project Database'!AC164))</f>
        <v/>
      </c>
      <c r="BK160" s="5" t="str">
        <f>IF('Project Database'!A164="","",N('Project Database'!AD164))</f>
        <v/>
      </c>
      <c r="BL160" s="5" t="str">
        <f>IF('Project Database'!A164="","",N('Project Database'!AE164))</f>
        <v/>
      </c>
      <c r="BM160" s="5" t="str">
        <f>IF('Project Database'!A164="","",N('Project Database'!AF164))</f>
        <v/>
      </c>
      <c r="BN160" s="5" t="str">
        <f>IF('Project Database'!A164="","",N('Project Database'!AG164))</f>
        <v/>
      </c>
      <c r="BO160" s="5" t="str">
        <f>IF('Project Database'!A164="","",N('Project Database'!AH164))</f>
        <v/>
      </c>
      <c r="BP160" s="5" t="str">
        <f>IF('Project Database'!A164="","",N('Project Database'!AI164))</f>
        <v/>
      </c>
      <c r="BQ160" s="5" t="str">
        <f>IF('Project Database'!A164="","",N('Project Database'!AJ164))</f>
        <v/>
      </c>
      <c r="BR160" s="5" t="str">
        <f>IF('Project Database'!A164="","",N('Project Database'!AK164))</f>
        <v/>
      </c>
      <c r="BS160" s="5" t="str">
        <f>IF('Project Database'!A164="","",N('Project Database'!AL164))</f>
        <v/>
      </c>
      <c r="BT160" s="5" t="str">
        <f>IF('Project Database'!A164="","",N('Project Database'!AM164))</f>
        <v/>
      </c>
      <c r="BU160" s="5" t="str">
        <f>IF('Project Database'!A164="","",N('Project Database'!AN164))</f>
        <v/>
      </c>
      <c r="BV160" s="5" t="str">
        <f>IF('Project Database'!A164="","",N('Project Database'!AO164))</f>
        <v/>
      </c>
      <c r="BW160" s="5" t="str">
        <f>IF('Project Database'!A164="","",N('Project Database'!AP164))</f>
        <v/>
      </c>
      <c r="BX160" s="5">
        <f t="shared" si="40"/>
        <v>0</v>
      </c>
      <c r="BY160" s="5">
        <f t="shared" si="41"/>
        <v>0</v>
      </c>
    </row>
    <row r="161" spans="1:77" ht="15" customHeight="1" x14ac:dyDescent="0.3">
      <c r="A161" s="66">
        <f>'Project Database'!A165</f>
        <v>0</v>
      </c>
      <c r="B161" s="66">
        <f>'Project Database'!B165</f>
        <v>0</v>
      </c>
      <c r="C161" s="66">
        <f>'Project Database'!G165</f>
        <v>0</v>
      </c>
      <c r="D161" s="66">
        <f>'Project Database'!H165</f>
        <v>0</v>
      </c>
      <c r="E161" s="66">
        <f>'Project Database'!I165</f>
        <v>0</v>
      </c>
      <c r="F161" s="66">
        <f>'Project Database'!J165</f>
        <v>0</v>
      </c>
      <c r="G161" s="66">
        <f>'Project Database'!K165</f>
        <v>0</v>
      </c>
      <c r="H161" s="66">
        <f>'Project Database'!L165</f>
        <v>0</v>
      </c>
      <c r="I161" s="66">
        <f>'Project Database'!M165</f>
        <v>0</v>
      </c>
      <c r="J161" s="66">
        <f>'Project Database'!N165</f>
        <v>0</v>
      </c>
      <c r="K161" s="66">
        <f>'Project Database'!O165</f>
        <v>0</v>
      </c>
      <c r="L161" s="66">
        <f>'Project Database'!P165</f>
        <v>0</v>
      </c>
      <c r="M161" s="66">
        <f>'Project Database'!Q165</f>
        <v>0</v>
      </c>
      <c r="N161" s="66">
        <f>'Project Database'!R165</f>
        <v>0</v>
      </c>
      <c r="O161" s="66">
        <f>'Project Database'!S165</f>
        <v>0</v>
      </c>
      <c r="P161" s="66">
        <f>'Project Database'!T165</f>
        <v>0</v>
      </c>
      <c r="Q161" s="66">
        <f>'Project Database'!U165</f>
        <v>0</v>
      </c>
      <c r="R161" s="66">
        <f>'Project Database'!V165</f>
        <v>0</v>
      </c>
      <c r="S161" s="66">
        <f>'Project Database'!W165</f>
        <v>0</v>
      </c>
      <c r="T161" s="66">
        <f>'Project Database'!X165</f>
        <v>0</v>
      </c>
      <c r="U161" s="67">
        <f>'Project Database'!Y165</f>
        <v>0</v>
      </c>
      <c r="V161" s="66">
        <f>IF('Smart Search'!B13=1,IFERROR(1/'Smart Search'!H13,0),0)</f>
        <v>0</v>
      </c>
      <c r="W161" s="66">
        <f>IF('Smart Search'!B13=1,IFERROR(1/'Smart Search'!H13,0),0)</f>
        <v>0</v>
      </c>
      <c r="X161" s="66">
        <f>IF('Smart Search'!C13=1,IFERROR(1/'Smart Search'!H13,0),0)</f>
        <v>0.5</v>
      </c>
      <c r="Y161" s="66">
        <f>IF('Smart Search'!C13=1,IFERROR(1/'Smart Search'!H13,0),0)</f>
        <v>0.5</v>
      </c>
      <c r="Z161" s="66">
        <f>IF('Smart Search'!D13=1,IFERROR(1/'Smart Search'!H13,0),0)</f>
        <v>0</v>
      </c>
      <c r="AA161" s="66">
        <f>IF('Smart Search'!D13=1,IFERROR(1/'Smart Search'!H13,0),0)</f>
        <v>0</v>
      </c>
      <c r="AB161" s="66">
        <f>IF('Smart Search'!E13=1,IFERROR(1/'Smart Search'!H13,0),0)</f>
        <v>0</v>
      </c>
      <c r="AC161" s="66">
        <f>IF('Smart Search'!E13=1,IFERROR(1/'Smart Search'!H13,0),0)</f>
        <v>0</v>
      </c>
      <c r="AD161" s="66">
        <f>IF('Smart Search'!F13=1,IFERROR(1/'Smart Search'!H13,0),0)</f>
        <v>0</v>
      </c>
      <c r="AE161" s="66">
        <f>IF('Smart Search'!F13=1,IFERROR(1/'Smart Search'!H13,0),0)</f>
        <v>0</v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>0</v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>0</v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>0</v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>0</v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>0</v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>0</v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>0</v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>0</v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>0</v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>0</v>
      </c>
      <c r="AP161" s="66">
        <f t="shared" si="28"/>
        <v>0</v>
      </c>
      <c r="AQ161" s="66">
        <f t="shared" si="29"/>
        <v>0</v>
      </c>
      <c r="AR161" s="66">
        <f t="shared" si="30"/>
        <v>0</v>
      </c>
      <c r="AS161" s="66">
        <f t="shared" si="31"/>
        <v>0</v>
      </c>
      <c r="AT161" s="66">
        <f t="shared" si="32"/>
        <v>0</v>
      </c>
      <c r="AU161" s="66">
        <f t="shared" si="33"/>
        <v>0</v>
      </c>
      <c r="AV161" s="66">
        <f t="shared" si="34"/>
        <v>0</v>
      </c>
      <c r="AW161" s="66">
        <f t="shared" si="35"/>
        <v>0</v>
      </c>
      <c r="AX161" s="66">
        <f t="shared" si="36"/>
        <v>0</v>
      </c>
      <c r="AY161" s="66">
        <f t="shared" si="37"/>
        <v>0</v>
      </c>
      <c r="AZ161" s="66">
        <f>'Project Database'!Z165</f>
        <v>0</v>
      </c>
      <c r="BA161" s="66">
        <f>IF(OR(A161="",'Smart Search'!H13=0),"",MAX(0,BE161*BF161*MAX(0,1-BG161)))</f>
        <v>0</v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>0</v>
      </c>
      <c r="BC161" s="66">
        <f>IF('Smart Search'!G13=1,IFERROR(1/'Smart Search'!H13,0),0)</f>
        <v>0</v>
      </c>
      <c r="BD161" s="66">
        <f t="shared" si="38"/>
        <v>0</v>
      </c>
      <c r="BE161" s="66">
        <f t="shared" si="39"/>
        <v>0</v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>0</v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>0</v>
      </c>
      <c r="BH161" s="5" t="str">
        <f>IF(AND('Project Database'!A165&lt;&gt;"",OR('Smart Search'!$L$5="",'Smart Search'!$L$5="All",TRIM('Project Database'!D165)=TRIM('Smart Search'!$L$5)),OR(TRIM('Smart Search'!$L$6)="",TRIM('Smart Search'!$L$6)="All",ISNUMBER(SEARCH(SUBSTITUTE(SUBSTITUTE(SUBSTITUTE(TRIM('Smart Search'!$L$6),"~","~~"),"*","~*"),"?","~?"),'Project Database'!C165))),OR('Smart Search'!$L$7="",AND('Project Database'!E165&lt;&gt;"",'Project Database'!E165='Smart Search'!$L$7)),OR('Smart Search'!$L$8="",'Smart Search'!$L$8="All",TRIM('Project Database'!F165)=TRIM('Smart Search'!$L$8))),IF(BA161="","",BA161+ROW()*0.0000000001),"")</f>
        <v/>
      </c>
      <c r="BI161" s="5" t="str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 t="str">
        <f>IF('Project Database'!A165="","",N('Project Database'!AC165))</f>
        <v/>
      </c>
      <c r="BK161" s="5" t="str">
        <f>IF('Project Database'!A165="","",N('Project Database'!AD165))</f>
        <v/>
      </c>
      <c r="BL161" s="5" t="str">
        <f>IF('Project Database'!A165="","",N('Project Database'!AE165))</f>
        <v/>
      </c>
      <c r="BM161" s="5" t="str">
        <f>IF('Project Database'!A165="","",N('Project Database'!AF165))</f>
        <v/>
      </c>
      <c r="BN161" s="5" t="str">
        <f>IF('Project Database'!A165="","",N('Project Database'!AG165))</f>
        <v/>
      </c>
      <c r="BO161" s="5" t="str">
        <f>IF('Project Database'!A165="","",N('Project Database'!AH165))</f>
        <v/>
      </c>
      <c r="BP161" s="5" t="str">
        <f>IF('Project Database'!A165="","",N('Project Database'!AI165))</f>
        <v/>
      </c>
      <c r="BQ161" s="5" t="str">
        <f>IF('Project Database'!A165="","",N('Project Database'!AJ165))</f>
        <v/>
      </c>
      <c r="BR161" s="5" t="str">
        <f>IF('Project Database'!A165="","",N('Project Database'!AK165))</f>
        <v/>
      </c>
      <c r="BS161" s="5" t="str">
        <f>IF('Project Database'!A165="","",N('Project Database'!AL165))</f>
        <v/>
      </c>
      <c r="BT161" s="5" t="str">
        <f>IF('Project Database'!A165="","",N('Project Database'!AM165))</f>
        <v/>
      </c>
      <c r="BU161" s="5" t="str">
        <f>IF('Project Database'!A165="","",N('Project Database'!AN165))</f>
        <v/>
      </c>
      <c r="BV161" s="5" t="str">
        <f>IF('Project Database'!A165="","",N('Project Database'!AO165))</f>
        <v/>
      </c>
      <c r="BW161" s="5" t="str">
        <f>IF('Project Database'!A165="","",N('Project Database'!AP165))</f>
        <v/>
      </c>
      <c r="BX161" s="5">
        <f t="shared" si="40"/>
        <v>0</v>
      </c>
      <c r="BY161" s="5">
        <f t="shared" si="41"/>
        <v>0</v>
      </c>
    </row>
    <row r="162" spans="1:77" ht="15" customHeight="1" x14ac:dyDescent="0.3">
      <c r="A162" s="66">
        <f>'Project Database'!A166</f>
        <v>0</v>
      </c>
      <c r="B162" s="66">
        <f>'Project Database'!B166</f>
        <v>0</v>
      </c>
      <c r="C162" s="66">
        <f>'Project Database'!G166</f>
        <v>0</v>
      </c>
      <c r="D162" s="66">
        <f>'Project Database'!H166</f>
        <v>0</v>
      </c>
      <c r="E162" s="66">
        <f>'Project Database'!I166</f>
        <v>0</v>
      </c>
      <c r="F162" s="66">
        <f>'Project Database'!J166</f>
        <v>0</v>
      </c>
      <c r="G162" s="66">
        <f>'Project Database'!K166</f>
        <v>0</v>
      </c>
      <c r="H162" s="66">
        <f>'Project Database'!L166</f>
        <v>0</v>
      </c>
      <c r="I162" s="66">
        <f>'Project Database'!M166</f>
        <v>0</v>
      </c>
      <c r="J162" s="66">
        <f>'Project Database'!N166</f>
        <v>0</v>
      </c>
      <c r="K162" s="66">
        <f>'Project Database'!O166</f>
        <v>0</v>
      </c>
      <c r="L162" s="66">
        <f>'Project Database'!P166</f>
        <v>0</v>
      </c>
      <c r="M162" s="66">
        <f>'Project Database'!Q166</f>
        <v>0</v>
      </c>
      <c r="N162" s="66">
        <f>'Project Database'!R166</f>
        <v>0</v>
      </c>
      <c r="O162" s="66">
        <f>'Project Database'!S166</f>
        <v>0</v>
      </c>
      <c r="P162" s="66">
        <f>'Project Database'!T166</f>
        <v>0</v>
      </c>
      <c r="Q162" s="66">
        <f>'Project Database'!U166</f>
        <v>0</v>
      </c>
      <c r="R162" s="66">
        <f>'Project Database'!V166</f>
        <v>0</v>
      </c>
      <c r="S162" s="66">
        <f>'Project Database'!W166</f>
        <v>0</v>
      </c>
      <c r="T162" s="66">
        <f>'Project Database'!X166</f>
        <v>0</v>
      </c>
      <c r="U162" s="67">
        <f>'Project Database'!Y166</f>
        <v>0</v>
      </c>
      <c r="V162" s="66">
        <f>IF('Smart Search'!B13=1,IFERROR(1/'Smart Search'!H13,0),0)</f>
        <v>0</v>
      </c>
      <c r="W162" s="66">
        <f>IF('Smart Search'!B13=1,IFERROR(1/'Smart Search'!H13,0),0)</f>
        <v>0</v>
      </c>
      <c r="X162" s="66">
        <f>IF('Smart Search'!C13=1,IFERROR(1/'Smart Search'!H13,0),0)</f>
        <v>0.5</v>
      </c>
      <c r="Y162" s="66">
        <f>IF('Smart Search'!C13=1,IFERROR(1/'Smart Search'!H13,0),0)</f>
        <v>0.5</v>
      </c>
      <c r="Z162" s="66">
        <f>IF('Smart Search'!D13=1,IFERROR(1/'Smart Search'!H13,0),0)</f>
        <v>0</v>
      </c>
      <c r="AA162" s="66">
        <f>IF('Smart Search'!D13=1,IFERROR(1/'Smart Search'!H13,0),0)</f>
        <v>0</v>
      </c>
      <c r="AB162" s="66">
        <f>IF('Smart Search'!E13=1,IFERROR(1/'Smart Search'!H13,0),0)</f>
        <v>0</v>
      </c>
      <c r="AC162" s="66">
        <f>IF('Smart Search'!E13=1,IFERROR(1/'Smart Search'!H13,0),0)</f>
        <v>0</v>
      </c>
      <c r="AD162" s="66">
        <f>IF('Smart Search'!F13=1,IFERROR(1/'Smart Search'!H13,0),0)</f>
        <v>0</v>
      </c>
      <c r="AE162" s="66">
        <f>IF('Smart Search'!F13=1,IFERROR(1/'Smart Search'!H13,0),0)</f>
        <v>0</v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>0</v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>0</v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>0</v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>0</v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>0</v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>0</v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>0</v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>0</v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>0</v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>0</v>
      </c>
      <c r="AP162" s="66">
        <f t="shared" si="28"/>
        <v>0</v>
      </c>
      <c r="AQ162" s="66">
        <f t="shared" si="29"/>
        <v>0</v>
      </c>
      <c r="AR162" s="66">
        <f t="shared" si="30"/>
        <v>0</v>
      </c>
      <c r="AS162" s="66">
        <f t="shared" si="31"/>
        <v>0</v>
      </c>
      <c r="AT162" s="66">
        <f t="shared" si="32"/>
        <v>0</v>
      </c>
      <c r="AU162" s="66">
        <f t="shared" si="33"/>
        <v>0</v>
      </c>
      <c r="AV162" s="66">
        <f t="shared" si="34"/>
        <v>0</v>
      </c>
      <c r="AW162" s="66">
        <f t="shared" si="35"/>
        <v>0</v>
      </c>
      <c r="AX162" s="66">
        <f t="shared" si="36"/>
        <v>0</v>
      </c>
      <c r="AY162" s="66">
        <f t="shared" si="37"/>
        <v>0</v>
      </c>
      <c r="AZ162" s="66">
        <f>'Project Database'!Z166</f>
        <v>0</v>
      </c>
      <c r="BA162" s="66">
        <f>IF(OR(A162="",'Smart Search'!H13=0),"",MAX(0,BE162*BF162*MAX(0,1-BG162)))</f>
        <v>0</v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>0</v>
      </c>
      <c r="BC162" s="66">
        <f>IF('Smart Search'!G13=1,IFERROR(1/'Smart Search'!H13,0),0)</f>
        <v>0</v>
      </c>
      <c r="BD162" s="66">
        <f t="shared" si="38"/>
        <v>0</v>
      </c>
      <c r="BE162" s="66">
        <f t="shared" si="39"/>
        <v>0</v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>0</v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>0</v>
      </c>
      <c r="BH162" s="5" t="str">
        <f>IF(AND('Project Database'!A166&lt;&gt;"",OR('Smart Search'!$L$5="",'Smart Search'!$L$5="All",TRIM('Project Database'!D166)=TRIM('Smart Search'!$L$5)),OR(TRIM('Smart Search'!$L$6)="",TRIM('Smart Search'!$L$6)="All",ISNUMBER(SEARCH(SUBSTITUTE(SUBSTITUTE(SUBSTITUTE(TRIM('Smart Search'!$L$6),"~","~~"),"*","~*"),"?","~?"),'Project Database'!C166))),OR('Smart Search'!$L$7="",AND('Project Database'!E166&lt;&gt;"",'Project Database'!E166='Smart Search'!$L$7)),OR('Smart Search'!$L$8="",'Smart Search'!$L$8="All",TRIM('Project Database'!F166)=TRIM('Smart Search'!$L$8))),IF(BA162="","",BA162+ROW()*0.0000000001),"")</f>
        <v/>
      </c>
      <c r="BI162" s="5" t="str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 t="str">
        <f>IF('Project Database'!A166="","",N('Project Database'!AC166))</f>
        <v/>
      </c>
      <c r="BK162" s="5" t="str">
        <f>IF('Project Database'!A166="","",N('Project Database'!AD166))</f>
        <v/>
      </c>
      <c r="BL162" s="5" t="str">
        <f>IF('Project Database'!A166="","",N('Project Database'!AE166))</f>
        <v/>
      </c>
      <c r="BM162" s="5" t="str">
        <f>IF('Project Database'!A166="","",N('Project Database'!AF166))</f>
        <v/>
      </c>
      <c r="BN162" s="5" t="str">
        <f>IF('Project Database'!A166="","",N('Project Database'!AG166))</f>
        <v/>
      </c>
      <c r="BO162" s="5" t="str">
        <f>IF('Project Database'!A166="","",N('Project Database'!AH166))</f>
        <v/>
      </c>
      <c r="BP162" s="5" t="str">
        <f>IF('Project Database'!A166="","",N('Project Database'!AI166))</f>
        <v/>
      </c>
      <c r="BQ162" s="5" t="str">
        <f>IF('Project Database'!A166="","",N('Project Database'!AJ166))</f>
        <v/>
      </c>
      <c r="BR162" s="5" t="str">
        <f>IF('Project Database'!A166="","",N('Project Database'!AK166))</f>
        <v/>
      </c>
      <c r="BS162" s="5" t="str">
        <f>IF('Project Database'!A166="","",N('Project Database'!AL166))</f>
        <v/>
      </c>
      <c r="BT162" s="5" t="str">
        <f>IF('Project Database'!A166="","",N('Project Database'!AM166))</f>
        <v/>
      </c>
      <c r="BU162" s="5" t="str">
        <f>IF('Project Database'!A166="","",N('Project Database'!AN166))</f>
        <v/>
      </c>
      <c r="BV162" s="5" t="str">
        <f>IF('Project Database'!A166="","",N('Project Database'!AO166))</f>
        <v/>
      </c>
      <c r="BW162" s="5" t="str">
        <f>IF('Project Database'!A166="","",N('Project Database'!AP166))</f>
        <v/>
      </c>
      <c r="BX162" s="5">
        <f t="shared" si="40"/>
        <v>0</v>
      </c>
      <c r="BY162" s="5">
        <f t="shared" si="41"/>
        <v>0</v>
      </c>
    </row>
    <row r="163" spans="1:77" ht="15" customHeight="1" x14ac:dyDescent="0.3">
      <c r="A163" s="66">
        <f>'Project Database'!A167</f>
        <v>0</v>
      </c>
      <c r="B163" s="66">
        <f>'Project Database'!B167</f>
        <v>0</v>
      </c>
      <c r="C163" s="66">
        <f>'Project Database'!G167</f>
        <v>0</v>
      </c>
      <c r="D163" s="66">
        <f>'Project Database'!H167</f>
        <v>0</v>
      </c>
      <c r="E163" s="66">
        <f>'Project Database'!I167</f>
        <v>0</v>
      </c>
      <c r="F163" s="66">
        <f>'Project Database'!J167</f>
        <v>0</v>
      </c>
      <c r="G163" s="66">
        <f>'Project Database'!K167</f>
        <v>0</v>
      </c>
      <c r="H163" s="66">
        <f>'Project Database'!L167</f>
        <v>0</v>
      </c>
      <c r="I163" s="66">
        <f>'Project Database'!M167</f>
        <v>0</v>
      </c>
      <c r="J163" s="66">
        <f>'Project Database'!N167</f>
        <v>0</v>
      </c>
      <c r="K163" s="66">
        <f>'Project Database'!O167</f>
        <v>0</v>
      </c>
      <c r="L163" s="66">
        <f>'Project Database'!P167</f>
        <v>0</v>
      </c>
      <c r="M163" s="66">
        <f>'Project Database'!Q167</f>
        <v>0</v>
      </c>
      <c r="N163" s="66">
        <f>'Project Database'!R167</f>
        <v>0</v>
      </c>
      <c r="O163" s="66">
        <f>'Project Database'!S167</f>
        <v>0</v>
      </c>
      <c r="P163" s="66">
        <f>'Project Database'!T167</f>
        <v>0</v>
      </c>
      <c r="Q163" s="66">
        <f>'Project Database'!U167</f>
        <v>0</v>
      </c>
      <c r="R163" s="66">
        <f>'Project Database'!V167</f>
        <v>0</v>
      </c>
      <c r="S163" s="66">
        <f>'Project Database'!W167</f>
        <v>0</v>
      </c>
      <c r="T163" s="66">
        <f>'Project Database'!X167</f>
        <v>0</v>
      </c>
      <c r="U163" s="67">
        <f>'Project Database'!Y167</f>
        <v>0</v>
      </c>
      <c r="V163" s="66">
        <f>IF('Smart Search'!B13=1,IFERROR(1/'Smart Search'!H13,0),0)</f>
        <v>0</v>
      </c>
      <c r="W163" s="66">
        <f>IF('Smart Search'!B13=1,IFERROR(1/'Smart Search'!H13,0),0)</f>
        <v>0</v>
      </c>
      <c r="X163" s="66">
        <f>IF('Smart Search'!C13=1,IFERROR(1/'Smart Search'!H13,0),0)</f>
        <v>0.5</v>
      </c>
      <c r="Y163" s="66">
        <f>IF('Smart Search'!C13=1,IFERROR(1/'Smart Search'!H13,0),0)</f>
        <v>0.5</v>
      </c>
      <c r="Z163" s="66">
        <f>IF('Smart Search'!D13=1,IFERROR(1/'Smart Search'!H13,0),0)</f>
        <v>0</v>
      </c>
      <c r="AA163" s="66">
        <f>IF('Smart Search'!D13=1,IFERROR(1/'Smart Search'!H13,0),0)</f>
        <v>0</v>
      </c>
      <c r="AB163" s="66">
        <f>IF('Smart Search'!E13=1,IFERROR(1/'Smart Search'!H13,0),0)</f>
        <v>0</v>
      </c>
      <c r="AC163" s="66">
        <f>IF('Smart Search'!E13=1,IFERROR(1/'Smart Search'!H13,0),0)</f>
        <v>0</v>
      </c>
      <c r="AD163" s="66">
        <f>IF('Smart Search'!F13=1,IFERROR(1/'Smart Search'!H13,0),0)</f>
        <v>0</v>
      </c>
      <c r="AE163" s="66">
        <f>IF('Smart Search'!F13=1,IFERROR(1/'Smart Search'!H13,0),0)</f>
        <v>0</v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>0</v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>0</v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>0</v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>0</v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>0</v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>0</v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>0</v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>0</v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>0</v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>0</v>
      </c>
      <c r="AP163" s="66">
        <f t="shared" si="28"/>
        <v>0</v>
      </c>
      <c r="AQ163" s="66">
        <f t="shared" si="29"/>
        <v>0</v>
      </c>
      <c r="AR163" s="66">
        <f t="shared" si="30"/>
        <v>0</v>
      </c>
      <c r="AS163" s="66">
        <f t="shared" si="31"/>
        <v>0</v>
      </c>
      <c r="AT163" s="66">
        <f t="shared" si="32"/>
        <v>0</v>
      </c>
      <c r="AU163" s="66">
        <f t="shared" si="33"/>
        <v>0</v>
      </c>
      <c r="AV163" s="66">
        <f t="shared" si="34"/>
        <v>0</v>
      </c>
      <c r="AW163" s="66">
        <f t="shared" si="35"/>
        <v>0</v>
      </c>
      <c r="AX163" s="66">
        <f t="shared" si="36"/>
        <v>0</v>
      </c>
      <c r="AY163" s="66">
        <f t="shared" si="37"/>
        <v>0</v>
      </c>
      <c r="AZ163" s="66">
        <f>'Project Database'!Z167</f>
        <v>0</v>
      </c>
      <c r="BA163" s="66">
        <f>IF(OR(A163="",'Smart Search'!H13=0),"",MAX(0,BE163*BF163*MAX(0,1-BG163)))</f>
        <v>0</v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>0</v>
      </c>
      <c r="BC163" s="66">
        <f>IF('Smart Search'!G13=1,IFERROR(1/'Smart Search'!H13,0),0)</f>
        <v>0</v>
      </c>
      <c r="BD163" s="66">
        <f t="shared" si="38"/>
        <v>0</v>
      </c>
      <c r="BE163" s="66">
        <f t="shared" si="39"/>
        <v>0</v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>0</v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>0</v>
      </c>
      <c r="BH163" s="5" t="str">
        <f>IF(AND('Project Database'!A167&lt;&gt;"",OR('Smart Search'!$L$5="",'Smart Search'!$L$5="All",TRIM('Project Database'!D167)=TRIM('Smart Search'!$L$5)),OR(TRIM('Smart Search'!$L$6)="",TRIM('Smart Search'!$L$6)="All",ISNUMBER(SEARCH(SUBSTITUTE(SUBSTITUTE(SUBSTITUTE(TRIM('Smart Search'!$L$6),"~","~~"),"*","~*"),"?","~?"),'Project Database'!C167))),OR('Smart Search'!$L$7="",AND('Project Database'!E167&lt;&gt;"",'Project Database'!E167='Smart Search'!$L$7)),OR('Smart Search'!$L$8="",'Smart Search'!$L$8="All",TRIM('Project Database'!F167)=TRIM('Smart Search'!$L$8))),IF(BA163="","",BA163+ROW()*0.0000000001),"")</f>
        <v/>
      </c>
      <c r="BI163" s="5" t="str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 t="str">
        <f>IF('Project Database'!A167="","",N('Project Database'!AC167))</f>
        <v/>
      </c>
      <c r="BK163" s="5" t="str">
        <f>IF('Project Database'!A167="","",N('Project Database'!AD167))</f>
        <v/>
      </c>
      <c r="BL163" s="5" t="str">
        <f>IF('Project Database'!A167="","",N('Project Database'!AE167))</f>
        <v/>
      </c>
      <c r="BM163" s="5" t="str">
        <f>IF('Project Database'!A167="","",N('Project Database'!AF167))</f>
        <v/>
      </c>
      <c r="BN163" s="5" t="str">
        <f>IF('Project Database'!A167="","",N('Project Database'!AG167))</f>
        <v/>
      </c>
      <c r="BO163" s="5" t="str">
        <f>IF('Project Database'!A167="","",N('Project Database'!AH167))</f>
        <v/>
      </c>
      <c r="BP163" s="5" t="str">
        <f>IF('Project Database'!A167="","",N('Project Database'!AI167))</f>
        <v/>
      </c>
      <c r="BQ163" s="5" t="str">
        <f>IF('Project Database'!A167="","",N('Project Database'!AJ167))</f>
        <v/>
      </c>
      <c r="BR163" s="5" t="str">
        <f>IF('Project Database'!A167="","",N('Project Database'!AK167))</f>
        <v/>
      </c>
      <c r="BS163" s="5" t="str">
        <f>IF('Project Database'!A167="","",N('Project Database'!AL167))</f>
        <v/>
      </c>
      <c r="BT163" s="5" t="str">
        <f>IF('Project Database'!A167="","",N('Project Database'!AM167))</f>
        <v/>
      </c>
      <c r="BU163" s="5" t="str">
        <f>IF('Project Database'!A167="","",N('Project Database'!AN167))</f>
        <v/>
      </c>
      <c r="BV163" s="5" t="str">
        <f>IF('Project Database'!A167="","",N('Project Database'!AO167))</f>
        <v/>
      </c>
      <c r="BW163" s="5" t="str">
        <f>IF('Project Database'!A167="","",N('Project Database'!AP167))</f>
        <v/>
      </c>
      <c r="BX163" s="5">
        <f t="shared" si="40"/>
        <v>0</v>
      </c>
      <c r="BY163" s="5">
        <f t="shared" si="41"/>
        <v>0</v>
      </c>
    </row>
    <row r="164" spans="1:77" ht="15" customHeight="1" x14ac:dyDescent="0.3">
      <c r="A164" s="66">
        <f>'Project Database'!A168</f>
        <v>0</v>
      </c>
      <c r="B164" s="66">
        <f>'Project Database'!B168</f>
        <v>0</v>
      </c>
      <c r="C164" s="66">
        <f>'Project Database'!G168</f>
        <v>0</v>
      </c>
      <c r="D164" s="66">
        <f>'Project Database'!H168</f>
        <v>0</v>
      </c>
      <c r="E164" s="66">
        <f>'Project Database'!I168</f>
        <v>0</v>
      </c>
      <c r="F164" s="66">
        <f>'Project Database'!J168</f>
        <v>0</v>
      </c>
      <c r="G164" s="66">
        <f>'Project Database'!K168</f>
        <v>0</v>
      </c>
      <c r="H164" s="66">
        <f>'Project Database'!L168</f>
        <v>0</v>
      </c>
      <c r="I164" s="66">
        <f>'Project Database'!M168</f>
        <v>0</v>
      </c>
      <c r="J164" s="66">
        <f>'Project Database'!N168</f>
        <v>0</v>
      </c>
      <c r="K164" s="66">
        <f>'Project Database'!O168</f>
        <v>0</v>
      </c>
      <c r="L164" s="66">
        <f>'Project Database'!P168</f>
        <v>0</v>
      </c>
      <c r="M164" s="66">
        <f>'Project Database'!Q168</f>
        <v>0</v>
      </c>
      <c r="N164" s="66">
        <f>'Project Database'!R168</f>
        <v>0</v>
      </c>
      <c r="O164" s="66">
        <f>'Project Database'!S168</f>
        <v>0</v>
      </c>
      <c r="P164" s="66">
        <f>'Project Database'!T168</f>
        <v>0</v>
      </c>
      <c r="Q164" s="66">
        <f>'Project Database'!U168</f>
        <v>0</v>
      </c>
      <c r="R164" s="66">
        <f>'Project Database'!V168</f>
        <v>0</v>
      </c>
      <c r="S164" s="66">
        <f>'Project Database'!W168</f>
        <v>0</v>
      </c>
      <c r="T164" s="66">
        <f>'Project Database'!X168</f>
        <v>0</v>
      </c>
      <c r="U164" s="67">
        <f>'Project Database'!Y168</f>
        <v>0</v>
      </c>
      <c r="V164" s="66">
        <f>IF('Smart Search'!B13=1,IFERROR(1/'Smart Search'!H13,0),0)</f>
        <v>0</v>
      </c>
      <c r="W164" s="66">
        <f>IF('Smart Search'!B13=1,IFERROR(1/'Smart Search'!H13,0),0)</f>
        <v>0</v>
      </c>
      <c r="X164" s="66">
        <f>IF('Smart Search'!C13=1,IFERROR(1/'Smart Search'!H13,0),0)</f>
        <v>0.5</v>
      </c>
      <c r="Y164" s="66">
        <f>IF('Smart Search'!C13=1,IFERROR(1/'Smart Search'!H13,0),0)</f>
        <v>0.5</v>
      </c>
      <c r="Z164" s="66">
        <f>IF('Smart Search'!D13=1,IFERROR(1/'Smart Search'!H13,0),0)</f>
        <v>0</v>
      </c>
      <c r="AA164" s="66">
        <f>IF('Smart Search'!D13=1,IFERROR(1/'Smart Search'!H13,0),0)</f>
        <v>0</v>
      </c>
      <c r="AB164" s="66">
        <f>IF('Smart Search'!E13=1,IFERROR(1/'Smart Search'!H13,0),0)</f>
        <v>0</v>
      </c>
      <c r="AC164" s="66">
        <f>IF('Smart Search'!E13=1,IFERROR(1/'Smart Search'!H13,0),0)</f>
        <v>0</v>
      </c>
      <c r="AD164" s="66">
        <f>IF('Smart Search'!F13=1,IFERROR(1/'Smart Search'!H13,0),0)</f>
        <v>0</v>
      </c>
      <c r="AE164" s="66">
        <f>IF('Smart Search'!F13=1,IFERROR(1/'Smart Search'!H13,0),0)</f>
        <v>0</v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>0</v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>0</v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>0</v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>0</v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>0</v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>0</v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>0</v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>0</v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>0</v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>0</v>
      </c>
      <c r="AP164" s="66">
        <f t="shared" si="28"/>
        <v>0</v>
      </c>
      <c r="AQ164" s="66">
        <f t="shared" si="29"/>
        <v>0</v>
      </c>
      <c r="AR164" s="66">
        <f t="shared" si="30"/>
        <v>0</v>
      </c>
      <c r="AS164" s="66">
        <f t="shared" si="31"/>
        <v>0</v>
      </c>
      <c r="AT164" s="66">
        <f t="shared" si="32"/>
        <v>0</v>
      </c>
      <c r="AU164" s="66">
        <f t="shared" si="33"/>
        <v>0</v>
      </c>
      <c r="AV164" s="66">
        <f t="shared" si="34"/>
        <v>0</v>
      </c>
      <c r="AW164" s="66">
        <f t="shared" si="35"/>
        <v>0</v>
      </c>
      <c r="AX164" s="66">
        <f t="shared" si="36"/>
        <v>0</v>
      </c>
      <c r="AY164" s="66">
        <f t="shared" si="37"/>
        <v>0</v>
      </c>
      <c r="AZ164" s="66">
        <f>'Project Database'!Z168</f>
        <v>0</v>
      </c>
      <c r="BA164" s="66">
        <f>IF(OR(A164="",'Smart Search'!H13=0),"",MAX(0,BE164*BF164*MAX(0,1-BG164)))</f>
        <v>0</v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>0</v>
      </c>
      <c r="BC164" s="66">
        <f>IF('Smart Search'!G13=1,IFERROR(1/'Smart Search'!H13,0),0)</f>
        <v>0</v>
      </c>
      <c r="BD164" s="66">
        <f t="shared" si="38"/>
        <v>0</v>
      </c>
      <c r="BE164" s="66">
        <f t="shared" si="39"/>
        <v>0</v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>0</v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>0</v>
      </c>
      <c r="BH164" s="5" t="str">
        <f>IF(AND('Project Database'!A168&lt;&gt;"",OR('Smart Search'!$L$5="",'Smart Search'!$L$5="All",TRIM('Project Database'!D168)=TRIM('Smart Search'!$L$5)),OR(TRIM('Smart Search'!$L$6)="",TRIM('Smart Search'!$L$6)="All",ISNUMBER(SEARCH(SUBSTITUTE(SUBSTITUTE(SUBSTITUTE(TRIM('Smart Search'!$L$6),"~","~~"),"*","~*"),"?","~?"),'Project Database'!C168))),OR('Smart Search'!$L$7="",AND('Project Database'!E168&lt;&gt;"",'Project Database'!E168='Smart Search'!$L$7)),OR('Smart Search'!$L$8="",'Smart Search'!$L$8="All",TRIM('Project Database'!F168)=TRIM('Smart Search'!$L$8))),IF(BA164="","",BA164+ROW()*0.0000000001),"")</f>
        <v/>
      </c>
      <c r="BI164" s="5" t="str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 t="str">
        <f>IF('Project Database'!A168="","",N('Project Database'!AC168))</f>
        <v/>
      </c>
      <c r="BK164" s="5" t="str">
        <f>IF('Project Database'!A168="","",N('Project Database'!AD168))</f>
        <v/>
      </c>
      <c r="BL164" s="5" t="str">
        <f>IF('Project Database'!A168="","",N('Project Database'!AE168))</f>
        <v/>
      </c>
      <c r="BM164" s="5" t="str">
        <f>IF('Project Database'!A168="","",N('Project Database'!AF168))</f>
        <v/>
      </c>
      <c r="BN164" s="5" t="str">
        <f>IF('Project Database'!A168="","",N('Project Database'!AG168))</f>
        <v/>
      </c>
      <c r="BO164" s="5" t="str">
        <f>IF('Project Database'!A168="","",N('Project Database'!AH168))</f>
        <v/>
      </c>
      <c r="BP164" s="5" t="str">
        <f>IF('Project Database'!A168="","",N('Project Database'!AI168))</f>
        <v/>
      </c>
      <c r="BQ164" s="5" t="str">
        <f>IF('Project Database'!A168="","",N('Project Database'!AJ168))</f>
        <v/>
      </c>
      <c r="BR164" s="5" t="str">
        <f>IF('Project Database'!A168="","",N('Project Database'!AK168))</f>
        <v/>
      </c>
      <c r="BS164" s="5" t="str">
        <f>IF('Project Database'!A168="","",N('Project Database'!AL168))</f>
        <v/>
      </c>
      <c r="BT164" s="5" t="str">
        <f>IF('Project Database'!A168="","",N('Project Database'!AM168))</f>
        <v/>
      </c>
      <c r="BU164" s="5" t="str">
        <f>IF('Project Database'!A168="","",N('Project Database'!AN168))</f>
        <v/>
      </c>
      <c r="BV164" s="5" t="str">
        <f>IF('Project Database'!A168="","",N('Project Database'!AO168))</f>
        <v/>
      </c>
      <c r="BW164" s="5" t="str">
        <f>IF('Project Database'!A168="","",N('Project Database'!AP168))</f>
        <v/>
      </c>
      <c r="BX164" s="5">
        <f t="shared" si="40"/>
        <v>0</v>
      </c>
      <c r="BY164" s="5">
        <f t="shared" si="41"/>
        <v>0</v>
      </c>
    </row>
    <row r="165" spans="1:77" ht="15" customHeight="1" x14ac:dyDescent="0.3">
      <c r="A165" s="66">
        <f>'Project Database'!A169</f>
        <v>0</v>
      </c>
      <c r="B165" s="66">
        <f>'Project Database'!B169</f>
        <v>0</v>
      </c>
      <c r="C165" s="66">
        <f>'Project Database'!G169</f>
        <v>0</v>
      </c>
      <c r="D165" s="66">
        <f>'Project Database'!H169</f>
        <v>0</v>
      </c>
      <c r="E165" s="66">
        <f>'Project Database'!I169</f>
        <v>0</v>
      </c>
      <c r="F165" s="66">
        <f>'Project Database'!J169</f>
        <v>0</v>
      </c>
      <c r="G165" s="66">
        <f>'Project Database'!K169</f>
        <v>0</v>
      </c>
      <c r="H165" s="66">
        <f>'Project Database'!L169</f>
        <v>0</v>
      </c>
      <c r="I165" s="66">
        <f>'Project Database'!M169</f>
        <v>0</v>
      </c>
      <c r="J165" s="66">
        <f>'Project Database'!N169</f>
        <v>0</v>
      </c>
      <c r="K165" s="66">
        <f>'Project Database'!O169</f>
        <v>0</v>
      </c>
      <c r="L165" s="66">
        <f>'Project Database'!P169</f>
        <v>0</v>
      </c>
      <c r="M165" s="66">
        <f>'Project Database'!Q169</f>
        <v>0</v>
      </c>
      <c r="N165" s="66">
        <f>'Project Database'!R169</f>
        <v>0</v>
      </c>
      <c r="O165" s="66">
        <f>'Project Database'!S169</f>
        <v>0</v>
      </c>
      <c r="P165" s="66">
        <f>'Project Database'!T169</f>
        <v>0</v>
      </c>
      <c r="Q165" s="66">
        <f>'Project Database'!U169</f>
        <v>0</v>
      </c>
      <c r="R165" s="66">
        <f>'Project Database'!V169</f>
        <v>0</v>
      </c>
      <c r="S165" s="66">
        <f>'Project Database'!W169</f>
        <v>0</v>
      </c>
      <c r="T165" s="66">
        <f>'Project Database'!X169</f>
        <v>0</v>
      </c>
      <c r="U165" s="67">
        <f>'Project Database'!Y169</f>
        <v>0</v>
      </c>
      <c r="V165" s="66">
        <f>IF('Smart Search'!B13=1,IFERROR(1/'Smart Search'!H13,0),0)</f>
        <v>0</v>
      </c>
      <c r="W165" s="66">
        <f>IF('Smart Search'!B13=1,IFERROR(1/'Smart Search'!H13,0),0)</f>
        <v>0</v>
      </c>
      <c r="X165" s="66">
        <f>IF('Smart Search'!C13=1,IFERROR(1/'Smart Search'!H13,0),0)</f>
        <v>0.5</v>
      </c>
      <c r="Y165" s="66">
        <f>IF('Smart Search'!C13=1,IFERROR(1/'Smart Search'!H13,0),0)</f>
        <v>0.5</v>
      </c>
      <c r="Z165" s="66">
        <f>IF('Smart Search'!D13=1,IFERROR(1/'Smart Search'!H13,0),0)</f>
        <v>0</v>
      </c>
      <c r="AA165" s="66">
        <f>IF('Smart Search'!D13=1,IFERROR(1/'Smart Search'!H13,0),0)</f>
        <v>0</v>
      </c>
      <c r="AB165" s="66">
        <f>IF('Smart Search'!E13=1,IFERROR(1/'Smart Search'!H13,0),0)</f>
        <v>0</v>
      </c>
      <c r="AC165" s="66">
        <f>IF('Smart Search'!E13=1,IFERROR(1/'Smart Search'!H13,0),0)</f>
        <v>0</v>
      </c>
      <c r="AD165" s="66">
        <f>IF('Smart Search'!F13=1,IFERROR(1/'Smart Search'!H13,0),0)</f>
        <v>0</v>
      </c>
      <c r="AE165" s="66">
        <f>IF('Smart Search'!F13=1,IFERROR(1/'Smart Search'!H13,0),0)</f>
        <v>0</v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>0</v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>0</v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>0</v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>0</v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>0</v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>0</v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>0</v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>0</v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>0</v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>0</v>
      </c>
      <c r="AP165" s="66">
        <f t="shared" si="28"/>
        <v>0</v>
      </c>
      <c r="AQ165" s="66">
        <f t="shared" si="29"/>
        <v>0</v>
      </c>
      <c r="AR165" s="66">
        <f t="shared" si="30"/>
        <v>0</v>
      </c>
      <c r="AS165" s="66">
        <f t="shared" si="31"/>
        <v>0</v>
      </c>
      <c r="AT165" s="66">
        <f t="shared" si="32"/>
        <v>0</v>
      </c>
      <c r="AU165" s="66">
        <f t="shared" si="33"/>
        <v>0</v>
      </c>
      <c r="AV165" s="66">
        <f t="shared" si="34"/>
        <v>0</v>
      </c>
      <c r="AW165" s="66">
        <f t="shared" si="35"/>
        <v>0</v>
      </c>
      <c r="AX165" s="66">
        <f t="shared" si="36"/>
        <v>0</v>
      </c>
      <c r="AY165" s="66">
        <f t="shared" si="37"/>
        <v>0</v>
      </c>
      <c r="AZ165" s="66">
        <f>'Project Database'!Z169</f>
        <v>0</v>
      </c>
      <c r="BA165" s="66">
        <f>IF(OR(A165="",'Smart Search'!H13=0),"",MAX(0,BE165*BF165*MAX(0,1-BG165)))</f>
        <v>0</v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>0</v>
      </c>
      <c r="BC165" s="66">
        <f>IF('Smart Search'!G13=1,IFERROR(1/'Smart Search'!H13,0),0)</f>
        <v>0</v>
      </c>
      <c r="BD165" s="66">
        <f t="shared" si="38"/>
        <v>0</v>
      </c>
      <c r="BE165" s="66">
        <f t="shared" si="39"/>
        <v>0</v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>0</v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>0</v>
      </c>
      <c r="BH165" s="5" t="str">
        <f>IF(AND('Project Database'!A169&lt;&gt;"",OR('Smart Search'!$L$5="",'Smart Search'!$L$5="All",TRIM('Project Database'!D169)=TRIM('Smart Search'!$L$5)),OR(TRIM('Smart Search'!$L$6)="",TRIM('Smart Search'!$L$6)="All",ISNUMBER(SEARCH(SUBSTITUTE(SUBSTITUTE(SUBSTITUTE(TRIM('Smart Search'!$L$6),"~","~~"),"*","~*"),"?","~?"),'Project Database'!C169))),OR('Smart Search'!$L$7="",AND('Project Database'!E169&lt;&gt;"",'Project Database'!E169='Smart Search'!$L$7)),OR('Smart Search'!$L$8="",'Smart Search'!$L$8="All",TRIM('Project Database'!F169)=TRIM('Smart Search'!$L$8))),IF(BA165="","",BA165+ROW()*0.0000000001),"")</f>
        <v/>
      </c>
      <c r="BI165" s="5" t="str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 t="str">
        <f>IF('Project Database'!A169="","",N('Project Database'!AC169))</f>
        <v/>
      </c>
      <c r="BK165" s="5" t="str">
        <f>IF('Project Database'!A169="","",N('Project Database'!AD169))</f>
        <v/>
      </c>
      <c r="BL165" s="5" t="str">
        <f>IF('Project Database'!A169="","",N('Project Database'!AE169))</f>
        <v/>
      </c>
      <c r="BM165" s="5" t="str">
        <f>IF('Project Database'!A169="","",N('Project Database'!AF169))</f>
        <v/>
      </c>
      <c r="BN165" s="5" t="str">
        <f>IF('Project Database'!A169="","",N('Project Database'!AG169))</f>
        <v/>
      </c>
      <c r="BO165" s="5" t="str">
        <f>IF('Project Database'!A169="","",N('Project Database'!AH169))</f>
        <v/>
      </c>
      <c r="BP165" s="5" t="str">
        <f>IF('Project Database'!A169="","",N('Project Database'!AI169))</f>
        <v/>
      </c>
      <c r="BQ165" s="5" t="str">
        <f>IF('Project Database'!A169="","",N('Project Database'!AJ169))</f>
        <v/>
      </c>
      <c r="BR165" s="5" t="str">
        <f>IF('Project Database'!A169="","",N('Project Database'!AK169))</f>
        <v/>
      </c>
      <c r="BS165" s="5" t="str">
        <f>IF('Project Database'!A169="","",N('Project Database'!AL169))</f>
        <v/>
      </c>
      <c r="BT165" s="5" t="str">
        <f>IF('Project Database'!A169="","",N('Project Database'!AM169))</f>
        <v/>
      </c>
      <c r="BU165" s="5" t="str">
        <f>IF('Project Database'!A169="","",N('Project Database'!AN169))</f>
        <v/>
      </c>
      <c r="BV165" s="5" t="str">
        <f>IF('Project Database'!A169="","",N('Project Database'!AO169))</f>
        <v/>
      </c>
      <c r="BW165" s="5" t="str">
        <f>IF('Project Database'!A169="","",N('Project Database'!AP169))</f>
        <v/>
      </c>
      <c r="BX165" s="5">
        <f t="shared" si="40"/>
        <v>0</v>
      </c>
      <c r="BY165" s="5">
        <f t="shared" si="41"/>
        <v>0</v>
      </c>
    </row>
    <row r="166" spans="1:77" ht="15" customHeight="1" x14ac:dyDescent="0.3">
      <c r="A166" s="66">
        <f>'Project Database'!A170</f>
        <v>0</v>
      </c>
      <c r="B166" s="66">
        <f>'Project Database'!B170</f>
        <v>0</v>
      </c>
      <c r="C166" s="66">
        <f>'Project Database'!G170</f>
        <v>0</v>
      </c>
      <c r="D166" s="66">
        <f>'Project Database'!H170</f>
        <v>0</v>
      </c>
      <c r="E166" s="66">
        <f>'Project Database'!I170</f>
        <v>0</v>
      </c>
      <c r="F166" s="66">
        <f>'Project Database'!J170</f>
        <v>0</v>
      </c>
      <c r="G166" s="66">
        <f>'Project Database'!K170</f>
        <v>0</v>
      </c>
      <c r="H166" s="66">
        <f>'Project Database'!L170</f>
        <v>0</v>
      </c>
      <c r="I166" s="66">
        <f>'Project Database'!M170</f>
        <v>0</v>
      </c>
      <c r="J166" s="66">
        <f>'Project Database'!N170</f>
        <v>0</v>
      </c>
      <c r="K166" s="66">
        <f>'Project Database'!O170</f>
        <v>0</v>
      </c>
      <c r="L166" s="66">
        <f>'Project Database'!P170</f>
        <v>0</v>
      </c>
      <c r="M166" s="66">
        <f>'Project Database'!Q170</f>
        <v>0</v>
      </c>
      <c r="N166" s="66">
        <f>'Project Database'!R170</f>
        <v>0</v>
      </c>
      <c r="O166" s="66">
        <f>'Project Database'!S170</f>
        <v>0</v>
      </c>
      <c r="P166" s="66">
        <f>'Project Database'!T170</f>
        <v>0</v>
      </c>
      <c r="Q166" s="66">
        <f>'Project Database'!U170</f>
        <v>0</v>
      </c>
      <c r="R166" s="66">
        <f>'Project Database'!V170</f>
        <v>0</v>
      </c>
      <c r="S166" s="66">
        <f>'Project Database'!W170</f>
        <v>0</v>
      </c>
      <c r="T166" s="66">
        <f>'Project Database'!X170</f>
        <v>0</v>
      </c>
      <c r="U166" s="67">
        <f>'Project Database'!Y170</f>
        <v>0</v>
      </c>
      <c r="V166" s="66">
        <f>IF('Smart Search'!B13=1,IFERROR(1/'Smart Search'!H13,0),0)</f>
        <v>0</v>
      </c>
      <c r="W166" s="66">
        <f>IF('Smart Search'!B13=1,IFERROR(1/'Smart Search'!H13,0),0)</f>
        <v>0</v>
      </c>
      <c r="X166" s="66">
        <f>IF('Smart Search'!C13=1,IFERROR(1/'Smart Search'!H13,0),0)</f>
        <v>0.5</v>
      </c>
      <c r="Y166" s="66">
        <f>IF('Smart Search'!C13=1,IFERROR(1/'Smart Search'!H13,0),0)</f>
        <v>0.5</v>
      </c>
      <c r="Z166" s="66">
        <f>IF('Smart Search'!D13=1,IFERROR(1/'Smart Search'!H13,0),0)</f>
        <v>0</v>
      </c>
      <c r="AA166" s="66">
        <f>IF('Smart Search'!D13=1,IFERROR(1/'Smart Search'!H13,0),0)</f>
        <v>0</v>
      </c>
      <c r="AB166" s="66">
        <f>IF('Smart Search'!E13=1,IFERROR(1/'Smart Search'!H13,0),0)</f>
        <v>0</v>
      </c>
      <c r="AC166" s="66">
        <f>IF('Smart Search'!E13=1,IFERROR(1/'Smart Search'!H13,0),0)</f>
        <v>0</v>
      </c>
      <c r="AD166" s="66">
        <f>IF('Smart Search'!F13=1,IFERROR(1/'Smart Search'!H13,0),0)</f>
        <v>0</v>
      </c>
      <c r="AE166" s="66">
        <f>IF('Smart Search'!F13=1,IFERROR(1/'Smart Search'!H13,0),0)</f>
        <v>0</v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>0</v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>0</v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>0</v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>0</v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>0</v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>0</v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>0</v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>0</v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>0</v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>0</v>
      </c>
      <c r="AP166" s="66">
        <f t="shared" si="28"/>
        <v>0</v>
      </c>
      <c r="AQ166" s="66">
        <f t="shared" si="29"/>
        <v>0</v>
      </c>
      <c r="AR166" s="66">
        <f t="shared" si="30"/>
        <v>0</v>
      </c>
      <c r="AS166" s="66">
        <f t="shared" si="31"/>
        <v>0</v>
      </c>
      <c r="AT166" s="66">
        <f t="shared" si="32"/>
        <v>0</v>
      </c>
      <c r="AU166" s="66">
        <f t="shared" si="33"/>
        <v>0</v>
      </c>
      <c r="AV166" s="66">
        <f t="shared" si="34"/>
        <v>0</v>
      </c>
      <c r="AW166" s="66">
        <f t="shared" si="35"/>
        <v>0</v>
      </c>
      <c r="AX166" s="66">
        <f t="shared" si="36"/>
        <v>0</v>
      </c>
      <c r="AY166" s="66">
        <f t="shared" si="37"/>
        <v>0</v>
      </c>
      <c r="AZ166" s="66">
        <f>'Project Database'!Z170</f>
        <v>0</v>
      </c>
      <c r="BA166" s="66">
        <f>IF(OR(A166="",'Smart Search'!H13=0),"",MAX(0,BE166*BF166*MAX(0,1-BG166)))</f>
        <v>0</v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>0</v>
      </c>
      <c r="BC166" s="66">
        <f>IF('Smart Search'!G13=1,IFERROR(1/'Smart Search'!H13,0),0)</f>
        <v>0</v>
      </c>
      <c r="BD166" s="66">
        <f t="shared" si="38"/>
        <v>0</v>
      </c>
      <c r="BE166" s="66">
        <f t="shared" si="39"/>
        <v>0</v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>0</v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>0</v>
      </c>
      <c r="BH166" s="5" t="str">
        <f>IF(AND('Project Database'!A170&lt;&gt;"",OR('Smart Search'!$L$5="",'Smart Search'!$L$5="All",TRIM('Project Database'!D170)=TRIM('Smart Search'!$L$5)),OR(TRIM('Smart Search'!$L$6)="",TRIM('Smart Search'!$L$6)="All",ISNUMBER(SEARCH(SUBSTITUTE(SUBSTITUTE(SUBSTITUTE(TRIM('Smart Search'!$L$6),"~","~~"),"*","~*"),"?","~?"),'Project Database'!C170))),OR('Smart Search'!$L$7="",AND('Project Database'!E170&lt;&gt;"",'Project Database'!E170='Smart Search'!$L$7)),OR('Smart Search'!$L$8="",'Smart Search'!$L$8="All",TRIM('Project Database'!F170)=TRIM('Smart Search'!$L$8))),IF(BA166="","",BA166+ROW()*0.0000000001),"")</f>
        <v/>
      </c>
      <c r="BI166" s="5" t="str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 t="str">
        <f>IF('Project Database'!A170="","",N('Project Database'!AC170))</f>
        <v/>
      </c>
      <c r="BK166" s="5" t="str">
        <f>IF('Project Database'!A170="","",N('Project Database'!AD170))</f>
        <v/>
      </c>
      <c r="BL166" s="5" t="str">
        <f>IF('Project Database'!A170="","",N('Project Database'!AE170))</f>
        <v/>
      </c>
      <c r="BM166" s="5" t="str">
        <f>IF('Project Database'!A170="","",N('Project Database'!AF170))</f>
        <v/>
      </c>
      <c r="BN166" s="5" t="str">
        <f>IF('Project Database'!A170="","",N('Project Database'!AG170))</f>
        <v/>
      </c>
      <c r="BO166" s="5" t="str">
        <f>IF('Project Database'!A170="","",N('Project Database'!AH170))</f>
        <v/>
      </c>
      <c r="BP166" s="5" t="str">
        <f>IF('Project Database'!A170="","",N('Project Database'!AI170))</f>
        <v/>
      </c>
      <c r="BQ166" s="5" t="str">
        <f>IF('Project Database'!A170="","",N('Project Database'!AJ170))</f>
        <v/>
      </c>
      <c r="BR166" s="5" t="str">
        <f>IF('Project Database'!A170="","",N('Project Database'!AK170))</f>
        <v/>
      </c>
      <c r="BS166" s="5" t="str">
        <f>IF('Project Database'!A170="","",N('Project Database'!AL170))</f>
        <v/>
      </c>
      <c r="BT166" s="5" t="str">
        <f>IF('Project Database'!A170="","",N('Project Database'!AM170))</f>
        <v/>
      </c>
      <c r="BU166" s="5" t="str">
        <f>IF('Project Database'!A170="","",N('Project Database'!AN170))</f>
        <v/>
      </c>
      <c r="BV166" s="5" t="str">
        <f>IF('Project Database'!A170="","",N('Project Database'!AO170))</f>
        <v/>
      </c>
      <c r="BW166" s="5" t="str">
        <f>IF('Project Database'!A170="","",N('Project Database'!AP170))</f>
        <v/>
      </c>
      <c r="BX166" s="5">
        <f t="shared" si="40"/>
        <v>0</v>
      </c>
      <c r="BY166" s="5">
        <f t="shared" si="41"/>
        <v>0</v>
      </c>
    </row>
    <row r="167" spans="1:77" ht="15" customHeight="1" x14ac:dyDescent="0.3">
      <c r="A167" s="66">
        <f>'Project Database'!A171</f>
        <v>0</v>
      </c>
      <c r="B167" s="66">
        <f>'Project Database'!B171</f>
        <v>0</v>
      </c>
      <c r="C167" s="66">
        <f>'Project Database'!G171</f>
        <v>0</v>
      </c>
      <c r="D167" s="66">
        <f>'Project Database'!H171</f>
        <v>0</v>
      </c>
      <c r="E167" s="66">
        <f>'Project Database'!I171</f>
        <v>0</v>
      </c>
      <c r="F167" s="66">
        <f>'Project Database'!J171</f>
        <v>0</v>
      </c>
      <c r="G167" s="66">
        <f>'Project Database'!K171</f>
        <v>0</v>
      </c>
      <c r="H167" s="66">
        <f>'Project Database'!L171</f>
        <v>0</v>
      </c>
      <c r="I167" s="66">
        <f>'Project Database'!M171</f>
        <v>0</v>
      </c>
      <c r="J167" s="66">
        <f>'Project Database'!N171</f>
        <v>0</v>
      </c>
      <c r="K167" s="66">
        <f>'Project Database'!O171</f>
        <v>0</v>
      </c>
      <c r="L167" s="66">
        <f>'Project Database'!P171</f>
        <v>0</v>
      </c>
      <c r="M167" s="66">
        <f>'Project Database'!Q171</f>
        <v>0</v>
      </c>
      <c r="N167" s="66">
        <f>'Project Database'!R171</f>
        <v>0</v>
      </c>
      <c r="O167" s="66">
        <f>'Project Database'!S171</f>
        <v>0</v>
      </c>
      <c r="P167" s="66">
        <f>'Project Database'!T171</f>
        <v>0</v>
      </c>
      <c r="Q167" s="66">
        <f>'Project Database'!U171</f>
        <v>0</v>
      </c>
      <c r="R167" s="66">
        <f>'Project Database'!V171</f>
        <v>0</v>
      </c>
      <c r="S167" s="66">
        <f>'Project Database'!W171</f>
        <v>0</v>
      </c>
      <c r="T167" s="66">
        <f>'Project Database'!X171</f>
        <v>0</v>
      </c>
      <c r="U167" s="67">
        <f>'Project Database'!Y171</f>
        <v>0</v>
      </c>
      <c r="V167" s="66">
        <f>IF('Smart Search'!B13=1,IFERROR(1/'Smart Search'!H13,0),0)</f>
        <v>0</v>
      </c>
      <c r="W167" s="66">
        <f>IF('Smart Search'!B13=1,IFERROR(1/'Smart Search'!H13,0),0)</f>
        <v>0</v>
      </c>
      <c r="X167" s="66">
        <f>IF('Smart Search'!C13=1,IFERROR(1/'Smart Search'!H13,0),0)</f>
        <v>0.5</v>
      </c>
      <c r="Y167" s="66">
        <f>IF('Smart Search'!C13=1,IFERROR(1/'Smart Search'!H13,0),0)</f>
        <v>0.5</v>
      </c>
      <c r="Z167" s="66">
        <f>IF('Smart Search'!D13=1,IFERROR(1/'Smart Search'!H13,0),0)</f>
        <v>0</v>
      </c>
      <c r="AA167" s="66">
        <f>IF('Smart Search'!D13=1,IFERROR(1/'Smart Search'!H13,0),0)</f>
        <v>0</v>
      </c>
      <c r="AB167" s="66">
        <f>IF('Smart Search'!E13=1,IFERROR(1/'Smart Search'!H13,0),0)</f>
        <v>0</v>
      </c>
      <c r="AC167" s="66">
        <f>IF('Smart Search'!E13=1,IFERROR(1/'Smart Search'!H13,0),0)</f>
        <v>0</v>
      </c>
      <c r="AD167" s="66">
        <f>IF('Smart Search'!F13=1,IFERROR(1/'Smart Search'!H13,0),0)</f>
        <v>0</v>
      </c>
      <c r="AE167" s="66">
        <f>IF('Smart Search'!F13=1,IFERROR(1/'Smart Search'!H13,0),0)</f>
        <v>0</v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>0</v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>0</v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>0</v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>0</v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>0</v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>0</v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>0</v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>0</v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>0</v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>0</v>
      </c>
      <c r="AP167" s="66">
        <f t="shared" si="28"/>
        <v>0</v>
      </c>
      <c r="AQ167" s="66">
        <f t="shared" si="29"/>
        <v>0</v>
      </c>
      <c r="AR167" s="66">
        <f t="shared" si="30"/>
        <v>0</v>
      </c>
      <c r="AS167" s="66">
        <f t="shared" si="31"/>
        <v>0</v>
      </c>
      <c r="AT167" s="66">
        <f t="shared" si="32"/>
        <v>0</v>
      </c>
      <c r="AU167" s="66">
        <f t="shared" si="33"/>
        <v>0</v>
      </c>
      <c r="AV167" s="66">
        <f t="shared" si="34"/>
        <v>0</v>
      </c>
      <c r="AW167" s="66">
        <f t="shared" si="35"/>
        <v>0</v>
      </c>
      <c r="AX167" s="66">
        <f t="shared" si="36"/>
        <v>0</v>
      </c>
      <c r="AY167" s="66">
        <f t="shared" si="37"/>
        <v>0</v>
      </c>
      <c r="AZ167" s="66">
        <f>'Project Database'!Z171</f>
        <v>0</v>
      </c>
      <c r="BA167" s="66">
        <f>IF(OR(A167="",'Smart Search'!H13=0),"",MAX(0,BE167*BF167*MAX(0,1-BG167)))</f>
        <v>0</v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>0</v>
      </c>
      <c r="BC167" s="66">
        <f>IF('Smart Search'!G13=1,IFERROR(1/'Smart Search'!H13,0),0)</f>
        <v>0</v>
      </c>
      <c r="BD167" s="66">
        <f t="shared" si="38"/>
        <v>0</v>
      </c>
      <c r="BE167" s="66">
        <f t="shared" si="39"/>
        <v>0</v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>0</v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>0</v>
      </c>
      <c r="BH167" s="5" t="str">
        <f>IF(AND('Project Database'!A171&lt;&gt;"",OR('Smart Search'!$L$5="",'Smart Search'!$L$5="All",TRIM('Project Database'!D171)=TRIM('Smart Search'!$L$5)),OR(TRIM('Smart Search'!$L$6)="",TRIM('Smart Search'!$L$6)="All",ISNUMBER(SEARCH(SUBSTITUTE(SUBSTITUTE(SUBSTITUTE(TRIM('Smart Search'!$L$6),"~","~~"),"*","~*"),"?","~?"),'Project Database'!C171))),OR('Smart Search'!$L$7="",AND('Project Database'!E171&lt;&gt;"",'Project Database'!E171='Smart Search'!$L$7)),OR('Smart Search'!$L$8="",'Smart Search'!$L$8="All",TRIM('Project Database'!F171)=TRIM('Smart Search'!$L$8))),IF(BA167="","",BA167+ROW()*0.0000000001),"")</f>
        <v/>
      </c>
      <c r="BI167" s="5" t="str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 t="str">
        <f>IF('Project Database'!A171="","",N('Project Database'!AC171))</f>
        <v/>
      </c>
      <c r="BK167" s="5" t="str">
        <f>IF('Project Database'!A171="","",N('Project Database'!AD171))</f>
        <v/>
      </c>
      <c r="BL167" s="5" t="str">
        <f>IF('Project Database'!A171="","",N('Project Database'!AE171))</f>
        <v/>
      </c>
      <c r="BM167" s="5" t="str">
        <f>IF('Project Database'!A171="","",N('Project Database'!AF171))</f>
        <v/>
      </c>
      <c r="BN167" s="5" t="str">
        <f>IF('Project Database'!A171="","",N('Project Database'!AG171))</f>
        <v/>
      </c>
      <c r="BO167" s="5" t="str">
        <f>IF('Project Database'!A171="","",N('Project Database'!AH171))</f>
        <v/>
      </c>
      <c r="BP167" s="5" t="str">
        <f>IF('Project Database'!A171="","",N('Project Database'!AI171))</f>
        <v/>
      </c>
      <c r="BQ167" s="5" t="str">
        <f>IF('Project Database'!A171="","",N('Project Database'!AJ171))</f>
        <v/>
      </c>
      <c r="BR167" s="5" t="str">
        <f>IF('Project Database'!A171="","",N('Project Database'!AK171))</f>
        <v/>
      </c>
      <c r="BS167" s="5" t="str">
        <f>IF('Project Database'!A171="","",N('Project Database'!AL171))</f>
        <v/>
      </c>
      <c r="BT167" s="5" t="str">
        <f>IF('Project Database'!A171="","",N('Project Database'!AM171))</f>
        <v/>
      </c>
      <c r="BU167" s="5" t="str">
        <f>IF('Project Database'!A171="","",N('Project Database'!AN171))</f>
        <v/>
      </c>
      <c r="BV167" s="5" t="str">
        <f>IF('Project Database'!A171="","",N('Project Database'!AO171))</f>
        <v/>
      </c>
      <c r="BW167" s="5" t="str">
        <f>IF('Project Database'!A171="","",N('Project Database'!AP171))</f>
        <v/>
      </c>
      <c r="BX167" s="5">
        <f t="shared" si="40"/>
        <v>0</v>
      </c>
      <c r="BY167" s="5">
        <f t="shared" si="41"/>
        <v>0</v>
      </c>
    </row>
    <row r="168" spans="1:77" ht="15" customHeight="1" x14ac:dyDescent="0.3">
      <c r="A168" s="66">
        <f>'Project Database'!A172</f>
        <v>0</v>
      </c>
      <c r="B168" s="66">
        <f>'Project Database'!B172</f>
        <v>0</v>
      </c>
      <c r="C168" s="66">
        <f>'Project Database'!G172</f>
        <v>0</v>
      </c>
      <c r="D168" s="66">
        <f>'Project Database'!H172</f>
        <v>0</v>
      </c>
      <c r="E168" s="66">
        <f>'Project Database'!I172</f>
        <v>0</v>
      </c>
      <c r="F168" s="66">
        <f>'Project Database'!J172</f>
        <v>0</v>
      </c>
      <c r="G168" s="66">
        <f>'Project Database'!K172</f>
        <v>0</v>
      </c>
      <c r="H168" s="66">
        <f>'Project Database'!L172</f>
        <v>0</v>
      </c>
      <c r="I168" s="66">
        <f>'Project Database'!M172</f>
        <v>0</v>
      </c>
      <c r="J168" s="66">
        <f>'Project Database'!N172</f>
        <v>0</v>
      </c>
      <c r="K168" s="66">
        <f>'Project Database'!O172</f>
        <v>0</v>
      </c>
      <c r="L168" s="66">
        <f>'Project Database'!P172</f>
        <v>0</v>
      </c>
      <c r="M168" s="66">
        <f>'Project Database'!Q172</f>
        <v>0</v>
      </c>
      <c r="N168" s="66">
        <f>'Project Database'!R172</f>
        <v>0</v>
      </c>
      <c r="O168" s="66">
        <f>'Project Database'!S172</f>
        <v>0</v>
      </c>
      <c r="P168" s="66">
        <f>'Project Database'!T172</f>
        <v>0</v>
      </c>
      <c r="Q168" s="66">
        <f>'Project Database'!U172</f>
        <v>0</v>
      </c>
      <c r="R168" s="66">
        <f>'Project Database'!V172</f>
        <v>0</v>
      </c>
      <c r="S168" s="66">
        <f>'Project Database'!W172</f>
        <v>0</v>
      </c>
      <c r="T168" s="66">
        <f>'Project Database'!X172</f>
        <v>0</v>
      </c>
      <c r="U168" s="67">
        <f>'Project Database'!Y172</f>
        <v>0</v>
      </c>
      <c r="V168" s="66">
        <f>IF('Smart Search'!B13=1,IFERROR(1/'Smart Search'!H13,0),0)</f>
        <v>0</v>
      </c>
      <c r="W168" s="66">
        <f>IF('Smart Search'!B13=1,IFERROR(1/'Smart Search'!H13,0),0)</f>
        <v>0</v>
      </c>
      <c r="X168" s="66">
        <f>IF('Smart Search'!C13=1,IFERROR(1/'Smart Search'!H13,0),0)</f>
        <v>0.5</v>
      </c>
      <c r="Y168" s="66">
        <f>IF('Smart Search'!C13=1,IFERROR(1/'Smart Search'!H13,0),0)</f>
        <v>0.5</v>
      </c>
      <c r="Z168" s="66">
        <f>IF('Smart Search'!D13=1,IFERROR(1/'Smart Search'!H13,0),0)</f>
        <v>0</v>
      </c>
      <c r="AA168" s="66">
        <f>IF('Smart Search'!D13=1,IFERROR(1/'Smart Search'!H13,0),0)</f>
        <v>0</v>
      </c>
      <c r="AB168" s="66">
        <f>IF('Smart Search'!E13=1,IFERROR(1/'Smart Search'!H13,0),0)</f>
        <v>0</v>
      </c>
      <c r="AC168" s="66">
        <f>IF('Smart Search'!E13=1,IFERROR(1/'Smart Search'!H13,0),0)</f>
        <v>0</v>
      </c>
      <c r="AD168" s="66">
        <f>IF('Smart Search'!F13=1,IFERROR(1/'Smart Search'!H13,0),0)</f>
        <v>0</v>
      </c>
      <c r="AE168" s="66">
        <f>IF('Smart Search'!F13=1,IFERROR(1/'Smart Search'!H13,0),0)</f>
        <v>0</v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>0</v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>0</v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>0</v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>0</v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>0</v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>0</v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>0</v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>0</v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>0</v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>0</v>
      </c>
      <c r="AP168" s="66">
        <f t="shared" si="28"/>
        <v>0</v>
      </c>
      <c r="AQ168" s="66">
        <f t="shared" si="29"/>
        <v>0</v>
      </c>
      <c r="AR168" s="66">
        <f t="shared" si="30"/>
        <v>0</v>
      </c>
      <c r="AS168" s="66">
        <f t="shared" si="31"/>
        <v>0</v>
      </c>
      <c r="AT168" s="66">
        <f t="shared" si="32"/>
        <v>0</v>
      </c>
      <c r="AU168" s="66">
        <f t="shared" si="33"/>
        <v>0</v>
      </c>
      <c r="AV168" s="66">
        <f t="shared" si="34"/>
        <v>0</v>
      </c>
      <c r="AW168" s="66">
        <f t="shared" si="35"/>
        <v>0</v>
      </c>
      <c r="AX168" s="66">
        <f t="shared" si="36"/>
        <v>0</v>
      </c>
      <c r="AY168" s="66">
        <f t="shared" si="37"/>
        <v>0</v>
      </c>
      <c r="AZ168" s="66">
        <f>'Project Database'!Z172</f>
        <v>0</v>
      </c>
      <c r="BA168" s="66">
        <f>IF(OR(A168="",'Smart Search'!H13=0),"",MAX(0,BE168*BF168*MAX(0,1-BG168)))</f>
        <v>0</v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>0</v>
      </c>
      <c r="BC168" s="66">
        <f>IF('Smart Search'!G13=1,IFERROR(1/'Smart Search'!H13,0),0)</f>
        <v>0</v>
      </c>
      <c r="BD168" s="66">
        <f t="shared" si="38"/>
        <v>0</v>
      </c>
      <c r="BE168" s="66">
        <f t="shared" si="39"/>
        <v>0</v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>0</v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>0</v>
      </c>
      <c r="BH168" s="5" t="str">
        <f>IF(AND('Project Database'!A172&lt;&gt;"",OR('Smart Search'!$L$5="",'Smart Search'!$L$5="All",TRIM('Project Database'!D172)=TRIM('Smart Search'!$L$5)),OR(TRIM('Smart Search'!$L$6)="",TRIM('Smart Search'!$L$6)="All",ISNUMBER(SEARCH(SUBSTITUTE(SUBSTITUTE(SUBSTITUTE(TRIM('Smart Search'!$L$6),"~","~~"),"*","~*"),"?","~?"),'Project Database'!C172))),OR('Smart Search'!$L$7="",AND('Project Database'!E172&lt;&gt;"",'Project Database'!E172='Smart Search'!$L$7)),OR('Smart Search'!$L$8="",'Smart Search'!$L$8="All",TRIM('Project Database'!F172)=TRIM('Smart Search'!$L$8))),IF(BA168="","",BA168+ROW()*0.0000000001),"")</f>
        <v/>
      </c>
      <c r="BI168" s="5" t="str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 t="str">
        <f>IF('Project Database'!A172="","",N('Project Database'!AC172))</f>
        <v/>
      </c>
      <c r="BK168" s="5" t="str">
        <f>IF('Project Database'!A172="","",N('Project Database'!AD172))</f>
        <v/>
      </c>
      <c r="BL168" s="5" t="str">
        <f>IF('Project Database'!A172="","",N('Project Database'!AE172))</f>
        <v/>
      </c>
      <c r="BM168" s="5" t="str">
        <f>IF('Project Database'!A172="","",N('Project Database'!AF172))</f>
        <v/>
      </c>
      <c r="BN168" s="5" t="str">
        <f>IF('Project Database'!A172="","",N('Project Database'!AG172))</f>
        <v/>
      </c>
      <c r="BO168" s="5" t="str">
        <f>IF('Project Database'!A172="","",N('Project Database'!AH172))</f>
        <v/>
      </c>
      <c r="BP168" s="5" t="str">
        <f>IF('Project Database'!A172="","",N('Project Database'!AI172))</f>
        <v/>
      </c>
      <c r="BQ168" s="5" t="str">
        <f>IF('Project Database'!A172="","",N('Project Database'!AJ172))</f>
        <v/>
      </c>
      <c r="BR168" s="5" t="str">
        <f>IF('Project Database'!A172="","",N('Project Database'!AK172))</f>
        <v/>
      </c>
      <c r="BS168" s="5" t="str">
        <f>IF('Project Database'!A172="","",N('Project Database'!AL172))</f>
        <v/>
      </c>
      <c r="BT168" s="5" t="str">
        <f>IF('Project Database'!A172="","",N('Project Database'!AM172))</f>
        <v/>
      </c>
      <c r="BU168" s="5" t="str">
        <f>IF('Project Database'!A172="","",N('Project Database'!AN172))</f>
        <v/>
      </c>
      <c r="BV168" s="5" t="str">
        <f>IF('Project Database'!A172="","",N('Project Database'!AO172))</f>
        <v/>
      </c>
      <c r="BW168" s="5" t="str">
        <f>IF('Project Database'!A172="","",N('Project Database'!AP172))</f>
        <v/>
      </c>
      <c r="BX168" s="5">
        <f t="shared" si="40"/>
        <v>0</v>
      </c>
      <c r="BY168" s="5">
        <f t="shared" si="41"/>
        <v>0</v>
      </c>
    </row>
    <row r="169" spans="1:77" ht="15" customHeight="1" x14ac:dyDescent="0.3">
      <c r="A169" s="66">
        <f>'Project Database'!A173</f>
        <v>0</v>
      </c>
      <c r="B169" s="66">
        <f>'Project Database'!B173</f>
        <v>0</v>
      </c>
      <c r="C169" s="66">
        <f>'Project Database'!G173</f>
        <v>0</v>
      </c>
      <c r="D169" s="66">
        <f>'Project Database'!H173</f>
        <v>0</v>
      </c>
      <c r="E169" s="66">
        <f>'Project Database'!I173</f>
        <v>0</v>
      </c>
      <c r="F169" s="66">
        <f>'Project Database'!J173</f>
        <v>0</v>
      </c>
      <c r="G169" s="66">
        <f>'Project Database'!K173</f>
        <v>0</v>
      </c>
      <c r="H169" s="66">
        <f>'Project Database'!L173</f>
        <v>0</v>
      </c>
      <c r="I169" s="66">
        <f>'Project Database'!M173</f>
        <v>0</v>
      </c>
      <c r="J169" s="66">
        <f>'Project Database'!N173</f>
        <v>0</v>
      </c>
      <c r="K169" s="66">
        <f>'Project Database'!O173</f>
        <v>0</v>
      </c>
      <c r="L169" s="66">
        <f>'Project Database'!P173</f>
        <v>0</v>
      </c>
      <c r="M169" s="66">
        <f>'Project Database'!Q173</f>
        <v>0</v>
      </c>
      <c r="N169" s="66">
        <f>'Project Database'!R173</f>
        <v>0</v>
      </c>
      <c r="O169" s="66">
        <f>'Project Database'!S173</f>
        <v>0</v>
      </c>
      <c r="P169" s="66">
        <f>'Project Database'!T173</f>
        <v>0</v>
      </c>
      <c r="Q169" s="66">
        <f>'Project Database'!U173</f>
        <v>0</v>
      </c>
      <c r="R169" s="66">
        <f>'Project Database'!V173</f>
        <v>0</v>
      </c>
      <c r="S169" s="66">
        <f>'Project Database'!W173</f>
        <v>0</v>
      </c>
      <c r="T169" s="66">
        <f>'Project Database'!X173</f>
        <v>0</v>
      </c>
      <c r="U169" s="67">
        <f>'Project Database'!Y173</f>
        <v>0</v>
      </c>
      <c r="V169" s="66">
        <f>IF('Smart Search'!B13=1,IFERROR(1/'Smart Search'!H13,0),0)</f>
        <v>0</v>
      </c>
      <c r="W169" s="66">
        <f>IF('Smart Search'!B13=1,IFERROR(1/'Smart Search'!H13,0),0)</f>
        <v>0</v>
      </c>
      <c r="X169" s="66">
        <f>IF('Smart Search'!C13=1,IFERROR(1/'Smart Search'!H13,0),0)</f>
        <v>0.5</v>
      </c>
      <c r="Y169" s="66">
        <f>IF('Smart Search'!C13=1,IFERROR(1/'Smart Search'!H13,0),0)</f>
        <v>0.5</v>
      </c>
      <c r="Z169" s="66">
        <f>IF('Smart Search'!D13=1,IFERROR(1/'Smart Search'!H13,0),0)</f>
        <v>0</v>
      </c>
      <c r="AA169" s="66">
        <f>IF('Smart Search'!D13=1,IFERROR(1/'Smart Search'!H13,0),0)</f>
        <v>0</v>
      </c>
      <c r="AB169" s="66">
        <f>IF('Smart Search'!E13=1,IFERROR(1/'Smart Search'!H13,0),0)</f>
        <v>0</v>
      </c>
      <c r="AC169" s="66">
        <f>IF('Smart Search'!E13=1,IFERROR(1/'Smart Search'!H13,0),0)</f>
        <v>0</v>
      </c>
      <c r="AD169" s="66">
        <f>IF('Smart Search'!F13=1,IFERROR(1/'Smart Search'!H13,0),0)</f>
        <v>0</v>
      </c>
      <c r="AE169" s="66">
        <f>IF('Smart Search'!F13=1,IFERROR(1/'Smart Search'!H13,0),0)</f>
        <v>0</v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>0</v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>0</v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>0</v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>0</v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>0</v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>0</v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>0</v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>0</v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>0</v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>0</v>
      </c>
      <c r="AP169" s="66">
        <f t="shared" si="28"/>
        <v>0</v>
      </c>
      <c r="AQ169" s="66">
        <f t="shared" si="29"/>
        <v>0</v>
      </c>
      <c r="AR169" s="66">
        <f t="shared" si="30"/>
        <v>0</v>
      </c>
      <c r="AS169" s="66">
        <f t="shared" si="31"/>
        <v>0</v>
      </c>
      <c r="AT169" s="66">
        <f t="shared" si="32"/>
        <v>0</v>
      </c>
      <c r="AU169" s="66">
        <f t="shared" si="33"/>
        <v>0</v>
      </c>
      <c r="AV169" s="66">
        <f t="shared" si="34"/>
        <v>0</v>
      </c>
      <c r="AW169" s="66">
        <f t="shared" si="35"/>
        <v>0</v>
      </c>
      <c r="AX169" s="66">
        <f t="shared" si="36"/>
        <v>0</v>
      </c>
      <c r="AY169" s="66">
        <f t="shared" si="37"/>
        <v>0</v>
      </c>
      <c r="AZ169" s="66">
        <f>'Project Database'!Z173</f>
        <v>0</v>
      </c>
      <c r="BA169" s="66">
        <f>IF(OR(A169="",'Smart Search'!H13=0),"",MAX(0,BE169*BF169*MAX(0,1-BG169)))</f>
        <v>0</v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>0</v>
      </c>
      <c r="BC169" s="66">
        <f>IF('Smart Search'!G13=1,IFERROR(1/'Smart Search'!H13,0),0)</f>
        <v>0</v>
      </c>
      <c r="BD169" s="66">
        <f t="shared" si="38"/>
        <v>0</v>
      </c>
      <c r="BE169" s="66">
        <f t="shared" si="39"/>
        <v>0</v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>0</v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>0</v>
      </c>
      <c r="BH169" s="5" t="str">
        <f>IF(AND('Project Database'!A173&lt;&gt;"",OR('Smart Search'!$L$5="",'Smart Search'!$L$5="All",TRIM('Project Database'!D173)=TRIM('Smart Search'!$L$5)),OR(TRIM('Smart Search'!$L$6)="",TRIM('Smart Search'!$L$6)="All",ISNUMBER(SEARCH(SUBSTITUTE(SUBSTITUTE(SUBSTITUTE(TRIM('Smart Search'!$L$6),"~","~~"),"*","~*"),"?","~?"),'Project Database'!C173))),OR('Smart Search'!$L$7="",AND('Project Database'!E173&lt;&gt;"",'Project Database'!E173='Smart Search'!$L$7)),OR('Smart Search'!$L$8="",'Smart Search'!$L$8="All",TRIM('Project Database'!F173)=TRIM('Smart Search'!$L$8))),IF(BA169="","",BA169+ROW()*0.0000000001),"")</f>
        <v/>
      </c>
      <c r="BI169" s="5" t="str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 t="str">
        <f>IF('Project Database'!A173="","",N('Project Database'!AC173))</f>
        <v/>
      </c>
      <c r="BK169" s="5" t="str">
        <f>IF('Project Database'!A173="","",N('Project Database'!AD173))</f>
        <v/>
      </c>
      <c r="BL169" s="5" t="str">
        <f>IF('Project Database'!A173="","",N('Project Database'!AE173))</f>
        <v/>
      </c>
      <c r="BM169" s="5" t="str">
        <f>IF('Project Database'!A173="","",N('Project Database'!AF173))</f>
        <v/>
      </c>
      <c r="BN169" s="5" t="str">
        <f>IF('Project Database'!A173="","",N('Project Database'!AG173))</f>
        <v/>
      </c>
      <c r="BO169" s="5" t="str">
        <f>IF('Project Database'!A173="","",N('Project Database'!AH173))</f>
        <v/>
      </c>
      <c r="BP169" s="5" t="str">
        <f>IF('Project Database'!A173="","",N('Project Database'!AI173))</f>
        <v/>
      </c>
      <c r="BQ169" s="5" t="str">
        <f>IF('Project Database'!A173="","",N('Project Database'!AJ173))</f>
        <v/>
      </c>
      <c r="BR169" s="5" t="str">
        <f>IF('Project Database'!A173="","",N('Project Database'!AK173))</f>
        <v/>
      </c>
      <c r="BS169" s="5" t="str">
        <f>IF('Project Database'!A173="","",N('Project Database'!AL173))</f>
        <v/>
      </c>
      <c r="BT169" s="5" t="str">
        <f>IF('Project Database'!A173="","",N('Project Database'!AM173))</f>
        <v/>
      </c>
      <c r="BU169" s="5" t="str">
        <f>IF('Project Database'!A173="","",N('Project Database'!AN173))</f>
        <v/>
      </c>
      <c r="BV169" s="5" t="str">
        <f>IF('Project Database'!A173="","",N('Project Database'!AO173))</f>
        <v/>
      </c>
      <c r="BW169" s="5" t="str">
        <f>IF('Project Database'!A173="","",N('Project Database'!AP173))</f>
        <v/>
      </c>
      <c r="BX169" s="5">
        <f t="shared" si="40"/>
        <v>0</v>
      </c>
      <c r="BY169" s="5">
        <f t="shared" si="41"/>
        <v>0</v>
      </c>
    </row>
    <row r="170" spans="1:77" ht="15" customHeight="1" x14ac:dyDescent="0.3">
      <c r="A170" s="66">
        <f>'Project Database'!A174</f>
        <v>0</v>
      </c>
      <c r="B170" s="66">
        <f>'Project Database'!B174</f>
        <v>0</v>
      </c>
      <c r="C170" s="66">
        <f>'Project Database'!G174</f>
        <v>0</v>
      </c>
      <c r="D170" s="66">
        <f>'Project Database'!H174</f>
        <v>0</v>
      </c>
      <c r="E170" s="66">
        <f>'Project Database'!I174</f>
        <v>0</v>
      </c>
      <c r="F170" s="66">
        <f>'Project Database'!J174</f>
        <v>0</v>
      </c>
      <c r="G170" s="66">
        <f>'Project Database'!K174</f>
        <v>0</v>
      </c>
      <c r="H170" s="66">
        <f>'Project Database'!L174</f>
        <v>0</v>
      </c>
      <c r="I170" s="66">
        <f>'Project Database'!M174</f>
        <v>0</v>
      </c>
      <c r="J170" s="66">
        <f>'Project Database'!N174</f>
        <v>0</v>
      </c>
      <c r="K170" s="66">
        <f>'Project Database'!O174</f>
        <v>0</v>
      </c>
      <c r="L170" s="66">
        <f>'Project Database'!P174</f>
        <v>0</v>
      </c>
      <c r="M170" s="66">
        <f>'Project Database'!Q174</f>
        <v>0</v>
      </c>
      <c r="N170" s="66">
        <f>'Project Database'!R174</f>
        <v>0</v>
      </c>
      <c r="O170" s="66">
        <f>'Project Database'!S174</f>
        <v>0</v>
      </c>
      <c r="P170" s="66">
        <f>'Project Database'!T174</f>
        <v>0</v>
      </c>
      <c r="Q170" s="66">
        <f>'Project Database'!U174</f>
        <v>0</v>
      </c>
      <c r="R170" s="66">
        <f>'Project Database'!V174</f>
        <v>0</v>
      </c>
      <c r="S170" s="66">
        <f>'Project Database'!W174</f>
        <v>0</v>
      </c>
      <c r="T170" s="66">
        <f>'Project Database'!X174</f>
        <v>0</v>
      </c>
      <c r="U170" s="67">
        <f>'Project Database'!Y174</f>
        <v>0</v>
      </c>
      <c r="V170" s="66">
        <f>IF('Smart Search'!B13=1,IFERROR(1/'Smart Search'!H13,0),0)</f>
        <v>0</v>
      </c>
      <c r="W170" s="66">
        <f>IF('Smart Search'!B13=1,IFERROR(1/'Smart Search'!H13,0),0)</f>
        <v>0</v>
      </c>
      <c r="X170" s="66">
        <f>IF('Smart Search'!C13=1,IFERROR(1/'Smart Search'!H13,0),0)</f>
        <v>0.5</v>
      </c>
      <c r="Y170" s="66">
        <f>IF('Smart Search'!C13=1,IFERROR(1/'Smart Search'!H13,0),0)</f>
        <v>0.5</v>
      </c>
      <c r="Z170" s="66">
        <f>IF('Smart Search'!D13=1,IFERROR(1/'Smart Search'!H13,0),0)</f>
        <v>0</v>
      </c>
      <c r="AA170" s="66">
        <f>IF('Smart Search'!D13=1,IFERROR(1/'Smart Search'!H13,0),0)</f>
        <v>0</v>
      </c>
      <c r="AB170" s="66">
        <f>IF('Smart Search'!E13=1,IFERROR(1/'Smart Search'!H13,0),0)</f>
        <v>0</v>
      </c>
      <c r="AC170" s="66">
        <f>IF('Smart Search'!E13=1,IFERROR(1/'Smart Search'!H13,0),0)</f>
        <v>0</v>
      </c>
      <c r="AD170" s="66">
        <f>IF('Smart Search'!F13=1,IFERROR(1/'Smart Search'!H13,0),0)</f>
        <v>0</v>
      </c>
      <c r="AE170" s="66">
        <f>IF('Smart Search'!F13=1,IFERROR(1/'Smart Search'!H13,0),0)</f>
        <v>0</v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>0</v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>0</v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>0</v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>0</v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>0</v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>0</v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>0</v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>0</v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>0</v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>0</v>
      </c>
      <c r="AP170" s="66">
        <f t="shared" si="28"/>
        <v>0</v>
      </c>
      <c r="AQ170" s="66">
        <f t="shared" si="29"/>
        <v>0</v>
      </c>
      <c r="AR170" s="66">
        <f t="shared" si="30"/>
        <v>0</v>
      </c>
      <c r="AS170" s="66">
        <f t="shared" si="31"/>
        <v>0</v>
      </c>
      <c r="AT170" s="66">
        <f t="shared" si="32"/>
        <v>0</v>
      </c>
      <c r="AU170" s="66">
        <f t="shared" si="33"/>
        <v>0</v>
      </c>
      <c r="AV170" s="66">
        <f t="shared" si="34"/>
        <v>0</v>
      </c>
      <c r="AW170" s="66">
        <f t="shared" si="35"/>
        <v>0</v>
      </c>
      <c r="AX170" s="66">
        <f t="shared" si="36"/>
        <v>0</v>
      </c>
      <c r="AY170" s="66">
        <f t="shared" si="37"/>
        <v>0</v>
      </c>
      <c r="AZ170" s="66">
        <f>'Project Database'!Z174</f>
        <v>0</v>
      </c>
      <c r="BA170" s="66">
        <f>IF(OR(A170="",'Smart Search'!H13=0),"",MAX(0,BE170*BF170*MAX(0,1-BG170)))</f>
        <v>0</v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>0</v>
      </c>
      <c r="BC170" s="66">
        <f>IF('Smart Search'!G13=1,IFERROR(1/'Smart Search'!H13,0),0)</f>
        <v>0</v>
      </c>
      <c r="BD170" s="66">
        <f t="shared" si="38"/>
        <v>0</v>
      </c>
      <c r="BE170" s="66">
        <f t="shared" si="39"/>
        <v>0</v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>0</v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>0</v>
      </c>
      <c r="BH170" s="5" t="str">
        <f>IF(AND('Project Database'!A174&lt;&gt;"",OR('Smart Search'!$L$5="",'Smart Search'!$L$5="All",TRIM('Project Database'!D174)=TRIM('Smart Search'!$L$5)),OR(TRIM('Smart Search'!$L$6)="",TRIM('Smart Search'!$L$6)="All",ISNUMBER(SEARCH(SUBSTITUTE(SUBSTITUTE(SUBSTITUTE(TRIM('Smart Search'!$L$6),"~","~~"),"*","~*"),"?","~?"),'Project Database'!C174))),OR('Smart Search'!$L$7="",AND('Project Database'!E174&lt;&gt;"",'Project Database'!E174='Smart Search'!$L$7)),OR('Smart Search'!$L$8="",'Smart Search'!$L$8="All",TRIM('Project Database'!F174)=TRIM('Smart Search'!$L$8))),IF(BA170="","",BA170+ROW()*0.0000000001),"")</f>
        <v/>
      </c>
      <c r="BI170" s="5" t="str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 t="str">
        <f>IF('Project Database'!A174="","",N('Project Database'!AC174))</f>
        <v/>
      </c>
      <c r="BK170" s="5" t="str">
        <f>IF('Project Database'!A174="","",N('Project Database'!AD174))</f>
        <v/>
      </c>
      <c r="BL170" s="5" t="str">
        <f>IF('Project Database'!A174="","",N('Project Database'!AE174))</f>
        <v/>
      </c>
      <c r="BM170" s="5" t="str">
        <f>IF('Project Database'!A174="","",N('Project Database'!AF174))</f>
        <v/>
      </c>
      <c r="BN170" s="5" t="str">
        <f>IF('Project Database'!A174="","",N('Project Database'!AG174))</f>
        <v/>
      </c>
      <c r="BO170" s="5" t="str">
        <f>IF('Project Database'!A174="","",N('Project Database'!AH174))</f>
        <v/>
      </c>
      <c r="BP170" s="5" t="str">
        <f>IF('Project Database'!A174="","",N('Project Database'!AI174))</f>
        <v/>
      </c>
      <c r="BQ170" s="5" t="str">
        <f>IF('Project Database'!A174="","",N('Project Database'!AJ174))</f>
        <v/>
      </c>
      <c r="BR170" s="5" t="str">
        <f>IF('Project Database'!A174="","",N('Project Database'!AK174))</f>
        <v/>
      </c>
      <c r="BS170" s="5" t="str">
        <f>IF('Project Database'!A174="","",N('Project Database'!AL174))</f>
        <v/>
      </c>
      <c r="BT170" s="5" t="str">
        <f>IF('Project Database'!A174="","",N('Project Database'!AM174))</f>
        <v/>
      </c>
      <c r="BU170" s="5" t="str">
        <f>IF('Project Database'!A174="","",N('Project Database'!AN174))</f>
        <v/>
      </c>
      <c r="BV170" s="5" t="str">
        <f>IF('Project Database'!A174="","",N('Project Database'!AO174))</f>
        <v/>
      </c>
      <c r="BW170" s="5" t="str">
        <f>IF('Project Database'!A174="","",N('Project Database'!AP174))</f>
        <v/>
      </c>
      <c r="BX170" s="5">
        <f t="shared" si="40"/>
        <v>0</v>
      </c>
      <c r="BY170" s="5">
        <f t="shared" si="41"/>
        <v>0</v>
      </c>
    </row>
    <row r="171" spans="1:77" ht="15" customHeight="1" x14ac:dyDescent="0.3">
      <c r="A171" s="66">
        <f>'Project Database'!A175</f>
        <v>0</v>
      </c>
      <c r="B171" s="66">
        <f>'Project Database'!B175</f>
        <v>0</v>
      </c>
      <c r="C171" s="66">
        <f>'Project Database'!G175</f>
        <v>0</v>
      </c>
      <c r="D171" s="66">
        <f>'Project Database'!H175</f>
        <v>0</v>
      </c>
      <c r="E171" s="66">
        <f>'Project Database'!I175</f>
        <v>0</v>
      </c>
      <c r="F171" s="66">
        <f>'Project Database'!J175</f>
        <v>0</v>
      </c>
      <c r="G171" s="66">
        <f>'Project Database'!K175</f>
        <v>0</v>
      </c>
      <c r="H171" s="66">
        <f>'Project Database'!L175</f>
        <v>0</v>
      </c>
      <c r="I171" s="66">
        <f>'Project Database'!M175</f>
        <v>0</v>
      </c>
      <c r="J171" s="66">
        <f>'Project Database'!N175</f>
        <v>0</v>
      </c>
      <c r="K171" s="66">
        <f>'Project Database'!O175</f>
        <v>0</v>
      </c>
      <c r="L171" s="66">
        <f>'Project Database'!P175</f>
        <v>0</v>
      </c>
      <c r="M171" s="66">
        <f>'Project Database'!Q175</f>
        <v>0</v>
      </c>
      <c r="N171" s="66">
        <f>'Project Database'!R175</f>
        <v>0</v>
      </c>
      <c r="O171" s="66">
        <f>'Project Database'!S175</f>
        <v>0</v>
      </c>
      <c r="P171" s="66">
        <f>'Project Database'!T175</f>
        <v>0</v>
      </c>
      <c r="Q171" s="66">
        <f>'Project Database'!U175</f>
        <v>0</v>
      </c>
      <c r="R171" s="66">
        <f>'Project Database'!V175</f>
        <v>0</v>
      </c>
      <c r="S171" s="66">
        <f>'Project Database'!W175</f>
        <v>0</v>
      </c>
      <c r="T171" s="66">
        <f>'Project Database'!X175</f>
        <v>0</v>
      </c>
      <c r="U171" s="67">
        <f>'Project Database'!Y175</f>
        <v>0</v>
      </c>
      <c r="V171" s="66">
        <f>IF('Smart Search'!B13=1,IFERROR(1/'Smart Search'!H13,0),0)</f>
        <v>0</v>
      </c>
      <c r="W171" s="66">
        <f>IF('Smart Search'!B13=1,IFERROR(1/'Smart Search'!H13,0),0)</f>
        <v>0</v>
      </c>
      <c r="X171" s="66">
        <f>IF('Smart Search'!C13=1,IFERROR(1/'Smart Search'!H13,0),0)</f>
        <v>0.5</v>
      </c>
      <c r="Y171" s="66">
        <f>IF('Smart Search'!C13=1,IFERROR(1/'Smart Search'!H13,0),0)</f>
        <v>0.5</v>
      </c>
      <c r="Z171" s="66">
        <f>IF('Smart Search'!D13=1,IFERROR(1/'Smart Search'!H13,0),0)</f>
        <v>0</v>
      </c>
      <c r="AA171" s="66">
        <f>IF('Smart Search'!D13=1,IFERROR(1/'Smart Search'!H13,0),0)</f>
        <v>0</v>
      </c>
      <c r="AB171" s="66">
        <f>IF('Smart Search'!E13=1,IFERROR(1/'Smart Search'!H13,0),0)</f>
        <v>0</v>
      </c>
      <c r="AC171" s="66">
        <f>IF('Smart Search'!E13=1,IFERROR(1/'Smart Search'!H13,0),0)</f>
        <v>0</v>
      </c>
      <c r="AD171" s="66">
        <f>IF('Smart Search'!F13=1,IFERROR(1/'Smart Search'!H13,0),0)</f>
        <v>0</v>
      </c>
      <c r="AE171" s="66">
        <f>IF('Smart Search'!F13=1,IFERROR(1/'Smart Search'!H13,0),0)</f>
        <v>0</v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>0</v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>0</v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>0</v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>0</v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>0</v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>0</v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>0</v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>0</v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>0</v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>0</v>
      </c>
      <c r="AP171" s="66">
        <f t="shared" si="28"/>
        <v>0</v>
      </c>
      <c r="AQ171" s="66">
        <f t="shared" si="29"/>
        <v>0</v>
      </c>
      <c r="AR171" s="66">
        <f t="shared" si="30"/>
        <v>0</v>
      </c>
      <c r="AS171" s="66">
        <f t="shared" si="31"/>
        <v>0</v>
      </c>
      <c r="AT171" s="66">
        <f t="shared" si="32"/>
        <v>0</v>
      </c>
      <c r="AU171" s="66">
        <f t="shared" si="33"/>
        <v>0</v>
      </c>
      <c r="AV171" s="66">
        <f t="shared" si="34"/>
        <v>0</v>
      </c>
      <c r="AW171" s="66">
        <f t="shared" si="35"/>
        <v>0</v>
      </c>
      <c r="AX171" s="66">
        <f t="shared" si="36"/>
        <v>0</v>
      </c>
      <c r="AY171" s="66">
        <f t="shared" si="37"/>
        <v>0</v>
      </c>
      <c r="AZ171" s="66">
        <f>'Project Database'!Z175</f>
        <v>0</v>
      </c>
      <c r="BA171" s="66">
        <f>IF(OR(A171="",'Smart Search'!H13=0),"",MAX(0,BE171*BF171*MAX(0,1-BG171)))</f>
        <v>0</v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>0</v>
      </c>
      <c r="BC171" s="66">
        <f>IF('Smart Search'!G13=1,IFERROR(1/'Smart Search'!H13,0),0)</f>
        <v>0</v>
      </c>
      <c r="BD171" s="66">
        <f t="shared" si="38"/>
        <v>0</v>
      </c>
      <c r="BE171" s="66">
        <f t="shared" si="39"/>
        <v>0</v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>0</v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>0</v>
      </c>
      <c r="BH171" s="5" t="str">
        <f>IF(AND('Project Database'!A175&lt;&gt;"",OR('Smart Search'!$L$5="",'Smart Search'!$L$5="All",TRIM('Project Database'!D175)=TRIM('Smart Search'!$L$5)),OR(TRIM('Smart Search'!$L$6)="",TRIM('Smart Search'!$L$6)="All",ISNUMBER(SEARCH(SUBSTITUTE(SUBSTITUTE(SUBSTITUTE(TRIM('Smart Search'!$L$6),"~","~~"),"*","~*"),"?","~?"),'Project Database'!C175))),OR('Smart Search'!$L$7="",AND('Project Database'!E175&lt;&gt;"",'Project Database'!E175='Smart Search'!$L$7)),OR('Smart Search'!$L$8="",'Smart Search'!$L$8="All",TRIM('Project Database'!F175)=TRIM('Smart Search'!$L$8))),IF(BA171="","",BA171+ROW()*0.0000000001),"")</f>
        <v/>
      </c>
      <c r="BI171" s="5" t="str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 t="str">
        <f>IF('Project Database'!A175="","",N('Project Database'!AC175))</f>
        <v/>
      </c>
      <c r="BK171" s="5" t="str">
        <f>IF('Project Database'!A175="","",N('Project Database'!AD175))</f>
        <v/>
      </c>
      <c r="BL171" s="5" t="str">
        <f>IF('Project Database'!A175="","",N('Project Database'!AE175))</f>
        <v/>
      </c>
      <c r="BM171" s="5" t="str">
        <f>IF('Project Database'!A175="","",N('Project Database'!AF175))</f>
        <v/>
      </c>
      <c r="BN171" s="5" t="str">
        <f>IF('Project Database'!A175="","",N('Project Database'!AG175))</f>
        <v/>
      </c>
      <c r="BO171" s="5" t="str">
        <f>IF('Project Database'!A175="","",N('Project Database'!AH175))</f>
        <v/>
      </c>
      <c r="BP171" s="5" t="str">
        <f>IF('Project Database'!A175="","",N('Project Database'!AI175))</f>
        <v/>
      </c>
      <c r="BQ171" s="5" t="str">
        <f>IF('Project Database'!A175="","",N('Project Database'!AJ175))</f>
        <v/>
      </c>
      <c r="BR171" s="5" t="str">
        <f>IF('Project Database'!A175="","",N('Project Database'!AK175))</f>
        <v/>
      </c>
      <c r="BS171" s="5" t="str">
        <f>IF('Project Database'!A175="","",N('Project Database'!AL175))</f>
        <v/>
      </c>
      <c r="BT171" s="5" t="str">
        <f>IF('Project Database'!A175="","",N('Project Database'!AM175))</f>
        <v/>
      </c>
      <c r="BU171" s="5" t="str">
        <f>IF('Project Database'!A175="","",N('Project Database'!AN175))</f>
        <v/>
      </c>
      <c r="BV171" s="5" t="str">
        <f>IF('Project Database'!A175="","",N('Project Database'!AO175))</f>
        <v/>
      </c>
      <c r="BW171" s="5" t="str">
        <f>IF('Project Database'!A175="","",N('Project Database'!AP175))</f>
        <v/>
      </c>
      <c r="BX171" s="5">
        <f t="shared" si="40"/>
        <v>0</v>
      </c>
      <c r="BY171" s="5">
        <f t="shared" si="41"/>
        <v>0</v>
      </c>
    </row>
    <row r="172" spans="1:77" ht="15" customHeight="1" x14ac:dyDescent="0.3">
      <c r="A172" s="66">
        <f>'Project Database'!A176</f>
        <v>0</v>
      </c>
      <c r="B172" s="66">
        <f>'Project Database'!B176</f>
        <v>0</v>
      </c>
      <c r="C172" s="66">
        <f>'Project Database'!G176</f>
        <v>0</v>
      </c>
      <c r="D172" s="66">
        <f>'Project Database'!H176</f>
        <v>0</v>
      </c>
      <c r="E172" s="66">
        <f>'Project Database'!I176</f>
        <v>0</v>
      </c>
      <c r="F172" s="66">
        <f>'Project Database'!J176</f>
        <v>0</v>
      </c>
      <c r="G172" s="66">
        <f>'Project Database'!K176</f>
        <v>0</v>
      </c>
      <c r="H172" s="66">
        <f>'Project Database'!L176</f>
        <v>0</v>
      </c>
      <c r="I172" s="66">
        <f>'Project Database'!M176</f>
        <v>0</v>
      </c>
      <c r="J172" s="66">
        <f>'Project Database'!N176</f>
        <v>0</v>
      </c>
      <c r="K172" s="66">
        <f>'Project Database'!O176</f>
        <v>0</v>
      </c>
      <c r="L172" s="66">
        <f>'Project Database'!P176</f>
        <v>0</v>
      </c>
      <c r="M172" s="66">
        <f>'Project Database'!Q176</f>
        <v>0</v>
      </c>
      <c r="N172" s="66">
        <f>'Project Database'!R176</f>
        <v>0</v>
      </c>
      <c r="O172" s="66">
        <f>'Project Database'!S176</f>
        <v>0</v>
      </c>
      <c r="P172" s="66">
        <f>'Project Database'!T176</f>
        <v>0</v>
      </c>
      <c r="Q172" s="66">
        <f>'Project Database'!U176</f>
        <v>0</v>
      </c>
      <c r="R172" s="66">
        <f>'Project Database'!V176</f>
        <v>0</v>
      </c>
      <c r="S172" s="66">
        <f>'Project Database'!W176</f>
        <v>0</v>
      </c>
      <c r="T172" s="66">
        <f>'Project Database'!X176</f>
        <v>0</v>
      </c>
      <c r="U172" s="67">
        <f>'Project Database'!Y176</f>
        <v>0</v>
      </c>
      <c r="V172" s="66">
        <f>IF('Smart Search'!B13=1,IFERROR(1/'Smart Search'!H13,0),0)</f>
        <v>0</v>
      </c>
      <c r="W172" s="66">
        <f>IF('Smart Search'!B13=1,IFERROR(1/'Smart Search'!H13,0),0)</f>
        <v>0</v>
      </c>
      <c r="X172" s="66">
        <f>IF('Smart Search'!C13=1,IFERROR(1/'Smart Search'!H13,0),0)</f>
        <v>0.5</v>
      </c>
      <c r="Y172" s="66">
        <f>IF('Smart Search'!C13=1,IFERROR(1/'Smart Search'!H13,0),0)</f>
        <v>0.5</v>
      </c>
      <c r="Z172" s="66">
        <f>IF('Smart Search'!D13=1,IFERROR(1/'Smart Search'!H13,0),0)</f>
        <v>0</v>
      </c>
      <c r="AA172" s="66">
        <f>IF('Smart Search'!D13=1,IFERROR(1/'Smart Search'!H13,0),0)</f>
        <v>0</v>
      </c>
      <c r="AB172" s="66">
        <f>IF('Smart Search'!E13=1,IFERROR(1/'Smart Search'!H13,0),0)</f>
        <v>0</v>
      </c>
      <c r="AC172" s="66">
        <f>IF('Smart Search'!E13=1,IFERROR(1/'Smart Search'!H13,0),0)</f>
        <v>0</v>
      </c>
      <c r="AD172" s="66">
        <f>IF('Smart Search'!F13=1,IFERROR(1/'Smart Search'!H13,0),0)</f>
        <v>0</v>
      </c>
      <c r="AE172" s="66">
        <f>IF('Smart Search'!F13=1,IFERROR(1/'Smart Search'!H13,0),0)</f>
        <v>0</v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>0</v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>0</v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>0</v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>0</v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>0</v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>0</v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>0</v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>0</v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>0</v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>0</v>
      </c>
      <c r="AP172" s="66">
        <f t="shared" si="28"/>
        <v>0</v>
      </c>
      <c r="AQ172" s="66">
        <f t="shared" si="29"/>
        <v>0</v>
      </c>
      <c r="AR172" s="66">
        <f t="shared" si="30"/>
        <v>0</v>
      </c>
      <c r="AS172" s="66">
        <f t="shared" si="31"/>
        <v>0</v>
      </c>
      <c r="AT172" s="66">
        <f t="shared" si="32"/>
        <v>0</v>
      </c>
      <c r="AU172" s="66">
        <f t="shared" si="33"/>
        <v>0</v>
      </c>
      <c r="AV172" s="66">
        <f t="shared" si="34"/>
        <v>0</v>
      </c>
      <c r="AW172" s="66">
        <f t="shared" si="35"/>
        <v>0</v>
      </c>
      <c r="AX172" s="66">
        <f t="shared" si="36"/>
        <v>0</v>
      </c>
      <c r="AY172" s="66">
        <f t="shared" si="37"/>
        <v>0</v>
      </c>
      <c r="AZ172" s="66">
        <f>'Project Database'!Z176</f>
        <v>0</v>
      </c>
      <c r="BA172" s="66">
        <f>IF(OR(A172="",'Smart Search'!H13=0),"",MAX(0,BE172*BF172*MAX(0,1-BG172)))</f>
        <v>0</v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>0</v>
      </c>
      <c r="BC172" s="66">
        <f>IF('Smart Search'!G13=1,IFERROR(1/'Smart Search'!H13,0),0)</f>
        <v>0</v>
      </c>
      <c r="BD172" s="66">
        <f t="shared" si="38"/>
        <v>0</v>
      </c>
      <c r="BE172" s="66">
        <f t="shared" si="39"/>
        <v>0</v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>0</v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>0</v>
      </c>
      <c r="BH172" s="5" t="str">
        <f>IF(AND('Project Database'!A176&lt;&gt;"",OR('Smart Search'!$L$5="",'Smart Search'!$L$5="All",TRIM('Project Database'!D176)=TRIM('Smart Search'!$L$5)),OR(TRIM('Smart Search'!$L$6)="",TRIM('Smart Search'!$L$6)="All",ISNUMBER(SEARCH(SUBSTITUTE(SUBSTITUTE(SUBSTITUTE(TRIM('Smart Search'!$L$6),"~","~~"),"*","~*"),"?","~?"),'Project Database'!C176))),OR('Smart Search'!$L$7="",AND('Project Database'!E176&lt;&gt;"",'Project Database'!E176='Smart Search'!$L$7)),OR('Smart Search'!$L$8="",'Smart Search'!$L$8="All",TRIM('Project Database'!F176)=TRIM('Smart Search'!$L$8))),IF(BA172="","",BA172+ROW()*0.0000000001),"")</f>
        <v/>
      </c>
      <c r="BI172" s="5" t="str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 t="str">
        <f>IF('Project Database'!A176="","",N('Project Database'!AC176))</f>
        <v/>
      </c>
      <c r="BK172" s="5" t="str">
        <f>IF('Project Database'!A176="","",N('Project Database'!AD176))</f>
        <v/>
      </c>
      <c r="BL172" s="5" t="str">
        <f>IF('Project Database'!A176="","",N('Project Database'!AE176))</f>
        <v/>
      </c>
      <c r="BM172" s="5" t="str">
        <f>IF('Project Database'!A176="","",N('Project Database'!AF176))</f>
        <v/>
      </c>
      <c r="BN172" s="5" t="str">
        <f>IF('Project Database'!A176="","",N('Project Database'!AG176))</f>
        <v/>
      </c>
      <c r="BO172" s="5" t="str">
        <f>IF('Project Database'!A176="","",N('Project Database'!AH176))</f>
        <v/>
      </c>
      <c r="BP172" s="5" t="str">
        <f>IF('Project Database'!A176="","",N('Project Database'!AI176))</f>
        <v/>
      </c>
      <c r="BQ172" s="5" t="str">
        <f>IF('Project Database'!A176="","",N('Project Database'!AJ176))</f>
        <v/>
      </c>
      <c r="BR172" s="5" t="str">
        <f>IF('Project Database'!A176="","",N('Project Database'!AK176))</f>
        <v/>
      </c>
      <c r="BS172" s="5" t="str">
        <f>IF('Project Database'!A176="","",N('Project Database'!AL176))</f>
        <v/>
      </c>
      <c r="BT172" s="5" t="str">
        <f>IF('Project Database'!A176="","",N('Project Database'!AM176))</f>
        <v/>
      </c>
      <c r="BU172" s="5" t="str">
        <f>IF('Project Database'!A176="","",N('Project Database'!AN176))</f>
        <v/>
      </c>
      <c r="BV172" s="5" t="str">
        <f>IF('Project Database'!A176="","",N('Project Database'!AO176))</f>
        <v/>
      </c>
      <c r="BW172" s="5" t="str">
        <f>IF('Project Database'!A176="","",N('Project Database'!AP176))</f>
        <v/>
      </c>
      <c r="BX172" s="5">
        <f t="shared" si="40"/>
        <v>0</v>
      </c>
      <c r="BY172" s="5">
        <f t="shared" si="41"/>
        <v>0</v>
      </c>
    </row>
    <row r="173" spans="1:77" ht="15" customHeight="1" x14ac:dyDescent="0.3">
      <c r="A173" s="66">
        <f>'Project Database'!A177</f>
        <v>0</v>
      </c>
      <c r="B173" s="66">
        <f>'Project Database'!B177</f>
        <v>0</v>
      </c>
      <c r="C173" s="66">
        <f>'Project Database'!G177</f>
        <v>0</v>
      </c>
      <c r="D173" s="66">
        <f>'Project Database'!H177</f>
        <v>0</v>
      </c>
      <c r="E173" s="66">
        <f>'Project Database'!I177</f>
        <v>0</v>
      </c>
      <c r="F173" s="66">
        <f>'Project Database'!J177</f>
        <v>0</v>
      </c>
      <c r="G173" s="66">
        <f>'Project Database'!K177</f>
        <v>0</v>
      </c>
      <c r="H173" s="66">
        <f>'Project Database'!L177</f>
        <v>0</v>
      </c>
      <c r="I173" s="66">
        <f>'Project Database'!M177</f>
        <v>0</v>
      </c>
      <c r="J173" s="66">
        <f>'Project Database'!N177</f>
        <v>0</v>
      </c>
      <c r="K173" s="66">
        <f>'Project Database'!O177</f>
        <v>0</v>
      </c>
      <c r="L173" s="66">
        <f>'Project Database'!P177</f>
        <v>0</v>
      </c>
      <c r="M173" s="66">
        <f>'Project Database'!Q177</f>
        <v>0</v>
      </c>
      <c r="N173" s="66">
        <f>'Project Database'!R177</f>
        <v>0</v>
      </c>
      <c r="O173" s="66">
        <f>'Project Database'!S177</f>
        <v>0</v>
      </c>
      <c r="P173" s="66">
        <f>'Project Database'!T177</f>
        <v>0</v>
      </c>
      <c r="Q173" s="66">
        <f>'Project Database'!U177</f>
        <v>0</v>
      </c>
      <c r="R173" s="66">
        <f>'Project Database'!V177</f>
        <v>0</v>
      </c>
      <c r="S173" s="66">
        <f>'Project Database'!W177</f>
        <v>0</v>
      </c>
      <c r="T173" s="66">
        <f>'Project Database'!X177</f>
        <v>0</v>
      </c>
      <c r="U173" s="67">
        <f>'Project Database'!Y177</f>
        <v>0</v>
      </c>
      <c r="V173" s="66">
        <f>IF('Smart Search'!B13=1,IFERROR(1/'Smart Search'!H13,0),0)</f>
        <v>0</v>
      </c>
      <c r="W173" s="66">
        <f>IF('Smart Search'!B13=1,IFERROR(1/'Smart Search'!H13,0),0)</f>
        <v>0</v>
      </c>
      <c r="X173" s="66">
        <f>IF('Smart Search'!C13=1,IFERROR(1/'Smart Search'!H13,0),0)</f>
        <v>0.5</v>
      </c>
      <c r="Y173" s="66">
        <f>IF('Smart Search'!C13=1,IFERROR(1/'Smart Search'!H13,0),0)</f>
        <v>0.5</v>
      </c>
      <c r="Z173" s="66">
        <f>IF('Smart Search'!D13=1,IFERROR(1/'Smart Search'!H13,0),0)</f>
        <v>0</v>
      </c>
      <c r="AA173" s="66">
        <f>IF('Smart Search'!D13=1,IFERROR(1/'Smart Search'!H13,0),0)</f>
        <v>0</v>
      </c>
      <c r="AB173" s="66">
        <f>IF('Smart Search'!E13=1,IFERROR(1/'Smart Search'!H13,0),0)</f>
        <v>0</v>
      </c>
      <c r="AC173" s="66">
        <f>IF('Smart Search'!E13=1,IFERROR(1/'Smart Search'!H13,0),0)</f>
        <v>0</v>
      </c>
      <c r="AD173" s="66">
        <f>IF('Smart Search'!F13=1,IFERROR(1/'Smart Search'!H13,0),0)</f>
        <v>0</v>
      </c>
      <c r="AE173" s="66">
        <f>IF('Smart Search'!F13=1,IFERROR(1/'Smart Search'!H13,0),0)</f>
        <v>0</v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>0</v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>0</v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>0</v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>0</v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>0</v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>0</v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>0</v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>0</v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>0</v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>0</v>
      </c>
      <c r="AP173" s="66">
        <f t="shared" si="28"/>
        <v>0</v>
      </c>
      <c r="AQ173" s="66">
        <f t="shared" si="29"/>
        <v>0</v>
      </c>
      <c r="AR173" s="66">
        <f t="shared" si="30"/>
        <v>0</v>
      </c>
      <c r="AS173" s="66">
        <f t="shared" si="31"/>
        <v>0</v>
      </c>
      <c r="AT173" s="66">
        <f t="shared" si="32"/>
        <v>0</v>
      </c>
      <c r="AU173" s="66">
        <f t="shared" si="33"/>
        <v>0</v>
      </c>
      <c r="AV173" s="66">
        <f t="shared" si="34"/>
        <v>0</v>
      </c>
      <c r="AW173" s="66">
        <f t="shared" si="35"/>
        <v>0</v>
      </c>
      <c r="AX173" s="66">
        <f t="shared" si="36"/>
        <v>0</v>
      </c>
      <c r="AY173" s="66">
        <f t="shared" si="37"/>
        <v>0</v>
      </c>
      <c r="AZ173" s="66">
        <f>'Project Database'!Z177</f>
        <v>0</v>
      </c>
      <c r="BA173" s="66">
        <f>IF(OR(A173="",'Smart Search'!H13=0),"",MAX(0,BE173*BF173*MAX(0,1-BG173)))</f>
        <v>0</v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>0</v>
      </c>
      <c r="BC173" s="66">
        <f>IF('Smart Search'!G13=1,IFERROR(1/'Smart Search'!H13,0),0)</f>
        <v>0</v>
      </c>
      <c r="BD173" s="66">
        <f t="shared" si="38"/>
        <v>0</v>
      </c>
      <c r="BE173" s="66">
        <f t="shared" si="39"/>
        <v>0</v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>0</v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>0</v>
      </c>
      <c r="BH173" s="5" t="str">
        <f>IF(AND('Project Database'!A177&lt;&gt;"",OR('Smart Search'!$L$5="",'Smart Search'!$L$5="All",TRIM('Project Database'!D177)=TRIM('Smart Search'!$L$5)),OR(TRIM('Smart Search'!$L$6)="",TRIM('Smart Search'!$L$6)="All",ISNUMBER(SEARCH(SUBSTITUTE(SUBSTITUTE(SUBSTITUTE(TRIM('Smart Search'!$L$6),"~","~~"),"*","~*"),"?","~?"),'Project Database'!C177))),OR('Smart Search'!$L$7="",AND('Project Database'!E177&lt;&gt;"",'Project Database'!E177='Smart Search'!$L$7)),OR('Smart Search'!$L$8="",'Smart Search'!$L$8="All",TRIM('Project Database'!F177)=TRIM('Smart Search'!$L$8))),IF(BA173="","",BA173+ROW()*0.0000000001),"")</f>
        <v/>
      </c>
      <c r="BI173" s="5" t="str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 t="str">
        <f>IF('Project Database'!A177="","",N('Project Database'!AC177))</f>
        <v/>
      </c>
      <c r="BK173" s="5" t="str">
        <f>IF('Project Database'!A177="","",N('Project Database'!AD177))</f>
        <v/>
      </c>
      <c r="BL173" s="5" t="str">
        <f>IF('Project Database'!A177="","",N('Project Database'!AE177))</f>
        <v/>
      </c>
      <c r="BM173" s="5" t="str">
        <f>IF('Project Database'!A177="","",N('Project Database'!AF177))</f>
        <v/>
      </c>
      <c r="BN173" s="5" t="str">
        <f>IF('Project Database'!A177="","",N('Project Database'!AG177))</f>
        <v/>
      </c>
      <c r="BO173" s="5" t="str">
        <f>IF('Project Database'!A177="","",N('Project Database'!AH177))</f>
        <v/>
      </c>
      <c r="BP173" s="5" t="str">
        <f>IF('Project Database'!A177="","",N('Project Database'!AI177))</f>
        <v/>
      </c>
      <c r="BQ173" s="5" t="str">
        <f>IF('Project Database'!A177="","",N('Project Database'!AJ177))</f>
        <v/>
      </c>
      <c r="BR173" s="5" t="str">
        <f>IF('Project Database'!A177="","",N('Project Database'!AK177))</f>
        <v/>
      </c>
      <c r="BS173" s="5" t="str">
        <f>IF('Project Database'!A177="","",N('Project Database'!AL177))</f>
        <v/>
      </c>
      <c r="BT173" s="5" t="str">
        <f>IF('Project Database'!A177="","",N('Project Database'!AM177))</f>
        <v/>
      </c>
      <c r="BU173" s="5" t="str">
        <f>IF('Project Database'!A177="","",N('Project Database'!AN177))</f>
        <v/>
      </c>
      <c r="BV173" s="5" t="str">
        <f>IF('Project Database'!A177="","",N('Project Database'!AO177))</f>
        <v/>
      </c>
      <c r="BW173" s="5" t="str">
        <f>IF('Project Database'!A177="","",N('Project Database'!AP177))</f>
        <v/>
      </c>
      <c r="BX173" s="5">
        <f t="shared" si="40"/>
        <v>0</v>
      </c>
      <c r="BY173" s="5">
        <f t="shared" si="41"/>
        <v>0</v>
      </c>
    </row>
    <row r="174" spans="1:77" ht="15" customHeight="1" x14ac:dyDescent="0.3">
      <c r="A174" s="66">
        <f>'Project Database'!A178</f>
        <v>0</v>
      </c>
      <c r="B174" s="66">
        <f>'Project Database'!B178</f>
        <v>0</v>
      </c>
      <c r="C174" s="66">
        <f>'Project Database'!G178</f>
        <v>0</v>
      </c>
      <c r="D174" s="66">
        <f>'Project Database'!H178</f>
        <v>0</v>
      </c>
      <c r="E174" s="66">
        <f>'Project Database'!I178</f>
        <v>0</v>
      </c>
      <c r="F174" s="66">
        <f>'Project Database'!J178</f>
        <v>0</v>
      </c>
      <c r="G174" s="66">
        <f>'Project Database'!K178</f>
        <v>0</v>
      </c>
      <c r="H174" s="66">
        <f>'Project Database'!L178</f>
        <v>0</v>
      </c>
      <c r="I174" s="66">
        <f>'Project Database'!M178</f>
        <v>0</v>
      </c>
      <c r="J174" s="66">
        <f>'Project Database'!N178</f>
        <v>0</v>
      </c>
      <c r="K174" s="66">
        <f>'Project Database'!O178</f>
        <v>0</v>
      </c>
      <c r="L174" s="66">
        <f>'Project Database'!P178</f>
        <v>0</v>
      </c>
      <c r="M174" s="66">
        <f>'Project Database'!Q178</f>
        <v>0</v>
      </c>
      <c r="N174" s="66">
        <f>'Project Database'!R178</f>
        <v>0</v>
      </c>
      <c r="O174" s="66">
        <f>'Project Database'!S178</f>
        <v>0</v>
      </c>
      <c r="P174" s="66">
        <f>'Project Database'!T178</f>
        <v>0</v>
      </c>
      <c r="Q174" s="66">
        <f>'Project Database'!U178</f>
        <v>0</v>
      </c>
      <c r="R174" s="66">
        <f>'Project Database'!V178</f>
        <v>0</v>
      </c>
      <c r="S174" s="66">
        <f>'Project Database'!W178</f>
        <v>0</v>
      </c>
      <c r="T174" s="66">
        <f>'Project Database'!X178</f>
        <v>0</v>
      </c>
      <c r="U174" s="67">
        <f>'Project Database'!Y178</f>
        <v>0</v>
      </c>
      <c r="V174" s="66">
        <f>IF('Smart Search'!B13=1,IFERROR(1/'Smart Search'!H13,0),0)</f>
        <v>0</v>
      </c>
      <c r="W174" s="66">
        <f>IF('Smart Search'!B13=1,IFERROR(1/'Smart Search'!H13,0),0)</f>
        <v>0</v>
      </c>
      <c r="X174" s="66">
        <f>IF('Smart Search'!C13=1,IFERROR(1/'Smart Search'!H13,0),0)</f>
        <v>0.5</v>
      </c>
      <c r="Y174" s="66">
        <f>IF('Smart Search'!C13=1,IFERROR(1/'Smart Search'!H13,0),0)</f>
        <v>0.5</v>
      </c>
      <c r="Z174" s="66">
        <f>IF('Smart Search'!D13=1,IFERROR(1/'Smart Search'!H13,0),0)</f>
        <v>0</v>
      </c>
      <c r="AA174" s="66">
        <f>IF('Smart Search'!D13=1,IFERROR(1/'Smart Search'!H13,0),0)</f>
        <v>0</v>
      </c>
      <c r="AB174" s="66">
        <f>IF('Smart Search'!E13=1,IFERROR(1/'Smart Search'!H13,0),0)</f>
        <v>0</v>
      </c>
      <c r="AC174" s="66">
        <f>IF('Smart Search'!E13=1,IFERROR(1/'Smart Search'!H13,0),0)</f>
        <v>0</v>
      </c>
      <c r="AD174" s="66">
        <f>IF('Smart Search'!F13=1,IFERROR(1/'Smart Search'!H13,0),0)</f>
        <v>0</v>
      </c>
      <c r="AE174" s="66">
        <f>IF('Smart Search'!F13=1,IFERROR(1/'Smart Search'!H13,0),0)</f>
        <v>0</v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>0</v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>0</v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>0</v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>0</v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>0</v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>0</v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>0</v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>0</v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>0</v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>0</v>
      </c>
      <c r="AP174" s="66">
        <f t="shared" si="28"/>
        <v>0</v>
      </c>
      <c r="AQ174" s="66">
        <f t="shared" si="29"/>
        <v>0</v>
      </c>
      <c r="AR174" s="66">
        <f t="shared" si="30"/>
        <v>0</v>
      </c>
      <c r="AS174" s="66">
        <f t="shared" si="31"/>
        <v>0</v>
      </c>
      <c r="AT174" s="66">
        <f t="shared" si="32"/>
        <v>0</v>
      </c>
      <c r="AU174" s="66">
        <f t="shared" si="33"/>
        <v>0</v>
      </c>
      <c r="AV174" s="66">
        <f t="shared" si="34"/>
        <v>0</v>
      </c>
      <c r="AW174" s="66">
        <f t="shared" si="35"/>
        <v>0</v>
      </c>
      <c r="AX174" s="66">
        <f t="shared" si="36"/>
        <v>0</v>
      </c>
      <c r="AY174" s="66">
        <f t="shared" si="37"/>
        <v>0</v>
      </c>
      <c r="AZ174" s="66">
        <f>'Project Database'!Z178</f>
        <v>0</v>
      </c>
      <c r="BA174" s="66">
        <f>IF(OR(A174="",'Smart Search'!H13=0),"",MAX(0,BE174*BF174*MAX(0,1-BG174)))</f>
        <v>0</v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>0</v>
      </c>
      <c r="BC174" s="66">
        <f>IF('Smart Search'!G13=1,IFERROR(1/'Smart Search'!H13,0),0)</f>
        <v>0</v>
      </c>
      <c r="BD174" s="66">
        <f t="shared" si="38"/>
        <v>0</v>
      </c>
      <c r="BE174" s="66">
        <f t="shared" si="39"/>
        <v>0</v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>0</v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>0</v>
      </c>
      <c r="BH174" s="5" t="str">
        <f>IF(AND('Project Database'!A178&lt;&gt;"",OR('Smart Search'!$L$5="",'Smart Search'!$L$5="All",TRIM('Project Database'!D178)=TRIM('Smart Search'!$L$5)),OR(TRIM('Smart Search'!$L$6)="",TRIM('Smart Search'!$L$6)="All",ISNUMBER(SEARCH(SUBSTITUTE(SUBSTITUTE(SUBSTITUTE(TRIM('Smart Search'!$L$6),"~","~~"),"*","~*"),"?","~?"),'Project Database'!C178))),OR('Smart Search'!$L$7="",AND('Project Database'!E178&lt;&gt;"",'Project Database'!E178='Smart Search'!$L$7)),OR('Smart Search'!$L$8="",'Smart Search'!$L$8="All",TRIM('Project Database'!F178)=TRIM('Smart Search'!$L$8))),IF(BA174="","",BA174+ROW()*0.0000000001),"")</f>
        <v/>
      </c>
      <c r="BI174" s="5" t="str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 t="str">
        <f>IF('Project Database'!A178="","",N('Project Database'!AC178))</f>
        <v/>
      </c>
      <c r="BK174" s="5" t="str">
        <f>IF('Project Database'!A178="","",N('Project Database'!AD178))</f>
        <v/>
      </c>
      <c r="BL174" s="5" t="str">
        <f>IF('Project Database'!A178="","",N('Project Database'!AE178))</f>
        <v/>
      </c>
      <c r="BM174" s="5" t="str">
        <f>IF('Project Database'!A178="","",N('Project Database'!AF178))</f>
        <v/>
      </c>
      <c r="BN174" s="5" t="str">
        <f>IF('Project Database'!A178="","",N('Project Database'!AG178))</f>
        <v/>
      </c>
      <c r="BO174" s="5" t="str">
        <f>IF('Project Database'!A178="","",N('Project Database'!AH178))</f>
        <v/>
      </c>
      <c r="BP174" s="5" t="str">
        <f>IF('Project Database'!A178="","",N('Project Database'!AI178))</f>
        <v/>
      </c>
      <c r="BQ174" s="5" t="str">
        <f>IF('Project Database'!A178="","",N('Project Database'!AJ178))</f>
        <v/>
      </c>
      <c r="BR174" s="5" t="str">
        <f>IF('Project Database'!A178="","",N('Project Database'!AK178))</f>
        <v/>
      </c>
      <c r="BS174" s="5" t="str">
        <f>IF('Project Database'!A178="","",N('Project Database'!AL178))</f>
        <v/>
      </c>
      <c r="BT174" s="5" t="str">
        <f>IF('Project Database'!A178="","",N('Project Database'!AM178))</f>
        <v/>
      </c>
      <c r="BU174" s="5" t="str">
        <f>IF('Project Database'!A178="","",N('Project Database'!AN178))</f>
        <v/>
      </c>
      <c r="BV174" s="5" t="str">
        <f>IF('Project Database'!A178="","",N('Project Database'!AO178))</f>
        <v/>
      </c>
      <c r="BW174" s="5" t="str">
        <f>IF('Project Database'!A178="","",N('Project Database'!AP178))</f>
        <v/>
      </c>
      <c r="BX174" s="5">
        <f t="shared" si="40"/>
        <v>0</v>
      </c>
      <c r="BY174" s="5">
        <f t="shared" si="41"/>
        <v>0</v>
      </c>
    </row>
    <row r="175" spans="1:77" ht="15" customHeight="1" x14ac:dyDescent="0.3">
      <c r="A175" s="66">
        <f>'Project Database'!A179</f>
        <v>0</v>
      </c>
      <c r="B175" s="66">
        <f>'Project Database'!B179</f>
        <v>0</v>
      </c>
      <c r="C175" s="66">
        <f>'Project Database'!G179</f>
        <v>0</v>
      </c>
      <c r="D175" s="66">
        <f>'Project Database'!H179</f>
        <v>0</v>
      </c>
      <c r="E175" s="66">
        <f>'Project Database'!I179</f>
        <v>0</v>
      </c>
      <c r="F175" s="66">
        <f>'Project Database'!J179</f>
        <v>0</v>
      </c>
      <c r="G175" s="66">
        <f>'Project Database'!K179</f>
        <v>0</v>
      </c>
      <c r="H175" s="66">
        <f>'Project Database'!L179</f>
        <v>0</v>
      </c>
      <c r="I175" s="66">
        <f>'Project Database'!M179</f>
        <v>0</v>
      </c>
      <c r="J175" s="66">
        <f>'Project Database'!N179</f>
        <v>0</v>
      </c>
      <c r="K175" s="66">
        <f>'Project Database'!O179</f>
        <v>0</v>
      </c>
      <c r="L175" s="66">
        <f>'Project Database'!P179</f>
        <v>0</v>
      </c>
      <c r="M175" s="66">
        <f>'Project Database'!Q179</f>
        <v>0</v>
      </c>
      <c r="N175" s="66">
        <f>'Project Database'!R179</f>
        <v>0</v>
      </c>
      <c r="O175" s="66">
        <f>'Project Database'!S179</f>
        <v>0</v>
      </c>
      <c r="P175" s="66">
        <f>'Project Database'!T179</f>
        <v>0</v>
      </c>
      <c r="Q175" s="66">
        <f>'Project Database'!U179</f>
        <v>0</v>
      </c>
      <c r="R175" s="66">
        <f>'Project Database'!V179</f>
        <v>0</v>
      </c>
      <c r="S175" s="66">
        <f>'Project Database'!W179</f>
        <v>0</v>
      </c>
      <c r="T175" s="66">
        <f>'Project Database'!X179</f>
        <v>0</v>
      </c>
      <c r="U175" s="67">
        <f>'Project Database'!Y179</f>
        <v>0</v>
      </c>
      <c r="V175" s="66">
        <f>IF('Smart Search'!B13=1,IFERROR(1/'Smart Search'!H13,0),0)</f>
        <v>0</v>
      </c>
      <c r="W175" s="66">
        <f>IF('Smart Search'!B13=1,IFERROR(1/'Smart Search'!H13,0),0)</f>
        <v>0</v>
      </c>
      <c r="X175" s="66">
        <f>IF('Smart Search'!C13=1,IFERROR(1/'Smart Search'!H13,0),0)</f>
        <v>0.5</v>
      </c>
      <c r="Y175" s="66">
        <f>IF('Smart Search'!C13=1,IFERROR(1/'Smart Search'!H13,0),0)</f>
        <v>0.5</v>
      </c>
      <c r="Z175" s="66">
        <f>IF('Smart Search'!D13=1,IFERROR(1/'Smart Search'!H13,0),0)</f>
        <v>0</v>
      </c>
      <c r="AA175" s="66">
        <f>IF('Smart Search'!D13=1,IFERROR(1/'Smart Search'!H13,0),0)</f>
        <v>0</v>
      </c>
      <c r="AB175" s="66">
        <f>IF('Smart Search'!E13=1,IFERROR(1/'Smart Search'!H13,0),0)</f>
        <v>0</v>
      </c>
      <c r="AC175" s="66">
        <f>IF('Smart Search'!E13=1,IFERROR(1/'Smart Search'!H13,0),0)</f>
        <v>0</v>
      </c>
      <c r="AD175" s="66">
        <f>IF('Smart Search'!F13=1,IFERROR(1/'Smart Search'!H13,0),0)</f>
        <v>0</v>
      </c>
      <c r="AE175" s="66">
        <f>IF('Smart Search'!F13=1,IFERROR(1/'Smart Search'!H13,0),0)</f>
        <v>0</v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>0</v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>0</v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>0</v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>0</v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>0</v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>0</v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>0</v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>0</v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>0</v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>0</v>
      </c>
      <c r="AP175" s="66">
        <f t="shared" si="28"/>
        <v>0</v>
      </c>
      <c r="AQ175" s="66">
        <f t="shared" si="29"/>
        <v>0</v>
      </c>
      <c r="AR175" s="66">
        <f t="shared" si="30"/>
        <v>0</v>
      </c>
      <c r="AS175" s="66">
        <f t="shared" si="31"/>
        <v>0</v>
      </c>
      <c r="AT175" s="66">
        <f t="shared" si="32"/>
        <v>0</v>
      </c>
      <c r="AU175" s="66">
        <f t="shared" si="33"/>
        <v>0</v>
      </c>
      <c r="AV175" s="66">
        <f t="shared" si="34"/>
        <v>0</v>
      </c>
      <c r="AW175" s="66">
        <f t="shared" si="35"/>
        <v>0</v>
      </c>
      <c r="AX175" s="66">
        <f t="shared" si="36"/>
        <v>0</v>
      </c>
      <c r="AY175" s="66">
        <f t="shared" si="37"/>
        <v>0</v>
      </c>
      <c r="AZ175" s="66">
        <f>'Project Database'!Z179</f>
        <v>0</v>
      </c>
      <c r="BA175" s="66">
        <f>IF(OR(A175="",'Smart Search'!H13=0),"",MAX(0,BE175*BF175*MAX(0,1-BG175)))</f>
        <v>0</v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>0</v>
      </c>
      <c r="BC175" s="66">
        <f>IF('Smart Search'!G13=1,IFERROR(1/'Smart Search'!H13,0),0)</f>
        <v>0</v>
      </c>
      <c r="BD175" s="66">
        <f t="shared" si="38"/>
        <v>0</v>
      </c>
      <c r="BE175" s="66">
        <f t="shared" si="39"/>
        <v>0</v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>0</v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>0</v>
      </c>
      <c r="BH175" s="5" t="str">
        <f>IF(AND('Project Database'!A179&lt;&gt;"",OR('Smart Search'!$L$5="",'Smart Search'!$L$5="All",TRIM('Project Database'!D179)=TRIM('Smart Search'!$L$5)),OR(TRIM('Smart Search'!$L$6)="",TRIM('Smart Search'!$L$6)="All",ISNUMBER(SEARCH(SUBSTITUTE(SUBSTITUTE(SUBSTITUTE(TRIM('Smart Search'!$L$6),"~","~~"),"*","~*"),"?","~?"),'Project Database'!C179))),OR('Smart Search'!$L$7="",AND('Project Database'!E179&lt;&gt;"",'Project Database'!E179='Smart Search'!$L$7)),OR('Smart Search'!$L$8="",'Smart Search'!$L$8="All",TRIM('Project Database'!F179)=TRIM('Smart Search'!$L$8))),IF(BA175="","",BA175+ROW()*0.0000000001),"")</f>
        <v/>
      </c>
      <c r="BI175" s="5" t="str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 t="str">
        <f>IF('Project Database'!A179="","",N('Project Database'!AC179))</f>
        <v/>
      </c>
      <c r="BK175" s="5" t="str">
        <f>IF('Project Database'!A179="","",N('Project Database'!AD179))</f>
        <v/>
      </c>
      <c r="BL175" s="5" t="str">
        <f>IF('Project Database'!A179="","",N('Project Database'!AE179))</f>
        <v/>
      </c>
      <c r="BM175" s="5" t="str">
        <f>IF('Project Database'!A179="","",N('Project Database'!AF179))</f>
        <v/>
      </c>
      <c r="BN175" s="5" t="str">
        <f>IF('Project Database'!A179="","",N('Project Database'!AG179))</f>
        <v/>
      </c>
      <c r="BO175" s="5" t="str">
        <f>IF('Project Database'!A179="","",N('Project Database'!AH179))</f>
        <v/>
      </c>
      <c r="BP175" s="5" t="str">
        <f>IF('Project Database'!A179="","",N('Project Database'!AI179))</f>
        <v/>
      </c>
      <c r="BQ175" s="5" t="str">
        <f>IF('Project Database'!A179="","",N('Project Database'!AJ179))</f>
        <v/>
      </c>
      <c r="BR175" s="5" t="str">
        <f>IF('Project Database'!A179="","",N('Project Database'!AK179))</f>
        <v/>
      </c>
      <c r="BS175" s="5" t="str">
        <f>IF('Project Database'!A179="","",N('Project Database'!AL179))</f>
        <v/>
      </c>
      <c r="BT175" s="5" t="str">
        <f>IF('Project Database'!A179="","",N('Project Database'!AM179))</f>
        <v/>
      </c>
      <c r="BU175" s="5" t="str">
        <f>IF('Project Database'!A179="","",N('Project Database'!AN179))</f>
        <v/>
      </c>
      <c r="BV175" s="5" t="str">
        <f>IF('Project Database'!A179="","",N('Project Database'!AO179))</f>
        <v/>
      </c>
      <c r="BW175" s="5" t="str">
        <f>IF('Project Database'!A179="","",N('Project Database'!AP179))</f>
        <v/>
      </c>
      <c r="BX175" s="5">
        <f t="shared" si="40"/>
        <v>0</v>
      </c>
      <c r="BY175" s="5">
        <f t="shared" si="41"/>
        <v>0</v>
      </c>
    </row>
    <row r="176" spans="1:77" ht="15" customHeight="1" x14ac:dyDescent="0.3">
      <c r="A176" s="66">
        <f>'Project Database'!A180</f>
        <v>0</v>
      </c>
      <c r="B176" s="66">
        <f>'Project Database'!B180</f>
        <v>0</v>
      </c>
      <c r="C176" s="66">
        <f>'Project Database'!G180</f>
        <v>0</v>
      </c>
      <c r="D176" s="66">
        <f>'Project Database'!H180</f>
        <v>0</v>
      </c>
      <c r="E176" s="66">
        <f>'Project Database'!I180</f>
        <v>0</v>
      </c>
      <c r="F176" s="66">
        <f>'Project Database'!J180</f>
        <v>0</v>
      </c>
      <c r="G176" s="66">
        <f>'Project Database'!K180</f>
        <v>0</v>
      </c>
      <c r="H176" s="66">
        <f>'Project Database'!L180</f>
        <v>0</v>
      </c>
      <c r="I176" s="66">
        <f>'Project Database'!M180</f>
        <v>0</v>
      </c>
      <c r="J176" s="66">
        <f>'Project Database'!N180</f>
        <v>0</v>
      </c>
      <c r="K176" s="66">
        <f>'Project Database'!O180</f>
        <v>0</v>
      </c>
      <c r="L176" s="66">
        <f>'Project Database'!P180</f>
        <v>0</v>
      </c>
      <c r="M176" s="66">
        <f>'Project Database'!Q180</f>
        <v>0</v>
      </c>
      <c r="N176" s="66">
        <f>'Project Database'!R180</f>
        <v>0</v>
      </c>
      <c r="O176" s="66">
        <f>'Project Database'!S180</f>
        <v>0</v>
      </c>
      <c r="P176" s="66">
        <f>'Project Database'!T180</f>
        <v>0</v>
      </c>
      <c r="Q176" s="66">
        <f>'Project Database'!U180</f>
        <v>0</v>
      </c>
      <c r="R176" s="66">
        <f>'Project Database'!V180</f>
        <v>0</v>
      </c>
      <c r="S176" s="66">
        <f>'Project Database'!W180</f>
        <v>0</v>
      </c>
      <c r="T176" s="66">
        <f>'Project Database'!X180</f>
        <v>0</v>
      </c>
      <c r="U176" s="67">
        <f>'Project Database'!Y180</f>
        <v>0</v>
      </c>
      <c r="V176" s="66">
        <f>IF('Smart Search'!B13=1,IFERROR(1/'Smart Search'!H13,0),0)</f>
        <v>0</v>
      </c>
      <c r="W176" s="66">
        <f>IF('Smart Search'!B13=1,IFERROR(1/'Smart Search'!H13,0),0)</f>
        <v>0</v>
      </c>
      <c r="X176" s="66">
        <f>IF('Smart Search'!C13=1,IFERROR(1/'Smart Search'!H13,0),0)</f>
        <v>0.5</v>
      </c>
      <c r="Y176" s="66">
        <f>IF('Smart Search'!C13=1,IFERROR(1/'Smart Search'!H13,0),0)</f>
        <v>0.5</v>
      </c>
      <c r="Z176" s="66">
        <f>IF('Smart Search'!D13=1,IFERROR(1/'Smart Search'!H13,0),0)</f>
        <v>0</v>
      </c>
      <c r="AA176" s="66">
        <f>IF('Smart Search'!D13=1,IFERROR(1/'Smart Search'!H13,0),0)</f>
        <v>0</v>
      </c>
      <c r="AB176" s="66">
        <f>IF('Smart Search'!E13=1,IFERROR(1/'Smart Search'!H13,0),0)</f>
        <v>0</v>
      </c>
      <c r="AC176" s="66">
        <f>IF('Smart Search'!E13=1,IFERROR(1/'Smart Search'!H13,0),0)</f>
        <v>0</v>
      </c>
      <c r="AD176" s="66">
        <f>IF('Smart Search'!F13=1,IFERROR(1/'Smart Search'!H13,0),0)</f>
        <v>0</v>
      </c>
      <c r="AE176" s="66">
        <f>IF('Smart Search'!F13=1,IFERROR(1/'Smart Search'!H13,0),0)</f>
        <v>0</v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>0</v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>0</v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>0</v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>0</v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>0</v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>0</v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>0</v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>0</v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>0</v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>0</v>
      </c>
      <c r="AP176" s="66">
        <f t="shared" si="28"/>
        <v>0</v>
      </c>
      <c r="AQ176" s="66">
        <f t="shared" si="29"/>
        <v>0</v>
      </c>
      <c r="AR176" s="66">
        <f t="shared" si="30"/>
        <v>0</v>
      </c>
      <c r="AS176" s="66">
        <f t="shared" si="31"/>
        <v>0</v>
      </c>
      <c r="AT176" s="66">
        <f t="shared" si="32"/>
        <v>0</v>
      </c>
      <c r="AU176" s="66">
        <f t="shared" si="33"/>
        <v>0</v>
      </c>
      <c r="AV176" s="66">
        <f t="shared" si="34"/>
        <v>0</v>
      </c>
      <c r="AW176" s="66">
        <f t="shared" si="35"/>
        <v>0</v>
      </c>
      <c r="AX176" s="66">
        <f t="shared" si="36"/>
        <v>0</v>
      </c>
      <c r="AY176" s="66">
        <f t="shared" si="37"/>
        <v>0</v>
      </c>
      <c r="AZ176" s="66">
        <f>'Project Database'!Z180</f>
        <v>0</v>
      </c>
      <c r="BA176" s="66">
        <f>IF(OR(A176="",'Smart Search'!H13=0),"",MAX(0,BE176*BF176*MAX(0,1-BG176)))</f>
        <v>0</v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>0</v>
      </c>
      <c r="BC176" s="66">
        <f>IF('Smart Search'!G13=1,IFERROR(1/'Smart Search'!H13,0),0)</f>
        <v>0</v>
      </c>
      <c r="BD176" s="66">
        <f t="shared" si="38"/>
        <v>0</v>
      </c>
      <c r="BE176" s="66">
        <f t="shared" si="39"/>
        <v>0</v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>0</v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>0</v>
      </c>
      <c r="BH176" s="5" t="str">
        <f>IF(AND('Project Database'!A180&lt;&gt;"",OR('Smart Search'!$L$5="",'Smart Search'!$L$5="All",TRIM('Project Database'!D180)=TRIM('Smart Search'!$L$5)),OR(TRIM('Smart Search'!$L$6)="",TRIM('Smart Search'!$L$6)="All",ISNUMBER(SEARCH(SUBSTITUTE(SUBSTITUTE(SUBSTITUTE(TRIM('Smart Search'!$L$6),"~","~~"),"*","~*"),"?","~?"),'Project Database'!C180))),OR('Smart Search'!$L$7="",AND('Project Database'!E180&lt;&gt;"",'Project Database'!E180='Smart Search'!$L$7)),OR('Smart Search'!$L$8="",'Smart Search'!$L$8="All",TRIM('Project Database'!F180)=TRIM('Smart Search'!$L$8))),IF(BA176="","",BA176+ROW()*0.0000000001),"")</f>
        <v/>
      </c>
      <c r="BI176" s="5" t="str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 t="str">
        <f>IF('Project Database'!A180="","",N('Project Database'!AC180))</f>
        <v/>
      </c>
      <c r="BK176" s="5" t="str">
        <f>IF('Project Database'!A180="","",N('Project Database'!AD180))</f>
        <v/>
      </c>
      <c r="BL176" s="5" t="str">
        <f>IF('Project Database'!A180="","",N('Project Database'!AE180))</f>
        <v/>
      </c>
      <c r="BM176" s="5" t="str">
        <f>IF('Project Database'!A180="","",N('Project Database'!AF180))</f>
        <v/>
      </c>
      <c r="BN176" s="5" t="str">
        <f>IF('Project Database'!A180="","",N('Project Database'!AG180))</f>
        <v/>
      </c>
      <c r="BO176" s="5" t="str">
        <f>IF('Project Database'!A180="","",N('Project Database'!AH180))</f>
        <v/>
      </c>
      <c r="BP176" s="5" t="str">
        <f>IF('Project Database'!A180="","",N('Project Database'!AI180))</f>
        <v/>
      </c>
      <c r="BQ176" s="5" t="str">
        <f>IF('Project Database'!A180="","",N('Project Database'!AJ180))</f>
        <v/>
      </c>
      <c r="BR176" s="5" t="str">
        <f>IF('Project Database'!A180="","",N('Project Database'!AK180))</f>
        <v/>
      </c>
      <c r="BS176" s="5" t="str">
        <f>IF('Project Database'!A180="","",N('Project Database'!AL180))</f>
        <v/>
      </c>
      <c r="BT176" s="5" t="str">
        <f>IF('Project Database'!A180="","",N('Project Database'!AM180))</f>
        <v/>
      </c>
      <c r="BU176" s="5" t="str">
        <f>IF('Project Database'!A180="","",N('Project Database'!AN180))</f>
        <v/>
      </c>
      <c r="BV176" s="5" t="str">
        <f>IF('Project Database'!A180="","",N('Project Database'!AO180))</f>
        <v/>
      </c>
      <c r="BW176" s="5" t="str">
        <f>IF('Project Database'!A180="","",N('Project Database'!AP180))</f>
        <v/>
      </c>
      <c r="BX176" s="5">
        <f t="shared" si="40"/>
        <v>0</v>
      </c>
      <c r="BY176" s="5">
        <f t="shared" si="41"/>
        <v>0</v>
      </c>
    </row>
    <row r="177" spans="1:77" ht="15" customHeight="1" x14ac:dyDescent="0.3">
      <c r="A177" s="66">
        <f>'Project Database'!A181</f>
        <v>0</v>
      </c>
      <c r="B177" s="66">
        <f>'Project Database'!B181</f>
        <v>0</v>
      </c>
      <c r="C177" s="66">
        <f>'Project Database'!G181</f>
        <v>0</v>
      </c>
      <c r="D177" s="66">
        <f>'Project Database'!H181</f>
        <v>0</v>
      </c>
      <c r="E177" s="66">
        <f>'Project Database'!I181</f>
        <v>0</v>
      </c>
      <c r="F177" s="66">
        <f>'Project Database'!J181</f>
        <v>0</v>
      </c>
      <c r="G177" s="66">
        <f>'Project Database'!K181</f>
        <v>0</v>
      </c>
      <c r="H177" s="66">
        <f>'Project Database'!L181</f>
        <v>0</v>
      </c>
      <c r="I177" s="66">
        <f>'Project Database'!M181</f>
        <v>0</v>
      </c>
      <c r="J177" s="66">
        <f>'Project Database'!N181</f>
        <v>0</v>
      </c>
      <c r="K177" s="66">
        <f>'Project Database'!O181</f>
        <v>0</v>
      </c>
      <c r="L177" s="66">
        <f>'Project Database'!P181</f>
        <v>0</v>
      </c>
      <c r="M177" s="66">
        <f>'Project Database'!Q181</f>
        <v>0</v>
      </c>
      <c r="N177" s="66">
        <f>'Project Database'!R181</f>
        <v>0</v>
      </c>
      <c r="O177" s="66">
        <f>'Project Database'!S181</f>
        <v>0</v>
      </c>
      <c r="P177" s="66">
        <f>'Project Database'!T181</f>
        <v>0</v>
      </c>
      <c r="Q177" s="66">
        <f>'Project Database'!U181</f>
        <v>0</v>
      </c>
      <c r="R177" s="66">
        <f>'Project Database'!V181</f>
        <v>0</v>
      </c>
      <c r="S177" s="66">
        <f>'Project Database'!W181</f>
        <v>0</v>
      </c>
      <c r="T177" s="66">
        <f>'Project Database'!X181</f>
        <v>0</v>
      </c>
      <c r="U177" s="67">
        <f>'Project Database'!Y181</f>
        <v>0</v>
      </c>
      <c r="V177" s="66">
        <f>IF('Smart Search'!B13=1,IFERROR(1/'Smart Search'!H13,0),0)</f>
        <v>0</v>
      </c>
      <c r="W177" s="66">
        <f>IF('Smart Search'!B13=1,IFERROR(1/'Smart Search'!H13,0),0)</f>
        <v>0</v>
      </c>
      <c r="X177" s="66">
        <f>IF('Smart Search'!C13=1,IFERROR(1/'Smart Search'!H13,0),0)</f>
        <v>0.5</v>
      </c>
      <c r="Y177" s="66">
        <f>IF('Smart Search'!C13=1,IFERROR(1/'Smart Search'!H13,0),0)</f>
        <v>0.5</v>
      </c>
      <c r="Z177" s="66">
        <f>IF('Smart Search'!D13=1,IFERROR(1/'Smart Search'!H13,0),0)</f>
        <v>0</v>
      </c>
      <c r="AA177" s="66">
        <f>IF('Smart Search'!D13=1,IFERROR(1/'Smart Search'!H13,0),0)</f>
        <v>0</v>
      </c>
      <c r="AB177" s="66">
        <f>IF('Smart Search'!E13=1,IFERROR(1/'Smart Search'!H13,0),0)</f>
        <v>0</v>
      </c>
      <c r="AC177" s="66">
        <f>IF('Smart Search'!E13=1,IFERROR(1/'Smart Search'!H13,0),0)</f>
        <v>0</v>
      </c>
      <c r="AD177" s="66">
        <f>IF('Smart Search'!F13=1,IFERROR(1/'Smart Search'!H13,0),0)</f>
        <v>0</v>
      </c>
      <c r="AE177" s="66">
        <f>IF('Smart Search'!F13=1,IFERROR(1/'Smart Search'!H13,0),0)</f>
        <v>0</v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>0</v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>0</v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>0</v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>0</v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>0</v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>0</v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>0</v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>0</v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>0</v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>0</v>
      </c>
      <c r="AP177" s="66">
        <f t="shared" si="28"/>
        <v>0</v>
      </c>
      <c r="AQ177" s="66">
        <f t="shared" si="29"/>
        <v>0</v>
      </c>
      <c r="AR177" s="66">
        <f t="shared" si="30"/>
        <v>0</v>
      </c>
      <c r="AS177" s="66">
        <f t="shared" si="31"/>
        <v>0</v>
      </c>
      <c r="AT177" s="66">
        <f t="shared" si="32"/>
        <v>0</v>
      </c>
      <c r="AU177" s="66">
        <f t="shared" si="33"/>
        <v>0</v>
      </c>
      <c r="AV177" s="66">
        <f t="shared" si="34"/>
        <v>0</v>
      </c>
      <c r="AW177" s="66">
        <f t="shared" si="35"/>
        <v>0</v>
      </c>
      <c r="AX177" s="66">
        <f t="shared" si="36"/>
        <v>0</v>
      </c>
      <c r="AY177" s="66">
        <f t="shared" si="37"/>
        <v>0</v>
      </c>
      <c r="AZ177" s="66">
        <f>'Project Database'!Z181</f>
        <v>0</v>
      </c>
      <c r="BA177" s="66">
        <f>IF(OR(A177="",'Smart Search'!H13=0),"",MAX(0,BE177*BF177*MAX(0,1-BG177)))</f>
        <v>0</v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>0</v>
      </c>
      <c r="BC177" s="66">
        <f>IF('Smart Search'!G13=1,IFERROR(1/'Smart Search'!H13,0),0)</f>
        <v>0</v>
      </c>
      <c r="BD177" s="66">
        <f t="shared" si="38"/>
        <v>0</v>
      </c>
      <c r="BE177" s="66">
        <f t="shared" si="39"/>
        <v>0</v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>0</v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>0</v>
      </c>
      <c r="BH177" s="5" t="str">
        <f>IF(AND('Project Database'!A181&lt;&gt;"",OR('Smart Search'!$L$5="",'Smart Search'!$L$5="All",TRIM('Project Database'!D181)=TRIM('Smart Search'!$L$5)),OR(TRIM('Smart Search'!$L$6)="",TRIM('Smart Search'!$L$6)="All",ISNUMBER(SEARCH(SUBSTITUTE(SUBSTITUTE(SUBSTITUTE(TRIM('Smart Search'!$L$6),"~","~~"),"*","~*"),"?","~?"),'Project Database'!C181))),OR('Smart Search'!$L$7="",AND('Project Database'!E181&lt;&gt;"",'Project Database'!E181='Smart Search'!$L$7)),OR('Smart Search'!$L$8="",'Smart Search'!$L$8="All",TRIM('Project Database'!F181)=TRIM('Smart Search'!$L$8))),IF(BA177="","",BA177+ROW()*0.0000000001),"")</f>
        <v/>
      </c>
      <c r="BI177" s="5" t="str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 t="str">
        <f>IF('Project Database'!A181="","",N('Project Database'!AC181))</f>
        <v/>
      </c>
      <c r="BK177" s="5" t="str">
        <f>IF('Project Database'!A181="","",N('Project Database'!AD181))</f>
        <v/>
      </c>
      <c r="BL177" s="5" t="str">
        <f>IF('Project Database'!A181="","",N('Project Database'!AE181))</f>
        <v/>
      </c>
      <c r="BM177" s="5" t="str">
        <f>IF('Project Database'!A181="","",N('Project Database'!AF181))</f>
        <v/>
      </c>
      <c r="BN177" s="5" t="str">
        <f>IF('Project Database'!A181="","",N('Project Database'!AG181))</f>
        <v/>
      </c>
      <c r="BO177" s="5" t="str">
        <f>IF('Project Database'!A181="","",N('Project Database'!AH181))</f>
        <v/>
      </c>
      <c r="BP177" s="5" t="str">
        <f>IF('Project Database'!A181="","",N('Project Database'!AI181))</f>
        <v/>
      </c>
      <c r="BQ177" s="5" t="str">
        <f>IF('Project Database'!A181="","",N('Project Database'!AJ181))</f>
        <v/>
      </c>
      <c r="BR177" s="5" t="str">
        <f>IF('Project Database'!A181="","",N('Project Database'!AK181))</f>
        <v/>
      </c>
      <c r="BS177" s="5" t="str">
        <f>IF('Project Database'!A181="","",N('Project Database'!AL181))</f>
        <v/>
      </c>
      <c r="BT177" s="5" t="str">
        <f>IF('Project Database'!A181="","",N('Project Database'!AM181))</f>
        <v/>
      </c>
      <c r="BU177" s="5" t="str">
        <f>IF('Project Database'!A181="","",N('Project Database'!AN181))</f>
        <v/>
      </c>
      <c r="BV177" s="5" t="str">
        <f>IF('Project Database'!A181="","",N('Project Database'!AO181))</f>
        <v/>
      </c>
      <c r="BW177" s="5" t="str">
        <f>IF('Project Database'!A181="","",N('Project Database'!AP181))</f>
        <v/>
      </c>
      <c r="BX177" s="5">
        <f t="shared" si="40"/>
        <v>0</v>
      </c>
      <c r="BY177" s="5">
        <f t="shared" si="41"/>
        <v>0</v>
      </c>
    </row>
    <row r="178" spans="1:77" ht="15" customHeight="1" x14ac:dyDescent="0.3">
      <c r="A178" s="66">
        <f>'Project Database'!A182</f>
        <v>0</v>
      </c>
      <c r="B178" s="66">
        <f>'Project Database'!B182</f>
        <v>0</v>
      </c>
      <c r="C178" s="66">
        <f>'Project Database'!G182</f>
        <v>0</v>
      </c>
      <c r="D178" s="66">
        <f>'Project Database'!H182</f>
        <v>0</v>
      </c>
      <c r="E178" s="66">
        <f>'Project Database'!I182</f>
        <v>0</v>
      </c>
      <c r="F178" s="66">
        <f>'Project Database'!J182</f>
        <v>0</v>
      </c>
      <c r="G178" s="66">
        <f>'Project Database'!K182</f>
        <v>0</v>
      </c>
      <c r="H178" s="66">
        <f>'Project Database'!L182</f>
        <v>0</v>
      </c>
      <c r="I178" s="66">
        <f>'Project Database'!M182</f>
        <v>0</v>
      </c>
      <c r="J178" s="66">
        <f>'Project Database'!N182</f>
        <v>0</v>
      </c>
      <c r="K178" s="66">
        <f>'Project Database'!O182</f>
        <v>0</v>
      </c>
      <c r="L178" s="66">
        <f>'Project Database'!P182</f>
        <v>0</v>
      </c>
      <c r="M178" s="66">
        <f>'Project Database'!Q182</f>
        <v>0</v>
      </c>
      <c r="N178" s="66">
        <f>'Project Database'!R182</f>
        <v>0</v>
      </c>
      <c r="O178" s="66">
        <f>'Project Database'!S182</f>
        <v>0</v>
      </c>
      <c r="P178" s="66">
        <f>'Project Database'!T182</f>
        <v>0</v>
      </c>
      <c r="Q178" s="66">
        <f>'Project Database'!U182</f>
        <v>0</v>
      </c>
      <c r="R178" s="66">
        <f>'Project Database'!V182</f>
        <v>0</v>
      </c>
      <c r="S178" s="66">
        <f>'Project Database'!W182</f>
        <v>0</v>
      </c>
      <c r="T178" s="66">
        <f>'Project Database'!X182</f>
        <v>0</v>
      </c>
      <c r="U178" s="67">
        <f>'Project Database'!Y182</f>
        <v>0</v>
      </c>
      <c r="V178" s="66">
        <f>IF('Smart Search'!B13=1,IFERROR(1/'Smart Search'!H13,0),0)</f>
        <v>0</v>
      </c>
      <c r="W178" s="66">
        <f>IF('Smart Search'!B13=1,IFERROR(1/'Smart Search'!H13,0),0)</f>
        <v>0</v>
      </c>
      <c r="X178" s="66">
        <f>IF('Smart Search'!C13=1,IFERROR(1/'Smart Search'!H13,0),0)</f>
        <v>0.5</v>
      </c>
      <c r="Y178" s="66">
        <f>IF('Smart Search'!C13=1,IFERROR(1/'Smart Search'!H13,0),0)</f>
        <v>0.5</v>
      </c>
      <c r="Z178" s="66">
        <f>IF('Smart Search'!D13=1,IFERROR(1/'Smart Search'!H13,0),0)</f>
        <v>0</v>
      </c>
      <c r="AA178" s="66">
        <f>IF('Smart Search'!D13=1,IFERROR(1/'Smart Search'!H13,0),0)</f>
        <v>0</v>
      </c>
      <c r="AB178" s="66">
        <f>IF('Smart Search'!E13=1,IFERROR(1/'Smart Search'!H13,0),0)</f>
        <v>0</v>
      </c>
      <c r="AC178" s="66">
        <f>IF('Smart Search'!E13=1,IFERROR(1/'Smart Search'!H13,0),0)</f>
        <v>0</v>
      </c>
      <c r="AD178" s="66">
        <f>IF('Smart Search'!F13=1,IFERROR(1/'Smart Search'!H13,0),0)</f>
        <v>0</v>
      </c>
      <c r="AE178" s="66">
        <f>IF('Smart Search'!F13=1,IFERROR(1/'Smart Search'!H13,0),0)</f>
        <v>0</v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>0</v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>0</v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>0</v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>0</v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>0</v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>0</v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>0</v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>0</v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>0</v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>0</v>
      </c>
      <c r="AP178" s="66">
        <f t="shared" si="28"/>
        <v>0</v>
      </c>
      <c r="AQ178" s="66">
        <f t="shared" si="29"/>
        <v>0</v>
      </c>
      <c r="AR178" s="66">
        <f t="shared" si="30"/>
        <v>0</v>
      </c>
      <c r="AS178" s="66">
        <f t="shared" si="31"/>
        <v>0</v>
      </c>
      <c r="AT178" s="66">
        <f t="shared" si="32"/>
        <v>0</v>
      </c>
      <c r="AU178" s="66">
        <f t="shared" si="33"/>
        <v>0</v>
      </c>
      <c r="AV178" s="66">
        <f t="shared" si="34"/>
        <v>0</v>
      </c>
      <c r="AW178" s="66">
        <f t="shared" si="35"/>
        <v>0</v>
      </c>
      <c r="AX178" s="66">
        <f t="shared" si="36"/>
        <v>0</v>
      </c>
      <c r="AY178" s="66">
        <f t="shared" si="37"/>
        <v>0</v>
      </c>
      <c r="AZ178" s="66">
        <f>'Project Database'!Z182</f>
        <v>0</v>
      </c>
      <c r="BA178" s="66">
        <f>IF(OR(A178="",'Smart Search'!H13=0),"",MAX(0,BE178*BF178*MAX(0,1-BG178)))</f>
        <v>0</v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>0</v>
      </c>
      <c r="BC178" s="66">
        <f>IF('Smart Search'!G13=1,IFERROR(1/'Smart Search'!H13,0),0)</f>
        <v>0</v>
      </c>
      <c r="BD178" s="66">
        <f t="shared" si="38"/>
        <v>0</v>
      </c>
      <c r="BE178" s="66">
        <f t="shared" si="39"/>
        <v>0</v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>0</v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>0</v>
      </c>
      <c r="BH178" s="5" t="str">
        <f>IF(AND('Project Database'!A182&lt;&gt;"",OR('Smart Search'!$L$5="",'Smart Search'!$L$5="All",TRIM('Project Database'!D182)=TRIM('Smart Search'!$L$5)),OR(TRIM('Smart Search'!$L$6)="",TRIM('Smart Search'!$L$6)="All",ISNUMBER(SEARCH(SUBSTITUTE(SUBSTITUTE(SUBSTITUTE(TRIM('Smart Search'!$L$6),"~","~~"),"*","~*"),"?","~?"),'Project Database'!C182))),OR('Smart Search'!$L$7="",AND('Project Database'!E182&lt;&gt;"",'Project Database'!E182='Smart Search'!$L$7)),OR('Smart Search'!$L$8="",'Smart Search'!$L$8="All",TRIM('Project Database'!F182)=TRIM('Smart Search'!$L$8))),IF(BA178="","",BA178+ROW()*0.0000000001),"")</f>
        <v/>
      </c>
      <c r="BI178" s="5" t="str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 t="str">
        <f>IF('Project Database'!A182="","",N('Project Database'!AC182))</f>
        <v/>
      </c>
      <c r="BK178" s="5" t="str">
        <f>IF('Project Database'!A182="","",N('Project Database'!AD182))</f>
        <v/>
      </c>
      <c r="BL178" s="5" t="str">
        <f>IF('Project Database'!A182="","",N('Project Database'!AE182))</f>
        <v/>
      </c>
      <c r="BM178" s="5" t="str">
        <f>IF('Project Database'!A182="","",N('Project Database'!AF182))</f>
        <v/>
      </c>
      <c r="BN178" s="5" t="str">
        <f>IF('Project Database'!A182="","",N('Project Database'!AG182))</f>
        <v/>
      </c>
      <c r="BO178" s="5" t="str">
        <f>IF('Project Database'!A182="","",N('Project Database'!AH182))</f>
        <v/>
      </c>
      <c r="BP178" s="5" t="str">
        <f>IF('Project Database'!A182="","",N('Project Database'!AI182))</f>
        <v/>
      </c>
      <c r="BQ178" s="5" t="str">
        <f>IF('Project Database'!A182="","",N('Project Database'!AJ182))</f>
        <v/>
      </c>
      <c r="BR178" s="5" t="str">
        <f>IF('Project Database'!A182="","",N('Project Database'!AK182))</f>
        <v/>
      </c>
      <c r="BS178" s="5" t="str">
        <f>IF('Project Database'!A182="","",N('Project Database'!AL182))</f>
        <v/>
      </c>
      <c r="BT178" s="5" t="str">
        <f>IF('Project Database'!A182="","",N('Project Database'!AM182))</f>
        <v/>
      </c>
      <c r="BU178" s="5" t="str">
        <f>IF('Project Database'!A182="","",N('Project Database'!AN182))</f>
        <v/>
      </c>
      <c r="BV178" s="5" t="str">
        <f>IF('Project Database'!A182="","",N('Project Database'!AO182))</f>
        <v/>
      </c>
      <c r="BW178" s="5" t="str">
        <f>IF('Project Database'!A182="","",N('Project Database'!AP182))</f>
        <v/>
      </c>
      <c r="BX178" s="5">
        <f t="shared" si="40"/>
        <v>0</v>
      </c>
      <c r="BY178" s="5">
        <f t="shared" si="41"/>
        <v>0</v>
      </c>
    </row>
    <row r="179" spans="1:77" ht="15" customHeight="1" x14ac:dyDescent="0.3">
      <c r="A179" s="66">
        <f>'Project Database'!A183</f>
        <v>0</v>
      </c>
      <c r="B179" s="66">
        <f>'Project Database'!B183</f>
        <v>0</v>
      </c>
      <c r="C179" s="66">
        <f>'Project Database'!G183</f>
        <v>0</v>
      </c>
      <c r="D179" s="66">
        <f>'Project Database'!H183</f>
        <v>0</v>
      </c>
      <c r="E179" s="66">
        <f>'Project Database'!I183</f>
        <v>0</v>
      </c>
      <c r="F179" s="66">
        <f>'Project Database'!J183</f>
        <v>0</v>
      </c>
      <c r="G179" s="66">
        <f>'Project Database'!K183</f>
        <v>0</v>
      </c>
      <c r="H179" s="66">
        <f>'Project Database'!L183</f>
        <v>0</v>
      </c>
      <c r="I179" s="66">
        <f>'Project Database'!M183</f>
        <v>0</v>
      </c>
      <c r="J179" s="66">
        <f>'Project Database'!N183</f>
        <v>0</v>
      </c>
      <c r="K179" s="66">
        <f>'Project Database'!O183</f>
        <v>0</v>
      </c>
      <c r="L179" s="66">
        <f>'Project Database'!P183</f>
        <v>0</v>
      </c>
      <c r="M179" s="66">
        <f>'Project Database'!Q183</f>
        <v>0</v>
      </c>
      <c r="N179" s="66">
        <f>'Project Database'!R183</f>
        <v>0</v>
      </c>
      <c r="O179" s="66">
        <f>'Project Database'!S183</f>
        <v>0</v>
      </c>
      <c r="P179" s="66">
        <f>'Project Database'!T183</f>
        <v>0</v>
      </c>
      <c r="Q179" s="66">
        <f>'Project Database'!U183</f>
        <v>0</v>
      </c>
      <c r="R179" s="66">
        <f>'Project Database'!V183</f>
        <v>0</v>
      </c>
      <c r="S179" s="66">
        <f>'Project Database'!W183</f>
        <v>0</v>
      </c>
      <c r="T179" s="66">
        <f>'Project Database'!X183</f>
        <v>0</v>
      </c>
      <c r="U179" s="67">
        <f>'Project Database'!Y183</f>
        <v>0</v>
      </c>
      <c r="V179" s="66">
        <f>IF('Smart Search'!B13=1,IFERROR(1/'Smart Search'!H13,0),0)</f>
        <v>0</v>
      </c>
      <c r="W179" s="66">
        <f>IF('Smart Search'!B13=1,IFERROR(1/'Smart Search'!H13,0),0)</f>
        <v>0</v>
      </c>
      <c r="X179" s="66">
        <f>IF('Smart Search'!C13=1,IFERROR(1/'Smart Search'!H13,0),0)</f>
        <v>0.5</v>
      </c>
      <c r="Y179" s="66">
        <f>IF('Smart Search'!C13=1,IFERROR(1/'Smart Search'!H13,0),0)</f>
        <v>0.5</v>
      </c>
      <c r="Z179" s="66">
        <f>IF('Smart Search'!D13=1,IFERROR(1/'Smart Search'!H13,0),0)</f>
        <v>0</v>
      </c>
      <c r="AA179" s="66">
        <f>IF('Smart Search'!D13=1,IFERROR(1/'Smart Search'!H13,0),0)</f>
        <v>0</v>
      </c>
      <c r="AB179" s="66">
        <f>IF('Smart Search'!E13=1,IFERROR(1/'Smart Search'!H13,0),0)</f>
        <v>0</v>
      </c>
      <c r="AC179" s="66">
        <f>IF('Smart Search'!E13=1,IFERROR(1/'Smart Search'!H13,0),0)</f>
        <v>0</v>
      </c>
      <c r="AD179" s="66">
        <f>IF('Smart Search'!F13=1,IFERROR(1/'Smart Search'!H13,0),0)</f>
        <v>0</v>
      </c>
      <c r="AE179" s="66">
        <f>IF('Smart Search'!F13=1,IFERROR(1/'Smart Search'!H13,0),0)</f>
        <v>0</v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>0</v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>0</v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>0</v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>0</v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>0</v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>0</v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>0</v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>0</v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>0</v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>0</v>
      </c>
      <c r="AP179" s="66">
        <f t="shared" si="28"/>
        <v>0</v>
      </c>
      <c r="AQ179" s="66">
        <f t="shared" si="29"/>
        <v>0</v>
      </c>
      <c r="AR179" s="66">
        <f t="shared" si="30"/>
        <v>0</v>
      </c>
      <c r="AS179" s="66">
        <f t="shared" si="31"/>
        <v>0</v>
      </c>
      <c r="AT179" s="66">
        <f t="shared" si="32"/>
        <v>0</v>
      </c>
      <c r="AU179" s="66">
        <f t="shared" si="33"/>
        <v>0</v>
      </c>
      <c r="AV179" s="66">
        <f t="shared" si="34"/>
        <v>0</v>
      </c>
      <c r="AW179" s="66">
        <f t="shared" si="35"/>
        <v>0</v>
      </c>
      <c r="AX179" s="66">
        <f t="shared" si="36"/>
        <v>0</v>
      </c>
      <c r="AY179" s="66">
        <f t="shared" si="37"/>
        <v>0</v>
      </c>
      <c r="AZ179" s="66">
        <f>'Project Database'!Z183</f>
        <v>0</v>
      </c>
      <c r="BA179" s="66">
        <f>IF(OR(A179="",'Smart Search'!H13=0),"",MAX(0,BE179*BF179*MAX(0,1-BG179)))</f>
        <v>0</v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>0</v>
      </c>
      <c r="BC179" s="66">
        <f>IF('Smart Search'!G13=1,IFERROR(1/'Smart Search'!H13,0),0)</f>
        <v>0</v>
      </c>
      <c r="BD179" s="66">
        <f t="shared" si="38"/>
        <v>0</v>
      </c>
      <c r="BE179" s="66">
        <f t="shared" si="39"/>
        <v>0</v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>0</v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>0</v>
      </c>
      <c r="BH179" s="5" t="str">
        <f>IF(AND('Project Database'!A183&lt;&gt;"",OR('Smart Search'!$L$5="",'Smart Search'!$L$5="All",TRIM('Project Database'!D183)=TRIM('Smart Search'!$L$5)),OR(TRIM('Smart Search'!$L$6)="",TRIM('Smart Search'!$L$6)="All",ISNUMBER(SEARCH(SUBSTITUTE(SUBSTITUTE(SUBSTITUTE(TRIM('Smart Search'!$L$6),"~","~~"),"*","~*"),"?","~?"),'Project Database'!C183))),OR('Smart Search'!$L$7="",AND('Project Database'!E183&lt;&gt;"",'Project Database'!E183='Smart Search'!$L$7)),OR('Smart Search'!$L$8="",'Smart Search'!$L$8="All",TRIM('Project Database'!F183)=TRIM('Smart Search'!$L$8))),IF(BA179="","",BA179+ROW()*0.0000000001),"")</f>
        <v/>
      </c>
      <c r="BI179" s="5" t="str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 t="str">
        <f>IF('Project Database'!A183="","",N('Project Database'!AC183))</f>
        <v/>
      </c>
      <c r="BK179" s="5" t="str">
        <f>IF('Project Database'!A183="","",N('Project Database'!AD183))</f>
        <v/>
      </c>
      <c r="BL179" s="5" t="str">
        <f>IF('Project Database'!A183="","",N('Project Database'!AE183))</f>
        <v/>
      </c>
      <c r="BM179" s="5" t="str">
        <f>IF('Project Database'!A183="","",N('Project Database'!AF183))</f>
        <v/>
      </c>
      <c r="BN179" s="5" t="str">
        <f>IF('Project Database'!A183="","",N('Project Database'!AG183))</f>
        <v/>
      </c>
      <c r="BO179" s="5" t="str">
        <f>IF('Project Database'!A183="","",N('Project Database'!AH183))</f>
        <v/>
      </c>
      <c r="BP179" s="5" t="str">
        <f>IF('Project Database'!A183="","",N('Project Database'!AI183))</f>
        <v/>
      </c>
      <c r="BQ179" s="5" t="str">
        <f>IF('Project Database'!A183="","",N('Project Database'!AJ183))</f>
        <v/>
      </c>
      <c r="BR179" s="5" t="str">
        <f>IF('Project Database'!A183="","",N('Project Database'!AK183))</f>
        <v/>
      </c>
      <c r="BS179" s="5" t="str">
        <f>IF('Project Database'!A183="","",N('Project Database'!AL183))</f>
        <v/>
      </c>
      <c r="BT179" s="5" t="str">
        <f>IF('Project Database'!A183="","",N('Project Database'!AM183))</f>
        <v/>
      </c>
      <c r="BU179" s="5" t="str">
        <f>IF('Project Database'!A183="","",N('Project Database'!AN183))</f>
        <v/>
      </c>
      <c r="BV179" s="5" t="str">
        <f>IF('Project Database'!A183="","",N('Project Database'!AO183))</f>
        <v/>
      </c>
      <c r="BW179" s="5" t="str">
        <f>IF('Project Database'!A183="","",N('Project Database'!AP183))</f>
        <v/>
      </c>
      <c r="BX179" s="5">
        <f t="shared" si="40"/>
        <v>0</v>
      </c>
      <c r="BY179" s="5">
        <f t="shared" si="41"/>
        <v>0</v>
      </c>
    </row>
    <row r="180" spans="1:77" ht="15" customHeight="1" x14ac:dyDescent="0.3">
      <c r="A180" s="66">
        <f>'Project Database'!A184</f>
        <v>0</v>
      </c>
      <c r="B180" s="66">
        <f>'Project Database'!B184</f>
        <v>0</v>
      </c>
      <c r="C180" s="66">
        <f>'Project Database'!G184</f>
        <v>0</v>
      </c>
      <c r="D180" s="66">
        <f>'Project Database'!H184</f>
        <v>0</v>
      </c>
      <c r="E180" s="66">
        <f>'Project Database'!I184</f>
        <v>0</v>
      </c>
      <c r="F180" s="66">
        <f>'Project Database'!J184</f>
        <v>0</v>
      </c>
      <c r="G180" s="66">
        <f>'Project Database'!K184</f>
        <v>0</v>
      </c>
      <c r="H180" s="66">
        <f>'Project Database'!L184</f>
        <v>0</v>
      </c>
      <c r="I180" s="66">
        <f>'Project Database'!M184</f>
        <v>0</v>
      </c>
      <c r="J180" s="66">
        <f>'Project Database'!N184</f>
        <v>0</v>
      </c>
      <c r="K180" s="66">
        <f>'Project Database'!O184</f>
        <v>0</v>
      </c>
      <c r="L180" s="66">
        <f>'Project Database'!P184</f>
        <v>0</v>
      </c>
      <c r="M180" s="66">
        <f>'Project Database'!Q184</f>
        <v>0</v>
      </c>
      <c r="N180" s="66">
        <f>'Project Database'!R184</f>
        <v>0</v>
      </c>
      <c r="O180" s="66">
        <f>'Project Database'!S184</f>
        <v>0</v>
      </c>
      <c r="P180" s="66">
        <f>'Project Database'!T184</f>
        <v>0</v>
      </c>
      <c r="Q180" s="66">
        <f>'Project Database'!U184</f>
        <v>0</v>
      </c>
      <c r="R180" s="66">
        <f>'Project Database'!V184</f>
        <v>0</v>
      </c>
      <c r="S180" s="66">
        <f>'Project Database'!W184</f>
        <v>0</v>
      </c>
      <c r="T180" s="66">
        <f>'Project Database'!X184</f>
        <v>0</v>
      </c>
      <c r="U180" s="67">
        <f>'Project Database'!Y184</f>
        <v>0</v>
      </c>
      <c r="V180" s="66">
        <f>IF('Smart Search'!B13=1,IFERROR(1/'Smart Search'!H13,0),0)</f>
        <v>0</v>
      </c>
      <c r="W180" s="66">
        <f>IF('Smart Search'!B13=1,IFERROR(1/'Smart Search'!H13,0),0)</f>
        <v>0</v>
      </c>
      <c r="X180" s="66">
        <f>IF('Smart Search'!C13=1,IFERROR(1/'Smart Search'!H13,0),0)</f>
        <v>0.5</v>
      </c>
      <c r="Y180" s="66">
        <f>IF('Smart Search'!C13=1,IFERROR(1/'Smart Search'!H13,0),0)</f>
        <v>0.5</v>
      </c>
      <c r="Z180" s="66">
        <f>IF('Smart Search'!D13=1,IFERROR(1/'Smart Search'!H13,0),0)</f>
        <v>0</v>
      </c>
      <c r="AA180" s="66">
        <f>IF('Smart Search'!D13=1,IFERROR(1/'Smart Search'!H13,0),0)</f>
        <v>0</v>
      </c>
      <c r="AB180" s="66">
        <f>IF('Smart Search'!E13=1,IFERROR(1/'Smart Search'!H13,0),0)</f>
        <v>0</v>
      </c>
      <c r="AC180" s="66">
        <f>IF('Smart Search'!E13=1,IFERROR(1/'Smart Search'!H13,0),0)</f>
        <v>0</v>
      </c>
      <c r="AD180" s="66">
        <f>IF('Smart Search'!F13=1,IFERROR(1/'Smart Search'!H13,0),0)</f>
        <v>0</v>
      </c>
      <c r="AE180" s="66">
        <f>IF('Smart Search'!F13=1,IFERROR(1/'Smart Search'!H13,0),0)</f>
        <v>0</v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>0</v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>0</v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>0</v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>0</v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>0</v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>0</v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>0</v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>0</v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>0</v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>0</v>
      </c>
      <c r="AP180" s="66">
        <f t="shared" si="28"/>
        <v>0</v>
      </c>
      <c r="AQ180" s="66">
        <f t="shared" si="29"/>
        <v>0</v>
      </c>
      <c r="AR180" s="66">
        <f t="shared" si="30"/>
        <v>0</v>
      </c>
      <c r="AS180" s="66">
        <f t="shared" si="31"/>
        <v>0</v>
      </c>
      <c r="AT180" s="66">
        <f t="shared" si="32"/>
        <v>0</v>
      </c>
      <c r="AU180" s="66">
        <f t="shared" si="33"/>
        <v>0</v>
      </c>
      <c r="AV180" s="66">
        <f t="shared" si="34"/>
        <v>0</v>
      </c>
      <c r="AW180" s="66">
        <f t="shared" si="35"/>
        <v>0</v>
      </c>
      <c r="AX180" s="66">
        <f t="shared" si="36"/>
        <v>0</v>
      </c>
      <c r="AY180" s="66">
        <f t="shared" si="37"/>
        <v>0</v>
      </c>
      <c r="AZ180" s="66">
        <f>'Project Database'!Z184</f>
        <v>0</v>
      </c>
      <c r="BA180" s="66">
        <f>IF(OR(A180="",'Smart Search'!H13=0),"",MAX(0,BE180*BF180*MAX(0,1-BG180)))</f>
        <v>0</v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>0</v>
      </c>
      <c r="BC180" s="66">
        <f>IF('Smart Search'!G13=1,IFERROR(1/'Smart Search'!H13,0),0)</f>
        <v>0</v>
      </c>
      <c r="BD180" s="66">
        <f t="shared" si="38"/>
        <v>0</v>
      </c>
      <c r="BE180" s="66">
        <f t="shared" si="39"/>
        <v>0</v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>0</v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>0</v>
      </c>
      <c r="BH180" s="5" t="str">
        <f>IF(AND('Project Database'!A184&lt;&gt;"",OR('Smart Search'!$L$5="",'Smart Search'!$L$5="All",TRIM('Project Database'!D184)=TRIM('Smart Search'!$L$5)),OR(TRIM('Smart Search'!$L$6)="",TRIM('Smart Search'!$L$6)="All",ISNUMBER(SEARCH(SUBSTITUTE(SUBSTITUTE(SUBSTITUTE(TRIM('Smart Search'!$L$6),"~","~~"),"*","~*"),"?","~?"),'Project Database'!C184))),OR('Smart Search'!$L$7="",AND('Project Database'!E184&lt;&gt;"",'Project Database'!E184='Smart Search'!$L$7)),OR('Smart Search'!$L$8="",'Smart Search'!$L$8="All",TRIM('Project Database'!F184)=TRIM('Smart Search'!$L$8))),IF(BA180="","",BA180+ROW()*0.0000000001),"")</f>
        <v/>
      </c>
      <c r="BI180" s="5" t="str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 t="str">
        <f>IF('Project Database'!A184="","",N('Project Database'!AC184))</f>
        <v/>
      </c>
      <c r="BK180" s="5" t="str">
        <f>IF('Project Database'!A184="","",N('Project Database'!AD184))</f>
        <v/>
      </c>
      <c r="BL180" s="5" t="str">
        <f>IF('Project Database'!A184="","",N('Project Database'!AE184))</f>
        <v/>
      </c>
      <c r="BM180" s="5" t="str">
        <f>IF('Project Database'!A184="","",N('Project Database'!AF184))</f>
        <v/>
      </c>
      <c r="BN180" s="5" t="str">
        <f>IF('Project Database'!A184="","",N('Project Database'!AG184))</f>
        <v/>
      </c>
      <c r="BO180" s="5" t="str">
        <f>IF('Project Database'!A184="","",N('Project Database'!AH184))</f>
        <v/>
      </c>
      <c r="BP180" s="5" t="str">
        <f>IF('Project Database'!A184="","",N('Project Database'!AI184))</f>
        <v/>
      </c>
      <c r="BQ180" s="5" t="str">
        <f>IF('Project Database'!A184="","",N('Project Database'!AJ184))</f>
        <v/>
      </c>
      <c r="BR180" s="5" t="str">
        <f>IF('Project Database'!A184="","",N('Project Database'!AK184))</f>
        <v/>
      </c>
      <c r="BS180" s="5" t="str">
        <f>IF('Project Database'!A184="","",N('Project Database'!AL184))</f>
        <v/>
      </c>
      <c r="BT180" s="5" t="str">
        <f>IF('Project Database'!A184="","",N('Project Database'!AM184))</f>
        <v/>
      </c>
      <c r="BU180" s="5" t="str">
        <f>IF('Project Database'!A184="","",N('Project Database'!AN184))</f>
        <v/>
      </c>
      <c r="BV180" s="5" t="str">
        <f>IF('Project Database'!A184="","",N('Project Database'!AO184))</f>
        <v/>
      </c>
      <c r="BW180" s="5" t="str">
        <f>IF('Project Database'!A184="","",N('Project Database'!AP184))</f>
        <v/>
      </c>
      <c r="BX180" s="5">
        <f t="shared" si="40"/>
        <v>0</v>
      </c>
      <c r="BY180" s="5">
        <f t="shared" si="41"/>
        <v>0</v>
      </c>
    </row>
    <row r="181" spans="1:77" ht="15" customHeight="1" x14ac:dyDescent="0.3">
      <c r="A181" s="66">
        <f>'Project Database'!A185</f>
        <v>0</v>
      </c>
      <c r="B181" s="66">
        <f>'Project Database'!B185</f>
        <v>0</v>
      </c>
      <c r="C181" s="66">
        <f>'Project Database'!G185</f>
        <v>0</v>
      </c>
      <c r="D181" s="66">
        <f>'Project Database'!H185</f>
        <v>0</v>
      </c>
      <c r="E181" s="66">
        <f>'Project Database'!I185</f>
        <v>0</v>
      </c>
      <c r="F181" s="66">
        <f>'Project Database'!J185</f>
        <v>0</v>
      </c>
      <c r="G181" s="66">
        <f>'Project Database'!K185</f>
        <v>0</v>
      </c>
      <c r="H181" s="66">
        <f>'Project Database'!L185</f>
        <v>0</v>
      </c>
      <c r="I181" s="66">
        <f>'Project Database'!M185</f>
        <v>0</v>
      </c>
      <c r="J181" s="66">
        <f>'Project Database'!N185</f>
        <v>0</v>
      </c>
      <c r="K181" s="66">
        <f>'Project Database'!O185</f>
        <v>0</v>
      </c>
      <c r="L181" s="66">
        <f>'Project Database'!P185</f>
        <v>0</v>
      </c>
      <c r="M181" s="66">
        <f>'Project Database'!Q185</f>
        <v>0</v>
      </c>
      <c r="N181" s="66">
        <f>'Project Database'!R185</f>
        <v>0</v>
      </c>
      <c r="O181" s="66">
        <f>'Project Database'!S185</f>
        <v>0</v>
      </c>
      <c r="P181" s="66">
        <f>'Project Database'!T185</f>
        <v>0</v>
      </c>
      <c r="Q181" s="66">
        <f>'Project Database'!U185</f>
        <v>0</v>
      </c>
      <c r="R181" s="66">
        <f>'Project Database'!V185</f>
        <v>0</v>
      </c>
      <c r="S181" s="66">
        <f>'Project Database'!W185</f>
        <v>0</v>
      </c>
      <c r="T181" s="66">
        <f>'Project Database'!X185</f>
        <v>0</v>
      </c>
      <c r="U181" s="67">
        <f>'Project Database'!Y185</f>
        <v>0</v>
      </c>
      <c r="V181" s="66">
        <f>IF('Smart Search'!B13=1,IFERROR(1/'Smart Search'!H13,0),0)</f>
        <v>0</v>
      </c>
      <c r="W181" s="66">
        <f>IF('Smart Search'!B13=1,IFERROR(1/'Smart Search'!H13,0),0)</f>
        <v>0</v>
      </c>
      <c r="X181" s="66">
        <f>IF('Smart Search'!C13=1,IFERROR(1/'Smart Search'!H13,0),0)</f>
        <v>0.5</v>
      </c>
      <c r="Y181" s="66">
        <f>IF('Smart Search'!C13=1,IFERROR(1/'Smart Search'!H13,0),0)</f>
        <v>0.5</v>
      </c>
      <c r="Z181" s="66">
        <f>IF('Smart Search'!D13=1,IFERROR(1/'Smart Search'!H13,0),0)</f>
        <v>0</v>
      </c>
      <c r="AA181" s="66">
        <f>IF('Smart Search'!D13=1,IFERROR(1/'Smart Search'!H13,0),0)</f>
        <v>0</v>
      </c>
      <c r="AB181" s="66">
        <f>IF('Smart Search'!E13=1,IFERROR(1/'Smart Search'!H13,0),0)</f>
        <v>0</v>
      </c>
      <c r="AC181" s="66">
        <f>IF('Smart Search'!E13=1,IFERROR(1/'Smart Search'!H13,0),0)</f>
        <v>0</v>
      </c>
      <c r="AD181" s="66">
        <f>IF('Smart Search'!F13=1,IFERROR(1/'Smart Search'!H13,0),0)</f>
        <v>0</v>
      </c>
      <c r="AE181" s="66">
        <f>IF('Smart Search'!F13=1,IFERROR(1/'Smart Search'!H13,0),0)</f>
        <v>0</v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>0</v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>0</v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>0</v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>0</v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>0</v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>0</v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>0</v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>0</v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>0</v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>0</v>
      </c>
      <c r="AP181" s="66">
        <f t="shared" si="28"/>
        <v>0</v>
      </c>
      <c r="AQ181" s="66">
        <f t="shared" si="29"/>
        <v>0</v>
      </c>
      <c r="AR181" s="66">
        <f t="shared" si="30"/>
        <v>0</v>
      </c>
      <c r="AS181" s="66">
        <f t="shared" si="31"/>
        <v>0</v>
      </c>
      <c r="AT181" s="66">
        <f t="shared" si="32"/>
        <v>0</v>
      </c>
      <c r="AU181" s="66">
        <f t="shared" si="33"/>
        <v>0</v>
      </c>
      <c r="AV181" s="66">
        <f t="shared" si="34"/>
        <v>0</v>
      </c>
      <c r="AW181" s="66">
        <f t="shared" si="35"/>
        <v>0</v>
      </c>
      <c r="AX181" s="66">
        <f t="shared" si="36"/>
        <v>0</v>
      </c>
      <c r="AY181" s="66">
        <f t="shared" si="37"/>
        <v>0</v>
      </c>
      <c r="AZ181" s="66">
        <f>'Project Database'!Z185</f>
        <v>0</v>
      </c>
      <c r="BA181" s="66">
        <f>IF(OR(A181="",'Smart Search'!H13=0),"",MAX(0,BE181*BF181*MAX(0,1-BG181)))</f>
        <v>0</v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>0</v>
      </c>
      <c r="BC181" s="66">
        <f>IF('Smart Search'!G13=1,IFERROR(1/'Smart Search'!H13,0),0)</f>
        <v>0</v>
      </c>
      <c r="BD181" s="66">
        <f t="shared" si="38"/>
        <v>0</v>
      </c>
      <c r="BE181" s="66">
        <f t="shared" si="39"/>
        <v>0</v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>0</v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>0</v>
      </c>
      <c r="BH181" s="5" t="str">
        <f>IF(AND('Project Database'!A185&lt;&gt;"",OR('Smart Search'!$L$5="",'Smart Search'!$L$5="All",TRIM('Project Database'!D185)=TRIM('Smart Search'!$L$5)),OR(TRIM('Smart Search'!$L$6)="",TRIM('Smart Search'!$L$6)="All",ISNUMBER(SEARCH(SUBSTITUTE(SUBSTITUTE(SUBSTITUTE(TRIM('Smart Search'!$L$6),"~","~~"),"*","~*"),"?","~?"),'Project Database'!C185))),OR('Smart Search'!$L$7="",AND('Project Database'!E185&lt;&gt;"",'Project Database'!E185='Smart Search'!$L$7)),OR('Smart Search'!$L$8="",'Smart Search'!$L$8="All",TRIM('Project Database'!F185)=TRIM('Smart Search'!$L$8))),IF(BA181="","",BA181+ROW()*0.0000000001),"")</f>
        <v/>
      </c>
      <c r="BI181" s="5" t="str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 t="str">
        <f>IF('Project Database'!A185="","",N('Project Database'!AC185))</f>
        <v/>
      </c>
      <c r="BK181" s="5" t="str">
        <f>IF('Project Database'!A185="","",N('Project Database'!AD185))</f>
        <v/>
      </c>
      <c r="BL181" s="5" t="str">
        <f>IF('Project Database'!A185="","",N('Project Database'!AE185))</f>
        <v/>
      </c>
      <c r="BM181" s="5" t="str">
        <f>IF('Project Database'!A185="","",N('Project Database'!AF185))</f>
        <v/>
      </c>
      <c r="BN181" s="5" t="str">
        <f>IF('Project Database'!A185="","",N('Project Database'!AG185))</f>
        <v/>
      </c>
      <c r="BO181" s="5" t="str">
        <f>IF('Project Database'!A185="","",N('Project Database'!AH185))</f>
        <v/>
      </c>
      <c r="BP181" s="5" t="str">
        <f>IF('Project Database'!A185="","",N('Project Database'!AI185))</f>
        <v/>
      </c>
      <c r="BQ181" s="5" t="str">
        <f>IF('Project Database'!A185="","",N('Project Database'!AJ185))</f>
        <v/>
      </c>
      <c r="BR181" s="5" t="str">
        <f>IF('Project Database'!A185="","",N('Project Database'!AK185))</f>
        <v/>
      </c>
      <c r="BS181" s="5" t="str">
        <f>IF('Project Database'!A185="","",N('Project Database'!AL185))</f>
        <v/>
      </c>
      <c r="BT181" s="5" t="str">
        <f>IF('Project Database'!A185="","",N('Project Database'!AM185))</f>
        <v/>
      </c>
      <c r="BU181" s="5" t="str">
        <f>IF('Project Database'!A185="","",N('Project Database'!AN185))</f>
        <v/>
      </c>
      <c r="BV181" s="5" t="str">
        <f>IF('Project Database'!A185="","",N('Project Database'!AO185))</f>
        <v/>
      </c>
      <c r="BW181" s="5" t="str">
        <f>IF('Project Database'!A185="","",N('Project Database'!AP185))</f>
        <v/>
      </c>
      <c r="BX181" s="5">
        <f t="shared" si="40"/>
        <v>0</v>
      </c>
      <c r="BY181" s="5">
        <f t="shared" si="41"/>
        <v>0</v>
      </c>
    </row>
    <row r="182" spans="1:77" ht="15" customHeight="1" x14ac:dyDescent="0.3">
      <c r="A182" s="66">
        <f>'Project Database'!A186</f>
        <v>0</v>
      </c>
      <c r="B182" s="66">
        <f>'Project Database'!B186</f>
        <v>0</v>
      </c>
      <c r="C182" s="66">
        <f>'Project Database'!G186</f>
        <v>0</v>
      </c>
      <c r="D182" s="66">
        <f>'Project Database'!H186</f>
        <v>0</v>
      </c>
      <c r="E182" s="66">
        <f>'Project Database'!I186</f>
        <v>0</v>
      </c>
      <c r="F182" s="66">
        <f>'Project Database'!J186</f>
        <v>0</v>
      </c>
      <c r="G182" s="66">
        <f>'Project Database'!K186</f>
        <v>0</v>
      </c>
      <c r="H182" s="66">
        <f>'Project Database'!L186</f>
        <v>0</v>
      </c>
      <c r="I182" s="66">
        <f>'Project Database'!M186</f>
        <v>0</v>
      </c>
      <c r="J182" s="66">
        <f>'Project Database'!N186</f>
        <v>0</v>
      </c>
      <c r="K182" s="66">
        <f>'Project Database'!O186</f>
        <v>0</v>
      </c>
      <c r="L182" s="66">
        <f>'Project Database'!P186</f>
        <v>0</v>
      </c>
      <c r="M182" s="66">
        <f>'Project Database'!Q186</f>
        <v>0</v>
      </c>
      <c r="N182" s="66">
        <f>'Project Database'!R186</f>
        <v>0</v>
      </c>
      <c r="O182" s="66">
        <f>'Project Database'!S186</f>
        <v>0</v>
      </c>
      <c r="P182" s="66">
        <f>'Project Database'!T186</f>
        <v>0</v>
      </c>
      <c r="Q182" s="66">
        <f>'Project Database'!U186</f>
        <v>0</v>
      </c>
      <c r="R182" s="66">
        <f>'Project Database'!V186</f>
        <v>0</v>
      </c>
      <c r="S182" s="66">
        <f>'Project Database'!W186</f>
        <v>0</v>
      </c>
      <c r="T182" s="66">
        <f>'Project Database'!X186</f>
        <v>0</v>
      </c>
      <c r="U182" s="67">
        <f>'Project Database'!Y186</f>
        <v>0</v>
      </c>
      <c r="V182" s="66">
        <f>IF('Smart Search'!B13=1,IFERROR(1/'Smart Search'!H13,0),0)</f>
        <v>0</v>
      </c>
      <c r="W182" s="66">
        <f>IF('Smart Search'!B13=1,IFERROR(1/'Smart Search'!H13,0),0)</f>
        <v>0</v>
      </c>
      <c r="X182" s="66">
        <f>IF('Smart Search'!C13=1,IFERROR(1/'Smart Search'!H13,0),0)</f>
        <v>0.5</v>
      </c>
      <c r="Y182" s="66">
        <f>IF('Smart Search'!C13=1,IFERROR(1/'Smart Search'!H13,0),0)</f>
        <v>0.5</v>
      </c>
      <c r="Z182" s="66">
        <f>IF('Smart Search'!D13=1,IFERROR(1/'Smart Search'!H13,0),0)</f>
        <v>0</v>
      </c>
      <c r="AA182" s="66">
        <f>IF('Smart Search'!D13=1,IFERROR(1/'Smart Search'!H13,0),0)</f>
        <v>0</v>
      </c>
      <c r="AB182" s="66">
        <f>IF('Smart Search'!E13=1,IFERROR(1/'Smart Search'!H13,0),0)</f>
        <v>0</v>
      </c>
      <c r="AC182" s="66">
        <f>IF('Smart Search'!E13=1,IFERROR(1/'Smart Search'!H13,0),0)</f>
        <v>0</v>
      </c>
      <c r="AD182" s="66">
        <f>IF('Smart Search'!F13=1,IFERROR(1/'Smart Search'!H13,0),0)</f>
        <v>0</v>
      </c>
      <c r="AE182" s="66">
        <f>IF('Smart Search'!F13=1,IFERROR(1/'Smart Search'!H13,0),0)</f>
        <v>0</v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>0</v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>0</v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>0</v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>0</v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>0</v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>0</v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>0</v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>0</v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>0</v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>0</v>
      </c>
      <c r="AP182" s="66">
        <f t="shared" si="28"/>
        <v>0</v>
      </c>
      <c r="AQ182" s="66">
        <f t="shared" si="29"/>
        <v>0</v>
      </c>
      <c r="AR182" s="66">
        <f t="shared" si="30"/>
        <v>0</v>
      </c>
      <c r="AS182" s="66">
        <f t="shared" si="31"/>
        <v>0</v>
      </c>
      <c r="AT182" s="66">
        <f t="shared" si="32"/>
        <v>0</v>
      </c>
      <c r="AU182" s="66">
        <f t="shared" si="33"/>
        <v>0</v>
      </c>
      <c r="AV182" s="66">
        <f t="shared" si="34"/>
        <v>0</v>
      </c>
      <c r="AW182" s="66">
        <f t="shared" si="35"/>
        <v>0</v>
      </c>
      <c r="AX182" s="66">
        <f t="shared" si="36"/>
        <v>0</v>
      </c>
      <c r="AY182" s="66">
        <f t="shared" si="37"/>
        <v>0</v>
      </c>
      <c r="AZ182" s="66">
        <f>'Project Database'!Z186</f>
        <v>0</v>
      </c>
      <c r="BA182" s="66">
        <f>IF(OR(A182="",'Smart Search'!H13=0),"",MAX(0,BE182*BF182*MAX(0,1-BG182)))</f>
        <v>0</v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>0</v>
      </c>
      <c r="BC182" s="66">
        <f>IF('Smart Search'!G13=1,IFERROR(1/'Smart Search'!H13,0),0)</f>
        <v>0</v>
      </c>
      <c r="BD182" s="66">
        <f t="shared" si="38"/>
        <v>0</v>
      </c>
      <c r="BE182" s="66">
        <f t="shared" si="39"/>
        <v>0</v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>0</v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>0</v>
      </c>
      <c r="BH182" s="5" t="str">
        <f>IF(AND('Project Database'!A186&lt;&gt;"",OR('Smart Search'!$L$5="",'Smart Search'!$L$5="All",TRIM('Project Database'!D186)=TRIM('Smart Search'!$L$5)),OR(TRIM('Smart Search'!$L$6)="",TRIM('Smart Search'!$L$6)="All",ISNUMBER(SEARCH(SUBSTITUTE(SUBSTITUTE(SUBSTITUTE(TRIM('Smart Search'!$L$6),"~","~~"),"*","~*"),"?","~?"),'Project Database'!C186))),OR('Smart Search'!$L$7="",AND('Project Database'!E186&lt;&gt;"",'Project Database'!E186='Smart Search'!$L$7)),OR('Smart Search'!$L$8="",'Smart Search'!$L$8="All",TRIM('Project Database'!F186)=TRIM('Smart Search'!$L$8))),IF(BA182="","",BA182+ROW()*0.0000000001),"")</f>
        <v/>
      </c>
      <c r="BI182" s="5" t="str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 t="str">
        <f>IF('Project Database'!A186="","",N('Project Database'!AC186))</f>
        <v/>
      </c>
      <c r="BK182" s="5" t="str">
        <f>IF('Project Database'!A186="","",N('Project Database'!AD186))</f>
        <v/>
      </c>
      <c r="BL182" s="5" t="str">
        <f>IF('Project Database'!A186="","",N('Project Database'!AE186))</f>
        <v/>
      </c>
      <c r="BM182" s="5" t="str">
        <f>IF('Project Database'!A186="","",N('Project Database'!AF186))</f>
        <v/>
      </c>
      <c r="BN182" s="5" t="str">
        <f>IF('Project Database'!A186="","",N('Project Database'!AG186))</f>
        <v/>
      </c>
      <c r="BO182" s="5" t="str">
        <f>IF('Project Database'!A186="","",N('Project Database'!AH186))</f>
        <v/>
      </c>
      <c r="BP182" s="5" t="str">
        <f>IF('Project Database'!A186="","",N('Project Database'!AI186))</f>
        <v/>
      </c>
      <c r="BQ182" s="5" t="str">
        <f>IF('Project Database'!A186="","",N('Project Database'!AJ186))</f>
        <v/>
      </c>
      <c r="BR182" s="5" t="str">
        <f>IF('Project Database'!A186="","",N('Project Database'!AK186))</f>
        <v/>
      </c>
      <c r="BS182" s="5" t="str">
        <f>IF('Project Database'!A186="","",N('Project Database'!AL186))</f>
        <v/>
      </c>
      <c r="BT182" s="5" t="str">
        <f>IF('Project Database'!A186="","",N('Project Database'!AM186))</f>
        <v/>
      </c>
      <c r="BU182" s="5" t="str">
        <f>IF('Project Database'!A186="","",N('Project Database'!AN186))</f>
        <v/>
      </c>
      <c r="BV182" s="5" t="str">
        <f>IF('Project Database'!A186="","",N('Project Database'!AO186))</f>
        <v/>
      </c>
      <c r="BW182" s="5" t="str">
        <f>IF('Project Database'!A186="","",N('Project Database'!AP186))</f>
        <v/>
      </c>
      <c r="BX182" s="5">
        <f t="shared" si="40"/>
        <v>0</v>
      </c>
      <c r="BY182" s="5">
        <f t="shared" si="41"/>
        <v>0</v>
      </c>
    </row>
    <row r="183" spans="1:77" ht="15" customHeight="1" x14ac:dyDescent="0.3">
      <c r="A183" s="66">
        <f>'Project Database'!A187</f>
        <v>0</v>
      </c>
      <c r="B183" s="66">
        <f>'Project Database'!B187</f>
        <v>0</v>
      </c>
      <c r="C183" s="66">
        <f>'Project Database'!G187</f>
        <v>0</v>
      </c>
      <c r="D183" s="66">
        <f>'Project Database'!H187</f>
        <v>0</v>
      </c>
      <c r="E183" s="66">
        <f>'Project Database'!I187</f>
        <v>0</v>
      </c>
      <c r="F183" s="66">
        <f>'Project Database'!J187</f>
        <v>0</v>
      </c>
      <c r="G183" s="66">
        <f>'Project Database'!K187</f>
        <v>0</v>
      </c>
      <c r="H183" s="66">
        <f>'Project Database'!L187</f>
        <v>0</v>
      </c>
      <c r="I183" s="66">
        <f>'Project Database'!M187</f>
        <v>0</v>
      </c>
      <c r="J183" s="66">
        <f>'Project Database'!N187</f>
        <v>0</v>
      </c>
      <c r="K183" s="66">
        <f>'Project Database'!O187</f>
        <v>0</v>
      </c>
      <c r="L183" s="66">
        <f>'Project Database'!P187</f>
        <v>0</v>
      </c>
      <c r="M183" s="66">
        <f>'Project Database'!Q187</f>
        <v>0</v>
      </c>
      <c r="N183" s="66">
        <f>'Project Database'!R187</f>
        <v>0</v>
      </c>
      <c r="O183" s="66">
        <f>'Project Database'!S187</f>
        <v>0</v>
      </c>
      <c r="P183" s="66">
        <f>'Project Database'!T187</f>
        <v>0</v>
      </c>
      <c r="Q183" s="66">
        <f>'Project Database'!U187</f>
        <v>0</v>
      </c>
      <c r="R183" s="66">
        <f>'Project Database'!V187</f>
        <v>0</v>
      </c>
      <c r="S183" s="66">
        <f>'Project Database'!W187</f>
        <v>0</v>
      </c>
      <c r="T183" s="66">
        <f>'Project Database'!X187</f>
        <v>0</v>
      </c>
      <c r="U183" s="67">
        <f>'Project Database'!Y187</f>
        <v>0</v>
      </c>
      <c r="V183" s="66">
        <f>IF('Smart Search'!B13=1,IFERROR(1/'Smart Search'!H13,0),0)</f>
        <v>0</v>
      </c>
      <c r="W183" s="66">
        <f>IF('Smart Search'!B13=1,IFERROR(1/'Smart Search'!H13,0),0)</f>
        <v>0</v>
      </c>
      <c r="X183" s="66">
        <f>IF('Smart Search'!C13=1,IFERROR(1/'Smart Search'!H13,0),0)</f>
        <v>0.5</v>
      </c>
      <c r="Y183" s="66">
        <f>IF('Smart Search'!C13=1,IFERROR(1/'Smart Search'!H13,0),0)</f>
        <v>0.5</v>
      </c>
      <c r="Z183" s="66">
        <f>IF('Smart Search'!D13=1,IFERROR(1/'Smart Search'!H13,0),0)</f>
        <v>0</v>
      </c>
      <c r="AA183" s="66">
        <f>IF('Smart Search'!D13=1,IFERROR(1/'Smart Search'!H13,0),0)</f>
        <v>0</v>
      </c>
      <c r="AB183" s="66">
        <f>IF('Smart Search'!E13=1,IFERROR(1/'Smart Search'!H13,0),0)</f>
        <v>0</v>
      </c>
      <c r="AC183" s="66">
        <f>IF('Smart Search'!E13=1,IFERROR(1/'Smart Search'!H13,0),0)</f>
        <v>0</v>
      </c>
      <c r="AD183" s="66">
        <f>IF('Smart Search'!F13=1,IFERROR(1/'Smart Search'!H13,0),0)</f>
        <v>0</v>
      </c>
      <c r="AE183" s="66">
        <f>IF('Smart Search'!F13=1,IFERROR(1/'Smart Search'!H13,0),0)</f>
        <v>0</v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>0</v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>0</v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>0</v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>0</v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>0</v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>0</v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>0</v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>0</v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>0</v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>0</v>
      </c>
      <c r="AP183" s="66">
        <f t="shared" si="28"/>
        <v>0</v>
      </c>
      <c r="AQ183" s="66">
        <f t="shared" si="29"/>
        <v>0</v>
      </c>
      <c r="AR183" s="66">
        <f t="shared" si="30"/>
        <v>0</v>
      </c>
      <c r="AS183" s="66">
        <f t="shared" si="31"/>
        <v>0</v>
      </c>
      <c r="AT183" s="66">
        <f t="shared" si="32"/>
        <v>0</v>
      </c>
      <c r="AU183" s="66">
        <f t="shared" si="33"/>
        <v>0</v>
      </c>
      <c r="AV183" s="66">
        <f t="shared" si="34"/>
        <v>0</v>
      </c>
      <c r="AW183" s="66">
        <f t="shared" si="35"/>
        <v>0</v>
      </c>
      <c r="AX183" s="66">
        <f t="shared" si="36"/>
        <v>0</v>
      </c>
      <c r="AY183" s="66">
        <f t="shared" si="37"/>
        <v>0</v>
      </c>
      <c r="AZ183" s="66">
        <f>'Project Database'!Z187</f>
        <v>0</v>
      </c>
      <c r="BA183" s="66">
        <f>IF(OR(A183="",'Smart Search'!H13=0),"",MAX(0,BE183*BF183*MAX(0,1-BG183)))</f>
        <v>0</v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>0</v>
      </c>
      <c r="BC183" s="66">
        <f>IF('Smart Search'!G13=1,IFERROR(1/'Smart Search'!H13,0),0)</f>
        <v>0</v>
      </c>
      <c r="BD183" s="66">
        <f t="shared" si="38"/>
        <v>0</v>
      </c>
      <c r="BE183" s="66">
        <f t="shared" si="39"/>
        <v>0</v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>0</v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>0</v>
      </c>
      <c r="BH183" s="5" t="str">
        <f>IF(AND('Project Database'!A187&lt;&gt;"",OR('Smart Search'!$L$5="",'Smart Search'!$L$5="All",TRIM('Project Database'!D187)=TRIM('Smart Search'!$L$5)),OR(TRIM('Smart Search'!$L$6)="",TRIM('Smart Search'!$L$6)="All",ISNUMBER(SEARCH(SUBSTITUTE(SUBSTITUTE(SUBSTITUTE(TRIM('Smart Search'!$L$6),"~","~~"),"*","~*"),"?","~?"),'Project Database'!C187))),OR('Smart Search'!$L$7="",AND('Project Database'!E187&lt;&gt;"",'Project Database'!E187='Smart Search'!$L$7)),OR('Smart Search'!$L$8="",'Smart Search'!$L$8="All",TRIM('Project Database'!F187)=TRIM('Smart Search'!$L$8))),IF(BA183="","",BA183+ROW()*0.0000000001),"")</f>
        <v/>
      </c>
      <c r="BI183" s="5" t="str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 t="str">
        <f>IF('Project Database'!A187="","",N('Project Database'!AC187))</f>
        <v/>
      </c>
      <c r="BK183" s="5" t="str">
        <f>IF('Project Database'!A187="","",N('Project Database'!AD187))</f>
        <v/>
      </c>
      <c r="BL183" s="5" t="str">
        <f>IF('Project Database'!A187="","",N('Project Database'!AE187))</f>
        <v/>
      </c>
      <c r="BM183" s="5" t="str">
        <f>IF('Project Database'!A187="","",N('Project Database'!AF187))</f>
        <v/>
      </c>
      <c r="BN183" s="5" t="str">
        <f>IF('Project Database'!A187="","",N('Project Database'!AG187))</f>
        <v/>
      </c>
      <c r="BO183" s="5" t="str">
        <f>IF('Project Database'!A187="","",N('Project Database'!AH187))</f>
        <v/>
      </c>
      <c r="BP183" s="5" t="str">
        <f>IF('Project Database'!A187="","",N('Project Database'!AI187))</f>
        <v/>
      </c>
      <c r="BQ183" s="5" t="str">
        <f>IF('Project Database'!A187="","",N('Project Database'!AJ187))</f>
        <v/>
      </c>
      <c r="BR183" s="5" t="str">
        <f>IF('Project Database'!A187="","",N('Project Database'!AK187))</f>
        <v/>
      </c>
      <c r="BS183" s="5" t="str">
        <f>IF('Project Database'!A187="","",N('Project Database'!AL187))</f>
        <v/>
      </c>
      <c r="BT183" s="5" t="str">
        <f>IF('Project Database'!A187="","",N('Project Database'!AM187))</f>
        <v/>
      </c>
      <c r="BU183" s="5" t="str">
        <f>IF('Project Database'!A187="","",N('Project Database'!AN187))</f>
        <v/>
      </c>
      <c r="BV183" s="5" t="str">
        <f>IF('Project Database'!A187="","",N('Project Database'!AO187))</f>
        <v/>
      </c>
      <c r="BW183" s="5" t="str">
        <f>IF('Project Database'!A187="","",N('Project Database'!AP187))</f>
        <v/>
      </c>
      <c r="BX183" s="5">
        <f t="shared" si="40"/>
        <v>0</v>
      </c>
      <c r="BY183" s="5">
        <f t="shared" si="41"/>
        <v>0</v>
      </c>
    </row>
    <row r="184" spans="1:77" ht="15" customHeight="1" x14ac:dyDescent="0.3">
      <c r="A184" s="66">
        <f>'Project Database'!A188</f>
        <v>0</v>
      </c>
      <c r="B184" s="66">
        <f>'Project Database'!B188</f>
        <v>0</v>
      </c>
      <c r="C184" s="66">
        <f>'Project Database'!G188</f>
        <v>0</v>
      </c>
      <c r="D184" s="66">
        <f>'Project Database'!H188</f>
        <v>0</v>
      </c>
      <c r="E184" s="66">
        <f>'Project Database'!I188</f>
        <v>0</v>
      </c>
      <c r="F184" s="66">
        <f>'Project Database'!J188</f>
        <v>0</v>
      </c>
      <c r="G184" s="66">
        <f>'Project Database'!K188</f>
        <v>0</v>
      </c>
      <c r="H184" s="66">
        <f>'Project Database'!L188</f>
        <v>0</v>
      </c>
      <c r="I184" s="66">
        <f>'Project Database'!M188</f>
        <v>0</v>
      </c>
      <c r="J184" s="66">
        <f>'Project Database'!N188</f>
        <v>0</v>
      </c>
      <c r="K184" s="66">
        <f>'Project Database'!O188</f>
        <v>0</v>
      </c>
      <c r="L184" s="66">
        <f>'Project Database'!P188</f>
        <v>0</v>
      </c>
      <c r="M184" s="66">
        <f>'Project Database'!Q188</f>
        <v>0</v>
      </c>
      <c r="N184" s="66">
        <f>'Project Database'!R188</f>
        <v>0</v>
      </c>
      <c r="O184" s="66">
        <f>'Project Database'!S188</f>
        <v>0</v>
      </c>
      <c r="P184" s="66">
        <f>'Project Database'!T188</f>
        <v>0</v>
      </c>
      <c r="Q184" s="66">
        <f>'Project Database'!U188</f>
        <v>0</v>
      </c>
      <c r="R184" s="66">
        <f>'Project Database'!V188</f>
        <v>0</v>
      </c>
      <c r="S184" s="66">
        <f>'Project Database'!W188</f>
        <v>0</v>
      </c>
      <c r="T184" s="66">
        <f>'Project Database'!X188</f>
        <v>0</v>
      </c>
      <c r="U184" s="67">
        <f>'Project Database'!Y188</f>
        <v>0</v>
      </c>
      <c r="V184" s="66">
        <f>IF('Smart Search'!B13=1,IFERROR(1/'Smart Search'!H13,0),0)</f>
        <v>0</v>
      </c>
      <c r="W184" s="66">
        <f>IF('Smart Search'!B13=1,IFERROR(1/'Smart Search'!H13,0),0)</f>
        <v>0</v>
      </c>
      <c r="X184" s="66">
        <f>IF('Smart Search'!C13=1,IFERROR(1/'Smart Search'!H13,0),0)</f>
        <v>0.5</v>
      </c>
      <c r="Y184" s="66">
        <f>IF('Smart Search'!C13=1,IFERROR(1/'Smart Search'!H13,0),0)</f>
        <v>0.5</v>
      </c>
      <c r="Z184" s="66">
        <f>IF('Smart Search'!D13=1,IFERROR(1/'Smart Search'!H13,0),0)</f>
        <v>0</v>
      </c>
      <c r="AA184" s="66">
        <f>IF('Smart Search'!D13=1,IFERROR(1/'Smart Search'!H13,0),0)</f>
        <v>0</v>
      </c>
      <c r="AB184" s="66">
        <f>IF('Smart Search'!E13=1,IFERROR(1/'Smart Search'!H13,0),0)</f>
        <v>0</v>
      </c>
      <c r="AC184" s="66">
        <f>IF('Smart Search'!E13=1,IFERROR(1/'Smart Search'!H13,0),0)</f>
        <v>0</v>
      </c>
      <c r="AD184" s="66">
        <f>IF('Smart Search'!F13=1,IFERROR(1/'Smart Search'!H13,0),0)</f>
        <v>0</v>
      </c>
      <c r="AE184" s="66">
        <f>IF('Smart Search'!F13=1,IFERROR(1/'Smart Search'!H13,0),0)</f>
        <v>0</v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>0</v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>0</v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>0</v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>0</v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>0</v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>0</v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>0</v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>0</v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>0</v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>0</v>
      </c>
      <c r="AP184" s="66">
        <f t="shared" si="28"/>
        <v>0</v>
      </c>
      <c r="AQ184" s="66">
        <f t="shared" si="29"/>
        <v>0</v>
      </c>
      <c r="AR184" s="66">
        <f t="shared" si="30"/>
        <v>0</v>
      </c>
      <c r="AS184" s="66">
        <f t="shared" si="31"/>
        <v>0</v>
      </c>
      <c r="AT184" s="66">
        <f t="shared" si="32"/>
        <v>0</v>
      </c>
      <c r="AU184" s="66">
        <f t="shared" si="33"/>
        <v>0</v>
      </c>
      <c r="AV184" s="66">
        <f t="shared" si="34"/>
        <v>0</v>
      </c>
      <c r="AW184" s="66">
        <f t="shared" si="35"/>
        <v>0</v>
      </c>
      <c r="AX184" s="66">
        <f t="shared" si="36"/>
        <v>0</v>
      </c>
      <c r="AY184" s="66">
        <f t="shared" si="37"/>
        <v>0</v>
      </c>
      <c r="AZ184" s="66">
        <f>'Project Database'!Z188</f>
        <v>0</v>
      </c>
      <c r="BA184" s="66">
        <f>IF(OR(A184="",'Smart Search'!H13=0),"",MAX(0,BE184*BF184*MAX(0,1-BG184)))</f>
        <v>0</v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>0</v>
      </c>
      <c r="BC184" s="66">
        <f>IF('Smart Search'!G13=1,IFERROR(1/'Smart Search'!H13,0),0)</f>
        <v>0</v>
      </c>
      <c r="BD184" s="66">
        <f t="shared" si="38"/>
        <v>0</v>
      </c>
      <c r="BE184" s="66">
        <f t="shared" si="39"/>
        <v>0</v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>0</v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>0</v>
      </c>
      <c r="BH184" s="5" t="str">
        <f>IF(AND('Project Database'!A188&lt;&gt;"",OR('Smart Search'!$L$5="",'Smart Search'!$L$5="All",TRIM('Project Database'!D188)=TRIM('Smart Search'!$L$5)),OR(TRIM('Smart Search'!$L$6)="",TRIM('Smart Search'!$L$6)="All",ISNUMBER(SEARCH(SUBSTITUTE(SUBSTITUTE(SUBSTITUTE(TRIM('Smart Search'!$L$6),"~","~~"),"*","~*"),"?","~?"),'Project Database'!C188))),OR('Smart Search'!$L$7="",AND('Project Database'!E188&lt;&gt;"",'Project Database'!E188='Smart Search'!$L$7)),OR('Smart Search'!$L$8="",'Smart Search'!$L$8="All",TRIM('Project Database'!F188)=TRIM('Smart Search'!$L$8))),IF(BA184="","",BA184+ROW()*0.0000000001),"")</f>
        <v/>
      </c>
      <c r="BI184" s="5" t="str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 t="str">
        <f>IF('Project Database'!A188="","",N('Project Database'!AC188))</f>
        <v/>
      </c>
      <c r="BK184" s="5" t="str">
        <f>IF('Project Database'!A188="","",N('Project Database'!AD188))</f>
        <v/>
      </c>
      <c r="BL184" s="5" t="str">
        <f>IF('Project Database'!A188="","",N('Project Database'!AE188))</f>
        <v/>
      </c>
      <c r="BM184" s="5" t="str">
        <f>IF('Project Database'!A188="","",N('Project Database'!AF188))</f>
        <v/>
      </c>
      <c r="BN184" s="5" t="str">
        <f>IF('Project Database'!A188="","",N('Project Database'!AG188))</f>
        <v/>
      </c>
      <c r="BO184" s="5" t="str">
        <f>IF('Project Database'!A188="","",N('Project Database'!AH188))</f>
        <v/>
      </c>
      <c r="BP184" s="5" t="str">
        <f>IF('Project Database'!A188="","",N('Project Database'!AI188))</f>
        <v/>
      </c>
      <c r="BQ184" s="5" t="str">
        <f>IF('Project Database'!A188="","",N('Project Database'!AJ188))</f>
        <v/>
      </c>
      <c r="BR184" s="5" t="str">
        <f>IF('Project Database'!A188="","",N('Project Database'!AK188))</f>
        <v/>
      </c>
      <c r="BS184" s="5" t="str">
        <f>IF('Project Database'!A188="","",N('Project Database'!AL188))</f>
        <v/>
      </c>
      <c r="BT184" s="5" t="str">
        <f>IF('Project Database'!A188="","",N('Project Database'!AM188))</f>
        <v/>
      </c>
      <c r="BU184" s="5" t="str">
        <f>IF('Project Database'!A188="","",N('Project Database'!AN188))</f>
        <v/>
      </c>
      <c r="BV184" s="5" t="str">
        <f>IF('Project Database'!A188="","",N('Project Database'!AO188))</f>
        <v/>
      </c>
      <c r="BW184" s="5" t="str">
        <f>IF('Project Database'!A188="","",N('Project Database'!AP188))</f>
        <v/>
      </c>
      <c r="BX184" s="5">
        <f t="shared" si="40"/>
        <v>0</v>
      </c>
      <c r="BY184" s="5">
        <f t="shared" si="41"/>
        <v>0</v>
      </c>
    </row>
    <row r="185" spans="1:77" ht="15" customHeight="1" x14ac:dyDescent="0.3">
      <c r="A185" s="66">
        <f>'Project Database'!A189</f>
        <v>0</v>
      </c>
      <c r="B185" s="66">
        <f>'Project Database'!B189</f>
        <v>0</v>
      </c>
      <c r="C185" s="66">
        <f>'Project Database'!G189</f>
        <v>0</v>
      </c>
      <c r="D185" s="66">
        <f>'Project Database'!H189</f>
        <v>0</v>
      </c>
      <c r="E185" s="66">
        <f>'Project Database'!I189</f>
        <v>0</v>
      </c>
      <c r="F185" s="66">
        <f>'Project Database'!J189</f>
        <v>0</v>
      </c>
      <c r="G185" s="66">
        <f>'Project Database'!K189</f>
        <v>0</v>
      </c>
      <c r="H185" s="66">
        <f>'Project Database'!L189</f>
        <v>0</v>
      </c>
      <c r="I185" s="66">
        <f>'Project Database'!M189</f>
        <v>0</v>
      </c>
      <c r="J185" s="66">
        <f>'Project Database'!N189</f>
        <v>0</v>
      </c>
      <c r="K185" s="66">
        <f>'Project Database'!O189</f>
        <v>0</v>
      </c>
      <c r="L185" s="66">
        <f>'Project Database'!P189</f>
        <v>0</v>
      </c>
      <c r="M185" s="66">
        <f>'Project Database'!Q189</f>
        <v>0</v>
      </c>
      <c r="N185" s="66">
        <f>'Project Database'!R189</f>
        <v>0</v>
      </c>
      <c r="O185" s="66">
        <f>'Project Database'!S189</f>
        <v>0</v>
      </c>
      <c r="P185" s="66">
        <f>'Project Database'!T189</f>
        <v>0</v>
      </c>
      <c r="Q185" s="66">
        <f>'Project Database'!U189</f>
        <v>0</v>
      </c>
      <c r="R185" s="66">
        <f>'Project Database'!V189</f>
        <v>0</v>
      </c>
      <c r="S185" s="66">
        <f>'Project Database'!W189</f>
        <v>0</v>
      </c>
      <c r="T185" s="66">
        <f>'Project Database'!X189</f>
        <v>0</v>
      </c>
      <c r="U185" s="67">
        <f>'Project Database'!Y189</f>
        <v>0</v>
      </c>
      <c r="V185" s="66">
        <f>IF('Smart Search'!B13=1,IFERROR(1/'Smart Search'!H13,0),0)</f>
        <v>0</v>
      </c>
      <c r="W185" s="66">
        <f>IF('Smart Search'!B13=1,IFERROR(1/'Smart Search'!H13,0),0)</f>
        <v>0</v>
      </c>
      <c r="X185" s="66">
        <f>IF('Smart Search'!C13=1,IFERROR(1/'Smart Search'!H13,0),0)</f>
        <v>0.5</v>
      </c>
      <c r="Y185" s="66">
        <f>IF('Smart Search'!C13=1,IFERROR(1/'Smart Search'!H13,0),0)</f>
        <v>0.5</v>
      </c>
      <c r="Z185" s="66">
        <f>IF('Smart Search'!D13=1,IFERROR(1/'Smart Search'!H13,0),0)</f>
        <v>0</v>
      </c>
      <c r="AA185" s="66">
        <f>IF('Smart Search'!D13=1,IFERROR(1/'Smart Search'!H13,0),0)</f>
        <v>0</v>
      </c>
      <c r="AB185" s="66">
        <f>IF('Smart Search'!E13=1,IFERROR(1/'Smart Search'!H13,0),0)</f>
        <v>0</v>
      </c>
      <c r="AC185" s="66">
        <f>IF('Smart Search'!E13=1,IFERROR(1/'Smart Search'!H13,0),0)</f>
        <v>0</v>
      </c>
      <c r="AD185" s="66">
        <f>IF('Smart Search'!F13=1,IFERROR(1/'Smart Search'!H13,0),0)</f>
        <v>0</v>
      </c>
      <c r="AE185" s="66">
        <f>IF('Smart Search'!F13=1,IFERROR(1/'Smart Search'!H13,0),0)</f>
        <v>0</v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>0</v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>0</v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>0</v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>0</v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>0</v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>0</v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>0</v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>0</v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>0</v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>0</v>
      </c>
      <c r="AP185" s="66">
        <f t="shared" si="28"/>
        <v>0</v>
      </c>
      <c r="AQ185" s="66">
        <f t="shared" si="29"/>
        <v>0</v>
      </c>
      <c r="AR185" s="66">
        <f t="shared" si="30"/>
        <v>0</v>
      </c>
      <c r="AS185" s="66">
        <f t="shared" si="31"/>
        <v>0</v>
      </c>
      <c r="AT185" s="66">
        <f t="shared" si="32"/>
        <v>0</v>
      </c>
      <c r="AU185" s="66">
        <f t="shared" si="33"/>
        <v>0</v>
      </c>
      <c r="AV185" s="66">
        <f t="shared" si="34"/>
        <v>0</v>
      </c>
      <c r="AW185" s="66">
        <f t="shared" si="35"/>
        <v>0</v>
      </c>
      <c r="AX185" s="66">
        <f t="shared" si="36"/>
        <v>0</v>
      </c>
      <c r="AY185" s="66">
        <f t="shared" si="37"/>
        <v>0</v>
      </c>
      <c r="AZ185" s="66">
        <f>'Project Database'!Z189</f>
        <v>0</v>
      </c>
      <c r="BA185" s="66">
        <f>IF(OR(A185="",'Smart Search'!H13=0),"",MAX(0,BE185*BF185*MAX(0,1-BG185)))</f>
        <v>0</v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>0</v>
      </c>
      <c r="BC185" s="66">
        <f>IF('Smart Search'!G13=1,IFERROR(1/'Smart Search'!H13,0),0)</f>
        <v>0</v>
      </c>
      <c r="BD185" s="66">
        <f t="shared" si="38"/>
        <v>0</v>
      </c>
      <c r="BE185" s="66">
        <f t="shared" si="39"/>
        <v>0</v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>0</v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>0</v>
      </c>
      <c r="BH185" s="5" t="str">
        <f>IF(AND('Project Database'!A189&lt;&gt;"",OR('Smart Search'!$L$5="",'Smart Search'!$L$5="All",TRIM('Project Database'!D189)=TRIM('Smart Search'!$L$5)),OR(TRIM('Smart Search'!$L$6)="",TRIM('Smart Search'!$L$6)="All",ISNUMBER(SEARCH(SUBSTITUTE(SUBSTITUTE(SUBSTITUTE(TRIM('Smart Search'!$L$6),"~","~~"),"*","~*"),"?","~?"),'Project Database'!C189))),OR('Smart Search'!$L$7="",AND('Project Database'!E189&lt;&gt;"",'Project Database'!E189='Smart Search'!$L$7)),OR('Smart Search'!$L$8="",'Smart Search'!$L$8="All",TRIM('Project Database'!F189)=TRIM('Smart Search'!$L$8))),IF(BA185="","",BA185+ROW()*0.0000000001),"")</f>
        <v/>
      </c>
      <c r="BI185" s="5" t="str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 t="str">
        <f>IF('Project Database'!A189="","",N('Project Database'!AC189))</f>
        <v/>
      </c>
      <c r="BK185" s="5" t="str">
        <f>IF('Project Database'!A189="","",N('Project Database'!AD189))</f>
        <v/>
      </c>
      <c r="BL185" s="5" t="str">
        <f>IF('Project Database'!A189="","",N('Project Database'!AE189))</f>
        <v/>
      </c>
      <c r="BM185" s="5" t="str">
        <f>IF('Project Database'!A189="","",N('Project Database'!AF189))</f>
        <v/>
      </c>
      <c r="BN185" s="5" t="str">
        <f>IF('Project Database'!A189="","",N('Project Database'!AG189))</f>
        <v/>
      </c>
      <c r="BO185" s="5" t="str">
        <f>IF('Project Database'!A189="","",N('Project Database'!AH189))</f>
        <v/>
      </c>
      <c r="BP185" s="5" t="str">
        <f>IF('Project Database'!A189="","",N('Project Database'!AI189))</f>
        <v/>
      </c>
      <c r="BQ185" s="5" t="str">
        <f>IF('Project Database'!A189="","",N('Project Database'!AJ189))</f>
        <v/>
      </c>
      <c r="BR185" s="5" t="str">
        <f>IF('Project Database'!A189="","",N('Project Database'!AK189))</f>
        <v/>
      </c>
      <c r="BS185" s="5" t="str">
        <f>IF('Project Database'!A189="","",N('Project Database'!AL189))</f>
        <v/>
      </c>
      <c r="BT185" s="5" t="str">
        <f>IF('Project Database'!A189="","",N('Project Database'!AM189))</f>
        <v/>
      </c>
      <c r="BU185" s="5" t="str">
        <f>IF('Project Database'!A189="","",N('Project Database'!AN189))</f>
        <v/>
      </c>
      <c r="BV185" s="5" t="str">
        <f>IF('Project Database'!A189="","",N('Project Database'!AO189))</f>
        <v/>
      </c>
      <c r="BW185" s="5" t="str">
        <f>IF('Project Database'!A189="","",N('Project Database'!AP189))</f>
        <v/>
      </c>
      <c r="BX185" s="5">
        <f t="shared" si="40"/>
        <v>0</v>
      </c>
      <c r="BY185" s="5">
        <f t="shared" si="41"/>
        <v>0</v>
      </c>
    </row>
    <row r="186" spans="1:77" ht="15" customHeight="1" x14ac:dyDescent="0.3">
      <c r="A186" s="66">
        <f>'Project Database'!A190</f>
        <v>0</v>
      </c>
      <c r="B186" s="66">
        <f>'Project Database'!B190</f>
        <v>0</v>
      </c>
      <c r="C186" s="66">
        <f>'Project Database'!G190</f>
        <v>0</v>
      </c>
      <c r="D186" s="66">
        <f>'Project Database'!H190</f>
        <v>0</v>
      </c>
      <c r="E186" s="66">
        <f>'Project Database'!I190</f>
        <v>0</v>
      </c>
      <c r="F186" s="66">
        <f>'Project Database'!J190</f>
        <v>0</v>
      </c>
      <c r="G186" s="66">
        <f>'Project Database'!K190</f>
        <v>0</v>
      </c>
      <c r="H186" s="66">
        <f>'Project Database'!L190</f>
        <v>0</v>
      </c>
      <c r="I186" s="66">
        <f>'Project Database'!M190</f>
        <v>0</v>
      </c>
      <c r="J186" s="66">
        <f>'Project Database'!N190</f>
        <v>0</v>
      </c>
      <c r="K186" s="66">
        <f>'Project Database'!O190</f>
        <v>0</v>
      </c>
      <c r="L186" s="66">
        <f>'Project Database'!P190</f>
        <v>0</v>
      </c>
      <c r="M186" s="66">
        <f>'Project Database'!Q190</f>
        <v>0</v>
      </c>
      <c r="N186" s="66">
        <f>'Project Database'!R190</f>
        <v>0</v>
      </c>
      <c r="O186" s="66">
        <f>'Project Database'!S190</f>
        <v>0</v>
      </c>
      <c r="P186" s="66">
        <f>'Project Database'!T190</f>
        <v>0</v>
      </c>
      <c r="Q186" s="66">
        <f>'Project Database'!U190</f>
        <v>0</v>
      </c>
      <c r="R186" s="66">
        <f>'Project Database'!V190</f>
        <v>0</v>
      </c>
      <c r="S186" s="66">
        <f>'Project Database'!W190</f>
        <v>0</v>
      </c>
      <c r="T186" s="66">
        <f>'Project Database'!X190</f>
        <v>0</v>
      </c>
      <c r="U186" s="67">
        <f>'Project Database'!Y190</f>
        <v>0</v>
      </c>
      <c r="V186" s="66">
        <f>IF('Smart Search'!B13=1,IFERROR(1/'Smart Search'!H13,0),0)</f>
        <v>0</v>
      </c>
      <c r="W186" s="66">
        <f>IF('Smart Search'!B13=1,IFERROR(1/'Smart Search'!H13,0),0)</f>
        <v>0</v>
      </c>
      <c r="X186" s="66">
        <f>IF('Smart Search'!C13=1,IFERROR(1/'Smart Search'!H13,0),0)</f>
        <v>0.5</v>
      </c>
      <c r="Y186" s="66">
        <f>IF('Smart Search'!C13=1,IFERROR(1/'Smart Search'!H13,0),0)</f>
        <v>0.5</v>
      </c>
      <c r="Z186" s="66">
        <f>IF('Smart Search'!D13=1,IFERROR(1/'Smart Search'!H13,0),0)</f>
        <v>0</v>
      </c>
      <c r="AA186" s="66">
        <f>IF('Smart Search'!D13=1,IFERROR(1/'Smart Search'!H13,0),0)</f>
        <v>0</v>
      </c>
      <c r="AB186" s="66">
        <f>IF('Smart Search'!E13=1,IFERROR(1/'Smart Search'!H13,0),0)</f>
        <v>0</v>
      </c>
      <c r="AC186" s="66">
        <f>IF('Smart Search'!E13=1,IFERROR(1/'Smart Search'!H13,0),0)</f>
        <v>0</v>
      </c>
      <c r="AD186" s="66">
        <f>IF('Smart Search'!F13=1,IFERROR(1/'Smart Search'!H13,0),0)</f>
        <v>0</v>
      </c>
      <c r="AE186" s="66">
        <f>IF('Smart Search'!F13=1,IFERROR(1/'Smart Search'!H13,0),0)</f>
        <v>0</v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>0</v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>0</v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>0</v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>0</v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>0</v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>0</v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>0</v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>0</v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>0</v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>0</v>
      </c>
      <c r="AP186" s="66">
        <f t="shared" si="28"/>
        <v>0</v>
      </c>
      <c r="AQ186" s="66">
        <f t="shared" si="29"/>
        <v>0</v>
      </c>
      <c r="AR186" s="66">
        <f t="shared" si="30"/>
        <v>0</v>
      </c>
      <c r="AS186" s="66">
        <f t="shared" si="31"/>
        <v>0</v>
      </c>
      <c r="AT186" s="66">
        <f t="shared" si="32"/>
        <v>0</v>
      </c>
      <c r="AU186" s="66">
        <f t="shared" si="33"/>
        <v>0</v>
      </c>
      <c r="AV186" s="66">
        <f t="shared" si="34"/>
        <v>0</v>
      </c>
      <c r="AW186" s="66">
        <f t="shared" si="35"/>
        <v>0</v>
      </c>
      <c r="AX186" s="66">
        <f t="shared" si="36"/>
        <v>0</v>
      </c>
      <c r="AY186" s="66">
        <f t="shared" si="37"/>
        <v>0</v>
      </c>
      <c r="AZ186" s="66">
        <f>'Project Database'!Z190</f>
        <v>0</v>
      </c>
      <c r="BA186" s="66">
        <f>IF(OR(A186="",'Smart Search'!H13=0),"",MAX(0,BE186*BF186*MAX(0,1-BG186)))</f>
        <v>0</v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>0</v>
      </c>
      <c r="BC186" s="66">
        <f>IF('Smart Search'!G13=1,IFERROR(1/'Smart Search'!H13,0),0)</f>
        <v>0</v>
      </c>
      <c r="BD186" s="66">
        <f t="shared" si="38"/>
        <v>0</v>
      </c>
      <c r="BE186" s="66">
        <f t="shared" si="39"/>
        <v>0</v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>0</v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>0</v>
      </c>
      <c r="BH186" s="5" t="str">
        <f>IF(AND('Project Database'!A190&lt;&gt;"",OR('Smart Search'!$L$5="",'Smart Search'!$L$5="All",TRIM('Project Database'!D190)=TRIM('Smart Search'!$L$5)),OR(TRIM('Smart Search'!$L$6)="",TRIM('Smart Search'!$L$6)="All",ISNUMBER(SEARCH(SUBSTITUTE(SUBSTITUTE(SUBSTITUTE(TRIM('Smart Search'!$L$6),"~","~~"),"*","~*"),"?","~?"),'Project Database'!C190))),OR('Smart Search'!$L$7="",AND('Project Database'!E190&lt;&gt;"",'Project Database'!E190='Smart Search'!$L$7)),OR('Smart Search'!$L$8="",'Smart Search'!$L$8="All",TRIM('Project Database'!F190)=TRIM('Smart Search'!$L$8))),IF(BA186="","",BA186+ROW()*0.0000000001),"")</f>
        <v/>
      </c>
      <c r="BI186" s="5" t="str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 t="str">
        <f>IF('Project Database'!A190="","",N('Project Database'!AC190))</f>
        <v/>
      </c>
      <c r="BK186" s="5" t="str">
        <f>IF('Project Database'!A190="","",N('Project Database'!AD190))</f>
        <v/>
      </c>
      <c r="BL186" s="5" t="str">
        <f>IF('Project Database'!A190="","",N('Project Database'!AE190))</f>
        <v/>
      </c>
      <c r="BM186" s="5" t="str">
        <f>IF('Project Database'!A190="","",N('Project Database'!AF190))</f>
        <v/>
      </c>
      <c r="BN186" s="5" t="str">
        <f>IF('Project Database'!A190="","",N('Project Database'!AG190))</f>
        <v/>
      </c>
      <c r="BO186" s="5" t="str">
        <f>IF('Project Database'!A190="","",N('Project Database'!AH190))</f>
        <v/>
      </c>
      <c r="BP186" s="5" t="str">
        <f>IF('Project Database'!A190="","",N('Project Database'!AI190))</f>
        <v/>
      </c>
      <c r="BQ186" s="5" t="str">
        <f>IF('Project Database'!A190="","",N('Project Database'!AJ190))</f>
        <v/>
      </c>
      <c r="BR186" s="5" t="str">
        <f>IF('Project Database'!A190="","",N('Project Database'!AK190))</f>
        <v/>
      </c>
      <c r="BS186" s="5" t="str">
        <f>IF('Project Database'!A190="","",N('Project Database'!AL190))</f>
        <v/>
      </c>
      <c r="BT186" s="5" t="str">
        <f>IF('Project Database'!A190="","",N('Project Database'!AM190))</f>
        <v/>
      </c>
      <c r="BU186" s="5" t="str">
        <f>IF('Project Database'!A190="","",N('Project Database'!AN190))</f>
        <v/>
      </c>
      <c r="BV186" s="5" t="str">
        <f>IF('Project Database'!A190="","",N('Project Database'!AO190))</f>
        <v/>
      </c>
      <c r="BW186" s="5" t="str">
        <f>IF('Project Database'!A190="","",N('Project Database'!AP190))</f>
        <v/>
      </c>
      <c r="BX186" s="5">
        <f t="shared" si="40"/>
        <v>0</v>
      </c>
      <c r="BY186" s="5">
        <f t="shared" si="41"/>
        <v>0</v>
      </c>
    </row>
    <row r="187" spans="1:77" ht="15" customHeight="1" x14ac:dyDescent="0.3">
      <c r="A187" s="66">
        <f>'Project Database'!A191</f>
        <v>0</v>
      </c>
      <c r="B187" s="66">
        <f>'Project Database'!B191</f>
        <v>0</v>
      </c>
      <c r="C187" s="66">
        <f>'Project Database'!G191</f>
        <v>0</v>
      </c>
      <c r="D187" s="66">
        <f>'Project Database'!H191</f>
        <v>0</v>
      </c>
      <c r="E187" s="66">
        <f>'Project Database'!I191</f>
        <v>0</v>
      </c>
      <c r="F187" s="66">
        <f>'Project Database'!J191</f>
        <v>0</v>
      </c>
      <c r="G187" s="66">
        <f>'Project Database'!K191</f>
        <v>0</v>
      </c>
      <c r="H187" s="66">
        <f>'Project Database'!L191</f>
        <v>0</v>
      </c>
      <c r="I187" s="66">
        <f>'Project Database'!M191</f>
        <v>0</v>
      </c>
      <c r="J187" s="66">
        <f>'Project Database'!N191</f>
        <v>0</v>
      </c>
      <c r="K187" s="66">
        <f>'Project Database'!O191</f>
        <v>0</v>
      </c>
      <c r="L187" s="66">
        <f>'Project Database'!P191</f>
        <v>0</v>
      </c>
      <c r="M187" s="66">
        <f>'Project Database'!Q191</f>
        <v>0</v>
      </c>
      <c r="N187" s="66">
        <f>'Project Database'!R191</f>
        <v>0</v>
      </c>
      <c r="O187" s="66">
        <f>'Project Database'!S191</f>
        <v>0</v>
      </c>
      <c r="P187" s="66">
        <f>'Project Database'!T191</f>
        <v>0</v>
      </c>
      <c r="Q187" s="66">
        <f>'Project Database'!U191</f>
        <v>0</v>
      </c>
      <c r="R187" s="66">
        <f>'Project Database'!V191</f>
        <v>0</v>
      </c>
      <c r="S187" s="66">
        <f>'Project Database'!W191</f>
        <v>0</v>
      </c>
      <c r="T187" s="66">
        <f>'Project Database'!X191</f>
        <v>0</v>
      </c>
      <c r="U187" s="67">
        <f>'Project Database'!Y191</f>
        <v>0</v>
      </c>
      <c r="V187" s="66">
        <f>IF('Smart Search'!B13=1,IFERROR(1/'Smart Search'!H13,0),0)</f>
        <v>0</v>
      </c>
      <c r="W187" s="66">
        <f>IF('Smart Search'!B13=1,IFERROR(1/'Smart Search'!H13,0),0)</f>
        <v>0</v>
      </c>
      <c r="X187" s="66">
        <f>IF('Smart Search'!C13=1,IFERROR(1/'Smart Search'!H13,0),0)</f>
        <v>0.5</v>
      </c>
      <c r="Y187" s="66">
        <f>IF('Smart Search'!C13=1,IFERROR(1/'Smart Search'!H13,0),0)</f>
        <v>0.5</v>
      </c>
      <c r="Z187" s="66">
        <f>IF('Smart Search'!D13=1,IFERROR(1/'Smart Search'!H13,0),0)</f>
        <v>0</v>
      </c>
      <c r="AA187" s="66">
        <f>IF('Smart Search'!D13=1,IFERROR(1/'Smart Search'!H13,0),0)</f>
        <v>0</v>
      </c>
      <c r="AB187" s="66">
        <f>IF('Smart Search'!E13=1,IFERROR(1/'Smart Search'!H13,0),0)</f>
        <v>0</v>
      </c>
      <c r="AC187" s="66">
        <f>IF('Smart Search'!E13=1,IFERROR(1/'Smart Search'!H13,0),0)</f>
        <v>0</v>
      </c>
      <c r="AD187" s="66">
        <f>IF('Smart Search'!F13=1,IFERROR(1/'Smart Search'!H13,0),0)</f>
        <v>0</v>
      </c>
      <c r="AE187" s="66">
        <f>IF('Smart Search'!F13=1,IFERROR(1/'Smart Search'!H13,0),0)</f>
        <v>0</v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>0</v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>0</v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>0</v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>0</v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>0</v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>0</v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>0</v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>0</v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>0</v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>0</v>
      </c>
      <c r="AP187" s="66">
        <f t="shared" si="28"/>
        <v>0</v>
      </c>
      <c r="AQ187" s="66">
        <f t="shared" si="29"/>
        <v>0</v>
      </c>
      <c r="AR187" s="66">
        <f t="shared" si="30"/>
        <v>0</v>
      </c>
      <c r="AS187" s="66">
        <f t="shared" si="31"/>
        <v>0</v>
      </c>
      <c r="AT187" s="66">
        <f t="shared" si="32"/>
        <v>0</v>
      </c>
      <c r="AU187" s="66">
        <f t="shared" si="33"/>
        <v>0</v>
      </c>
      <c r="AV187" s="66">
        <f t="shared" si="34"/>
        <v>0</v>
      </c>
      <c r="AW187" s="66">
        <f t="shared" si="35"/>
        <v>0</v>
      </c>
      <c r="AX187" s="66">
        <f t="shared" si="36"/>
        <v>0</v>
      </c>
      <c r="AY187" s="66">
        <f t="shared" si="37"/>
        <v>0</v>
      </c>
      <c r="AZ187" s="66">
        <f>'Project Database'!Z191</f>
        <v>0</v>
      </c>
      <c r="BA187" s="66">
        <f>IF(OR(A187="",'Smart Search'!H13=0),"",MAX(0,BE187*BF187*MAX(0,1-BG187)))</f>
        <v>0</v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>0</v>
      </c>
      <c r="BC187" s="66">
        <f>IF('Smart Search'!G13=1,IFERROR(1/'Smart Search'!H13,0),0)</f>
        <v>0</v>
      </c>
      <c r="BD187" s="66">
        <f t="shared" si="38"/>
        <v>0</v>
      </c>
      <c r="BE187" s="66">
        <f t="shared" si="39"/>
        <v>0</v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>0</v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>0</v>
      </c>
      <c r="BH187" s="5" t="str">
        <f>IF(AND('Project Database'!A191&lt;&gt;"",OR('Smart Search'!$L$5="",'Smart Search'!$L$5="All",TRIM('Project Database'!D191)=TRIM('Smart Search'!$L$5)),OR(TRIM('Smart Search'!$L$6)="",TRIM('Smart Search'!$L$6)="All",ISNUMBER(SEARCH(SUBSTITUTE(SUBSTITUTE(SUBSTITUTE(TRIM('Smart Search'!$L$6),"~","~~"),"*","~*"),"?","~?"),'Project Database'!C191))),OR('Smart Search'!$L$7="",AND('Project Database'!E191&lt;&gt;"",'Project Database'!E191='Smart Search'!$L$7)),OR('Smart Search'!$L$8="",'Smart Search'!$L$8="All",TRIM('Project Database'!F191)=TRIM('Smart Search'!$L$8))),IF(BA187="","",BA187+ROW()*0.0000000001),"")</f>
        <v/>
      </c>
      <c r="BI187" s="5" t="str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 t="str">
        <f>IF('Project Database'!A191="","",N('Project Database'!AC191))</f>
        <v/>
      </c>
      <c r="BK187" s="5" t="str">
        <f>IF('Project Database'!A191="","",N('Project Database'!AD191))</f>
        <v/>
      </c>
      <c r="BL187" s="5" t="str">
        <f>IF('Project Database'!A191="","",N('Project Database'!AE191))</f>
        <v/>
      </c>
      <c r="BM187" s="5" t="str">
        <f>IF('Project Database'!A191="","",N('Project Database'!AF191))</f>
        <v/>
      </c>
      <c r="BN187" s="5" t="str">
        <f>IF('Project Database'!A191="","",N('Project Database'!AG191))</f>
        <v/>
      </c>
      <c r="BO187" s="5" t="str">
        <f>IF('Project Database'!A191="","",N('Project Database'!AH191))</f>
        <v/>
      </c>
      <c r="BP187" s="5" t="str">
        <f>IF('Project Database'!A191="","",N('Project Database'!AI191))</f>
        <v/>
      </c>
      <c r="BQ187" s="5" t="str">
        <f>IF('Project Database'!A191="","",N('Project Database'!AJ191))</f>
        <v/>
      </c>
      <c r="BR187" s="5" t="str">
        <f>IF('Project Database'!A191="","",N('Project Database'!AK191))</f>
        <v/>
      </c>
      <c r="BS187" s="5" t="str">
        <f>IF('Project Database'!A191="","",N('Project Database'!AL191))</f>
        <v/>
      </c>
      <c r="BT187" s="5" t="str">
        <f>IF('Project Database'!A191="","",N('Project Database'!AM191))</f>
        <v/>
      </c>
      <c r="BU187" s="5" t="str">
        <f>IF('Project Database'!A191="","",N('Project Database'!AN191))</f>
        <v/>
      </c>
      <c r="BV187" s="5" t="str">
        <f>IF('Project Database'!A191="","",N('Project Database'!AO191))</f>
        <v/>
      </c>
      <c r="BW187" s="5" t="str">
        <f>IF('Project Database'!A191="","",N('Project Database'!AP191))</f>
        <v/>
      </c>
      <c r="BX187" s="5">
        <f t="shared" si="40"/>
        <v>0</v>
      </c>
      <c r="BY187" s="5">
        <f t="shared" si="41"/>
        <v>0</v>
      </c>
    </row>
    <row r="188" spans="1:77" ht="15" customHeight="1" x14ac:dyDescent="0.3">
      <c r="A188" s="66">
        <f>'Project Database'!A192</f>
        <v>0</v>
      </c>
      <c r="B188" s="66">
        <f>'Project Database'!B192</f>
        <v>0</v>
      </c>
      <c r="C188" s="66">
        <f>'Project Database'!G192</f>
        <v>0</v>
      </c>
      <c r="D188" s="66">
        <f>'Project Database'!H192</f>
        <v>0</v>
      </c>
      <c r="E188" s="66">
        <f>'Project Database'!I192</f>
        <v>0</v>
      </c>
      <c r="F188" s="66">
        <f>'Project Database'!J192</f>
        <v>0</v>
      </c>
      <c r="G188" s="66">
        <f>'Project Database'!K192</f>
        <v>0</v>
      </c>
      <c r="H188" s="66">
        <f>'Project Database'!L192</f>
        <v>0</v>
      </c>
      <c r="I188" s="66">
        <f>'Project Database'!M192</f>
        <v>0</v>
      </c>
      <c r="J188" s="66">
        <f>'Project Database'!N192</f>
        <v>0</v>
      </c>
      <c r="K188" s="66">
        <f>'Project Database'!O192</f>
        <v>0</v>
      </c>
      <c r="L188" s="66">
        <f>'Project Database'!P192</f>
        <v>0</v>
      </c>
      <c r="M188" s="66">
        <f>'Project Database'!Q192</f>
        <v>0</v>
      </c>
      <c r="N188" s="66">
        <f>'Project Database'!R192</f>
        <v>0</v>
      </c>
      <c r="O188" s="66">
        <f>'Project Database'!S192</f>
        <v>0</v>
      </c>
      <c r="P188" s="66">
        <f>'Project Database'!T192</f>
        <v>0</v>
      </c>
      <c r="Q188" s="66">
        <f>'Project Database'!U192</f>
        <v>0</v>
      </c>
      <c r="R188" s="66">
        <f>'Project Database'!V192</f>
        <v>0</v>
      </c>
      <c r="S188" s="66">
        <f>'Project Database'!W192</f>
        <v>0</v>
      </c>
      <c r="T188" s="66">
        <f>'Project Database'!X192</f>
        <v>0</v>
      </c>
      <c r="U188" s="67">
        <f>'Project Database'!Y192</f>
        <v>0</v>
      </c>
      <c r="V188" s="66">
        <f>IF('Smart Search'!B13=1,IFERROR(1/'Smart Search'!H13,0),0)</f>
        <v>0</v>
      </c>
      <c r="W188" s="66">
        <f>IF('Smart Search'!B13=1,IFERROR(1/'Smart Search'!H13,0),0)</f>
        <v>0</v>
      </c>
      <c r="X188" s="66">
        <f>IF('Smart Search'!C13=1,IFERROR(1/'Smart Search'!H13,0),0)</f>
        <v>0.5</v>
      </c>
      <c r="Y188" s="66">
        <f>IF('Smart Search'!C13=1,IFERROR(1/'Smart Search'!H13,0),0)</f>
        <v>0.5</v>
      </c>
      <c r="Z188" s="66">
        <f>IF('Smart Search'!D13=1,IFERROR(1/'Smart Search'!H13,0),0)</f>
        <v>0</v>
      </c>
      <c r="AA188" s="66">
        <f>IF('Smart Search'!D13=1,IFERROR(1/'Smart Search'!H13,0),0)</f>
        <v>0</v>
      </c>
      <c r="AB188" s="66">
        <f>IF('Smart Search'!E13=1,IFERROR(1/'Smart Search'!H13,0),0)</f>
        <v>0</v>
      </c>
      <c r="AC188" s="66">
        <f>IF('Smart Search'!E13=1,IFERROR(1/'Smart Search'!H13,0),0)</f>
        <v>0</v>
      </c>
      <c r="AD188" s="66">
        <f>IF('Smart Search'!F13=1,IFERROR(1/'Smart Search'!H13,0),0)</f>
        <v>0</v>
      </c>
      <c r="AE188" s="66">
        <f>IF('Smart Search'!F13=1,IFERROR(1/'Smart Search'!H13,0),0)</f>
        <v>0</v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>0</v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>0</v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>0</v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>0</v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>0</v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>0</v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>0</v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>0</v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>0</v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>0</v>
      </c>
      <c r="AP188" s="66">
        <f t="shared" si="28"/>
        <v>0</v>
      </c>
      <c r="AQ188" s="66">
        <f t="shared" si="29"/>
        <v>0</v>
      </c>
      <c r="AR188" s="66">
        <f t="shared" si="30"/>
        <v>0</v>
      </c>
      <c r="AS188" s="66">
        <f t="shared" si="31"/>
        <v>0</v>
      </c>
      <c r="AT188" s="66">
        <f t="shared" si="32"/>
        <v>0</v>
      </c>
      <c r="AU188" s="66">
        <f t="shared" si="33"/>
        <v>0</v>
      </c>
      <c r="AV188" s="66">
        <f t="shared" si="34"/>
        <v>0</v>
      </c>
      <c r="AW188" s="66">
        <f t="shared" si="35"/>
        <v>0</v>
      </c>
      <c r="AX188" s="66">
        <f t="shared" si="36"/>
        <v>0</v>
      </c>
      <c r="AY188" s="66">
        <f t="shared" si="37"/>
        <v>0</v>
      </c>
      <c r="AZ188" s="66">
        <f>'Project Database'!Z192</f>
        <v>0</v>
      </c>
      <c r="BA188" s="66">
        <f>IF(OR(A188="",'Smart Search'!H13=0),"",MAX(0,BE188*BF188*MAX(0,1-BG188)))</f>
        <v>0</v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>0</v>
      </c>
      <c r="BC188" s="66">
        <f>IF('Smart Search'!G13=1,IFERROR(1/'Smart Search'!H13,0),0)</f>
        <v>0</v>
      </c>
      <c r="BD188" s="66">
        <f t="shared" si="38"/>
        <v>0</v>
      </c>
      <c r="BE188" s="66">
        <f t="shared" si="39"/>
        <v>0</v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>0</v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>0</v>
      </c>
      <c r="BH188" s="5" t="str">
        <f>IF(AND('Project Database'!A192&lt;&gt;"",OR('Smart Search'!$L$5="",'Smart Search'!$L$5="All",TRIM('Project Database'!D192)=TRIM('Smart Search'!$L$5)),OR(TRIM('Smart Search'!$L$6)="",TRIM('Smart Search'!$L$6)="All",ISNUMBER(SEARCH(SUBSTITUTE(SUBSTITUTE(SUBSTITUTE(TRIM('Smart Search'!$L$6),"~","~~"),"*","~*"),"?","~?"),'Project Database'!C192))),OR('Smart Search'!$L$7="",AND('Project Database'!E192&lt;&gt;"",'Project Database'!E192='Smart Search'!$L$7)),OR('Smart Search'!$L$8="",'Smart Search'!$L$8="All",TRIM('Project Database'!F192)=TRIM('Smart Search'!$L$8))),IF(BA188="","",BA188+ROW()*0.0000000001),"")</f>
        <v/>
      </c>
      <c r="BI188" s="5" t="str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 t="str">
        <f>IF('Project Database'!A192="","",N('Project Database'!AC192))</f>
        <v/>
      </c>
      <c r="BK188" s="5" t="str">
        <f>IF('Project Database'!A192="","",N('Project Database'!AD192))</f>
        <v/>
      </c>
      <c r="BL188" s="5" t="str">
        <f>IF('Project Database'!A192="","",N('Project Database'!AE192))</f>
        <v/>
      </c>
      <c r="BM188" s="5" t="str">
        <f>IF('Project Database'!A192="","",N('Project Database'!AF192))</f>
        <v/>
      </c>
      <c r="BN188" s="5" t="str">
        <f>IF('Project Database'!A192="","",N('Project Database'!AG192))</f>
        <v/>
      </c>
      <c r="BO188" s="5" t="str">
        <f>IF('Project Database'!A192="","",N('Project Database'!AH192))</f>
        <v/>
      </c>
      <c r="BP188" s="5" t="str">
        <f>IF('Project Database'!A192="","",N('Project Database'!AI192))</f>
        <v/>
      </c>
      <c r="BQ188" s="5" t="str">
        <f>IF('Project Database'!A192="","",N('Project Database'!AJ192))</f>
        <v/>
      </c>
      <c r="BR188" s="5" t="str">
        <f>IF('Project Database'!A192="","",N('Project Database'!AK192))</f>
        <v/>
      </c>
      <c r="BS188" s="5" t="str">
        <f>IF('Project Database'!A192="","",N('Project Database'!AL192))</f>
        <v/>
      </c>
      <c r="BT188" s="5" t="str">
        <f>IF('Project Database'!A192="","",N('Project Database'!AM192))</f>
        <v/>
      </c>
      <c r="BU188" s="5" t="str">
        <f>IF('Project Database'!A192="","",N('Project Database'!AN192))</f>
        <v/>
      </c>
      <c r="BV188" s="5" t="str">
        <f>IF('Project Database'!A192="","",N('Project Database'!AO192))</f>
        <v/>
      </c>
      <c r="BW188" s="5" t="str">
        <f>IF('Project Database'!A192="","",N('Project Database'!AP192))</f>
        <v/>
      </c>
      <c r="BX188" s="5">
        <f t="shared" si="40"/>
        <v>0</v>
      </c>
      <c r="BY188" s="5">
        <f t="shared" si="41"/>
        <v>0</v>
      </c>
    </row>
    <row r="189" spans="1:77" ht="15" customHeight="1" x14ac:dyDescent="0.3">
      <c r="A189" s="66">
        <f>'Project Database'!A193</f>
        <v>0</v>
      </c>
      <c r="B189" s="66">
        <f>'Project Database'!B193</f>
        <v>0</v>
      </c>
      <c r="C189" s="66">
        <f>'Project Database'!G193</f>
        <v>0</v>
      </c>
      <c r="D189" s="66">
        <f>'Project Database'!H193</f>
        <v>0</v>
      </c>
      <c r="E189" s="66">
        <f>'Project Database'!I193</f>
        <v>0</v>
      </c>
      <c r="F189" s="66">
        <f>'Project Database'!J193</f>
        <v>0</v>
      </c>
      <c r="G189" s="66">
        <f>'Project Database'!K193</f>
        <v>0</v>
      </c>
      <c r="H189" s="66">
        <f>'Project Database'!L193</f>
        <v>0</v>
      </c>
      <c r="I189" s="66">
        <f>'Project Database'!M193</f>
        <v>0</v>
      </c>
      <c r="J189" s="66">
        <f>'Project Database'!N193</f>
        <v>0</v>
      </c>
      <c r="K189" s="66">
        <f>'Project Database'!O193</f>
        <v>0</v>
      </c>
      <c r="L189" s="66">
        <f>'Project Database'!P193</f>
        <v>0</v>
      </c>
      <c r="M189" s="66">
        <f>'Project Database'!Q193</f>
        <v>0</v>
      </c>
      <c r="N189" s="66">
        <f>'Project Database'!R193</f>
        <v>0</v>
      </c>
      <c r="O189" s="66">
        <f>'Project Database'!S193</f>
        <v>0</v>
      </c>
      <c r="P189" s="66">
        <f>'Project Database'!T193</f>
        <v>0</v>
      </c>
      <c r="Q189" s="66">
        <f>'Project Database'!U193</f>
        <v>0</v>
      </c>
      <c r="R189" s="66">
        <f>'Project Database'!V193</f>
        <v>0</v>
      </c>
      <c r="S189" s="66">
        <f>'Project Database'!W193</f>
        <v>0</v>
      </c>
      <c r="T189" s="66">
        <f>'Project Database'!X193</f>
        <v>0</v>
      </c>
      <c r="U189" s="67">
        <f>'Project Database'!Y193</f>
        <v>0</v>
      </c>
      <c r="V189" s="66">
        <f>IF('Smart Search'!B13=1,IFERROR(1/'Smart Search'!H13,0),0)</f>
        <v>0</v>
      </c>
      <c r="W189" s="66">
        <f>IF('Smart Search'!B13=1,IFERROR(1/'Smart Search'!H13,0),0)</f>
        <v>0</v>
      </c>
      <c r="X189" s="66">
        <f>IF('Smart Search'!C13=1,IFERROR(1/'Smart Search'!H13,0),0)</f>
        <v>0.5</v>
      </c>
      <c r="Y189" s="66">
        <f>IF('Smart Search'!C13=1,IFERROR(1/'Smart Search'!H13,0),0)</f>
        <v>0.5</v>
      </c>
      <c r="Z189" s="66">
        <f>IF('Smart Search'!D13=1,IFERROR(1/'Smart Search'!H13,0),0)</f>
        <v>0</v>
      </c>
      <c r="AA189" s="66">
        <f>IF('Smart Search'!D13=1,IFERROR(1/'Smart Search'!H13,0),0)</f>
        <v>0</v>
      </c>
      <c r="AB189" s="66">
        <f>IF('Smart Search'!E13=1,IFERROR(1/'Smart Search'!H13,0),0)</f>
        <v>0</v>
      </c>
      <c r="AC189" s="66">
        <f>IF('Smart Search'!E13=1,IFERROR(1/'Smart Search'!H13,0),0)</f>
        <v>0</v>
      </c>
      <c r="AD189" s="66">
        <f>IF('Smart Search'!F13=1,IFERROR(1/'Smart Search'!H13,0),0)</f>
        <v>0</v>
      </c>
      <c r="AE189" s="66">
        <f>IF('Smart Search'!F13=1,IFERROR(1/'Smart Search'!H13,0),0)</f>
        <v>0</v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>0</v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>0</v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>0</v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>0</v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>0</v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>0</v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>0</v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>0</v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>0</v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>0</v>
      </c>
      <c r="AP189" s="66">
        <f t="shared" si="28"/>
        <v>0</v>
      </c>
      <c r="AQ189" s="66">
        <f t="shared" si="29"/>
        <v>0</v>
      </c>
      <c r="AR189" s="66">
        <f t="shared" si="30"/>
        <v>0</v>
      </c>
      <c r="AS189" s="66">
        <f t="shared" si="31"/>
        <v>0</v>
      </c>
      <c r="AT189" s="66">
        <f t="shared" si="32"/>
        <v>0</v>
      </c>
      <c r="AU189" s="66">
        <f t="shared" si="33"/>
        <v>0</v>
      </c>
      <c r="AV189" s="66">
        <f t="shared" si="34"/>
        <v>0</v>
      </c>
      <c r="AW189" s="66">
        <f t="shared" si="35"/>
        <v>0</v>
      </c>
      <c r="AX189" s="66">
        <f t="shared" si="36"/>
        <v>0</v>
      </c>
      <c r="AY189" s="66">
        <f t="shared" si="37"/>
        <v>0</v>
      </c>
      <c r="AZ189" s="66">
        <f>'Project Database'!Z193</f>
        <v>0</v>
      </c>
      <c r="BA189" s="66">
        <f>IF(OR(A189="",'Smart Search'!H13=0),"",MAX(0,BE189*BF189*MAX(0,1-BG189)))</f>
        <v>0</v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>0</v>
      </c>
      <c r="BC189" s="66">
        <f>IF('Smart Search'!G13=1,IFERROR(1/'Smart Search'!H13,0),0)</f>
        <v>0</v>
      </c>
      <c r="BD189" s="66">
        <f t="shared" si="38"/>
        <v>0</v>
      </c>
      <c r="BE189" s="66">
        <f t="shared" si="39"/>
        <v>0</v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>0</v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>0</v>
      </c>
      <c r="BH189" s="5" t="str">
        <f>IF(AND('Project Database'!A193&lt;&gt;"",OR('Smart Search'!$L$5="",'Smart Search'!$L$5="All",TRIM('Project Database'!D193)=TRIM('Smart Search'!$L$5)),OR(TRIM('Smart Search'!$L$6)="",TRIM('Smart Search'!$L$6)="All",ISNUMBER(SEARCH(SUBSTITUTE(SUBSTITUTE(SUBSTITUTE(TRIM('Smart Search'!$L$6),"~","~~"),"*","~*"),"?","~?"),'Project Database'!C193))),OR('Smart Search'!$L$7="",AND('Project Database'!E193&lt;&gt;"",'Project Database'!E193='Smart Search'!$L$7)),OR('Smart Search'!$L$8="",'Smart Search'!$L$8="All",TRIM('Project Database'!F193)=TRIM('Smart Search'!$L$8))),IF(BA189="","",BA189+ROW()*0.0000000001),"")</f>
        <v/>
      </c>
      <c r="BI189" s="5" t="str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 t="str">
        <f>IF('Project Database'!A193="","",N('Project Database'!AC193))</f>
        <v/>
      </c>
      <c r="BK189" s="5" t="str">
        <f>IF('Project Database'!A193="","",N('Project Database'!AD193))</f>
        <v/>
      </c>
      <c r="BL189" s="5" t="str">
        <f>IF('Project Database'!A193="","",N('Project Database'!AE193))</f>
        <v/>
      </c>
      <c r="BM189" s="5" t="str">
        <f>IF('Project Database'!A193="","",N('Project Database'!AF193))</f>
        <v/>
      </c>
      <c r="BN189" s="5" t="str">
        <f>IF('Project Database'!A193="","",N('Project Database'!AG193))</f>
        <v/>
      </c>
      <c r="BO189" s="5" t="str">
        <f>IF('Project Database'!A193="","",N('Project Database'!AH193))</f>
        <v/>
      </c>
      <c r="BP189" s="5" t="str">
        <f>IF('Project Database'!A193="","",N('Project Database'!AI193))</f>
        <v/>
      </c>
      <c r="BQ189" s="5" t="str">
        <f>IF('Project Database'!A193="","",N('Project Database'!AJ193))</f>
        <v/>
      </c>
      <c r="BR189" s="5" t="str">
        <f>IF('Project Database'!A193="","",N('Project Database'!AK193))</f>
        <v/>
      </c>
      <c r="BS189" s="5" t="str">
        <f>IF('Project Database'!A193="","",N('Project Database'!AL193))</f>
        <v/>
      </c>
      <c r="BT189" s="5" t="str">
        <f>IF('Project Database'!A193="","",N('Project Database'!AM193))</f>
        <v/>
      </c>
      <c r="BU189" s="5" t="str">
        <f>IF('Project Database'!A193="","",N('Project Database'!AN193))</f>
        <v/>
      </c>
      <c r="BV189" s="5" t="str">
        <f>IF('Project Database'!A193="","",N('Project Database'!AO193))</f>
        <v/>
      </c>
      <c r="BW189" s="5" t="str">
        <f>IF('Project Database'!A193="","",N('Project Database'!AP193))</f>
        <v/>
      </c>
      <c r="BX189" s="5">
        <f t="shared" si="40"/>
        <v>0</v>
      </c>
      <c r="BY189" s="5">
        <f t="shared" si="41"/>
        <v>0</v>
      </c>
    </row>
    <row r="190" spans="1:77" ht="15" customHeight="1" x14ac:dyDescent="0.3">
      <c r="A190" s="66">
        <f>'Project Database'!A194</f>
        <v>0</v>
      </c>
      <c r="B190" s="66">
        <f>'Project Database'!B194</f>
        <v>0</v>
      </c>
      <c r="C190" s="66">
        <f>'Project Database'!G194</f>
        <v>0</v>
      </c>
      <c r="D190" s="66">
        <f>'Project Database'!H194</f>
        <v>0</v>
      </c>
      <c r="E190" s="66">
        <f>'Project Database'!I194</f>
        <v>0</v>
      </c>
      <c r="F190" s="66">
        <f>'Project Database'!J194</f>
        <v>0</v>
      </c>
      <c r="G190" s="66">
        <f>'Project Database'!K194</f>
        <v>0</v>
      </c>
      <c r="H190" s="66">
        <f>'Project Database'!L194</f>
        <v>0</v>
      </c>
      <c r="I190" s="66">
        <f>'Project Database'!M194</f>
        <v>0</v>
      </c>
      <c r="J190" s="66">
        <f>'Project Database'!N194</f>
        <v>0</v>
      </c>
      <c r="K190" s="66">
        <f>'Project Database'!O194</f>
        <v>0</v>
      </c>
      <c r="L190" s="66">
        <f>'Project Database'!P194</f>
        <v>0</v>
      </c>
      <c r="M190" s="66">
        <f>'Project Database'!Q194</f>
        <v>0</v>
      </c>
      <c r="N190" s="66">
        <f>'Project Database'!R194</f>
        <v>0</v>
      </c>
      <c r="O190" s="66">
        <f>'Project Database'!S194</f>
        <v>0</v>
      </c>
      <c r="P190" s="66">
        <f>'Project Database'!T194</f>
        <v>0</v>
      </c>
      <c r="Q190" s="66">
        <f>'Project Database'!U194</f>
        <v>0</v>
      </c>
      <c r="R190" s="66">
        <f>'Project Database'!V194</f>
        <v>0</v>
      </c>
      <c r="S190" s="66">
        <f>'Project Database'!W194</f>
        <v>0</v>
      </c>
      <c r="T190" s="66">
        <f>'Project Database'!X194</f>
        <v>0</v>
      </c>
      <c r="U190" s="67">
        <f>'Project Database'!Y194</f>
        <v>0</v>
      </c>
      <c r="V190" s="66">
        <f>IF('Smart Search'!B13=1,IFERROR(1/'Smart Search'!H13,0),0)</f>
        <v>0</v>
      </c>
      <c r="W190" s="66">
        <f>IF('Smart Search'!B13=1,IFERROR(1/'Smart Search'!H13,0),0)</f>
        <v>0</v>
      </c>
      <c r="X190" s="66">
        <f>IF('Smart Search'!C13=1,IFERROR(1/'Smart Search'!H13,0),0)</f>
        <v>0.5</v>
      </c>
      <c r="Y190" s="66">
        <f>IF('Smart Search'!C13=1,IFERROR(1/'Smart Search'!H13,0),0)</f>
        <v>0.5</v>
      </c>
      <c r="Z190" s="66">
        <f>IF('Smart Search'!D13=1,IFERROR(1/'Smart Search'!H13,0),0)</f>
        <v>0</v>
      </c>
      <c r="AA190" s="66">
        <f>IF('Smart Search'!D13=1,IFERROR(1/'Smart Search'!H13,0),0)</f>
        <v>0</v>
      </c>
      <c r="AB190" s="66">
        <f>IF('Smart Search'!E13=1,IFERROR(1/'Smart Search'!H13,0),0)</f>
        <v>0</v>
      </c>
      <c r="AC190" s="66">
        <f>IF('Smart Search'!E13=1,IFERROR(1/'Smart Search'!H13,0),0)</f>
        <v>0</v>
      </c>
      <c r="AD190" s="66">
        <f>IF('Smart Search'!F13=1,IFERROR(1/'Smart Search'!H13,0),0)</f>
        <v>0</v>
      </c>
      <c r="AE190" s="66">
        <f>IF('Smart Search'!F13=1,IFERROR(1/'Smart Search'!H13,0),0)</f>
        <v>0</v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>0</v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>0</v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>0</v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>0</v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>0</v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>0</v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>0</v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>0</v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>0</v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>0</v>
      </c>
      <c r="AP190" s="66">
        <f t="shared" si="28"/>
        <v>0</v>
      </c>
      <c r="AQ190" s="66">
        <f t="shared" si="29"/>
        <v>0</v>
      </c>
      <c r="AR190" s="66">
        <f t="shared" si="30"/>
        <v>0</v>
      </c>
      <c r="AS190" s="66">
        <f t="shared" si="31"/>
        <v>0</v>
      </c>
      <c r="AT190" s="66">
        <f t="shared" si="32"/>
        <v>0</v>
      </c>
      <c r="AU190" s="66">
        <f t="shared" si="33"/>
        <v>0</v>
      </c>
      <c r="AV190" s="66">
        <f t="shared" si="34"/>
        <v>0</v>
      </c>
      <c r="AW190" s="66">
        <f t="shared" si="35"/>
        <v>0</v>
      </c>
      <c r="AX190" s="66">
        <f t="shared" si="36"/>
        <v>0</v>
      </c>
      <c r="AY190" s="66">
        <f t="shared" si="37"/>
        <v>0</v>
      </c>
      <c r="AZ190" s="66">
        <f>'Project Database'!Z194</f>
        <v>0</v>
      </c>
      <c r="BA190" s="66">
        <f>IF(OR(A190="",'Smart Search'!H13=0),"",MAX(0,BE190*BF190*MAX(0,1-BG190)))</f>
        <v>0</v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>0</v>
      </c>
      <c r="BC190" s="66">
        <f>IF('Smart Search'!G13=1,IFERROR(1/'Smart Search'!H13,0),0)</f>
        <v>0</v>
      </c>
      <c r="BD190" s="66">
        <f t="shared" si="38"/>
        <v>0</v>
      </c>
      <c r="BE190" s="66">
        <f t="shared" si="39"/>
        <v>0</v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>0</v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>0</v>
      </c>
      <c r="BH190" s="5" t="str">
        <f>IF(AND('Project Database'!A194&lt;&gt;"",OR('Smart Search'!$L$5="",'Smart Search'!$L$5="All",TRIM('Project Database'!D194)=TRIM('Smart Search'!$L$5)),OR(TRIM('Smart Search'!$L$6)="",TRIM('Smart Search'!$L$6)="All",ISNUMBER(SEARCH(SUBSTITUTE(SUBSTITUTE(SUBSTITUTE(TRIM('Smart Search'!$L$6),"~","~~"),"*","~*"),"?","~?"),'Project Database'!C194))),OR('Smart Search'!$L$7="",AND('Project Database'!E194&lt;&gt;"",'Project Database'!E194='Smart Search'!$L$7)),OR('Smart Search'!$L$8="",'Smart Search'!$L$8="All",TRIM('Project Database'!F194)=TRIM('Smart Search'!$L$8))),IF(BA190="","",BA190+ROW()*0.0000000001),"")</f>
        <v/>
      </c>
      <c r="BI190" s="5" t="str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 t="str">
        <f>IF('Project Database'!A194="","",N('Project Database'!AC194))</f>
        <v/>
      </c>
      <c r="BK190" s="5" t="str">
        <f>IF('Project Database'!A194="","",N('Project Database'!AD194))</f>
        <v/>
      </c>
      <c r="BL190" s="5" t="str">
        <f>IF('Project Database'!A194="","",N('Project Database'!AE194))</f>
        <v/>
      </c>
      <c r="BM190" s="5" t="str">
        <f>IF('Project Database'!A194="","",N('Project Database'!AF194))</f>
        <v/>
      </c>
      <c r="BN190" s="5" t="str">
        <f>IF('Project Database'!A194="","",N('Project Database'!AG194))</f>
        <v/>
      </c>
      <c r="BO190" s="5" t="str">
        <f>IF('Project Database'!A194="","",N('Project Database'!AH194))</f>
        <v/>
      </c>
      <c r="BP190" s="5" t="str">
        <f>IF('Project Database'!A194="","",N('Project Database'!AI194))</f>
        <v/>
      </c>
      <c r="BQ190" s="5" t="str">
        <f>IF('Project Database'!A194="","",N('Project Database'!AJ194))</f>
        <v/>
      </c>
      <c r="BR190" s="5" t="str">
        <f>IF('Project Database'!A194="","",N('Project Database'!AK194))</f>
        <v/>
      </c>
      <c r="BS190" s="5" t="str">
        <f>IF('Project Database'!A194="","",N('Project Database'!AL194))</f>
        <v/>
      </c>
      <c r="BT190" s="5" t="str">
        <f>IF('Project Database'!A194="","",N('Project Database'!AM194))</f>
        <v/>
      </c>
      <c r="BU190" s="5" t="str">
        <f>IF('Project Database'!A194="","",N('Project Database'!AN194))</f>
        <v/>
      </c>
      <c r="BV190" s="5" t="str">
        <f>IF('Project Database'!A194="","",N('Project Database'!AO194))</f>
        <v/>
      </c>
      <c r="BW190" s="5" t="str">
        <f>IF('Project Database'!A194="","",N('Project Database'!AP194))</f>
        <v/>
      </c>
      <c r="BX190" s="5">
        <f t="shared" si="40"/>
        <v>0</v>
      </c>
      <c r="BY190" s="5">
        <f t="shared" si="41"/>
        <v>0</v>
      </c>
    </row>
    <row r="191" spans="1:77" ht="15" customHeight="1" x14ac:dyDescent="0.3">
      <c r="A191" s="66">
        <f>'Project Database'!A195</f>
        <v>0</v>
      </c>
      <c r="B191" s="66">
        <f>'Project Database'!B195</f>
        <v>0</v>
      </c>
      <c r="C191" s="66">
        <f>'Project Database'!G195</f>
        <v>0</v>
      </c>
      <c r="D191" s="66">
        <f>'Project Database'!H195</f>
        <v>0</v>
      </c>
      <c r="E191" s="66">
        <f>'Project Database'!I195</f>
        <v>0</v>
      </c>
      <c r="F191" s="66">
        <f>'Project Database'!J195</f>
        <v>0</v>
      </c>
      <c r="G191" s="66">
        <f>'Project Database'!K195</f>
        <v>0</v>
      </c>
      <c r="H191" s="66">
        <f>'Project Database'!L195</f>
        <v>0</v>
      </c>
      <c r="I191" s="66">
        <f>'Project Database'!M195</f>
        <v>0</v>
      </c>
      <c r="J191" s="66">
        <f>'Project Database'!N195</f>
        <v>0</v>
      </c>
      <c r="K191" s="66">
        <f>'Project Database'!O195</f>
        <v>0</v>
      </c>
      <c r="L191" s="66">
        <f>'Project Database'!P195</f>
        <v>0</v>
      </c>
      <c r="M191" s="66">
        <f>'Project Database'!Q195</f>
        <v>0</v>
      </c>
      <c r="N191" s="66">
        <f>'Project Database'!R195</f>
        <v>0</v>
      </c>
      <c r="O191" s="66">
        <f>'Project Database'!S195</f>
        <v>0</v>
      </c>
      <c r="P191" s="66">
        <f>'Project Database'!T195</f>
        <v>0</v>
      </c>
      <c r="Q191" s="66">
        <f>'Project Database'!U195</f>
        <v>0</v>
      </c>
      <c r="R191" s="66">
        <f>'Project Database'!V195</f>
        <v>0</v>
      </c>
      <c r="S191" s="66">
        <f>'Project Database'!W195</f>
        <v>0</v>
      </c>
      <c r="T191" s="66">
        <f>'Project Database'!X195</f>
        <v>0</v>
      </c>
      <c r="U191" s="67">
        <f>'Project Database'!Y195</f>
        <v>0</v>
      </c>
      <c r="V191" s="66">
        <f>IF('Smart Search'!B13=1,IFERROR(1/'Smart Search'!H13,0),0)</f>
        <v>0</v>
      </c>
      <c r="W191" s="66">
        <f>IF('Smart Search'!B13=1,IFERROR(1/'Smart Search'!H13,0),0)</f>
        <v>0</v>
      </c>
      <c r="X191" s="66">
        <f>IF('Smart Search'!C13=1,IFERROR(1/'Smart Search'!H13,0),0)</f>
        <v>0.5</v>
      </c>
      <c r="Y191" s="66">
        <f>IF('Smart Search'!C13=1,IFERROR(1/'Smart Search'!H13,0),0)</f>
        <v>0.5</v>
      </c>
      <c r="Z191" s="66">
        <f>IF('Smart Search'!D13=1,IFERROR(1/'Smart Search'!H13,0),0)</f>
        <v>0</v>
      </c>
      <c r="AA191" s="66">
        <f>IF('Smart Search'!D13=1,IFERROR(1/'Smart Search'!H13,0),0)</f>
        <v>0</v>
      </c>
      <c r="AB191" s="66">
        <f>IF('Smart Search'!E13=1,IFERROR(1/'Smart Search'!H13,0),0)</f>
        <v>0</v>
      </c>
      <c r="AC191" s="66">
        <f>IF('Smart Search'!E13=1,IFERROR(1/'Smart Search'!H13,0),0)</f>
        <v>0</v>
      </c>
      <c r="AD191" s="66">
        <f>IF('Smart Search'!F13=1,IFERROR(1/'Smart Search'!H13,0),0)</f>
        <v>0</v>
      </c>
      <c r="AE191" s="66">
        <f>IF('Smart Search'!F13=1,IFERROR(1/'Smart Search'!H13,0),0)</f>
        <v>0</v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>0</v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>0</v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>0</v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>0</v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>0</v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>0</v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>0</v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>0</v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>0</v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>0</v>
      </c>
      <c r="AP191" s="66">
        <f t="shared" si="28"/>
        <v>0</v>
      </c>
      <c r="AQ191" s="66">
        <f t="shared" si="29"/>
        <v>0</v>
      </c>
      <c r="AR191" s="66">
        <f t="shared" si="30"/>
        <v>0</v>
      </c>
      <c r="AS191" s="66">
        <f t="shared" si="31"/>
        <v>0</v>
      </c>
      <c r="AT191" s="66">
        <f t="shared" si="32"/>
        <v>0</v>
      </c>
      <c r="AU191" s="66">
        <f t="shared" si="33"/>
        <v>0</v>
      </c>
      <c r="AV191" s="66">
        <f t="shared" si="34"/>
        <v>0</v>
      </c>
      <c r="AW191" s="66">
        <f t="shared" si="35"/>
        <v>0</v>
      </c>
      <c r="AX191" s="66">
        <f t="shared" si="36"/>
        <v>0</v>
      </c>
      <c r="AY191" s="66">
        <f t="shared" si="37"/>
        <v>0</v>
      </c>
      <c r="AZ191" s="66">
        <f>'Project Database'!Z195</f>
        <v>0</v>
      </c>
      <c r="BA191" s="66">
        <f>IF(OR(A191="",'Smart Search'!H13=0),"",MAX(0,BE191*BF191*MAX(0,1-BG191)))</f>
        <v>0</v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>0</v>
      </c>
      <c r="BC191" s="66">
        <f>IF('Smart Search'!G13=1,IFERROR(1/'Smart Search'!H13,0),0)</f>
        <v>0</v>
      </c>
      <c r="BD191" s="66">
        <f t="shared" si="38"/>
        <v>0</v>
      </c>
      <c r="BE191" s="66">
        <f t="shared" si="39"/>
        <v>0</v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>0</v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>0</v>
      </c>
      <c r="BH191" s="5" t="str">
        <f>IF(AND('Project Database'!A195&lt;&gt;"",OR('Smart Search'!$L$5="",'Smart Search'!$L$5="All",TRIM('Project Database'!D195)=TRIM('Smart Search'!$L$5)),OR(TRIM('Smart Search'!$L$6)="",TRIM('Smart Search'!$L$6)="All",ISNUMBER(SEARCH(SUBSTITUTE(SUBSTITUTE(SUBSTITUTE(TRIM('Smart Search'!$L$6),"~","~~"),"*","~*"),"?","~?"),'Project Database'!C195))),OR('Smart Search'!$L$7="",AND('Project Database'!E195&lt;&gt;"",'Project Database'!E195='Smart Search'!$L$7)),OR('Smart Search'!$L$8="",'Smart Search'!$L$8="All",TRIM('Project Database'!F195)=TRIM('Smart Search'!$L$8))),IF(BA191="","",BA191+ROW()*0.0000000001),"")</f>
        <v/>
      </c>
      <c r="BI191" s="5" t="str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 t="str">
        <f>IF('Project Database'!A195="","",N('Project Database'!AC195))</f>
        <v/>
      </c>
      <c r="BK191" s="5" t="str">
        <f>IF('Project Database'!A195="","",N('Project Database'!AD195))</f>
        <v/>
      </c>
      <c r="BL191" s="5" t="str">
        <f>IF('Project Database'!A195="","",N('Project Database'!AE195))</f>
        <v/>
      </c>
      <c r="BM191" s="5" t="str">
        <f>IF('Project Database'!A195="","",N('Project Database'!AF195))</f>
        <v/>
      </c>
      <c r="BN191" s="5" t="str">
        <f>IF('Project Database'!A195="","",N('Project Database'!AG195))</f>
        <v/>
      </c>
      <c r="BO191" s="5" t="str">
        <f>IF('Project Database'!A195="","",N('Project Database'!AH195))</f>
        <v/>
      </c>
      <c r="BP191" s="5" t="str">
        <f>IF('Project Database'!A195="","",N('Project Database'!AI195))</f>
        <v/>
      </c>
      <c r="BQ191" s="5" t="str">
        <f>IF('Project Database'!A195="","",N('Project Database'!AJ195))</f>
        <v/>
      </c>
      <c r="BR191" s="5" t="str">
        <f>IF('Project Database'!A195="","",N('Project Database'!AK195))</f>
        <v/>
      </c>
      <c r="BS191" s="5" t="str">
        <f>IF('Project Database'!A195="","",N('Project Database'!AL195))</f>
        <v/>
      </c>
      <c r="BT191" s="5" t="str">
        <f>IF('Project Database'!A195="","",N('Project Database'!AM195))</f>
        <v/>
      </c>
      <c r="BU191" s="5" t="str">
        <f>IF('Project Database'!A195="","",N('Project Database'!AN195))</f>
        <v/>
      </c>
      <c r="BV191" s="5" t="str">
        <f>IF('Project Database'!A195="","",N('Project Database'!AO195))</f>
        <v/>
      </c>
      <c r="BW191" s="5" t="str">
        <f>IF('Project Database'!A195="","",N('Project Database'!AP195))</f>
        <v/>
      </c>
      <c r="BX191" s="5">
        <f t="shared" si="40"/>
        <v>0</v>
      </c>
      <c r="BY191" s="5">
        <f t="shared" si="41"/>
        <v>0</v>
      </c>
    </row>
    <row r="192" spans="1:77" ht="15" customHeight="1" x14ac:dyDescent="0.3">
      <c r="A192" s="66">
        <f>'Project Database'!A196</f>
        <v>0</v>
      </c>
      <c r="B192" s="66">
        <f>'Project Database'!B196</f>
        <v>0</v>
      </c>
      <c r="C192" s="66">
        <f>'Project Database'!G196</f>
        <v>0</v>
      </c>
      <c r="D192" s="66">
        <f>'Project Database'!H196</f>
        <v>0</v>
      </c>
      <c r="E192" s="66">
        <f>'Project Database'!I196</f>
        <v>0</v>
      </c>
      <c r="F192" s="66">
        <f>'Project Database'!J196</f>
        <v>0</v>
      </c>
      <c r="G192" s="66">
        <f>'Project Database'!K196</f>
        <v>0</v>
      </c>
      <c r="H192" s="66">
        <f>'Project Database'!L196</f>
        <v>0</v>
      </c>
      <c r="I192" s="66">
        <f>'Project Database'!M196</f>
        <v>0</v>
      </c>
      <c r="J192" s="66">
        <f>'Project Database'!N196</f>
        <v>0</v>
      </c>
      <c r="K192" s="66">
        <f>'Project Database'!O196</f>
        <v>0</v>
      </c>
      <c r="L192" s="66">
        <f>'Project Database'!P196</f>
        <v>0</v>
      </c>
      <c r="M192" s="66">
        <f>'Project Database'!Q196</f>
        <v>0</v>
      </c>
      <c r="N192" s="66">
        <f>'Project Database'!R196</f>
        <v>0</v>
      </c>
      <c r="O192" s="66">
        <f>'Project Database'!S196</f>
        <v>0</v>
      </c>
      <c r="P192" s="66">
        <f>'Project Database'!T196</f>
        <v>0</v>
      </c>
      <c r="Q192" s="66">
        <f>'Project Database'!U196</f>
        <v>0</v>
      </c>
      <c r="R192" s="66">
        <f>'Project Database'!V196</f>
        <v>0</v>
      </c>
      <c r="S192" s="66">
        <f>'Project Database'!W196</f>
        <v>0</v>
      </c>
      <c r="T192" s="66">
        <f>'Project Database'!X196</f>
        <v>0</v>
      </c>
      <c r="U192" s="67">
        <f>'Project Database'!Y196</f>
        <v>0</v>
      </c>
      <c r="V192" s="66">
        <f>IF('Smart Search'!B13=1,IFERROR(1/'Smart Search'!H13,0),0)</f>
        <v>0</v>
      </c>
      <c r="W192" s="66">
        <f>IF('Smart Search'!B13=1,IFERROR(1/'Smart Search'!H13,0),0)</f>
        <v>0</v>
      </c>
      <c r="X192" s="66">
        <f>IF('Smart Search'!C13=1,IFERROR(1/'Smart Search'!H13,0),0)</f>
        <v>0.5</v>
      </c>
      <c r="Y192" s="66">
        <f>IF('Smart Search'!C13=1,IFERROR(1/'Smart Search'!H13,0),0)</f>
        <v>0.5</v>
      </c>
      <c r="Z192" s="66">
        <f>IF('Smart Search'!D13=1,IFERROR(1/'Smart Search'!H13,0),0)</f>
        <v>0</v>
      </c>
      <c r="AA192" s="66">
        <f>IF('Smart Search'!D13=1,IFERROR(1/'Smart Search'!H13,0),0)</f>
        <v>0</v>
      </c>
      <c r="AB192" s="66">
        <f>IF('Smart Search'!E13=1,IFERROR(1/'Smart Search'!H13,0),0)</f>
        <v>0</v>
      </c>
      <c r="AC192" s="66">
        <f>IF('Smart Search'!E13=1,IFERROR(1/'Smart Search'!H13,0),0)</f>
        <v>0</v>
      </c>
      <c r="AD192" s="66">
        <f>IF('Smart Search'!F13=1,IFERROR(1/'Smart Search'!H13,0),0)</f>
        <v>0</v>
      </c>
      <c r="AE192" s="66">
        <f>IF('Smart Search'!F13=1,IFERROR(1/'Smart Search'!H13,0),0)</f>
        <v>0</v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>0</v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>0</v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>0</v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>0</v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>0</v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>0</v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>0</v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>0</v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>0</v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>0</v>
      </c>
      <c r="AP192" s="66">
        <f t="shared" si="28"/>
        <v>0</v>
      </c>
      <c r="AQ192" s="66">
        <f t="shared" si="29"/>
        <v>0</v>
      </c>
      <c r="AR192" s="66">
        <f t="shared" si="30"/>
        <v>0</v>
      </c>
      <c r="AS192" s="66">
        <f t="shared" si="31"/>
        <v>0</v>
      </c>
      <c r="AT192" s="66">
        <f t="shared" si="32"/>
        <v>0</v>
      </c>
      <c r="AU192" s="66">
        <f t="shared" si="33"/>
        <v>0</v>
      </c>
      <c r="AV192" s="66">
        <f t="shared" si="34"/>
        <v>0</v>
      </c>
      <c r="AW192" s="66">
        <f t="shared" si="35"/>
        <v>0</v>
      </c>
      <c r="AX192" s="66">
        <f t="shared" si="36"/>
        <v>0</v>
      </c>
      <c r="AY192" s="66">
        <f t="shared" si="37"/>
        <v>0</v>
      </c>
      <c r="AZ192" s="66">
        <f>'Project Database'!Z196</f>
        <v>0</v>
      </c>
      <c r="BA192" s="66">
        <f>IF(OR(A192="",'Smart Search'!H13=0),"",MAX(0,BE192*BF192*MAX(0,1-BG192)))</f>
        <v>0</v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>0</v>
      </c>
      <c r="BC192" s="66">
        <f>IF('Smart Search'!G13=1,IFERROR(1/'Smart Search'!H13,0),0)</f>
        <v>0</v>
      </c>
      <c r="BD192" s="66">
        <f t="shared" si="38"/>
        <v>0</v>
      </c>
      <c r="BE192" s="66">
        <f t="shared" si="39"/>
        <v>0</v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>0</v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>0</v>
      </c>
      <c r="BH192" s="5" t="str">
        <f>IF(AND('Project Database'!A196&lt;&gt;"",OR('Smart Search'!$L$5="",'Smart Search'!$L$5="All",TRIM('Project Database'!D196)=TRIM('Smart Search'!$L$5)),OR(TRIM('Smart Search'!$L$6)="",TRIM('Smart Search'!$L$6)="All",ISNUMBER(SEARCH(SUBSTITUTE(SUBSTITUTE(SUBSTITUTE(TRIM('Smart Search'!$L$6),"~","~~"),"*","~*"),"?","~?"),'Project Database'!C196))),OR('Smart Search'!$L$7="",AND('Project Database'!E196&lt;&gt;"",'Project Database'!E196='Smart Search'!$L$7)),OR('Smart Search'!$L$8="",'Smart Search'!$L$8="All",TRIM('Project Database'!F196)=TRIM('Smart Search'!$L$8))),IF(BA192="","",BA192+ROW()*0.0000000001),"")</f>
        <v/>
      </c>
      <c r="BI192" s="5" t="str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 t="str">
        <f>IF('Project Database'!A196="","",N('Project Database'!AC196))</f>
        <v/>
      </c>
      <c r="BK192" s="5" t="str">
        <f>IF('Project Database'!A196="","",N('Project Database'!AD196))</f>
        <v/>
      </c>
      <c r="BL192" s="5" t="str">
        <f>IF('Project Database'!A196="","",N('Project Database'!AE196))</f>
        <v/>
      </c>
      <c r="BM192" s="5" t="str">
        <f>IF('Project Database'!A196="","",N('Project Database'!AF196))</f>
        <v/>
      </c>
      <c r="BN192" s="5" t="str">
        <f>IF('Project Database'!A196="","",N('Project Database'!AG196))</f>
        <v/>
      </c>
      <c r="BO192" s="5" t="str">
        <f>IF('Project Database'!A196="","",N('Project Database'!AH196))</f>
        <v/>
      </c>
      <c r="BP192" s="5" t="str">
        <f>IF('Project Database'!A196="","",N('Project Database'!AI196))</f>
        <v/>
      </c>
      <c r="BQ192" s="5" t="str">
        <f>IF('Project Database'!A196="","",N('Project Database'!AJ196))</f>
        <v/>
      </c>
      <c r="BR192" s="5" t="str">
        <f>IF('Project Database'!A196="","",N('Project Database'!AK196))</f>
        <v/>
      </c>
      <c r="BS192" s="5" t="str">
        <f>IF('Project Database'!A196="","",N('Project Database'!AL196))</f>
        <v/>
      </c>
      <c r="BT192" s="5" t="str">
        <f>IF('Project Database'!A196="","",N('Project Database'!AM196))</f>
        <v/>
      </c>
      <c r="BU192" s="5" t="str">
        <f>IF('Project Database'!A196="","",N('Project Database'!AN196))</f>
        <v/>
      </c>
      <c r="BV192" s="5" t="str">
        <f>IF('Project Database'!A196="","",N('Project Database'!AO196))</f>
        <v/>
      </c>
      <c r="BW192" s="5" t="str">
        <f>IF('Project Database'!A196="","",N('Project Database'!AP196))</f>
        <v/>
      </c>
      <c r="BX192" s="5">
        <f t="shared" si="40"/>
        <v>0</v>
      </c>
      <c r="BY192" s="5">
        <f t="shared" si="41"/>
        <v>0</v>
      </c>
    </row>
    <row r="193" spans="1:77" ht="15" customHeight="1" x14ac:dyDescent="0.3">
      <c r="A193" s="66">
        <f>'Project Database'!A197</f>
        <v>0</v>
      </c>
      <c r="B193" s="66">
        <f>'Project Database'!B197</f>
        <v>0</v>
      </c>
      <c r="C193" s="66">
        <f>'Project Database'!G197</f>
        <v>0</v>
      </c>
      <c r="D193" s="66">
        <f>'Project Database'!H197</f>
        <v>0</v>
      </c>
      <c r="E193" s="66">
        <f>'Project Database'!I197</f>
        <v>0</v>
      </c>
      <c r="F193" s="66">
        <f>'Project Database'!J197</f>
        <v>0</v>
      </c>
      <c r="G193" s="66">
        <f>'Project Database'!K197</f>
        <v>0</v>
      </c>
      <c r="H193" s="66">
        <f>'Project Database'!L197</f>
        <v>0</v>
      </c>
      <c r="I193" s="66">
        <f>'Project Database'!M197</f>
        <v>0</v>
      </c>
      <c r="J193" s="66">
        <f>'Project Database'!N197</f>
        <v>0</v>
      </c>
      <c r="K193" s="66">
        <f>'Project Database'!O197</f>
        <v>0</v>
      </c>
      <c r="L193" s="66">
        <f>'Project Database'!P197</f>
        <v>0</v>
      </c>
      <c r="M193" s="66">
        <f>'Project Database'!Q197</f>
        <v>0</v>
      </c>
      <c r="N193" s="66">
        <f>'Project Database'!R197</f>
        <v>0</v>
      </c>
      <c r="O193" s="66">
        <f>'Project Database'!S197</f>
        <v>0</v>
      </c>
      <c r="P193" s="66">
        <f>'Project Database'!T197</f>
        <v>0</v>
      </c>
      <c r="Q193" s="66">
        <f>'Project Database'!U197</f>
        <v>0</v>
      </c>
      <c r="R193" s="66">
        <f>'Project Database'!V197</f>
        <v>0</v>
      </c>
      <c r="S193" s="66">
        <f>'Project Database'!W197</f>
        <v>0</v>
      </c>
      <c r="T193" s="66">
        <f>'Project Database'!X197</f>
        <v>0</v>
      </c>
      <c r="U193" s="67">
        <f>'Project Database'!Y197</f>
        <v>0</v>
      </c>
      <c r="V193" s="66">
        <f>IF('Smart Search'!B13=1,IFERROR(1/'Smart Search'!H13,0),0)</f>
        <v>0</v>
      </c>
      <c r="W193" s="66">
        <f>IF('Smart Search'!B13=1,IFERROR(1/'Smart Search'!H13,0),0)</f>
        <v>0</v>
      </c>
      <c r="X193" s="66">
        <f>IF('Smart Search'!C13=1,IFERROR(1/'Smart Search'!H13,0),0)</f>
        <v>0.5</v>
      </c>
      <c r="Y193" s="66">
        <f>IF('Smart Search'!C13=1,IFERROR(1/'Smart Search'!H13,0),0)</f>
        <v>0.5</v>
      </c>
      <c r="Z193" s="66">
        <f>IF('Smart Search'!D13=1,IFERROR(1/'Smart Search'!H13,0),0)</f>
        <v>0</v>
      </c>
      <c r="AA193" s="66">
        <f>IF('Smart Search'!D13=1,IFERROR(1/'Smart Search'!H13,0),0)</f>
        <v>0</v>
      </c>
      <c r="AB193" s="66">
        <f>IF('Smart Search'!E13=1,IFERROR(1/'Smart Search'!H13,0),0)</f>
        <v>0</v>
      </c>
      <c r="AC193" s="66">
        <f>IF('Smart Search'!E13=1,IFERROR(1/'Smart Search'!H13,0),0)</f>
        <v>0</v>
      </c>
      <c r="AD193" s="66">
        <f>IF('Smart Search'!F13=1,IFERROR(1/'Smart Search'!H13,0),0)</f>
        <v>0</v>
      </c>
      <c r="AE193" s="66">
        <f>IF('Smart Search'!F13=1,IFERROR(1/'Smart Search'!H13,0),0)</f>
        <v>0</v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>0</v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>0</v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>0</v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>0</v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>0</v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>0</v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>0</v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>0</v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>0</v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>0</v>
      </c>
      <c r="AP193" s="66">
        <f t="shared" si="28"/>
        <v>0</v>
      </c>
      <c r="AQ193" s="66">
        <f t="shared" si="29"/>
        <v>0</v>
      </c>
      <c r="AR193" s="66">
        <f t="shared" si="30"/>
        <v>0</v>
      </c>
      <c r="AS193" s="66">
        <f t="shared" si="31"/>
        <v>0</v>
      </c>
      <c r="AT193" s="66">
        <f t="shared" si="32"/>
        <v>0</v>
      </c>
      <c r="AU193" s="66">
        <f t="shared" si="33"/>
        <v>0</v>
      </c>
      <c r="AV193" s="66">
        <f t="shared" si="34"/>
        <v>0</v>
      </c>
      <c r="AW193" s="66">
        <f t="shared" si="35"/>
        <v>0</v>
      </c>
      <c r="AX193" s="66">
        <f t="shared" si="36"/>
        <v>0</v>
      </c>
      <c r="AY193" s="66">
        <f t="shared" si="37"/>
        <v>0</v>
      </c>
      <c r="AZ193" s="66">
        <f>'Project Database'!Z197</f>
        <v>0</v>
      </c>
      <c r="BA193" s="66">
        <f>IF(OR(A193="",'Smart Search'!H13=0),"",MAX(0,BE193*BF193*MAX(0,1-BG193)))</f>
        <v>0</v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>0</v>
      </c>
      <c r="BC193" s="66">
        <f>IF('Smart Search'!G13=1,IFERROR(1/'Smart Search'!H13,0),0)</f>
        <v>0</v>
      </c>
      <c r="BD193" s="66">
        <f t="shared" si="38"/>
        <v>0</v>
      </c>
      <c r="BE193" s="66">
        <f t="shared" si="39"/>
        <v>0</v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>0</v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>0</v>
      </c>
      <c r="BH193" s="5" t="str">
        <f>IF(AND('Project Database'!A197&lt;&gt;"",OR('Smart Search'!$L$5="",'Smart Search'!$L$5="All",TRIM('Project Database'!D197)=TRIM('Smart Search'!$L$5)),OR(TRIM('Smart Search'!$L$6)="",TRIM('Smart Search'!$L$6)="All",ISNUMBER(SEARCH(SUBSTITUTE(SUBSTITUTE(SUBSTITUTE(TRIM('Smart Search'!$L$6),"~","~~"),"*","~*"),"?","~?"),'Project Database'!C197))),OR('Smart Search'!$L$7="",AND('Project Database'!E197&lt;&gt;"",'Project Database'!E197='Smart Search'!$L$7)),OR('Smart Search'!$L$8="",'Smart Search'!$L$8="All",TRIM('Project Database'!F197)=TRIM('Smart Search'!$L$8))),IF(BA193="","",BA193+ROW()*0.0000000001),"")</f>
        <v/>
      </c>
      <c r="BI193" s="5" t="str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 t="str">
        <f>IF('Project Database'!A197="","",N('Project Database'!AC197))</f>
        <v/>
      </c>
      <c r="BK193" s="5" t="str">
        <f>IF('Project Database'!A197="","",N('Project Database'!AD197))</f>
        <v/>
      </c>
      <c r="BL193" s="5" t="str">
        <f>IF('Project Database'!A197="","",N('Project Database'!AE197))</f>
        <v/>
      </c>
      <c r="BM193" s="5" t="str">
        <f>IF('Project Database'!A197="","",N('Project Database'!AF197))</f>
        <v/>
      </c>
      <c r="BN193" s="5" t="str">
        <f>IF('Project Database'!A197="","",N('Project Database'!AG197))</f>
        <v/>
      </c>
      <c r="BO193" s="5" t="str">
        <f>IF('Project Database'!A197="","",N('Project Database'!AH197))</f>
        <v/>
      </c>
      <c r="BP193" s="5" t="str">
        <f>IF('Project Database'!A197="","",N('Project Database'!AI197))</f>
        <v/>
      </c>
      <c r="BQ193" s="5" t="str">
        <f>IF('Project Database'!A197="","",N('Project Database'!AJ197))</f>
        <v/>
      </c>
      <c r="BR193" s="5" t="str">
        <f>IF('Project Database'!A197="","",N('Project Database'!AK197))</f>
        <v/>
      </c>
      <c r="BS193" s="5" t="str">
        <f>IF('Project Database'!A197="","",N('Project Database'!AL197))</f>
        <v/>
      </c>
      <c r="BT193" s="5" t="str">
        <f>IF('Project Database'!A197="","",N('Project Database'!AM197))</f>
        <v/>
      </c>
      <c r="BU193" s="5" t="str">
        <f>IF('Project Database'!A197="","",N('Project Database'!AN197))</f>
        <v/>
      </c>
      <c r="BV193" s="5" t="str">
        <f>IF('Project Database'!A197="","",N('Project Database'!AO197))</f>
        <v/>
      </c>
      <c r="BW193" s="5" t="str">
        <f>IF('Project Database'!A197="","",N('Project Database'!AP197))</f>
        <v/>
      </c>
      <c r="BX193" s="5">
        <f t="shared" si="40"/>
        <v>0</v>
      </c>
      <c r="BY193" s="5">
        <f t="shared" si="41"/>
        <v>0</v>
      </c>
    </row>
    <row r="194" spans="1:77" ht="15" customHeight="1" x14ac:dyDescent="0.3">
      <c r="A194" s="66">
        <f>'Project Database'!A198</f>
        <v>0</v>
      </c>
      <c r="B194" s="66">
        <f>'Project Database'!B198</f>
        <v>0</v>
      </c>
      <c r="C194" s="66">
        <f>'Project Database'!G198</f>
        <v>0</v>
      </c>
      <c r="D194" s="66">
        <f>'Project Database'!H198</f>
        <v>0</v>
      </c>
      <c r="E194" s="66">
        <f>'Project Database'!I198</f>
        <v>0</v>
      </c>
      <c r="F194" s="66">
        <f>'Project Database'!J198</f>
        <v>0</v>
      </c>
      <c r="G194" s="66">
        <f>'Project Database'!K198</f>
        <v>0</v>
      </c>
      <c r="H194" s="66">
        <f>'Project Database'!L198</f>
        <v>0</v>
      </c>
      <c r="I194" s="66">
        <f>'Project Database'!M198</f>
        <v>0</v>
      </c>
      <c r="J194" s="66">
        <f>'Project Database'!N198</f>
        <v>0</v>
      </c>
      <c r="K194" s="66">
        <f>'Project Database'!O198</f>
        <v>0</v>
      </c>
      <c r="L194" s="66">
        <f>'Project Database'!P198</f>
        <v>0</v>
      </c>
      <c r="M194" s="66">
        <f>'Project Database'!Q198</f>
        <v>0</v>
      </c>
      <c r="N194" s="66">
        <f>'Project Database'!R198</f>
        <v>0</v>
      </c>
      <c r="O194" s="66">
        <f>'Project Database'!S198</f>
        <v>0</v>
      </c>
      <c r="P194" s="66">
        <f>'Project Database'!T198</f>
        <v>0</v>
      </c>
      <c r="Q194" s="66">
        <f>'Project Database'!U198</f>
        <v>0</v>
      </c>
      <c r="R194" s="66">
        <f>'Project Database'!V198</f>
        <v>0</v>
      </c>
      <c r="S194" s="66">
        <f>'Project Database'!W198</f>
        <v>0</v>
      </c>
      <c r="T194" s="66">
        <f>'Project Database'!X198</f>
        <v>0</v>
      </c>
      <c r="U194" s="67">
        <f>'Project Database'!Y198</f>
        <v>0</v>
      </c>
      <c r="V194" s="66">
        <f>IF('Smart Search'!B13=1,IFERROR(1/'Smart Search'!H13,0),0)</f>
        <v>0</v>
      </c>
      <c r="W194" s="66">
        <f>IF('Smart Search'!B13=1,IFERROR(1/'Smart Search'!H13,0),0)</f>
        <v>0</v>
      </c>
      <c r="X194" s="66">
        <f>IF('Smart Search'!C13=1,IFERROR(1/'Smart Search'!H13,0),0)</f>
        <v>0.5</v>
      </c>
      <c r="Y194" s="66">
        <f>IF('Smart Search'!C13=1,IFERROR(1/'Smart Search'!H13,0),0)</f>
        <v>0.5</v>
      </c>
      <c r="Z194" s="66">
        <f>IF('Smart Search'!D13=1,IFERROR(1/'Smart Search'!H13,0),0)</f>
        <v>0</v>
      </c>
      <c r="AA194" s="66">
        <f>IF('Smart Search'!D13=1,IFERROR(1/'Smart Search'!H13,0),0)</f>
        <v>0</v>
      </c>
      <c r="AB194" s="66">
        <f>IF('Smart Search'!E13=1,IFERROR(1/'Smart Search'!H13,0),0)</f>
        <v>0</v>
      </c>
      <c r="AC194" s="66">
        <f>IF('Smart Search'!E13=1,IFERROR(1/'Smart Search'!H13,0),0)</f>
        <v>0</v>
      </c>
      <c r="AD194" s="66">
        <f>IF('Smart Search'!F13=1,IFERROR(1/'Smart Search'!H13,0),0)</f>
        <v>0</v>
      </c>
      <c r="AE194" s="66">
        <f>IF('Smart Search'!F13=1,IFERROR(1/'Smart Search'!H13,0),0)</f>
        <v>0</v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>0</v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>0</v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>0</v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>0</v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>0</v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>0</v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>0</v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>0</v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>0</v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>0</v>
      </c>
      <c r="AP194" s="66">
        <f t="shared" ref="AP194:AP257" si="42">AF194*V194</f>
        <v>0</v>
      </c>
      <c r="AQ194" s="66">
        <f t="shared" ref="AQ194:AQ257" si="43">AG194*W194</f>
        <v>0</v>
      </c>
      <c r="AR194" s="66">
        <f t="shared" ref="AR194:AR257" si="44">AH194*X194</f>
        <v>0</v>
      </c>
      <c r="AS194" s="66">
        <f t="shared" ref="AS194:AS257" si="45">AI194*Y194</f>
        <v>0</v>
      </c>
      <c r="AT194" s="66">
        <f t="shared" ref="AT194:AT257" si="46">AJ194*Z194</f>
        <v>0</v>
      </c>
      <c r="AU194" s="66">
        <f t="shared" ref="AU194:AU257" si="47">AK194*AA194</f>
        <v>0</v>
      </c>
      <c r="AV194" s="66">
        <f t="shared" ref="AV194:AV257" si="48">AL194*AB194</f>
        <v>0</v>
      </c>
      <c r="AW194" s="66">
        <f t="shared" ref="AW194:AW257" si="49">AM194*AC194</f>
        <v>0</v>
      </c>
      <c r="AX194" s="66">
        <f t="shared" ref="AX194:AX257" si="50">AN194*AD194</f>
        <v>0</v>
      </c>
      <c r="AY194" s="66">
        <f t="shared" ref="AY194:AY257" si="51">AO194*AE194</f>
        <v>0</v>
      </c>
      <c r="AZ194" s="66">
        <f>'Project Database'!Z198</f>
        <v>0</v>
      </c>
      <c r="BA194" s="66">
        <f>IF(OR(A194="",'Smart Search'!H13=0),"",MAX(0,BE194*BF194*MAX(0,1-BG194)))</f>
        <v>0</v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>0</v>
      </c>
      <c r="BC194" s="66">
        <f>IF('Smart Search'!G13=1,IFERROR(1/'Smart Search'!H13,0),0)</f>
        <v>0</v>
      </c>
      <c r="BD194" s="66">
        <f t="shared" ref="BD194:BD257" si="52">BB194*BC194</f>
        <v>0</v>
      </c>
      <c r="BE194" s="66">
        <f t="shared" ref="BE194:BE257" si="53">AP194+AQ194+AR194+AS194+AT194+AU194+AV194+AW194+AX194+AY194+BD194</f>
        <v>0</v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>0</v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>0</v>
      </c>
      <c r="BH194" s="5" t="str">
        <f>IF(AND('Project Database'!A198&lt;&gt;"",OR('Smart Search'!$L$5="",'Smart Search'!$L$5="All",TRIM('Project Database'!D198)=TRIM('Smart Search'!$L$5)),OR(TRIM('Smart Search'!$L$6)="",TRIM('Smart Search'!$L$6)="All",ISNUMBER(SEARCH(SUBSTITUTE(SUBSTITUTE(SUBSTITUTE(TRIM('Smart Search'!$L$6),"~","~~"),"*","~*"),"?","~?"),'Project Database'!C198))),OR('Smart Search'!$L$7="",AND('Project Database'!E198&lt;&gt;"",'Project Database'!E198='Smart Search'!$L$7)),OR('Smart Search'!$L$8="",'Smart Search'!$L$8="All",TRIM('Project Database'!F198)=TRIM('Smart Search'!$L$8))),IF(BA194="","",BA194+ROW()*0.0000000001),"")</f>
        <v/>
      </c>
      <c r="BI194" s="5" t="str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 t="str">
        <f>IF('Project Database'!A198="","",N('Project Database'!AC198))</f>
        <v/>
      </c>
      <c r="BK194" s="5" t="str">
        <f>IF('Project Database'!A198="","",N('Project Database'!AD198))</f>
        <v/>
      </c>
      <c r="BL194" s="5" t="str">
        <f>IF('Project Database'!A198="","",N('Project Database'!AE198))</f>
        <v/>
      </c>
      <c r="BM194" s="5" t="str">
        <f>IF('Project Database'!A198="","",N('Project Database'!AF198))</f>
        <v/>
      </c>
      <c r="BN194" s="5" t="str">
        <f>IF('Project Database'!A198="","",N('Project Database'!AG198))</f>
        <v/>
      </c>
      <c r="BO194" s="5" t="str">
        <f>IF('Project Database'!A198="","",N('Project Database'!AH198))</f>
        <v/>
      </c>
      <c r="BP194" s="5" t="str">
        <f>IF('Project Database'!A198="","",N('Project Database'!AI198))</f>
        <v/>
      </c>
      <c r="BQ194" s="5" t="str">
        <f>IF('Project Database'!A198="","",N('Project Database'!AJ198))</f>
        <v/>
      </c>
      <c r="BR194" s="5" t="str">
        <f>IF('Project Database'!A198="","",N('Project Database'!AK198))</f>
        <v/>
      </c>
      <c r="BS194" s="5" t="str">
        <f>IF('Project Database'!A198="","",N('Project Database'!AL198))</f>
        <v/>
      </c>
      <c r="BT194" s="5" t="str">
        <f>IF('Project Database'!A198="","",N('Project Database'!AM198))</f>
        <v/>
      </c>
      <c r="BU194" s="5" t="str">
        <f>IF('Project Database'!A198="","",N('Project Database'!AN198))</f>
        <v/>
      </c>
      <c r="BV194" s="5" t="str">
        <f>IF('Project Database'!A198="","",N('Project Database'!AO198))</f>
        <v/>
      </c>
      <c r="BW194" s="5" t="str">
        <f>IF('Project Database'!A198="","",N('Project Database'!AP198))</f>
        <v/>
      </c>
      <c r="BX194" s="5">
        <f t="shared" ref="BX194:BX257" si="54">IF(A194="","",SUM(BJ194:BW194))</f>
        <v>0</v>
      </c>
      <c r="BY194" s="5">
        <f t="shared" ref="BY194:BY257" si="55">IF(A194="","",IFERROR(IF(ISNUMBER(U194),U194,VALUE(SUBSTITUTE(SUBSTITUTE(SUBSTITUTE(UPPER(TRIM(U194)),"M",""),",","")," ",""))),0))</f>
        <v>0</v>
      </c>
    </row>
    <row r="195" spans="1:77" ht="15" customHeight="1" x14ac:dyDescent="0.3">
      <c r="A195" s="66">
        <f>'Project Database'!A199</f>
        <v>0</v>
      </c>
      <c r="B195" s="66">
        <f>'Project Database'!B199</f>
        <v>0</v>
      </c>
      <c r="C195" s="66">
        <f>'Project Database'!G199</f>
        <v>0</v>
      </c>
      <c r="D195" s="66">
        <f>'Project Database'!H199</f>
        <v>0</v>
      </c>
      <c r="E195" s="66">
        <f>'Project Database'!I199</f>
        <v>0</v>
      </c>
      <c r="F195" s="66">
        <f>'Project Database'!J199</f>
        <v>0</v>
      </c>
      <c r="G195" s="66">
        <f>'Project Database'!K199</f>
        <v>0</v>
      </c>
      <c r="H195" s="66">
        <f>'Project Database'!L199</f>
        <v>0</v>
      </c>
      <c r="I195" s="66">
        <f>'Project Database'!M199</f>
        <v>0</v>
      </c>
      <c r="J195" s="66">
        <f>'Project Database'!N199</f>
        <v>0</v>
      </c>
      <c r="K195" s="66">
        <f>'Project Database'!O199</f>
        <v>0</v>
      </c>
      <c r="L195" s="66">
        <f>'Project Database'!P199</f>
        <v>0</v>
      </c>
      <c r="M195" s="66">
        <f>'Project Database'!Q199</f>
        <v>0</v>
      </c>
      <c r="N195" s="66">
        <f>'Project Database'!R199</f>
        <v>0</v>
      </c>
      <c r="O195" s="66">
        <f>'Project Database'!S199</f>
        <v>0</v>
      </c>
      <c r="P195" s="66">
        <f>'Project Database'!T199</f>
        <v>0</v>
      </c>
      <c r="Q195" s="66">
        <f>'Project Database'!U199</f>
        <v>0</v>
      </c>
      <c r="R195" s="66">
        <f>'Project Database'!V199</f>
        <v>0</v>
      </c>
      <c r="S195" s="66">
        <f>'Project Database'!W199</f>
        <v>0</v>
      </c>
      <c r="T195" s="66">
        <f>'Project Database'!X199</f>
        <v>0</v>
      </c>
      <c r="U195" s="67">
        <f>'Project Database'!Y199</f>
        <v>0</v>
      </c>
      <c r="V195" s="66">
        <f>IF('Smart Search'!B13=1,IFERROR(1/'Smart Search'!H13,0),0)</f>
        <v>0</v>
      </c>
      <c r="W195" s="66">
        <f>IF('Smart Search'!B13=1,IFERROR(1/'Smart Search'!H13,0),0)</f>
        <v>0</v>
      </c>
      <c r="X195" s="66">
        <f>IF('Smart Search'!C13=1,IFERROR(1/'Smart Search'!H13,0),0)</f>
        <v>0.5</v>
      </c>
      <c r="Y195" s="66">
        <f>IF('Smart Search'!C13=1,IFERROR(1/'Smart Search'!H13,0),0)</f>
        <v>0.5</v>
      </c>
      <c r="Z195" s="66">
        <f>IF('Smart Search'!D13=1,IFERROR(1/'Smart Search'!H13,0),0)</f>
        <v>0</v>
      </c>
      <c r="AA195" s="66">
        <f>IF('Smart Search'!D13=1,IFERROR(1/'Smart Search'!H13,0),0)</f>
        <v>0</v>
      </c>
      <c r="AB195" s="66">
        <f>IF('Smart Search'!E13=1,IFERROR(1/'Smart Search'!H13,0),0)</f>
        <v>0</v>
      </c>
      <c r="AC195" s="66">
        <f>IF('Smart Search'!E13=1,IFERROR(1/'Smart Search'!H13,0),0)</f>
        <v>0</v>
      </c>
      <c r="AD195" s="66">
        <f>IF('Smart Search'!F13=1,IFERROR(1/'Smart Search'!H13,0),0)</f>
        <v>0</v>
      </c>
      <c r="AE195" s="66">
        <f>IF('Smart Search'!F13=1,IFERROR(1/'Smart Search'!H13,0),0)</f>
        <v>0</v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>0</v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>0</v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>0</v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>0</v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>0</v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>0</v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>0</v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>0</v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>0</v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>0</v>
      </c>
      <c r="AP195" s="66">
        <f t="shared" si="42"/>
        <v>0</v>
      </c>
      <c r="AQ195" s="66">
        <f t="shared" si="43"/>
        <v>0</v>
      </c>
      <c r="AR195" s="66">
        <f t="shared" si="44"/>
        <v>0</v>
      </c>
      <c r="AS195" s="66">
        <f t="shared" si="45"/>
        <v>0</v>
      </c>
      <c r="AT195" s="66">
        <f t="shared" si="46"/>
        <v>0</v>
      </c>
      <c r="AU195" s="66">
        <f t="shared" si="47"/>
        <v>0</v>
      </c>
      <c r="AV195" s="66">
        <f t="shared" si="48"/>
        <v>0</v>
      </c>
      <c r="AW195" s="66">
        <f t="shared" si="49"/>
        <v>0</v>
      </c>
      <c r="AX195" s="66">
        <f t="shared" si="50"/>
        <v>0</v>
      </c>
      <c r="AY195" s="66">
        <f t="shared" si="51"/>
        <v>0</v>
      </c>
      <c r="AZ195" s="66">
        <f>'Project Database'!Z199</f>
        <v>0</v>
      </c>
      <c r="BA195" s="66">
        <f>IF(OR(A195="",'Smart Search'!H13=0),"",MAX(0,BE195*BF195*MAX(0,1-BG195)))</f>
        <v>0</v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>0</v>
      </c>
      <c r="BC195" s="66">
        <f>IF('Smart Search'!G13=1,IFERROR(1/'Smart Search'!H13,0),0)</f>
        <v>0</v>
      </c>
      <c r="BD195" s="66">
        <f t="shared" si="52"/>
        <v>0</v>
      </c>
      <c r="BE195" s="66">
        <f t="shared" si="53"/>
        <v>0</v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>0</v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>0</v>
      </c>
      <c r="BH195" s="5" t="str">
        <f>IF(AND('Project Database'!A199&lt;&gt;"",OR('Smart Search'!$L$5="",'Smart Search'!$L$5="All",TRIM('Project Database'!D199)=TRIM('Smart Search'!$L$5)),OR(TRIM('Smart Search'!$L$6)="",TRIM('Smart Search'!$L$6)="All",ISNUMBER(SEARCH(SUBSTITUTE(SUBSTITUTE(SUBSTITUTE(TRIM('Smart Search'!$L$6),"~","~~"),"*","~*"),"?","~?"),'Project Database'!C199))),OR('Smart Search'!$L$7="",AND('Project Database'!E199&lt;&gt;"",'Project Database'!E199='Smart Search'!$L$7)),OR('Smart Search'!$L$8="",'Smart Search'!$L$8="All",TRIM('Project Database'!F199)=TRIM('Smart Search'!$L$8))),IF(BA195="","",BA195+ROW()*0.0000000001),"")</f>
        <v/>
      </c>
      <c r="BI195" s="5" t="str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 t="str">
        <f>IF('Project Database'!A199="","",N('Project Database'!AC199))</f>
        <v/>
      </c>
      <c r="BK195" s="5" t="str">
        <f>IF('Project Database'!A199="","",N('Project Database'!AD199))</f>
        <v/>
      </c>
      <c r="BL195" s="5" t="str">
        <f>IF('Project Database'!A199="","",N('Project Database'!AE199))</f>
        <v/>
      </c>
      <c r="BM195" s="5" t="str">
        <f>IF('Project Database'!A199="","",N('Project Database'!AF199))</f>
        <v/>
      </c>
      <c r="BN195" s="5" t="str">
        <f>IF('Project Database'!A199="","",N('Project Database'!AG199))</f>
        <v/>
      </c>
      <c r="BO195" s="5" t="str">
        <f>IF('Project Database'!A199="","",N('Project Database'!AH199))</f>
        <v/>
      </c>
      <c r="BP195" s="5" t="str">
        <f>IF('Project Database'!A199="","",N('Project Database'!AI199))</f>
        <v/>
      </c>
      <c r="BQ195" s="5" t="str">
        <f>IF('Project Database'!A199="","",N('Project Database'!AJ199))</f>
        <v/>
      </c>
      <c r="BR195" s="5" t="str">
        <f>IF('Project Database'!A199="","",N('Project Database'!AK199))</f>
        <v/>
      </c>
      <c r="BS195" s="5" t="str">
        <f>IF('Project Database'!A199="","",N('Project Database'!AL199))</f>
        <v/>
      </c>
      <c r="BT195" s="5" t="str">
        <f>IF('Project Database'!A199="","",N('Project Database'!AM199))</f>
        <v/>
      </c>
      <c r="BU195" s="5" t="str">
        <f>IF('Project Database'!A199="","",N('Project Database'!AN199))</f>
        <v/>
      </c>
      <c r="BV195" s="5" t="str">
        <f>IF('Project Database'!A199="","",N('Project Database'!AO199))</f>
        <v/>
      </c>
      <c r="BW195" s="5" t="str">
        <f>IF('Project Database'!A199="","",N('Project Database'!AP199))</f>
        <v/>
      </c>
      <c r="BX195" s="5">
        <f t="shared" si="54"/>
        <v>0</v>
      </c>
      <c r="BY195" s="5">
        <f t="shared" si="55"/>
        <v>0</v>
      </c>
    </row>
    <row r="196" spans="1:77" ht="15" customHeight="1" x14ac:dyDescent="0.3">
      <c r="A196" s="66">
        <f>'Project Database'!A200</f>
        <v>0</v>
      </c>
      <c r="B196" s="66">
        <f>'Project Database'!B200</f>
        <v>0</v>
      </c>
      <c r="C196" s="66">
        <f>'Project Database'!G200</f>
        <v>0</v>
      </c>
      <c r="D196" s="66">
        <f>'Project Database'!H200</f>
        <v>0</v>
      </c>
      <c r="E196" s="66">
        <f>'Project Database'!I200</f>
        <v>0</v>
      </c>
      <c r="F196" s="66">
        <f>'Project Database'!J200</f>
        <v>0</v>
      </c>
      <c r="G196" s="66">
        <f>'Project Database'!K200</f>
        <v>0</v>
      </c>
      <c r="H196" s="66">
        <f>'Project Database'!L200</f>
        <v>0</v>
      </c>
      <c r="I196" s="66">
        <f>'Project Database'!M200</f>
        <v>0</v>
      </c>
      <c r="J196" s="66">
        <f>'Project Database'!N200</f>
        <v>0</v>
      </c>
      <c r="K196" s="66">
        <f>'Project Database'!O200</f>
        <v>0</v>
      </c>
      <c r="L196" s="66">
        <f>'Project Database'!P200</f>
        <v>0</v>
      </c>
      <c r="M196" s="66">
        <f>'Project Database'!Q200</f>
        <v>0</v>
      </c>
      <c r="N196" s="66">
        <f>'Project Database'!R200</f>
        <v>0</v>
      </c>
      <c r="O196" s="66">
        <f>'Project Database'!S200</f>
        <v>0</v>
      </c>
      <c r="P196" s="66">
        <f>'Project Database'!T200</f>
        <v>0</v>
      </c>
      <c r="Q196" s="66">
        <f>'Project Database'!U200</f>
        <v>0</v>
      </c>
      <c r="R196" s="66">
        <f>'Project Database'!V200</f>
        <v>0</v>
      </c>
      <c r="S196" s="66">
        <f>'Project Database'!W200</f>
        <v>0</v>
      </c>
      <c r="T196" s="66">
        <f>'Project Database'!X200</f>
        <v>0</v>
      </c>
      <c r="U196" s="67">
        <f>'Project Database'!Y200</f>
        <v>0</v>
      </c>
      <c r="V196" s="66">
        <f>IF('Smart Search'!B13=1,IFERROR(1/'Smart Search'!H13,0),0)</f>
        <v>0</v>
      </c>
      <c r="W196" s="66">
        <f>IF('Smart Search'!B13=1,IFERROR(1/'Smart Search'!H13,0),0)</f>
        <v>0</v>
      </c>
      <c r="X196" s="66">
        <f>IF('Smart Search'!C13=1,IFERROR(1/'Smart Search'!H13,0),0)</f>
        <v>0.5</v>
      </c>
      <c r="Y196" s="66">
        <f>IF('Smart Search'!C13=1,IFERROR(1/'Smart Search'!H13,0),0)</f>
        <v>0.5</v>
      </c>
      <c r="Z196" s="66">
        <f>IF('Smart Search'!D13=1,IFERROR(1/'Smart Search'!H13,0),0)</f>
        <v>0</v>
      </c>
      <c r="AA196" s="66">
        <f>IF('Smart Search'!D13=1,IFERROR(1/'Smart Search'!H13,0),0)</f>
        <v>0</v>
      </c>
      <c r="AB196" s="66">
        <f>IF('Smart Search'!E13=1,IFERROR(1/'Smart Search'!H13,0),0)</f>
        <v>0</v>
      </c>
      <c r="AC196" s="66">
        <f>IF('Smart Search'!E13=1,IFERROR(1/'Smart Search'!H13,0),0)</f>
        <v>0</v>
      </c>
      <c r="AD196" s="66">
        <f>IF('Smart Search'!F13=1,IFERROR(1/'Smart Search'!H13,0),0)</f>
        <v>0</v>
      </c>
      <c r="AE196" s="66">
        <f>IF('Smart Search'!F13=1,IFERROR(1/'Smart Search'!H13,0),0)</f>
        <v>0</v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>0</v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>0</v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>0</v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>0</v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>0</v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>0</v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>0</v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>0</v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>0</v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>0</v>
      </c>
      <c r="AP196" s="66">
        <f t="shared" si="42"/>
        <v>0</v>
      </c>
      <c r="AQ196" s="66">
        <f t="shared" si="43"/>
        <v>0</v>
      </c>
      <c r="AR196" s="66">
        <f t="shared" si="44"/>
        <v>0</v>
      </c>
      <c r="AS196" s="66">
        <f t="shared" si="45"/>
        <v>0</v>
      </c>
      <c r="AT196" s="66">
        <f t="shared" si="46"/>
        <v>0</v>
      </c>
      <c r="AU196" s="66">
        <f t="shared" si="47"/>
        <v>0</v>
      </c>
      <c r="AV196" s="66">
        <f t="shared" si="48"/>
        <v>0</v>
      </c>
      <c r="AW196" s="66">
        <f t="shared" si="49"/>
        <v>0</v>
      </c>
      <c r="AX196" s="66">
        <f t="shared" si="50"/>
        <v>0</v>
      </c>
      <c r="AY196" s="66">
        <f t="shared" si="51"/>
        <v>0</v>
      </c>
      <c r="AZ196" s="66">
        <f>'Project Database'!Z200</f>
        <v>0</v>
      </c>
      <c r="BA196" s="66">
        <f>IF(OR(A196="",'Smart Search'!H13=0),"",MAX(0,BE196*BF196*MAX(0,1-BG196)))</f>
        <v>0</v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>0</v>
      </c>
      <c r="BC196" s="66">
        <f>IF('Smart Search'!G13=1,IFERROR(1/'Smart Search'!H13,0),0)</f>
        <v>0</v>
      </c>
      <c r="BD196" s="66">
        <f t="shared" si="52"/>
        <v>0</v>
      </c>
      <c r="BE196" s="66">
        <f t="shared" si="53"/>
        <v>0</v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>0</v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>0</v>
      </c>
      <c r="BH196" s="5" t="str">
        <f>IF(AND('Project Database'!A200&lt;&gt;"",OR('Smart Search'!$L$5="",'Smart Search'!$L$5="All",TRIM('Project Database'!D200)=TRIM('Smart Search'!$L$5)),OR(TRIM('Smart Search'!$L$6)="",TRIM('Smart Search'!$L$6)="All",ISNUMBER(SEARCH(SUBSTITUTE(SUBSTITUTE(SUBSTITUTE(TRIM('Smart Search'!$L$6),"~","~~"),"*","~*"),"?","~?"),'Project Database'!C200))),OR('Smart Search'!$L$7="",AND('Project Database'!E200&lt;&gt;"",'Project Database'!E200='Smart Search'!$L$7)),OR('Smart Search'!$L$8="",'Smart Search'!$L$8="All",TRIM('Project Database'!F200)=TRIM('Smart Search'!$L$8))),IF(BA196="","",BA196+ROW()*0.0000000001),"")</f>
        <v/>
      </c>
      <c r="BI196" s="5" t="str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 t="str">
        <f>IF('Project Database'!A200="","",N('Project Database'!AC200))</f>
        <v/>
      </c>
      <c r="BK196" s="5" t="str">
        <f>IF('Project Database'!A200="","",N('Project Database'!AD200))</f>
        <v/>
      </c>
      <c r="BL196" s="5" t="str">
        <f>IF('Project Database'!A200="","",N('Project Database'!AE200))</f>
        <v/>
      </c>
      <c r="BM196" s="5" t="str">
        <f>IF('Project Database'!A200="","",N('Project Database'!AF200))</f>
        <v/>
      </c>
      <c r="BN196" s="5" t="str">
        <f>IF('Project Database'!A200="","",N('Project Database'!AG200))</f>
        <v/>
      </c>
      <c r="BO196" s="5" t="str">
        <f>IF('Project Database'!A200="","",N('Project Database'!AH200))</f>
        <v/>
      </c>
      <c r="BP196" s="5" t="str">
        <f>IF('Project Database'!A200="","",N('Project Database'!AI200))</f>
        <v/>
      </c>
      <c r="BQ196" s="5" t="str">
        <f>IF('Project Database'!A200="","",N('Project Database'!AJ200))</f>
        <v/>
      </c>
      <c r="BR196" s="5" t="str">
        <f>IF('Project Database'!A200="","",N('Project Database'!AK200))</f>
        <v/>
      </c>
      <c r="BS196" s="5" t="str">
        <f>IF('Project Database'!A200="","",N('Project Database'!AL200))</f>
        <v/>
      </c>
      <c r="BT196" s="5" t="str">
        <f>IF('Project Database'!A200="","",N('Project Database'!AM200))</f>
        <v/>
      </c>
      <c r="BU196" s="5" t="str">
        <f>IF('Project Database'!A200="","",N('Project Database'!AN200))</f>
        <v/>
      </c>
      <c r="BV196" s="5" t="str">
        <f>IF('Project Database'!A200="","",N('Project Database'!AO200))</f>
        <v/>
      </c>
      <c r="BW196" s="5" t="str">
        <f>IF('Project Database'!A200="","",N('Project Database'!AP200))</f>
        <v/>
      </c>
      <c r="BX196" s="5">
        <f t="shared" si="54"/>
        <v>0</v>
      </c>
      <c r="BY196" s="5">
        <f t="shared" si="55"/>
        <v>0</v>
      </c>
    </row>
    <row r="197" spans="1:77" ht="15" customHeight="1" x14ac:dyDescent="0.3">
      <c r="A197" s="66">
        <f>'Project Database'!A201</f>
        <v>0</v>
      </c>
      <c r="B197" s="66">
        <f>'Project Database'!B201</f>
        <v>0</v>
      </c>
      <c r="C197" s="66">
        <f>'Project Database'!G201</f>
        <v>0</v>
      </c>
      <c r="D197" s="66">
        <f>'Project Database'!H201</f>
        <v>0</v>
      </c>
      <c r="E197" s="66">
        <f>'Project Database'!I201</f>
        <v>0</v>
      </c>
      <c r="F197" s="66">
        <f>'Project Database'!J201</f>
        <v>0</v>
      </c>
      <c r="G197" s="66">
        <f>'Project Database'!K201</f>
        <v>0</v>
      </c>
      <c r="H197" s="66">
        <f>'Project Database'!L201</f>
        <v>0</v>
      </c>
      <c r="I197" s="66">
        <f>'Project Database'!M201</f>
        <v>0</v>
      </c>
      <c r="J197" s="66">
        <f>'Project Database'!N201</f>
        <v>0</v>
      </c>
      <c r="K197" s="66">
        <f>'Project Database'!O201</f>
        <v>0</v>
      </c>
      <c r="L197" s="66">
        <f>'Project Database'!P201</f>
        <v>0</v>
      </c>
      <c r="M197" s="66">
        <f>'Project Database'!Q201</f>
        <v>0</v>
      </c>
      <c r="N197" s="66">
        <f>'Project Database'!R201</f>
        <v>0</v>
      </c>
      <c r="O197" s="66">
        <f>'Project Database'!S201</f>
        <v>0</v>
      </c>
      <c r="P197" s="66">
        <f>'Project Database'!T201</f>
        <v>0</v>
      </c>
      <c r="Q197" s="66">
        <f>'Project Database'!U201</f>
        <v>0</v>
      </c>
      <c r="R197" s="66">
        <f>'Project Database'!V201</f>
        <v>0</v>
      </c>
      <c r="S197" s="66">
        <f>'Project Database'!W201</f>
        <v>0</v>
      </c>
      <c r="T197" s="66">
        <f>'Project Database'!X201</f>
        <v>0</v>
      </c>
      <c r="U197" s="67">
        <f>'Project Database'!Y201</f>
        <v>0</v>
      </c>
      <c r="V197" s="66">
        <f>IF('Smart Search'!B13=1,IFERROR(1/'Smart Search'!H13,0),0)</f>
        <v>0</v>
      </c>
      <c r="W197" s="66">
        <f>IF('Smart Search'!B13=1,IFERROR(1/'Smart Search'!H13,0),0)</f>
        <v>0</v>
      </c>
      <c r="X197" s="66">
        <f>IF('Smart Search'!C13=1,IFERROR(1/'Smart Search'!H13,0),0)</f>
        <v>0.5</v>
      </c>
      <c r="Y197" s="66">
        <f>IF('Smart Search'!C13=1,IFERROR(1/'Smart Search'!H13,0),0)</f>
        <v>0.5</v>
      </c>
      <c r="Z197" s="66">
        <f>IF('Smart Search'!D13=1,IFERROR(1/'Smart Search'!H13,0),0)</f>
        <v>0</v>
      </c>
      <c r="AA197" s="66">
        <f>IF('Smart Search'!D13=1,IFERROR(1/'Smart Search'!H13,0),0)</f>
        <v>0</v>
      </c>
      <c r="AB197" s="66">
        <f>IF('Smart Search'!E13=1,IFERROR(1/'Smart Search'!H13,0),0)</f>
        <v>0</v>
      </c>
      <c r="AC197" s="66">
        <f>IF('Smart Search'!E13=1,IFERROR(1/'Smart Search'!H13,0),0)</f>
        <v>0</v>
      </c>
      <c r="AD197" s="66">
        <f>IF('Smart Search'!F13=1,IFERROR(1/'Smart Search'!H13,0),0)</f>
        <v>0</v>
      </c>
      <c r="AE197" s="66">
        <f>IF('Smart Search'!F13=1,IFERROR(1/'Smart Search'!H13,0),0)</f>
        <v>0</v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>0</v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>0</v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>0</v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>0</v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>0</v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>0</v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>0</v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>0</v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>0</v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>0</v>
      </c>
      <c r="AP197" s="66">
        <f t="shared" si="42"/>
        <v>0</v>
      </c>
      <c r="AQ197" s="66">
        <f t="shared" si="43"/>
        <v>0</v>
      </c>
      <c r="AR197" s="66">
        <f t="shared" si="44"/>
        <v>0</v>
      </c>
      <c r="AS197" s="66">
        <f t="shared" si="45"/>
        <v>0</v>
      </c>
      <c r="AT197" s="66">
        <f t="shared" si="46"/>
        <v>0</v>
      </c>
      <c r="AU197" s="66">
        <f t="shared" si="47"/>
        <v>0</v>
      </c>
      <c r="AV197" s="66">
        <f t="shared" si="48"/>
        <v>0</v>
      </c>
      <c r="AW197" s="66">
        <f t="shared" si="49"/>
        <v>0</v>
      </c>
      <c r="AX197" s="66">
        <f t="shared" si="50"/>
        <v>0</v>
      </c>
      <c r="AY197" s="66">
        <f t="shared" si="51"/>
        <v>0</v>
      </c>
      <c r="AZ197" s="66">
        <f>'Project Database'!Z201</f>
        <v>0</v>
      </c>
      <c r="BA197" s="66">
        <f>IF(OR(A197="",'Smart Search'!H13=0),"",MAX(0,BE197*BF197*MAX(0,1-BG197)))</f>
        <v>0</v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>0</v>
      </c>
      <c r="BC197" s="66">
        <f>IF('Smart Search'!G13=1,IFERROR(1/'Smart Search'!H13,0),0)</f>
        <v>0</v>
      </c>
      <c r="BD197" s="66">
        <f t="shared" si="52"/>
        <v>0</v>
      </c>
      <c r="BE197" s="66">
        <f t="shared" si="53"/>
        <v>0</v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>0</v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>0</v>
      </c>
      <c r="BH197" s="5" t="str">
        <f>IF(AND('Project Database'!A201&lt;&gt;"",OR('Smart Search'!$L$5="",'Smart Search'!$L$5="All",TRIM('Project Database'!D201)=TRIM('Smart Search'!$L$5)),OR(TRIM('Smart Search'!$L$6)="",TRIM('Smart Search'!$L$6)="All",ISNUMBER(SEARCH(SUBSTITUTE(SUBSTITUTE(SUBSTITUTE(TRIM('Smart Search'!$L$6),"~","~~"),"*","~*"),"?","~?"),'Project Database'!C201))),OR('Smart Search'!$L$7="",AND('Project Database'!E201&lt;&gt;"",'Project Database'!E201='Smart Search'!$L$7)),OR('Smart Search'!$L$8="",'Smart Search'!$L$8="All",TRIM('Project Database'!F201)=TRIM('Smart Search'!$L$8))),IF(BA197="","",BA197+ROW()*0.0000000001),"")</f>
        <v/>
      </c>
      <c r="BI197" s="5" t="str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 t="str">
        <f>IF('Project Database'!A201="","",N('Project Database'!AC201))</f>
        <v/>
      </c>
      <c r="BK197" s="5" t="str">
        <f>IF('Project Database'!A201="","",N('Project Database'!AD201))</f>
        <v/>
      </c>
      <c r="BL197" s="5" t="str">
        <f>IF('Project Database'!A201="","",N('Project Database'!AE201))</f>
        <v/>
      </c>
      <c r="BM197" s="5" t="str">
        <f>IF('Project Database'!A201="","",N('Project Database'!AF201))</f>
        <v/>
      </c>
      <c r="BN197" s="5" t="str">
        <f>IF('Project Database'!A201="","",N('Project Database'!AG201))</f>
        <v/>
      </c>
      <c r="BO197" s="5" t="str">
        <f>IF('Project Database'!A201="","",N('Project Database'!AH201))</f>
        <v/>
      </c>
      <c r="BP197" s="5" t="str">
        <f>IF('Project Database'!A201="","",N('Project Database'!AI201))</f>
        <v/>
      </c>
      <c r="BQ197" s="5" t="str">
        <f>IF('Project Database'!A201="","",N('Project Database'!AJ201))</f>
        <v/>
      </c>
      <c r="BR197" s="5" t="str">
        <f>IF('Project Database'!A201="","",N('Project Database'!AK201))</f>
        <v/>
      </c>
      <c r="BS197" s="5" t="str">
        <f>IF('Project Database'!A201="","",N('Project Database'!AL201))</f>
        <v/>
      </c>
      <c r="BT197" s="5" t="str">
        <f>IF('Project Database'!A201="","",N('Project Database'!AM201))</f>
        <v/>
      </c>
      <c r="BU197" s="5" t="str">
        <f>IF('Project Database'!A201="","",N('Project Database'!AN201))</f>
        <v/>
      </c>
      <c r="BV197" s="5" t="str">
        <f>IF('Project Database'!A201="","",N('Project Database'!AO201))</f>
        <v/>
      </c>
      <c r="BW197" s="5" t="str">
        <f>IF('Project Database'!A201="","",N('Project Database'!AP201))</f>
        <v/>
      </c>
      <c r="BX197" s="5">
        <f t="shared" si="54"/>
        <v>0</v>
      </c>
      <c r="BY197" s="5">
        <f t="shared" si="55"/>
        <v>0</v>
      </c>
    </row>
    <row r="198" spans="1:77" ht="15" customHeight="1" x14ac:dyDescent="0.3">
      <c r="A198" s="66">
        <f>'Project Database'!A202</f>
        <v>0</v>
      </c>
      <c r="B198" s="66">
        <f>'Project Database'!B202</f>
        <v>0</v>
      </c>
      <c r="C198" s="66">
        <f>'Project Database'!G202</f>
        <v>0</v>
      </c>
      <c r="D198" s="66">
        <f>'Project Database'!H202</f>
        <v>0</v>
      </c>
      <c r="E198" s="66">
        <f>'Project Database'!I202</f>
        <v>0</v>
      </c>
      <c r="F198" s="66">
        <f>'Project Database'!J202</f>
        <v>0</v>
      </c>
      <c r="G198" s="66">
        <f>'Project Database'!K202</f>
        <v>0</v>
      </c>
      <c r="H198" s="66">
        <f>'Project Database'!L202</f>
        <v>0</v>
      </c>
      <c r="I198" s="66">
        <f>'Project Database'!M202</f>
        <v>0</v>
      </c>
      <c r="J198" s="66">
        <f>'Project Database'!N202</f>
        <v>0</v>
      </c>
      <c r="K198" s="66">
        <f>'Project Database'!O202</f>
        <v>0</v>
      </c>
      <c r="L198" s="66">
        <f>'Project Database'!P202</f>
        <v>0</v>
      </c>
      <c r="M198" s="66">
        <f>'Project Database'!Q202</f>
        <v>0</v>
      </c>
      <c r="N198" s="66">
        <f>'Project Database'!R202</f>
        <v>0</v>
      </c>
      <c r="O198" s="66">
        <f>'Project Database'!S202</f>
        <v>0</v>
      </c>
      <c r="P198" s="66">
        <f>'Project Database'!T202</f>
        <v>0</v>
      </c>
      <c r="Q198" s="66">
        <f>'Project Database'!U202</f>
        <v>0</v>
      </c>
      <c r="R198" s="66">
        <f>'Project Database'!V202</f>
        <v>0</v>
      </c>
      <c r="S198" s="66">
        <f>'Project Database'!W202</f>
        <v>0</v>
      </c>
      <c r="T198" s="66">
        <f>'Project Database'!X202</f>
        <v>0</v>
      </c>
      <c r="U198" s="67">
        <f>'Project Database'!Y202</f>
        <v>0</v>
      </c>
      <c r="V198" s="66">
        <f>IF('Smart Search'!B13=1,IFERROR(1/'Smart Search'!H13,0),0)</f>
        <v>0</v>
      </c>
      <c r="W198" s="66">
        <f>IF('Smart Search'!B13=1,IFERROR(1/'Smart Search'!H13,0),0)</f>
        <v>0</v>
      </c>
      <c r="X198" s="66">
        <f>IF('Smart Search'!C13=1,IFERROR(1/'Smart Search'!H13,0),0)</f>
        <v>0.5</v>
      </c>
      <c r="Y198" s="66">
        <f>IF('Smart Search'!C13=1,IFERROR(1/'Smart Search'!H13,0),0)</f>
        <v>0.5</v>
      </c>
      <c r="Z198" s="66">
        <f>IF('Smart Search'!D13=1,IFERROR(1/'Smart Search'!H13,0),0)</f>
        <v>0</v>
      </c>
      <c r="AA198" s="66">
        <f>IF('Smart Search'!D13=1,IFERROR(1/'Smart Search'!H13,0),0)</f>
        <v>0</v>
      </c>
      <c r="AB198" s="66">
        <f>IF('Smart Search'!E13=1,IFERROR(1/'Smart Search'!H13,0),0)</f>
        <v>0</v>
      </c>
      <c r="AC198" s="66">
        <f>IF('Smart Search'!E13=1,IFERROR(1/'Smart Search'!H13,0),0)</f>
        <v>0</v>
      </c>
      <c r="AD198" s="66">
        <f>IF('Smart Search'!F13=1,IFERROR(1/'Smart Search'!H13,0),0)</f>
        <v>0</v>
      </c>
      <c r="AE198" s="66">
        <f>IF('Smart Search'!F13=1,IFERROR(1/'Smart Search'!H13,0),0)</f>
        <v>0</v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>0</v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>0</v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>0</v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>0</v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>0</v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>0</v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>0</v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>0</v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>0</v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>0</v>
      </c>
      <c r="AP198" s="66">
        <f t="shared" si="42"/>
        <v>0</v>
      </c>
      <c r="AQ198" s="66">
        <f t="shared" si="43"/>
        <v>0</v>
      </c>
      <c r="AR198" s="66">
        <f t="shared" si="44"/>
        <v>0</v>
      </c>
      <c r="AS198" s="66">
        <f t="shared" si="45"/>
        <v>0</v>
      </c>
      <c r="AT198" s="66">
        <f t="shared" si="46"/>
        <v>0</v>
      </c>
      <c r="AU198" s="66">
        <f t="shared" si="47"/>
        <v>0</v>
      </c>
      <c r="AV198" s="66">
        <f t="shared" si="48"/>
        <v>0</v>
      </c>
      <c r="AW198" s="66">
        <f t="shared" si="49"/>
        <v>0</v>
      </c>
      <c r="AX198" s="66">
        <f t="shared" si="50"/>
        <v>0</v>
      </c>
      <c r="AY198" s="66">
        <f t="shared" si="51"/>
        <v>0</v>
      </c>
      <c r="AZ198" s="66">
        <f>'Project Database'!Z202</f>
        <v>0</v>
      </c>
      <c r="BA198" s="66">
        <f>IF(OR(A198="",'Smart Search'!H13=0),"",MAX(0,BE198*BF198*MAX(0,1-BG198)))</f>
        <v>0</v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>0</v>
      </c>
      <c r="BC198" s="66">
        <f>IF('Smart Search'!G13=1,IFERROR(1/'Smart Search'!H13,0),0)</f>
        <v>0</v>
      </c>
      <c r="BD198" s="66">
        <f t="shared" si="52"/>
        <v>0</v>
      </c>
      <c r="BE198" s="66">
        <f t="shared" si="53"/>
        <v>0</v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>0</v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>0</v>
      </c>
      <c r="BH198" s="5" t="str">
        <f>IF(AND('Project Database'!A202&lt;&gt;"",OR('Smart Search'!$L$5="",'Smart Search'!$L$5="All",TRIM('Project Database'!D202)=TRIM('Smart Search'!$L$5)),OR(TRIM('Smart Search'!$L$6)="",TRIM('Smart Search'!$L$6)="All",ISNUMBER(SEARCH(SUBSTITUTE(SUBSTITUTE(SUBSTITUTE(TRIM('Smart Search'!$L$6),"~","~~"),"*","~*"),"?","~?"),'Project Database'!C202))),OR('Smart Search'!$L$7="",AND('Project Database'!E202&lt;&gt;"",'Project Database'!E202='Smart Search'!$L$7)),OR('Smart Search'!$L$8="",'Smart Search'!$L$8="All",TRIM('Project Database'!F202)=TRIM('Smart Search'!$L$8))),IF(BA198="","",BA198+ROW()*0.0000000001),"")</f>
        <v/>
      </c>
      <c r="BI198" s="5" t="str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 t="str">
        <f>IF('Project Database'!A202="","",N('Project Database'!AC202))</f>
        <v/>
      </c>
      <c r="BK198" s="5" t="str">
        <f>IF('Project Database'!A202="","",N('Project Database'!AD202))</f>
        <v/>
      </c>
      <c r="BL198" s="5" t="str">
        <f>IF('Project Database'!A202="","",N('Project Database'!AE202))</f>
        <v/>
      </c>
      <c r="BM198" s="5" t="str">
        <f>IF('Project Database'!A202="","",N('Project Database'!AF202))</f>
        <v/>
      </c>
      <c r="BN198" s="5" t="str">
        <f>IF('Project Database'!A202="","",N('Project Database'!AG202))</f>
        <v/>
      </c>
      <c r="BO198" s="5" t="str">
        <f>IF('Project Database'!A202="","",N('Project Database'!AH202))</f>
        <v/>
      </c>
      <c r="BP198" s="5" t="str">
        <f>IF('Project Database'!A202="","",N('Project Database'!AI202))</f>
        <v/>
      </c>
      <c r="BQ198" s="5" t="str">
        <f>IF('Project Database'!A202="","",N('Project Database'!AJ202))</f>
        <v/>
      </c>
      <c r="BR198" s="5" t="str">
        <f>IF('Project Database'!A202="","",N('Project Database'!AK202))</f>
        <v/>
      </c>
      <c r="BS198" s="5" t="str">
        <f>IF('Project Database'!A202="","",N('Project Database'!AL202))</f>
        <v/>
      </c>
      <c r="BT198" s="5" t="str">
        <f>IF('Project Database'!A202="","",N('Project Database'!AM202))</f>
        <v/>
      </c>
      <c r="BU198" s="5" t="str">
        <f>IF('Project Database'!A202="","",N('Project Database'!AN202))</f>
        <v/>
      </c>
      <c r="BV198" s="5" t="str">
        <f>IF('Project Database'!A202="","",N('Project Database'!AO202))</f>
        <v/>
      </c>
      <c r="BW198" s="5" t="str">
        <f>IF('Project Database'!A202="","",N('Project Database'!AP202))</f>
        <v/>
      </c>
      <c r="BX198" s="5">
        <f t="shared" si="54"/>
        <v>0</v>
      </c>
      <c r="BY198" s="5">
        <f t="shared" si="55"/>
        <v>0</v>
      </c>
    </row>
    <row r="199" spans="1:77" ht="15" customHeight="1" x14ac:dyDescent="0.3">
      <c r="A199" s="66">
        <f>'Project Database'!A203</f>
        <v>0</v>
      </c>
      <c r="B199" s="66">
        <f>'Project Database'!B203</f>
        <v>0</v>
      </c>
      <c r="C199" s="66">
        <f>'Project Database'!G203</f>
        <v>0</v>
      </c>
      <c r="D199" s="66">
        <f>'Project Database'!H203</f>
        <v>0</v>
      </c>
      <c r="E199" s="66">
        <f>'Project Database'!I203</f>
        <v>0</v>
      </c>
      <c r="F199" s="66">
        <f>'Project Database'!J203</f>
        <v>0</v>
      </c>
      <c r="G199" s="66">
        <f>'Project Database'!K203</f>
        <v>0</v>
      </c>
      <c r="H199" s="66">
        <f>'Project Database'!L203</f>
        <v>0</v>
      </c>
      <c r="I199" s="66">
        <f>'Project Database'!M203</f>
        <v>0</v>
      </c>
      <c r="J199" s="66">
        <f>'Project Database'!N203</f>
        <v>0</v>
      </c>
      <c r="K199" s="66">
        <f>'Project Database'!O203</f>
        <v>0</v>
      </c>
      <c r="L199" s="66">
        <f>'Project Database'!P203</f>
        <v>0</v>
      </c>
      <c r="M199" s="66">
        <f>'Project Database'!Q203</f>
        <v>0</v>
      </c>
      <c r="N199" s="66">
        <f>'Project Database'!R203</f>
        <v>0</v>
      </c>
      <c r="O199" s="66">
        <f>'Project Database'!S203</f>
        <v>0</v>
      </c>
      <c r="P199" s="66">
        <f>'Project Database'!T203</f>
        <v>0</v>
      </c>
      <c r="Q199" s="66">
        <f>'Project Database'!U203</f>
        <v>0</v>
      </c>
      <c r="R199" s="66">
        <f>'Project Database'!V203</f>
        <v>0</v>
      </c>
      <c r="S199" s="66">
        <f>'Project Database'!W203</f>
        <v>0</v>
      </c>
      <c r="T199" s="66">
        <f>'Project Database'!X203</f>
        <v>0</v>
      </c>
      <c r="U199" s="67">
        <f>'Project Database'!Y203</f>
        <v>0</v>
      </c>
      <c r="V199" s="66">
        <f>IF('Smart Search'!B13=1,IFERROR(1/'Smart Search'!H13,0),0)</f>
        <v>0</v>
      </c>
      <c r="W199" s="66">
        <f>IF('Smart Search'!B13=1,IFERROR(1/'Smart Search'!H13,0),0)</f>
        <v>0</v>
      </c>
      <c r="X199" s="66">
        <f>IF('Smart Search'!C13=1,IFERROR(1/'Smart Search'!H13,0),0)</f>
        <v>0.5</v>
      </c>
      <c r="Y199" s="66">
        <f>IF('Smart Search'!C13=1,IFERROR(1/'Smart Search'!H13,0),0)</f>
        <v>0.5</v>
      </c>
      <c r="Z199" s="66">
        <f>IF('Smart Search'!D13=1,IFERROR(1/'Smart Search'!H13,0),0)</f>
        <v>0</v>
      </c>
      <c r="AA199" s="66">
        <f>IF('Smart Search'!D13=1,IFERROR(1/'Smart Search'!H13,0),0)</f>
        <v>0</v>
      </c>
      <c r="AB199" s="66">
        <f>IF('Smart Search'!E13=1,IFERROR(1/'Smart Search'!H13,0),0)</f>
        <v>0</v>
      </c>
      <c r="AC199" s="66">
        <f>IF('Smart Search'!E13=1,IFERROR(1/'Smart Search'!H13,0),0)</f>
        <v>0</v>
      </c>
      <c r="AD199" s="66">
        <f>IF('Smart Search'!F13=1,IFERROR(1/'Smart Search'!H13,0),0)</f>
        <v>0</v>
      </c>
      <c r="AE199" s="66">
        <f>IF('Smart Search'!F13=1,IFERROR(1/'Smart Search'!H13,0),0)</f>
        <v>0</v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>0</v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>0</v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>0</v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>0</v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>0</v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>0</v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>0</v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>0</v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>0</v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>0</v>
      </c>
      <c r="AP199" s="66">
        <f t="shared" si="42"/>
        <v>0</v>
      </c>
      <c r="AQ199" s="66">
        <f t="shared" si="43"/>
        <v>0</v>
      </c>
      <c r="AR199" s="66">
        <f t="shared" si="44"/>
        <v>0</v>
      </c>
      <c r="AS199" s="66">
        <f t="shared" si="45"/>
        <v>0</v>
      </c>
      <c r="AT199" s="66">
        <f t="shared" si="46"/>
        <v>0</v>
      </c>
      <c r="AU199" s="66">
        <f t="shared" si="47"/>
        <v>0</v>
      </c>
      <c r="AV199" s="66">
        <f t="shared" si="48"/>
        <v>0</v>
      </c>
      <c r="AW199" s="66">
        <f t="shared" si="49"/>
        <v>0</v>
      </c>
      <c r="AX199" s="66">
        <f t="shared" si="50"/>
        <v>0</v>
      </c>
      <c r="AY199" s="66">
        <f t="shared" si="51"/>
        <v>0</v>
      </c>
      <c r="AZ199" s="66">
        <f>'Project Database'!Z203</f>
        <v>0</v>
      </c>
      <c r="BA199" s="66">
        <f>IF(OR(A199="",'Smart Search'!H13=0),"",MAX(0,BE199*BF199*MAX(0,1-BG199)))</f>
        <v>0</v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>0</v>
      </c>
      <c r="BC199" s="66">
        <f>IF('Smart Search'!G13=1,IFERROR(1/'Smart Search'!H13,0),0)</f>
        <v>0</v>
      </c>
      <c r="BD199" s="66">
        <f t="shared" si="52"/>
        <v>0</v>
      </c>
      <c r="BE199" s="66">
        <f t="shared" si="53"/>
        <v>0</v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>0</v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>0</v>
      </c>
      <c r="BH199" s="5" t="str">
        <f>IF(AND('Project Database'!A203&lt;&gt;"",OR('Smart Search'!$L$5="",'Smart Search'!$L$5="All",TRIM('Project Database'!D203)=TRIM('Smart Search'!$L$5)),OR(TRIM('Smart Search'!$L$6)="",TRIM('Smart Search'!$L$6)="All",ISNUMBER(SEARCH(SUBSTITUTE(SUBSTITUTE(SUBSTITUTE(TRIM('Smart Search'!$L$6),"~","~~"),"*","~*"),"?","~?"),'Project Database'!C203))),OR('Smart Search'!$L$7="",AND('Project Database'!E203&lt;&gt;"",'Project Database'!E203='Smart Search'!$L$7)),OR('Smart Search'!$L$8="",'Smart Search'!$L$8="All",TRIM('Project Database'!F203)=TRIM('Smart Search'!$L$8))),IF(BA199="","",BA199+ROW()*0.0000000001),"")</f>
        <v/>
      </c>
      <c r="BI199" s="5" t="str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 t="str">
        <f>IF('Project Database'!A203="","",N('Project Database'!AC203))</f>
        <v/>
      </c>
      <c r="BK199" s="5" t="str">
        <f>IF('Project Database'!A203="","",N('Project Database'!AD203))</f>
        <v/>
      </c>
      <c r="BL199" s="5" t="str">
        <f>IF('Project Database'!A203="","",N('Project Database'!AE203))</f>
        <v/>
      </c>
      <c r="BM199" s="5" t="str">
        <f>IF('Project Database'!A203="","",N('Project Database'!AF203))</f>
        <v/>
      </c>
      <c r="BN199" s="5" t="str">
        <f>IF('Project Database'!A203="","",N('Project Database'!AG203))</f>
        <v/>
      </c>
      <c r="BO199" s="5" t="str">
        <f>IF('Project Database'!A203="","",N('Project Database'!AH203))</f>
        <v/>
      </c>
      <c r="BP199" s="5" t="str">
        <f>IF('Project Database'!A203="","",N('Project Database'!AI203))</f>
        <v/>
      </c>
      <c r="BQ199" s="5" t="str">
        <f>IF('Project Database'!A203="","",N('Project Database'!AJ203))</f>
        <v/>
      </c>
      <c r="BR199" s="5" t="str">
        <f>IF('Project Database'!A203="","",N('Project Database'!AK203))</f>
        <v/>
      </c>
      <c r="BS199" s="5" t="str">
        <f>IF('Project Database'!A203="","",N('Project Database'!AL203))</f>
        <v/>
      </c>
      <c r="BT199" s="5" t="str">
        <f>IF('Project Database'!A203="","",N('Project Database'!AM203))</f>
        <v/>
      </c>
      <c r="BU199" s="5" t="str">
        <f>IF('Project Database'!A203="","",N('Project Database'!AN203))</f>
        <v/>
      </c>
      <c r="BV199" s="5" t="str">
        <f>IF('Project Database'!A203="","",N('Project Database'!AO203))</f>
        <v/>
      </c>
      <c r="BW199" s="5" t="str">
        <f>IF('Project Database'!A203="","",N('Project Database'!AP203))</f>
        <v/>
      </c>
      <c r="BX199" s="5">
        <f t="shared" si="54"/>
        <v>0</v>
      </c>
      <c r="BY199" s="5">
        <f t="shared" si="55"/>
        <v>0</v>
      </c>
    </row>
    <row r="200" spans="1:77" ht="15" customHeight="1" x14ac:dyDescent="0.3">
      <c r="A200" s="66">
        <f>'Project Database'!A204</f>
        <v>0</v>
      </c>
      <c r="B200" s="66">
        <f>'Project Database'!B204</f>
        <v>0</v>
      </c>
      <c r="C200" s="66">
        <f>'Project Database'!G204</f>
        <v>0</v>
      </c>
      <c r="D200" s="66">
        <f>'Project Database'!H204</f>
        <v>0</v>
      </c>
      <c r="E200" s="66">
        <f>'Project Database'!I204</f>
        <v>0</v>
      </c>
      <c r="F200" s="66">
        <f>'Project Database'!J204</f>
        <v>0</v>
      </c>
      <c r="G200" s="66">
        <f>'Project Database'!K204</f>
        <v>0</v>
      </c>
      <c r="H200" s="66">
        <f>'Project Database'!L204</f>
        <v>0</v>
      </c>
      <c r="I200" s="66">
        <f>'Project Database'!M204</f>
        <v>0</v>
      </c>
      <c r="J200" s="66">
        <f>'Project Database'!N204</f>
        <v>0</v>
      </c>
      <c r="K200" s="66">
        <f>'Project Database'!O204</f>
        <v>0</v>
      </c>
      <c r="L200" s="66">
        <f>'Project Database'!P204</f>
        <v>0</v>
      </c>
      <c r="M200" s="66">
        <f>'Project Database'!Q204</f>
        <v>0</v>
      </c>
      <c r="N200" s="66">
        <f>'Project Database'!R204</f>
        <v>0</v>
      </c>
      <c r="O200" s="66">
        <f>'Project Database'!S204</f>
        <v>0</v>
      </c>
      <c r="P200" s="66">
        <f>'Project Database'!T204</f>
        <v>0</v>
      </c>
      <c r="Q200" s="66">
        <f>'Project Database'!U204</f>
        <v>0</v>
      </c>
      <c r="R200" s="66">
        <f>'Project Database'!V204</f>
        <v>0</v>
      </c>
      <c r="S200" s="66">
        <f>'Project Database'!W204</f>
        <v>0</v>
      </c>
      <c r="T200" s="66">
        <f>'Project Database'!X204</f>
        <v>0</v>
      </c>
      <c r="U200" s="67">
        <f>'Project Database'!Y204</f>
        <v>0</v>
      </c>
      <c r="V200" s="66">
        <f>IF('Smart Search'!B13=1,IFERROR(1/'Smart Search'!H13,0),0)</f>
        <v>0</v>
      </c>
      <c r="W200" s="66">
        <f>IF('Smart Search'!B13=1,IFERROR(1/'Smart Search'!H13,0),0)</f>
        <v>0</v>
      </c>
      <c r="X200" s="66">
        <f>IF('Smart Search'!C13=1,IFERROR(1/'Smart Search'!H13,0),0)</f>
        <v>0.5</v>
      </c>
      <c r="Y200" s="66">
        <f>IF('Smart Search'!C13=1,IFERROR(1/'Smart Search'!H13,0),0)</f>
        <v>0.5</v>
      </c>
      <c r="Z200" s="66">
        <f>IF('Smart Search'!D13=1,IFERROR(1/'Smart Search'!H13,0),0)</f>
        <v>0</v>
      </c>
      <c r="AA200" s="66">
        <f>IF('Smart Search'!D13=1,IFERROR(1/'Smart Search'!H13,0),0)</f>
        <v>0</v>
      </c>
      <c r="AB200" s="66">
        <f>IF('Smart Search'!E13=1,IFERROR(1/'Smart Search'!H13,0),0)</f>
        <v>0</v>
      </c>
      <c r="AC200" s="66">
        <f>IF('Smart Search'!E13=1,IFERROR(1/'Smart Search'!H13,0),0)</f>
        <v>0</v>
      </c>
      <c r="AD200" s="66">
        <f>IF('Smart Search'!F13=1,IFERROR(1/'Smart Search'!H13,0),0)</f>
        <v>0</v>
      </c>
      <c r="AE200" s="66">
        <f>IF('Smart Search'!F13=1,IFERROR(1/'Smart Search'!H13,0),0)</f>
        <v>0</v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>0</v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>0</v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>0</v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>0</v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>0</v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>0</v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>0</v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>0</v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>0</v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>0</v>
      </c>
      <c r="AP200" s="66">
        <f t="shared" si="42"/>
        <v>0</v>
      </c>
      <c r="AQ200" s="66">
        <f t="shared" si="43"/>
        <v>0</v>
      </c>
      <c r="AR200" s="66">
        <f t="shared" si="44"/>
        <v>0</v>
      </c>
      <c r="AS200" s="66">
        <f t="shared" si="45"/>
        <v>0</v>
      </c>
      <c r="AT200" s="66">
        <f t="shared" si="46"/>
        <v>0</v>
      </c>
      <c r="AU200" s="66">
        <f t="shared" si="47"/>
        <v>0</v>
      </c>
      <c r="AV200" s="66">
        <f t="shared" si="48"/>
        <v>0</v>
      </c>
      <c r="AW200" s="66">
        <f t="shared" si="49"/>
        <v>0</v>
      </c>
      <c r="AX200" s="66">
        <f t="shared" si="50"/>
        <v>0</v>
      </c>
      <c r="AY200" s="66">
        <f t="shared" si="51"/>
        <v>0</v>
      </c>
      <c r="AZ200" s="66">
        <f>'Project Database'!Z204</f>
        <v>0</v>
      </c>
      <c r="BA200" s="66">
        <f>IF(OR(A200="",'Smart Search'!H13=0),"",MAX(0,BE200*BF200*MAX(0,1-BG200)))</f>
        <v>0</v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>0</v>
      </c>
      <c r="BC200" s="66">
        <f>IF('Smart Search'!G13=1,IFERROR(1/'Smart Search'!H13,0),0)</f>
        <v>0</v>
      </c>
      <c r="BD200" s="66">
        <f t="shared" si="52"/>
        <v>0</v>
      </c>
      <c r="BE200" s="66">
        <f t="shared" si="53"/>
        <v>0</v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>0</v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>0</v>
      </c>
      <c r="BH200" s="5" t="str">
        <f>IF(AND('Project Database'!A204&lt;&gt;"",OR('Smart Search'!$L$5="",'Smart Search'!$L$5="All",TRIM('Project Database'!D204)=TRIM('Smart Search'!$L$5)),OR(TRIM('Smart Search'!$L$6)="",TRIM('Smart Search'!$L$6)="All",ISNUMBER(SEARCH(SUBSTITUTE(SUBSTITUTE(SUBSTITUTE(TRIM('Smart Search'!$L$6),"~","~~"),"*","~*"),"?","~?"),'Project Database'!C204))),OR('Smart Search'!$L$7="",AND('Project Database'!E204&lt;&gt;"",'Project Database'!E204='Smart Search'!$L$7)),OR('Smart Search'!$L$8="",'Smart Search'!$L$8="All",TRIM('Project Database'!F204)=TRIM('Smart Search'!$L$8))),IF(BA200="","",BA200+ROW()*0.0000000001),"")</f>
        <v/>
      </c>
      <c r="BI200" s="5" t="str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 t="str">
        <f>IF('Project Database'!A204="","",N('Project Database'!AC204))</f>
        <v/>
      </c>
      <c r="BK200" s="5" t="str">
        <f>IF('Project Database'!A204="","",N('Project Database'!AD204))</f>
        <v/>
      </c>
      <c r="BL200" s="5" t="str">
        <f>IF('Project Database'!A204="","",N('Project Database'!AE204))</f>
        <v/>
      </c>
      <c r="BM200" s="5" t="str">
        <f>IF('Project Database'!A204="","",N('Project Database'!AF204))</f>
        <v/>
      </c>
      <c r="BN200" s="5" t="str">
        <f>IF('Project Database'!A204="","",N('Project Database'!AG204))</f>
        <v/>
      </c>
      <c r="BO200" s="5" t="str">
        <f>IF('Project Database'!A204="","",N('Project Database'!AH204))</f>
        <v/>
      </c>
      <c r="BP200" s="5" t="str">
        <f>IF('Project Database'!A204="","",N('Project Database'!AI204))</f>
        <v/>
      </c>
      <c r="BQ200" s="5" t="str">
        <f>IF('Project Database'!A204="","",N('Project Database'!AJ204))</f>
        <v/>
      </c>
      <c r="BR200" s="5" t="str">
        <f>IF('Project Database'!A204="","",N('Project Database'!AK204))</f>
        <v/>
      </c>
      <c r="BS200" s="5" t="str">
        <f>IF('Project Database'!A204="","",N('Project Database'!AL204))</f>
        <v/>
      </c>
      <c r="BT200" s="5" t="str">
        <f>IF('Project Database'!A204="","",N('Project Database'!AM204))</f>
        <v/>
      </c>
      <c r="BU200" s="5" t="str">
        <f>IF('Project Database'!A204="","",N('Project Database'!AN204))</f>
        <v/>
      </c>
      <c r="BV200" s="5" t="str">
        <f>IF('Project Database'!A204="","",N('Project Database'!AO204))</f>
        <v/>
      </c>
      <c r="BW200" s="5" t="str">
        <f>IF('Project Database'!A204="","",N('Project Database'!AP204))</f>
        <v/>
      </c>
      <c r="BX200" s="5">
        <f t="shared" si="54"/>
        <v>0</v>
      </c>
      <c r="BY200" s="5">
        <f t="shared" si="55"/>
        <v>0</v>
      </c>
    </row>
    <row r="201" spans="1:77" ht="15" customHeight="1" x14ac:dyDescent="0.3">
      <c r="A201" s="66">
        <f>'Project Database'!A205</f>
        <v>0</v>
      </c>
      <c r="B201" s="66">
        <f>'Project Database'!B205</f>
        <v>0</v>
      </c>
      <c r="C201" s="66">
        <f>'Project Database'!G205</f>
        <v>0</v>
      </c>
      <c r="D201" s="66">
        <f>'Project Database'!H205</f>
        <v>0</v>
      </c>
      <c r="E201" s="66">
        <f>'Project Database'!I205</f>
        <v>0</v>
      </c>
      <c r="F201" s="66">
        <f>'Project Database'!J205</f>
        <v>0</v>
      </c>
      <c r="G201" s="66">
        <f>'Project Database'!K205</f>
        <v>0</v>
      </c>
      <c r="H201" s="66">
        <f>'Project Database'!L205</f>
        <v>0</v>
      </c>
      <c r="I201" s="66">
        <f>'Project Database'!M205</f>
        <v>0</v>
      </c>
      <c r="J201" s="66">
        <f>'Project Database'!N205</f>
        <v>0</v>
      </c>
      <c r="K201" s="66">
        <f>'Project Database'!O205</f>
        <v>0</v>
      </c>
      <c r="L201" s="66">
        <f>'Project Database'!P205</f>
        <v>0</v>
      </c>
      <c r="M201" s="66">
        <f>'Project Database'!Q205</f>
        <v>0</v>
      </c>
      <c r="N201" s="66">
        <f>'Project Database'!R205</f>
        <v>0</v>
      </c>
      <c r="O201" s="66">
        <f>'Project Database'!S205</f>
        <v>0</v>
      </c>
      <c r="P201" s="66">
        <f>'Project Database'!T205</f>
        <v>0</v>
      </c>
      <c r="Q201" s="66">
        <f>'Project Database'!U205</f>
        <v>0</v>
      </c>
      <c r="R201" s="66">
        <f>'Project Database'!V205</f>
        <v>0</v>
      </c>
      <c r="S201" s="66">
        <f>'Project Database'!W205</f>
        <v>0</v>
      </c>
      <c r="T201" s="66">
        <f>'Project Database'!X205</f>
        <v>0</v>
      </c>
      <c r="U201" s="67">
        <f>'Project Database'!Y205</f>
        <v>0</v>
      </c>
      <c r="V201" s="66">
        <f>IF('Smart Search'!B13=1,IFERROR(1/'Smart Search'!H13,0),0)</f>
        <v>0</v>
      </c>
      <c r="W201" s="66">
        <f>IF('Smart Search'!B13=1,IFERROR(1/'Smart Search'!H13,0),0)</f>
        <v>0</v>
      </c>
      <c r="X201" s="66">
        <f>IF('Smart Search'!C13=1,IFERROR(1/'Smart Search'!H13,0),0)</f>
        <v>0.5</v>
      </c>
      <c r="Y201" s="66">
        <f>IF('Smart Search'!C13=1,IFERROR(1/'Smart Search'!H13,0),0)</f>
        <v>0.5</v>
      </c>
      <c r="Z201" s="66">
        <f>IF('Smart Search'!D13=1,IFERROR(1/'Smart Search'!H13,0),0)</f>
        <v>0</v>
      </c>
      <c r="AA201" s="66">
        <f>IF('Smart Search'!D13=1,IFERROR(1/'Smart Search'!H13,0),0)</f>
        <v>0</v>
      </c>
      <c r="AB201" s="66">
        <f>IF('Smart Search'!E13=1,IFERROR(1/'Smart Search'!H13,0),0)</f>
        <v>0</v>
      </c>
      <c r="AC201" s="66">
        <f>IF('Smart Search'!E13=1,IFERROR(1/'Smart Search'!H13,0),0)</f>
        <v>0</v>
      </c>
      <c r="AD201" s="66">
        <f>IF('Smart Search'!F13=1,IFERROR(1/'Smart Search'!H13,0),0)</f>
        <v>0</v>
      </c>
      <c r="AE201" s="66">
        <f>IF('Smart Search'!F13=1,IFERROR(1/'Smart Search'!H13,0),0)</f>
        <v>0</v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>0</v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>0</v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>0</v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>0</v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>0</v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>0</v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>0</v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>0</v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>0</v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>0</v>
      </c>
      <c r="AP201" s="66">
        <f t="shared" si="42"/>
        <v>0</v>
      </c>
      <c r="AQ201" s="66">
        <f t="shared" si="43"/>
        <v>0</v>
      </c>
      <c r="AR201" s="66">
        <f t="shared" si="44"/>
        <v>0</v>
      </c>
      <c r="AS201" s="66">
        <f t="shared" si="45"/>
        <v>0</v>
      </c>
      <c r="AT201" s="66">
        <f t="shared" si="46"/>
        <v>0</v>
      </c>
      <c r="AU201" s="66">
        <f t="shared" si="47"/>
        <v>0</v>
      </c>
      <c r="AV201" s="66">
        <f t="shared" si="48"/>
        <v>0</v>
      </c>
      <c r="AW201" s="66">
        <f t="shared" si="49"/>
        <v>0</v>
      </c>
      <c r="AX201" s="66">
        <f t="shared" si="50"/>
        <v>0</v>
      </c>
      <c r="AY201" s="66">
        <f t="shared" si="51"/>
        <v>0</v>
      </c>
      <c r="AZ201" s="66">
        <f>'Project Database'!Z205</f>
        <v>0</v>
      </c>
      <c r="BA201" s="66">
        <f>IF(OR(A201="",'Smart Search'!H13=0),"",MAX(0,BE201*BF201*MAX(0,1-BG201)))</f>
        <v>0</v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>0</v>
      </c>
      <c r="BC201" s="66">
        <f>IF('Smart Search'!G13=1,IFERROR(1/'Smart Search'!H13,0),0)</f>
        <v>0</v>
      </c>
      <c r="BD201" s="66">
        <f t="shared" si="52"/>
        <v>0</v>
      </c>
      <c r="BE201" s="66">
        <f t="shared" si="53"/>
        <v>0</v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>0</v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>0</v>
      </c>
      <c r="BH201" s="5" t="str">
        <f>IF(AND('Project Database'!A205&lt;&gt;"",OR('Smart Search'!$L$5="",'Smart Search'!$L$5="All",TRIM('Project Database'!D205)=TRIM('Smart Search'!$L$5)),OR(TRIM('Smart Search'!$L$6)="",TRIM('Smart Search'!$L$6)="All",ISNUMBER(SEARCH(SUBSTITUTE(SUBSTITUTE(SUBSTITUTE(TRIM('Smart Search'!$L$6),"~","~~"),"*","~*"),"?","~?"),'Project Database'!C205))),OR('Smart Search'!$L$7="",AND('Project Database'!E205&lt;&gt;"",'Project Database'!E205='Smart Search'!$L$7)),OR('Smart Search'!$L$8="",'Smart Search'!$L$8="All",TRIM('Project Database'!F205)=TRIM('Smart Search'!$L$8))),IF(BA201="","",BA201+ROW()*0.0000000001),"")</f>
        <v/>
      </c>
      <c r="BI201" s="5" t="str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 t="str">
        <f>IF('Project Database'!A205="","",N('Project Database'!AC205))</f>
        <v/>
      </c>
      <c r="BK201" s="5" t="str">
        <f>IF('Project Database'!A205="","",N('Project Database'!AD205))</f>
        <v/>
      </c>
      <c r="BL201" s="5" t="str">
        <f>IF('Project Database'!A205="","",N('Project Database'!AE205))</f>
        <v/>
      </c>
      <c r="BM201" s="5" t="str">
        <f>IF('Project Database'!A205="","",N('Project Database'!AF205))</f>
        <v/>
      </c>
      <c r="BN201" s="5" t="str">
        <f>IF('Project Database'!A205="","",N('Project Database'!AG205))</f>
        <v/>
      </c>
      <c r="BO201" s="5" t="str">
        <f>IF('Project Database'!A205="","",N('Project Database'!AH205))</f>
        <v/>
      </c>
      <c r="BP201" s="5" t="str">
        <f>IF('Project Database'!A205="","",N('Project Database'!AI205))</f>
        <v/>
      </c>
      <c r="BQ201" s="5" t="str">
        <f>IF('Project Database'!A205="","",N('Project Database'!AJ205))</f>
        <v/>
      </c>
      <c r="BR201" s="5" t="str">
        <f>IF('Project Database'!A205="","",N('Project Database'!AK205))</f>
        <v/>
      </c>
      <c r="BS201" s="5" t="str">
        <f>IF('Project Database'!A205="","",N('Project Database'!AL205))</f>
        <v/>
      </c>
      <c r="BT201" s="5" t="str">
        <f>IF('Project Database'!A205="","",N('Project Database'!AM205))</f>
        <v/>
      </c>
      <c r="BU201" s="5" t="str">
        <f>IF('Project Database'!A205="","",N('Project Database'!AN205))</f>
        <v/>
      </c>
      <c r="BV201" s="5" t="str">
        <f>IF('Project Database'!A205="","",N('Project Database'!AO205))</f>
        <v/>
      </c>
      <c r="BW201" s="5" t="str">
        <f>IF('Project Database'!A205="","",N('Project Database'!AP205))</f>
        <v/>
      </c>
      <c r="BX201" s="5">
        <f t="shared" si="54"/>
        <v>0</v>
      </c>
      <c r="BY201" s="5">
        <f t="shared" si="55"/>
        <v>0</v>
      </c>
    </row>
    <row r="202" spans="1:77" ht="15" customHeight="1" x14ac:dyDescent="0.3">
      <c r="A202" s="66">
        <f>'Project Database'!A206</f>
        <v>0</v>
      </c>
      <c r="B202" s="66">
        <f>'Project Database'!B206</f>
        <v>0</v>
      </c>
      <c r="C202" s="66">
        <f>'Project Database'!G206</f>
        <v>0</v>
      </c>
      <c r="D202" s="66">
        <f>'Project Database'!H206</f>
        <v>0</v>
      </c>
      <c r="E202" s="66">
        <f>'Project Database'!I206</f>
        <v>0</v>
      </c>
      <c r="F202" s="66">
        <f>'Project Database'!J206</f>
        <v>0</v>
      </c>
      <c r="G202" s="66">
        <f>'Project Database'!K206</f>
        <v>0</v>
      </c>
      <c r="H202" s="66">
        <f>'Project Database'!L206</f>
        <v>0</v>
      </c>
      <c r="I202" s="66">
        <f>'Project Database'!M206</f>
        <v>0</v>
      </c>
      <c r="J202" s="66">
        <f>'Project Database'!N206</f>
        <v>0</v>
      </c>
      <c r="K202" s="66">
        <f>'Project Database'!O206</f>
        <v>0</v>
      </c>
      <c r="L202" s="66">
        <f>'Project Database'!P206</f>
        <v>0</v>
      </c>
      <c r="M202" s="66">
        <f>'Project Database'!Q206</f>
        <v>0</v>
      </c>
      <c r="N202" s="66">
        <f>'Project Database'!R206</f>
        <v>0</v>
      </c>
      <c r="O202" s="66">
        <f>'Project Database'!S206</f>
        <v>0</v>
      </c>
      <c r="P202" s="66">
        <f>'Project Database'!T206</f>
        <v>0</v>
      </c>
      <c r="Q202" s="66">
        <f>'Project Database'!U206</f>
        <v>0</v>
      </c>
      <c r="R202" s="66">
        <f>'Project Database'!V206</f>
        <v>0</v>
      </c>
      <c r="S202" s="66">
        <f>'Project Database'!W206</f>
        <v>0</v>
      </c>
      <c r="T202" s="66">
        <f>'Project Database'!X206</f>
        <v>0</v>
      </c>
      <c r="U202" s="67">
        <f>'Project Database'!Y206</f>
        <v>0</v>
      </c>
      <c r="V202" s="66">
        <f>IF('Smart Search'!B13=1,IFERROR(1/'Smart Search'!H13,0),0)</f>
        <v>0</v>
      </c>
      <c r="W202" s="66">
        <f>IF('Smart Search'!B13=1,IFERROR(1/'Smart Search'!H13,0),0)</f>
        <v>0</v>
      </c>
      <c r="X202" s="66">
        <f>IF('Smart Search'!C13=1,IFERROR(1/'Smart Search'!H13,0),0)</f>
        <v>0.5</v>
      </c>
      <c r="Y202" s="66">
        <f>IF('Smart Search'!C13=1,IFERROR(1/'Smart Search'!H13,0),0)</f>
        <v>0.5</v>
      </c>
      <c r="Z202" s="66">
        <f>IF('Smart Search'!D13=1,IFERROR(1/'Smart Search'!H13,0),0)</f>
        <v>0</v>
      </c>
      <c r="AA202" s="66">
        <f>IF('Smart Search'!D13=1,IFERROR(1/'Smart Search'!H13,0),0)</f>
        <v>0</v>
      </c>
      <c r="AB202" s="66">
        <f>IF('Smart Search'!E13=1,IFERROR(1/'Smart Search'!H13,0),0)</f>
        <v>0</v>
      </c>
      <c r="AC202" s="66">
        <f>IF('Smart Search'!E13=1,IFERROR(1/'Smart Search'!H13,0),0)</f>
        <v>0</v>
      </c>
      <c r="AD202" s="66">
        <f>IF('Smart Search'!F13=1,IFERROR(1/'Smart Search'!H13,0),0)</f>
        <v>0</v>
      </c>
      <c r="AE202" s="66">
        <f>IF('Smart Search'!F13=1,IFERROR(1/'Smart Search'!H13,0),0)</f>
        <v>0</v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>0</v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>0</v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>0</v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>0</v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>0</v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>0</v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>0</v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>0</v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>0</v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>0</v>
      </c>
      <c r="AP202" s="66">
        <f t="shared" si="42"/>
        <v>0</v>
      </c>
      <c r="AQ202" s="66">
        <f t="shared" si="43"/>
        <v>0</v>
      </c>
      <c r="AR202" s="66">
        <f t="shared" si="44"/>
        <v>0</v>
      </c>
      <c r="AS202" s="66">
        <f t="shared" si="45"/>
        <v>0</v>
      </c>
      <c r="AT202" s="66">
        <f t="shared" si="46"/>
        <v>0</v>
      </c>
      <c r="AU202" s="66">
        <f t="shared" si="47"/>
        <v>0</v>
      </c>
      <c r="AV202" s="66">
        <f t="shared" si="48"/>
        <v>0</v>
      </c>
      <c r="AW202" s="66">
        <f t="shared" si="49"/>
        <v>0</v>
      </c>
      <c r="AX202" s="66">
        <f t="shared" si="50"/>
        <v>0</v>
      </c>
      <c r="AY202" s="66">
        <f t="shared" si="51"/>
        <v>0</v>
      </c>
      <c r="AZ202" s="66">
        <f>'Project Database'!Z206</f>
        <v>0</v>
      </c>
      <c r="BA202" s="66">
        <f>IF(OR(A202="",'Smart Search'!H13=0),"",MAX(0,BE202*BF202*MAX(0,1-BG202)))</f>
        <v>0</v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>0</v>
      </c>
      <c r="BC202" s="66">
        <f>IF('Smart Search'!G13=1,IFERROR(1/'Smart Search'!H13,0),0)</f>
        <v>0</v>
      </c>
      <c r="BD202" s="66">
        <f t="shared" si="52"/>
        <v>0</v>
      </c>
      <c r="BE202" s="66">
        <f t="shared" si="53"/>
        <v>0</v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>0</v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>0</v>
      </c>
      <c r="BH202" s="5" t="str">
        <f>IF(AND('Project Database'!A206&lt;&gt;"",OR('Smart Search'!$L$5="",'Smart Search'!$L$5="All",TRIM('Project Database'!D206)=TRIM('Smart Search'!$L$5)),OR(TRIM('Smart Search'!$L$6)="",TRIM('Smart Search'!$L$6)="All",ISNUMBER(SEARCH(SUBSTITUTE(SUBSTITUTE(SUBSTITUTE(TRIM('Smart Search'!$L$6),"~","~~"),"*","~*"),"?","~?"),'Project Database'!C206))),OR('Smart Search'!$L$7="",AND('Project Database'!E206&lt;&gt;"",'Project Database'!E206='Smart Search'!$L$7)),OR('Smart Search'!$L$8="",'Smart Search'!$L$8="All",TRIM('Project Database'!F206)=TRIM('Smart Search'!$L$8))),IF(BA202="","",BA202+ROW()*0.0000000001),"")</f>
        <v/>
      </c>
      <c r="BI202" s="5" t="str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 t="str">
        <f>IF('Project Database'!A206="","",N('Project Database'!AC206))</f>
        <v/>
      </c>
      <c r="BK202" s="5" t="str">
        <f>IF('Project Database'!A206="","",N('Project Database'!AD206))</f>
        <v/>
      </c>
      <c r="BL202" s="5" t="str">
        <f>IF('Project Database'!A206="","",N('Project Database'!AE206))</f>
        <v/>
      </c>
      <c r="BM202" s="5" t="str">
        <f>IF('Project Database'!A206="","",N('Project Database'!AF206))</f>
        <v/>
      </c>
      <c r="BN202" s="5" t="str">
        <f>IF('Project Database'!A206="","",N('Project Database'!AG206))</f>
        <v/>
      </c>
      <c r="BO202" s="5" t="str">
        <f>IF('Project Database'!A206="","",N('Project Database'!AH206))</f>
        <v/>
      </c>
      <c r="BP202" s="5" t="str">
        <f>IF('Project Database'!A206="","",N('Project Database'!AI206))</f>
        <v/>
      </c>
      <c r="BQ202" s="5" t="str">
        <f>IF('Project Database'!A206="","",N('Project Database'!AJ206))</f>
        <v/>
      </c>
      <c r="BR202" s="5" t="str">
        <f>IF('Project Database'!A206="","",N('Project Database'!AK206))</f>
        <v/>
      </c>
      <c r="BS202" s="5" t="str">
        <f>IF('Project Database'!A206="","",N('Project Database'!AL206))</f>
        <v/>
      </c>
      <c r="BT202" s="5" t="str">
        <f>IF('Project Database'!A206="","",N('Project Database'!AM206))</f>
        <v/>
      </c>
      <c r="BU202" s="5" t="str">
        <f>IF('Project Database'!A206="","",N('Project Database'!AN206))</f>
        <v/>
      </c>
      <c r="BV202" s="5" t="str">
        <f>IF('Project Database'!A206="","",N('Project Database'!AO206))</f>
        <v/>
      </c>
      <c r="BW202" s="5" t="str">
        <f>IF('Project Database'!A206="","",N('Project Database'!AP206))</f>
        <v/>
      </c>
      <c r="BX202" s="5">
        <f t="shared" si="54"/>
        <v>0</v>
      </c>
      <c r="BY202" s="5">
        <f t="shared" si="55"/>
        <v>0</v>
      </c>
    </row>
    <row r="203" spans="1:77" ht="15" customHeight="1" x14ac:dyDescent="0.3">
      <c r="A203" s="66">
        <f>'Project Database'!A207</f>
        <v>0</v>
      </c>
      <c r="B203" s="66">
        <f>'Project Database'!B207</f>
        <v>0</v>
      </c>
      <c r="C203" s="66">
        <f>'Project Database'!G207</f>
        <v>0</v>
      </c>
      <c r="D203" s="66">
        <f>'Project Database'!H207</f>
        <v>0</v>
      </c>
      <c r="E203" s="66">
        <f>'Project Database'!I207</f>
        <v>0</v>
      </c>
      <c r="F203" s="66">
        <f>'Project Database'!J207</f>
        <v>0</v>
      </c>
      <c r="G203" s="66">
        <f>'Project Database'!K207</f>
        <v>0</v>
      </c>
      <c r="H203" s="66">
        <f>'Project Database'!L207</f>
        <v>0</v>
      </c>
      <c r="I203" s="66">
        <f>'Project Database'!M207</f>
        <v>0</v>
      </c>
      <c r="J203" s="66">
        <f>'Project Database'!N207</f>
        <v>0</v>
      </c>
      <c r="K203" s="66">
        <f>'Project Database'!O207</f>
        <v>0</v>
      </c>
      <c r="L203" s="66">
        <f>'Project Database'!P207</f>
        <v>0</v>
      </c>
      <c r="M203" s="66">
        <f>'Project Database'!Q207</f>
        <v>0</v>
      </c>
      <c r="N203" s="66">
        <f>'Project Database'!R207</f>
        <v>0</v>
      </c>
      <c r="O203" s="66">
        <f>'Project Database'!S207</f>
        <v>0</v>
      </c>
      <c r="P203" s="66">
        <f>'Project Database'!T207</f>
        <v>0</v>
      </c>
      <c r="Q203" s="66">
        <f>'Project Database'!U207</f>
        <v>0</v>
      </c>
      <c r="R203" s="66">
        <f>'Project Database'!V207</f>
        <v>0</v>
      </c>
      <c r="S203" s="66">
        <f>'Project Database'!W207</f>
        <v>0</v>
      </c>
      <c r="T203" s="66">
        <f>'Project Database'!X207</f>
        <v>0</v>
      </c>
      <c r="U203" s="67">
        <f>'Project Database'!Y207</f>
        <v>0</v>
      </c>
      <c r="V203" s="66">
        <f>IF('Smart Search'!B13=1,IFERROR(1/'Smart Search'!H13,0),0)</f>
        <v>0</v>
      </c>
      <c r="W203" s="66">
        <f>IF('Smart Search'!B13=1,IFERROR(1/'Smart Search'!H13,0),0)</f>
        <v>0</v>
      </c>
      <c r="X203" s="66">
        <f>IF('Smart Search'!C13=1,IFERROR(1/'Smart Search'!H13,0),0)</f>
        <v>0.5</v>
      </c>
      <c r="Y203" s="66">
        <f>IF('Smart Search'!C13=1,IFERROR(1/'Smart Search'!H13,0),0)</f>
        <v>0.5</v>
      </c>
      <c r="Z203" s="66">
        <f>IF('Smart Search'!D13=1,IFERROR(1/'Smart Search'!H13,0),0)</f>
        <v>0</v>
      </c>
      <c r="AA203" s="66">
        <f>IF('Smart Search'!D13=1,IFERROR(1/'Smart Search'!H13,0),0)</f>
        <v>0</v>
      </c>
      <c r="AB203" s="66">
        <f>IF('Smart Search'!E13=1,IFERROR(1/'Smart Search'!H13,0),0)</f>
        <v>0</v>
      </c>
      <c r="AC203" s="66">
        <f>IF('Smart Search'!E13=1,IFERROR(1/'Smart Search'!H13,0),0)</f>
        <v>0</v>
      </c>
      <c r="AD203" s="66">
        <f>IF('Smart Search'!F13=1,IFERROR(1/'Smart Search'!H13,0),0)</f>
        <v>0</v>
      </c>
      <c r="AE203" s="66">
        <f>IF('Smart Search'!F13=1,IFERROR(1/'Smart Search'!H13,0),0)</f>
        <v>0</v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>0</v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>0</v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>0</v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>0</v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>0</v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>0</v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>0</v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>0</v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>0</v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>0</v>
      </c>
      <c r="AP203" s="66">
        <f t="shared" si="42"/>
        <v>0</v>
      </c>
      <c r="AQ203" s="66">
        <f t="shared" si="43"/>
        <v>0</v>
      </c>
      <c r="AR203" s="66">
        <f t="shared" si="44"/>
        <v>0</v>
      </c>
      <c r="AS203" s="66">
        <f t="shared" si="45"/>
        <v>0</v>
      </c>
      <c r="AT203" s="66">
        <f t="shared" si="46"/>
        <v>0</v>
      </c>
      <c r="AU203" s="66">
        <f t="shared" si="47"/>
        <v>0</v>
      </c>
      <c r="AV203" s="66">
        <f t="shared" si="48"/>
        <v>0</v>
      </c>
      <c r="AW203" s="66">
        <f t="shared" si="49"/>
        <v>0</v>
      </c>
      <c r="AX203" s="66">
        <f t="shared" si="50"/>
        <v>0</v>
      </c>
      <c r="AY203" s="66">
        <f t="shared" si="51"/>
        <v>0</v>
      </c>
      <c r="AZ203" s="66">
        <f>'Project Database'!Z207</f>
        <v>0</v>
      </c>
      <c r="BA203" s="66">
        <f>IF(OR(A203="",'Smart Search'!H13=0),"",MAX(0,BE203*BF203*MAX(0,1-BG203)))</f>
        <v>0</v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>0</v>
      </c>
      <c r="BC203" s="66">
        <f>IF('Smart Search'!G13=1,IFERROR(1/'Smart Search'!H13,0),0)</f>
        <v>0</v>
      </c>
      <c r="BD203" s="66">
        <f t="shared" si="52"/>
        <v>0</v>
      </c>
      <c r="BE203" s="66">
        <f t="shared" si="53"/>
        <v>0</v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>0</v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>0</v>
      </c>
      <c r="BH203" s="5" t="str">
        <f>IF(AND('Project Database'!A207&lt;&gt;"",OR('Smart Search'!$L$5="",'Smart Search'!$L$5="All",TRIM('Project Database'!D207)=TRIM('Smart Search'!$L$5)),OR(TRIM('Smart Search'!$L$6)="",TRIM('Smart Search'!$L$6)="All",ISNUMBER(SEARCH(SUBSTITUTE(SUBSTITUTE(SUBSTITUTE(TRIM('Smart Search'!$L$6),"~","~~"),"*","~*"),"?","~?"),'Project Database'!C207))),OR('Smart Search'!$L$7="",AND('Project Database'!E207&lt;&gt;"",'Project Database'!E207='Smart Search'!$L$7)),OR('Smart Search'!$L$8="",'Smart Search'!$L$8="All",TRIM('Project Database'!F207)=TRIM('Smart Search'!$L$8))),IF(BA203="","",BA203+ROW()*0.0000000001),"")</f>
        <v/>
      </c>
      <c r="BI203" s="5" t="str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 t="str">
        <f>IF('Project Database'!A207="","",N('Project Database'!AC207))</f>
        <v/>
      </c>
      <c r="BK203" s="5" t="str">
        <f>IF('Project Database'!A207="","",N('Project Database'!AD207))</f>
        <v/>
      </c>
      <c r="BL203" s="5" t="str">
        <f>IF('Project Database'!A207="","",N('Project Database'!AE207))</f>
        <v/>
      </c>
      <c r="BM203" s="5" t="str">
        <f>IF('Project Database'!A207="","",N('Project Database'!AF207))</f>
        <v/>
      </c>
      <c r="BN203" s="5" t="str">
        <f>IF('Project Database'!A207="","",N('Project Database'!AG207))</f>
        <v/>
      </c>
      <c r="BO203" s="5" t="str">
        <f>IF('Project Database'!A207="","",N('Project Database'!AH207))</f>
        <v/>
      </c>
      <c r="BP203" s="5" t="str">
        <f>IF('Project Database'!A207="","",N('Project Database'!AI207))</f>
        <v/>
      </c>
      <c r="BQ203" s="5" t="str">
        <f>IF('Project Database'!A207="","",N('Project Database'!AJ207))</f>
        <v/>
      </c>
      <c r="BR203" s="5" t="str">
        <f>IF('Project Database'!A207="","",N('Project Database'!AK207))</f>
        <v/>
      </c>
      <c r="BS203" s="5" t="str">
        <f>IF('Project Database'!A207="","",N('Project Database'!AL207))</f>
        <v/>
      </c>
      <c r="BT203" s="5" t="str">
        <f>IF('Project Database'!A207="","",N('Project Database'!AM207))</f>
        <v/>
      </c>
      <c r="BU203" s="5" t="str">
        <f>IF('Project Database'!A207="","",N('Project Database'!AN207))</f>
        <v/>
      </c>
      <c r="BV203" s="5" t="str">
        <f>IF('Project Database'!A207="","",N('Project Database'!AO207))</f>
        <v/>
      </c>
      <c r="BW203" s="5" t="str">
        <f>IF('Project Database'!A207="","",N('Project Database'!AP207))</f>
        <v/>
      </c>
      <c r="BX203" s="5">
        <f t="shared" si="54"/>
        <v>0</v>
      </c>
      <c r="BY203" s="5">
        <f t="shared" si="55"/>
        <v>0</v>
      </c>
    </row>
    <row r="204" spans="1:77" ht="15" customHeight="1" x14ac:dyDescent="0.3">
      <c r="A204" s="66">
        <f>'Project Database'!A208</f>
        <v>0</v>
      </c>
      <c r="B204" s="66">
        <f>'Project Database'!B208</f>
        <v>0</v>
      </c>
      <c r="C204" s="66">
        <f>'Project Database'!G208</f>
        <v>0</v>
      </c>
      <c r="D204" s="66">
        <f>'Project Database'!H208</f>
        <v>0</v>
      </c>
      <c r="E204" s="66">
        <f>'Project Database'!I208</f>
        <v>0</v>
      </c>
      <c r="F204" s="66">
        <f>'Project Database'!J208</f>
        <v>0</v>
      </c>
      <c r="G204" s="66">
        <f>'Project Database'!K208</f>
        <v>0</v>
      </c>
      <c r="H204" s="66">
        <f>'Project Database'!L208</f>
        <v>0</v>
      </c>
      <c r="I204" s="66">
        <f>'Project Database'!M208</f>
        <v>0</v>
      </c>
      <c r="J204" s="66">
        <f>'Project Database'!N208</f>
        <v>0</v>
      </c>
      <c r="K204" s="66">
        <f>'Project Database'!O208</f>
        <v>0</v>
      </c>
      <c r="L204" s="66">
        <f>'Project Database'!P208</f>
        <v>0</v>
      </c>
      <c r="M204" s="66">
        <f>'Project Database'!Q208</f>
        <v>0</v>
      </c>
      <c r="N204" s="66">
        <f>'Project Database'!R208</f>
        <v>0</v>
      </c>
      <c r="O204" s="66">
        <f>'Project Database'!S208</f>
        <v>0</v>
      </c>
      <c r="P204" s="66">
        <f>'Project Database'!T208</f>
        <v>0</v>
      </c>
      <c r="Q204" s="66">
        <f>'Project Database'!U208</f>
        <v>0</v>
      </c>
      <c r="R204" s="66">
        <f>'Project Database'!V208</f>
        <v>0</v>
      </c>
      <c r="S204" s="66">
        <f>'Project Database'!W208</f>
        <v>0</v>
      </c>
      <c r="T204" s="66">
        <f>'Project Database'!X208</f>
        <v>0</v>
      </c>
      <c r="U204" s="67">
        <f>'Project Database'!Y208</f>
        <v>0</v>
      </c>
      <c r="V204" s="66">
        <f>IF('Smart Search'!B13=1,IFERROR(1/'Smart Search'!H13,0),0)</f>
        <v>0</v>
      </c>
      <c r="W204" s="66">
        <f>IF('Smart Search'!B13=1,IFERROR(1/'Smart Search'!H13,0),0)</f>
        <v>0</v>
      </c>
      <c r="X204" s="66">
        <f>IF('Smart Search'!C13=1,IFERROR(1/'Smart Search'!H13,0),0)</f>
        <v>0.5</v>
      </c>
      <c r="Y204" s="66">
        <f>IF('Smart Search'!C13=1,IFERROR(1/'Smart Search'!H13,0),0)</f>
        <v>0.5</v>
      </c>
      <c r="Z204" s="66">
        <f>IF('Smart Search'!D13=1,IFERROR(1/'Smart Search'!H13,0),0)</f>
        <v>0</v>
      </c>
      <c r="AA204" s="66">
        <f>IF('Smart Search'!D13=1,IFERROR(1/'Smart Search'!H13,0),0)</f>
        <v>0</v>
      </c>
      <c r="AB204" s="66">
        <f>IF('Smart Search'!E13=1,IFERROR(1/'Smart Search'!H13,0),0)</f>
        <v>0</v>
      </c>
      <c r="AC204" s="66">
        <f>IF('Smart Search'!E13=1,IFERROR(1/'Smart Search'!H13,0),0)</f>
        <v>0</v>
      </c>
      <c r="AD204" s="66">
        <f>IF('Smart Search'!F13=1,IFERROR(1/'Smart Search'!H13,0),0)</f>
        <v>0</v>
      </c>
      <c r="AE204" s="66">
        <f>IF('Smart Search'!F13=1,IFERROR(1/'Smart Search'!H13,0),0)</f>
        <v>0</v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>0</v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>0</v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>0</v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>0</v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>0</v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>0</v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>0</v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>0</v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>0</v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>0</v>
      </c>
      <c r="AP204" s="66">
        <f t="shared" si="42"/>
        <v>0</v>
      </c>
      <c r="AQ204" s="66">
        <f t="shared" si="43"/>
        <v>0</v>
      </c>
      <c r="AR204" s="66">
        <f t="shared" si="44"/>
        <v>0</v>
      </c>
      <c r="AS204" s="66">
        <f t="shared" si="45"/>
        <v>0</v>
      </c>
      <c r="AT204" s="66">
        <f t="shared" si="46"/>
        <v>0</v>
      </c>
      <c r="AU204" s="66">
        <f t="shared" si="47"/>
        <v>0</v>
      </c>
      <c r="AV204" s="66">
        <f t="shared" si="48"/>
        <v>0</v>
      </c>
      <c r="AW204" s="66">
        <f t="shared" si="49"/>
        <v>0</v>
      </c>
      <c r="AX204" s="66">
        <f t="shared" si="50"/>
        <v>0</v>
      </c>
      <c r="AY204" s="66">
        <f t="shared" si="51"/>
        <v>0</v>
      </c>
      <c r="AZ204" s="66">
        <f>'Project Database'!Z208</f>
        <v>0</v>
      </c>
      <c r="BA204" s="66">
        <f>IF(OR(A204="",'Smart Search'!H13=0),"",MAX(0,BE204*BF204*MAX(0,1-BG204)))</f>
        <v>0</v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>0</v>
      </c>
      <c r="BC204" s="66">
        <f>IF('Smart Search'!G13=1,IFERROR(1/'Smart Search'!H13,0),0)</f>
        <v>0</v>
      </c>
      <c r="BD204" s="66">
        <f t="shared" si="52"/>
        <v>0</v>
      </c>
      <c r="BE204" s="66">
        <f t="shared" si="53"/>
        <v>0</v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>0</v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>0</v>
      </c>
      <c r="BH204" s="5" t="str">
        <f>IF(AND('Project Database'!A208&lt;&gt;"",OR('Smart Search'!$L$5="",'Smart Search'!$L$5="All",TRIM('Project Database'!D208)=TRIM('Smart Search'!$L$5)),OR(TRIM('Smart Search'!$L$6)="",TRIM('Smart Search'!$L$6)="All",ISNUMBER(SEARCH(SUBSTITUTE(SUBSTITUTE(SUBSTITUTE(TRIM('Smart Search'!$L$6),"~","~~"),"*","~*"),"?","~?"),'Project Database'!C208))),OR('Smart Search'!$L$7="",AND('Project Database'!E208&lt;&gt;"",'Project Database'!E208='Smart Search'!$L$7)),OR('Smart Search'!$L$8="",'Smart Search'!$L$8="All",TRIM('Project Database'!F208)=TRIM('Smart Search'!$L$8))),IF(BA204="","",BA204+ROW()*0.0000000001),"")</f>
        <v/>
      </c>
      <c r="BI204" s="5" t="str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 t="str">
        <f>IF('Project Database'!A208="","",N('Project Database'!AC208))</f>
        <v/>
      </c>
      <c r="BK204" s="5" t="str">
        <f>IF('Project Database'!A208="","",N('Project Database'!AD208))</f>
        <v/>
      </c>
      <c r="BL204" s="5" t="str">
        <f>IF('Project Database'!A208="","",N('Project Database'!AE208))</f>
        <v/>
      </c>
      <c r="BM204" s="5" t="str">
        <f>IF('Project Database'!A208="","",N('Project Database'!AF208))</f>
        <v/>
      </c>
      <c r="BN204" s="5" t="str">
        <f>IF('Project Database'!A208="","",N('Project Database'!AG208))</f>
        <v/>
      </c>
      <c r="BO204" s="5" t="str">
        <f>IF('Project Database'!A208="","",N('Project Database'!AH208))</f>
        <v/>
      </c>
      <c r="BP204" s="5" t="str">
        <f>IF('Project Database'!A208="","",N('Project Database'!AI208))</f>
        <v/>
      </c>
      <c r="BQ204" s="5" t="str">
        <f>IF('Project Database'!A208="","",N('Project Database'!AJ208))</f>
        <v/>
      </c>
      <c r="BR204" s="5" t="str">
        <f>IF('Project Database'!A208="","",N('Project Database'!AK208))</f>
        <v/>
      </c>
      <c r="BS204" s="5" t="str">
        <f>IF('Project Database'!A208="","",N('Project Database'!AL208))</f>
        <v/>
      </c>
      <c r="BT204" s="5" t="str">
        <f>IF('Project Database'!A208="","",N('Project Database'!AM208))</f>
        <v/>
      </c>
      <c r="BU204" s="5" t="str">
        <f>IF('Project Database'!A208="","",N('Project Database'!AN208))</f>
        <v/>
      </c>
      <c r="BV204" s="5" t="str">
        <f>IF('Project Database'!A208="","",N('Project Database'!AO208))</f>
        <v/>
      </c>
      <c r="BW204" s="5" t="str">
        <f>IF('Project Database'!A208="","",N('Project Database'!AP208))</f>
        <v/>
      </c>
      <c r="BX204" s="5">
        <f t="shared" si="54"/>
        <v>0</v>
      </c>
      <c r="BY204" s="5">
        <f t="shared" si="55"/>
        <v>0</v>
      </c>
    </row>
    <row r="205" spans="1:77" ht="15" customHeight="1" x14ac:dyDescent="0.3">
      <c r="A205" s="66">
        <f>'Project Database'!A209</f>
        <v>0</v>
      </c>
      <c r="B205" s="66">
        <f>'Project Database'!B209</f>
        <v>0</v>
      </c>
      <c r="C205" s="66">
        <f>'Project Database'!G209</f>
        <v>0</v>
      </c>
      <c r="D205" s="66">
        <f>'Project Database'!H209</f>
        <v>0</v>
      </c>
      <c r="E205" s="66">
        <f>'Project Database'!I209</f>
        <v>0</v>
      </c>
      <c r="F205" s="66">
        <f>'Project Database'!J209</f>
        <v>0</v>
      </c>
      <c r="G205" s="66">
        <f>'Project Database'!K209</f>
        <v>0</v>
      </c>
      <c r="H205" s="66">
        <f>'Project Database'!L209</f>
        <v>0</v>
      </c>
      <c r="I205" s="66">
        <f>'Project Database'!M209</f>
        <v>0</v>
      </c>
      <c r="J205" s="66">
        <f>'Project Database'!N209</f>
        <v>0</v>
      </c>
      <c r="K205" s="66">
        <f>'Project Database'!O209</f>
        <v>0</v>
      </c>
      <c r="L205" s="66">
        <f>'Project Database'!P209</f>
        <v>0</v>
      </c>
      <c r="M205" s="66">
        <f>'Project Database'!Q209</f>
        <v>0</v>
      </c>
      <c r="N205" s="66">
        <f>'Project Database'!R209</f>
        <v>0</v>
      </c>
      <c r="O205" s="66">
        <f>'Project Database'!S209</f>
        <v>0</v>
      </c>
      <c r="P205" s="66">
        <f>'Project Database'!T209</f>
        <v>0</v>
      </c>
      <c r="Q205" s="66">
        <f>'Project Database'!U209</f>
        <v>0</v>
      </c>
      <c r="R205" s="66">
        <f>'Project Database'!V209</f>
        <v>0</v>
      </c>
      <c r="S205" s="66">
        <f>'Project Database'!W209</f>
        <v>0</v>
      </c>
      <c r="T205" s="66">
        <f>'Project Database'!X209</f>
        <v>0</v>
      </c>
      <c r="U205" s="67">
        <f>'Project Database'!Y209</f>
        <v>0</v>
      </c>
      <c r="V205" s="66">
        <f>IF('Smart Search'!B13=1,IFERROR(1/'Smart Search'!H13,0),0)</f>
        <v>0</v>
      </c>
      <c r="W205" s="66">
        <f>IF('Smart Search'!B13=1,IFERROR(1/'Smart Search'!H13,0),0)</f>
        <v>0</v>
      </c>
      <c r="X205" s="66">
        <f>IF('Smart Search'!C13=1,IFERROR(1/'Smart Search'!H13,0),0)</f>
        <v>0.5</v>
      </c>
      <c r="Y205" s="66">
        <f>IF('Smart Search'!C13=1,IFERROR(1/'Smart Search'!H13,0),0)</f>
        <v>0.5</v>
      </c>
      <c r="Z205" s="66">
        <f>IF('Smart Search'!D13=1,IFERROR(1/'Smart Search'!H13,0),0)</f>
        <v>0</v>
      </c>
      <c r="AA205" s="66">
        <f>IF('Smart Search'!D13=1,IFERROR(1/'Smart Search'!H13,0),0)</f>
        <v>0</v>
      </c>
      <c r="AB205" s="66">
        <f>IF('Smart Search'!E13=1,IFERROR(1/'Smart Search'!H13,0),0)</f>
        <v>0</v>
      </c>
      <c r="AC205" s="66">
        <f>IF('Smart Search'!E13=1,IFERROR(1/'Smart Search'!H13,0),0)</f>
        <v>0</v>
      </c>
      <c r="AD205" s="66">
        <f>IF('Smart Search'!F13=1,IFERROR(1/'Smart Search'!H13,0),0)</f>
        <v>0</v>
      </c>
      <c r="AE205" s="66">
        <f>IF('Smart Search'!F13=1,IFERROR(1/'Smart Search'!H13,0),0)</f>
        <v>0</v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>0</v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>0</v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>0</v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>0</v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>0</v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>0</v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>0</v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>0</v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>0</v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>0</v>
      </c>
      <c r="AP205" s="66">
        <f t="shared" si="42"/>
        <v>0</v>
      </c>
      <c r="AQ205" s="66">
        <f t="shared" si="43"/>
        <v>0</v>
      </c>
      <c r="AR205" s="66">
        <f t="shared" si="44"/>
        <v>0</v>
      </c>
      <c r="AS205" s="66">
        <f t="shared" si="45"/>
        <v>0</v>
      </c>
      <c r="AT205" s="66">
        <f t="shared" si="46"/>
        <v>0</v>
      </c>
      <c r="AU205" s="66">
        <f t="shared" si="47"/>
        <v>0</v>
      </c>
      <c r="AV205" s="66">
        <f t="shared" si="48"/>
        <v>0</v>
      </c>
      <c r="AW205" s="66">
        <f t="shared" si="49"/>
        <v>0</v>
      </c>
      <c r="AX205" s="66">
        <f t="shared" si="50"/>
        <v>0</v>
      </c>
      <c r="AY205" s="66">
        <f t="shared" si="51"/>
        <v>0</v>
      </c>
      <c r="AZ205" s="66">
        <f>'Project Database'!Z209</f>
        <v>0</v>
      </c>
      <c r="BA205" s="66">
        <f>IF(OR(A205="",'Smart Search'!H13=0),"",MAX(0,BE205*BF205*MAX(0,1-BG205)))</f>
        <v>0</v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>0</v>
      </c>
      <c r="BC205" s="66">
        <f>IF('Smart Search'!G13=1,IFERROR(1/'Smart Search'!H13,0),0)</f>
        <v>0</v>
      </c>
      <c r="BD205" s="66">
        <f t="shared" si="52"/>
        <v>0</v>
      </c>
      <c r="BE205" s="66">
        <f t="shared" si="53"/>
        <v>0</v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>0</v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>0</v>
      </c>
      <c r="BH205" s="5" t="str">
        <f>IF(AND('Project Database'!A209&lt;&gt;"",OR('Smart Search'!$L$5="",'Smart Search'!$L$5="All",TRIM('Project Database'!D209)=TRIM('Smart Search'!$L$5)),OR(TRIM('Smart Search'!$L$6)="",TRIM('Smart Search'!$L$6)="All",ISNUMBER(SEARCH(SUBSTITUTE(SUBSTITUTE(SUBSTITUTE(TRIM('Smart Search'!$L$6),"~","~~"),"*","~*"),"?","~?"),'Project Database'!C209))),OR('Smart Search'!$L$7="",AND('Project Database'!E209&lt;&gt;"",'Project Database'!E209='Smart Search'!$L$7)),OR('Smart Search'!$L$8="",'Smart Search'!$L$8="All",TRIM('Project Database'!F209)=TRIM('Smart Search'!$L$8))),IF(BA205="","",BA205+ROW()*0.0000000001),"")</f>
        <v/>
      </c>
      <c r="BI205" s="5" t="str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 t="str">
        <f>IF('Project Database'!A209="","",N('Project Database'!AC209))</f>
        <v/>
      </c>
      <c r="BK205" s="5" t="str">
        <f>IF('Project Database'!A209="","",N('Project Database'!AD209))</f>
        <v/>
      </c>
      <c r="BL205" s="5" t="str">
        <f>IF('Project Database'!A209="","",N('Project Database'!AE209))</f>
        <v/>
      </c>
      <c r="BM205" s="5" t="str">
        <f>IF('Project Database'!A209="","",N('Project Database'!AF209))</f>
        <v/>
      </c>
      <c r="BN205" s="5" t="str">
        <f>IF('Project Database'!A209="","",N('Project Database'!AG209))</f>
        <v/>
      </c>
      <c r="BO205" s="5" t="str">
        <f>IF('Project Database'!A209="","",N('Project Database'!AH209))</f>
        <v/>
      </c>
      <c r="BP205" s="5" t="str">
        <f>IF('Project Database'!A209="","",N('Project Database'!AI209))</f>
        <v/>
      </c>
      <c r="BQ205" s="5" t="str">
        <f>IF('Project Database'!A209="","",N('Project Database'!AJ209))</f>
        <v/>
      </c>
      <c r="BR205" s="5" t="str">
        <f>IF('Project Database'!A209="","",N('Project Database'!AK209))</f>
        <v/>
      </c>
      <c r="BS205" s="5" t="str">
        <f>IF('Project Database'!A209="","",N('Project Database'!AL209))</f>
        <v/>
      </c>
      <c r="BT205" s="5" t="str">
        <f>IF('Project Database'!A209="","",N('Project Database'!AM209))</f>
        <v/>
      </c>
      <c r="BU205" s="5" t="str">
        <f>IF('Project Database'!A209="","",N('Project Database'!AN209))</f>
        <v/>
      </c>
      <c r="BV205" s="5" t="str">
        <f>IF('Project Database'!A209="","",N('Project Database'!AO209))</f>
        <v/>
      </c>
      <c r="BW205" s="5" t="str">
        <f>IF('Project Database'!A209="","",N('Project Database'!AP209))</f>
        <v/>
      </c>
      <c r="BX205" s="5">
        <f t="shared" si="54"/>
        <v>0</v>
      </c>
      <c r="BY205" s="5">
        <f t="shared" si="55"/>
        <v>0</v>
      </c>
    </row>
    <row r="206" spans="1:77" ht="15" customHeight="1" x14ac:dyDescent="0.3">
      <c r="A206" s="66">
        <f>'Project Database'!A210</f>
        <v>0</v>
      </c>
      <c r="B206" s="66">
        <f>'Project Database'!B210</f>
        <v>0</v>
      </c>
      <c r="C206" s="66">
        <f>'Project Database'!G210</f>
        <v>0</v>
      </c>
      <c r="D206" s="66">
        <f>'Project Database'!H210</f>
        <v>0</v>
      </c>
      <c r="E206" s="66">
        <f>'Project Database'!I210</f>
        <v>0</v>
      </c>
      <c r="F206" s="66">
        <f>'Project Database'!J210</f>
        <v>0</v>
      </c>
      <c r="G206" s="66">
        <f>'Project Database'!K210</f>
        <v>0</v>
      </c>
      <c r="H206" s="66">
        <f>'Project Database'!L210</f>
        <v>0</v>
      </c>
      <c r="I206" s="66">
        <f>'Project Database'!M210</f>
        <v>0</v>
      </c>
      <c r="J206" s="66">
        <f>'Project Database'!N210</f>
        <v>0</v>
      </c>
      <c r="K206" s="66">
        <f>'Project Database'!O210</f>
        <v>0</v>
      </c>
      <c r="L206" s="66">
        <f>'Project Database'!P210</f>
        <v>0</v>
      </c>
      <c r="M206" s="66">
        <f>'Project Database'!Q210</f>
        <v>0</v>
      </c>
      <c r="N206" s="66">
        <f>'Project Database'!R210</f>
        <v>0</v>
      </c>
      <c r="O206" s="66">
        <f>'Project Database'!S210</f>
        <v>0</v>
      </c>
      <c r="P206" s="66">
        <f>'Project Database'!T210</f>
        <v>0</v>
      </c>
      <c r="Q206" s="66">
        <f>'Project Database'!U210</f>
        <v>0</v>
      </c>
      <c r="R206" s="66">
        <f>'Project Database'!V210</f>
        <v>0</v>
      </c>
      <c r="S206" s="66">
        <f>'Project Database'!W210</f>
        <v>0</v>
      </c>
      <c r="T206" s="66">
        <f>'Project Database'!X210</f>
        <v>0</v>
      </c>
      <c r="U206" s="67">
        <f>'Project Database'!Y210</f>
        <v>0</v>
      </c>
      <c r="V206" s="66">
        <f>IF('Smart Search'!B13=1,IFERROR(1/'Smart Search'!H13,0),0)</f>
        <v>0</v>
      </c>
      <c r="W206" s="66">
        <f>IF('Smart Search'!B13=1,IFERROR(1/'Smart Search'!H13,0),0)</f>
        <v>0</v>
      </c>
      <c r="X206" s="66">
        <f>IF('Smart Search'!C13=1,IFERROR(1/'Smart Search'!H13,0),0)</f>
        <v>0.5</v>
      </c>
      <c r="Y206" s="66">
        <f>IF('Smart Search'!C13=1,IFERROR(1/'Smart Search'!H13,0),0)</f>
        <v>0.5</v>
      </c>
      <c r="Z206" s="66">
        <f>IF('Smart Search'!D13=1,IFERROR(1/'Smart Search'!H13,0),0)</f>
        <v>0</v>
      </c>
      <c r="AA206" s="66">
        <f>IF('Smart Search'!D13=1,IFERROR(1/'Smart Search'!H13,0),0)</f>
        <v>0</v>
      </c>
      <c r="AB206" s="66">
        <f>IF('Smart Search'!E13=1,IFERROR(1/'Smart Search'!H13,0),0)</f>
        <v>0</v>
      </c>
      <c r="AC206" s="66">
        <f>IF('Smart Search'!E13=1,IFERROR(1/'Smart Search'!H13,0),0)</f>
        <v>0</v>
      </c>
      <c r="AD206" s="66">
        <f>IF('Smart Search'!F13=1,IFERROR(1/'Smart Search'!H13,0),0)</f>
        <v>0</v>
      </c>
      <c r="AE206" s="66">
        <f>IF('Smart Search'!F13=1,IFERROR(1/'Smart Search'!H13,0),0)</f>
        <v>0</v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>0</v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>0</v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>0</v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>0</v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>0</v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>0</v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>0</v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>0</v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>0</v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>0</v>
      </c>
      <c r="AP206" s="66">
        <f t="shared" si="42"/>
        <v>0</v>
      </c>
      <c r="AQ206" s="66">
        <f t="shared" si="43"/>
        <v>0</v>
      </c>
      <c r="AR206" s="66">
        <f t="shared" si="44"/>
        <v>0</v>
      </c>
      <c r="AS206" s="66">
        <f t="shared" si="45"/>
        <v>0</v>
      </c>
      <c r="AT206" s="66">
        <f t="shared" si="46"/>
        <v>0</v>
      </c>
      <c r="AU206" s="66">
        <f t="shared" si="47"/>
        <v>0</v>
      </c>
      <c r="AV206" s="66">
        <f t="shared" si="48"/>
        <v>0</v>
      </c>
      <c r="AW206" s="66">
        <f t="shared" si="49"/>
        <v>0</v>
      </c>
      <c r="AX206" s="66">
        <f t="shared" si="50"/>
        <v>0</v>
      </c>
      <c r="AY206" s="66">
        <f t="shared" si="51"/>
        <v>0</v>
      </c>
      <c r="AZ206" s="66">
        <f>'Project Database'!Z210</f>
        <v>0</v>
      </c>
      <c r="BA206" s="66">
        <f>IF(OR(A206="",'Smart Search'!H13=0),"",MAX(0,BE206*BF206*MAX(0,1-BG206)))</f>
        <v>0</v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>0</v>
      </c>
      <c r="BC206" s="66">
        <f>IF('Smart Search'!G13=1,IFERROR(1/'Smart Search'!H13,0),0)</f>
        <v>0</v>
      </c>
      <c r="BD206" s="66">
        <f t="shared" si="52"/>
        <v>0</v>
      </c>
      <c r="BE206" s="66">
        <f t="shared" si="53"/>
        <v>0</v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>0</v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>0</v>
      </c>
      <c r="BH206" s="5" t="str">
        <f>IF(AND('Project Database'!A210&lt;&gt;"",OR('Smart Search'!$L$5="",'Smart Search'!$L$5="All",TRIM('Project Database'!D210)=TRIM('Smart Search'!$L$5)),OR(TRIM('Smart Search'!$L$6)="",TRIM('Smart Search'!$L$6)="All",ISNUMBER(SEARCH(SUBSTITUTE(SUBSTITUTE(SUBSTITUTE(TRIM('Smart Search'!$L$6),"~","~~"),"*","~*"),"?","~?"),'Project Database'!C210))),OR('Smart Search'!$L$7="",AND('Project Database'!E210&lt;&gt;"",'Project Database'!E210='Smart Search'!$L$7)),OR('Smart Search'!$L$8="",'Smart Search'!$L$8="All",TRIM('Project Database'!F210)=TRIM('Smart Search'!$L$8))),IF(BA206="","",BA206+ROW()*0.0000000001),"")</f>
        <v/>
      </c>
      <c r="BI206" s="5" t="str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 t="str">
        <f>IF('Project Database'!A210="","",N('Project Database'!AC210))</f>
        <v/>
      </c>
      <c r="BK206" s="5" t="str">
        <f>IF('Project Database'!A210="","",N('Project Database'!AD210))</f>
        <v/>
      </c>
      <c r="BL206" s="5" t="str">
        <f>IF('Project Database'!A210="","",N('Project Database'!AE210))</f>
        <v/>
      </c>
      <c r="BM206" s="5" t="str">
        <f>IF('Project Database'!A210="","",N('Project Database'!AF210))</f>
        <v/>
      </c>
      <c r="BN206" s="5" t="str">
        <f>IF('Project Database'!A210="","",N('Project Database'!AG210))</f>
        <v/>
      </c>
      <c r="BO206" s="5" t="str">
        <f>IF('Project Database'!A210="","",N('Project Database'!AH210))</f>
        <v/>
      </c>
      <c r="BP206" s="5" t="str">
        <f>IF('Project Database'!A210="","",N('Project Database'!AI210))</f>
        <v/>
      </c>
      <c r="BQ206" s="5" t="str">
        <f>IF('Project Database'!A210="","",N('Project Database'!AJ210))</f>
        <v/>
      </c>
      <c r="BR206" s="5" t="str">
        <f>IF('Project Database'!A210="","",N('Project Database'!AK210))</f>
        <v/>
      </c>
      <c r="BS206" s="5" t="str">
        <f>IF('Project Database'!A210="","",N('Project Database'!AL210))</f>
        <v/>
      </c>
      <c r="BT206" s="5" t="str">
        <f>IF('Project Database'!A210="","",N('Project Database'!AM210))</f>
        <v/>
      </c>
      <c r="BU206" s="5" t="str">
        <f>IF('Project Database'!A210="","",N('Project Database'!AN210))</f>
        <v/>
      </c>
      <c r="BV206" s="5" t="str">
        <f>IF('Project Database'!A210="","",N('Project Database'!AO210))</f>
        <v/>
      </c>
      <c r="BW206" s="5" t="str">
        <f>IF('Project Database'!A210="","",N('Project Database'!AP210))</f>
        <v/>
      </c>
      <c r="BX206" s="5">
        <f t="shared" si="54"/>
        <v>0</v>
      </c>
      <c r="BY206" s="5">
        <f t="shared" si="55"/>
        <v>0</v>
      </c>
    </row>
    <row r="207" spans="1:77" ht="15" customHeight="1" x14ac:dyDescent="0.3">
      <c r="A207" s="66">
        <f>'Project Database'!A211</f>
        <v>0</v>
      </c>
      <c r="B207" s="66">
        <f>'Project Database'!B211</f>
        <v>0</v>
      </c>
      <c r="C207" s="66">
        <f>'Project Database'!G211</f>
        <v>0</v>
      </c>
      <c r="D207" s="66">
        <f>'Project Database'!H211</f>
        <v>0</v>
      </c>
      <c r="E207" s="66">
        <f>'Project Database'!I211</f>
        <v>0</v>
      </c>
      <c r="F207" s="66">
        <f>'Project Database'!J211</f>
        <v>0</v>
      </c>
      <c r="G207" s="66">
        <f>'Project Database'!K211</f>
        <v>0</v>
      </c>
      <c r="H207" s="66">
        <f>'Project Database'!L211</f>
        <v>0</v>
      </c>
      <c r="I207" s="66">
        <f>'Project Database'!M211</f>
        <v>0</v>
      </c>
      <c r="J207" s="66">
        <f>'Project Database'!N211</f>
        <v>0</v>
      </c>
      <c r="K207" s="66">
        <f>'Project Database'!O211</f>
        <v>0</v>
      </c>
      <c r="L207" s="66">
        <f>'Project Database'!P211</f>
        <v>0</v>
      </c>
      <c r="M207" s="66">
        <f>'Project Database'!Q211</f>
        <v>0</v>
      </c>
      <c r="N207" s="66">
        <f>'Project Database'!R211</f>
        <v>0</v>
      </c>
      <c r="O207" s="66">
        <f>'Project Database'!S211</f>
        <v>0</v>
      </c>
      <c r="P207" s="66">
        <f>'Project Database'!T211</f>
        <v>0</v>
      </c>
      <c r="Q207" s="66">
        <f>'Project Database'!U211</f>
        <v>0</v>
      </c>
      <c r="R207" s="66">
        <f>'Project Database'!V211</f>
        <v>0</v>
      </c>
      <c r="S207" s="66">
        <f>'Project Database'!W211</f>
        <v>0</v>
      </c>
      <c r="T207" s="66">
        <f>'Project Database'!X211</f>
        <v>0</v>
      </c>
      <c r="U207" s="67">
        <f>'Project Database'!Y211</f>
        <v>0</v>
      </c>
      <c r="V207" s="66">
        <f>IF('Smart Search'!B13=1,IFERROR(1/'Smart Search'!H13,0),0)</f>
        <v>0</v>
      </c>
      <c r="W207" s="66">
        <f>IF('Smart Search'!B13=1,IFERROR(1/'Smart Search'!H13,0),0)</f>
        <v>0</v>
      </c>
      <c r="X207" s="66">
        <f>IF('Smart Search'!C13=1,IFERROR(1/'Smart Search'!H13,0),0)</f>
        <v>0.5</v>
      </c>
      <c r="Y207" s="66">
        <f>IF('Smart Search'!C13=1,IFERROR(1/'Smart Search'!H13,0),0)</f>
        <v>0.5</v>
      </c>
      <c r="Z207" s="66">
        <f>IF('Smart Search'!D13=1,IFERROR(1/'Smart Search'!H13,0),0)</f>
        <v>0</v>
      </c>
      <c r="AA207" s="66">
        <f>IF('Smart Search'!D13=1,IFERROR(1/'Smart Search'!H13,0),0)</f>
        <v>0</v>
      </c>
      <c r="AB207" s="66">
        <f>IF('Smart Search'!E13=1,IFERROR(1/'Smart Search'!H13,0),0)</f>
        <v>0</v>
      </c>
      <c r="AC207" s="66">
        <f>IF('Smart Search'!E13=1,IFERROR(1/'Smart Search'!H13,0),0)</f>
        <v>0</v>
      </c>
      <c r="AD207" s="66">
        <f>IF('Smart Search'!F13=1,IFERROR(1/'Smart Search'!H13,0),0)</f>
        <v>0</v>
      </c>
      <c r="AE207" s="66">
        <f>IF('Smart Search'!F13=1,IFERROR(1/'Smart Search'!H13,0),0)</f>
        <v>0</v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>0</v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>0</v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>0</v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>0</v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>0</v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>0</v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>0</v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>0</v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>0</v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>0</v>
      </c>
      <c r="AP207" s="66">
        <f t="shared" si="42"/>
        <v>0</v>
      </c>
      <c r="AQ207" s="66">
        <f t="shared" si="43"/>
        <v>0</v>
      </c>
      <c r="AR207" s="66">
        <f t="shared" si="44"/>
        <v>0</v>
      </c>
      <c r="AS207" s="66">
        <f t="shared" si="45"/>
        <v>0</v>
      </c>
      <c r="AT207" s="66">
        <f t="shared" si="46"/>
        <v>0</v>
      </c>
      <c r="AU207" s="66">
        <f t="shared" si="47"/>
        <v>0</v>
      </c>
      <c r="AV207" s="66">
        <f t="shared" si="48"/>
        <v>0</v>
      </c>
      <c r="AW207" s="66">
        <f t="shared" si="49"/>
        <v>0</v>
      </c>
      <c r="AX207" s="66">
        <f t="shared" si="50"/>
        <v>0</v>
      </c>
      <c r="AY207" s="66">
        <f t="shared" si="51"/>
        <v>0</v>
      </c>
      <c r="AZ207" s="66">
        <f>'Project Database'!Z211</f>
        <v>0</v>
      </c>
      <c r="BA207" s="66">
        <f>IF(OR(A207="",'Smart Search'!H13=0),"",MAX(0,BE207*BF207*MAX(0,1-BG207)))</f>
        <v>0</v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>0</v>
      </c>
      <c r="BC207" s="66">
        <f>IF('Smart Search'!G13=1,IFERROR(1/'Smart Search'!H13,0),0)</f>
        <v>0</v>
      </c>
      <c r="BD207" s="66">
        <f t="shared" si="52"/>
        <v>0</v>
      </c>
      <c r="BE207" s="66">
        <f t="shared" si="53"/>
        <v>0</v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>0</v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>0</v>
      </c>
      <c r="BH207" s="5" t="str">
        <f>IF(AND('Project Database'!A211&lt;&gt;"",OR('Smart Search'!$L$5="",'Smart Search'!$L$5="All",TRIM('Project Database'!D211)=TRIM('Smart Search'!$L$5)),OR(TRIM('Smart Search'!$L$6)="",TRIM('Smart Search'!$L$6)="All",ISNUMBER(SEARCH(SUBSTITUTE(SUBSTITUTE(SUBSTITUTE(TRIM('Smart Search'!$L$6),"~","~~"),"*","~*"),"?","~?"),'Project Database'!C211))),OR('Smart Search'!$L$7="",AND('Project Database'!E211&lt;&gt;"",'Project Database'!E211='Smart Search'!$L$7)),OR('Smart Search'!$L$8="",'Smart Search'!$L$8="All",TRIM('Project Database'!F211)=TRIM('Smart Search'!$L$8))),IF(BA207="","",BA207+ROW()*0.0000000001),"")</f>
        <v/>
      </c>
      <c r="BI207" s="5" t="str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 t="str">
        <f>IF('Project Database'!A211="","",N('Project Database'!AC211))</f>
        <v/>
      </c>
      <c r="BK207" s="5" t="str">
        <f>IF('Project Database'!A211="","",N('Project Database'!AD211))</f>
        <v/>
      </c>
      <c r="BL207" s="5" t="str">
        <f>IF('Project Database'!A211="","",N('Project Database'!AE211))</f>
        <v/>
      </c>
      <c r="BM207" s="5" t="str">
        <f>IF('Project Database'!A211="","",N('Project Database'!AF211))</f>
        <v/>
      </c>
      <c r="BN207" s="5" t="str">
        <f>IF('Project Database'!A211="","",N('Project Database'!AG211))</f>
        <v/>
      </c>
      <c r="BO207" s="5" t="str">
        <f>IF('Project Database'!A211="","",N('Project Database'!AH211))</f>
        <v/>
      </c>
      <c r="BP207" s="5" t="str">
        <f>IF('Project Database'!A211="","",N('Project Database'!AI211))</f>
        <v/>
      </c>
      <c r="BQ207" s="5" t="str">
        <f>IF('Project Database'!A211="","",N('Project Database'!AJ211))</f>
        <v/>
      </c>
      <c r="BR207" s="5" t="str">
        <f>IF('Project Database'!A211="","",N('Project Database'!AK211))</f>
        <v/>
      </c>
      <c r="BS207" s="5" t="str">
        <f>IF('Project Database'!A211="","",N('Project Database'!AL211))</f>
        <v/>
      </c>
      <c r="BT207" s="5" t="str">
        <f>IF('Project Database'!A211="","",N('Project Database'!AM211))</f>
        <v/>
      </c>
      <c r="BU207" s="5" t="str">
        <f>IF('Project Database'!A211="","",N('Project Database'!AN211))</f>
        <v/>
      </c>
      <c r="BV207" s="5" t="str">
        <f>IF('Project Database'!A211="","",N('Project Database'!AO211))</f>
        <v/>
      </c>
      <c r="BW207" s="5" t="str">
        <f>IF('Project Database'!A211="","",N('Project Database'!AP211))</f>
        <v/>
      </c>
      <c r="BX207" s="5">
        <f t="shared" si="54"/>
        <v>0</v>
      </c>
      <c r="BY207" s="5">
        <f t="shared" si="55"/>
        <v>0</v>
      </c>
    </row>
    <row r="208" spans="1:77" ht="15" customHeight="1" x14ac:dyDescent="0.3">
      <c r="A208" s="66">
        <f>'Project Database'!A212</f>
        <v>0</v>
      </c>
      <c r="B208" s="66">
        <f>'Project Database'!B212</f>
        <v>0</v>
      </c>
      <c r="C208" s="66">
        <f>'Project Database'!G212</f>
        <v>0</v>
      </c>
      <c r="D208" s="66">
        <f>'Project Database'!H212</f>
        <v>0</v>
      </c>
      <c r="E208" s="66">
        <f>'Project Database'!I212</f>
        <v>0</v>
      </c>
      <c r="F208" s="66">
        <f>'Project Database'!J212</f>
        <v>0</v>
      </c>
      <c r="G208" s="66">
        <f>'Project Database'!K212</f>
        <v>0</v>
      </c>
      <c r="H208" s="66">
        <f>'Project Database'!L212</f>
        <v>0</v>
      </c>
      <c r="I208" s="66">
        <f>'Project Database'!M212</f>
        <v>0</v>
      </c>
      <c r="J208" s="66">
        <f>'Project Database'!N212</f>
        <v>0</v>
      </c>
      <c r="K208" s="66">
        <f>'Project Database'!O212</f>
        <v>0</v>
      </c>
      <c r="L208" s="66">
        <f>'Project Database'!P212</f>
        <v>0</v>
      </c>
      <c r="M208" s="66">
        <f>'Project Database'!Q212</f>
        <v>0</v>
      </c>
      <c r="N208" s="66">
        <f>'Project Database'!R212</f>
        <v>0</v>
      </c>
      <c r="O208" s="66">
        <f>'Project Database'!S212</f>
        <v>0</v>
      </c>
      <c r="P208" s="66">
        <f>'Project Database'!T212</f>
        <v>0</v>
      </c>
      <c r="Q208" s="66">
        <f>'Project Database'!U212</f>
        <v>0</v>
      </c>
      <c r="R208" s="66">
        <f>'Project Database'!V212</f>
        <v>0</v>
      </c>
      <c r="S208" s="66">
        <f>'Project Database'!W212</f>
        <v>0</v>
      </c>
      <c r="T208" s="66">
        <f>'Project Database'!X212</f>
        <v>0</v>
      </c>
      <c r="U208" s="67">
        <f>'Project Database'!Y212</f>
        <v>0</v>
      </c>
      <c r="V208" s="66">
        <f>IF('Smart Search'!B13=1,IFERROR(1/'Smart Search'!H13,0),0)</f>
        <v>0</v>
      </c>
      <c r="W208" s="66">
        <f>IF('Smart Search'!B13=1,IFERROR(1/'Smart Search'!H13,0),0)</f>
        <v>0</v>
      </c>
      <c r="X208" s="66">
        <f>IF('Smart Search'!C13=1,IFERROR(1/'Smart Search'!H13,0),0)</f>
        <v>0.5</v>
      </c>
      <c r="Y208" s="66">
        <f>IF('Smart Search'!C13=1,IFERROR(1/'Smart Search'!H13,0),0)</f>
        <v>0.5</v>
      </c>
      <c r="Z208" s="66">
        <f>IF('Smart Search'!D13=1,IFERROR(1/'Smart Search'!H13,0),0)</f>
        <v>0</v>
      </c>
      <c r="AA208" s="66">
        <f>IF('Smart Search'!D13=1,IFERROR(1/'Smart Search'!H13,0),0)</f>
        <v>0</v>
      </c>
      <c r="AB208" s="66">
        <f>IF('Smart Search'!E13=1,IFERROR(1/'Smart Search'!H13,0),0)</f>
        <v>0</v>
      </c>
      <c r="AC208" s="66">
        <f>IF('Smart Search'!E13=1,IFERROR(1/'Smart Search'!H13,0),0)</f>
        <v>0</v>
      </c>
      <c r="AD208" s="66">
        <f>IF('Smart Search'!F13=1,IFERROR(1/'Smart Search'!H13,0),0)</f>
        <v>0</v>
      </c>
      <c r="AE208" s="66">
        <f>IF('Smart Search'!F13=1,IFERROR(1/'Smart Search'!H13,0),0)</f>
        <v>0</v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>0</v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>0</v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>0</v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>0</v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>0</v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>0</v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>0</v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>0</v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>0</v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>0</v>
      </c>
      <c r="AP208" s="66">
        <f t="shared" si="42"/>
        <v>0</v>
      </c>
      <c r="AQ208" s="66">
        <f t="shared" si="43"/>
        <v>0</v>
      </c>
      <c r="AR208" s="66">
        <f t="shared" si="44"/>
        <v>0</v>
      </c>
      <c r="AS208" s="66">
        <f t="shared" si="45"/>
        <v>0</v>
      </c>
      <c r="AT208" s="66">
        <f t="shared" si="46"/>
        <v>0</v>
      </c>
      <c r="AU208" s="66">
        <f t="shared" si="47"/>
        <v>0</v>
      </c>
      <c r="AV208" s="66">
        <f t="shared" si="48"/>
        <v>0</v>
      </c>
      <c r="AW208" s="66">
        <f t="shared" si="49"/>
        <v>0</v>
      </c>
      <c r="AX208" s="66">
        <f t="shared" si="50"/>
        <v>0</v>
      </c>
      <c r="AY208" s="66">
        <f t="shared" si="51"/>
        <v>0</v>
      </c>
      <c r="AZ208" s="66">
        <f>'Project Database'!Z212</f>
        <v>0</v>
      </c>
      <c r="BA208" s="66">
        <f>IF(OR(A208="",'Smart Search'!H13=0),"",MAX(0,BE208*BF208*MAX(0,1-BG208)))</f>
        <v>0</v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>0</v>
      </c>
      <c r="BC208" s="66">
        <f>IF('Smart Search'!G13=1,IFERROR(1/'Smart Search'!H13,0),0)</f>
        <v>0</v>
      </c>
      <c r="BD208" s="66">
        <f t="shared" si="52"/>
        <v>0</v>
      </c>
      <c r="BE208" s="66">
        <f t="shared" si="53"/>
        <v>0</v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>0</v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>0</v>
      </c>
      <c r="BH208" s="5" t="str">
        <f>IF(AND('Project Database'!A212&lt;&gt;"",OR('Smart Search'!$L$5="",'Smart Search'!$L$5="All",TRIM('Project Database'!D212)=TRIM('Smart Search'!$L$5)),OR(TRIM('Smart Search'!$L$6)="",TRIM('Smart Search'!$L$6)="All",ISNUMBER(SEARCH(SUBSTITUTE(SUBSTITUTE(SUBSTITUTE(TRIM('Smart Search'!$L$6),"~","~~"),"*","~*"),"?","~?"),'Project Database'!C212))),OR('Smart Search'!$L$7="",AND('Project Database'!E212&lt;&gt;"",'Project Database'!E212='Smart Search'!$L$7)),OR('Smart Search'!$L$8="",'Smart Search'!$L$8="All",TRIM('Project Database'!F212)=TRIM('Smart Search'!$L$8))),IF(BA208="","",BA208+ROW()*0.0000000001),"")</f>
        <v/>
      </c>
      <c r="BI208" s="5" t="str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 t="str">
        <f>IF('Project Database'!A212="","",N('Project Database'!AC212))</f>
        <v/>
      </c>
      <c r="BK208" s="5" t="str">
        <f>IF('Project Database'!A212="","",N('Project Database'!AD212))</f>
        <v/>
      </c>
      <c r="BL208" s="5" t="str">
        <f>IF('Project Database'!A212="","",N('Project Database'!AE212))</f>
        <v/>
      </c>
      <c r="BM208" s="5" t="str">
        <f>IF('Project Database'!A212="","",N('Project Database'!AF212))</f>
        <v/>
      </c>
      <c r="BN208" s="5" t="str">
        <f>IF('Project Database'!A212="","",N('Project Database'!AG212))</f>
        <v/>
      </c>
      <c r="BO208" s="5" t="str">
        <f>IF('Project Database'!A212="","",N('Project Database'!AH212))</f>
        <v/>
      </c>
      <c r="BP208" s="5" t="str">
        <f>IF('Project Database'!A212="","",N('Project Database'!AI212))</f>
        <v/>
      </c>
      <c r="BQ208" s="5" t="str">
        <f>IF('Project Database'!A212="","",N('Project Database'!AJ212))</f>
        <v/>
      </c>
      <c r="BR208" s="5" t="str">
        <f>IF('Project Database'!A212="","",N('Project Database'!AK212))</f>
        <v/>
      </c>
      <c r="BS208" s="5" t="str">
        <f>IF('Project Database'!A212="","",N('Project Database'!AL212))</f>
        <v/>
      </c>
      <c r="BT208" s="5" t="str">
        <f>IF('Project Database'!A212="","",N('Project Database'!AM212))</f>
        <v/>
      </c>
      <c r="BU208" s="5" t="str">
        <f>IF('Project Database'!A212="","",N('Project Database'!AN212))</f>
        <v/>
      </c>
      <c r="BV208" s="5" t="str">
        <f>IF('Project Database'!A212="","",N('Project Database'!AO212))</f>
        <v/>
      </c>
      <c r="BW208" s="5" t="str">
        <f>IF('Project Database'!A212="","",N('Project Database'!AP212))</f>
        <v/>
      </c>
      <c r="BX208" s="5">
        <f t="shared" si="54"/>
        <v>0</v>
      </c>
      <c r="BY208" s="5">
        <f t="shared" si="55"/>
        <v>0</v>
      </c>
    </row>
    <row r="209" spans="1:77" ht="15" customHeight="1" x14ac:dyDescent="0.3">
      <c r="A209" s="66">
        <f>'Project Database'!A213</f>
        <v>0</v>
      </c>
      <c r="B209" s="66">
        <f>'Project Database'!B213</f>
        <v>0</v>
      </c>
      <c r="C209" s="66">
        <f>'Project Database'!G213</f>
        <v>0</v>
      </c>
      <c r="D209" s="66">
        <f>'Project Database'!H213</f>
        <v>0</v>
      </c>
      <c r="E209" s="66">
        <f>'Project Database'!I213</f>
        <v>0</v>
      </c>
      <c r="F209" s="66">
        <f>'Project Database'!J213</f>
        <v>0</v>
      </c>
      <c r="G209" s="66">
        <f>'Project Database'!K213</f>
        <v>0</v>
      </c>
      <c r="H209" s="66">
        <f>'Project Database'!L213</f>
        <v>0</v>
      </c>
      <c r="I209" s="66">
        <f>'Project Database'!M213</f>
        <v>0</v>
      </c>
      <c r="J209" s="66">
        <f>'Project Database'!N213</f>
        <v>0</v>
      </c>
      <c r="K209" s="66">
        <f>'Project Database'!O213</f>
        <v>0</v>
      </c>
      <c r="L209" s="66">
        <f>'Project Database'!P213</f>
        <v>0</v>
      </c>
      <c r="M209" s="66">
        <f>'Project Database'!Q213</f>
        <v>0</v>
      </c>
      <c r="N209" s="66">
        <f>'Project Database'!R213</f>
        <v>0</v>
      </c>
      <c r="O209" s="66">
        <f>'Project Database'!S213</f>
        <v>0</v>
      </c>
      <c r="P209" s="66">
        <f>'Project Database'!T213</f>
        <v>0</v>
      </c>
      <c r="Q209" s="66">
        <f>'Project Database'!U213</f>
        <v>0</v>
      </c>
      <c r="R209" s="66">
        <f>'Project Database'!V213</f>
        <v>0</v>
      </c>
      <c r="S209" s="66">
        <f>'Project Database'!W213</f>
        <v>0</v>
      </c>
      <c r="T209" s="66">
        <f>'Project Database'!X213</f>
        <v>0</v>
      </c>
      <c r="U209" s="67">
        <f>'Project Database'!Y213</f>
        <v>0</v>
      </c>
      <c r="V209" s="66">
        <f>IF('Smart Search'!B13=1,IFERROR(1/'Smart Search'!H13,0),0)</f>
        <v>0</v>
      </c>
      <c r="W209" s="66">
        <f>IF('Smart Search'!B13=1,IFERROR(1/'Smart Search'!H13,0),0)</f>
        <v>0</v>
      </c>
      <c r="X209" s="66">
        <f>IF('Smart Search'!C13=1,IFERROR(1/'Smart Search'!H13,0),0)</f>
        <v>0.5</v>
      </c>
      <c r="Y209" s="66">
        <f>IF('Smart Search'!C13=1,IFERROR(1/'Smart Search'!H13,0),0)</f>
        <v>0.5</v>
      </c>
      <c r="Z209" s="66">
        <f>IF('Smart Search'!D13=1,IFERROR(1/'Smart Search'!H13,0),0)</f>
        <v>0</v>
      </c>
      <c r="AA209" s="66">
        <f>IF('Smart Search'!D13=1,IFERROR(1/'Smart Search'!H13,0),0)</f>
        <v>0</v>
      </c>
      <c r="AB209" s="66">
        <f>IF('Smart Search'!E13=1,IFERROR(1/'Smart Search'!H13,0),0)</f>
        <v>0</v>
      </c>
      <c r="AC209" s="66">
        <f>IF('Smart Search'!E13=1,IFERROR(1/'Smart Search'!H13,0),0)</f>
        <v>0</v>
      </c>
      <c r="AD209" s="66">
        <f>IF('Smart Search'!F13=1,IFERROR(1/'Smart Search'!H13,0),0)</f>
        <v>0</v>
      </c>
      <c r="AE209" s="66">
        <f>IF('Smart Search'!F13=1,IFERROR(1/'Smart Search'!H13,0),0)</f>
        <v>0</v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>0</v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>0</v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>0</v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>0</v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>0</v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>0</v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>0</v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>0</v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>0</v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>0</v>
      </c>
      <c r="AP209" s="66">
        <f t="shared" si="42"/>
        <v>0</v>
      </c>
      <c r="AQ209" s="66">
        <f t="shared" si="43"/>
        <v>0</v>
      </c>
      <c r="AR209" s="66">
        <f t="shared" si="44"/>
        <v>0</v>
      </c>
      <c r="AS209" s="66">
        <f t="shared" si="45"/>
        <v>0</v>
      </c>
      <c r="AT209" s="66">
        <f t="shared" si="46"/>
        <v>0</v>
      </c>
      <c r="AU209" s="66">
        <f t="shared" si="47"/>
        <v>0</v>
      </c>
      <c r="AV209" s="66">
        <f t="shared" si="48"/>
        <v>0</v>
      </c>
      <c r="AW209" s="66">
        <f t="shared" si="49"/>
        <v>0</v>
      </c>
      <c r="AX209" s="66">
        <f t="shared" si="50"/>
        <v>0</v>
      </c>
      <c r="AY209" s="66">
        <f t="shared" si="51"/>
        <v>0</v>
      </c>
      <c r="AZ209" s="66">
        <f>'Project Database'!Z213</f>
        <v>0</v>
      </c>
      <c r="BA209" s="66">
        <f>IF(OR(A209="",'Smart Search'!H13=0),"",MAX(0,BE209*BF209*MAX(0,1-BG209)))</f>
        <v>0</v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>0</v>
      </c>
      <c r="BC209" s="66">
        <f>IF('Smart Search'!G13=1,IFERROR(1/'Smart Search'!H13,0),0)</f>
        <v>0</v>
      </c>
      <c r="BD209" s="66">
        <f t="shared" si="52"/>
        <v>0</v>
      </c>
      <c r="BE209" s="66">
        <f t="shared" si="53"/>
        <v>0</v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>0</v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>0</v>
      </c>
      <c r="BH209" s="5" t="str">
        <f>IF(AND('Project Database'!A213&lt;&gt;"",OR('Smart Search'!$L$5="",'Smart Search'!$L$5="All",TRIM('Project Database'!D213)=TRIM('Smart Search'!$L$5)),OR(TRIM('Smart Search'!$L$6)="",TRIM('Smart Search'!$L$6)="All",ISNUMBER(SEARCH(SUBSTITUTE(SUBSTITUTE(SUBSTITUTE(TRIM('Smart Search'!$L$6),"~","~~"),"*","~*"),"?","~?"),'Project Database'!C213))),OR('Smart Search'!$L$7="",AND('Project Database'!E213&lt;&gt;"",'Project Database'!E213='Smart Search'!$L$7)),OR('Smart Search'!$L$8="",'Smart Search'!$L$8="All",TRIM('Project Database'!F213)=TRIM('Smart Search'!$L$8))),IF(BA209="","",BA209+ROW()*0.0000000001),"")</f>
        <v/>
      </c>
      <c r="BI209" s="5" t="str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 t="str">
        <f>IF('Project Database'!A213="","",N('Project Database'!AC213))</f>
        <v/>
      </c>
      <c r="BK209" s="5" t="str">
        <f>IF('Project Database'!A213="","",N('Project Database'!AD213))</f>
        <v/>
      </c>
      <c r="BL209" s="5" t="str">
        <f>IF('Project Database'!A213="","",N('Project Database'!AE213))</f>
        <v/>
      </c>
      <c r="BM209" s="5" t="str">
        <f>IF('Project Database'!A213="","",N('Project Database'!AF213))</f>
        <v/>
      </c>
      <c r="BN209" s="5" t="str">
        <f>IF('Project Database'!A213="","",N('Project Database'!AG213))</f>
        <v/>
      </c>
      <c r="BO209" s="5" t="str">
        <f>IF('Project Database'!A213="","",N('Project Database'!AH213))</f>
        <v/>
      </c>
      <c r="BP209" s="5" t="str">
        <f>IF('Project Database'!A213="","",N('Project Database'!AI213))</f>
        <v/>
      </c>
      <c r="BQ209" s="5" t="str">
        <f>IF('Project Database'!A213="","",N('Project Database'!AJ213))</f>
        <v/>
      </c>
      <c r="BR209" s="5" t="str">
        <f>IF('Project Database'!A213="","",N('Project Database'!AK213))</f>
        <v/>
      </c>
      <c r="BS209" s="5" t="str">
        <f>IF('Project Database'!A213="","",N('Project Database'!AL213))</f>
        <v/>
      </c>
      <c r="BT209" s="5" t="str">
        <f>IF('Project Database'!A213="","",N('Project Database'!AM213))</f>
        <v/>
      </c>
      <c r="BU209" s="5" t="str">
        <f>IF('Project Database'!A213="","",N('Project Database'!AN213))</f>
        <v/>
      </c>
      <c r="BV209" s="5" t="str">
        <f>IF('Project Database'!A213="","",N('Project Database'!AO213))</f>
        <v/>
      </c>
      <c r="BW209" s="5" t="str">
        <f>IF('Project Database'!A213="","",N('Project Database'!AP213))</f>
        <v/>
      </c>
      <c r="BX209" s="5">
        <f t="shared" si="54"/>
        <v>0</v>
      </c>
      <c r="BY209" s="5">
        <f t="shared" si="55"/>
        <v>0</v>
      </c>
    </row>
    <row r="210" spans="1:77" ht="15" customHeight="1" x14ac:dyDescent="0.3">
      <c r="A210" s="66">
        <f>'Project Database'!A214</f>
        <v>0</v>
      </c>
      <c r="B210" s="66">
        <f>'Project Database'!B214</f>
        <v>0</v>
      </c>
      <c r="C210" s="66">
        <f>'Project Database'!G214</f>
        <v>0</v>
      </c>
      <c r="D210" s="66">
        <f>'Project Database'!H214</f>
        <v>0</v>
      </c>
      <c r="E210" s="66">
        <f>'Project Database'!I214</f>
        <v>0</v>
      </c>
      <c r="F210" s="66">
        <f>'Project Database'!J214</f>
        <v>0</v>
      </c>
      <c r="G210" s="66">
        <f>'Project Database'!K214</f>
        <v>0</v>
      </c>
      <c r="H210" s="66">
        <f>'Project Database'!L214</f>
        <v>0</v>
      </c>
      <c r="I210" s="66">
        <f>'Project Database'!M214</f>
        <v>0</v>
      </c>
      <c r="J210" s="66">
        <f>'Project Database'!N214</f>
        <v>0</v>
      </c>
      <c r="K210" s="66">
        <f>'Project Database'!O214</f>
        <v>0</v>
      </c>
      <c r="L210" s="66">
        <f>'Project Database'!P214</f>
        <v>0</v>
      </c>
      <c r="M210" s="66">
        <f>'Project Database'!Q214</f>
        <v>0</v>
      </c>
      <c r="N210" s="66">
        <f>'Project Database'!R214</f>
        <v>0</v>
      </c>
      <c r="O210" s="66">
        <f>'Project Database'!S214</f>
        <v>0</v>
      </c>
      <c r="P210" s="66">
        <f>'Project Database'!T214</f>
        <v>0</v>
      </c>
      <c r="Q210" s="66">
        <f>'Project Database'!U214</f>
        <v>0</v>
      </c>
      <c r="R210" s="66">
        <f>'Project Database'!V214</f>
        <v>0</v>
      </c>
      <c r="S210" s="66">
        <f>'Project Database'!W214</f>
        <v>0</v>
      </c>
      <c r="T210" s="66">
        <f>'Project Database'!X214</f>
        <v>0</v>
      </c>
      <c r="U210" s="67">
        <f>'Project Database'!Y214</f>
        <v>0</v>
      </c>
      <c r="V210" s="66">
        <f>IF('Smart Search'!B13=1,IFERROR(1/'Smart Search'!H13,0),0)</f>
        <v>0</v>
      </c>
      <c r="W210" s="66">
        <f>IF('Smart Search'!B13=1,IFERROR(1/'Smart Search'!H13,0),0)</f>
        <v>0</v>
      </c>
      <c r="X210" s="66">
        <f>IF('Smart Search'!C13=1,IFERROR(1/'Smart Search'!H13,0),0)</f>
        <v>0.5</v>
      </c>
      <c r="Y210" s="66">
        <f>IF('Smart Search'!C13=1,IFERROR(1/'Smart Search'!H13,0),0)</f>
        <v>0.5</v>
      </c>
      <c r="Z210" s="66">
        <f>IF('Smart Search'!D13=1,IFERROR(1/'Smart Search'!H13,0),0)</f>
        <v>0</v>
      </c>
      <c r="AA210" s="66">
        <f>IF('Smart Search'!D13=1,IFERROR(1/'Smart Search'!H13,0),0)</f>
        <v>0</v>
      </c>
      <c r="AB210" s="66">
        <f>IF('Smart Search'!E13=1,IFERROR(1/'Smart Search'!H13,0),0)</f>
        <v>0</v>
      </c>
      <c r="AC210" s="66">
        <f>IF('Smart Search'!E13=1,IFERROR(1/'Smart Search'!H13,0),0)</f>
        <v>0</v>
      </c>
      <c r="AD210" s="66">
        <f>IF('Smart Search'!F13=1,IFERROR(1/'Smart Search'!H13,0),0)</f>
        <v>0</v>
      </c>
      <c r="AE210" s="66">
        <f>IF('Smart Search'!F13=1,IFERROR(1/'Smart Search'!H13,0),0)</f>
        <v>0</v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>0</v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>0</v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>0</v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>0</v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>0</v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>0</v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>0</v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>0</v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>0</v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>0</v>
      </c>
      <c r="AP210" s="66">
        <f t="shared" si="42"/>
        <v>0</v>
      </c>
      <c r="AQ210" s="66">
        <f t="shared" si="43"/>
        <v>0</v>
      </c>
      <c r="AR210" s="66">
        <f t="shared" si="44"/>
        <v>0</v>
      </c>
      <c r="AS210" s="66">
        <f t="shared" si="45"/>
        <v>0</v>
      </c>
      <c r="AT210" s="66">
        <f t="shared" si="46"/>
        <v>0</v>
      </c>
      <c r="AU210" s="66">
        <f t="shared" si="47"/>
        <v>0</v>
      </c>
      <c r="AV210" s="66">
        <f t="shared" si="48"/>
        <v>0</v>
      </c>
      <c r="AW210" s="66">
        <f t="shared" si="49"/>
        <v>0</v>
      </c>
      <c r="AX210" s="66">
        <f t="shared" si="50"/>
        <v>0</v>
      </c>
      <c r="AY210" s="66">
        <f t="shared" si="51"/>
        <v>0</v>
      </c>
      <c r="AZ210" s="66">
        <f>'Project Database'!Z214</f>
        <v>0</v>
      </c>
      <c r="BA210" s="66">
        <f>IF(OR(A210="",'Smart Search'!H13=0),"",MAX(0,BE210*BF210*MAX(0,1-BG210)))</f>
        <v>0</v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>0</v>
      </c>
      <c r="BC210" s="66">
        <f>IF('Smart Search'!G13=1,IFERROR(1/'Smart Search'!H13,0),0)</f>
        <v>0</v>
      </c>
      <c r="BD210" s="66">
        <f t="shared" si="52"/>
        <v>0</v>
      </c>
      <c r="BE210" s="66">
        <f t="shared" si="53"/>
        <v>0</v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>0</v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>0</v>
      </c>
      <c r="BH210" s="5" t="str">
        <f>IF(AND('Project Database'!A214&lt;&gt;"",OR('Smart Search'!$L$5="",'Smart Search'!$L$5="All",TRIM('Project Database'!D214)=TRIM('Smart Search'!$L$5)),OR(TRIM('Smart Search'!$L$6)="",TRIM('Smart Search'!$L$6)="All",ISNUMBER(SEARCH(SUBSTITUTE(SUBSTITUTE(SUBSTITUTE(TRIM('Smart Search'!$L$6),"~","~~"),"*","~*"),"?","~?"),'Project Database'!C214))),OR('Smart Search'!$L$7="",AND('Project Database'!E214&lt;&gt;"",'Project Database'!E214='Smart Search'!$L$7)),OR('Smart Search'!$L$8="",'Smart Search'!$L$8="All",TRIM('Project Database'!F214)=TRIM('Smart Search'!$L$8))),IF(BA210="","",BA210+ROW()*0.0000000001),"")</f>
        <v/>
      </c>
      <c r="BI210" s="5" t="str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 t="str">
        <f>IF('Project Database'!A214="","",N('Project Database'!AC214))</f>
        <v/>
      </c>
      <c r="BK210" s="5" t="str">
        <f>IF('Project Database'!A214="","",N('Project Database'!AD214))</f>
        <v/>
      </c>
      <c r="BL210" s="5" t="str">
        <f>IF('Project Database'!A214="","",N('Project Database'!AE214))</f>
        <v/>
      </c>
      <c r="BM210" s="5" t="str">
        <f>IF('Project Database'!A214="","",N('Project Database'!AF214))</f>
        <v/>
      </c>
      <c r="BN210" s="5" t="str">
        <f>IF('Project Database'!A214="","",N('Project Database'!AG214))</f>
        <v/>
      </c>
      <c r="BO210" s="5" t="str">
        <f>IF('Project Database'!A214="","",N('Project Database'!AH214))</f>
        <v/>
      </c>
      <c r="BP210" s="5" t="str">
        <f>IF('Project Database'!A214="","",N('Project Database'!AI214))</f>
        <v/>
      </c>
      <c r="BQ210" s="5" t="str">
        <f>IF('Project Database'!A214="","",N('Project Database'!AJ214))</f>
        <v/>
      </c>
      <c r="BR210" s="5" t="str">
        <f>IF('Project Database'!A214="","",N('Project Database'!AK214))</f>
        <v/>
      </c>
      <c r="BS210" s="5" t="str">
        <f>IF('Project Database'!A214="","",N('Project Database'!AL214))</f>
        <v/>
      </c>
      <c r="BT210" s="5" t="str">
        <f>IF('Project Database'!A214="","",N('Project Database'!AM214))</f>
        <v/>
      </c>
      <c r="BU210" s="5" t="str">
        <f>IF('Project Database'!A214="","",N('Project Database'!AN214))</f>
        <v/>
      </c>
      <c r="BV210" s="5" t="str">
        <f>IF('Project Database'!A214="","",N('Project Database'!AO214))</f>
        <v/>
      </c>
      <c r="BW210" s="5" t="str">
        <f>IF('Project Database'!A214="","",N('Project Database'!AP214))</f>
        <v/>
      </c>
      <c r="BX210" s="5">
        <f t="shared" si="54"/>
        <v>0</v>
      </c>
      <c r="BY210" s="5">
        <f t="shared" si="55"/>
        <v>0</v>
      </c>
    </row>
    <row r="211" spans="1:77" ht="15" customHeight="1" x14ac:dyDescent="0.3">
      <c r="A211" s="66">
        <f>'Project Database'!A215</f>
        <v>0</v>
      </c>
      <c r="B211" s="66">
        <f>'Project Database'!B215</f>
        <v>0</v>
      </c>
      <c r="C211" s="66">
        <f>'Project Database'!G215</f>
        <v>0</v>
      </c>
      <c r="D211" s="66">
        <f>'Project Database'!H215</f>
        <v>0</v>
      </c>
      <c r="E211" s="66">
        <f>'Project Database'!I215</f>
        <v>0</v>
      </c>
      <c r="F211" s="66">
        <f>'Project Database'!J215</f>
        <v>0</v>
      </c>
      <c r="G211" s="66">
        <f>'Project Database'!K215</f>
        <v>0</v>
      </c>
      <c r="H211" s="66">
        <f>'Project Database'!L215</f>
        <v>0</v>
      </c>
      <c r="I211" s="66">
        <f>'Project Database'!M215</f>
        <v>0</v>
      </c>
      <c r="J211" s="66">
        <f>'Project Database'!N215</f>
        <v>0</v>
      </c>
      <c r="K211" s="66">
        <f>'Project Database'!O215</f>
        <v>0</v>
      </c>
      <c r="L211" s="66">
        <f>'Project Database'!P215</f>
        <v>0</v>
      </c>
      <c r="M211" s="66">
        <f>'Project Database'!Q215</f>
        <v>0</v>
      </c>
      <c r="N211" s="66">
        <f>'Project Database'!R215</f>
        <v>0</v>
      </c>
      <c r="O211" s="66">
        <f>'Project Database'!S215</f>
        <v>0</v>
      </c>
      <c r="P211" s="66">
        <f>'Project Database'!T215</f>
        <v>0</v>
      </c>
      <c r="Q211" s="66">
        <f>'Project Database'!U215</f>
        <v>0</v>
      </c>
      <c r="R211" s="66">
        <f>'Project Database'!V215</f>
        <v>0</v>
      </c>
      <c r="S211" s="66">
        <f>'Project Database'!W215</f>
        <v>0</v>
      </c>
      <c r="T211" s="66">
        <f>'Project Database'!X215</f>
        <v>0</v>
      </c>
      <c r="U211" s="67">
        <f>'Project Database'!Y215</f>
        <v>0</v>
      </c>
      <c r="V211" s="66">
        <f>IF('Smart Search'!B13=1,IFERROR(1/'Smart Search'!H13,0),0)</f>
        <v>0</v>
      </c>
      <c r="W211" s="66">
        <f>IF('Smart Search'!B13=1,IFERROR(1/'Smart Search'!H13,0),0)</f>
        <v>0</v>
      </c>
      <c r="X211" s="66">
        <f>IF('Smart Search'!C13=1,IFERROR(1/'Smart Search'!H13,0),0)</f>
        <v>0.5</v>
      </c>
      <c r="Y211" s="66">
        <f>IF('Smart Search'!C13=1,IFERROR(1/'Smart Search'!H13,0),0)</f>
        <v>0.5</v>
      </c>
      <c r="Z211" s="66">
        <f>IF('Smart Search'!D13=1,IFERROR(1/'Smart Search'!H13,0),0)</f>
        <v>0</v>
      </c>
      <c r="AA211" s="66">
        <f>IF('Smart Search'!D13=1,IFERROR(1/'Smart Search'!H13,0),0)</f>
        <v>0</v>
      </c>
      <c r="AB211" s="66">
        <f>IF('Smart Search'!E13=1,IFERROR(1/'Smart Search'!H13,0),0)</f>
        <v>0</v>
      </c>
      <c r="AC211" s="66">
        <f>IF('Smart Search'!E13=1,IFERROR(1/'Smart Search'!H13,0),0)</f>
        <v>0</v>
      </c>
      <c r="AD211" s="66">
        <f>IF('Smart Search'!F13=1,IFERROR(1/'Smart Search'!H13,0),0)</f>
        <v>0</v>
      </c>
      <c r="AE211" s="66">
        <f>IF('Smart Search'!F13=1,IFERROR(1/'Smart Search'!H13,0),0)</f>
        <v>0</v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>0</v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>0</v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>0</v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>0</v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>0</v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>0</v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>0</v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>0</v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>0</v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>0</v>
      </c>
      <c r="AP211" s="66">
        <f t="shared" si="42"/>
        <v>0</v>
      </c>
      <c r="AQ211" s="66">
        <f t="shared" si="43"/>
        <v>0</v>
      </c>
      <c r="AR211" s="66">
        <f t="shared" si="44"/>
        <v>0</v>
      </c>
      <c r="AS211" s="66">
        <f t="shared" si="45"/>
        <v>0</v>
      </c>
      <c r="AT211" s="66">
        <f t="shared" si="46"/>
        <v>0</v>
      </c>
      <c r="AU211" s="66">
        <f t="shared" si="47"/>
        <v>0</v>
      </c>
      <c r="AV211" s="66">
        <f t="shared" si="48"/>
        <v>0</v>
      </c>
      <c r="AW211" s="66">
        <f t="shared" si="49"/>
        <v>0</v>
      </c>
      <c r="AX211" s="66">
        <f t="shared" si="50"/>
        <v>0</v>
      </c>
      <c r="AY211" s="66">
        <f t="shared" si="51"/>
        <v>0</v>
      </c>
      <c r="AZ211" s="66">
        <f>'Project Database'!Z215</f>
        <v>0</v>
      </c>
      <c r="BA211" s="66">
        <f>IF(OR(A211="",'Smart Search'!H13=0),"",MAX(0,BE211*BF211*MAX(0,1-BG211)))</f>
        <v>0</v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>0</v>
      </c>
      <c r="BC211" s="66">
        <f>IF('Smart Search'!G13=1,IFERROR(1/'Smart Search'!H13,0),0)</f>
        <v>0</v>
      </c>
      <c r="BD211" s="66">
        <f t="shared" si="52"/>
        <v>0</v>
      </c>
      <c r="BE211" s="66">
        <f t="shared" si="53"/>
        <v>0</v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>0</v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>0</v>
      </c>
      <c r="BH211" s="5" t="str">
        <f>IF(AND('Project Database'!A215&lt;&gt;"",OR('Smart Search'!$L$5="",'Smart Search'!$L$5="All",TRIM('Project Database'!D215)=TRIM('Smart Search'!$L$5)),OR(TRIM('Smart Search'!$L$6)="",TRIM('Smart Search'!$L$6)="All",ISNUMBER(SEARCH(SUBSTITUTE(SUBSTITUTE(SUBSTITUTE(TRIM('Smart Search'!$L$6),"~","~~"),"*","~*"),"?","~?"),'Project Database'!C215))),OR('Smart Search'!$L$7="",AND('Project Database'!E215&lt;&gt;"",'Project Database'!E215='Smart Search'!$L$7)),OR('Smart Search'!$L$8="",'Smart Search'!$L$8="All",TRIM('Project Database'!F215)=TRIM('Smart Search'!$L$8))),IF(BA211="","",BA211+ROW()*0.0000000001),"")</f>
        <v/>
      </c>
      <c r="BI211" s="5" t="str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 t="str">
        <f>IF('Project Database'!A215="","",N('Project Database'!AC215))</f>
        <v/>
      </c>
      <c r="BK211" s="5" t="str">
        <f>IF('Project Database'!A215="","",N('Project Database'!AD215))</f>
        <v/>
      </c>
      <c r="BL211" s="5" t="str">
        <f>IF('Project Database'!A215="","",N('Project Database'!AE215))</f>
        <v/>
      </c>
      <c r="BM211" s="5" t="str">
        <f>IF('Project Database'!A215="","",N('Project Database'!AF215))</f>
        <v/>
      </c>
      <c r="BN211" s="5" t="str">
        <f>IF('Project Database'!A215="","",N('Project Database'!AG215))</f>
        <v/>
      </c>
      <c r="BO211" s="5" t="str">
        <f>IF('Project Database'!A215="","",N('Project Database'!AH215))</f>
        <v/>
      </c>
      <c r="BP211" s="5" t="str">
        <f>IF('Project Database'!A215="","",N('Project Database'!AI215))</f>
        <v/>
      </c>
      <c r="BQ211" s="5" t="str">
        <f>IF('Project Database'!A215="","",N('Project Database'!AJ215))</f>
        <v/>
      </c>
      <c r="BR211" s="5" t="str">
        <f>IF('Project Database'!A215="","",N('Project Database'!AK215))</f>
        <v/>
      </c>
      <c r="BS211" s="5" t="str">
        <f>IF('Project Database'!A215="","",N('Project Database'!AL215))</f>
        <v/>
      </c>
      <c r="BT211" s="5" t="str">
        <f>IF('Project Database'!A215="","",N('Project Database'!AM215))</f>
        <v/>
      </c>
      <c r="BU211" s="5" t="str">
        <f>IF('Project Database'!A215="","",N('Project Database'!AN215))</f>
        <v/>
      </c>
      <c r="BV211" s="5" t="str">
        <f>IF('Project Database'!A215="","",N('Project Database'!AO215))</f>
        <v/>
      </c>
      <c r="BW211" s="5" t="str">
        <f>IF('Project Database'!A215="","",N('Project Database'!AP215))</f>
        <v/>
      </c>
      <c r="BX211" s="5">
        <f t="shared" si="54"/>
        <v>0</v>
      </c>
      <c r="BY211" s="5">
        <f t="shared" si="55"/>
        <v>0</v>
      </c>
    </row>
    <row r="212" spans="1:77" ht="15" customHeight="1" x14ac:dyDescent="0.3">
      <c r="A212" s="66">
        <f>'Project Database'!A216</f>
        <v>0</v>
      </c>
      <c r="B212" s="66">
        <f>'Project Database'!B216</f>
        <v>0</v>
      </c>
      <c r="C212" s="66">
        <f>'Project Database'!G216</f>
        <v>0</v>
      </c>
      <c r="D212" s="66">
        <f>'Project Database'!H216</f>
        <v>0</v>
      </c>
      <c r="E212" s="66">
        <f>'Project Database'!I216</f>
        <v>0</v>
      </c>
      <c r="F212" s="66">
        <f>'Project Database'!J216</f>
        <v>0</v>
      </c>
      <c r="G212" s="66">
        <f>'Project Database'!K216</f>
        <v>0</v>
      </c>
      <c r="H212" s="66">
        <f>'Project Database'!L216</f>
        <v>0</v>
      </c>
      <c r="I212" s="66">
        <f>'Project Database'!M216</f>
        <v>0</v>
      </c>
      <c r="J212" s="66">
        <f>'Project Database'!N216</f>
        <v>0</v>
      </c>
      <c r="K212" s="66">
        <f>'Project Database'!O216</f>
        <v>0</v>
      </c>
      <c r="L212" s="66">
        <f>'Project Database'!P216</f>
        <v>0</v>
      </c>
      <c r="M212" s="66">
        <f>'Project Database'!Q216</f>
        <v>0</v>
      </c>
      <c r="N212" s="66">
        <f>'Project Database'!R216</f>
        <v>0</v>
      </c>
      <c r="O212" s="66">
        <f>'Project Database'!S216</f>
        <v>0</v>
      </c>
      <c r="P212" s="66">
        <f>'Project Database'!T216</f>
        <v>0</v>
      </c>
      <c r="Q212" s="66">
        <f>'Project Database'!U216</f>
        <v>0</v>
      </c>
      <c r="R212" s="66">
        <f>'Project Database'!V216</f>
        <v>0</v>
      </c>
      <c r="S212" s="66">
        <f>'Project Database'!W216</f>
        <v>0</v>
      </c>
      <c r="T212" s="66">
        <f>'Project Database'!X216</f>
        <v>0</v>
      </c>
      <c r="U212" s="67">
        <f>'Project Database'!Y216</f>
        <v>0</v>
      </c>
      <c r="V212" s="66">
        <f>IF('Smart Search'!B13=1,IFERROR(1/'Smart Search'!H13,0),0)</f>
        <v>0</v>
      </c>
      <c r="W212" s="66">
        <f>IF('Smart Search'!B13=1,IFERROR(1/'Smart Search'!H13,0),0)</f>
        <v>0</v>
      </c>
      <c r="X212" s="66">
        <f>IF('Smart Search'!C13=1,IFERROR(1/'Smart Search'!H13,0),0)</f>
        <v>0.5</v>
      </c>
      <c r="Y212" s="66">
        <f>IF('Smart Search'!C13=1,IFERROR(1/'Smart Search'!H13,0),0)</f>
        <v>0.5</v>
      </c>
      <c r="Z212" s="66">
        <f>IF('Smart Search'!D13=1,IFERROR(1/'Smart Search'!H13,0),0)</f>
        <v>0</v>
      </c>
      <c r="AA212" s="66">
        <f>IF('Smart Search'!D13=1,IFERROR(1/'Smart Search'!H13,0),0)</f>
        <v>0</v>
      </c>
      <c r="AB212" s="66">
        <f>IF('Smart Search'!E13=1,IFERROR(1/'Smart Search'!H13,0),0)</f>
        <v>0</v>
      </c>
      <c r="AC212" s="66">
        <f>IF('Smart Search'!E13=1,IFERROR(1/'Smart Search'!H13,0),0)</f>
        <v>0</v>
      </c>
      <c r="AD212" s="66">
        <f>IF('Smart Search'!F13=1,IFERROR(1/'Smart Search'!H13,0),0)</f>
        <v>0</v>
      </c>
      <c r="AE212" s="66">
        <f>IF('Smart Search'!F13=1,IFERROR(1/'Smart Search'!H13,0),0)</f>
        <v>0</v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>0</v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>0</v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>0</v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>0</v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>0</v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>0</v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>0</v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>0</v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>0</v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>0</v>
      </c>
      <c r="AP212" s="66">
        <f t="shared" si="42"/>
        <v>0</v>
      </c>
      <c r="AQ212" s="66">
        <f t="shared" si="43"/>
        <v>0</v>
      </c>
      <c r="AR212" s="66">
        <f t="shared" si="44"/>
        <v>0</v>
      </c>
      <c r="AS212" s="66">
        <f t="shared" si="45"/>
        <v>0</v>
      </c>
      <c r="AT212" s="66">
        <f t="shared" si="46"/>
        <v>0</v>
      </c>
      <c r="AU212" s="66">
        <f t="shared" si="47"/>
        <v>0</v>
      </c>
      <c r="AV212" s="66">
        <f t="shared" si="48"/>
        <v>0</v>
      </c>
      <c r="AW212" s="66">
        <f t="shared" si="49"/>
        <v>0</v>
      </c>
      <c r="AX212" s="66">
        <f t="shared" si="50"/>
        <v>0</v>
      </c>
      <c r="AY212" s="66">
        <f t="shared" si="51"/>
        <v>0</v>
      </c>
      <c r="AZ212" s="66">
        <f>'Project Database'!Z216</f>
        <v>0</v>
      </c>
      <c r="BA212" s="66">
        <f>IF(OR(A212="",'Smart Search'!H13=0),"",MAX(0,BE212*BF212*MAX(0,1-BG212)))</f>
        <v>0</v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>0</v>
      </c>
      <c r="BC212" s="66">
        <f>IF('Smart Search'!G13=1,IFERROR(1/'Smart Search'!H13,0),0)</f>
        <v>0</v>
      </c>
      <c r="BD212" s="66">
        <f t="shared" si="52"/>
        <v>0</v>
      </c>
      <c r="BE212" s="66">
        <f t="shared" si="53"/>
        <v>0</v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>0</v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>0</v>
      </c>
      <c r="BH212" s="5" t="str">
        <f>IF(AND('Project Database'!A216&lt;&gt;"",OR('Smart Search'!$L$5="",'Smart Search'!$L$5="All",TRIM('Project Database'!D216)=TRIM('Smart Search'!$L$5)),OR(TRIM('Smart Search'!$L$6)="",TRIM('Smart Search'!$L$6)="All",ISNUMBER(SEARCH(SUBSTITUTE(SUBSTITUTE(SUBSTITUTE(TRIM('Smart Search'!$L$6),"~","~~"),"*","~*"),"?","~?"),'Project Database'!C216))),OR('Smart Search'!$L$7="",AND('Project Database'!E216&lt;&gt;"",'Project Database'!E216='Smart Search'!$L$7)),OR('Smart Search'!$L$8="",'Smart Search'!$L$8="All",TRIM('Project Database'!F216)=TRIM('Smart Search'!$L$8))),IF(BA212="","",BA212+ROW()*0.0000000001),"")</f>
        <v/>
      </c>
      <c r="BI212" s="5" t="str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 t="str">
        <f>IF('Project Database'!A216="","",N('Project Database'!AC216))</f>
        <v/>
      </c>
      <c r="BK212" s="5" t="str">
        <f>IF('Project Database'!A216="","",N('Project Database'!AD216))</f>
        <v/>
      </c>
      <c r="BL212" s="5" t="str">
        <f>IF('Project Database'!A216="","",N('Project Database'!AE216))</f>
        <v/>
      </c>
      <c r="BM212" s="5" t="str">
        <f>IF('Project Database'!A216="","",N('Project Database'!AF216))</f>
        <v/>
      </c>
      <c r="BN212" s="5" t="str">
        <f>IF('Project Database'!A216="","",N('Project Database'!AG216))</f>
        <v/>
      </c>
      <c r="BO212" s="5" t="str">
        <f>IF('Project Database'!A216="","",N('Project Database'!AH216))</f>
        <v/>
      </c>
      <c r="BP212" s="5" t="str">
        <f>IF('Project Database'!A216="","",N('Project Database'!AI216))</f>
        <v/>
      </c>
      <c r="BQ212" s="5" t="str">
        <f>IF('Project Database'!A216="","",N('Project Database'!AJ216))</f>
        <v/>
      </c>
      <c r="BR212" s="5" t="str">
        <f>IF('Project Database'!A216="","",N('Project Database'!AK216))</f>
        <v/>
      </c>
      <c r="BS212" s="5" t="str">
        <f>IF('Project Database'!A216="","",N('Project Database'!AL216))</f>
        <v/>
      </c>
      <c r="BT212" s="5" t="str">
        <f>IF('Project Database'!A216="","",N('Project Database'!AM216))</f>
        <v/>
      </c>
      <c r="BU212" s="5" t="str">
        <f>IF('Project Database'!A216="","",N('Project Database'!AN216))</f>
        <v/>
      </c>
      <c r="BV212" s="5" t="str">
        <f>IF('Project Database'!A216="","",N('Project Database'!AO216))</f>
        <v/>
      </c>
      <c r="BW212" s="5" t="str">
        <f>IF('Project Database'!A216="","",N('Project Database'!AP216))</f>
        <v/>
      </c>
      <c r="BX212" s="5">
        <f t="shared" si="54"/>
        <v>0</v>
      </c>
      <c r="BY212" s="5">
        <f t="shared" si="55"/>
        <v>0</v>
      </c>
    </row>
    <row r="213" spans="1:77" ht="15" customHeight="1" x14ac:dyDescent="0.3">
      <c r="A213" s="66">
        <f>'Project Database'!A217</f>
        <v>0</v>
      </c>
      <c r="B213" s="66">
        <f>'Project Database'!B217</f>
        <v>0</v>
      </c>
      <c r="C213" s="66">
        <f>'Project Database'!G217</f>
        <v>0</v>
      </c>
      <c r="D213" s="66">
        <f>'Project Database'!H217</f>
        <v>0</v>
      </c>
      <c r="E213" s="66">
        <f>'Project Database'!I217</f>
        <v>0</v>
      </c>
      <c r="F213" s="66">
        <f>'Project Database'!J217</f>
        <v>0</v>
      </c>
      <c r="G213" s="66">
        <f>'Project Database'!K217</f>
        <v>0</v>
      </c>
      <c r="H213" s="66">
        <f>'Project Database'!L217</f>
        <v>0</v>
      </c>
      <c r="I213" s="66">
        <f>'Project Database'!M217</f>
        <v>0</v>
      </c>
      <c r="J213" s="66">
        <f>'Project Database'!N217</f>
        <v>0</v>
      </c>
      <c r="K213" s="66">
        <f>'Project Database'!O217</f>
        <v>0</v>
      </c>
      <c r="L213" s="66">
        <f>'Project Database'!P217</f>
        <v>0</v>
      </c>
      <c r="M213" s="66">
        <f>'Project Database'!Q217</f>
        <v>0</v>
      </c>
      <c r="N213" s="66">
        <f>'Project Database'!R217</f>
        <v>0</v>
      </c>
      <c r="O213" s="66">
        <f>'Project Database'!S217</f>
        <v>0</v>
      </c>
      <c r="P213" s="66">
        <f>'Project Database'!T217</f>
        <v>0</v>
      </c>
      <c r="Q213" s="66">
        <f>'Project Database'!U217</f>
        <v>0</v>
      </c>
      <c r="R213" s="66">
        <f>'Project Database'!V217</f>
        <v>0</v>
      </c>
      <c r="S213" s="66">
        <f>'Project Database'!W217</f>
        <v>0</v>
      </c>
      <c r="T213" s="66">
        <f>'Project Database'!X217</f>
        <v>0</v>
      </c>
      <c r="U213" s="67">
        <f>'Project Database'!Y217</f>
        <v>0</v>
      </c>
      <c r="V213" s="66">
        <f>IF('Smart Search'!B13=1,IFERROR(1/'Smart Search'!H13,0),0)</f>
        <v>0</v>
      </c>
      <c r="W213" s="66">
        <f>IF('Smart Search'!B13=1,IFERROR(1/'Smart Search'!H13,0),0)</f>
        <v>0</v>
      </c>
      <c r="X213" s="66">
        <f>IF('Smart Search'!C13=1,IFERROR(1/'Smart Search'!H13,0),0)</f>
        <v>0.5</v>
      </c>
      <c r="Y213" s="66">
        <f>IF('Smart Search'!C13=1,IFERROR(1/'Smart Search'!H13,0),0)</f>
        <v>0.5</v>
      </c>
      <c r="Z213" s="66">
        <f>IF('Smart Search'!D13=1,IFERROR(1/'Smart Search'!H13,0),0)</f>
        <v>0</v>
      </c>
      <c r="AA213" s="66">
        <f>IF('Smart Search'!D13=1,IFERROR(1/'Smart Search'!H13,0),0)</f>
        <v>0</v>
      </c>
      <c r="AB213" s="66">
        <f>IF('Smart Search'!E13=1,IFERROR(1/'Smart Search'!H13,0),0)</f>
        <v>0</v>
      </c>
      <c r="AC213" s="66">
        <f>IF('Smart Search'!E13=1,IFERROR(1/'Smart Search'!H13,0),0)</f>
        <v>0</v>
      </c>
      <c r="AD213" s="66">
        <f>IF('Smart Search'!F13=1,IFERROR(1/'Smart Search'!H13,0),0)</f>
        <v>0</v>
      </c>
      <c r="AE213" s="66">
        <f>IF('Smart Search'!F13=1,IFERROR(1/'Smart Search'!H13,0),0)</f>
        <v>0</v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>0</v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>0</v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>0</v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>0</v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>0</v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>0</v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>0</v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>0</v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>0</v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>0</v>
      </c>
      <c r="AP213" s="66">
        <f t="shared" si="42"/>
        <v>0</v>
      </c>
      <c r="AQ213" s="66">
        <f t="shared" si="43"/>
        <v>0</v>
      </c>
      <c r="AR213" s="66">
        <f t="shared" si="44"/>
        <v>0</v>
      </c>
      <c r="AS213" s="66">
        <f t="shared" si="45"/>
        <v>0</v>
      </c>
      <c r="AT213" s="66">
        <f t="shared" si="46"/>
        <v>0</v>
      </c>
      <c r="AU213" s="66">
        <f t="shared" si="47"/>
        <v>0</v>
      </c>
      <c r="AV213" s="66">
        <f t="shared" si="48"/>
        <v>0</v>
      </c>
      <c r="AW213" s="66">
        <f t="shared" si="49"/>
        <v>0</v>
      </c>
      <c r="AX213" s="66">
        <f t="shared" si="50"/>
        <v>0</v>
      </c>
      <c r="AY213" s="66">
        <f t="shared" si="51"/>
        <v>0</v>
      </c>
      <c r="AZ213" s="66">
        <f>'Project Database'!Z217</f>
        <v>0</v>
      </c>
      <c r="BA213" s="66">
        <f>IF(OR(A213="",'Smart Search'!H13=0),"",MAX(0,BE213*BF213*MAX(0,1-BG213)))</f>
        <v>0</v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>0</v>
      </c>
      <c r="BC213" s="66">
        <f>IF('Smart Search'!G13=1,IFERROR(1/'Smart Search'!H13,0),0)</f>
        <v>0</v>
      </c>
      <c r="BD213" s="66">
        <f t="shared" si="52"/>
        <v>0</v>
      </c>
      <c r="BE213" s="66">
        <f t="shared" si="53"/>
        <v>0</v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>0</v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>0</v>
      </c>
      <c r="BH213" s="5" t="str">
        <f>IF(AND('Project Database'!A217&lt;&gt;"",OR('Smart Search'!$L$5="",'Smart Search'!$L$5="All",TRIM('Project Database'!D217)=TRIM('Smart Search'!$L$5)),OR(TRIM('Smart Search'!$L$6)="",TRIM('Smart Search'!$L$6)="All",ISNUMBER(SEARCH(SUBSTITUTE(SUBSTITUTE(SUBSTITUTE(TRIM('Smart Search'!$L$6),"~","~~"),"*","~*"),"?","~?"),'Project Database'!C217))),OR('Smart Search'!$L$7="",AND('Project Database'!E217&lt;&gt;"",'Project Database'!E217='Smart Search'!$L$7)),OR('Smart Search'!$L$8="",'Smart Search'!$L$8="All",TRIM('Project Database'!F217)=TRIM('Smart Search'!$L$8))),IF(BA213="","",BA213+ROW()*0.0000000001),"")</f>
        <v/>
      </c>
      <c r="BI213" s="5" t="str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 t="str">
        <f>IF('Project Database'!A217="","",N('Project Database'!AC217))</f>
        <v/>
      </c>
      <c r="BK213" s="5" t="str">
        <f>IF('Project Database'!A217="","",N('Project Database'!AD217))</f>
        <v/>
      </c>
      <c r="BL213" s="5" t="str">
        <f>IF('Project Database'!A217="","",N('Project Database'!AE217))</f>
        <v/>
      </c>
      <c r="BM213" s="5" t="str">
        <f>IF('Project Database'!A217="","",N('Project Database'!AF217))</f>
        <v/>
      </c>
      <c r="BN213" s="5" t="str">
        <f>IF('Project Database'!A217="","",N('Project Database'!AG217))</f>
        <v/>
      </c>
      <c r="BO213" s="5" t="str">
        <f>IF('Project Database'!A217="","",N('Project Database'!AH217))</f>
        <v/>
      </c>
      <c r="BP213" s="5" t="str">
        <f>IF('Project Database'!A217="","",N('Project Database'!AI217))</f>
        <v/>
      </c>
      <c r="BQ213" s="5" t="str">
        <f>IF('Project Database'!A217="","",N('Project Database'!AJ217))</f>
        <v/>
      </c>
      <c r="BR213" s="5" t="str">
        <f>IF('Project Database'!A217="","",N('Project Database'!AK217))</f>
        <v/>
      </c>
      <c r="BS213" s="5" t="str">
        <f>IF('Project Database'!A217="","",N('Project Database'!AL217))</f>
        <v/>
      </c>
      <c r="BT213" s="5" t="str">
        <f>IF('Project Database'!A217="","",N('Project Database'!AM217))</f>
        <v/>
      </c>
      <c r="BU213" s="5" t="str">
        <f>IF('Project Database'!A217="","",N('Project Database'!AN217))</f>
        <v/>
      </c>
      <c r="BV213" s="5" t="str">
        <f>IF('Project Database'!A217="","",N('Project Database'!AO217))</f>
        <v/>
      </c>
      <c r="BW213" s="5" t="str">
        <f>IF('Project Database'!A217="","",N('Project Database'!AP217))</f>
        <v/>
      </c>
      <c r="BX213" s="5">
        <f t="shared" si="54"/>
        <v>0</v>
      </c>
      <c r="BY213" s="5">
        <f t="shared" si="55"/>
        <v>0</v>
      </c>
    </row>
    <row r="214" spans="1:77" ht="15" customHeight="1" x14ac:dyDescent="0.3">
      <c r="A214" s="66">
        <f>'Project Database'!A218</f>
        <v>0</v>
      </c>
      <c r="B214" s="66">
        <f>'Project Database'!B218</f>
        <v>0</v>
      </c>
      <c r="C214" s="66">
        <f>'Project Database'!G218</f>
        <v>0</v>
      </c>
      <c r="D214" s="66">
        <f>'Project Database'!H218</f>
        <v>0</v>
      </c>
      <c r="E214" s="66">
        <f>'Project Database'!I218</f>
        <v>0</v>
      </c>
      <c r="F214" s="66">
        <f>'Project Database'!J218</f>
        <v>0</v>
      </c>
      <c r="G214" s="66">
        <f>'Project Database'!K218</f>
        <v>0</v>
      </c>
      <c r="H214" s="66">
        <f>'Project Database'!L218</f>
        <v>0</v>
      </c>
      <c r="I214" s="66">
        <f>'Project Database'!M218</f>
        <v>0</v>
      </c>
      <c r="J214" s="66">
        <f>'Project Database'!N218</f>
        <v>0</v>
      </c>
      <c r="K214" s="66">
        <f>'Project Database'!O218</f>
        <v>0</v>
      </c>
      <c r="L214" s="66">
        <f>'Project Database'!P218</f>
        <v>0</v>
      </c>
      <c r="M214" s="66">
        <f>'Project Database'!Q218</f>
        <v>0</v>
      </c>
      <c r="N214" s="66">
        <f>'Project Database'!R218</f>
        <v>0</v>
      </c>
      <c r="O214" s="66">
        <f>'Project Database'!S218</f>
        <v>0</v>
      </c>
      <c r="P214" s="66">
        <f>'Project Database'!T218</f>
        <v>0</v>
      </c>
      <c r="Q214" s="66">
        <f>'Project Database'!U218</f>
        <v>0</v>
      </c>
      <c r="R214" s="66">
        <f>'Project Database'!V218</f>
        <v>0</v>
      </c>
      <c r="S214" s="66">
        <f>'Project Database'!W218</f>
        <v>0</v>
      </c>
      <c r="T214" s="66">
        <f>'Project Database'!X218</f>
        <v>0</v>
      </c>
      <c r="U214" s="67">
        <f>'Project Database'!Y218</f>
        <v>0</v>
      </c>
      <c r="V214" s="66">
        <f>IF('Smart Search'!B13=1,IFERROR(1/'Smart Search'!H13,0),0)</f>
        <v>0</v>
      </c>
      <c r="W214" s="66">
        <f>IF('Smart Search'!B13=1,IFERROR(1/'Smart Search'!H13,0),0)</f>
        <v>0</v>
      </c>
      <c r="X214" s="66">
        <f>IF('Smart Search'!C13=1,IFERROR(1/'Smart Search'!H13,0),0)</f>
        <v>0.5</v>
      </c>
      <c r="Y214" s="66">
        <f>IF('Smart Search'!C13=1,IFERROR(1/'Smart Search'!H13,0),0)</f>
        <v>0.5</v>
      </c>
      <c r="Z214" s="66">
        <f>IF('Smart Search'!D13=1,IFERROR(1/'Smart Search'!H13,0),0)</f>
        <v>0</v>
      </c>
      <c r="AA214" s="66">
        <f>IF('Smart Search'!D13=1,IFERROR(1/'Smart Search'!H13,0),0)</f>
        <v>0</v>
      </c>
      <c r="AB214" s="66">
        <f>IF('Smart Search'!E13=1,IFERROR(1/'Smart Search'!H13,0),0)</f>
        <v>0</v>
      </c>
      <c r="AC214" s="66">
        <f>IF('Smart Search'!E13=1,IFERROR(1/'Smart Search'!H13,0),0)</f>
        <v>0</v>
      </c>
      <c r="AD214" s="66">
        <f>IF('Smart Search'!F13=1,IFERROR(1/'Smart Search'!H13,0),0)</f>
        <v>0</v>
      </c>
      <c r="AE214" s="66">
        <f>IF('Smart Search'!F13=1,IFERROR(1/'Smart Search'!H13,0),0)</f>
        <v>0</v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>0</v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>0</v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>0</v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>0</v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>0</v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>0</v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>0</v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>0</v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>0</v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>0</v>
      </c>
      <c r="AP214" s="66">
        <f t="shared" si="42"/>
        <v>0</v>
      </c>
      <c r="AQ214" s="66">
        <f t="shared" si="43"/>
        <v>0</v>
      </c>
      <c r="AR214" s="66">
        <f t="shared" si="44"/>
        <v>0</v>
      </c>
      <c r="AS214" s="66">
        <f t="shared" si="45"/>
        <v>0</v>
      </c>
      <c r="AT214" s="66">
        <f t="shared" si="46"/>
        <v>0</v>
      </c>
      <c r="AU214" s="66">
        <f t="shared" si="47"/>
        <v>0</v>
      </c>
      <c r="AV214" s="66">
        <f t="shared" si="48"/>
        <v>0</v>
      </c>
      <c r="AW214" s="66">
        <f t="shared" si="49"/>
        <v>0</v>
      </c>
      <c r="AX214" s="66">
        <f t="shared" si="50"/>
        <v>0</v>
      </c>
      <c r="AY214" s="66">
        <f t="shared" si="51"/>
        <v>0</v>
      </c>
      <c r="AZ214" s="66">
        <f>'Project Database'!Z218</f>
        <v>0</v>
      </c>
      <c r="BA214" s="66">
        <f>IF(OR(A214="",'Smart Search'!H13=0),"",MAX(0,BE214*BF214*MAX(0,1-BG214)))</f>
        <v>0</v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>0</v>
      </c>
      <c r="BC214" s="66">
        <f>IF('Smart Search'!G13=1,IFERROR(1/'Smart Search'!H13,0),0)</f>
        <v>0</v>
      </c>
      <c r="BD214" s="66">
        <f t="shared" si="52"/>
        <v>0</v>
      </c>
      <c r="BE214" s="66">
        <f t="shared" si="53"/>
        <v>0</v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>0</v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>0</v>
      </c>
      <c r="BH214" s="5" t="str">
        <f>IF(AND('Project Database'!A218&lt;&gt;"",OR('Smart Search'!$L$5="",'Smart Search'!$L$5="All",TRIM('Project Database'!D218)=TRIM('Smart Search'!$L$5)),OR(TRIM('Smart Search'!$L$6)="",TRIM('Smart Search'!$L$6)="All",ISNUMBER(SEARCH(SUBSTITUTE(SUBSTITUTE(SUBSTITUTE(TRIM('Smart Search'!$L$6),"~","~~"),"*","~*"),"?","~?"),'Project Database'!C218))),OR('Smart Search'!$L$7="",AND('Project Database'!E218&lt;&gt;"",'Project Database'!E218='Smart Search'!$L$7)),OR('Smart Search'!$L$8="",'Smart Search'!$L$8="All",TRIM('Project Database'!F218)=TRIM('Smart Search'!$L$8))),IF(BA214="","",BA214+ROW()*0.0000000001),"")</f>
        <v/>
      </c>
      <c r="BI214" s="5" t="str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 t="str">
        <f>IF('Project Database'!A218="","",N('Project Database'!AC218))</f>
        <v/>
      </c>
      <c r="BK214" s="5" t="str">
        <f>IF('Project Database'!A218="","",N('Project Database'!AD218))</f>
        <v/>
      </c>
      <c r="BL214" s="5" t="str">
        <f>IF('Project Database'!A218="","",N('Project Database'!AE218))</f>
        <v/>
      </c>
      <c r="BM214" s="5" t="str">
        <f>IF('Project Database'!A218="","",N('Project Database'!AF218))</f>
        <v/>
      </c>
      <c r="BN214" s="5" t="str">
        <f>IF('Project Database'!A218="","",N('Project Database'!AG218))</f>
        <v/>
      </c>
      <c r="BO214" s="5" t="str">
        <f>IF('Project Database'!A218="","",N('Project Database'!AH218))</f>
        <v/>
      </c>
      <c r="BP214" s="5" t="str">
        <f>IF('Project Database'!A218="","",N('Project Database'!AI218))</f>
        <v/>
      </c>
      <c r="BQ214" s="5" t="str">
        <f>IF('Project Database'!A218="","",N('Project Database'!AJ218))</f>
        <v/>
      </c>
      <c r="BR214" s="5" t="str">
        <f>IF('Project Database'!A218="","",N('Project Database'!AK218))</f>
        <v/>
      </c>
      <c r="BS214" s="5" t="str">
        <f>IF('Project Database'!A218="","",N('Project Database'!AL218))</f>
        <v/>
      </c>
      <c r="BT214" s="5" t="str">
        <f>IF('Project Database'!A218="","",N('Project Database'!AM218))</f>
        <v/>
      </c>
      <c r="BU214" s="5" t="str">
        <f>IF('Project Database'!A218="","",N('Project Database'!AN218))</f>
        <v/>
      </c>
      <c r="BV214" s="5" t="str">
        <f>IF('Project Database'!A218="","",N('Project Database'!AO218))</f>
        <v/>
      </c>
      <c r="BW214" s="5" t="str">
        <f>IF('Project Database'!A218="","",N('Project Database'!AP218))</f>
        <v/>
      </c>
      <c r="BX214" s="5">
        <f t="shared" si="54"/>
        <v>0</v>
      </c>
      <c r="BY214" s="5">
        <f t="shared" si="55"/>
        <v>0</v>
      </c>
    </row>
    <row r="215" spans="1:77" ht="15" customHeight="1" x14ac:dyDescent="0.3">
      <c r="A215" s="66">
        <f>'Project Database'!A219</f>
        <v>0</v>
      </c>
      <c r="B215" s="66">
        <f>'Project Database'!B219</f>
        <v>0</v>
      </c>
      <c r="C215" s="66">
        <f>'Project Database'!G219</f>
        <v>0</v>
      </c>
      <c r="D215" s="66">
        <f>'Project Database'!H219</f>
        <v>0</v>
      </c>
      <c r="E215" s="66">
        <f>'Project Database'!I219</f>
        <v>0</v>
      </c>
      <c r="F215" s="66">
        <f>'Project Database'!J219</f>
        <v>0</v>
      </c>
      <c r="G215" s="66">
        <f>'Project Database'!K219</f>
        <v>0</v>
      </c>
      <c r="H215" s="66">
        <f>'Project Database'!L219</f>
        <v>0</v>
      </c>
      <c r="I215" s="66">
        <f>'Project Database'!M219</f>
        <v>0</v>
      </c>
      <c r="J215" s="66">
        <f>'Project Database'!N219</f>
        <v>0</v>
      </c>
      <c r="K215" s="66">
        <f>'Project Database'!O219</f>
        <v>0</v>
      </c>
      <c r="L215" s="66">
        <f>'Project Database'!P219</f>
        <v>0</v>
      </c>
      <c r="M215" s="66">
        <f>'Project Database'!Q219</f>
        <v>0</v>
      </c>
      <c r="N215" s="66">
        <f>'Project Database'!R219</f>
        <v>0</v>
      </c>
      <c r="O215" s="66">
        <f>'Project Database'!S219</f>
        <v>0</v>
      </c>
      <c r="P215" s="66">
        <f>'Project Database'!T219</f>
        <v>0</v>
      </c>
      <c r="Q215" s="66">
        <f>'Project Database'!U219</f>
        <v>0</v>
      </c>
      <c r="R215" s="66">
        <f>'Project Database'!V219</f>
        <v>0</v>
      </c>
      <c r="S215" s="66">
        <f>'Project Database'!W219</f>
        <v>0</v>
      </c>
      <c r="T215" s="66">
        <f>'Project Database'!X219</f>
        <v>0</v>
      </c>
      <c r="U215" s="67">
        <f>'Project Database'!Y219</f>
        <v>0</v>
      </c>
      <c r="V215" s="66">
        <f>IF('Smart Search'!B13=1,IFERROR(1/'Smart Search'!H13,0),0)</f>
        <v>0</v>
      </c>
      <c r="W215" s="66">
        <f>IF('Smart Search'!B13=1,IFERROR(1/'Smart Search'!H13,0),0)</f>
        <v>0</v>
      </c>
      <c r="X215" s="66">
        <f>IF('Smart Search'!C13=1,IFERROR(1/'Smart Search'!H13,0),0)</f>
        <v>0.5</v>
      </c>
      <c r="Y215" s="66">
        <f>IF('Smart Search'!C13=1,IFERROR(1/'Smart Search'!H13,0),0)</f>
        <v>0.5</v>
      </c>
      <c r="Z215" s="66">
        <f>IF('Smart Search'!D13=1,IFERROR(1/'Smart Search'!H13,0),0)</f>
        <v>0</v>
      </c>
      <c r="AA215" s="66">
        <f>IF('Smart Search'!D13=1,IFERROR(1/'Smart Search'!H13,0),0)</f>
        <v>0</v>
      </c>
      <c r="AB215" s="66">
        <f>IF('Smart Search'!E13=1,IFERROR(1/'Smart Search'!H13,0),0)</f>
        <v>0</v>
      </c>
      <c r="AC215" s="66">
        <f>IF('Smart Search'!E13=1,IFERROR(1/'Smart Search'!H13,0),0)</f>
        <v>0</v>
      </c>
      <c r="AD215" s="66">
        <f>IF('Smart Search'!F13=1,IFERROR(1/'Smart Search'!H13,0),0)</f>
        <v>0</v>
      </c>
      <c r="AE215" s="66">
        <f>IF('Smart Search'!F13=1,IFERROR(1/'Smart Search'!H13,0),0)</f>
        <v>0</v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>0</v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>0</v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>0</v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>0</v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>0</v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>0</v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>0</v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>0</v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>0</v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>0</v>
      </c>
      <c r="AP215" s="66">
        <f t="shared" si="42"/>
        <v>0</v>
      </c>
      <c r="AQ215" s="66">
        <f t="shared" si="43"/>
        <v>0</v>
      </c>
      <c r="AR215" s="66">
        <f t="shared" si="44"/>
        <v>0</v>
      </c>
      <c r="AS215" s="66">
        <f t="shared" si="45"/>
        <v>0</v>
      </c>
      <c r="AT215" s="66">
        <f t="shared" si="46"/>
        <v>0</v>
      </c>
      <c r="AU215" s="66">
        <f t="shared" si="47"/>
        <v>0</v>
      </c>
      <c r="AV215" s="66">
        <f t="shared" si="48"/>
        <v>0</v>
      </c>
      <c r="AW215" s="66">
        <f t="shared" si="49"/>
        <v>0</v>
      </c>
      <c r="AX215" s="66">
        <f t="shared" si="50"/>
        <v>0</v>
      </c>
      <c r="AY215" s="66">
        <f t="shared" si="51"/>
        <v>0</v>
      </c>
      <c r="AZ215" s="66">
        <f>'Project Database'!Z219</f>
        <v>0</v>
      </c>
      <c r="BA215" s="66">
        <f>IF(OR(A215="",'Smart Search'!H13=0),"",MAX(0,BE215*BF215*MAX(0,1-BG215)))</f>
        <v>0</v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>0</v>
      </c>
      <c r="BC215" s="66">
        <f>IF('Smart Search'!G13=1,IFERROR(1/'Smart Search'!H13,0),0)</f>
        <v>0</v>
      </c>
      <c r="BD215" s="66">
        <f t="shared" si="52"/>
        <v>0</v>
      </c>
      <c r="BE215" s="66">
        <f t="shared" si="53"/>
        <v>0</v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>0</v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>0</v>
      </c>
      <c r="BH215" s="5" t="str">
        <f>IF(AND('Project Database'!A219&lt;&gt;"",OR('Smart Search'!$L$5="",'Smart Search'!$L$5="All",TRIM('Project Database'!D219)=TRIM('Smart Search'!$L$5)),OR(TRIM('Smart Search'!$L$6)="",TRIM('Smart Search'!$L$6)="All",ISNUMBER(SEARCH(SUBSTITUTE(SUBSTITUTE(SUBSTITUTE(TRIM('Smart Search'!$L$6),"~","~~"),"*","~*"),"?","~?"),'Project Database'!C219))),OR('Smart Search'!$L$7="",AND('Project Database'!E219&lt;&gt;"",'Project Database'!E219='Smart Search'!$L$7)),OR('Smart Search'!$L$8="",'Smart Search'!$L$8="All",TRIM('Project Database'!F219)=TRIM('Smart Search'!$L$8))),IF(BA215="","",BA215+ROW()*0.0000000001),"")</f>
        <v/>
      </c>
      <c r="BI215" s="5" t="str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 t="str">
        <f>IF('Project Database'!A219="","",N('Project Database'!AC219))</f>
        <v/>
      </c>
      <c r="BK215" s="5" t="str">
        <f>IF('Project Database'!A219="","",N('Project Database'!AD219))</f>
        <v/>
      </c>
      <c r="BL215" s="5" t="str">
        <f>IF('Project Database'!A219="","",N('Project Database'!AE219))</f>
        <v/>
      </c>
      <c r="BM215" s="5" t="str">
        <f>IF('Project Database'!A219="","",N('Project Database'!AF219))</f>
        <v/>
      </c>
      <c r="BN215" s="5" t="str">
        <f>IF('Project Database'!A219="","",N('Project Database'!AG219))</f>
        <v/>
      </c>
      <c r="BO215" s="5" t="str">
        <f>IF('Project Database'!A219="","",N('Project Database'!AH219))</f>
        <v/>
      </c>
      <c r="BP215" s="5" t="str">
        <f>IF('Project Database'!A219="","",N('Project Database'!AI219))</f>
        <v/>
      </c>
      <c r="BQ215" s="5" t="str">
        <f>IF('Project Database'!A219="","",N('Project Database'!AJ219))</f>
        <v/>
      </c>
      <c r="BR215" s="5" t="str">
        <f>IF('Project Database'!A219="","",N('Project Database'!AK219))</f>
        <v/>
      </c>
      <c r="BS215" s="5" t="str">
        <f>IF('Project Database'!A219="","",N('Project Database'!AL219))</f>
        <v/>
      </c>
      <c r="BT215" s="5" t="str">
        <f>IF('Project Database'!A219="","",N('Project Database'!AM219))</f>
        <v/>
      </c>
      <c r="BU215" s="5" t="str">
        <f>IF('Project Database'!A219="","",N('Project Database'!AN219))</f>
        <v/>
      </c>
      <c r="BV215" s="5" t="str">
        <f>IF('Project Database'!A219="","",N('Project Database'!AO219))</f>
        <v/>
      </c>
      <c r="BW215" s="5" t="str">
        <f>IF('Project Database'!A219="","",N('Project Database'!AP219))</f>
        <v/>
      </c>
      <c r="BX215" s="5">
        <f t="shared" si="54"/>
        <v>0</v>
      </c>
      <c r="BY215" s="5">
        <f t="shared" si="55"/>
        <v>0</v>
      </c>
    </row>
    <row r="216" spans="1:77" ht="15" customHeight="1" x14ac:dyDescent="0.3">
      <c r="A216" s="66">
        <f>'Project Database'!A220</f>
        <v>0</v>
      </c>
      <c r="B216" s="66">
        <f>'Project Database'!B220</f>
        <v>0</v>
      </c>
      <c r="C216" s="66">
        <f>'Project Database'!G220</f>
        <v>0</v>
      </c>
      <c r="D216" s="66">
        <f>'Project Database'!H220</f>
        <v>0</v>
      </c>
      <c r="E216" s="66">
        <f>'Project Database'!I220</f>
        <v>0</v>
      </c>
      <c r="F216" s="66">
        <f>'Project Database'!J220</f>
        <v>0</v>
      </c>
      <c r="G216" s="66">
        <f>'Project Database'!K220</f>
        <v>0</v>
      </c>
      <c r="H216" s="66">
        <f>'Project Database'!L220</f>
        <v>0</v>
      </c>
      <c r="I216" s="66">
        <f>'Project Database'!M220</f>
        <v>0</v>
      </c>
      <c r="J216" s="66">
        <f>'Project Database'!N220</f>
        <v>0</v>
      </c>
      <c r="K216" s="66">
        <f>'Project Database'!O220</f>
        <v>0</v>
      </c>
      <c r="L216" s="66">
        <f>'Project Database'!P220</f>
        <v>0</v>
      </c>
      <c r="M216" s="66">
        <f>'Project Database'!Q220</f>
        <v>0</v>
      </c>
      <c r="N216" s="66">
        <f>'Project Database'!R220</f>
        <v>0</v>
      </c>
      <c r="O216" s="66">
        <f>'Project Database'!S220</f>
        <v>0</v>
      </c>
      <c r="P216" s="66">
        <f>'Project Database'!T220</f>
        <v>0</v>
      </c>
      <c r="Q216" s="66">
        <f>'Project Database'!U220</f>
        <v>0</v>
      </c>
      <c r="R216" s="66">
        <f>'Project Database'!V220</f>
        <v>0</v>
      </c>
      <c r="S216" s="66">
        <f>'Project Database'!W220</f>
        <v>0</v>
      </c>
      <c r="T216" s="66">
        <f>'Project Database'!X220</f>
        <v>0</v>
      </c>
      <c r="U216" s="67">
        <f>'Project Database'!Y220</f>
        <v>0</v>
      </c>
      <c r="V216" s="66">
        <f>IF('Smart Search'!B13=1,IFERROR(1/'Smart Search'!H13,0),0)</f>
        <v>0</v>
      </c>
      <c r="W216" s="66">
        <f>IF('Smart Search'!B13=1,IFERROR(1/'Smart Search'!H13,0),0)</f>
        <v>0</v>
      </c>
      <c r="X216" s="66">
        <f>IF('Smart Search'!C13=1,IFERROR(1/'Smart Search'!H13,0),0)</f>
        <v>0.5</v>
      </c>
      <c r="Y216" s="66">
        <f>IF('Smart Search'!C13=1,IFERROR(1/'Smart Search'!H13,0),0)</f>
        <v>0.5</v>
      </c>
      <c r="Z216" s="66">
        <f>IF('Smart Search'!D13=1,IFERROR(1/'Smart Search'!H13,0),0)</f>
        <v>0</v>
      </c>
      <c r="AA216" s="66">
        <f>IF('Smart Search'!D13=1,IFERROR(1/'Smart Search'!H13,0),0)</f>
        <v>0</v>
      </c>
      <c r="AB216" s="66">
        <f>IF('Smart Search'!E13=1,IFERROR(1/'Smart Search'!H13,0),0)</f>
        <v>0</v>
      </c>
      <c r="AC216" s="66">
        <f>IF('Smart Search'!E13=1,IFERROR(1/'Smart Search'!H13,0),0)</f>
        <v>0</v>
      </c>
      <c r="AD216" s="66">
        <f>IF('Smart Search'!F13=1,IFERROR(1/'Smart Search'!H13,0),0)</f>
        <v>0</v>
      </c>
      <c r="AE216" s="66">
        <f>IF('Smart Search'!F13=1,IFERROR(1/'Smart Search'!H13,0),0)</f>
        <v>0</v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>0</v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>0</v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>0</v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>0</v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>0</v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>0</v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>0</v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>0</v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>0</v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>0</v>
      </c>
      <c r="AP216" s="66">
        <f t="shared" si="42"/>
        <v>0</v>
      </c>
      <c r="AQ216" s="66">
        <f t="shared" si="43"/>
        <v>0</v>
      </c>
      <c r="AR216" s="66">
        <f t="shared" si="44"/>
        <v>0</v>
      </c>
      <c r="AS216" s="66">
        <f t="shared" si="45"/>
        <v>0</v>
      </c>
      <c r="AT216" s="66">
        <f t="shared" si="46"/>
        <v>0</v>
      </c>
      <c r="AU216" s="66">
        <f t="shared" si="47"/>
        <v>0</v>
      </c>
      <c r="AV216" s="66">
        <f t="shared" si="48"/>
        <v>0</v>
      </c>
      <c r="AW216" s="66">
        <f t="shared" si="49"/>
        <v>0</v>
      </c>
      <c r="AX216" s="66">
        <f t="shared" si="50"/>
        <v>0</v>
      </c>
      <c r="AY216" s="66">
        <f t="shared" si="51"/>
        <v>0</v>
      </c>
      <c r="AZ216" s="66">
        <f>'Project Database'!Z220</f>
        <v>0</v>
      </c>
      <c r="BA216" s="66">
        <f>IF(OR(A216="",'Smart Search'!H13=0),"",MAX(0,BE216*BF216*MAX(0,1-BG216)))</f>
        <v>0</v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>0</v>
      </c>
      <c r="BC216" s="66">
        <f>IF('Smart Search'!G13=1,IFERROR(1/'Smart Search'!H13,0),0)</f>
        <v>0</v>
      </c>
      <c r="BD216" s="66">
        <f t="shared" si="52"/>
        <v>0</v>
      </c>
      <c r="BE216" s="66">
        <f t="shared" si="53"/>
        <v>0</v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>0</v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>0</v>
      </c>
      <c r="BH216" s="5" t="str">
        <f>IF(AND('Project Database'!A220&lt;&gt;"",OR('Smart Search'!$L$5="",'Smart Search'!$L$5="All",TRIM('Project Database'!D220)=TRIM('Smart Search'!$L$5)),OR(TRIM('Smart Search'!$L$6)="",TRIM('Smart Search'!$L$6)="All",ISNUMBER(SEARCH(SUBSTITUTE(SUBSTITUTE(SUBSTITUTE(TRIM('Smart Search'!$L$6),"~","~~"),"*","~*"),"?","~?"),'Project Database'!C220))),OR('Smart Search'!$L$7="",AND('Project Database'!E220&lt;&gt;"",'Project Database'!E220='Smart Search'!$L$7)),OR('Smart Search'!$L$8="",'Smart Search'!$L$8="All",TRIM('Project Database'!F220)=TRIM('Smart Search'!$L$8))),IF(BA216="","",BA216+ROW()*0.0000000001),"")</f>
        <v/>
      </c>
      <c r="BI216" s="5" t="str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 t="str">
        <f>IF('Project Database'!A220="","",N('Project Database'!AC220))</f>
        <v/>
      </c>
      <c r="BK216" s="5" t="str">
        <f>IF('Project Database'!A220="","",N('Project Database'!AD220))</f>
        <v/>
      </c>
      <c r="BL216" s="5" t="str">
        <f>IF('Project Database'!A220="","",N('Project Database'!AE220))</f>
        <v/>
      </c>
      <c r="BM216" s="5" t="str">
        <f>IF('Project Database'!A220="","",N('Project Database'!AF220))</f>
        <v/>
      </c>
      <c r="BN216" s="5" t="str">
        <f>IF('Project Database'!A220="","",N('Project Database'!AG220))</f>
        <v/>
      </c>
      <c r="BO216" s="5" t="str">
        <f>IF('Project Database'!A220="","",N('Project Database'!AH220))</f>
        <v/>
      </c>
      <c r="BP216" s="5" t="str">
        <f>IF('Project Database'!A220="","",N('Project Database'!AI220))</f>
        <v/>
      </c>
      <c r="BQ216" s="5" t="str">
        <f>IF('Project Database'!A220="","",N('Project Database'!AJ220))</f>
        <v/>
      </c>
      <c r="BR216" s="5" t="str">
        <f>IF('Project Database'!A220="","",N('Project Database'!AK220))</f>
        <v/>
      </c>
      <c r="BS216" s="5" t="str">
        <f>IF('Project Database'!A220="","",N('Project Database'!AL220))</f>
        <v/>
      </c>
      <c r="BT216" s="5" t="str">
        <f>IF('Project Database'!A220="","",N('Project Database'!AM220))</f>
        <v/>
      </c>
      <c r="BU216" s="5" t="str">
        <f>IF('Project Database'!A220="","",N('Project Database'!AN220))</f>
        <v/>
      </c>
      <c r="BV216" s="5" t="str">
        <f>IF('Project Database'!A220="","",N('Project Database'!AO220))</f>
        <v/>
      </c>
      <c r="BW216" s="5" t="str">
        <f>IF('Project Database'!A220="","",N('Project Database'!AP220))</f>
        <v/>
      </c>
      <c r="BX216" s="5">
        <f t="shared" si="54"/>
        <v>0</v>
      </c>
      <c r="BY216" s="5">
        <f t="shared" si="55"/>
        <v>0</v>
      </c>
    </row>
    <row r="217" spans="1:77" ht="15" customHeight="1" x14ac:dyDescent="0.3">
      <c r="A217" s="66">
        <f>'Project Database'!A221</f>
        <v>0</v>
      </c>
      <c r="B217" s="66">
        <f>'Project Database'!B221</f>
        <v>0</v>
      </c>
      <c r="C217" s="66">
        <f>'Project Database'!G221</f>
        <v>0</v>
      </c>
      <c r="D217" s="66">
        <f>'Project Database'!H221</f>
        <v>0</v>
      </c>
      <c r="E217" s="66">
        <f>'Project Database'!I221</f>
        <v>0</v>
      </c>
      <c r="F217" s="66">
        <f>'Project Database'!J221</f>
        <v>0</v>
      </c>
      <c r="G217" s="66">
        <f>'Project Database'!K221</f>
        <v>0</v>
      </c>
      <c r="H217" s="66">
        <f>'Project Database'!L221</f>
        <v>0</v>
      </c>
      <c r="I217" s="66">
        <f>'Project Database'!M221</f>
        <v>0</v>
      </c>
      <c r="J217" s="66">
        <f>'Project Database'!N221</f>
        <v>0</v>
      </c>
      <c r="K217" s="66">
        <f>'Project Database'!O221</f>
        <v>0</v>
      </c>
      <c r="L217" s="66">
        <f>'Project Database'!P221</f>
        <v>0</v>
      </c>
      <c r="M217" s="66">
        <f>'Project Database'!Q221</f>
        <v>0</v>
      </c>
      <c r="N217" s="66">
        <f>'Project Database'!R221</f>
        <v>0</v>
      </c>
      <c r="O217" s="66">
        <f>'Project Database'!S221</f>
        <v>0</v>
      </c>
      <c r="P217" s="66">
        <f>'Project Database'!T221</f>
        <v>0</v>
      </c>
      <c r="Q217" s="66">
        <f>'Project Database'!U221</f>
        <v>0</v>
      </c>
      <c r="R217" s="66">
        <f>'Project Database'!V221</f>
        <v>0</v>
      </c>
      <c r="S217" s="66">
        <f>'Project Database'!W221</f>
        <v>0</v>
      </c>
      <c r="T217" s="66">
        <f>'Project Database'!X221</f>
        <v>0</v>
      </c>
      <c r="U217" s="67">
        <f>'Project Database'!Y221</f>
        <v>0</v>
      </c>
      <c r="V217" s="66">
        <f>IF('Smart Search'!B13=1,IFERROR(1/'Smart Search'!H13,0),0)</f>
        <v>0</v>
      </c>
      <c r="W217" s="66">
        <f>IF('Smart Search'!B13=1,IFERROR(1/'Smart Search'!H13,0),0)</f>
        <v>0</v>
      </c>
      <c r="X217" s="66">
        <f>IF('Smart Search'!C13=1,IFERROR(1/'Smart Search'!H13,0),0)</f>
        <v>0.5</v>
      </c>
      <c r="Y217" s="66">
        <f>IF('Smart Search'!C13=1,IFERROR(1/'Smart Search'!H13,0),0)</f>
        <v>0.5</v>
      </c>
      <c r="Z217" s="66">
        <f>IF('Smart Search'!D13=1,IFERROR(1/'Smart Search'!H13,0),0)</f>
        <v>0</v>
      </c>
      <c r="AA217" s="66">
        <f>IF('Smart Search'!D13=1,IFERROR(1/'Smart Search'!H13,0),0)</f>
        <v>0</v>
      </c>
      <c r="AB217" s="66">
        <f>IF('Smart Search'!E13=1,IFERROR(1/'Smart Search'!H13,0),0)</f>
        <v>0</v>
      </c>
      <c r="AC217" s="66">
        <f>IF('Smart Search'!E13=1,IFERROR(1/'Smart Search'!H13,0),0)</f>
        <v>0</v>
      </c>
      <c r="AD217" s="66">
        <f>IF('Smart Search'!F13=1,IFERROR(1/'Smart Search'!H13,0),0)</f>
        <v>0</v>
      </c>
      <c r="AE217" s="66">
        <f>IF('Smart Search'!F13=1,IFERROR(1/'Smart Search'!H13,0),0)</f>
        <v>0</v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>0</v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>0</v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>0</v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>0</v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>0</v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>0</v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>0</v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>0</v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>0</v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>0</v>
      </c>
      <c r="AP217" s="66">
        <f t="shared" si="42"/>
        <v>0</v>
      </c>
      <c r="AQ217" s="66">
        <f t="shared" si="43"/>
        <v>0</v>
      </c>
      <c r="AR217" s="66">
        <f t="shared" si="44"/>
        <v>0</v>
      </c>
      <c r="AS217" s="66">
        <f t="shared" si="45"/>
        <v>0</v>
      </c>
      <c r="AT217" s="66">
        <f t="shared" si="46"/>
        <v>0</v>
      </c>
      <c r="AU217" s="66">
        <f t="shared" si="47"/>
        <v>0</v>
      </c>
      <c r="AV217" s="66">
        <f t="shared" si="48"/>
        <v>0</v>
      </c>
      <c r="AW217" s="66">
        <f t="shared" si="49"/>
        <v>0</v>
      </c>
      <c r="AX217" s="66">
        <f t="shared" si="50"/>
        <v>0</v>
      </c>
      <c r="AY217" s="66">
        <f t="shared" si="51"/>
        <v>0</v>
      </c>
      <c r="AZ217" s="66">
        <f>'Project Database'!Z221</f>
        <v>0</v>
      </c>
      <c r="BA217" s="66">
        <f>IF(OR(A217="",'Smart Search'!H13=0),"",MAX(0,BE217*BF217*MAX(0,1-BG217)))</f>
        <v>0</v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>0</v>
      </c>
      <c r="BC217" s="66">
        <f>IF('Smart Search'!G13=1,IFERROR(1/'Smart Search'!H13,0),0)</f>
        <v>0</v>
      </c>
      <c r="BD217" s="66">
        <f t="shared" si="52"/>
        <v>0</v>
      </c>
      <c r="BE217" s="66">
        <f t="shared" si="53"/>
        <v>0</v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>0</v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>0</v>
      </c>
      <c r="BH217" s="5" t="str">
        <f>IF(AND('Project Database'!A221&lt;&gt;"",OR('Smart Search'!$L$5="",'Smart Search'!$L$5="All",TRIM('Project Database'!D221)=TRIM('Smart Search'!$L$5)),OR(TRIM('Smart Search'!$L$6)="",TRIM('Smart Search'!$L$6)="All",ISNUMBER(SEARCH(SUBSTITUTE(SUBSTITUTE(SUBSTITUTE(TRIM('Smart Search'!$L$6),"~","~~"),"*","~*"),"?","~?"),'Project Database'!C221))),OR('Smart Search'!$L$7="",AND('Project Database'!E221&lt;&gt;"",'Project Database'!E221='Smart Search'!$L$7)),OR('Smart Search'!$L$8="",'Smart Search'!$L$8="All",TRIM('Project Database'!F221)=TRIM('Smart Search'!$L$8))),IF(BA217="","",BA217+ROW()*0.0000000001),"")</f>
        <v/>
      </c>
      <c r="BI217" s="5" t="str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 t="str">
        <f>IF('Project Database'!A221="","",N('Project Database'!AC221))</f>
        <v/>
      </c>
      <c r="BK217" s="5" t="str">
        <f>IF('Project Database'!A221="","",N('Project Database'!AD221))</f>
        <v/>
      </c>
      <c r="BL217" s="5" t="str">
        <f>IF('Project Database'!A221="","",N('Project Database'!AE221))</f>
        <v/>
      </c>
      <c r="BM217" s="5" t="str">
        <f>IF('Project Database'!A221="","",N('Project Database'!AF221))</f>
        <v/>
      </c>
      <c r="BN217" s="5" t="str">
        <f>IF('Project Database'!A221="","",N('Project Database'!AG221))</f>
        <v/>
      </c>
      <c r="BO217" s="5" t="str">
        <f>IF('Project Database'!A221="","",N('Project Database'!AH221))</f>
        <v/>
      </c>
      <c r="BP217" s="5" t="str">
        <f>IF('Project Database'!A221="","",N('Project Database'!AI221))</f>
        <v/>
      </c>
      <c r="BQ217" s="5" t="str">
        <f>IF('Project Database'!A221="","",N('Project Database'!AJ221))</f>
        <v/>
      </c>
      <c r="BR217" s="5" t="str">
        <f>IF('Project Database'!A221="","",N('Project Database'!AK221))</f>
        <v/>
      </c>
      <c r="BS217" s="5" t="str">
        <f>IF('Project Database'!A221="","",N('Project Database'!AL221))</f>
        <v/>
      </c>
      <c r="BT217" s="5" t="str">
        <f>IF('Project Database'!A221="","",N('Project Database'!AM221))</f>
        <v/>
      </c>
      <c r="BU217" s="5" t="str">
        <f>IF('Project Database'!A221="","",N('Project Database'!AN221))</f>
        <v/>
      </c>
      <c r="BV217" s="5" t="str">
        <f>IF('Project Database'!A221="","",N('Project Database'!AO221))</f>
        <v/>
      </c>
      <c r="BW217" s="5" t="str">
        <f>IF('Project Database'!A221="","",N('Project Database'!AP221))</f>
        <v/>
      </c>
      <c r="BX217" s="5">
        <f t="shared" si="54"/>
        <v>0</v>
      </c>
      <c r="BY217" s="5">
        <f t="shared" si="55"/>
        <v>0</v>
      </c>
    </row>
    <row r="218" spans="1:77" ht="15" customHeight="1" x14ac:dyDescent="0.3">
      <c r="A218" s="66">
        <f>'Project Database'!A222</f>
        <v>0</v>
      </c>
      <c r="B218" s="66">
        <f>'Project Database'!B222</f>
        <v>0</v>
      </c>
      <c r="C218" s="66">
        <f>'Project Database'!G222</f>
        <v>0</v>
      </c>
      <c r="D218" s="66">
        <f>'Project Database'!H222</f>
        <v>0</v>
      </c>
      <c r="E218" s="66">
        <f>'Project Database'!I222</f>
        <v>0</v>
      </c>
      <c r="F218" s="66">
        <f>'Project Database'!J222</f>
        <v>0</v>
      </c>
      <c r="G218" s="66">
        <f>'Project Database'!K222</f>
        <v>0</v>
      </c>
      <c r="H218" s="66">
        <f>'Project Database'!L222</f>
        <v>0</v>
      </c>
      <c r="I218" s="66">
        <f>'Project Database'!M222</f>
        <v>0</v>
      </c>
      <c r="J218" s="66">
        <f>'Project Database'!N222</f>
        <v>0</v>
      </c>
      <c r="K218" s="66">
        <f>'Project Database'!O222</f>
        <v>0</v>
      </c>
      <c r="L218" s="66">
        <f>'Project Database'!P222</f>
        <v>0</v>
      </c>
      <c r="M218" s="66">
        <f>'Project Database'!Q222</f>
        <v>0</v>
      </c>
      <c r="N218" s="66">
        <f>'Project Database'!R222</f>
        <v>0</v>
      </c>
      <c r="O218" s="66">
        <f>'Project Database'!S222</f>
        <v>0</v>
      </c>
      <c r="P218" s="66">
        <f>'Project Database'!T222</f>
        <v>0</v>
      </c>
      <c r="Q218" s="66">
        <f>'Project Database'!U222</f>
        <v>0</v>
      </c>
      <c r="R218" s="66">
        <f>'Project Database'!V222</f>
        <v>0</v>
      </c>
      <c r="S218" s="66">
        <f>'Project Database'!W222</f>
        <v>0</v>
      </c>
      <c r="T218" s="66">
        <f>'Project Database'!X222</f>
        <v>0</v>
      </c>
      <c r="U218" s="67">
        <f>'Project Database'!Y222</f>
        <v>0</v>
      </c>
      <c r="V218" s="66">
        <f>IF('Smart Search'!B13=1,IFERROR(1/'Smart Search'!H13,0),0)</f>
        <v>0</v>
      </c>
      <c r="W218" s="66">
        <f>IF('Smart Search'!B13=1,IFERROR(1/'Smart Search'!H13,0),0)</f>
        <v>0</v>
      </c>
      <c r="X218" s="66">
        <f>IF('Smart Search'!C13=1,IFERROR(1/'Smart Search'!H13,0),0)</f>
        <v>0.5</v>
      </c>
      <c r="Y218" s="66">
        <f>IF('Smart Search'!C13=1,IFERROR(1/'Smart Search'!H13,0),0)</f>
        <v>0.5</v>
      </c>
      <c r="Z218" s="66">
        <f>IF('Smart Search'!D13=1,IFERROR(1/'Smart Search'!H13,0),0)</f>
        <v>0</v>
      </c>
      <c r="AA218" s="66">
        <f>IF('Smart Search'!D13=1,IFERROR(1/'Smart Search'!H13,0),0)</f>
        <v>0</v>
      </c>
      <c r="AB218" s="66">
        <f>IF('Smart Search'!E13=1,IFERROR(1/'Smart Search'!H13,0),0)</f>
        <v>0</v>
      </c>
      <c r="AC218" s="66">
        <f>IF('Smart Search'!E13=1,IFERROR(1/'Smart Search'!H13,0),0)</f>
        <v>0</v>
      </c>
      <c r="AD218" s="66">
        <f>IF('Smart Search'!F13=1,IFERROR(1/'Smart Search'!H13,0),0)</f>
        <v>0</v>
      </c>
      <c r="AE218" s="66">
        <f>IF('Smart Search'!F13=1,IFERROR(1/'Smart Search'!H13,0),0)</f>
        <v>0</v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>0</v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>0</v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>0</v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>0</v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>0</v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>0</v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>0</v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>0</v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>0</v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>0</v>
      </c>
      <c r="AP218" s="66">
        <f t="shared" si="42"/>
        <v>0</v>
      </c>
      <c r="AQ218" s="66">
        <f t="shared" si="43"/>
        <v>0</v>
      </c>
      <c r="AR218" s="66">
        <f t="shared" si="44"/>
        <v>0</v>
      </c>
      <c r="AS218" s="66">
        <f t="shared" si="45"/>
        <v>0</v>
      </c>
      <c r="AT218" s="66">
        <f t="shared" si="46"/>
        <v>0</v>
      </c>
      <c r="AU218" s="66">
        <f t="shared" si="47"/>
        <v>0</v>
      </c>
      <c r="AV218" s="66">
        <f t="shared" si="48"/>
        <v>0</v>
      </c>
      <c r="AW218" s="66">
        <f t="shared" si="49"/>
        <v>0</v>
      </c>
      <c r="AX218" s="66">
        <f t="shared" si="50"/>
        <v>0</v>
      </c>
      <c r="AY218" s="66">
        <f t="shared" si="51"/>
        <v>0</v>
      </c>
      <c r="AZ218" s="66">
        <f>'Project Database'!Z222</f>
        <v>0</v>
      </c>
      <c r="BA218" s="66">
        <f>IF(OR(A218="",'Smart Search'!H13=0),"",MAX(0,BE218*BF218*MAX(0,1-BG218)))</f>
        <v>0</v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>0</v>
      </c>
      <c r="BC218" s="66">
        <f>IF('Smart Search'!G13=1,IFERROR(1/'Smart Search'!H13,0),0)</f>
        <v>0</v>
      </c>
      <c r="BD218" s="66">
        <f t="shared" si="52"/>
        <v>0</v>
      </c>
      <c r="BE218" s="66">
        <f t="shared" si="53"/>
        <v>0</v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>0</v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>0</v>
      </c>
      <c r="BH218" s="5" t="str">
        <f>IF(AND('Project Database'!A222&lt;&gt;"",OR('Smart Search'!$L$5="",'Smart Search'!$L$5="All",TRIM('Project Database'!D222)=TRIM('Smart Search'!$L$5)),OR(TRIM('Smart Search'!$L$6)="",TRIM('Smart Search'!$L$6)="All",ISNUMBER(SEARCH(SUBSTITUTE(SUBSTITUTE(SUBSTITUTE(TRIM('Smart Search'!$L$6),"~","~~"),"*","~*"),"?","~?"),'Project Database'!C222))),OR('Smart Search'!$L$7="",AND('Project Database'!E222&lt;&gt;"",'Project Database'!E222='Smart Search'!$L$7)),OR('Smart Search'!$L$8="",'Smart Search'!$L$8="All",TRIM('Project Database'!F222)=TRIM('Smart Search'!$L$8))),IF(BA218="","",BA218+ROW()*0.0000000001),"")</f>
        <v/>
      </c>
      <c r="BI218" s="5" t="str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 t="str">
        <f>IF('Project Database'!A222="","",N('Project Database'!AC222))</f>
        <v/>
      </c>
      <c r="BK218" s="5" t="str">
        <f>IF('Project Database'!A222="","",N('Project Database'!AD222))</f>
        <v/>
      </c>
      <c r="BL218" s="5" t="str">
        <f>IF('Project Database'!A222="","",N('Project Database'!AE222))</f>
        <v/>
      </c>
      <c r="BM218" s="5" t="str">
        <f>IF('Project Database'!A222="","",N('Project Database'!AF222))</f>
        <v/>
      </c>
      <c r="BN218" s="5" t="str">
        <f>IF('Project Database'!A222="","",N('Project Database'!AG222))</f>
        <v/>
      </c>
      <c r="BO218" s="5" t="str">
        <f>IF('Project Database'!A222="","",N('Project Database'!AH222))</f>
        <v/>
      </c>
      <c r="BP218" s="5" t="str">
        <f>IF('Project Database'!A222="","",N('Project Database'!AI222))</f>
        <v/>
      </c>
      <c r="BQ218" s="5" t="str">
        <f>IF('Project Database'!A222="","",N('Project Database'!AJ222))</f>
        <v/>
      </c>
      <c r="BR218" s="5" t="str">
        <f>IF('Project Database'!A222="","",N('Project Database'!AK222))</f>
        <v/>
      </c>
      <c r="BS218" s="5" t="str">
        <f>IF('Project Database'!A222="","",N('Project Database'!AL222))</f>
        <v/>
      </c>
      <c r="BT218" s="5" t="str">
        <f>IF('Project Database'!A222="","",N('Project Database'!AM222))</f>
        <v/>
      </c>
      <c r="BU218" s="5" t="str">
        <f>IF('Project Database'!A222="","",N('Project Database'!AN222))</f>
        <v/>
      </c>
      <c r="BV218" s="5" t="str">
        <f>IF('Project Database'!A222="","",N('Project Database'!AO222))</f>
        <v/>
      </c>
      <c r="BW218" s="5" t="str">
        <f>IF('Project Database'!A222="","",N('Project Database'!AP222))</f>
        <v/>
      </c>
      <c r="BX218" s="5">
        <f t="shared" si="54"/>
        <v>0</v>
      </c>
      <c r="BY218" s="5">
        <f t="shared" si="55"/>
        <v>0</v>
      </c>
    </row>
    <row r="219" spans="1:77" ht="15" customHeight="1" x14ac:dyDescent="0.3">
      <c r="A219" s="66">
        <f>'Project Database'!A223</f>
        <v>0</v>
      </c>
      <c r="B219" s="66">
        <f>'Project Database'!B223</f>
        <v>0</v>
      </c>
      <c r="C219" s="66">
        <f>'Project Database'!G223</f>
        <v>0</v>
      </c>
      <c r="D219" s="66">
        <f>'Project Database'!H223</f>
        <v>0</v>
      </c>
      <c r="E219" s="66">
        <f>'Project Database'!I223</f>
        <v>0</v>
      </c>
      <c r="F219" s="66">
        <f>'Project Database'!J223</f>
        <v>0</v>
      </c>
      <c r="G219" s="66">
        <f>'Project Database'!K223</f>
        <v>0</v>
      </c>
      <c r="H219" s="66">
        <f>'Project Database'!L223</f>
        <v>0</v>
      </c>
      <c r="I219" s="66">
        <f>'Project Database'!M223</f>
        <v>0</v>
      </c>
      <c r="J219" s="66">
        <f>'Project Database'!N223</f>
        <v>0</v>
      </c>
      <c r="K219" s="66">
        <f>'Project Database'!O223</f>
        <v>0</v>
      </c>
      <c r="L219" s="66">
        <f>'Project Database'!P223</f>
        <v>0</v>
      </c>
      <c r="M219" s="66">
        <f>'Project Database'!Q223</f>
        <v>0</v>
      </c>
      <c r="N219" s="66">
        <f>'Project Database'!R223</f>
        <v>0</v>
      </c>
      <c r="O219" s="66">
        <f>'Project Database'!S223</f>
        <v>0</v>
      </c>
      <c r="P219" s="66">
        <f>'Project Database'!T223</f>
        <v>0</v>
      </c>
      <c r="Q219" s="66">
        <f>'Project Database'!U223</f>
        <v>0</v>
      </c>
      <c r="R219" s="66">
        <f>'Project Database'!V223</f>
        <v>0</v>
      </c>
      <c r="S219" s="66">
        <f>'Project Database'!W223</f>
        <v>0</v>
      </c>
      <c r="T219" s="66">
        <f>'Project Database'!X223</f>
        <v>0</v>
      </c>
      <c r="U219" s="67">
        <f>'Project Database'!Y223</f>
        <v>0</v>
      </c>
      <c r="V219" s="66">
        <f>IF('Smart Search'!B13=1,IFERROR(1/'Smart Search'!H13,0),0)</f>
        <v>0</v>
      </c>
      <c r="W219" s="66">
        <f>IF('Smart Search'!B13=1,IFERROR(1/'Smart Search'!H13,0),0)</f>
        <v>0</v>
      </c>
      <c r="X219" s="66">
        <f>IF('Smart Search'!C13=1,IFERROR(1/'Smart Search'!H13,0),0)</f>
        <v>0.5</v>
      </c>
      <c r="Y219" s="66">
        <f>IF('Smart Search'!C13=1,IFERROR(1/'Smart Search'!H13,0),0)</f>
        <v>0.5</v>
      </c>
      <c r="Z219" s="66">
        <f>IF('Smart Search'!D13=1,IFERROR(1/'Smart Search'!H13,0),0)</f>
        <v>0</v>
      </c>
      <c r="AA219" s="66">
        <f>IF('Smart Search'!D13=1,IFERROR(1/'Smart Search'!H13,0),0)</f>
        <v>0</v>
      </c>
      <c r="AB219" s="66">
        <f>IF('Smart Search'!E13=1,IFERROR(1/'Smart Search'!H13,0),0)</f>
        <v>0</v>
      </c>
      <c r="AC219" s="66">
        <f>IF('Smart Search'!E13=1,IFERROR(1/'Smart Search'!H13,0),0)</f>
        <v>0</v>
      </c>
      <c r="AD219" s="66">
        <f>IF('Smart Search'!F13=1,IFERROR(1/'Smart Search'!H13,0),0)</f>
        <v>0</v>
      </c>
      <c r="AE219" s="66">
        <f>IF('Smart Search'!F13=1,IFERROR(1/'Smart Search'!H13,0),0)</f>
        <v>0</v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>0</v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>0</v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>0</v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>0</v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>0</v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>0</v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>0</v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>0</v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>0</v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>0</v>
      </c>
      <c r="AP219" s="66">
        <f t="shared" si="42"/>
        <v>0</v>
      </c>
      <c r="AQ219" s="66">
        <f t="shared" si="43"/>
        <v>0</v>
      </c>
      <c r="AR219" s="66">
        <f t="shared" si="44"/>
        <v>0</v>
      </c>
      <c r="AS219" s="66">
        <f t="shared" si="45"/>
        <v>0</v>
      </c>
      <c r="AT219" s="66">
        <f t="shared" si="46"/>
        <v>0</v>
      </c>
      <c r="AU219" s="66">
        <f t="shared" si="47"/>
        <v>0</v>
      </c>
      <c r="AV219" s="66">
        <f t="shared" si="48"/>
        <v>0</v>
      </c>
      <c r="AW219" s="66">
        <f t="shared" si="49"/>
        <v>0</v>
      </c>
      <c r="AX219" s="66">
        <f t="shared" si="50"/>
        <v>0</v>
      </c>
      <c r="AY219" s="66">
        <f t="shared" si="51"/>
        <v>0</v>
      </c>
      <c r="AZ219" s="66">
        <f>'Project Database'!Z223</f>
        <v>0</v>
      </c>
      <c r="BA219" s="66">
        <f>IF(OR(A219="",'Smart Search'!H13=0),"",MAX(0,BE219*BF219*MAX(0,1-BG219)))</f>
        <v>0</v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>0</v>
      </c>
      <c r="BC219" s="66">
        <f>IF('Smart Search'!G13=1,IFERROR(1/'Smart Search'!H13,0),0)</f>
        <v>0</v>
      </c>
      <c r="BD219" s="66">
        <f t="shared" si="52"/>
        <v>0</v>
      </c>
      <c r="BE219" s="66">
        <f t="shared" si="53"/>
        <v>0</v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>0</v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>0</v>
      </c>
      <c r="BH219" s="5" t="str">
        <f>IF(AND('Project Database'!A223&lt;&gt;"",OR('Smart Search'!$L$5="",'Smart Search'!$L$5="All",TRIM('Project Database'!D223)=TRIM('Smart Search'!$L$5)),OR(TRIM('Smart Search'!$L$6)="",TRIM('Smart Search'!$L$6)="All",ISNUMBER(SEARCH(SUBSTITUTE(SUBSTITUTE(SUBSTITUTE(TRIM('Smart Search'!$L$6),"~","~~"),"*","~*"),"?","~?"),'Project Database'!C223))),OR('Smart Search'!$L$7="",AND('Project Database'!E223&lt;&gt;"",'Project Database'!E223='Smart Search'!$L$7)),OR('Smart Search'!$L$8="",'Smart Search'!$L$8="All",TRIM('Project Database'!F223)=TRIM('Smart Search'!$L$8))),IF(BA219="","",BA219+ROW()*0.0000000001),"")</f>
        <v/>
      </c>
      <c r="BI219" s="5" t="str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 t="str">
        <f>IF('Project Database'!A223="","",N('Project Database'!AC223))</f>
        <v/>
      </c>
      <c r="BK219" s="5" t="str">
        <f>IF('Project Database'!A223="","",N('Project Database'!AD223))</f>
        <v/>
      </c>
      <c r="BL219" s="5" t="str">
        <f>IF('Project Database'!A223="","",N('Project Database'!AE223))</f>
        <v/>
      </c>
      <c r="BM219" s="5" t="str">
        <f>IF('Project Database'!A223="","",N('Project Database'!AF223))</f>
        <v/>
      </c>
      <c r="BN219" s="5" t="str">
        <f>IF('Project Database'!A223="","",N('Project Database'!AG223))</f>
        <v/>
      </c>
      <c r="BO219" s="5" t="str">
        <f>IF('Project Database'!A223="","",N('Project Database'!AH223))</f>
        <v/>
      </c>
      <c r="BP219" s="5" t="str">
        <f>IF('Project Database'!A223="","",N('Project Database'!AI223))</f>
        <v/>
      </c>
      <c r="BQ219" s="5" t="str">
        <f>IF('Project Database'!A223="","",N('Project Database'!AJ223))</f>
        <v/>
      </c>
      <c r="BR219" s="5" t="str">
        <f>IF('Project Database'!A223="","",N('Project Database'!AK223))</f>
        <v/>
      </c>
      <c r="BS219" s="5" t="str">
        <f>IF('Project Database'!A223="","",N('Project Database'!AL223))</f>
        <v/>
      </c>
      <c r="BT219" s="5" t="str">
        <f>IF('Project Database'!A223="","",N('Project Database'!AM223))</f>
        <v/>
      </c>
      <c r="BU219" s="5" t="str">
        <f>IF('Project Database'!A223="","",N('Project Database'!AN223))</f>
        <v/>
      </c>
      <c r="BV219" s="5" t="str">
        <f>IF('Project Database'!A223="","",N('Project Database'!AO223))</f>
        <v/>
      </c>
      <c r="BW219" s="5" t="str">
        <f>IF('Project Database'!A223="","",N('Project Database'!AP223))</f>
        <v/>
      </c>
      <c r="BX219" s="5">
        <f t="shared" si="54"/>
        <v>0</v>
      </c>
      <c r="BY219" s="5">
        <f t="shared" si="55"/>
        <v>0</v>
      </c>
    </row>
    <row r="220" spans="1:77" ht="15" customHeight="1" x14ac:dyDescent="0.3">
      <c r="A220" s="66">
        <f>'Project Database'!A224</f>
        <v>0</v>
      </c>
      <c r="B220" s="66">
        <f>'Project Database'!B224</f>
        <v>0</v>
      </c>
      <c r="C220" s="66">
        <f>'Project Database'!G224</f>
        <v>0</v>
      </c>
      <c r="D220" s="66">
        <f>'Project Database'!H224</f>
        <v>0</v>
      </c>
      <c r="E220" s="66">
        <f>'Project Database'!I224</f>
        <v>0</v>
      </c>
      <c r="F220" s="66">
        <f>'Project Database'!J224</f>
        <v>0</v>
      </c>
      <c r="G220" s="66">
        <f>'Project Database'!K224</f>
        <v>0</v>
      </c>
      <c r="H220" s="66">
        <f>'Project Database'!L224</f>
        <v>0</v>
      </c>
      <c r="I220" s="66">
        <f>'Project Database'!M224</f>
        <v>0</v>
      </c>
      <c r="J220" s="66">
        <f>'Project Database'!N224</f>
        <v>0</v>
      </c>
      <c r="K220" s="66">
        <f>'Project Database'!O224</f>
        <v>0</v>
      </c>
      <c r="L220" s="66">
        <f>'Project Database'!P224</f>
        <v>0</v>
      </c>
      <c r="M220" s="66">
        <f>'Project Database'!Q224</f>
        <v>0</v>
      </c>
      <c r="N220" s="66">
        <f>'Project Database'!R224</f>
        <v>0</v>
      </c>
      <c r="O220" s="66">
        <f>'Project Database'!S224</f>
        <v>0</v>
      </c>
      <c r="P220" s="66">
        <f>'Project Database'!T224</f>
        <v>0</v>
      </c>
      <c r="Q220" s="66">
        <f>'Project Database'!U224</f>
        <v>0</v>
      </c>
      <c r="R220" s="66">
        <f>'Project Database'!V224</f>
        <v>0</v>
      </c>
      <c r="S220" s="66">
        <f>'Project Database'!W224</f>
        <v>0</v>
      </c>
      <c r="T220" s="66">
        <f>'Project Database'!X224</f>
        <v>0</v>
      </c>
      <c r="U220" s="67">
        <f>'Project Database'!Y224</f>
        <v>0</v>
      </c>
      <c r="V220" s="66">
        <f>IF('Smart Search'!B13=1,IFERROR(1/'Smart Search'!H13,0),0)</f>
        <v>0</v>
      </c>
      <c r="W220" s="66">
        <f>IF('Smart Search'!B13=1,IFERROR(1/'Smart Search'!H13,0),0)</f>
        <v>0</v>
      </c>
      <c r="X220" s="66">
        <f>IF('Smart Search'!C13=1,IFERROR(1/'Smart Search'!H13,0),0)</f>
        <v>0.5</v>
      </c>
      <c r="Y220" s="66">
        <f>IF('Smart Search'!C13=1,IFERROR(1/'Smart Search'!H13,0),0)</f>
        <v>0.5</v>
      </c>
      <c r="Z220" s="66">
        <f>IF('Smart Search'!D13=1,IFERROR(1/'Smart Search'!H13,0),0)</f>
        <v>0</v>
      </c>
      <c r="AA220" s="66">
        <f>IF('Smart Search'!D13=1,IFERROR(1/'Smart Search'!H13,0),0)</f>
        <v>0</v>
      </c>
      <c r="AB220" s="66">
        <f>IF('Smart Search'!E13=1,IFERROR(1/'Smart Search'!H13,0),0)</f>
        <v>0</v>
      </c>
      <c r="AC220" s="66">
        <f>IF('Smart Search'!E13=1,IFERROR(1/'Smart Search'!H13,0),0)</f>
        <v>0</v>
      </c>
      <c r="AD220" s="66">
        <f>IF('Smart Search'!F13=1,IFERROR(1/'Smart Search'!H13,0),0)</f>
        <v>0</v>
      </c>
      <c r="AE220" s="66">
        <f>IF('Smart Search'!F13=1,IFERROR(1/'Smart Search'!H13,0),0)</f>
        <v>0</v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>0</v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>0</v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>0</v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>0</v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>0</v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>0</v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>0</v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>0</v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>0</v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>0</v>
      </c>
      <c r="AP220" s="66">
        <f t="shared" si="42"/>
        <v>0</v>
      </c>
      <c r="AQ220" s="66">
        <f t="shared" si="43"/>
        <v>0</v>
      </c>
      <c r="AR220" s="66">
        <f t="shared" si="44"/>
        <v>0</v>
      </c>
      <c r="AS220" s="66">
        <f t="shared" si="45"/>
        <v>0</v>
      </c>
      <c r="AT220" s="66">
        <f t="shared" si="46"/>
        <v>0</v>
      </c>
      <c r="AU220" s="66">
        <f t="shared" si="47"/>
        <v>0</v>
      </c>
      <c r="AV220" s="66">
        <f t="shared" si="48"/>
        <v>0</v>
      </c>
      <c r="AW220" s="66">
        <f t="shared" si="49"/>
        <v>0</v>
      </c>
      <c r="AX220" s="66">
        <f t="shared" si="50"/>
        <v>0</v>
      </c>
      <c r="AY220" s="66">
        <f t="shared" si="51"/>
        <v>0</v>
      </c>
      <c r="AZ220" s="66">
        <f>'Project Database'!Z224</f>
        <v>0</v>
      </c>
      <c r="BA220" s="66">
        <f>IF(OR(A220="",'Smart Search'!H13=0),"",MAX(0,BE220*BF220*MAX(0,1-BG220)))</f>
        <v>0</v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>0</v>
      </c>
      <c r="BC220" s="66">
        <f>IF('Smart Search'!G13=1,IFERROR(1/'Smart Search'!H13,0),0)</f>
        <v>0</v>
      </c>
      <c r="BD220" s="66">
        <f t="shared" si="52"/>
        <v>0</v>
      </c>
      <c r="BE220" s="66">
        <f t="shared" si="53"/>
        <v>0</v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>0</v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>0</v>
      </c>
      <c r="BH220" s="5" t="str">
        <f>IF(AND('Project Database'!A224&lt;&gt;"",OR('Smart Search'!$L$5="",'Smart Search'!$L$5="All",TRIM('Project Database'!D224)=TRIM('Smart Search'!$L$5)),OR(TRIM('Smart Search'!$L$6)="",TRIM('Smart Search'!$L$6)="All",ISNUMBER(SEARCH(SUBSTITUTE(SUBSTITUTE(SUBSTITUTE(TRIM('Smart Search'!$L$6),"~","~~"),"*","~*"),"?","~?"),'Project Database'!C224))),OR('Smart Search'!$L$7="",AND('Project Database'!E224&lt;&gt;"",'Project Database'!E224='Smart Search'!$L$7)),OR('Smart Search'!$L$8="",'Smart Search'!$L$8="All",TRIM('Project Database'!F224)=TRIM('Smart Search'!$L$8))),IF(BA220="","",BA220+ROW()*0.0000000001),"")</f>
        <v/>
      </c>
      <c r="BI220" s="5" t="str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 t="str">
        <f>IF('Project Database'!A224="","",N('Project Database'!AC224))</f>
        <v/>
      </c>
      <c r="BK220" s="5" t="str">
        <f>IF('Project Database'!A224="","",N('Project Database'!AD224))</f>
        <v/>
      </c>
      <c r="BL220" s="5" t="str">
        <f>IF('Project Database'!A224="","",N('Project Database'!AE224))</f>
        <v/>
      </c>
      <c r="BM220" s="5" t="str">
        <f>IF('Project Database'!A224="","",N('Project Database'!AF224))</f>
        <v/>
      </c>
      <c r="BN220" s="5" t="str">
        <f>IF('Project Database'!A224="","",N('Project Database'!AG224))</f>
        <v/>
      </c>
      <c r="BO220" s="5" t="str">
        <f>IF('Project Database'!A224="","",N('Project Database'!AH224))</f>
        <v/>
      </c>
      <c r="BP220" s="5" t="str">
        <f>IF('Project Database'!A224="","",N('Project Database'!AI224))</f>
        <v/>
      </c>
      <c r="BQ220" s="5" t="str">
        <f>IF('Project Database'!A224="","",N('Project Database'!AJ224))</f>
        <v/>
      </c>
      <c r="BR220" s="5" t="str">
        <f>IF('Project Database'!A224="","",N('Project Database'!AK224))</f>
        <v/>
      </c>
      <c r="BS220" s="5" t="str">
        <f>IF('Project Database'!A224="","",N('Project Database'!AL224))</f>
        <v/>
      </c>
      <c r="BT220" s="5" t="str">
        <f>IF('Project Database'!A224="","",N('Project Database'!AM224))</f>
        <v/>
      </c>
      <c r="BU220" s="5" t="str">
        <f>IF('Project Database'!A224="","",N('Project Database'!AN224))</f>
        <v/>
      </c>
      <c r="BV220" s="5" t="str">
        <f>IF('Project Database'!A224="","",N('Project Database'!AO224))</f>
        <v/>
      </c>
      <c r="BW220" s="5" t="str">
        <f>IF('Project Database'!A224="","",N('Project Database'!AP224))</f>
        <v/>
      </c>
      <c r="BX220" s="5">
        <f t="shared" si="54"/>
        <v>0</v>
      </c>
      <c r="BY220" s="5">
        <f t="shared" si="55"/>
        <v>0</v>
      </c>
    </row>
    <row r="221" spans="1:77" ht="15" customHeight="1" x14ac:dyDescent="0.3">
      <c r="A221" s="66">
        <f>'Project Database'!A225</f>
        <v>0</v>
      </c>
      <c r="B221" s="66">
        <f>'Project Database'!B225</f>
        <v>0</v>
      </c>
      <c r="C221" s="66">
        <f>'Project Database'!G225</f>
        <v>0</v>
      </c>
      <c r="D221" s="66">
        <f>'Project Database'!H225</f>
        <v>0</v>
      </c>
      <c r="E221" s="66">
        <f>'Project Database'!I225</f>
        <v>0</v>
      </c>
      <c r="F221" s="66">
        <f>'Project Database'!J225</f>
        <v>0</v>
      </c>
      <c r="G221" s="66">
        <f>'Project Database'!K225</f>
        <v>0</v>
      </c>
      <c r="H221" s="66">
        <f>'Project Database'!L225</f>
        <v>0</v>
      </c>
      <c r="I221" s="66">
        <f>'Project Database'!M225</f>
        <v>0</v>
      </c>
      <c r="J221" s="66">
        <f>'Project Database'!N225</f>
        <v>0</v>
      </c>
      <c r="K221" s="66">
        <f>'Project Database'!O225</f>
        <v>0</v>
      </c>
      <c r="L221" s="66">
        <f>'Project Database'!P225</f>
        <v>0</v>
      </c>
      <c r="M221" s="66">
        <f>'Project Database'!Q225</f>
        <v>0</v>
      </c>
      <c r="N221" s="66">
        <f>'Project Database'!R225</f>
        <v>0</v>
      </c>
      <c r="O221" s="66">
        <f>'Project Database'!S225</f>
        <v>0</v>
      </c>
      <c r="P221" s="66">
        <f>'Project Database'!T225</f>
        <v>0</v>
      </c>
      <c r="Q221" s="66">
        <f>'Project Database'!U225</f>
        <v>0</v>
      </c>
      <c r="R221" s="66">
        <f>'Project Database'!V225</f>
        <v>0</v>
      </c>
      <c r="S221" s="66">
        <f>'Project Database'!W225</f>
        <v>0</v>
      </c>
      <c r="T221" s="66">
        <f>'Project Database'!X225</f>
        <v>0</v>
      </c>
      <c r="U221" s="67">
        <f>'Project Database'!Y225</f>
        <v>0</v>
      </c>
      <c r="V221" s="66">
        <f>IF('Smart Search'!B13=1,IFERROR(1/'Smart Search'!H13,0),0)</f>
        <v>0</v>
      </c>
      <c r="W221" s="66">
        <f>IF('Smart Search'!B13=1,IFERROR(1/'Smart Search'!H13,0),0)</f>
        <v>0</v>
      </c>
      <c r="X221" s="66">
        <f>IF('Smart Search'!C13=1,IFERROR(1/'Smart Search'!H13,0),0)</f>
        <v>0.5</v>
      </c>
      <c r="Y221" s="66">
        <f>IF('Smart Search'!C13=1,IFERROR(1/'Smart Search'!H13,0),0)</f>
        <v>0.5</v>
      </c>
      <c r="Z221" s="66">
        <f>IF('Smart Search'!D13=1,IFERROR(1/'Smart Search'!H13,0),0)</f>
        <v>0</v>
      </c>
      <c r="AA221" s="66">
        <f>IF('Smart Search'!D13=1,IFERROR(1/'Smart Search'!H13,0),0)</f>
        <v>0</v>
      </c>
      <c r="AB221" s="66">
        <f>IF('Smart Search'!E13=1,IFERROR(1/'Smart Search'!H13,0),0)</f>
        <v>0</v>
      </c>
      <c r="AC221" s="66">
        <f>IF('Smart Search'!E13=1,IFERROR(1/'Smart Search'!H13,0),0)</f>
        <v>0</v>
      </c>
      <c r="AD221" s="66">
        <f>IF('Smart Search'!F13=1,IFERROR(1/'Smart Search'!H13,0),0)</f>
        <v>0</v>
      </c>
      <c r="AE221" s="66">
        <f>IF('Smart Search'!F13=1,IFERROR(1/'Smart Search'!H13,0),0)</f>
        <v>0</v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>0</v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>0</v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>0</v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>0</v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>0</v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>0</v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>0</v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>0</v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>0</v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>0</v>
      </c>
      <c r="AP221" s="66">
        <f t="shared" si="42"/>
        <v>0</v>
      </c>
      <c r="AQ221" s="66">
        <f t="shared" si="43"/>
        <v>0</v>
      </c>
      <c r="AR221" s="66">
        <f t="shared" si="44"/>
        <v>0</v>
      </c>
      <c r="AS221" s="66">
        <f t="shared" si="45"/>
        <v>0</v>
      </c>
      <c r="AT221" s="66">
        <f t="shared" si="46"/>
        <v>0</v>
      </c>
      <c r="AU221" s="66">
        <f t="shared" si="47"/>
        <v>0</v>
      </c>
      <c r="AV221" s="66">
        <f t="shared" si="48"/>
        <v>0</v>
      </c>
      <c r="AW221" s="66">
        <f t="shared" si="49"/>
        <v>0</v>
      </c>
      <c r="AX221" s="66">
        <f t="shared" si="50"/>
        <v>0</v>
      </c>
      <c r="AY221" s="66">
        <f t="shared" si="51"/>
        <v>0</v>
      </c>
      <c r="AZ221" s="66">
        <f>'Project Database'!Z225</f>
        <v>0</v>
      </c>
      <c r="BA221" s="66">
        <f>IF(OR(A221="",'Smart Search'!H13=0),"",MAX(0,BE221*BF221*MAX(0,1-BG221)))</f>
        <v>0</v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>0</v>
      </c>
      <c r="BC221" s="66">
        <f>IF('Smart Search'!G13=1,IFERROR(1/'Smart Search'!H13,0),0)</f>
        <v>0</v>
      </c>
      <c r="BD221" s="66">
        <f t="shared" si="52"/>
        <v>0</v>
      </c>
      <c r="BE221" s="66">
        <f t="shared" si="53"/>
        <v>0</v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>0</v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>0</v>
      </c>
      <c r="BH221" s="5" t="str">
        <f>IF(AND('Project Database'!A225&lt;&gt;"",OR('Smart Search'!$L$5="",'Smart Search'!$L$5="All",TRIM('Project Database'!D225)=TRIM('Smart Search'!$L$5)),OR(TRIM('Smart Search'!$L$6)="",TRIM('Smart Search'!$L$6)="All",ISNUMBER(SEARCH(SUBSTITUTE(SUBSTITUTE(SUBSTITUTE(TRIM('Smart Search'!$L$6),"~","~~"),"*","~*"),"?","~?"),'Project Database'!C225))),OR('Smart Search'!$L$7="",AND('Project Database'!E225&lt;&gt;"",'Project Database'!E225='Smart Search'!$L$7)),OR('Smart Search'!$L$8="",'Smart Search'!$L$8="All",TRIM('Project Database'!F225)=TRIM('Smart Search'!$L$8))),IF(BA221="","",BA221+ROW()*0.0000000001),"")</f>
        <v/>
      </c>
      <c r="BI221" s="5" t="str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 t="str">
        <f>IF('Project Database'!A225="","",N('Project Database'!AC225))</f>
        <v/>
      </c>
      <c r="BK221" s="5" t="str">
        <f>IF('Project Database'!A225="","",N('Project Database'!AD225))</f>
        <v/>
      </c>
      <c r="BL221" s="5" t="str">
        <f>IF('Project Database'!A225="","",N('Project Database'!AE225))</f>
        <v/>
      </c>
      <c r="BM221" s="5" t="str">
        <f>IF('Project Database'!A225="","",N('Project Database'!AF225))</f>
        <v/>
      </c>
      <c r="BN221" s="5" t="str">
        <f>IF('Project Database'!A225="","",N('Project Database'!AG225))</f>
        <v/>
      </c>
      <c r="BO221" s="5" t="str">
        <f>IF('Project Database'!A225="","",N('Project Database'!AH225))</f>
        <v/>
      </c>
      <c r="BP221" s="5" t="str">
        <f>IF('Project Database'!A225="","",N('Project Database'!AI225))</f>
        <v/>
      </c>
      <c r="BQ221" s="5" t="str">
        <f>IF('Project Database'!A225="","",N('Project Database'!AJ225))</f>
        <v/>
      </c>
      <c r="BR221" s="5" t="str">
        <f>IF('Project Database'!A225="","",N('Project Database'!AK225))</f>
        <v/>
      </c>
      <c r="BS221" s="5" t="str">
        <f>IF('Project Database'!A225="","",N('Project Database'!AL225))</f>
        <v/>
      </c>
      <c r="BT221" s="5" t="str">
        <f>IF('Project Database'!A225="","",N('Project Database'!AM225))</f>
        <v/>
      </c>
      <c r="BU221" s="5" t="str">
        <f>IF('Project Database'!A225="","",N('Project Database'!AN225))</f>
        <v/>
      </c>
      <c r="BV221" s="5" t="str">
        <f>IF('Project Database'!A225="","",N('Project Database'!AO225))</f>
        <v/>
      </c>
      <c r="BW221" s="5" t="str">
        <f>IF('Project Database'!A225="","",N('Project Database'!AP225))</f>
        <v/>
      </c>
      <c r="BX221" s="5">
        <f t="shared" si="54"/>
        <v>0</v>
      </c>
      <c r="BY221" s="5">
        <f t="shared" si="55"/>
        <v>0</v>
      </c>
    </row>
    <row r="222" spans="1:77" ht="15" customHeight="1" x14ac:dyDescent="0.3">
      <c r="A222" s="66">
        <f>'Project Database'!A226</f>
        <v>0</v>
      </c>
      <c r="B222" s="66">
        <f>'Project Database'!B226</f>
        <v>0</v>
      </c>
      <c r="C222" s="66">
        <f>'Project Database'!G226</f>
        <v>0</v>
      </c>
      <c r="D222" s="66">
        <f>'Project Database'!H226</f>
        <v>0</v>
      </c>
      <c r="E222" s="66">
        <f>'Project Database'!I226</f>
        <v>0</v>
      </c>
      <c r="F222" s="66">
        <f>'Project Database'!J226</f>
        <v>0</v>
      </c>
      <c r="G222" s="66">
        <f>'Project Database'!K226</f>
        <v>0</v>
      </c>
      <c r="H222" s="66">
        <f>'Project Database'!L226</f>
        <v>0</v>
      </c>
      <c r="I222" s="66">
        <f>'Project Database'!M226</f>
        <v>0</v>
      </c>
      <c r="J222" s="66">
        <f>'Project Database'!N226</f>
        <v>0</v>
      </c>
      <c r="K222" s="66">
        <f>'Project Database'!O226</f>
        <v>0</v>
      </c>
      <c r="L222" s="66">
        <f>'Project Database'!P226</f>
        <v>0</v>
      </c>
      <c r="M222" s="66">
        <f>'Project Database'!Q226</f>
        <v>0</v>
      </c>
      <c r="N222" s="66">
        <f>'Project Database'!R226</f>
        <v>0</v>
      </c>
      <c r="O222" s="66">
        <f>'Project Database'!S226</f>
        <v>0</v>
      </c>
      <c r="P222" s="66">
        <f>'Project Database'!T226</f>
        <v>0</v>
      </c>
      <c r="Q222" s="66">
        <f>'Project Database'!U226</f>
        <v>0</v>
      </c>
      <c r="R222" s="66">
        <f>'Project Database'!V226</f>
        <v>0</v>
      </c>
      <c r="S222" s="66">
        <f>'Project Database'!W226</f>
        <v>0</v>
      </c>
      <c r="T222" s="66">
        <f>'Project Database'!X226</f>
        <v>0</v>
      </c>
      <c r="U222" s="67">
        <f>'Project Database'!Y226</f>
        <v>0</v>
      </c>
      <c r="V222" s="66">
        <f>IF('Smart Search'!B13=1,IFERROR(1/'Smart Search'!H13,0),0)</f>
        <v>0</v>
      </c>
      <c r="W222" s="66">
        <f>IF('Smart Search'!B13=1,IFERROR(1/'Smart Search'!H13,0),0)</f>
        <v>0</v>
      </c>
      <c r="X222" s="66">
        <f>IF('Smart Search'!C13=1,IFERROR(1/'Smart Search'!H13,0),0)</f>
        <v>0.5</v>
      </c>
      <c r="Y222" s="66">
        <f>IF('Smart Search'!C13=1,IFERROR(1/'Smart Search'!H13,0),0)</f>
        <v>0.5</v>
      </c>
      <c r="Z222" s="66">
        <f>IF('Smart Search'!D13=1,IFERROR(1/'Smart Search'!H13,0),0)</f>
        <v>0</v>
      </c>
      <c r="AA222" s="66">
        <f>IF('Smart Search'!D13=1,IFERROR(1/'Smart Search'!H13,0),0)</f>
        <v>0</v>
      </c>
      <c r="AB222" s="66">
        <f>IF('Smart Search'!E13=1,IFERROR(1/'Smart Search'!H13,0),0)</f>
        <v>0</v>
      </c>
      <c r="AC222" s="66">
        <f>IF('Smart Search'!E13=1,IFERROR(1/'Smart Search'!H13,0),0)</f>
        <v>0</v>
      </c>
      <c r="AD222" s="66">
        <f>IF('Smart Search'!F13=1,IFERROR(1/'Smart Search'!H13,0),0)</f>
        <v>0</v>
      </c>
      <c r="AE222" s="66">
        <f>IF('Smart Search'!F13=1,IFERROR(1/'Smart Search'!H13,0),0)</f>
        <v>0</v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>0</v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>0</v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>0</v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>0</v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>0</v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>0</v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>0</v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>0</v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>0</v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>0</v>
      </c>
      <c r="AP222" s="66">
        <f t="shared" si="42"/>
        <v>0</v>
      </c>
      <c r="AQ222" s="66">
        <f t="shared" si="43"/>
        <v>0</v>
      </c>
      <c r="AR222" s="66">
        <f t="shared" si="44"/>
        <v>0</v>
      </c>
      <c r="AS222" s="66">
        <f t="shared" si="45"/>
        <v>0</v>
      </c>
      <c r="AT222" s="66">
        <f t="shared" si="46"/>
        <v>0</v>
      </c>
      <c r="AU222" s="66">
        <f t="shared" si="47"/>
        <v>0</v>
      </c>
      <c r="AV222" s="66">
        <f t="shared" si="48"/>
        <v>0</v>
      </c>
      <c r="AW222" s="66">
        <f t="shared" si="49"/>
        <v>0</v>
      </c>
      <c r="AX222" s="66">
        <f t="shared" si="50"/>
        <v>0</v>
      </c>
      <c r="AY222" s="66">
        <f t="shared" si="51"/>
        <v>0</v>
      </c>
      <c r="AZ222" s="66">
        <f>'Project Database'!Z226</f>
        <v>0</v>
      </c>
      <c r="BA222" s="66">
        <f>IF(OR(A222="",'Smart Search'!H13=0),"",MAX(0,BE222*BF222*MAX(0,1-BG222)))</f>
        <v>0</v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>0</v>
      </c>
      <c r="BC222" s="66">
        <f>IF('Smart Search'!G13=1,IFERROR(1/'Smart Search'!H13,0),0)</f>
        <v>0</v>
      </c>
      <c r="BD222" s="66">
        <f t="shared" si="52"/>
        <v>0</v>
      </c>
      <c r="BE222" s="66">
        <f t="shared" si="53"/>
        <v>0</v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>0</v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>0</v>
      </c>
      <c r="BH222" s="5" t="str">
        <f>IF(AND('Project Database'!A226&lt;&gt;"",OR('Smart Search'!$L$5="",'Smart Search'!$L$5="All",TRIM('Project Database'!D226)=TRIM('Smart Search'!$L$5)),OR(TRIM('Smart Search'!$L$6)="",TRIM('Smart Search'!$L$6)="All",ISNUMBER(SEARCH(SUBSTITUTE(SUBSTITUTE(SUBSTITUTE(TRIM('Smart Search'!$L$6),"~","~~"),"*","~*"),"?","~?"),'Project Database'!C226))),OR('Smart Search'!$L$7="",AND('Project Database'!E226&lt;&gt;"",'Project Database'!E226='Smart Search'!$L$7)),OR('Smart Search'!$L$8="",'Smart Search'!$L$8="All",TRIM('Project Database'!F226)=TRIM('Smart Search'!$L$8))),IF(BA222="","",BA222+ROW()*0.0000000001),"")</f>
        <v/>
      </c>
      <c r="BI222" s="5" t="str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 t="str">
        <f>IF('Project Database'!A226="","",N('Project Database'!AC226))</f>
        <v/>
      </c>
      <c r="BK222" s="5" t="str">
        <f>IF('Project Database'!A226="","",N('Project Database'!AD226))</f>
        <v/>
      </c>
      <c r="BL222" s="5" t="str">
        <f>IF('Project Database'!A226="","",N('Project Database'!AE226))</f>
        <v/>
      </c>
      <c r="BM222" s="5" t="str">
        <f>IF('Project Database'!A226="","",N('Project Database'!AF226))</f>
        <v/>
      </c>
      <c r="BN222" s="5" t="str">
        <f>IF('Project Database'!A226="","",N('Project Database'!AG226))</f>
        <v/>
      </c>
      <c r="BO222" s="5" t="str">
        <f>IF('Project Database'!A226="","",N('Project Database'!AH226))</f>
        <v/>
      </c>
      <c r="BP222" s="5" t="str">
        <f>IF('Project Database'!A226="","",N('Project Database'!AI226))</f>
        <v/>
      </c>
      <c r="BQ222" s="5" t="str">
        <f>IF('Project Database'!A226="","",N('Project Database'!AJ226))</f>
        <v/>
      </c>
      <c r="BR222" s="5" t="str">
        <f>IF('Project Database'!A226="","",N('Project Database'!AK226))</f>
        <v/>
      </c>
      <c r="BS222" s="5" t="str">
        <f>IF('Project Database'!A226="","",N('Project Database'!AL226))</f>
        <v/>
      </c>
      <c r="BT222" s="5" t="str">
        <f>IF('Project Database'!A226="","",N('Project Database'!AM226))</f>
        <v/>
      </c>
      <c r="BU222" s="5" t="str">
        <f>IF('Project Database'!A226="","",N('Project Database'!AN226))</f>
        <v/>
      </c>
      <c r="BV222" s="5" t="str">
        <f>IF('Project Database'!A226="","",N('Project Database'!AO226))</f>
        <v/>
      </c>
      <c r="BW222" s="5" t="str">
        <f>IF('Project Database'!A226="","",N('Project Database'!AP226))</f>
        <v/>
      </c>
      <c r="BX222" s="5">
        <f t="shared" si="54"/>
        <v>0</v>
      </c>
      <c r="BY222" s="5">
        <f t="shared" si="55"/>
        <v>0</v>
      </c>
    </row>
    <row r="223" spans="1:77" ht="15" customHeight="1" x14ac:dyDescent="0.3">
      <c r="A223" s="66">
        <f>'Project Database'!A227</f>
        <v>0</v>
      </c>
      <c r="B223" s="66">
        <f>'Project Database'!B227</f>
        <v>0</v>
      </c>
      <c r="C223" s="66">
        <f>'Project Database'!G227</f>
        <v>0</v>
      </c>
      <c r="D223" s="66">
        <f>'Project Database'!H227</f>
        <v>0</v>
      </c>
      <c r="E223" s="66">
        <f>'Project Database'!I227</f>
        <v>0</v>
      </c>
      <c r="F223" s="66">
        <f>'Project Database'!J227</f>
        <v>0</v>
      </c>
      <c r="G223" s="66">
        <f>'Project Database'!K227</f>
        <v>0</v>
      </c>
      <c r="H223" s="66">
        <f>'Project Database'!L227</f>
        <v>0</v>
      </c>
      <c r="I223" s="66">
        <f>'Project Database'!M227</f>
        <v>0</v>
      </c>
      <c r="J223" s="66">
        <f>'Project Database'!N227</f>
        <v>0</v>
      </c>
      <c r="K223" s="66">
        <f>'Project Database'!O227</f>
        <v>0</v>
      </c>
      <c r="L223" s="66">
        <f>'Project Database'!P227</f>
        <v>0</v>
      </c>
      <c r="M223" s="66">
        <f>'Project Database'!Q227</f>
        <v>0</v>
      </c>
      <c r="N223" s="66">
        <f>'Project Database'!R227</f>
        <v>0</v>
      </c>
      <c r="O223" s="66">
        <f>'Project Database'!S227</f>
        <v>0</v>
      </c>
      <c r="P223" s="66">
        <f>'Project Database'!T227</f>
        <v>0</v>
      </c>
      <c r="Q223" s="66">
        <f>'Project Database'!U227</f>
        <v>0</v>
      </c>
      <c r="R223" s="66">
        <f>'Project Database'!V227</f>
        <v>0</v>
      </c>
      <c r="S223" s="66">
        <f>'Project Database'!W227</f>
        <v>0</v>
      </c>
      <c r="T223" s="66">
        <f>'Project Database'!X227</f>
        <v>0</v>
      </c>
      <c r="U223" s="67">
        <f>'Project Database'!Y227</f>
        <v>0</v>
      </c>
      <c r="V223" s="66">
        <f>IF('Smart Search'!B13=1,IFERROR(1/'Smart Search'!H13,0),0)</f>
        <v>0</v>
      </c>
      <c r="W223" s="66">
        <f>IF('Smart Search'!B13=1,IFERROR(1/'Smart Search'!H13,0),0)</f>
        <v>0</v>
      </c>
      <c r="X223" s="66">
        <f>IF('Smart Search'!C13=1,IFERROR(1/'Smart Search'!H13,0),0)</f>
        <v>0.5</v>
      </c>
      <c r="Y223" s="66">
        <f>IF('Smart Search'!C13=1,IFERROR(1/'Smart Search'!H13,0),0)</f>
        <v>0.5</v>
      </c>
      <c r="Z223" s="66">
        <f>IF('Smart Search'!D13=1,IFERROR(1/'Smart Search'!H13,0),0)</f>
        <v>0</v>
      </c>
      <c r="AA223" s="66">
        <f>IF('Smart Search'!D13=1,IFERROR(1/'Smart Search'!H13,0),0)</f>
        <v>0</v>
      </c>
      <c r="AB223" s="66">
        <f>IF('Smart Search'!E13=1,IFERROR(1/'Smart Search'!H13,0),0)</f>
        <v>0</v>
      </c>
      <c r="AC223" s="66">
        <f>IF('Smart Search'!E13=1,IFERROR(1/'Smart Search'!H13,0),0)</f>
        <v>0</v>
      </c>
      <c r="AD223" s="66">
        <f>IF('Smart Search'!F13=1,IFERROR(1/'Smart Search'!H13,0),0)</f>
        <v>0</v>
      </c>
      <c r="AE223" s="66">
        <f>IF('Smart Search'!F13=1,IFERROR(1/'Smart Search'!H13,0),0)</f>
        <v>0</v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>0</v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>0</v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>0</v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>0</v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>0</v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>0</v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>0</v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>0</v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>0</v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>0</v>
      </c>
      <c r="AP223" s="66">
        <f t="shared" si="42"/>
        <v>0</v>
      </c>
      <c r="AQ223" s="66">
        <f t="shared" si="43"/>
        <v>0</v>
      </c>
      <c r="AR223" s="66">
        <f t="shared" si="44"/>
        <v>0</v>
      </c>
      <c r="AS223" s="66">
        <f t="shared" si="45"/>
        <v>0</v>
      </c>
      <c r="AT223" s="66">
        <f t="shared" si="46"/>
        <v>0</v>
      </c>
      <c r="AU223" s="66">
        <f t="shared" si="47"/>
        <v>0</v>
      </c>
      <c r="AV223" s="66">
        <f t="shared" si="48"/>
        <v>0</v>
      </c>
      <c r="AW223" s="66">
        <f t="shared" si="49"/>
        <v>0</v>
      </c>
      <c r="AX223" s="66">
        <f t="shared" si="50"/>
        <v>0</v>
      </c>
      <c r="AY223" s="66">
        <f t="shared" si="51"/>
        <v>0</v>
      </c>
      <c r="AZ223" s="66">
        <f>'Project Database'!Z227</f>
        <v>0</v>
      </c>
      <c r="BA223" s="66">
        <f>IF(OR(A223="",'Smart Search'!H13=0),"",MAX(0,BE223*BF223*MAX(0,1-BG223)))</f>
        <v>0</v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>0</v>
      </c>
      <c r="BC223" s="66">
        <f>IF('Smart Search'!G13=1,IFERROR(1/'Smart Search'!H13,0),0)</f>
        <v>0</v>
      </c>
      <c r="BD223" s="66">
        <f t="shared" si="52"/>
        <v>0</v>
      </c>
      <c r="BE223" s="66">
        <f t="shared" si="53"/>
        <v>0</v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>0</v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>0</v>
      </c>
      <c r="BH223" s="5" t="str">
        <f>IF(AND('Project Database'!A227&lt;&gt;"",OR('Smart Search'!$L$5="",'Smart Search'!$L$5="All",TRIM('Project Database'!D227)=TRIM('Smart Search'!$L$5)),OR(TRIM('Smart Search'!$L$6)="",TRIM('Smart Search'!$L$6)="All",ISNUMBER(SEARCH(SUBSTITUTE(SUBSTITUTE(SUBSTITUTE(TRIM('Smart Search'!$L$6),"~","~~"),"*","~*"),"?","~?"),'Project Database'!C227))),OR('Smart Search'!$L$7="",AND('Project Database'!E227&lt;&gt;"",'Project Database'!E227='Smart Search'!$L$7)),OR('Smart Search'!$L$8="",'Smart Search'!$L$8="All",TRIM('Project Database'!F227)=TRIM('Smart Search'!$L$8))),IF(BA223="","",BA223+ROW()*0.0000000001),"")</f>
        <v/>
      </c>
      <c r="BI223" s="5" t="str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 t="str">
        <f>IF('Project Database'!A227="","",N('Project Database'!AC227))</f>
        <v/>
      </c>
      <c r="BK223" s="5" t="str">
        <f>IF('Project Database'!A227="","",N('Project Database'!AD227))</f>
        <v/>
      </c>
      <c r="BL223" s="5" t="str">
        <f>IF('Project Database'!A227="","",N('Project Database'!AE227))</f>
        <v/>
      </c>
      <c r="BM223" s="5" t="str">
        <f>IF('Project Database'!A227="","",N('Project Database'!AF227))</f>
        <v/>
      </c>
      <c r="BN223" s="5" t="str">
        <f>IF('Project Database'!A227="","",N('Project Database'!AG227))</f>
        <v/>
      </c>
      <c r="BO223" s="5" t="str">
        <f>IF('Project Database'!A227="","",N('Project Database'!AH227))</f>
        <v/>
      </c>
      <c r="BP223" s="5" t="str">
        <f>IF('Project Database'!A227="","",N('Project Database'!AI227))</f>
        <v/>
      </c>
      <c r="BQ223" s="5" t="str">
        <f>IF('Project Database'!A227="","",N('Project Database'!AJ227))</f>
        <v/>
      </c>
      <c r="BR223" s="5" t="str">
        <f>IF('Project Database'!A227="","",N('Project Database'!AK227))</f>
        <v/>
      </c>
      <c r="BS223" s="5" t="str">
        <f>IF('Project Database'!A227="","",N('Project Database'!AL227))</f>
        <v/>
      </c>
      <c r="BT223" s="5" t="str">
        <f>IF('Project Database'!A227="","",N('Project Database'!AM227))</f>
        <v/>
      </c>
      <c r="BU223" s="5" t="str">
        <f>IF('Project Database'!A227="","",N('Project Database'!AN227))</f>
        <v/>
      </c>
      <c r="BV223" s="5" t="str">
        <f>IF('Project Database'!A227="","",N('Project Database'!AO227))</f>
        <v/>
      </c>
      <c r="BW223" s="5" t="str">
        <f>IF('Project Database'!A227="","",N('Project Database'!AP227))</f>
        <v/>
      </c>
      <c r="BX223" s="5">
        <f t="shared" si="54"/>
        <v>0</v>
      </c>
      <c r="BY223" s="5">
        <f t="shared" si="55"/>
        <v>0</v>
      </c>
    </row>
    <row r="224" spans="1:77" ht="15" customHeight="1" x14ac:dyDescent="0.3">
      <c r="A224" s="66">
        <f>'Project Database'!A228</f>
        <v>0</v>
      </c>
      <c r="B224" s="66">
        <f>'Project Database'!B228</f>
        <v>0</v>
      </c>
      <c r="C224" s="66">
        <f>'Project Database'!G228</f>
        <v>0</v>
      </c>
      <c r="D224" s="66">
        <f>'Project Database'!H228</f>
        <v>0</v>
      </c>
      <c r="E224" s="66">
        <f>'Project Database'!I228</f>
        <v>0</v>
      </c>
      <c r="F224" s="66">
        <f>'Project Database'!J228</f>
        <v>0</v>
      </c>
      <c r="G224" s="66">
        <f>'Project Database'!K228</f>
        <v>0</v>
      </c>
      <c r="H224" s="66">
        <f>'Project Database'!L228</f>
        <v>0</v>
      </c>
      <c r="I224" s="66">
        <f>'Project Database'!M228</f>
        <v>0</v>
      </c>
      <c r="J224" s="66">
        <f>'Project Database'!N228</f>
        <v>0</v>
      </c>
      <c r="K224" s="66">
        <f>'Project Database'!O228</f>
        <v>0</v>
      </c>
      <c r="L224" s="66">
        <f>'Project Database'!P228</f>
        <v>0</v>
      </c>
      <c r="M224" s="66">
        <f>'Project Database'!Q228</f>
        <v>0</v>
      </c>
      <c r="N224" s="66">
        <f>'Project Database'!R228</f>
        <v>0</v>
      </c>
      <c r="O224" s="66">
        <f>'Project Database'!S228</f>
        <v>0</v>
      </c>
      <c r="P224" s="66">
        <f>'Project Database'!T228</f>
        <v>0</v>
      </c>
      <c r="Q224" s="66">
        <f>'Project Database'!U228</f>
        <v>0</v>
      </c>
      <c r="R224" s="66">
        <f>'Project Database'!V228</f>
        <v>0</v>
      </c>
      <c r="S224" s="66">
        <f>'Project Database'!W228</f>
        <v>0</v>
      </c>
      <c r="T224" s="66">
        <f>'Project Database'!X228</f>
        <v>0</v>
      </c>
      <c r="U224" s="67">
        <f>'Project Database'!Y228</f>
        <v>0</v>
      </c>
      <c r="V224" s="66">
        <f>IF('Smart Search'!B13=1,IFERROR(1/'Smart Search'!H13,0),0)</f>
        <v>0</v>
      </c>
      <c r="W224" s="66">
        <f>IF('Smart Search'!B13=1,IFERROR(1/'Smart Search'!H13,0),0)</f>
        <v>0</v>
      </c>
      <c r="X224" s="66">
        <f>IF('Smart Search'!C13=1,IFERROR(1/'Smart Search'!H13,0),0)</f>
        <v>0.5</v>
      </c>
      <c r="Y224" s="66">
        <f>IF('Smart Search'!C13=1,IFERROR(1/'Smart Search'!H13,0),0)</f>
        <v>0.5</v>
      </c>
      <c r="Z224" s="66">
        <f>IF('Smart Search'!D13=1,IFERROR(1/'Smart Search'!H13,0),0)</f>
        <v>0</v>
      </c>
      <c r="AA224" s="66">
        <f>IF('Smart Search'!D13=1,IFERROR(1/'Smart Search'!H13,0),0)</f>
        <v>0</v>
      </c>
      <c r="AB224" s="66">
        <f>IF('Smart Search'!E13=1,IFERROR(1/'Smart Search'!H13,0),0)</f>
        <v>0</v>
      </c>
      <c r="AC224" s="66">
        <f>IF('Smart Search'!E13=1,IFERROR(1/'Smart Search'!H13,0),0)</f>
        <v>0</v>
      </c>
      <c r="AD224" s="66">
        <f>IF('Smart Search'!F13=1,IFERROR(1/'Smart Search'!H13,0),0)</f>
        <v>0</v>
      </c>
      <c r="AE224" s="66">
        <f>IF('Smart Search'!F13=1,IFERROR(1/'Smart Search'!H13,0),0)</f>
        <v>0</v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>0</v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>0</v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>0</v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>0</v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>0</v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>0</v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>0</v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>0</v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>0</v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>0</v>
      </c>
      <c r="AP224" s="66">
        <f t="shared" si="42"/>
        <v>0</v>
      </c>
      <c r="AQ224" s="66">
        <f t="shared" si="43"/>
        <v>0</v>
      </c>
      <c r="AR224" s="66">
        <f t="shared" si="44"/>
        <v>0</v>
      </c>
      <c r="AS224" s="66">
        <f t="shared" si="45"/>
        <v>0</v>
      </c>
      <c r="AT224" s="66">
        <f t="shared" si="46"/>
        <v>0</v>
      </c>
      <c r="AU224" s="66">
        <f t="shared" si="47"/>
        <v>0</v>
      </c>
      <c r="AV224" s="66">
        <f t="shared" si="48"/>
        <v>0</v>
      </c>
      <c r="AW224" s="66">
        <f t="shared" si="49"/>
        <v>0</v>
      </c>
      <c r="AX224" s="66">
        <f t="shared" si="50"/>
        <v>0</v>
      </c>
      <c r="AY224" s="66">
        <f t="shared" si="51"/>
        <v>0</v>
      </c>
      <c r="AZ224" s="66">
        <f>'Project Database'!Z228</f>
        <v>0</v>
      </c>
      <c r="BA224" s="66">
        <f>IF(OR(A224="",'Smart Search'!H13=0),"",MAX(0,BE224*BF224*MAX(0,1-BG224)))</f>
        <v>0</v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>0</v>
      </c>
      <c r="BC224" s="66">
        <f>IF('Smart Search'!G13=1,IFERROR(1/'Smart Search'!H13,0),0)</f>
        <v>0</v>
      </c>
      <c r="BD224" s="66">
        <f t="shared" si="52"/>
        <v>0</v>
      </c>
      <c r="BE224" s="66">
        <f t="shared" si="53"/>
        <v>0</v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>0</v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>0</v>
      </c>
      <c r="BH224" s="5" t="str">
        <f>IF(AND('Project Database'!A228&lt;&gt;"",OR('Smart Search'!$L$5="",'Smart Search'!$L$5="All",TRIM('Project Database'!D228)=TRIM('Smart Search'!$L$5)),OR(TRIM('Smart Search'!$L$6)="",TRIM('Smart Search'!$L$6)="All",ISNUMBER(SEARCH(SUBSTITUTE(SUBSTITUTE(SUBSTITUTE(TRIM('Smart Search'!$L$6),"~","~~"),"*","~*"),"?","~?"),'Project Database'!C228))),OR('Smart Search'!$L$7="",AND('Project Database'!E228&lt;&gt;"",'Project Database'!E228='Smart Search'!$L$7)),OR('Smart Search'!$L$8="",'Smart Search'!$L$8="All",TRIM('Project Database'!F228)=TRIM('Smart Search'!$L$8))),IF(BA224="","",BA224+ROW()*0.0000000001),"")</f>
        <v/>
      </c>
      <c r="BI224" s="5" t="str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 t="str">
        <f>IF('Project Database'!A228="","",N('Project Database'!AC228))</f>
        <v/>
      </c>
      <c r="BK224" s="5" t="str">
        <f>IF('Project Database'!A228="","",N('Project Database'!AD228))</f>
        <v/>
      </c>
      <c r="BL224" s="5" t="str">
        <f>IF('Project Database'!A228="","",N('Project Database'!AE228))</f>
        <v/>
      </c>
      <c r="BM224" s="5" t="str">
        <f>IF('Project Database'!A228="","",N('Project Database'!AF228))</f>
        <v/>
      </c>
      <c r="BN224" s="5" t="str">
        <f>IF('Project Database'!A228="","",N('Project Database'!AG228))</f>
        <v/>
      </c>
      <c r="BO224" s="5" t="str">
        <f>IF('Project Database'!A228="","",N('Project Database'!AH228))</f>
        <v/>
      </c>
      <c r="BP224" s="5" t="str">
        <f>IF('Project Database'!A228="","",N('Project Database'!AI228))</f>
        <v/>
      </c>
      <c r="BQ224" s="5" t="str">
        <f>IF('Project Database'!A228="","",N('Project Database'!AJ228))</f>
        <v/>
      </c>
      <c r="BR224" s="5" t="str">
        <f>IF('Project Database'!A228="","",N('Project Database'!AK228))</f>
        <v/>
      </c>
      <c r="BS224" s="5" t="str">
        <f>IF('Project Database'!A228="","",N('Project Database'!AL228))</f>
        <v/>
      </c>
      <c r="BT224" s="5" t="str">
        <f>IF('Project Database'!A228="","",N('Project Database'!AM228))</f>
        <v/>
      </c>
      <c r="BU224" s="5" t="str">
        <f>IF('Project Database'!A228="","",N('Project Database'!AN228))</f>
        <v/>
      </c>
      <c r="BV224" s="5" t="str">
        <f>IF('Project Database'!A228="","",N('Project Database'!AO228))</f>
        <v/>
      </c>
      <c r="BW224" s="5" t="str">
        <f>IF('Project Database'!A228="","",N('Project Database'!AP228))</f>
        <v/>
      </c>
      <c r="BX224" s="5">
        <f t="shared" si="54"/>
        <v>0</v>
      </c>
      <c r="BY224" s="5">
        <f t="shared" si="55"/>
        <v>0</v>
      </c>
    </row>
    <row r="225" spans="1:77" ht="15" customHeight="1" x14ac:dyDescent="0.3">
      <c r="A225" s="66">
        <f>'Project Database'!A229</f>
        <v>0</v>
      </c>
      <c r="B225" s="66">
        <f>'Project Database'!B229</f>
        <v>0</v>
      </c>
      <c r="C225" s="66">
        <f>'Project Database'!G229</f>
        <v>0</v>
      </c>
      <c r="D225" s="66">
        <f>'Project Database'!H229</f>
        <v>0</v>
      </c>
      <c r="E225" s="66">
        <f>'Project Database'!I229</f>
        <v>0</v>
      </c>
      <c r="F225" s="66">
        <f>'Project Database'!J229</f>
        <v>0</v>
      </c>
      <c r="G225" s="66">
        <f>'Project Database'!K229</f>
        <v>0</v>
      </c>
      <c r="H225" s="66">
        <f>'Project Database'!L229</f>
        <v>0</v>
      </c>
      <c r="I225" s="66">
        <f>'Project Database'!M229</f>
        <v>0</v>
      </c>
      <c r="J225" s="66">
        <f>'Project Database'!N229</f>
        <v>0</v>
      </c>
      <c r="K225" s="66">
        <f>'Project Database'!O229</f>
        <v>0</v>
      </c>
      <c r="L225" s="66">
        <f>'Project Database'!P229</f>
        <v>0</v>
      </c>
      <c r="M225" s="66">
        <f>'Project Database'!Q229</f>
        <v>0</v>
      </c>
      <c r="N225" s="66">
        <f>'Project Database'!R229</f>
        <v>0</v>
      </c>
      <c r="O225" s="66">
        <f>'Project Database'!S229</f>
        <v>0</v>
      </c>
      <c r="P225" s="66">
        <f>'Project Database'!T229</f>
        <v>0</v>
      </c>
      <c r="Q225" s="66">
        <f>'Project Database'!U229</f>
        <v>0</v>
      </c>
      <c r="R225" s="66">
        <f>'Project Database'!V229</f>
        <v>0</v>
      </c>
      <c r="S225" s="66">
        <f>'Project Database'!W229</f>
        <v>0</v>
      </c>
      <c r="T225" s="66">
        <f>'Project Database'!X229</f>
        <v>0</v>
      </c>
      <c r="U225" s="67">
        <f>'Project Database'!Y229</f>
        <v>0</v>
      </c>
      <c r="V225" s="66">
        <f>IF('Smart Search'!B13=1,IFERROR(1/'Smart Search'!H13,0),0)</f>
        <v>0</v>
      </c>
      <c r="W225" s="66">
        <f>IF('Smart Search'!B13=1,IFERROR(1/'Smart Search'!H13,0),0)</f>
        <v>0</v>
      </c>
      <c r="X225" s="66">
        <f>IF('Smart Search'!C13=1,IFERROR(1/'Smart Search'!H13,0),0)</f>
        <v>0.5</v>
      </c>
      <c r="Y225" s="66">
        <f>IF('Smart Search'!C13=1,IFERROR(1/'Smart Search'!H13,0),0)</f>
        <v>0.5</v>
      </c>
      <c r="Z225" s="66">
        <f>IF('Smart Search'!D13=1,IFERROR(1/'Smart Search'!H13,0),0)</f>
        <v>0</v>
      </c>
      <c r="AA225" s="66">
        <f>IF('Smart Search'!D13=1,IFERROR(1/'Smart Search'!H13,0),0)</f>
        <v>0</v>
      </c>
      <c r="AB225" s="66">
        <f>IF('Smart Search'!E13=1,IFERROR(1/'Smart Search'!H13,0),0)</f>
        <v>0</v>
      </c>
      <c r="AC225" s="66">
        <f>IF('Smart Search'!E13=1,IFERROR(1/'Smart Search'!H13,0),0)</f>
        <v>0</v>
      </c>
      <c r="AD225" s="66">
        <f>IF('Smart Search'!F13=1,IFERROR(1/'Smart Search'!H13,0),0)</f>
        <v>0</v>
      </c>
      <c r="AE225" s="66">
        <f>IF('Smart Search'!F13=1,IFERROR(1/'Smart Search'!H13,0),0)</f>
        <v>0</v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>0</v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>0</v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>0</v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>0</v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>0</v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>0</v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>0</v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>0</v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>0</v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>0</v>
      </c>
      <c r="AP225" s="66">
        <f t="shared" si="42"/>
        <v>0</v>
      </c>
      <c r="AQ225" s="66">
        <f t="shared" si="43"/>
        <v>0</v>
      </c>
      <c r="AR225" s="66">
        <f t="shared" si="44"/>
        <v>0</v>
      </c>
      <c r="AS225" s="66">
        <f t="shared" si="45"/>
        <v>0</v>
      </c>
      <c r="AT225" s="66">
        <f t="shared" si="46"/>
        <v>0</v>
      </c>
      <c r="AU225" s="66">
        <f t="shared" si="47"/>
        <v>0</v>
      </c>
      <c r="AV225" s="66">
        <f t="shared" si="48"/>
        <v>0</v>
      </c>
      <c r="AW225" s="66">
        <f t="shared" si="49"/>
        <v>0</v>
      </c>
      <c r="AX225" s="66">
        <f t="shared" si="50"/>
        <v>0</v>
      </c>
      <c r="AY225" s="66">
        <f t="shared" si="51"/>
        <v>0</v>
      </c>
      <c r="AZ225" s="66">
        <f>'Project Database'!Z229</f>
        <v>0</v>
      </c>
      <c r="BA225" s="66">
        <f>IF(OR(A225="",'Smart Search'!H13=0),"",MAX(0,BE225*BF225*MAX(0,1-BG225)))</f>
        <v>0</v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>0</v>
      </c>
      <c r="BC225" s="66">
        <f>IF('Smart Search'!G13=1,IFERROR(1/'Smart Search'!H13,0),0)</f>
        <v>0</v>
      </c>
      <c r="BD225" s="66">
        <f t="shared" si="52"/>
        <v>0</v>
      </c>
      <c r="BE225" s="66">
        <f t="shared" si="53"/>
        <v>0</v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>0</v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>0</v>
      </c>
      <c r="BH225" s="5" t="str">
        <f>IF(AND('Project Database'!A229&lt;&gt;"",OR('Smart Search'!$L$5="",'Smart Search'!$L$5="All",TRIM('Project Database'!D229)=TRIM('Smart Search'!$L$5)),OR(TRIM('Smart Search'!$L$6)="",TRIM('Smart Search'!$L$6)="All",ISNUMBER(SEARCH(SUBSTITUTE(SUBSTITUTE(SUBSTITUTE(TRIM('Smart Search'!$L$6),"~","~~"),"*","~*"),"?","~?"),'Project Database'!C229))),OR('Smart Search'!$L$7="",AND('Project Database'!E229&lt;&gt;"",'Project Database'!E229='Smart Search'!$L$7)),OR('Smart Search'!$L$8="",'Smart Search'!$L$8="All",TRIM('Project Database'!F229)=TRIM('Smart Search'!$L$8))),IF(BA225="","",BA225+ROW()*0.0000000001),"")</f>
        <v/>
      </c>
      <c r="BI225" s="5" t="str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 t="str">
        <f>IF('Project Database'!A229="","",N('Project Database'!AC229))</f>
        <v/>
      </c>
      <c r="BK225" s="5" t="str">
        <f>IF('Project Database'!A229="","",N('Project Database'!AD229))</f>
        <v/>
      </c>
      <c r="BL225" s="5" t="str">
        <f>IF('Project Database'!A229="","",N('Project Database'!AE229))</f>
        <v/>
      </c>
      <c r="BM225" s="5" t="str">
        <f>IF('Project Database'!A229="","",N('Project Database'!AF229))</f>
        <v/>
      </c>
      <c r="BN225" s="5" t="str">
        <f>IF('Project Database'!A229="","",N('Project Database'!AG229))</f>
        <v/>
      </c>
      <c r="BO225" s="5" t="str">
        <f>IF('Project Database'!A229="","",N('Project Database'!AH229))</f>
        <v/>
      </c>
      <c r="BP225" s="5" t="str">
        <f>IF('Project Database'!A229="","",N('Project Database'!AI229))</f>
        <v/>
      </c>
      <c r="BQ225" s="5" t="str">
        <f>IF('Project Database'!A229="","",N('Project Database'!AJ229))</f>
        <v/>
      </c>
      <c r="BR225" s="5" t="str">
        <f>IF('Project Database'!A229="","",N('Project Database'!AK229))</f>
        <v/>
      </c>
      <c r="BS225" s="5" t="str">
        <f>IF('Project Database'!A229="","",N('Project Database'!AL229))</f>
        <v/>
      </c>
      <c r="BT225" s="5" t="str">
        <f>IF('Project Database'!A229="","",N('Project Database'!AM229))</f>
        <v/>
      </c>
      <c r="BU225" s="5" t="str">
        <f>IF('Project Database'!A229="","",N('Project Database'!AN229))</f>
        <v/>
      </c>
      <c r="BV225" s="5" t="str">
        <f>IF('Project Database'!A229="","",N('Project Database'!AO229))</f>
        <v/>
      </c>
      <c r="BW225" s="5" t="str">
        <f>IF('Project Database'!A229="","",N('Project Database'!AP229))</f>
        <v/>
      </c>
      <c r="BX225" s="5">
        <f t="shared" si="54"/>
        <v>0</v>
      </c>
      <c r="BY225" s="5">
        <f t="shared" si="55"/>
        <v>0</v>
      </c>
    </row>
    <row r="226" spans="1:77" ht="15" customHeight="1" x14ac:dyDescent="0.3">
      <c r="A226" s="66">
        <f>'Project Database'!A230</f>
        <v>0</v>
      </c>
      <c r="B226" s="66">
        <f>'Project Database'!B230</f>
        <v>0</v>
      </c>
      <c r="C226" s="66">
        <f>'Project Database'!G230</f>
        <v>0</v>
      </c>
      <c r="D226" s="66">
        <f>'Project Database'!H230</f>
        <v>0</v>
      </c>
      <c r="E226" s="66">
        <f>'Project Database'!I230</f>
        <v>0</v>
      </c>
      <c r="F226" s="66">
        <f>'Project Database'!J230</f>
        <v>0</v>
      </c>
      <c r="G226" s="66">
        <f>'Project Database'!K230</f>
        <v>0</v>
      </c>
      <c r="H226" s="66">
        <f>'Project Database'!L230</f>
        <v>0</v>
      </c>
      <c r="I226" s="66">
        <f>'Project Database'!M230</f>
        <v>0</v>
      </c>
      <c r="J226" s="66">
        <f>'Project Database'!N230</f>
        <v>0</v>
      </c>
      <c r="K226" s="66">
        <f>'Project Database'!O230</f>
        <v>0</v>
      </c>
      <c r="L226" s="66">
        <f>'Project Database'!P230</f>
        <v>0</v>
      </c>
      <c r="M226" s="66">
        <f>'Project Database'!Q230</f>
        <v>0</v>
      </c>
      <c r="N226" s="66">
        <f>'Project Database'!R230</f>
        <v>0</v>
      </c>
      <c r="O226" s="66">
        <f>'Project Database'!S230</f>
        <v>0</v>
      </c>
      <c r="P226" s="66">
        <f>'Project Database'!T230</f>
        <v>0</v>
      </c>
      <c r="Q226" s="66">
        <f>'Project Database'!U230</f>
        <v>0</v>
      </c>
      <c r="R226" s="66">
        <f>'Project Database'!V230</f>
        <v>0</v>
      </c>
      <c r="S226" s="66">
        <f>'Project Database'!W230</f>
        <v>0</v>
      </c>
      <c r="T226" s="66">
        <f>'Project Database'!X230</f>
        <v>0</v>
      </c>
      <c r="U226" s="67">
        <f>'Project Database'!Y230</f>
        <v>0</v>
      </c>
      <c r="V226" s="66">
        <f>IF('Smart Search'!B13=1,IFERROR(1/'Smart Search'!H13,0),0)</f>
        <v>0</v>
      </c>
      <c r="W226" s="66">
        <f>IF('Smart Search'!B13=1,IFERROR(1/'Smart Search'!H13,0),0)</f>
        <v>0</v>
      </c>
      <c r="X226" s="66">
        <f>IF('Smart Search'!C13=1,IFERROR(1/'Smart Search'!H13,0),0)</f>
        <v>0.5</v>
      </c>
      <c r="Y226" s="66">
        <f>IF('Smart Search'!C13=1,IFERROR(1/'Smart Search'!H13,0),0)</f>
        <v>0.5</v>
      </c>
      <c r="Z226" s="66">
        <f>IF('Smart Search'!D13=1,IFERROR(1/'Smart Search'!H13,0),0)</f>
        <v>0</v>
      </c>
      <c r="AA226" s="66">
        <f>IF('Smart Search'!D13=1,IFERROR(1/'Smart Search'!H13,0),0)</f>
        <v>0</v>
      </c>
      <c r="AB226" s="66">
        <f>IF('Smart Search'!E13=1,IFERROR(1/'Smart Search'!H13,0),0)</f>
        <v>0</v>
      </c>
      <c r="AC226" s="66">
        <f>IF('Smart Search'!E13=1,IFERROR(1/'Smart Search'!H13,0),0)</f>
        <v>0</v>
      </c>
      <c r="AD226" s="66">
        <f>IF('Smart Search'!F13=1,IFERROR(1/'Smart Search'!H13,0),0)</f>
        <v>0</v>
      </c>
      <c r="AE226" s="66">
        <f>IF('Smart Search'!F13=1,IFERROR(1/'Smart Search'!H13,0),0)</f>
        <v>0</v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>0</v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>0</v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>0</v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>0</v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>0</v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>0</v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>0</v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>0</v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>0</v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>0</v>
      </c>
      <c r="AP226" s="66">
        <f t="shared" si="42"/>
        <v>0</v>
      </c>
      <c r="AQ226" s="66">
        <f t="shared" si="43"/>
        <v>0</v>
      </c>
      <c r="AR226" s="66">
        <f t="shared" si="44"/>
        <v>0</v>
      </c>
      <c r="AS226" s="66">
        <f t="shared" si="45"/>
        <v>0</v>
      </c>
      <c r="AT226" s="66">
        <f t="shared" si="46"/>
        <v>0</v>
      </c>
      <c r="AU226" s="66">
        <f t="shared" si="47"/>
        <v>0</v>
      </c>
      <c r="AV226" s="66">
        <f t="shared" si="48"/>
        <v>0</v>
      </c>
      <c r="AW226" s="66">
        <f t="shared" si="49"/>
        <v>0</v>
      </c>
      <c r="AX226" s="66">
        <f t="shared" si="50"/>
        <v>0</v>
      </c>
      <c r="AY226" s="66">
        <f t="shared" si="51"/>
        <v>0</v>
      </c>
      <c r="AZ226" s="66">
        <f>'Project Database'!Z230</f>
        <v>0</v>
      </c>
      <c r="BA226" s="66">
        <f>IF(OR(A226="",'Smart Search'!H13=0),"",MAX(0,BE226*BF226*MAX(0,1-BG226)))</f>
        <v>0</v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>0</v>
      </c>
      <c r="BC226" s="66">
        <f>IF('Smart Search'!G13=1,IFERROR(1/'Smart Search'!H13,0),0)</f>
        <v>0</v>
      </c>
      <c r="BD226" s="66">
        <f t="shared" si="52"/>
        <v>0</v>
      </c>
      <c r="BE226" s="66">
        <f t="shared" si="53"/>
        <v>0</v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>0</v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>0</v>
      </c>
      <c r="BH226" s="5" t="str">
        <f>IF(AND('Project Database'!A230&lt;&gt;"",OR('Smart Search'!$L$5="",'Smart Search'!$L$5="All",TRIM('Project Database'!D230)=TRIM('Smart Search'!$L$5)),OR(TRIM('Smart Search'!$L$6)="",TRIM('Smart Search'!$L$6)="All",ISNUMBER(SEARCH(SUBSTITUTE(SUBSTITUTE(SUBSTITUTE(TRIM('Smart Search'!$L$6),"~","~~"),"*","~*"),"?","~?"),'Project Database'!C230))),OR('Smart Search'!$L$7="",AND('Project Database'!E230&lt;&gt;"",'Project Database'!E230='Smart Search'!$L$7)),OR('Smart Search'!$L$8="",'Smart Search'!$L$8="All",TRIM('Project Database'!F230)=TRIM('Smart Search'!$L$8))),IF(BA226="","",BA226+ROW()*0.0000000001),"")</f>
        <v/>
      </c>
      <c r="BI226" s="5" t="str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 t="str">
        <f>IF('Project Database'!A230="","",N('Project Database'!AC230))</f>
        <v/>
      </c>
      <c r="BK226" s="5" t="str">
        <f>IF('Project Database'!A230="","",N('Project Database'!AD230))</f>
        <v/>
      </c>
      <c r="BL226" s="5" t="str">
        <f>IF('Project Database'!A230="","",N('Project Database'!AE230))</f>
        <v/>
      </c>
      <c r="BM226" s="5" t="str">
        <f>IF('Project Database'!A230="","",N('Project Database'!AF230))</f>
        <v/>
      </c>
      <c r="BN226" s="5" t="str">
        <f>IF('Project Database'!A230="","",N('Project Database'!AG230))</f>
        <v/>
      </c>
      <c r="BO226" s="5" t="str">
        <f>IF('Project Database'!A230="","",N('Project Database'!AH230))</f>
        <v/>
      </c>
      <c r="BP226" s="5" t="str">
        <f>IF('Project Database'!A230="","",N('Project Database'!AI230))</f>
        <v/>
      </c>
      <c r="BQ226" s="5" t="str">
        <f>IF('Project Database'!A230="","",N('Project Database'!AJ230))</f>
        <v/>
      </c>
      <c r="BR226" s="5" t="str">
        <f>IF('Project Database'!A230="","",N('Project Database'!AK230))</f>
        <v/>
      </c>
      <c r="BS226" s="5" t="str">
        <f>IF('Project Database'!A230="","",N('Project Database'!AL230))</f>
        <v/>
      </c>
      <c r="BT226" s="5" t="str">
        <f>IF('Project Database'!A230="","",N('Project Database'!AM230))</f>
        <v/>
      </c>
      <c r="BU226" s="5" t="str">
        <f>IF('Project Database'!A230="","",N('Project Database'!AN230))</f>
        <v/>
      </c>
      <c r="BV226" s="5" t="str">
        <f>IF('Project Database'!A230="","",N('Project Database'!AO230))</f>
        <v/>
      </c>
      <c r="BW226" s="5" t="str">
        <f>IF('Project Database'!A230="","",N('Project Database'!AP230))</f>
        <v/>
      </c>
      <c r="BX226" s="5">
        <f t="shared" si="54"/>
        <v>0</v>
      </c>
      <c r="BY226" s="5">
        <f t="shared" si="55"/>
        <v>0</v>
      </c>
    </row>
    <row r="227" spans="1:77" ht="15" customHeight="1" x14ac:dyDescent="0.3">
      <c r="A227" s="66">
        <f>'Project Database'!A231</f>
        <v>0</v>
      </c>
      <c r="B227" s="66">
        <f>'Project Database'!B231</f>
        <v>0</v>
      </c>
      <c r="C227" s="66">
        <f>'Project Database'!G231</f>
        <v>0</v>
      </c>
      <c r="D227" s="66">
        <f>'Project Database'!H231</f>
        <v>0</v>
      </c>
      <c r="E227" s="66">
        <f>'Project Database'!I231</f>
        <v>0</v>
      </c>
      <c r="F227" s="66">
        <f>'Project Database'!J231</f>
        <v>0</v>
      </c>
      <c r="G227" s="66">
        <f>'Project Database'!K231</f>
        <v>0</v>
      </c>
      <c r="H227" s="66">
        <f>'Project Database'!L231</f>
        <v>0</v>
      </c>
      <c r="I227" s="66">
        <f>'Project Database'!M231</f>
        <v>0</v>
      </c>
      <c r="J227" s="66">
        <f>'Project Database'!N231</f>
        <v>0</v>
      </c>
      <c r="K227" s="66">
        <f>'Project Database'!O231</f>
        <v>0</v>
      </c>
      <c r="L227" s="66">
        <f>'Project Database'!P231</f>
        <v>0</v>
      </c>
      <c r="M227" s="66">
        <f>'Project Database'!Q231</f>
        <v>0</v>
      </c>
      <c r="N227" s="66">
        <f>'Project Database'!R231</f>
        <v>0</v>
      </c>
      <c r="O227" s="66">
        <f>'Project Database'!S231</f>
        <v>0</v>
      </c>
      <c r="P227" s="66">
        <f>'Project Database'!T231</f>
        <v>0</v>
      </c>
      <c r="Q227" s="66">
        <f>'Project Database'!U231</f>
        <v>0</v>
      </c>
      <c r="R227" s="66">
        <f>'Project Database'!V231</f>
        <v>0</v>
      </c>
      <c r="S227" s="66">
        <f>'Project Database'!W231</f>
        <v>0</v>
      </c>
      <c r="T227" s="66">
        <f>'Project Database'!X231</f>
        <v>0</v>
      </c>
      <c r="U227" s="67">
        <f>'Project Database'!Y231</f>
        <v>0</v>
      </c>
      <c r="V227" s="66">
        <f>IF('Smart Search'!B13=1,IFERROR(1/'Smart Search'!H13,0),0)</f>
        <v>0</v>
      </c>
      <c r="W227" s="66">
        <f>IF('Smart Search'!B13=1,IFERROR(1/'Smart Search'!H13,0),0)</f>
        <v>0</v>
      </c>
      <c r="X227" s="66">
        <f>IF('Smart Search'!C13=1,IFERROR(1/'Smart Search'!H13,0),0)</f>
        <v>0.5</v>
      </c>
      <c r="Y227" s="66">
        <f>IF('Smart Search'!C13=1,IFERROR(1/'Smart Search'!H13,0),0)</f>
        <v>0.5</v>
      </c>
      <c r="Z227" s="66">
        <f>IF('Smart Search'!D13=1,IFERROR(1/'Smart Search'!H13,0),0)</f>
        <v>0</v>
      </c>
      <c r="AA227" s="66">
        <f>IF('Smart Search'!D13=1,IFERROR(1/'Smart Search'!H13,0),0)</f>
        <v>0</v>
      </c>
      <c r="AB227" s="66">
        <f>IF('Smart Search'!E13=1,IFERROR(1/'Smart Search'!H13,0),0)</f>
        <v>0</v>
      </c>
      <c r="AC227" s="66">
        <f>IF('Smart Search'!E13=1,IFERROR(1/'Smart Search'!H13,0),0)</f>
        <v>0</v>
      </c>
      <c r="AD227" s="66">
        <f>IF('Smart Search'!F13=1,IFERROR(1/'Smart Search'!H13,0),0)</f>
        <v>0</v>
      </c>
      <c r="AE227" s="66">
        <f>IF('Smart Search'!F13=1,IFERROR(1/'Smart Search'!H13,0),0)</f>
        <v>0</v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>0</v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>0</v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>0</v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>0</v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>0</v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>0</v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>0</v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>0</v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>0</v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>0</v>
      </c>
      <c r="AP227" s="66">
        <f t="shared" si="42"/>
        <v>0</v>
      </c>
      <c r="AQ227" s="66">
        <f t="shared" si="43"/>
        <v>0</v>
      </c>
      <c r="AR227" s="66">
        <f t="shared" si="44"/>
        <v>0</v>
      </c>
      <c r="AS227" s="66">
        <f t="shared" si="45"/>
        <v>0</v>
      </c>
      <c r="AT227" s="66">
        <f t="shared" si="46"/>
        <v>0</v>
      </c>
      <c r="AU227" s="66">
        <f t="shared" si="47"/>
        <v>0</v>
      </c>
      <c r="AV227" s="66">
        <f t="shared" si="48"/>
        <v>0</v>
      </c>
      <c r="AW227" s="66">
        <f t="shared" si="49"/>
        <v>0</v>
      </c>
      <c r="AX227" s="66">
        <f t="shared" si="50"/>
        <v>0</v>
      </c>
      <c r="AY227" s="66">
        <f t="shared" si="51"/>
        <v>0</v>
      </c>
      <c r="AZ227" s="66">
        <f>'Project Database'!Z231</f>
        <v>0</v>
      </c>
      <c r="BA227" s="66">
        <f>IF(OR(A227="",'Smart Search'!H13=0),"",MAX(0,BE227*BF227*MAX(0,1-BG227)))</f>
        <v>0</v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>0</v>
      </c>
      <c r="BC227" s="66">
        <f>IF('Smart Search'!G13=1,IFERROR(1/'Smart Search'!H13,0),0)</f>
        <v>0</v>
      </c>
      <c r="BD227" s="66">
        <f t="shared" si="52"/>
        <v>0</v>
      </c>
      <c r="BE227" s="66">
        <f t="shared" si="53"/>
        <v>0</v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>0</v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>0</v>
      </c>
      <c r="BH227" s="5" t="str">
        <f>IF(AND('Project Database'!A231&lt;&gt;"",OR('Smart Search'!$L$5="",'Smart Search'!$L$5="All",TRIM('Project Database'!D231)=TRIM('Smart Search'!$L$5)),OR(TRIM('Smart Search'!$L$6)="",TRIM('Smart Search'!$L$6)="All",ISNUMBER(SEARCH(SUBSTITUTE(SUBSTITUTE(SUBSTITUTE(TRIM('Smart Search'!$L$6),"~","~~"),"*","~*"),"?","~?"),'Project Database'!C231))),OR('Smart Search'!$L$7="",AND('Project Database'!E231&lt;&gt;"",'Project Database'!E231='Smart Search'!$L$7)),OR('Smart Search'!$L$8="",'Smart Search'!$L$8="All",TRIM('Project Database'!F231)=TRIM('Smart Search'!$L$8))),IF(BA227="","",BA227+ROW()*0.0000000001),"")</f>
        <v/>
      </c>
      <c r="BI227" s="5" t="str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 t="str">
        <f>IF('Project Database'!A231="","",N('Project Database'!AC231))</f>
        <v/>
      </c>
      <c r="BK227" s="5" t="str">
        <f>IF('Project Database'!A231="","",N('Project Database'!AD231))</f>
        <v/>
      </c>
      <c r="BL227" s="5" t="str">
        <f>IF('Project Database'!A231="","",N('Project Database'!AE231))</f>
        <v/>
      </c>
      <c r="BM227" s="5" t="str">
        <f>IF('Project Database'!A231="","",N('Project Database'!AF231))</f>
        <v/>
      </c>
      <c r="BN227" s="5" t="str">
        <f>IF('Project Database'!A231="","",N('Project Database'!AG231))</f>
        <v/>
      </c>
      <c r="BO227" s="5" t="str">
        <f>IF('Project Database'!A231="","",N('Project Database'!AH231))</f>
        <v/>
      </c>
      <c r="BP227" s="5" t="str">
        <f>IF('Project Database'!A231="","",N('Project Database'!AI231))</f>
        <v/>
      </c>
      <c r="BQ227" s="5" t="str">
        <f>IF('Project Database'!A231="","",N('Project Database'!AJ231))</f>
        <v/>
      </c>
      <c r="BR227" s="5" t="str">
        <f>IF('Project Database'!A231="","",N('Project Database'!AK231))</f>
        <v/>
      </c>
      <c r="BS227" s="5" t="str">
        <f>IF('Project Database'!A231="","",N('Project Database'!AL231))</f>
        <v/>
      </c>
      <c r="BT227" s="5" t="str">
        <f>IF('Project Database'!A231="","",N('Project Database'!AM231))</f>
        <v/>
      </c>
      <c r="BU227" s="5" t="str">
        <f>IF('Project Database'!A231="","",N('Project Database'!AN231))</f>
        <v/>
      </c>
      <c r="BV227" s="5" t="str">
        <f>IF('Project Database'!A231="","",N('Project Database'!AO231))</f>
        <v/>
      </c>
      <c r="BW227" s="5" t="str">
        <f>IF('Project Database'!A231="","",N('Project Database'!AP231))</f>
        <v/>
      </c>
      <c r="BX227" s="5">
        <f t="shared" si="54"/>
        <v>0</v>
      </c>
      <c r="BY227" s="5">
        <f t="shared" si="55"/>
        <v>0</v>
      </c>
    </row>
    <row r="228" spans="1:77" ht="15" customHeight="1" x14ac:dyDescent="0.3">
      <c r="A228" s="66">
        <f>'Project Database'!A232</f>
        <v>0</v>
      </c>
      <c r="B228" s="66">
        <f>'Project Database'!B232</f>
        <v>0</v>
      </c>
      <c r="C228" s="66">
        <f>'Project Database'!G232</f>
        <v>0</v>
      </c>
      <c r="D228" s="66">
        <f>'Project Database'!H232</f>
        <v>0</v>
      </c>
      <c r="E228" s="66">
        <f>'Project Database'!I232</f>
        <v>0</v>
      </c>
      <c r="F228" s="66">
        <f>'Project Database'!J232</f>
        <v>0</v>
      </c>
      <c r="G228" s="66">
        <f>'Project Database'!K232</f>
        <v>0</v>
      </c>
      <c r="H228" s="66">
        <f>'Project Database'!L232</f>
        <v>0</v>
      </c>
      <c r="I228" s="66">
        <f>'Project Database'!M232</f>
        <v>0</v>
      </c>
      <c r="J228" s="66">
        <f>'Project Database'!N232</f>
        <v>0</v>
      </c>
      <c r="K228" s="66">
        <f>'Project Database'!O232</f>
        <v>0</v>
      </c>
      <c r="L228" s="66">
        <f>'Project Database'!P232</f>
        <v>0</v>
      </c>
      <c r="M228" s="66">
        <f>'Project Database'!Q232</f>
        <v>0</v>
      </c>
      <c r="N228" s="66">
        <f>'Project Database'!R232</f>
        <v>0</v>
      </c>
      <c r="O228" s="66">
        <f>'Project Database'!S232</f>
        <v>0</v>
      </c>
      <c r="P228" s="66">
        <f>'Project Database'!T232</f>
        <v>0</v>
      </c>
      <c r="Q228" s="66">
        <f>'Project Database'!U232</f>
        <v>0</v>
      </c>
      <c r="R228" s="66">
        <f>'Project Database'!V232</f>
        <v>0</v>
      </c>
      <c r="S228" s="66">
        <f>'Project Database'!W232</f>
        <v>0</v>
      </c>
      <c r="T228" s="66">
        <f>'Project Database'!X232</f>
        <v>0</v>
      </c>
      <c r="U228" s="67">
        <f>'Project Database'!Y232</f>
        <v>0</v>
      </c>
      <c r="V228" s="66">
        <f>IF('Smart Search'!B13=1,IFERROR(1/'Smart Search'!H13,0),0)</f>
        <v>0</v>
      </c>
      <c r="W228" s="66">
        <f>IF('Smart Search'!B13=1,IFERROR(1/'Smart Search'!H13,0),0)</f>
        <v>0</v>
      </c>
      <c r="X228" s="66">
        <f>IF('Smart Search'!C13=1,IFERROR(1/'Smart Search'!H13,0),0)</f>
        <v>0.5</v>
      </c>
      <c r="Y228" s="66">
        <f>IF('Smart Search'!C13=1,IFERROR(1/'Smart Search'!H13,0),0)</f>
        <v>0.5</v>
      </c>
      <c r="Z228" s="66">
        <f>IF('Smart Search'!D13=1,IFERROR(1/'Smart Search'!H13,0),0)</f>
        <v>0</v>
      </c>
      <c r="AA228" s="66">
        <f>IF('Smart Search'!D13=1,IFERROR(1/'Smart Search'!H13,0),0)</f>
        <v>0</v>
      </c>
      <c r="AB228" s="66">
        <f>IF('Smart Search'!E13=1,IFERROR(1/'Smart Search'!H13,0),0)</f>
        <v>0</v>
      </c>
      <c r="AC228" s="66">
        <f>IF('Smart Search'!E13=1,IFERROR(1/'Smart Search'!H13,0),0)</f>
        <v>0</v>
      </c>
      <c r="AD228" s="66">
        <f>IF('Smart Search'!F13=1,IFERROR(1/'Smart Search'!H13,0),0)</f>
        <v>0</v>
      </c>
      <c r="AE228" s="66">
        <f>IF('Smart Search'!F13=1,IFERROR(1/'Smart Search'!H13,0),0)</f>
        <v>0</v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>0</v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>0</v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>0</v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>0</v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>0</v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>0</v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>0</v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>0</v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>0</v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>0</v>
      </c>
      <c r="AP228" s="66">
        <f t="shared" si="42"/>
        <v>0</v>
      </c>
      <c r="AQ228" s="66">
        <f t="shared" si="43"/>
        <v>0</v>
      </c>
      <c r="AR228" s="66">
        <f t="shared" si="44"/>
        <v>0</v>
      </c>
      <c r="AS228" s="66">
        <f t="shared" si="45"/>
        <v>0</v>
      </c>
      <c r="AT228" s="66">
        <f t="shared" si="46"/>
        <v>0</v>
      </c>
      <c r="AU228" s="66">
        <f t="shared" si="47"/>
        <v>0</v>
      </c>
      <c r="AV228" s="66">
        <f t="shared" si="48"/>
        <v>0</v>
      </c>
      <c r="AW228" s="66">
        <f t="shared" si="49"/>
        <v>0</v>
      </c>
      <c r="AX228" s="66">
        <f t="shared" si="50"/>
        <v>0</v>
      </c>
      <c r="AY228" s="66">
        <f t="shared" si="51"/>
        <v>0</v>
      </c>
      <c r="AZ228" s="66">
        <f>'Project Database'!Z232</f>
        <v>0</v>
      </c>
      <c r="BA228" s="66">
        <f>IF(OR(A228="",'Smart Search'!H13=0),"",MAX(0,BE228*BF228*MAX(0,1-BG228)))</f>
        <v>0</v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>0</v>
      </c>
      <c r="BC228" s="66">
        <f>IF('Smart Search'!G13=1,IFERROR(1/'Smart Search'!H13,0),0)</f>
        <v>0</v>
      </c>
      <c r="BD228" s="66">
        <f t="shared" si="52"/>
        <v>0</v>
      </c>
      <c r="BE228" s="66">
        <f t="shared" si="53"/>
        <v>0</v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>0</v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>0</v>
      </c>
      <c r="BH228" s="5" t="str">
        <f>IF(AND('Project Database'!A232&lt;&gt;"",OR('Smart Search'!$L$5="",'Smart Search'!$L$5="All",TRIM('Project Database'!D232)=TRIM('Smart Search'!$L$5)),OR(TRIM('Smart Search'!$L$6)="",TRIM('Smart Search'!$L$6)="All",ISNUMBER(SEARCH(SUBSTITUTE(SUBSTITUTE(SUBSTITUTE(TRIM('Smart Search'!$L$6),"~","~~"),"*","~*"),"?","~?"),'Project Database'!C232))),OR('Smart Search'!$L$7="",AND('Project Database'!E232&lt;&gt;"",'Project Database'!E232='Smart Search'!$L$7)),OR('Smart Search'!$L$8="",'Smart Search'!$L$8="All",TRIM('Project Database'!F232)=TRIM('Smart Search'!$L$8))),IF(BA228="","",BA228+ROW()*0.0000000001),"")</f>
        <v/>
      </c>
      <c r="BI228" s="5" t="str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 t="str">
        <f>IF('Project Database'!A232="","",N('Project Database'!AC232))</f>
        <v/>
      </c>
      <c r="BK228" s="5" t="str">
        <f>IF('Project Database'!A232="","",N('Project Database'!AD232))</f>
        <v/>
      </c>
      <c r="BL228" s="5" t="str">
        <f>IF('Project Database'!A232="","",N('Project Database'!AE232))</f>
        <v/>
      </c>
      <c r="BM228" s="5" t="str">
        <f>IF('Project Database'!A232="","",N('Project Database'!AF232))</f>
        <v/>
      </c>
      <c r="BN228" s="5" t="str">
        <f>IF('Project Database'!A232="","",N('Project Database'!AG232))</f>
        <v/>
      </c>
      <c r="BO228" s="5" t="str">
        <f>IF('Project Database'!A232="","",N('Project Database'!AH232))</f>
        <v/>
      </c>
      <c r="BP228" s="5" t="str">
        <f>IF('Project Database'!A232="","",N('Project Database'!AI232))</f>
        <v/>
      </c>
      <c r="BQ228" s="5" t="str">
        <f>IF('Project Database'!A232="","",N('Project Database'!AJ232))</f>
        <v/>
      </c>
      <c r="BR228" s="5" t="str">
        <f>IF('Project Database'!A232="","",N('Project Database'!AK232))</f>
        <v/>
      </c>
      <c r="BS228" s="5" t="str">
        <f>IF('Project Database'!A232="","",N('Project Database'!AL232))</f>
        <v/>
      </c>
      <c r="BT228" s="5" t="str">
        <f>IF('Project Database'!A232="","",N('Project Database'!AM232))</f>
        <v/>
      </c>
      <c r="BU228" s="5" t="str">
        <f>IF('Project Database'!A232="","",N('Project Database'!AN232))</f>
        <v/>
      </c>
      <c r="BV228" s="5" t="str">
        <f>IF('Project Database'!A232="","",N('Project Database'!AO232))</f>
        <v/>
      </c>
      <c r="BW228" s="5" t="str">
        <f>IF('Project Database'!A232="","",N('Project Database'!AP232))</f>
        <v/>
      </c>
      <c r="BX228" s="5">
        <f t="shared" si="54"/>
        <v>0</v>
      </c>
      <c r="BY228" s="5">
        <f t="shared" si="55"/>
        <v>0</v>
      </c>
    </row>
    <row r="229" spans="1:77" ht="15" customHeight="1" x14ac:dyDescent="0.3">
      <c r="A229" s="66">
        <f>'Project Database'!A233</f>
        <v>0</v>
      </c>
      <c r="B229" s="66">
        <f>'Project Database'!B233</f>
        <v>0</v>
      </c>
      <c r="C229" s="66">
        <f>'Project Database'!G233</f>
        <v>0</v>
      </c>
      <c r="D229" s="66">
        <f>'Project Database'!H233</f>
        <v>0</v>
      </c>
      <c r="E229" s="66">
        <f>'Project Database'!I233</f>
        <v>0</v>
      </c>
      <c r="F229" s="66">
        <f>'Project Database'!J233</f>
        <v>0</v>
      </c>
      <c r="G229" s="66">
        <f>'Project Database'!K233</f>
        <v>0</v>
      </c>
      <c r="H229" s="66">
        <f>'Project Database'!L233</f>
        <v>0</v>
      </c>
      <c r="I229" s="66">
        <f>'Project Database'!M233</f>
        <v>0</v>
      </c>
      <c r="J229" s="66">
        <f>'Project Database'!N233</f>
        <v>0</v>
      </c>
      <c r="K229" s="66">
        <f>'Project Database'!O233</f>
        <v>0</v>
      </c>
      <c r="L229" s="66">
        <f>'Project Database'!P233</f>
        <v>0</v>
      </c>
      <c r="M229" s="66">
        <f>'Project Database'!Q233</f>
        <v>0</v>
      </c>
      <c r="N229" s="66">
        <f>'Project Database'!R233</f>
        <v>0</v>
      </c>
      <c r="O229" s="66">
        <f>'Project Database'!S233</f>
        <v>0</v>
      </c>
      <c r="P229" s="66">
        <f>'Project Database'!T233</f>
        <v>0</v>
      </c>
      <c r="Q229" s="66">
        <f>'Project Database'!U233</f>
        <v>0</v>
      </c>
      <c r="R229" s="66">
        <f>'Project Database'!V233</f>
        <v>0</v>
      </c>
      <c r="S229" s="66">
        <f>'Project Database'!W233</f>
        <v>0</v>
      </c>
      <c r="T229" s="66">
        <f>'Project Database'!X233</f>
        <v>0</v>
      </c>
      <c r="U229" s="67">
        <f>'Project Database'!Y233</f>
        <v>0</v>
      </c>
      <c r="V229" s="66">
        <f>IF('Smart Search'!B13=1,IFERROR(1/'Smart Search'!H13,0),0)</f>
        <v>0</v>
      </c>
      <c r="W229" s="66">
        <f>IF('Smart Search'!B13=1,IFERROR(1/'Smart Search'!H13,0),0)</f>
        <v>0</v>
      </c>
      <c r="X229" s="66">
        <f>IF('Smart Search'!C13=1,IFERROR(1/'Smart Search'!H13,0),0)</f>
        <v>0.5</v>
      </c>
      <c r="Y229" s="66">
        <f>IF('Smart Search'!C13=1,IFERROR(1/'Smart Search'!H13,0),0)</f>
        <v>0.5</v>
      </c>
      <c r="Z229" s="66">
        <f>IF('Smart Search'!D13=1,IFERROR(1/'Smart Search'!H13,0),0)</f>
        <v>0</v>
      </c>
      <c r="AA229" s="66">
        <f>IF('Smart Search'!D13=1,IFERROR(1/'Smart Search'!H13,0),0)</f>
        <v>0</v>
      </c>
      <c r="AB229" s="66">
        <f>IF('Smart Search'!E13=1,IFERROR(1/'Smart Search'!H13,0),0)</f>
        <v>0</v>
      </c>
      <c r="AC229" s="66">
        <f>IF('Smart Search'!E13=1,IFERROR(1/'Smart Search'!H13,0),0)</f>
        <v>0</v>
      </c>
      <c r="AD229" s="66">
        <f>IF('Smart Search'!F13=1,IFERROR(1/'Smart Search'!H13,0),0)</f>
        <v>0</v>
      </c>
      <c r="AE229" s="66">
        <f>IF('Smart Search'!F13=1,IFERROR(1/'Smart Search'!H13,0),0)</f>
        <v>0</v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>0</v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>0</v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>0</v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>0</v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>0</v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>0</v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>0</v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>0</v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>0</v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>0</v>
      </c>
      <c r="AP229" s="66">
        <f t="shared" si="42"/>
        <v>0</v>
      </c>
      <c r="AQ229" s="66">
        <f t="shared" si="43"/>
        <v>0</v>
      </c>
      <c r="AR229" s="66">
        <f t="shared" si="44"/>
        <v>0</v>
      </c>
      <c r="AS229" s="66">
        <f t="shared" si="45"/>
        <v>0</v>
      </c>
      <c r="AT229" s="66">
        <f t="shared" si="46"/>
        <v>0</v>
      </c>
      <c r="AU229" s="66">
        <f t="shared" si="47"/>
        <v>0</v>
      </c>
      <c r="AV229" s="66">
        <f t="shared" si="48"/>
        <v>0</v>
      </c>
      <c r="AW229" s="66">
        <f t="shared" si="49"/>
        <v>0</v>
      </c>
      <c r="AX229" s="66">
        <f t="shared" si="50"/>
        <v>0</v>
      </c>
      <c r="AY229" s="66">
        <f t="shared" si="51"/>
        <v>0</v>
      </c>
      <c r="AZ229" s="66">
        <f>'Project Database'!Z233</f>
        <v>0</v>
      </c>
      <c r="BA229" s="66">
        <f>IF(OR(A229="",'Smart Search'!H13=0),"",MAX(0,BE229*BF229*MAX(0,1-BG229)))</f>
        <v>0</v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>0</v>
      </c>
      <c r="BC229" s="66">
        <f>IF('Smart Search'!G13=1,IFERROR(1/'Smart Search'!H13,0),0)</f>
        <v>0</v>
      </c>
      <c r="BD229" s="66">
        <f t="shared" si="52"/>
        <v>0</v>
      </c>
      <c r="BE229" s="66">
        <f t="shared" si="53"/>
        <v>0</v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>0</v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>0</v>
      </c>
      <c r="BH229" s="5" t="str">
        <f>IF(AND('Project Database'!A233&lt;&gt;"",OR('Smart Search'!$L$5="",'Smart Search'!$L$5="All",TRIM('Project Database'!D233)=TRIM('Smart Search'!$L$5)),OR(TRIM('Smart Search'!$L$6)="",TRIM('Smart Search'!$L$6)="All",ISNUMBER(SEARCH(SUBSTITUTE(SUBSTITUTE(SUBSTITUTE(TRIM('Smart Search'!$L$6),"~","~~"),"*","~*"),"?","~?"),'Project Database'!C233))),OR('Smart Search'!$L$7="",AND('Project Database'!E233&lt;&gt;"",'Project Database'!E233='Smart Search'!$L$7)),OR('Smart Search'!$L$8="",'Smart Search'!$L$8="All",TRIM('Project Database'!F233)=TRIM('Smart Search'!$L$8))),IF(BA229="","",BA229+ROW()*0.0000000001),"")</f>
        <v/>
      </c>
      <c r="BI229" s="5" t="str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 t="str">
        <f>IF('Project Database'!A233="","",N('Project Database'!AC233))</f>
        <v/>
      </c>
      <c r="BK229" s="5" t="str">
        <f>IF('Project Database'!A233="","",N('Project Database'!AD233))</f>
        <v/>
      </c>
      <c r="BL229" s="5" t="str">
        <f>IF('Project Database'!A233="","",N('Project Database'!AE233))</f>
        <v/>
      </c>
      <c r="BM229" s="5" t="str">
        <f>IF('Project Database'!A233="","",N('Project Database'!AF233))</f>
        <v/>
      </c>
      <c r="BN229" s="5" t="str">
        <f>IF('Project Database'!A233="","",N('Project Database'!AG233))</f>
        <v/>
      </c>
      <c r="BO229" s="5" t="str">
        <f>IF('Project Database'!A233="","",N('Project Database'!AH233))</f>
        <v/>
      </c>
      <c r="BP229" s="5" t="str">
        <f>IF('Project Database'!A233="","",N('Project Database'!AI233))</f>
        <v/>
      </c>
      <c r="BQ229" s="5" t="str">
        <f>IF('Project Database'!A233="","",N('Project Database'!AJ233))</f>
        <v/>
      </c>
      <c r="BR229" s="5" t="str">
        <f>IF('Project Database'!A233="","",N('Project Database'!AK233))</f>
        <v/>
      </c>
      <c r="BS229" s="5" t="str">
        <f>IF('Project Database'!A233="","",N('Project Database'!AL233))</f>
        <v/>
      </c>
      <c r="BT229" s="5" t="str">
        <f>IF('Project Database'!A233="","",N('Project Database'!AM233))</f>
        <v/>
      </c>
      <c r="BU229" s="5" t="str">
        <f>IF('Project Database'!A233="","",N('Project Database'!AN233))</f>
        <v/>
      </c>
      <c r="BV229" s="5" t="str">
        <f>IF('Project Database'!A233="","",N('Project Database'!AO233))</f>
        <v/>
      </c>
      <c r="BW229" s="5" t="str">
        <f>IF('Project Database'!A233="","",N('Project Database'!AP233))</f>
        <v/>
      </c>
      <c r="BX229" s="5">
        <f t="shared" si="54"/>
        <v>0</v>
      </c>
      <c r="BY229" s="5">
        <f t="shared" si="55"/>
        <v>0</v>
      </c>
    </row>
    <row r="230" spans="1:77" ht="15" customHeight="1" x14ac:dyDescent="0.3">
      <c r="A230" s="66">
        <f>'Project Database'!A234</f>
        <v>0</v>
      </c>
      <c r="B230" s="66">
        <f>'Project Database'!B234</f>
        <v>0</v>
      </c>
      <c r="C230" s="66">
        <f>'Project Database'!G234</f>
        <v>0</v>
      </c>
      <c r="D230" s="66">
        <f>'Project Database'!H234</f>
        <v>0</v>
      </c>
      <c r="E230" s="66">
        <f>'Project Database'!I234</f>
        <v>0</v>
      </c>
      <c r="F230" s="66">
        <f>'Project Database'!J234</f>
        <v>0</v>
      </c>
      <c r="G230" s="66">
        <f>'Project Database'!K234</f>
        <v>0</v>
      </c>
      <c r="H230" s="66">
        <f>'Project Database'!L234</f>
        <v>0</v>
      </c>
      <c r="I230" s="66">
        <f>'Project Database'!M234</f>
        <v>0</v>
      </c>
      <c r="J230" s="66">
        <f>'Project Database'!N234</f>
        <v>0</v>
      </c>
      <c r="K230" s="66">
        <f>'Project Database'!O234</f>
        <v>0</v>
      </c>
      <c r="L230" s="66">
        <f>'Project Database'!P234</f>
        <v>0</v>
      </c>
      <c r="M230" s="66">
        <f>'Project Database'!Q234</f>
        <v>0</v>
      </c>
      <c r="N230" s="66">
        <f>'Project Database'!R234</f>
        <v>0</v>
      </c>
      <c r="O230" s="66">
        <f>'Project Database'!S234</f>
        <v>0</v>
      </c>
      <c r="P230" s="66">
        <f>'Project Database'!T234</f>
        <v>0</v>
      </c>
      <c r="Q230" s="66">
        <f>'Project Database'!U234</f>
        <v>0</v>
      </c>
      <c r="R230" s="66">
        <f>'Project Database'!V234</f>
        <v>0</v>
      </c>
      <c r="S230" s="66">
        <f>'Project Database'!W234</f>
        <v>0</v>
      </c>
      <c r="T230" s="66">
        <f>'Project Database'!X234</f>
        <v>0</v>
      </c>
      <c r="U230" s="67">
        <f>'Project Database'!Y234</f>
        <v>0</v>
      </c>
      <c r="V230" s="66">
        <f>IF('Smart Search'!B13=1,IFERROR(1/'Smart Search'!H13,0),0)</f>
        <v>0</v>
      </c>
      <c r="W230" s="66">
        <f>IF('Smart Search'!B13=1,IFERROR(1/'Smart Search'!H13,0),0)</f>
        <v>0</v>
      </c>
      <c r="X230" s="66">
        <f>IF('Smart Search'!C13=1,IFERROR(1/'Smart Search'!H13,0),0)</f>
        <v>0.5</v>
      </c>
      <c r="Y230" s="66">
        <f>IF('Smart Search'!C13=1,IFERROR(1/'Smart Search'!H13,0),0)</f>
        <v>0.5</v>
      </c>
      <c r="Z230" s="66">
        <f>IF('Smart Search'!D13=1,IFERROR(1/'Smart Search'!H13,0),0)</f>
        <v>0</v>
      </c>
      <c r="AA230" s="66">
        <f>IF('Smart Search'!D13=1,IFERROR(1/'Smart Search'!H13,0),0)</f>
        <v>0</v>
      </c>
      <c r="AB230" s="66">
        <f>IF('Smart Search'!E13=1,IFERROR(1/'Smart Search'!H13,0),0)</f>
        <v>0</v>
      </c>
      <c r="AC230" s="66">
        <f>IF('Smart Search'!E13=1,IFERROR(1/'Smart Search'!H13,0),0)</f>
        <v>0</v>
      </c>
      <c r="AD230" s="66">
        <f>IF('Smart Search'!F13=1,IFERROR(1/'Smart Search'!H13,0),0)</f>
        <v>0</v>
      </c>
      <c r="AE230" s="66">
        <f>IF('Smart Search'!F13=1,IFERROR(1/'Smart Search'!H13,0),0)</f>
        <v>0</v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>0</v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>0</v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>0</v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>0</v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>0</v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>0</v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>0</v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>0</v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>0</v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>0</v>
      </c>
      <c r="AP230" s="66">
        <f t="shared" si="42"/>
        <v>0</v>
      </c>
      <c r="AQ230" s="66">
        <f t="shared" si="43"/>
        <v>0</v>
      </c>
      <c r="AR230" s="66">
        <f t="shared" si="44"/>
        <v>0</v>
      </c>
      <c r="AS230" s="66">
        <f t="shared" si="45"/>
        <v>0</v>
      </c>
      <c r="AT230" s="66">
        <f t="shared" si="46"/>
        <v>0</v>
      </c>
      <c r="AU230" s="66">
        <f t="shared" si="47"/>
        <v>0</v>
      </c>
      <c r="AV230" s="66">
        <f t="shared" si="48"/>
        <v>0</v>
      </c>
      <c r="AW230" s="66">
        <f t="shared" si="49"/>
        <v>0</v>
      </c>
      <c r="AX230" s="66">
        <f t="shared" si="50"/>
        <v>0</v>
      </c>
      <c r="AY230" s="66">
        <f t="shared" si="51"/>
        <v>0</v>
      </c>
      <c r="AZ230" s="66">
        <f>'Project Database'!Z234</f>
        <v>0</v>
      </c>
      <c r="BA230" s="66">
        <f>IF(OR(A230="",'Smart Search'!H13=0),"",MAX(0,BE230*BF230*MAX(0,1-BG230)))</f>
        <v>0</v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>0</v>
      </c>
      <c r="BC230" s="66">
        <f>IF('Smart Search'!G13=1,IFERROR(1/'Smart Search'!H13,0),0)</f>
        <v>0</v>
      </c>
      <c r="BD230" s="66">
        <f t="shared" si="52"/>
        <v>0</v>
      </c>
      <c r="BE230" s="66">
        <f t="shared" si="53"/>
        <v>0</v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>0</v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>0</v>
      </c>
      <c r="BH230" s="5" t="str">
        <f>IF(AND('Project Database'!A234&lt;&gt;"",OR('Smart Search'!$L$5="",'Smart Search'!$L$5="All",TRIM('Project Database'!D234)=TRIM('Smart Search'!$L$5)),OR(TRIM('Smart Search'!$L$6)="",TRIM('Smart Search'!$L$6)="All",ISNUMBER(SEARCH(SUBSTITUTE(SUBSTITUTE(SUBSTITUTE(TRIM('Smart Search'!$L$6),"~","~~"),"*","~*"),"?","~?"),'Project Database'!C234))),OR('Smart Search'!$L$7="",AND('Project Database'!E234&lt;&gt;"",'Project Database'!E234='Smart Search'!$L$7)),OR('Smart Search'!$L$8="",'Smart Search'!$L$8="All",TRIM('Project Database'!F234)=TRIM('Smart Search'!$L$8))),IF(BA230="","",BA230+ROW()*0.0000000001),"")</f>
        <v/>
      </c>
      <c r="BI230" s="5" t="str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 t="str">
        <f>IF('Project Database'!A234="","",N('Project Database'!AC234))</f>
        <v/>
      </c>
      <c r="BK230" s="5" t="str">
        <f>IF('Project Database'!A234="","",N('Project Database'!AD234))</f>
        <v/>
      </c>
      <c r="BL230" s="5" t="str">
        <f>IF('Project Database'!A234="","",N('Project Database'!AE234))</f>
        <v/>
      </c>
      <c r="BM230" s="5" t="str">
        <f>IF('Project Database'!A234="","",N('Project Database'!AF234))</f>
        <v/>
      </c>
      <c r="BN230" s="5" t="str">
        <f>IF('Project Database'!A234="","",N('Project Database'!AG234))</f>
        <v/>
      </c>
      <c r="BO230" s="5" t="str">
        <f>IF('Project Database'!A234="","",N('Project Database'!AH234))</f>
        <v/>
      </c>
      <c r="BP230" s="5" t="str">
        <f>IF('Project Database'!A234="","",N('Project Database'!AI234))</f>
        <v/>
      </c>
      <c r="BQ230" s="5" t="str">
        <f>IF('Project Database'!A234="","",N('Project Database'!AJ234))</f>
        <v/>
      </c>
      <c r="BR230" s="5" t="str">
        <f>IF('Project Database'!A234="","",N('Project Database'!AK234))</f>
        <v/>
      </c>
      <c r="BS230" s="5" t="str">
        <f>IF('Project Database'!A234="","",N('Project Database'!AL234))</f>
        <v/>
      </c>
      <c r="BT230" s="5" t="str">
        <f>IF('Project Database'!A234="","",N('Project Database'!AM234))</f>
        <v/>
      </c>
      <c r="BU230" s="5" t="str">
        <f>IF('Project Database'!A234="","",N('Project Database'!AN234))</f>
        <v/>
      </c>
      <c r="BV230" s="5" t="str">
        <f>IF('Project Database'!A234="","",N('Project Database'!AO234))</f>
        <v/>
      </c>
      <c r="BW230" s="5" t="str">
        <f>IF('Project Database'!A234="","",N('Project Database'!AP234))</f>
        <v/>
      </c>
      <c r="BX230" s="5">
        <f t="shared" si="54"/>
        <v>0</v>
      </c>
      <c r="BY230" s="5">
        <f t="shared" si="55"/>
        <v>0</v>
      </c>
    </row>
    <row r="231" spans="1:77" ht="15" customHeight="1" x14ac:dyDescent="0.3">
      <c r="A231" s="66">
        <f>'Project Database'!A235</f>
        <v>0</v>
      </c>
      <c r="B231" s="66">
        <f>'Project Database'!B235</f>
        <v>0</v>
      </c>
      <c r="C231" s="66">
        <f>'Project Database'!G235</f>
        <v>0</v>
      </c>
      <c r="D231" s="66">
        <f>'Project Database'!H235</f>
        <v>0</v>
      </c>
      <c r="E231" s="66">
        <f>'Project Database'!I235</f>
        <v>0</v>
      </c>
      <c r="F231" s="66">
        <f>'Project Database'!J235</f>
        <v>0</v>
      </c>
      <c r="G231" s="66">
        <f>'Project Database'!K235</f>
        <v>0</v>
      </c>
      <c r="H231" s="66">
        <f>'Project Database'!L235</f>
        <v>0</v>
      </c>
      <c r="I231" s="66">
        <f>'Project Database'!M235</f>
        <v>0</v>
      </c>
      <c r="J231" s="66">
        <f>'Project Database'!N235</f>
        <v>0</v>
      </c>
      <c r="K231" s="66">
        <f>'Project Database'!O235</f>
        <v>0</v>
      </c>
      <c r="L231" s="66">
        <f>'Project Database'!P235</f>
        <v>0</v>
      </c>
      <c r="M231" s="66">
        <f>'Project Database'!Q235</f>
        <v>0</v>
      </c>
      <c r="N231" s="66">
        <f>'Project Database'!R235</f>
        <v>0</v>
      </c>
      <c r="O231" s="66">
        <f>'Project Database'!S235</f>
        <v>0</v>
      </c>
      <c r="P231" s="66">
        <f>'Project Database'!T235</f>
        <v>0</v>
      </c>
      <c r="Q231" s="66">
        <f>'Project Database'!U235</f>
        <v>0</v>
      </c>
      <c r="R231" s="66">
        <f>'Project Database'!V235</f>
        <v>0</v>
      </c>
      <c r="S231" s="66">
        <f>'Project Database'!W235</f>
        <v>0</v>
      </c>
      <c r="T231" s="66">
        <f>'Project Database'!X235</f>
        <v>0</v>
      </c>
      <c r="U231" s="67">
        <f>'Project Database'!Y235</f>
        <v>0</v>
      </c>
      <c r="V231" s="66">
        <f>IF('Smart Search'!B13=1,IFERROR(1/'Smart Search'!H13,0),0)</f>
        <v>0</v>
      </c>
      <c r="W231" s="66">
        <f>IF('Smart Search'!B13=1,IFERROR(1/'Smart Search'!H13,0),0)</f>
        <v>0</v>
      </c>
      <c r="X231" s="66">
        <f>IF('Smart Search'!C13=1,IFERROR(1/'Smart Search'!H13,0),0)</f>
        <v>0.5</v>
      </c>
      <c r="Y231" s="66">
        <f>IF('Smart Search'!C13=1,IFERROR(1/'Smart Search'!H13,0),0)</f>
        <v>0.5</v>
      </c>
      <c r="Z231" s="66">
        <f>IF('Smart Search'!D13=1,IFERROR(1/'Smart Search'!H13,0),0)</f>
        <v>0</v>
      </c>
      <c r="AA231" s="66">
        <f>IF('Smart Search'!D13=1,IFERROR(1/'Smart Search'!H13,0),0)</f>
        <v>0</v>
      </c>
      <c r="AB231" s="66">
        <f>IF('Smart Search'!E13=1,IFERROR(1/'Smart Search'!H13,0),0)</f>
        <v>0</v>
      </c>
      <c r="AC231" s="66">
        <f>IF('Smart Search'!E13=1,IFERROR(1/'Smart Search'!H13,0),0)</f>
        <v>0</v>
      </c>
      <c r="AD231" s="66">
        <f>IF('Smart Search'!F13=1,IFERROR(1/'Smart Search'!H13,0),0)</f>
        <v>0</v>
      </c>
      <c r="AE231" s="66">
        <f>IF('Smart Search'!F13=1,IFERROR(1/'Smart Search'!H13,0),0)</f>
        <v>0</v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>0</v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>0</v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>0</v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>0</v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>0</v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>0</v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>0</v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>0</v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>0</v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>0</v>
      </c>
      <c r="AP231" s="66">
        <f t="shared" si="42"/>
        <v>0</v>
      </c>
      <c r="AQ231" s="66">
        <f t="shared" si="43"/>
        <v>0</v>
      </c>
      <c r="AR231" s="66">
        <f t="shared" si="44"/>
        <v>0</v>
      </c>
      <c r="AS231" s="66">
        <f t="shared" si="45"/>
        <v>0</v>
      </c>
      <c r="AT231" s="66">
        <f t="shared" si="46"/>
        <v>0</v>
      </c>
      <c r="AU231" s="66">
        <f t="shared" si="47"/>
        <v>0</v>
      </c>
      <c r="AV231" s="66">
        <f t="shared" si="48"/>
        <v>0</v>
      </c>
      <c r="AW231" s="66">
        <f t="shared" si="49"/>
        <v>0</v>
      </c>
      <c r="AX231" s="66">
        <f t="shared" si="50"/>
        <v>0</v>
      </c>
      <c r="AY231" s="66">
        <f t="shared" si="51"/>
        <v>0</v>
      </c>
      <c r="AZ231" s="66">
        <f>'Project Database'!Z235</f>
        <v>0</v>
      </c>
      <c r="BA231" s="66">
        <f>IF(OR(A231="",'Smart Search'!H13=0),"",MAX(0,BE231*BF231*MAX(0,1-BG231)))</f>
        <v>0</v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>0</v>
      </c>
      <c r="BC231" s="66">
        <f>IF('Smart Search'!G13=1,IFERROR(1/'Smart Search'!H13,0),0)</f>
        <v>0</v>
      </c>
      <c r="BD231" s="66">
        <f t="shared" si="52"/>
        <v>0</v>
      </c>
      <c r="BE231" s="66">
        <f t="shared" si="53"/>
        <v>0</v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>0</v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>0</v>
      </c>
      <c r="BH231" s="5" t="str">
        <f>IF(AND('Project Database'!A235&lt;&gt;"",OR('Smart Search'!$L$5="",'Smart Search'!$L$5="All",TRIM('Project Database'!D235)=TRIM('Smart Search'!$L$5)),OR(TRIM('Smart Search'!$L$6)="",TRIM('Smart Search'!$L$6)="All",ISNUMBER(SEARCH(SUBSTITUTE(SUBSTITUTE(SUBSTITUTE(TRIM('Smart Search'!$L$6),"~","~~"),"*","~*"),"?","~?"),'Project Database'!C235))),OR('Smart Search'!$L$7="",AND('Project Database'!E235&lt;&gt;"",'Project Database'!E235='Smart Search'!$L$7)),OR('Smart Search'!$L$8="",'Smart Search'!$L$8="All",TRIM('Project Database'!F235)=TRIM('Smart Search'!$L$8))),IF(BA231="","",BA231+ROW()*0.0000000001),"")</f>
        <v/>
      </c>
      <c r="BI231" s="5" t="str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 t="str">
        <f>IF('Project Database'!A235="","",N('Project Database'!AC235))</f>
        <v/>
      </c>
      <c r="BK231" s="5" t="str">
        <f>IF('Project Database'!A235="","",N('Project Database'!AD235))</f>
        <v/>
      </c>
      <c r="BL231" s="5" t="str">
        <f>IF('Project Database'!A235="","",N('Project Database'!AE235))</f>
        <v/>
      </c>
      <c r="BM231" s="5" t="str">
        <f>IF('Project Database'!A235="","",N('Project Database'!AF235))</f>
        <v/>
      </c>
      <c r="BN231" s="5" t="str">
        <f>IF('Project Database'!A235="","",N('Project Database'!AG235))</f>
        <v/>
      </c>
      <c r="BO231" s="5" t="str">
        <f>IF('Project Database'!A235="","",N('Project Database'!AH235))</f>
        <v/>
      </c>
      <c r="BP231" s="5" t="str">
        <f>IF('Project Database'!A235="","",N('Project Database'!AI235))</f>
        <v/>
      </c>
      <c r="BQ231" s="5" t="str">
        <f>IF('Project Database'!A235="","",N('Project Database'!AJ235))</f>
        <v/>
      </c>
      <c r="BR231" s="5" t="str">
        <f>IF('Project Database'!A235="","",N('Project Database'!AK235))</f>
        <v/>
      </c>
      <c r="BS231" s="5" t="str">
        <f>IF('Project Database'!A235="","",N('Project Database'!AL235))</f>
        <v/>
      </c>
      <c r="BT231" s="5" t="str">
        <f>IF('Project Database'!A235="","",N('Project Database'!AM235))</f>
        <v/>
      </c>
      <c r="BU231" s="5" t="str">
        <f>IF('Project Database'!A235="","",N('Project Database'!AN235))</f>
        <v/>
      </c>
      <c r="BV231" s="5" t="str">
        <f>IF('Project Database'!A235="","",N('Project Database'!AO235))</f>
        <v/>
      </c>
      <c r="BW231" s="5" t="str">
        <f>IF('Project Database'!A235="","",N('Project Database'!AP235))</f>
        <v/>
      </c>
      <c r="BX231" s="5">
        <f t="shared" si="54"/>
        <v>0</v>
      </c>
      <c r="BY231" s="5">
        <f t="shared" si="55"/>
        <v>0</v>
      </c>
    </row>
    <row r="232" spans="1:77" ht="15" customHeight="1" x14ac:dyDescent="0.3">
      <c r="A232" s="66">
        <f>'Project Database'!A236</f>
        <v>0</v>
      </c>
      <c r="B232" s="66">
        <f>'Project Database'!B236</f>
        <v>0</v>
      </c>
      <c r="C232" s="66">
        <f>'Project Database'!G236</f>
        <v>0</v>
      </c>
      <c r="D232" s="66">
        <f>'Project Database'!H236</f>
        <v>0</v>
      </c>
      <c r="E232" s="66">
        <f>'Project Database'!I236</f>
        <v>0</v>
      </c>
      <c r="F232" s="66">
        <f>'Project Database'!J236</f>
        <v>0</v>
      </c>
      <c r="G232" s="66">
        <f>'Project Database'!K236</f>
        <v>0</v>
      </c>
      <c r="H232" s="66">
        <f>'Project Database'!L236</f>
        <v>0</v>
      </c>
      <c r="I232" s="66">
        <f>'Project Database'!M236</f>
        <v>0</v>
      </c>
      <c r="J232" s="66">
        <f>'Project Database'!N236</f>
        <v>0</v>
      </c>
      <c r="K232" s="66">
        <f>'Project Database'!O236</f>
        <v>0</v>
      </c>
      <c r="L232" s="66">
        <f>'Project Database'!P236</f>
        <v>0</v>
      </c>
      <c r="M232" s="66">
        <f>'Project Database'!Q236</f>
        <v>0</v>
      </c>
      <c r="N232" s="66">
        <f>'Project Database'!R236</f>
        <v>0</v>
      </c>
      <c r="O232" s="66">
        <f>'Project Database'!S236</f>
        <v>0</v>
      </c>
      <c r="P232" s="66">
        <f>'Project Database'!T236</f>
        <v>0</v>
      </c>
      <c r="Q232" s="66">
        <f>'Project Database'!U236</f>
        <v>0</v>
      </c>
      <c r="R232" s="66">
        <f>'Project Database'!V236</f>
        <v>0</v>
      </c>
      <c r="S232" s="66">
        <f>'Project Database'!W236</f>
        <v>0</v>
      </c>
      <c r="T232" s="66">
        <f>'Project Database'!X236</f>
        <v>0</v>
      </c>
      <c r="U232" s="67">
        <f>'Project Database'!Y236</f>
        <v>0</v>
      </c>
      <c r="V232" s="66">
        <f>IF('Smart Search'!B13=1,IFERROR(1/'Smart Search'!H13,0),0)</f>
        <v>0</v>
      </c>
      <c r="W232" s="66">
        <f>IF('Smart Search'!B13=1,IFERROR(1/'Smart Search'!H13,0),0)</f>
        <v>0</v>
      </c>
      <c r="X232" s="66">
        <f>IF('Smart Search'!C13=1,IFERROR(1/'Smart Search'!H13,0),0)</f>
        <v>0.5</v>
      </c>
      <c r="Y232" s="66">
        <f>IF('Smart Search'!C13=1,IFERROR(1/'Smart Search'!H13,0),0)</f>
        <v>0.5</v>
      </c>
      <c r="Z232" s="66">
        <f>IF('Smart Search'!D13=1,IFERROR(1/'Smart Search'!H13,0),0)</f>
        <v>0</v>
      </c>
      <c r="AA232" s="66">
        <f>IF('Smart Search'!D13=1,IFERROR(1/'Smart Search'!H13,0),0)</f>
        <v>0</v>
      </c>
      <c r="AB232" s="66">
        <f>IF('Smart Search'!E13=1,IFERROR(1/'Smart Search'!H13,0),0)</f>
        <v>0</v>
      </c>
      <c r="AC232" s="66">
        <f>IF('Smart Search'!E13=1,IFERROR(1/'Smart Search'!H13,0),0)</f>
        <v>0</v>
      </c>
      <c r="AD232" s="66">
        <f>IF('Smart Search'!F13=1,IFERROR(1/'Smart Search'!H13,0),0)</f>
        <v>0</v>
      </c>
      <c r="AE232" s="66">
        <f>IF('Smart Search'!F13=1,IFERROR(1/'Smart Search'!H13,0),0)</f>
        <v>0</v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>0</v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>0</v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>0</v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>0</v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>0</v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>0</v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>0</v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>0</v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>0</v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>0</v>
      </c>
      <c r="AP232" s="66">
        <f t="shared" si="42"/>
        <v>0</v>
      </c>
      <c r="AQ232" s="66">
        <f t="shared" si="43"/>
        <v>0</v>
      </c>
      <c r="AR232" s="66">
        <f t="shared" si="44"/>
        <v>0</v>
      </c>
      <c r="AS232" s="66">
        <f t="shared" si="45"/>
        <v>0</v>
      </c>
      <c r="AT232" s="66">
        <f t="shared" si="46"/>
        <v>0</v>
      </c>
      <c r="AU232" s="66">
        <f t="shared" si="47"/>
        <v>0</v>
      </c>
      <c r="AV232" s="66">
        <f t="shared" si="48"/>
        <v>0</v>
      </c>
      <c r="AW232" s="66">
        <f t="shared" si="49"/>
        <v>0</v>
      </c>
      <c r="AX232" s="66">
        <f t="shared" si="50"/>
        <v>0</v>
      </c>
      <c r="AY232" s="66">
        <f t="shared" si="51"/>
        <v>0</v>
      </c>
      <c r="AZ232" s="66">
        <f>'Project Database'!Z236</f>
        <v>0</v>
      </c>
      <c r="BA232" s="66">
        <f>IF(OR(A232="",'Smart Search'!H13=0),"",MAX(0,BE232*BF232*MAX(0,1-BG232)))</f>
        <v>0</v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>0</v>
      </c>
      <c r="BC232" s="66">
        <f>IF('Smart Search'!G13=1,IFERROR(1/'Smart Search'!H13,0),0)</f>
        <v>0</v>
      </c>
      <c r="BD232" s="66">
        <f t="shared" si="52"/>
        <v>0</v>
      </c>
      <c r="BE232" s="66">
        <f t="shared" si="53"/>
        <v>0</v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>0</v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>0</v>
      </c>
      <c r="BH232" s="5" t="str">
        <f>IF(AND('Project Database'!A236&lt;&gt;"",OR('Smart Search'!$L$5="",'Smart Search'!$L$5="All",TRIM('Project Database'!D236)=TRIM('Smart Search'!$L$5)),OR(TRIM('Smart Search'!$L$6)="",TRIM('Smart Search'!$L$6)="All",ISNUMBER(SEARCH(SUBSTITUTE(SUBSTITUTE(SUBSTITUTE(TRIM('Smart Search'!$L$6),"~","~~"),"*","~*"),"?","~?"),'Project Database'!C236))),OR('Smart Search'!$L$7="",AND('Project Database'!E236&lt;&gt;"",'Project Database'!E236='Smart Search'!$L$7)),OR('Smart Search'!$L$8="",'Smart Search'!$L$8="All",TRIM('Project Database'!F236)=TRIM('Smart Search'!$L$8))),IF(BA232="","",BA232+ROW()*0.0000000001),"")</f>
        <v/>
      </c>
      <c r="BI232" s="5" t="str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 t="str">
        <f>IF('Project Database'!A236="","",N('Project Database'!AC236))</f>
        <v/>
      </c>
      <c r="BK232" s="5" t="str">
        <f>IF('Project Database'!A236="","",N('Project Database'!AD236))</f>
        <v/>
      </c>
      <c r="BL232" s="5" t="str">
        <f>IF('Project Database'!A236="","",N('Project Database'!AE236))</f>
        <v/>
      </c>
      <c r="BM232" s="5" t="str">
        <f>IF('Project Database'!A236="","",N('Project Database'!AF236))</f>
        <v/>
      </c>
      <c r="BN232" s="5" t="str">
        <f>IF('Project Database'!A236="","",N('Project Database'!AG236))</f>
        <v/>
      </c>
      <c r="BO232" s="5" t="str">
        <f>IF('Project Database'!A236="","",N('Project Database'!AH236))</f>
        <v/>
      </c>
      <c r="BP232" s="5" t="str">
        <f>IF('Project Database'!A236="","",N('Project Database'!AI236))</f>
        <v/>
      </c>
      <c r="BQ232" s="5" t="str">
        <f>IF('Project Database'!A236="","",N('Project Database'!AJ236))</f>
        <v/>
      </c>
      <c r="BR232" s="5" t="str">
        <f>IF('Project Database'!A236="","",N('Project Database'!AK236))</f>
        <v/>
      </c>
      <c r="BS232" s="5" t="str">
        <f>IF('Project Database'!A236="","",N('Project Database'!AL236))</f>
        <v/>
      </c>
      <c r="BT232" s="5" t="str">
        <f>IF('Project Database'!A236="","",N('Project Database'!AM236))</f>
        <v/>
      </c>
      <c r="BU232" s="5" t="str">
        <f>IF('Project Database'!A236="","",N('Project Database'!AN236))</f>
        <v/>
      </c>
      <c r="BV232" s="5" t="str">
        <f>IF('Project Database'!A236="","",N('Project Database'!AO236))</f>
        <v/>
      </c>
      <c r="BW232" s="5" t="str">
        <f>IF('Project Database'!A236="","",N('Project Database'!AP236))</f>
        <v/>
      </c>
      <c r="BX232" s="5">
        <f t="shared" si="54"/>
        <v>0</v>
      </c>
      <c r="BY232" s="5">
        <f t="shared" si="55"/>
        <v>0</v>
      </c>
    </row>
    <row r="233" spans="1:77" ht="15" customHeight="1" x14ac:dyDescent="0.3">
      <c r="A233" s="66">
        <f>'Project Database'!A237</f>
        <v>0</v>
      </c>
      <c r="B233" s="66">
        <f>'Project Database'!B237</f>
        <v>0</v>
      </c>
      <c r="C233" s="66">
        <f>'Project Database'!G237</f>
        <v>0</v>
      </c>
      <c r="D233" s="66">
        <f>'Project Database'!H237</f>
        <v>0</v>
      </c>
      <c r="E233" s="66">
        <f>'Project Database'!I237</f>
        <v>0</v>
      </c>
      <c r="F233" s="66">
        <f>'Project Database'!J237</f>
        <v>0</v>
      </c>
      <c r="G233" s="66">
        <f>'Project Database'!K237</f>
        <v>0</v>
      </c>
      <c r="H233" s="66">
        <f>'Project Database'!L237</f>
        <v>0</v>
      </c>
      <c r="I233" s="66">
        <f>'Project Database'!M237</f>
        <v>0</v>
      </c>
      <c r="J233" s="66">
        <f>'Project Database'!N237</f>
        <v>0</v>
      </c>
      <c r="K233" s="66">
        <f>'Project Database'!O237</f>
        <v>0</v>
      </c>
      <c r="L233" s="66">
        <f>'Project Database'!P237</f>
        <v>0</v>
      </c>
      <c r="M233" s="66">
        <f>'Project Database'!Q237</f>
        <v>0</v>
      </c>
      <c r="N233" s="66">
        <f>'Project Database'!R237</f>
        <v>0</v>
      </c>
      <c r="O233" s="66">
        <f>'Project Database'!S237</f>
        <v>0</v>
      </c>
      <c r="P233" s="66">
        <f>'Project Database'!T237</f>
        <v>0</v>
      </c>
      <c r="Q233" s="66">
        <f>'Project Database'!U237</f>
        <v>0</v>
      </c>
      <c r="R233" s="66">
        <f>'Project Database'!V237</f>
        <v>0</v>
      </c>
      <c r="S233" s="66">
        <f>'Project Database'!W237</f>
        <v>0</v>
      </c>
      <c r="T233" s="66">
        <f>'Project Database'!X237</f>
        <v>0</v>
      </c>
      <c r="U233" s="67">
        <f>'Project Database'!Y237</f>
        <v>0</v>
      </c>
      <c r="V233" s="66">
        <f>IF('Smart Search'!B13=1,IFERROR(1/'Smart Search'!H13,0),0)</f>
        <v>0</v>
      </c>
      <c r="W233" s="66">
        <f>IF('Smart Search'!B13=1,IFERROR(1/'Smart Search'!H13,0),0)</f>
        <v>0</v>
      </c>
      <c r="X233" s="66">
        <f>IF('Smart Search'!C13=1,IFERROR(1/'Smart Search'!H13,0),0)</f>
        <v>0.5</v>
      </c>
      <c r="Y233" s="66">
        <f>IF('Smart Search'!C13=1,IFERROR(1/'Smart Search'!H13,0),0)</f>
        <v>0.5</v>
      </c>
      <c r="Z233" s="66">
        <f>IF('Smart Search'!D13=1,IFERROR(1/'Smart Search'!H13,0),0)</f>
        <v>0</v>
      </c>
      <c r="AA233" s="66">
        <f>IF('Smart Search'!D13=1,IFERROR(1/'Smart Search'!H13,0),0)</f>
        <v>0</v>
      </c>
      <c r="AB233" s="66">
        <f>IF('Smart Search'!E13=1,IFERROR(1/'Smart Search'!H13,0),0)</f>
        <v>0</v>
      </c>
      <c r="AC233" s="66">
        <f>IF('Smart Search'!E13=1,IFERROR(1/'Smart Search'!H13,0),0)</f>
        <v>0</v>
      </c>
      <c r="AD233" s="66">
        <f>IF('Smart Search'!F13=1,IFERROR(1/'Smart Search'!H13,0),0)</f>
        <v>0</v>
      </c>
      <c r="AE233" s="66">
        <f>IF('Smart Search'!F13=1,IFERROR(1/'Smart Search'!H13,0),0)</f>
        <v>0</v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>0</v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>0</v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>0</v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>0</v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>0</v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>0</v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>0</v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>0</v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>0</v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>0</v>
      </c>
      <c r="AP233" s="66">
        <f t="shared" si="42"/>
        <v>0</v>
      </c>
      <c r="AQ233" s="66">
        <f t="shared" si="43"/>
        <v>0</v>
      </c>
      <c r="AR233" s="66">
        <f t="shared" si="44"/>
        <v>0</v>
      </c>
      <c r="AS233" s="66">
        <f t="shared" si="45"/>
        <v>0</v>
      </c>
      <c r="AT233" s="66">
        <f t="shared" si="46"/>
        <v>0</v>
      </c>
      <c r="AU233" s="66">
        <f t="shared" si="47"/>
        <v>0</v>
      </c>
      <c r="AV233" s="66">
        <f t="shared" si="48"/>
        <v>0</v>
      </c>
      <c r="AW233" s="66">
        <f t="shared" si="49"/>
        <v>0</v>
      </c>
      <c r="AX233" s="66">
        <f t="shared" si="50"/>
        <v>0</v>
      </c>
      <c r="AY233" s="66">
        <f t="shared" si="51"/>
        <v>0</v>
      </c>
      <c r="AZ233" s="66">
        <f>'Project Database'!Z237</f>
        <v>0</v>
      </c>
      <c r="BA233" s="66">
        <f>IF(OR(A233="",'Smart Search'!H13=0),"",MAX(0,BE233*BF233*MAX(0,1-BG233)))</f>
        <v>0</v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>0</v>
      </c>
      <c r="BC233" s="66">
        <f>IF('Smart Search'!G13=1,IFERROR(1/'Smart Search'!H13,0),0)</f>
        <v>0</v>
      </c>
      <c r="BD233" s="66">
        <f t="shared" si="52"/>
        <v>0</v>
      </c>
      <c r="BE233" s="66">
        <f t="shared" si="53"/>
        <v>0</v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>0</v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>0</v>
      </c>
      <c r="BH233" s="5" t="str">
        <f>IF(AND('Project Database'!A237&lt;&gt;"",OR('Smart Search'!$L$5="",'Smart Search'!$L$5="All",TRIM('Project Database'!D237)=TRIM('Smart Search'!$L$5)),OR(TRIM('Smart Search'!$L$6)="",TRIM('Smart Search'!$L$6)="All",ISNUMBER(SEARCH(SUBSTITUTE(SUBSTITUTE(SUBSTITUTE(TRIM('Smart Search'!$L$6),"~","~~"),"*","~*"),"?","~?"),'Project Database'!C237))),OR('Smart Search'!$L$7="",AND('Project Database'!E237&lt;&gt;"",'Project Database'!E237='Smart Search'!$L$7)),OR('Smart Search'!$L$8="",'Smart Search'!$L$8="All",TRIM('Project Database'!F237)=TRIM('Smart Search'!$L$8))),IF(BA233="","",BA233+ROW()*0.0000000001),"")</f>
        <v/>
      </c>
      <c r="BI233" s="5" t="str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 t="str">
        <f>IF('Project Database'!A237="","",N('Project Database'!AC237))</f>
        <v/>
      </c>
      <c r="BK233" s="5" t="str">
        <f>IF('Project Database'!A237="","",N('Project Database'!AD237))</f>
        <v/>
      </c>
      <c r="BL233" s="5" t="str">
        <f>IF('Project Database'!A237="","",N('Project Database'!AE237))</f>
        <v/>
      </c>
      <c r="BM233" s="5" t="str">
        <f>IF('Project Database'!A237="","",N('Project Database'!AF237))</f>
        <v/>
      </c>
      <c r="BN233" s="5" t="str">
        <f>IF('Project Database'!A237="","",N('Project Database'!AG237))</f>
        <v/>
      </c>
      <c r="BO233" s="5" t="str">
        <f>IF('Project Database'!A237="","",N('Project Database'!AH237))</f>
        <v/>
      </c>
      <c r="BP233" s="5" t="str">
        <f>IF('Project Database'!A237="","",N('Project Database'!AI237))</f>
        <v/>
      </c>
      <c r="BQ233" s="5" t="str">
        <f>IF('Project Database'!A237="","",N('Project Database'!AJ237))</f>
        <v/>
      </c>
      <c r="BR233" s="5" t="str">
        <f>IF('Project Database'!A237="","",N('Project Database'!AK237))</f>
        <v/>
      </c>
      <c r="BS233" s="5" t="str">
        <f>IF('Project Database'!A237="","",N('Project Database'!AL237))</f>
        <v/>
      </c>
      <c r="BT233" s="5" t="str">
        <f>IF('Project Database'!A237="","",N('Project Database'!AM237))</f>
        <v/>
      </c>
      <c r="BU233" s="5" t="str">
        <f>IF('Project Database'!A237="","",N('Project Database'!AN237))</f>
        <v/>
      </c>
      <c r="BV233" s="5" t="str">
        <f>IF('Project Database'!A237="","",N('Project Database'!AO237))</f>
        <v/>
      </c>
      <c r="BW233" s="5" t="str">
        <f>IF('Project Database'!A237="","",N('Project Database'!AP237))</f>
        <v/>
      </c>
      <c r="BX233" s="5">
        <f t="shared" si="54"/>
        <v>0</v>
      </c>
      <c r="BY233" s="5">
        <f t="shared" si="55"/>
        <v>0</v>
      </c>
    </row>
    <row r="234" spans="1:77" ht="15" customHeight="1" x14ac:dyDescent="0.3">
      <c r="A234" s="66">
        <f>'Project Database'!A238</f>
        <v>0</v>
      </c>
      <c r="B234" s="66">
        <f>'Project Database'!B238</f>
        <v>0</v>
      </c>
      <c r="C234" s="66">
        <f>'Project Database'!G238</f>
        <v>0</v>
      </c>
      <c r="D234" s="66">
        <f>'Project Database'!H238</f>
        <v>0</v>
      </c>
      <c r="E234" s="66">
        <f>'Project Database'!I238</f>
        <v>0</v>
      </c>
      <c r="F234" s="66">
        <f>'Project Database'!J238</f>
        <v>0</v>
      </c>
      <c r="G234" s="66">
        <f>'Project Database'!K238</f>
        <v>0</v>
      </c>
      <c r="H234" s="66">
        <f>'Project Database'!L238</f>
        <v>0</v>
      </c>
      <c r="I234" s="66">
        <f>'Project Database'!M238</f>
        <v>0</v>
      </c>
      <c r="J234" s="66">
        <f>'Project Database'!N238</f>
        <v>0</v>
      </c>
      <c r="K234" s="66">
        <f>'Project Database'!O238</f>
        <v>0</v>
      </c>
      <c r="L234" s="66">
        <f>'Project Database'!P238</f>
        <v>0</v>
      </c>
      <c r="M234" s="66">
        <f>'Project Database'!Q238</f>
        <v>0</v>
      </c>
      <c r="N234" s="66">
        <f>'Project Database'!R238</f>
        <v>0</v>
      </c>
      <c r="O234" s="66">
        <f>'Project Database'!S238</f>
        <v>0</v>
      </c>
      <c r="P234" s="66">
        <f>'Project Database'!T238</f>
        <v>0</v>
      </c>
      <c r="Q234" s="66">
        <f>'Project Database'!U238</f>
        <v>0</v>
      </c>
      <c r="R234" s="66">
        <f>'Project Database'!V238</f>
        <v>0</v>
      </c>
      <c r="S234" s="66">
        <f>'Project Database'!W238</f>
        <v>0</v>
      </c>
      <c r="T234" s="66">
        <f>'Project Database'!X238</f>
        <v>0</v>
      </c>
      <c r="U234" s="67">
        <f>'Project Database'!Y238</f>
        <v>0</v>
      </c>
      <c r="V234" s="66">
        <f>IF('Smart Search'!B13=1,IFERROR(1/'Smart Search'!H13,0),0)</f>
        <v>0</v>
      </c>
      <c r="W234" s="66">
        <f>IF('Smart Search'!B13=1,IFERROR(1/'Smart Search'!H13,0),0)</f>
        <v>0</v>
      </c>
      <c r="X234" s="66">
        <f>IF('Smart Search'!C13=1,IFERROR(1/'Smart Search'!H13,0),0)</f>
        <v>0.5</v>
      </c>
      <c r="Y234" s="66">
        <f>IF('Smart Search'!C13=1,IFERROR(1/'Smart Search'!H13,0),0)</f>
        <v>0.5</v>
      </c>
      <c r="Z234" s="66">
        <f>IF('Smart Search'!D13=1,IFERROR(1/'Smart Search'!H13,0),0)</f>
        <v>0</v>
      </c>
      <c r="AA234" s="66">
        <f>IF('Smart Search'!D13=1,IFERROR(1/'Smart Search'!H13,0),0)</f>
        <v>0</v>
      </c>
      <c r="AB234" s="66">
        <f>IF('Smart Search'!E13=1,IFERROR(1/'Smart Search'!H13,0),0)</f>
        <v>0</v>
      </c>
      <c r="AC234" s="66">
        <f>IF('Smart Search'!E13=1,IFERROR(1/'Smart Search'!H13,0),0)</f>
        <v>0</v>
      </c>
      <c r="AD234" s="66">
        <f>IF('Smart Search'!F13=1,IFERROR(1/'Smart Search'!H13,0),0)</f>
        <v>0</v>
      </c>
      <c r="AE234" s="66">
        <f>IF('Smart Search'!F13=1,IFERROR(1/'Smart Search'!H13,0),0)</f>
        <v>0</v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>0</v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>0</v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>0</v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>0</v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>0</v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>0</v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>0</v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>0</v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>0</v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>0</v>
      </c>
      <c r="AP234" s="66">
        <f t="shared" si="42"/>
        <v>0</v>
      </c>
      <c r="AQ234" s="66">
        <f t="shared" si="43"/>
        <v>0</v>
      </c>
      <c r="AR234" s="66">
        <f t="shared" si="44"/>
        <v>0</v>
      </c>
      <c r="AS234" s="66">
        <f t="shared" si="45"/>
        <v>0</v>
      </c>
      <c r="AT234" s="66">
        <f t="shared" si="46"/>
        <v>0</v>
      </c>
      <c r="AU234" s="66">
        <f t="shared" si="47"/>
        <v>0</v>
      </c>
      <c r="AV234" s="66">
        <f t="shared" si="48"/>
        <v>0</v>
      </c>
      <c r="AW234" s="66">
        <f t="shared" si="49"/>
        <v>0</v>
      </c>
      <c r="AX234" s="66">
        <f t="shared" si="50"/>
        <v>0</v>
      </c>
      <c r="AY234" s="66">
        <f t="shared" si="51"/>
        <v>0</v>
      </c>
      <c r="AZ234" s="66">
        <f>'Project Database'!Z238</f>
        <v>0</v>
      </c>
      <c r="BA234" s="66">
        <f>IF(OR(A234="",'Smart Search'!H13=0),"",MAX(0,BE234*BF234*MAX(0,1-BG234)))</f>
        <v>0</v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>0</v>
      </c>
      <c r="BC234" s="66">
        <f>IF('Smart Search'!G13=1,IFERROR(1/'Smart Search'!H13,0),0)</f>
        <v>0</v>
      </c>
      <c r="BD234" s="66">
        <f t="shared" si="52"/>
        <v>0</v>
      </c>
      <c r="BE234" s="66">
        <f t="shared" si="53"/>
        <v>0</v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>0</v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>0</v>
      </c>
      <c r="BH234" s="5" t="str">
        <f>IF(AND('Project Database'!A238&lt;&gt;"",OR('Smart Search'!$L$5="",'Smart Search'!$L$5="All",TRIM('Project Database'!D238)=TRIM('Smart Search'!$L$5)),OR(TRIM('Smart Search'!$L$6)="",TRIM('Smart Search'!$L$6)="All",ISNUMBER(SEARCH(SUBSTITUTE(SUBSTITUTE(SUBSTITUTE(TRIM('Smart Search'!$L$6),"~","~~"),"*","~*"),"?","~?"),'Project Database'!C238))),OR('Smart Search'!$L$7="",AND('Project Database'!E238&lt;&gt;"",'Project Database'!E238='Smart Search'!$L$7)),OR('Smart Search'!$L$8="",'Smart Search'!$L$8="All",TRIM('Project Database'!F238)=TRIM('Smart Search'!$L$8))),IF(BA234="","",BA234+ROW()*0.0000000001),"")</f>
        <v/>
      </c>
      <c r="BI234" s="5" t="str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 t="str">
        <f>IF('Project Database'!A238="","",N('Project Database'!AC238))</f>
        <v/>
      </c>
      <c r="BK234" s="5" t="str">
        <f>IF('Project Database'!A238="","",N('Project Database'!AD238))</f>
        <v/>
      </c>
      <c r="BL234" s="5" t="str">
        <f>IF('Project Database'!A238="","",N('Project Database'!AE238))</f>
        <v/>
      </c>
      <c r="BM234" s="5" t="str">
        <f>IF('Project Database'!A238="","",N('Project Database'!AF238))</f>
        <v/>
      </c>
      <c r="BN234" s="5" t="str">
        <f>IF('Project Database'!A238="","",N('Project Database'!AG238))</f>
        <v/>
      </c>
      <c r="BO234" s="5" t="str">
        <f>IF('Project Database'!A238="","",N('Project Database'!AH238))</f>
        <v/>
      </c>
      <c r="BP234" s="5" t="str">
        <f>IF('Project Database'!A238="","",N('Project Database'!AI238))</f>
        <v/>
      </c>
      <c r="BQ234" s="5" t="str">
        <f>IF('Project Database'!A238="","",N('Project Database'!AJ238))</f>
        <v/>
      </c>
      <c r="BR234" s="5" t="str">
        <f>IF('Project Database'!A238="","",N('Project Database'!AK238))</f>
        <v/>
      </c>
      <c r="BS234" s="5" t="str">
        <f>IF('Project Database'!A238="","",N('Project Database'!AL238))</f>
        <v/>
      </c>
      <c r="BT234" s="5" t="str">
        <f>IF('Project Database'!A238="","",N('Project Database'!AM238))</f>
        <v/>
      </c>
      <c r="BU234" s="5" t="str">
        <f>IF('Project Database'!A238="","",N('Project Database'!AN238))</f>
        <v/>
      </c>
      <c r="BV234" s="5" t="str">
        <f>IF('Project Database'!A238="","",N('Project Database'!AO238))</f>
        <v/>
      </c>
      <c r="BW234" s="5" t="str">
        <f>IF('Project Database'!A238="","",N('Project Database'!AP238))</f>
        <v/>
      </c>
      <c r="BX234" s="5">
        <f t="shared" si="54"/>
        <v>0</v>
      </c>
      <c r="BY234" s="5">
        <f t="shared" si="55"/>
        <v>0</v>
      </c>
    </row>
    <row r="235" spans="1:77" ht="15" customHeight="1" x14ac:dyDescent="0.3">
      <c r="A235" s="66">
        <f>'Project Database'!A239</f>
        <v>0</v>
      </c>
      <c r="B235" s="66">
        <f>'Project Database'!B239</f>
        <v>0</v>
      </c>
      <c r="C235" s="66">
        <f>'Project Database'!G239</f>
        <v>0</v>
      </c>
      <c r="D235" s="66">
        <f>'Project Database'!H239</f>
        <v>0</v>
      </c>
      <c r="E235" s="66">
        <f>'Project Database'!I239</f>
        <v>0</v>
      </c>
      <c r="F235" s="66">
        <f>'Project Database'!J239</f>
        <v>0</v>
      </c>
      <c r="G235" s="66">
        <f>'Project Database'!K239</f>
        <v>0</v>
      </c>
      <c r="H235" s="66">
        <f>'Project Database'!L239</f>
        <v>0</v>
      </c>
      <c r="I235" s="66">
        <f>'Project Database'!M239</f>
        <v>0</v>
      </c>
      <c r="J235" s="66">
        <f>'Project Database'!N239</f>
        <v>0</v>
      </c>
      <c r="K235" s="66">
        <f>'Project Database'!O239</f>
        <v>0</v>
      </c>
      <c r="L235" s="66">
        <f>'Project Database'!P239</f>
        <v>0</v>
      </c>
      <c r="M235" s="66">
        <f>'Project Database'!Q239</f>
        <v>0</v>
      </c>
      <c r="N235" s="66">
        <f>'Project Database'!R239</f>
        <v>0</v>
      </c>
      <c r="O235" s="66">
        <f>'Project Database'!S239</f>
        <v>0</v>
      </c>
      <c r="P235" s="66">
        <f>'Project Database'!T239</f>
        <v>0</v>
      </c>
      <c r="Q235" s="66">
        <f>'Project Database'!U239</f>
        <v>0</v>
      </c>
      <c r="R235" s="66">
        <f>'Project Database'!V239</f>
        <v>0</v>
      </c>
      <c r="S235" s="66">
        <f>'Project Database'!W239</f>
        <v>0</v>
      </c>
      <c r="T235" s="66">
        <f>'Project Database'!X239</f>
        <v>0</v>
      </c>
      <c r="U235" s="67">
        <f>'Project Database'!Y239</f>
        <v>0</v>
      </c>
      <c r="V235" s="66">
        <f>IF('Smart Search'!B13=1,IFERROR(1/'Smart Search'!H13,0),0)</f>
        <v>0</v>
      </c>
      <c r="W235" s="66">
        <f>IF('Smart Search'!B13=1,IFERROR(1/'Smart Search'!H13,0),0)</f>
        <v>0</v>
      </c>
      <c r="X235" s="66">
        <f>IF('Smart Search'!C13=1,IFERROR(1/'Smart Search'!H13,0),0)</f>
        <v>0.5</v>
      </c>
      <c r="Y235" s="66">
        <f>IF('Smart Search'!C13=1,IFERROR(1/'Smart Search'!H13,0),0)</f>
        <v>0.5</v>
      </c>
      <c r="Z235" s="66">
        <f>IF('Smart Search'!D13=1,IFERROR(1/'Smart Search'!H13,0),0)</f>
        <v>0</v>
      </c>
      <c r="AA235" s="66">
        <f>IF('Smart Search'!D13=1,IFERROR(1/'Smart Search'!H13,0),0)</f>
        <v>0</v>
      </c>
      <c r="AB235" s="66">
        <f>IF('Smart Search'!E13=1,IFERROR(1/'Smart Search'!H13,0),0)</f>
        <v>0</v>
      </c>
      <c r="AC235" s="66">
        <f>IF('Smart Search'!E13=1,IFERROR(1/'Smart Search'!H13,0),0)</f>
        <v>0</v>
      </c>
      <c r="AD235" s="66">
        <f>IF('Smart Search'!F13=1,IFERROR(1/'Smart Search'!H13,0),0)</f>
        <v>0</v>
      </c>
      <c r="AE235" s="66">
        <f>IF('Smart Search'!F13=1,IFERROR(1/'Smart Search'!H13,0),0)</f>
        <v>0</v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>0</v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>0</v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>0</v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>0</v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>0</v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>0</v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>0</v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>0</v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>0</v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>0</v>
      </c>
      <c r="AP235" s="66">
        <f t="shared" si="42"/>
        <v>0</v>
      </c>
      <c r="AQ235" s="66">
        <f t="shared" si="43"/>
        <v>0</v>
      </c>
      <c r="AR235" s="66">
        <f t="shared" si="44"/>
        <v>0</v>
      </c>
      <c r="AS235" s="66">
        <f t="shared" si="45"/>
        <v>0</v>
      </c>
      <c r="AT235" s="66">
        <f t="shared" si="46"/>
        <v>0</v>
      </c>
      <c r="AU235" s="66">
        <f t="shared" si="47"/>
        <v>0</v>
      </c>
      <c r="AV235" s="66">
        <f t="shared" si="48"/>
        <v>0</v>
      </c>
      <c r="AW235" s="66">
        <f t="shared" si="49"/>
        <v>0</v>
      </c>
      <c r="AX235" s="66">
        <f t="shared" si="50"/>
        <v>0</v>
      </c>
      <c r="AY235" s="66">
        <f t="shared" si="51"/>
        <v>0</v>
      </c>
      <c r="AZ235" s="66">
        <f>'Project Database'!Z239</f>
        <v>0</v>
      </c>
      <c r="BA235" s="66">
        <f>IF(OR(A235="",'Smart Search'!H13=0),"",MAX(0,BE235*BF235*MAX(0,1-BG235)))</f>
        <v>0</v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>0</v>
      </c>
      <c r="BC235" s="66">
        <f>IF('Smart Search'!G13=1,IFERROR(1/'Smart Search'!H13,0),0)</f>
        <v>0</v>
      </c>
      <c r="BD235" s="66">
        <f t="shared" si="52"/>
        <v>0</v>
      </c>
      <c r="BE235" s="66">
        <f t="shared" si="53"/>
        <v>0</v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>0</v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>0</v>
      </c>
      <c r="BH235" s="5" t="str">
        <f>IF(AND('Project Database'!A239&lt;&gt;"",OR('Smart Search'!$L$5="",'Smart Search'!$L$5="All",TRIM('Project Database'!D239)=TRIM('Smart Search'!$L$5)),OR(TRIM('Smart Search'!$L$6)="",TRIM('Smart Search'!$L$6)="All",ISNUMBER(SEARCH(SUBSTITUTE(SUBSTITUTE(SUBSTITUTE(TRIM('Smart Search'!$L$6),"~","~~"),"*","~*"),"?","~?"),'Project Database'!C239))),OR('Smart Search'!$L$7="",AND('Project Database'!E239&lt;&gt;"",'Project Database'!E239='Smart Search'!$L$7)),OR('Smart Search'!$L$8="",'Smart Search'!$L$8="All",TRIM('Project Database'!F239)=TRIM('Smart Search'!$L$8))),IF(BA235="","",BA235+ROW()*0.0000000001),"")</f>
        <v/>
      </c>
      <c r="BI235" s="5" t="str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 t="str">
        <f>IF('Project Database'!A239="","",N('Project Database'!AC239))</f>
        <v/>
      </c>
      <c r="BK235" s="5" t="str">
        <f>IF('Project Database'!A239="","",N('Project Database'!AD239))</f>
        <v/>
      </c>
      <c r="BL235" s="5" t="str">
        <f>IF('Project Database'!A239="","",N('Project Database'!AE239))</f>
        <v/>
      </c>
      <c r="BM235" s="5" t="str">
        <f>IF('Project Database'!A239="","",N('Project Database'!AF239))</f>
        <v/>
      </c>
      <c r="BN235" s="5" t="str">
        <f>IF('Project Database'!A239="","",N('Project Database'!AG239))</f>
        <v/>
      </c>
      <c r="BO235" s="5" t="str">
        <f>IF('Project Database'!A239="","",N('Project Database'!AH239))</f>
        <v/>
      </c>
      <c r="BP235" s="5" t="str">
        <f>IF('Project Database'!A239="","",N('Project Database'!AI239))</f>
        <v/>
      </c>
      <c r="BQ235" s="5" t="str">
        <f>IF('Project Database'!A239="","",N('Project Database'!AJ239))</f>
        <v/>
      </c>
      <c r="BR235" s="5" t="str">
        <f>IF('Project Database'!A239="","",N('Project Database'!AK239))</f>
        <v/>
      </c>
      <c r="BS235" s="5" t="str">
        <f>IF('Project Database'!A239="","",N('Project Database'!AL239))</f>
        <v/>
      </c>
      <c r="BT235" s="5" t="str">
        <f>IF('Project Database'!A239="","",N('Project Database'!AM239))</f>
        <v/>
      </c>
      <c r="BU235" s="5" t="str">
        <f>IF('Project Database'!A239="","",N('Project Database'!AN239))</f>
        <v/>
      </c>
      <c r="BV235" s="5" t="str">
        <f>IF('Project Database'!A239="","",N('Project Database'!AO239))</f>
        <v/>
      </c>
      <c r="BW235" s="5" t="str">
        <f>IF('Project Database'!A239="","",N('Project Database'!AP239))</f>
        <v/>
      </c>
      <c r="BX235" s="5">
        <f t="shared" si="54"/>
        <v>0</v>
      </c>
      <c r="BY235" s="5">
        <f t="shared" si="55"/>
        <v>0</v>
      </c>
    </row>
    <row r="236" spans="1:77" ht="15" customHeight="1" x14ac:dyDescent="0.3">
      <c r="A236" s="66">
        <f>'Project Database'!A240</f>
        <v>0</v>
      </c>
      <c r="B236" s="66">
        <f>'Project Database'!B240</f>
        <v>0</v>
      </c>
      <c r="C236" s="66">
        <f>'Project Database'!G240</f>
        <v>0</v>
      </c>
      <c r="D236" s="66">
        <f>'Project Database'!H240</f>
        <v>0</v>
      </c>
      <c r="E236" s="66">
        <f>'Project Database'!I240</f>
        <v>0</v>
      </c>
      <c r="F236" s="66">
        <f>'Project Database'!J240</f>
        <v>0</v>
      </c>
      <c r="G236" s="66">
        <f>'Project Database'!K240</f>
        <v>0</v>
      </c>
      <c r="H236" s="66">
        <f>'Project Database'!L240</f>
        <v>0</v>
      </c>
      <c r="I236" s="66">
        <f>'Project Database'!M240</f>
        <v>0</v>
      </c>
      <c r="J236" s="66">
        <f>'Project Database'!N240</f>
        <v>0</v>
      </c>
      <c r="K236" s="66">
        <f>'Project Database'!O240</f>
        <v>0</v>
      </c>
      <c r="L236" s="66">
        <f>'Project Database'!P240</f>
        <v>0</v>
      </c>
      <c r="M236" s="66">
        <f>'Project Database'!Q240</f>
        <v>0</v>
      </c>
      <c r="N236" s="66">
        <f>'Project Database'!R240</f>
        <v>0</v>
      </c>
      <c r="O236" s="66">
        <f>'Project Database'!S240</f>
        <v>0</v>
      </c>
      <c r="P236" s="66">
        <f>'Project Database'!T240</f>
        <v>0</v>
      </c>
      <c r="Q236" s="66">
        <f>'Project Database'!U240</f>
        <v>0</v>
      </c>
      <c r="R236" s="66">
        <f>'Project Database'!V240</f>
        <v>0</v>
      </c>
      <c r="S236" s="66">
        <f>'Project Database'!W240</f>
        <v>0</v>
      </c>
      <c r="T236" s="66">
        <f>'Project Database'!X240</f>
        <v>0</v>
      </c>
      <c r="U236" s="67">
        <f>'Project Database'!Y240</f>
        <v>0</v>
      </c>
      <c r="V236" s="66">
        <f>IF('Smart Search'!B13=1,IFERROR(1/'Smart Search'!H13,0),0)</f>
        <v>0</v>
      </c>
      <c r="W236" s="66">
        <f>IF('Smart Search'!B13=1,IFERROR(1/'Smart Search'!H13,0),0)</f>
        <v>0</v>
      </c>
      <c r="X236" s="66">
        <f>IF('Smart Search'!C13=1,IFERROR(1/'Smart Search'!H13,0),0)</f>
        <v>0.5</v>
      </c>
      <c r="Y236" s="66">
        <f>IF('Smart Search'!C13=1,IFERROR(1/'Smart Search'!H13,0),0)</f>
        <v>0.5</v>
      </c>
      <c r="Z236" s="66">
        <f>IF('Smart Search'!D13=1,IFERROR(1/'Smart Search'!H13,0),0)</f>
        <v>0</v>
      </c>
      <c r="AA236" s="66">
        <f>IF('Smart Search'!D13=1,IFERROR(1/'Smart Search'!H13,0),0)</f>
        <v>0</v>
      </c>
      <c r="AB236" s="66">
        <f>IF('Smart Search'!E13=1,IFERROR(1/'Smart Search'!H13,0),0)</f>
        <v>0</v>
      </c>
      <c r="AC236" s="66">
        <f>IF('Smart Search'!E13=1,IFERROR(1/'Smart Search'!H13,0),0)</f>
        <v>0</v>
      </c>
      <c r="AD236" s="66">
        <f>IF('Smart Search'!F13=1,IFERROR(1/'Smart Search'!H13,0),0)</f>
        <v>0</v>
      </c>
      <c r="AE236" s="66">
        <f>IF('Smart Search'!F13=1,IFERROR(1/'Smart Search'!H13,0),0)</f>
        <v>0</v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>0</v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>0</v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>0</v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>0</v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>0</v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>0</v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>0</v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>0</v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>0</v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>0</v>
      </c>
      <c r="AP236" s="66">
        <f t="shared" si="42"/>
        <v>0</v>
      </c>
      <c r="AQ236" s="66">
        <f t="shared" si="43"/>
        <v>0</v>
      </c>
      <c r="AR236" s="66">
        <f t="shared" si="44"/>
        <v>0</v>
      </c>
      <c r="AS236" s="66">
        <f t="shared" si="45"/>
        <v>0</v>
      </c>
      <c r="AT236" s="66">
        <f t="shared" si="46"/>
        <v>0</v>
      </c>
      <c r="AU236" s="66">
        <f t="shared" si="47"/>
        <v>0</v>
      </c>
      <c r="AV236" s="66">
        <f t="shared" si="48"/>
        <v>0</v>
      </c>
      <c r="AW236" s="66">
        <f t="shared" si="49"/>
        <v>0</v>
      </c>
      <c r="AX236" s="66">
        <f t="shared" si="50"/>
        <v>0</v>
      </c>
      <c r="AY236" s="66">
        <f t="shared" si="51"/>
        <v>0</v>
      </c>
      <c r="AZ236" s="66">
        <f>'Project Database'!Z240</f>
        <v>0</v>
      </c>
      <c r="BA236" s="66">
        <f>IF(OR(A236="",'Smart Search'!H13=0),"",MAX(0,BE236*BF236*MAX(0,1-BG236)))</f>
        <v>0</v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>0</v>
      </c>
      <c r="BC236" s="66">
        <f>IF('Smart Search'!G13=1,IFERROR(1/'Smart Search'!H13,0),0)</f>
        <v>0</v>
      </c>
      <c r="BD236" s="66">
        <f t="shared" si="52"/>
        <v>0</v>
      </c>
      <c r="BE236" s="66">
        <f t="shared" si="53"/>
        <v>0</v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>0</v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>0</v>
      </c>
      <c r="BH236" s="5" t="str">
        <f>IF(AND('Project Database'!A240&lt;&gt;"",OR('Smart Search'!$L$5="",'Smart Search'!$L$5="All",TRIM('Project Database'!D240)=TRIM('Smart Search'!$L$5)),OR(TRIM('Smart Search'!$L$6)="",TRIM('Smart Search'!$L$6)="All",ISNUMBER(SEARCH(SUBSTITUTE(SUBSTITUTE(SUBSTITUTE(TRIM('Smart Search'!$L$6),"~","~~"),"*","~*"),"?","~?"),'Project Database'!C240))),OR('Smart Search'!$L$7="",AND('Project Database'!E240&lt;&gt;"",'Project Database'!E240='Smart Search'!$L$7)),OR('Smart Search'!$L$8="",'Smart Search'!$L$8="All",TRIM('Project Database'!F240)=TRIM('Smart Search'!$L$8))),IF(BA236="","",BA236+ROW()*0.0000000001),"")</f>
        <v/>
      </c>
      <c r="BI236" s="5" t="str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 t="str">
        <f>IF('Project Database'!A240="","",N('Project Database'!AC240))</f>
        <v/>
      </c>
      <c r="BK236" s="5" t="str">
        <f>IF('Project Database'!A240="","",N('Project Database'!AD240))</f>
        <v/>
      </c>
      <c r="BL236" s="5" t="str">
        <f>IF('Project Database'!A240="","",N('Project Database'!AE240))</f>
        <v/>
      </c>
      <c r="BM236" s="5" t="str">
        <f>IF('Project Database'!A240="","",N('Project Database'!AF240))</f>
        <v/>
      </c>
      <c r="BN236" s="5" t="str">
        <f>IF('Project Database'!A240="","",N('Project Database'!AG240))</f>
        <v/>
      </c>
      <c r="BO236" s="5" t="str">
        <f>IF('Project Database'!A240="","",N('Project Database'!AH240))</f>
        <v/>
      </c>
      <c r="BP236" s="5" t="str">
        <f>IF('Project Database'!A240="","",N('Project Database'!AI240))</f>
        <v/>
      </c>
      <c r="BQ236" s="5" t="str">
        <f>IF('Project Database'!A240="","",N('Project Database'!AJ240))</f>
        <v/>
      </c>
      <c r="BR236" s="5" t="str">
        <f>IF('Project Database'!A240="","",N('Project Database'!AK240))</f>
        <v/>
      </c>
      <c r="BS236" s="5" t="str">
        <f>IF('Project Database'!A240="","",N('Project Database'!AL240))</f>
        <v/>
      </c>
      <c r="BT236" s="5" t="str">
        <f>IF('Project Database'!A240="","",N('Project Database'!AM240))</f>
        <v/>
      </c>
      <c r="BU236" s="5" t="str">
        <f>IF('Project Database'!A240="","",N('Project Database'!AN240))</f>
        <v/>
      </c>
      <c r="BV236" s="5" t="str">
        <f>IF('Project Database'!A240="","",N('Project Database'!AO240))</f>
        <v/>
      </c>
      <c r="BW236" s="5" t="str">
        <f>IF('Project Database'!A240="","",N('Project Database'!AP240))</f>
        <v/>
      </c>
      <c r="BX236" s="5">
        <f t="shared" si="54"/>
        <v>0</v>
      </c>
      <c r="BY236" s="5">
        <f t="shared" si="55"/>
        <v>0</v>
      </c>
    </row>
    <row r="237" spans="1:77" ht="15" customHeight="1" x14ac:dyDescent="0.3">
      <c r="A237" s="66">
        <f>'Project Database'!A241</f>
        <v>0</v>
      </c>
      <c r="B237" s="66">
        <f>'Project Database'!B241</f>
        <v>0</v>
      </c>
      <c r="C237" s="66">
        <f>'Project Database'!G241</f>
        <v>0</v>
      </c>
      <c r="D237" s="66">
        <f>'Project Database'!H241</f>
        <v>0</v>
      </c>
      <c r="E237" s="66">
        <f>'Project Database'!I241</f>
        <v>0</v>
      </c>
      <c r="F237" s="66">
        <f>'Project Database'!J241</f>
        <v>0</v>
      </c>
      <c r="G237" s="66">
        <f>'Project Database'!K241</f>
        <v>0</v>
      </c>
      <c r="H237" s="66">
        <f>'Project Database'!L241</f>
        <v>0</v>
      </c>
      <c r="I237" s="66">
        <f>'Project Database'!M241</f>
        <v>0</v>
      </c>
      <c r="J237" s="66">
        <f>'Project Database'!N241</f>
        <v>0</v>
      </c>
      <c r="K237" s="66">
        <f>'Project Database'!O241</f>
        <v>0</v>
      </c>
      <c r="L237" s="66">
        <f>'Project Database'!P241</f>
        <v>0</v>
      </c>
      <c r="M237" s="66">
        <f>'Project Database'!Q241</f>
        <v>0</v>
      </c>
      <c r="N237" s="66">
        <f>'Project Database'!R241</f>
        <v>0</v>
      </c>
      <c r="O237" s="66">
        <f>'Project Database'!S241</f>
        <v>0</v>
      </c>
      <c r="P237" s="66">
        <f>'Project Database'!T241</f>
        <v>0</v>
      </c>
      <c r="Q237" s="66">
        <f>'Project Database'!U241</f>
        <v>0</v>
      </c>
      <c r="R237" s="66">
        <f>'Project Database'!V241</f>
        <v>0</v>
      </c>
      <c r="S237" s="66">
        <f>'Project Database'!W241</f>
        <v>0</v>
      </c>
      <c r="T237" s="66">
        <f>'Project Database'!X241</f>
        <v>0</v>
      </c>
      <c r="U237" s="67">
        <f>'Project Database'!Y241</f>
        <v>0</v>
      </c>
      <c r="V237" s="66">
        <f>IF('Smart Search'!B13=1,IFERROR(1/'Smart Search'!H13,0),0)</f>
        <v>0</v>
      </c>
      <c r="W237" s="66">
        <f>IF('Smart Search'!B13=1,IFERROR(1/'Smart Search'!H13,0),0)</f>
        <v>0</v>
      </c>
      <c r="X237" s="66">
        <f>IF('Smart Search'!C13=1,IFERROR(1/'Smart Search'!H13,0),0)</f>
        <v>0.5</v>
      </c>
      <c r="Y237" s="66">
        <f>IF('Smart Search'!C13=1,IFERROR(1/'Smart Search'!H13,0),0)</f>
        <v>0.5</v>
      </c>
      <c r="Z237" s="66">
        <f>IF('Smart Search'!D13=1,IFERROR(1/'Smart Search'!H13,0),0)</f>
        <v>0</v>
      </c>
      <c r="AA237" s="66">
        <f>IF('Smart Search'!D13=1,IFERROR(1/'Smart Search'!H13,0),0)</f>
        <v>0</v>
      </c>
      <c r="AB237" s="66">
        <f>IF('Smart Search'!E13=1,IFERROR(1/'Smart Search'!H13,0),0)</f>
        <v>0</v>
      </c>
      <c r="AC237" s="66">
        <f>IF('Smart Search'!E13=1,IFERROR(1/'Smart Search'!H13,0),0)</f>
        <v>0</v>
      </c>
      <c r="AD237" s="66">
        <f>IF('Smart Search'!F13=1,IFERROR(1/'Smart Search'!H13,0),0)</f>
        <v>0</v>
      </c>
      <c r="AE237" s="66">
        <f>IF('Smart Search'!F13=1,IFERROR(1/'Smart Search'!H13,0),0)</f>
        <v>0</v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>0</v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>0</v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>0</v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>0</v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>0</v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>0</v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>0</v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>0</v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>0</v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>0</v>
      </c>
      <c r="AP237" s="66">
        <f t="shared" si="42"/>
        <v>0</v>
      </c>
      <c r="AQ237" s="66">
        <f t="shared" si="43"/>
        <v>0</v>
      </c>
      <c r="AR237" s="66">
        <f t="shared" si="44"/>
        <v>0</v>
      </c>
      <c r="AS237" s="66">
        <f t="shared" si="45"/>
        <v>0</v>
      </c>
      <c r="AT237" s="66">
        <f t="shared" si="46"/>
        <v>0</v>
      </c>
      <c r="AU237" s="66">
        <f t="shared" si="47"/>
        <v>0</v>
      </c>
      <c r="AV237" s="66">
        <f t="shared" si="48"/>
        <v>0</v>
      </c>
      <c r="AW237" s="66">
        <f t="shared" si="49"/>
        <v>0</v>
      </c>
      <c r="AX237" s="66">
        <f t="shared" si="50"/>
        <v>0</v>
      </c>
      <c r="AY237" s="66">
        <f t="shared" si="51"/>
        <v>0</v>
      </c>
      <c r="AZ237" s="66">
        <f>'Project Database'!Z241</f>
        <v>0</v>
      </c>
      <c r="BA237" s="66">
        <f>IF(OR(A237="",'Smart Search'!H13=0),"",MAX(0,BE237*BF237*MAX(0,1-BG237)))</f>
        <v>0</v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>0</v>
      </c>
      <c r="BC237" s="66">
        <f>IF('Smart Search'!G13=1,IFERROR(1/'Smart Search'!H13,0),0)</f>
        <v>0</v>
      </c>
      <c r="BD237" s="66">
        <f t="shared" si="52"/>
        <v>0</v>
      </c>
      <c r="BE237" s="66">
        <f t="shared" si="53"/>
        <v>0</v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>0</v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>0</v>
      </c>
      <c r="BH237" s="5" t="str">
        <f>IF(AND('Project Database'!A241&lt;&gt;"",OR('Smart Search'!$L$5="",'Smart Search'!$L$5="All",TRIM('Project Database'!D241)=TRIM('Smart Search'!$L$5)),OR(TRIM('Smart Search'!$L$6)="",TRIM('Smart Search'!$L$6)="All",ISNUMBER(SEARCH(SUBSTITUTE(SUBSTITUTE(SUBSTITUTE(TRIM('Smart Search'!$L$6),"~","~~"),"*","~*"),"?","~?"),'Project Database'!C241))),OR('Smart Search'!$L$7="",AND('Project Database'!E241&lt;&gt;"",'Project Database'!E241='Smart Search'!$L$7)),OR('Smart Search'!$L$8="",'Smart Search'!$L$8="All",TRIM('Project Database'!F241)=TRIM('Smart Search'!$L$8))),IF(BA237="","",BA237+ROW()*0.0000000001),"")</f>
        <v/>
      </c>
      <c r="BI237" s="5" t="str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 t="str">
        <f>IF('Project Database'!A241="","",N('Project Database'!AC241))</f>
        <v/>
      </c>
      <c r="BK237" s="5" t="str">
        <f>IF('Project Database'!A241="","",N('Project Database'!AD241))</f>
        <v/>
      </c>
      <c r="BL237" s="5" t="str">
        <f>IF('Project Database'!A241="","",N('Project Database'!AE241))</f>
        <v/>
      </c>
      <c r="BM237" s="5" t="str">
        <f>IF('Project Database'!A241="","",N('Project Database'!AF241))</f>
        <v/>
      </c>
      <c r="BN237" s="5" t="str">
        <f>IF('Project Database'!A241="","",N('Project Database'!AG241))</f>
        <v/>
      </c>
      <c r="BO237" s="5" t="str">
        <f>IF('Project Database'!A241="","",N('Project Database'!AH241))</f>
        <v/>
      </c>
      <c r="BP237" s="5" t="str">
        <f>IF('Project Database'!A241="","",N('Project Database'!AI241))</f>
        <v/>
      </c>
      <c r="BQ237" s="5" t="str">
        <f>IF('Project Database'!A241="","",N('Project Database'!AJ241))</f>
        <v/>
      </c>
      <c r="BR237" s="5" t="str">
        <f>IF('Project Database'!A241="","",N('Project Database'!AK241))</f>
        <v/>
      </c>
      <c r="BS237" s="5" t="str">
        <f>IF('Project Database'!A241="","",N('Project Database'!AL241))</f>
        <v/>
      </c>
      <c r="BT237" s="5" t="str">
        <f>IF('Project Database'!A241="","",N('Project Database'!AM241))</f>
        <v/>
      </c>
      <c r="BU237" s="5" t="str">
        <f>IF('Project Database'!A241="","",N('Project Database'!AN241))</f>
        <v/>
      </c>
      <c r="BV237" s="5" t="str">
        <f>IF('Project Database'!A241="","",N('Project Database'!AO241))</f>
        <v/>
      </c>
      <c r="BW237" s="5" t="str">
        <f>IF('Project Database'!A241="","",N('Project Database'!AP241))</f>
        <v/>
      </c>
      <c r="BX237" s="5">
        <f t="shared" si="54"/>
        <v>0</v>
      </c>
      <c r="BY237" s="5">
        <f t="shared" si="55"/>
        <v>0</v>
      </c>
    </row>
    <row r="238" spans="1:77" ht="15" customHeight="1" x14ac:dyDescent="0.3">
      <c r="A238" s="66">
        <f>'Project Database'!A242</f>
        <v>0</v>
      </c>
      <c r="B238" s="66">
        <f>'Project Database'!B242</f>
        <v>0</v>
      </c>
      <c r="C238" s="66">
        <f>'Project Database'!G242</f>
        <v>0</v>
      </c>
      <c r="D238" s="66">
        <f>'Project Database'!H242</f>
        <v>0</v>
      </c>
      <c r="E238" s="66">
        <f>'Project Database'!I242</f>
        <v>0</v>
      </c>
      <c r="F238" s="66">
        <f>'Project Database'!J242</f>
        <v>0</v>
      </c>
      <c r="G238" s="66">
        <f>'Project Database'!K242</f>
        <v>0</v>
      </c>
      <c r="H238" s="66">
        <f>'Project Database'!L242</f>
        <v>0</v>
      </c>
      <c r="I238" s="66">
        <f>'Project Database'!M242</f>
        <v>0</v>
      </c>
      <c r="J238" s="66">
        <f>'Project Database'!N242</f>
        <v>0</v>
      </c>
      <c r="K238" s="66">
        <f>'Project Database'!O242</f>
        <v>0</v>
      </c>
      <c r="L238" s="66">
        <f>'Project Database'!P242</f>
        <v>0</v>
      </c>
      <c r="M238" s="66">
        <f>'Project Database'!Q242</f>
        <v>0</v>
      </c>
      <c r="N238" s="66">
        <f>'Project Database'!R242</f>
        <v>0</v>
      </c>
      <c r="O238" s="66">
        <f>'Project Database'!S242</f>
        <v>0</v>
      </c>
      <c r="P238" s="66">
        <f>'Project Database'!T242</f>
        <v>0</v>
      </c>
      <c r="Q238" s="66">
        <f>'Project Database'!U242</f>
        <v>0</v>
      </c>
      <c r="R238" s="66">
        <f>'Project Database'!V242</f>
        <v>0</v>
      </c>
      <c r="S238" s="66">
        <f>'Project Database'!W242</f>
        <v>0</v>
      </c>
      <c r="T238" s="66">
        <f>'Project Database'!X242</f>
        <v>0</v>
      </c>
      <c r="U238" s="67">
        <f>'Project Database'!Y242</f>
        <v>0</v>
      </c>
      <c r="V238" s="66">
        <f>IF('Smart Search'!B13=1,IFERROR(1/'Smart Search'!H13,0),0)</f>
        <v>0</v>
      </c>
      <c r="W238" s="66">
        <f>IF('Smart Search'!B13=1,IFERROR(1/'Smart Search'!H13,0),0)</f>
        <v>0</v>
      </c>
      <c r="X238" s="66">
        <f>IF('Smart Search'!C13=1,IFERROR(1/'Smart Search'!H13,0),0)</f>
        <v>0.5</v>
      </c>
      <c r="Y238" s="66">
        <f>IF('Smart Search'!C13=1,IFERROR(1/'Smart Search'!H13,0),0)</f>
        <v>0.5</v>
      </c>
      <c r="Z238" s="66">
        <f>IF('Smart Search'!D13=1,IFERROR(1/'Smart Search'!H13,0),0)</f>
        <v>0</v>
      </c>
      <c r="AA238" s="66">
        <f>IF('Smart Search'!D13=1,IFERROR(1/'Smart Search'!H13,0),0)</f>
        <v>0</v>
      </c>
      <c r="AB238" s="66">
        <f>IF('Smart Search'!E13=1,IFERROR(1/'Smart Search'!H13,0),0)</f>
        <v>0</v>
      </c>
      <c r="AC238" s="66">
        <f>IF('Smart Search'!E13=1,IFERROR(1/'Smart Search'!H13,0),0)</f>
        <v>0</v>
      </c>
      <c r="AD238" s="66">
        <f>IF('Smart Search'!F13=1,IFERROR(1/'Smart Search'!H13,0),0)</f>
        <v>0</v>
      </c>
      <c r="AE238" s="66">
        <f>IF('Smart Search'!F13=1,IFERROR(1/'Smart Search'!H13,0),0)</f>
        <v>0</v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>0</v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>0</v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>0</v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>0</v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>0</v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>0</v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>0</v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>0</v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>0</v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>0</v>
      </c>
      <c r="AP238" s="66">
        <f t="shared" si="42"/>
        <v>0</v>
      </c>
      <c r="AQ238" s="66">
        <f t="shared" si="43"/>
        <v>0</v>
      </c>
      <c r="AR238" s="66">
        <f t="shared" si="44"/>
        <v>0</v>
      </c>
      <c r="AS238" s="66">
        <f t="shared" si="45"/>
        <v>0</v>
      </c>
      <c r="AT238" s="66">
        <f t="shared" si="46"/>
        <v>0</v>
      </c>
      <c r="AU238" s="66">
        <f t="shared" si="47"/>
        <v>0</v>
      </c>
      <c r="AV238" s="66">
        <f t="shared" si="48"/>
        <v>0</v>
      </c>
      <c r="AW238" s="66">
        <f t="shared" si="49"/>
        <v>0</v>
      </c>
      <c r="AX238" s="66">
        <f t="shared" si="50"/>
        <v>0</v>
      </c>
      <c r="AY238" s="66">
        <f t="shared" si="51"/>
        <v>0</v>
      </c>
      <c r="AZ238" s="66">
        <f>'Project Database'!Z242</f>
        <v>0</v>
      </c>
      <c r="BA238" s="66">
        <f>IF(OR(A238="",'Smart Search'!H13=0),"",MAX(0,BE238*BF238*MAX(0,1-BG238)))</f>
        <v>0</v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>0</v>
      </c>
      <c r="BC238" s="66">
        <f>IF('Smart Search'!G13=1,IFERROR(1/'Smart Search'!H13,0),0)</f>
        <v>0</v>
      </c>
      <c r="BD238" s="66">
        <f t="shared" si="52"/>
        <v>0</v>
      </c>
      <c r="BE238" s="66">
        <f t="shared" si="53"/>
        <v>0</v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>0</v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>0</v>
      </c>
      <c r="BH238" s="5" t="str">
        <f>IF(AND('Project Database'!A242&lt;&gt;"",OR('Smart Search'!$L$5="",'Smart Search'!$L$5="All",TRIM('Project Database'!D242)=TRIM('Smart Search'!$L$5)),OR(TRIM('Smart Search'!$L$6)="",TRIM('Smart Search'!$L$6)="All",ISNUMBER(SEARCH(SUBSTITUTE(SUBSTITUTE(SUBSTITUTE(TRIM('Smart Search'!$L$6),"~","~~"),"*","~*"),"?","~?"),'Project Database'!C242))),OR('Smart Search'!$L$7="",AND('Project Database'!E242&lt;&gt;"",'Project Database'!E242='Smart Search'!$L$7)),OR('Smart Search'!$L$8="",'Smart Search'!$L$8="All",TRIM('Project Database'!F242)=TRIM('Smart Search'!$L$8))),IF(BA238="","",BA238+ROW()*0.0000000001),"")</f>
        <v/>
      </c>
      <c r="BI238" s="5" t="str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 t="str">
        <f>IF('Project Database'!A242="","",N('Project Database'!AC242))</f>
        <v/>
      </c>
      <c r="BK238" s="5" t="str">
        <f>IF('Project Database'!A242="","",N('Project Database'!AD242))</f>
        <v/>
      </c>
      <c r="BL238" s="5" t="str">
        <f>IF('Project Database'!A242="","",N('Project Database'!AE242))</f>
        <v/>
      </c>
      <c r="BM238" s="5" t="str">
        <f>IF('Project Database'!A242="","",N('Project Database'!AF242))</f>
        <v/>
      </c>
      <c r="BN238" s="5" t="str">
        <f>IF('Project Database'!A242="","",N('Project Database'!AG242))</f>
        <v/>
      </c>
      <c r="BO238" s="5" t="str">
        <f>IF('Project Database'!A242="","",N('Project Database'!AH242))</f>
        <v/>
      </c>
      <c r="BP238" s="5" t="str">
        <f>IF('Project Database'!A242="","",N('Project Database'!AI242))</f>
        <v/>
      </c>
      <c r="BQ238" s="5" t="str">
        <f>IF('Project Database'!A242="","",N('Project Database'!AJ242))</f>
        <v/>
      </c>
      <c r="BR238" s="5" t="str">
        <f>IF('Project Database'!A242="","",N('Project Database'!AK242))</f>
        <v/>
      </c>
      <c r="BS238" s="5" t="str">
        <f>IF('Project Database'!A242="","",N('Project Database'!AL242))</f>
        <v/>
      </c>
      <c r="BT238" s="5" t="str">
        <f>IF('Project Database'!A242="","",N('Project Database'!AM242))</f>
        <v/>
      </c>
      <c r="BU238" s="5" t="str">
        <f>IF('Project Database'!A242="","",N('Project Database'!AN242))</f>
        <v/>
      </c>
      <c r="BV238" s="5" t="str">
        <f>IF('Project Database'!A242="","",N('Project Database'!AO242))</f>
        <v/>
      </c>
      <c r="BW238" s="5" t="str">
        <f>IF('Project Database'!A242="","",N('Project Database'!AP242))</f>
        <v/>
      </c>
      <c r="BX238" s="5">
        <f t="shared" si="54"/>
        <v>0</v>
      </c>
      <c r="BY238" s="5">
        <f t="shared" si="55"/>
        <v>0</v>
      </c>
    </row>
    <row r="239" spans="1:77" ht="15" customHeight="1" x14ac:dyDescent="0.3">
      <c r="A239" s="66">
        <f>'Project Database'!A243</f>
        <v>0</v>
      </c>
      <c r="B239" s="66">
        <f>'Project Database'!B243</f>
        <v>0</v>
      </c>
      <c r="C239" s="66">
        <f>'Project Database'!G243</f>
        <v>0</v>
      </c>
      <c r="D239" s="66">
        <f>'Project Database'!H243</f>
        <v>0</v>
      </c>
      <c r="E239" s="66">
        <f>'Project Database'!I243</f>
        <v>0</v>
      </c>
      <c r="F239" s="66">
        <f>'Project Database'!J243</f>
        <v>0</v>
      </c>
      <c r="G239" s="66">
        <f>'Project Database'!K243</f>
        <v>0</v>
      </c>
      <c r="H239" s="66">
        <f>'Project Database'!L243</f>
        <v>0</v>
      </c>
      <c r="I239" s="66">
        <f>'Project Database'!M243</f>
        <v>0</v>
      </c>
      <c r="J239" s="66">
        <f>'Project Database'!N243</f>
        <v>0</v>
      </c>
      <c r="K239" s="66">
        <f>'Project Database'!O243</f>
        <v>0</v>
      </c>
      <c r="L239" s="66">
        <f>'Project Database'!P243</f>
        <v>0</v>
      </c>
      <c r="M239" s="66">
        <f>'Project Database'!Q243</f>
        <v>0</v>
      </c>
      <c r="N239" s="66">
        <f>'Project Database'!R243</f>
        <v>0</v>
      </c>
      <c r="O239" s="66">
        <f>'Project Database'!S243</f>
        <v>0</v>
      </c>
      <c r="P239" s="66">
        <f>'Project Database'!T243</f>
        <v>0</v>
      </c>
      <c r="Q239" s="66">
        <f>'Project Database'!U243</f>
        <v>0</v>
      </c>
      <c r="R239" s="66">
        <f>'Project Database'!V243</f>
        <v>0</v>
      </c>
      <c r="S239" s="66">
        <f>'Project Database'!W243</f>
        <v>0</v>
      </c>
      <c r="T239" s="66">
        <f>'Project Database'!X243</f>
        <v>0</v>
      </c>
      <c r="U239" s="67">
        <f>'Project Database'!Y243</f>
        <v>0</v>
      </c>
      <c r="V239" s="66">
        <f>IF('Smart Search'!B13=1,IFERROR(1/'Smart Search'!H13,0),0)</f>
        <v>0</v>
      </c>
      <c r="W239" s="66">
        <f>IF('Smart Search'!B13=1,IFERROR(1/'Smart Search'!H13,0),0)</f>
        <v>0</v>
      </c>
      <c r="X239" s="66">
        <f>IF('Smart Search'!C13=1,IFERROR(1/'Smart Search'!H13,0),0)</f>
        <v>0.5</v>
      </c>
      <c r="Y239" s="66">
        <f>IF('Smart Search'!C13=1,IFERROR(1/'Smart Search'!H13,0),0)</f>
        <v>0.5</v>
      </c>
      <c r="Z239" s="66">
        <f>IF('Smart Search'!D13=1,IFERROR(1/'Smart Search'!H13,0),0)</f>
        <v>0</v>
      </c>
      <c r="AA239" s="66">
        <f>IF('Smart Search'!D13=1,IFERROR(1/'Smart Search'!H13,0),0)</f>
        <v>0</v>
      </c>
      <c r="AB239" s="66">
        <f>IF('Smart Search'!E13=1,IFERROR(1/'Smart Search'!H13,0),0)</f>
        <v>0</v>
      </c>
      <c r="AC239" s="66">
        <f>IF('Smart Search'!E13=1,IFERROR(1/'Smart Search'!H13,0),0)</f>
        <v>0</v>
      </c>
      <c r="AD239" s="66">
        <f>IF('Smart Search'!F13=1,IFERROR(1/'Smart Search'!H13,0),0)</f>
        <v>0</v>
      </c>
      <c r="AE239" s="66">
        <f>IF('Smart Search'!F13=1,IFERROR(1/'Smart Search'!H13,0),0)</f>
        <v>0</v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>0</v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>0</v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>0</v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>0</v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>0</v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>0</v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>0</v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>0</v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>0</v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>0</v>
      </c>
      <c r="AP239" s="66">
        <f t="shared" si="42"/>
        <v>0</v>
      </c>
      <c r="AQ239" s="66">
        <f t="shared" si="43"/>
        <v>0</v>
      </c>
      <c r="AR239" s="66">
        <f t="shared" si="44"/>
        <v>0</v>
      </c>
      <c r="AS239" s="66">
        <f t="shared" si="45"/>
        <v>0</v>
      </c>
      <c r="AT239" s="66">
        <f t="shared" si="46"/>
        <v>0</v>
      </c>
      <c r="AU239" s="66">
        <f t="shared" si="47"/>
        <v>0</v>
      </c>
      <c r="AV239" s="66">
        <f t="shared" si="48"/>
        <v>0</v>
      </c>
      <c r="AW239" s="66">
        <f t="shared" si="49"/>
        <v>0</v>
      </c>
      <c r="AX239" s="66">
        <f t="shared" si="50"/>
        <v>0</v>
      </c>
      <c r="AY239" s="66">
        <f t="shared" si="51"/>
        <v>0</v>
      </c>
      <c r="AZ239" s="66">
        <f>'Project Database'!Z243</f>
        <v>0</v>
      </c>
      <c r="BA239" s="66">
        <f>IF(OR(A239="",'Smart Search'!H13=0),"",MAX(0,BE239*BF239*MAX(0,1-BG239)))</f>
        <v>0</v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>0</v>
      </c>
      <c r="BC239" s="66">
        <f>IF('Smart Search'!G13=1,IFERROR(1/'Smart Search'!H13,0),0)</f>
        <v>0</v>
      </c>
      <c r="BD239" s="66">
        <f t="shared" si="52"/>
        <v>0</v>
      </c>
      <c r="BE239" s="66">
        <f t="shared" si="53"/>
        <v>0</v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>0</v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>0</v>
      </c>
      <c r="BH239" s="5" t="str">
        <f>IF(AND('Project Database'!A243&lt;&gt;"",OR('Smart Search'!$L$5="",'Smart Search'!$L$5="All",TRIM('Project Database'!D243)=TRIM('Smart Search'!$L$5)),OR(TRIM('Smart Search'!$L$6)="",TRIM('Smart Search'!$L$6)="All",ISNUMBER(SEARCH(SUBSTITUTE(SUBSTITUTE(SUBSTITUTE(TRIM('Smart Search'!$L$6),"~","~~"),"*","~*"),"?","~?"),'Project Database'!C243))),OR('Smart Search'!$L$7="",AND('Project Database'!E243&lt;&gt;"",'Project Database'!E243='Smart Search'!$L$7)),OR('Smart Search'!$L$8="",'Smart Search'!$L$8="All",TRIM('Project Database'!F243)=TRIM('Smart Search'!$L$8))),IF(BA239="","",BA239+ROW()*0.0000000001),"")</f>
        <v/>
      </c>
      <c r="BI239" s="5" t="str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 t="str">
        <f>IF('Project Database'!A243="","",N('Project Database'!AC243))</f>
        <v/>
      </c>
      <c r="BK239" s="5" t="str">
        <f>IF('Project Database'!A243="","",N('Project Database'!AD243))</f>
        <v/>
      </c>
      <c r="BL239" s="5" t="str">
        <f>IF('Project Database'!A243="","",N('Project Database'!AE243))</f>
        <v/>
      </c>
      <c r="BM239" s="5" t="str">
        <f>IF('Project Database'!A243="","",N('Project Database'!AF243))</f>
        <v/>
      </c>
      <c r="BN239" s="5" t="str">
        <f>IF('Project Database'!A243="","",N('Project Database'!AG243))</f>
        <v/>
      </c>
      <c r="BO239" s="5" t="str">
        <f>IF('Project Database'!A243="","",N('Project Database'!AH243))</f>
        <v/>
      </c>
      <c r="BP239" s="5" t="str">
        <f>IF('Project Database'!A243="","",N('Project Database'!AI243))</f>
        <v/>
      </c>
      <c r="BQ239" s="5" t="str">
        <f>IF('Project Database'!A243="","",N('Project Database'!AJ243))</f>
        <v/>
      </c>
      <c r="BR239" s="5" t="str">
        <f>IF('Project Database'!A243="","",N('Project Database'!AK243))</f>
        <v/>
      </c>
      <c r="BS239" s="5" t="str">
        <f>IF('Project Database'!A243="","",N('Project Database'!AL243))</f>
        <v/>
      </c>
      <c r="BT239" s="5" t="str">
        <f>IF('Project Database'!A243="","",N('Project Database'!AM243))</f>
        <v/>
      </c>
      <c r="BU239" s="5" t="str">
        <f>IF('Project Database'!A243="","",N('Project Database'!AN243))</f>
        <v/>
      </c>
      <c r="BV239" s="5" t="str">
        <f>IF('Project Database'!A243="","",N('Project Database'!AO243))</f>
        <v/>
      </c>
      <c r="BW239" s="5" t="str">
        <f>IF('Project Database'!A243="","",N('Project Database'!AP243))</f>
        <v/>
      </c>
      <c r="BX239" s="5">
        <f t="shared" si="54"/>
        <v>0</v>
      </c>
      <c r="BY239" s="5">
        <f t="shared" si="55"/>
        <v>0</v>
      </c>
    </row>
    <row r="240" spans="1:77" ht="15" customHeight="1" x14ac:dyDescent="0.3">
      <c r="A240" s="66">
        <f>'Project Database'!A244</f>
        <v>0</v>
      </c>
      <c r="B240" s="66">
        <f>'Project Database'!B244</f>
        <v>0</v>
      </c>
      <c r="C240" s="66">
        <f>'Project Database'!G244</f>
        <v>0</v>
      </c>
      <c r="D240" s="66">
        <f>'Project Database'!H244</f>
        <v>0</v>
      </c>
      <c r="E240" s="66">
        <f>'Project Database'!I244</f>
        <v>0</v>
      </c>
      <c r="F240" s="66">
        <f>'Project Database'!J244</f>
        <v>0</v>
      </c>
      <c r="G240" s="66">
        <f>'Project Database'!K244</f>
        <v>0</v>
      </c>
      <c r="H240" s="66">
        <f>'Project Database'!L244</f>
        <v>0</v>
      </c>
      <c r="I240" s="66">
        <f>'Project Database'!M244</f>
        <v>0</v>
      </c>
      <c r="J240" s="66">
        <f>'Project Database'!N244</f>
        <v>0</v>
      </c>
      <c r="K240" s="66">
        <f>'Project Database'!O244</f>
        <v>0</v>
      </c>
      <c r="L240" s="66">
        <f>'Project Database'!P244</f>
        <v>0</v>
      </c>
      <c r="M240" s="66">
        <f>'Project Database'!Q244</f>
        <v>0</v>
      </c>
      <c r="N240" s="66">
        <f>'Project Database'!R244</f>
        <v>0</v>
      </c>
      <c r="O240" s="66">
        <f>'Project Database'!S244</f>
        <v>0</v>
      </c>
      <c r="P240" s="66">
        <f>'Project Database'!T244</f>
        <v>0</v>
      </c>
      <c r="Q240" s="66">
        <f>'Project Database'!U244</f>
        <v>0</v>
      </c>
      <c r="R240" s="66">
        <f>'Project Database'!V244</f>
        <v>0</v>
      </c>
      <c r="S240" s="66">
        <f>'Project Database'!W244</f>
        <v>0</v>
      </c>
      <c r="T240" s="66">
        <f>'Project Database'!X244</f>
        <v>0</v>
      </c>
      <c r="U240" s="67">
        <f>'Project Database'!Y244</f>
        <v>0</v>
      </c>
      <c r="V240" s="66">
        <f>IF('Smart Search'!B13=1,IFERROR(1/'Smart Search'!H13,0),0)</f>
        <v>0</v>
      </c>
      <c r="W240" s="66">
        <f>IF('Smart Search'!B13=1,IFERROR(1/'Smart Search'!H13,0),0)</f>
        <v>0</v>
      </c>
      <c r="X240" s="66">
        <f>IF('Smart Search'!C13=1,IFERROR(1/'Smart Search'!H13,0),0)</f>
        <v>0.5</v>
      </c>
      <c r="Y240" s="66">
        <f>IF('Smart Search'!C13=1,IFERROR(1/'Smart Search'!H13,0),0)</f>
        <v>0.5</v>
      </c>
      <c r="Z240" s="66">
        <f>IF('Smart Search'!D13=1,IFERROR(1/'Smart Search'!H13,0),0)</f>
        <v>0</v>
      </c>
      <c r="AA240" s="66">
        <f>IF('Smart Search'!D13=1,IFERROR(1/'Smart Search'!H13,0),0)</f>
        <v>0</v>
      </c>
      <c r="AB240" s="66">
        <f>IF('Smart Search'!E13=1,IFERROR(1/'Smart Search'!H13,0),0)</f>
        <v>0</v>
      </c>
      <c r="AC240" s="66">
        <f>IF('Smart Search'!E13=1,IFERROR(1/'Smart Search'!H13,0),0)</f>
        <v>0</v>
      </c>
      <c r="AD240" s="66">
        <f>IF('Smart Search'!F13=1,IFERROR(1/'Smart Search'!H13,0),0)</f>
        <v>0</v>
      </c>
      <c r="AE240" s="66">
        <f>IF('Smart Search'!F13=1,IFERROR(1/'Smart Search'!H13,0),0)</f>
        <v>0</v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>0</v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>0</v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>0</v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>0</v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>0</v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>0</v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>0</v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>0</v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>0</v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>0</v>
      </c>
      <c r="AP240" s="66">
        <f t="shared" si="42"/>
        <v>0</v>
      </c>
      <c r="AQ240" s="66">
        <f t="shared" si="43"/>
        <v>0</v>
      </c>
      <c r="AR240" s="66">
        <f t="shared" si="44"/>
        <v>0</v>
      </c>
      <c r="AS240" s="66">
        <f t="shared" si="45"/>
        <v>0</v>
      </c>
      <c r="AT240" s="66">
        <f t="shared" si="46"/>
        <v>0</v>
      </c>
      <c r="AU240" s="66">
        <f t="shared" si="47"/>
        <v>0</v>
      </c>
      <c r="AV240" s="66">
        <f t="shared" si="48"/>
        <v>0</v>
      </c>
      <c r="AW240" s="66">
        <f t="shared" si="49"/>
        <v>0</v>
      </c>
      <c r="AX240" s="66">
        <f t="shared" si="50"/>
        <v>0</v>
      </c>
      <c r="AY240" s="66">
        <f t="shared" si="51"/>
        <v>0</v>
      </c>
      <c r="AZ240" s="66">
        <f>'Project Database'!Z244</f>
        <v>0</v>
      </c>
      <c r="BA240" s="66">
        <f>IF(OR(A240="",'Smart Search'!H13=0),"",MAX(0,BE240*BF240*MAX(0,1-BG240)))</f>
        <v>0</v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>0</v>
      </c>
      <c r="BC240" s="66">
        <f>IF('Smart Search'!G13=1,IFERROR(1/'Smart Search'!H13,0),0)</f>
        <v>0</v>
      </c>
      <c r="BD240" s="66">
        <f t="shared" si="52"/>
        <v>0</v>
      </c>
      <c r="BE240" s="66">
        <f t="shared" si="53"/>
        <v>0</v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>0</v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>0</v>
      </c>
      <c r="BH240" s="5" t="str">
        <f>IF(AND('Project Database'!A244&lt;&gt;"",OR('Smart Search'!$L$5="",'Smart Search'!$L$5="All",TRIM('Project Database'!D244)=TRIM('Smart Search'!$L$5)),OR(TRIM('Smart Search'!$L$6)="",TRIM('Smart Search'!$L$6)="All",ISNUMBER(SEARCH(SUBSTITUTE(SUBSTITUTE(SUBSTITUTE(TRIM('Smart Search'!$L$6),"~","~~"),"*","~*"),"?","~?"),'Project Database'!C244))),OR('Smart Search'!$L$7="",AND('Project Database'!E244&lt;&gt;"",'Project Database'!E244='Smart Search'!$L$7)),OR('Smart Search'!$L$8="",'Smart Search'!$L$8="All",TRIM('Project Database'!F244)=TRIM('Smart Search'!$L$8))),IF(BA240="","",BA240+ROW()*0.0000000001),"")</f>
        <v/>
      </c>
      <c r="BI240" s="5" t="str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 t="str">
        <f>IF('Project Database'!A244="","",N('Project Database'!AC244))</f>
        <v/>
      </c>
      <c r="BK240" s="5" t="str">
        <f>IF('Project Database'!A244="","",N('Project Database'!AD244))</f>
        <v/>
      </c>
      <c r="BL240" s="5" t="str">
        <f>IF('Project Database'!A244="","",N('Project Database'!AE244))</f>
        <v/>
      </c>
      <c r="BM240" s="5" t="str">
        <f>IF('Project Database'!A244="","",N('Project Database'!AF244))</f>
        <v/>
      </c>
      <c r="BN240" s="5" t="str">
        <f>IF('Project Database'!A244="","",N('Project Database'!AG244))</f>
        <v/>
      </c>
      <c r="BO240" s="5" t="str">
        <f>IF('Project Database'!A244="","",N('Project Database'!AH244))</f>
        <v/>
      </c>
      <c r="BP240" s="5" t="str">
        <f>IF('Project Database'!A244="","",N('Project Database'!AI244))</f>
        <v/>
      </c>
      <c r="BQ240" s="5" t="str">
        <f>IF('Project Database'!A244="","",N('Project Database'!AJ244))</f>
        <v/>
      </c>
      <c r="BR240" s="5" t="str">
        <f>IF('Project Database'!A244="","",N('Project Database'!AK244))</f>
        <v/>
      </c>
      <c r="BS240" s="5" t="str">
        <f>IF('Project Database'!A244="","",N('Project Database'!AL244))</f>
        <v/>
      </c>
      <c r="BT240" s="5" t="str">
        <f>IF('Project Database'!A244="","",N('Project Database'!AM244))</f>
        <v/>
      </c>
      <c r="BU240" s="5" t="str">
        <f>IF('Project Database'!A244="","",N('Project Database'!AN244))</f>
        <v/>
      </c>
      <c r="BV240" s="5" t="str">
        <f>IF('Project Database'!A244="","",N('Project Database'!AO244))</f>
        <v/>
      </c>
      <c r="BW240" s="5" t="str">
        <f>IF('Project Database'!A244="","",N('Project Database'!AP244))</f>
        <v/>
      </c>
      <c r="BX240" s="5">
        <f t="shared" si="54"/>
        <v>0</v>
      </c>
      <c r="BY240" s="5">
        <f t="shared" si="55"/>
        <v>0</v>
      </c>
    </row>
    <row r="241" spans="1:77" ht="15" customHeight="1" x14ac:dyDescent="0.3">
      <c r="A241" s="66">
        <f>'Project Database'!A245</f>
        <v>0</v>
      </c>
      <c r="B241" s="66">
        <f>'Project Database'!B245</f>
        <v>0</v>
      </c>
      <c r="C241" s="66">
        <f>'Project Database'!G245</f>
        <v>0</v>
      </c>
      <c r="D241" s="66">
        <f>'Project Database'!H245</f>
        <v>0</v>
      </c>
      <c r="E241" s="66">
        <f>'Project Database'!I245</f>
        <v>0</v>
      </c>
      <c r="F241" s="66">
        <f>'Project Database'!J245</f>
        <v>0</v>
      </c>
      <c r="G241" s="66">
        <f>'Project Database'!K245</f>
        <v>0</v>
      </c>
      <c r="H241" s="66">
        <f>'Project Database'!L245</f>
        <v>0</v>
      </c>
      <c r="I241" s="66">
        <f>'Project Database'!M245</f>
        <v>0</v>
      </c>
      <c r="J241" s="66">
        <f>'Project Database'!N245</f>
        <v>0</v>
      </c>
      <c r="K241" s="66">
        <f>'Project Database'!O245</f>
        <v>0</v>
      </c>
      <c r="L241" s="66">
        <f>'Project Database'!P245</f>
        <v>0</v>
      </c>
      <c r="M241" s="66">
        <f>'Project Database'!Q245</f>
        <v>0</v>
      </c>
      <c r="N241" s="66">
        <f>'Project Database'!R245</f>
        <v>0</v>
      </c>
      <c r="O241" s="66">
        <f>'Project Database'!S245</f>
        <v>0</v>
      </c>
      <c r="P241" s="66">
        <f>'Project Database'!T245</f>
        <v>0</v>
      </c>
      <c r="Q241" s="66">
        <f>'Project Database'!U245</f>
        <v>0</v>
      </c>
      <c r="R241" s="66">
        <f>'Project Database'!V245</f>
        <v>0</v>
      </c>
      <c r="S241" s="66">
        <f>'Project Database'!W245</f>
        <v>0</v>
      </c>
      <c r="T241" s="66">
        <f>'Project Database'!X245</f>
        <v>0</v>
      </c>
      <c r="U241" s="67">
        <f>'Project Database'!Y245</f>
        <v>0</v>
      </c>
      <c r="V241" s="66">
        <f>IF('Smart Search'!B13=1,IFERROR(1/'Smart Search'!H13,0),0)</f>
        <v>0</v>
      </c>
      <c r="W241" s="66">
        <f>IF('Smart Search'!B13=1,IFERROR(1/'Smart Search'!H13,0),0)</f>
        <v>0</v>
      </c>
      <c r="X241" s="66">
        <f>IF('Smart Search'!C13=1,IFERROR(1/'Smart Search'!H13,0),0)</f>
        <v>0.5</v>
      </c>
      <c r="Y241" s="66">
        <f>IF('Smart Search'!C13=1,IFERROR(1/'Smart Search'!H13,0),0)</f>
        <v>0.5</v>
      </c>
      <c r="Z241" s="66">
        <f>IF('Smart Search'!D13=1,IFERROR(1/'Smart Search'!H13,0),0)</f>
        <v>0</v>
      </c>
      <c r="AA241" s="66">
        <f>IF('Smart Search'!D13=1,IFERROR(1/'Smart Search'!H13,0),0)</f>
        <v>0</v>
      </c>
      <c r="AB241" s="66">
        <f>IF('Smart Search'!E13=1,IFERROR(1/'Smart Search'!H13,0),0)</f>
        <v>0</v>
      </c>
      <c r="AC241" s="66">
        <f>IF('Smart Search'!E13=1,IFERROR(1/'Smart Search'!H13,0),0)</f>
        <v>0</v>
      </c>
      <c r="AD241" s="66">
        <f>IF('Smart Search'!F13=1,IFERROR(1/'Smart Search'!H13,0),0)</f>
        <v>0</v>
      </c>
      <c r="AE241" s="66">
        <f>IF('Smart Search'!F13=1,IFERROR(1/'Smart Search'!H13,0),0)</f>
        <v>0</v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>0</v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>0</v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>0</v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>0</v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>0</v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>0</v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>0</v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>0</v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>0</v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>0</v>
      </c>
      <c r="AP241" s="66">
        <f t="shared" si="42"/>
        <v>0</v>
      </c>
      <c r="AQ241" s="66">
        <f t="shared" si="43"/>
        <v>0</v>
      </c>
      <c r="AR241" s="66">
        <f t="shared" si="44"/>
        <v>0</v>
      </c>
      <c r="AS241" s="66">
        <f t="shared" si="45"/>
        <v>0</v>
      </c>
      <c r="AT241" s="66">
        <f t="shared" si="46"/>
        <v>0</v>
      </c>
      <c r="AU241" s="66">
        <f t="shared" si="47"/>
        <v>0</v>
      </c>
      <c r="AV241" s="66">
        <f t="shared" si="48"/>
        <v>0</v>
      </c>
      <c r="AW241" s="66">
        <f t="shared" si="49"/>
        <v>0</v>
      </c>
      <c r="AX241" s="66">
        <f t="shared" si="50"/>
        <v>0</v>
      </c>
      <c r="AY241" s="66">
        <f t="shared" si="51"/>
        <v>0</v>
      </c>
      <c r="AZ241" s="66">
        <f>'Project Database'!Z245</f>
        <v>0</v>
      </c>
      <c r="BA241" s="66">
        <f>IF(OR(A241="",'Smart Search'!H13=0),"",MAX(0,BE241*BF241*MAX(0,1-BG241)))</f>
        <v>0</v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>0</v>
      </c>
      <c r="BC241" s="66">
        <f>IF('Smart Search'!G13=1,IFERROR(1/'Smart Search'!H13,0),0)</f>
        <v>0</v>
      </c>
      <c r="BD241" s="66">
        <f t="shared" si="52"/>
        <v>0</v>
      </c>
      <c r="BE241" s="66">
        <f t="shared" si="53"/>
        <v>0</v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>0</v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>0</v>
      </c>
      <c r="BH241" s="5" t="str">
        <f>IF(AND('Project Database'!A245&lt;&gt;"",OR('Smart Search'!$L$5="",'Smart Search'!$L$5="All",TRIM('Project Database'!D245)=TRIM('Smart Search'!$L$5)),OR(TRIM('Smart Search'!$L$6)="",TRIM('Smart Search'!$L$6)="All",ISNUMBER(SEARCH(SUBSTITUTE(SUBSTITUTE(SUBSTITUTE(TRIM('Smart Search'!$L$6),"~","~~"),"*","~*"),"?","~?"),'Project Database'!C245))),OR('Smart Search'!$L$7="",AND('Project Database'!E245&lt;&gt;"",'Project Database'!E245='Smart Search'!$L$7)),OR('Smart Search'!$L$8="",'Smart Search'!$L$8="All",TRIM('Project Database'!F245)=TRIM('Smart Search'!$L$8))),IF(BA241="","",BA241+ROW()*0.0000000001),"")</f>
        <v/>
      </c>
      <c r="BI241" s="5" t="str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 t="str">
        <f>IF('Project Database'!A245="","",N('Project Database'!AC245))</f>
        <v/>
      </c>
      <c r="BK241" s="5" t="str">
        <f>IF('Project Database'!A245="","",N('Project Database'!AD245))</f>
        <v/>
      </c>
      <c r="BL241" s="5" t="str">
        <f>IF('Project Database'!A245="","",N('Project Database'!AE245))</f>
        <v/>
      </c>
      <c r="BM241" s="5" t="str">
        <f>IF('Project Database'!A245="","",N('Project Database'!AF245))</f>
        <v/>
      </c>
      <c r="BN241" s="5" t="str">
        <f>IF('Project Database'!A245="","",N('Project Database'!AG245))</f>
        <v/>
      </c>
      <c r="BO241" s="5" t="str">
        <f>IF('Project Database'!A245="","",N('Project Database'!AH245))</f>
        <v/>
      </c>
      <c r="BP241" s="5" t="str">
        <f>IF('Project Database'!A245="","",N('Project Database'!AI245))</f>
        <v/>
      </c>
      <c r="BQ241" s="5" t="str">
        <f>IF('Project Database'!A245="","",N('Project Database'!AJ245))</f>
        <v/>
      </c>
      <c r="BR241" s="5" t="str">
        <f>IF('Project Database'!A245="","",N('Project Database'!AK245))</f>
        <v/>
      </c>
      <c r="BS241" s="5" t="str">
        <f>IF('Project Database'!A245="","",N('Project Database'!AL245))</f>
        <v/>
      </c>
      <c r="BT241" s="5" t="str">
        <f>IF('Project Database'!A245="","",N('Project Database'!AM245))</f>
        <v/>
      </c>
      <c r="BU241" s="5" t="str">
        <f>IF('Project Database'!A245="","",N('Project Database'!AN245))</f>
        <v/>
      </c>
      <c r="BV241" s="5" t="str">
        <f>IF('Project Database'!A245="","",N('Project Database'!AO245))</f>
        <v/>
      </c>
      <c r="BW241" s="5" t="str">
        <f>IF('Project Database'!A245="","",N('Project Database'!AP245))</f>
        <v/>
      </c>
      <c r="BX241" s="5">
        <f t="shared" si="54"/>
        <v>0</v>
      </c>
      <c r="BY241" s="5">
        <f t="shared" si="55"/>
        <v>0</v>
      </c>
    </row>
    <row r="242" spans="1:77" ht="15" customHeight="1" x14ac:dyDescent="0.3">
      <c r="A242" s="66">
        <f>'Project Database'!A246</f>
        <v>0</v>
      </c>
      <c r="B242" s="66">
        <f>'Project Database'!B246</f>
        <v>0</v>
      </c>
      <c r="C242" s="66">
        <f>'Project Database'!G246</f>
        <v>0</v>
      </c>
      <c r="D242" s="66">
        <f>'Project Database'!H246</f>
        <v>0</v>
      </c>
      <c r="E242" s="66">
        <f>'Project Database'!I246</f>
        <v>0</v>
      </c>
      <c r="F242" s="66">
        <f>'Project Database'!J246</f>
        <v>0</v>
      </c>
      <c r="G242" s="66">
        <f>'Project Database'!K246</f>
        <v>0</v>
      </c>
      <c r="H242" s="66">
        <f>'Project Database'!L246</f>
        <v>0</v>
      </c>
      <c r="I242" s="66">
        <f>'Project Database'!M246</f>
        <v>0</v>
      </c>
      <c r="J242" s="66">
        <f>'Project Database'!N246</f>
        <v>0</v>
      </c>
      <c r="K242" s="66">
        <f>'Project Database'!O246</f>
        <v>0</v>
      </c>
      <c r="L242" s="66">
        <f>'Project Database'!P246</f>
        <v>0</v>
      </c>
      <c r="M242" s="66">
        <f>'Project Database'!Q246</f>
        <v>0</v>
      </c>
      <c r="N242" s="66">
        <f>'Project Database'!R246</f>
        <v>0</v>
      </c>
      <c r="O242" s="66">
        <f>'Project Database'!S246</f>
        <v>0</v>
      </c>
      <c r="P242" s="66">
        <f>'Project Database'!T246</f>
        <v>0</v>
      </c>
      <c r="Q242" s="66">
        <f>'Project Database'!U246</f>
        <v>0</v>
      </c>
      <c r="R242" s="66">
        <f>'Project Database'!V246</f>
        <v>0</v>
      </c>
      <c r="S242" s="66">
        <f>'Project Database'!W246</f>
        <v>0</v>
      </c>
      <c r="T242" s="66">
        <f>'Project Database'!X246</f>
        <v>0</v>
      </c>
      <c r="U242" s="67">
        <f>'Project Database'!Y246</f>
        <v>0</v>
      </c>
      <c r="V242" s="66">
        <f>IF('Smart Search'!B13=1,IFERROR(1/'Smart Search'!H13,0),0)</f>
        <v>0</v>
      </c>
      <c r="W242" s="66">
        <f>IF('Smart Search'!B13=1,IFERROR(1/'Smart Search'!H13,0),0)</f>
        <v>0</v>
      </c>
      <c r="X242" s="66">
        <f>IF('Smart Search'!C13=1,IFERROR(1/'Smart Search'!H13,0),0)</f>
        <v>0.5</v>
      </c>
      <c r="Y242" s="66">
        <f>IF('Smart Search'!C13=1,IFERROR(1/'Smart Search'!H13,0),0)</f>
        <v>0.5</v>
      </c>
      <c r="Z242" s="66">
        <f>IF('Smart Search'!D13=1,IFERROR(1/'Smart Search'!H13,0),0)</f>
        <v>0</v>
      </c>
      <c r="AA242" s="66">
        <f>IF('Smart Search'!D13=1,IFERROR(1/'Smart Search'!H13,0),0)</f>
        <v>0</v>
      </c>
      <c r="AB242" s="66">
        <f>IF('Smart Search'!E13=1,IFERROR(1/'Smart Search'!H13,0),0)</f>
        <v>0</v>
      </c>
      <c r="AC242" s="66">
        <f>IF('Smart Search'!E13=1,IFERROR(1/'Smart Search'!H13,0),0)</f>
        <v>0</v>
      </c>
      <c r="AD242" s="66">
        <f>IF('Smart Search'!F13=1,IFERROR(1/'Smart Search'!H13,0),0)</f>
        <v>0</v>
      </c>
      <c r="AE242" s="66">
        <f>IF('Smart Search'!F13=1,IFERROR(1/'Smart Search'!H13,0),0)</f>
        <v>0</v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>0</v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>0</v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>0</v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>0</v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>0</v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>0</v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>0</v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>0</v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>0</v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>0</v>
      </c>
      <c r="AP242" s="66">
        <f t="shared" si="42"/>
        <v>0</v>
      </c>
      <c r="AQ242" s="66">
        <f t="shared" si="43"/>
        <v>0</v>
      </c>
      <c r="AR242" s="66">
        <f t="shared" si="44"/>
        <v>0</v>
      </c>
      <c r="AS242" s="66">
        <f t="shared" si="45"/>
        <v>0</v>
      </c>
      <c r="AT242" s="66">
        <f t="shared" si="46"/>
        <v>0</v>
      </c>
      <c r="AU242" s="66">
        <f t="shared" si="47"/>
        <v>0</v>
      </c>
      <c r="AV242" s="66">
        <f t="shared" si="48"/>
        <v>0</v>
      </c>
      <c r="AW242" s="66">
        <f t="shared" si="49"/>
        <v>0</v>
      </c>
      <c r="AX242" s="66">
        <f t="shared" si="50"/>
        <v>0</v>
      </c>
      <c r="AY242" s="66">
        <f t="shared" si="51"/>
        <v>0</v>
      </c>
      <c r="AZ242" s="66">
        <f>'Project Database'!Z246</f>
        <v>0</v>
      </c>
      <c r="BA242" s="66">
        <f>IF(OR(A242="",'Smart Search'!H13=0),"",MAX(0,BE242*BF242*MAX(0,1-BG242)))</f>
        <v>0</v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>0</v>
      </c>
      <c r="BC242" s="66">
        <f>IF('Smart Search'!G13=1,IFERROR(1/'Smart Search'!H13,0),0)</f>
        <v>0</v>
      </c>
      <c r="BD242" s="66">
        <f t="shared" si="52"/>
        <v>0</v>
      </c>
      <c r="BE242" s="66">
        <f t="shared" si="53"/>
        <v>0</v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>0</v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>0</v>
      </c>
      <c r="BH242" s="5" t="str">
        <f>IF(AND('Project Database'!A246&lt;&gt;"",OR('Smart Search'!$L$5="",'Smart Search'!$L$5="All",TRIM('Project Database'!D246)=TRIM('Smart Search'!$L$5)),OR(TRIM('Smart Search'!$L$6)="",TRIM('Smart Search'!$L$6)="All",ISNUMBER(SEARCH(SUBSTITUTE(SUBSTITUTE(SUBSTITUTE(TRIM('Smart Search'!$L$6),"~","~~"),"*","~*"),"?","~?"),'Project Database'!C246))),OR('Smart Search'!$L$7="",AND('Project Database'!E246&lt;&gt;"",'Project Database'!E246='Smart Search'!$L$7)),OR('Smart Search'!$L$8="",'Smart Search'!$L$8="All",TRIM('Project Database'!F246)=TRIM('Smart Search'!$L$8))),IF(BA242="","",BA242+ROW()*0.0000000001),"")</f>
        <v/>
      </c>
      <c r="BI242" s="5" t="str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 t="str">
        <f>IF('Project Database'!A246="","",N('Project Database'!AC246))</f>
        <v/>
      </c>
      <c r="BK242" s="5" t="str">
        <f>IF('Project Database'!A246="","",N('Project Database'!AD246))</f>
        <v/>
      </c>
      <c r="BL242" s="5" t="str">
        <f>IF('Project Database'!A246="","",N('Project Database'!AE246))</f>
        <v/>
      </c>
      <c r="BM242" s="5" t="str">
        <f>IF('Project Database'!A246="","",N('Project Database'!AF246))</f>
        <v/>
      </c>
      <c r="BN242" s="5" t="str">
        <f>IF('Project Database'!A246="","",N('Project Database'!AG246))</f>
        <v/>
      </c>
      <c r="BO242" s="5" t="str">
        <f>IF('Project Database'!A246="","",N('Project Database'!AH246))</f>
        <v/>
      </c>
      <c r="BP242" s="5" t="str">
        <f>IF('Project Database'!A246="","",N('Project Database'!AI246))</f>
        <v/>
      </c>
      <c r="BQ242" s="5" t="str">
        <f>IF('Project Database'!A246="","",N('Project Database'!AJ246))</f>
        <v/>
      </c>
      <c r="BR242" s="5" t="str">
        <f>IF('Project Database'!A246="","",N('Project Database'!AK246))</f>
        <v/>
      </c>
      <c r="BS242" s="5" t="str">
        <f>IF('Project Database'!A246="","",N('Project Database'!AL246))</f>
        <v/>
      </c>
      <c r="BT242" s="5" t="str">
        <f>IF('Project Database'!A246="","",N('Project Database'!AM246))</f>
        <v/>
      </c>
      <c r="BU242" s="5" t="str">
        <f>IF('Project Database'!A246="","",N('Project Database'!AN246))</f>
        <v/>
      </c>
      <c r="BV242" s="5" t="str">
        <f>IF('Project Database'!A246="","",N('Project Database'!AO246))</f>
        <v/>
      </c>
      <c r="BW242" s="5" t="str">
        <f>IF('Project Database'!A246="","",N('Project Database'!AP246))</f>
        <v/>
      </c>
      <c r="BX242" s="5">
        <f t="shared" si="54"/>
        <v>0</v>
      </c>
      <c r="BY242" s="5">
        <f t="shared" si="55"/>
        <v>0</v>
      </c>
    </row>
    <row r="243" spans="1:77" ht="15" customHeight="1" x14ac:dyDescent="0.3">
      <c r="A243" s="66">
        <f>'Project Database'!A247</f>
        <v>0</v>
      </c>
      <c r="B243" s="66">
        <f>'Project Database'!B247</f>
        <v>0</v>
      </c>
      <c r="C243" s="66">
        <f>'Project Database'!G247</f>
        <v>0</v>
      </c>
      <c r="D243" s="66">
        <f>'Project Database'!H247</f>
        <v>0</v>
      </c>
      <c r="E243" s="66">
        <f>'Project Database'!I247</f>
        <v>0</v>
      </c>
      <c r="F243" s="66">
        <f>'Project Database'!J247</f>
        <v>0</v>
      </c>
      <c r="G243" s="66">
        <f>'Project Database'!K247</f>
        <v>0</v>
      </c>
      <c r="H243" s="66">
        <f>'Project Database'!L247</f>
        <v>0</v>
      </c>
      <c r="I243" s="66">
        <f>'Project Database'!M247</f>
        <v>0</v>
      </c>
      <c r="J243" s="66">
        <f>'Project Database'!N247</f>
        <v>0</v>
      </c>
      <c r="K243" s="66">
        <f>'Project Database'!O247</f>
        <v>0</v>
      </c>
      <c r="L243" s="66">
        <f>'Project Database'!P247</f>
        <v>0</v>
      </c>
      <c r="M243" s="66">
        <f>'Project Database'!Q247</f>
        <v>0</v>
      </c>
      <c r="N243" s="66">
        <f>'Project Database'!R247</f>
        <v>0</v>
      </c>
      <c r="O243" s="66">
        <f>'Project Database'!S247</f>
        <v>0</v>
      </c>
      <c r="P243" s="66">
        <f>'Project Database'!T247</f>
        <v>0</v>
      </c>
      <c r="Q243" s="66">
        <f>'Project Database'!U247</f>
        <v>0</v>
      </c>
      <c r="R243" s="66">
        <f>'Project Database'!V247</f>
        <v>0</v>
      </c>
      <c r="S243" s="66">
        <f>'Project Database'!W247</f>
        <v>0</v>
      </c>
      <c r="T243" s="66">
        <f>'Project Database'!X247</f>
        <v>0</v>
      </c>
      <c r="U243" s="67">
        <f>'Project Database'!Y247</f>
        <v>0</v>
      </c>
      <c r="V243" s="66">
        <f>IF('Smart Search'!B13=1,IFERROR(1/'Smart Search'!H13,0),0)</f>
        <v>0</v>
      </c>
      <c r="W243" s="66">
        <f>IF('Smart Search'!B13=1,IFERROR(1/'Smart Search'!H13,0),0)</f>
        <v>0</v>
      </c>
      <c r="X243" s="66">
        <f>IF('Smart Search'!C13=1,IFERROR(1/'Smart Search'!H13,0),0)</f>
        <v>0.5</v>
      </c>
      <c r="Y243" s="66">
        <f>IF('Smart Search'!C13=1,IFERROR(1/'Smart Search'!H13,0),0)</f>
        <v>0.5</v>
      </c>
      <c r="Z243" s="66">
        <f>IF('Smart Search'!D13=1,IFERROR(1/'Smart Search'!H13,0),0)</f>
        <v>0</v>
      </c>
      <c r="AA243" s="66">
        <f>IF('Smart Search'!D13=1,IFERROR(1/'Smart Search'!H13,0),0)</f>
        <v>0</v>
      </c>
      <c r="AB243" s="66">
        <f>IF('Smart Search'!E13=1,IFERROR(1/'Smart Search'!H13,0),0)</f>
        <v>0</v>
      </c>
      <c r="AC243" s="66">
        <f>IF('Smart Search'!E13=1,IFERROR(1/'Smart Search'!H13,0),0)</f>
        <v>0</v>
      </c>
      <c r="AD243" s="66">
        <f>IF('Smart Search'!F13=1,IFERROR(1/'Smart Search'!H13,0),0)</f>
        <v>0</v>
      </c>
      <c r="AE243" s="66">
        <f>IF('Smart Search'!F13=1,IFERROR(1/'Smart Search'!H13,0),0)</f>
        <v>0</v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>0</v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>0</v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>0</v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>0</v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>0</v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>0</v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>0</v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>0</v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>0</v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>0</v>
      </c>
      <c r="AP243" s="66">
        <f t="shared" si="42"/>
        <v>0</v>
      </c>
      <c r="AQ243" s="66">
        <f t="shared" si="43"/>
        <v>0</v>
      </c>
      <c r="AR243" s="66">
        <f t="shared" si="44"/>
        <v>0</v>
      </c>
      <c r="AS243" s="66">
        <f t="shared" si="45"/>
        <v>0</v>
      </c>
      <c r="AT243" s="66">
        <f t="shared" si="46"/>
        <v>0</v>
      </c>
      <c r="AU243" s="66">
        <f t="shared" si="47"/>
        <v>0</v>
      </c>
      <c r="AV243" s="66">
        <f t="shared" si="48"/>
        <v>0</v>
      </c>
      <c r="AW243" s="66">
        <f t="shared" si="49"/>
        <v>0</v>
      </c>
      <c r="AX243" s="66">
        <f t="shared" si="50"/>
        <v>0</v>
      </c>
      <c r="AY243" s="66">
        <f t="shared" si="51"/>
        <v>0</v>
      </c>
      <c r="AZ243" s="66">
        <f>'Project Database'!Z247</f>
        <v>0</v>
      </c>
      <c r="BA243" s="66">
        <f>IF(OR(A243="",'Smart Search'!H13=0),"",MAX(0,BE243*BF243*MAX(0,1-BG243)))</f>
        <v>0</v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>0</v>
      </c>
      <c r="BC243" s="66">
        <f>IF('Smart Search'!G13=1,IFERROR(1/'Smart Search'!H13,0),0)</f>
        <v>0</v>
      </c>
      <c r="BD243" s="66">
        <f t="shared" si="52"/>
        <v>0</v>
      </c>
      <c r="BE243" s="66">
        <f t="shared" si="53"/>
        <v>0</v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>0</v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>0</v>
      </c>
      <c r="BH243" s="5" t="str">
        <f>IF(AND('Project Database'!A247&lt;&gt;"",OR('Smart Search'!$L$5="",'Smart Search'!$L$5="All",TRIM('Project Database'!D247)=TRIM('Smart Search'!$L$5)),OR(TRIM('Smart Search'!$L$6)="",TRIM('Smart Search'!$L$6)="All",ISNUMBER(SEARCH(SUBSTITUTE(SUBSTITUTE(SUBSTITUTE(TRIM('Smart Search'!$L$6),"~","~~"),"*","~*"),"?","~?"),'Project Database'!C247))),OR('Smart Search'!$L$7="",AND('Project Database'!E247&lt;&gt;"",'Project Database'!E247='Smart Search'!$L$7)),OR('Smart Search'!$L$8="",'Smart Search'!$L$8="All",TRIM('Project Database'!F247)=TRIM('Smart Search'!$L$8))),IF(BA243="","",BA243+ROW()*0.0000000001),"")</f>
        <v/>
      </c>
      <c r="BI243" s="5" t="str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 t="str">
        <f>IF('Project Database'!A247="","",N('Project Database'!AC247))</f>
        <v/>
      </c>
      <c r="BK243" s="5" t="str">
        <f>IF('Project Database'!A247="","",N('Project Database'!AD247))</f>
        <v/>
      </c>
      <c r="BL243" s="5" t="str">
        <f>IF('Project Database'!A247="","",N('Project Database'!AE247))</f>
        <v/>
      </c>
      <c r="BM243" s="5" t="str">
        <f>IF('Project Database'!A247="","",N('Project Database'!AF247))</f>
        <v/>
      </c>
      <c r="BN243" s="5" t="str">
        <f>IF('Project Database'!A247="","",N('Project Database'!AG247))</f>
        <v/>
      </c>
      <c r="BO243" s="5" t="str">
        <f>IF('Project Database'!A247="","",N('Project Database'!AH247))</f>
        <v/>
      </c>
      <c r="BP243" s="5" t="str">
        <f>IF('Project Database'!A247="","",N('Project Database'!AI247))</f>
        <v/>
      </c>
      <c r="BQ243" s="5" t="str">
        <f>IF('Project Database'!A247="","",N('Project Database'!AJ247))</f>
        <v/>
      </c>
      <c r="BR243" s="5" t="str">
        <f>IF('Project Database'!A247="","",N('Project Database'!AK247))</f>
        <v/>
      </c>
      <c r="BS243" s="5" t="str">
        <f>IF('Project Database'!A247="","",N('Project Database'!AL247))</f>
        <v/>
      </c>
      <c r="BT243" s="5" t="str">
        <f>IF('Project Database'!A247="","",N('Project Database'!AM247))</f>
        <v/>
      </c>
      <c r="BU243" s="5" t="str">
        <f>IF('Project Database'!A247="","",N('Project Database'!AN247))</f>
        <v/>
      </c>
      <c r="BV243" s="5" t="str">
        <f>IF('Project Database'!A247="","",N('Project Database'!AO247))</f>
        <v/>
      </c>
      <c r="BW243" s="5" t="str">
        <f>IF('Project Database'!A247="","",N('Project Database'!AP247))</f>
        <v/>
      </c>
      <c r="BX243" s="5">
        <f t="shared" si="54"/>
        <v>0</v>
      </c>
      <c r="BY243" s="5">
        <f t="shared" si="55"/>
        <v>0</v>
      </c>
    </row>
    <row r="244" spans="1:77" ht="15" customHeight="1" x14ac:dyDescent="0.3">
      <c r="A244" s="66">
        <f>'Project Database'!A248</f>
        <v>0</v>
      </c>
      <c r="B244" s="66">
        <f>'Project Database'!B248</f>
        <v>0</v>
      </c>
      <c r="C244" s="66">
        <f>'Project Database'!G248</f>
        <v>0</v>
      </c>
      <c r="D244" s="66">
        <f>'Project Database'!H248</f>
        <v>0</v>
      </c>
      <c r="E244" s="66">
        <f>'Project Database'!I248</f>
        <v>0</v>
      </c>
      <c r="F244" s="66">
        <f>'Project Database'!J248</f>
        <v>0</v>
      </c>
      <c r="G244" s="66">
        <f>'Project Database'!K248</f>
        <v>0</v>
      </c>
      <c r="H244" s="66">
        <f>'Project Database'!L248</f>
        <v>0</v>
      </c>
      <c r="I244" s="66">
        <f>'Project Database'!M248</f>
        <v>0</v>
      </c>
      <c r="J244" s="66">
        <f>'Project Database'!N248</f>
        <v>0</v>
      </c>
      <c r="K244" s="66">
        <f>'Project Database'!O248</f>
        <v>0</v>
      </c>
      <c r="L244" s="66">
        <f>'Project Database'!P248</f>
        <v>0</v>
      </c>
      <c r="M244" s="66">
        <f>'Project Database'!Q248</f>
        <v>0</v>
      </c>
      <c r="N244" s="66">
        <f>'Project Database'!R248</f>
        <v>0</v>
      </c>
      <c r="O244" s="66">
        <f>'Project Database'!S248</f>
        <v>0</v>
      </c>
      <c r="P244" s="66">
        <f>'Project Database'!T248</f>
        <v>0</v>
      </c>
      <c r="Q244" s="66">
        <f>'Project Database'!U248</f>
        <v>0</v>
      </c>
      <c r="R244" s="66">
        <f>'Project Database'!V248</f>
        <v>0</v>
      </c>
      <c r="S244" s="66">
        <f>'Project Database'!W248</f>
        <v>0</v>
      </c>
      <c r="T244" s="66">
        <f>'Project Database'!X248</f>
        <v>0</v>
      </c>
      <c r="U244" s="67">
        <f>'Project Database'!Y248</f>
        <v>0</v>
      </c>
      <c r="V244" s="66">
        <f>IF('Smart Search'!B13=1,IFERROR(1/'Smart Search'!H13,0),0)</f>
        <v>0</v>
      </c>
      <c r="W244" s="66">
        <f>IF('Smart Search'!B13=1,IFERROR(1/'Smart Search'!H13,0),0)</f>
        <v>0</v>
      </c>
      <c r="X244" s="66">
        <f>IF('Smart Search'!C13=1,IFERROR(1/'Smart Search'!H13,0),0)</f>
        <v>0.5</v>
      </c>
      <c r="Y244" s="66">
        <f>IF('Smart Search'!C13=1,IFERROR(1/'Smart Search'!H13,0),0)</f>
        <v>0.5</v>
      </c>
      <c r="Z244" s="66">
        <f>IF('Smart Search'!D13=1,IFERROR(1/'Smart Search'!H13,0),0)</f>
        <v>0</v>
      </c>
      <c r="AA244" s="66">
        <f>IF('Smart Search'!D13=1,IFERROR(1/'Smart Search'!H13,0),0)</f>
        <v>0</v>
      </c>
      <c r="AB244" s="66">
        <f>IF('Smart Search'!E13=1,IFERROR(1/'Smart Search'!H13,0),0)</f>
        <v>0</v>
      </c>
      <c r="AC244" s="66">
        <f>IF('Smart Search'!E13=1,IFERROR(1/'Smart Search'!H13,0),0)</f>
        <v>0</v>
      </c>
      <c r="AD244" s="66">
        <f>IF('Smart Search'!F13=1,IFERROR(1/'Smart Search'!H13,0),0)</f>
        <v>0</v>
      </c>
      <c r="AE244" s="66">
        <f>IF('Smart Search'!F13=1,IFERROR(1/'Smart Search'!H13,0),0)</f>
        <v>0</v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>0</v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>0</v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>0</v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>0</v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>0</v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>0</v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>0</v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>0</v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>0</v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>0</v>
      </c>
      <c r="AP244" s="66">
        <f t="shared" si="42"/>
        <v>0</v>
      </c>
      <c r="AQ244" s="66">
        <f t="shared" si="43"/>
        <v>0</v>
      </c>
      <c r="AR244" s="66">
        <f t="shared" si="44"/>
        <v>0</v>
      </c>
      <c r="AS244" s="66">
        <f t="shared" si="45"/>
        <v>0</v>
      </c>
      <c r="AT244" s="66">
        <f t="shared" si="46"/>
        <v>0</v>
      </c>
      <c r="AU244" s="66">
        <f t="shared" si="47"/>
        <v>0</v>
      </c>
      <c r="AV244" s="66">
        <f t="shared" si="48"/>
        <v>0</v>
      </c>
      <c r="AW244" s="66">
        <f t="shared" si="49"/>
        <v>0</v>
      </c>
      <c r="AX244" s="66">
        <f t="shared" si="50"/>
        <v>0</v>
      </c>
      <c r="AY244" s="66">
        <f t="shared" si="51"/>
        <v>0</v>
      </c>
      <c r="AZ244" s="66">
        <f>'Project Database'!Z248</f>
        <v>0</v>
      </c>
      <c r="BA244" s="66">
        <f>IF(OR(A244="",'Smart Search'!H13=0),"",MAX(0,BE244*BF244*MAX(0,1-BG244)))</f>
        <v>0</v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>0</v>
      </c>
      <c r="BC244" s="66">
        <f>IF('Smart Search'!G13=1,IFERROR(1/'Smart Search'!H13,0),0)</f>
        <v>0</v>
      </c>
      <c r="BD244" s="66">
        <f t="shared" si="52"/>
        <v>0</v>
      </c>
      <c r="BE244" s="66">
        <f t="shared" si="53"/>
        <v>0</v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>0</v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>0</v>
      </c>
      <c r="BH244" s="5" t="str">
        <f>IF(AND('Project Database'!A248&lt;&gt;"",OR('Smart Search'!$L$5="",'Smart Search'!$L$5="All",TRIM('Project Database'!D248)=TRIM('Smart Search'!$L$5)),OR(TRIM('Smart Search'!$L$6)="",TRIM('Smart Search'!$L$6)="All",ISNUMBER(SEARCH(SUBSTITUTE(SUBSTITUTE(SUBSTITUTE(TRIM('Smart Search'!$L$6),"~","~~"),"*","~*"),"?","~?"),'Project Database'!C248))),OR('Smart Search'!$L$7="",AND('Project Database'!E248&lt;&gt;"",'Project Database'!E248='Smart Search'!$L$7)),OR('Smart Search'!$L$8="",'Smart Search'!$L$8="All",TRIM('Project Database'!F248)=TRIM('Smart Search'!$L$8))),IF(BA244="","",BA244+ROW()*0.0000000001),"")</f>
        <v/>
      </c>
      <c r="BI244" s="5" t="str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 t="str">
        <f>IF('Project Database'!A248="","",N('Project Database'!AC248))</f>
        <v/>
      </c>
      <c r="BK244" s="5" t="str">
        <f>IF('Project Database'!A248="","",N('Project Database'!AD248))</f>
        <v/>
      </c>
      <c r="BL244" s="5" t="str">
        <f>IF('Project Database'!A248="","",N('Project Database'!AE248))</f>
        <v/>
      </c>
      <c r="BM244" s="5" t="str">
        <f>IF('Project Database'!A248="","",N('Project Database'!AF248))</f>
        <v/>
      </c>
      <c r="BN244" s="5" t="str">
        <f>IF('Project Database'!A248="","",N('Project Database'!AG248))</f>
        <v/>
      </c>
      <c r="BO244" s="5" t="str">
        <f>IF('Project Database'!A248="","",N('Project Database'!AH248))</f>
        <v/>
      </c>
      <c r="BP244" s="5" t="str">
        <f>IF('Project Database'!A248="","",N('Project Database'!AI248))</f>
        <v/>
      </c>
      <c r="BQ244" s="5" t="str">
        <f>IF('Project Database'!A248="","",N('Project Database'!AJ248))</f>
        <v/>
      </c>
      <c r="BR244" s="5" t="str">
        <f>IF('Project Database'!A248="","",N('Project Database'!AK248))</f>
        <v/>
      </c>
      <c r="BS244" s="5" t="str">
        <f>IF('Project Database'!A248="","",N('Project Database'!AL248))</f>
        <v/>
      </c>
      <c r="BT244" s="5" t="str">
        <f>IF('Project Database'!A248="","",N('Project Database'!AM248))</f>
        <v/>
      </c>
      <c r="BU244" s="5" t="str">
        <f>IF('Project Database'!A248="","",N('Project Database'!AN248))</f>
        <v/>
      </c>
      <c r="BV244" s="5" t="str">
        <f>IF('Project Database'!A248="","",N('Project Database'!AO248))</f>
        <v/>
      </c>
      <c r="BW244" s="5" t="str">
        <f>IF('Project Database'!A248="","",N('Project Database'!AP248))</f>
        <v/>
      </c>
      <c r="BX244" s="5">
        <f t="shared" si="54"/>
        <v>0</v>
      </c>
      <c r="BY244" s="5">
        <f t="shared" si="55"/>
        <v>0</v>
      </c>
    </row>
    <row r="245" spans="1:77" ht="15" customHeight="1" x14ac:dyDescent="0.3">
      <c r="A245" s="66">
        <f>'Project Database'!A249</f>
        <v>0</v>
      </c>
      <c r="B245" s="66">
        <f>'Project Database'!B249</f>
        <v>0</v>
      </c>
      <c r="C245" s="66">
        <f>'Project Database'!G249</f>
        <v>0</v>
      </c>
      <c r="D245" s="66">
        <f>'Project Database'!H249</f>
        <v>0</v>
      </c>
      <c r="E245" s="66">
        <f>'Project Database'!I249</f>
        <v>0</v>
      </c>
      <c r="F245" s="66">
        <f>'Project Database'!J249</f>
        <v>0</v>
      </c>
      <c r="G245" s="66">
        <f>'Project Database'!K249</f>
        <v>0</v>
      </c>
      <c r="H245" s="66">
        <f>'Project Database'!L249</f>
        <v>0</v>
      </c>
      <c r="I245" s="66">
        <f>'Project Database'!M249</f>
        <v>0</v>
      </c>
      <c r="J245" s="66">
        <f>'Project Database'!N249</f>
        <v>0</v>
      </c>
      <c r="K245" s="66">
        <f>'Project Database'!O249</f>
        <v>0</v>
      </c>
      <c r="L245" s="66">
        <f>'Project Database'!P249</f>
        <v>0</v>
      </c>
      <c r="M245" s="66">
        <f>'Project Database'!Q249</f>
        <v>0</v>
      </c>
      <c r="N245" s="66">
        <f>'Project Database'!R249</f>
        <v>0</v>
      </c>
      <c r="O245" s="66">
        <f>'Project Database'!S249</f>
        <v>0</v>
      </c>
      <c r="P245" s="66">
        <f>'Project Database'!T249</f>
        <v>0</v>
      </c>
      <c r="Q245" s="66">
        <f>'Project Database'!U249</f>
        <v>0</v>
      </c>
      <c r="R245" s="66">
        <f>'Project Database'!V249</f>
        <v>0</v>
      </c>
      <c r="S245" s="66">
        <f>'Project Database'!W249</f>
        <v>0</v>
      </c>
      <c r="T245" s="66">
        <f>'Project Database'!X249</f>
        <v>0</v>
      </c>
      <c r="U245" s="67">
        <f>'Project Database'!Y249</f>
        <v>0</v>
      </c>
      <c r="V245" s="66">
        <f>IF('Smart Search'!B13=1,IFERROR(1/'Smart Search'!H13,0),0)</f>
        <v>0</v>
      </c>
      <c r="W245" s="66">
        <f>IF('Smart Search'!B13=1,IFERROR(1/'Smart Search'!H13,0),0)</f>
        <v>0</v>
      </c>
      <c r="X245" s="66">
        <f>IF('Smart Search'!C13=1,IFERROR(1/'Smart Search'!H13,0),0)</f>
        <v>0.5</v>
      </c>
      <c r="Y245" s="66">
        <f>IF('Smart Search'!C13=1,IFERROR(1/'Smart Search'!H13,0),0)</f>
        <v>0.5</v>
      </c>
      <c r="Z245" s="66">
        <f>IF('Smart Search'!D13=1,IFERROR(1/'Smart Search'!H13,0),0)</f>
        <v>0</v>
      </c>
      <c r="AA245" s="66">
        <f>IF('Smart Search'!D13=1,IFERROR(1/'Smart Search'!H13,0),0)</f>
        <v>0</v>
      </c>
      <c r="AB245" s="66">
        <f>IF('Smart Search'!E13=1,IFERROR(1/'Smart Search'!H13,0),0)</f>
        <v>0</v>
      </c>
      <c r="AC245" s="66">
        <f>IF('Smart Search'!E13=1,IFERROR(1/'Smart Search'!H13,0),0)</f>
        <v>0</v>
      </c>
      <c r="AD245" s="66">
        <f>IF('Smart Search'!F13=1,IFERROR(1/'Smart Search'!H13,0),0)</f>
        <v>0</v>
      </c>
      <c r="AE245" s="66">
        <f>IF('Smart Search'!F13=1,IFERROR(1/'Smart Search'!H13,0),0)</f>
        <v>0</v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>0</v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>0</v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>0</v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>0</v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>0</v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>0</v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>0</v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>0</v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>0</v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>0</v>
      </c>
      <c r="AP245" s="66">
        <f t="shared" si="42"/>
        <v>0</v>
      </c>
      <c r="AQ245" s="66">
        <f t="shared" si="43"/>
        <v>0</v>
      </c>
      <c r="AR245" s="66">
        <f t="shared" si="44"/>
        <v>0</v>
      </c>
      <c r="AS245" s="66">
        <f t="shared" si="45"/>
        <v>0</v>
      </c>
      <c r="AT245" s="66">
        <f t="shared" si="46"/>
        <v>0</v>
      </c>
      <c r="AU245" s="66">
        <f t="shared" si="47"/>
        <v>0</v>
      </c>
      <c r="AV245" s="66">
        <f t="shared" si="48"/>
        <v>0</v>
      </c>
      <c r="AW245" s="66">
        <f t="shared" si="49"/>
        <v>0</v>
      </c>
      <c r="AX245" s="66">
        <f t="shared" si="50"/>
        <v>0</v>
      </c>
      <c r="AY245" s="66">
        <f t="shared" si="51"/>
        <v>0</v>
      </c>
      <c r="AZ245" s="66">
        <f>'Project Database'!Z249</f>
        <v>0</v>
      </c>
      <c r="BA245" s="66">
        <f>IF(OR(A245="",'Smart Search'!H13=0),"",MAX(0,BE245*BF245*MAX(0,1-BG245)))</f>
        <v>0</v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>0</v>
      </c>
      <c r="BC245" s="66">
        <f>IF('Smart Search'!G13=1,IFERROR(1/'Smart Search'!H13,0),0)</f>
        <v>0</v>
      </c>
      <c r="BD245" s="66">
        <f t="shared" si="52"/>
        <v>0</v>
      </c>
      <c r="BE245" s="66">
        <f t="shared" si="53"/>
        <v>0</v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>0</v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>0</v>
      </c>
      <c r="BH245" s="5" t="str">
        <f>IF(AND('Project Database'!A249&lt;&gt;"",OR('Smart Search'!$L$5="",'Smart Search'!$L$5="All",TRIM('Project Database'!D249)=TRIM('Smart Search'!$L$5)),OR(TRIM('Smart Search'!$L$6)="",TRIM('Smart Search'!$L$6)="All",ISNUMBER(SEARCH(SUBSTITUTE(SUBSTITUTE(SUBSTITUTE(TRIM('Smart Search'!$L$6),"~","~~"),"*","~*"),"?","~?"),'Project Database'!C249))),OR('Smart Search'!$L$7="",AND('Project Database'!E249&lt;&gt;"",'Project Database'!E249='Smart Search'!$L$7)),OR('Smart Search'!$L$8="",'Smart Search'!$L$8="All",TRIM('Project Database'!F249)=TRIM('Smart Search'!$L$8))),IF(BA245="","",BA245+ROW()*0.0000000001),"")</f>
        <v/>
      </c>
      <c r="BI245" s="5" t="str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 t="str">
        <f>IF('Project Database'!A249="","",N('Project Database'!AC249))</f>
        <v/>
      </c>
      <c r="BK245" s="5" t="str">
        <f>IF('Project Database'!A249="","",N('Project Database'!AD249))</f>
        <v/>
      </c>
      <c r="BL245" s="5" t="str">
        <f>IF('Project Database'!A249="","",N('Project Database'!AE249))</f>
        <v/>
      </c>
      <c r="BM245" s="5" t="str">
        <f>IF('Project Database'!A249="","",N('Project Database'!AF249))</f>
        <v/>
      </c>
      <c r="BN245" s="5" t="str">
        <f>IF('Project Database'!A249="","",N('Project Database'!AG249))</f>
        <v/>
      </c>
      <c r="BO245" s="5" t="str">
        <f>IF('Project Database'!A249="","",N('Project Database'!AH249))</f>
        <v/>
      </c>
      <c r="BP245" s="5" t="str">
        <f>IF('Project Database'!A249="","",N('Project Database'!AI249))</f>
        <v/>
      </c>
      <c r="BQ245" s="5" t="str">
        <f>IF('Project Database'!A249="","",N('Project Database'!AJ249))</f>
        <v/>
      </c>
      <c r="BR245" s="5" t="str">
        <f>IF('Project Database'!A249="","",N('Project Database'!AK249))</f>
        <v/>
      </c>
      <c r="BS245" s="5" t="str">
        <f>IF('Project Database'!A249="","",N('Project Database'!AL249))</f>
        <v/>
      </c>
      <c r="BT245" s="5" t="str">
        <f>IF('Project Database'!A249="","",N('Project Database'!AM249))</f>
        <v/>
      </c>
      <c r="BU245" s="5" t="str">
        <f>IF('Project Database'!A249="","",N('Project Database'!AN249))</f>
        <v/>
      </c>
      <c r="BV245" s="5" t="str">
        <f>IF('Project Database'!A249="","",N('Project Database'!AO249))</f>
        <v/>
      </c>
      <c r="BW245" s="5" t="str">
        <f>IF('Project Database'!A249="","",N('Project Database'!AP249))</f>
        <v/>
      </c>
      <c r="BX245" s="5">
        <f t="shared" si="54"/>
        <v>0</v>
      </c>
      <c r="BY245" s="5">
        <f t="shared" si="55"/>
        <v>0</v>
      </c>
    </row>
    <row r="246" spans="1:77" ht="15" customHeight="1" x14ac:dyDescent="0.3">
      <c r="A246" s="66">
        <f>'Project Database'!A250</f>
        <v>0</v>
      </c>
      <c r="B246" s="66">
        <f>'Project Database'!B250</f>
        <v>0</v>
      </c>
      <c r="C246" s="66">
        <f>'Project Database'!G250</f>
        <v>0</v>
      </c>
      <c r="D246" s="66">
        <f>'Project Database'!H250</f>
        <v>0</v>
      </c>
      <c r="E246" s="66">
        <f>'Project Database'!I250</f>
        <v>0</v>
      </c>
      <c r="F246" s="66">
        <f>'Project Database'!J250</f>
        <v>0</v>
      </c>
      <c r="G246" s="66">
        <f>'Project Database'!K250</f>
        <v>0</v>
      </c>
      <c r="H246" s="66">
        <f>'Project Database'!L250</f>
        <v>0</v>
      </c>
      <c r="I246" s="66">
        <f>'Project Database'!M250</f>
        <v>0</v>
      </c>
      <c r="J246" s="66">
        <f>'Project Database'!N250</f>
        <v>0</v>
      </c>
      <c r="K246" s="66">
        <f>'Project Database'!O250</f>
        <v>0</v>
      </c>
      <c r="L246" s="66">
        <f>'Project Database'!P250</f>
        <v>0</v>
      </c>
      <c r="M246" s="66">
        <f>'Project Database'!Q250</f>
        <v>0</v>
      </c>
      <c r="N246" s="66">
        <f>'Project Database'!R250</f>
        <v>0</v>
      </c>
      <c r="O246" s="66">
        <f>'Project Database'!S250</f>
        <v>0</v>
      </c>
      <c r="P246" s="66">
        <f>'Project Database'!T250</f>
        <v>0</v>
      </c>
      <c r="Q246" s="66">
        <f>'Project Database'!U250</f>
        <v>0</v>
      </c>
      <c r="R246" s="66">
        <f>'Project Database'!V250</f>
        <v>0</v>
      </c>
      <c r="S246" s="66">
        <f>'Project Database'!W250</f>
        <v>0</v>
      </c>
      <c r="T246" s="66">
        <f>'Project Database'!X250</f>
        <v>0</v>
      </c>
      <c r="U246" s="67">
        <f>'Project Database'!Y250</f>
        <v>0</v>
      </c>
      <c r="V246" s="66">
        <f>IF('Smart Search'!B13=1,IFERROR(1/'Smart Search'!H13,0),0)</f>
        <v>0</v>
      </c>
      <c r="W246" s="66">
        <f>IF('Smart Search'!B13=1,IFERROR(1/'Smart Search'!H13,0),0)</f>
        <v>0</v>
      </c>
      <c r="X246" s="66">
        <f>IF('Smart Search'!C13=1,IFERROR(1/'Smart Search'!H13,0),0)</f>
        <v>0.5</v>
      </c>
      <c r="Y246" s="66">
        <f>IF('Smart Search'!C13=1,IFERROR(1/'Smart Search'!H13,0),0)</f>
        <v>0.5</v>
      </c>
      <c r="Z246" s="66">
        <f>IF('Smart Search'!D13=1,IFERROR(1/'Smart Search'!H13,0),0)</f>
        <v>0</v>
      </c>
      <c r="AA246" s="66">
        <f>IF('Smart Search'!D13=1,IFERROR(1/'Smart Search'!H13,0),0)</f>
        <v>0</v>
      </c>
      <c r="AB246" s="66">
        <f>IF('Smart Search'!E13=1,IFERROR(1/'Smart Search'!H13,0),0)</f>
        <v>0</v>
      </c>
      <c r="AC246" s="66">
        <f>IF('Smart Search'!E13=1,IFERROR(1/'Smart Search'!H13,0),0)</f>
        <v>0</v>
      </c>
      <c r="AD246" s="66">
        <f>IF('Smart Search'!F13=1,IFERROR(1/'Smart Search'!H13,0),0)</f>
        <v>0</v>
      </c>
      <c r="AE246" s="66">
        <f>IF('Smart Search'!F13=1,IFERROR(1/'Smart Search'!H13,0),0)</f>
        <v>0</v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>0</v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>0</v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>0</v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>0</v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>0</v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>0</v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>0</v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>0</v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>0</v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>0</v>
      </c>
      <c r="AP246" s="66">
        <f t="shared" si="42"/>
        <v>0</v>
      </c>
      <c r="AQ246" s="66">
        <f t="shared" si="43"/>
        <v>0</v>
      </c>
      <c r="AR246" s="66">
        <f t="shared" si="44"/>
        <v>0</v>
      </c>
      <c r="AS246" s="66">
        <f t="shared" si="45"/>
        <v>0</v>
      </c>
      <c r="AT246" s="66">
        <f t="shared" si="46"/>
        <v>0</v>
      </c>
      <c r="AU246" s="66">
        <f t="shared" si="47"/>
        <v>0</v>
      </c>
      <c r="AV246" s="66">
        <f t="shared" si="48"/>
        <v>0</v>
      </c>
      <c r="AW246" s="66">
        <f t="shared" si="49"/>
        <v>0</v>
      </c>
      <c r="AX246" s="66">
        <f t="shared" si="50"/>
        <v>0</v>
      </c>
      <c r="AY246" s="66">
        <f t="shared" si="51"/>
        <v>0</v>
      </c>
      <c r="AZ246" s="66">
        <f>'Project Database'!Z250</f>
        <v>0</v>
      </c>
      <c r="BA246" s="66">
        <f>IF(OR(A246="",'Smart Search'!H13=0),"",MAX(0,BE246*BF246*MAX(0,1-BG246)))</f>
        <v>0</v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>0</v>
      </c>
      <c r="BC246" s="66">
        <f>IF('Smart Search'!G13=1,IFERROR(1/'Smart Search'!H13,0),0)</f>
        <v>0</v>
      </c>
      <c r="BD246" s="66">
        <f t="shared" si="52"/>
        <v>0</v>
      </c>
      <c r="BE246" s="66">
        <f t="shared" si="53"/>
        <v>0</v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>0</v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>0</v>
      </c>
      <c r="BH246" s="5" t="str">
        <f>IF(AND('Project Database'!A250&lt;&gt;"",OR('Smart Search'!$L$5="",'Smart Search'!$L$5="All",TRIM('Project Database'!D250)=TRIM('Smart Search'!$L$5)),OR(TRIM('Smart Search'!$L$6)="",TRIM('Smart Search'!$L$6)="All",ISNUMBER(SEARCH(SUBSTITUTE(SUBSTITUTE(SUBSTITUTE(TRIM('Smart Search'!$L$6),"~","~~"),"*","~*"),"?","~?"),'Project Database'!C250))),OR('Smart Search'!$L$7="",AND('Project Database'!E250&lt;&gt;"",'Project Database'!E250='Smart Search'!$L$7)),OR('Smart Search'!$L$8="",'Smart Search'!$L$8="All",TRIM('Project Database'!F250)=TRIM('Smart Search'!$L$8))),IF(BA246="","",BA246+ROW()*0.0000000001),"")</f>
        <v/>
      </c>
      <c r="BI246" s="5" t="str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 t="str">
        <f>IF('Project Database'!A250="","",N('Project Database'!AC250))</f>
        <v/>
      </c>
      <c r="BK246" s="5" t="str">
        <f>IF('Project Database'!A250="","",N('Project Database'!AD250))</f>
        <v/>
      </c>
      <c r="BL246" s="5" t="str">
        <f>IF('Project Database'!A250="","",N('Project Database'!AE250))</f>
        <v/>
      </c>
      <c r="BM246" s="5" t="str">
        <f>IF('Project Database'!A250="","",N('Project Database'!AF250))</f>
        <v/>
      </c>
      <c r="BN246" s="5" t="str">
        <f>IF('Project Database'!A250="","",N('Project Database'!AG250))</f>
        <v/>
      </c>
      <c r="BO246" s="5" t="str">
        <f>IF('Project Database'!A250="","",N('Project Database'!AH250))</f>
        <v/>
      </c>
      <c r="BP246" s="5" t="str">
        <f>IF('Project Database'!A250="","",N('Project Database'!AI250))</f>
        <v/>
      </c>
      <c r="BQ246" s="5" t="str">
        <f>IF('Project Database'!A250="","",N('Project Database'!AJ250))</f>
        <v/>
      </c>
      <c r="BR246" s="5" t="str">
        <f>IF('Project Database'!A250="","",N('Project Database'!AK250))</f>
        <v/>
      </c>
      <c r="BS246" s="5" t="str">
        <f>IF('Project Database'!A250="","",N('Project Database'!AL250))</f>
        <v/>
      </c>
      <c r="BT246" s="5" t="str">
        <f>IF('Project Database'!A250="","",N('Project Database'!AM250))</f>
        <v/>
      </c>
      <c r="BU246" s="5" t="str">
        <f>IF('Project Database'!A250="","",N('Project Database'!AN250))</f>
        <v/>
      </c>
      <c r="BV246" s="5" t="str">
        <f>IF('Project Database'!A250="","",N('Project Database'!AO250))</f>
        <v/>
      </c>
      <c r="BW246" s="5" t="str">
        <f>IF('Project Database'!A250="","",N('Project Database'!AP250))</f>
        <v/>
      </c>
      <c r="BX246" s="5">
        <f t="shared" si="54"/>
        <v>0</v>
      </c>
      <c r="BY246" s="5">
        <f t="shared" si="55"/>
        <v>0</v>
      </c>
    </row>
    <row r="247" spans="1:77" ht="15" customHeight="1" x14ac:dyDescent="0.3">
      <c r="A247" s="66">
        <f>'Project Database'!A251</f>
        <v>0</v>
      </c>
      <c r="B247" s="66">
        <f>'Project Database'!B251</f>
        <v>0</v>
      </c>
      <c r="C247" s="66">
        <f>'Project Database'!G251</f>
        <v>0</v>
      </c>
      <c r="D247" s="66">
        <f>'Project Database'!H251</f>
        <v>0</v>
      </c>
      <c r="E247" s="66">
        <f>'Project Database'!I251</f>
        <v>0</v>
      </c>
      <c r="F247" s="66">
        <f>'Project Database'!J251</f>
        <v>0</v>
      </c>
      <c r="G247" s="66">
        <f>'Project Database'!K251</f>
        <v>0</v>
      </c>
      <c r="H247" s="66">
        <f>'Project Database'!L251</f>
        <v>0</v>
      </c>
      <c r="I247" s="66">
        <f>'Project Database'!M251</f>
        <v>0</v>
      </c>
      <c r="J247" s="66">
        <f>'Project Database'!N251</f>
        <v>0</v>
      </c>
      <c r="K247" s="66">
        <f>'Project Database'!O251</f>
        <v>0</v>
      </c>
      <c r="L247" s="66">
        <f>'Project Database'!P251</f>
        <v>0</v>
      </c>
      <c r="M247" s="66">
        <f>'Project Database'!Q251</f>
        <v>0</v>
      </c>
      <c r="N247" s="66">
        <f>'Project Database'!R251</f>
        <v>0</v>
      </c>
      <c r="O247" s="66">
        <f>'Project Database'!S251</f>
        <v>0</v>
      </c>
      <c r="P247" s="66">
        <f>'Project Database'!T251</f>
        <v>0</v>
      </c>
      <c r="Q247" s="66">
        <f>'Project Database'!U251</f>
        <v>0</v>
      </c>
      <c r="R247" s="66">
        <f>'Project Database'!V251</f>
        <v>0</v>
      </c>
      <c r="S247" s="66">
        <f>'Project Database'!W251</f>
        <v>0</v>
      </c>
      <c r="T247" s="66">
        <f>'Project Database'!X251</f>
        <v>0</v>
      </c>
      <c r="U247" s="67">
        <f>'Project Database'!Y251</f>
        <v>0</v>
      </c>
      <c r="V247" s="66">
        <f>IF('Smart Search'!B13=1,IFERROR(1/'Smart Search'!H13,0),0)</f>
        <v>0</v>
      </c>
      <c r="W247" s="66">
        <f>IF('Smart Search'!B13=1,IFERROR(1/'Smart Search'!H13,0),0)</f>
        <v>0</v>
      </c>
      <c r="X247" s="66">
        <f>IF('Smart Search'!C13=1,IFERROR(1/'Smart Search'!H13,0),0)</f>
        <v>0.5</v>
      </c>
      <c r="Y247" s="66">
        <f>IF('Smart Search'!C13=1,IFERROR(1/'Smart Search'!H13,0),0)</f>
        <v>0.5</v>
      </c>
      <c r="Z247" s="66">
        <f>IF('Smart Search'!D13=1,IFERROR(1/'Smart Search'!H13,0),0)</f>
        <v>0</v>
      </c>
      <c r="AA247" s="66">
        <f>IF('Smart Search'!D13=1,IFERROR(1/'Smart Search'!H13,0),0)</f>
        <v>0</v>
      </c>
      <c r="AB247" s="66">
        <f>IF('Smart Search'!E13=1,IFERROR(1/'Smart Search'!H13,0),0)</f>
        <v>0</v>
      </c>
      <c r="AC247" s="66">
        <f>IF('Smart Search'!E13=1,IFERROR(1/'Smart Search'!H13,0),0)</f>
        <v>0</v>
      </c>
      <c r="AD247" s="66">
        <f>IF('Smart Search'!F13=1,IFERROR(1/'Smart Search'!H13,0),0)</f>
        <v>0</v>
      </c>
      <c r="AE247" s="66">
        <f>IF('Smart Search'!F13=1,IFERROR(1/'Smart Search'!H13,0),0)</f>
        <v>0</v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>0</v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>0</v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>0</v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>0</v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>0</v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>0</v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>0</v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>0</v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>0</v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>0</v>
      </c>
      <c r="AP247" s="66">
        <f t="shared" si="42"/>
        <v>0</v>
      </c>
      <c r="AQ247" s="66">
        <f t="shared" si="43"/>
        <v>0</v>
      </c>
      <c r="AR247" s="66">
        <f t="shared" si="44"/>
        <v>0</v>
      </c>
      <c r="AS247" s="66">
        <f t="shared" si="45"/>
        <v>0</v>
      </c>
      <c r="AT247" s="66">
        <f t="shared" si="46"/>
        <v>0</v>
      </c>
      <c r="AU247" s="66">
        <f t="shared" si="47"/>
        <v>0</v>
      </c>
      <c r="AV247" s="66">
        <f t="shared" si="48"/>
        <v>0</v>
      </c>
      <c r="AW247" s="66">
        <f t="shared" si="49"/>
        <v>0</v>
      </c>
      <c r="AX247" s="66">
        <f t="shared" si="50"/>
        <v>0</v>
      </c>
      <c r="AY247" s="66">
        <f t="shared" si="51"/>
        <v>0</v>
      </c>
      <c r="AZ247" s="66">
        <f>'Project Database'!Z251</f>
        <v>0</v>
      </c>
      <c r="BA247" s="66">
        <f>IF(OR(A247="",'Smart Search'!H13=0),"",MAX(0,BE247*BF247*MAX(0,1-BG247)))</f>
        <v>0</v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>0</v>
      </c>
      <c r="BC247" s="66">
        <f>IF('Smart Search'!G13=1,IFERROR(1/'Smart Search'!H13,0),0)</f>
        <v>0</v>
      </c>
      <c r="BD247" s="66">
        <f t="shared" si="52"/>
        <v>0</v>
      </c>
      <c r="BE247" s="66">
        <f t="shared" si="53"/>
        <v>0</v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>0</v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>0</v>
      </c>
      <c r="BH247" s="5" t="str">
        <f>IF(AND('Project Database'!A251&lt;&gt;"",OR('Smart Search'!$L$5="",'Smart Search'!$L$5="All",TRIM('Project Database'!D251)=TRIM('Smart Search'!$L$5)),OR(TRIM('Smart Search'!$L$6)="",TRIM('Smart Search'!$L$6)="All",ISNUMBER(SEARCH(SUBSTITUTE(SUBSTITUTE(SUBSTITUTE(TRIM('Smart Search'!$L$6),"~","~~"),"*","~*"),"?","~?"),'Project Database'!C251))),OR('Smart Search'!$L$7="",AND('Project Database'!E251&lt;&gt;"",'Project Database'!E251='Smart Search'!$L$7)),OR('Smart Search'!$L$8="",'Smart Search'!$L$8="All",TRIM('Project Database'!F251)=TRIM('Smart Search'!$L$8))),IF(BA247="","",BA247+ROW()*0.0000000001),"")</f>
        <v/>
      </c>
      <c r="BI247" s="5" t="str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 t="str">
        <f>IF('Project Database'!A251="","",N('Project Database'!AC251))</f>
        <v/>
      </c>
      <c r="BK247" s="5" t="str">
        <f>IF('Project Database'!A251="","",N('Project Database'!AD251))</f>
        <v/>
      </c>
      <c r="BL247" s="5" t="str">
        <f>IF('Project Database'!A251="","",N('Project Database'!AE251))</f>
        <v/>
      </c>
      <c r="BM247" s="5" t="str">
        <f>IF('Project Database'!A251="","",N('Project Database'!AF251))</f>
        <v/>
      </c>
      <c r="BN247" s="5" t="str">
        <f>IF('Project Database'!A251="","",N('Project Database'!AG251))</f>
        <v/>
      </c>
      <c r="BO247" s="5" t="str">
        <f>IF('Project Database'!A251="","",N('Project Database'!AH251))</f>
        <v/>
      </c>
      <c r="BP247" s="5" t="str">
        <f>IF('Project Database'!A251="","",N('Project Database'!AI251))</f>
        <v/>
      </c>
      <c r="BQ247" s="5" t="str">
        <f>IF('Project Database'!A251="","",N('Project Database'!AJ251))</f>
        <v/>
      </c>
      <c r="BR247" s="5" t="str">
        <f>IF('Project Database'!A251="","",N('Project Database'!AK251))</f>
        <v/>
      </c>
      <c r="BS247" s="5" t="str">
        <f>IF('Project Database'!A251="","",N('Project Database'!AL251))</f>
        <v/>
      </c>
      <c r="BT247" s="5" t="str">
        <f>IF('Project Database'!A251="","",N('Project Database'!AM251))</f>
        <v/>
      </c>
      <c r="BU247" s="5" t="str">
        <f>IF('Project Database'!A251="","",N('Project Database'!AN251))</f>
        <v/>
      </c>
      <c r="BV247" s="5" t="str">
        <f>IF('Project Database'!A251="","",N('Project Database'!AO251))</f>
        <v/>
      </c>
      <c r="BW247" s="5" t="str">
        <f>IF('Project Database'!A251="","",N('Project Database'!AP251))</f>
        <v/>
      </c>
      <c r="BX247" s="5">
        <f t="shared" si="54"/>
        <v>0</v>
      </c>
      <c r="BY247" s="5">
        <f t="shared" si="55"/>
        <v>0</v>
      </c>
    </row>
    <row r="248" spans="1:77" ht="15" customHeight="1" x14ac:dyDescent="0.3">
      <c r="A248" s="66">
        <f>'Project Database'!A252</f>
        <v>0</v>
      </c>
      <c r="B248" s="66">
        <f>'Project Database'!B252</f>
        <v>0</v>
      </c>
      <c r="C248" s="66">
        <f>'Project Database'!G252</f>
        <v>0</v>
      </c>
      <c r="D248" s="66">
        <f>'Project Database'!H252</f>
        <v>0</v>
      </c>
      <c r="E248" s="66">
        <f>'Project Database'!I252</f>
        <v>0</v>
      </c>
      <c r="F248" s="66">
        <f>'Project Database'!J252</f>
        <v>0</v>
      </c>
      <c r="G248" s="66">
        <f>'Project Database'!K252</f>
        <v>0</v>
      </c>
      <c r="H248" s="66">
        <f>'Project Database'!L252</f>
        <v>0</v>
      </c>
      <c r="I248" s="66">
        <f>'Project Database'!M252</f>
        <v>0</v>
      </c>
      <c r="J248" s="66">
        <f>'Project Database'!N252</f>
        <v>0</v>
      </c>
      <c r="K248" s="66">
        <f>'Project Database'!O252</f>
        <v>0</v>
      </c>
      <c r="L248" s="66">
        <f>'Project Database'!P252</f>
        <v>0</v>
      </c>
      <c r="M248" s="66">
        <f>'Project Database'!Q252</f>
        <v>0</v>
      </c>
      <c r="N248" s="66">
        <f>'Project Database'!R252</f>
        <v>0</v>
      </c>
      <c r="O248" s="66">
        <f>'Project Database'!S252</f>
        <v>0</v>
      </c>
      <c r="P248" s="66">
        <f>'Project Database'!T252</f>
        <v>0</v>
      </c>
      <c r="Q248" s="66">
        <f>'Project Database'!U252</f>
        <v>0</v>
      </c>
      <c r="R248" s="66">
        <f>'Project Database'!V252</f>
        <v>0</v>
      </c>
      <c r="S248" s="66">
        <f>'Project Database'!W252</f>
        <v>0</v>
      </c>
      <c r="T248" s="66">
        <f>'Project Database'!X252</f>
        <v>0</v>
      </c>
      <c r="U248" s="67">
        <f>'Project Database'!Y252</f>
        <v>0</v>
      </c>
      <c r="V248" s="66">
        <f>IF('Smart Search'!B13=1,IFERROR(1/'Smart Search'!H13,0),0)</f>
        <v>0</v>
      </c>
      <c r="W248" s="66">
        <f>IF('Smart Search'!B13=1,IFERROR(1/'Smart Search'!H13,0),0)</f>
        <v>0</v>
      </c>
      <c r="X248" s="66">
        <f>IF('Smart Search'!C13=1,IFERROR(1/'Smart Search'!H13,0),0)</f>
        <v>0.5</v>
      </c>
      <c r="Y248" s="66">
        <f>IF('Smart Search'!C13=1,IFERROR(1/'Smart Search'!H13,0),0)</f>
        <v>0.5</v>
      </c>
      <c r="Z248" s="66">
        <f>IF('Smart Search'!D13=1,IFERROR(1/'Smart Search'!H13,0),0)</f>
        <v>0</v>
      </c>
      <c r="AA248" s="66">
        <f>IF('Smart Search'!D13=1,IFERROR(1/'Smart Search'!H13,0),0)</f>
        <v>0</v>
      </c>
      <c r="AB248" s="66">
        <f>IF('Smart Search'!E13=1,IFERROR(1/'Smart Search'!H13,0),0)</f>
        <v>0</v>
      </c>
      <c r="AC248" s="66">
        <f>IF('Smart Search'!E13=1,IFERROR(1/'Smart Search'!H13,0),0)</f>
        <v>0</v>
      </c>
      <c r="AD248" s="66">
        <f>IF('Smart Search'!F13=1,IFERROR(1/'Smart Search'!H13,0),0)</f>
        <v>0</v>
      </c>
      <c r="AE248" s="66">
        <f>IF('Smart Search'!F13=1,IFERROR(1/'Smart Search'!H13,0),0)</f>
        <v>0</v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>0</v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>0</v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>0</v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>0</v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>0</v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>0</v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>0</v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>0</v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>0</v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>0</v>
      </c>
      <c r="AP248" s="66">
        <f t="shared" si="42"/>
        <v>0</v>
      </c>
      <c r="AQ248" s="66">
        <f t="shared" si="43"/>
        <v>0</v>
      </c>
      <c r="AR248" s="66">
        <f t="shared" si="44"/>
        <v>0</v>
      </c>
      <c r="AS248" s="66">
        <f t="shared" si="45"/>
        <v>0</v>
      </c>
      <c r="AT248" s="66">
        <f t="shared" si="46"/>
        <v>0</v>
      </c>
      <c r="AU248" s="66">
        <f t="shared" si="47"/>
        <v>0</v>
      </c>
      <c r="AV248" s="66">
        <f t="shared" si="48"/>
        <v>0</v>
      </c>
      <c r="AW248" s="66">
        <f t="shared" si="49"/>
        <v>0</v>
      </c>
      <c r="AX248" s="66">
        <f t="shared" si="50"/>
        <v>0</v>
      </c>
      <c r="AY248" s="66">
        <f t="shared" si="51"/>
        <v>0</v>
      </c>
      <c r="AZ248" s="66">
        <f>'Project Database'!Z252</f>
        <v>0</v>
      </c>
      <c r="BA248" s="66">
        <f>IF(OR(A248="",'Smart Search'!H13=0),"",MAX(0,BE248*BF248*MAX(0,1-BG248)))</f>
        <v>0</v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>0</v>
      </c>
      <c r="BC248" s="66">
        <f>IF('Smart Search'!G13=1,IFERROR(1/'Smart Search'!H13,0),0)</f>
        <v>0</v>
      </c>
      <c r="BD248" s="66">
        <f t="shared" si="52"/>
        <v>0</v>
      </c>
      <c r="BE248" s="66">
        <f t="shared" si="53"/>
        <v>0</v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>0</v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>0</v>
      </c>
      <c r="BH248" s="5" t="str">
        <f>IF(AND('Project Database'!A252&lt;&gt;"",OR('Smart Search'!$L$5="",'Smart Search'!$L$5="All",TRIM('Project Database'!D252)=TRIM('Smart Search'!$L$5)),OR(TRIM('Smart Search'!$L$6)="",TRIM('Smart Search'!$L$6)="All",ISNUMBER(SEARCH(SUBSTITUTE(SUBSTITUTE(SUBSTITUTE(TRIM('Smart Search'!$L$6),"~","~~"),"*","~*"),"?","~?"),'Project Database'!C252))),OR('Smart Search'!$L$7="",AND('Project Database'!E252&lt;&gt;"",'Project Database'!E252='Smart Search'!$L$7)),OR('Smart Search'!$L$8="",'Smart Search'!$L$8="All",TRIM('Project Database'!F252)=TRIM('Smart Search'!$L$8))),IF(BA248="","",BA248+ROW()*0.0000000001),"")</f>
        <v/>
      </c>
      <c r="BI248" s="5" t="str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 t="str">
        <f>IF('Project Database'!A252="","",N('Project Database'!AC252))</f>
        <v/>
      </c>
      <c r="BK248" s="5" t="str">
        <f>IF('Project Database'!A252="","",N('Project Database'!AD252))</f>
        <v/>
      </c>
      <c r="BL248" s="5" t="str">
        <f>IF('Project Database'!A252="","",N('Project Database'!AE252))</f>
        <v/>
      </c>
      <c r="BM248" s="5" t="str">
        <f>IF('Project Database'!A252="","",N('Project Database'!AF252))</f>
        <v/>
      </c>
      <c r="BN248" s="5" t="str">
        <f>IF('Project Database'!A252="","",N('Project Database'!AG252))</f>
        <v/>
      </c>
      <c r="BO248" s="5" t="str">
        <f>IF('Project Database'!A252="","",N('Project Database'!AH252))</f>
        <v/>
      </c>
      <c r="BP248" s="5" t="str">
        <f>IF('Project Database'!A252="","",N('Project Database'!AI252))</f>
        <v/>
      </c>
      <c r="BQ248" s="5" t="str">
        <f>IF('Project Database'!A252="","",N('Project Database'!AJ252))</f>
        <v/>
      </c>
      <c r="BR248" s="5" t="str">
        <f>IF('Project Database'!A252="","",N('Project Database'!AK252))</f>
        <v/>
      </c>
      <c r="BS248" s="5" t="str">
        <f>IF('Project Database'!A252="","",N('Project Database'!AL252))</f>
        <v/>
      </c>
      <c r="BT248" s="5" t="str">
        <f>IF('Project Database'!A252="","",N('Project Database'!AM252))</f>
        <v/>
      </c>
      <c r="BU248" s="5" t="str">
        <f>IF('Project Database'!A252="","",N('Project Database'!AN252))</f>
        <v/>
      </c>
      <c r="BV248" s="5" t="str">
        <f>IF('Project Database'!A252="","",N('Project Database'!AO252))</f>
        <v/>
      </c>
      <c r="BW248" s="5" t="str">
        <f>IF('Project Database'!A252="","",N('Project Database'!AP252))</f>
        <v/>
      </c>
      <c r="BX248" s="5">
        <f t="shared" si="54"/>
        <v>0</v>
      </c>
      <c r="BY248" s="5">
        <f t="shared" si="55"/>
        <v>0</v>
      </c>
    </row>
    <row r="249" spans="1:77" ht="15" customHeight="1" x14ac:dyDescent="0.3">
      <c r="A249" s="66">
        <f>'Project Database'!A253</f>
        <v>0</v>
      </c>
      <c r="B249" s="66">
        <f>'Project Database'!B253</f>
        <v>0</v>
      </c>
      <c r="C249" s="66">
        <f>'Project Database'!G253</f>
        <v>0</v>
      </c>
      <c r="D249" s="66">
        <f>'Project Database'!H253</f>
        <v>0</v>
      </c>
      <c r="E249" s="66">
        <f>'Project Database'!I253</f>
        <v>0</v>
      </c>
      <c r="F249" s="66">
        <f>'Project Database'!J253</f>
        <v>0</v>
      </c>
      <c r="G249" s="66">
        <f>'Project Database'!K253</f>
        <v>0</v>
      </c>
      <c r="H249" s="66">
        <f>'Project Database'!L253</f>
        <v>0</v>
      </c>
      <c r="I249" s="66">
        <f>'Project Database'!M253</f>
        <v>0</v>
      </c>
      <c r="J249" s="66">
        <f>'Project Database'!N253</f>
        <v>0</v>
      </c>
      <c r="K249" s="66">
        <f>'Project Database'!O253</f>
        <v>0</v>
      </c>
      <c r="L249" s="66">
        <f>'Project Database'!P253</f>
        <v>0</v>
      </c>
      <c r="M249" s="66">
        <f>'Project Database'!Q253</f>
        <v>0</v>
      </c>
      <c r="N249" s="66">
        <f>'Project Database'!R253</f>
        <v>0</v>
      </c>
      <c r="O249" s="66">
        <f>'Project Database'!S253</f>
        <v>0</v>
      </c>
      <c r="P249" s="66">
        <f>'Project Database'!T253</f>
        <v>0</v>
      </c>
      <c r="Q249" s="66">
        <f>'Project Database'!U253</f>
        <v>0</v>
      </c>
      <c r="R249" s="66">
        <f>'Project Database'!V253</f>
        <v>0</v>
      </c>
      <c r="S249" s="66">
        <f>'Project Database'!W253</f>
        <v>0</v>
      </c>
      <c r="T249" s="66">
        <f>'Project Database'!X253</f>
        <v>0</v>
      </c>
      <c r="U249" s="67">
        <f>'Project Database'!Y253</f>
        <v>0</v>
      </c>
      <c r="V249" s="66">
        <f>IF('Smart Search'!B13=1,IFERROR(1/'Smart Search'!H13,0),0)</f>
        <v>0</v>
      </c>
      <c r="W249" s="66">
        <f>IF('Smart Search'!B13=1,IFERROR(1/'Smart Search'!H13,0),0)</f>
        <v>0</v>
      </c>
      <c r="X249" s="66">
        <f>IF('Smart Search'!C13=1,IFERROR(1/'Smart Search'!H13,0),0)</f>
        <v>0.5</v>
      </c>
      <c r="Y249" s="66">
        <f>IF('Smart Search'!C13=1,IFERROR(1/'Smart Search'!H13,0),0)</f>
        <v>0.5</v>
      </c>
      <c r="Z249" s="66">
        <f>IF('Smart Search'!D13=1,IFERROR(1/'Smart Search'!H13,0),0)</f>
        <v>0</v>
      </c>
      <c r="AA249" s="66">
        <f>IF('Smart Search'!D13=1,IFERROR(1/'Smart Search'!H13,0),0)</f>
        <v>0</v>
      </c>
      <c r="AB249" s="66">
        <f>IF('Smart Search'!E13=1,IFERROR(1/'Smart Search'!H13,0),0)</f>
        <v>0</v>
      </c>
      <c r="AC249" s="66">
        <f>IF('Smart Search'!E13=1,IFERROR(1/'Smart Search'!H13,0),0)</f>
        <v>0</v>
      </c>
      <c r="AD249" s="66">
        <f>IF('Smart Search'!F13=1,IFERROR(1/'Smart Search'!H13,0),0)</f>
        <v>0</v>
      </c>
      <c r="AE249" s="66">
        <f>IF('Smart Search'!F13=1,IFERROR(1/'Smart Search'!H13,0),0)</f>
        <v>0</v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>0</v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>0</v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>0</v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>0</v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>0</v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>0</v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>0</v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>0</v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>0</v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>0</v>
      </c>
      <c r="AP249" s="66">
        <f t="shared" si="42"/>
        <v>0</v>
      </c>
      <c r="AQ249" s="66">
        <f t="shared" si="43"/>
        <v>0</v>
      </c>
      <c r="AR249" s="66">
        <f t="shared" si="44"/>
        <v>0</v>
      </c>
      <c r="AS249" s="66">
        <f t="shared" si="45"/>
        <v>0</v>
      </c>
      <c r="AT249" s="66">
        <f t="shared" si="46"/>
        <v>0</v>
      </c>
      <c r="AU249" s="66">
        <f t="shared" si="47"/>
        <v>0</v>
      </c>
      <c r="AV249" s="66">
        <f t="shared" si="48"/>
        <v>0</v>
      </c>
      <c r="AW249" s="66">
        <f t="shared" si="49"/>
        <v>0</v>
      </c>
      <c r="AX249" s="66">
        <f t="shared" si="50"/>
        <v>0</v>
      </c>
      <c r="AY249" s="66">
        <f t="shared" si="51"/>
        <v>0</v>
      </c>
      <c r="AZ249" s="66">
        <f>'Project Database'!Z253</f>
        <v>0</v>
      </c>
      <c r="BA249" s="66">
        <f>IF(OR(A249="",'Smart Search'!H13=0),"",MAX(0,BE249*BF249*MAX(0,1-BG249)))</f>
        <v>0</v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>0</v>
      </c>
      <c r="BC249" s="66">
        <f>IF('Smart Search'!G13=1,IFERROR(1/'Smart Search'!H13,0),0)</f>
        <v>0</v>
      </c>
      <c r="BD249" s="66">
        <f t="shared" si="52"/>
        <v>0</v>
      </c>
      <c r="BE249" s="66">
        <f t="shared" si="53"/>
        <v>0</v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>0</v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>0</v>
      </c>
      <c r="BH249" s="5" t="str">
        <f>IF(AND('Project Database'!A253&lt;&gt;"",OR('Smart Search'!$L$5="",'Smart Search'!$L$5="All",TRIM('Project Database'!D253)=TRIM('Smart Search'!$L$5)),OR(TRIM('Smart Search'!$L$6)="",TRIM('Smart Search'!$L$6)="All",ISNUMBER(SEARCH(SUBSTITUTE(SUBSTITUTE(SUBSTITUTE(TRIM('Smart Search'!$L$6),"~","~~"),"*","~*"),"?","~?"),'Project Database'!C253))),OR('Smart Search'!$L$7="",AND('Project Database'!E253&lt;&gt;"",'Project Database'!E253='Smart Search'!$L$7)),OR('Smart Search'!$L$8="",'Smart Search'!$L$8="All",TRIM('Project Database'!F253)=TRIM('Smart Search'!$L$8))),IF(BA249="","",BA249+ROW()*0.0000000001),"")</f>
        <v/>
      </c>
      <c r="BI249" s="5" t="str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 t="str">
        <f>IF('Project Database'!A253="","",N('Project Database'!AC253))</f>
        <v/>
      </c>
      <c r="BK249" s="5" t="str">
        <f>IF('Project Database'!A253="","",N('Project Database'!AD253))</f>
        <v/>
      </c>
      <c r="BL249" s="5" t="str">
        <f>IF('Project Database'!A253="","",N('Project Database'!AE253))</f>
        <v/>
      </c>
      <c r="BM249" s="5" t="str">
        <f>IF('Project Database'!A253="","",N('Project Database'!AF253))</f>
        <v/>
      </c>
      <c r="BN249" s="5" t="str">
        <f>IF('Project Database'!A253="","",N('Project Database'!AG253))</f>
        <v/>
      </c>
      <c r="BO249" s="5" t="str">
        <f>IF('Project Database'!A253="","",N('Project Database'!AH253))</f>
        <v/>
      </c>
      <c r="BP249" s="5" t="str">
        <f>IF('Project Database'!A253="","",N('Project Database'!AI253))</f>
        <v/>
      </c>
      <c r="BQ249" s="5" t="str">
        <f>IF('Project Database'!A253="","",N('Project Database'!AJ253))</f>
        <v/>
      </c>
      <c r="BR249" s="5" t="str">
        <f>IF('Project Database'!A253="","",N('Project Database'!AK253))</f>
        <v/>
      </c>
      <c r="BS249" s="5" t="str">
        <f>IF('Project Database'!A253="","",N('Project Database'!AL253))</f>
        <v/>
      </c>
      <c r="BT249" s="5" t="str">
        <f>IF('Project Database'!A253="","",N('Project Database'!AM253))</f>
        <v/>
      </c>
      <c r="BU249" s="5" t="str">
        <f>IF('Project Database'!A253="","",N('Project Database'!AN253))</f>
        <v/>
      </c>
      <c r="BV249" s="5" t="str">
        <f>IF('Project Database'!A253="","",N('Project Database'!AO253))</f>
        <v/>
      </c>
      <c r="BW249" s="5" t="str">
        <f>IF('Project Database'!A253="","",N('Project Database'!AP253))</f>
        <v/>
      </c>
      <c r="BX249" s="5">
        <f t="shared" si="54"/>
        <v>0</v>
      </c>
      <c r="BY249" s="5">
        <f t="shared" si="55"/>
        <v>0</v>
      </c>
    </row>
    <row r="250" spans="1:77" ht="15" customHeight="1" x14ac:dyDescent="0.3">
      <c r="A250" s="66">
        <f>'Project Database'!A254</f>
        <v>0</v>
      </c>
      <c r="B250" s="66">
        <f>'Project Database'!B254</f>
        <v>0</v>
      </c>
      <c r="C250" s="66">
        <f>'Project Database'!G254</f>
        <v>0</v>
      </c>
      <c r="D250" s="66">
        <f>'Project Database'!H254</f>
        <v>0</v>
      </c>
      <c r="E250" s="66">
        <f>'Project Database'!I254</f>
        <v>0</v>
      </c>
      <c r="F250" s="66">
        <f>'Project Database'!J254</f>
        <v>0</v>
      </c>
      <c r="G250" s="66">
        <f>'Project Database'!K254</f>
        <v>0</v>
      </c>
      <c r="H250" s="66">
        <f>'Project Database'!L254</f>
        <v>0</v>
      </c>
      <c r="I250" s="66">
        <f>'Project Database'!M254</f>
        <v>0</v>
      </c>
      <c r="J250" s="66">
        <f>'Project Database'!N254</f>
        <v>0</v>
      </c>
      <c r="K250" s="66">
        <f>'Project Database'!O254</f>
        <v>0</v>
      </c>
      <c r="L250" s="66">
        <f>'Project Database'!P254</f>
        <v>0</v>
      </c>
      <c r="M250" s="66">
        <f>'Project Database'!Q254</f>
        <v>0</v>
      </c>
      <c r="N250" s="66">
        <f>'Project Database'!R254</f>
        <v>0</v>
      </c>
      <c r="O250" s="66">
        <f>'Project Database'!S254</f>
        <v>0</v>
      </c>
      <c r="P250" s="66">
        <f>'Project Database'!T254</f>
        <v>0</v>
      </c>
      <c r="Q250" s="66">
        <f>'Project Database'!U254</f>
        <v>0</v>
      </c>
      <c r="R250" s="66">
        <f>'Project Database'!V254</f>
        <v>0</v>
      </c>
      <c r="S250" s="66">
        <f>'Project Database'!W254</f>
        <v>0</v>
      </c>
      <c r="T250" s="66">
        <f>'Project Database'!X254</f>
        <v>0</v>
      </c>
      <c r="U250" s="67">
        <f>'Project Database'!Y254</f>
        <v>0</v>
      </c>
      <c r="V250" s="66">
        <f>IF('Smart Search'!B13=1,IFERROR(1/'Smart Search'!H13,0),0)</f>
        <v>0</v>
      </c>
      <c r="W250" s="66">
        <f>IF('Smart Search'!B13=1,IFERROR(1/'Smart Search'!H13,0),0)</f>
        <v>0</v>
      </c>
      <c r="X250" s="66">
        <f>IF('Smart Search'!C13=1,IFERROR(1/'Smart Search'!H13,0),0)</f>
        <v>0.5</v>
      </c>
      <c r="Y250" s="66">
        <f>IF('Smart Search'!C13=1,IFERROR(1/'Smart Search'!H13,0),0)</f>
        <v>0.5</v>
      </c>
      <c r="Z250" s="66">
        <f>IF('Smart Search'!D13=1,IFERROR(1/'Smart Search'!H13,0),0)</f>
        <v>0</v>
      </c>
      <c r="AA250" s="66">
        <f>IF('Smart Search'!D13=1,IFERROR(1/'Smart Search'!H13,0),0)</f>
        <v>0</v>
      </c>
      <c r="AB250" s="66">
        <f>IF('Smart Search'!E13=1,IFERROR(1/'Smart Search'!H13,0),0)</f>
        <v>0</v>
      </c>
      <c r="AC250" s="66">
        <f>IF('Smart Search'!E13=1,IFERROR(1/'Smart Search'!H13,0),0)</f>
        <v>0</v>
      </c>
      <c r="AD250" s="66">
        <f>IF('Smart Search'!F13=1,IFERROR(1/'Smart Search'!H13,0),0)</f>
        <v>0</v>
      </c>
      <c r="AE250" s="66">
        <f>IF('Smart Search'!F13=1,IFERROR(1/'Smart Search'!H13,0),0)</f>
        <v>0</v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>0</v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>0</v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>0</v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>0</v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>0</v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>0</v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>0</v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>0</v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>0</v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>0</v>
      </c>
      <c r="AP250" s="66">
        <f t="shared" si="42"/>
        <v>0</v>
      </c>
      <c r="AQ250" s="66">
        <f t="shared" si="43"/>
        <v>0</v>
      </c>
      <c r="AR250" s="66">
        <f t="shared" si="44"/>
        <v>0</v>
      </c>
      <c r="AS250" s="66">
        <f t="shared" si="45"/>
        <v>0</v>
      </c>
      <c r="AT250" s="66">
        <f t="shared" si="46"/>
        <v>0</v>
      </c>
      <c r="AU250" s="66">
        <f t="shared" si="47"/>
        <v>0</v>
      </c>
      <c r="AV250" s="66">
        <f t="shared" si="48"/>
        <v>0</v>
      </c>
      <c r="AW250" s="66">
        <f t="shared" si="49"/>
        <v>0</v>
      </c>
      <c r="AX250" s="66">
        <f t="shared" si="50"/>
        <v>0</v>
      </c>
      <c r="AY250" s="66">
        <f t="shared" si="51"/>
        <v>0</v>
      </c>
      <c r="AZ250" s="66">
        <f>'Project Database'!Z254</f>
        <v>0</v>
      </c>
      <c r="BA250" s="66">
        <f>IF(OR(A250="",'Smart Search'!H13=0),"",MAX(0,BE250*BF250*MAX(0,1-BG250)))</f>
        <v>0</v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>0</v>
      </c>
      <c r="BC250" s="66">
        <f>IF('Smart Search'!G13=1,IFERROR(1/'Smart Search'!H13,0),0)</f>
        <v>0</v>
      </c>
      <c r="BD250" s="66">
        <f t="shared" si="52"/>
        <v>0</v>
      </c>
      <c r="BE250" s="66">
        <f t="shared" si="53"/>
        <v>0</v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>0</v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>0</v>
      </c>
      <c r="BH250" s="5" t="str">
        <f>IF(AND('Project Database'!A254&lt;&gt;"",OR('Smart Search'!$L$5="",'Smart Search'!$L$5="All",TRIM('Project Database'!D254)=TRIM('Smart Search'!$L$5)),OR(TRIM('Smart Search'!$L$6)="",TRIM('Smart Search'!$L$6)="All",ISNUMBER(SEARCH(SUBSTITUTE(SUBSTITUTE(SUBSTITUTE(TRIM('Smart Search'!$L$6),"~","~~"),"*","~*"),"?","~?"),'Project Database'!C254))),OR('Smart Search'!$L$7="",AND('Project Database'!E254&lt;&gt;"",'Project Database'!E254='Smart Search'!$L$7)),OR('Smart Search'!$L$8="",'Smart Search'!$L$8="All",TRIM('Project Database'!F254)=TRIM('Smart Search'!$L$8))),IF(BA250="","",BA250+ROW()*0.0000000001),"")</f>
        <v/>
      </c>
      <c r="BI250" s="5" t="str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 t="str">
        <f>IF('Project Database'!A254="","",N('Project Database'!AC254))</f>
        <v/>
      </c>
      <c r="BK250" s="5" t="str">
        <f>IF('Project Database'!A254="","",N('Project Database'!AD254))</f>
        <v/>
      </c>
      <c r="BL250" s="5" t="str">
        <f>IF('Project Database'!A254="","",N('Project Database'!AE254))</f>
        <v/>
      </c>
      <c r="BM250" s="5" t="str">
        <f>IF('Project Database'!A254="","",N('Project Database'!AF254))</f>
        <v/>
      </c>
      <c r="BN250" s="5" t="str">
        <f>IF('Project Database'!A254="","",N('Project Database'!AG254))</f>
        <v/>
      </c>
      <c r="BO250" s="5" t="str">
        <f>IF('Project Database'!A254="","",N('Project Database'!AH254))</f>
        <v/>
      </c>
      <c r="BP250" s="5" t="str">
        <f>IF('Project Database'!A254="","",N('Project Database'!AI254))</f>
        <v/>
      </c>
      <c r="BQ250" s="5" t="str">
        <f>IF('Project Database'!A254="","",N('Project Database'!AJ254))</f>
        <v/>
      </c>
      <c r="BR250" s="5" t="str">
        <f>IF('Project Database'!A254="","",N('Project Database'!AK254))</f>
        <v/>
      </c>
      <c r="BS250" s="5" t="str">
        <f>IF('Project Database'!A254="","",N('Project Database'!AL254))</f>
        <v/>
      </c>
      <c r="BT250" s="5" t="str">
        <f>IF('Project Database'!A254="","",N('Project Database'!AM254))</f>
        <v/>
      </c>
      <c r="BU250" s="5" t="str">
        <f>IF('Project Database'!A254="","",N('Project Database'!AN254))</f>
        <v/>
      </c>
      <c r="BV250" s="5" t="str">
        <f>IF('Project Database'!A254="","",N('Project Database'!AO254))</f>
        <v/>
      </c>
      <c r="BW250" s="5" t="str">
        <f>IF('Project Database'!A254="","",N('Project Database'!AP254))</f>
        <v/>
      </c>
      <c r="BX250" s="5">
        <f t="shared" si="54"/>
        <v>0</v>
      </c>
      <c r="BY250" s="5">
        <f t="shared" si="55"/>
        <v>0</v>
      </c>
    </row>
    <row r="251" spans="1:77" ht="15" customHeight="1" x14ac:dyDescent="0.3">
      <c r="A251" s="66">
        <f>'Project Database'!A255</f>
        <v>0</v>
      </c>
      <c r="B251" s="66">
        <f>'Project Database'!B255</f>
        <v>0</v>
      </c>
      <c r="C251" s="66">
        <f>'Project Database'!G255</f>
        <v>0</v>
      </c>
      <c r="D251" s="66">
        <f>'Project Database'!H255</f>
        <v>0</v>
      </c>
      <c r="E251" s="66">
        <f>'Project Database'!I255</f>
        <v>0</v>
      </c>
      <c r="F251" s="66">
        <f>'Project Database'!J255</f>
        <v>0</v>
      </c>
      <c r="G251" s="66">
        <f>'Project Database'!K255</f>
        <v>0</v>
      </c>
      <c r="H251" s="66">
        <f>'Project Database'!L255</f>
        <v>0</v>
      </c>
      <c r="I251" s="66">
        <f>'Project Database'!M255</f>
        <v>0</v>
      </c>
      <c r="J251" s="66">
        <f>'Project Database'!N255</f>
        <v>0</v>
      </c>
      <c r="K251" s="66">
        <f>'Project Database'!O255</f>
        <v>0</v>
      </c>
      <c r="L251" s="66">
        <f>'Project Database'!P255</f>
        <v>0</v>
      </c>
      <c r="M251" s="66">
        <f>'Project Database'!Q255</f>
        <v>0</v>
      </c>
      <c r="N251" s="66">
        <f>'Project Database'!R255</f>
        <v>0</v>
      </c>
      <c r="O251" s="66">
        <f>'Project Database'!S255</f>
        <v>0</v>
      </c>
      <c r="P251" s="66">
        <f>'Project Database'!T255</f>
        <v>0</v>
      </c>
      <c r="Q251" s="66">
        <f>'Project Database'!U255</f>
        <v>0</v>
      </c>
      <c r="R251" s="66">
        <f>'Project Database'!V255</f>
        <v>0</v>
      </c>
      <c r="S251" s="66">
        <f>'Project Database'!W255</f>
        <v>0</v>
      </c>
      <c r="T251" s="66">
        <f>'Project Database'!X255</f>
        <v>0</v>
      </c>
      <c r="U251" s="67">
        <f>'Project Database'!Y255</f>
        <v>0</v>
      </c>
      <c r="V251" s="66">
        <f>IF('Smart Search'!B13=1,IFERROR(1/'Smart Search'!H13,0),0)</f>
        <v>0</v>
      </c>
      <c r="W251" s="66">
        <f>IF('Smart Search'!B13=1,IFERROR(1/'Smart Search'!H13,0),0)</f>
        <v>0</v>
      </c>
      <c r="X251" s="66">
        <f>IF('Smart Search'!C13=1,IFERROR(1/'Smart Search'!H13,0),0)</f>
        <v>0.5</v>
      </c>
      <c r="Y251" s="66">
        <f>IF('Smart Search'!C13=1,IFERROR(1/'Smart Search'!H13,0),0)</f>
        <v>0.5</v>
      </c>
      <c r="Z251" s="66">
        <f>IF('Smart Search'!D13=1,IFERROR(1/'Smart Search'!H13,0),0)</f>
        <v>0</v>
      </c>
      <c r="AA251" s="66">
        <f>IF('Smart Search'!D13=1,IFERROR(1/'Smart Search'!H13,0),0)</f>
        <v>0</v>
      </c>
      <c r="AB251" s="66">
        <f>IF('Smart Search'!E13=1,IFERROR(1/'Smart Search'!H13,0),0)</f>
        <v>0</v>
      </c>
      <c r="AC251" s="66">
        <f>IF('Smart Search'!E13=1,IFERROR(1/'Smart Search'!H13,0),0)</f>
        <v>0</v>
      </c>
      <c r="AD251" s="66">
        <f>IF('Smart Search'!F13=1,IFERROR(1/'Smart Search'!H13,0),0)</f>
        <v>0</v>
      </c>
      <c r="AE251" s="66">
        <f>IF('Smart Search'!F13=1,IFERROR(1/'Smart Search'!H13,0),0)</f>
        <v>0</v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>0</v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>0</v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>0</v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>0</v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>0</v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>0</v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>0</v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>0</v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>0</v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>0</v>
      </c>
      <c r="AP251" s="66">
        <f t="shared" si="42"/>
        <v>0</v>
      </c>
      <c r="AQ251" s="66">
        <f t="shared" si="43"/>
        <v>0</v>
      </c>
      <c r="AR251" s="66">
        <f t="shared" si="44"/>
        <v>0</v>
      </c>
      <c r="AS251" s="66">
        <f t="shared" si="45"/>
        <v>0</v>
      </c>
      <c r="AT251" s="66">
        <f t="shared" si="46"/>
        <v>0</v>
      </c>
      <c r="AU251" s="66">
        <f t="shared" si="47"/>
        <v>0</v>
      </c>
      <c r="AV251" s="66">
        <f t="shared" si="48"/>
        <v>0</v>
      </c>
      <c r="AW251" s="66">
        <f t="shared" si="49"/>
        <v>0</v>
      </c>
      <c r="AX251" s="66">
        <f t="shared" si="50"/>
        <v>0</v>
      </c>
      <c r="AY251" s="66">
        <f t="shared" si="51"/>
        <v>0</v>
      </c>
      <c r="AZ251" s="66">
        <f>'Project Database'!Z255</f>
        <v>0</v>
      </c>
      <c r="BA251" s="66">
        <f>IF(OR(A251="",'Smart Search'!H13=0),"",MAX(0,BE251*BF251*MAX(0,1-BG251)))</f>
        <v>0</v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>0</v>
      </c>
      <c r="BC251" s="66">
        <f>IF('Smart Search'!G13=1,IFERROR(1/'Smart Search'!H13,0),0)</f>
        <v>0</v>
      </c>
      <c r="BD251" s="66">
        <f t="shared" si="52"/>
        <v>0</v>
      </c>
      <c r="BE251" s="66">
        <f t="shared" si="53"/>
        <v>0</v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>0</v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>0</v>
      </c>
      <c r="BH251" s="5" t="str">
        <f>IF(AND('Project Database'!A255&lt;&gt;"",OR('Smart Search'!$L$5="",'Smart Search'!$L$5="All",TRIM('Project Database'!D255)=TRIM('Smart Search'!$L$5)),OR(TRIM('Smart Search'!$L$6)="",TRIM('Smart Search'!$L$6)="All",ISNUMBER(SEARCH(SUBSTITUTE(SUBSTITUTE(SUBSTITUTE(TRIM('Smart Search'!$L$6),"~","~~"),"*","~*"),"?","~?"),'Project Database'!C255))),OR('Smart Search'!$L$7="",AND('Project Database'!E255&lt;&gt;"",'Project Database'!E255='Smart Search'!$L$7)),OR('Smart Search'!$L$8="",'Smart Search'!$L$8="All",TRIM('Project Database'!F255)=TRIM('Smart Search'!$L$8))),IF(BA251="","",BA251+ROW()*0.0000000001),"")</f>
        <v/>
      </c>
      <c r="BI251" s="5" t="str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 t="str">
        <f>IF('Project Database'!A255="","",N('Project Database'!AC255))</f>
        <v/>
      </c>
      <c r="BK251" s="5" t="str">
        <f>IF('Project Database'!A255="","",N('Project Database'!AD255))</f>
        <v/>
      </c>
      <c r="BL251" s="5" t="str">
        <f>IF('Project Database'!A255="","",N('Project Database'!AE255))</f>
        <v/>
      </c>
      <c r="BM251" s="5" t="str">
        <f>IF('Project Database'!A255="","",N('Project Database'!AF255))</f>
        <v/>
      </c>
      <c r="BN251" s="5" t="str">
        <f>IF('Project Database'!A255="","",N('Project Database'!AG255))</f>
        <v/>
      </c>
      <c r="BO251" s="5" t="str">
        <f>IF('Project Database'!A255="","",N('Project Database'!AH255))</f>
        <v/>
      </c>
      <c r="BP251" s="5" t="str">
        <f>IF('Project Database'!A255="","",N('Project Database'!AI255))</f>
        <v/>
      </c>
      <c r="BQ251" s="5" t="str">
        <f>IF('Project Database'!A255="","",N('Project Database'!AJ255))</f>
        <v/>
      </c>
      <c r="BR251" s="5" t="str">
        <f>IF('Project Database'!A255="","",N('Project Database'!AK255))</f>
        <v/>
      </c>
      <c r="BS251" s="5" t="str">
        <f>IF('Project Database'!A255="","",N('Project Database'!AL255))</f>
        <v/>
      </c>
      <c r="BT251" s="5" t="str">
        <f>IF('Project Database'!A255="","",N('Project Database'!AM255))</f>
        <v/>
      </c>
      <c r="BU251" s="5" t="str">
        <f>IF('Project Database'!A255="","",N('Project Database'!AN255))</f>
        <v/>
      </c>
      <c r="BV251" s="5" t="str">
        <f>IF('Project Database'!A255="","",N('Project Database'!AO255))</f>
        <v/>
      </c>
      <c r="BW251" s="5" t="str">
        <f>IF('Project Database'!A255="","",N('Project Database'!AP255))</f>
        <v/>
      </c>
      <c r="BX251" s="5">
        <f t="shared" si="54"/>
        <v>0</v>
      </c>
      <c r="BY251" s="5">
        <f t="shared" si="55"/>
        <v>0</v>
      </c>
    </row>
    <row r="252" spans="1:77" ht="15" customHeight="1" x14ac:dyDescent="0.3">
      <c r="A252" s="66">
        <f>'Project Database'!A256</f>
        <v>0</v>
      </c>
      <c r="B252" s="66">
        <f>'Project Database'!B256</f>
        <v>0</v>
      </c>
      <c r="C252" s="66">
        <f>'Project Database'!G256</f>
        <v>0</v>
      </c>
      <c r="D252" s="66">
        <f>'Project Database'!H256</f>
        <v>0</v>
      </c>
      <c r="E252" s="66">
        <f>'Project Database'!I256</f>
        <v>0</v>
      </c>
      <c r="F252" s="66">
        <f>'Project Database'!J256</f>
        <v>0</v>
      </c>
      <c r="G252" s="66">
        <f>'Project Database'!K256</f>
        <v>0</v>
      </c>
      <c r="H252" s="66">
        <f>'Project Database'!L256</f>
        <v>0</v>
      </c>
      <c r="I252" s="66">
        <f>'Project Database'!M256</f>
        <v>0</v>
      </c>
      <c r="J252" s="66">
        <f>'Project Database'!N256</f>
        <v>0</v>
      </c>
      <c r="K252" s="66">
        <f>'Project Database'!O256</f>
        <v>0</v>
      </c>
      <c r="L252" s="66">
        <f>'Project Database'!P256</f>
        <v>0</v>
      </c>
      <c r="M252" s="66">
        <f>'Project Database'!Q256</f>
        <v>0</v>
      </c>
      <c r="N252" s="66">
        <f>'Project Database'!R256</f>
        <v>0</v>
      </c>
      <c r="O252" s="66">
        <f>'Project Database'!S256</f>
        <v>0</v>
      </c>
      <c r="P252" s="66">
        <f>'Project Database'!T256</f>
        <v>0</v>
      </c>
      <c r="Q252" s="66">
        <f>'Project Database'!U256</f>
        <v>0</v>
      </c>
      <c r="R252" s="66">
        <f>'Project Database'!V256</f>
        <v>0</v>
      </c>
      <c r="S252" s="66">
        <f>'Project Database'!W256</f>
        <v>0</v>
      </c>
      <c r="T252" s="66">
        <f>'Project Database'!X256</f>
        <v>0</v>
      </c>
      <c r="U252" s="67">
        <f>'Project Database'!Y256</f>
        <v>0</v>
      </c>
      <c r="V252" s="66">
        <f>IF('Smart Search'!B13=1,IFERROR(1/'Smart Search'!H13,0),0)</f>
        <v>0</v>
      </c>
      <c r="W252" s="66">
        <f>IF('Smart Search'!B13=1,IFERROR(1/'Smart Search'!H13,0),0)</f>
        <v>0</v>
      </c>
      <c r="X252" s="66">
        <f>IF('Smart Search'!C13=1,IFERROR(1/'Smart Search'!H13,0),0)</f>
        <v>0.5</v>
      </c>
      <c r="Y252" s="66">
        <f>IF('Smart Search'!C13=1,IFERROR(1/'Smart Search'!H13,0),0)</f>
        <v>0.5</v>
      </c>
      <c r="Z252" s="66">
        <f>IF('Smart Search'!D13=1,IFERROR(1/'Smart Search'!H13,0),0)</f>
        <v>0</v>
      </c>
      <c r="AA252" s="66">
        <f>IF('Smart Search'!D13=1,IFERROR(1/'Smart Search'!H13,0),0)</f>
        <v>0</v>
      </c>
      <c r="AB252" s="66">
        <f>IF('Smart Search'!E13=1,IFERROR(1/'Smart Search'!H13,0),0)</f>
        <v>0</v>
      </c>
      <c r="AC252" s="66">
        <f>IF('Smart Search'!E13=1,IFERROR(1/'Smart Search'!H13,0),0)</f>
        <v>0</v>
      </c>
      <c r="AD252" s="66">
        <f>IF('Smart Search'!F13=1,IFERROR(1/'Smart Search'!H13,0),0)</f>
        <v>0</v>
      </c>
      <c r="AE252" s="66">
        <f>IF('Smart Search'!F13=1,IFERROR(1/'Smart Search'!H13,0),0)</f>
        <v>0</v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>0</v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>0</v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>0</v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>0</v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>0</v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>0</v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>0</v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>0</v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>0</v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>0</v>
      </c>
      <c r="AP252" s="66">
        <f t="shared" si="42"/>
        <v>0</v>
      </c>
      <c r="AQ252" s="66">
        <f t="shared" si="43"/>
        <v>0</v>
      </c>
      <c r="AR252" s="66">
        <f t="shared" si="44"/>
        <v>0</v>
      </c>
      <c r="AS252" s="66">
        <f t="shared" si="45"/>
        <v>0</v>
      </c>
      <c r="AT252" s="66">
        <f t="shared" si="46"/>
        <v>0</v>
      </c>
      <c r="AU252" s="66">
        <f t="shared" si="47"/>
        <v>0</v>
      </c>
      <c r="AV252" s="66">
        <f t="shared" si="48"/>
        <v>0</v>
      </c>
      <c r="AW252" s="66">
        <f t="shared" si="49"/>
        <v>0</v>
      </c>
      <c r="AX252" s="66">
        <f t="shared" si="50"/>
        <v>0</v>
      </c>
      <c r="AY252" s="66">
        <f t="shared" si="51"/>
        <v>0</v>
      </c>
      <c r="AZ252" s="66">
        <f>'Project Database'!Z256</f>
        <v>0</v>
      </c>
      <c r="BA252" s="66">
        <f>IF(OR(A252="",'Smart Search'!H13=0),"",MAX(0,BE252*BF252*MAX(0,1-BG252)))</f>
        <v>0</v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>0</v>
      </c>
      <c r="BC252" s="66">
        <f>IF('Smart Search'!G13=1,IFERROR(1/'Smart Search'!H13,0),0)</f>
        <v>0</v>
      </c>
      <c r="BD252" s="66">
        <f t="shared" si="52"/>
        <v>0</v>
      </c>
      <c r="BE252" s="66">
        <f t="shared" si="53"/>
        <v>0</v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>0</v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>0</v>
      </c>
      <c r="BH252" s="5" t="str">
        <f>IF(AND('Project Database'!A256&lt;&gt;"",OR('Smart Search'!$L$5="",'Smart Search'!$L$5="All",TRIM('Project Database'!D256)=TRIM('Smart Search'!$L$5)),OR(TRIM('Smart Search'!$L$6)="",TRIM('Smart Search'!$L$6)="All",ISNUMBER(SEARCH(SUBSTITUTE(SUBSTITUTE(SUBSTITUTE(TRIM('Smart Search'!$L$6),"~","~~"),"*","~*"),"?","~?"),'Project Database'!C256))),OR('Smart Search'!$L$7="",AND('Project Database'!E256&lt;&gt;"",'Project Database'!E256='Smart Search'!$L$7)),OR('Smart Search'!$L$8="",'Smart Search'!$L$8="All",TRIM('Project Database'!F256)=TRIM('Smart Search'!$L$8))),IF(BA252="","",BA252+ROW()*0.0000000001),"")</f>
        <v/>
      </c>
      <c r="BI252" s="5" t="str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 t="str">
        <f>IF('Project Database'!A256="","",N('Project Database'!AC256))</f>
        <v/>
      </c>
      <c r="BK252" s="5" t="str">
        <f>IF('Project Database'!A256="","",N('Project Database'!AD256))</f>
        <v/>
      </c>
      <c r="BL252" s="5" t="str">
        <f>IF('Project Database'!A256="","",N('Project Database'!AE256))</f>
        <v/>
      </c>
      <c r="BM252" s="5" t="str">
        <f>IF('Project Database'!A256="","",N('Project Database'!AF256))</f>
        <v/>
      </c>
      <c r="BN252" s="5" t="str">
        <f>IF('Project Database'!A256="","",N('Project Database'!AG256))</f>
        <v/>
      </c>
      <c r="BO252" s="5" t="str">
        <f>IF('Project Database'!A256="","",N('Project Database'!AH256))</f>
        <v/>
      </c>
      <c r="BP252" s="5" t="str">
        <f>IF('Project Database'!A256="","",N('Project Database'!AI256))</f>
        <v/>
      </c>
      <c r="BQ252" s="5" t="str">
        <f>IF('Project Database'!A256="","",N('Project Database'!AJ256))</f>
        <v/>
      </c>
      <c r="BR252" s="5" t="str">
        <f>IF('Project Database'!A256="","",N('Project Database'!AK256))</f>
        <v/>
      </c>
      <c r="BS252" s="5" t="str">
        <f>IF('Project Database'!A256="","",N('Project Database'!AL256))</f>
        <v/>
      </c>
      <c r="BT252" s="5" t="str">
        <f>IF('Project Database'!A256="","",N('Project Database'!AM256))</f>
        <v/>
      </c>
      <c r="BU252" s="5" t="str">
        <f>IF('Project Database'!A256="","",N('Project Database'!AN256))</f>
        <v/>
      </c>
      <c r="BV252" s="5" t="str">
        <f>IF('Project Database'!A256="","",N('Project Database'!AO256))</f>
        <v/>
      </c>
      <c r="BW252" s="5" t="str">
        <f>IF('Project Database'!A256="","",N('Project Database'!AP256))</f>
        <v/>
      </c>
      <c r="BX252" s="5">
        <f t="shared" si="54"/>
        <v>0</v>
      </c>
      <c r="BY252" s="5">
        <f t="shared" si="55"/>
        <v>0</v>
      </c>
    </row>
    <row r="253" spans="1:77" ht="15" customHeight="1" x14ac:dyDescent="0.3">
      <c r="A253" s="66">
        <f>'Project Database'!A257</f>
        <v>0</v>
      </c>
      <c r="B253" s="66">
        <f>'Project Database'!B257</f>
        <v>0</v>
      </c>
      <c r="C253" s="66">
        <f>'Project Database'!G257</f>
        <v>0</v>
      </c>
      <c r="D253" s="66">
        <f>'Project Database'!H257</f>
        <v>0</v>
      </c>
      <c r="E253" s="66">
        <f>'Project Database'!I257</f>
        <v>0</v>
      </c>
      <c r="F253" s="66">
        <f>'Project Database'!J257</f>
        <v>0</v>
      </c>
      <c r="G253" s="66">
        <f>'Project Database'!K257</f>
        <v>0</v>
      </c>
      <c r="H253" s="66">
        <f>'Project Database'!L257</f>
        <v>0</v>
      </c>
      <c r="I253" s="66">
        <f>'Project Database'!M257</f>
        <v>0</v>
      </c>
      <c r="J253" s="66">
        <f>'Project Database'!N257</f>
        <v>0</v>
      </c>
      <c r="K253" s="66">
        <f>'Project Database'!O257</f>
        <v>0</v>
      </c>
      <c r="L253" s="66">
        <f>'Project Database'!P257</f>
        <v>0</v>
      </c>
      <c r="M253" s="66">
        <f>'Project Database'!Q257</f>
        <v>0</v>
      </c>
      <c r="N253" s="66">
        <f>'Project Database'!R257</f>
        <v>0</v>
      </c>
      <c r="O253" s="66">
        <f>'Project Database'!S257</f>
        <v>0</v>
      </c>
      <c r="P253" s="66">
        <f>'Project Database'!T257</f>
        <v>0</v>
      </c>
      <c r="Q253" s="66">
        <f>'Project Database'!U257</f>
        <v>0</v>
      </c>
      <c r="R253" s="66">
        <f>'Project Database'!V257</f>
        <v>0</v>
      </c>
      <c r="S253" s="66">
        <f>'Project Database'!W257</f>
        <v>0</v>
      </c>
      <c r="T253" s="66">
        <f>'Project Database'!X257</f>
        <v>0</v>
      </c>
      <c r="U253" s="67">
        <f>'Project Database'!Y257</f>
        <v>0</v>
      </c>
      <c r="V253" s="66">
        <f>IF('Smart Search'!B13=1,IFERROR(1/'Smart Search'!H13,0),0)</f>
        <v>0</v>
      </c>
      <c r="W253" s="66">
        <f>IF('Smart Search'!B13=1,IFERROR(1/'Smart Search'!H13,0),0)</f>
        <v>0</v>
      </c>
      <c r="X253" s="66">
        <f>IF('Smart Search'!C13=1,IFERROR(1/'Smart Search'!H13,0),0)</f>
        <v>0.5</v>
      </c>
      <c r="Y253" s="66">
        <f>IF('Smart Search'!C13=1,IFERROR(1/'Smart Search'!H13,0),0)</f>
        <v>0.5</v>
      </c>
      <c r="Z253" s="66">
        <f>IF('Smart Search'!D13=1,IFERROR(1/'Smart Search'!H13,0),0)</f>
        <v>0</v>
      </c>
      <c r="AA253" s="66">
        <f>IF('Smart Search'!D13=1,IFERROR(1/'Smart Search'!H13,0),0)</f>
        <v>0</v>
      </c>
      <c r="AB253" s="66">
        <f>IF('Smart Search'!E13=1,IFERROR(1/'Smart Search'!H13,0),0)</f>
        <v>0</v>
      </c>
      <c r="AC253" s="66">
        <f>IF('Smart Search'!E13=1,IFERROR(1/'Smart Search'!H13,0),0)</f>
        <v>0</v>
      </c>
      <c r="AD253" s="66">
        <f>IF('Smart Search'!F13=1,IFERROR(1/'Smart Search'!H13,0),0)</f>
        <v>0</v>
      </c>
      <c r="AE253" s="66">
        <f>IF('Smart Search'!F13=1,IFERROR(1/'Smart Search'!H13,0),0)</f>
        <v>0</v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>0</v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>0</v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>0</v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>0</v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>0</v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>0</v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>0</v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>0</v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>0</v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>0</v>
      </c>
      <c r="AP253" s="66">
        <f t="shared" si="42"/>
        <v>0</v>
      </c>
      <c r="AQ253" s="66">
        <f t="shared" si="43"/>
        <v>0</v>
      </c>
      <c r="AR253" s="66">
        <f t="shared" si="44"/>
        <v>0</v>
      </c>
      <c r="AS253" s="66">
        <f t="shared" si="45"/>
        <v>0</v>
      </c>
      <c r="AT253" s="66">
        <f t="shared" si="46"/>
        <v>0</v>
      </c>
      <c r="AU253" s="66">
        <f t="shared" si="47"/>
        <v>0</v>
      </c>
      <c r="AV253" s="66">
        <f t="shared" si="48"/>
        <v>0</v>
      </c>
      <c r="AW253" s="66">
        <f t="shared" si="49"/>
        <v>0</v>
      </c>
      <c r="AX253" s="66">
        <f t="shared" si="50"/>
        <v>0</v>
      </c>
      <c r="AY253" s="66">
        <f t="shared" si="51"/>
        <v>0</v>
      </c>
      <c r="AZ253" s="66">
        <f>'Project Database'!Z257</f>
        <v>0</v>
      </c>
      <c r="BA253" s="66">
        <f>IF(OR(A253="",'Smart Search'!H13=0),"",MAX(0,BE253*BF253*MAX(0,1-BG253)))</f>
        <v>0</v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>0</v>
      </c>
      <c r="BC253" s="66">
        <f>IF('Smart Search'!G13=1,IFERROR(1/'Smart Search'!H13,0),0)</f>
        <v>0</v>
      </c>
      <c r="BD253" s="66">
        <f t="shared" si="52"/>
        <v>0</v>
      </c>
      <c r="BE253" s="66">
        <f t="shared" si="53"/>
        <v>0</v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>0</v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>0</v>
      </c>
      <c r="BH253" s="5" t="str">
        <f>IF(AND('Project Database'!A257&lt;&gt;"",OR('Smart Search'!$L$5="",'Smart Search'!$L$5="All",TRIM('Project Database'!D257)=TRIM('Smart Search'!$L$5)),OR(TRIM('Smart Search'!$L$6)="",TRIM('Smart Search'!$L$6)="All",ISNUMBER(SEARCH(SUBSTITUTE(SUBSTITUTE(SUBSTITUTE(TRIM('Smart Search'!$L$6),"~","~~"),"*","~*"),"?","~?"),'Project Database'!C257))),OR('Smart Search'!$L$7="",AND('Project Database'!E257&lt;&gt;"",'Project Database'!E257='Smart Search'!$L$7)),OR('Smart Search'!$L$8="",'Smart Search'!$L$8="All",TRIM('Project Database'!F257)=TRIM('Smart Search'!$L$8))),IF(BA253="","",BA253+ROW()*0.0000000001),"")</f>
        <v/>
      </c>
      <c r="BI253" s="5" t="str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 t="str">
        <f>IF('Project Database'!A257="","",N('Project Database'!AC257))</f>
        <v/>
      </c>
      <c r="BK253" s="5" t="str">
        <f>IF('Project Database'!A257="","",N('Project Database'!AD257))</f>
        <v/>
      </c>
      <c r="BL253" s="5" t="str">
        <f>IF('Project Database'!A257="","",N('Project Database'!AE257))</f>
        <v/>
      </c>
      <c r="BM253" s="5" t="str">
        <f>IF('Project Database'!A257="","",N('Project Database'!AF257))</f>
        <v/>
      </c>
      <c r="BN253" s="5" t="str">
        <f>IF('Project Database'!A257="","",N('Project Database'!AG257))</f>
        <v/>
      </c>
      <c r="BO253" s="5" t="str">
        <f>IF('Project Database'!A257="","",N('Project Database'!AH257))</f>
        <v/>
      </c>
      <c r="BP253" s="5" t="str">
        <f>IF('Project Database'!A257="","",N('Project Database'!AI257))</f>
        <v/>
      </c>
      <c r="BQ253" s="5" t="str">
        <f>IF('Project Database'!A257="","",N('Project Database'!AJ257))</f>
        <v/>
      </c>
      <c r="BR253" s="5" t="str">
        <f>IF('Project Database'!A257="","",N('Project Database'!AK257))</f>
        <v/>
      </c>
      <c r="BS253" s="5" t="str">
        <f>IF('Project Database'!A257="","",N('Project Database'!AL257))</f>
        <v/>
      </c>
      <c r="BT253" s="5" t="str">
        <f>IF('Project Database'!A257="","",N('Project Database'!AM257))</f>
        <v/>
      </c>
      <c r="BU253" s="5" t="str">
        <f>IF('Project Database'!A257="","",N('Project Database'!AN257))</f>
        <v/>
      </c>
      <c r="BV253" s="5" t="str">
        <f>IF('Project Database'!A257="","",N('Project Database'!AO257))</f>
        <v/>
      </c>
      <c r="BW253" s="5" t="str">
        <f>IF('Project Database'!A257="","",N('Project Database'!AP257))</f>
        <v/>
      </c>
      <c r="BX253" s="5">
        <f t="shared" si="54"/>
        <v>0</v>
      </c>
      <c r="BY253" s="5">
        <f t="shared" si="55"/>
        <v>0</v>
      </c>
    </row>
    <row r="254" spans="1:77" ht="15" customHeight="1" x14ac:dyDescent="0.3">
      <c r="A254" s="66">
        <f>'Project Database'!A258</f>
        <v>0</v>
      </c>
      <c r="B254" s="66">
        <f>'Project Database'!B258</f>
        <v>0</v>
      </c>
      <c r="C254" s="66">
        <f>'Project Database'!G258</f>
        <v>0</v>
      </c>
      <c r="D254" s="66">
        <f>'Project Database'!H258</f>
        <v>0</v>
      </c>
      <c r="E254" s="66">
        <f>'Project Database'!I258</f>
        <v>0</v>
      </c>
      <c r="F254" s="66">
        <f>'Project Database'!J258</f>
        <v>0</v>
      </c>
      <c r="G254" s="66">
        <f>'Project Database'!K258</f>
        <v>0</v>
      </c>
      <c r="H254" s="66">
        <f>'Project Database'!L258</f>
        <v>0</v>
      </c>
      <c r="I254" s="66">
        <f>'Project Database'!M258</f>
        <v>0</v>
      </c>
      <c r="J254" s="66">
        <f>'Project Database'!N258</f>
        <v>0</v>
      </c>
      <c r="K254" s="66">
        <f>'Project Database'!O258</f>
        <v>0</v>
      </c>
      <c r="L254" s="66">
        <f>'Project Database'!P258</f>
        <v>0</v>
      </c>
      <c r="M254" s="66">
        <f>'Project Database'!Q258</f>
        <v>0</v>
      </c>
      <c r="N254" s="66">
        <f>'Project Database'!R258</f>
        <v>0</v>
      </c>
      <c r="O254" s="66">
        <f>'Project Database'!S258</f>
        <v>0</v>
      </c>
      <c r="P254" s="66">
        <f>'Project Database'!T258</f>
        <v>0</v>
      </c>
      <c r="Q254" s="66">
        <f>'Project Database'!U258</f>
        <v>0</v>
      </c>
      <c r="R254" s="66">
        <f>'Project Database'!V258</f>
        <v>0</v>
      </c>
      <c r="S254" s="66">
        <f>'Project Database'!W258</f>
        <v>0</v>
      </c>
      <c r="T254" s="66">
        <f>'Project Database'!X258</f>
        <v>0</v>
      </c>
      <c r="U254" s="67">
        <f>'Project Database'!Y258</f>
        <v>0</v>
      </c>
      <c r="V254" s="66">
        <f>IF('Smart Search'!B13=1,IFERROR(1/'Smart Search'!H13,0),0)</f>
        <v>0</v>
      </c>
      <c r="W254" s="66">
        <f>IF('Smart Search'!B13=1,IFERROR(1/'Smart Search'!H13,0),0)</f>
        <v>0</v>
      </c>
      <c r="X254" s="66">
        <f>IF('Smart Search'!C13=1,IFERROR(1/'Smart Search'!H13,0),0)</f>
        <v>0.5</v>
      </c>
      <c r="Y254" s="66">
        <f>IF('Smart Search'!C13=1,IFERROR(1/'Smart Search'!H13,0),0)</f>
        <v>0.5</v>
      </c>
      <c r="Z254" s="66">
        <f>IF('Smart Search'!D13=1,IFERROR(1/'Smart Search'!H13,0),0)</f>
        <v>0</v>
      </c>
      <c r="AA254" s="66">
        <f>IF('Smart Search'!D13=1,IFERROR(1/'Smart Search'!H13,0),0)</f>
        <v>0</v>
      </c>
      <c r="AB254" s="66">
        <f>IF('Smart Search'!E13=1,IFERROR(1/'Smart Search'!H13,0),0)</f>
        <v>0</v>
      </c>
      <c r="AC254" s="66">
        <f>IF('Smart Search'!E13=1,IFERROR(1/'Smart Search'!H13,0),0)</f>
        <v>0</v>
      </c>
      <c r="AD254" s="66">
        <f>IF('Smart Search'!F13=1,IFERROR(1/'Smart Search'!H13,0),0)</f>
        <v>0</v>
      </c>
      <c r="AE254" s="66">
        <f>IF('Smart Search'!F13=1,IFERROR(1/'Smart Search'!H13,0),0)</f>
        <v>0</v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>0</v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>0</v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>0</v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>0</v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>0</v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>0</v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>0</v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>0</v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>0</v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>0</v>
      </c>
      <c r="AP254" s="66">
        <f t="shared" si="42"/>
        <v>0</v>
      </c>
      <c r="AQ254" s="66">
        <f t="shared" si="43"/>
        <v>0</v>
      </c>
      <c r="AR254" s="66">
        <f t="shared" si="44"/>
        <v>0</v>
      </c>
      <c r="AS254" s="66">
        <f t="shared" si="45"/>
        <v>0</v>
      </c>
      <c r="AT254" s="66">
        <f t="shared" si="46"/>
        <v>0</v>
      </c>
      <c r="AU254" s="66">
        <f t="shared" si="47"/>
        <v>0</v>
      </c>
      <c r="AV254" s="66">
        <f t="shared" si="48"/>
        <v>0</v>
      </c>
      <c r="AW254" s="66">
        <f t="shared" si="49"/>
        <v>0</v>
      </c>
      <c r="AX254" s="66">
        <f t="shared" si="50"/>
        <v>0</v>
      </c>
      <c r="AY254" s="66">
        <f t="shared" si="51"/>
        <v>0</v>
      </c>
      <c r="AZ254" s="66">
        <f>'Project Database'!Z258</f>
        <v>0</v>
      </c>
      <c r="BA254" s="66">
        <f>IF(OR(A254="",'Smart Search'!H13=0),"",MAX(0,BE254*BF254*MAX(0,1-BG254)))</f>
        <v>0</v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>0</v>
      </c>
      <c r="BC254" s="66">
        <f>IF('Smart Search'!G13=1,IFERROR(1/'Smart Search'!H13,0),0)</f>
        <v>0</v>
      </c>
      <c r="BD254" s="66">
        <f t="shared" si="52"/>
        <v>0</v>
      </c>
      <c r="BE254" s="66">
        <f t="shared" si="53"/>
        <v>0</v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>0</v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>0</v>
      </c>
      <c r="BH254" s="5" t="str">
        <f>IF(AND('Project Database'!A258&lt;&gt;"",OR('Smart Search'!$L$5="",'Smart Search'!$L$5="All",TRIM('Project Database'!D258)=TRIM('Smart Search'!$L$5)),OR(TRIM('Smart Search'!$L$6)="",TRIM('Smart Search'!$L$6)="All",ISNUMBER(SEARCH(SUBSTITUTE(SUBSTITUTE(SUBSTITUTE(TRIM('Smart Search'!$L$6),"~","~~"),"*","~*"),"?","~?"),'Project Database'!C258))),OR('Smart Search'!$L$7="",AND('Project Database'!E258&lt;&gt;"",'Project Database'!E258='Smart Search'!$L$7)),OR('Smart Search'!$L$8="",'Smart Search'!$L$8="All",TRIM('Project Database'!F258)=TRIM('Smart Search'!$L$8))),IF(BA254="","",BA254+ROW()*0.0000000001),"")</f>
        <v/>
      </c>
      <c r="BI254" s="5" t="str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 t="str">
        <f>IF('Project Database'!A258="","",N('Project Database'!AC258))</f>
        <v/>
      </c>
      <c r="BK254" s="5" t="str">
        <f>IF('Project Database'!A258="","",N('Project Database'!AD258))</f>
        <v/>
      </c>
      <c r="BL254" s="5" t="str">
        <f>IF('Project Database'!A258="","",N('Project Database'!AE258))</f>
        <v/>
      </c>
      <c r="BM254" s="5" t="str">
        <f>IF('Project Database'!A258="","",N('Project Database'!AF258))</f>
        <v/>
      </c>
      <c r="BN254" s="5" t="str">
        <f>IF('Project Database'!A258="","",N('Project Database'!AG258))</f>
        <v/>
      </c>
      <c r="BO254" s="5" t="str">
        <f>IF('Project Database'!A258="","",N('Project Database'!AH258))</f>
        <v/>
      </c>
      <c r="BP254" s="5" t="str">
        <f>IF('Project Database'!A258="","",N('Project Database'!AI258))</f>
        <v/>
      </c>
      <c r="BQ254" s="5" t="str">
        <f>IF('Project Database'!A258="","",N('Project Database'!AJ258))</f>
        <v/>
      </c>
      <c r="BR254" s="5" t="str">
        <f>IF('Project Database'!A258="","",N('Project Database'!AK258))</f>
        <v/>
      </c>
      <c r="BS254" s="5" t="str">
        <f>IF('Project Database'!A258="","",N('Project Database'!AL258))</f>
        <v/>
      </c>
      <c r="BT254" s="5" t="str">
        <f>IF('Project Database'!A258="","",N('Project Database'!AM258))</f>
        <v/>
      </c>
      <c r="BU254" s="5" t="str">
        <f>IF('Project Database'!A258="","",N('Project Database'!AN258))</f>
        <v/>
      </c>
      <c r="BV254" s="5" t="str">
        <f>IF('Project Database'!A258="","",N('Project Database'!AO258))</f>
        <v/>
      </c>
      <c r="BW254" s="5" t="str">
        <f>IF('Project Database'!A258="","",N('Project Database'!AP258))</f>
        <v/>
      </c>
      <c r="BX254" s="5">
        <f t="shared" si="54"/>
        <v>0</v>
      </c>
      <c r="BY254" s="5">
        <f t="shared" si="55"/>
        <v>0</v>
      </c>
    </row>
    <row r="255" spans="1:77" ht="15" customHeight="1" x14ac:dyDescent="0.3">
      <c r="A255" s="66">
        <f>'Project Database'!A259</f>
        <v>0</v>
      </c>
      <c r="B255" s="66">
        <f>'Project Database'!B259</f>
        <v>0</v>
      </c>
      <c r="C255" s="66">
        <f>'Project Database'!G259</f>
        <v>0</v>
      </c>
      <c r="D255" s="66">
        <f>'Project Database'!H259</f>
        <v>0</v>
      </c>
      <c r="E255" s="66">
        <f>'Project Database'!I259</f>
        <v>0</v>
      </c>
      <c r="F255" s="66">
        <f>'Project Database'!J259</f>
        <v>0</v>
      </c>
      <c r="G255" s="66">
        <f>'Project Database'!K259</f>
        <v>0</v>
      </c>
      <c r="H255" s="66">
        <f>'Project Database'!L259</f>
        <v>0</v>
      </c>
      <c r="I255" s="66">
        <f>'Project Database'!M259</f>
        <v>0</v>
      </c>
      <c r="J255" s="66">
        <f>'Project Database'!N259</f>
        <v>0</v>
      </c>
      <c r="K255" s="66">
        <f>'Project Database'!O259</f>
        <v>0</v>
      </c>
      <c r="L255" s="66">
        <f>'Project Database'!P259</f>
        <v>0</v>
      </c>
      <c r="M255" s="66">
        <f>'Project Database'!Q259</f>
        <v>0</v>
      </c>
      <c r="N255" s="66">
        <f>'Project Database'!R259</f>
        <v>0</v>
      </c>
      <c r="O255" s="66">
        <f>'Project Database'!S259</f>
        <v>0</v>
      </c>
      <c r="P255" s="66">
        <f>'Project Database'!T259</f>
        <v>0</v>
      </c>
      <c r="Q255" s="66">
        <f>'Project Database'!U259</f>
        <v>0</v>
      </c>
      <c r="R255" s="66">
        <f>'Project Database'!V259</f>
        <v>0</v>
      </c>
      <c r="S255" s="66">
        <f>'Project Database'!W259</f>
        <v>0</v>
      </c>
      <c r="T255" s="66">
        <f>'Project Database'!X259</f>
        <v>0</v>
      </c>
      <c r="U255" s="67">
        <f>'Project Database'!Y259</f>
        <v>0</v>
      </c>
      <c r="V255" s="66">
        <f>IF('Smart Search'!B13=1,IFERROR(1/'Smart Search'!H13,0),0)</f>
        <v>0</v>
      </c>
      <c r="W255" s="66">
        <f>IF('Smart Search'!B13=1,IFERROR(1/'Smart Search'!H13,0),0)</f>
        <v>0</v>
      </c>
      <c r="X255" s="66">
        <f>IF('Smart Search'!C13=1,IFERROR(1/'Smart Search'!H13,0),0)</f>
        <v>0.5</v>
      </c>
      <c r="Y255" s="66">
        <f>IF('Smart Search'!C13=1,IFERROR(1/'Smart Search'!H13,0),0)</f>
        <v>0.5</v>
      </c>
      <c r="Z255" s="66">
        <f>IF('Smart Search'!D13=1,IFERROR(1/'Smart Search'!H13,0),0)</f>
        <v>0</v>
      </c>
      <c r="AA255" s="66">
        <f>IF('Smart Search'!D13=1,IFERROR(1/'Smart Search'!H13,0),0)</f>
        <v>0</v>
      </c>
      <c r="AB255" s="66">
        <f>IF('Smart Search'!E13=1,IFERROR(1/'Smart Search'!H13,0),0)</f>
        <v>0</v>
      </c>
      <c r="AC255" s="66">
        <f>IF('Smart Search'!E13=1,IFERROR(1/'Smart Search'!H13,0),0)</f>
        <v>0</v>
      </c>
      <c r="AD255" s="66">
        <f>IF('Smart Search'!F13=1,IFERROR(1/'Smart Search'!H13,0),0)</f>
        <v>0</v>
      </c>
      <c r="AE255" s="66">
        <f>IF('Smart Search'!F13=1,IFERROR(1/'Smart Search'!H13,0),0)</f>
        <v>0</v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>0</v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>0</v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>0</v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>0</v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>0</v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>0</v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>0</v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>0</v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>0</v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>0</v>
      </c>
      <c r="AP255" s="66">
        <f t="shared" si="42"/>
        <v>0</v>
      </c>
      <c r="AQ255" s="66">
        <f t="shared" si="43"/>
        <v>0</v>
      </c>
      <c r="AR255" s="66">
        <f t="shared" si="44"/>
        <v>0</v>
      </c>
      <c r="AS255" s="66">
        <f t="shared" si="45"/>
        <v>0</v>
      </c>
      <c r="AT255" s="66">
        <f t="shared" si="46"/>
        <v>0</v>
      </c>
      <c r="AU255" s="66">
        <f t="shared" si="47"/>
        <v>0</v>
      </c>
      <c r="AV255" s="66">
        <f t="shared" si="48"/>
        <v>0</v>
      </c>
      <c r="AW255" s="66">
        <f t="shared" si="49"/>
        <v>0</v>
      </c>
      <c r="AX255" s="66">
        <f t="shared" si="50"/>
        <v>0</v>
      </c>
      <c r="AY255" s="66">
        <f t="shared" si="51"/>
        <v>0</v>
      </c>
      <c r="AZ255" s="66">
        <f>'Project Database'!Z259</f>
        <v>0</v>
      </c>
      <c r="BA255" s="66">
        <f>IF(OR(A255="",'Smart Search'!H13=0),"",MAX(0,BE255*BF255*MAX(0,1-BG255)))</f>
        <v>0</v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>0</v>
      </c>
      <c r="BC255" s="66">
        <f>IF('Smart Search'!G13=1,IFERROR(1/'Smart Search'!H13,0),0)</f>
        <v>0</v>
      </c>
      <c r="BD255" s="66">
        <f t="shared" si="52"/>
        <v>0</v>
      </c>
      <c r="BE255" s="66">
        <f t="shared" si="53"/>
        <v>0</v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>0</v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>0</v>
      </c>
      <c r="BH255" s="5" t="str">
        <f>IF(AND('Project Database'!A259&lt;&gt;"",OR('Smart Search'!$L$5="",'Smart Search'!$L$5="All",TRIM('Project Database'!D259)=TRIM('Smart Search'!$L$5)),OR(TRIM('Smart Search'!$L$6)="",TRIM('Smart Search'!$L$6)="All",ISNUMBER(SEARCH(SUBSTITUTE(SUBSTITUTE(SUBSTITUTE(TRIM('Smart Search'!$L$6),"~","~~"),"*","~*"),"?","~?"),'Project Database'!C259))),OR('Smart Search'!$L$7="",AND('Project Database'!E259&lt;&gt;"",'Project Database'!E259='Smart Search'!$L$7)),OR('Smart Search'!$L$8="",'Smart Search'!$L$8="All",TRIM('Project Database'!F259)=TRIM('Smart Search'!$L$8))),IF(BA255="","",BA255+ROW()*0.0000000001),"")</f>
        <v/>
      </c>
      <c r="BI255" s="5" t="str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 t="str">
        <f>IF('Project Database'!A259="","",N('Project Database'!AC259))</f>
        <v/>
      </c>
      <c r="BK255" s="5" t="str">
        <f>IF('Project Database'!A259="","",N('Project Database'!AD259))</f>
        <v/>
      </c>
      <c r="BL255" s="5" t="str">
        <f>IF('Project Database'!A259="","",N('Project Database'!AE259))</f>
        <v/>
      </c>
      <c r="BM255" s="5" t="str">
        <f>IF('Project Database'!A259="","",N('Project Database'!AF259))</f>
        <v/>
      </c>
      <c r="BN255" s="5" t="str">
        <f>IF('Project Database'!A259="","",N('Project Database'!AG259))</f>
        <v/>
      </c>
      <c r="BO255" s="5" t="str">
        <f>IF('Project Database'!A259="","",N('Project Database'!AH259))</f>
        <v/>
      </c>
      <c r="BP255" s="5" t="str">
        <f>IF('Project Database'!A259="","",N('Project Database'!AI259))</f>
        <v/>
      </c>
      <c r="BQ255" s="5" t="str">
        <f>IF('Project Database'!A259="","",N('Project Database'!AJ259))</f>
        <v/>
      </c>
      <c r="BR255" s="5" t="str">
        <f>IF('Project Database'!A259="","",N('Project Database'!AK259))</f>
        <v/>
      </c>
      <c r="BS255" s="5" t="str">
        <f>IF('Project Database'!A259="","",N('Project Database'!AL259))</f>
        <v/>
      </c>
      <c r="BT255" s="5" t="str">
        <f>IF('Project Database'!A259="","",N('Project Database'!AM259))</f>
        <v/>
      </c>
      <c r="BU255" s="5" t="str">
        <f>IF('Project Database'!A259="","",N('Project Database'!AN259))</f>
        <v/>
      </c>
      <c r="BV255" s="5" t="str">
        <f>IF('Project Database'!A259="","",N('Project Database'!AO259))</f>
        <v/>
      </c>
      <c r="BW255" s="5" t="str">
        <f>IF('Project Database'!A259="","",N('Project Database'!AP259))</f>
        <v/>
      </c>
      <c r="BX255" s="5">
        <f t="shared" si="54"/>
        <v>0</v>
      </c>
      <c r="BY255" s="5">
        <f t="shared" si="55"/>
        <v>0</v>
      </c>
    </row>
    <row r="256" spans="1:77" ht="15" customHeight="1" x14ac:dyDescent="0.3">
      <c r="A256" s="66">
        <f>'Project Database'!A260</f>
        <v>0</v>
      </c>
      <c r="B256" s="66">
        <f>'Project Database'!B260</f>
        <v>0</v>
      </c>
      <c r="C256" s="66">
        <f>'Project Database'!G260</f>
        <v>0</v>
      </c>
      <c r="D256" s="66">
        <f>'Project Database'!H260</f>
        <v>0</v>
      </c>
      <c r="E256" s="66">
        <f>'Project Database'!I260</f>
        <v>0</v>
      </c>
      <c r="F256" s="66">
        <f>'Project Database'!J260</f>
        <v>0</v>
      </c>
      <c r="G256" s="66">
        <f>'Project Database'!K260</f>
        <v>0</v>
      </c>
      <c r="H256" s="66">
        <f>'Project Database'!L260</f>
        <v>0</v>
      </c>
      <c r="I256" s="66">
        <f>'Project Database'!M260</f>
        <v>0</v>
      </c>
      <c r="J256" s="66">
        <f>'Project Database'!N260</f>
        <v>0</v>
      </c>
      <c r="K256" s="66">
        <f>'Project Database'!O260</f>
        <v>0</v>
      </c>
      <c r="L256" s="66">
        <f>'Project Database'!P260</f>
        <v>0</v>
      </c>
      <c r="M256" s="66">
        <f>'Project Database'!Q260</f>
        <v>0</v>
      </c>
      <c r="N256" s="66">
        <f>'Project Database'!R260</f>
        <v>0</v>
      </c>
      <c r="O256" s="66">
        <f>'Project Database'!S260</f>
        <v>0</v>
      </c>
      <c r="P256" s="66">
        <f>'Project Database'!T260</f>
        <v>0</v>
      </c>
      <c r="Q256" s="66">
        <f>'Project Database'!U260</f>
        <v>0</v>
      </c>
      <c r="R256" s="66">
        <f>'Project Database'!V260</f>
        <v>0</v>
      </c>
      <c r="S256" s="66">
        <f>'Project Database'!W260</f>
        <v>0</v>
      </c>
      <c r="T256" s="66">
        <f>'Project Database'!X260</f>
        <v>0</v>
      </c>
      <c r="U256" s="67">
        <f>'Project Database'!Y260</f>
        <v>0</v>
      </c>
      <c r="V256" s="66">
        <f>IF('Smart Search'!B13=1,IFERROR(1/'Smart Search'!H13,0),0)</f>
        <v>0</v>
      </c>
      <c r="W256" s="66">
        <f>IF('Smart Search'!B13=1,IFERROR(1/'Smart Search'!H13,0),0)</f>
        <v>0</v>
      </c>
      <c r="X256" s="66">
        <f>IF('Smart Search'!C13=1,IFERROR(1/'Smart Search'!H13,0),0)</f>
        <v>0.5</v>
      </c>
      <c r="Y256" s="66">
        <f>IF('Smart Search'!C13=1,IFERROR(1/'Smart Search'!H13,0),0)</f>
        <v>0.5</v>
      </c>
      <c r="Z256" s="66">
        <f>IF('Smart Search'!D13=1,IFERROR(1/'Smart Search'!H13,0),0)</f>
        <v>0</v>
      </c>
      <c r="AA256" s="66">
        <f>IF('Smart Search'!D13=1,IFERROR(1/'Smart Search'!H13,0),0)</f>
        <v>0</v>
      </c>
      <c r="AB256" s="66">
        <f>IF('Smart Search'!E13=1,IFERROR(1/'Smart Search'!H13,0),0)</f>
        <v>0</v>
      </c>
      <c r="AC256" s="66">
        <f>IF('Smart Search'!E13=1,IFERROR(1/'Smart Search'!H13,0),0)</f>
        <v>0</v>
      </c>
      <c r="AD256" s="66">
        <f>IF('Smart Search'!F13=1,IFERROR(1/'Smart Search'!H13,0),0)</f>
        <v>0</v>
      </c>
      <c r="AE256" s="66">
        <f>IF('Smart Search'!F13=1,IFERROR(1/'Smart Search'!H13,0),0)</f>
        <v>0</v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>0</v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>0</v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>0</v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>0</v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>0</v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>0</v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>0</v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>0</v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>0</v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>0</v>
      </c>
      <c r="AP256" s="66">
        <f t="shared" si="42"/>
        <v>0</v>
      </c>
      <c r="AQ256" s="66">
        <f t="shared" si="43"/>
        <v>0</v>
      </c>
      <c r="AR256" s="66">
        <f t="shared" si="44"/>
        <v>0</v>
      </c>
      <c r="AS256" s="66">
        <f t="shared" si="45"/>
        <v>0</v>
      </c>
      <c r="AT256" s="66">
        <f t="shared" si="46"/>
        <v>0</v>
      </c>
      <c r="AU256" s="66">
        <f t="shared" si="47"/>
        <v>0</v>
      </c>
      <c r="AV256" s="66">
        <f t="shared" si="48"/>
        <v>0</v>
      </c>
      <c r="AW256" s="66">
        <f t="shared" si="49"/>
        <v>0</v>
      </c>
      <c r="AX256" s="66">
        <f t="shared" si="50"/>
        <v>0</v>
      </c>
      <c r="AY256" s="66">
        <f t="shared" si="51"/>
        <v>0</v>
      </c>
      <c r="AZ256" s="66">
        <f>'Project Database'!Z260</f>
        <v>0</v>
      </c>
      <c r="BA256" s="66">
        <f>IF(OR(A256="",'Smart Search'!H13=0),"",MAX(0,BE256*BF256*MAX(0,1-BG256)))</f>
        <v>0</v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>0</v>
      </c>
      <c r="BC256" s="66">
        <f>IF('Smart Search'!G13=1,IFERROR(1/'Smart Search'!H13,0),0)</f>
        <v>0</v>
      </c>
      <c r="BD256" s="66">
        <f t="shared" si="52"/>
        <v>0</v>
      </c>
      <c r="BE256" s="66">
        <f t="shared" si="53"/>
        <v>0</v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>0</v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>0</v>
      </c>
      <c r="BH256" s="5" t="str">
        <f>IF(AND('Project Database'!A260&lt;&gt;"",OR('Smart Search'!$L$5="",'Smart Search'!$L$5="All",TRIM('Project Database'!D260)=TRIM('Smart Search'!$L$5)),OR(TRIM('Smart Search'!$L$6)="",TRIM('Smart Search'!$L$6)="All",ISNUMBER(SEARCH(SUBSTITUTE(SUBSTITUTE(SUBSTITUTE(TRIM('Smart Search'!$L$6),"~","~~"),"*","~*"),"?","~?"),'Project Database'!C260))),OR('Smart Search'!$L$7="",AND('Project Database'!E260&lt;&gt;"",'Project Database'!E260='Smart Search'!$L$7)),OR('Smart Search'!$L$8="",'Smart Search'!$L$8="All",TRIM('Project Database'!F260)=TRIM('Smart Search'!$L$8))),IF(BA256="","",BA256+ROW()*0.0000000001),"")</f>
        <v/>
      </c>
      <c r="BI256" s="5" t="str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 t="str">
        <f>IF('Project Database'!A260="","",N('Project Database'!AC260))</f>
        <v/>
      </c>
      <c r="BK256" s="5" t="str">
        <f>IF('Project Database'!A260="","",N('Project Database'!AD260))</f>
        <v/>
      </c>
      <c r="BL256" s="5" t="str">
        <f>IF('Project Database'!A260="","",N('Project Database'!AE260))</f>
        <v/>
      </c>
      <c r="BM256" s="5" t="str">
        <f>IF('Project Database'!A260="","",N('Project Database'!AF260))</f>
        <v/>
      </c>
      <c r="BN256" s="5" t="str">
        <f>IF('Project Database'!A260="","",N('Project Database'!AG260))</f>
        <v/>
      </c>
      <c r="BO256" s="5" t="str">
        <f>IF('Project Database'!A260="","",N('Project Database'!AH260))</f>
        <v/>
      </c>
      <c r="BP256" s="5" t="str">
        <f>IF('Project Database'!A260="","",N('Project Database'!AI260))</f>
        <v/>
      </c>
      <c r="BQ256" s="5" t="str">
        <f>IF('Project Database'!A260="","",N('Project Database'!AJ260))</f>
        <v/>
      </c>
      <c r="BR256" s="5" t="str">
        <f>IF('Project Database'!A260="","",N('Project Database'!AK260))</f>
        <v/>
      </c>
      <c r="BS256" s="5" t="str">
        <f>IF('Project Database'!A260="","",N('Project Database'!AL260))</f>
        <v/>
      </c>
      <c r="BT256" s="5" t="str">
        <f>IF('Project Database'!A260="","",N('Project Database'!AM260))</f>
        <v/>
      </c>
      <c r="BU256" s="5" t="str">
        <f>IF('Project Database'!A260="","",N('Project Database'!AN260))</f>
        <v/>
      </c>
      <c r="BV256" s="5" t="str">
        <f>IF('Project Database'!A260="","",N('Project Database'!AO260))</f>
        <v/>
      </c>
      <c r="BW256" s="5" t="str">
        <f>IF('Project Database'!A260="","",N('Project Database'!AP260))</f>
        <v/>
      </c>
      <c r="BX256" s="5">
        <f t="shared" si="54"/>
        <v>0</v>
      </c>
      <c r="BY256" s="5">
        <f t="shared" si="55"/>
        <v>0</v>
      </c>
    </row>
    <row r="257" spans="1:77" ht="15" customHeight="1" x14ac:dyDescent="0.3">
      <c r="A257" s="66">
        <f>'Project Database'!A261</f>
        <v>0</v>
      </c>
      <c r="B257" s="66">
        <f>'Project Database'!B261</f>
        <v>0</v>
      </c>
      <c r="C257" s="66">
        <f>'Project Database'!G261</f>
        <v>0</v>
      </c>
      <c r="D257" s="66">
        <f>'Project Database'!H261</f>
        <v>0</v>
      </c>
      <c r="E257" s="66">
        <f>'Project Database'!I261</f>
        <v>0</v>
      </c>
      <c r="F257" s="66">
        <f>'Project Database'!J261</f>
        <v>0</v>
      </c>
      <c r="G257" s="66">
        <f>'Project Database'!K261</f>
        <v>0</v>
      </c>
      <c r="H257" s="66">
        <f>'Project Database'!L261</f>
        <v>0</v>
      </c>
      <c r="I257" s="66">
        <f>'Project Database'!M261</f>
        <v>0</v>
      </c>
      <c r="J257" s="66">
        <f>'Project Database'!N261</f>
        <v>0</v>
      </c>
      <c r="K257" s="66">
        <f>'Project Database'!O261</f>
        <v>0</v>
      </c>
      <c r="L257" s="66">
        <f>'Project Database'!P261</f>
        <v>0</v>
      </c>
      <c r="M257" s="66">
        <f>'Project Database'!Q261</f>
        <v>0</v>
      </c>
      <c r="N257" s="66">
        <f>'Project Database'!R261</f>
        <v>0</v>
      </c>
      <c r="O257" s="66">
        <f>'Project Database'!S261</f>
        <v>0</v>
      </c>
      <c r="P257" s="66">
        <f>'Project Database'!T261</f>
        <v>0</v>
      </c>
      <c r="Q257" s="66">
        <f>'Project Database'!U261</f>
        <v>0</v>
      </c>
      <c r="R257" s="66">
        <f>'Project Database'!V261</f>
        <v>0</v>
      </c>
      <c r="S257" s="66">
        <f>'Project Database'!W261</f>
        <v>0</v>
      </c>
      <c r="T257" s="66">
        <f>'Project Database'!X261</f>
        <v>0</v>
      </c>
      <c r="U257" s="67">
        <f>'Project Database'!Y261</f>
        <v>0</v>
      </c>
      <c r="V257" s="66">
        <f>IF('Smart Search'!B13=1,IFERROR(1/'Smart Search'!H13,0),0)</f>
        <v>0</v>
      </c>
      <c r="W257" s="66">
        <f>IF('Smart Search'!B13=1,IFERROR(1/'Smart Search'!H13,0),0)</f>
        <v>0</v>
      </c>
      <c r="X257" s="66">
        <f>IF('Smart Search'!C13=1,IFERROR(1/'Smart Search'!H13,0),0)</f>
        <v>0.5</v>
      </c>
      <c r="Y257" s="66">
        <f>IF('Smart Search'!C13=1,IFERROR(1/'Smart Search'!H13,0),0)</f>
        <v>0.5</v>
      </c>
      <c r="Z257" s="66">
        <f>IF('Smart Search'!D13=1,IFERROR(1/'Smart Search'!H13,0),0)</f>
        <v>0</v>
      </c>
      <c r="AA257" s="66">
        <f>IF('Smart Search'!D13=1,IFERROR(1/'Smart Search'!H13,0),0)</f>
        <v>0</v>
      </c>
      <c r="AB257" s="66">
        <f>IF('Smart Search'!E13=1,IFERROR(1/'Smart Search'!H13,0),0)</f>
        <v>0</v>
      </c>
      <c r="AC257" s="66">
        <f>IF('Smart Search'!E13=1,IFERROR(1/'Smart Search'!H13,0),0)</f>
        <v>0</v>
      </c>
      <c r="AD257" s="66">
        <f>IF('Smart Search'!F13=1,IFERROR(1/'Smart Search'!H13,0),0)</f>
        <v>0</v>
      </c>
      <c r="AE257" s="66">
        <f>IF('Smart Search'!F13=1,IFERROR(1/'Smart Search'!H13,0),0)</f>
        <v>0</v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>0</v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>0</v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>0</v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>0</v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>0</v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>0</v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>0</v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>0</v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>0</v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>0</v>
      </c>
      <c r="AP257" s="66">
        <f t="shared" si="42"/>
        <v>0</v>
      </c>
      <c r="AQ257" s="66">
        <f t="shared" si="43"/>
        <v>0</v>
      </c>
      <c r="AR257" s="66">
        <f t="shared" si="44"/>
        <v>0</v>
      </c>
      <c r="AS257" s="66">
        <f t="shared" si="45"/>
        <v>0</v>
      </c>
      <c r="AT257" s="66">
        <f t="shared" si="46"/>
        <v>0</v>
      </c>
      <c r="AU257" s="66">
        <f t="shared" si="47"/>
        <v>0</v>
      </c>
      <c r="AV257" s="66">
        <f t="shared" si="48"/>
        <v>0</v>
      </c>
      <c r="AW257" s="66">
        <f t="shared" si="49"/>
        <v>0</v>
      </c>
      <c r="AX257" s="66">
        <f t="shared" si="50"/>
        <v>0</v>
      </c>
      <c r="AY257" s="66">
        <f t="shared" si="51"/>
        <v>0</v>
      </c>
      <c r="AZ257" s="66">
        <f>'Project Database'!Z261</f>
        <v>0</v>
      </c>
      <c r="BA257" s="66">
        <f>IF(OR(A257="",'Smart Search'!H13=0),"",MAX(0,BE257*BF257*MAX(0,1-BG257)))</f>
        <v>0</v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>0</v>
      </c>
      <c r="BC257" s="66">
        <f>IF('Smart Search'!G13=1,IFERROR(1/'Smart Search'!H13,0),0)</f>
        <v>0</v>
      </c>
      <c r="BD257" s="66">
        <f t="shared" si="52"/>
        <v>0</v>
      </c>
      <c r="BE257" s="66">
        <f t="shared" si="53"/>
        <v>0</v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>0</v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>0</v>
      </c>
      <c r="BH257" s="5" t="str">
        <f>IF(AND('Project Database'!A261&lt;&gt;"",OR('Smart Search'!$L$5="",'Smart Search'!$L$5="All",TRIM('Project Database'!D261)=TRIM('Smart Search'!$L$5)),OR(TRIM('Smart Search'!$L$6)="",TRIM('Smart Search'!$L$6)="All",ISNUMBER(SEARCH(SUBSTITUTE(SUBSTITUTE(SUBSTITUTE(TRIM('Smart Search'!$L$6),"~","~~"),"*","~*"),"?","~?"),'Project Database'!C261))),OR('Smart Search'!$L$7="",AND('Project Database'!E261&lt;&gt;"",'Project Database'!E261='Smart Search'!$L$7)),OR('Smart Search'!$L$8="",'Smart Search'!$L$8="All",TRIM('Project Database'!F261)=TRIM('Smart Search'!$L$8))),IF(BA257="","",BA257+ROW()*0.0000000001),"")</f>
        <v/>
      </c>
      <c r="BI257" s="5" t="str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 t="str">
        <f>IF('Project Database'!A261="","",N('Project Database'!AC261))</f>
        <v/>
      </c>
      <c r="BK257" s="5" t="str">
        <f>IF('Project Database'!A261="","",N('Project Database'!AD261))</f>
        <v/>
      </c>
      <c r="BL257" s="5" t="str">
        <f>IF('Project Database'!A261="","",N('Project Database'!AE261))</f>
        <v/>
      </c>
      <c r="BM257" s="5" t="str">
        <f>IF('Project Database'!A261="","",N('Project Database'!AF261))</f>
        <v/>
      </c>
      <c r="BN257" s="5" t="str">
        <f>IF('Project Database'!A261="","",N('Project Database'!AG261))</f>
        <v/>
      </c>
      <c r="BO257" s="5" t="str">
        <f>IF('Project Database'!A261="","",N('Project Database'!AH261))</f>
        <v/>
      </c>
      <c r="BP257" s="5" t="str">
        <f>IF('Project Database'!A261="","",N('Project Database'!AI261))</f>
        <v/>
      </c>
      <c r="BQ257" s="5" t="str">
        <f>IF('Project Database'!A261="","",N('Project Database'!AJ261))</f>
        <v/>
      </c>
      <c r="BR257" s="5" t="str">
        <f>IF('Project Database'!A261="","",N('Project Database'!AK261))</f>
        <v/>
      </c>
      <c r="BS257" s="5" t="str">
        <f>IF('Project Database'!A261="","",N('Project Database'!AL261))</f>
        <v/>
      </c>
      <c r="BT257" s="5" t="str">
        <f>IF('Project Database'!A261="","",N('Project Database'!AM261))</f>
        <v/>
      </c>
      <c r="BU257" s="5" t="str">
        <f>IF('Project Database'!A261="","",N('Project Database'!AN261))</f>
        <v/>
      </c>
      <c r="BV257" s="5" t="str">
        <f>IF('Project Database'!A261="","",N('Project Database'!AO261))</f>
        <v/>
      </c>
      <c r="BW257" s="5" t="str">
        <f>IF('Project Database'!A261="","",N('Project Database'!AP261))</f>
        <v/>
      </c>
      <c r="BX257" s="5">
        <f t="shared" si="54"/>
        <v>0</v>
      </c>
      <c r="BY257" s="5">
        <f t="shared" si="55"/>
        <v>0</v>
      </c>
    </row>
    <row r="258" spans="1:77" ht="15" customHeight="1" x14ac:dyDescent="0.3">
      <c r="A258" s="66">
        <f>'Project Database'!A262</f>
        <v>0</v>
      </c>
      <c r="B258" s="66">
        <f>'Project Database'!B262</f>
        <v>0</v>
      </c>
      <c r="C258" s="66">
        <f>'Project Database'!G262</f>
        <v>0</v>
      </c>
      <c r="D258" s="66">
        <f>'Project Database'!H262</f>
        <v>0</v>
      </c>
      <c r="E258" s="66">
        <f>'Project Database'!I262</f>
        <v>0</v>
      </c>
      <c r="F258" s="66">
        <f>'Project Database'!J262</f>
        <v>0</v>
      </c>
      <c r="G258" s="66">
        <f>'Project Database'!K262</f>
        <v>0</v>
      </c>
      <c r="H258" s="66">
        <f>'Project Database'!L262</f>
        <v>0</v>
      </c>
      <c r="I258" s="66">
        <f>'Project Database'!M262</f>
        <v>0</v>
      </c>
      <c r="J258" s="66">
        <f>'Project Database'!N262</f>
        <v>0</v>
      </c>
      <c r="K258" s="66">
        <f>'Project Database'!O262</f>
        <v>0</v>
      </c>
      <c r="L258" s="66">
        <f>'Project Database'!P262</f>
        <v>0</v>
      </c>
      <c r="M258" s="66">
        <f>'Project Database'!Q262</f>
        <v>0</v>
      </c>
      <c r="N258" s="66">
        <f>'Project Database'!R262</f>
        <v>0</v>
      </c>
      <c r="O258" s="66">
        <f>'Project Database'!S262</f>
        <v>0</v>
      </c>
      <c r="P258" s="66">
        <f>'Project Database'!T262</f>
        <v>0</v>
      </c>
      <c r="Q258" s="66">
        <f>'Project Database'!U262</f>
        <v>0</v>
      </c>
      <c r="R258" s="66">
        <f>'Project Database'!V262</f>
        <v>0</v>
      </c>
      <c r="S258" s="66">
        <f>'Project Database'!W262</f>
        <v>0</v>
      </c>
      <c r="T258" s="66">
        <f>'Project Database'!X262</f>
        <v>0</v>
      </c>
      <c r="U258" s="67">
        <f>'Project Database'!Y262</f>
        <v>0</v>
      </c>
      <c r="V258" s="66">
        <f>IF('Smart Search'!B13=1,IFERROR(1/'Smart Search'!H13,0),0)</f>
        <v>0</v>
      </c>
      <c r="W258" s="66">
        <f>IF('Smart Search'!B13=1,IFERROR(1/'Smart Search'!H13,0),0)</f>
        <v>0</v>
      </c>
      <c r="X258" s="66">
        <f>IF('Smart Search'!C13=1,IFERROR(1/'Smart Search'!H13,0),0)</f>
        <v>0.5</v>
      </c>
      <c r="Y258" s="66">
        <f>IF('Smart Search'!C13=1,IFERROR(1/'Smart Search'!H13,0),0)</f>
        <v>0.5</v>
      </c>
      <c r="Z258" s="66">
        <f>IF('Smart Search'!D13=1,IFERROR(1/'Smart Search'!H13,0),0)</f>
        <v>0</v>
      </c>
      <c r="AA258" s="66">
        <f>IF('Smart Search'!D13=1,IFERROR(1/'Smart Search'!H13,0),0)</f>
        <v>0</v>
      </c>
      <c r="AB258" s="66">
        <f>IF('Smart Search'!E13=1,IFERROR(1/'Smart Search'!H13,0),0)</f>
        <v>0</v>
      </c>
      <c r="AC258" s="66">
        <f>IF('Smart Search'!E13=1,IFERROR(1/'Smart Search'!H13,0),0)</f>
        <v>0</v>
      </c>
      <c r="AD258" s="66">
        <f>IF('Smart Search'!F13=1,IFERROR(1/'Smart Search'!H13,0),0)</f>
        <v>0</v>
      </c>
      <c r="AE258" s="66">
        <f>IF('Smart Search'!F13=1,IFERROR(1/'Smart Search'!H13,0),0)</f>
        <v>0</v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>0</v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>0</v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>0</v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>0</v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>0</v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>0</v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>0</v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>0</v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>0</v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>0</v>
      </c>
      <c r="AP258" s="66">
        <f t="shared" ref="AP258:AP321" si="56">AF258*V258</f>
        <v>0</v>
      </c>
      <c r="AQ258" s="66">
        <f t="shared" ref="AQ258:AQ321" si="57">AG258*W258</f>
        <v>0</v>
      </c>
      <c r="AR258" s="66">
        <f t="shared" ref="AR258:AR321" si="58">AH258*X258</f>
        <v>0</v>
      </c>
      <c r="AS258" s="66">
        <f t="shared" ref="AS258:AS321" si="59">AI258*Y258</f>
        <v>0</v>
      </c>
      <c r="AT258" s="66">
        <f t="shared" ref="AT258:AT321" si="60">AJ258*Z258</f>
        <v>0</v>
      </c>
      <c r="AU258" s="66">
        <f t="shared" ref="AU258:AU321" si="61">AK258*AA258</f>
        <v>0</v>
      </c>
      <c r="AV258" s="66">
        <f t="shared" ref="AV258:AV321" si="62">AL258*AB258</f>
        <v>0</v>
      </c>
      <c r="AW258" s="66">
        <f t="shared" ref="AW258:AW321" si="63">AM258*AC258</f>
        <v>0</v>
      </c>
      <c r="AX258" s="66">
        <f t="shared" ref="AX258:AX321" si="64">AN258*AD258</f>
        <v>0</v>
      </c>
      <c r="AY258" s="66">
        <f t="shared" ref="AY258:AY321" si="65">AO258*AE258</f>
        <v>0</v>
      </c>
      <c r="AZ258" s="66">
        <f>'Project Database'!Z262</f>
        <v>0</v>
      </c>
      <c r="BA258" s="66">
        <f>IF(OR(A258="",'Smart Search'!H13=0),"",MAX(0,BE258*BF258*MAX(0,1-BG258)))</f>
        <v>0</v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>0</v>
      </c>
      <c r="BC258" s="66">
        <f>IF('Smart Search'!G13=1,IFERROR(1/'Smart Search'!H13,0),0)</f>
        <v>0</v>
      </c>
      <c r="BD258" s="66">
        <f t="shared" ref="BD258:BD321" si="66">BB258*BC258</f>
        <v>0</v>
      </c>
      <c r="BE258" s="66">
        <f t="shared" ref="BE258:BE321" si="67">AP258+AQ258+AR258+AS258+AT258+AU258+AV258+AW258+AX258+AY258+BD258</f>
        <v>0</v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>0</v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>0</v>
      </c>
      <c r="BH258" s="5" t="str">
        <f>IF(AND('Project Database'!A262&lt;&gt;"",OR('Smart Search'!$L$5="",'Smart Search'!$L$5="All",TRIM('Project Database'!D262)=TRIM('Smart Search'!$L$5)),OR(TRIM('Smart Search'!$L$6)="",TRIM('Smart Search'!$L$6)="All",ISNUMBER(SEARCH(SUBSTITUTE(SUBSTITUTE(SUBSTITUTE(TRIM('Smart Search'!$L$6),"~","~~"),"*","~*"),"?","~?"),'Project Database'!C262))),OR('Smart Search'!$L$7="",AND('Project Database'!E262&lt;&gt;"",'Project Database'!E262='Smart Search'!$L$7)),OR('Smart Search'!$L$8="",'Smart Search'!$L$8="All",TRIM('Project Database'!F262)=TRIM('Smart Search'!$L$8))),IF(BA258="","",BA258+ROW()*0.0000000001),"")</f>
        <v/>
      </c>
      <c r="BI258" s="5" t="str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 t="str">
        <f>IF('Project Database'!A262="","",N('Project Database'!AC262))</f>
        <v/>
      </c>
      <c r="BK258" s="5" t="str">
        <f>IF('Project Database'!A262="","",N('Project Database'!AD262))</f>
        <v/>
      </c>
      <c r="BL258" s="5" t="str">
        <f>IF('Project Database'!A262="","",N('Project Database'!AE262))</f>
        <v/>
      </c>
      <c r="BM258" s="5" t="str">
        <f>IF('Project Database'!A262="","",N('Project Database'!AF262))</f>
        <v/>
      </c>
      <c r="BN258" s="5" t="str">
        <f>IF('Project Database'!A262="","",N('Project Database'!AG262))</f>
        <v/>
      </c>
      <c r="BO258" s="5" t="str">
        <f>IF('Project Database'!A262="","",N('Project Database'!AH262))</f>
        <v/>
      </c>
      <c r="BP258" s="5" t="str">
        <f>IF('Project Database'!A262="","",N('Project Database'!AI262))</f>
        <v/>
      </c>
      <c r="BQ258" s="5" t="str">
        <f>IF('Project Database'!A262="","",N('Project Database'!AJ262))</f>
        <v/>
      </c>
      <c r="BR258" s="5" t="str">
        <f>IF('Project Database'!A262="","",N('Project Database'!AK262))</f>
        <v/>
      </c>
      <c r="BS258" s="5" t="str">
        <f>IF('Project Database'!A262="","",N('Project Database'!AL262))</f>
        <v/>
      </c>
      <c r="BT258" s="5" t="str">
        <f>IF('Project Database'!A262="","",N('Project Database'!AM262))</f>
        <v/>
      </c>
      <c r="BU258" s="5" t="str">
        <f>IF('Project Database'!A262="","",N('Project Database'!AN262))</f>
        <v/>
      </c>
      <c r="BV258" s="5" t="str">
        <f>IF('Project Database'!A262="","",N('Project Database'!AO262))</f>
        <v/>
      </c>
      <c r="BW258" s="5" t="str">
        <f>IF('Project Database'!A262="","",N('Project Database'!AP262))</f>
        <v/>
      </c>
      <c r="BX258" s="5">
        <f t="shared" ref="BX258:BX321" si="68">IF(A258="","",SUM(BJ258:BW258))</f>
        <v>0</v>
      </c>
      <c r="BY258" s="5">
        <f t="shared" ref="BY258:BY321" si="69">IF(A258="","",IFERROR(IF(ISNUMBER(U258),U258,VALUE(SUBSTITUTE(SUBSTITUTE(SUBSTITUTE(UPPER(TRIM(U258)),"M",""),",","")," ",""))),0))</f>
        <v>0</v>
      </c>
    </row>
    <row r="259" spans="1:77" ht="15" customHeight="1" x14ac:dyDescent="0.3">
      <c r="A259" s="66">
        <f>'Project Database'!A263</f>
        <v>0</v>
      </c>
      <c r="B259" s="66">
        <f>'Project Database'!B263</f>
        <v>0</v>
      </c>
      <c r="C259" s="66">
        <f>'Project Database'!G263</f>
        <v>0</v>
      </c>
      <c r="D259" s="66">
        <f>'Project Database'!H263</f>
        <v>0</v>
      </c>
      <c r="E259" s="66">
        <f>'Project Database'!I263</f>
        <v>0</v>
      </c>
      <c r="F259" s="66">
        <f>'Project Database'!J263</f>
        <v>0</v>
      </c>
      <c r="G259" s="66">
        <f>'Project Database'!K263</f>
        <v>0</v>
      </c>
      <c r="H259" s="66">
        <f>'Project Database'!L263</f>
        <v>0</v>
      </c>
      <c r="I259" s="66">
        <f>'Project Database'!M263</f>
        <v>0</v>
      </c>
      <c r="J259" s="66">
        <f>'Project Database'!N263</f>
        <v>0</v>
      </c>
      <c r="K259" s="66">
        <f>'Project Database'!O263</f>
        <v>0</v>
      </c>
      <c r="L259" s="66">
        <f>'Project Database'!P263</f>
        <v>0</v>
      </c>
      <c r="M259" s="66">
        <f>'Project Database'!Q263</f>
        <v>0</v>
      </c>
      <c r="N259" s="66">
        <f>'Project Database'!R263</f>
        <v>0</v>
      </c>
      <c r="O259" s="66">
        <f>'Project Database'!S263</f>
        <v>0</v>
      </c>
      <c r="P259" s="66">
        <f>'Project Database'!T263</f>
        <v>0</v>
      </c>
      <c r="Q259" s="66">
        <f>'Project Database'!U263</f>
        <v>0</v>
      </c>
      <c r="R259" s="66">
        <f>'Project Database'!V263</f>
        <v>0</v>
      </c>
      <c r="S259" s="66">
        <f>'Project Database'!W263</f>
        <v>0</v>
      </c>
      <c r="T259" s="66">
        <f>'Project Database'!X263</f>
        <v>0</v>
      </c>
      <c r="U259" s="67">
        <f>'Project Database'!Y263</f>
        <v>0</v>
      </c>
      <c r="V259" s="66">
        <f>IF('Smart Search'!B13=1,IFERROR(1/'Smart Search'!H13,0),0)</f>
        <v>0</v>
      </c>
      <c r="W259" s="66">
        <f>IF('Smart Search'!B13=1,IFERROR(1/'Smart Search'!H13,0),0)</f>
        <v>0</v>
      </c>
      <c r="X259" s="66">
        <f>IF('Smart Search'!C13=1,IFERROR(1/'Smart Search'!H13,0),0)</f>
        <v>0.5</v>
      </c>
      <c r="Y259" s="66">
        <f>IF('Smart Search'!C13=1,IFERROR(1/'Smart Search'!H13,0),0)</f>
        <v>0.5</v>
      </c>
      <c r="Z259" s="66">
        <f>IF('Smart Search'!D13=1,IFERROR(1/'Smart Search'!H13,0),0)</f>
        <v>0</v>
      </c>
      <c r="AA259" s="66">
        <f>IF('Smart Search'!D13=1,IFERROR(1/'Smart Search'!H13,0),0)</f>
        <v>0</v>
      </c>
      <c r="AB259" s="66">
        <f>IF('Smart Search'!E13=1,IFERROR(1/'Smart Search'!H13,0),0)</f>
        <v>0</v>
      </c>
      <c r="AC259" s="66">
        <f>IF('Smart Search'!E13=1,IFERROR(1/'Smart Search'!H13,0),0)</f>
        <v>0</v>
      </c>
      <c r="AD259" s="66">
        <f>IF('Smart Search'!F13=1,IFERROR(1/'Smart Search'!H13,0),0)</f>
        <v>0</v>
      </c>
      <c r="AE259" s="66">
        <f>IF('Smart Search'!F13=1,IFERROR(1/'Smart Search'!H13,0),0)</f>
        <v>0</v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>0</v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>0</v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>0</v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>0</v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>0</v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>0</v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>0</v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>0</v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>0</v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>0</v>
      </c>
      <c r="AP259" s="66">
        <f t="shared" si="56"/>
        <v>0</v>
      </c>
      <c r="AQ259" s="66">
        <f t="shared" si="57"/>
        <v>0</v>
      </c>
      <c r="AR259" s="66">
        <f t="shared" si="58"/>
        <v>0</v>
      </c>
      <c r="AS259" s="66">
        <f t="shared" si="59"/>
        <v>0</v>
      </c>
      <c r="AT259" s="66">
        <f t="shared" si="60"/>
        <v>0</v>
      </c>
      <c r="AU259" s="66">
        <f t="shared" si="61"/>
        <v>0</v>
      </c>
      <c r="AV259" s="66">
        <f t="shared" si="62"/>
        <v>0</v>
      </c>
      <c r="AW259" s="66">
        <f t="shared" si="63"/>
        <v>0</v>
      </c>
      <c r="AX259" s="66">
        <f t="shared" si="64"/>
        <v>0</v>
      </c>
      <c r="AY259" s="66">
        <f t="shared" si="65"/>
        <v>0</v>
      </c>
      <c r="AZ259" s="66">
        <f>'Project Database'!Z263</f>
        <v>0</v>
      </c>
      <c r="BA259" s="66">
        <f>IF(OR(A259="",'Smart Search'!H13=0),"",MAX(0,BE259*BF259*MAX(0,1-BG259)))</f>
        <v>0</v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>0</v>
      </c>
      <c r="BC259" s="66">
        <f>IF('Smart Search'!G13=1,IFERROR(1/'Smart Search'!H13,0),0)</f>
        <v>0</v>
      </c>
      <c r="BD259" s="66">
        <f t="shared" si="66"/>
        <v>0</v>
      </c>
      <c r="BE259" s="66">
        <f t="shared" si="67"/>
        <v>0</v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>0</v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>0</v>
      </c>
      <c r="BH259" s="5" t="str">
        <f>IF(AND('Project Database'!A263&lt;&gt;"",OR('Smart Search'!$L$5="",'Smart Search'!$L$5="All",TRIM('Project Database'!D263)=TRIM('Smart Search'!$L$5)),OR(TRIM('Smart Search'!$L$6)="",TRIM('Smart Search'!$L$6)="All",ISNUMBER(SEARCH(SUBSTITUTE(SUBSTITUTE(SUBSTITUTE(TRIM('Smart Search'!$L$6),"~","~~"),"*","~*"),"?","~?"),'Project Database'!C263))),OR('Smart Search'!$L$7="",AND('Project Database'!E263&lt;&gt;"",'Project Database'!E263='Smart Search'!$L$7)),OR('Smart Search'!$L$8="",'Smart Search'!$L$8="All",TRIM('Project Database'!F263)=TRIM('Smart Search'!$L$8))),IF(BA259="","",BA259+ROW()*0.0000000001),"")</f>
        <v/>
      </c>
      <c r="BI259" s="5" t="str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 t="str">
        <f>IF('Project Database'!A263="","",N('Project Database'!AC263))</f>
        <v/>
      </c>
      <c r="BK259" s="5" t="str">
        <f>IF('Project Database'!A263="","",N('Project Database'!AD263))</f>
        <v/>
      </c>
      <c r="BL259" s="5" t="str">
        <f>IF('Project Database'!A263="","",N('Project Database'!AE263))</f>
        <v/>
      </c>
      <c r="BM259" s="5" t="str">
        <f>IF('Project Database'!A263="","",N('Project Database'!AF263))</f>
        <v/>
      </c>
      <c r="BN259" s="5" t="str">
        <f>IF('Project Database'!A263="","",N('Project Database'!AG263))</f>
        <v/>
      </c>
      <c r="BO259" s="5" t="str">
        <f>IF('Project Database'!A263="","",N('Project Database'!AH263))</f>
        <v/>
      </c>
      <c r="BP259" s="5" t="str">
        <f>IF('Project Database'!A263="","",N('Project Database'!AI263))</f>
        <v/>
      </c>
      <c r="BQ259" s="5" t="str">
        <f>IF('Project Database'!A263="","",N('Project Database'!AJ263))</f>
        <v/>
      </c>
      <c r="BR259" s="5" t="str">
        <f>IF('Project Database'!A263="","",N('Project Database'!AK263))</f>
        <v/>
      </c>
      <c r="BS259" s="5" t="str">
        <f>IF('Project Database'!A263="","",N('Project Database'!AL263))</f>
        <v/>
      </c>
      <c r="BT259" s="5" t="str">
        <f>IF('Project Database'!A263="","",N('Project Database'!AM263))</f>
        <v/>
      </c>
      <c r="BU259" s="5" t="str">
        <f>IF('Project Database'!A263="","",N('Project Database'!AN263))</f>
        <v/>
      </c>
      <c r="BV259" s="5" t="str">
        <f>IF('Project Database'!A263="","",N('Project Database'!AO263))</f>
        <v/>
      </c>
      <c r="BW259" s="5" t="str">
        <f>IF('Project Database'!A263="","",N('Project Database'!AP263))</f>
        <v/>
      </c>
      <c r="BX259" s="5">
        <f t="shared" si="68"/>
        <v>0</v>
      </c>
      <c r="BY259" s="5">
        <f t="shared" si="69"/>
        <v>0</v>
      </c>
    </row>
    <row r="260" spans="1:77" ht="15" customHeight="1" x14ac:dyDescent="0.3">
      <c r="A260" s="66">
        <f>'Project Database'!A264</f>
        <v>0</v>
      </c>
      <c r="B260" s="66">
        <f>'Project Database'!B264</f>
        <v>0</v>
      </c>
      <c r="C260" s="66">
        <f>'Project Database'!G264</f>
        <v>0</v>
      </c>
      <c r="D260" s="66">
        <f>'Project Database'!H264</f>
        <v>0</v>
      </c>
      <c r="E260" s="66">
        <f>'Project Database'!I264</f>
        <v>0</v>
      </c>
      <c r="F260" s="66">
        <f>'Project Database'!J264</f>
        <v>0</v>
      </c>
      <c r="G260" s="66">
        <f>'Project Database'!K264</f>
        <v>0</v>
      </c>
      <c r="H260" s="66">
        <f>'Project Database'!L264</f>
        <v>0</v>
      </c>
      <c r="I260" s="66">
        <f>'Project Database'!M264</f>
        <v>0</v>
      </c>
      <c r="J260" s="66">
        <f>'Project Database'!N264</f>
        <v>0</v>
      </c>
      <c r="K260" s="66">
        <f>'Project Database'!O264</f>
        <v>0</v>
      </c>
      <c r="L260" s="66">
        <f>'Project Database'!P264</f>
        <v>0</v>
      </c>
      <c r="M260" s="66">
        <f>'Project Database'!Q264</f>
        <v>0</v>
      </c>
      <c r="N260" s="66">
        <f>'Project Database'!R264</f>
        <v>0</v>
      </c>
      <c r="O260" s="66">
        <f>'Project Database'!S264</f>
        <v>0</v>
      </c>
      <c r="P260" s="66">
        <f>'Project Database'!T264</f>
        <v>0</v>
      </c>
      <c r="Q260" s="66">
        <f>'Project Database'!U264</f>
        <v>0</v>
      </c>
      <c r="R260" s="66">
        <f>'Project Database'!V264</f>
        <v>0</v>
      </c>
      <c r="S260" s="66">
        <f>'Project Database'!W264</f>
        <v>0</v>
      </c>
      <c r="T260" s="66">
        <f>'Project Database'!X264</f>
        <v>0</v>
      </c>
      <c r="U260" s="67">
        <f>'Project Database'!Y264</f>
        <v>0</v>
      </c>
      <c r="V260" s="66">
        <f>IF('Smart Search'!B13=1,IFERROR(1/'Smart Search'!H13,0),0)</f>
        <v>0</v>
      </c>
      <c r="W260" s="66">
        <f>IF('Smart Search'!B13=1,IFERROR(1/'Smart Search'!H13,0),0)</f>
        <v>0</v>
      </c>
      <c r="X260" s="66">
        <f>IF('Smart Search'!C13=1,IFERROR(1/'Smart Search'!H13,0),0)</f>
        <v>0.5</v>
      </c>
      <c r="Y260" s="66">
        <f>IF('Smart Search'!C13=1,IFERROR(1/'Smart Search'!H13,0),0)</f>
        <v>0.5</v>
      </c>
      <c r="Z260" s="66">
        <f>IF('Smart Search'!D13=1,IFERROR(1/'Smart Search'!H13,0),0)</f>
        <v>0</v>
      </c>
      <c r="AA260" s="66">
        <f>IF('Smart Search'!D13=1,IFERROR(1/'Smart Search'!H13,0),0)</f>
        <v>0</v>
      </c>
      <c r="AB260" s="66">
        <f>IF('Smart Search'!E13=1,IFERROR(1/'Smart Search'!H13,0),0)</f>
        <v>0</v>
      </c>
      <c r="AC260" s="66">
        <f>IF('Smart Search'!E13=1,IFERROR(1/'Smart Search'!H13,0),0)</f>
        <v>0</v>
      </c>
      <c r="AD260" s="66">
        <f>IF('Smart Search'!F13=1,IFERROR(1/'Smart Search'!H13,0),0)</f>
        <v>0</v>
      </c>
      <c r="AE260" s="66">
        <f>IF('Smart Search'!F13=1,IFERROR(1/'Smart Search'!H13,0),0)</f>
        <v>0</v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>0</v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>0</v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>0</v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>0</v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>0</v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>0</v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>0</v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>0</v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>0</v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>0</v>
      </c>
      <c r="AP260" s="66">
        <f t="shared" si="56"/>
        <v>0</v>
      </c>
      <c r="AQ260" s="66">
        <f t="shared" si="57"/>
        <v>0</v>
      </c>
      <c r="AR260" s="66">
        <f t="shared" si="58"/>
        <v>0</v>
      </c>
      <c r="AS260" s="66">
        <f t="shared" si="59"/>
        <v>0</v>
      </c>
      <c r="AT260" s="66">
        <f t="shared" si="60"/>
        <v>0</v>
      </c>
      <c r="AU260" s="66">
        <f t="shared" si="61"/>
        <v>0</v>
      </c>
      <c r="AV260" s="66">
        <f t="shared" si="62"/>
        <v>0</v>
      </c>
      <c r="AW260" s="66">
        <f t="shared" si="63"/>
        <v>0</v>
      </c>
      <c r="AX260" s="66">
        <f t="shared" si="64"/>
        <v>0</v>
      </c>
      <c r="AY260" s="66">
        <f t="shared" si="65"/>
        <v>0</v>
      </c>
      <c r="AZ260" s="66">
        <f>'Project Database'!Z264</f>
        <v>0</v>
      </c>
      <c r="BA260" s="66">
        <f>IF(OR(A260="",'Smart Search'!H13=0),"",MAX(0,BE260*BF260*MAX(0,1-BG260)))</f>
        <v>0</v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>0</v>
      </c>
      <c r="BC260" s="66">
        <f>IF('Smart Search'!G13=1,IFERROR(1/'Smart Search'!H13,0),0)</f>
        <v>0</v>
      </c>
      <c r="BD260" s="66">
        <f t="shared" si="66"/>
        <v>0</v>
      </c>
      <c r="BE260" s="66">
        <f t="shared" si="67"/>
        <v>0</v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>0</v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>0</v>
      </c>
      <c r="BH260" s="5" t="str">
        <f>IF(AND('Project Database'!A264&lt;&gt;"",OR('Smart Search'!$L$5="",'Smart Search'!$L$5="All",TRIM('Project Database'!D264)=TRIM('Smart Search'!$L$5)),OR(TRIM('Smart Search'!$L$6)="",TRIM('Smart Search'!$L$6)="All",ISNUMBER(SEARCH(SUBSTITUTE(SUBSTITUTE(SUBSTITUTE(TRIM('Smart Search'!$L$6),"~","~~"),"*","~*"),"?","~?"),'Project Database'!C264))),OR('Smart Search'!$L$7="",AND('Project Database'!E264&lt;&gt;"",'Project Database'!E264='Smart Search'!$L$7)),OR('Smart Search'!$L$8="",'Smart Search'!$L$8="All",TRIM('Project Database'!F264)=TRIM('Smart Search'!$L$8))),IF(BA260="","",BA260+ROW()*0.0000000001),"")</f>
        <v/>
      </c>
      <c r="BI260" s="5" t="str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 t="str">
        <f>IF('Project Database'!A264="","",N('Project Database'!AC264))</f>
        <v/>
      </c>
      <c r="BK260" s="5" t="str">
        <f>IF('Project Database'!A264="","",N('Project Database'!AD264))</f>
        <v/>
      </c>
      <c r="BL260" s="5" t="str">
        <f>IF('Project Database'!A264="","",N('Project Database'!AE264))</f>
        <v/>
      </c>
      <c r="BM260" s="5" t="str">
        <f>IF('Project Database'!A264="","",N('Project Database'!AF264))</f>
        <v/>
      </c>
      <c r="BN260" s="5" t="str">
        <f>IF('Project Database'!A264="","",N('Project Database'!AG264))</f>
        <v/>
      </c>
      <c r="BO260" s="5" t="str">
        <f>IF('Project Database'!A264="","",N('Project Database'!AH264))</f>
        <v/>
      </c>
      <c r="BP260" s="5" t="str">
        <f>IF('Project Database'!A264="","",N('Project Database'!AI264))</f>
        <v/>
      </c>
      <c r="BQ260" s="5" t="str">
        <f>IF('Project Database'!A264="","",N('Project Database'!AJ264))</f>
        <v/>
      </c>
      <c r="BR260" s="5" t="str">
        <f>IF('Project Database'!A264="","",N('Project Database'!AK264))</f>
        <v/>
      </c>
      <c r="BS260" s="5" t="str">
        <f>IF('Project Database'!A264="","",N('Project Database'!AL264))</f>
        <v/>
      </c>
      <c r="BT260" s="5" t="str">
        <f>IF('Project Database'!A264="","",N('Project Database'!AM264))</f>
        <v/>
      </c>
      <c r="BU260" s="5" t="str">
        <f>IF('Project Database'!A264="","",N('Project Database'!AN264))</f>
        <v/>
      </c>
      <c r="BV260" s="5" t="str">
        <f>IF('Project Database'!A264="","",N('Project Database'!AO264))</f>
        <v/>
      </c>
      <c r="BW260" s="5" t="str">
        <f>IF('Project Database'!A264="","",N('Project Database'!AP264))</f>
        <v/>
      </c>
      <c r="BX260" s="5">
        <f t="shared" si="68"/>
        <v>0</v>
      </c>
      <c r="BY260" s="5">
        <f t="shared" si="69"/>
        <v>0</v>
      </c>
    </row>
    <row r="261" spans="1:77" ht="15" customHeight="1" x14ac:dyDescent="0.3">
      <c r="A261" s="66">
        <f>'Project Database'!A265</f>
        <v>0</v>
      </c>
      <c r="B261" s="66">
        <f>'Project Database'!B265</f>
        <v>0</v>
      </c>
      <c r="C261" s="66">
        <f>'Project Database'!G265</f>
        <v>0</v>
      </c>
      <c r="D261" s="66">
        <f>'Project Database'!H265</f>
        <v>0</v>
      </c>
      <c r="E261" s="66">
        <f>'Project Database'!I265</f>
        <v>0</v>
      </c>
      <c r="F261" s="66">
        <f>'Project Database'!J265</f>
        <v>0</v>
      </c>
      <c r="G261" s="66">
        <f>'Project Database'!K265</f>
        <v>0</v>
      </c>
      <c r="H261" s="66">
        <f>'Project Database'!L265</f>
        <v>0</v>
      </c>
      <c r="I261" s="66">
        <f>'Project Database'!M265</f>
        <v>0</v>
      </c>
      <c r="J261" s="66">
        <f>'Project Database'!N265</f>
        <v>0</v>
      </c>
      <c r="K261" s="66">
        <f>'Project Database'!O265</f>
        <v>0</v>
      </c>
      <c r="L261" s="66">
        <f>'Project Database'!P265</f>
        <v>0</v>
      </c>
      <c r="M261" s="66">
        <f>'Project Database'!Q265</f>
        <v>0</v>
      </c>
      <c r="N261" s="66">
        <f>'Project Database'!R265</f>
        <v>0</v>
      </c>
      <c r="O261" s="66">
        <f>'Project Database'!S265</f>
        <v>0</v>
      </c>
      <c r="P261" s="66">
        <f>'Project Database'!T265</f>
        <v>0</v>
      </c>
      <c r="Q261" s="66">
        <f>'Project Database'!U265</f>
        <v>0</v>
      </c>
      <c r="R261" s="66">
        <f>'Project Database'!V265</f>
        <v>0</v>
      </c>
      <c r="S261" s="66">
        <f>'Project Database'!W265</f>
        <v>0</v>
      </c>
      <c r="T261" s="66">
        <f>'Project Database'!X265</f>
        <v>0</v>
      </c>
      <c r="U261" s="67">
        <f>'Project Database'!Y265</f>
        <v>0</v>
      </c>
      <c r="V261" s="66">
        <f>IF('Smart Search'!B13=1,IFERROR(1/'Smart Search'!H13,0),0)</f>
        <v>0</v>
      </c>
      <c r="W261" s="66">
        <f>IF('Smart Search'!B13=1,IFERROR(1/'Smart Search'!H13,0),0)</f>
        <v>0</v>
      </c>
      <c r="X261" s="66">
        <f>IF('Smart Search'!C13=1,IFERROR(1/'Smart Search'!H13,0),0)</f>
        <v>0.5</v>
      </c>
      <c r="Y261" s="66">
        <f>IF('Smart Search'!C13=1,IFERROR(1/'Smart Search'!H13,0),0)</f>
        <v>0.5</v>
      </c>
      <c r="Z261" s="66">
        <f>IF('Smart Search'!D13=1,IFERROR(1/'Smart Search'!H13,0),0)</f>
        <v>0</v>
      </c>
      <c r="AA261" s="66">
        <f>IF('Smart Search'!D13=1,IFERROR(1/'Smart Search'!H13,0),0)</f>
        <v>0</v>
      </c>
      <c r="AB261" s="66">
        <f>IF('Smart Search'!E13=1,IFERROR(1/'Smart Search'!H13,0),0)</f>
        <v>0</v>
      </c>
      <c r="AC261" s="66">
        <f>IF('Smart Search'!E13=1,IFERROR(1/'Smart Search'!H13,0),0)</f>
        <v>0</v>
      </c>
      <c r="AD261" s="66">
        <f>IF('Smart Search'!F13=1,IFERROR(1/'Smart Search'!H13,0),0)</f>
        <v>0</v>
      </c>
      <c r="AE261" s="66">
        <f>IF('Smart Search'!F13=1,IFERROR(1/'Smart Search'!H13,0),0)</f>
        <v>0</v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>0</v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>0</v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>0</v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>0</v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>0</v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>0</v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>0</v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>0</v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>0</v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>0</v>
      </c>
      <c r="AP261" s="66">
        <f t="shared" si="56"/>
        <v>0</v>
      </c>
      <c r="AQ261" s="66">
        <f t="shared" si="57"/>
        <v>0</v>
      </c>
      <c r="AR261" s="66">
        <f t="shared" si="58"/>
        <v>0</v>
      </c>
      <c r="AS261" s="66">
        <f t="shared" si="59"/>
        <v>0</v>
      </c>
      <c r="AT261" s="66">
        <f t="shared" si="60"/>
        <v>0</v>
      </c>
      <c r="AU261" s="66">
        <f t="shared" si="61"/>
        <v>0</v>
      </c>
      <c r="AV261" s="66">
        <f t="shared" si="62"/>
        <v>0</v>
      </c>
      <c r="AW261" s="66">
        <f t="shared" si="63"/>
        <v>0</v>
      </c>
      <c r="AX261" s="66">
        <f t="shared" si="64"/>
        <v>0</v>
      </c>
      <c r="AY261" s="66">
        <f t="shared" si="65"/>
        <v>0</v>
      </c>
      <c r="AZ261" s="66">
        <f>'Project Database'!Z265</f>
        <v>0</v>
      </c>
      <c r="BA261" s="66">
        <f>IF(OR(A261="",'Smart Search'!H13=0),"",MAX(0,BE261*BF261*MAX(0,1-BG261)))</f>
        <v>0</v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>0</v>
      </c>
      <c r="BC261" s="66">
        <f>IF('Smart Search'!G13=1,IFERROR(1/'Smart Search'!H13,0),0)</f>
        <v>0</v>
      </c>
      <c r="BD261" s="66">
        <f t="shared" si="66"/>
        <v>0</v>
      </c>
      <c r="BE261" s="66">
        <f t="shared" si="67"/>
        <v>0</v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>0</v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>0</v>
      </c>
      <c r="BH261" s="5" t="str">
        <f>IF(AND('Project Database'!A265&lt;&gt;"",OR('Smart Search'!$L$5="",'Smart Search'!$L$5="All",TRIM('Project Database'!D265)=TRIM('Smart Search'!$L$5)),OR(TRIM('Smart Search'!$L$6)="",TRIM('Smart Search'!$L$6)="All",ISNUMBER(SEARCH(SUBSTITUTE(SUBSTITUTE(SUBSTITUTE(TRIM('Smart Search'!$L$6),"~","~~"),"*","~*"),"?","~?"),'Project Database'!C265))),OR('Smart Search'!$L$7="",AND('Project Database'!E265&lt;&gt;"",'Project Database'!E265='Smart Search'!$L$7)),OR('Smart Search'!$L$8="",'Smart Search'!$L$8="All",TRIM('Project Database'!F265)=TRIM('Smart Search'!$L$8))),IF(BA261="","",BA261+ROW()*0.0000000001),"")</f>
        <v/>
      </c>
      <c r="BI261" s="5" t="str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 t="str">
        <f>IF('Project Database'!A265="","",N('Project Database'!AC265))</f>
        <v/>
      </c>
      <c r="BK261" s="5" t="str">
        <f>IF('Project Database'!A265="","",N('Project Database'!AD265))</f>
        <v/>
      </c>
      <c r="BL261" s="5" t="str">
        <f>IF('Project Database'!A265="","",N('Project Database'!AE265))</f>
        <v/>
      </c>
      <c r="BM261" s="5" t="str">
        <f>IF('Project Database'!A265="","",N('Project Database'!AF265))</f>
        <v/>
      </c>
      <c r="BN261" s="5" t="str">
        <f>IF('Project Database'!A265="","",N('Project Database'!AG265))</f>
        <v/>
      </c>
      <c r="BO261" s="5" t="str">
        <f>IF('Project Database'!A265="","",N('Project Database'!AH265))</f>
        <v/>
      </c>
      <c r="BP261" s="5" t="str">
        <f>IF('Project Database'!A265="","",N('Project Database'!AI265))</f>
        <v/>
      </c>
      <c r="BQ261" s="5" t="str">
        <f>IF('Project Database'!A265="","",N('Project Database'!AJ265))</f>
        <v/>
      </c>
      <c r="BR261" s="5" t="str">
        <f>IF('Project Database'!A265="","",N('Project Database'!AK265))</f>
        <v/>
      </c>
      <c r="BS261" s="5" t="str">
        <f>IF('Project Database'!A265="","",N('Project Database'!AL265))</f>
        <v/>
      </c>
      <c r="BT261" s="5" t="str">
        <f>IF('Project Database'!A265="","",N('Project Database'!AM265))</f>
        <v/>
      </c>
      <c r="BU261" s="5" t="str">
        <f>IF('Project Database'!A265="","",N('Project Database'!AN265))</f>
        <v/>
      </c>
      <c r="BV261" s="5" t="str">
        <f>IF('Project Database'!A265="","",N('Project Database'!AO265))</f>
        <v/>
      </c>
      <c r="BW261" s="5" t="str">
        <f>IF('Project Database'!A265="","",N('Project Database'!AP265))</f>
        <v/>
      </c>
      <c r="BX261" s="5">
        <f t="shared" si="68"/>
        <v>0</v>
      </c>
      <c r="BY261" s="5">
        <f t="shared" si="69"/>
        <v>0</v>
      </c>
    </row>
    <row r="262" spans="1:77" ht="15" customHeight="1" x14ac:dyDescent="0.3">
      <c r="A262" s="66">
        <f>'Project Database'!A266</f>
        <v>0</v>
      </c>
      <c r="B262" s="66">
        <f>'Project Database'!B266</f>
        <v>0</v>
      </c>
      <c r="C262" s="66">
        <f>'Project Database'!G266</f>
        <v>0</v>
      </c>
      <c r="D262" s="66">
        <f>'Project Database'!H266</f>
        <v>0</v>
      </c>
      <c r="E262" s="66">
        <f>'Project Database'!I266</f>
        <v>0</v>
      </c>
      <c r="F262" s="66">
        <f>'Project Database'!J266</f>
        <v>0</v>
      </c>
      <c r="G262" s="66">
        <f>'Project Database'!K266</f>
        <v>0</v>
      </c>
      <c r="H262" s="66">
        <f>'Project Database'!L266</f>
        <v>0</v>
      </c>
      <c r="I262" s="66">
        <f>'Project Database'!M266</f>
        <v>0</v>
      </c>
      <c r="J262" s="66">
        <f>'Project Database'!N266</f>
        <v>0</v>
      </c>
      <c r="K262" s="66">
        <f>'Project Database'!O266</f>
        <v>0</v>
      </c>
      <c r="L262" s="66">
        <f>'Project Database'!P266</f>
        <v>0</v>
      </c>
      <c r="M262" s="66">
        <f>'Project Database'!Q266</f>
        <v>0</v>
      </c>
      <c r="N262" s="66">
        <f>'Project Database'!R266</f>
        <v>0</v>
      </c>
      <c r="O262" s="66">
        <f>'Project Database'!S266</f>
        <v>0</v>
      </c>
      <c r="P262" s="66">
        <f>'Project Database'!T266</f>
        <v>0</v>
      </c>
      <c r="Q262" s="66">
        <f>'Project Database'!U266</f>
        <v>0</v>
      </c>
      <c r="R262" s="66">
        <f>'Project Database'!V266</f>
        <v>0</v>
      </c>
      <c r="S262" s="66">
        <f>'Project Database'!W266</f>
        <v>0</v>
      </c>
      <c r="T262" s="66">
        <f>'Project Database'!X266</f>
        <v>0</v>
      </c>
      <c r="U262" s="67">
        <f>'Project Database'!Y266</f>
        <v>0</v>
      </c>
      <c r="V262" s="66">
        <f>IF('Smart Search'!B13=1,IFERROR(1/'Smart Search'!H13,0),0)</f>
        <v>0</v>
      </c>
      <c r="W262" s="66">
        <f>IF('Smart Search'!B13=1,IFERROR(1/'Smart Search'!H13,0),0)</f>
        <v>0</v>
      </c>
      <c r="X262" s="66">
        <f>IF('Smart Search'!C13=1,IFERROR(1/'Smart Search'!H13,0),0)</f>
        <v>0.5</v>
      </c>
      <c r="Y262" s="66">
        <f>IF('Smart Search'!C13=1,IFERROR(1/'Smart Search'!H13,0),0)</f>
        <v>0.5</v>
      </c>
      <c r="Z262" s="66">
        <f>IF('Smart Search'!D13=1,IFERROR(1/'Smart Search'!H13,0),0)</f>
        <v>0</v>
      </c>
      <c r="AA262" s="66">
        <f>IF('Smart Search'!D13=1,IFERROR(1/'Smart Search'!H13,0),0)</f>
        <v>0</v>
      </c>
      <c r="AB262" s="66">
        <f>IF('Smart Search'!E13=1,IFERROR(1/'Smart Search'!H13,0),0)</f>
        <v>0</v>
      </c>
      <c r="AC262" s="66">
        <f>IF('Smart Search'!E13=1,IFERROR(1/'Smart Search'!H13,0),0)</f>
        <v>0</v>
      </c>
      <c r="AD262" s="66">
        <f>IF('Smart Search'!F13=1,IFERROR(1/'Smart Search'!H13,0),0)</f>
        <v>0</v>
      </c>
      <c r="AE262" s="66">
        <f>IF('Smart Search'!F13=1,IFERROR(1/'Smart Search'!H13,0),0)</f>
        <v>0</v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>0</v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>0</v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>0</v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>0</v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>0</v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>0</v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>0</v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>0</v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>0</v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>0</v>
      </c>
      <c r="AP262" s="66">
        <f t="shared" si="56"/>
        <v>0</v>
      </c>
      <c r="AQ262" s="66">
        <f t="shared" si="57"/>
        <v>0</v>
      </c>
      <c r="AR262" s="66">
        <f t="shared" si="58"/>
        <v>0</v>
      </c>
      <c r="AS262" s="66">
        <f t="shared" si="59"/>
        <v>0</v>
      </c>
      <c r="AT262" s="66">
        <f t="shared" si="60"/>
        <v>0</v>
      </c>
      <c r="AU262" s="66">
        <f t="shared" si="61"/>
        <v>0</v>
      </c>
      <c r="AV262" s="66">
        <f t="shared" si="62"/>
        <v>0</v>
      </c>
      <c r="AW262" s="66">
        <f t="shared" si="63"/>
        <v>0</v>
      </c>
      <c r="AX262" s="66">
        <f t="shared" si="64"/>
        <v>0</v>
      </c>
      <c r="AY262" s="66">
        <f t="shared" si="65"/>
        <v>0</v>
      </c>
      <c r="AZ262" s="66">
        <f>'Project Database'!Z266</f>
        <v>0</v>
      </c>
      <c r="BA262" s="66">
        <f>IF(OR(A262="",'Smart Search'!H13=0),"",MAX(0,BE262*BF262*MAX(0,1-BG262)))</f>
        <v>0</v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>0</v>
      </c>
      <c r="BC262" s="66">
        <f>IF('Smart Search'!G13=1,IFERROR(1/'Smart Search'!H13,0),0)</f>
        <v>0</v>
      </c>
      <c r="BD262" s="66">
        <f t="shared" si="66"/>
        <v>0</v>
      </c>
      <c r="BE262" s="66">
        <f t="shared" si="67"/>
        <v>0</v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>0</v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>0</v>
      </c>
      <c r="BH262" s="5" t="str">
        <f>IF(AND('Project Database'!A266&lt;&gt;"",OR('Smart Search'!$L$5="",'Smart Search'!$L$5="All",TRIM('Project Database'!D266)=TRIM('Smart Search'!$L$5)),OR(TRIM('Smart Search'!$L$6)="",TRIM('Smart Search'!$L$6)="All",ISNUMBER(SEARCH(SUBSTITUTE(SUBSTITUTE(SUBSTITUTE(TRIM('Smart Search'!$L$6),"~","~~"),"*","~*"),"?","~?"),'Project Database'!C266))),OR('Smart Search'!$L$7="",AND('Project Database'!E266&lt;&gt;"",'Project Database'!E266='Smart Search'!$L$7)),OR('Smart Search'!$L$8="",'Smart Search'!$L$8="All",TRIM('Project Database'!F266)=TRIM('Smart Search'!$L$8))),IF(BA262="","",BA262+ROW()*0.0000000001),"")</f>
        <v/>
      </c>
      <c r="BI262" s="5" t="str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 t="str">
        <f>IF('Project Database'!A266="","",N('Project Database'!AC266))</f>
        <v/>
      </c>
      <c r="BK262" s="5" t="str">
        <f>IF('Project Database'!A266="","",N('Project Database'!AD266))</f>
        <v/>
      </c>
      <c r="BL262" s="5" t="str">
        <f>IF('Project Database'!A266="","",N('Project Database'!AE266))</f>
        <v/>
      </c>
      <c r="BM262" s="5" t="str">
        <f>IF('Project Database'!A266="","",N('Project Database'!AF266))</f>
        <v/>
      </c>
      <c r="BN262" s="5" t="str">
        <f>IF('Project Database'!A266="","",N('Project Database'!AG266))</f>
        <v/>
      </c>
      <c r="BO262" s="5" t="str">
        <f>IF('Project Database'!A266="","",N('Project Database'!AH266))</f>
        <v/>
      </c>
      <c r="BP262" s="5" t="str">
        <f>IF('Project Database'!A266="","",N('Project Database'!AI266))</f>
        <v/>
      </c>
      <c r="BQ262" s="5" t="str">
        <f>IF('Project Database'!A266="","",N('Project Database'!AJ266))</f>
        <v/>
      </c>
      <c r="BR262" s="5" t="str">
        <f>IF('Project Database'!A266="","",N('Project Database'!AK266))</f>
        <v/>
      </c>
      <c r="BS262" s="5" t="str">
        <f>IF('Project Database'!A266="","",N('Project Database'!AL266))</f>
        <v/>
      </c>
      <c r="BT262" s="5" t="str">
        <f>IF('Project Database'!A266="","",N('Project Database'!AM266))</f>
        <v/>
      </c>
      <c r="BU262" s="5" t="str">
        <f>IF('Project Database'!A266="","",N('Project Database'!AN266))</f>
        <v/>
      </c>
      <c r="BV262" s="5" t="str">
        <f>IF('Project Database'!A266="","",N('Project Database'!AO266))</f>
        <v/>
      </c>
      <c r="BW262" s="5" t="str">
        <f>IF('Project Database'!A266="","",N('Project Database'!AP266))</f>
        <v/>
      </c>
      <c r="BX262" s="5">
        <f t="shared" si="68"/>
        <v>0</v>
      </c>
      <c r="BY262" s="5">
        <f t="shared" si="69"/>
        <v>0</v>
      </c>
    </row>
    <row r="263" spans="1:77" ht="15" customHeight="1" x14ac:dyDescent="0.3">
      <c r="A263" s="66">
        <f>'Project Database'!A267</f>
        <v>0</v>
      </c>
      <c r="B263" s="66">
        <f>'Project Database'!B267</f>
        <v>0</v>
      </c>
      <c r="C263" s="66">
        <f>'Project Database'!G267</f>
        <v>0</v>
      </c>
      <c r="D263" s="66">
        <f>'Project Database'!H267</f>
        <v>0</v>
      </c>
      <c r="E263" s="66">
        <f>'Project Database'!I267</f>
        <v>0</v>
      </c>
      <c r="F263" s="66">
        <f>'Project Database'!J267</f>
        <v>0</v>
      </c>
      <c r="G263" s="66">
        <f>'Project Database'!K267</f>
        <v>0</v>
      </c>
      <c r="H263" s="66">
        <f>'Project Database'!L267</f>
        <v>0</v>
      </c>
      <c r="I263" s="66">
        <f>'Project Database'!M267</f>
        <v>0</v>
      </c>
      <c r="J263" s="66">
        <f>'Project Database'!N267</f>
        <v>0</v>
      </c>
      <c r="K263" s="66">
        <f>'Project Database'!O267</f>
        <v>0</v>
      </c>
      <c r="L263" s="66">
        <f>'Project Database'!P267</f>
        <v>0</v>
      </c>
      <c r="M263" s="66">
        <f>'Project Database'!Q267</f>
        <v>0</v>
      </c>
      <c r="N263" s="66">
        <f>'Project Database'!R267</f>
        <v>0</v>
      </c>
      <c r="O263" s="66">
        <f>'Project Database'!S267</f>
        <v>0</v>
      </c>
      <c r="P263" s="66">
        <f>'Project Database'!T267</f>
        <v>0</v>
      </c>
      <c r="Q263" s="66">
        <f>'Project Database'!U267</f>
        <v>0</v>
      </c>
      <c r="R263" s="66">
        <f>'Project Database'!V267</f>
        <v>0</v>
      </c>
      <c r="S263" s="66">
        <f>'Project Database'!W267</f>
        <v>0</v>
      </c>
      <c r="T263" s="66">
        <f>'Project Database'!X267</f>
        <v>0</v>
      </c>
      <c r="U263" s="67">
        <f>'Project Database'!Y267</f>
        <v>0</v>
      </c>
      <c r="V263" s="66">
        <f>IF('Smart Search'!B13=1,IFERROR(1/'Smart Search'!H13,0),0)</f>
        <v>0</v>
      </c>
      <c r="W263" s="66">
        <f>IF('Smart Search'!B13=1,IFERROR(1/'Smart Search'!H13,0),0)</f>
        <v>0</v>
      </c>
      <c r="X263" s="66">
        <f>IF('Smart Search'!C13=1,IFERROR(1/'Smart Search'!H13,0),0)</f>
        <v>0.5</v>
      </c>
      <c r="Y263" s="66">
        <f>IF('Smart Search'!C13=1,IFERROR(1/'Smart Search'!H13,0),0)</f>
        <v>0.5</v>
      </c>
      <c r="Z263" s="66">
        <f>IF('Smart Search'!D13=1,IFERROR(1/'Smart Search'!H13,0),0)</f>
        <v>0</v>
      </c>
      <c r="AA263" s="66">
        <f>IF('Smart Search'!D13=1,IFERROR(1/'Smart Search'!H13,0),0)</f>
        <v>0</v>
      </c>
      <c r="AB263" s="66">
        <f>IF('Smart Search'!E13=1,IFERROR(1/'Smart Search'!H13,0),0)</f>
        <v>0</v>
      </c>
      <c r="AC263" s="66">
        <f>IF('Smart Search'!E13=1,IFERROR(1/'Smart Search'!H13,0),0)</f>
        <v>0</v>
      </c>
      <c r="AD263" s="66">
        <f>IF('Smart Search'!F13=1,IFERROR(1/'Smart Search'!H13,0),0)</f>
        <v>0</v>
      </c>
      <c r="AE263" s="66">
        <f>IF('Smart Search'!F13=1,IFERROR(1/'Smart Search'!H13,0),0)</f>
        <v>0</v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>0</v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>0</v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>0</v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>0</v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>0</v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>0</v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>0</v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>0</v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>0</v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>0</v>
      </c>
      <c r="AP263" s="66">
        <f t="shared" si="56"/>
        <v>0</v>
      </c>
      <c r="AQ263" s="66">
        <f t="shared" si="57"/>
        <v>0</v>
      </c>
      <c r="AR263" s="66">
        <f t="shared" si="58"/>
        <v>0</v>
      </c>
      <c r="AS263" s="66">
        <f t="shared" si="59"/>
        <v>0</v>
      </c>
      <c r="AT263" s="66">
        <f t="shared" si="60"/>
        <v>0</v>
      </c>
      <c r="AU263" s="66">
        <f t="shared" si="61"/>
        <v>0</v>
      </c>
      <c r="AV263" s="66">
        <f t="shared" si="62"/>
        <v>0</v>
      </c>
      <c r="AW263" s="66">
        <f t="shared" si="63"/>
        <v>0</v>
      </c>
      <c r="AX263" s="66">
        <f t="shared" si="64"/>
        <v>0</v>
      </c>
      <c r="AY263" s="66">
        <f t="shared" si="65"/>
        <v>0</v>
      </c>
      <c r="AZ263" s="66">
        <f>'Project Database'!Z267</f>
        <v>0</v>
      </c>
      <c r="BA263" s="66">
        <f>IF(OR(A263="",'Smart Search'!H13=0),"",MAX(0,BE263*BF263*MAX(0,1-BG263)))</f>
        <v>0</v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>0</v>
      </c>
      <c r="BC263" s="66">
        <f>IF('Smart Search'!G13=1,IFERROR(1/'Smart Search'!H13,0),0)</f>
        <v>0</v>
      </c>
      <c r="BD263" s="66">
        <f t="shared" si="66"/>
        <v>0</v>
      </c>
      <c r="BE263" s="66">
        <f t="shared" si="67"/>
        <v>0</v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>0</v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>0</v>
      </c>
      <c r="BH263" s="5" t="str">
        <f>IF(AND('Project Database'!A267&lt;&gt;"",OR('Smart Search'!$L$5="",'Smart Search'!$L$5="All",TRIM('Project Database'!D267)=TRIM('Smart Search'!$L$5)),OR(TRIM('Smart Search'!$L$6)="",TRIM('Smart Search'!$L$6)="All",ISNUMBER(SEARCH(SUBSTITUTE(SUBSTITUTE(SUBSTITUTE(TRIM('Smart Search'!$L$6),"~","~~"),"*","~*"),"?","~?"),'Project Database'!C267))),OR('Smart Search'!$L$7="",AND('Project Database'!E267&lt;&gt;"",'Project Database'!E267='Smart Search'!$L$7)),OR('Smart Search'!$L$8="",'Smart Search'!$L$8="All",TRIM('Project Database'!F267)=TRIM('Smart Search'!$L$8))),IF(BA263="","",BA263+ROW()*0.0000000001),"")</f>
        <v/>
      </c>
      <c r="BI263" s="5" t="str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 t="str">
        <f>IF('Project Database'!A267="","",N('Project Database'!AC267))</f>
        <v/>
      </c>
      <c r="BK263" s="5" t="str">
        <f>IF('Project Database'!A267="","",N('Project Database'!AD267))</f>
        <v/>
      </c>
      <c r="BL263" s="5" t="str">
        <f>IF('Project Database'!A267="","",N('Project Database'!AE267))</f>
        <v/>
      </c>
      <c r="BM263" s="5" t="str">
        <f>IF('Project Database'!A267="","",N('Project Database'!AF267))</f>
        <v/>
      </c>
      <c r="BN263" s="5" t="str">
        <f>IF('Project Database'!A267="","",N('Project Database'!AG267))</f>
        <v/>
      </c>
      <c r="BO263" s="5" t="str">
        <f>IF('Project Database'!A267="","",N('Project Database'!AH267))</f>
        <v/>
      </c>
      <c r="BP263" s="5" t="str">
        <f>IF('Project Database'!A267="","",N('Project Database'!AI267))</f>
        <v/>
      </c>
      <c r="BQ263" s="5" t="str">
        <f>IF('Project Database'!A267="","",N('Project Database'!AJ267))</f>
        <v/>
      </c>
      <c r="BR263" s="5" t="str">
        <f>IF('Project Database'!A267="","",N('Project Database'!AK267))</f>
        <v/>
      </c>
      <c r="BS263" s="5" t="str">
        <f>IF('Project Database'!A267="","",N('Project Database'!AL267))</f>
        <v/>
      </c>
      <c r="BT263" s="5" t="str">
        <f>IF('Project Database'!A267="","",N('Project Database'!AM267))</f>
        <v/>
      </c>
      <c r="BU263" s="5" t="str">
        <f>IF('Project Database'!A267="","",N('Project Database'!AN267))</f>
        <v/>
      </c>
      <c r="BV263" s="5" t="str">
        <f>IF('Project Database'!A267="","",N('Project Database'!AO267))</f>
        <v/>
      </c>
      <c r="BW263" s="5" t="str">
        <f>IF('Project Database'!A267="","",N('Project Database'!AP267))</f>
        <v/>
      </c>
      <c r="BX263" s="5">
        <f t="shared" si="68"/>
        <v>0</v>
      </c>
      <c r="BY263" s="5">
        <f t="shared" si="69"/>
        <v>0</v>
      </c>
    </row>
    <row r="264" spans="1:77" ht="15" customHeight="1" x14ac:dyDescent="0.3">
      <c r="A264" s="66">
        <f>'Project Database'!A268</f>
        <v>0</v>
      </c>
      <c r="B264" s="66">
        <f>'Project Database'!B268</f>
        <v>0</v>
      </c>
      <c r="C264" s="66">
        <f>'Project Database'!G268</f>
        <v>0</v>
      </c>
      <c r="D264" s="66">
        <f>'Project Database'!H268</f>
        <v>0</v>
      </c>
      <c r="E264" s="66">
        <f>'Project Database'!I268</f>
        <v>0</v>
      </c>
      <c r="F264" s="66">
        <f>'Project Database'!J268</f>
        <v>0</v>
      </c>
      <c r="G264" s="66">
        <f>'Project Database'!K268</f>
        <v>0</v>
      </c>
      <c r="H264" s="66">
        <f>'Project Database'!L268</f>
        <v>0</v>
      </c>
      <c r="I264" s="66">
        <f>'Project Database'!M268</f>
        <v>0</v>
      </c>
      <c r="J264" s="66">
        <f>'Project Database'!N268</f>
        <v>0</v>
      </c>
      <c r="K264" s="66">
        <f>'Project Database'!O268</f>
        <v>0</v>
      </c>
      <c r="L264" s="66">
        <f>'Project Database'!P268</f>
        <v>0</v>
      </c>
      <c r="M264" s="66">
        <f>'Project Database'!Q268</f>
        <v>0</v>
      </c>
      <c r="N264" s="66">
        <f>'Project Database'!R268</f>
        <v>0</v>
      </c>
      <c r="O264" s="66">
        <f>'Project Database'!S268</f>
        <v>0</v>
      </c>
      <c r="P264" s="66">
        <f>'Project Database'!T268</f>
        <v>0</v>
      </c>
      <c r="Q264" s="66">
        <f>'Project Database'!U268</f>
        <v>0</v>
      </c>
      <c r="R264" s="66">
        <f>'Project Database'!V268</f>
        <v>0</v>
      </c>
      <c r="S264" s="66">
        <f>'Project Database'!W268</f>
        <v>0</v>
      </c>
      <c r="T264" s="66">
        <f>'Project Database'!X268</f>
        <v>0</v>
      </c>
      <c r="U264" s="67">
        <f>'Project Database'!Y268</f>
        <v>0</v>
      </c>
      <c r="V264" s="66">
        <f>IF('Smart Search'!B13=1,IFERROR(1/'Smart Search'!H13,0),0)</f>
        <v>0</v>
      </c>
      <c r="W264" s="66">
        <f>IF('Smart Search'!B13=1,IFERROR(1/'Smart Search'!H13,0),0)</f>
        <v>0</v>
      </c>
      <c r="X264" s="66">
        <f>IF('Smart Search'!C13=1,IFERROR(1/'Smart Search'!H13,0),0)</f>
        <v>0.5</v>
      </c>
      <c r="Y264" s="66">
        <f>IF('Smart Search'!C13=1,IFERROR(1/'Smart Search'!H13,0),0)</f>
        <v>0.5</v>
      </c>
      <c r="Z264" s="66">
        <f>IF('Smart Search'!D13=1,IFERROR(1/'Smart Search'!H13,0),0)</f>
        <v>0</v>
      </c>
      <c r="AA264" s="66">
        <f>IF('Smart Search'!D13=1,IFERROR(1/'Smart Search'!H13,0),0)</f>
        <v>0</v>
      </c>
      <c r="AB264" s="66">
        <f>IF('Smart Search'!E13=1,IFERROR(1/'Smart Search'!H13,0),0)</f>
        <v>0</v>
      </c>
      <c r="AC264" s="66">
        <f>IF('Smart Search'!E13=1,IFERROR(1/'Smart Search'!H13,0),0)</f>
        <v>0</v>
      </c>
      <c r="AD264" s="66">
        <f>IF('Smart Search'!F13=1,IFERROR(1/'Smart Search'!H13,0),0)</f>
        <v>0</v>
      </c>
      <c r="AE264" s="66">
        <f>IF('Smart Search'!F13=1,IFERROR(1/'Smart Search'!H13,0),0)</f>
        <v>0</v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>0</v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>0</v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>0</v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>0</v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>0</v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>0</v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>0</v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>0</v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>0</v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>0</v>
      </c>
      <c r="AP264" s="66">
        <f t="shared" si="56"/>
        <v>0</v>
      </c>
      <c r="AQ264" s="66">
        <f t="shared" si="57"/>
        <v>0</v>
      </c>
      <c r="AR264" s="66">
        <f t="shared" si="58"/>
        <v>0</v>
      </c>
      <c r="AS264" s="66">
        <f t="shared" si="59"/>
        <v>0</v>
      </c>
      <c r="AT264" s="66">
        <f t="shared" si="60"/>
        <v>0</v>
      </c>
      <c r="AU264" s="66">
        <f t="shared" si="61"/>
        <v>0</v>
      </c>
      <c r="AV264" s="66">
        <f t="shared" si="62"/>
        <v>0</v>
      </c>
      <c r="AW264" s="66">
        <f t="shared" si="63"/>
        <v>0</v>
      </c>
      <c r="AX264" s="66">
        <f t="shared" si="64"/>
        <v>0</v>
      </c>
      <c r="AY264" s="66">
        <f t="shared" si="65"/>
        <v>0</v>
      </c>
      <c r="AZ264" s="66">
        <f>'Project Database'!Z268</f>
        <v>0</v>
      </c>
      <c r="BA264" s="66">
        <f>IF(OR(A264="",'Smart Search'!H13=0),"",MAX(0,BE264*BF264*MAX(0,1-BG264)))</f>
        <v>0</v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>0</v>
      </c>
      <c r="BC264" s="66">
        <f>IF('Smart Search'!G13=1,IFERROR(1/'Smart Search'!H13,0),0)</f>
        <v>0</v>
      </c>
      <c r="BD264" s="66">
        <f t="shared" si="66"/>
        <v>0</v>
      </c>
      <c r="BE264" s="66">
        <f t="shared" si="67"/>
        <v>0</v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>0</v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>0</v>
      </c>
      <c r="BH264" s="5" t="str">
        <f>IF(AND('Project Database'!A268&lt;&gt;"",OR('Smart Search'!$L$5="",'Smart Search'!$L$5="All",TRIM('Project Database'!D268)=TRIM('Smart Search'!$L$5)),OR(TRIM('Smart Search'!$L$6)="",TRIM('Smart Search'!$L$6)="All",ISNUMBER(SEARCH(SUBSTITUTE(SUBSTITUTE(SUBSTITUTE(TRIM('Smart Search'!$L$6),"~","~~"),"*","~*"),"?","~?"),'Project Database'!C268))),OR('Smart Search'!$L$7="",AND('Project Database'!E268&lt;&gt;"",'Project Database'!E268='Smart Search'!$L$7)),OR('Smart Search'!$L$8="",'Smart Search'!$L$8="All",TRIM('Project Database'!F268)=TRIM('Smart Search'!$L$8))),IF(BA264="","",BA264+ROW()*0.0000000001),"")</f>
        <v/>
      </c>
      <c r="BI264" s="5" t="str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 t="str">
        <f>IF('Project Database'!A268="","",N('Project Database'!AC268))</f>
        <v/>
      </c>
      <c r="BK264" s="5" t="str">
        <f>IF('Project Database'!A268="","",N('Project Database'!AD268))</f>
        <v/>
      </c>
      <c r="BL264" s="5" t="str">
        <f>IF('Project Database'!A268="","",N('Project Database'!AE268))</f>
        <v/>
      </c>
      <c r="BM264" s="5" t="str">
        <f>IF('Project Database'!A268="","",N('Project Database'!AF268))</f>
        <v/>
      </c>
      <c r="BN264" s="5" t="str">
        <f>IF('Project Database'!A268="","",N('Project Database'!AG268))</f>
        <v/>
      </c>
      <c r="BO264" s="5" t="str">
        <f>IF('Project Database'!A268="","",N('Project Database'!AH268))</f>
        <v/>
      </c>
      <c r="BP264" s="5" t="str">
        <f>IF('Project Database'!A268="","",N('Project Database'!AI268))</f>
        <v/>
      </c>
      <c r="BQ264" s="5" t="str">
        <f>IF('Project Database'!A268="","",N('Project Database'!AJ268))</f>
        <v/>
      </c>
      <c r="BR264" s="5" t="str">
        <f>IF('Project Database'!A268="","",N('Project Database'!AK268))</f>
        <v/>
      </c>
      <c r="BS264" s="5" t="str">
        <f>IF('Project Database'!A268="","",N('Project Database'!AL268))</f>
        <v/>
      </c>
      <c r="BT264" s="5" t="str">
        <f>IF('Project Database'!A268="","",N('Project Database'!AM268))</f>
        <v/>
      </c>
      <c r="BU264" s="5" t="str">
        <f>IF('Project Database'!A268="","",N('Project Database'!AN268))</f>
        <v/>
      </c>
      <c r="BV264" s="5" t="str">
        <f>IF('Project Database'!A268="","",N('Project Database'!AO268))</f>
        <v/>
      </c>
      <c r="BW264" s="5" t="str">
        <f>IF('Project Database'!A268="","",N('Project Database'!AP268))</f>
        <v/>
      </c>
      <c r="BX264" s="5">
        <f t="shared" si="68"/>
        <v>0</v>
      </c>
      <c r="BY264" s="5">
        <f t="shared" si="69"/>
        <v>0</v>
      </c>
    </row>
    <row r="265" spans="1:77" ht="15" customHeight="1" x14ac:dyDescent="0.3">
      <c r="A265" s="66">
        <f>'Project Database'!A269</f>
        <v>0</v>
      </c>
      <c r="B265" s="66">
        <f>'Project Database'!B269</f>
        <v>0</v>
      </c>
      <c r="C265" s="66">
        <f>'Project Database'!G269</f>
        <v>0</v>
      </c>
      <c r="D265" s="66">
        <f>'Project Database'!H269</f>
        <v>0</v>
      </c>
      <c r="E265" s="66">
        <f>'Project Database'!I269</f>
        <v>0</v>
      </c>
      <c r="F265" s="66">
        <f>'Project Database'!J269</f>
        <v>0</v>
      </c>
      <c r="G265" s="66">
        <f>'Project Database'!K269</f>
        <v>0</v>
      </c>
      <c r="H265" s="66">
        <f>'Project Database'!L269</f>
        <v>0</v>
      </c>
      <c r="I265" s="66">
        <f>'Project Database'!M269</f>
        <v>0</v>
      </c>
      <c r="J265" s="66">
        <f>'Project Database'!N269</f>
        <v>0</v>
      </c>
      <c r="K265" s="66">
        <f>'Project Database'!O269</f>
        <v>0</v>
      </c>
      <c r="L265" s="66">
        <f>'Project Database'!P269</f>
        <v>0</v>
      </c>
      <c r="M265" s="66">
        <f>'Project Database'!Q269</f>
        <v>0</v>
      </c>
      <c r="N265" s="66">
        <f>'Project Database'!R269</f>
        <v>0</v>
      </c>
      <c r="O265" s="66">
        <f>'Project Database'!S269</f>
        <v>0</v>
      </c>
      <c r="P265" s="66">
        <f>'Project Database'!T269</f>
        <v>0</v>
      </c>
      <c r="Q265" s="66">
        <f>'Project Database'!U269</f>
        <v>0</v>
      </c>
      <c r="R265" s="66">
        <f>'Project Database'!V269</f>
        <v>0</v>
      </c>
      <c r="S265" s="66">
        <f>'Project Database'!W269</f>
        <v>0</v>
      </c>
      <c r="T265" s="66">
        <f>'Project Database'!X269</f>
        <v>0</v>
      </c>
      <c r="U265" s="67">
        <f>'Project Database'!Y269</f>
        <v>0</v>
      </c>
      <c r="V265" s="66">
        <f>IF('Smart Search'!B13=1,IFERROR(1/'Smart Search'!H13,0),0)</f>
        <v>0</v>
      </c>
      <c r="W265" s="66">
        <f>IF('Smart Search'!B13=1,IFERROR(1/'Smart Search'!H13,0),0)</f>
        <v>0</v>
      </c>
      <c r="X265" s="66">
        <f>IF('Smart Search'!C13=1,IFERROR(1/'Smart Search'!H13,0),0)</f>
        <v>0.5</v>
      </c>
      <c r="Y265" s="66">
        <f>IF('Smart Search'!C13=1,IFERROR(1/'Smart Search'!H13,0),0)</f>
        <v>0.5</v>
      </c>
      <c r="Z265" s="66">
        <f>IF('Smart Search'!D13=1,IFERROR(1/'Smart Search'!H13,0),0)</f>
        <v>0</v>
      </c>
      <c r="AA265" s="66">
        <f>IF('Smart Search'!D13=1,IFERROR(1/'Smart Search'!H13,0),0)</f>
        <v>0</v>
      </c>
      <c r="AB265" s="66">
        <f>IF('Smart Search'!E13=1,IFERROR(1/'Smart Search'!H13,0),0)</f>
        <v>0</v>
      </c>
      <c r="AC265" s="66">
        <f>IF('Smart Search'!E13=1,IFERROR(1/'Smart Search'!H13,0),0)</f>
        <v>0</v>
      </c>
      <c r="AD265" s="66">
        <f>IF('Smart Search'!F13=1,IFERROR(1/'Smart Search'!H13,0),0)</f>
        <v>0</v>
      </c>
      <c r="AE265" s="66">
        <f>IF('Smart Search'!F13=1,IFERROR(1/'Smart Search'!H13,0),0)</f>
        <v>0</v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>0</v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>0</v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>0</v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>0</v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>0</v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>0</v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>0</v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>0</v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>0</v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>0</v>
      </c>
      <c r="AP265" s="66">
        <f t="shared" si="56"/>
        <v>0</v>
      </c>
      <c r="AQ265" s="66">
        <f t="shared" si="57"/>
        <v>0</v>
      </c>
      <c r="AR265" s="66">
        <f t="shared" si="58"/>
        <v>0</v>
      </c>
      <c r="AS265" s="66">
        <f t="shared" si="59"/>
        <v>0</v>
      </c>
      <c r="AT265" s="66">
        <f t="shared" si="60"/>
        <v>0</v>
      </c>
      <c r="AU265" s="66">
        <f t="shared" si="61"/>
        <v>0</v>
      </c>
      <c r="AV265" s="66">
        <f t="shared" si="62"/>
        <v>0</v>
      </c>
      <c r="AW265" s="66">
        <f t="shared" si="63"/>
        <v>0</v>
      </c>
      <c r="AX265" s="66">
        <f t="shared" si="64"/>
        <v>0</v>
      </c>
      <c r="AY265" s="66">
        <f t="shared" si="65"/>
        <v>0</v>
      </c>
      <c r="AZ265" s="66">
        <f>'Project Database'!Z269</f>
        <v>0</v>
      </c>
      <c r="BA265" s="66">
        <f>IF(OR(A265="",'Smart Search'!H13=0),"",MAX(0,BE265*BF265*MAX(0,1-BG265)))</f>
        <v>0</v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>0</v>
      </c>
      <c r="BC265" s="66">
        <f>IF('Smart Search'!G13=1,IFERROR(1/'Smart Search'!H13,0),0)</f>
        <v>0</v>
      </c>
      <c r="BD265" s="66">
        <f t="shared" si="66"/>
        <v>0</v>
      </c>
      <c r="BE265" s="66">
        <f t="shared" si="67"/>
        <v>0</v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>0</v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>0</v>
      </c>
      <c r="BH265" s="5" t="str">
        <f>IF(AND('Project Database'!A269&lt;&gt;"",OR('Smart Search'!$L$5="",'Smart Search'!$L$5="All",TRIM('Project Database'!D269)=TRIM('Smart Search'!$L$5)),OR(TRIM('Smart Search'!$L$6)="",TRIM('Smart Search'!$L$6)="All",ISNUMBER(SEARCH(SUBSTITUTE(SUBSTITUTE(SUBSTITUTE(TRIM('Smart Search'!$L$6),"~","~~"),"*","~*"),"?","~?"),'Project Database'!C269))),OR('Smart Search'!$L$7="",AND('Project Database'!E269&lt;&gt;"",'Project Database'!E269='Smart Search'!$L$7)),OR('Smart Search'!$L$8="",'Smart Search'!$L$8="All",TRIM('Project Database'!F269)=TRIM('Smart Search'!$L$8))),IF(BA265="","",BA265+ROW()*0.0000000001),"")</f>
        <v/>
      </c>
      <c r="BI265" s="5" t="str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 t="str">
        <f>IF('Project Database'!A269="","",N('Project Database'!AC269))</f>
        <v/>
      </c>
      <c r="BK265" s="5" t="str">
        <f>IF('Project Database'!A269="","",N('Project Database'!AD269))</f>
        <v/>
      </c>
      <c r="BL265" s="5" t="str">
        <f>IF('Project Database'!A269="","",N('Project Database'!AE269))</f>
        <v/>
      </c>
      <c r="BM265" s="5" t="str">
        <f>IF('Project Database'!A269="","",N('Project Database'!AF269))</f>
        <v/>
      </c>
      <c r="BN265" s="5" t="str">
        <f>IF('Project Database'!A269="","",N('Project Database'!AG269))</f>
        <v/>
      </c>
      <c r="BO265" s="5" t="str">
        <f>IF('Project Database'!A269="","",N('Project Database'!AH269))</f>
        <v/>
      </c>
      <c r="BP265" s="5" t="str">
        <f>IF('Project Database'!A269="","",N('Project Database'!AI269))</f>
        <v/>
      </c>
      <c r="BQ265" s="5" t="str">
        <f>IF('Project Database'!A269="","",N('Project Database'!AJ269))</f>
        <v/>
      </c>
      <c r="BR265" s="5" t="str">
        <f>IF('Project Database'!A269="","",N('Project Database'!AK269))</f>
        <v/>
      </c>
      <c r="BS265" s="5" t="str">
        <f>IF('Project Database'!A269="","",N('Project Database'!AL269))</f>
        <v/>
      </c>
      <c r="BT265" s="5" t="str">
        <f>IF('Project Database'!A269="","",N('Project Database'!AM269))</f>
        <v/>
      </c>
      <c r="BU265" s="5" t="str">
        <f>IF('Project Database'!A269="","",N('Project Database'!AN269))</f>
        <v/>
      </c>
      <c r="BV265" s="5" t="str">
        <f>IF('Project Database'!A269="","",N('Project Database'!AO269))</f>
        <v/>
      </c>
      <c r="BW265" s="5" t="str">
        <f>IF('Project Database'!A269="","",N('Project Database'!AP269))</f>
        <v/>
      </c>
      <c r="BX265" s="5">
        <f t="shared" si="68"/>
        <v>0</v>
      </c>
      <c r="BY265" s="5">
        <f t="shared" si="69"/>
        <v>0</v>
      </c>
    </row>
    <row r="266" spans="1:77" ht="15" customHeight="1" x14ac:dyDescent="0.3">
      <c r="A266" s="66">
        <f>'Project Database'!A270</f>
        <v>0</v>
      </c>
      <c r="B266" s="66">
        <f>'Project Database'!B270</f>
        <v>0</v>
      </c>
      <c r="C266" s="66">
        <f>'Project Database'!G270</f>
        <v>0</v>
      </c>
      <c r="D266" s="66">
        <f>'Project Database'!H270</f>
        <v>0</v>
      </c>
      <c r="E266" s="66">
        <f>'Project Database'!I270</f>
        <v>0</v>
      </c>
      <c r="F266" s="66">
        <f>'Project Database'!J270</f>
        <v>0</v>
      </c>
      <c r="G266" s="66">
        <f>'Project Database'!K270</f>
        <v>0</v>
      </c>
      <c r="H266" s="66">
        <f>'Project Database'!L270</f>
        <v>0</v>
      </c>
      <c r="I266" s="66">
        <f>'Project Database'!M270</f>
        <v>0</v>
      </c>
      <c r="J266" s="66">
        <f>'Project Database'!N270</f>
        <v>0</v>
      </c>
      <c r="K266" s="66">
        <f>'Project Database'!O270</f>
        <v>0</v>
      </c>
      <c r="L266" s="66">
        <f>'Project Database'!P270</f>
        <v>0</v>
      </c>
      <c r="M266" s="66">
        <f>'Project Database'!Q270</f>
        <v>0</v>
      </c>
      <c r="N266" s="66">
        <f>'Project Database'!R270</f>
        <v>0</v>
      </c>
      <c r="O266" s="66">
        <f>'Project Database'!S270</f>
        <v>0</v>
      </c>
      <c r="P266" s="66">
        <f>'Project Database'!T270</f>
        <v>0</v>
      </c>
      <c r="Q266" s="66">
        <f>'Project Database'!U270</f>
        <v>0</v>
      </c>
      <c r="R266" s="66">
        <f>'Project Database'!V270</f>
        <v>0</v>
      </c>
      <c r="S266" s="66">
        <f>'Project Database'!W270</f>
        <v>0</v>
      </c>
      <c r="T266" s="66">
        <f>'Project Database'!X270</f>
        <v>0</v>
      </c>
      <c r="U266" s="67">
        <f>'Project Database'!Y270</f>
        <v>0</v>
      </c>
      <c r="V266" s="66">
        <f>IF('Smart Search'!B13=1,IFERROR(1/'Smart Search'!H13,0),0)</f>
        <v>0</v>
      </c>
      <c r="W266" s="66">
        <f>IF('Smart Search'!B13=1,IFERROR(1/'Smart Search'!H13,0),0)</f>
        <v>0</v>
      </c>
      <c r="X266" s="66">
        <f>IF('Smart Search'!C13=1,IFERROR(1/'Smart Search'!H13,0),0)</f>
        <v>0.5</v>
      </c>
      <c r="Y266" s="66">
        <f>IF('Smart Search'!C13=1,IFERROR(1/'Smart Search'!H13,0),0)</f>
        <v>0.5</v>
      </c>
      <c r="Z266" s="66">
        <f>IF('Smart Search'!D13=1,IFERROR(1/'Smart Search'!H13,0),0)</f>
        <v>0</v>
      </c>
      <c r="AA266" s="66">
        <f>IF('Smart Search'!D13=1,IFERROR(1/'Smart Search'!H13,0),0)</f>
        <v>0</v>
      </c>
      <c r="AB266" s="66">
        <f>IF('Smart Search'!E13=1,IFERROR(1/'Smart Search'!H13,0),0)</f>
        <v>0</v>
      </c>
      <c r="AC266" s="66">
        <f>IF('Smart Search'!E13=1,IFERROR(1/'Smart Search'!H13,0),0)</f>
        <v>0</v>
      </c>
      <c r="AD266" s="66">
        <f>IF('Smart Search'!F13=1,IFERROR(1/'Smart Search'!H13,0),0)</f>
        <v>0</v>
      </c>
      <c r="AE266" s="66">
        <f>IF('Smart Search'!F13=1,IFERROR(1/'Smart Search'!H13,0),0)</f>
        <v>0</v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>0</v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>0</v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>0</v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>0</v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>0</v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>0</v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>0</v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>0</v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>0</v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>0</v>
      </c>
      <c r="AP266" s="66">
        <f t="shared" si="56"/>
        <v>0</v>
      </c>
      <c r="AQ266" s="66">
        <f t="shared" si="57"/>
        <v>0</v>
      </c>
      <c r="AR266" s="66">
        <f t="shared" si="58"/>
        <v>0</v>
      </c>
      <c r="AS266" s="66">
        <f t="shared" si="59"/>
        <v>0</v>
      </c>
      <c r="AT266" s="66">
        <f t="shared" si="60"/>
        <v>0</v>
      </c>
      <c r="AU266" s="66">
        <f t="shared" si="61"/>
        <v>0</v>
      </c>
      <c r="AV266" s="66">
        <f t="shared" si="62"/>
        <v>0</v>
      </c>
      <c r="AW266" s="66">
        <f t="shared" si="63"/>
        <v>0</v>
      </c>
      <c r="AX266" s="66">
        <f t="shared" si="64"/>
        <v>0</v>
      </c>
      <c r="AY266" s="66">
        <f t="shared" si="65"/>
        <v>0</v>
      </c>
      <c r="AZ266" s="66">
        <f>'Project Database'!Z270</f>
        <v>0</v>
      </c>
      <c r="BA266" s="66">
        <f>IF(OR(A266="",'Smart Search'!H13=0),"",MAX(0,BE266*BF266*MAX(0,1-BG266)))</f>
        <v>0</v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>0</v>
      </c>
      <c r="BC266" s="66">
        <f>IF('Smart Search'!G13=1,IFERROR(1/'Smart Search'!H13,0),0)</f>
        <v>0</v>
      </c>
      <c r="BD266" s="66">
        <f t="shared" si="66"/>
        <v>0</v>
      </c>
      <c r="BE266" s="66">
        <f t="shared" si="67"/>
        <v>0</v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>0</v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>0</v>
      </c>
      <c r="BH266" s="5" t="str">
        <f>IF(AND('Project Database'!A270&lt;&gt;"",OR('Smart Search'!$L$5="",'Smart Search'!$L$5="All",TRIM('Project Database'!D270)=TRIM('Smart Search'!$L$5)),OR(TRIM('Smart Search'!$L$6)="",TRIM('Smart Search'!$L$6)="All",ISNUMBER(SEARCH(SUBSTITUTE(SUBSTITUTE(SUBSTITUTE(TRIM('Smart Search'!$L$6),"~","~~"),"*","~*"),"?","~?"),'Project Database'!C270))),OR('Smart Search'!$L$7="",AND('Project Database'!E270&lt;&gt;"",'Project Database'!E270='Smart Search'!$L$7)),OR('Smart Search'!$L$8="",'Smart Search'!$L$8="All",TRIM('Project Database'!F270)=TRIM('Smart Search'!$L$8))),IF(BA266="","",BA266+ROW()*0.0000000001),"")</f>
        <v/>
      </c>
      <c r="BI266" s="5" t="str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 t="str">
        <f>IF('Project Database'!A270="","",N('Project Database'!AC270))</f>
        <v/>
      </c>
      <c r="BK266" s="5" t="str">
        <f>IF('Project Database'!A270="","",N('Project Database'!AD270))</f>
        <v/>
      </c>
      <c r="BL266" s="5" t="str">
        <f>IF('Project Database'!A270="","",N('Project Database'!AE270))</f>
        <v/>
      </c>
      <c r="BM266" s="5" t="str">
        <f>IF('Project Database'!A270="","",N('Project Database'!AF270))</f>
        <v/>
      </c>
      <c r="BN266" s="5" t="str">
        <f>IF('Project Database'!A270="","",N('Project Database'!AG270))</f>
        <v/>
      </c>
      <c r="BO266" s="5" t="str">
        <f>IF('Project Database'!A270="","",N('Project Database'!AH270))</f>
        <v/>
      </c>
      <c r="BP266" s="5" t="str">
        <f>IF('Project Database'!A270="","",N('Project Database'!AI270))</f>
        <v/>
      </c>
      <c r="BQ266" s="5" t="str">
        <f>IF('Project Database'!A270="","",N('Project Database'!AJ270))</f>
        <v/>
      </c>
      <c r="BR266" s="5" t="str">
        <f>IF('Project Database'!A270="","",N('Project Database'!AK270))</f>
        <v/>
      </c>
      <c r="BS266" s="5" t="str">
        <f>IF('Project Database'!A270="","",N('Project Database'!AL270))</f>
        <v/>
      </c>
      <c r="BT266" s="5" t="str">
        <f>IF('Project Database'!A270="","",N('Project Database'!AM270))</f>
        <v/>
      </c>
      <c r="BU266" s="5" t="str">
        <f>IF('Project Database'!A270="","",N('Project Database'!AN270))</f>
        <v/>
      </c>
      <c r="BV266" s="5" t="str">
        <f>IF('Project Database'!A270="","",N('Project Database'!AO270))</f>
        <v/>
      </c>
      <c r="BW266" s="5" t="str">
        <f>IF('Project Database'!A270="","",N('Project Database'!AP270))</f>
        <v/>
      </c>
      <c r="BX266" s="5">
        <f t="shared" si="68"/>
        <v>0</v>
      </c>
      <c r="BY266" s="5">
        <f t="shared" si="69"/>
        <v>0</v>
      </c>
    </row>
    <row r="267" spans="1:77" ht="15" customHeight="1" x14ac:dyDescent="0.3">
      <c r="A267" s="66">
        <f>'Project Database'!A271</f>
        <v>0</v>
      </c>
      <c r="B267" s="66">
        <f>'Project Database'!B271</f>
        <v>0</v>
      </c>
      <c r="C267" s="66">
        <f>'Project Database'!G271</f>
        <v>0</v>
      </c>
      <c r="D267" s="66">
        <f>'Project Database'!H271</f>
        <v>0</v>
      </c>
      <c r="E267" s="66">
        <f>'Project Database'!I271</f>
        <v>0</v>
      </c>
      <c r="F267" s="66">
        <f>'Project Database'!J271</f>
        <v>0</v>
      </c>
      <c r="G267" s="66">
        <f>'Project Database'!K271</f>
        <v>0</v>
      </c>
      <c r="H267" s="66">
        <f>'Project Database'!L271</f>
        <v>0</v>
      </c>
      <c r="I267" s="66">
        <f>'Project Database'!M271</f>
        <v>0</v>
      </c>
      <c r="J267" s="66">
        <f>'Project Database'!N271</f>
        <v>0</v>
      </c>
      <c r="K267" s="66">
        <f>'Project Database'!O271</f>
        <v>0</v>
      </c>
      <c r="L267" s="66">
        <f>'Project Database'!P271</f>
        <v>0</v>
      </c>
      <c r="M267" s="66">
        <f>'Project Database'!Q271</f>
        <v>0</v>
      </c>
      <c r="N267" s="66">
        <f>'Project Database'!R271</f>
        <v>0</v>
      </c>
      <c r="O267" s="66">
        <f>'Project Database'!S271</f>
        <v>0</v>
      </c>
      <c r="P267" s="66">
        <f>'Project Database'!T271</f>
        <v>0</v>
      </c>
      <c r="Q267" s="66">
        <f>'Project Database'!U271</f>
        <v>0</v>
      </c>
      <c r="R267" s="66">
        <f>'Project Database'!V271</f>
        <v>0</v>
      </c>
      <c r="S267" s="66">
        <f>'Project Database'!W271</f>
        <v>0</v>
      </c>
      <c r="T267" s="66">
        <f>'Project Database'!X271</f>
        <v>0</v>
      </c>
      <c r="U267" s="67">
        <f>'Project Database'!Y271</f>
        <v>0</v>
      </c>
      <c r="V267" s="66">
        <f>IF('Smart Search'!B13=1,IFERROR(1/'Smart Search'!H13,0),0)</f>
        <v>0</v>
      </c>
      <c r="W267" s="66">
        <f>IF('Smart Search'!B13=1,IFERROR(1/'Smart Search'!H13,0),0)</f>
        <v>0</v>
      </c>
      <c r="X267" s="66">
        <f>IF('Smart Search'!C13=1,IFERROR(1/'Smart Search'!H13,0),0)</f>
        <v>0.5</v>
      </c>
      <c r="Y267" s="66">
        <f>IF('Smart Search'!C13=1,IFERROR(1/'Smart Search'!H13,0),0)</f>
        <v>0.5</v>
      </c>
      <c r="Z267" s="66">
        <f>IF('Smart Search'!D13=1,IFERROR(1/'Smart Search'!H13,0),0)</f>
        <v>0</v>
      </c>
      <c r="AA267" s="66">
        <f>IF('Smart Search'!D13=1,IFERROR(1/'Smart Search'!H13,0),0)</f>
        <v>0</v>
      </c>
      <c r="AB267" s="66">
        <f>IF('Smart Search'!E13=1,IFERROR(1/'Smart Search'!H13,0),0)</f>
        <v>0</v>
      </c>
      <c r="AC267" s="66">
        <f>IF('Smart Search'!E13=1,IFERROR(1/'Smart Search'!H13,0),0)</f>
        <v>0</v>
      </c>
      <c r="AD267" s="66">
        <f>IF('Smart Search'!F13=1,IFERROR(1/'Smart Search'!H13,0),0)</f>
        <v>0</v>
      </c>
      <c r="AE267" s="66">
        <f>IF('Smart Search'!F13=1,IFERROR(1/'Smart Search'!H13,0),0)</f>
        <v>0</v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>0</v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>0</v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>0</v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>0</v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>0</v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>0</v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>0</v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>0</v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>0</v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>0</v>
      </c>
      <c r="AP267" s="66">
        <f t="shared" si="56"/>
        <v>0</v>
      </c>
      <c r="AQ267" s="66">
        <f t="shared" si="57"/>
        <v>0</v>
      </c>
      <c r="AR267" s="66">
        <f t="shared" si="58"/>
        <v>0</v>
      </c>
      <c r="AS267" s="66">
        <f t="shared" si="59"/>
        <v>0</v>
      </c>
      <c r="AT267" s="66">
        <f t="shared" si="60"/>
        <v>0</v>
      </c>
      <c r="AU267" s="66">
        <f t="shared" si="61"/>
        <v>0</v>
      </c>
      <c r="AV267" s="66">
        <f t="shared" si="62"/>
        <v>0</v>
      </c>
      <c r="AW267" s="66">
        <f t="shared" si="63"/>
        <v>0</v>
      </c>
      <c r="AX267" s="66">
        <f t="shared" si="64"/>
        <v>0</v>
      </c>
      <c r="AY267" s="66">
        <f t="shared" si="65"/>
        <v>0</v>
      </c>
      <c r="AZ267" s="66">
        <f>'Project Database'!Z271</f>
        <v>0</v>
      </c>
      <c r="BA267" s="66">
        <f>IF(OR(A267="",'Smart Search'!H13=0),"",MAX(0,BE267*BF267*MAX(0,1-BG267)))</f>
        <v>0</v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>0</v>
      </c>
      <c r="BC267" s="66">
        <f>IF('Smart Search'!G13=1,IFERROR(1/'Smart Search'!H13,0),0)</f>
        <v>0</v>
      </c>
      <c r="BD267" s="66">
        <f t="shared" si="66"/>
        <v>0</v>
      </c>
      <c r="BE267" s="66">
        <f t="shared" si="67"/>
        <v>0</v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>0</v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>0</v>
      </c>
      <c r="BH267" s="5" t="str">
        <f>IF(AND('Project Database'!A271&lt;&gt;"",OR('Smart Search'!$L$5="",'Smart Search'!$L$5="All",TRIM('Project Database'!D271)=TRIM('Smart Search'!$L$5)),OR(TRIM('Smart Search'!$L$6)="",TRIM('Smart Search'!$L$6)="All",ISNUMBER(SEARCH(SUBSTITUTE(SUBSTITUTE(SUBSTITUTE(TRIM('Smart Search'!$L$6),"~","~~"),"*","~*"),"?","~?"),'Project Database'!C271))),OR('Smart Search'!$L$7="",AND('Project Database'!E271&lt;&gt;"",'Project Database'!E271='Smart Search'!$L$7)),OR('Smart Search'!$L$8="",'Smart Search'!$L$8="All",TRIM('Project Database'!F271)=TRIM('Smart Search'!$L$8))),IF(BA267="","",BA267+ROW()*0.0000000001),"")</f>
        <v/>
      </c>
      <c r="BI267" s="5" t="str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 t="str">
        <f>IF('Project Database'!A271="","",N('Project Database'!AC271))</f>
        <v/>
      </c>
      <c r="BK267" s="5" t="str">
        <f>IF('Project Database'!A271="","",N('Project Database'!AD271))</f>
        <v/>
      </c>
      <c r="BL267" s="5" t="str">
        <f>IF('Project Database'!A271="","",N('Project Database'!AE271))</f>
        <v/>
      </c>
      <c r="BM267" s="5" t="str">
        <f>IF('Project Database'!A271="","",N('Project Database'!AF271))</f>
        <v/>
      </c>
      <c r="BN267" s="5" t="str">
        <f>IF('Project Database'!A271="","",N('Project Database'!AG271))</f>
        <v/>
      </c>
      <c r="BO267" s="5" t="str">
        <f>IF('Project Database'!A271="","",N('Project Database'!AH271))</f>
        <v/>
      </c>
      <c r="BP267" s="5" t="str">
        <f>IF('Project Database'!A271="","",N('Project Database'!AI271))</f>
        <v/>
      </c>
      <c r="BQ267" s="5" t="str">
        <f>IF('Project Database'!A271="","",N('Project Database'!AJ271))</f>
        <v/>
      </c>
      <c r="BR267" s="5" t="str">
        <f>IF('Project Database'!A271="","",N('Project Database'!AK271))</f>
        <v/>
      </c>
      <c r="BS267" s="5" t="str">
        <f>IF('Project Database'!A271="","",N('Project Database'!AL271))</f>
        <v/>
      </c>
      <c r="BT267" s="5" t="str">
        <f>IF('Project Database'!A271="","",N('Project Database'!AM271))</f>
        <v/>
      </c>
      <c r="BU267" s="5" t="str">
        <f>IF('Project Database'!A271="","",N('Project Database'!AN271))</f>
        <v/>
      </c>
      <c r="BV267" s="5" t="str">
        <f>IF('Project Database'!A271="","",N('Project Database'!AO271))</f>
        <v/>
      </c>
      <c r="BW267" s="5" t="str">
        <f>IF('Project Database'!A271="","",N('Project Database'!AP271))</f>
        <v/>
      </c>
      <c r="BX267" s="5">
        <f t="shared" si="68"/>
        <v>0</v>
      </c>
      <c r="BY267" s="5">
        <f t="shared" si="69"/>
        <v>0</v>
      </c>
    </row>
    <row r="268" spans="1:77" ht="15" customHeight="1" x14ac:dyDescent="0.3">
      <c r="A268" s="66">
        <f>'Project Database'!A272</f>
        <v>0</v>
      </c>
      <c r="B268" s="66">
        <f>'Project Database'!B272</f>
        <v>0</v>
      </c>
      <c r="C268" s="66">
        <f>'Project Database'!G272</f>
        <v>0</v>
      </c>
      <c r="D268" s="66">
        <f>'Project Database'!H272</f>
        <v>0</v>
      </c>
      <c r="E268" s="66">
        <f>'Project Database'!I272</f>
        <v>0</v>
      </c>
      <c r="F268" s="66">
        <f>'Project Database'!J272</f>
        <v>0</v>
      </c>
      <c r="G268" s="66">
        <f>'Project Database'!K272</f>
        <v>0</v>
      </c>
      <c r="H268" s="66">
        <f>'Project Database'!L272</f>
        <v>0</v>
      </c>
      <c r="I268" s="66">
        <f>'Project Database'!M272</f>
        <v>0</v>
      </c>
      <c r="J268" s="66">
        <f>'Project Database'!N272</f>
        <v>0</v>
      </c>
      <c r="K268" s="66">
        <f>'Project Database'!O272</f>
        <v>0</v>
      </c>
      <c r="L268" s="66">
        <f>'Project Database'!P272</f>
        <v>0</v>
      </c>
      <c r="M268" s="66">
        <f>'Project Database'!Q272</f>
        <v>0</v>
      </c>
      <c r="N268" s="66">
        <f>'Project Database'!R272</f>
        <v>0</v>
      </c>
      <c r="O268" s="66">
        <f>'Project Database'!S272</f>
        <v>0</v>
      </c>
      <c r="P268" s="66">
        <f>'Project Database'!T272</f>
        <v>0</v>
      </c>
      <c r="Q268" s="66">
        <f>'Project Database'!U272</f>
        <v>0</v>
      </c>
      <c r="R268" s="66">
        <f>'Project Database'!V272</f>
        <v>0</v>
      </c>
      <c r="S268" s="66">
        <f>'Project Database'!W272</f>
        <v>0</v>
      </c>
      <c r="T268" s="66">
        <f>'Project Database'!X272</f>
        <v>0</v>
      </c>
      <c r="U268" s="67">
        <f>'Project Database'!Y272</f>
        <v>0</v>
      </c>
      <c r="V268" s="66">
        <f>IF('Smart Search'!B13=1,IFERROR(1/'Smart Search'!H13,0),0)</f>
        <v>0</v>
      </c>
      <c r="W268" s="66">
        <f>IF('Smart Search'!B13=1,IFERROR(1/'Smart Search'!H13,0),0)</f>
        <v>0</v>
      </c>
      <c r="X268" s="66">
        <f>IF('Smart Search'!C13=1,IFERROR(1/'Smart Search'!H13,0),0)</f>
        <v>0.5</v>
      </c>
      <c r="Y268" s="66">
        <f>IF('Smart Search'!C13=1,IFERROR(1/'Smart Search'!H13,0),0)</f>
        <v>0.5</v>
      </c>
      <c r="Z268" s="66">
        <f>IF('Smart Search'!D13=1,IFERROR(1/'Smart Search'!H13,0),0)</f>
        <v>0</v>
      </c>
      <c r="AA268" s="66">
        <f>IF('Smart Search'!D13=1,IFERROR(1/'Smart Search'!H13,0),0)</f>
        <v>0</v>
      </c>
      <c r="AB268" s="66">
        <f>IF('Smart Search'!E13=1,IFERROR(1/'Smart Search'!H13,0),0)</f>
        <v>0</v>
      </c>
      <c r="AC268" s="66">
        <f>IF('Smart Search'!E13=1,IFERROR(1/'Smart Search'!H13,0),0)</f>
        <v>0</v>
      </c>
      <c r="AD268" s="66">
        <f>IF('Smart Search'!F13=1,IFERROR(1/'Smart Search'!H13,0),0)</f>
        <v>0</v>
      </c>
      <c r="AE268" s="66">
        <f>IF('Smart Search'!F13=1,IFERROR(1/'Smart Search'!H13,0),0)</f>
        <v>0</v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>0</v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>0</v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>0</v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>0</v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>0</v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>0</v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>0</v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>0</v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>0</v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>0</v>
      </c>
      <c r="AP268" s="66">
        <f t="shared" si="56"/>
        <v>0</v>
      </c>
      <c r="AQ268" s="66">
        <f t="shared" si="57"/>
        <v>0</v>
      </c>
      <c r="AR268" s="66">
        <f t="shared" si="58"/>
        <v>0</v>
      </c>
      <c r="AS268" s="66">
        <f t="shared" si="59"/>
        <v>0</v>
      </c>
      <c r="AT268" s="66">
        <f t="shared" si="60"/>
        <v>0</v>
      </c>
      <c r="AU268" s="66">
        <f t="shared" si="61"/>
        <v>0</v>
      </c>
      <c r="AV268" s="66">
        <f t="shared" si="62"/>
        <v>0</v>
      </c>
      <c r="AW268" s="66">
        <f t="shared" si="63"/>
        <v>0</v>
      </c>
      <c r="AX268" s="66">
        <f t="shared" si="64"/>
        <v>0</v>
      </c>
      <c r="AY268" s="66">
        <f t="shared" si="65"/>
        <v>0</v>
      </c>
      <c r="AZ268" s="66">
        <f>'Project Database'!Z272</f>
        <v>0</v>
      </c>
      <c r="BA268" s="66">
        <f>IF(OR(A268="",'Smart Search'!H13=0),"",MAX(0,BE268*BF268*MAX(0,1-BG268)))</f>
        <v>0</v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>0</v>
      </c>
      <c r="BC268" s="66">
        <f>IF('Smart Search'!G13=1,IFERROR(1/'Smart Search'!H13,0),0)</f>
        <v>0</v>
      </c>
      <c r="BD268" s="66">
        <f t="shared" si="66"/>
        <v>0</v>
      </c>
      <c r="BE268" s="66">
        <f t="shared" si="67"/>
        <v>0</v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>0</v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>0</v>
      </c>
      <c r="BH268" s="5" t="str">
        <f>IF(AND('Project Database'!A272&lt;&gt;"",OR('Smart Search'!$L$5="",'Smart Search'!$L$5="All",TRIM('Project Database'!D272)=TRIM('Smart Search'!$L$5)),OR(TRIM('Smart Search'!$L$6)="",TRIM('Smart Search'!$L$6)="All",ISNUMBER(SEARCH(SUBSTITUTE(SUBSTITUTE(SUBSTITUTE(TRIM('Smart Search'!$L$6),"~","~~"),"*","~*"),"?","~?"),'Project Database'!C272))),OR('Smart Search'!$L$7="",AND('Project Database'!E272&lt;&gt;"",'Project Database'!E272='Smart Search'!$L$7)),OR('Smart Search'!$L$8="",'Smart Search'!$L$8="All",TRIM('Project Database'!F272)=TRIM('Smart Search'!$L$8))),IF(BA268="","",BA268+ROW()*0.0000000001),"")</f>
        <v/>
      </c>
      <c r="BI268" s="5" t="str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 t="str">
        <f>IF('Project Database'!A272="","",N('Project Database'!AC272))</f>
        <v/>
      </c>
      <c r="BK268" s="5" t="str">
        <f>IF('Project Database'!A272="","",N('Project Database'!AD272))</f>
        <v/>
      </c>
      <c r="BL268" s="5" t="str">
        <f>IF('Project Database'!A272="","",N('Project Database'!AE272))</f>
        <v/>
      </c>
      <c r="BM268" s="5" t="str">
        <f>IF('Project Database'!A272="","",N('Project Database'!AF272))</f>
        <v/>
      </c>
      <c r="BN268" s="5" t="str">
        <f>IF('Project Database'!A272="","",N('Project Database'!AG272))</f>
        <v/>
      </c>
      <c r="BO268" s="5" t="str">
        <f>IF('Project Database'!A272="","",N('Project Database'!AH272))</f>
        <v/>
      </c>
      <c r="BP268" s="5" t="str">
        <f>IF('Project Database'!A272="","",N('Project Database'!AI272))</f>
        <v/>
      </c>
      <c r="BQ268" s="5" t="str">
        <f>IF('Project Database'!A272="","",N('Project Database'!AJ272))</f>
        <v/>
      </c>
      <c r="BR268" s="5" t="str">
        <f>IF('Project Database'!A272="","",N('Project Database'!AK272))</f>
        <v/>
      </c>
      <c r="BS268" s="5" t="str">
        <f>IF('Project Database'!A272="","",N('Project Database'!AL272))</f>
        <v/>
      </c>
      <c r="BT268" s="5" t="str">
        <f>IF('Project Database'!A272="","",N('Project Database'!AM272))</f>
        <v/>
      </c>
      <c r="BU268" s="5" t="str">
        <f>IF('Project Database'!A272="","",N('Project Database'!AN272))</f>
        <v/>
      </c>
      <c r="BV268" s="5" t="str">
        <f>IF('Project Database'!A272="","",N('Project Database'!AO272))</f>
        <v/>
      </c>
      <c r="BW268" s="5" t="str">
        <f>IF('Project Database'!A272="","",N('Project Database'!AP272))</f>
        <v/>
      </c>
      <c r="BX268" s="5">
        <f t="shared" si="68"/>
        <v>0</v>
      </c>
      <c r="BY268" s="5">
        <f t="shared" si="69"/>
        <v>0</v>
      </c>
    </row>
    <row r="269" spans="1:77" ht="15" customHeight="1" x14ac:dyDescent="0.3">
      <c r="A269" s="66">
        <f>'Project Database'!A273</f>
        <v>0</v>
      </c>
      <c r="B269" s="66">
        <f>'Project Database'!B273</f>
        <v>0</v>
      </c>
      <c r="C269" s="66">
        <f>'Project Database'!G273</f>
        <v>0</v>
      </c>
      <c r="D269" s="66">
        <f>'Project Database'!H273</f>
        <v>0</v>
      </c>
      <c r="E269" s="66">
        <f>'Project Database'!I273</f>
        <v>0</v>
      </c>
      <c r="F269" s="66">
        <f>'Project Database'!J273</f>
        <v>0</v>
      </c>
      <c r="G269" s="66">
        <f>'Project Database'!K273</f>
        <v>0</v>
      </c>
      <c r="H269" s="66">
        <f>'Project Database'!L273</f>
        <v>0</v>
      </c>
      <c r="I269" s="66">
        <f>'Project Database'!M273</f>
        <v>0</v>
      </c>
      <c r="J269" s="66">
        <f>'Project Database'!N273</f>
        <v>0</v>
      </c>
      <c r="K269" s="66">
        <f>'Project Database'!O273</f>
        <v>0</v>
      </c>
      <c r="L269" s="66">
        <f>'Project Database'!P273</f>
        <v>0</v>
      </c>
      <c r="M269" s="66">
        <f>'Project Database'!Q273</f>
        <v>0</v>
      </c>
      <c r="N269" s="66">
        <f>'Project Database'!R273</f>
        <v>0</v>
      </c>
      <c r="O269" s="66">
        <f>'Project Database'!S273</f>
        <v>0</v>
      </c>
      <c r="P269" s="66">
        <f>'Project Database'!T273</f>
        <v>0</v>
      </c>
      <c r="Q269" s="66">
        <f>'Project Database'!U273</f>
        <v>0</v>
      </c>
      <c r="R269" s="66">
        <f>'Project Database'!V273</f>
        <v>0</v>
      </c>
      <c r="S269" s="66">
        <f>'Project Database'!W273</f>
        <v>0</v>
      </c>
      <c r="T269" s="66">
        <f>'Project Database'!X273</f>
        <v>0</v>
      </c>
      <c r="U269" s="67">
        <f>'Project Database'!Y273</f>
        <v>0</v>
      </c>
      <c r="V269" s="66">
        <f>IF('Smart Search'!B13=1,IFERROR(1/'Smart Search'!H13,0),0)</f>
        <v>0</v>
      </c>
      <c r="W269" s="66">
        <f>IF('Smart Search'!B13=1,IFERROR(1/'Smart Search'!H13,0),0)</f>
        <v>0</v>
      </c>
      <c r="X269" s="66">
        <f>IF('Smart Search'!C13=1,IFERROR(1/'Smart Search'!H13,0),0)</f>
        <v>0.5</v>
      </c>
      <c r="Y269" s="66">
        <f>IF('Smart Search'!C13=1,IFERROR(1/'Smart Search'!H13,0),0)</f>
        <v>0.5</v>
      </c>
      <c r="Z269" s="66">
        <f>IF('Smart Search'!D13=1,IFERROR(1/'Smart Search'!H13,0),0)</f>
        <v>0</v>
      </c>
      <c r="AA269" s="66">
        <f>IF('Smart Search'!D13=1,IFERROR(1/'Smart Search'!H13,0),0)</f>
        <v>0</v>
      </c>
      <c r="AB269" s="66">
        <f>IF('Smart Search'!E13=1,IFERROR(1/'Smart Search'!H13,0),0)</f>
        <v>0</v>
      </c>
      <c r="AC269" s="66">
        <f>IF('Smart Search'!E13=1,IFERROR(1/'Smart Search'!H13,0),0)</f>
        <v>0</v>
      </c>
      <c r="AD269" s="66">
        <f>IF('Smart Search'!F13=1,IFERROR(1/'Smart Search'!H13,0),0)</f>
        <v>0</v>
      </c>
      <c r="AE269" s="66">
        <f>IF('Smart Search'!F13=1,IFERROR(1/'Smart Search'!H13,0),0)</f>
        <v>0</v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>0</v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>0</v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>0</v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>0</v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>0</v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>0</v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>0</v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>0</v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>0</v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>0</v>
      </c>
      <c r="AP269" s="66">
        <f t="shared" si="56"/>
        <v>0</v>
      </c>
      <c r="AQ269" s="66">
        <f t="shared" si="57"/>
        <v>0</v>
      </c>
      <c r="AR269" s="66">
        <f t="shared" si="58"/>
        <v>0</v>
      </c>
      <c r="AS269" s="66">
        <f t="shared" si="59"/>
        <v>0</v>
      </c>
      <c r="AT269" s="66">
        <f t="shared" si="60"/>
        <v>0</v>
      </c>
      <c r="AU269" s="66">
        <f t="shared" si="61"/>
        <v>0</v>
      </c>
      <c r="AV269" s="66">
        <f t="shared" si="62"/>
        <v>0</v>
      </c>
      <c r="AW269" s="66">
        <f t="shared" si="63"/>
        <v>0</v>
      </c>
      <c r="AX269" s="66">
        <f t="shared" si="64"/>
        <v>0</v>
      </c>
      <c r="AY269" s="66">
        <f t="shared" si="65"/>
        <v>0</v>
      </c>
      <c r="AZ269" s="66">
        <f>'Project Database'!Z273</f>
        <v>0</v>
      </c>
      <c r="BA269" s="66">
        <f>IF(OR(A269="",'Smart Search'!H13=0),"",MAX(0,BE269*BF269*MAX(0,1-BG269)))</f>
        <v>0</v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>0</v>
      </c>
      <c r="BC269" s="66">
        <f>IF('Smart Search'!G13=1,IFERROR(1/'Smart Search'!H13,0),0)</f>
        <v>0</v>
      </c>
      <c r="BD269" s="66">
        <f t="shared" si="66"/>
        <v>0</v>
      </c>
      <c r="BE269" s="66">
        <f t="shared" si="67"/>
        <v>0</v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>0</v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>0</v>
      </c>
      <c r="BH269" s="5" t="str">
        <f>IF(AND('Project Database'!A273&lt;&gt;"",OR('Smart Search'!$L$5="",'Smart Search'!$L$5="All",TRIM('Project Database'!D273)=TRIM('Smart Search'!$L$5)),OR(TRIM('Smart Search'!$L$6)="",TRIM('Smart Search'!$L$6)="All",ISNUMBER(SEARCH(SUBSTITUTE(SUBSTITUTE(SUBSTITUTE(TRIM('Smart Search'!$L$6),"~","~~"),"*","~*"),"?","~?"),'Project Database'!C273))),OR('Smart Search'!$L$7="",AND('Project Database'!E273&lt;&gt;"",'Project Database'!E273='Smart Search'!$L$7)),OR('Smart Search'!$L$8="",'Smart Search'!$L$8="All",TRIM('Project Database'!F273)=TRIM('Smart Search'!$L$8))),IF(BA269="","",BA269+ROW()*0.0000000001),"")</f>
        <v/>
      </c>
      <c r="BI269" s="5" t="str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 t="str">
        <f>IF('Project Database'!A273="","",N('Project Database'!AC273))</f>
        <v/>
      </c>
      <c r="BK269" s="5" t="str">
        <f>IF('Project Database'!A273="","",N('Project Database'!AD273))</f>
        <v/>
      </c>
      <c r="BL269" s="5" t="str">
        <f>IF('Project Database'!A273="","",N('Project Database'!AE273))</f>
        <v/>
      </c>
      <c r="BM269" s="5" t="str">
        <f>IF('Project Database'!A273="","",N('Project Database'!AF273))</f>
        <v/>
      </c>
      <c r="BN269" s="5" t="str">
        <f>IF('Project Database'!A273="","",N('Project Database'!AG273))</f>
        <v/>
      </c>
      <c r="BO269" s="5" t="str">
        <f>IF('Project Database'!A273="","",N('Project Database'!AH273))</f>
        <v/>
      </c>
      <c r="BP269" s="5" t="str">
        <f>IF('Project Database'!A273="","",N('Project Database'!AI273))</f>
        <v/>
      </c>
      <c r="BQ269" s="5" t="str">
        <f>IF('Project Database'!A273="","",N('Project Database'!AJ273))</f>
        <v/>
      </c>
      <c r="BR269" s="5" t="str">
        <f>IF('Project Database'!A273="","",N('Project Database'!AK273))</f>
        <v/>
      </c>
      <c r="BS269" s="5" t="str">
        <f>IF('Project Database'!A273="","",N('Project Database'!AL273))</f>
        <v/>
      </c>
      <c r="BT269" s="5" t="str">
        <f>IF('Project Database'!A273="","",N('Project Database'!AM273))</f>
        <v/>
      </c>
      <c r="BU269" s="5" t="str">
        <f>IF('Project Database'!A273="","",N('Project Database'!AN273))</f>
        <v/>
      </c>
      <c r="BV269" s="5" t="str">
        <f>IF('Project Database'!A273="","",N('Project Database'!AO273))</f>
        <v/>
      </c>
      <c r="BW269" s="5" t="str">
        <f>IF('Project Database'!A273="","",N('Project Database'!AP273))</f>
        <v/>
      </c>
      <c r="BX269" s="5">
        <f t="shared" si="68"/>
        <v>0</v>
      </c>
      <c r="BY269" s="5">
        <f t="shared" si="69"/>
        <v>0</v>
      </c>
    </row>
    <row r="270" spans="1:77" ht="15" customHeight="1" x14ac:dyDescent="0.3">
      <c r="A270" s="66">
        <f>'Project Database'!A274</f>
        <v>0</v>
      </c>
      <c r="B270" s="66">
        <f>'Project Database'!B274</f>
        <v>0</v>
      </c>
      <c r="C270" s="66">
        <f>'Project Database'!G274</f>
        <v>0</v>
      </c>
      <c r="D270" s="66">
        <f>'Project Database'!H274</f>
        <v>0</v>
      </c>
      <c r="E270" s="66">
        <f>'Project Database'!I274</f>
        <v>0</v>
      </c>
      <c r="F270" s="66">
        <f>'Project Database'!J274</f>
        <v>0</v>
      </c>
      <c r="G270" s="66">
        <f>'Project Database'!K274</f>
        <v>0</v>
      </c>
      <c r="H270" s="66">
        <f>'Project Database'!L274</f>
        <v>0</v>
      </c>
      <c r="I270" s="66">
        <f>'Project Database'!M274</f>
        <v>0</v>
      </c>
      <c r="J270" s="66">
        <f>'Project Database'!N274</f>
        <v>0</v>
      </c>
      <c r="K270" s="66">
        <f>'Project Database'!O274</f>
        <v>0</v>
      </c>
      <c r="L270" s="66">
        <f>'Project Database'!P274</f>
        <v>0</v>
      </c>
      <c r="M270" s="66">
        <f>'Project Database'!Q274</f>
        <v>0</v>
      </c>
      <c r="N270" s="66">
        <f>'Project Database'!R274</f>
        <v>0</v>
      </c>
      <c r="O270" s="66">
        <f>'Project Database'!S274</f>
        <v>0</v>
      </c>
      <c r="P270" s="66">
        <f>'Project Database'!T274</f>
        <v>0</v>
      </c>
      <c r="Q270" s="66">
        <f>'Project Database'!U274</f>
        <v>0</v>
      </c>
      <c r="R270" s="66">
        <f>'Project Database'!V274</f>
        <v>0</v>
      </c>
      <c r="S270" s="66">
        <f>'Project Database'!W274</f>
        <v>0</v>
      </c>
      <c r="T270" s="66">
        <f>'Project Database'!X274</f>
        <v>0</v>
      </c>
      <c r="U270" s="67">
        <f>'Project Database'!Y274</f>
        <v>0</v>
      </c>
      <c r="V270" s="66">
        <f>IF('Smart Search'!B13=1,IFERROR(1/'Smart Search'!H13,0),0)</f>
        <v>0</v>
      </c>
      <c r="W270" s="66">
        <f>IF('Smart Search'!B13=1,IFERROR(1/'Smart Search'!H13,0),0)</f>
        <v>0</v>
      </c>
      <c r="X270" s="66">
        <f>IF('Smart Search'!C13=1,IFERROR(1/'Smart Search'!H13,0),0)</f>
        <v>0.5</v>
      </c>
      <c r="Y270" s="66">
        <f>IF('Smart Search'!C13=1,IFERROR(1/'Smart Search'!H13,0),0)</f>
        <v>0.5</v>
      </c>
      <c r="Z270" s="66">
        <f>IF('Smart Search'!D13=1,IFERROR(1/'Smart Search'!H13,0),0)</f>
        <v>0</v>
      </c>
      <c r="AA270" s="66">
        <f>IF('Smart Search'!D13=1,IFERROR(1/'Smart Search'!H13,0),0)</f>
        <v>0</v>
      </c>
      <c r="AB270" s="66">
        <f>IF('Smart Search'!E13=1,IFERROR(1/'Smart Search'!H13,0),0)</f>
        <v>0</v>
      </c>
      <c r="AC270" s="66">
        <f>IF('Smart Search'!E13=1,IFERROR(1/'Smart Search'!H13,0),0)</f>
        <v>0</v>
      </c>
      <c r="AD270" s="66">
        <f>IF('Smart Search'!F13=1,IFERROR(1/'Smart Search'!H13,0),0)</f>
        <v>0</v>
      </c>
      <c r="AE270" s="66">
        <f>IF('Smart Search'!F13=1,IFERROR(1/'Smart Search'!H13,0),0)</f>
        <v>0</v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>0</v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>0</v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>0</v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>0</v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>0</v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>0</v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>0</v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>0</v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>0</v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>0</v>
      </c>
      <c r="AP270" s="66">
        <f t="shared" si="56"/>
        <v>0</v>
      </c>
      <c r="AQ270" s="66">
        <f t="shared" si="57"/>
        <v>0</v>
      </c>
      <c r="AR270" s="66">
        <f t="shared" si="58"/>
        <v>0</v>
      </c>
      <c r="AS270" s="66">
        <f t="shared" si="59"/>
        <v>0</v>
      </c>
      <c r="AT270" s="66">
        <f t="shared" si="60"/>
        <v>0</v>
      </c>
      <c r="AU270" s="66">
        <f t="shared" si="61"/>
        <v>0</v>
      </c>
      <c r="AV270" s="66">
        <f t="shared" si="62"/>
        <v>0</v>
      </c>
      <c r="AW270" s="66">
        <f t="shared" si="63"/>
        <v>0</v>
      </c>
      <c r="AX270" s="66">
        <f t="shared" si="64"/>
        <v>0</v>
      </c>
      <c r="AY270" s="66">
        <f t="shared" si="65"/>
        <v>0</v>
      </c>
      <c r="AZ270" s="66">
        <f>'Project Database'!Z274</f>
        <v>0</v>
      </c>
      <c r="BA270" s="66">
        <f>IF(OR(A270="",'Smart Search'!H13=0),"",MAX(0,BE270*BF270*MAX(0,1-BG270)))</f>
        <v>0</v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>0</v>
      </c>
      <c r="BC270" s="66">
        <f>IF('Smart Search'!G13=1,IFERROR(1/'Smart Search'!H13,0),0)</f>
        <v>0</v>
      </c>
      <c r="BD270" s="66">
        <f t="shared" si="66"/>
        <v>0</v>
      </c>
      <c r="BE270" s="66">
        <f t="shared" si="67"/>
        <v>0</v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>0</v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>0</v>
      </c>
      <c r="BH270" s="5" t="str">
        <f>IF(AND('Project Database'!A274&lt;&gt;"",OR('Smart Search'!$L$5="",'Smart Search'!$L$5="All",TRIM('Project Database'!D274)=TRIM('Smart Search'!$L$5)),OR(TRIM('Smart Search'!$L$6)="",TRIM('Smart Search'!$L$6)="All",ISNUMBER(SEARCH(SUBSTITUTE(SUBSTITUTE(SUBSTITUTE(TRIM('Smart Search'!$L$6),"~","~~"),"*","~*"),"?","~?"),'Project Database'!C274))),OR('Smart Search'!$L$7="",AND('Project Database'!E274&lt;&gt;"",'Project Database'!E274='Smart Search'!$L$7)),OR('Smart Search'!$L$8="",'Smart Search'!$L$8="All",TRIM('Project Database'!F274)=TRIM('Smart Search'!$L$8))),IF(BA270="","",BA270+ROW()*0.0000000001),"")</f>
        <v/>
      </c>
      <c r="BI270" s="5" t="str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 t="str">
        <f>IF('Project Database'!A274="","",N('Project Database'!AC274))</f>
        <v/>
      </c>
      <c r="BK270" s="5" t="str">
        <f>IF('Project Database'!A274="","",N('Project Database'!AD274))</f>
        <v/>
      </c>
      <c r="BL270" s="5" t="str">
        <f>IF('Project Database'!A274="","",N('Project Database'!AE274))</f>
        <v/>
      </c>
      <c r="BM270" s="5" t="str">
        <f>IF('Project Database'!A274="","",N('Project Database'!AF274))</f>
        <v/>
      </c>
      <c r="BN270" s="5" t="str">
        <f>IF('Project Database'!A274="","",N('Project Database'!AG274))</f>
        <v/>
      </c>
      <c r="BO270" s="5" t="str">
        <f>IF('Project Database'!A274="","",N('Project Database'!AH274))</f>
        <v/>
      </c>
      <c r="BP270" s="5" t="str">
        <f>IF('Project Database'!A274="","",N('Project Database'!AI274))</f>
        <v/>
      </c>
      <c r="BQ270" s="5" t="str">
        <f>IF('Project Database'!A274="","",N('Project Database'!AJ274))</f>
        <v/>
      </c>
      <c r="BR270" s="5" t="str">
        <f>IF('Project Database'!A274="","",N('Project Database'!AK274))</f>
        <v/>
      </c>
      <c r="BS270" s="5" t="str">
        <f>IF('Project Database'!A274="","",N('Project Database'!AL274))</f>
        <v/>
      </c>
      <c r="BT270" s="5" t="str">
        <f>IF('Project Database'!A274="","",N('Project Database'!AM274))</f>
        <v/>
      </c>
      <c r="BU270" s="5" t="str">
        <f>IF('Project Database'!A274="","",N('Project Database'!AN274))</f>
        <v/>
      </c>
      <c r="BV270" s="5" t="str">
        <f>IF('Project Database'!A274="","",N('Project Database'!AO274))</f>
        <v/>
      </c>
      <c r="BW270" s="5" t="str">
        <f>IF('Project Database'!A274="","",N('Project Database'!AP274))</f>
        <v/>
      </c>
      <c r="BX270" s="5">
        <f t="shared" si="68"/>
        <v>0</v>
      </c>
      <c r="BY270" s="5">
        <f t="shared" si="69"/>
        <v>0</v>
      </c>
    </row>
    <row r="271" spans="1:77" ht="15" customHeight="1" x14ac:dyDescent="0.3">
      <c r="A271" s="66">
        <f>'Project Database'!A275</f>
        <v>0</v>
      </c>
      <c r="B271" s="66">
        <f>'Project Database'!B275</f>
        <v>0</v>
      </c>
      <c r="C271" s="66">
        <f>'Project Database'!G275</f>
        <v>0</v>
      </c>
      <c r="D271" s="66">
        <f>'Project Database'!H275</f>
        <v>0</v>
      </c>
      <c r="E271" s="66">
        <f>'Project Database'!I275</f>
        <v>0</v>
      </c>
      <c r="F271" s="66">
        <f>'Project Database'!J275</f>
        <v>0</v>
      </c>
      <c r="G271" s="66">
        <f>'Project Database'!K275</f>
        <v>0</v>
      </c>
      <c r="H271" s="66">
        <f>'Project Database'!L275</f>
        <v>0</v>
      </c>
      <c r="I271" s="66">
        <f>'Project Database'!M275</f>
        <v>0</v>
      </c>
      <c r="J271" s="66">
        <f>'Project Database'!N275</f>
        <v>0</v>
      </c>
      <c r="K271" s="66">
        <f>'Project Database'!O275</f>
        <v>0</v>
      </c>
      <c r="L271" s="66">
        <f>'Project Database'!P275</f>
        <v>0</v>
      </c>
      <c r="M271" s="66">
        <f>'Project Database'!Q275</f>
        <v>0</v>
      </c>
      <c r="N271" s="66">
        <f>'Project Database'!R275</f>
        <v>0</v>
      </c>
      <c r="O271" s="66">
        <f>'Project Database'!S275</f>
        <v>0</v>
      </c>
      <c r="P271" s="66">
        <f>'Project Database'!T275</f>
        <v>0</v>
      </c>
      <c r="Q271" s="66">
        <f>'Project Database'!U275</f>
        <v>0</v>
      </c>
      <c r="R271" s="66">
        <f>'Project Database'!V275</f>
        <v>0</v>
      </c>
      <c r="S271" s="66">
        <f>'Project Database'!W275</f>
        <v>0</v>
      </c>
      <c r="T271" s="66">
        <f>'Project Database'!X275</f>
        <v>0</v>
      </c>
      <c r="U271" s="67">
        <f>'Project Database'!Y275</f>
        <v>0</v>
      </c>
      <c r="V271" s="66">
        <f>IF('Smart Search'!B13=1,IFERROR(1/'Smart Search'!H13,0),0)</f>
        <v>0</v>
      </c>
      <c r="W271" s="66">
        <f>IF('Smart Search'!B13=1,IFERROR(1/'Smart Search'!H13,0),0)</f>
        <v>0</v>
      </c>
      <c r="X271" s="66">
        <f>IF('Smart Search'!C13=1,IFERROR(1/'Smart Search'!H13,0),0)</f>
        <v>0.5</v>
      </c>
      <c r="Y271" s="66">
        <f>IF('Smart Search'!C13=1,IFERROR(1/'Smart Search'!H13,0),0)</f>
        <v>0.5</v>
      </c>
      <c r="Z271" s="66">
        <f>IF('Smart Search'!D13=1,IFERROR(1/'Smart Search'!H13,0),0)</f>
        <v>0</v>
      </c>
      <c r="AA271" s="66">
        <f>IF('Smart Search'!D13=1,IFERROR(1/'Smart Search'!H13,0),0)</f>
        <v>0</v>
      </c>
      <c r="AB271" s="66">
        <f>IF('Smart Search'!E13=1,IFERROR(1/'Smart Search'!H13,0),0)</f>
        <v>0</v>
      </c>
      <c r="AC271" s="66">
        <f>IF('Smart Search'!E13=1,IFERROR(1/'Smart Search'!H13,0),0)</f>
        <v>0</v>
      </c>
      <c r="AD271" s="66">
        <f>IF('Smart Search'!F13=1,IFERROR(1/'Smart Search'!H13,0),0)</f>
        <v>0</v>
      </c>
      <c r="AE271" s="66">
        <f>IF('Smart Search'!F13=1,IFERROR(1/'Smart Search'!H13,0),0)</f>
        <v>0</v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>0</v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>0</v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>0</v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>0</v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>0</v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>0</v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>0</v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>0</v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>0</v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>0</v>
      </c>
      <c r="AP271" s="66">
        <f t="shared" si="56"/>
        <v>0</v>
      </c>
      <c r="AQ271" s="66">
        <f t="shared" si="57"/>
        <v>0</v>
      </c>
      <c r="AR271" s="66">
        <f t="shared" si="58"/>
        <v>0</v>
      </c>
      <c r="AS271" s="66">
        <f t="shared" si="59"/>
        <v>0</v>
      </c>
      <c r="AT271" s="66">
        <f t="shared" si="60"/>
        <v>0</v>
      </c>
      <c r="AU271" s="66">
        <f t="shared" si="61"/>
        <v>0</v>
      </c>
      <c r="AV271" s="66">
        <f t="shared" si="62"/>
        <v>0</v>
      </c>
      <c r="AW271" s="66">
        <f t="shared" si="63"/>
        <v>0</v>
      </c>
      <c r="AX271" s="66">
        <f t="shared" si="64"/>
        <v>0</v>
      </c>
      <c r="AY271" s="66">
        <f t="shared" si="65"/>
        <v>0</v>
      </c>
      <c r="AZ271" s="66">
        <f>'Project Database'!Z275</f>
        <v>0</v>
      </c>
      <c r="BA271" s="66">
        <f>IF(OR(A271="",'Smart Search'!H13=0),"",MAX(0,BE271*BF271*MAX(0,1-BG271)))</f>
        <v>0</v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>0</v>
      </c>
      <c r="BC271" s="66">
        <f>IF('Smart Search'!G13=1,IFERROR(1/'Smart Search'!H13,0),0)</f>
        <v>0</v>
      </c>
      <c r="BD271" s="66">
        <f t="shared" si="66"/>
        <v>0</v>
      </c>
      <c r="BE271" s="66">
        <f t="shared" si="67"/>
        <v>0</v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>0</v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>0</v>
      </c>
      <c r="BH271" s="5" t="str">
        <f>IF(AND('Project Database'!A275&lt;&gt;"",OR('Smart Search'!$L$5="",'Smart Search'!$L$5="All",TRIM('Project Database'!D275)=TRIM('Smart Search'!$L$5)),OR(TRIM('Smart Search'!$L$6)="",TRIM('Smart Search'!$L$6)="All",ISNUMBER(SEARCH(SUBSTITUTE(SUBSTITUTE(SUBSTITUTE(TRIM('Smart Search'!$L$6),"~","~~"),"*","~*"),"?","~?"),'Project Database'!C275))),OR('Smart Search'!$L$7="",AND('Project Database'!E275&lt;&gt;"",'Project Database'!E275='Smart Search'!$L$7)),OR('Smart Search'!$L$8="",'Smart Search'!$L$8="All",TRIM('Project Database'!F275)=TRIM('Smart Search'!$L$8))),IF(BA271="","",BA271+ROW()*0.0000000001),"")</f>
        <v/>
      </c>
      <c r="BI271" s="5" t="str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 t="str">
        <f>IF('Project Database'!A275="","",N('Project Database'!AC275))</f>
        <v/>
      </c>
      <c r="BK271" s="5" t="str">
        <f>IF('Project Database'!A275="","",N('Project Database'!AD275))</f>
        <v/>
      </c>
      <c r="BL271" s="5" t="str">
        <f>IF('Project Database'!A275="","",N('Project Database'!AE275))</f>
        <v/>
      </c>
      <c r="BM271" s="5" t="str">
        <f>IF('Project Database'!A275="","",N('Project Database'!AF275))</f>
        <v/>
      </c>
      <c r="BN271" s="5" t="str">
        <f>IF('Project Database'!A275="","",N('Project Database'!AG275))</f>
        <v/>
      </c>
      <c r="BO271" s="5" t="str">
        <f>IF('Project Database'!A275="","",N('Project Database'!AH275))</f>
        <v/>
      </c>
      <c r="BP271" s="5" t="str">
        <f>IF('Project Database'!A275="","",N('Project Database'!AI275))</f>
        <v/>
      </c>
      <c r="BQ271" s="5" t="str">
        <f>IF('Project Database'!A275="","",N('Project Database'!AJ275))</f>
        <v/>
      </c>
      <c r="BR271" s="5" t="str">
        <f>IF('Project Database'!A275="","",N('Project Database'!AK275))</f>
        <v/>
      </c>
      <c r="BS271" s="5" t="str">
        <f>IF('Project Database'!A275="","",N('Project Database'!AL275))</f>
        <v/>
      </c>
      <c r="BT271" s="5" t="str">
        <f>IF('Project Database'!A275="","",N('Project Database'!AM275))</f>
        <v/>
      </c>
      <c r="BU271" s="5" t="str">
        <f>IF('Project Database'!A275="","",N('Project Database'!AN275))</f>
        <v/>
      </c>
      <c r="BV271" s="5" t="str">
        <f>IF('Project Database'!A275="","",N('Project Database'!AO275))</f>
        <v/>
      </c>
      <c r="BW271" s="5" t="str">
        <f>IF('Project Database'!A275="","",N('Project Database'!AP275))</f>
        <v/>
      </c>
      <c r="BX271" s="5">
        <f t="shared" si="68"/>
        <v>0</v>
      </c>
      <c r="BY271" s="5">
        <f t="shared" si="69"/>
        <v>0</v>
      </c>
    </row>
    <row r="272" spans="1:77" ht="15" customHeight="1" x14ac:dyDescent="0.3">
      <c r="A272" s="66">
        <f>'Project Database'!A276</f>
        <v>0</v>
      </c>
      <c r="B272" s="66">
        <f>'Project Database'!B276</f>
        <v>0</v>
      </c>
      <c r="C272" s="66">
        <f>'Project Database'!G276</f>
        <v>0</v>
      </c>
      <c r="D272" s="66">
        <f>'Project Database'!H276</f>
        <v>0</v>
      </c>
      <c r="E272" s="66">
        <f>'Project Database'!I276</f>
        <v>0</v>
      </c>
      <c r="F272" s="66">
        <f>'Project Database'!J276</f>
        <v>0</v>
      </c>
      <c r="G272" s="66">
        <f>'Project Database'!K276</f>
        <v>0</v>
      </c>
      <c r="H272" s="66">
        <f>'Project Database'!L276</f>
        <v>0</v>
      </c>
      <c r="I272" s="66">
        <f>'Project Database'!M276</f>
        <v>0</v>
      </c>
      <c r="J272" s="66">
        <f>'Project Database'!N276</f>
        <v>0</v>
      </c>
      <c r="K272" s="66">
        <f>'Project Database'!O276</f>
        <v>0</v>
      </c>
      <c r="L272" s="66">
        <f>'Project Database'!P276</f>
        <v>0</v>
      </c>
      <c r="M272" s="66">
        <f>'Project Database'!Q276</f>
        <v>0</v>
      </c>
      <c r="N272" s="66">
        <f>'Project Database'!R276</f>
        <v>0</v>
      </c>
      <c r="O272" s="66">
        <f>'Project Database'!S276</f>
        <v>0</v>
      </c>
      <c r="P272" s="66">
        <f>'Project Database'!T276</f>
        <v>0</v>
      </c>
      <c r="Q272" s="66">
        <f>'Project Database'!U276</f>
        <v>0</v>
      </c>
      <c r="R272" s="66">
        <f>'Project Database'!V276</f>
        <v>0</v>
      </c>
      <c r="S272" s="66">
        <f>'Project Database'!W276</f>
        <v>0</v>
      </c>
      <c r="T272" s="66">
        <f>'Project Database'!X276</f>
        <v>0</v>
      </c>
      <c r="U272" s="67">
        <f>'Project Database'!Y276</f>
        <v>0</v>
      </c>
      <c r="V272" s="66">
        <f>IF('Smart Search'!B13=1,IFERROR(1/'Smart Search'!H13,0),0)</f>
        <v>0</v>
      </c>
      <c r="W272" s="66">
        <f>IF('Smart Search'!B13=1,IFERROR(1/'Smart Search'!H13,0),0)</f>
        <v>0</v>
      </c>
      <c r="X272" s="66">
        <f>IF('Smart Search'!C13=1,IFERROR(1/'Smart Search'!H13,0),0)</f>
        <v>0.5</v>
      </c>
      <c r="Y272" s="66">
        <f>IF('Smart Search'!C13=1,IFERROR(1/'Smart Search'!H13,0),0)</f>
        <v>0.5</v>
      </c>
      <c r="Z272" s="66">
        <f>IF('Smart Search'!D13=1,IFERROR(1/'Smart Search'!H13,0),0)</f>
        <v>0</v>
      </c>
      <c r="AA272" s="66">
        <f>IF('Smart Search'!D13=1,IFERROR(1/'Smart Search'!H13,0),0)</f>
        <v>0</v>
      </c>
      <c r="AB272" s="66">
        <f>IF('Smart Search'!E13=1,IFERROR(1/'Smart Search'!H13,0),0)</f>
        <v>0</v>
      </c>
      <c r="AC272" s="66">
        <f>IF('Smart Search'!E13=1,IFERROR(1/'Smart Search'!H13,0),0)</f>
        <v>0</v>
      </c>
      <c r="AD272" s="66">
        <f>IF('Smart Search'!F13=1,IFERROR(1/'Smart Search'!H13,0),0)</f>
        <v>0</v>
      </c>
      <c r="AE272" s="66">
        <f>IF('Smart Search'!F13=1,IFERROR(1/'Smart Search'!H13,0),0)</f>
        <v>0</v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>0</v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>0</v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>0</v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>0</v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>0</v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>0</v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>0</v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>0</v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>0</v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>0</v>
      </c>
      <c r="AP272" s="66">
        <f t="shared" si="56"/>
        <v>0</v>
      </c>
      <c r="AQ272" s="66">
        <f t="shared" si="57"/>
        <v>0</v>
      </c>
      <c r="AR272" s="66">
        <f t="shared" si="58"/>
        <v>0</v>
      </c>
      <c r="AS272" s="66">
        <f t="shared" si="59"/>
        <v>0</v>
      </c>
      <c r="AT272" s="66">
        <f t="shared" si="60"/>
        <v>0</v>
      </c>
      <c r="AU272" s="66">
        <f t="shared" si="61"/>
        <v>0</v>
      </c>
      <c r="AV272" s="66">
        <f t="shared" si="62"/>
        <v>0</v>
      </c>
      <c r="AW272" s="66">
        <f t="shared" si="63"/>
        <v>0</v>
      </c>
      <c r="AX272" s="66">
        <f t="shared" si="64"/>
        <v>0</v>
      </c>
      <c r="AY272" s="66">
        <f t="shared" si="65"/>
        <v>0</v>
      </c>
      <c r="AZ272" s="66">
        <f>'Project Database'!Z276</f>
        <v>0</v>
      </c>
      <c r="BA272" s="66">
        <f>IF(OR(A272="",'Smart Search'!H13=0),"",MAX(0,BE272*BF272*MAX(0,1-BG272)))</f>
        <v>0</v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>0</v>
      </c>
      <c r="BC272" s="66">
        <f>IF('Smart Search'!G13=1,IFERROR(1/'Smart Search'!H13,0),0)</f>
        <v>0</v>
      </c>
      <c r="BD272" s="66">
        <f t="shared" si="66"/>
        <v>0</v>
      </c>
      <c r="BE272" s="66">
        <f t="shared" si="67"/>
        <v>0</v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>0</v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>0</v>
      </c>
      <c r="BH272" s="5" t="str">
        <f>IF(AND('Project Database'!A276&lt;&gt;"",OR('Smart Search'!$L$5="",'Smart Search'!$L$5="All",TRIM('Project Database'!D276)=TRIM('Smart Search'!$L$5)),OR(TRIM('Smart Search'!$L$6)="",TRIM('Smart Search'!$L$6)="All",ISNUMBER(SEARCH(SUBSTITUTE(SUBSTITUTE(SUBSTITUTE(TRIM('Smart Search'!$L$6),"~","~~"),"*","~*"),"?","~?"),'Project Database'!C276))),OR('Smart Search'!$L$7="",AND('Project Database'!E276&lt;&gt;"",'Project Database'!E276='Smart Search'!$L$7)),OR('Smart Search'!$L$8="",'Smart Search'!$L$8="All",TRIM('Project Database'!F276)=TRIM('Smart Search'!$L$8))),IF(BA272="","",BA272+ROW()*0.0000000001),"")</f>
        <v/>
      </c>
      <c r="BI272" s="5" t="str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 t="str">
        <f>IF('Project Database'!A276="","",N('Project Database'!AC276))</f>
        <v/>
      </c>
      <c r="BK272" s="5" t="str">
        <f>IF('Project Database'!A276="","",N('Project Database'!AD276))</f>
        <v/>
      </c>
      <c r="BL272" s="5" t="str">
        <f>IF('Project Database'!A276="","",N('Project Database'!AE276))</f>
        <v/>
      </c>
      <c r="BM272" s="5" t="str">
        <f>IF('Project Database'!A276="","",N('Project Database'!AF276))</f>
        <v/>
      </c>
      <c r="BN272" s="5" t="str">
        <f>IF('Project Database'!A276="","",N('Project Database'!AG276))</f>
        <v/>
      </c>
      <c r="BO272" s="5" t="str">
        <f>IF('Project Database'!A276="","",N('Project Database'!AH276))</f>
        <v/>
      </c>
      <c r="BP272" s="5" t="str">
        <f>IF('Project Database'!A276="","",N('Project Database'!AI276))</f>
        <v/>
      </c>
      <c r="BQ272" s="5" t="str">
        <f>IF('Project Database'!A276="","",N('Project Database'!AJ276))</f>
        <v/>
      </c>
      <c r="BR272" s="5" t="str">
        <f>IF('Project Database'!A276="","",N('Project Database'!AK276))</f>
        <v/>
      </c>
      <c r="BS272" s="5" t="str">
        <f>IF('Project Database'!A276="","",N('Project Database'!AL276))</f>
        <v/>
      </c>
      <c r="BT272" s="5" t="str">
        <f>IF('Project Database'!A276="","",N('Project Database'!AM276))</f>
        <v/>
      </c>
      <c r="BU272" s="5" t="str">
        <f>IF('Project Database'!A276="","",N('Project Database'!AN276))</f>
        <v/>
      </c>
      <c r="BV272" s="5" t="str">
        <f>IF('Project Database'!A276="","",N('Project Database'!AO276))</f>
        <v/>
      </c>
      <c r="BW272" s="5" t="str">
        <f>IF('Project Database'!A276="","",N('Project Database'!AP276))</f>
        <v/>
      </c>
      <c r="BX272" s="5">
        <f t="shared" si="68"/>
        <v>0</v>
      </c>
      <c r="BY272" s="5">
        <f t="shared" si="69"/>
        <v>0</v>
      </c>
    </row>
    <row r="273" spans="1:77" ht="15" customHeight="1" x14ac:dyDescent="0.3">
      <c r="A273" s="66">
        <f>'Project Database'!A277</f>
        <v>0</v>
      </c>
      <c r="B273" s="66">
        <f>'Project Database'!B277</f>
        <v>0</v>
      </c>
      <c r="C273" s="66">
        <f>'Project Database'!G277</f>
        <v>0</v>
      </c>
      <c r="D273" s="66">
        <f>'Project Database'!H277</f>
        <v>0</v>
      </c>
      <c r="E273" s="66">
        <f>'Project Database'!I277</f>
        <v>0</v>
      </c>
      <c r="F273" s="66">
        <f>'Project Database'!J277</f>
        <v>0</v>
      </c>
      <c r="G273" s="66">
        <f>'Project Database'!K277</f>
        <v>0</v>
      </c>
      <c r="H273" s="66">
        <f>'Project Database'!L277</f>
        <v>0</v>
      </c>
      <c r="I273" s="66">
        <f>'Project Database'!M277</f>
        <v>0</v>
      </c>
      <c r="J273" s="66">
        <f>'Project Database'!N277</f>
        <v>0</v>
      </c>
      <c r="K273" s="66">
        <f>'Project Database'!O277</f>
        <v>0</v>
      </c>
      <c r="L273" s="66">
        <f>'Project Database'!P277</f>
        <v>0</v>
      </c>
      <c r="M273" s="66">
        <f>'Project Database'!Q277</f>
        <v>0</v>
      </c>
      <c r="N273" s="66">
        <f>'Project Database'!R277</f>
        <v>0</v>
      </c>
      <c r="O273" s="66">
        <f>'Project Database'!S277</f>
        <v>0</v>
      </c>
      <c r="P273" s="66">
        <f>'Project Database'!T277</f>
        <v>0</v>
      </c>
      <c r="Q273" s="66">
        <f>'Project Database'!U277</f>
        <v>0</v>
      </c>
      <c r="R273" s="66">
        <f>'Project Database'!V277</f>
        <v>0</v>
      </c>
      <c r="S273" s="66">
        <f>'Project Database'!W277</f>
        <v>0</v>
      </c>
      <c r="T273" s="66">
        <f>'Project Database'!X277</f>
        <v>0</v>
      </c>
      <c r="U273" s="67">
        <f>'Project Database'!Y277</f>
        <v>0</v>
      </c>
      <c r="V273" s="66">
        <f>IF('Smart Search'!B13=1,IFERROR(1/'Smart Search'!H13,0),0)</f>
        <v>0</v>
      </c>
      <c r="W273" s="66">
        <f>IF('Smart Search'!B13=1,IFERROR(1/'Smart Search'!H13,0),0)</f>
        <v>0</v>
      </c>
      <c r="X273" s="66">
        <f>IF('Smart Search'!C13=1,IFERROR(1/'Smart Search'!H13,0),0)</f>
        <v>0.5</v>
      </c>
      <c r="Y273" s="66">
        <f>IF('Smart Search'!C13=1,IFERROR(1/'Smart Search'!H13,0),0)</f>
        <v>0.5</v>
      </c>
      <c r="Z273" s="66">
        <f>IF('Smart Search'!D13=1,IFERROR(1/'Smart Search'!H13,0),0)</f>
        <v>0</v>
      </c>
      <c r="AA273" s="66">
        <f>IF('Smart Search'!D13=1,IFERROR(1/'Smart Search'!H13,0),0)</f>
        <v>0</v>
      </c>
      <c r="AB273" s="66">
        <f>IF('Smart Search'!E13=1,IFERROR(1/'Smart Search'!H13,0),0)</f>
        <v>0</v>
      </c>
      <c r="AC273" s="66">
        <f>IF('Smart Search'!E13=1,IFERROR(1/'Smart Search'!H13,0),0)</f>
        <v>0</v>
      </c>
      <c r="AD273" s="66">
        <f>IF('Smart Search'!F13=1,IFERROR(1/'Smart Search'!H13,0),0)</f>
        <v>0</v>
      </c>
      <c r="AE273" s="66">
        <f>IF('Smart Search'!F13=1,IFERROR(1/'Smart Search'!H13,0),0)</f>
        <v>0</v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>0</v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>0</v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>0</v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>0</v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>0</v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>0</v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>0</v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>0</v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>0</v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>0</v>
      </c>
      <c r="AP273" s="66">
        <f t="shared" si="56"/>
        <v>0</v>
      </c>
      <c r="AQ273" s="66">
        <f t="shared" si="57"/>
        <v>0</v>
      </c>
      <c r="AR273" s="66">
        <f t="shared" si="58"/>
        <v>0</v>
      </c>
      <c r="AS273" s="66">
        <f t="shared" si="59"/>
        <v>0</v>
      </c>
      <c r="AT273" s="66">
        <f t="shared" si="60"/>
        <v>0</v>
      </c>
      <c r="AU273" s="66">
        <f t="shared" si="61"/>
        <v>0</v>
      </c>
      <c r="AV273" s="66">
        <f t="shared" si="62"/>
        <v>0</v>
      </c>
      <c r="AW273" s="66">
        <f t="shared" si="63"/>
        <v>0</v>
      </c>
      <c r="AX273" s="66">
        <f t="shared" si="64"/>
        <v>0</v>
      </c>
      <c r="AY273" s="66">
        <f t="shared" si="65"/>
        <v>0</v>
      </c>
      <c r="AZ273" s="66">
        <f>'Project Database'!Z277</f>
        <v>0</v>
      </c>
      <c r="BA273" s="66">
        <f>IF(OR(A273="",'Smart Search'!H13=0),"",MAX(0,BE273*BF273*MAX(0,1-BG273)))</f>
        <v>0</v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>0</v>
      </c>
      <c r="BC273" s="66">
        <f>IF('Smart Search'!G13=1,IFERROR(1/'Smart Search'!H13,0),0)</f>
        <v>0</v>
      </c>
      <c r="BD273" s="66">
        <f t="shared" si="66"/>
        <v>0</v>
      </c>
      <c r="BE273" s="66">
        <f t="shared" si="67"/>
        <v>0</v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>0</v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>0</v>
      </c>
      <c r="BH273" s="5" t="str">
        <f>IF(AND('Project Database'!A277&lt;&gt;"",OR('Smart Search'!$L$5="",'Smart Search'!$L$5="All",TRIM('Project Database'!D277)=TRIM('Smart Search'!$L$5)),OR(TRIM('Smart Search'!$L$6)="",TRIM('Smart Search'!$L$6)="All",ISNUMBER(SEARCH(SUBSTITUTE(SUBSTITUTE(SUBSTITUTE(TRIM('Smart Search'!$L$6),"~","~~"),"*","~*"),"?","~?"),'Project Database'!C277))),OR('Smart Search'!$L$7="",AND('Project Database'!E277&lt;&gt;"",'Project Database'!E277='Smart Search'!$L$7)),OR('Smart Search'!$L$8="",'Smart Search'!$L$8="All",TRIM('Project Database'!F277)=TRIM('Smart Search'!$L$8))),IF(BA273="","",BA273+ROW()*0.0000000001),"")</f>
        <v/>
      </c>
      <c r="BI273" s="5" t="str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 t="str">
        <f>IF('Project Database'!A277="","",N('Project Database'!AC277))</f>
        <v/>
      </c>
      <c r="BK273" s="5" t="str">
        <f>IF('Project Database'!A277="","",N('Project Database'!AD277))</f>
        <v/>
      </c>
      <c r="BL273" s="5" t="str">
        <f>IF('Project Database'!A277="","",N('Project Database'!AE277))</f>
        <v/>
      </c>
      <c r="BM273" s="5" t="str">
        <f>IF('Project Database'!A277="","",N('Project Database'!AF277))</f>
        <v/>
      </c>
      <c r="BN273" s="5" t="str">
        <f>IF('Project Database'!A277="","",N('Project Database'!AG277))</f>
        <v/>
      </c>
      <c r="BO273" s="5" t="str">
        <f>IF('Project Database'!A277="","",N('Project Database'!AH277))</f>
        <v/>
      </c>
      <c r="BP273" s="5" t="str">
        <f>IF('Project Database'!A277="","",N('Project Database'!AI277))</f>
        <v/>
      </c>
      <c r="BQ273" s="5" t="str">
        <f>IF('Project Database'!A277="","",N('Project Database'!AJ277))</f>
        <v/>
      </c>
      <c r="BR273" s="5" t="str">
        <f>IF('Project Database'!A277="","",N('Project Database'!AK277))</f>
        <v/>
      </c>
      <c r="BS273" s="5" t="str">
        <f>IF('Project Database'!A277="","",N('Project Database'!AL277))</f>
        <v/>
      </c>
      <c r="BT273" s="5" t="str">
        <f>IF('Project Database'!A277="","",N('Project Database'!AM277))</f>
        <v/>
      </c>
      <c r="BU273" s="5" t="str">
        <f>IF('Project Database'!A277="","",N('Project Database'!AN277))</f>
        <v/>
      </c>
      <c r="BV273" s="5" t="str">
        <f>IF('Project Database'!A277="","",N('Project Database'!AO277))</f>
        <v/>
      </c>
      <c r="BW273" s="5" t="str">
        <f>IF('Project Database'!A277="","",N('Project Database'!AP277))</f>
        <v/>
      </c>
      <c r="BX273" s="5">
        <f t="shared" si="68"/>
        <v>0</v>
      </c>
      <c r="BY273" s="5">
        <f t="shared" si="69"/>
        <v>0</v>
      </c>
    </row>
    <row r="274" spans="1:77" ht="15" customHeight="1" x14ac:dyDescent="0.3">
      <c r="A274" s="66">
        <f>'Project Database'!A278</f>
        <v>0</v>
      </c>
      <c r="B274" s="66">
        <f>'Project Database'!B278</f>
        <v>0</v>
      </c>
      <c r="C274" s="66">
        <f>'Project Database'!G278</f>
        <v>0</v>
      </c>
      <c r="D274" s="66">
        <f>'Project Database'!H278</f>
        <v>0</v>
      </c>
      <c r="E274" s="66">
        <f>'Project Database'!I278</f>
        <v>0</v>
      </c>
      <c r="F274" s="66">
        <f>'Project Database'!J278</f>
        <v>0</v>
      </c>
      <c r="G274" s="66">
        <f>'Project Database'!K278</f>
        <v>0</v>
      </c>
      <c r="H274" s="66">
        <f>'Project Database'!L278</f>
        <v>0</v>
      </c>
      <c r="I274" s="66">
        <f>'Project Database'!M278</f>
        <v>0</v>
      </c>
      <c r="J274" s="66">
        <f>'Project Database'!N278</f>
        <v>0</v>
      </c>
      <c r="K274" s="66">
        <f>'Project Database'!O278</f>
        <v>0</v>
      </c>
      <c r="L274" s="66">
        <f>'Project Database'!P278</f>
        <v>0</v>
      </c>
      <c r="M274" s="66">
        <f>'Project Database'!Q278</f>
        <v>0</v>
      </c>
      <c r="N274" s="66">
        <f>'Project Database'!R278</f>
        <v>0</v>
      </c>
      <c r="O274" s="66">
        <f>'Project Database'!S278</f>
        <v>0</v>
      </c>
      <c r="P274" s="66">
        <f>'Project Database'!T278</f>
        <v>0</v>
      </c>
      <c r="Q274" s="66">
        <f>'Project Database'!U278</f>
        <v>0</v>
      </c>
      <c r="R274" s="66">
        <f>'Project Database'!V278</f>
        <v>0</v>
      </c>
      <c r="S274" s="66">
        <f>'Project Database'!W278</f>
        <v>0</v>
      </c>
      <c r="T274" s="66">
        <f>'Project Database'!X278</f>
        <v>0</v>
      </c>
      <c r="U274" s="67">
        <f>'Project Database'!Y278</f>
        <v>0</v>
      </c>
      <c r="V274" s="66">
        <f>IF('Smart Search'!B13=1,IFERROR(1/'Smart Search'!H13,0),0)</f>
        <v>0</v>
      </c>
      <c r="W274" s="66">
        <f>IF('Smart Search'!B13=1,IFERROR(1/'Smart Search'!H13,0),0)</f>
        <v>0</v>
      </c>
      <c r="X274" s="66">
        <f>IF('Smart Search'!C13=1,IFERROR(1/'Smart Search'!H13,0),0)</f>
        <v>0.5</v>
      </c>
      <c r="Y274" s="66">
        <f>IF('Smart Search'!C13=1,IFERROR(1/'Smart Search'!H13,0),0)</f>
        <v>0.5</v>
      </c>
      <c r="Z274" s="66">
        <f>IF('Smart Search'!D13=1,IFERROR(1/'Smart Search'!H13,0),0)</f>
        <v>0</v>
      </c>
      <c r="AA274" s="66">
        <f>IF('Smart Search'!D13=1,IFERROR(1/'Smart Search'!H13,0),0)</f>
        <v>0</v>
      </c>
      <c r="AB274" s="66">
        <f>IF('Smart Search'!E13=1,IFERROR(1/'Smart Search'!H13,0),0)</f>
        <v>0</v>
      </c>
      <c r="AC274" s="66">
        <f>IF('Smart Search'!E13=1,IFERROR(1/'Smart Search'!H13,0),0)</f>
        <v>0</v>
      </c>
      <c r="AD274" s="66">
        <f>IF('Smart Search'!F13=1,IFERROR(1/'Smart Search'!H13,0),0)</f>
        <v>0</v>
      </c>
      <c r="AE274" s="66">
        <f>IF('Smart Search'!F13=1,IFERROR(1/'Smart Search'!H13,0),0)</f>
        <v>0</v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>0</v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>0</v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>0</v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>0</v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>0</v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>0</v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>0</v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>0</v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>0</v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>0</v>
      </c>
      <c r="AP274" s="66">
        <f t="shared" si="56"/>
        <v>0</v>
      </c>
      <c r="AQ274" s="66">
        <f t="shared" si="57"/>
        <v>0</v>
      </c>
      <c r="AR274" s="66">
        <f t="shared" si="58"/>
        <v>0</v>
      </c>
      <c r="AS274" s="66">
        <f t="shared" si="59"/>
        <v>0</v>
      </c>
      <c r="AT274" s="66">
        <f t="shared" si="60"/>
        <v>0</v>
      </c>
      <c r="AU274" s="66">
        <f t="shared" si="61"/>
        <v>0</v>
      </c>
      <c r="AV274" s="66">
        <f t="shared" si="62"/>
        <v>0</v>
      </c>
      <c r="AW274" s="66">
        <f t="shared" si="63"/>
        <v>0</v>
      </c>
      <c r="AX274" s="66">
        <f t="shared" si="64"/>
        <v>0</v>
      </c>
      <c r="AY274" s="66">
        <f t="shared" si="65"/>
        <v>0</v>
      </c>
      <c r="AZ274" s="66">
        <f>'Project Database'!Z278</f>
        <v>0</v>
      </c>
      <c r="BA274" s="66">
        <f>IF(OR(A274="",'Smart Search'!H13=0),"",MAX(0,BE274*BF274*MAX(0,1-BG274)))</f>
        <v>0</v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>0</v>
      </c>
      <c r="BC274" s="66">
        <f>IF('Smart Search'!G13=1,IFERROR(1/'Smart Search'!H13,0),0)</f>
        <v>0</v>
      </c>
      <c r="BD274" s="66">
        <f t="shared" si="66"/>
        <v>0</v>
      </c>
      <c r="BE274" s="66">
        <f t="shared" si="67"/>
        <v>0</v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>0</v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>0</v>
      </c>
      <c r="BH274" s="5" t="str">
        <f>IF(AND('Project Database'!A278&lt;&gt;"",OR('Smart Search'!$L$5="",'Smart Search'!$L$5="All",TRIM('Project Database'!D278)=TRIM('Smart Search'!$L$5)),OR(TRIM('Smart Search'!$L$6)="",TRIM('Smart Search'!$L$6)="All",ISNUMBER(SEARCH(SUBSTITUTE(SUBSTITUTE(SUBSTITUTE(TRIM('Smart Search'!$L$6),"~","~~"),"*","~*"),"?","~?"),'Project Database'!C278))),OR('Smart Search'!$L$7="",AND('Project Database'!E278&lt;&gt;"",'Project Database'!E278='Smart Search'!$L$7)),OR('Smart Search'!$L$8="",'Smart Search'!$L$8="All",TRIM('Project Database'!F278)=TRIM('Smart Search'!$L$8))),IF(BA274="","",BA274+ROW()*0.0000000001),"")</f>
        <v/>
      </c>
      <c r="BI274" s="5" t="str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 t="str">
        <f>IF('Project Database'!A278="","",N('Project Database'!AC278))</f>
        <v/>
      </c>
      <c r="BK274" s="5" t="str">
        <f>IF('Project Database'!A278="","",N('Project Database'!AD278))</f>
        <v/>
      </c>
      <c r="BL274" s="5" t="str">
        <f>IF('Project Database'!A278="","",N('Project Database'!AE278))</f>
        <v/>
      </c>
      <c r="BM274" s="5" t="str">
        <f>IF('Project Database'!A278="","",N('Project Database'!AF278))</f>
        <v/>
      </c>
      <c r="BN274" s="5" t="str">
        <f>IF('Project Database'!A278="","",N('Project Database'!AG278))</f>
        <v/>
      </c>
      <c r="BO274" s="5" t="str">
        <f>IF('Project Database'!A278="","",N('Project Database'!AH278))</f>
        <v/>
      </c>
      <c r="BP274" s="5" t="str">
        <f>IF('Project Database'!A278="","",N('Project Database'!AI278))</f>
        <v/>
      </c>
      <c r="BQ274" s="5" t="str">
        <f>IF('Project Database'!A278="","",N('Project Database'!AJ278))</f>
        <v/>
      </c>
      <c r="BR274" s="5" t="str">
        <f>IF('Project Database'!A278="","",N('Project Database'!AK278))</f>
        <v/>
      </c>
      <c r="BS274" s="5" t="str">
        <f>IF('Project Database'!A278="","",N('Project Database'!AL278))</f>
        <v/>
      </c>
      <c r="BT274" s="5" t="str">
        <f>IF('Project Database'!A278="","",N('Project Database'!AM278))</f>
        <v/>
      </c>
      <c r="BU274" s="5" t="str">
        <f>IF('Project Database'!A278="","",N('Project Database'!AN278))</f>
        <v/>
      </c>
      <c r="BV274" s="5" t="str">
        <f>IF('Project Database'!A278="","",N('Project Database'!AO278))</f>
        <v/>
      </c>
      <c r="BW274" s="5" t="str">
        <f>IF('Project Database'!A278="","",N('Project Database'!AP278))</f>
        <v/>
      </c>
      <c r="BX274" s="5">
        <f t="shared" si="68"/>
        <v>0</v>
      </c>
      <c r="BY274" s="5">
        <f t="shared" si="69"/>
        <v>0</v>
      </c>
    </row>
    <row r="275" spans="1:77" ht="15" customHeight="1" x14ac:dyDescent="0.3">
      <c r="A275" s="66">
        <f>'Project Database'!A279</f>
        <v>0</v>
      </c>
      <c r="B275" s="66">
        <f>'Project Database'!B279</f>
        <v>0</v>
      </c>
      <c r="C275" s="66">
        <f>'Project Database'!G279</f>
        <v>0</v>
      </c>
      <c r="D275" s="66">
        <f>'Project Database'!H279</f>
        <v>0</v>
      </c>
      <c r="E275" s="66">
        <f>'Project Database'!I279</f>
        <v>0</v>
      </c>
      <c r="F275" s="66">
        <f>'Project Database'!J279</f>
        <v>0</v>
      </c>
      <c r="G275" s="66">
        <f>'Project Database'!K279</f>
        <v>0</v>
      </c>
      <c r="H275" s="66">
        <f>'Project Database'!L279</f>
        <v>0</v>
      </c>
      <c r="I275" s="66">
        <f>'Project Database'!M279</f>
        <v>0</v>
      </c>
      <c r="J275" s="66">
        <f>'Project Database'!N279</f>
        <v>0</v>
      </c>
      <c r="K275" s="66">
        <f>'Project Database'!O279</f>
        <v>0</v>
      </c>
      <c r="L275" s="66">
        <f>'Project Database'!P279</f>
        <v>0</v>
      </c>
      <c r="M275" s="66">
        <f>'Project Database'!Q279</f>
        <v>0</v>
      </c>
      <c r="N275" s="66">
        <f>'Project Database'!R279</f>
        <v>0</v>
      </c>
      <c r="O275" s="66">
        <f>'Project Database'!S279</f>
        <v>0</v>
      </c>
      <c r="P275" s="66">
        <f>'Project Database'!T279</f>
        <v>0</v>
      </c>
      <c r="Q275" s="66">
        <f>'Project Database'!U279</f>
        <v>0</v>
      </c>
      <c r="R275" s="66">
        <f>'Project Database'!V279</f>
        <v>0</v>
      </c>
      <c r="S275" s="66">
        <f>'Project Database'!W279</f>
        <v>0</v>
      </c>
      <c r="T275" s="66">
        <f>'Project Database'!X279</f>
        <v>0</v>
      </c>
      <c r="U275" s="67">
        <f>'Project Database'!Y279</f>
        <v>0</v>
      </c>
      <c r="V275" s="66">
        <f>IF('Smart Search'!B13=1,IFERROR(1/'Smart Search'!H13,0),0)</f>
        <v>0</v>
      </c>
      <c r="W275" s="66">
        <f>IF('Smart Search'!B13=1,IFERROR(1/'Smart Search'!H13,0),0)</f>
        <v>0</v>
      </c>
      <c r="X275" s="66">
        <f>IF('Smart Search'!C13=1,IFERROR(1/'Smart Search'!H13,0),0)</f>
        <v>0.5</v>
      </c>
      <c r="Y275" s="66">
        <f>IF('Smart Search'!C13=1,IFERROR(1/'Smart Search'!H13,0),0)</f>
        <v>0.5</v>
      </c>
      <c r="Z275" s="66">
        <f>IF('Smart Search'!D13=1,IFERROR(1/'Smart Search'!H13,0),0)</f>
        <v>0</v>
      </c>
      <c r="AA275" s="66">
        <f>IF('Smart Search'!D13=1,IFERROR(1/'Smart Search'!H13,0),0)</f>
        <v>0</v>
      </c>
      <c r="AB275" s="66">
        <f>IF('Smart Search'!E13=1,IFERROR(1/'Smart Search'!H13,0),0)</f>
        <v>0</v>
      </c>
      <c r="AC275" s="66">
        <f>IF('Smart Search'!E13=1,IFERROR(1/'Smart Search'!H13,0),0)</f>
        <v>0</v>
      </c>
      <c r="AD275" s="66">
        <f>IF('Smart Search'!F13=1,IFERROR(1/'Smart Search'!H13,0),0)</f>
        <v>0</v>
      </c>
      <c r="AE275" s="66">
        <f>IF('Smart Search'!F13=1,IFERROR(1/'Smart Search'!H13,0),0)</f>
        <v>0</v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>0</v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>0</v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>0</v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>0</v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>0</v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>0</v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>0</v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>0</v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>0</v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>0</v>
      </c>
      <c r="AP275" s="66">
        <f t="shared" si="56"/>
        <v>0</v>
      </c>
      <c r="AQ275" s="66">
        <f t="shared" si="57"/>
        <v>0</v>
      </c>
      <c r="AR275" s="66">
        <f t="shared" si="58"/>
        <v>0</v>
      </c>
      <c r="AS275" s="66">
        <f t="shared" si="59"/>
        <v>0</v>
      </c>
      <c r="AT275" s="66">
        <f t="shared" si="60"/>
        <v>0</v>
      </c>
      <c r="AU275" s="66">
        <f t="shared" si="61"/>
        <v>0</v>
      </c>
      <c r="AV275" s="66">
        <f t="shared" si="62"/>
        <v>0</v>
      </c>
      <c r="AW275" s="66">
        <f t="shared" si="63"/>
        <v>0</v>
      </c>
      <c r="AX275" s="66">
        <f t="shared" si="64"/>
        <v>0</v>
      </c>
      <c r="AY275" s="66">
        <f t="shared" si="65"/>
        <v>0</v>
      </c>
      <c r="AZ275" s="66">
        <f>'Project Database'!Z279</f>
        <v>0</v>
      </c>
      <c r="BA275" s="66">
        <f>IF(OR(A275="",'Smart Search'!H13=0),"",MAX(0,BE275*BF275*MAX(0,1-BG275)))</f>
        <v>0</v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>0</v>
      </c>
      <c r="BC275" s="66">
        <f>IF('Smart Search'!G13=1,IFERROR(1/'Smart Search'!H13,0),0)</f>
        <v>0</v>
      </c>
      <c r="BD275" s="66">
        <f t="shared" si="66"/>
        <v>0</v>
      </c>
      <c r="BE275" s="66">
        <f t="shared" si="67"/>
        <v>0</v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>0</v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>0</v>
      </c>
      <c r="BH275" s="5" t="str">
        <f>IF(AND('Project Database'!A279&lt;&gt;"",OR('Smart Search'!$L$5="",'Smart Search'!$L$5="All",TRIM('Project Database'!D279)=TRIM('Smart Search'!$L$5)),OR(TRIM('Smart Search'!$L$6)="",TRIM('Smart Search'!$L$6)="All",ISNUMBER(SEARCH(SUBSTITUTE(SUBSTITUTE(SUBSTITUTE(TRIM('Smart Search'!$L$6),"~","~~"),"*","~*"),"?","~?"),'Project Database'!C279))),OR('Smart Search'!$L$7="",AND('Project Database'!E279&lt;&gt;"",'Project Database'!E279='Smart Search'!$L$7)),OR('Smart Search'!$L$8="",'Smart Search'!$L$8="All",TRIM('Project Database'!F279)=TRIM('Smart Search'!$L$8))),IF(BA275="","",BA275+ROW()*0.0000000001),"")</f>
        <v/>
      </c>
      <c r="BI275" s="5" t="str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 t="str">
        <f>IF('Project Database'!A279="","",N('Project Database'!AC279))</f>
        <v/>
      </c>
      <c r="BK275" s="5" t="str">
        <f>IF('Project Database'!A279="","",N('Project Database'!AD279))</f>
        <v/>
      </c>
      <c r="BL275" s="5" t="str">
        <f>IF('Project Database'!A279="","",N('Project Database'!AE279))</f>
        <v/>
      </c>
      <c r="BM275" s="5" t="str">
        <f>IF('Project Database'!A279="","",N('Project Database'!AF279))</f>
        <v/>
      </c>
      <c r="BN275" s="5" t="str">
        <f>IF('Project Database'!A279="","",N('Project Database'!AG279))</f>
        <v/>
      </c>
      <c r="BO275" s="5" t="str">
        <f>IF('Project Database'!A279="","",N('Project Database'!AH279))</f>
        <v/>
      </c>
      <c r="BP275" s="5" t="str">
        <f>IF('Project Database'!A279="","",N('Project Database'!AI279))</f>
        <v/>
      </c>
      <c r="BQ275" s="5" t="str">
        <f>IF('Project Database'!A279="","",N('Project Database'!AJ279))</f>
        <v/>
      </c>
      <c r="BR275" s="5" t="str">
        <f>IF('Project Database'!A279="","",N('Project Database'!AK279))</f>
        <v/>
      </c>
      <c r="BS275" s="5" t="str">
        <f>IF('Project Database'!A279="","",N('Project Database'!AL279))</f>
        <v/>
      </c>
      <c r="BT275" s="5" t="str">
        <f>IF('Project Database'!A279="","",N('Project Database'!AM279))</f>
        <v/>
      </c>
      <c r="BU275" s="5" t="str">
        <f>IF('Project Database'!A279="","",N('Project Database'!AN279))</f>
        <v/>
      </c>
      <c r="BV275" s="5" t="str">
        <f>IF('Project Database'!A279="","",N('Project Database'!AO279))</f>
        <v/>
      </c>
      <c r="BW275" s="5" t="str">
        <f>IF('Project Database'!A279="","",N('Project Database'!AP279))</f>
        <v/>
      </c>
      <c r="BX275" s="5">
        <f t="shared" si="68"/>
        <v>0</v>
      </c>
      <c r="BY275" s="5">
        <f t="shared" si="69"/>
        <v>0</v>
      </c>
    </row>
    <row r="276" spans="1:77" ht="15" customHeight="1" x14ac:dyDescent="0.3">
      <c r="A276" s="66">
        <f>'Project Database'!A280</f>
        <v>0</v>
      </c>
      <c r="B276" s="66">
        <f>'Project Database'!B280</f>
        <v>0</v>
      </c>
      <c r="C276" s="66">
        <f>'Project Database'!G280</f>
        <v>0</v>
      </c>
      <c r="D276" s="66">
        <f>'Project Database'!H280</f>
        <v>0</v>
      </c>
      <c r="E276" s="66">
        <f>'Project Database'!I280</f>
        <v>0</v>
      </c>
      <c r="F276" s="66">
        <f>'Project Database'!J280</f>
        <v>0</v>
      </c>
      <c r="G276" s="66">
        <f>'Project Database'!K280</f>
        <v>0</v>
      </c>
      <c r="H276" s="66">
        <f>'Project Database'!L280</f>
        <v>0</v>
      </c>
      <c r="I276" s="66">
        <f>'Project Database'!M280</f>
        <v>0</v>
      </c>
      <c r="J276" s="66">
        <f>'Project Database'!N280</f>
        <v>0</v>
      </c>
      <c r="K276" s="66">
        <f>'Project Database'!O280</f>
        <v>0</v>
      </c>
      <c r="L276" s="66">
        <f>'Project Database'!P280</f>
        <v>0</v>
      </c>
      <c r="M276" s="66">
        <f>'Project Database'!Q280</f>
        <v>0</v>
      </c>
      <c r="N276" s="66">
        <f>'Project Database'!R280</f>
        <v>0</v>
      </c>
      <c r="O276" s="66">
        <f>'Project Database'!S280</f>
        <v>0</v>
      </c>
      <c r="P276" s="66">
        <f>'Project Database'!T280</f>
        <v>0</v>
      </c>
      <c r="Q276" s="66">
        <f>'Project Database'!U280</f>
        <v>0</v>
      </c>
      <c r="R276" s="66">
        <f>'Project Database'!V280</f>
        <v>0</v>
      </c>
      <c r="S276" s="66">
        <f>'Project Database'!W280</f>
        <v>0</v>
      </c>
      <c r="T276" s="66">
        <f>'Project Database'!X280</f>
        <v>0</v>
      </c>
      <c r="U276" s="67">
        <f>'Project Database'!Y280</f>
        <v>0</v>
      </c>
      <c r="V276" s="66">
        <f>IF('Smart Search'!B13=1,IFERROR(1/'Smart Search'!H13,0),0)</f>
        <v>0</v>
      </c>
      <c r="W276" s="66">
        <f>IF('Smart Search'!B13=1,IFERROR(1/'Smart Search'!H13,0),0)</f>
        <v>0</v>
      </c>
      <c r="X276" s="66">
        <f>IF('Smart Search'!C13=1,IFERROR(1/'Smart Search'!H13,0),0)</f>
        <v>0.5</v>
      </c>
      <c r="Y276" s="66">
        <f>IF('Smart Search'!C13=1,IFERROR(1/'Smart Search'!H13,0),0)</f>
        <v>0.5</v>
      </c>
      <c r="Z276" s="66">
        <f>IF('Smart Search'!D13=1,IFERROR(1/'Smart Search'!H13,0),0)</f>
        <v>0</v>
      </c>
      <c r="AA276" s="66">
        <f>IF('Smart Search'!D13=1,IFERROR(1/'Smart Search'!H13,0),0)</f>
        <v>0</v>
      </c>
      <c r="AB276" s="66">
        <f>IF('Smart Search'!E13=1,IFERROR(1/'Smart Search'!H13,0),0)</f>
        <v>0</v>
      </c>
      <c r="AC276" s="66">
        <f>IF('Smart Search'!E13=1,IFERROR(1/'Smart Search'!H13,0),0)</f>
        <v>0</v>
      </c>
      <c r="AD276" s="66">
        <f>IF('Smart Search'!F13=1,IFERROR(1/'Smart Search'!H13,0),0)</f>
        <v>0</v>
      </c>
      <c r="AE276" s="66">
        <f>IF('Smart Search'!F13=1,IFERROR(1/'Smart Search'!H13,0),0)</f>
        <v>0</v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>0</v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>0</v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>0</v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>0</v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>0</v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>0</v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>0</v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>0</v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>0</v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>0</v>
      </c>
      <c r="AP276" s="66">
        <f t="shared" si="56"/>
        <v>0</v>
      </c>
      <c r="AQ276" s="66">
        <f t="shared" si="57"/>
        <v>0</v>
      </c>
      <c r="AR276" s="66">
        <f t="shared" si="58"/>
        <v>0</v>
      </c>
      <c r="AS276" s="66">
        <f t="shared" si="59"/>
        <v>0</v>
      </c>
      <c r="AT276" s="66">
        <f t="shared" si="60"/>
        <v>0</v>
      </c>
      <c r="AU276" s="66">
        <f t="shared" si="61"/>
        <v>0</v>
      </c>
      <c r="AV276" s="66">
        <f t="shared" si="62"/>
        <v>0</v>
      </c>
      <c r="AW276" s="66">
        <f t="shared" si="63"/>
        <v>0</v>
      </c>
      <c r="AX276" s="66">
        <f t="shared" si="64"/>
        <v>0</v>
      </c>
      <c r="AY276" s="66">
        <f t="shared" si="65"/>
        <v>0</v>
      </c>
      <c r="AZ276" s="66">
        <f>'Project Database'!Z280</f>
        <v>0</v>
      </c>
      <c r="BA276" s="66">
        <f>IF(OR(A276="",'Smart Search'!H13=0),"",MAX(0,BE276*BF276*MAX(0,1-BG276)))</f>
        <v>0</v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>0</v>
      </c>
      <c r="BC276" s="66">
        <f>IF('Smart Search'!G13=1,IFERROR(1/'Smart Search'!H13,0),0)</f>
        <v>0</v>
      </c>
      <c r="BD276" s="66">
        <f t="shared" si="66"/>
        <v>0</v>
      </c>
      <c r="BE276" s="66">
        <f t="shared" si="67"/>
        <v>0</v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>0</v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>0</v>
      </c>
      <c r="BH276" s="5" t="str">
        <f>IF(AND('Project Database'!A280&lt;&gt;"",OR('Smart Search'!$L$5="",'Smart Search'!$L$5="All",TRIM('Project Database'!D280)=TRIM('Smart Search'!$L$5)),OR(TRIM('Smart Search'!$L$6)="",TRIM('Smart Search'!$L$6)="All",ISNUMBER(SEARCH(SUBSTITUTE(SUBSTITUTE(SUBSTITUTE(TRIM('Smart Search'!$L$6),"~","~~"),"*","~*"),"?","~?"),'Project Database'!C280))),OR('Smart Search'!$L$7="",AND('Project Database'!E280&lt;&gt;"",'Project Database'!E280='Smart Search'!$L$7)),OR('Smart Search'!$L$8="",'Smart Search'!$L$8="All",TRIM('Project Database'!F280)=TRIM('Smart Search'!$L$8))),IF(BA276="","",BA276+ROW()*0.0000000001),"")</f>
        <v/>
      </c>
      <c r="BI276" s="5" t="str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 t="str">
        <f>IF('Project Database'!A280="","",N('Project Database'!AC280))</f>
        <v/>
      </c>
      <c r="BK276" s="5" t="str">
        <f>IF('Project Database'!A280="","",N('Project Database'!AD280))</f>
        <v/>
      </c>
      <c r="BL276" s="5" t="str">
        <f>IF('Project Database'!A280="","",N('Project Database'!AE280))</f>
        <v/>
      </c>
      <c r="BM276" s="5" t="str">
        <f>IF('Project Database'!A280="","",N('Project Database'!AF280))</f>
        <v/>
      </c>
      <c r="BN276" s="5" t="str">
        <f>IF('Project Database'!A280="","",N('Project Database'!AG280))</f>
        <v/>
      </c>
      <c r="BO276" s="5" t="str">
        <f>IF('Project Database'!A280="","",N('Project Database'!AH280))</f>
        <v/>
      </c>
      <c r="BP276" s="5" t="str">
        <f>IF('Project Database'!A280="","",N('Project Database'!AI280))</f>
        <v/>
      </c>
      <c r="BQ276" s="5" t="str">
        <f>IF('Project Database'!A280="","",N('Project Database'!AJ280))</f>
        <v/>
      </c>
      <c r="BR276" s="5" t="str">
        <f>IF('Project Database'!A280="","",N('Project Database'!AK280))</f>
        <v/>
      </c>
      <c r="BS276" s="5" t="str">
        <f>IF('Project Database'!A280="","",N('Project Database'!AL280))</f>
        <v/>
      </c>
      <c r="BT276" s="5" t="str">
        <f>IF('Project Database'!A280="","",N('Project Database'!AM280))</f>
        <v/>
      </c>
      <c r="BU276" s="5" t="str">
        <f>IF('Project Database'!A280="","",N('Project Database'!AN280))</f>
        <v/>
      </c>
      <c r="BV276" s="5" t="str">
        <f>IF('Project Database'!A280="","",N('Project Database'!AO280))</f>
        <v/>
      </c>
      <c r="BW276" s="5" t="str">
        <f>IF('Project Database'!A280="","",N('Project Database'!AP280))</f>
        <v/>
      </c>
      <c r="BX276" s="5">
        <f t="shared" si="68"/>
        <v>0</v>
      </c>
      <c r="BY276" s="5">
        <f t="shared" si="69"/>
        <v>0</v>
      </c>
    </row>
    <row r="277" spans="1:77" ht="15" customHeight="1" x14ac:dyDescent="0.3">
      <c r="A277" s="66">
        <f>'Project Database'!A281</f>
        <v>0</v>
      </c>
      <c r="B277" s="66">
        <f>'Project Database'!B281</f>
        <v>0</v>
      </c>
      <c r="C277" s="66">
        <f>'Project Database'!G281</f>
        <v>0</v>
      </c>
      <c r="D277" s="66">
        <f>'Project Database'!H281</f>
        <v>0</v>
      </c>
      <c r="E277" s="66">
        <f>'Project Database'!I281</f>
        <v>0</v>
      </c>
      <c r="F277" s="66">
        <f>'Project Database'!J281</f>
        <v>0</v>
      </c>
      <c r="G277" s="66">
        <f>'Project Database'!K281</f>
        <v>0</v>
      </c>
      <c r="H277" s="66">
        <f>'Project Database'!L281</f>
        <v>0</v>
      </c>
      <c r="I277" s="66">
        <f>'Project Database'!M281</f>
        <v>0</v>
      </c>
      <c r="J277" s="66">
        <f>'Project Database'!N281</f>
        <v>0</v>
      </c>
      <c r="K277" s="66">
        <f>'Project Database'!O281</f>
        <v>0</v>
      </c>
      <c r="L277" s="66">
        <f>'Project Database'!P281</f>
        <v>0</v>
      </c>
      <c r="M277" s="66">
        <f>'Project Database'!Q281</f>
        <v>0</v>
      </c>
      <c r="N277" s="66">
        <f>'Project Database'!R281</f>
        <v>0</v>
      </c>
      <c r="O277" s="66">
        <f>'Project Database'!S281</f>
        <v>0</v>
      </c>
      <c r="P277" s="66">
        <f>'Project Database'!T281</f>
        <v>0</v>
      </c>
      <c r="Q277" s="66">
        <f>'Project Database'!U281</f>
        <v>0</v>
      </c>
      <c r="R277" s="66">
        <f>'Project Database'!V281</f>
        <v>0</v>
      </c>
      <c r="S277" s="66">
        <f>'Project Database'!W281</f>
        <v>0</v>
      </c>
      <c r="T277" s="66">
        <f>'Project Database'!X281</f>
        <v>0</v>
      </c>
      <c r="U277" s="67">
        <f>'Project Database'!Y281</f>
        <v>0</v>
      </c>
      <c r="V277" s="66">
        <f>IF('Smart Search'!B13=1,IFERROR(1/'Smart Search'!H13,0),0)</f>
        <v>0</v>
      </c>
      <c r="W277" s="66">
        <f>IF('Smart Search'!B13=1,IFERROR(1/'Smart Search'!H13,0),0)</f>
        <v>0</v>
      </c>
      <c r="X277" s="66">
        <f>IF('Smart Search'!C13=1,IFERROR(1/'Smart Search'!H13,0),0)</f>
        <v>0.5</v>
      </c>
      <c r="Y277" s="66">
        <f>IF('Smart Search'!C13=1,IFERROR(1/'Smart Search'!H13,0),0)</f>
        <v>0.5</v>
      </c>
      <c r="Z277" s="66">
        <f>IF('Smart Search'!D13=1,IFERROR(1/'Smart Search'!H13,0),0)</f>
        <v>0</v>
      </c>
      <c r="AA277" s="66">
        <f>IF('Smart Search'!D13=1,IFERROR(1/'Smart Search'!H13,0),0)</f>
        <v>0</v>
      </c>
      <c r="AB277" s="66">
        <f>IF('Smart Search'!E13=1,IFERROR(1/'Smart Search'!H13,0),0)</f>
        <v>0</v>
      </c>
      <c r="AC277" s="66">
        <f>IF('Smart Search'!E13=1,IFERROR(1/'Smart Search'!H13,0),0)</f>
        <v>0</v>
      </c>
      <c r="AD277" s="66">
        <f>IF('Smart Search'!F13=1,IFERROR(1/'Smart Search'!H13,0),0)</f>
        <v>0</v>
      </c>
      <c r="AE277" s="66">
        <f>IF('Smart Search'!F13=1,IFERROR(1/'Smart Search'!H13,0),0)</f>
        <v>0</v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>0</v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>0</v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>0</v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>0</v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>0</v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>0</v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>0</v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>0</v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>0</v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>0</v>
      </c>
      <c r="AP277" s="66">
        <f t="shared" si="56"/>
        <v>0</v>
      </c>
      <c r="AQ277" s="66">
        <f t="shared" si="57"/>
        <v>0</v>
      </c>
      <c r="AR277" s="66">
        <f t="shared" si="58"/>
        <v>0</v>
      </c>
      <c r="AS277" s="66">
        <f t="shared" si="59"/>
        <v>0</v>
      </c>
      <c r="AT277" s="66">
        <f t="shared" si="60"/>
        <v>0</v>
      </c>
      <c r="AU277" s="66">
        <f t="shared" si="61"/>
        <v>0</v>
      </c>
      <c r="AV277" s="66">
        <f t="shared" si="62"/>
        <v>0</v>
      </c>
      <c r="AW277" s="66">
        <f t="shared" si="63"/>
        <v>0</v>
      </c>
      <c r="AX277" s="66">
        <f t="shared" si="64"/>
        <v>0</v>
      </c>
      <c r="AY277" s="66">
        <f t="shared" si="65"/>
        <v>0</v>
      </c>
      <c r="AZ277" s="66">
        <f>'Project Database'!Z281</f>
        <v>0</v>
      </c>
      <c r="BA277" s="66">
        <f>IF(OR(A277="",'Smart Search'!H13=0),"",MAX(0,BE277*BF277*MAX(0,1-BG277)))</f>
        <v>0</v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>0</v>
      </c>
      <c r="BC277" s="66">
        <f>IF('Smart Search'!G13=1,IFERROR(1/'Smart Search'!H13,0),0)</f>
        <v>0</v>
      </c>
      <c r="BD277" s="66">
        <f t="shared" si="66"/>
        <v>0</v>
      </c>
      <c r="BE277" s="66">
        <f t="shared" si="67"/>
        <v>0</v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>0</v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>0</v>
      </c>
      <c r="BH277" s="5" t="str">
        <f>IF(AND('Project Database'!A281&lt;&gt;"",OR('Smart Search'!$L$5="",'Smart Search'!$L$5="All",TRIM('Project Database'!D281)=TRIM('Smart Search'!$L$5)),OR(TRIM('Smart Search'!$L$6)="",TRIM('Smart Search'!$L$6)="All",ISNUMBER(SEARCH(SUBSTITUTE(SUBSTITUTE(SUBSTITUTE(TRIM('Smart Search'!$L$6),"~","~~"),"*","~*"),"?","~?"),'Project Database'!C281))),OR('Smart Search'!$L$7="",AND('Project Database'!E281&lt;&gt;"",'Project Database'!E281='Smart Search'!$L$7)),OR('Smart Search'!$L$8="",'Smart Search'!$L$8="All",TRIM('Project Database'!F281)=TRIM('Smart Search'!$L$8))),IF(BA277="","",BA277+ROW()*0.0000000001),"")</f>
        <v/>
      </c>
      <c r="BI277" s="5" t="str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 t="str">
        <f>IF('Project Database'!A281="","",N('Project Database'!AC281))</f>
        <v/>
      </c>
      <c r="BK277" s="5" t="str">
        <f>IF('Project Database'!A281="","",N('Project Database'!AD281))</f>
        <v/>
      </c>
      <c r="BL277" s="5" t="str">
        <f>IF('Project Database'!A281="","",N('Project Database'!AE281))</f>
        <v/>
      </c>
      <c r="BM277" s="5" t="str">
        <f>IF('Project Database'!A281="","",N('Project Database'!AF281))</f>
        <v/>
      </c>
      <c r="BN277" s="5" t="str">
        <f>IF('Project Database'!A281="","",N('Project Database'!AG281))</f>
        <v/>
      </c>
      <c r="BO277" s="5" t="str">
        <f>IF('Project Database'!A281="","",N('Project Database'!AH281))</f>
        <v/>
      </c>
      <c r="BP277" s="5" t="str">
        <f>IF('Project Database'!A281="","",N('Project Database'!AI281))</f>
        <v/>
      </c>
      <c r="BQ277" s="5" t="str">
        <f>IF('Project Database'!A281="","",N('Project Database'!AJ281))</f>
        <v/>
      </c>
      <c r="BR277" s="5" t="str">
        <f>IF('Project Database'!A281="","",N('Project Database'!AK281))</f>
        <v/>
      </c>
      <c r="BS277" s="5" t="str">
        <f>IF('Project Database'!A281="","",N('Project Database'!AL281))</f>
        <v/>
      </c>
      <c r="BT277" s="5" t="str">
        <f>IF('Project Database'!A281="","",N('Project Database'!AM281))</f>
        <v/>
      </c>
      <c r="BU277" s="5" t="str">
        <f>IF('Project Database'!A281="","",N('Project Database'!AN281))</f>
        <v/>
      </c>
      <c r="BV277" s="5" t="str">
        <f>IF('Project Database'!A281="","",N('Project Database'!AO281))</f>
        <v/>
      </c>
      <c r="BW277" s="5" t="str">
        <f>IF('Project Database'!A281="","",N('Project Database'!AP281))</f>
        <v/>
      </c>
      <c r="BX277" s="5">
        <f t="shared" si="68"/>
        <v>0</v>
      </c>
      <c r="BY277" s="5">
        <f t="shared" si="69"/>
        <v>0</v>
      </c>
    </row>
    <row r="278" spans="1:77" ht="15" customHeight="1" x14ac:dyDescent="0.3">
      <c r="A278" s="66">
        <f>'Project Database'!A282</f>
        <v>0</v>
      </c>
      <c r="B278" s="66">
        <f>'Project Database'!B282</f>
        <v>0</v>
      </c>
      <c r="C278" s="66">
        <f>'Project Database'!G282</f>
        <v>0</v>
      </c>
      <c r="D278" s="66">
        <f>'Project Database'!H282</f>
        <v>0</v>
      </c>
      <c r="E278" s="66">
        <f>'Project Database'!I282</f>
        <v>0</v>
      </c>
      <c r="F278" s="66">
        <f>'Project Database'!J282</f>
        <v>0</v>
      </c>
      <c r="G278" s="66">
        <f>'Project Database'!K282</f>
        <v>0</v>
      </c>
      <c r="H278" s="66">
        <f>'Project Database'!L282</f>
        <v>0</v>
      </c>
      <c r="I278" s="66">
        <f>'Project Database'!M282</f>
        <v>0</v>
      </c>
      <c r="J278" s="66">
        <f>'Project Database'!N282</f>
        <v>0</v>
      </c>
      <c r="K278" s="66">
        <f>'Project Database'!O282</f>
        <v>0</v>
      </c>
      <c r="L278" s="66">
        <f>'Project Database'!P282</f>
        <v>0</v>
      </c>
      <c r="M278" s="66">
        <f>'Project Database'!Q282</f>
        <v>0</v>
      </c>
      <c r="N278" s="66">
        <f>'Project Database'!R282</f>
        <v>0</v>
      </c>
      <c r="O278" s="66">
        <f>'Project Database'!S282</f>
        <v>0</v>
      </c>
      <c r="P278" s="66">
        <f>'Project Database'!T282</f>
        <v>0</v>
      </c>
      <c r="Q278" s="66">
        <f>'Project Database'!U282</f>
        <v>0</v>
      </c>
      <c r="R278" s="66">
        <f>'Project Database'!V282</f>
        <v>0</v>
      </c>
      <c r="S278" s="66">
        <f>'Project Database'!W282</f>
        <v>0</v>
      </c>
      <c r="T278" s="66">
        <f>'Project Database'!X282</f>
        <v>0</v>
      </c>
      <c r="U278" s="67">
        <f>'Project Database'!Y282</f>
        <v>0</v>
      </c>
      <c r="V278" s="66">
        <f>IF('Smart Search'!B13=1,IFERROR(1/'Smart Search'!H13,0),0)</f>
        <v>0</v>
      </c>
      <c r="W278" s="66">
        <f>IF('Smart Search'!B13=1,IFERROR(1/'Smart Search'!H13,0),0)</f>
        <v>0</v>
      </c>
      <c r="X278" s="66">
        <f>IF('Smart Search'!C13=1,IFERROR(1/'Smart Search'!H13,0),0)</f>
        <v>0.5</v>
      </c>
      <c r="Y278" s="66">
        <f>IF('Smart Search'!C13=1,IFERROR(1/'Smart Search'!H13,0),0)</f>
        <v>0.5</v>
      </c>
      <c r="Z278" s="66">
        <f>IF('Smart Search'!D13=1,IFERROR(1/'Smart Search'!H13,0),0)</f>
        <v>0</v>
      </c>
      <c r="AA278" s="66">
        <f>IF('Smart Search'!D13=1,IFERROR(1/'Smart Search'!H13,0),0)</f>
        <v>0</v>
      </c>
      <c r="AB278" s="66">
        <f>IF('Smart Search'!E13=1,IFERROR(1/'Smart Search'!H13,0),0)</f>
        <v>0</v>
      </c>
      <c r="AC278" s="66">
        <f>IF('Smart Search'!E13=1,IFERROR(1/'Smart Search'!H13,0),0)</f>
        <v>0</v>
      </c>
      <c r="AD278" s="66">
        <f>IF('Smart Search'!F13=1,IFERROR(1/'Smart Search'!H13,0),0)</f>
        <v>0</v>
      </c>
      <c r="AE278" s="66">
        <f>IF('Smart Search'!F13=1,IFERROR(1/'Smart Search'!H13,0),0)</f>
        <v>0</v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>0</v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>0</v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>0</v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>0</v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>0</v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>0</v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>0</v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>0</v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>0</v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>0</v>
      </c>
      <c r="AP278" s="66">
        <f t="shared" si="56"/>
        <v>0</v>
      </c>
      <c r="AQ278" s="66">
        <f t="shared" si="57"/>
        <v>0</v>
      </c>
      <c r="AR278" s="66">
        <f t="shared" si="58"/>
        <v>0</v>
      </c>
      <c r="AS278" s="66">
        <f t="shared" si="59"/>
        <v>0</v>
      </c>
      <c r="AT278" s="66">
        <f t="shared" si="60"/>
        <v>0</v>
      </c>
      <c r="AU278" s="66">
        <f t="shared" si="61"/>
        <v>0</v>
      </c>
      <c r="AV278" s="66">
        <f t="shared" si="62"/>
        <v>0</v>
      </c>
      <c r="AW278" s="66">
        <f t="shared" si="63"/>
        <v>0</v>
      </c>
      <c r="AX278" s="66">
        <f t="shared" si="64"/>
        <v>0</v>
      </c>
      <c r="AY278" s="66">
        <f t="shared" si="65"/>
        <v>0</v>
      </c>
      <c r="AZ278" s="66">
        <f>'Project Database'!Z282</f>
        <v>0</v>
      </c>
      <c r="BA278" s="66">
        <f>IF(OR(A278="",'Smart Search'!H13=0),"",MAX(0,BE278*BF278*MAX(0,1-BG278)))</f>
        <v>0</v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>0</v>
      </c>
      <c r="BC278" s="66">
        <f>IF('Smart Search'!G13=1,IFERROR(1/'Smart Search'!H13,0),0)</f>
        <v>0</v>
      </c>
      <c r="BD278" s="66">
        <f t="shared" si="66"/>
        <v>0</v>
      </c>
      <c r="BE278" s="66">
        <f t="shared" si="67"/>
        <v>0</v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>0</v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>0</v>
      </c>
      <c r="BH278" s="5" t="str">
        <f>IF(AND('Project Database'!A282&lt;&gt;"",OR('Smart Search'!$L$5="",'Smart Search'!$L$5="All",TRIM('Project Database'!D282)=TRIM('Smart Search'!$L$5)),OR(TRIM('Smart Search'!$L$6)="",TRIM('Smart Search'!$L$6)="All",ISNUMBER(SEARCH(SUBSTITUTE(SUBSTITUTE(SUBSTITUTE(TRIM('Smart Search'!$L$6),"~","~~"),"*","~*"),"?","~?"),'Project Database'!C282))),OR('Smart Search'!$L$7="",AND('Project Database'!E282&lt;&gt;"",'Project Database'!E282='Smart Search'!$L$7)),OR('Smart Search'!$L$8="",'Smart Search'!$L$8="All",TRIM('Project Database'!F282)=TRIM('Smart Search'!$L$8))),IF(BA278="","",BA278+ROW()*0.0000000001),"")</f>
        <v/>
      </c>
      <c r="BI278" s="5" t="str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 t="str">
        <f>IF('Project Database'!A282="","",N('Project Database'!AC282))</f>
        <v/>
      </c>
      <c r="BK278" s="5" t="str">
        <f>IF('Project Database'!A282="","",N('Project Database'!AD282))</f>
        <v/>
      </c>
      <c r="BL278" s="5" t="str">
        <f>IF('Project Database'!A282="","",N('Project Database'!AE282))</f>
        <v/>
      </c>
      <c r="BM278" s="5" t="str">
        <f>IF('Project Database'!A282="","",N('Project Database'!AF282))</f>
        <v/>
      </c>
      <c r="BN278" s="5" t="str">
        <f>IF('Project Database'!A282="","",N('Project Database'!AG282))</f>
        <v/>
      </c>
      <c r="BO278" s="5" t="str">
        <f>IF('Project Database'!A282="","",N('Project Database'!AH282))</f>
        <v/>
      </c>
      <c r="BP278" s="5" t="str">
        <f>IF('Project Database'!A282="","",N('Project Database'!AI282))</f>
        <v/>
      </c>
      <c r="BQ278" s="5" t="str">
        <f>IF('Project Database'!A282="","",N('Project Database'!AJ282))</f>
        <v/>
      </c>
      <c r="BR278" s="5" t="str">
        <f>IF('Project Database'!A282="","",N('Project Database'!AK282))</f>
        <v/>
      </c>
      <c r="BS278" s="5" t="str">
        <f>IF('Project Database'!A282="","",N('Project Database'!AL282))</f>
        <v/>
      </c>
      <c r="BT278" s="5" t="str">
        <f>IF('Project Database'!A282="","",N('Project Database'!AM282))</f>
        <v/>
      </c>
      <c r="BU278" s="5" t="str">
        <f>IF('Project Database'!A282="","",N('Project Database'!AN282))</f>
        <v/>
      </c>
      <c r="BV278" s="5" t="str">
        <f>IF('Project Database'!A282="","",N('Project Database'!AO282))</f>
        <v/>
      </c>
      <c r="BW278" s="5" t="str">
        <f>IF('Project Database'!A282="","",N('Project Database'!AP282))</f>
        <v/>
      </c>
      <c r="BX278" s="5">
        <f t="shared" si="68"/>
        <v>0</v>
      </c>
      <c r="BY278" s="5">
        <f t="shared" si="69"/>
        <v>0</v>
      </c>
    </row>
    <row r="279" spans="1:77" ht="15" customHeight="1" x14ac:dyDescent="0.3">
      <c r="A279" s="66">
        <f>'Project Database'!A283</f>
        <v>0</v>
      </c>
      <c r="B279" s="66">
        <f>'Project Database'!B283</f>
        <v>0</v>
      </c>
      <c r="C279" s="66">
        <f>'Project Database'!G283</f>
        <v>0</v>
      </c>
      <c r="D279" s="66">
        <f>'Project Database'!H283</f>
        <v>0</v>
      </c>
      <c r="E279" s="66">
        <f>'Project Database'!I283</f>
        <v>0</v>
      </c>
      <c r="F279" s="66">
        <f>'Project Database'!J283</f>
        <v>0</v>
      </c>
      <c r="G279" s="66">
        <f>'Project Database'!K283</f>
        <v>0</v>
      </c>
      <c r="H279" s="66">
        <f>'Project Database'!L283</f>
        <v>0</v>
      </c>
      <c r="I279" s="66">
        <f>'Project Database'!M283</f>
        <v>0</v>
      </c>
      <c r="J279" s="66">
        <f>'Project Database'!N283</f>
        <v>0</v>
      </c>
      <c r="K279" s="66">
        <f>'Project Database'!O283</f>
        <v>0</v>
      </c>
      <c r="L279" s="66">
        <f>'Project Database'!P283</f>
        <v>0</v>
      </c>
      <c r="M279" s="66">
        <f>'Project Database'!Q283</f>
        <v>0</v>
      </c>
      <c r="N279" s="66">
        <f>'Project Database'!R283</f>
        <v>0</v>
      </c>
      <c r="O279" s="66">
        <f>'Project Database'!S283</f>
        <v>0</v>
      </c>
      <c r="P279" s="66">
        <f>'Project Database'!T283</f>
        <v>0</v>
      </c>
      <c r="Q279" s="66">
        <f>'Project Database'!U283</f>
        <v>0</v>
      </c>
      <c r="R279" s="66">
        <f>'Project Database'!V283</f>
        <v>0</v>
      </c>
      <c r="S279" s="66">
        <f>'Project Database'!W283</f>
        <v>0</v>
      </c>
      <c r="T279" s="66">
        <f>'Project Database'!X283</f>
        <v>0</v>
      </c>
      <c r="U279" s="67">
        <f>'Project Database'!Y283</f>
        <v>0</v>
      </c>
      <c r="V279" s="66">
        <f>IF('Smart Search'!B13=1,IFERROR(1/'Smart Search'!H13,0),0)</f>
        <v>0</v>
      </c>
      <c r="W279" s="66">
        <f>IF('Smart Search'!B13=1,IFERROR(1/'Smart Search'!H13,0),0)</f>
        <v>0</v>
      </c>
      <c r="X279" s="66">
        <f>IF('Smart Search'!C13=1,IFERROR(1/'Smart Search'!H13,0),0)</f>
        <v>0.5</v>
      </c>
      <c r="Y279" s="66">
        <f>IF('Smart Search'!C13=1,IFERROR(1/'Smart Search'!H13,0),0)</f>
        <v>0.5</v>
      </c>
      <c r="Z279" s="66">
        <f>IF('Smart Search'!D13=1,IFERROR(1/'Smart Search'!H13,0),0)</f>
        <v>0</v>
      </c>
      <c r="AA279" s="66">
        <f>IF('Smart Search'!D13=1,IFERROR(1/'Smart Search'!H13,0),0)</f>
        <v>0</v>
      </c>
      <c r="AB279" s="66">
        <f>IF('Smart Search'!E13=1,IFERROR(1/'Smart Search'!H13,0),0)</f>
        <v>0</v>
      </c>
      <c r="AC279" s="66">
        <f>IF('Smart Search'!E13=1,IFERROR(1/'Smart Search'!H13,0),0)</f>
        <v>0</v>
      </c>
      <c r="AD279" s="66">
        <f>IF('Smart Search'!F13=1,IFERROR(1/'Smart Search'!H13,0),0)</f>
        <v>0</v>
      </c>
      <c r="AE279" s="66">
        <f>IF('Smart Search'!F13=1,IFERROR(1/'Smart Search'!H13,0),0)</f>
        <v>0</v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>0</v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>0</v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>0</v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>0</v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>0</v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>0</v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>0</v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>0</v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>0</v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>0</v>
      </c>
      <c r="AP279" s="66">
        <f t="shared" si="56"/>
        <v>0</v>
      </c>
      <c r="AQ279" s="66">
        <f t="shared" si="57"/>
        <v>0</v>
      </c>
      <c r="AR279" s="66">
        <f t="shared" si="58"/>
        <v>0</v>
      </c>
      <c r="AS279" s="66">
        <f t="shared" si="59"/>
        <v>0</v>
      </c>
      <c r="AT279" s="66">
        <f t="shared" si="60"/>
        <v>0</v>
      </c>
      <c r="AU279" s="66">
        <f t="shared" si="61"/>
        <v>0</v>
      </c>
      <c r="AV279" s="66">
        <f t="shared" si="62"/>
        <v>0</v>
      </c>
      <c r="AW279" s="66">
        <f t="shared" si="63"/>
        <v>0</v>
      </c>
      <c r="AX279" s="66">
        <f t="shared" si="64"/>
        <v>0</v>
      </c>
      <c r="AY279" s="66">
        <f t="shared" si="65"/>
        <v>0</v>
      </c>
      <c r="AZ279" s="66">
        <f>'Project Database'!Z283</f>
        <v>0</v>
      </c>
      <c r="BA279" s="66">
        <f>IF(OR(A279="",'Smart Search'!H13=0),"",MAX(0,BE279*BF279*MAX(0,1-BG279)))</f>
        <v>0</v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>0</v>
      </c>
      <c r="BC279" s="66">
        <f>IF('Smart Search'!G13=1,IFERROR(1/'Smart Search'!H13,0),0)</f>
        <v>0</v>
      </c>
      <c r="BD279" s="66">
        <f t="shared" si="66"/>
        <v>0</v>
      </c>
      <c r="BE279" s="66">
        <f t="shared" si="67"/>
        <v>0</v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>0</v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>0</v>
      </c>
      <c r="BH279" s="5" t="str">
        <f>IF(AND('Project Database'!A283&lt;&gt;"",OR('Smart Search'!$L$5="",'Smart Search'!$L$5="All",TRIM('Project Database'!D283)=TRIM('Smart Search'!$L$5)),OR(TRIM('Smart Search'!$L$6)="",TRIM('Smart Search'!$L$6)="All",ISNUMBER(SEARCH(SUBSTITUTE(SUBSTITUTE(SUBSTITUTE(TRIM('Smart Search'!$L$6),"~","~~"),"*","~*"),"?","~?"),'Project Database'!C283))),OR('Smart Search'!$L$7="",AND('Project Database'!E283&lt;&gt;"",'Project Database'!E283='Smart Search'!$L$7)),OR('Smart Search'!$L$8="",'Smart Search'!$L$8="All",TRIM('Project Database'!F283)=TRIM('Smart Search'!$L$8))),IF(BA279="","",BA279+ROW()*0.0000000001),"")</f>
        <v/>
      </c>
      <c r="BI279" s="5" t="str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 t="str">
        <f>IF('Project Database'!A283="","",N('Project Database'!AC283))</f>
        <v/>
      </c>
      <c r="BK279" s="5" t="str">
        <f>IF('Project Database'!A283="","",N('Project Database'!AD283))</f>
        <v/>
      </c>
      <c r="BL279" s="5" t="str">
        <f>IF('Project Database'!A283="","",N('Project Database'!AE283))</f>
        <v/>
      </c>
      <c r="BM279" s="5" t="str">
        <f>IF('Project Database'!A283="","",N('Project Database'!AF283))</f>
        <v/>
      </c>
      <c r="BN279" s="5" t="str">
        <f>IF('Project Database'!A283="","",N('Project Database'!AG283))</f>
        <v/>
      </c>
      <c r="BO279" s="5" t="str">
        <f>IF('Project Database'!A283="","",N('Project Database'!AH283))</f>
        <v/>
      </c>
      <c r="BP279" s="5" t="str">
        <f>IF('Project Database'!A283="","",N('Project Database'!AI283))</f>
        <v/>
      </c>
      <c r="BQ279" s="5" t="str">
        <f>IF('Project Database'!A283="","",N('Project Database'!AJ283))</f>
        <v/>
      </c>
      <c r="BR279" s="5" t="str">
        <f>IF('Project Database'!A283="","",N('Project Database'!AK283))</f>
        <v/>
      </c>
      <c r="BS279" s="5" t="str">
        <f>IF('Project Database'!A283="","",N('Project Database'!AL283))</f>
        <v/>
      </c>
      <c r="BT279" s="5" t="str">
        <f>IF('Project Database'!A283="","",N('Project Database'!AM283))</f>
        <v/>
      </c>
      <c r="BU279" s="5" t="str">
        <f>IF('Project Database'!A283="","",N('Project Database'!AN283))</f>
        <v/>
      </c>
      <c r="BV279" s="5" t="str">
        <f>IF('Project Database'!A283="","",N('Project Database'!AO283))</f>
        <v/>
      </c>
      <c r="BW279" s="5" t="str">
        <f>IF('Project Database'!A283="","",N('Project Database'!AP283))</f>
        <v/>
      </c>
      <c r="BX279" s="5">
        <f t="shared" si="68"/>
        <v>0</v>
      </c>
      <c r="BY279" s="5">
        <f t="shared" si="69"/>
        <v>0</v>
      </c>
    </row>
    <row r="280" spans="1:77" ht="15" customHeight="1" x14ac:dyDescent="0.3">
      <c r="A280" s="66">
        <f>'Project Database'!A284</f>
        <v>0</v>
      </c>
      <c r="B280" s="66">
        <f>'Project Database'!B284</f>
        <v>0</v>
      </c>
      <c r="C280" s="66">
        <f>'Project Database'!G284</f>
        <v>0</v>
      </c>
      <c r="D280" s="66">
        <f>'Project Database'!H284</f>
        <v>0</v>
      </c>
      <c r="E280" s="66">
        <f>'Project Database'!I284</f>
        <v>0</v>
      </c>
      <c r="F280" s="66">
        <f>'Project Database'!J284</f>
        <v>0</v>
      </c>
      <c r="G280" s="66">
        <f>'Project Database'!K284</f>
        <v>0</v>
      </c>
      <c r="H280" s="66">
        <f>'Project Database'!L284</f>
        <v>0</v>
      </c>
      <c r="I280" s="66">
        <f>'Project Database'!M284</f>
        <v>0</v>
      </c>
      <c r="J280" s="66">
        <f>'Project Database'!N284</f>
        <v>0</v>
      </c>
      <c r="K280" s="66">
        <f>'Project Database'!O284</f>
        <v>0</v>
      </c>
      <c r="L280" s="66">
        <f>'Project Database'!P284</f>
        <v>0</v>
      </c>
      <c r="M280" s="66">
        <f>'Project Database'!Q284</f>
        <v>0</v>
      </c>
      <c r="N280" s="66">
        <f>'Project Database'!R284</f>
        <v>0</v>
      </c>
      <c r="O280" s="66">
        <f>'Project Database'!S284</f>
        <v>0</v>
      </c>
      <c r="P280" s="66">
        <f>'Project Database'!T284</f>
        <v>0</v>
      </c>
      <c r="Q280" s="66">
        <f>'Project Database'!U284</f>
        <v>0</v>
      </c>
      <c r="R280" s="66">
        <f>'Project Database'!V284</f>
        <v>0</v>
      </c>
      <c r="S280" s="66">
        <f>'Project Database'!W284</f>
        <v>0</v>
      </c>
      <c r="T280" s="66">
        <f>'Project Database'!X284</f>
        <v>0</v>
      </c>
      <c r="U280" s="67">
        <f>'Project Database'!Y284</f>
        <v>0</v>
      </c>
      <c r="V280" s="66">
        <f>IF('Smart Search'!B13=1,IFERROR(1/'Smart Search'!H13,0),0)</f>
        <v>0</v>
      </c>
      <c r="W280" s="66">
        <f>IF('Smart Search'!B13=1,IFERROR(1/'Smart Search'!H13,0),0)</f>
        <v>0</v>
      </c>
      <c r="X280" s="66">
        <f>IF('Smart Search'!C13=1,IFERROR(1/'Smart Search'!H13,0),0)</f>
        <v>0.5</v>
      </c>
      <c r="Y280" s="66">
        <f>IF('Smart Search'!C13=1,IFERROR(1/'Smart Search'!H13,0),0)</f>
        <v>0.5</v>
      </c>
      <c r="Z280" s="66">
        <f>IF('Smart Search'!D13=1,IFERROR(1/'Smart Search'!H13,0),0)</f>
        <v>0</v>
      </c>
      <c r="AA280" s="66">
        <f>IF('Smart Search'!D13=1,IFERROR(1/'Smart Search'!H13,0),0)</f>
        <v>0</v>
      </c>
      <c r="AB280" s="66">
        <f>IF('Smart Search'!E13=1,IFERROR(1/'Smart Search'!H13,0),0)</f>
        <v>0</v>
      </c>
      <c r="AC280" s="66">
        <f>IF('Smart Search'!E13=1,IFERROR(1/'Smart Search'!H13,0),0)</f>
        <v>0</v>
      </c>
      <c r="AD280" s="66">
        <f>IF('Smart Search'!F13=1,IFERROR(1/'Smart Search'!H13,0),0)</f>
        <v>0</v>
      </c>
      <c r="AE280" s="66">
        <f>IF('Smart Search'!F13=1,IFERROR(1/'Smart Search'!H13,0),0)</f>
        <v>0</v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>0</v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>0</v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>0</v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>0</v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>0</v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>0</v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>0</v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>0</v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>0</v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>0</v>
      </c>
      <c r="AP280" s="66">
        <f t="shared" si="56"/>
        <v>0</v>
      </c>
      <c r="AQ280" s="66">
        <f t="shared" si="57"/>
        <v>0</v>
      </c>
      <c r="AR280" s="66">
        <f t="shared" si="58"/>
        <v>0</v>
      </c>
      <c r="AS280" s="66">
        <f t="shared" si="59"/>
        <v>0</v>
      </c>
      <c r="AT280" s="66">
        <f t="shared" si="60"/>
        <v>0</v>
      </c>
      <c r="AU280" s="66">
        <f t="shared" si="61"/>
        <v>0</v>
      </c>
      <c r="AV280" s="66">
        <f t="shared" si="62"/>
        <v>0</v>
      </c>
      <c r="AW280" s="66">
        <f t="shared" si="63"/>
        <v>0</v>
      </c>
      <c r="AX280" s="66">
        <f t="shared" si="64"/>
        <v>0</v>
      </c>
      <c r="AY280" s="66">
        <f t="shared" si="65"/>
        <v>0</v>
      </c>
      <c r="AZ280" s="66">
        <f>'Project Database'!Z284</f>
        <v>0</v>
      </c>
      <c r="BA280" s="66">
        <f>IF(OR(A280="",'Smart Search'!H13=0),"",MAX(0,BE280*BF280*MAX(0,1-BG280)))</f>
        <v>0</v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>0</v>
      </c>
      <c r="BC280" s="66">
        <f>IF('Smart Search'!G13=1,IFERROR(1/'Smart Search'!H13,0),0)</f>
        <v>0</v>
      </c>
      <c r="BD280" s="66">
        <f t="shared" si="66"/>
        <v>0</v>
      </c>
      <c r="BE280" s="66">
        <f t="shared" si="67"/>
        <v>0</v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>0</v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>0</v>
      </c>
      <c r="BH280" s="5" t="str">
        <f>IF(AND('Project Database'!A284&lt;&gt;"",OR('Smart Search'!$L$5="",'Smart Search'!$L$5="All",TRIM('Project Database'!D284)=TRIM('Smart Search'!$L$5)),OR(TRIM('Smart Search'!$L$6)="",TRIM('Smart Search'!$L$6)="All",ISNUMBER(SEARCH(SUBSTITUTE(SUBSTITUTE(SUBSTITUTE(TRIM('Smart Search'!$L$6),"~","~~"),"*","~*"),"?","~?"),'Project Database'!C284))),OR('Smart Search'!$L$7="",AND('Project Database'!E284&lt;&gt;"",'Project Database'!E284='Smart Search'!$L$7)),OR('Smart Search'!$L$8="",'Smart Search'!$L$8="All",TRIM('Project Database'!F284)=TRIM('Smart Search'!$L$8))),IF(BA280="","",BA280+ROW()*0.0000000001),"")</f>
        <v/>
      </c>
      <c r="BI280" s="5" t="str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 t="str">
        <f>IF('Project Database'!A284="","",N('Project Database'!AC284))</f>
        <v/>
      </c>
      <c r="BK280" s="5" t="str">
        <f>IF('Project Database'!A284="","",N('Project Database'!AD284))</f>
        <v/>
      </c>
      <c r="BL280" s="5" t="str">
        <f>IF('Project Database'!A284="","",N('Project Database'!AE284))</f>
        <v/>
      </c>
      <c r="BM280" s="5" t="str">
        <f>IF('Project Database'!A284="","",N('Project Database'!AF284))</f>
        <v/>
      </c>
      <c r="BN280" s="5" t="str">
        <f>IF('Project Database'!A284="","",N('Project Database'!AG284))</f>
        <v/>
      </c>
      <c r="BO280" s="5" t="str">
        <f>IF('Project Database'!A284="","",N('Project Database'!AH284))</f>
        <v/>
      </c>
      <c r="BP280" s="5" t="str">
        <f>IF('Project Database'!A284="","",N('Project Database'!AI284))</f>
        <v/>
      </c>
      <c r="BQ280" s="5" t="str">
        <f>IF('Project Database'!A284="","",N('Project Database'!AJ284))</f>
        <v/>
      </c>
      <c r="BR280" s="5" t="str">
        <f>IF('Project Database'!A284="","",N('Project Database'!AK284))</f>
        <v/>
      </c>
      <c r="BS280" s="5" t="str">
        <f>IF('Project Database'!A284="","",N('Project Database'!AL284))</f>
        <v/>
      </c>
      <c r="BT280" s="5" t="str">
        <f>IF('Project Database'!A284="","",N('Project Database'!AM284))</f>
        <v/>
      </c>
      <c r="BU280" s="5" t="str">
        <f>IF('Project Database'!A284="","",N('Project Database'!AN284))</f>
        <v/>
      </c>
      <c r="BV280" s="5" t="str">
        <f>IF('Project Database'!A284="","",N('Project Database'!AO284))</f>
        <v/>
      </c>
      <c r="BW280" s="5" t="str">
        <f>IF('Project Database'!A284="","",N('Project Database'!AP284))</f>
        <v/>
      </c>
      <c r="BX280" s="5">
        <f t="shared" si="68"/>
        <v>0</v>
      </c>
      <c r="BY280" s="5">
        <f t="shared" si="69"/>
        <v>0</v>
      </c>
    </row>
    <row r="281" spans="1:77" ht="15" customHeight="1" x14ac:dyDescent="0.3">
      <c r="A281" s="66">
        <f>'Project Database'!A285</f>
        <v>0</v>
      </c>
      <c r="B281" s="66">
        <f>'Project Database'!B285</f>
        <v>0</v>
      </c>
      <c r="C281" s="66">
        <f>'Project Database'!G285</f>
        <v>0</v>
      </c>
      <c r="D281" s="66">
        <f>'Project Database'!H285</f>
        <v>0</v>
      </c>
      <c r="E281" s="66">
        <f>'Project Database'!I285</f>
        <v>0</v>
      </c>
      <c r="F281" s="66">
        <f>'Project Database'!J285</f>
        <v>0</v>
      </c>
      <c r="G281" s="66">
        <f>'Project Database'!K285</f>
        <v>0</v>
      </c>
      <c r="H281" s="66">
        <f>'Project Database'!L285</f>
        <v>0</v>
      </c>
      <c r="I281" s="66">
        <f>'Project Database'!M285</f>
        <v>0</v>
      </c>
      <c r="J281" s="66">
        <f>'Project Database'!N285</f>
        <v>0</v>
      </c>
      <c r="K281" s="66">
        <f>'Project Database'!O285</f>
        <v>0</v>
      </c>
      <c r="L281" s="66">
        <f>'Project Database'!P285</f>
        <v>0</v>
      </c>
      <c r="M281" s="66">
        <f>'Project Database'!Q285</f>
        <v>0</v>
      </c>
      <c r="N281" s="66">
        <f>'Project Database'!R285</f>
        <v>0</v>
      </c>
      <c r="O281" s="66">
        <f>'Project Database'!S285</f>
        <v>0</v>
      </c>
      <c r="P281" s="66">
        <f>'Project Database'!T285</f>
        <v>0</v>
      </c>
      <c r="Q281" s="66">
        <f>'Project Database'!U285</f>
        <v>0</v>
      </c>
      <c r="R281" s="66">
        <f>'Project Database'!V285</f>
        <v>0</v>
      </c>
      <c r="S281" s="66">
        <f>'Project Database'!W285</f>
        <v>0</v>
      </c>
      <c r="T281" s="66">
        <f>'Project Database'!X285</f>
        <v>0</v>
      </c>
      <c r="U281" s="67">
        <f>'Project Database'!Y285</f>
        <v>0</v>
      </c>
      <c r="V281" s="66">
        <f>IF('Smart Search'!B13=1,IFERROR(1/'Smart Search'!H13,0),0)</f>
        <v>0</v>
      </c>
      <c r="W281" s="66">
        <f>IF('Smart Search'!B13=1,IFERROR(1/'Smart Search'!H13,0),0)</f>
        <v>0</v>
      </c>
      <c r="X281" s="66">
        <f>IF('Smart Search'!C13=1,IFERROR(1/'Smart Search'!H13,0),0)</f>
        <v>0.5</v>
      </c>
      <c r="Y281" s="66">
        <f>IF('Smart Search'!C13=1,IFERROR(1/'Smart Search'!H13,0),0)</f>
        <v>0.5</v>
      </c>
      <c r="Z281" s="66">
        <f>IF('Smart Search'!D13=1,IFERROR(1/'Smart Search'!H13,0),0)</f>
        <v>0</v>
      </c>
      <c r="AA281" s="66">
        <f>IF('Smart Search'!D13=1,IFERROR(1/'Smart Search'!H13,0),0)</f>
        <v>0</v>
      </c>
      <c r="AB281" s="66">
        <f>IF('Smart Search'!E13=1,IFERROR(1/'Smart Search'!H13,0),0)</f>
        <v>0</v>
      </c>
      <c r="AC281" s="66">
        <f>IF('Smart Search'!E13=1,IFERROR(1/'Smart Search'!H13,0),0)</f>
        <v>0</v>
      </c>
      <c r="AD281" s="66">
        <f>IF('Smart Search'!F13=1,IFERROR(1/'Smart Search'!H13,0),0)</f>
        <v>0</v>
      </c>
      <c r="AE281" s="66">
        <f>IF('Smart Search'!F13=1,IFERROR(1/'Smart Search'!H13,0),0)</f>
        <v>0</v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>0</v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>0</v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>0</v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>0</v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>0</v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>0</v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>0</v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>0</v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>0</v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>0</v>
      </c>
      <c r="AP281" s="66">
        <f t="shared" si="56"/>
        <v>0</v>
      </c>
      <c r="AQ281" s="66">
        <f t="shared" si="57"/>
        <v>0</v>
      </c>
      <c r="AR281" s="66">
        <f t="shared" si="58"/>
        <v>0</v>
      </c>
      <c r="AS281" s="66">
        <f t="shared" si="59"/>
        <v>0</v>
      </c>
      <c r="AT281" s="66">
        <f t="shared" si="60"/>
        <v>0</v>
      </c>
      <c r="AU281" s="66">
        <f t="shared" si="61"/>
        <v>0</v>
      </c>
      <c r="AV281" s="66">
        <f t="shared" si="62"/>
        <v>0</v>
      </c>
      <c r="AW281" s="66">
        <f t="shared" si="63"/>
        <v>0</v>
      </c>
      <c r="AX281" s="66">
        <f t="shared" si="64"/>
        <v>0</v>
      </c>
      <c r="AY281" s="66">
        <f t="shared" si="65"/>
        <v>0</v>
      </c>
      <c r="AZ281" s="66">
        <f>'Project Database'!Z285</f>
        <v>0</v>
      </c>
      <c r="BA281" s="66">
        <f>IF(OR(A281="",'Smart Search'!H13=0),"",MAX(0,BE281*BF281*MAX(0,1-BG281)))</f>
        <v>0</v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>0</v>
      </c>
      <c r="BC281" s="66">
        <f>IF('Smart Search'!G13=1,IFERROR(1/'Smart Search'!H13,0),0)</f>
        <v>0</v>
      </c>
      <c r="BD281" s="66">
        <f t="shared" si="66"/>
        <v>0</v>
      </c>
      <c r="BE281" s="66">
        <f t="shared" si="67"/>
        <v>0</v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>0</v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>0</v>
      </c>
      <c r="BH281" s="5" t="str">
        <f>IF(AND('Project Database'!A285&lt;&gt;"",OR('Smart Search'!$L$5="",'Smart Search'!$L$5="All",TRIM('Project Database'!D285)=TRIM('Smart Search'!$L$5)),OR(TRIM('Smart Search'!$L$6)="",TRIM('Smart Search'!$L$6)="All",ISNUMBER(SEARCH(SUBSTITUTE(SUBSTITUTE(SUBSTITUTE(TRIM('Smart Search'!$L$6),"~","~~"),"*","~*"),"?","~?"),'Project Database'!C285))),OR('Smart Search'!$L$7="",AND('Project Database'!E285&lt;&gt;"",'Project Database'!E285='Smart Search'!$L$7)),OR('Smart Search'!$L$8="",'Smart Search'!$L$8="All",TRIM('Project Database'!F285)=TRIM('Smart Search'!$L$8))),IF(BA281="","",BA281+ROW()*0.0000000001),"")</f>
        <v/>
      </c>
      <c r="BI281" s="5" t="str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 t="str">
        <f>IF('Project Database'!A285="","",N('Project Database'!AC285))</f>
        <v/>
      </c>
      <c r="BK281" s="5" t="str">
        <f>IF('Project Database'!A285="","",N('Project Database'!AD285))</f>
        <v/>
      </c>
      <c r="BL281" s="5" t="str">
        <f>IF('Project Database'!A285="","",N('Project Database'!AE285))</f>
        <v/>
      </c>
      <c r="BM281" s="5" t="str">
        <f>IF('Project Database'!A285="","",N('Project Database'!AF285))</f>
        <v/>
      </c>
      <c r="BN281" s="5" t="str">
        <f>IF('Project Database'!A285="","",N('Project Database'!AG285))</f>
        <v/>
      </c>
      <c r="BO281" s="5" t="str">
        <f>IF('Project Database'!A285="","",N('Project Database'!AH285))</f>
        <v/>
      </c>
      <c r="BP281" s="5" t="str">
        <f>IF('Project Database'!A285="","",N('Project Database'!AI285))</f>
        <v/>
      </c>
      <c r="BQ281" s="5" t="str">
        <f>IF('Project Database'!A285="","",N('Project Database'!AJ285))</f>
        <v/>
      </c>
      <c r="BR281" s="5" t="str">
        <f>IF('Project Database'!A285="","",N('Project Database'!AK285))</f>
        <v/>
      </c>
      <c r="BS281" s="5" t="str">
        <f>IF('Project Database'!A285="","",N('Project Database'!AL285))</f>
        <v/>
      </c>
      <c r="BT281" s="5" t="str">
        <f>IF('Project Database'!A285="","",N('Project Database'!AM285))</f>
        <v/>
      </c>
      <c r="BU281" s="5" t="str">
        <f>IF('Project Database'!A285="","",N('Project Database'!AN285))</f>
        <v/>
      </c>
      <c r="BV281" s="5" t="str">
        <f>IF('Project Database'!A285="","",N('Project Database'!AO285))</f>
        <v/>
      </c>
      <c r="BW281" s="5" t="str">
        <f>IF('Project Database'!A285="","",N('Project Database'!AP285))</f>
        <v/>
      </c>
      <c r="BX281" s="5">
        <f t="shared" si="68"/>
        <v>0</v>
      </c>
      <c r="BY281" s="5">
        <f t="shared" si="69"/>
        <v>0</v>
      </c>
    </row>
    <row r="282" spans="1:77" ht="15" customHeight="1" x14ac:dyDescent="0.3">
      <c r="A282" s="66">
        <f>'Project Database'!A286</f>
        <v>0</v>
      </c>
      <c r="B282" s="66">
        <f>'Project Database'!B286</f>
        <v>0</v>
      </c>
      <c r="C282" s="66">
        <f>'Project Database'!G286</f>
        <v>0</v>
      </c>
      <c r="D282" s="66">
        <f>'Project Database'!H286</f>
        <v>0</v>
      </c>
      <c r="E282" s="66">
        <f>'Project Database'!I286</f>
        <v>0</v>
      </c>
      <c r="F282" s="66">
        <f>'Project Database'!J286</f>
        <v>0</v>
      </c>
      <c r="G282" s="66">
        <f>'Project Database'!K286</f>
        <v>0</v>
      </c>
      <c r="H282" s="66">
        <f>'Project Database'!L286</f>
        <v>0</v>
      </c>
      <c r="I282" s="66">
        <f>'Project Database'!M286</f>
        <v>0</v>
      </c>
      <c r="J282" s="66">
        <f>'Project Database'!N286</f>
        <v>0</v>
      </c>
      <c r="K282" s="66">
        <f>'Project Database'!O286</f>
        <v>0</v>
      </c>
      <c r="L282" s="66">
        <f>'Project Database'!P286</f>
        <v>0</v>
      </c>
      <c r="M282" s="66">
        <f>'Project Database'!Q286</f>
        <v>0</v>
      </c>
      <c r="N282" s="66">
        <f>'Project Database'!R286</f>
        <v>0</v>
      </c>
      <c r="O282" s="66">
        <f>'Project Database'!S286</f>
        <v>0</v>
      </c>
      <c r="P282" s="66">
        <f>'Project Database'!T286</f>
        <v>0</v>
      </c>
      <c r="Q282" s="66">
        <f>'Project Database'!U286</f>
        <v>0</v>
      </c>
      <c r="R282" s="66">
        <f>'Project Database'!V286</f>
        <v>0</v>
      </c>
      <c r="S282" s="66">
        <f>'Project Database'!W286</f>
        <v>0</v>
      </c>
      <c r="T282" s="66">
        <f>'Project Database'!X286</f>
        <v>0</v>
      </c>
      <c r="U282" s="67">
        <f>'Project Database'!Y286</f>
        <v>0</v>
      </c>
      <c r="V282" s="66">
        <f>IF('Smart Search'!B13=1,IFERROR(1/'Smart Search'!H13,0),0)</f>
        <v>0</v>
      </c>
      <c r="W282" s="66">
        <f>IF('Smart Search'!B13=1,IFERROR(1/'Smart Search'!H13,0),0)</f>
        <v>0</v>
      </c>
      <c r="X282" s="66">
        <f>IF('Smart Search'!C13=1,IFERROR(1/'Smart Search'!H13,0),0)</f>
        <v>0.5</v>
      </c>
      <c r="Y282" s="66">
        <f>IF('Smart Search'!C13=1,IFERROR(1/'Smart Search'!H13,0),0)</f>
        <v>0.5</v>
      </c>
      <c r="Z282" s="66">
        <f>IF('Smart Search'!D13=1,IFERROR(1/'Smart Search'!H13,0),0)</f>
        <v>0</v>
      </c>
      <c r="AA282" s="66">
        <f>IF('Smart Search'!D13=1,IFERROR(1/'Smart Search'!H13,0),0)</f>
        <v>0</v>
      </c>
      <c r="AB282" s="66">
        <f>IF('Smart Search'!E13=1,IFERROR(1/'Smart Search'!H13,0),0)</f>
        <v>0</v>
      </c>
      <c r="AC282" s="66">
        <f>IF('Smart Search'!E13=1,IFERROR(1/'Smart Search'!H13,0),0)</f>
        <v>0</v>
      </c>
      <c r="AD282" s="66">
        <f>IF('Smart Search'!F13=1,IFERROR(1/'Smart Search'!H13,0),0)</f>
        <v>0</v>
      </c>
      <c r="AE282" s="66">
        <f>IF('Smart Search'!F13=1,IFERROR(1/'Smart Search'!H13,0),0)</f>
        <v>0</v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>0</v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>0</v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>0</v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>0</v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>0</v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>0</v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>0</v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>0</v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>0</v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>0</v>
      </c>
      <c r="AP282" s="66">
        <f t="shared" si="56"/>
        <v>0</v>
      </c>
      <c r="AQ282" s="66">
        <f t="shared" si="57"/>
        <v>0</v>
      </c>
      <c r="AR282" s="66">
        <f t="shared" si="58"/>
        <v>0</v>
      </c>
      <c r="AS282" s="66">
        <f t="shared" si="59"/>
        <v>0</v>
      </c>
      <c r="AT282" s="66">
        <f t="shared" si="60"/>
        <v>0</v>
      </c>
      <c r="AU282" s="66">
        <f t="shared" si="61"/>
        <v>0</v>
      </c>
      <c r="AV282" s="66">
        <f t="shared" si="62"/>
        <v>0</v>
      </c>
      <c r="AW282" s="66">
        <f t="shared" si="63"/>
        <v>0</v>
      </c>
      <c r="AX282" s="66">
        <f t="shared" si="64"/>
        <v>0</v>
      </c>
      <c r="AY282" s="66">
        <f t="shared" si="65"/>
        <v>0</v>
      </c>
      <c r="AZ282" s="66">
        <f>'Project Database'!Z286</f>
        <v>0</v>
      </c>
      <c r="BA282" s="66">
        <f>IF(OR(A282="",'Smart Search'!H13=0),"",MAX(0,BE282*BF282*MAX(0,1-BG282)))</f>
        <v>0</v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>0</v>
      </c>
      <c r="BC282" s="66">
        <f>IF('Smart Search'!G13=1,IFERROR(1/'Smart Search'!H13,0),0)</f>
        <v>0</v>
      </c>
      <c r="BD282" s="66">
        <f t="shared" si="66"/>
        <v>0</v>
      </c>
      <c r="BE282" s="66">
        <f t="shared" si="67"/>
        <v>0</v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>0</v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>0</v>
      </c>
      <c r="BH282" s="5" t="str">
        <f>IF(AND('Project Database'!A286&lt;&gt;"",OR('Smart Search'!$L$5="",'Smart Search'!$L$5="All",TRIM('Project Database'!D286)=TRIM('Smart Search'!$L$5)),OR(TRIM('Smart Search'!$L$6)="",TRIM('Smart Search'!$L$6)="All",ISNUMBER(SEARCH(SUBSTITUTE(SUBSTITUTE(SUBSTITUTE(TRIM('Smart Search'!$L$6),"~","~~"),"*","~*"),"?","~?"),'Project Database'!C286))),OR('Smart Search'!$L$7="",AND('Project Database'!E286&lt;&gt;"",'Project Database'!E286='Smart Search'!$L$7)),OR('Smart Search'!$L$8="",'Smart Search'!$L$8="All",TRIM('Project Database'!F286)=TRIM('Smart Search'!$L$8))),IF(BA282="","",BA282+ROW()*0.0000000001),"")</f>
        <v/>
      </c>
      <c r="BI282" s="5" t="str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 t="str">
        <f>IF('Project Database'!A286="","",N('Project Database'!AC286))</f>
        <v/>
      </c>
      <c r="BK282" s="5" t="str">
        <f>IF('Project Database'!A286="","",N('Project Database'!AD286))</f>
        <v/>
      </c>
      <c r="BL282" s="5" t="str">
        <f>IF('Project Database'!A286="","",N('Project Database'!AE286))</f>
        <v/>
      </c>
      <c r="BM282" s="5" t="str">
        <f>IF('Project Database'!A286="","",N('Project Database'!AF286))</f>
        <v/>
      </c>
      <c r="BN282" s="5" t="str">
        <f>IF('Project Database'!A286="","",N('Project Database'!AG286))</f>
        <v/>
      </c>
      <c r="BO282" s="5" t="str">
        <f>IF('Project Database'!A286="","",N('Project Database'!AH286))</f>
        <v/>
      </c>
      <c r="BP282" s="5" t="str">
        <f>IF('Project Database'!A286="","",N('Project Database'!AI286))</f>
        <v/>
      </c>
      <c r="BQ282" s="5" t="str">
        <f>IF('Project Database'!A286="","",N('Project Database'!AJ286))</f>
        <v/>
      </c>
      <c r="BR282" s="5" t="str">
        <f>IF('Project Database'!A286="","",N('Project Database'!AK286))</f>
        <v/>
      </c>
      <c r="BS282" s="5" t="str">
        <f>IF('Project Database'!A286="","",N('Project Database'!AL286))</f>
        <v/>
      </c>
      <c r="BT282" s="5" t="str">
        <f>IF('Project Database'!A286="","",N('Project Database'!AM286))</f>
        <v/>
      </c>
      <c r="BU282" s="5" t="str">
        <f>IF('Project Database'!A286="","",N('Project Database'!AN286))</f>
        <v/>
      </c>
      <c r="BV282" s="5" t="str">
        <f>IF('Project Database'!A286="","",N('Project Database'!AO286))</f>
        <v/>
      </c>
      <c r="BW282" s="5" t="str">
        <f>IF('Project Database'!A286="","",N('Project Database'!AP286))</f>
        <v/>
      </c>
      <c r="BX282" s="5">
        <f t="shared" si="68"/>
        <v>0</v>
      </c>
      <c r="BY282" s="5">
        <f t="shared" si="69"/>
        <v>0</v>
      </c>
    </row>
    <row r="283" spans="1:77" ht="15" customHeight="1" x14ac:dyDescent="0.3">
      <c r="A283" s="66">
        <f>'Project Database'!A287</f>
        <v>0</v>
      </c>
      <c r="B283" s="66">
        <f>'Project Database'!B287</f>
        <v>0</v>
      </c>
      <c r="C283" s="66">
        <f>'Project Database'!G287</f>
        <v>0</v>
      </c>
      <c r="D283" s="66">
        <f>'Project Database'!H287</f>
        <v>0</v>
      </c>
      <c r="E283" s="66">
        <f>'Project Database'!I287</f>
        <v>0</v>
      </c>
      <c r="F283" s="66">
        <f>'Project Database'!J287</f>
        <v>0</v>
      </c>
      <c r="G283" s="66">
        <f>'Project Database'!K287</f>
        <v>0</v>
      </c>
      <c r="H283" s="66">
        <f>'Project Database'!L287</f>
        <v>0</v>
      </c>
      <c r="I283" s="66">
        <f>'Project Database'!M287</f>
        <v>0</v>
      </c>
      <c r="J283" s="66">
        <f>'Project Database'!N287</f>
        <v>0</v>
      </c>
      <c r="K283" s="66">
        <f>'Project Database'!O287</f>
        <v>0</v>
      </c>
      <c r="L283" s="66">
        <f>'Project Database'!P287</f>
        <v>0</v>
      </c>
      <c r="M283" s="66">
        <f>'Project Database'!Q287</f>
        <v>0</v>
      </c>
      <c r="N283" s="66">
        <f>'Project Database'!R287</f>
        <v>0</v>
      </c>
      <c r="O283" s="66">
        <f>'Project Database'!S287</f>
        <v>0</v>
      </c>
      <c r="P283" s="66">
        <f>'Project Database'!T287</f>
        <v>0</v>
      </c>
      <c r="Q283" s="66">
        <f>'Project Database'!U287</f>
        <v>0</v>
      </c>
      <c r="R283" s="66">
        <f>'Project Database'!V287</f>
        <v>0</v>
      </c>
      <c r="S283" s="66">
        <f>'Project Database'!W287</f>
        <v>0</v>
      </c>
      <c r="T283" s="66">
        <f>'Project Database'!X287</f>
        <v>0</v>
      </c>
      <c r="U283" s="67">
        <f>'Project Database'!Y287</f>
        <v>0</v>
      </c>
      <c r="V283" s="66">
        <f>IF('Smart Search'!B13=1,IFERROR(1/'Smart Search'!H13,0),0)</f>
        <v>0</v>
      </c>
      <c r="W283" s="66">
        <f>IF('Smart Search'!B13=1,IFERROR(1/'Smart Search'!H13,0),0)</f>
        <v>0</v>
      </c>
      <c r="X283" s="66">
        <f>IF('Smart Search'!C13=1,IFERROR(1/'Smart Search'!H13,0),0)</f>
        <v>0.5</v>
      </c>
      <c r="Y283" s="66">
        <f>IF('Smart Search'!C13=1,IFERROR(1/'Smart Search'!H13,0),0)</f>
        <v>0.5</v>
      </c>
      <c r="Z283" s="66">
        <f>IF('Smart Search'!D13=1,IFERROR(1/'Smart Search'!H13,0),0)</f>
        <v>0</v>
      </c>
      <c r="AA283" s="66">
        <f>IF('Smart Search'!D13=1,IFERROR(1/'Smart Search'!H13,0),0)</f>
        <v>0</v>
      </c>
      <c r="AB283" s="66">
        <f>IF('Smart Search'!E13=1,IFERROR(1/'Smart Search'!H13,0),0)</f>
        <v>0</v>
      </c>
      <c r="AC283" s="66">
        <f>IF('Smart Search'!E13=1,IFERROR(1/'Smart Search'!H13,0),0)</f>
        <v>0</v>
      </c>
      <c r="AD283" s="66">
        <f>IF('Smart Search'!F13=1,IFERROR(1/'Smart Search'!H13,0),0)</f>
        <v>0</v>
      </c>
      <c r="AE283" s="66">
        <f>IF('Smart Search'!F13=1,IFERROR(1/'Smart Search'!H13,0),0)</f>
        <v>0</v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>0</v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>0</v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>0</v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>0</v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>0</v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>0</v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>0</v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>0</v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>0</v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>0</v>
      </c>
      <c r="AP283" s="66">
        <f t="shared" si="56"/>
        <v>0</v>
      </c>
      <c r="AQ283" s="66">
        <f t="shared" si="57"/>
        <v>0</v>
      </c>
      <c r="AR283" s="66">
        <f t="shared" si="58"/>
        <v>0</v>
      </c>
      <c r="AS283" s="66">
        <f t="shared" si="59"/>
        <v>0</v>
      </c>
      <c r="AT283" s="66">
        <f t="shared" si="60"/>
        <v>0</v>
      </c>
      <c r="AU283" s="66">
        <f t="shared" si="61"/>
        <v>0</v>
      </c>
      <c r="AV283" s="66">
        <f t="shared" si="62"/>
        <v>0</v>
      </c>
      <c r="AW283" s="66">
        <f t="shared" si="63"/>
        <v>0</v>
      </c>
      <c r="AX283" s="66">
        <f t="shared" si="64"/>
        <v>0</v>
      </c>
      <c r="AY283" s="66">
        <f t="shared" si="65"/>
        <v>0</v>
      </c>
      <c r="AZ283" s="66">
        <f>'Project Database'!Z287</f>
        <v>0</v>
      </c>
      <c r="BA283" s="66">
        <f>IF(OR(A283="",'Smart Search'!H13=0),"",MAX(0,BE283*BF283*MAX(0,1-BG283)))</f>
        <v>0</v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>0</v>
      </c>
      <c r="BC283" s="66">
        <f>IF('Smart Search'!G13=1,IFERROR(1/'Smart Search'!H13,0),0)</f>
        <v>0</v>
      </c>
      <c r="BD283" s="66">
        <f t="shared" si="66"/>
        <v>0</v>
      </c>
      <c r="BE283" s="66">
        <f t="shared" si="67"/>
        <v>0</v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>0</v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>0</v>
      </c>
      <c r="BH283" s="5" t="str">
        <f>IF(AND('Project Database'!A287&lt;&gt;"",OR('Smart Search'!$L$5="",'Smart Search'!$L$5="All",TRIM('Project Database'!D287)=TRIM('Smart Search'!$L$5)),OR(TRIM('Smart Search'!$L$6)="",TRIM('Smart Search'!$L$6)="All",ISNUMBER(SEARCH(SUBSTITUTE(SUBSTITUTE(SUBSTITUTE(TRIM('Smart Search'!$L$6),"~","~~"),"*","~*"),"?","~?"),'Project Database'!C287))),OR('Smart Search'!$L$7="",AND('Project Database'!E287&lt;&gt;"",'Project Database'!E287='Smart Search'!$L$7)),OR('Smart Search'!$L$8="",'Smart Search'!$L$8="All",TRIM('Project Database'!F287)=TRIM('Smart Search'!$L$8))),IF(BA283="","",BA283+ROW()*0.0000000001),"")</f>
        <v/>
      </c>
      <c r="BI283" s="5" t="str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 t="str">
        <f>IF('Project Database'!A287="","",N('Project Database'!AC287))</f>
        <v/>
      </c>
      <c r="BK283" s="5" t="str">
        <f>IF('Project Database'!A287="","",N('Project Database'!AD287))</f>
        <v/>
      </c>
      <c r="BL283" s="5" t="str">
        <f>IF('Project Database'!A287="","",N('Project Database'!AE287))</f>
        <v/>
      </c>
      <c r="BM283" s="5" t="str">
        <f>IF('Project Database'!A287="","",N('Project Database'!AF287))</f>
        <v/>
      </c>
      <c r="BN283" s="5" t="str">
        <f>IF('Project Database'!A287="","",N('Project Database'!AG287))</f>
        <v/>
      </c>
      <c r="BO283" s="5" t="str">
        <f>IF('Project Database'!A287="","",N('Project Database'!AH287))</f>
        <v/>
      </c>
      <c r="BP283" s="5" t="str">
        <f>IF('Project Database'!A287="","",N('Project Database'!AI287))</f>
        <v/>
      </c>
      <c r="BQ283" s="5" t="str">
        <f>IF('Project Database'!A287="","",N('Project Database'!AJ287))</f>
        <v/>
      </c>
      <c r="BR283" s="5" t="str">
        <f>IF('Project Database'!A287="","",N('Project Database'!AK287))</f>
        <v/>
      </c>
      <c r="BS283" s="5" t="str">
        <f>IF('Project Database'!A287="","",N('Project Database'!AL287))</f>
        <v/>
      </c>
      <c r="BT283" s="5" t="str">
        <f>IF('Project Database'!A287="","",N('Project Database'!AM287))</f>
        <v/>
      </c>
      <c r="BU283" s="5" t="str">
        <f>IF('Project Database'!A287="","",N('Project Database'!AN287))</f>
        <v/>
      </c>
      <c r="BV283" s="5" t="str">
        <f>IF('Project Database'!A287="","",N('Project Database'!AO287))</f>
        <v/>
      </c>
      <c r="BW283" s="5" t="str">
        <f>IF('Project Database'!A287="","",N('Project Database'!AP287))</f>
        <v/>
      </c>
      <c r="BX283" s="5">
        <f t="shared" si="68"/>
        <v>0</v>
      </c>
      <c r="BY283" s="5">
        <f t="shared" si="69"/>
        <v>0</v>
      </c>
    </row>
    <row r="284" spans="1:77" ht="15" customHeight="1" x14ac:dyDescent="0.3">
      <c r="A284" s="66">
        <f>'Project Database'!A288</f>
        <v>0</v>
      </c>
      <c r="B284" s="66">
        <f>'Project Database'!B288</f>
        <v>0</v>
      </c>
      <c r="C284" s="66">
        <f>'Project Database'!G288</f>
        <v>0</v>
      </c>
      <c r="D284" s="66">
        <f>'Project Database'!H288</f>
        <v>0</v>
      </c>
      <c r="E284" s="66">
        <f>'Project Database'!I288</f>
        <v>0</v>
      </c>
      <c r="F284" s="66">
        <f>'Project Database'!J288</f>
        <v>0</v>
      </c>
      <c r="G284" s="66">
        <f>'Project Database'!K288</f>
        <v>0</v>
      </c>
      <c r="H284" s="66">
        <f>'Project Database'!L288</f>
        <v>0</v>
      </c>
      <c r="I284" s="66">
        <f>'Project Database'!M288</f>
        <v>0</v>
      </c>
      <c r="J284" s="66">
        <f>'Project Database'!N288</f>
        <v>0</v>
      </c>
      <c r="K284" s="66">
        <f>'Project Database'!O288</f>
        <v>0</v>
      </c>
      <c r="L284" s="66">
        <f>'Project Database'!P288</f>
        <v>0</v>
      </c>
      <c r="M284" s="66">
        <f>'Project Database'!Q288</f>
        <v>0</v>
      </c>
      <c r="N284" s="66">
        <f>'Project Database'!R288</f>
        <v>0</v>
      </c>
      <c r="O284" s="66">
        <f>'Project Database'!S288</f>
        <v>0</v>
      </c>
      <c r="P284" s="66">
        <f>'Project Database'!T288</f>
        <v>0</v>
      </c>
      <c r="Q284" s="66">
        <f>'Project Database'!U288</f>
        <v>0</v>
      </c>
      <c r="R284" s="66">
        <f>'Project Database'!V288</f>
        <v>0</v>
      </c>
      <c r="S284" s="66">
        <f>'Project Database'!W288</f>
        <v>0</v>
      </c>
      <c r="T284" s="66">
        <f>'Project Database'!X288</f>
        <v>0</v>
      </c>
      <c r="U284" s="67">
        <f>'Project Database'!Y288</f>
        <v>0</v>
      </c>
      <c r="V284" s="66">
        <f>IF('Smart Search'!B13=1,IFERROR(1/'Smart Search'!H13,0),0)</f>
        <v>0</v>
      </c>
      <c r="W284" s="66">
        <f>IF('Smart Search'!B13=1,IFERROR(1/'Smart Search'!H13,0),0)</f>
        <v>0</v>
      </c>
      <c r="X284" s="66">
        <f>IF('Smart Search'!C13=1,IFERROR(1/'Smart Search'!H13,0),0)</f>
        <v>0.5</v>
      </c>
      <c r="Y284" s="66">
        <f>IF('Smart Search'!C13=1,IFERROR(1/'Smart Search'!H13,0),0)</f>
        <v>0.5</v>
      </c>
      <c r="Z284" s="66">
        <f>IF('Smart Search'!D13=1,IFERROR(1/'Smart Search'!H13,0),0)</f>
        <v>0</v>
      </c>
      <c r="AA284" s="66">
        <f>IF('Smart Search'!D13=1,IFERROR(1/'Smart Search'!H13,0),0)</f>
        <v>0</v>
      </c>
      <c r="AB284" s="66">
        <f>IF('Smart Search'!E13=1,IFERROR(1/'Smart Search'!H13,0),0)</f>
        <v>0</v>
      </c>
      <c r="AC284" s="66">
        <f>IF('Smart Search'!E13=1,IFERROR(1/'Smart Search'!H13,0),0)</f>
        <v>0</v>
      </c>
      <c r="AD284" s="66">
        <f>IF('Smart Search'!F13=1,IFERROR(1/'Smart Search'!H13,0),0)</f>
        <v>0</v>
      </c>
      <c r="AE284" s="66">
        <f>IF('Smart Search'!F13=1,IFERROR(1/'Smart Search'!H13,0),0)</f>
        <v>0</v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>0</v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>0</v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>0</v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>0</v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>0</v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>0</v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>0</v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>0</v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>0</v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>0</v>
      </c>
      <c r="AP284" s="66">
        <f t="shared" si="56"/>
        <v>0</v>
      </c>
      <c r="AQ284" s="66">
        <f t="shared" si="57"/>
        <v>0</v>
      </c>
      <c r="AR284" s="66">
        <f t="shared" si="58"/>
        <v>0</v>
      </c>
      <c r="AS284" s="66">
        <f t="shared" si="59"/>
        <v>0</v>
      </c>
      <c r="AT284" s="66">
        <f t="shared" si="60"/>
        <v>0</v>
      </c>
      <c r="AU284" s="66">
        <f t="shared" si="61"/>
        <v>0</v>
      </c>
      <c r="AV284" s="66">
        <f t="shared" si="62"/>
        <v>0</v>
      </c>
      <c r="AW284" s="66">
        <f t="shared" si="63"/>
        <v>0</v>
      </c>
      <c r="AX284" s="66">
        <f t="shared" si="64"/>
        <v>0</v>
      </c>
      <c r="AY284" s="66">
        <f t="shared" si="65"/>
        <v>0</v>
      </c>
      <c r="AZ284" s="66">
        <f>'Project Database'!Z288</f>
        <v>0</v>
      </c>
      <c r="BA284" s="66">
        <f>IF(OR(A284="",'Smart Search'!H13=0),"",MAX(0,BE284*BF284*MAX(0,1-BG284)))</f>
        <v>0</v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>0</v>
      </c>
      <c r="BC284" s="66">
        <f>IF('Smart Search'!G13=1,IFERROR(1/'Smart Search'!H13,0),0)</f>
        <v>0</v>
      </c>
      <c r="BD284" s="66">
        <f t="shared" si="66"/>
        <v>0</v>
      </c>
      <c r="BE284" s="66">
        <f t="shared" si="67"/>
        <v>0</v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>0</v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>0</v>
      </c>
      <c r="BH284" s="5" t="str">
        <f>IF(AND('Project Database'!A288&lt;&gt;"",OR('Smart Search'!$L$5="",'Smart Search'!$L$5="All",TRIM('Project Database'!D288)=TRIM('Smart Search'!$L$5)),OR(TRIM('Smart Search'!$L$6)="",TRIM('Smart Search'!$L$6)="All",ISNUMBER(SEARCH(SUBSTITUTE(SUBSTITUTE(SUBSTITUTE(TRIM('Smart Search'!$L$6),"~","~~"),"*","~*"),"?","~?"),'Project Database'!C288))),OR('Smart Search'!$L$7="",AND('Project Database'!E288&lt;&gt;"",'Project Database'!E288='Smart Search'!$L$7)),OR('Smart Search'!$L$8="",'Smart Search'!$L$8="All",TRIM('Project Database'!F288)=TRIM('Smart Search'!$L$8))),IF(BA284="","",BA284+ROW()*0.0000000001),"")</f>
        <v/>
      </c>
      <c r="BI284" s="5" t="str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 t="str">
        <f>IF('Project Database'!A288="","",N('Project Database'!AC288))</f>
        <v/>
      </c>
      <c r="BK284" s="5" t="str">
        <f>IF('Project Database'!A288="","",N('Project Database'!AD288))</f>
        <v/>
      </c>
      <c r="BL284" s="5" t="str">
        <f>IF('Project Database'!A288="","",N('Project Database'!AE288))</f>
        <v/>
      </c>
      <c r="BM284" s="5" t="str">
        <f>IF('Project Database'!A288="","",N('Project Database'!AF288))</f>
        <v/>
      </c>
      <c r="BN284" s="5" t="str">
        <f>IF('Project Database'!A288="","",N('Project Database'!AG288))</f>
        <v/>
      </c>
      <c r="BO284" s="5" t="str">
        <f>IF('Project Database'!A288="","",N('Project Database'!AH288))</f>
        <v/>
      </c>
      <c r="BP284" s="5" t="str">
        <f>IF('Project Database'!A288="","",N('Project Database'!AI288))</f>
        <v/>
      </c>
      <c r="BQ284" s="5" t="str">
        <f>IF('Project Database'!A288="","",N('Project Database'!AJ288))</f>
        <v/>
      </c>
      <c r="BR284" s="5" t="str">
        <f>IF('Project Database'!A288="","",N('Project Database'!AK288))</f>
        <v/>
      </c>
      <c r="BS284" s="5" t="str">
        <f>IF('Project Database'!A288="","",N('Project Database'!AL288))</f>
        <v/>
      </c>
      <c r="BT284" s="5" t="str">
        <f>IF('Project Database'!A288="","",N('Project Database'!AM288))</f>
        <v/>
      </c>
      <c r="BU284" s="5" t="str">
        <f>IF('Project Database'!A288="","",N('Project Database'!AN288))</f>
        <v/>
      </c>
      <c r="BV284" s="5" t="str">
        <f>IF('Project Database'!A288="","",N('Project Database'!AO288))</f>
        <v/>
      </c>
      <c r="BW284" s="5" t="str">
        <f>IF('Project Database'!A288="","",N('Project Database'!AP288))</f>
        <v/>
      </c>
      <c r="BX284" s="5">
        <f t="shared" si="68"/>
        <v>0</v>
      </c>
      <c r="BY284" s="5">
        <f t="shared" si="69"/>
        <v>0</v>
      </c>
    </row>
    <row r="285" spans="1:77" ht="15" customHeight="1" x14ac:dyDescent="0.3">
      <c r="A285" s="66">
        <f>'Project Database'!A289</f>
        <v>0</v>
      </c>
      <c r="B285" s="66">
        <f>'Project Database'!B289</f>
        <v>0</v>
      </c>
      <c r="C285" s="66">
        <f>'Project Database'!G289</f>
        <v>0</v>
      </c>
      <c r="D285" s="66">
        <f>'Project Database'!H289</f>
        <v>0</v>
      </c>
      <c r="E285" s="66">
        <f>'Project Database'!I289</f>
        <v>0</v>
      </c>
      <c r="F285" s="66">
        <f>'Project Database'!J289</f>
        <v>0</v>
      </c>
      <c r="G285" s="66">
        <f>'Project Database'!K289</f>
        <v>0</v>
      </c>
      <c r="H285" s="66">
        <f>'Project Database'!L289</f>
        <v>0</v>
      </c>
      <c r="I285" s="66">
        <f>'Project Database'!M289</f>
        <v>0</v>
      </c>
      <c r="J285" s="66">
        <f>'Project Database'!N289</f>
        <v>0</v>
      </c>
      <c r="K285" s="66">
        <f>'Project Database'!O289</f>
        <v>0</v>
      </c>
      <c r="L285" s="66">
        <f>'Project Database'!P289</f>
        <v>0</v>
      </c>
      <c r="M285" s="66">
        <f>'Project Database'!Q289</f>
        <v>0</v>
      </c>
      <c r="N285" s="66">
        <f>'Project Database'!R289</f>
        <v>0</v>
      </c>
      <c r="O285" s="66">
        <f>'Project Database'!S289</f>
        <v>0</v>
      </c>
      <c r="P285" s="66">
        <f>'Project Database'!T289</f>
        <v>0</v>
      </c>
      <c r="Q285" s="66">
        <f>'Project Database'!U289</f>
        <v>0</v>
      </c>
      <c r="R285" s="66">
        <f>'Project Database'!V289</f>
        <v>0</v>
      </c>
      <c r="S285" s="66">
        <f>'Project Database'!W289</f>
        <v>0</v>
      </c>
      <c r="T285" s="66">
        <f>'Project Database'!X289</f>
        <v>0</v>
      </c>
      <c r="U285" s="67">
        <f>'Project Database'!Y289</f>
        <v>0</v>
      </c>
      <c r="V285" s="66">
        <f>IF('Smart Search'!B13=1,IFERROR(1/'Smart Search'!H13,0),0)</f>
        <v>0</v>
      </c>
      <c r="W285" s="66">
        <f>IF('Smart Search'!B13=1,IFERROR(1/'Smart Search'!H13,0),0)</f>
        <v>0</v>
      </c>
      <c r="X285" s="66">
        <f>IF('Smart Search'!C13=1,IFERROR(1/'Smart Search'!H13,0),0)</f>
        <v>0.5</v>
      </c>
      <c r="Y285" s="66">
        <f>IF('Smart Search'!C13=1,IFERROR(1/'Smart Search'!H13,0),0)</f>
        <v>0.5</v>
      </c>
      <c r="Z285" s="66">
        <f>IF('Smart Search'!D13=1,IFERROR(1/'Smart Search'!H13,0),0)</f>
        <v>0</v>
      </c>
      <c r="AA285" s="66">
        <f>IF('Smart Search'!D13=1,IFERROR(1/'Smart Search'!H13,0),0)</f>
        <v>0</v>
      </c>
      <c r="AB285" s="66">
        <f>IF('Smart Search'!E13=1,IFERROR(1/'Smart Search'!H13,0),0)</f>
        <v>0</v>
      </c>
      <c r="AC285" s="66">
        <f>IF('Smart Search'!E13=1,IFERROR(1/'Smart Search'!H13,0),0)</f>
        <v>0</v>
      </c>
      <c r="AD285" s="66">
        <f>IF('Smart Search'!F13=1,IFERROR(1/'Smart Search'!H13,0),0)</f>
        <v>0</v>
      </c>
      <c r="AE285" s="66">
        <f>IF('Smart Search'!F13=1,IFERROR(1/'Smart Search'!H13,0),0)</f>
        <v>0</v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>0</v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>0</v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>0</v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>0</v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>0</v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>0</v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>0</v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>0</v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>0</v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>0</v>
      </c>
      <c r="AP285" s="66">
        <f t="shared" si="56"/>
        <v>0</v>
      </c>
      <c r="AQ285" s="66">
        <f t="shared" si="57"/>
        <v>0</v>
      </c>
      <c r="AR285" s="66">
        <f t="shared" si="58"/>
        <v>0</v>
      </c>
      <c r="AS285" s="66">
        <f t="shared" si="59"/>
        <v>0</v>
      </c>
      <c r="AT285" s="66">
        <f t="shared" si="60"/>
        <v>0</v>
      </c>
      <c r="AU285" s="66">
        <f t="shared" si="61"/>
        <v>0</v>
      </c>
      <c r="AV285" s="66">
        <f t="shared" si="62"/>
        <v>0</v>
      </c>
      <c r="AW285" s="66">
        <f t="shared" si="63"/>
        <v>0</v>
      </c>
      <c r="AX285" s="66">
        <f t="shared" si="64"/>
        <v>0</v>
      </c>
      <c r="AY285" s="66">
        <f t="shared" si="65"/>
        <v>0</v>
      </c>
      <c r="AZ285" s="66">
        <f>'Project Database'!Z289</f>
        <v>0</v>
      </c>
      <c r="BA285" s="66">
        <f>IF(OR(A285="",'Smart Search'!H13=0),"",MAX(0,BE285*BF285*MAX(0,1-BG285)))</f>
        <v>0</v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>0</v>
      </c>
      <c r="BC285" s="66">
        <f>IF('Smart Search'!G13=1,IFERROR(1/'Smart Search'!H13,0),0)</f>
        <v>0</v>
      </c>
      <c r="BD285" s="66">
        <f t="shared" si="66"/>
        <v>0</v>
      </c>
      <c r="BE285" s="66">
        <f t="shared" si="67"/>
        <v>0</v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>0</v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>0</v>
      </c>
      <c r="BH285" s="5" t="str">
        <f>IF(AND('Project Database'!A289&lt;&gt;"",OR('Smart Search'!$L$5="",'Smart Search'!$L$5="All",TRIM('Project Database'!D289)=TRIM('Smart Search'!$L$5)),OR(TRIM('Smart Search'!$L$6)="",TRIM('Smart Search'!$L$6)="All",ISNUMBER(SEARCH(SUBSTITUTE(SUBSTITUTE(SUBSTITUTE(TRIM('Smart Search'!$L$6),"~","~~"),"*","~*"),"?","~?"),'Project Database'!C289))),OR('Smart Search'!$L$7="",AND('Project Database'!E289&lt;&gt;"",'Project Database'!E289='Smart Search'!$L$7)),OR('Smart Search'!$L$8="",'Smart Search'!$L$8="All",TRIM('Project Database'!F289)=TRIM('Smart Search'!$L$8))),IF(BA285="","",BA285+ROW()*0.0000000001),"")</f>
        <v/>
      </c>
      <c r="BI285" s="5" t="str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 t="str">
        <f>IF('Project Database'!A289="","",N('Project Database'!AC289))</f>
        <v/>
      </c>
      <c r="BK285" s="5" t="str">
        <f>IF('Project Database'!A289="","",N('Project Database'!AD289))</f>
        <v/>
      </c>
      <c r="BL285" s="5" t="str">
        <f>IF('Project Database'!A289="","",N('Project Database'!AE289))</f>
        <v/>
      </c>
      <c r="BM285" s="5" t="str">
        <f>IF('Project Database'!A289="","",N('Project Database'!AF289))</f>
        <v/>
      </c>
      <c r="BN285" s="5" t="str">
        <f>IF('Project Database'!A289="","",N('Project Database'!AG289))</f>
        <v/>
      </c>
      <c r="BO285" s="5" t="str">
        <f>IF('Project Database'!A289="","",N('Project Database'!AH289))</f>
        <v/>
      </c>
      <c r="BP285" s="5" t="str">
        <f>IF('Project Database'!A289="","",N('Project Database'!AI289))</f>
        <v/>
      </c>
      <c r="BQ285" s="5" t="str">
        <f>IF('Project Database'!A289="","",N('Project Database'!AJ289))</f>
        <v/>
      </c>
      <c r="BR285" s="5" t="str">
        <f>IF('Project Database'!A289="","",N('Project Database'!AK289))</f>
        <v/>
      </c>
      <c r="BS285" s="5" t="str">
        <f>IF('Project Database'!A289="","",N('Project Database'!AL289))</f>
        <v/>
      </c>
      <c r="BT285" s="5" t="str">
        <f>IF('Project Database'!A289="","",N('Project Database'!AM289))</f>
        <v/>
      </c>
      <c r="BU285" s="5" t="str">
        <f>IF('Project Database'!A289="","",N('Project Database'!AN289))</f>
        <v/>
      </c>
      <c r="BV285" s="5" t="str">
        <f>IF('Project Database'!A289="","",N('Project Database'!AO289))</f>
        <v/>
      </c>
      <c r="BW285" s="5" t="str">
        <f>IF('Project Database'!A289="","",N('Project Database'!AP289))</f>
        <v/>
      </c>
      <c r="BX285" s="5">
        <f t="shared" si="68"/>
        <v>0</v>
      </c>
      <c r="BY285" s="5">
        <f t="shared" si="69"/>
        <v>0</v>
      </c>
    </row>
    <row r="286" spans="1:77" ht="15" customHeight="1" x14ac:dyDescent="0.3">
      <c r="A286" s="66">
        <f>'Project Database'!A290</f>
        <v>0</v>
      </c>
      <c r="B286" s="66">
        <f>'Project Database'!B290</f>
        <v>0</v>
      </c>
      <c r="C286" s="66">
        <f>'Project Database'!G290</f>
        <v>0</v>
      </c>
      <c r="D286" s="66">
        <f>'Project Database'!H290</f>
        <v>0</v>
      </c>
      <c r="E286" s="66">
        <f>'Project Database'!I290</f>
        <v>0</v>
      </c>
      <c r="F286" s="66">
        <f>'Project Database'!J290</f>
        <v>0</v>
      </c>
      <c r="G286" s="66">
        <f>'Project Database'!K290</f>
        <v>0</v>
      </c>
      <c r="H286" s="66">
        <f>'Project Database'!L290</f>
        <v>0</v>
      </c>
      <c r="I286" s="66">
        <f>'Project Database'!M290</f>
        <v>0</v>
      </c>
      <c r="J286" s="66">
        <f>'Project Database'!N290</f>
        <v>0</v>
      </c>
      <c r="K286" s="66">
        <f>'Project Database'!O290</f>
        <v>0</v>
      </c>
      <c r="L286" s="66">
        <f>'Project Database'!P290</f>
        <v>0</v>
      </c>
      <c r="M286" s="66">
        <f>'Project Database'!Q290</f>
        <v>0</v>
      </c>
      <c r="N286" s="66">
        <f>'Project Database'!R290</f>
        <v>0</v>
      </c>
      <c r="O286" s="66">
        <f>'Project Database'!S290</f>
        <v>0</v>
      </c>
      <c r="P286" s="66">
        <f>'Project Database'!T290</f>
        <v>0</v>
      </c>
      <c r="Q286" s="66">
        <f>'Project Database'!U290</f>
        <v>0</v>
      </c>
      <c r="R286" s="66">
        <f>'Project Database'!V290</f>
        <v>0</v>
      </c>
      <c r="S286" s="66">
        <f>'Project Database'!W290</f>
        <v>0</v>
      </c>
      <c r="T286" s="66">
        <f>'Project Database'!X290</f>
        <v>0</v>
      </c>
      <c r="U286" s="67">
        <f>'Project Database'!Y290</f>
        <v>0</v>
      </c>
      <c r="V286" s="66">
        <f>IF('Smart Search'!B13=1,IFERROR(1/'Smart Search'!H13,0),0)</f>
        <v>0</v>
      </c>
      <c r="W286" s="66">
        <f>IF('Smart Search'!B13=1,IFERROR(1/'Smart Search'!H13,0),0)</f>
        <v>0</v>
      </c>
      <c r="X286" s="66">
        <f>IF('Smart Search'!C13=1,IFERROR(1/'Smart Search'!H13,0),0)</f>
        <v>0.5</v>
      </c>
      <c r="Y286" s="66">
        <f>IF('Smart Search'!C13=1,IFERROR(1/'Smart Search'!H13,0),0)</f>
        <v>0.5</v>
      </c>
      <c r="Z286" s="66">
        <f>IF('Smart Search'!D13=1,IFERROR(1/'Smart Search'!H13,0),0)</f>
        <v>0</v>
      </c>
      <c r="AA286" s="66">
        <f>IF('Smart Search'!D13=1,IFERROR(1/'Smart Search'!H13,0),0)</f>
        <v>0</v>
      </c>
      <c r="AB286" s="66">
        <f>IF('Smart Search'!E13=1,IFERROR(1/'Smart Search'!H13,0),0)</f>
        <v>0</v>
      </c>
      <c r="AC286" s="66">
        <f>IF('Smart Search'!E13=1,IFERROR(1/'Smart Search'!H13,0),0)</f>
        <v>0</v>
      </c>
      <c r="AD286" s="66">
        <f>IF('Smart Search'!F13=1,IFERROR(1/'Smart Search'!H13,0),0)</f>
        <v>0</v>
      </c>
      <c r="AE286" s="66">
        <f>IF('Smart Search'!F13=1,IFERROR(1/'Smart Search'!H13,0),0)</f>
        <v>0</v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>0</v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>0</v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>0</v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>0</v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>0</v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>0</v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>0</v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>0</v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>0</v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>0</v>
      </c>
      <c r="AP286" s="66">
        <f t="shared" si="56"/>
        <v>0</v>
      </c>
      <c r="AQ286" s="66">
        <f t="shared" si="57"/>
        <v>0</v>
      </c>
      <c r="AR286" s="66">
        <f t="shared" si="58"/>
        <v>0</v>
      </c>
      <c r="AS286" s="66">
        <f t="shared" si="59"/>
        <v>0</v>
      </c>
      <c r="AT286" s="66">
        <f t="shared" si="60"/>
        <v>0</v>
      </c>
      <c r="AU286" s="66">
        <f t="shared" si="61"/>
        <v>0</v>
      </c>
      <c r="AV286" s="66">
        <f t="shared" si="62"/>
        <v>0</v>
      </c>
      <c r="AW286" s="66">
        <f t="shared" si="63"/>
        <v>0</v>
      </c>
      <c r="AX286" s="66">
        <f t="shared" si="64"/>
        <v>0</v>
      </c>
      <c r="AY286" s="66">
        <f t="shared" si="65"/>
        <v>0</v>
      </c>
      <c r="AZ286" s="66">
        <f>'Project Database'!Z290</f>
        <v>0</v>
      </c>
      <c r="BA286" s="66">
        <f>IF(OR(A286="",'Smart Search'!H13=0),"",MAX(0,BE286*BF286*MAX(0,1-BG286)))</f>
        <v>0</v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>0</v>
      </c>
      <c r="BC286" s="66">
        <f>IF('Smart Search'!G13=1,IFERROR(1/'Smart Search'!H13,0),0)</f>
        <v>0</v>
      </c>
      <c r="BD286" s="66">
        <f t="shared" si="66"/>
        <v>0</v>
      </c>
      <c r="BE286" s="66">
        <f t="shared" si="67"/>
        <v>0</v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>0</v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>0</v>
      </c>
      <c r="BH286" s="5" t="str">
        <f>IF(AND('Project Database'!A290&lt;&gt;"",OR('Smart Search'!$L$5="",'Smart Search'!$L$5="All",TRIM('Project Database'!D290)=TRIM('Smart Search'!$L$5)),OR(TRIM('Smart Search'!$L$6)="",TRIM('Smart Search'!$L$6)="All",ISNUMBER(SEARCH(SUBSTITUTE(SUBSTITUTE(SUBSTITUTE(TRIM('Smart Search'!$L$6),"~","~~"),"*","~*"),"?","~?"),'Project Database'!C290))),OR('Smart Search'!$L$7="",AND('Project Database'!E290&lt;&gt;"",'Project Database'!E290='Smart Search'!$L$7)),OR('Smart Search'!$L$8="",'Smart Search'!$L$8="All",TRIM('Project Database'!F290)=TRIM('Smart Search'!$L$8))),IF(BA286="","",BA286+ROW()*0.0000000001),"")</f>
        <v/>
      </c>
      <c r="BI286" s="5" t="str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 t="str">
        <f>IF('Project Database'!A290="","",N('Project Database'!AC290))</f>
        <v/>
      </c>
      <c r="BK286" s="5" t="str">
        <f>IF('Project Database'!A290="","",N('Project Database'!AD290))</f>
        <v/>
      </c>
      <c r="BL286" s="5" t="str">
        <f>IF('Project Database'!A290="","",N('Project Database'!AE290))</f>
        <v/>
      </c>
      <c r="BM286" s="5" t="str">
        <f>IF('Project Database'!A290="","",N('Project Database'!AF290))</f>
        <v/>
      </c>
      <c r="BN286" s="5" t="str">
        <f>IF('Project Database'!A290="","",N('Project Database'!AG290))</f>
        <v/>
      </c>
      <c r="BO286" s="5" t="str">
        <f>IF('Project Database'!A290="","",N('Project Database'!AH290))</f>
        <v/>
      </c>
      <c r="BP286" s="5" t="str">
        <f>IF('Project Database'!A290="","",N('Project Database'!AI290))</f>
        <v/>
      </c>
      <c r="BQ286" s="5" t="str">
        <f>IF('Project Database'!A290="","",N('Project Database'!AJ290))</f>
        <v/>
      </c>
      <c r="BR286" s="5" t="str">
        <f>IF('Project Database'!A290="","",N('Project Database'!AK290))</f>
        <v/>
      </c>
      <c r="BS286" s="5" t="str">
        <f>IF('Project Database'!A290="","",N('Project Database'!AL290))</f>
        <v/>
      </c>
      <c r="BT286" s="5" t="str">
        <f>IF('Project Database'!A290="","",N('Project Database'!AM290))</f>
        <v/>
      </c>
      <c r="BU286" s="5" t="str">
        <f>IF('Project Database'!A290="","",N('Project Database'!AN290))</f>
        <v/>
      </c>
      <c r="BV286" s="5" t="str">
        <f>IF('Project Database'!A290="","",N('Project Database'!AO290))</f>
        <v/>
      </c>
      <c r="BW286" s="5" t="str">
        <f>IF('Project Database'!A290="","",N('Project Database'!AP290))</f>
        <v/>
      </c>
      <c r="BX286" s="5">
        <f t="shared" si="68"/>
        <v>0</v>
      </c>
      <c r="BY286" s="5">
        <f t="shared" si="69"/>
        <v>0</v>
      </c>
    </row>
    <row r="287" spans="1:77" ht="15" customHeight="1" x14ac:dyDescent="0.3">
      <c r="A287" s="66">
        <f>'Project Database'!A291</f>
        <v>0</v>
      </c>
      <c r="B287" s="66">
        <f>'Project Database'!B291</f>
        <v>0</v>
      </c>
      <c r="C287" s="66">
        <f>'Project Database'!G291</f>
        <v>0</v>
      </c>
      <c r="D287" s="66">
        <f>'Project Database'!H291</f>
        <v>0</v>
      </c>
      <c r="E287" s="66">
        <f>'Project Database'!I291</f>
        <v>0</v>
      </c>
      <c r="F287" s="66">
        <f>'Project Database'!J291</f>
        <v>0</v>
      </c>
      <c r="G287" s="66">
        <f>'Project Database'!K291</f>
        <v>0</v>
      </c>
      <c r="H287" s="66">
        <f>'Project Database'!L291</f>
        <v>0</v>
      </c>
      <c r="I287" s="66">
        <f>'Project Database'!M291</f>
        <v>0</v>
      </c>
      <c r="J287" s="66">
        <f>'Project Database'!N291</f>
        <v>0</v>
      </c>
      <c r="K287" s="66">
        <f>'Project Database'!O291</f>
        <v>0</v>
      </c>
      <c r="L287" s="66">
        <f>'Project Database'!P291</f>
        <v>0</v>
      </c>
      <c r="M287" s="66">
        <f>'Project Database'!Q291</f>
        <v>0</v>
      </c>
      <c r="N287" s="66">
        <f>'Project Database'!R291</f>
        <v>0</v>
      </c>
      <c r="O287" s="66">
        <f>'Project Database'!S291</f>
        <v>0</v>
      </c>
      <c r="P287" s="66">
        <f>'Project Database'!T291</f>
        <v>0</v>
      </c>
      <c r="Q287" s="66">
        <f>'Project Database'!U291</f>
        <v>0</v>
      </c>
      <c r="R287" s="66">
        <f>'Project Database'!V291</f>
        <v>0</v>
      </c>
      <c r="S287" s="66">
        <f>'Project Database'!W291</f>
        <v>0</v>
      </c>
      <c r="T287" s="66">
        <f>'Project Database'!X291</f>
        <v>0</v>
      </c>
      <c r="U287" s="67">
        <f>'Project Database'!Y291</f>
        <v>0</v>
      </c>
      <c r="V287" s="66">
        <f>IF('Smart Search'!B13=1,IFERROR(1/'Smart Search'!H13,0),0)</f>
        <v>0</v>
      </c>
      <c r="W287" s="66">
        <f>IF('Smart Search'!B13=1,IFERROR(1/'Smart Search'!H13,0),0)</f>
        <v>0</v>
      </c>
      <c r="X287" s="66">
        <f>IF('Smart Search'!C13=1,IFERROR(1/'Smart Search'!H13,0),0)</f>
        <v>0.5</v>
      </c>
      <c r="Y287" s="66">
        <f>IF('Smart Search'!C13=1,IFERROR(1/'Smart Search'!H13,0),0)</f>
        <v>0.5</v>
      </c>
      <c r="Z287" s="66">
        <f>IF('Smart Search'!D13=1,IFERROR(1/'Smart Search'!H13,0),0)</f>
        <v>0</v>
      </c>
      <c r="AA287" s="66">
        <f>IF('Smart Search'!D13=1,IFERROR(1/'Smart Search'!H13,0),0)</f>
        <v>0</v>
      </c>
      <c r="AB287" s="66">
        <f>IF('Smart Search'!E13=1,IFERROR(1/'Smart Search'!H13,0),0)</f>
        <v>0</v>
      </c>
      <c r="AC287" s="66">
        <f>IF('Smart Search'!E13=1,IFERROR(1/'Smart Search'!H13,0),0)</f>
        <v>0</v>
      </c>
      <c r="AD287" s="66">
        <f>IF('Smart Search'!F13=1,IFERROR(1/'Smart Search'!H13,0),0)</f>
        <v>0</v>
      </c>
      <c r="AE287" s="66">
        <f>IF('Smart Search'!F13=1,IFERROR(1/'Smart Search'!H13,0),0)</f>
        <v>0</v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>0</v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>0</v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>0</v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>0</v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>0</v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>0</v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>0</v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>0</v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>0</v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>0</v>
      </c>
      <c r="AP287" s="66">
        <f t="shared" si="56"/>
        <v>0</v>
      </c>
      <c r="AQ287" s="66">
        <f t="shared" si="57"/>
        <v>0</v>
      </c>
      <c r="AR287" s="66">
        <f t="shared" si="58"/>
        <v>0</v>
      </c>
      <c r="AS287" s="66">
        <f t="shared" si="59"/>
        <v>0</v>
      </c>
      <c r="AT287" s="66">
        <f t="shared" si="60"/>
        <v>0</v>
      </c>
      <c r="AU287" s="66">
        <f t="shared" si="61"/>
        <v>0</v>
      </c>
      <c r="AV287" s="66">
        <f t="shared" si="62"/>
        <v>0</v>
      </c>
      <c r="AW287" s="66">
        <f t="shared" si="63"/>
        <v>0</v>
      </c>
      <c r="AX287" s="66">
        <f t="shared" si="64"/>
        <v>0</v>
      </c>
      <c r="AY287" s="66">
        <f t="shared" si="65"/>
        <v>0</v>
      </c>
      <c r="AZ287" s="66">
        <f>'Project Database'!Z291</f>
        <v>0</v>
      </c>
      <c r="BA287" s="66">
        <f>IF(OR(A287="",'Smart Search'!H13=0),"",MAX(0,BE287*BF287*MAX(0,1-BG287)))</f>
        <v>0</v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>0</v>
      </c>
      <c r="BC287" s="66">
        <f>IF('Smart Search'!G13=1,IFERROR(1/'Smart Search'!H13,0),0)</f>
        <v>0</v>
      </c>
      <c r="BD287" s="66">
        <f t="shared" si="66"/>
        <v>0</v>
      </c>
      <c r="BE287" s="66">
        <f t="shared" si="67"/>
        <v>0</v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>0</v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>0</v>
      </c>
      <c r="BH287" s="5" t="str">
        <f>IF(AND('Project Database'!A291&lt;&gt;"",OR('Smart Search'!$L$5="",'Smart Search'!$L$5="All",TRIM('Project Database'!D291)=TRIM('Smart Search'!$L$5)),OR(TRIM('Smart Search'!$L$6)="",TRIM('Smart Search'!$L$6)="All",ISNUMBER(SEARCH(SUBSTITUTE(SUBSTITUTE(SUBSTITUTE(TRIM('Smart Search'!$L$6),"~","~~"),"*","~*"),"?","~?"),'Project Database'!C291))),OR('Smart Search'!$L$7="",AND('Project Database'!E291&lt;&gt;"",'Project Database'!E291='Smart Search'!$L$7)),OR('Smart Search'!$L$8="",'Smart Search'!$L$8="All",TRIM('Project Database'!F291)=TRIM('Smart Search'!$L$8))),IF(BA287="","",BA287+ROW()*0.0000000001),"")</f>
        <v/>
      </c>
      <c r="BI287" s="5" t="str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 t="str">
        <f>IF('Project Database'!A291="","",N('Project Database'!AC291))</f>
        <v/>
      </c>
      <c r="BK287" s="5" t="str">
        <f>IF('Project Database'!A291="","",N('Project Database'!AD291))</f>
        <v/>
      </c>
      <c r="BL287" s="5" t="str">
        <f>IF('Project Database'!A291="","",N('Project Database'!AE291))</f>
        <v/>
      </c>
      <c r="BM287" s="5" t="str">
        <f>IF('Project Database'!A291="","",N('Project Database'!AF291))</f>
        <v/>
      </c>
      <c r="BN287" s="5" t="str">
        <f>IF('Project Database'!A291="","",N('Project Database'!AG291))</f>
        <v/>
      </c>
      <c r="BO287" s="5" t="str">
        <f>IF('Project Database'!A291="","",N('Project Database'!AH291))</f>
        <v/>
      </c>
      <c r="BP287" s="5" t="str">
        <f>IF('Project Database'!A291="","",N('Project Database'!AI291))</f>
        <v/>
      </c>
      <c r="BQ287" s="5" t="str">
        <f>IF('Project Database'!A291="","",N('Project Database'!AJ291))</f>
        <v/>
      </c>
      <c r="BR287" s="5" t="str">
        <f>IF('Project Database'!A291="","",N('Project Database'!AK291))</f>
        <v/>
      </c>
      <c r="BS287" s="5" t="str">
        <f>IF('Project Database'!A291="","",N('Project Database'!AL291))</f>
        <v/>
      </c>
      <c r="BT287" s="5" t="str">
        <f>IF('Project Database'!A291="","",N('Project Database'!AM291))</f>
        <v/>
      </c>
      <c r="BU287" s="5" t="str">
        <f>IF('Project Database'!A291="","",N('Project Database'!AN291))</f>
        <v/>
      </c>
      <c r="BV287" s="5" t="str">
        <f>IF('Project Database'!A291="","",N('Project Database'!AO291))</f>
        <v/>
      </c>
      <c r="BW287" s="5" t="str">
        <f>IF('Project Database'!A291="","",N('Project Database'!AP291))</f>
        <v/>
      </c>
      <c r="BX287" s="5">
        <f t="shared" si="68"/>
        <v>0</v>
      </c>
      <c r="BY287" s="5">
        <f t="shared" si="69"/>
        <v>0</v>
      </c>
    </row>
    <row r="288" spans="1:77" ht="15" customHeight="1" x14ac:dyDescent="0.3">
      <c r="A288" s="66">
        <f>'Project Database'!A292</f>
        <v>0</v>
      </c>
      <c r="B288" s="66">
        <f>'Project Database'!B292</f>
        <v>0</v>
      </c>
      <c r="C288" s="66">
        <f>'Project Database'!G292</f>
        <v>0</v>
      </c>
      <c r="D288" s="66">
        <f>'Project Database'!H292</f>
        <v>0</v>
      </c>
      <c r="E288" s="66">
        <f>'Project Database'!I292</f>
        <v>0</v>
      </c>
      <c r="F288" s="66">
        <f>'Project Database'!J292</f>
        <v>0</v>
      </c>
      <c r="G288" s="66">
        <f>'Project Database'!K292</f>
        <v>0</v>
      </c>
      <c r="H288" s="66">
        <f>'Project Database'!L292</f>
        <v>0</v>
      </c>
      <c r="I288" s="66">
        <f>'Project Database'!M292</f>
        <v>0</v>
      </c>
      <c r="J288" s="66">
        <f>'Project Database'!N292</f>
        <v>0</v>
      </c>
      <c r="K288" s="66">
        <f>'Project Database'!O292</f>
        <v>0</v>
      </c>
      <c r="L288" s="66">
        <f>'Project Database'!P292</f>
        <v>0</v>
      </c>
      <c r="M288" s="66">
        <f>'Project Database'!Q292</f>
        <v>0</v>
      </c>
      <c r="N288" s="66">
        <f>'Project Database'!R292</f>
        <v>0</v>
      </c>
      <c r="O288" s="66">
        <f>'Project Database'!S292</f>
        <v>0</v>
      </c>
      <c r="P288" s="66">
        <f>'Project Database'!T292</f>
        <v>0</v>
      </c>
      <c r="Q288" s="66">
        <f>'Project Database'!U292</f>
        <v>0</v>
      </c>
      <c r="R288" s="66">
        <f>'Project Database'!V292</f>
        <v>0</v>
      </c>
      <c r="S288" s="66">
        <f>'Project Database'!W292</f>
        <v>0</v>
      </c>
      <c r="T288" s="66">
        <f>'Project Database'!X292</f>
        <v>0</v>
      </c>
      <c r="U288" s="67">
        <f>'Project Database'!Y292</f>
        <v>0</v>
      </c>
      <c r="V288" s="66">
        <f>IF('Smart Search'!B13=1,IFERROR(1/'Smart Search'!H13,0),0)</f>
        <v>0</v>
      </c>
      <c r="W288" s="66">
        <f>IF('Smart Search'!B13=1,IFERROR(1/'Smart Search'!H13,0),0)</f>
        <v>0</v>
      </c>
      <c r="X288" s="66">
        <f>IF('Smart Search'!C13=1,IFERROR(1/'Smart Search'!H13,0),0)</f>
        <v>0.5</v>
      </c>
      <c r="Y288" s="66">
        <f>IF('Smart Search'!C13=1,IFERROR(1/'Smart Search'!H13,0),0)</f>
        <v>0.5</v>
      </c>
      <c r="Z288" s="66">
        <f>IF('Smart Search'!D13=1,IFERROR(1/'Smart Search'!H13,0),0)</f>
        <v>0</v>
      </c>
      <c r="AA288" s="66">
        <f>IF('Smart Search'!D13=1,IFERROR(1/'Smart Search'!H13,0),0)</f>
        <v>0</v>
      </c>
      <c r="AB288" s="66">
        <f>IF('Smart Search'!E13=1,IFERROR(1/'Smart Search'!H13,0),0)</f>
        <v>0</v>
      </c>
      <c r="AC288" s="66">
        <f>IF('Smart Search'!E13=1,IFERROR(1/'Smart Search'!H13,0),0)</f>
        <v>0</v>
      </c>
      <c r="AD288" s="66">
        <f>IF('Smart Search'!F13=1,IFERROR(1/'Smart Search'!H13,0),0)</f>
        <v>0</v>
      </c>
      <c r="AE288" s="66">
        <f>IF('Smart Search'!F13=1,IFERROR(1/'Smart Search'!H13,0),0)</f>
        <v>0</v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>0</v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>0</v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>0</v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>0</v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>0</v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>0</v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>0</v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>0</v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>0</v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>0</v>
      </c>
      <c r="AP288" s="66">
        <f t="shared" si="56"/>
        <v>0</v>
      </c>
      <c r="AQ288" s="66">
        <f t="shared" si="57"/>
        <v>0</v>
      </c>
      <c r="AR288" s="66">
        <f t="shared" si="58"/>
        <v>0</v>
      </c>
      <c r="AS288" s="66">
        <f t="shared" si="59"/>
        <v>0</v>
      </c>
      <c r="AT288" s="66">
        <f t="shared" si="60"/>
        <v>0</v>
      </c>
      <c r="AU288" s="66">
        <f t="shared" si="61"/>
        <v>0</v>
      </c>
      <c r="AV288" s="66">
        <f t="shared" si="62"/>
        <v>0</v>
      </c>
      <c r="AW288" s="66">
        <f t="shared" si="63"/>
        <v>0</v>
      </c>
      <c r="AX288" s="66">
        <f t="shared" si="64"/>
        <v>0</v>
      </c>
      <c r="AY288" s="66">
        <f t="shared" si="65"/>
        <v>0</v>
      </c>
      <c r="AZ288" s="66">
        <f>'Project Database'!Z292</f>
        <v>0</v>
      </c>
      <c r="BA288" s="66">
        <f>IF(OR(A288="",'Smart Search'!H13=0),"",MAX(0,BE288*BF288*MAX(0,1-BG288)))</f>
        <v>0</v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>0</v>
      </c>
      <c r="BC288" s="66">
        <f>IF('Smart Search'!G13=1,IFERROR(1/'Smart Search'!H13,0),0)</f>
        <v>0</v>
      </c>
      <c r="BD288" s="66">
        <f t="shared" si="66"/>
        <v>0</v>
      </c>
      <c r="BE288" s="66">
        <f t="shared" si="67"/>
        <v>0</v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>0</v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>0</v>
      </c>
      <c r="BH288" s="5" t="str">
        <f>IF(AND('Project Database'!A292&lt;&gt;"",OR('Smart Search'!$L$5="",'Smart Search'!$L$5="All",TRIM('Project Database'!D292)=TRIM('Smart Search'!$L$5)),OR(TRIM('Smart Search'!$L$6)="",TRIM('Smart Search'!$L$6)="All",ISNUMBER(SEARCH(SUBSTITUTE(SUBSTITUTE(SUBSTITUTE(TRIM('Smart Search'!$L$6),"~","~~"),"*","~*"),"?","~?"),'Project Database'!C292))),OR('Smart Search'!$L$7="",AND('Project Database'!E292&lt;&gt;"",'Project Database'!E292='Smart Search'!$L$7)),OR('Smart Search'!$L$8="",'Smart Search'!$L$8="All",TRIM('Project Database'!F292)=TRIM('Smart Search'!$L$8))),IF(BA288="","",BA288+ROW()*0.0000000001),"")</f>
        <v/>
      </c>
      <c r="BI288" s="5" t="str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 t="str">
        <f>IF('Project Database'!A292="","",N('Project Database'!AC292))</f>
        <v/>
      </c>
      <c r="BK288" s="5" t="str">
        <f>IF('Project Database'!A292="","",N('Project Database'!AD292))</f>
        <v/>
      </c>
      <c r="BL288" s="5" t="str">
        <f>IF('Project Database'!A292="","",N('Project Database'!AE292))</f>
        <v/>
      </c>
      <c r="BM288" s="5" t="str">
        <f>IF('Project Database'!A292="","",N('Project Database'!AF292))</f>
        <v/>
      </c>
      <c r="BN288" s="5" t="str">
        <f>IF('Project Database'!A292="","",N('Project Database'!AG292))</f>
        <v/>
      </c>
      <c r="BO288" s="5" t="str">
        <f>IF('Project Database'!A292="","",N('Project Database'!AH292))</f>
        <v/>
      </c>
      <c r="BP288" s="5" t="str">
        <f>IF('Project Database'!A292="","",N('Project Database'!AI292))</f>
        <v/>
      </c>
      <c r="BQ288" s="5" t="str">
        <f>IF('Project Database'!A292="","",N('Project Database'!AJ292))</f>
        <v/>
      </c>
      <c r="BR288" s="5" t="str">
        <f>IF('Project Database'!A292="","",N('Project Database'!AK292))</f>
        <v/>
      </c>
      <c r="BS288" s="5" t="str">
        <f>IF('Project Database'!A292="","",N('Project Database'!AL292))</f>
        <v/>
      </c>
      <c r="BT288" s="5" t="str">
        <f>IF('Project Database'!A292="","",N('Project Database'!AM292))</f>
        <v/>
      </c>
      <c r="BU288" s="5" t="str">
        <f>IF('Project Database'!A292="","",N('Project Database'!AN292))</f>
        <v/>
      </c>
      <c r="BV288" s="5" t="str">
        <f>IF('Project Database'!A292="","",N('Project Database'!AO292))</f>
        <v/>
      </c>
      <c r="BW288" s="5" t="str">
        <f>IF('Project Database'!A292="","",N('Project Database'!AP292))</f>
        <v/>
      </c>
      <c r="BX288" s="5">
        <f t="shared" si="68"/>
        <v>0</v>
      </c>
      <c r="BY288" s="5">
        <f t="shared" si="69"/>
        <v>0</v>
      </c>
    </row>
    <row r="289" spans="1:77" ht="15" customHeight="1" x14ac:dyDescent="0.3">
      <c r="A289" s="66">
        <f>'Project Database'!A293</f>
        <v>0</v>
      </c>
      <c r="B289" s="66">
        <f>'Project Database'!B293</f>
        <v>0</v>
      </c>
      <c r="C289" s="66">
        <f>'Project Database'!G293</f>
        <v>0</v>
      </c>
      <c r="D289" s="66">
        <f>'Project Database'!H293</f>
        <v>0</v>
      </c>
      <c r="E289" s="66">
        <f>'Project Database'!I293</f>
        <v>0</v>
      </c>
      <c r="F289" s="66">
        <f>'Project Database'!J293</f>
        <v>0</v>
      </c>
      <c r="G289" s="66">
        <f>'Project Database'!K293</f>
        <v>0</v>
      </c>
      <c r="H289" s="66">
        <f>'Project Database'!L293</f>
        <v>0</v>
      </c>
      <c r="I289" s="66">
        <f>'Project Database'!M293</f>
        <v>0</v>
      </c>
      <c r="J289" s="66">
        <f>'Project Database'!N293</f>
        <v>0</v>
      </c>
      <c r="K289" s="66">
        <f>'Project Database'!O293</f>
        <v>0</v>
      </c>
      <c r="L289" s="66">
        <f>'Project Database'!P293</f>
        <v>0</v>
      </c>
      <c r="M289" s="66">
        <f>'Project Database'!Q293</f>
        <v>0</v>
      </c>
      <c r="N289" s="66">
        <f>'Project Database'!R293</f>
        <v>0</v>
      </c>
      <c r="O289" s="66">
        <f>'Project Database'!S293</f>
        <v>0</v>
      </c>
      <c r="P289" s="66">
        <f>'Project Database'!T293</f>
        <v>0</v>
      </c>
      <c r="Q289" s="66">
        <f>'Project Database'!U293</f>
        <v>0</v>
      </c>
      <c r="R289" s="66">
        <f>'Project Database'!V293</f>
        <v>0</v>
      </c>
      <c r="S289" s="66">
        <f>'Project Database'!W293</f>
        <v>0</v>
      </c>
      <c r="T289" s="66">
        <f>'Project Database'!X293</f>
        <v>0</v>
      </c>
      <c r="U289" s="67">
        <f>'Project Database'!Y293</f>
        <v>0</v>
      </c>
      <c r="V289" s="66">
        <f>IF('Smart Search'!B13=1,IFERROR(1/'Smart Search'!H13,0),0)</f>
        <v>0</v>
      </c>
      <c r="W289" s="66">
        <f>IF('Smart Search'!B13=1,IFERROR(1/'Smart Search'!H13,0),0)</f>
        <v>0</v>
      </c>
      <c r="X289" s="66">
        <f>IF('Smart Search'!C13=1,IFERROR(1/'Smart Search'!H13,0),0)</f>
        <v>0.5</v>
      </c>
      <c r="Y289" s="66">
        <f>IF('Smart Search'!C13=1,IFERROR(1/'Smart Search'!H13,0),0)</f>
        <v>0.5</v>
      </c>
      <c r="Z289" s="66">
        <f>IF('Smart Search'!D13=1,IFERROR(1/'Smart Search'!H13,0),0)</f>
        <v>0</v>
      </c>
      <c r="AA289" s="66">
        <f>IF('Smart Search'!D13=1,IFERROR(1/'Smart Search'!H13,0),0)</f>
        <v>0</v>
      </c>
      <c r="AB289" s="66">
        <f>IF('Smart Search'!E13=1,IFERROR(1/'Smart Search'!H13,0),0)</f>
        <v>0</v>
      </c>
      <c r="AC289" s="66">
        <f>IF('Smart Search'!E13=1,IFERROR(1/'Smart Search'!H13,0),0)</f>
        <v>0</v>
      </c>
      <c r="AD289" s="66">
        <f>IF('Smart Search'!F13=1,IFERROR(1/'Smart Search'!H13,0),0)</f>
        <v>0</v>
      </c>
      <c r="AE289" s="66">
        <f>IF('Smart Search'!F13=1,IFERROR(1/'Smart Search'!H13,0),0)</f>
        <v>0</v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>0</v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>0</v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>0</v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>0</v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>0</v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>0</v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>0</v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>0</v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>0</v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>0</v>
      </c>
      <c r="AP289" s="66">
        <f t="shared" si="56"/>
        <v>0</v>
      </c>
      <c r="AQ289" s="66">
        <f t="shared" si="57"/>
        <v>0</v>
      </c>
      <c r="AR289" s="66">
        <f t="shared" si="58"/>
        <v>0</v>
      </c>
      <c r="AS289" s="66">
        <f t="shared" si="59"/>
        <v>0</v>
      </c>
      <c r="AT289" s="66">
        <f t="shared" si="60"/>
        <v>0</v>
      </c>
      <c r="AU289" s="66">
        <f t="shared" si="61"/>
        <v>0</v>
      </c>
      <c r="AV289" s="66">
        <f t="shared" si="62"/>
        <v>0</v>
      </c>
      <c r="AW289" s="66">
        <f t="shared" si="63"/>
        <v>0</v>
      </c>
      <c r="AX289" s="66">
        <f t="shared" si="64"/>
        <v>0</v>
      </c>
      <c r="AY289" s="66">
        <f t="shared" si="65"/>
        <v>0</v>
      </c>
      <c r="AZ289" s="66">
        <f>'Project Database'!Z293</f>
        <v>0</v>
      </c>
      <c r="BA289" s="66">
        <f>IF(OR(A289="",'Smart Search'!H13=0),"",MAX(0,BE289*BF289*MAX(0,1-BG289)))</f>
        <v>0</v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>0</v>
      </c>
      <c r="BC289" s="66">
        <f>IF('Smart Search'!G13=1,IFERROR(1/'Smart Search'!H13,0),0)</f>
        <v>0</v>
      </c>
      <c r="BD289" s="66">
        <f t="shared" si="66"/>
        <v>0</v>
      </c>
      <c r="BE289" s="66">
        <f t="shared" si="67"/>
        <v>0</v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>0</v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>0</v>
      </c>
      <c r="BH289" s="5" t="str">
        <f>IF(AND('Project Database'!A293&lt;&gt;"",OR('Smart Search'!$L$5="",'Smart Search'!$L$5="All",TRIM('Project Database'!D293)=TRIM('Smart Search'!$L$5)),OR(TRIM('Smart Search'!$L$6)="",TRIM('Smart Search'!$L$6)="All",ISNUMBER(SEARCH(SUBSTITUTE(SUBSTITUTE(SUBSTITUTE(TRIM('Smart Search'!$L$6),"~","~~"),"*","~*"),"?","~?"),'Project Database'!C293))),OR('Smart Search'!$L$7="",AND('Project Database'!E293&lt;&gt;"",'Project Database'!E293='Smart Search'!$L$7)),OR('Smart Search'!$L$8="",'Smart Search'!$L$8="All",TRIM('Project Database'!F293)=TRIM('Smart Search'!$L$8))),IF(BA289="","",BA289+ROW()*0.0000000001),"")</f>
        <v/>
      </c>
      <c r="BI289" s="5" t="str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 t="str">
        <f>IF('Project Database'!A293="","",N('Project Database'!AC293))</f>
        <v/>
      </c>
      <c r="BK289" s="5" t="str">
        <f>IF('Project Database'!A293="","",N('Project Database'!AD293))</f>
        <v/>
      </c>
      <c r="BL289" s="5" t="str">
        <f>IF('Project Database'!A293="","",N('Project Database'!AE293))</f>
        <v/>
      </c>
      <c r="BM289" s="5" t="str">
        <f>IF('Project Database'!A293="","",N('Project Database'!AF293))</f>
        <v/>
      </c>
      <c r="BN289" s="5" t="str">
        <f>IF('Project Database'!A293="","",N('Project Database'!AG293))</f>
        <v/>
      </c>
      <c r="BO289" s="5" t="str">
        <f>IF('Project Database'!A293="","",N('Project Database'!AH293))</f>
        <v/>
      </c>
      <c r="BP289" s="5" t="str">
        <f>IF('Project Database'!A293="","",N('Project Database'!AI293))</f>
        <v/>
      </c>
      <c r="BQ289" s="5" t="str">
        <f>IF('Project Database'!A293="","",N('Project Database'!AJ293))</f>
        <v/>
      </c>
      <c r="BR289" s="5" t="str">
        <f>IF('Project Database'!A293="","",N('Project Database'!AK293))</f>
        <v/>
      </c>
      <c r="BS289" s="5" t="str">
        <f>IF('Project Database'!A293="","",N('Project Database'!AL293))</f>
        <v/>
      </c>
      <c r="BT289" s="5" t="str">
        <f>IF('Project Database'!A293="","",N('Project Database'!AM293))</f>
        <v/>
      </c>
      <c r="BU289" s="5" t="str">
        <f>IF('Project Database'!A293="","",N('Project Database'!AN293))</f>
        <v/>
      </c>
      <c r="BV289" s="5" t="str">
        <f>IF('Project Database'!A293="","",N('Project Database'!AO293))</f>
        <v/>
      </c>
      <c r="BW289" s="5" t="str">
        <f>IF('Project Database'!A293="","",N('Project Database'!AP293))</f>
        <v/>
      </c>
      <c r="BX289" s="5">
        <f t="shared" si="68"/>
        <v>0</v>
      </c>
      <c r="BY289" s="5">
        <f t="shared" si="69"/>
        <v>0</v>
      </c>
    </row>
    <row r="290" spans="1:77" ht="15" customHeight="1" x14ac:dyDescent="0.3">
      <c r="A290" s="66">
        <f>'Project Database'!A294</f>
        <v>0</v>
      </c>
      <c r="B290" s="66">
        <f>'Project Database'!B294</f>
        <v>0</v>
      </c>
      <c r="C290" s="66">
        <f>'Project Database'!G294</f>
        <v>0</v>
      </c>
      <c r="D290" s="66">
        <f>'Project Database'!H294</f>
        <v>0</v>
      </c>
      <c r="E290" s="66">
        <f>'Project Database'!I294</f>
        <v>0</v>
      </c>
      <c r="F290" s="66">
        <f>'Project Database'!J294</f>
        <v>0</v>
      </c>
      <c r="G290" s="66">
        <f>'Project Database'!K294</f>
        <v>0</v>
      </c>
      <c r="H290" s="66">
        <f>'Project Database'!L294</f>
        <v>0</v>
      </c>
      <c r="I290" s="66">
        <f>'Project Database'!M294</f>
        <v>0</v>
      </c>
      <c r="J290" s="66">
        <f>'Project Database'!N294</f>
        <v>0</v>
      </c>
      <c r="K290" s="66">
        <f>'Project Database'!O294</f>
        <v>0</v>
      </c>
      <c r="L290" s="66">
        <f>'Project Database'!P294</f>
        <v>0</v>
      </c>
      <c r="M290" s="66">
        <f>'Project Database'!Q294</f>
        <v>0</v>
      </c>
      <c r="N290" s="66">
        <f>'Project Database'!R294</f>
        <v>0</v>
      </c>
      <c r="O290" s="66">
        <f>'Project Database'!S294</f>
        <v>0</v>
      </c>
      <c r="P290" s="66">
        <f>'Project Database'!T294</f>
        <v>0</v>
      </c>
      <c r="Q290" s="66">
        <f>'Project Database'!U294</f>
        <v>0</v>
      </c>
      <c r="R290" s="66">
        <f>'Project Database'!V294</f>
        <v>0</v>
      </c>
      <c r="S290" s="66">
        <f>'Project Database'!W294</f>
        <v>0</v>
      </c>
      <c r="T290" s="66">
        <f>'Project Database'!X294</f>
        <v>0</v>
      </c>
      <c r="U290" s="67">
        <f>'Project Database'!Y294</f>
        <v>0</v>
      </c>
      <c r="V290" s="66">
        <f>IF('Smart Search'!B13=1,IFERROR(1/'Smart Search'!H13,0),0)</f>
        <v>0</v>
      </c>
      <c r="W290" s="66">
        <f>IF('Smart Search'!B13=1,IFERROR(1/'Smart Search'!H13,0),0)</f>
        <v>0</v>
      </c>
      <c r="X290" s="66">
        <f>IF('Smart Search'!C13=1,IFERROR(1/'Smart Search'!H13,0),0)</f>
        <v>0.5</v>
      </c>
      <c r="Y290" s="66">
        <f>IF('Smart Search'!C13=1,IFERROR(1/'Smart Search'!H13,0),0)</f>
        <v>0.5</v>
      </c>
      <c r="Z290" s="66">
        <f>IF('Smart Search'!D13=1,IFERROR(1/'Smart Search'!H13,0),0)</f>
        <v>0</v>
      </c>
      <c r="AA290" s="66">
        <f>IF('Smart Search'!D13=1,IFERROR(1/'Smart Search'!H13,0),0)</f>
        <v>0</v>
      </c>
      <c r="AB290" s="66">
        <f>IF('Smart Search'!E13=1,IFERROR(1/'Smart Search'!H13,0),0)</f>
        <v>0</v>
      </c>
      <c r="AC290" s="66">
        <f>IF('Smart Search'!E13=1,IFERROR(1/'Smart Search'!H13,0),0)</f>
        <v>0</v>
      </c>
      <c r="AD290" s="66">
        <f>IF('Smart Search'!F13=1,IFERROR(1/'Smart Search'!H13,0),0)</f>
        <v>0</v>
      </c>
      <c r="AE290" s="66">
        <f>IF('Smart Search'!F13=1,IFERROR(1/'Smart Search'!H13,0),0)</f>
        <v>0</v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>0</v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>0</v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>0</v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>0</v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>0</v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>0</v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>0</v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>0</v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>0</v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>0</v>
      </c>
      <c r="AP290" s="66">
        <f t="shared" si="56"/>
        <v>0</v>
      </c>
      <c r="AQ290" s="66">
        <f t="shared" si="57"/>
        <v>0</v>
      </c>
      <c r="AR290" s="66">
        <f t="shared" si="58"/>
        <v>0</v>
      </c>
      <c r="AS290" s="66">
        <f t="shared" si="59"/>
        <v>0</v>
      </c>
      <c r="AT290" s="66">
        <f t="shared" si="60"/>
        <v>0</v>
      </c>
      <c r="AU290" s="66">
        <f t="shared" si="61"/>
        <v>0</v>
      </c>
      <c r="AV290" s="66">
        <f t="shared" si="62"/>
        <v>0</v>
      </c>
      <c r="AW290" s="66">
        <f t="shared" si="63"/>
        <v>0</v>
      </c>
      <c r="AX290" s="66">
        <f t="shared" si="64"/>
        <v>0</v>
      </c>
      <c r="AY290" s="66">
        <f t="shared" si="65"/>
        <v>0</v>
      </c>
      <c r="AZ290" s="66">
        <f>'Project Database'!Z294</f>
        <v>0</v>
      </c>
      <c r="BA290" s="66">
        <f>IF(OR(A290="",'Smart Search'!H13=0),"",MAX(0,BE290*BF290*MAX(0,1-BG290)))</f>
        <v>0</v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>0</v>
      </c>
      <c r="BC290" s="66">
        <f>IF('Smart Search'!G13=1,IFERROR(1/'Smart Search'!H13,0),0)</f>
        <v>0</v>
      </c>
      <c r="BD290" s="66">
        <f t="shared" si="66"/>
        <v>0</v>
      </c>
      <c r="BE290" s="66">
        <f t="shared" si="67"/>
        <v>0</v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>0</v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>0</v>
      </c>
      <c r="BH290" s="5" t="str">
        <f>IF(AND('Project Database'!A294&lt;&gt;"",OR('Smart Search'!$L$5="",'Smart Search'!$L$5="All",TRIM('Project Database'!D294)=TRIM('Smart Search'!$L$5)),OR(TRIM('Smart Search'!$L$6)="",TRIM('Smart Search'!$L$6)="All",ISNUMBER(SEARCH(SUBSTITUTE(SUBSTITUTE(SUBSTITUTE(TRIM('Smart Search'!$L$6),"~","~~"),"*","~*"),"?","~?"),'Project Database'!C294))),OR('Smart Search'!$L$7="",AND('Project Database'!E294&lt;&gt;"",'Project Database'!E294='Smart Search'!$L$7)),OR('Smart Search'!$L$8="",'Smart Search'!$L$8="All",TRIM('Project Database'!F294)=TRIM('Smart Search'!$L$8))),IF(BA290="","",BA290+ROW()*0.0000000001),"")</f>
        <v/>
      </c>
      <c r="BI290" s="5" t="str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 t="str">
        <f>IF('Project Database'!A294="","",N('Project Database'!AC294))</f>
        <v/>
      </c>
      <c r="BK290" s="5" t="str">
        <f>IF('Project Database'!A294="","",N('Project Database'!AD294))</f>
        <v/>
      </c>
      <c r="BL290" s="5" t="str">
        <f>IF('Project Database'!A294="","",N('Project Database'!AE294))</f>
        <v/>
      </c>
      <c r="BM290" s="5" t="str">
        <f>IF('Project Database'!A294="","",N('Project Database'!AF294))</f>
        <v/>
      </c>
      <c r="BN290" s="5" t="str">
        <f>IF('Project Database'!A294="","",N('Project Database'!AG294))</f>
        <v/>
      </c>
      <c r="BO290" s="5" t="str">
        <f>IF('Project Database'!A294="","",N('Project Database'!AH294))</f>
        <v/>
      </c>
      <c r="BP290" s="5" t="str">
        <f>IF('Project Database'!A294="","",N('Project Database'!AI294))</f>
        <v/>
      </c>
      <c r="BQ290" s="5" t="str">
        <f>IF('Project Database'!A294="","",N('Project Database'!AJ294))</f>
        <v/>
      </c>
      <c r="BR290" s="5" t="str">
        <f>IF('Project Database'!A294="","",N('Project Database'!AK294))</f>
        <v/>
      </c>
      <c r="BS290" s="5" t="str">
        <f>IF('Project Database'!A294="","",N('Project Database'!AL294))</f>
        <v/>
      </c>
      <c r="BT290" s="5" t="str">
        <f>IF('Project Database'!A294="","",N('Project Database'!AM294))</f>
        <v/>
      </c>
      <c r="BU290" s="5" t="str">
        <f>IF('Project Database'!A294="","",N('Project Database'!AN294))</f>
        <v/>
      </c>
      <c r="BV290" s="5" t="str">
        <f>IF('Project Database'!A294="","",N('Project Database'!AO294))</f>
        <v/>
      </c>
      <c r="BW290" s="5" t="str">
        <f>IF('Project Database'!A294="","",N('Project Database'!AP294))</f>
        <v/>
      </c>
      <c r="BX290" s="5">
        <f t="shared" si="68"/>
        <v>0</v>
      </c>
      <c r="BY290" s="5">
        <f t="shared" si="69"/>
        <v>0</v>
      </c>
    </row>
    <row r="291" spans="1:77" ht="15" customHeight="1" x14ac:dyDescent="0.3">
      <c r="A291" s="66">
        <f>'Project Database'!A295</f>
        <v>0</v>
      </c>
      <c r="B291" s="66">
        <f>'Project Database'!B295</f>
        <v>0</v>
      </c>
      <c r="C291" s="66">
        <f>'Project Database'!G295</f>
        <v>0</v>
      </c>
      <c r="D291" s="66">
        <f>'Project Database'!H295</f>
        <v>0</v>
      </c>
      <c r="E291" s="66">
        <f>'Project Database'!I295</f>
        <v>0</v>
      </c>
      <c r="F291" s="66">
        <f>'Project Database'!J295</f>
        <v>0</v>
      </c>
      <c r="G291" s="66">
        <f>'Project Database'!K295</f>
        <v>0</v>
      </c>
      <c r="H291" s="66">
        <f>'Project Database'!L295</f>
        <v>0</v>
      </c>
      <c r="I291" s="66">
        <f>'Project Database'!M295</f>
        <v>0</v>
      </c>
      <c r="J291" s="66">
        <f>'Project Database'!N295</f>
        <v>0</v>
      </c>
      <c r="K291" s="66">
        <f>'Project Database'!O295</f>
        <v>0</v>
      </c>
      <c r="L291" s="66">
        <f>'Project Database'!P295</f>
        <v>0</v>
      </c>
      <c r="M291" s="66">
        <f>'Project Database'!Q295</f>
        <v>0</v>
      </c>
      <c r="N291" s="66">
        <f>'Project Database'!R295</f>
        <v>0</v>
      </c>
      <c r="O291" s="66">
        <f>'Project Database'!S295</f>
        <v>0</v>
      </c>
      <c r="P291" s="66">
        <f>'Project Database'!T295</f>
        <v>0</v>
      </c>
      <c r="Q291" s="66">
        <f>'Project Database'!U295</f>
        <v>0</v>
      </c>
      <c r="R291" s="66">
        <f>'Project Database'!V295</f>
        <v>0</v>
      </c>
      <c r="S291" s="66">
        <f>'Project Database'!W295</f>
        <v>0</v>
      </c>
      <c r="T291" s="66">
        <f>'Project Database'!X295</f>
        <v>0</v>
      </c>
      <c r="U291" s="67">
        <f>'Project Database'!Y295</f>
        <v>0</v>
      </c>
      <c r="V291" s="66">
        <f>IF('Smart Search'!B13=1,IFERROR(1/'Smart Search'!H13,0),0)</f>
        <v>0</v>
      </c>
      <c r="W291" s="66">
        <f>IF('Smart Search'!B13=1,IFERROR(1/'Smart Search'!H13,0),0)</f>
        <v>0</v>
      </c>
      <c r="X291" s="66">
        <f>IF('Smart Search'!C13=1,IFERROR(1/'Smart Search'!H13,0),0)</f>
        <v>0.5</v>
      </c>
      <c r="Y291" s="66">
        <f>IF('Smart Search'!C13=1,IFERROR(1/'Smart Search'!H13,0),0)</f>
        <v>0.5</v>
      </c>
      <c r="Z291" s="66">
        <f>IF('Smart Search'!D13=1,IFERROR(1/'Smart Search'!H13,0),0)</f>
        <v>0</v>
      </c>
      <c r="AA291" s="66">
        <f>IF('Smart Search'!D13=1,IFERROR(1/'Smart Search'!H13,0),0)</f>
        <v>0</v>
      </c>
      <c r="AB291" s="66">
        <f>IF('Smart Search'!E13=1,IFERROR(1/'Smart Search'!H13,0),0)</f>
        <v>0</v>
      </c>
      <c r="AC291" s="66">
        <f>IF('Smart Search'!E13=1,IFERROR(1/'Smart Search'!H13,0),0)</f>
        <v>0</v>
      </c>
      <c r="AD291" s="66">
        <f>IF('Smart Search'!F13=1,IFERROR(1/'Smart Search'!H13,0),0)</f>
        <v>0</v>
      </c>
      <c r="AE291" s="66">
        <f>IF('Smart Search'!F13=1,IFERROR(1/'Smart Search'!H13,0),0)</f>
        <v>0</v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>0</v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>0</v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>0</v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>0</v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>0</v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>0</v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>0</v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>0</v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>0</v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>0</v>
      </c>
      <c r="AP291" s="66">
        <f t="shared" si="56"/>
        <v>0</v>
      </c>
      <c r="AQ291" s="66">
        <f t="shared" si="57"/>
        <v>0</v>
      </c>
      <c r="AR291" s="66">
        <f t="shared" si="58"/>
        <v>0</v>
      </c>
      <c r="AS291" s="66">
        <f t="shared" si="59"/>
        <v>0</v>
      </c>
      <c r="AT291" s="66">
        <f t="shared" si="60"/>
        <v>0</v>
      </c>
      <c r="AU291" s="66">
        <f t="shared" si="61"/>
        <v>0</v>
      </c>
      <c r="AV291" s="66">
        <f t="shared" si="62"/>
        <v>0</v>
      </c>
      <c r="AW291" s="66">
        <f t="shared" si="63"/>
        <v>0</v>
      </c>
      <c r="AX291" s="66">
        <f t="shared" si="64"/>
        <v>0</v>
      </c>
      <c r="AY291" s="66">
        <f t="shared" si="65"/>
        <v>0</v>
      </c>
      <c r="AZ291" s="66">
        <f>'Project Database'!Z295</f>
        <v>0</v>
      </c>
      <c r="BA291" s="66">
        <f>IF(OR(A291="",'Smart Search'!H13=0),"",MAX(0,BE291*BF291*MAX(0,1-BG291)))</f>
        <v>0</v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>0</v>
      </c>
      <c r="BC291" s="66">
        <f>IF('Smart Search'!G13=1,IFERROR(1/'Smart Search'!H13,0),0)</f>
        <v>0</v>
      </c>
      <c r="BD291" s="66">
        <f t="shared" si="66"/>
        <v>0</v>
      </c>
      <c r="BE291" s="66">
        <f t="shared" si="67"/>
        <v>0</v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>0</v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>0</v>
      </c>
      <c r="BH291" s="5" t="str">
        <f>IF(AND('Project Database'!A295&lt;&gt;"",OR('Smart Search'!$L$5="",'Smart Search'!$L$5="All",TRIM('Project Database'!D295)=TRIM('Smart Search'!$L$5)),OR(TRIM('Smart Search'!$L$6)="",TRIM('Smart Search'!$L$6)="All",ISNUMBER(SEARCH(SUBSTITUTE(SUBSTITUTE(SUBSTITUTE(TRIM('Smart Search'!$L$6),"~","~~"),"*","~*"),"?","~?"),'Project Database'!C295))),OR('Smart Search'!$L$7="",AND('Project Database'!E295&lt;&gt;"",'Project Database'!E295='Smart Search'!$L$7)),OR('Smart Search'!$L$8="",'Smart Search'!$L$8="All",TRIM('Project Database'!F295)=TRIM('Smart Search'!$L$8))),IF(BA291="","",BA291+ROW()*0.0000000001),"")</f>
        <v/>
      </c>
      <c r="BI291" s="5" t="str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 t="str">
        <f>IF('Project Database'!A295="","",N('Project Database'!AC295))</f>
        <v/>
      </c>
      <c r="BK291" s="5" t="str">
        <f>IF('Project Database'!A295="","",N('Project Database'!AD295))</f>
        <v/>
      </c>
      <c r="BL291" s="5" t="str">
        <f>IF('Project Database'!A295="","",N('Project Database'!AE295))</f>
        <v/>
      </c>
      <c r="BM291" s="5" t="str">
        <f>IF('Project Database'!A295="","",N('Project Database'!AF295))</f>
        <v/>
      </c>
      <c r="BN291" s="5" t="str">
        <f>IF('Project Database'!A295="","",N('Project Database'!AG295))</f>
        <v/>
      </c>
      <c r="BO291" s="5" t="str">
        <f>IF('Project Database'!A295="","",N('Project Database'!AH295))</f>
        <v/>
      </c>
      <c r="BP291" s="5" t="str">
        <f>IF('Project Database'!A295="","",N('Project Database'!AI295))</f>
        <v/>
      </c>
      <c r="BQ291" s="5" t="str">
        <f>IF('Project Database'!A295="","",N('Project Database'!AJ295))</f>
        <v/>
      </c>
      <c r="BR291" s="5" t="str">
        <f>IF('Project Database'!A295="","",N('Project Database'!AK295))</f>
        <v/>
      </c>
      <c r="BS291" s="5" t="str">
        <f>IF('Project Database'!A295="","",N('Project Database'!AL295))</f>
        <v/>
      </c>
      <c r="BT291" s="5" t="str">
        <f>IF('Project Database'!A295="","",N('Project Database'!AM295))</f>
        <v/>
      </c>
      <c r="BU291" s="5" t="str">
        <f>IF('Project Database'!A295="","",N('Project Database'!AN295))</f>
        <v/>
      </c>
      <c r="BV291" s="5" t="str">
        <f>IF('Project Database'!A295="","",N('Project Database'!AO295))</f>
        <v/>
      </c>
      <c r="BW291" s="5" t="str">
        <f>IF('Project Database'!A295="","",N('Project Database'!AP295))</f>
        <v/>
      </c>
      <c r="BX291" s="5">
        <f t="shared" si="68"/>
        <v>0</v>
      </c>
      <c r="BY291" s="5">
        <f t="shared" si="69"/>
        <v>0</v>
      </c>
    </row>
    <row r="292" spans="1:77" ht="15" customHeight="1" x14ac:dyDescent="0.3">
      <c r="A292" s="66">
        <f>'Project Database'!A296</f>
        <v>0</v>
      </c>
      <c r="B292" s="66">
        <f>'Project Database'!B296</f>
        <v>0</v>
      </c>
      <c r="C292" s="66">
        <f>'Project Database'!G296</f>
        <v>0</v>
      </c>
      <c r="D292" s="66">
        <f>'Project Database'!H296</f>
        <v>0</v>
      </c>
      <c r="E292" s="66">
        <f>'Project Database'!I296</f>
        <v>0</v>
      </c>
      <c r="F292" s="66">
        <f>'Project Database'!J296</f>
        <v>0</v>
      </c>
      <c r="G292" s="66">
        <f>'Project Database'!K296</f>
        <v>0</v>
      </c>
      <c r="H292" s="66">
        <f>'Project Database'!L296</f>
        <v>0</v>
      </c>
      <c r="I292" s="66">
        <f>'Project Database'!M296</f>
        <v>0</v>
      </c>
      <c r="J292" s="66">
        <f>'Project Database'!N296</f>
        <v>0</v>
      </c>
      <c r="K292" s="66">
        <f>'Project Database'!O296</f>
        <v>0</v>
      </c>
      <c r="L292" s="66">
        <f>'Project Database'!P296</f>
        <v>0</v>
      </c>
      <c r="M292" s="66">
        <f>'Project Database'!Q296</f>
        <v>0</v>
      </c>
      <c r="N292" s="66">
        <f>'Project Database'!R296</f>
        <v>0</v>
      </c>
      <c r="O292" s="66">
        <f>'Project Database'!S296</f>
        <v>0</v>
      </c>
      <c r="P292" s="66">
        <f>'Project Database'!T296</f>
        <v>0</v>
      </c>
      <c r="Q292" s="66">
        <f>'Project Database'!U296</f>
        <v>0</v>
      </c>
      <c r="R292" s="66">
        <f>'Project Database'!V296</f>
        <v>0</v>
      </c>
      <c r="S292" s="66">
        <f>'Project Database'!W296</f>
        <v>0</v>
      </c>
      <c r="T292" s="66">
        <f>'Project Database'!X296</f>
        <v>0</v>
      </c>
      <c r="U292" s="67">
        <f>'Project Database'!Y296</f>
        <v>0</v>
      </c>
      <c r="V292" s="66">
        <f>IF('Smart Search'!B13=1,IFERROR(1/'Smart Search'!H13,0),0)</f>
        <v>0</v>
      </c>
      <c r="W292" s="66">
        <f>IF('Smart Search'!B13=1,IFERROR(1/'Smart Search'!H13,0),0)</f>
        <v>0</v>
      </c>
      <c r="X292" s="66">
        <f>IF('Smart Search'!C13=1,IFERROR(1/'Smart Search'!H13,0),0)</f>
        <v>0.5</v>
      </c>
      <c r="Y292" s="66">
        <f>IF('Smart Search'!C13=1,IFERROR(1/'Smart Search'!H13,0),0)</f>
        <v>0.5</v>
      </c>
      <c r="Z292" s="66">
        <f>IF('Smart Search'!D13=1,IFERROR(1/'Smart Search'!H13,0),0)</f>
        <v>0</v>
      </c>
      <c r="AA292" s="66">
        <f>IF('Smart Search'!D13=1,IFERROR(1/'Smart Search'!H13,0),0)</f>
        <v>0</v>
      </c>
      <c r="AB292" s="66">
        <f>IF('Smart Search'!E13=1,IFERROR(1/'Smart Search'!H13,0),0)</f>
        <v>0</v>
      </c>
      <c r="AC292" s="66">
        <f>IF('Smart Search'!E13=1,IFERROR(1/'Smart Search'!H13,0),0)</f>
        <v>0</v>
      </c>
      <c r="AD292" s="66">
        <f>IF('Smart Search'!F13=1,IFERROR(1/'Smart Search'!H13,0),0)</f>
        <v>0</v>
      </c>
      <c r="AE292" s="66">
        <f>IF('Smart Search'!F13=1,IFERROR(1/'Smart Search'!H13,0),0)</f>
        <v>0</v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>0</v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>0</v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>0</v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>0</v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>0</v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>0</v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>0</v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>0</v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>0</v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>0</v>
      </c>
      <c r="AP292" s="66">
        <f t="shared" si="56"/>
        <v>0</v>
      </c>
      <c r="AQ292" s="66">
        <f t="shared" si="57"/>
        <v>0</v>
      </c>
      <c r="AR292" s="66">
        <f t="shared" si="58"/>
        <v>0</v>
      </c>
      <c r="AS292" s="66">
        <f t="shared" si="59"/>
        <v>0</v>
      </c>
      <c r="AT292" s="66">
        <f t="shared" si="60"/>
        <v>0</v>
      </c>
      <c r="AU292" s="66">
        <f t="shared" si="61"/>
        <v>0</v>
      </c>
      <c r="AV292" s="66">
        <f t="shared" si="62"/>
        <v>0</v>
      </c>
      <c r="AW292" s="66">
        <f t="shared" si="63"/>
        <v>0</v>
      </c>
      <c r="AX292" s="66">
        <f t="shared" si="64"/>
        <v>0</v>
      </c>
      <c r="AY292" s="66">
        <f t="shared" si="65"/>
        <v>0</v>
      </c>
      <c r="AZ292" s="66">
        <f>'Project Database'!Z296</f>
        <v>0</v>
      </c>
      <c r="BA292" s="66">
        <f>IF(OR(A292="",'Smart Search'!H13=0),"",MAX(0,BE292*BF292*MAX(0,1-BG292)))</f>
        <v>0</v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>0</v>
      </c>
      <c r="BC292" s="66">
        <f>IF('Smart Search'!G13=1,IFERROR(1/'Smart Search'!H13,0),0)</f>
        <v>0</v>
      </c>
      <c r="BD292" s="66">
        <f t="shared" si="66"/>
        <v>0</v>
      </c>
      <c r="BE292" s="66">
        <f t="shared" si="67"/>
        <v>0</v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>0</v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>0</v>
      </c>
      <c r="BH292" s="5" t="str">
        <f>IF(AND('Project Database'!A296&lt;&gt;"",OR('Smart Search'!$L$5="",'Smart Search'!$L$5="All",TRIM('Project Database'!D296)=TRIM('Smart Search'!$L$5)),OR(TRIM('Smart Search'!$L$6)="",TRIM('Smart Search'!$L$6)="All",ISNUMBER(SEARCH(SUBSTITUTE(SUBSTITUTE(SUBSTITUTE(TRIM('Smart Search'!$L$6),"~","~~"),"*","~*"),"?","~?"),'Project Database'!C296))),OR('Smart Search'!$L$7="",AND('Project Database'!E296&lt;&gt;"",'Project Database'!E296='Smart Search'!$L$7)),OR('Smart Search'!$L$8="",'Smart Search'!$L$8="All",TRIM('Project Database'!F296)=TRIM('Smart Search'!$L$8))),IF(BA292="","",BA292+ROW()*0.0000000001),"")</f>
        <v/>
      </c>
      <c r="BI292" s="5" t="str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 t="str">
        <f>IF('Project Database'!A296="","",N('Project Database'!AC296))</f>
        <v/>
      </c>
      <c r="BK292" s="5" t="str">
        <f>IF('Project Database'!A296="","",N('Project Database'!AD296))</f>
        <v/>
      </c>
      <c r="BL292" s="5" t="str">
        <f>IF('Project Database'!A296="","",N('Project Database'!AE296))</f>
        <v/>
      </c>
      <c r="BM292" s="5" t="str">
        <f>IF('Project Database'!A296="","",N('Project Database'!AF296))</f>
        <v/>
      </c>
      <c r="BN292" s="5" t="str">
        <f>IF('Project Database'!A296="","",N('Project Database'!AG296))</f>
        <v/>
      </c>
      <c r="BO292" s="5" t="str">
        <f>IF('Project Database'!A296="","",N('Project Database'!AH296))</f>
        <v/>
      </c>
      <c r="BP292" s="5" t="str">
        <f>IF('Project Database'!A296="","",N('Project Database'!AI296))</f>
        <v/>
      </c>
      <c r="BQ292" s="5" t="str">
        <f>IF('Project Database'!A296="","",N('Project Database'!AJ296))</f>
        <v/>
      </c>
      <c r="BR292" s="5" t="str">
        <f>IF('Project Database'!A296="","",N('Project Database'!AK296))</f>
        <v/>
      </c>
      <c r="BS292" s="5" t="str">
        <f>IF('Project Database'!A296="","",N('Project Database'!AL296))</f>
        <v/>
      </c>
      <c r="BT292" s="5" t="str">
        <f>IF('Project Database'!A296="","",N('Project Database'!AM296))</f>
        <v/>
      </c>
      <c r="BU292" s="5" t="str">
        <f>IF('Project Database'!A296="","",N('Project Database'!AN296))</f>
        <v/>
      </c>
      <c r="BV292" s="5" t="str">
        <f>IF('Project Database'!A296="","",N('Project Database'!AO296))</f>
        <v/>
      </c>
      <c r="BW292" s="5" t="str">
        <f>IF('Project Database'!A296="","",N('Project Database'!AP296))</f>
        <v/>
      </c>
      <c r="BX292" s="5">
        <f t="shared" si="68"/>
        <v>0</v>
      </c>
      <c r="BY292" s="5">
        <f t="shared" si="69"/>
        <v>0</v>
      </c>
    </row>
    <row r="293" spans="1:77" ht="15" customHeight="1" x14ac:dyDescent="0.3">
      <c r="A293" s="66">
        <f>'Project Database'!A297</f>
        <v>0</v>
      </c>
      <c r="B293" s="66">
        <f>'Project Database'!B297</f>
        <v>0</v>
      </c>
      <c r="C293" s="66">
        <f>'Project Database'!G297</f>
        <v>0</v>
      </c>
      <c r="D293" s="66">
        <f>'Project Database'!H297</f>
        <v>0</v>
      </c>
      <c r="E293" s="66">
        <f>'Project Database'!I297</f>
        <v>0</v>
      </c>
      <c r="F293" s="66">
        <f>'Project Database'!J297</f>
        <v>0</v>
      </c>
      <c r="G293" s="66">
        <f>'Project Database'!K297</f>
        <v>0</v>
      </c>
      <c r="H293" s="66">
        <f>'Project Database'!L297</f>
        <v>0</v>
      </c>
      <c r="I293" s="66">
        <f>'Project Database'!M297</f>
        <v>0</v>
      </c>
      <c r="J293" s="66">
        <f>'Project Database'!N297</f>
        <v>0</v>
      </c>
      <c r="K293" s="66">
        <f>'Project Database'!O297</f>
        <v>0</v>
      </c>
      <c r="L293" s="66">
        <f>'Project Database'!P297</f>
        <v>0</v>
      </c>
      <c r="M293" s="66">
        <f>'Project Database'!Q297</f>
        <v>0</v>
      </c>
      <c r="N293" s="66">
        <f>'Project Database'!R297</f>
        <v>0</v>
      </c>
      <c r="O293" s="66">
        <f>'Project Database'!S297</f>
        <v>0</v>
      </c>
      <c r="P293" s="66">
        <f>'Project Database'!T297</f>
        <v>0</v>
      </c>
      <c r="Q293" s="66">
        <f>'Project Database'!U297</f>
        <v>0</v>
      </c>
      <c r="R293" s="66">
        <f>'Project Database'!V297</f>
        <v>0</v>
      </c>
      <c r="S293" s="66">
        <f>'Project Database'!W297</f>
        <v>0</v>
      </c>
      <c r="T293" s="66">
        <f>'Project Database'!X297</f>
        <v>0</v>
      </c>
      <c r="U293" s="67">
        <f>'Project Database'!Y297</f>
        <v>0</v>
      </c>
      <c r="V293" s="66">
        <f>IF('Smart Search'!B13=1,IFERROR(1/'Smart Search'!H13,0),0)</f>
        <v>0</v>
      </c>
      <c r="W293" s="66">
        <f>IF('Smart Search'!B13=1,IFERROR(1/'Smart Search'!H13,0),0)</f>
        <v>0</v>
      </c>
      <c r="X293" s="66">
        <f>IF('Smart Search'!C13=1,IFERROR(1/'Smart Search'!H13,0),0)</f>
        <v>0.5</v>
      </c>
      <c r="Y293" s="66">
        <f>IF('Smart Search'!C13=1,IFERROR(1/'Smart Search'!H13,0),0)</f>
        <v>0.5</v>
      </c>
      <c r="Z293" s="66">
        <f>IF('Smart Search'!D13=1,IFERROR(1/'Smart Search'!H13,0),0)</f>
        <v>0</v>
      </c>
      <c r="AA293" s="66">
        <f>IF('Smart Search'!D13=1,IFERROR(1/'Smart Search'!H13,0),0)</f>
        <v>0</v>
      </c>
      <c r="AB293" s="66">
        <f>IF('Smart Search'!E13=1,IFERROR(1/'Smart Search'!H13,0),0)</f>
        <v>0</v>
      </c>
      <c r="AC293" s="66">
        <f>IF('Smart Search'!E13=1,IFERROR(1/'Smart Search'!H13,0),0)</f>
        <v>0</v>
      </c>
      <c r="AD293" s="66">
        <f>IF('Smart Search'!F13=1,IFERROR(1/'Smart Search'!H13,0),0)</f>
        <v>0</v>
      </c>
      <c r="AE293" s="66">
        <f>IF('Smart Search'!F13=1,IFERROR(1/'Smart Search'!H13,0),0)</f>
        <v>0</v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>0</v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>0</v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>0</v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>0</v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>0</v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>0</v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>0</v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>0</v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>0</v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>0</v>
      </c>
      <c r="AP293" s="66">
        <f t="shared" si="56"/>
        <v>0</v>
      </c>
      <c r="AQ293" s="66">
        <f t="shared" si="57"/>
        <v>0</v>
      </c>
      <c r="AR293" s="66">
        <f t="shared" si="58"/>
        <v>0</v>
      </c>
      <c r="AS293" s="66">
        <f t="shared" si="59"/>
        <v>0</v>
      </c>
      <c r="AT293" s="66">
        <f t="shared" si="60"/>
        <v>0</v>
      </c>
      <c r="AU293" s="66">
        <f t="shared" si="61"/>
        <v>0</v>
      </c>
      <c r="AV293" s="66">
        <f t="shared" si="62"/>
        <v>0</v>
      </c>
      <c r="AW293" s="66">
        <f t="shared" si="63"/>
        <v>0</v>
      </c>
      <c r="AX293" s="66">
        <f t="shared" si="64"/>
        <v>0</v>
      </c>
      <c r="AY293" s="66">
        <f t="shared" si="65"/>
        <v>0</v>
      </c>
      <c r="AZ293" s="66">
        <f>'Project Database'!Z297</f>
        <v>0</v>
      </c>
      <c r="BA293" s="66">
        <f>IF(OR(A293="",'Smart Search'!H13=0),"",MAX(0,BE293*BF293*MAX(0,1-BG293)))</f>
        <v>0</v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>0</v>
      </c>
      <c r="BC293" s="66">
        <f>IF('Smart Search'!G13=1,IFERROR(1/'Smart Search'!H13,0),0)</f>
        <v>0</v>
      </c>
      <c r="BD293" s="66">
        <f t="shared" si="66"/>
        <v>0</v>
      </c>
      <c r="BE293" s="66">
        <f t="shared" si="67"/>
        <v>0</v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>0</v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>0</v>
      </c>
      <c r="BH293" s="5" t="str">
        <f>IF(AND('Project Database'!A297&lt;&gt;"",OR('Smart Search'!$L$5="",'Smart Search'!$L$5="All",TRIM('Project Database'!D297)=TRIM('Smart Search'!$L$5)),OR(TRIM('Smart Search'!$L$6)="",TRIM('Smart Search'!$L$6)="All",ISNUMBER(SEARCH(SUBSTITUTE(SUBSTITUTE(SUBSTITUTE(TRIM('Smart Search'!$L$6),"~","~~"),"*","~*"),"?","~?"),'Project Database'!C297))),OR('Smart Search'!$L$7="",AND('Project Database'!E297&lt;&gt;"",'Project Database'!E297='Smart Search'!$L$7)),OR('Smart Search'!$L$8="",'Smart Search'!$L$8="All",TRIM('Project Database'!F297)=TRIM('Smart Search'!$L$8))),IF(BA293="","",BA293+ROW()*0.0000000001),"")</f>
        <v/>
      </c>
      <c r="BI293" s="5" t="str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 t="str">
        <f>IF('Project Database'!A297="","",N('Project Database'!AC297))</f>
        <v/>
      </c>
      <c r="BK293" s="5" t="str">
        <f>IF('Project Database'!A297="","",N('Project Database'!AD297))</f>
        <v/>
      </c>
      <c r="BL293" s="5" t="str">
        <f>IF('Project Database'!A297="","",N('Project Database'!AE297))</f>
        <v/>
      </c>
      <c r="BM293" s="5" t="str">
        <f>IF('Project Database'!A297="","",N('Project Database'!AF297))</f>
        <v/>
      </c>
      <c r="BN293" s="5" t="str">
        <f>IF('Project Database'!A297="","",N('Project Database'!AG297))</f>
        <v/>
      </c>
      <c r="BO293" s="5" t="str">
        <f>IF('Project Database'!A297="","",N('Project Database'!AH297))</f>
        <v/>
      </c>
      <c r="BP293" s="5" t="str">
        <f>IF('Project Database'!A297="","",N('Project Database'!AI297))</f>
        <v/>
      </c>
      <c r="BQ293" s="5" t="str">
        <f>IF('Project Database'!A297="","",N('Project Database'!AJ297))</f>
        <v/>
      </c>
      <c r="BR293" s="5" t="str">
        <f>IF('Project Database'!A297="","",N('Project Database'!AK297))</f>
        <v/>
      </c>
      <c r="BS293" s="5" t="str">
        <f>IF('Project Database'!A297="","",N('Project Database'!AL297))</f>
        <v/>
      </c>
      <c r="BT293" s="5" t="str">
        <f>IF('Project Database'!A297="","",N('Project Database'!AM297))</f>
        <v/>
      </c>
      <c r="BU293" s="5" t="str">
        <f>IF('Project Database'!A297="","",N('Project Database'!AN297))</f>
        <v/>
      </c>
      <c r="BV293" s="5" t="str">
        <f>IF('Project Database'!A297="","",N('Project Database'!AO297))</f>
        <v/>
      </c>
      <c r="BW293" s="5" t="str">
        <f>IF('Project Database'!A297="","",N('Project Database'!AP297))</f>
        <v/>
      </c>
      <c r="BX293" s="5">
        <f t="shared" si="68"/>
        <v>0</v>
      </c>
      <c r="BY293" s="5">
        <f t="shared" si="69"/>
        <v>0</v>
      </c>
    </row>
    <row r="294" spans="1:77" ht="15" customHeight="1" x14ac:dyDescent="0.3">
      <c r="A294" s="66">
        <f>'Project Database'!A298</f>
        <v>0</v>
      </c>
      <c r="B294" s="66">
        <f>'Project Database'!B298</f>
        <v>0</v>
      </c>
      <c r="C294" s="66">
        <f>'Project Database'!G298</f>
        <v>0</v>
      </c>
      <c r="D294" s="66">
        <f>'Project Database'!H298</f>
        <v>0</v>
      </c>
      <c r="E294" s="66">
        <f>'Project Database'!I298</f>
        <v>0</v>
      </c>
      <c r="F294" s="66">
        <f>'Project Database'!J298</f>
        <v>0</v>
      </c>
      <c r="G294" s="66">
        <f>'Project Database'!K298</f>
        <v>0</v>
      </c>
      <c r="H294" s="66">
        <f>'Project Database'!L298</f>
        <v>0</v>
      </c>
      <c r="I294" s="66">
        <f>'Project Database'!M298</f>
        <v>0</v>
      </c>
      <c r="J294" s="66">
        <f>'Project Database'!N298</f>
        <v>0</v>
      </c>
      <c r="K294" s="66">
        <f>'Project Database'!O298</f>
        <v>0</v>
      </c>
      <c r="L294" s="66">
        <f>'Project Database'!P298</f>
        <v>0</v>
      </c>
      <c r="M294" s="66">
        <f>'Project Database'!Q298</f>
        <v>0</v>
      </c>
      <c r="N294" s="66">
        <f>'Project Database'!R298</f>
        <v>0</v>
      </c>
      <c r="O294" s="66">
        <f>'Project Database'!S298</f>
        <v>0</v>
      </c>
      <c r="P294" s="66">
        <f>'Project Database'!T298</f>
        <v>0</v>
      </c>
      <c r="Q294" s="66">
        <f>'Project Database'!U298</f>
        <v>0</v>
      </c>
      <c r="R294" s="66">
        <f>'Project Database'!V298</f>
        <v>0</v>
      </c>
      <c r="S294" s="66">
        <f>'Project Database'!W298</f>
        <v>0</v>
      </c>
      <c r="T294" s="66">
        <f>'Project Database'!X298</f>
        <v>0</v>
      </c>
      <c r="U294" s="67">
        <f>'Project Database'!Y298</f>
        <v>0</v>
      </c>
      <c r="V294" s="66">
        <f>IF('Smart Search'!B13=1,IFERROR(1/'Smart Search'!H13,0),0)</f>
        <v>0</v>
      </c>
      <c r="W294" s="66">
        <f>IF('Smart Search'!B13=1,IFERROR(1/'Smart Search'!H13,0),0)</f>
        <v>0</v>
      </c>
      <c r="X294" s="66">
        <f>IF('Smart Search'!C13=1,IFERROR(1/'Smart Search'!H13,0),0)</f>
        <v>0.5</v>
      </c>
      <c r="Y294" s="66">
        <f>IF('Smart Search'!C13=1,IFERROR(1/'Smart Search'!H13,0),0)</f>
        <v>0.5</v>
      </c>
      <c r="Z294" s="66">
        <f>IF('Smart Search'!D13=1,IFERROR(1/'Smart Search'!H13,0),0)</f>
        <v>0</v>
      </c>
      <c r="AA294" s="66">
        <f>IF('Smart Search'!D13=1,IFERROR(1/'Smart Search'!H13,0),0)</f>
        <v>0</v>
      </c>
      <c r="AB294" s="66">
        <f>IF('Smart Search'!E13=1,IFERROR(1/'Smart Search'!H13,0),0)</f>
        <v>0</v>
      </c>
      <c r="AC294" s="66">
        <f>IF('Smart Search'!E13=1,IFERROR(1/'Smart Search'!H13,0),0)</f>
        <v>0</v>
      </c>
      <c r="AD294" s="66">
        <f>IF('Smart Search'!F13=1,IFERROR(1/'Smart Search'!H13,0),0)</f>
        <v>0</v>
      </c>
      <c r="AE294" s="66">
        <f>IF('Smart Search'!F13=1,IFERROR(1/'Smart Search'!H13,0),0)</f>
        <v>0</v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>0</v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>0</v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>0</v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>0</v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>0</v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>0</v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>0</v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>0</v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>0</v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>0</v>
      </c>
      <c r="AP294" s="66">
        <f t="shared" si="56"/>
        <v>0</v>
      </c>
      <c r="AQ294" s="66">
        <f t="shared" si="57"/>
        <v>0</v>
      </c>
      <c r="AR294" s="66">
        <f t="shared" si="58"/>
        <v>0</v>
      </c>
      <c r="AS294" s="66">
        <f t="shared" si="59"/>
        <v>0</v>
      </c>
      <c r="AT294" s="66">
        <f t="shared" si="60"/>
        <v>0</v>
      </c>
      <c r="AU294" s="66">
        <f t="shared" si="61"/>
        <v>0</v>
      </c>
      <c r="AV294" s="66">
        <f t="shared" si="62"/>
        <v>0</v>
      </c>
      <c r="AW294" s="66">
        <f t="shared" si="63"/>
        <v>0</v>
      </c>
      <c r="AX294" s="66">
        <f t="shared" si="64"/>
        <v>0</v>
      </c>
      <c r="AY294" s="66">
        <f t="shared" si="65"/>
        <v>0</v>
      </c>
      <c r="AZ294" s="66">
        <f>'Project Database'!Z298</f>
        <v>0</v>
      </c>
      <c r="BA294" s="66">
        <f>IF(OR(A294="",'Smart Search'!H13=0),"",MAX(0,BE294*BF294*MAX(0,1-BG294)))</f>
        <v>0</v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>0</v>
      </c>
      <c r="BC294" s="66">
        <f>IF('Smart Search'!G13=1,IFERROR(1/'Smart Search'!H13,0),0)</f>
        <v>0</v>
      </c>
      <c r="BD294" s="66">
        <f t="shared" si="66"/>
        <v>0</v>
      </c>
      <c r="BE294" s="66">
        <f t="shared" si="67"/>
        <v>0</v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>0</v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>0</v>
      </c>
      <c r="BH294" s="5" t="str">
        <f>IF(AND('Project Database'!A298&lt;&gt;"",OR('Smart Search'!$L$5="",'Smart Search'!$L$5="All",TRIM('Project Database'!D298)=TRIM('Smart Search'!$L$5)),OR(TRIM('Smart Search'!$L$6)="",TRIM('Smart Search'!$L$6)="All",ISNUMBER(SEARCH(SUBSTITUTE(SUBSTITUTE(SUBSTITUTE(TRIM('Smart Search'!$L$6),"~","~~"),"*","~*"),"?","~?"),'Project Database'!C298))),OR('Smart Search'!$L$7="",AND('Project Database'!E298&lt;&gt;"",'Project Database'!E298='Smart Search'!$L$7)),OR('Smart Search'!$L$8="",'Smart Search'!$L$8="All",TRIM('Project Database'!F298)=TRIM('Smart Search'!$L$8))),IF(BA294="","",BA294+ROW()*0.0000000001),"")</f>
        <v/>
      </c>
      <c r="BI294" s="5" t="str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 t="str">
        <f>IF('Project Database'!A298="","",N('Project Database'!AC298))</f>
        <v/>
      </c>
      <c r="BK294" s="5" t="str">
        <f>IF('Project Database'!A298="","",N('Project Database'!AD298))</f>
        <v/>
      </c>
      <c r="BL294" s="5" t="str">
        <f>IF('Project Database'!A298="","",N('Project Database'!AE298))</f>
        <v/>
      </c>
      <c r="BM294" s="5" t="str">
        <f>IF('Project Database'!A298="","",N('Project Database'!AF298))</f>
        <v/>
      </c>
      <c r="BN294" s="5" t="str">
        <f>IF('Project Database'!A298="","",N('Project Database'!AG298))</f>
        <v/>
      </c>
      <c r="BO294" s="5" t="str">
        <f>IF('Project Database'!A298="","",N('Project Database'!AH298))</f>
        <v/>
      </c>
      <c r="BP294" s="5" t="str">
        <f>IF('Project Database'!A298="","",N('Project Database'!AI298))</f>
        <v/>
      </c>
      <c r="BQ294" s="5" t="str">
        <f>IF('Project Database'!A298="","",N('Project Database'!AJ298))</f>
        <v/>
      </c>
      <c r="BR294" s="5" t="str">
        <f>IF('Project Database'!A298="","",N('Project Database'!AK298))</f>
        <v/>
      </c>
      <c r="BS294" s="5" t="str">
        <f>IF('Project Database'!A298="","",N('Project Database'!AL298))</f>
        <v/>
      </c>
      <c r="BT294" s="5" t="str">
        <f>IF('Project Database'!A298="","",N('Project Database'!AM298))</f>
        <v/>
      </c>
      <c r="BU294" s="5" t="str">
        <f>IF('Project Database'!A298="","",N('Project Database'!AN298))</f>
        <v/>
      </c>
      <c r="BV294" s="5" t="str">
        <f>IF('Project Database'!A298="","",N('Project Database'!AO298))</f>
        <v/>
      </c>
      <c r="BW294" s="5" t="str">
        <f>IF('Project Database'!A298="","",N('Project Database'!AP298))</f>
        <v/>
      </c>
      <c r="BX294" s="5">
        <f t="shared" si="68"/>
        <v>0</v>
      </c>
      <c r="BY294" s="5">
        <f t="shared" si="69"/>
        <v>0</v>
      </c>
    </row>
    <row r="295" spans="1:77" ht="15" customHeight="1" x14ac:dyDescent="0.3">
      <c r="A295" s="66">
        <f>'Project Database'!A299</f>
        <v>0</v>
      </c>
      <c r="B295" s="66">
        <f>'Project Database'!B299</f>
        <v>0</v>
      </c>
      <c r="C295" s="66">
        <f>'Project Database'!G299</f>
        <v>0</v>
      </c>
      <c r="D295" s="66">
        <f>'Project Database'!H299</f>
        <v>0</v>
      </c>
      <c r="E295" s="66">
        <f>'Project Database'!I299</f>
        <v>0</v>
      </c>
      <c r="F295" s="66">
        <f>'Project Database'!J299</f>
        <v>0</v>
      </c>
      <c r="G295" s="66">
        <f>'Project Database'!K299</f>
        <v>0</v>
      </c>
      <c r="H295" s="66">
        <f>'Project Database'!L299</f>
        <v>0</v>
      </c>
      <c r="I295" s="66">
        <f>'Project Database'!M299</f>
        <v>0</v>
      </c>
      <c r="J295" s="66">
        <f>'Project Database'!N299</f>
        <v>0</v>
      </c>
      <c r="K295" s="66">
        <f>'Project Database'!O299</f>
        <v>0</v>
      </c>
      <c r="L295" s="66">
        <f>'Project Database'!P299</f>
        <v>0</v>
      </c>
      <c r="M295" s="66">
        <f>'Project Database'!Q299</f>
        <v>0</v>
      </c>
      <c r="N295" s="66">
        <f>'Project Database'!R299</f>
        <v>0</v>
      </c>
      <c r="O295" s="66">
        <f>'Project Database'!S299</f>
        <v>0</v>
      </c>
      <c r="P295" s="66">
        <f>'Project Database'!T299</f>
        <v>0</v>
      </c>
      <c r="Q295" s="66">
        <f>'Project Database'!U299</f>
        <v>0</v>
      </c>
      <c r="R295" s="66">
        <f>'Project Database'!V299</f>
        <v>0</v>
      </c>
      <c r="S295" s="66">
        <f>'Project Database'!W299</f>
        <v>0</v>
      </c>
      <c r="T295" s="66">
        <f>'Project Database'!X299</f>
        <v>0</v>
      </c>
      <c r="U295" s="67">
        <f>'Project Database'!Y299</f>
        <v>0</v>
      </c>
      <c r="V295" s="66">
        <f>IF('Smart Search'!B13=1,IFERROR(1/'Smart Search'!H13,0),0)</f>
        <v>0</v>
      </c>
      <c r="W295" s="66">
        <f>IF('Smart Search'!B13=1,IFERROR(1/'Smart Search'!H13,0),0)</f>
        <v>0</v>
      </c>
      <c r="X295" s="66">
        <f>IF('Smart Search'!C13=1,IFERROR(1/'Smart Search'!H13,0),0)</f>
        <v>0.5</v>
      </c>
      <c r="Y295" s="66">
        <f>IF('Smart Search'!C13=1,IFERROR(1/'Smart Search'!H13,0),0)</f>
        <v>0.5</v>
      </c>
      <c r="Z295" s="66">
        <f>IF('Smart Search'!D13=1,IFERROR(1/'Smart Search'!H13,0),0)</f>
        <v>0</v>
      </c>
      <c r="AA295" s="66">
        <f>IF('Smart Search'!D13=1,IFERROR(1/'Smart Search'!H13,0),0)</f>
        <v>0</v>
      </c>
      <c r="AB295" s="66">
        <f>IF('Smart Search'!E13=1,IFERROR(1/'Smart Search'!H13,0),0)</f>
        <v>0</v>
      </c>
      <c r="AC295" s="66">
        <f>IF('Smart Search'!E13=1,IFERROR(1/'Smart Search'!H13,0),0)</f>
        <v>0</v>
      </c>
      <c r="AD295" s="66">
        <f>IF('Smart Search'!F13=1,IFERROR(1/'Smart Search'!H13,0),0)</f>
        <v>0</v>
      </c>
      <c r="AE295" s="66">
        <f>IF('Smart Search'!F13=1,IFERROR(1/'Smart Search'!H13,0),0)</f>
        <v>0</v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>0</v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>0</v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>0</v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>0</v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>0</v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>0</v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>0</v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>0</v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>0</v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>0</v>
      </c>
      <c r="AP295" s="66">
        <f t="shared" si="56"/>
        <v>0</v>
      </c>
      <c r="AQ295" s="66">
        <f t="shared" si="57"/>
        <v>0</v>
      </c>
      <c r="AR295" s="66">
        <f t="shared" si="58"/>
        <v>0</v>
      </c>
      <c r="AS295" s="66">
        <f t="shared" si="59"/>
        <v>0</v>
      </c>
      <c r="AT295" s="66">
        <f t="shared" si="60"/>
        <v>0</v>
      </c>
      <c r="AU295" s="66">
        <f t="shared" si="61"/>
        <v>0</v>
      </c>
      <c r="AV295" s="66">
        <f t="shared" si="62"/>
        <v>0</v>
      </c>
      <c r="AW295" s="66">
        <f t="shared" si="63"/>
        <v>0</v>
      </c>
      <c r="AX295" s="66">
        <f t="shared" si="64"/>
        <v>0</v>
      </c>
      <c r="AY295" s="66">
        <f t="shared" si="65"/>
        <v>0</v>
      </c>
      <c r="AZ295" s="66">
        <f>'Project Database'!Z299</f>
        <v>0</v>
      </c>
      <c r="BA295" s="66">
        <f>IF(OR(A295="",'Smart Search'!H13=0),"",MAX(0,BE295*BF295*MAX(0,1-BG295)))</f>
        <v>0</v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>0</v>
      </c>
      <c r="BC295" s="66">
        <f>IF('Smart Search'!G13=1,IFERROR(1/'Smart Search'!H13,0),0)</f>
        <v>0</v>
      </c>
      <c r="BD295" s="66">
        <f t="shared" si="66"/>
        <v>0</v>
      </c>
      <c r="BE295" s="66">
        <f t="shared" si="67"/>
        <v>0</v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>0</v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>0</v>
      </c>
      <c r="BH295" s="5" t="str">
        <f>IF(AND('Project Database'!A299&lt;&gt;"",OR('Smart Search'!$L$5="",'Smart Search'!$L$5="All",TRIM('Project Database'!D299)=TRIM('Smart Search'!$L$5)),OR(TRIM('Smart Search'!$L$6)="",TRIM('Smart Search'!$L$6)="All",ISNUMBER(SEARCH(SUBSTITUTE(SUBSTITUTE(SUBSTITUTE(TRIM('Smart Search'!$L$6),"~","~~"),"*","~*"),"?","~?"),'Project Database'!C299))),OR('Smart Search'!$L$7="",AND('Project Database'!E299&lt;&gt;"",'Project Database'!E299='Smart Search'!$L$7)),OR('Smart Search'!$L$8="",'Smart Search'!$L$8="All",TRIM('Project Database'!F299)=TRIM('Smart Search'!$L$8))),IF(BA295="","",BA295+ROW()*0.0000000001),"")</f>
        <v/>
      </c>
      <c r="BI295" s="5" t="str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 t="str">
        <f>IF('Project Database'!A299="","",N('Project Database'!AC299))</f>
        <v/>
      </c>
      <c r="BK295" s="5" t="str">
        <f>IF('Project Database'!A299="","",N('Project Database'!AD299))</f>
        <v/>
      </c>
      <c r="BL295" s="5" t="str">
        <f>IF('Project Database'!A299="","",N('Project Database'!AE299))</f>
        <v/>
      </c>
      <c r="BM295" s="5" t="str">
        <f>IF('Project Database'!A299="","",N('Project Database'!AF299))</f>
        <v/>
      </c>
      <c r="BN295" s="5" t="str">
        <f>IF('Project Database'!A299="","",N('Project Database'!AG299))</f>
        <v/>
      </c>
      <c r="BO295" s="5" t="str">
        <f>IF('Project Database'!A299="","",N('Project Database'!AH299))</f>
        <v/>
      </c>
      <c r="BP295" s="5" t="str">
        <f>IF('Project Database'!A299="","",N('Project Database'!AI299))</f>
        <v/>
      </c>
      <c r="BQ295" s="5" t="str">
        <f>IF('Project Database'!A299="","",N('Project Database'!AJ299))</f>
        <v/>
      </c>
      <c r="BR295" s="5" t="str">
        <f>IF('Project Database'!A299="","",N('Project Database'!AK299))</f>
        <v/>
      </c>
      <c r="BS295" s="5" t="str">
        <f>IF('Project Database'!A299="","",N('Project Database'!AL299))</f>
        <v/>
      </c>
      <c r="BT295" s="5" t="str">
        <f>IF('Project Database'!A299="","",N('Project Database'!AM299))</f>
        <v/>
      </c>
      <c r="BU295" s="5" t="str">
        <f>IF('Project Database'!A299="","",N('Project Database'!AN299))</f>
        <v/>
      </c>
      <c r="BV295" s="5" t="str">
        <f>IF('Project Database'!A299="","",N('Project Database'!AO299))</f>
        <v/>
      </c>
      <c r="BW295" s="5" t="str">
        <f>IF('Project Database'!A299="","",N('Project Database'!AP299))</f>
        <v/>
      </c>
      <c r="BX295" s="5">
        <f t="shared" si="68"/>
        <v>0</v>
      </c>
      <c r="BY295" s="5">
        <f t="shared" si="69"/>
        <v>0</v>
      </c>
    </row>
    <row r="296" spans="1:77" ht="15" customHeight="1" x14ac:dyDescent="0.3">
      <c r="A296" s="66">
        <f>'Project Database'!A300</f>
        <v>0</v>
      </c>
      <c r="B296" s="66">
        <f>'Project Database'!B300</f>
        <v>0</v>
      </c>
      <c r="C296" s="66">
        <f>'Project Database'!G300</f>
        <v>0</v>
      </c>
      <c r="D296" s="66">
        <f>'Project Database'!H300</f>
        <v>0</v>
      </c>
      <c r="E296" s="66">
        <f>'Project Database'!I300</f>
        <v>0</v>
      </c>
      <c r="F296" s="66">
        <f>'Project Database'!J300</f>
        <v>0</v>
      </c>
      <c r="G296" s="66">
        <f>'Project Database'!K300</f>
        <v>0</v>
      </c>
      <c r="H296" s="66">
        <f>'Project Database'!L300</f>
        <v>0</v>
      </c>
      <c r="I296" s="66">
        <f>'Project Database'!M300</f>
        <v>0</v>
      </c>
      <c r="J296" s="66">
        <f>'Project Database'!N300</f>
        <v>0</v>
      </c>
      <c r="K296" s="66">
        <f>'Project Database'!O300</f>
        <v>0</v>
      </c>
      <c r="L296" s="66">
        <f>'Project Database'!P300</f>
        <v>0</v>
      </c>
      <c r="M296" s="66">
        <f>'Project Database'!Q300</f>
        <v>0</v>
      </c>
      <c r="N296" s="66">
        <f>'Project Database'!R300</f>
        <v>0</v>
      </c>
      <c r="O296" s="66">
        <f>'Project Database'!S300</f>
        <v>0</v>
      </c>
      <c r="P296" s="66">
        <f>'Project Database'!T300</f>
        <v>0</v>
      </c>
      <c r="Q296" s="66">
        <f>'Project Database'!U300</f>
        <v>0</v>
      </c>
      <c r="R296" s="66">
        <f>'Project Database'!V300</f>
        <v>0</v>
      </c>
      <c r="S296" s="66">
        <f>'Project Database'!W300</f>
        <v>0</v>
      </c>
      <c r="T296" s="66">
        <f>'Project Database'!X300</f>
        <v>0</v>
      </c>
      <c r="U296" s="67">
        <f>'Project Database'!Y300</f>
        <v>0</v>
      </c>
      <c r="V296" s="66">
        <f>IF('Smart Search'!B13=1,IFERROR(1/'Smart Search'!H13,0),0)</f>
        <v>0</v>
      </c>
      <c r="W296" s="66">
        <f>IF('Smart Search'!B13=1,IFERROR(1/'Smart Search'!H13,0),0)</f>
        <v>0</v>
      </c>
      <c r="X296" s="66">
        <f>IF('Smart Search'!C13=1,IFERROR(1/'Smart Search'!H13,0),0)</f>
        <v>0.5</v>
      </c>
      <c r="Y296" s="66">
        <f>IF('Smart Search'!C13=1,IFERROR(1/'Smart Search'!H13,0),0)</f>
        <v>0.5</v>
      </c>
      <c r="Z296" s="66">
        <f>IF('Smart Search'!D13=1,IFERROR(1/'Smart Search'!H13,0),0)</f>
        <v>0</v>
      </c>
      <c r="AA296" s="66">
        <f>IF('Smart Search'!D13=1,IFERROR(1/'Smart Search'!H13,0),0)</f>
        <v>0</v>
      </c>
      <c r="AB296" s="66">
        <f>IF('Smart Search'!E13=1,IFERROR(1/'Smart Search'!H13,0),0)</f>
        <v>0</v>
      </c>
      <c r="AC296" s="66">
        <f>IF('Smart Search'!E13=1,IFERROR(1/'Smart Search'!H13,0),0)</f>
        <v>0</v>
      </c>
      <c r="AD296" s="66">
        <f>IF('Smart Search'!F13=1,IFERROR(1/'Smart Search'!H13,0),0)</f>
        <v>0</v>
      </c>
      <c r="AE296" s="66">
        <f>IF('Smart Search'!F13=1,IFERROR(1/'Smart Search'!H13,0),0)</f>
        <v>0</v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>0</v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>0</v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>0</v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>0</v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>0</v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>0</v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>0</v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>0</v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>0</v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>0</v>
      </c>
      <c r="AP296" s="66">
        <f t="shared" si="56"/>
        <v>0</v>
      </c>
      <c r="AQ296" s="66">
        <f t="shared" si="57"/>
        <v>0</v>
      </c>
      <c r="AR296" s="66">
        <f t="shared" si="58"/>
        <v>0</v>
      </c>
      <c r="AS296" s="66">
        <f t="shared" si="59"/>
        <v>0</v>
      </c>
      <c r="AT296" s="66">
        <f t="shared" si="60"/>
        <v>0</v>
      </c>
      <c r="AU296" s="66">
        <f t="shared" si="61"/>
        <v>0</v>
      </c>
      <c r="AV296" s="66">
        <f t="shared" si="62"/>
        <v>0</v>
      </c>
      <c r="AW296" s="66">
        <f t="shared" si="63"/>
        <v>0</v>
      </c>
      <c r="AX296" s="66">
        <f t="shared" si="64"/>
        <v>0</v>
      </c>
      <c r="AY296" s="66">
        <f t="shared" si="65"/>
        <v>0</v>
      </c>
      <c r="AZ296" s="66">
        <f>'Project Database'!Z300</f>
        <v>0</v>
      </c>
      <c r="BA296" s="66">
        <f>IF(OR(A296="",'Smart Search'!H13=0),"",MAX(0,BE296*BF296*MAX(0,1-BG296)))</f>
        <v>0</v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>0</v>
      </c>
      <c r="BC296" s="66">
        <f>IF('Smart Search'!G13=1,IFERROR(1/'Smart Search'!H13,0),0)</f>
        <v>0</v>
      </c>
      <c r="BD296" s="66">
        <f t="shared" si="66"/>
        <v>0</v>
      </c>
      <c r="BE296" s="66">
        <f t="shared" si="67"/>
        <v>0</v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>0</v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>0</v>
      </c>
      <c r="BH296" s="5" t="str">
        <f>IF(AND('Project Database'!A300&lt;&gt;"",OR('Smart Search'!$L$5="",'Smart Search'!$L$5="All",TRIM('Project Database'!D300)=TRIM('Smart Search'!$L$5)),OR(TRIM('Smart Search'!$L$6)="",TRIM('Smart Search'!$L$6)="All",ISNUMBER(SEARCH(SUBSTITUTE(SUBSTITUTE(SUBSTITUTE(TRIM('Smart Search'!$L$6),"~","~~"),"*","~*"),"?","~?"),'Project Database'!C300))),OR('Smart Search'!$L$7="",AND('Project Database'!E300&lt;&gt;"",'Project Database'!E300='Smart Search'!$L$7)),OR('Smart Search'!$L$8="",'Smart Search'!$L$8="All",TRIM('Project Database'!F300)=TRIM('Smart Search'!$L$8))),IF(BA296="","",BA296+ROW()*0.0000000001),"")</f>
        <v/>
      </c>
      <c r="BI296" s="5" t="str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 t="str">
        <f>IF('Project Database'!A300="","",N('Project Database'!AC300))</f>
        <v/>
      </c>
      <c r="BK296" s="5" t="str">
        <f>IF('Project Database'!A300="","",N('Project Database'!AD300))</f>
        <v/>
      </c>
      <c r="BL296" s="5" t="str">
        <f>IF('Project Database'!A300="","",N('Project Database'!AE300))</f>
        <v/>
      </c>
      <c r="BM296" s="5" t="str">
        <f>IF('Project Database'!A300="","",N('Project Database'!AF300))</f>
        <v/>
      </c>
      <c r="BN296" s="5" t="str">
        <f>IF('Project Database'!A300="","",N('Project Database'!AG300))</f>
        <v/>
      </c>
      <c r="BO296" s="5" t="str">
        <f>IF('Project Database'!A300="","",N('Project Database'!AH300))</f>
        <v/>
      </c>
      <c r="BP296" s="5" t="str">
        <f>IF('Project Database'!A300="","",N('Project Database'!AI300))</f>
        <v/>
      </c>
      <c r="BQ296" s="5" t="str">
        <f>IF('Project Database'!A300="","",N('Project Database'!AJ300))</f>
        <v/>
      </c>
      <c r="BR296" s="5" t="str">
        <f>IF('Project Database'!A300="","",N('Project Database'!AK300))</f>
        <v/>
      </c>
      <c r="BS296" s="5" t="str">
        <f>IF('Project Database'!A300="","",N('Project Database'!AL300))</f>
        <v/>
      </c>
      <c r="BT296" s="5" t="str">
        <f>IF('Project Database'!A300="","",N('Project Database'!AM300))</f>
        <v/>
      </c>
      <c r="BU296" s="5" t="str">
        <f>IF('Project Database'!A300="","",N('Project Database'!AN300))</f>
        <v/>
      </c>
      <c r="BV296" s="5" t="str">
        <f>IF('Project Database'!A300="","",N('Project Database'!AO300))</f>
        <v/>
      </c>
      <c r="BW296" s="5" t="str">
        <f>IF('Project Database'!A300="","",N('Project Database'!AP300))</f>
        <v/>
      </c>
      <c r="BX296" s="5">
        <f t="shared" si="68"/>
        <v>0</v>
      </c>
      <c r="BY296" s="5">
        <f t="shared" si="69"/>
        <v>0</v>
      </c>
    </row>
    <row r="297" spans="1:77" ht="15" customHeight="1" x14ac:dyDescent="0.3">
      <c r="A297" s="66">
        <f>'Project Database'!A301</f>
        <v>0</v>
      </c>
      <c r="B297" s="66">
        <f>'Project Database'!B301</f>
        <v>0</v>
      </c>
      <c r="C297" s="66">
        <f>'Project Database'!G301</f>
        <v>0</v>
      </c>
      <c r="D297" s="66">
        <f>'Project Database'!H301</f>
        <v>0</v>
      </c>
      <c r="E297" s="66">
        <f>'Project Database'!I301</f>
        <v>0</v>
      </c>
      <c r="F297" s="66">
        <f>'Project Database'!J301</f>
        <v>0</v>
      </c>
      <c r="G297" s="66">
        <f>'Project Database'!K301</f>
        <v>0</v>
      </c>
      <c r="H297" s="66">
        <f>'Project Database'!L301</f>
        <v>0</v>
      </c>
      <c r="I297" s="66">
        <f>'Project Database'!M301</f>
        <v>0</v>
      </c>
      <c r="J297" s="66">
        <f>'Project Database'!N301</f>
        <v>0</v>
      </c>
      <c r="K297" s="66">
        <f>'Project Database'!O301</f>
        <v>0</v>
      </c>
      <c r="L297" s="66">
        <f>'Project Database'!P301</f>
        <v>0</v>
      </c>
      <c r="M297" s="66">
        <f>'Project Database'!Q301</f>
        <v>0</v>
      </c>
      <c r="N297" s="66">
        <f>'Project Database'!R301</f>
        <v>0</v>
      </c>
      <c r="O297" s="66">
        <f>'Project Database'!S301</f>
        <v>0</v>
      </c>
      <c r="P297" s="66">
        <f>'Project Database'!T301</f>
        <v>0</v>
      </c>
      <c r="Q297" s="66">
        <f>'Project Database'!U301</f>
        <v>0</v>
      </c>
      <c r="R297" s="66">
        <f>'Project Database'!V301</f>
        <v>0</v>
      </c>
      <c r="S297" s="66">
        <f>'Project Database'!W301</f>
        <v>0</v>
      </c>
      <c r="T297" s="66">
        <f>'Project Database'!X301</f>
        <v>0</v>
      </c>
      <c r="U297" s="67">
        <f>'Project Database'!Y301</f>
        <v>0</v>
      </c>
      <c r="V297" s="66">
        <f>IF('Smart Search'!B13=1,IFERROR(1/'Smart Search'!H13,0),0)</f>
        <v>0</v>
      </c>
      <c r="W297" s="66">
        <f>IF('Smart Search'!B13=1,IFERROR(1/'Smart Search'!H13,0),0)</f>
        <v>0</v>
      </c>
      <c r="X297" s="66">
        <f>IF('Smart Search'!C13=1,IFERROR(1/'Smart Search'!H13,0),0)</f>
        <v>0.5</v>
      </c>
      <c r="Y297" s="66">
        <f>IF('Smart Search'!C13=1,IFERROR(1/'Smart Search'!H13,0),0)</f>
        <v>0.5</v>
      </c>
      <c r="Z297" s="66">
        <f>IF('Smart Search'!D13=1,IFERROR(1/'Smart Search'!H13,0),0)</f>
        <v>0</v>
      </c>
      <c r="AA297" s="66">
        <f>IF('Smart Search'!D13=1,IFERROR(1/'Smart Search'!H13,0),0)</f>
        <v>0</v>
      </c>
      <c r="AB297" s="66">
        <f>IF('Smart Search'!E13=1,IFERROR(1/'Smart Search'!H13,0),0)</f>
        <v>0</v>
      </c>
      <c r="AC297" s="66">
        <f>IF('Smart Search'!E13=1,IFERROR(1/'Smart Search'!H13,0),0)</f>
        <v>0</v>
      </c>
      <c r="AD297" s="66">
        <f>IF('Smart Search'!F13=1,IFERROR(1/'Smart Search'!H13,0),0)</f>
        <v>0</v>
      </c>
      <c r="AE297" s="66">
        <f>IF('Smart Search'!F13=1,IFERROR(1/'Smart Search'!H13,0),0)</f>
        <v>0</v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>0</v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>0</v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>0</v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>0</v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>0</v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>0</v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>0</v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>0</v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>0</v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>0</v>
      </c>
      <c r="AP297" s="66">
        <f t="shared" si="56"/>
        <v>0</v>
      </c>
      <c r="AQ297" s="66">
        <f t="shared" si="57"/>
        <v>0</v>
      </c>
      <c r="AR297" s="66">
        <f t="shared" si="58"/>
        <v>0</v>
      </c>
      <c r="AS297" s="66">
        <f t="shared" si="59"/>
        <v>0</v>
      </c>
      <c r="AT297" s="66">
        <f t="shared" si="60"/>
        <v>0</v>
      </c>
      <c r="AU297" s="66">
        <f t="shared" si="61"/>
        <v>0</v>
      </c>
      <c r="AV297" s="66">
        <f t="shared" si="62"/>
        <v>0</v>
      </c>
      <c r="AW297" s="66">
        <f t="shared" si="63"/>
        <v>0</v>
      </c>
      <c r="AX297" s="66">
        <f t="shared" si="64"/>
        <v>0</v>
      </c>
      <c r="AY297" s="66">
        <f t="shared" si="65"/>
        <v>0</v>
      </c>
      <c r="AZ297" s="66">
        <f>'Project Database'!Z301</f>
        <v>0</v>
      </c>
      <c r="BA297" s="66">
        <f>IF(OR(A297="",'Smart Search'!H13=0),"",MAX(0,BE297*BF297*MAX(0,1-BG297)))</f>
        <v>0</v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>0</v>
      </c>
      <c r="BC297" s="66">
        <f>IF('Smart Search'!G13=1,IFERROR(1/'Smart Search'!H13,0),0)</f>
        <v>0</v>
      </c>
      <c r="BD297" s="66">
        <f t="shared" si="66"/>
        <v>0</v>
      </c>
      <c r="BE297" s="66">
        <f t="shared" si="67"/>
        <v>0</v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>0</v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>0</v>
      </c>
      <c r="BH297" s="5" t="str">
        <f>IF(AND('Project Database'!A301&lt;&gt;"",OR('Smart Search'!$L$5="",'Smart Search'!$L$5="All",TRIM('Project Database'!D301)=TRIM('Smart Search'!$L$5)),OR(TRIM('Smart Search'!$L$6)="",TRIM('Smart Search'!$L$6)="All",ISNUMBER(SEARCH(SUBSTITUTE(SUBSTITUTE(SUBSTITUTE(TRIM('Smart Search'!$L$6),"~","~~"),"*","~*"),"?","~?"),'Project Database'!C301))),OR('Smart Search'!$L$7="",AND('Project Database'!E301&lt;&gt;"",'Project Database'!E301='Smart Search'!$L$7)),OR('Smart Search'!$L$8="",'Smart Search'!$L$8="All",TRIM('Project Database'!F301)=TRIM('Smart Search'!$L$8))),IF(BA297="","",BA297+ROW()*0.0000000001),"")</f>
        <v/>
      </c>
      <c r="BI297" s="5" t="str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 t="str">
        <f>IF('Project Database'!A301="","",N('Project Database'!AC301))</f>
        <v/>
      </c>
      <c r="BK297" s="5" t="str">
        <f>IF('Project Database'!A301="","",N('Project Database'!AD301))</f>
        <v/>
      </c>
      <c r="BL297" s="5" t="str">
        <f>IF('Project Database'!A301="","",N('Project Database'!AE301))</f>
        <v/>
      </c>
      <c r="BM297" s="5" t="str">
        <f>IF('Project Database'!A301="","",N('Project Database'!AF301))</f>
        <v/>
      </c>
      <c r="BN297" s="5" t="str">
        <f>IF('Project Database'!A301="","",N('Project Database'!AG301))</f>
        <v/>
      </c>
      <c r="BO297" s="5" t="str">
        <f>IF('Project Database'!A301="","",N('Project Database'!AH301))</f>
        <v/>
      </c>
      <c r="BP297" s="5" t="str">
        <f>IF('Project Database'!A301="","",N('Project Database'!AI301))</f>
        <v/>
      </c>
      <c r="BQ297" s="5" t="str">
        <f>IF('Project Database'!A301="","",N('Project Database'!AJ301))</f>
        <v/>
      </c>
      <c r="BR297" s="5" t="str">
        <f>IF('Project Database'!A301="","",N('Project Database'!AK301))</f>
        <v/>
      </c>
      <c r="BS297" s="5" t="str">
        <f>IF('Project Database'!A301="","",N('Project Database'!AL301))</f>
        <v/>
      </c>
      <c r="BT297" s="5" t="str">
        <f>IF('Project Database'!A301="","",N('Project Database'!AM301))</f>
        <v/>
      </c>
      <c r="BU297" s="5" t="str">
        <f>IF('Project Database'!A301="","",N('Project Database'!AN301))</f>
        <v/>
      </c>
      <c r="BV297" s="5" t="str">
        <f>IF('Project Database'!A301="","",N('Project Database'!AO301))</f>
        <v/>
      </c>
      <c r="BW297" s="5" t="str">
        <f>IF('Project Database'!A301="","",N('Project Database'!AP301))</f>
        <v/>
      </c>
      <c r="BX297" s="5">
        <f t="shared" si="68"/>
        <v>0</v>
      </c>
      <c r="BY297" s="5">
        <f t="shared" si="69"/>
        <v>0</v>
      </c>
    </row>
    <row r="298" spans="1:77" ht="15" customHeight="1" x14ac:dyDescent="0.3">
      <c r="A298" s="66">
        <f>'Project Database'!A302</f>
        <v>0</v>
      </c>
      <c r="B298" s="66">
        <f>'Project Database'!B302</f>
        <v>0</v>
      </c>
      <c r="C298" s="66">
        <f>'Project Database'!G302</f>
        <v>0</v>
      </c>
      <c r="D298" s="66">
        <f>'Project Database'!H302</f>
        <v>0</v>
      </c>
      <c r="E298" s="66">
        <f>'Project Database'!I302</f>
        <v>0</v>
      </c>
      <c r="F298" s="66">
        <f>'Project Database'!J302</f>
        <v>0</v>
      </c>
      <c r="G298" s="66">
        <f>'Project Database'!K302</f>
        <v>0</v>
      </c>
      <c r="H298" s="66">
        <f>'Project Database'!L302</f>
        <v>0</v>
      </c>
      <c r="I298" s="66">
        <f>'Project Database'!M302</f>
        <v>0</v>
      </c>
      <c r="J298" s="66">
        <f>'Project Database'!N302</f>
        <v>0</v>
      </c>
      <c r="K298" s="66">
        <f>'Project Database'!O302</f>
        <v>0</v>
      </c>
      <c r="L298" s="66">
        <f>'Project Database'!P302</f>
        <v>0</v>
      </c>
      <c r="M298" s="66">
        <f>'Project Database'!Q302</f>
        <v>0</v>
      </c>
      <c r="N298" s="66">
        <f>'Project Database'!R302</f>
        <v>0</v>
      </c>
      <c r="O298" s="66">
        <f>'Project Database'!S302</f>
        <v>0</v>
      </c>
      <c r="P298" s="66">
        <f>'Project Database'!T302</f>
        <v>0</v>
      </c>
      <c r="Q298" s="66">
        <f>'Project Database'!U302</f>
        <v>0</v>
      </c>
      <c r="R298" s="66">
        <f>'Project Database'!V302</f>
        <v>0</v>
      </c>
      <c r="S298" s="66">
        <f>'Project Database'!W302</f>
        <v>0</v>
      </c>
      <c r="T298" s="66">
        <f>'Project Database'!X302</f>
        <v>0</v>
      </c>
      <c r="U298" s="67">
        <f>'Project Database'!Y302</f>
        <v>0</v>
      </c>
      <c r="V298" s="66">
        <f>IF('Smart Search'!B13=1,IFERROR(1/'Smart Search'!H13,0),0)</f>
        <v>0</v>
      </c>
      <c r="W298" s="66">
        <f>IF('Smart Search'!B13=1,IFERROR(1/'Smart Search'!H13,0),0)</f>
        <v>0</v>
      </c>
      <c r="X298" s="66">
        <f>IF('Smart Search'!C13=1,IFERROR(1/'Smart Search'!H13,0),0)</f>
        <v>0.5</v>
      </c>
      <c r="Y298" s="66">
        <f>IF('Smart Search'!C13=1,IFERROR(1/'Smart Search'!H13,0),0)</f>
        <v>0.5</v>
      </c>
      <c r="Z298" s="66">
        <f>IF('Smart Search'!D13=1,IFERROR(1/'Smart Search'!H13,0),0)</f>
        <v>0</v>
      </c>
      <c r="AA298" s="66">
        <f>IF('Smart Search'!D13=1,IFERROR(1/'Smart Search'!H13,0),0)</f>
        <v>0</v>
      </c>
      <c r="AB298" s="66">
        <f>IF('Smart Search'!E13=1,IFERROR(1/'Smart Search'!H13,0),0)</f>
        <v>0</v>
      </c>
      <c r="AC298" s="66">
        <f>IF('Smart Search'!E13=1,IFERROR(1/'Smart Search'!H13,0),0)</f>
        <v>0</v>
      </c>
      <c r="AD298" s="66">
        <f>IF('Smart Search'!F13=1,IFERROR(1/'Smart Search'!H13,0),0)</f>
        <v>0</v>
      </c>
      <c r="AE298" s="66">
        <f>IF('Smart Search'!F13=1,IFERROR(1/'Smart Search'!H13,0),0)</f>
        <v>0</v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>0</v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>0</v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>0</v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>0</v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>0</v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>0</v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>0</v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>0</v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>0</v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>0</v>
      </c>
      <c r="AP298" s="66">
        <f t="shared" si="56"/>
        <v>0</v>
      </c>
      <c r="AQ298" s="66">
        <f t="shared" si="57"/>
        <v>0</v>
      </c>
      <c r="AR298" s="66">
        <f t="shared" si="58"/>
        <v>0</v>
      </c>
      <c r="AS298" s="66">
        <f t="shared" si="59"/>
        <v>0</v>
      </c>
      <c r="AT298" s="66">
        <f t="shared" si="60"/>
        <v>0</v>
      </c>
      <c r="AU298" s="66">
        <f t="shared" si="61"/>
        <v>0</v>
      </c>
      <c r="AV298" s="66">
        <f t="shared" si="62"/>
        <v>0</v>
      </c>
      <c r="AW298" s="66">
        <f t="shared" si="63"/>
        <v>0</v>
      </c>
      <c r="AX298" s="66">
        <f t="shared" si="64"/>
        <v>0</v>
      </c>
      <c r="AY298" s="66">
        <f t="shared" si="65"/>
        <v>0</v>
      </c>
      <c r="AZ298" s="66">
        <f>'Project Database'!Z302</f>
        <v>0</v>
      </c>
      <c r="BA298" s="66">
        <f>IF(OR(A298="",'Smart Search'!H13=0),"",MAX(0,BE298*BF298*MAX(0,1-BG298)))</f>
        <v>0</v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>0</v>
      </c>
      <c r="BC298" s="66">
        <f>IF('Smart Search'!G13=1,IFERROR(1/'Smart Search'!H13,0),0)</f>
        <v>0</v>
      </c>
      <c r="BD298" s="66">
        <f t="shared" si="66"/>
        <v>0</v>
      </c>
      <c r="BE298" s="66">
        <f t="shared" si="67"/>
        <v>0</v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>0</v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>0</v>
      </c>
      <c r="BH298" s="5" t="str">
        <f>IF(AND('Project Database'!A302&lt;&gt;"",OR('Smart Search'!$L$5="",'Smart Search'!$L$5="All",TRIM('Project Database'!D302)=TRIM('Smart Search'!$L$5)),OR(TRIM('Smart Search'!$L$6)="",TRIM('Smart Search'!$L$6)="All",ISNUMBER(SEARCH(SUBSTITUTE(SUBSTITUTE(SUBSTITUTE(TRIM('Smart Search'!$L$6),"~","~~"),"*","~*"),"?","~?"),'Project Database'!C302))),OR('Smart Search'!$L$7="",AND('Project Database'!E302&lt;&gt;"",'Project Database'!E302='Smart Search'!$L$7)),OR('Smart Search'!$L$8="",'Smart Search'!$L$8="All",TRIM('Project Database'!F302)=TRIM('Smart Search'!$L$8))),IF(BA298="","",BA298+ROW()*0.0000000001),"")</f>
        <v/>
      </c>
      <c r="BI298" s="5" t="str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 t="str">
        <f>IF('Project Database'!A302="","",N('Project Database'!AC302))</f>
        <v/>
      </c>
      <c r="BK298" s="5" t="str">
        <f>IF('Project Database'!A302="","",N('Project Database'!AD302))</f>
        <v/>
      </c>
      <c r="BL298" s="5" t="str">
        <f>IF('Project Database'!A302="","",N('Project Database'!AE302))</f>
        <v/>
      </c>
      <c r="BM298" s="5" t="str">
        <f>IF('Project Database'!A302="","",N('Project Database'!AF302))</f>
        <v/>
      </c>
      <c r="BN298" s="5" t="str">
        <f>IF('Project Database'!A302="","",N('Project Database'!AG302))</f>
        <v/>
      </c>
      <c r="BO298" s="5" t="str">
        <f>IF('Project Database'!A302="","",N('Project Database'!AH302))</f>
        <v/>
      </c>
      <c r="BP298" s="5" t="str">
        <f>IF('Project Database'!A302="","",N('Project Database'!AI302))</f>
        <v/>
      </c>
      <c r="BQ298" s="5" t="str">
        <f>IF('Project Database'!A302="","",N('Project Database'!AJ302))</f>
        <v/>
      </c>
      <c r="BR298" s="5" t="str">
        <f>IF('Project Database'!A302="","",N('Project Database'!AK302))</f>
        <v/>
      </c>
      <c r="BS298" s="5" t="str">
        <f>IF('Project Database'!A302="","",N('Project Database'!AL302))</f>
        <v/>
      </c>
      <c r="BT298" s="5" t="str">
        <f>IF('Project Database'!A302="","",N('Project Database'!AM302))</f>
        <v/>
      </c>
      <c r="BU298" s="5" t="str">
        <f>IF('Project Database'!A302="","",N('Project Database'!AN302))</f>
        <v/>
      </c>
      <c r="BV298" s="5" t="str">
        <f>IF('Project Database'!A302="","",N('Project Database'!AO302))</f>
        <v/>
      </c>
      <c r="BW298" s="5" t="str">
        <f>IF('Project Database'!A302="","",N('Project Database'!AP302))</f>
        <v/>
      </c>
      <c r="BX298" s="5">
        <f t="shared" si="68"/>
        <v>0</v>
      </c>
      <c r="BY298" s="5">
        <f t="shared" si="69"/>
        <v>0</v>
      </c>
    </row>
    <row r="299" spans="1:77" ht="15" customHeight="1" x14ac:dyDescent="0.3">
      <c r="A299" s="66">
        <f>'Project Database'!A303</f>
        <v>0</v>
      </c>
      <c r="B299" s="66">
        <f>'Project Database'!B303</f>
        <v>0</v>
      </c>
      <c r="C299" s="66">
        <f>'Project Database'!G303</f>
        <v>0</v>
      </c>
      <c r="D299" s="66">
        <f>'Project Database'!H303</f>
        <v>0</v>
      </c>
      <c r="E299" s="66">
        <f>'Project Database'!I303</f>
        <v>0</v>
      </c>
      <c r="F299" s="66">
        <f>'Project Database'!J303</f>
        <v>0</v>
      </c>
      <c r="G299" s="66">
        <f>'Project Database'!K303</f>
        <v>0</v>
      </c>
      <c r="H299" s="66">
        <f>'Project Database'!L303</f>
        <v>0</v>
      </c>
      <c r="I299" s="66">
        <f>'Project Database'!M303</f>
        <v>0</v>
      </c>
      <c r="J299" s="66">
        <f>'Project Database'!N303</f>
        <v>0</v>
      </c>
      <c r="K299" s="66">
        <f>'Project Database'!O303</f>
        <v>0</v>
      </c>
      <c r="L299" s="66">
        <f>'Project Database'!P303</f>
        <v>0</v>
      </c>
      <c r="M299" s="66">
        <f>'Project Database'!Q303</f>
        <v>0</v>
      </c>
      <c r="N299" s="66">
        <f>'Project Database'!R303</f>
        <v>0</v>
      </c>
      <c r="O299" s="66">
        <f>'Project Database'!S303</f>
        <v>0</v>
      </c>
      <c r="P299" s="66">
        <f>'Project Database'!T303</f>
        <v>0</v>
      </c>
      <c r="Q299" s="66">
        <f>'Project Database'!U303</f>
        <v>0</v>
      </c>
      <c r="R299" s="66">
        <f>'Project Database'!V303</f>
        <v>0</v>
      </c>
      <c r="S299" s="66">
        <f>'Project Database'!W303</f>
        <v>0</v>
      </c>
      <c r="T299" s="66">
        <f>'Project Database'!X303</f>
        <v>0</v>
      </c>
      <c r="U299" s="67">
        <f>'Project Database'!Y303</f>
        <v>0</v>
      </c>
      <c r="V299" s="66">
        <f>IF('Smart Search'!B13=1,IFERROR(1/'Smart Search'!H13,0),0)</f>
        <v>0</v>
      </c>
      <c r="W299" s="66">
        <f>IF('Smart Search'!B13=1,IFERROR(1/'Smart Search'!H13,0),0)</f>
        <v>0</v>
      </c>
      <c r="X299" s="66">
        <f>IF('Smart Search'!C13=1,IFERROR(1/'Smart Search'!H13,0),0)</f>
        <v>0.5</v>
      </c>
      <c r="Y299" s="66">
        <f>IF('Smart Search'!C13=1,IFERROR(1/'Smart Search'!H13,0),0)</f>
        <v>0.5</v>
      </c>
      <c r="Z299" s="66">
        <f>IF('Smart Search'!D13=1,IFERROR(1/'Smart Search'!H13,0),0)</f>
        <v>0</v>
      </c>
      <c r="AA299" s="66">
        <f>IF('Smart Search'!D13=1,IFERROR(1/'Smart Search'!H13,0),0)</f>
        <v>0</v>
      </c>
      <c r="AB299" s="66">
        <f>IF('Smart Search'!E13=1,IFERROR(1/'Smart Search'!H13,0),0)</f>
        <v>0</v>
      </c>
      <c r="AC299" s="66">
        <f>IF('Smart Search'!E13=1,IFERROR(1/'Smart Search'!H13,0),0)</f>
        <v>0</v>
      </c>
      <c r="AD299" s="66">
        <f>IF('Smart Search'!F13=1,IFERROR(1/'Smart Search'!H13,0),0)</f>
        <v>0</v>
      </c>
      <c r="AE299" s="66">
        <f>IF('Smart Search'!F13=1,IFERROR(1/'Smart Search'!H13,0),0)</f>
        <v>0</v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>0</v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>0</v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>0</v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>0</v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>0</v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>0</v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>0</v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>0</v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>0</v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>0</v>
      </c>
      <c r="AP299" s="66">
        <f t="shared" si="56"/>
        <v>0</v>
      </c>
      <c r="AQ299" s="66">
        <f t="shared" si="57"/>
        <v>0</v>
      </c>
      <c r="AR299" s="66">
        <f t="shared" si="58"/>
        <v>0</v>
      </c>
      <c r="AS299" s="66">
        <f t="shared" si="59"/>
        <v>0</v>
      </c>
      <c r="AT299" s="66">
        <f t="shared" si="60"/>
        <v>0</v>
      </c>
      <c r="AU299" s="66">
        <f t="shared" si="61"/>
        <v>0</v>
      </c>
      <c r="AV299" s="66">
        <f t="shared" si="62"/>
        <v>0</v>
      </c>
      <c r="AW299" s="66">
        <f t="shared" si="63"/>
        <v>0</v>
      </c>
      <c r="AX299" s="66">
        <f t="shared" si="64"/>
        <v>0</v>
      </c>
      <c r="AY299" s="66">
        <f t="shared" si="65"/>
        <v>0</v>
      </c>
      <c r="AZ299" s="66">
        <f>'Project Database'!Z303</f>
        <v>0</v>
      </c>
      <c r="BA299" s="66">
        <f>IF(OR(A299="",'Smart Search'!H13=0),"",MAX(0,BE299*BF299*MAX(0,1-BG299)))</f>
        <v>0</v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>0</v>
      </c>
      <c r="BC299" s="66">
        <f>IF('Smart Search'!G13=1,IFERROR(1/'Smart Search'!H13,0),0)</f>
        <v>0</v>
      </c>
      <c r="BD299" s="66">
        <f t="shared" si="66"/>
        <v>0</v>
      </c>
      <c r="BE299" s="66">
        <f t="shared" si="67"/>
        <v>0</v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>0</v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>0</v>
      </c>
      <c r="BH299" s="5" t="str">
        <f>IF(AND('Project Database'!A303&lt;&gt;"",OR('Smart Search'!$L$5="",'Smart Search'!$L$5="All",TRIM('Project Database'!D303)=TRIM('Smart Search'!$L$5)),OR(TRIM('Smart Search'!$L$6)="",TRIM('Smart Search'!$L$6)="All",ISNUMBER(SEARCH(SUBSTITUTE(SUBSTITUTE(SUBSTITUTE(TRIM('Smart Search'!$L$6),"~","~~"),"*","~*"),"?","~?"),'Project Database'!C303))),OR('Smart Search'!$L$7="",AND('Project Database'!E303&lt;&gt;"",'Project Database'!E303='Smart Search'!$L$7)),OR('Smart Search'!$L$8="",'Smart Search'!$L$8="All",TRIM('Project Database'!F303)=TRIM('Smart Search'!$L$8))),IF(BA299="","",BA299+ROW()*0.0000000001),"")</f>
        <v/>
      </c>
      <c r="BI299" s="5" t="str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 t="str">
        <f>IF('Project Database'!A303="","",N('Project Database'!AC303))</f>
        <v/>
      </c>
      <c r="BK299" s="5" t="str">
        <f>IF('Project Database'!A303="","",N('Project Database'!AD303))</f>
        <v/>
      </c>
      <c r="BL299" s="5" t="str">
        <f>IF('Project Database'!A303="","",N('Project Database'!AE303))</f>
        <v/>
      </c>
      <c r="BM299" s="5" t="str">
        <f>IF('Project Database'!A303="","",N('Project Database'!AF303))</f>
        <v/>
      </c>
      <c r="BN299" s="5" t="str">
        <f>IF('Project Database'!A303="","",N('Project Database'!AG303))</f>
        <v/>
      </c>
      <c r="BO299" s="5" t="str">
        <f>IF('Project Database'!A303="","",N('Project Database'!AH303))</f>
        <v/>
      </c>
      <c r="BP299" s="5" t="str">
        <f>IF('Project Database'!A303="","",N('Project Database'!AI303))</f>
        <v/>
      </c>
      <c r="BQ299" s="5" t="str">
        <f>IF('Project Database'!A303="","",N('Project Database'!AJ303))</f>
        <v/>
      </c>
      <c r="BR299" s="5" t="str">
        <f>IF('Project Database'!A303="","",N('Project Database'!AK303))</f>
        <v/>
      </c>
      <c r="BS299" s="5" t="str">
        <f>IF('Project Database'!A303="","",N('Project Database'!AL303))</f>
        <v/>
      </c>
      <c r="BT299" s="5" t="str">
        <f>IF('Project Database'!A303="","",N('Project Database'!AM303))</f>
        <v/>
      </c>
      <c r="BU299" s="5" t="str">
        <f>IF('Project Database'!A303="","",N('Project Database'!AN303))</f>
        <v/>
      </c>
      <c r="BV299" s="5" t="str">
        <f>IF('Project Database'!A303="","",N('Project Database'!AO303))</f>
        <v/>
      </c>
      <c r="BW299" s="5" t="str">
        <f>IF('Project Database'!A303="","",N('Project Database'!AP303))</f>
        <v/>
      </c>
      <c r="BX299" s="5">
        <f t="shared" si="68"/>
        <v>0</v>
      </c>
      <c r="BY299" s="5">
        <f t="shared" si="69"/>
        <v>0</v>
      </c>
    </row>
    <row r="300" spans="1:77" ht="15" customHeight="1" x14ac:dyDescent="0.3">
      <c r="A300" s="66">
        <f>'Project Database'!A304</f>
        <v>0</v>
      </c>
      <c r="B300" s="66">
        <f>'Project Database'!B304</f>
        <v>0</v>
      </c>
      <c r="C300" s="66">
        <f>'Project Database'!G304</f>
        <v>0</v>
      </c>
      <c r="D300" s="66">
        <f>'Project Database'!H304</f>
        <v>0</v>
      </c>
      <c r="E300" s="66">
        <f>'Project Database'!I304</f>
        <v>0</v>
      </c>
      <c r="F300" s="66">
        <f>'Project Database'!J304</f>
        <v>0</v>
      </c>
      <c r="G300" s="66">
        <f>'Project Database'!K304</f>
        <v>0</v>
      </c>
      <c r="H300" s="66">
        <f>'Project Database'!L304</f>
        <v>0</v>
      </c>
      <c r="I300" s="66">
        <f>'Project Database'!M304</f>
        <v>0</v>
      </c>
      <c r="J300" s="66">
        <f>'Project Database'!N304</f>
        <v>0</v>
      </c>
      <c r="K300" s="66">
        <f>'Project Database'!O304</f>
        <v>0</v>
      </c>
      <c r="L300" s="66">
        <f>'Project Database'!P304</f>
        <v>0</v>
      </c>
      <c r="M300" s="66">
        <f>'Project Database'!Q304</f>
        <v>0</v>
      </c>
      <c r="N300" s="66">
        <f>'Project Database'!R304</f>
        <v>0</v>
      </c>
      <c r="O300" s="66">
        <f>'Project Database'!S304</f>
        <v>0</v>
      </c>
      <c r="P300" s="66">
        <f>'Project Database'!T304</f>
        <v>0</v>
      </c>
      <c r="Q300" s="66">
        <f>'Project Database'!U304</f>
        <v>0</v>
      </c>
      <c r="R300" s="66">
        <f>'Project Database'!V304</f>
        <v>0</v>
      </c>
      <c r="S300" s="66">
        <f>'Project Database'!W304</f>
        <v>0</v>
      </c>
      <c r="T300" s="66">
        <f>'Project Database'!X304</f>
        <v>0</v>
      </c>
      <c r="U300" s="67">
        <f>'Project Database'!Y304</f>
        <v>0</v>
      </c>
      <c r="V300" s="66">
        <f>IF('Smart Search'!B13=1,IFERROR(1/'Smart Search'!H13,0),0)</f>
        <v>0</v>
      </c>
      <c r="W300" s="66">
        <f>IF('Smart Search'!B13=1,IFERROR(1/'Smart Search'!H13,0),0)</f>
        <v>0</v>
      </c>
      <c r="X300" s="66">
        <f>IF('Smart Search'!C13=1,IFERROR(1/'Smart Search'!H13,0),0)</f>
        <v>0.5</v>
      </c>
      <c r="Y300" s="66">
        <f>IF('Smart Search'!C13=1,IFERROR(1/'Smart Search'!H13,0),0)</f>
        <v>0.5</v>
      </c>
      <c r="Z300" s="66">
        <f>IF('Smart Search'!D13=1,IFERROR(1/'Smart Search'!H13,0),0)</f>
        <v>0</v>
      </c>
      <c r="AA300" s="66">
        <f>IF('Smart Search'!D13=1,IFERROR(1/'Smart Search'!H13,0),0)</f>
        <v>0</v>
      </c>
      <c r="AB300" s="66">
        <f>IF('Smart Search'!E13=1,IFERROR(1/'Smart Search'!H13,0),0)</f>
        <v>0</v>
      </c>
      <c r="AC300" s="66">
        <f>IF('Smart Search'!E13=1,IFERROR(1/'Smart Search'!H13,0),0)</f>
        <v>0</v>
      </c>
      <c r="AD300" s="66">
        <f>IF('Smart Search'!F13=1,IFERROR(1/'Smart Search'!H13,0),0)</f>
        <v>0</v>
      </c>
      <c r="AE300" s="66">
        <f>IF('Smart Search'!F13=1,IFERROR(1/'Smart Search'!H13,0),0)</f>
        <v>0</v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>0</v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>0</v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>0</v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>0</v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>0</v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>0</v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>0</v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>0</v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>0</v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>0</v>
      </c>
      <c r="AP300" s="66">
        <f t="shared" si="56"/>
        <v>0</v>
      </c>
      <c r="AQ300" s="66">
        <f t="shared" si="57"/>
        <v>0</v>
      </c>
      <c r="AR300" s="66">
        <f t="shared" si="58"/>
        <v>0</v>
      </c>
      <c r="AS300" s="66">
        <f t="shared" si="59"/>
        <v>0</v>
      </c>
      <c r="AT300" s="66">
        <f t="shared" si="60"/>
        <v>0</v>
      </c>
      <c r="AU300" s="66">
        <f t="shared" si="61"/>
        <v>0</v>
      </c>
      <c r="AV300" s="66">
        <f t="shared" si="62"/>
        <v>0</v>
      </c>
      <c r="AW300" s="66">
        <f t="shared" si="63"/>
        <v>0</v>
      </c>
      <c r="AX300" s="66">
        <f t="shared" si="64"/>
        <v>0</v>
      </c>
      <c r="AY300" s="66">
        <f t="shared" si="65"/>
        <v>0</v>
      </c>
      <c r="AZ300" s="66">
        <f>'Project Database'!Z304</f>
        <v>0</v>
      </c>
      <c r="BA300" s="66">
        <f>IF(OR(A300="",'Smart Search'!H13=0),"",MAX(0,BE300*BF300*MAX(0,1-BG300)))</f>
        <v>0</v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>0</v>
      </c>
      <c r="BC300" s="66">
        <f>IF('Smart Search'!G13=1,IFERROR(1/'Smart Search'!H13,0),0)</f>
        <v>0</v>
      </c>
      <c r="BD300" s="66">
        <f t="shared" si="66"/>
        <v>0</v>
      </c>
      <c r="BE300" s="66">
        <f t="shared" si="67"/>
        <v>0</v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>0</v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>0</v>
      </c>
      <c r="BH300" s="5" t="str">
        <f>IF(AND('Project Database'!A304&lt;&gt;"",OR('Smart Search'!$L$5="",'Smart Search'!$L$5="All",TRIM('Project Database'!D304)=TRIM('Smart Search'!$L$5)),OR(TRIM('Smart Search'!$L$6)="",TRIM('Smart Search'!$L$6)="All",ISNUMBER(SEARCH(SUBSTITUTE(SUBSTITUTE(SUBSTITUTE(TRIM('Smart Search'!$L$6),"~","~~"),"*","~*"),"?","~?"),'Project Database'!C304))),OR('Smart Search'!$L$7="",AND('Project Database'!E304&lt;&gt;"",'Project Database'!E304='Smart Search'!$L$7)),OR('Smart Search'!$L$8="",'Smart Search'!$L$8="All",TRIM('Project Database'!F304)=TRIM('Smart Search'!$L$8))),IF(BA300="","",BA300+ROW()*0.0000000001),"")</f>
        <v/>
      </c>
      <c r="BI300" s="5" t="str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 t="str">
        <f>IF('Project Database'!A304="","",N('Project Database'!AC304))</f>
        <v/>
      </c>
      <c r="BK300" s="5" t="str">
        <f>IF('Project Database'!A304="","",N('Project Database'!AD304))</f>
        <v/>
      </c>
      <c r="BL300" s="5" t="str">
        <f>IF('Project Database'!A304="","",N('Project Database'!AE304))</f>
        <v/>
      </c>
      <c r="BM300" s="5" t="str">
        <f>IF('Project Database'!A304="","",N('Project Database'!AF304))</f>
        <v/>
      </c>
      <c r="BN300" s="5" t="str">
        <f>IF('Project Database'!A304="","",N('Project Database'!AG304))</f>
        <v/>
      </c>
      <c r="BO300" s="5" t="str">
        <f>IF('Project Database'!A304="","",N('Project Database'!AH304))</f>
        <v/>
      </c>
      <c r="BP300" s="5" t="str">
        <f>IF('Project Database'!A304="","",N('Project Database'!AI304))</f>
        <v/>
      </c>
      <c r="BQ300" s="5" t="str">
        <f>IF('Project Database'!A304="","",N('Project Database'!AJ304))</f>
        <v/>
      </c>
      <c r="BR300" s="5" t="str">
        <f>IF('Project Database'!A304="","",N('Project Database'!AK304))</f>
        <v/>
      </c>
      <c r="BS300" s="5" t="str">
        <f>IF('Project Database'!A304="","",N('Project Database'!AL304))</f>
        <v/>
      </c>
      <c r="BT300" s="5" t="str">
        <f>IF('Project Database'!A304="","",N('Project Database'!AM304))</f>
        <v/>
      </c>
      <c r="BU300" s="5" t="str">
        <f>IF('Project Database'!A304="","",N('Project Database'!AN304))</f>
        <v/>
      </c>
      <c r="BV300" s="5" t="str">
        <f>IF('Project Database'!A304="","",N('Project Database'!AO304))</f>
        <v/>
      </c>
      <c r="BW300" s="5" t="str">
        <f>IF('Project Database'!A304="","",N('Project Database'!AP304))</f>
        <v/>
      </c>
      <c r="BX300" s="5">
        <f t="shared" si="68"/>
        <v>0</v>
      </c>
      <c r="BY300" s="5">
        <f t="shared" si="69"/>
        <v>0</v>
      </c>
    </row>
    <row r="301" spans="1:77" ht="15" customHeight="1" x14ac:dyDescent="0.3">
      <c r="A301" s="66">
        <f>'Project Database'!A305</f>
        <v>0</v>
      </c>
      <c r="B301" s="66">
        <f>'Project Database'!B305</f>
        <v>0</v>
      </c>
      <c r="C301" s="66">
        <f>'Project Database'!G305</f>
        <v>0</v>
      </c>
      <c r="D301" s="66">
        <f>'Project Database'!H305</f>
        <v>0</v>
      </c>
      <c r="E301" s="66">
        <f>'Project Database'!I305</f>
        <v>0</v>
      </c>
      <c r="F301" s="66">
        <f>'Project Database'!J305</f>
        <v>0</v>
      </c>
      <c r="G301" s="66">
        <f>'Project Database'!K305</f>
        <v>0</v>
      </c>
      <c r="H301" s="66">
        <f>'Project Database'!L305</f>
        <v>0</v>
      </c>
      <c r="I301" s="66">
        <f>'Project Database'!M305</f>
        <v>0</v>
      </c>
      <c r="J301" s="66">
        <f>'Project Database'!N305</f>
        <v>0</v>
      </c>
      <c r="K301" s="66">
        <f>'Project Database'!O305</f>
        <v>0</v>
      </c>
      <c r="L301" s="66">
        <f>'Project Database'!P305</f>
        <v>0</v>
      </c>
      <c r="M301" s="66">
        <f>'Project Database'!Q305</f>
        <v>0</v>
      </c>
      <c r="N301" s="66">
        <f>'Project Database'!R305</f>
        <v>0</v>
      </c>
      <c r="O301" s="66">
        <f>'Project Database'!S305</f>
        <v>0</v>
      </c>
      <c r="P301" s="66">
        <f>'Project Database'!T305</f>
        <v>0</v>
      </c>
      <c r="Q301" s="66">
        <f>'Project Database'!U305</f>
        <v>0</v>
      </c>
      <c r="R301" s="66">
        <f>'Project Database'!V305</f>
        <v>0</v>
      </c>
      <c r="S301" s="66">
        <f>'Project Database'!W305</f>
        <v>0</v>
      </c>
      <c r="T301" s="66">
        <f>'Project Database'!X305</f>
        <v>0</v>
      </c>
      <c r="U301" s="67">
        <f>'Project Database'!Y305</f>
        <v>0</v>
      </c>
      <c r="V301" s="66">
        <f>IF('Smart Search'!B13=1,IFERROR(1/'Smart Search'!H13,0),0)</f>
        <v>0</v>
      </c>
      <c r="W301" s="66">
        <f>IF('Smart Search'!B13=1,IFERROR(1/'Smart Search'!H13,0),0)</f>
        <v>0</v>
      </c>
      <c r="X301" s="66">
        <f>IF('Smart Search'!C13=1,IFERROR(1/'Smart Search'!H13,0),0)</f>
        <v>0.5</v>
      </c>
      <c r="Y301" s="66">
        <f>IF('Smart Search'!C13=1,IFERROR(1/'Smart Search'!H13,0),0)</f>
        <v>0.5</v>
      </c>
      <c r="Z301" s="66">
        <f>IF('Smart Search'!D13=1,IFERROR(1/'Smart Search'!H13,0),0)</f>
        <v>0</v>
      </c>
      <c r="AA301" s="66">
        <f>IF('Smart Search'!D13=1,IFERROR(1/'Smart Search'!H13,0),0)</f>
        <v>0</v>
      </c>
      <c r="AB301" s="66">
        <f>IF('Smart Search'!E13=1,IFERROR(1/'Smart Search'!H13,0),0)</f>
        <v>0</v>
      </c>
      <c r="AC301" s="66">
        <f>IF('Smart Search'!E13=1,IFERROR(1/'Smart Search'!H13,0),0)</f>
        <v>0</v>
      </c>
      <c r="AD301" s="66">
        <f>IF('Smart Search'!F13=1,IFERROR(1/'Smart Search'!H13,0),0)</f>
        <v>0</v>
      </c>
      <c r="AE301" s="66">
        <f>IF('Smart Search'!F13=1,IFERROR(1/'Smart Search'!H13,0),0)</f>
        <v>0</v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>0</v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>0</v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>0</v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>0</v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>0</v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>0</v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>0</v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>0</v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>0</v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>0</v>
      </c>
      <c r="AP301" s="66">
        <f t="shared" si="56"/>
        <v>0</v>
      </c>
      <c r="AQ301" s="66">
        <f t="shared" si="57"/>
        <v>0</v>
      </c>
      <c r="AR301" s="66">
        <f t="shared" si="58"/>
        <v>0</v>
      </c>
      <c r="AS301" s="66">
        <f t="shared" si="59"/>
        <v>0</v>
      </c>
      <c r="AT301" s="66">
        <f t="shared" si="60"/>
        <v>0</v>
      </c>
      <c r="AU301" s="66">
        <f t="shared" si="61"/>
        <v>0</v>
      </c>
      <c r="AV301" s="66">
        <f t="shared" si="62"/>
        <v>0</v>
      </c>
      <c r="AW301" s="66">
        <f t="shared" si="63"/>
        <v>0</v>
      </c>
      <c r="AX301" s="66">
        <f t="shared" si="64"/>
        <v>0</v>
      </c>
      <c r="AY301" s="66">
        <f t="shared" si="65"/>
        <v>0</v>
      </c>
      <c r="AZ301" s="66">
        <f>'Project Database'!Z305</f>
        <v>0</v>
      </c>
      <c r="BA301" s="66">
        <f>IF(OR(A301="",'Smart Search'!H13=0),"",MAX(0,BE301*BF301*MAX(0,1-BG301)))</f>
        <v>0</v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>0</v>
      </c>
      <c r="BC301" s="66">
        <f>IF('Smart Search'!G13=1,IFERROR(1/'Smart Search'!H13,0),0)</f>
        <v>0</v>
      </c>
      <c r="BD301" s="66">
        <f t="shared" si="66"/>
        <v>0</v>
      </c>
      <c r="BE301" s="66">
        <f t="shared" si="67"/>
        <v>0</v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>0</v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>0</v>
      </c>
      <c r="BH301" s="5" t="str">
        <f>IF(AND('Project Database'!A305&lt;&gt;"",OR('Smart Search'!$L$5="",'Smart Search'!$L$5="All",TRIM('Project Database'!D305)=TRIM('Smart Search'!$L$5)),OR(TRIM('Smart Search'!$L$6)="",TRIM('Smart Search'!$L$6)="All",ISNUMBER(SEARCH(SUBSTITUTE(SUBSTITUTE(SUBSTITUTE(TRIM('Smart Search'!$L$6),"~","~~"),"*","~*"),"?","~?"),'Project Database'!C305))),OR('Smart Search'!$L$7="",AND('Project Database'!E305&lt;&gt;"",'Project Database'!E305='Smart Search'!$L$7)),OR('Smart Search'!$L$8="",'Smart Search'!$L$8="All",TRIM('Project Database'!F305)=TRIM('Smart Search'!$L$8))),IF(BA301="","",BA301+ROW()*0.0000000001),"")</f>
        <v/>
      </c>
      <c r="BI301" s="5" t="str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 t="str">
        <f>IF('Project Database'!A305="","",N('Project Database'!AC305))</f>
        <v/>
      </c>
      <c r="BK301" s="5" t="str">
        <f>IF('Project Database'!A305="","",N('Project Database'!AD305))</f>
        <v/>
      </c>
      <c r="BL301" s="5" t="str">
        <f>IF('Project Database'!A305="","",N('Project Database'!AE305))</f>
        <v/>
      </c>
      <c r="BM301" s="5" t="str">
        <f>IF('Project Database'!A305="","",N('Project Database'!AF305))</f>
        <v/>
      </c>
      <c r="BN301" s="5" t="str">
        <f>IF('Project Database'!A305="","",N('Project Database'!AG305))</f>
        <v/>
      </c>
      <c r="BO301" s="5" t="str">
        <f>IF('Project Database'!A305="","",N('Project Database'!AH305))</f>
        <v/>
      </c>
      <c r="BP301" s="5" t="str">
        <f>IF('Project Database'!A305="","",N('Project Database'!AI305))</f>
        <v/>
      </c>
      <c r="BQ301" s="5" t="str">
        <f>IF('Project Database'!A305="","",N('Project Database'!AJ305))</f>
        <v/>
      </c>
      <c r="BR301" s="5" t="str">
        <f>IF('Project Database'!A305="","",N('Project Database'!AK305))</f>
        <v/>
      </c>
      <c r="BS301" s="5" t="str">
        <f>IF('Project Database'!A305="","",N('Project Database'!AL305))</f>
        <v/>
      </c>
      <c r="BT301" s="5" t="str">
        <f>IF('Project Database'!A305="","",N('Project Database'!AM305))</f>
        <v/>
      </c>
      <c r="BU301" s="5" t="str">
        <f>IF('Project Database'!A305="","",N('Project Database'!AN305))</f>
        <v/>
      </c>
      <c r="BV301" s="5" t="str">
        <f>IF('Project Database'!A305="","",N('Project Database'!AO305))</f>
        <v/>
      </c>
      <c r="BW301" s="5" t="str">
        <f>IF('Project Database'!A305="","",N('Project Database'!AP305))</f>
        <v/>
      </c>
      <c r="BX301" s="5">
        <f t="shared" si="68"/>
        <v>0</v>
      </c>
      <c r="BY301" s="5">
        <f t="shared" si="69"/>
        <v>0</v>
      </c>
    </row>
    <row r="302" spans="1:77" ht="15" customHeight="1" x14ac:dyDescent="0.3">
      <c r="A302" s="66">
        <f>'Project Database'!A306</f>
        <v>0</v>
      </c>
      <c r="B302" s="66">
        <f>'Project Database'!B306</f>
        <v>0</v>
      </c>
      <c r="C302" s="66">
        <f>'Project Database'!G306</f>
        <v>0</v>
      </c>
      <c r="D302" s="66">
        <f>'Project Database'!H306</f>
        <v>0</v>
      </c>
      <c r="E302" s="66">
        <f>'Project Database'!I306</f>
        <v>0</v>
      </c>
      <c r="F302" s="66">
        <f>'Project Database'!J306</f>
        <v>0</v>
      </c>
      <c r="G302" s="66">
        <f>'Project Database'!K306</f>
        <v>0</v>
      </c>
      <c r="H302" s="66">
        <f>'Project Database'!L306</f>
        <v>0</v>
      </c>
      <c r="I302" s="66">
        <f>'Project Database'!M306</f>
        <v>0</v>
      </c>
      <c r="J302" s="66">
        <f>'Project Database'!N306</f>
        <v>0</v>
      </c>
      <c r="K302" s="66">
        <f>'Project Database'!O306</f>
        <v>0</v>
      </c>
      <c r="L302" s="66">
        <f>'Project Database'!P306</f>
        <v>0</v>
      </c>
      <c r="M302" s="66">
        <f>'Project Database'!Q306</f>
        <v>0</v>
      </c>
      <c r="N302" s="66">
        <f>'Project Database'!R306</f>
        <v>0</v>
      </c>
      <c r="O302" s="66">
        <f>'Project Database'!S306</f>
        <v>0</v>
      </c>
      <c r="P302" s="66">
        <f>'Project Database'!T306</f>
        <v>0</v>
      </c>
      <c r="Q302" s="66">
        <f>'Project Database'!U306</f>
        <v>0</v>
      </c>
      <c r="R302" s="66">
        <f>'Project Database'!V306</f>
        <v>0</v>
      </c>
      <c r="S302" s="66">
        <f>'Project Database'!W306</f>
        <v>0</v>
      </c>
      <c r="T302" s="66">
        <f>'Project Database'!X306</f>
        <v>0</v>
      </c>
      <c r="U302" s="67">
        <f>'Project Database'!Y306</f>
        <v>0</v>
      </c>
      <c r="V302" s="66">
        <f>IF('Smart Search'!B13=1,IFERROR(1/'Smart Search'!H13,0),0)</f>
        <v>0</v>
      </c>
      <c r="W302" s="66">
        <f>IF('Smart Search'!B13=1,IFERROR(1/'Smart Search'!H13,0),0)</f>
        <v>0</v>
      </c>
      <c r="X302" s="66">
        <f>IF('Smart Search'!C13=1,IFERROR(1/'Smart Search'!H13,0),0)</f>
        <v>0.5</v>
      </c>
      <c r="Y302" s="66">
        <f>IF('Smart Search'!C13=1,IFERROR(1/'Smart Search'!H13,0),0)</f>
        <v>0.5</v>
      </c>
      <c r="Z302" s="66">
        <f>IF('Smart Search'!D13=1,IFERROR(1/'Smart Search'!H13,0),0)</f>
        <v>0</v>
      </c>
      <c r="AA302" s="66">
        <f>IF('Smart Search'!D13=1,IFERROR(1/'Smart Search'!H13,0),0)</f>
        <v>0</v>
      </c>
      <c r="AB302" s="66">
        <f>IF('Smart Search'!E13=1,IFERROR(1/'Smart Search'!H13,0),0)</f>
        <v>0</v>
      </c>
      <c r="AC302" s="66">
        <f>IF('Smart Search'!E13=1,IFERROR(1/'Smart Search'!H13,0),0)</f>
        <v>0</v>
      </c>
      <c r="AD302" s="66">
        <f>IF('Smart Search'!F13=1,IFERROR(1/'Smart Search'!H13,0),0)</f>
        <v>0</v>
      </c>
      <c r="AE302" s="66">
        <f>IF('Smart Search'!F13=1,IFERROR(1/'Smart Search'!H13,0),0)</f>
        <v>0</v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>0</v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>0</v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>0</v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>0</v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>0</v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>0</v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>0</v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>0</v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>0</v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>0</v>
      </c>
      <c r="AP302" s="66">
        <f t="shared" si="56"/>
        <v>0</v>
      </c>
      <c r="AQ302" s="66">
        <f t="shared" si="57"/>
        <v>0</v>
      </c>
      <c r="AR302" s="66">
        <f t="shared" si="58"/>
        <v>0</v>
      </c>
      <c r="AS302" s="66">
        <f t="shared" si="59"/>
        <v>0</v>
      </c>
      <c r="AT302" s="66">
        <f t="shared" si="60"/>
        <v>0</v>
      </c>
      <c r="AU302" s="66">
        <f t="shared" si="61"/>
        <v>0</v>
      </c>
      <c r="AV302" s="66">
        <f t="shared" si="62"/>
        <v>0</v>
      </c>
      <c r="AW302" s="66">
        <f t="shared" si="63"/>
        <v>0</v>
      </c>
      <c r="AX302" s="66">
        <f t="shared" si="64"/>
        <v>0</v>
      </c>
      <c r="AY302" s="66">
        <f t="shared" si="65"/>
        <v>0</v>
      </c>
      <c r="AZ302" s="66">
        <f>'Project Database'!Z306</f>
        <v>0</v>
      </c>
      <c r="BA302" s="66">
        <f>IF(OR(A302="",'Smart Search'!H13=0),"",MAX(0,BE302*BF302*MAX(0,1-BG302)))</f>
        <v>0</v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>0</v>
      </c>
      <c r="BC302" s="66">
        <f>IF('Smart Search'!G13=1,IFERROR(1/'Smart Search'!H13,0),0)</f>
        <v>0</v>
      </c>
      <c r="BD302" s="66">
        <f t="shared" si="66"/>
        <v>0</v>
      </c>
      <c r="BE302" s="66">
        <f t="shared" si="67"/>
        <v>0</v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>0</v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>0</v>
      </c>
      <c r="BH302" s="5" t="str">
        <f>IF(AND('Project Database'!A306&lt;&gt;"",OR('Smart Search'!$L$5="",'Smart Search'!$L$5="All",TRIM('Project Database'!D306)=TRIM('Smart Search'!$L$5)),OR(TRIM('Smart Search'!$L$6)="",TRIM('Smart Search'!$L$6)="All",ISNUMBER(SEARCH(SUBSTITUTE(SUBSTITUTE(SUBSTITUTE(TRIM('Smart Search'!$L$6),"~","~~"),"*","~*"),"?","~?"),'Project Database'!C306))),OR('Smart Search'!$L$7="",AND('Project Database'!E306&lt;&gt;"",'Project Database'!E306='Smart Search'!$L$7)),OR('Smart Search'!$L$8="",'Smart Search'!$L$8="All",TRIM('Project Database'!F306)=TRIM('Smart Search'!$L$8))),IF(BA302="","",BA302+ROW()*0.0000000001),"")</f>
        <v/>
      </c>
      <c r="BI302" s="5" t="str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 t="str">
        <f>IF('Project Database'!A306="","",N('Project Database'!AC306))</f>
        <v/>
      </c>
      <c r="BK302" s="5" t="str">
        <f>IF('Project Database'!A306="","",N('Project Database'!AD306))</f>
        <v/>
      </c>
      <c r="BL302" s="5" t="str">
        <f>IF('Project Database'!A306="","",N('Project Database'!AE306))</f>
        <v/>
      </c>
      <c r="BM302" s="5" t="str">
        <f>IF('Project Database'!A306="","",N('Project Database'!AF306))</f>
        <v/>
      </c>
      <c r="BN302" s="5" t="str">
        <f>IF('Project Database'!A306="","",N('Project Database'!AG306))</f>
        <v/>
      </c>
      <c r="BO302" s="5" t="str">
        <f>IF('Project Database'!A306="","",N('Project Database'!AH306))</f>
        <v/>
      </c>
      <c r="BP302" s="5" t="str">
        <f>IF('Project Database'!A306="","",N('Project Database'!AI306))</f>
        <v/>
      </c>
      <c r="BQ302" s="5" t="str">
        <f>IF('Project Database'!A306="","",N('Project Database'!AJ306))</f>
        <v/>
      </c>
      <c r="BR302" s="5" t="str">
        <f>IF('Project Database'!A306="","",N('Project Database'!AK306))</f>
        <v/>
      </c>
      <c r="BS302" s="5" t="str">
        <f>IF('Project Database'!A306="","",N('Project Database'!AL306))</f>
        <v/>
      </c>
      <c r="BT302" s="5" t="str">
        <f>IF('Project Database'!A306="","",N('Project Database'!AM306))</f>
        <v/>
      </c>
      <c r="BU302" s="5" t="str">
        <f>IF('Project Database'!A306="","",N('Project Database'!AN306))</f>
        <v/>
      </c>
      <c r="BV302" s="5" t="str">
        <f>IF('Project Database'!A306="","",N('Project Database'!AO306))</f>
        <v/>
      </c>
      <c r="BW302" s="5" t="str">
        <f>IF('Project Database'!A306="","",N('Project Database'!AP306))</f>
        <v/>
      </c>
      <c r="BX302" s="5">
        <f t="shared" si="68"/>
        <v>0</v>
      </c>
      <c r="BY302" s="5">
        <f t="shared" si="69"/>
        <v>0</v>
      </c>
    </row>
    <row r="303" spans="1:77" ht="15" customHeight="1" x14ac:dyDescent="0.3">
      <c r="A303" s="66">
        <f>'Project Database'!A307</f>
        <v>0</v>
      </c>
      <c r="B303" s="66">
        <f>'Project Database'!B307</f>
        <v>0</v>
      </c>
      <c r="C303" s="66">
        <f>'Project Database'!G307</f>
        <v>0</v>
      </c>
      <c r="D303" s="66">
        <f>'Project Database'!H307</f>
        <v>0</v>
      </c>
      <c r="E303" s="66">
        <f>'Project Database'!I307</f>
        <v>0</v>
      </c>
      <c r="F303" s="66">
        <f>'Project Database'!J307</f>
        <v>0</v>
      </c>
      <c r="G303" s="66">
        <f>'Project Database'!K307</f>
        <v>0</v>
      </c>
      <c r="H303" s="66">
        <f>'Project Database'!L307</f>
        <v>0</v>
      </c>
      <c r="I303" s="66">
        <f>'Project Database'!M307</f>
        <v>0</v>
      </c>
      <c r="J303" s="66">
        <f>'Project Database'!N307</f>
        <v>0</v>
      </c>
      <c r="K303" s="66">
        <f>'Project Database'!O307</f>
        <v>0</v>
      </c>
      <c r="L303" s="66">
        <f>'Project Database'!P307</f>
        <v>0</v>
      </c>
      <c r="M303" s="66">
        <f>'Project Database'!Q307</f>
        <v>0</v>
      </c>
      <c r="N303" s="66">
        <f>'Project Database'!R307</f>
        <v>0</v>
      </c>
      <c r="O303" s="66">
        <f>'Project Database'!S307</f>
        <v>0</v>
      </c>
      <c r="P303" s="66">
        <f>'Project Database'!T307</f>
        <v>0</v>
      </c>
      <c r="Q303" s="66">
        <f>'Project Database'!U307</f>
        <v>0</v>
      </c>
      <c r="R303" s="66">
        <f>'Project Database'!V307</f>
        <v>0</v>
      </c>
      <c r="S303" s="66">
        <f>'Project Database'!W307</f>
        <v>0</v>
      </c>
      <c r="T303" s="66">
        <f>'Project Database'!X307</f>
        <v>0</v>
      </c>
      <c r="U303" s="67">
        <f>'Project Database'!Y307</f>
        <v>0</v>
      </c>
      <c r="V303" s="66">
        <f>IF('Smart Search'!B13=1,IFERROR(1/'Smart Search'!H13,0),0)</f>
        <v>0</v>
      </c>
      <c r="W303" s="66">
        <f>IF('Smart Search'!B13=1,IFERROR(1/'Smart Search'!H13,0),0)</f>
        <v>0</v>
      </c>
      <c r="X303" s="66">
        <f>IF('Smart Search'!C13=1,IFERROR(1/'Smart Search'!H13,0),0)</f>
        <v>0.5</v>
      </c>
      <c r="Y303" s="66">
        <f>IF('Smart Search'!C13=1,IFERROR(1/'Smart Search'!H13,0),0)</f>
        <v>0.5</v>
      </c>
      <c r="Z303" s="66">
        <f>IF('Smart Search'!D13=1,IFERROR(1/'Smart Search'!H13,0),0)</f>
        <v>0</v>
      </c>
      <c r="AA303" s="66">
        <f>IF('Smart Search'!D13=1,IFERROR(1/'Smart Search'!H13,0),0)</f>
        <v>0</v>
      </c>
      <c r="AB303" s="66">
        <f>IF('Smart Search'!E13=1,IFERROR(1/'Smart Search'!H13,0),0)</f>
        <v>0</v>
      </c>
      <c r="AC303" s="66">
        <f>IF('Smart Search'!E13=1,IFERROR(1/'Smart Search'!H13,0),0)</f>
        <v>0</v>
      </c>
      <c r="AD303" s="66">
        <f>IF('Smart Search'!F13=1,IFERROR(1/'Smart Search'!H13,0),0)</f>
        <v>0</v>
      </c>
      <c r="AE303" s="66">
        <f>IF('Smart Search'!F13=1,IFERROR(1/'Smart Search'!H13,0),0)</f>
        <v>0</v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>0</v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>0</v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>0</v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>0</v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>0</v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>0</v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>0</v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>0</v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>0</v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>0</v>
      </c>
      <c r="AP303" s="66">
        <f t="shared" si="56"/>
        <v>0</v>
      </c>
      <c r="AQ303" s="66">
        <f t="shared" si="57"/>
        <v>0</v>
      </c>
      <c r="AR303" s="66">
        <f t="shared" si="58"/>
        <v>0</v>
      </c>
      <c r="AS303" s="66">
        <f t="shared" si="59"/>
        <v>0</v>
      </c>
      <c r="AT303" s="66">
        <f t="shared" si="60"/>
        <v>0</v>
      </c>
      <c r="AU303" s="66">
        <f t="shared" si="61"/>
        <v>0</v>
      </c>
      <c r="AV303" s="66">
        <f t="shared" si="62"/>
        <v>0</v>
      </c>
      <c r="AW303" s="66">
        <f t="shared" si="63"/>
        <v>0</v>
      </c>
      <c r="AX303" s="66">
        <f t="shared" si="64"/>
        <v>0</v>
      </c>
      <c r="AY303" s="66">
        <f t="shared" si="65"/>
        <v>0</v>
      </c>
      <c r="AZ303" s="66">
        <f>'Project Database'!Z307</f>
        <v>0</v>
      </c>
      <c r="BA303" s="66">
        <f>IF(OR(A303="",'Smart Search'!H13=0),"",MAX(0,BE303*BF303*MAX(0,1-BG303)))</f>
        <v>0</v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>0</v>
      </c>
      <c r="BC303" s="66">
        <f>IF('Smart Search'!G13=1,IFERROR(1/'Smart Search'!H13,0),0)</f>
        <v>0</v>
      </c>
      <c r="BD303" s="66">
        <f t="shared" si="66"/>
        <v>0</v>
      </c>
      <c r="BE303" s="66">
        <f t="shared" si="67"/>
        <v>0</v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>0</v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>0</v>
      </c>
      <c r="BH303" s="5" t="str">
        <f>IF(AND('Project Database'!A307&lt;&gt;"",OR('Smart Search'!$L$5="",'Smart Search'!$L$5="All",TRIM('Project Database'!D307)=TRIM('Smart Search'!$L$5)),OR(TRIM('Smart Search'!$L$6)="",TRIM('Smart Search'!$L$6)="All",ISNUMBER(SEARCH(SUBSTITUTE(SUBSTITUTE(SUBSTITUTE(TRIM('Smart Search'!$L$6),"~","~~"),"*","~*"),"?","~?"),'Project Database'!C307))),OR('Smart Search'!$L$7="",AND('Project Database'!E307&lt;&gt;"",'Project Database'!E307='Smart Search'!$L$7)),OR('Smart Search'!$L$8="",'Smart Search'!$L$8="All",TRIM('Project Database'!F307)=TRIM('Smart Search'!$L$8))),IF(BA303="","",BA303+ROW()*0.0000000001),"")</f>
        <v/>
      </c>
      <c r="BI303" s="5" t="str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 t="str">
        <f>IF('Project Database'!A307="","",N('Project Database'!AC307))</f>
        <v/>
      </c>
      <c r="BK303" s="5" t="str">
        <f>IF('Project Database'!A307="","",N('Project Database'!AD307))</f>
        <v/>
      </c>
      <c r="BL303" s="5" t="str">
        <f>IF('Project Database'!A307="","",N('Project Database'!AE307))</f>
        <v/>
      </c>
      <c r="BM303" s="5" t="str">
        <f>IF('Project Database'!A307="","",N('Project Database'!AF307))</f>
        <v/>
      </c>
      <c r="BN303" s="5" t="str">
        <f>IF('Project Database'!A307="","",N('Project Database'!AG307))</f>
        <v/>
      </c>
      <c r="BO303" s="5" t="str">
        <f>IF('Project Database'!A307="","",N('Project Database'!AH307))</f>
        <v/>
      </c>
      <c r="BP303" s="5" t="str">
        <f>IF('Project Database'!A307="","",N('Project Database'!AI307))</f>
        <v/>
      </c>
      <c r="BQ303" s="5" t="str">
        <f>IF('Project Database'!A307="","",N('Project Database'!AJ307))</f>
        <v/>
      </c>
      <c r="BR303" s="5" t="str">
        <f>IF('Project Database'!A307="","",N('Project Database'!AK307))</f>
        <v/>
      </c>
      <c r="BS303" s="5" t="str">
        <f>IF('Project Database'!A307="","",N('Project Database'!AL307))</f>
        <v/>
      </c>
      <c r="BT303" s="5" t="str">
        <f>IF('Project Database'!A307="","",N('Project Database'!AM307))</f>
        <v/>
      </c>
      <c r="BU303" s="5" t="str">
        <f>IF('Project Database'!A307="","",N('Project Database'!AN307))</f>
        <v/>
      </c>
      <c r="BV303" s="5" t="str">
        <f>IF('Project Database'!A307="","",N('Project Database'!AO307))</f>
        <v/>
      </c>
      <c r="BW303" s="5" t="str">
        <f>IF('Project Database'!A307="","",N('Project Database'!AP307))</f>
        <v/>
      </c>
      <c r="BX303" s="5">
        <f t="shared" si="68"/>
        <v>0</v>
      </c>
      <c r="BY303" s="5">
        <f t="shared" si="69"/>
        <v>0</v>
      </c>
    </row>
    <row r="304" spans="1:77" ht="15" customHeight="1" x14ac:dyDescent="0.3">
      <c r="A304" s="66">
        <f>'Project Database'!A308</f>
        <v>0</v>
      </c>
      <c r="B304" s="66">
        <f>'Project Database'!B308</f>
        <v>0</v>
      </c>
      <c r="C304" s="66">
        <f>'Project Database'!G308</f>
        <v>0</v>
      </c>
      <c r="D304" s="66">
        <f>'Project Database'!H308</f>
        <v>0</v>
      </c>
      <c r="E304" s="66">
        <f>'Project Database'!I308</f>
        <v>0</v>
      </c>
      <c r="F304" s="66">
        <f>'Project Database'!J308</f>
        <v>0</v>
      </c>
      <c r="G304" s="66">
        <f>'Project Database'!K308</f>
        <v>0</v>
      </c>
      <c r="H304" s="66">
        <f>'Project Database'!L308</f>
        <v>0</v>
      </c>
      <c r="I304" s="66">
        <f>'Project Database'!M308</f>
        <v>0</v>
      </c>
      <c r="J304" s="66">
        <f>'Project Database'!N308</f>
        <v>0</v>
      </c>
      <c r="K304" s="66">
        <f>'Project Database'!O308</f>
        <v>0</v>
      </c>
      <c r="L304" s="66">
        <f>'Project Database'!P308</f>
        <v>0</v>
      </c>
      <c r="M304" s="66">
        <f>'Project Database'!Q308</f>
        <v>0</v>
      </c>
      <c r="N304" s="66">
        <f>'Project Database'!R308</f>
        <v>0</v>
      </c>
      <c r="O304" s="66">
        <f>'Project Database'!S308</f>
        <v>0</v>
      </c>
      <c r="P304" s="66">
        <f>'Project Database'!T308</f>
        <v>0</v>
      </c>
      <c r="Q304" s="66">
        <f>'Project Database'!U308</f>
        <v>0</v>
      </c>
      <c r="R304" s="66">
        <f>'Project Database'!V308</f>
        <v>0</v>
      </c>
      <c r="S304" s="66">
        <f>'Project Database'!W308</f>
        <v>0</v>
      </c>
      <c r="T304" s="66">
        <f>'Project Database'!X308</f>
        <v>0</v>
      </c>
      <c r="U304" s="67">
        <f>'Project Database'!Y308</f>
        <v>0</v>
      </c>
      <c r="V304" s="66">
        <f>IF('Smart Search'!B13=1,IFERROR(1/'Smart Search'!H13,0),0)</f>
        <v>0</v>
      </c>
      <c r="W304" s="66">
        <f>IF('Smart Search'!B13=1,IFERROR(1/'Smart Search'!H13,0),0)</f>
        <v>0</v>
      </c>
      <c r="X304" s="66">
        <f>IF('Smart Search'!C13=1,IFERROR(1/'Smart Search'!H13,0),0)</f>
        <v>0.5</v>
      </c>
      <c r="Y304" s="66">
        <f>IF('Smart Search'!C13=1,IFERROR(1/'Smart Search'!H13,0),0)</f>
        <v>0.5</v>
      </c>
      <c r="Z304" s="66">
        <f>IF('Smart Search'!D13=1,IFERROR(1/'Smart Search'!H13,0),0)</f>
        <v>0</v>
      </c>
      <c r="AA304" s="66">
        <f>IF('Smart Search'!D13=1,IFERROR(1/'Smart Search'!H13,0),0)</f>
        <v>0</v>
      </c>
      <c r="AB304" s="66">
        <f>IF('Smart Search'!E13=1,IFERROR(1/'Smart Search'!H13,0),0)</f>
        <v>0</v>
      </c>
      <c r="AC304" s="66">
        <f>IF('Smart Search'!E13=1,IFERROR(1/'Smart Search'!H13,0),0)</f>
        <v>0</v>
      </c>
      <c r="AD304" s="66">
        <f>IF('Smart Search'!F13=1,IFERROR(1/'Smart Search'!H13,0),0)</f>
        <v>0</v>
      </c>
      <c r="AE304" s="66">
        <f>IF('Smart Search'!F13=1,IFERROR(1/'Smart Search'!H13,0),0)</f>
        <v>0</v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>0</v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>0</v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>0</v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>0</v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>0</v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>0</v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>0</v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>0</v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>0</v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>0</v>
      </c>
      <c r="AP304" s="66">
        <f t="shared" si="56"/>
        <v>0</v>
      </c>
      <c r="AQ304" s="66">
        <f t="shared" si="57"/>
        <v>0</v>
      </c>
      <c r="AR304" s="66">
        <f t="shared" si="58"/>
        <v>0</v>
      </c>
      <c r="AS304" s="66">
        <f t="shared" si="59"/>
        <v>0</v>
      </c>
      <c r="AT304" s="66">
        <f t="shared" si="60"/>
        <v>0</v>
      </c>
      <c r="AU304" s="66">
        <f t="shared" si="61"/>
        <v>0</v>
      </c>
      <c r="AV304" s="66">
        <f t="shared" si="62"/>
        <v>0</v>
      </c>
      <c r="AW304" s="66">
        <f t="shared" si="63"/>
        <v>0</v>
      </c>
      <c r="AX304" s="66">
        <f t="shared" si="64"/>
        <v>0</v>
      </c>
      <c r="AY304" s="66">
        <f t="shared" si="65"/>
        <v>0</v>
      </c>
      <c r="AZ304" s="66">
        <f>'Project Database'!Z308</f>
        <v>0</v>
      </c>
      <c r="BA304" s="66">
        <f>IF(OR(A304="",'Smart Search'!H13=0),"",MAX(0,BE304*BF304*MAX(0,1-BG304)))</f>
        <v>0</v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>0</v>
      </c>
      <c r="BC304" s="66">
        <f>IF('Smart Search'!G13=1,IFERROR(1/'Smart Search'!H13,0),0)</f>
        <v>0</v>
      </c>
      <c r="BD304" s="66">
        <f t="shared" si="66"/>
        <v>0</v>
      </c>
      <c r="BE304" s="66">
        <f t="shared" si="67"/>
        <v>0</v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>0</v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>0</v>
      </c>
      <c r="BH304" s="5" t="str">
        <f>IF(AND('Project Database'!A308&lt;&gt;"",OR('Smart Search'!$L$5="",'Smart Search'!$L$5="All",TRIM('Project Database'!D308)=TRIM('Smart Search'!$L$5)),OR(TRIM('Smart Search'!$L$6)="",TRIM('Smart Search'!$L$6)="All",ISNUMBER(SEARCH(SUBSTITUTE(SUBSTITUTE(SUBSTITUTE(TRIM('Smart Search'!$L$6),"~","~~"),"*","~*"),"?","~?"),'Project Database'!C308))),OR('Smart Search'!$L$7="",AND('Project Database'!E308&lt;&gt;"",'Project Database'!E308='Smart Search'!$L$7)),OR('Smart Search'!$L$8="",'Smart Search'!$L$8="All",TRIM('Project Database'!F308)=TRIM('Smart Search'!$L$8))),IF(BA304="","",BA304+ROW()*0.0000000001),"")</f>
        <v/>
      </c>
      <c r="BI304" s="5" t="str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 t="str">
        <f>IF('Project Database'!A308="","",N('Project Database'!AC308))</f>
        <v/>
      </c>
      <c r="BK304" s="5" t="str">
        <f>IF('Project Database'!A308="","",N('Project Database'!AD308))</f>
        <v/>
      </c>
      <c r="BL304" s="5" t="str">
        <f>IF('Project Database'!A308="","",N('Project Database'!AE308))</f>
        <v/>
      </c>
      <c r="BM304" s="5" t="str">
        <f>IF('Project Database'!A308="","",N('Project Database'!AF308))</f>
        <v/>
      </c>
      <c r="BN304" s="5" t="str">
        <f>IF('Project Database'!A308="","",N('Project Database'!AG308))</f>
        <v/>
      </c>
      <c r="BO304" s="5" t="str">
        <f>IF('Project Database'!A308="","",N('Project Database'!AH308))</f>
        <v/>
      </c>
      <c r="BP304" s="5" t="str">
        <f>IF('Project Database'!A308="","",N('Project Database'!AI308))</f>
        <v/>
      </c>
      <c r="BQ304" s="5" t="str">
        <f>IF('Project Database'!A308="","",N('Project Database'!AJ308))</f>
        <v/>
      </c>
      <c r="BR304" s="5" t="str">
        <f>IF('Project Database'!A308="","",N('Project Database'!AK308))</f>
        <v/>
      </c>
      <c r="BS304" s="5" t="str">
        <f>IF('Project Database'!A308="","",N('Project Database'!AL308))</f>
        <v/>
      </c>
      <c r="BT304" s="5" t="str">
        <f>IF('Project Database'!A308="","",N('Project Database'!AM308))</f>
        <v/>
      </c>
      <c r="BU304" s="5" t="str">
        <f>IF('Project Database'!A308="","",N('Project Database'!AN308))</f>
        <v/>
      </c>
      <c r="BV304" s="5" t="str">
        <f>IF('Project Database'!A308="","",N('Project Database'!AO308))</f>
        <v/>
      </c>
      <c r="BW304" s="5" t="str">
        <f>IF('Project Database'!A308="","",N('Project Database'!AP308))</f>
        <v/>
      </c>
      <c r="BX304" s="5">
        <f t="shared" si="68"/>
        <v>0</v>
      </c>
      <c r="BY304" s="5">
        <f t="shared" si="69"/>
        <v>0</v>
      </c>
    </row>
    <row r="305" spans="1:77" ht="15" customHeight="1" x14ac:dyDescent="0.3">
      <c r="A305" s="66">
        <f>'Project Database'!A309</f>
        <v>0</v>
      </c>
      <c r="B305" s="66">
        <f>'Project Database'!B309</f>
        <v>0</v>
      </c>
      <c r="C305" s="66">
        <f>'Project Database'!G309</f>
        <v>0</v>
      </c>
      <c r="D305" s="66">
        <f>'Project Database'!H309</f>
        <v>0</v>
      </c>
      <c r="E305" s="66">
        <f>'Project Database'!I309</f>
        <v>0</v>
      </c>
      <c r="F305" s="66">
        <f>'Project Database'!J309</f>
        <v>0</v>
      </c>
      <c r="G305" s="66">
        <f>'Project Database'!K309</f>
        <v>0</v>
      </c>
      <c r="H305" s="66">
        <f>'Project Database'!L309</f>
        <v>0</v>
      </c>
      <c r="I305" s="66">
        <f>'Project Database'!M309</f>
        <v>0</v>
      </c>
      <c r="J305" s="66">
        <f>'Project Database'!N309</f>
        <v>0</v>
      </c>
      <c r="K305" s="66">
        <f>'Project Database'!O309</f>
        <v>0</v>
      </c>
      <c r="L305" s="66">
        <f>'Project Database'!P309</f>
        <v>0</v>
      </c>
      <c r="M305" s="66">
        <f>'Project Database'!Q309</f>
        <v>0</v>
      </c>
      <c r="N305" s="66">
        <f>'Project Database'!R309</f>
        <v>0</v>
      </c>
      <c r="O305" s="66">
        <f>'Project Database'!S309</f>
        <v>0</v>
      </c>
      <c r="P305" s="66">
        <f>'Project Database'!T309</f>
        <v>0</v>
      </c>
      <c r="Q305" s="66">
        <f>'Project Database'!U309</f>
        <v>0</v>
      </c>
      <c r="R305" s="66">
        <f>'Project Database'!V309</f>
        <v>0</v>
      </c>
      <c r="S305" s="66">
        <f>'Project Database'!W309</f>
        <v>0</v>
      </c>
      <c r="T305" s="66">
        <f>'Project Database'!X309</f>
        <v>0</v>
      </c>
      <c r="U305" s="67">
        <f>'Project Database'!Y309</f>
        <v>0</v>
      </c>
      <c r="V305" s="66">
        <f>IF('Smart Search'!B13=1,IFERROR(1/'Smart Search'!H13,0),0)</f>
        <v>0</v>
      </c>
      <c r="W305" s="66">
        <f>IF('Smart Search'!B13=1,IFERROR(1/'Smart Search'!H13,0),0)</f>
        <v>0</v>
      </c>
      <c r="X305" s="66">
        <f>IF('Smart Search'!C13=1,IFERROR(1/'Smart Search'!H13,0),0)</f>
        <v>0.5</v>
      </c>
      <c r="Y305" s="66">
        <f>IF('Smart Search'!C13=1,IFERROR(1/'Smart Search'!H13,0),0)</f>
        <v>0.5</v>
      </c>
      <c r="Z305" s="66">
        <f>IF('Smart Search'!D13=1,IFERROR(1/'Smart Search'!H13,0),0)</f>
        <v>0</v>
      </c>
      <c r="AA305" s="66">
        <f>IF('Smart Search'!D13=1,IFERROR(1/'Smart Search'!H13,0),0)</f>
        <v>0</v>
      </c>
      <c r="AB305" s="66">
        <f>IF('Smart Search'!E13=1,IFERROR(1/'Smart Search'!H13,0),0)</f>
        <v>0</v>
      </c>
      <c r="AC305" s="66">
        <f>IF('Smart Search'!E13=1,IFERROR(1/'Smart Search'!H13,0),0)</f>
        <v>0</v>
      </c>
      <c r="AD305" s="66">
        <f>IF('Smart Search'!F13=1,IFERROR(1/'Smart Search'!H13,0),0)</f>
        <v>0</v>
      </c>
      <c r="AE305" s="66">
        <f>IF('Smart Search'!F13=1,IFERROR(1/'Smart Search'!H13,0),0)</f>
        <v>0</v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>0</v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>0</v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>0</v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>0</v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>0</v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>0</v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>0</v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>0</v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>0</v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>0</v>
      </c>
      <c r="AP305" s="66">
        <f t="shared" si="56"/>
        <v>0</v>
      </c>
      <c r="AQ305" s="66">
        <f t="shared" si="57"/>
        <v>0</v>
      </c>
      <c r="AR305" s="66">
        <f t="shared" si="58"/>
        <v>0</v>
      </c>
      <c r="AS305" s="66">
        <f t="shared" si="59"/>
        <v>0</v>
      </c>
      <c r="AT305" s="66">
        <f t="shared" si="60"/>
        <v>0</v>
      </c>
      <c r="AU305" s="66">
        <f t="shared" si="61"/>
        <v>0</v>
      </c>
      <c r="AV305" s="66">
        <f t="shared" si="62"/>
        <v>0</v>
      </c>
      <c r="AW305" s="66">
        <f t="shared" si="63"/>
        <v>0</v>
      </c>
      <c r="AX305" s="66">
        <f t="shared" si="64"/>
        <v>0</v>
      </c>
      <c r="AY305" s="66">
        <f t="shared" si="65"/>
        <v>0</v>
      </c>
      <c r="AZ305" s="66">
        <f>'Project Database'!Z309</f>
        <v>0</v>
      </c>
      <c r="BA305" s="66">
        <f>IF(OR(A305="",'Smart Search'!H13=0),"",MAX(0,BE305*BF305*MAX(0,1-BG305)))</f>
        <v>0</v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>0</v>
      </c>
      <c r="BC305" s="66">
        <f>IF('Smart Search'!G13=1,IFERROR(1/'Smart Search'!H13,0),0)</f>
        <v>0</v>
      </c>
      <c r="BD305" s="66">
        <f t="shared" si="66"/>
        <v>0</v>
      </c>
      <c r="BE305" s="66">
        <f t="shared" si="67"/>
        <v>0</v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>0</v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>0</v>
      </c>
      <c r="BH305" s="5" t="str">
        <f>IF(AND('Project Database'!A309&lt;&gt;"",OR('Smart Search'!$L$5="",'Smart Search'!$L$5="All",TRIM('Project Database'!D309)=TRIM('Smart Search'!$L$5)),OR(TRIM('Smart Search'!$L$6)="",TRIM('Smart Search'!$L$6)="All",ISNUMBER(SEARCH(SUBSTITUTE(SUBSTITUTE(SUBSTITUTE(TRIM('Smart Search'!$L$6),"~","~~"),"*","~*"),"?","~?"),'Project Database'!C309))),OR('Smart Search'!$L$7="",AND('Project Database'!E309&lt;&gt;"",'Project Database'!E309='Smart Search'!$L$7)),OR('Smart Search'!$L$8="",'Smart Search'!$L$8="All",TRIM('Project Database'!F309)=TRIM('Smart Search'!$L$8))),IF(BA305="","",BA305+ROW()*0.0000000001),"")</f>
        <v/>
      </c>
      <c r="BI305" s="5" t="str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 t="str">
        <f>IF('Project Database'!A309="","",N('Project Database'!AC309))</f>
        <v/>
      </c>
      <c r="BK305" s="5" t="str">
        <f>IF('Project Database'!A309="","",N('Project Database'!AD309))</f>
        <v/>
      </c>
      <c r="BL305" s="5" t="str">
        <f>IF('Project Database'!A309="","",N('Project Database'!AE309))</f>
        <v/>
      </c>
      <c r="BM305" s="5" t="str">
        <f>IF('Project Database'!A309="","",N('Project Database'!AF309))</f>
        <v/>
      </c>
      <c r="BN305" s="5" t="str">
        <f>IF('Project Database'!A309="","",N('Project Database'!AG309))</f>
        <v/>
      </c>
      <c r="BO305" s="5" t="str">
        <f>IF('Project Database'!A309="","",N('Project Database'!AH309))</f>
        <v/>
      </c>
      <c r="BP305" s="5" t="str">
        <f>IF('Project Database'!A309="","",N('Project Database'!AI309))</f>
        <v/>
      </c>
      <c r="BQ305" s="5" t="str">
        <f>IF('Project Database'!A309="","",N('Project Database'!AJ309))</f>
        <v/>
      </c>
      <c r="BR305" s="5" t="str">
        <f>IF('Project Database'!A309="","",N('Project Database'!AK309))</f>
        <v/>
      </c>
      <c r="BS305" s="5" t="str">
        <f>IF('Project Database'!A309="","",N('Project Database'!AL309))</f>
        <v/>
      </c>
      <c r="BT305" s="5" t="str">
        <f>IF('Project Database'!A309="","",N('Project Database'!AM309))</f>
        <v/>
      </c>
      <c r="BU305" s="5" t="str">
        <f>IF('Project Database'!A309="","",N('Project Database'!AN309))</f>
        <v/>
      </c>
      <c r="BV305" s="5" t="str">
        <f>IF('Project Database'!A309="","",N('Project Database'!AO309))</f>
        <v/>
      </c>
      <c r="BW305" s="5" t="str">
        <f>IF('Project Database'!A309="","",N('Project Database'!AP309))</f>
        <v/>
      </c>
      <c r="BX305" s="5">
        <f t="shared" si="68"/>
        <v>0</v>
      </c>
      <c r="BY305" s="5">
        <f t="shared" si="69"/>
        <v>0</v>
      </c>
    </row>
    <row r="306" spans="1:77" ht="15" customHeight="1" x14ac:dyDescent="0.3">
      <c r="A306" s="66">
        <f>'Project Database'!A310</f>
        <v>0</v>
      </c>
      <c r="B306" s="66">
        <f>'Project Database'!B310</f>
        <v>0</v>
      </c>
      <c r="C306" s="66">
        <f>'Project Database'!G310</f>
        <v>0</v>
      </c>
      <c r="D306" s="66">
        <f>'Project Database'!H310</f>
        <v>0</v>
      </c>
      <c r="E306" s="66">
        <f>'Project Database'!I310</f>
        <v>0</v>
      </c>
      <c r="F306" s="66">
        <f>'Project Database'!J310</f>
        <v>0</v>
      </c>
      <c r="G306" s="66">
        <f>'Project Database'!K310</f>
        <v>0</v>
      </c>
      <c r="H306" s="66">
        <f>'Project Database'!L310</f>
        <v>0</v>
      </c>
      <c r="I306" s="66">
        <f>'Project Database'!M310</f>
        <v>0</v>
      </c>
      <c r="J306" s="66">
        <f>'Project Database'!N310</f>
        <v>0</v>
      </c>
      <c r="K306" s="66">
        <f>'Project Database'!O310</f>
        <v>0</v>
      </c>
      <c r="L306" s="66">
        <f>'Project Database'!P310</f>
        <v>0</v>
      </c>
      <c r="M306" s="66">
        <f>'Project Database'!Q310</f>
        <v>0</v>
      </c>
      <c r="N306" s="66">
        <f>'Project Database'!R310</f>
        <v>0</v>
      </c>
      <c r="O306" s="66">
        <f>'Project Database'!S310</f>
        <v>0</v>
      </c>
      <c r="P306" s="66">
        <f>'Project Database'!T310</f>
        <v>0</v>
      </c>
      <c r="Q306" s="66">
        <f>'Project Database'!U310</f>
        <v>0</v>
      </c>
      <c r="R306" s="66">
        <f>'Project Database'!V310</f>
        <v>0</v>
      </c>
      <c r="S306" s="66">
        <f>'Project Database'!W310</f>
        <v>0</v>
      </c>
      <c r="T306" s="66">
        <f>'Project Database'!X310</f>
        <v>0</v>
      </c>
      <c r="U306" s="67">
        <f>'Project Database'!Y310</f>
        <v>0</v>
      </c>
      <c r="V306" s="66">
        <f>IF('Smart Search'!B13=1,IFERROR(1/'Smart Search'!H13,0),0)</f>
        <v>0</v>
      </c>
      <c r="W306" s="66">
        <f>IF('Smart Search'!B13=1,IFERROR(1/'Smart Search'!H13,0),0)</f>
        <v>0</v>
      </c>
      <c r="X306" s="66">
        <f>IF('Smart Search'!C13=1,IFERROR(1/'Smart Search'!H13,0),0)</f>
        <v>0.5</v>
      </c>
      <c r="Y306" s="66">
        <f>IF('Smart Search'!C13=1,IFERROR(1/'Smart Search'!H13,0),0)</f>
        <v>0.5</v>
      </c>
      <c r="Z306" s="66">
        <f>IF('Smart Search'!D13=1,IFERROR(1/'Smart Search'!H13,0),0)</f>
        <v>0</v>
      </c>
      <c r="AA306" s="66">
        <f>IF('Smart Search'!D13=1,IFERROR(1/'Smart Search'!H13,0),0)</f>
        <v>0</v>
      </c>
      <c r="AB306" s="66">
        <f>IF('Smart Search'!E13=1,IFERROR(1/'Smart Search'!H13,0),0)</f>
        <v>0</v>
      </c>
      <c r="AC306" s="66">
        <f>IF('Smart Search'!E13=1,IFERROR(1/'Smart Search'!H13,0),0)</f>
        <v>0</v>
      </c>
      <c r="AD306" s="66">
        <f>IF('Smart Search'!F13=1,IFERROR(1/'Smart Search'!H13,0),0)</f>
        <v>0</v>
      </c>
      <c r="AE306" s="66">
        <f>IF('Smart Search'!F13=1,IFERROR(1/'Smart Search'!H13,0),0)</f>
        <v>0</v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>0</v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>0</v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>0</v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>0</v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>0</v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>0</v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>0</v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>0</v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>0</v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>0</v>
      </c>
      <c r="AP306" s="66">
        <f t="shared" si="56"/>
        <v>0</v>
      </c>
      <c r="AQ306" s="66">
        <f t="shared" si="57"/>
        <v>0</v>
      </c>
      <c r="AR306" s="66">
        <f t="shared" si="58"/>
        <v>0</v>
      </c>
      <c r="AS306" s="66">
        <f t="shared" si="59"/>
        <v>0</v>
      </c>
      <c r="AT306" s="66">
        <f t="shared" si="60"/>
        <v>0</v>
      </c>
      <c r="AU306" s="66">
        <f t="shared" si="61"/>
        <v>0</v>
      </c>
      <c r="AV306" s="66">
        <f t="shared" si="62"/>
        <v>0</v>
      </c>
      <c r="AW306" s="66">
        <f t="shared" si="63"/>
        <v>0</v>
      </c>
      <c r="AX306" s="66">
        <f t="shared" si="64"/>
        <v>0</v>
      </c>
      <c r="AY306" s="66">
        <f t="shared" si="65"/>
        <v>0</v>
      </c>
      <c r="AZ306" s="66">
        <f>'Project Database'!Z310</f>
        <v>0</v>
      </c>
      <c r="BA306" s="66">
        <f>IF(OR(A306="",'Smart Search'!H13=0),"",MAX(0,BE306*BF306*MAX(0,1-BG306)))</f>
        <v>0</v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>0</v>
      </c>
      <c r="BC306" s="66">
        <f>IF('Smart Search'!G13=1,IFERROR(1/'Smart Search'!H13,0),0)</f>
        <v>0</v>
      </c>
      <c r="BD306" s="66">
        <f t="shared" si="66"/>
        <v>0</v>
      </c>
      <c r="BE306" s="66">
        <f t="shared" si="67"/>
        <v>0</v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>0</v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>0</v>
      </c>
      <c r="BH306" s="5" t="str">
        <f>IF(AND('Project Database'!A310&lt;&gt;"",OR('Smart Search'!$L$5="",'Smart Search'!$L$5="All",TRIM('Project Database'!D310)=TRIM('Smart Search'!$L$5)),OR(TRIM('Smart Search'!$L$6)="",TRIM('Smart Search'!$L$6)="All",ISNUMBER(SEARCH(SUBSTITUTE(SUBSTITUTE(SUBSTITUTE(TRIM('Smart Search'!$L$6),"~","~~"),"*","~*"),"?","~?"),'Project Database'!C310))),OR('Smart Search'!$L$7="",AND('Project Database'!E310&lt;&gt;"",'Project Database'!E310='Smart Search'!$L$7)),OR('Smart Search'!$L$8="",'Smart Search'!$L$8="All",TRIM('Project Database'!F310)=TRIM('Smart Search'!$L$8))),IF(BA306="","",BA306+ROW()*0.0000000001),"")</f>
        <v/>
      </c>
      <c r="BI306" s="5" t="str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 t="str">
        <f>IF('Project Database'!A310="","",N('Project Database'!AC310))</f>
        <v/>
      </c>
      <c r="BK306" s="5" t="str">
        <f>IF('Project Database'!A310="","",N('Project Database'!AD310))</f>
        <v/>
      </c>
      <c r="BL306" s="5" t="str">
        <f>IF('Project Database'!A310="","",N('Project Database'!AE310))</f>
        <v/>
      </c>
      <c r="BM306" s="5" t="str">
        <f>IF('Project Database'!A310="","",N('Project Database'!AF310))</f>
        <v/>
      </c>
      <c r="BN306" s="5" t="str">
        <f>IF('Project Database'!A310="","",N('Project Database'!AG310))</f>
        <v/>
      </c>
      <c r="BO306" s="5" t="str">
        <f>IF('Project Database'!A310="","",N('Project Database'!AH310))</f>
        <v/>
      </c>
      <c r="BP306" s="5" t="str">
        <f>IF('Project Database'!A310="","",N('Project Database'!AI310))</f>
        <v/>
      </c>
      <c r="BQ306" s="5" t="str">
        <f>IF('Project Database'!A310="","",N('Project Database'!AJ310))</f>
        <v/>
      </c>
      <c r="BR306" s="5" t="str">
        <f>IF('Project Database'!A310="","",N('Project Database'!AK310))</f>
        <v/>
      </c>
      <c r="BS306" s="5" t="str">
        <f>IF('Project Database'!A310="","",N('Project Database'!AL310))</f>
        <v/>
      </c>
      <c r="BT306" s="5" t="str">
        <f>IF('Project Database'!A310="","",N('Project Database'!AM310))</f>
        <v/>
      </c>
      <c r="BU306" s="5" t="str">
        <f>IF('Project Database'!A310="","",N('Project Database'!AN310))</f>
        <v/>
      </c>
      <c r="BV306" s="5" t="str">
        <f>IF('Project Database'!A310="","",N('Project Database'!AO310))</f>
        <v/>
      </c>
      <c r="BW306" s="5" t="str">
        <f>IF('Project Database'!A310="","",N('Project Database'!AP310))</f>
        <v/>
      </c>
      <c r="BX306" s="5">
        <f t="shared" si="68"/>
        <v>0</v>
      </c>
      <c r="BY306" s="5">
        <f t="shared" si="69"/>
        <v>0</v>
      </c>
    </row>
    <row r="307" spans="1:77" ht="15" customHeight="1" x14ac:dyDescent="0.3">
      <c r="A307" s="66">
        <f>'Project Database'!A311</f>
        <v>0</v>
      </c>
      <c r="B307" s="66">
        <f>'Project Database'!B311</f>
        <v>0</v>
      </c>
      <c r="C307" s="66">
        <f>'Project Database'!G311</f>
        <v>0</v>
      </c>
      <c r="D307" s="66">
        <f>'Project Database'!H311</f>
        <v>0</v>
      </c>
      <c r="E307" s="66">
        <f>'Project Database'!I311</f>
        <v>0</v>
      </c>
      <c r="F307" s="66">
        <f>'Project Database'!J311</f>
        <v>0</v>
      </c>
      <c r="G307" s="66">
        <f>'Project Database'!K311</f>
        <v>0</v>
      </c>
      <c r="H307" s="66">
        <f>'Project Database'!L311</f>
        <v>0</v>
      </c>
      <c r="I307" s="66">
        <f>'Project Database'!M311</f>
        <v>0</v>
      </c>
      <c r="J307" s="66">
        <f>'Project Database'!N311</f>
        <v>0</v>
      </c>
      <c r="K307" s="66">
        <f>'Project Database'!O311</f>
        <v>0</v>
      </c>
      <c r="L307" s="66">
        <f>'Project Database'!P311</f>
        <v>0</v>
      </c>
      <c r="M307" s="66">
        <f>'Project Database'!Q311</f>
        <v>0</v>
      </c>
      <c r="N307" s="66">
        <f>'Project Database'!R311</f>
        <v>0</v>
      </c>
      <c r="O307" s="66">
        <f>'Project Database'!S311</f>
        <v>0</v>
      </c>
      <c r="P307" s="66">
        <f>'Project Database'!T311</f>
        <v>0</v>
      </c>
      <c r="Q307" s="66">
        <f>'Project Database'!U311</f>
        <v>0</v>
      </c>
      <c r="R307" s="66">
        <f>'Project Database'!V311</f>
        <v>0</v>
      </c>
      <c r="S307" s="66">
        <f>'Project Database'!W311</f>
        <v>0</v>
      </c>
      <c r="T307" s="66">
        <f>'Project Database'!X311</f>
        <v>0</v>
      </c>
      <c r="U307" s="67">
        <f>'Project Database'!Y311</f>
        <v>0</v>
      </c>
      <c r="V307" s="66">
        <f>IF('Smart Search'!B13=1,IFERROR(1/'Smart Search'!H13,0),0)</f>
        <v>0</v>
      </c>
      <c r="W307" s="66">
        <f>IF('Smart Search'!B13=1,IFERROR(1/'Smart Search'!H13,0),0)</f>
        <v>0</v>
      </c>
      <c r="X307" s="66">
        <f>IF('Smart Search'!C13=1,IFERROR(1/'Smart Search'!H13,0),0)</f>
        <v>0.5</v>
      </c>
      <c r="Y307" s="66">
        <f>IF('Smart Search'!C13=1,IFERROR(1/'Smart Search'!H13,0),0)</f>
        <v>0.5</v>
      </c>
      <c r="Z307" s="66">
        <f>IF('Smart Search'!D13=1,IFERROR(1/'Smart Search'!H13,0),0)</f>
        <v>0</v>
      </c>
      <c r="AA307" s="66">
        <f>IF('Smart Search'!D13=1,IFERROR(1/'Smart Search'!H13,0),0)</f>
        <v>0</v>
      </c>
      <c r="AB307" s="66">
        <f>IF('Smart Search'!E13=1,IFERROR(1/'Smart Search'!H13,0),0)</f>
        <v>0</v>
      </c>
      <c r="AC307" s="66">
        <f>IF('Smart Search'!E13=1,IFERROR(1/'Smart Search'!H13,0),0)</f>
        <v>0</v>
      </c>
      <c r="AD307" s="66">
        <f>IF('Smart Search'!F13=1,IFERROR(1/'Smart Search'!H13,0),0)</f>
        <v>0</v>
      </c>
      <c r="AE307" s="66">
        <f>IF('Smart Search'!F13=1,IFERROR(1/'Smart Search'!H13,0),0)</f>
        <v>0</v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>0</v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>0</v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>0</v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>0</v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>0</v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>0</v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>0</v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>0</v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>0</v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>0</v>
      </c>
      <c r="AP307" s="66">
        <f t="shared" si="56"/>
        <v>0</v>
      </c>
      <c r="AQ307" s="66">
        <f t="shared" si="57"/>
        <v>0</v>
      </c>
      <c r="AR307" s="66">
        <f t="shared" si="58"/>
        <v>0</v>
      </c>
      <c r="AS307" s="66">
        <f t="shared" si="59"/>
        <v>0</v>
      </c>
      <c r="AT307" s="66">
        <f t="shared" si="60"/>
        <v>0</v>
      </c>
      <c r="AU307" s="66">
        <f t="shared" si="61"/>
        <v>0</v>
      </c>
      <c r="AV307" s="66">
        <f t="shared" si="62"/>
        <v>0</v>
      </c>
      <c r="AW307" s="66">
        <f t="shared" si="63"/>
        <v>0</v>
      </c>
      <c r="AX307" s="66">
        <f t="shared" si="64"/>
        <v>0</v>
      </c>
      <c r="AY307" s="66">
        <f t="shared" si="65"/>
        <v>0</v>
      </c>
      <c r="AZ307" s="66">
        <f>'Project Database'!Z311</f>
        <v>0</v>
      </c>
      <c r="BA307" s="66">
        <f>IF(OR(A307="",'Smart Search'!H13=0),"",MAX(0,BE307*BF307*MAX(0,1-BG307)))</f>
        <v>0</v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>0</v>
      </c>
      <c r="BC307" s="66">
        <f>IF('Smart Search'!G13=1,IFERROR(1/'Smart Search'!H13,0),0)</f>
        <v>0</v>
      </c>
      <c r="BD307" s="66">
        <f t="shared" si="66"/>
        <v>0</v>
      </c>
      <c r="BE307" s="66">
        <f t="shared" si="67"/>
        <v>0</v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>0</v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>0</v>
      </c>
      <c r="BH307" s="5" t="str">
        <f>IF(AND('Project Database'!A311&lt;&gt;"",OR('Smart Search'!$L$5="",'Smart Search'!$L$5="All",TRIM('Project Database'!D311)=TRIM('Smart Search'!$L$5)),OR(TRIM('Smart Search'!$L$6)="",TRIM('Smart Search'!$L$6)="All",ISNUMBER(SEARCH(SUBSTITUTE(SUBSTITUTE(SUBSTITUTE(TRIM('Smart Search'!$L$6),"~","~~"),"*","~*"),"?","~?"),'Project Database'!C311))),OR('Smart Search'!$L$7="",AND('Project Database'!E311&lt;&gt;"",'Project Database'!E311='Smart Search'!$L$7)),OR('Smart Search'!$L$8="",'Smart Search'!$L$8="All",TRIM('Project Database'!F311)=TRIM('Smart Search'!$L$8))),IF(BA307="","",BA307+ROW()*0.0000000001),"")</f>
        <v/>
      </c>
      <c r="BI307" s="5" t="str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 t="str">
        <f>IF('Project Database'!A311="","",N('Project Database'!AC311))</f>
        <v/>
      </c>
      <c r="BK307" s="5" t="str">
        <f>IF('Project Database'!A311="","",N('Project Database'!AD311))</f>
        <v/>
      </c>
      <c r="BL307" s="5" t="str">
        <f>IF('Project Database'!A311="","",N('Project Database'!AE311))</f>
        <v/>
      </c>
      <c r="BM307" s="5" t="str">
        <f>IF('Project Database'!A311="","",N('Project Database'!AF311))</f>
        <v/>
      </c>
      <c r="BN307" s="5" t="str">
        <f>IF('Project Database'!A311="","",N('Project Database'!AG311))</f>
        <v/>
      </c>
      <c r="BO307" s="5" t="str">
        <f>IF('Project Database'!A311="","",N('Project Database'!AH311))</f>
        <v/>
      </c>
      <c r="BP307" s="5" t="str">
        <f>IF('Project Database'!A311="","",N('Project Database'!AI311))</f>
        <v/>
      </c>
      <c r="BQ307" s="5" t="str">
        <f>IF('Project Database'!A311="","",N('Project Database'!AJ311))</f>
        <v/>
      </c>
      <c r="BR307" s="5" t="str">
        <f>IF('Project Database'!A311="","",N('Project Database'!AK311))</f>
        <v/>
      </c>
      <c r="BS307" s="5" t="str">
        <f>IF('Project Database'!A311="","",N('Project Database'!AL311))</f>
        <v/>
      </c>
      <c r="BT307" s="5" t="str">
        <f>IF('Project Database'!A311="","",N('Project Database'!AM311))</f>
        <v/>
      </c>
      <c r="BU307" s="5" t="str">
        <f>IF('Project Database'!A311="","",N('Project Database'!AN311))</f>
        <v/>
      </c>
      <c r="BV307" s="5" t="str">
        <f>IF('Project Database'!A311="","",N('Project Database'!AO311))</f>
        <v/>
      </c>
      <c r="BW307" s="5" t="str">
        <f>IF('Project Database'!A311="","",N('Project Database'!AP311))</f>
        <v/>
      </c>
      <c r="BX307" s="5">
        <f t="shared" si="68"/>
        <v>0</v>
      </c>
      <c r="BY307" s="5">
        <f t="shared" si="69"/>
        <v>0</v>
      </c>
    </row>
    <row r="308" spans="1:77" ht="15" customHeight="1" x14ac:dyDescent="0.3">
      <c r="A308" s="66">
        <f>'Project Database'!A312</f>
        <v>0</v>
      </c>
      <c r="B308" s="66">
        <f>'Project Database'!B312</f>
        <v>0</v>
      </c>
      <c r="C308" s="66">
        <f>'Project Database'!G312</f>
        <v>0</v>
      </c>
      <c r="D308" s="66">
        <f>'Project Database'!H312</f>
        <v>0</v>
      </c>
      <c r="E308" s="66">
        <f>'Project Database'!I312</f>
        <v>0</v>
      </c>
      <c r="F308" s="66">
        <f>'Project Database'!J312</f>
        <v>0</v>
      </c>
      <c r="G308" s="66">
        <f>'Project Database'!K312</f>
        <v>0</v>
      </c>
      <c r="H308" s="66">
        <f>'Project Database'!L312</f>
        <v>0</v>
      </c>
      <c r="I308" s="66">
        <f>'Project Database'!M312</f>
        <v>0</v>
      </c>
      <c r="J308" s="66">
        <f>'Project Database'!N312</f>
        <v>0</v>
      </c>
      <c r="K308" s="66">
        <f>'Project Database'!O312</f>
        <v>0</v>
      </c>
      <c r="L308" s="66">
        <f>'Project Database'!P312</f>
        <v>0</v>
      </c>
      <c r="M308" s="66">
        <f>'Project Database'!Q312</f>
        <v>0</v>
      </c>
      <c r="N308" s="66">
        <f>'Project Database'!R312</f>
        <v>0</v>
      </c>
      <c r="O308" s="66">
        <f>'Project Database'!S312</f>
        <v>0</v>
      </c>
      <c r="P308" s="66">
        <f>'Project Database'!T312</f>
        <v>0</v>
      </c>
      <c r="Q308" s="66">
        <f>'Project Database'!U312</f>
        <v>0</v>
      </c>
      <c r="R308" s="66">
        <f>'Project Database'!V312</f>
        <v>0</v>
      </c>
      <c r="S308" s="66">
        <f>'Project Database'!W312</f>
        <v>0</v>
      </c>
      <c r="T308" s="66">
        <f>'Project Database'!X312</f>
        <v>0</v>
      </c>
      <c r="U308" s="67">
        <f>'Project Database'!Y312</f>
        <v>0</v>
      </c>
      <c r="V308" s="66">
        <f>IF('Smart Search'!B13=1,IFERROR(1/'Smart Search'!H13,0),0)</f>
        <v>0</v>
      </c>
      <c r="W308" s="66">
        <f>IF('Smart Search'!B13=1,IFERROR(1/'Smart Search'!H13,0),0)</f>
        <v>0</v>
      </c>
      <c r="X308" s="66">
        <f>IF('Smart Search'!C13=1,IFERROR(1/'Smart Search'!H13,0),0)</f>
        <v>0.5</v>
      </c>
      <c r="Y308" s="66">
        <f>IF('Smart Search'!C13=1,IFERROR(1/'Smart Search'!H13,0),0)</f>
        <v>0.5</v>
      </c>
      <c r="Z308" s="66">
        <f>IF('Smart Search'!D13=1,IFERROR(1/'Smart Search'!H13,0),0)</f>
        <v>0</v>
      </c>
      <c r="AA308" s="66">
        <f>IF('Smart Search'!D13=1,IFERROR(1/'Smart Search'!H13,0),0)</f>
        <v>0</v>
      </c>
      <c r="AB308" s="66">
        <f>IF('Smart Search'!E13=1,IFERROR(1/'Smart Search'!H13,0),0)</f>
        <v>0</v>
      </c>
      <c r="AC308" s="66">
        <f>IF('Smart Search'!E13=1,IFERROR(1/'Smart Search'!H13,0),0)</f>
        <v>0</v>
      </c>
      <c r="AD308" s="66">
        <f>IF('Smart Search'!F13=1,IFERROR(1/'Smart Search'!H13,0),0)</f>
        <v>0</v>
      </c>
      <c r="AE308" s="66">
        <f>IF('Smart Search'!F13=1,IFERROR(1/'Smart Search'!H13,0),0)</f>
        <v>0</v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>0</v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>0</v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>0</v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>0</v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>0</v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>0</v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>0</v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>0</v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>0</v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>0</v>
      </c>
      <c r="AP308" s="66">
        <f t="shared" si="56"/>
        <v>0</v>
      </c>
      <c r="AQ308" s="66">
        <f t="shared" si="57"/>
        <v>0</v>
      </c>
      <c r="AR308" s="66">
        <f t="shared" si="58"/>
        <v>0</v>
      </c>
      <c r="AS308" s="66">
        <f t="shared" si="59"/>
        <v>0</v>
      </c>
      <c r="AT308" s="66">
        <f t="shared" si="60"/>
        <v>0</v>
      </c>
      <c r="AU308" s="66">
        <f t="shared" si="61"/>
        <v>0</v>
      </c>
      <c r="AV308" s="66">
        <f t="shared" si="62"/>
        <v>0</v>
      </c>
      <c r="AW308" s="66">
        <f t="shared" si="63"/>
        <v>0</v>
      </c>
      <c r="AX308" s="66">
        <f t="shared" si="64"/>
        <v>0</v>
      </c>
      <c r="AY308" s="66">
        <f t="shared" si="65"/>
        <v>0</v>
      </c>
      <c r="AZ308" s="66">
        <f>'Project Database'!Z312</f>
        <v>0</v>
      </c>
      <c r="BA308" s="66">
        <f>IF(OR(A308="",'Smart Search'!H13=0),"",MAX(0,BE308*BF308*MAX(0,1-BG308)))</f>
        <v>0</v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>0</v>
      </c>
      <c r="BC308" s="66">
        <f>IF('Smart Search'!G13=1,IFERROR(1/'Smart Search'!H13,0),0)</f>
        <v>0</v>
      </c>
      <c r="BD308" s="66">
        <f t="shared" si="66"/>
        <v>0</v>
      </c>
      <c r="BE308" s="66">
        <f t="shared" si="67"/>
        <v>0</v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>0</v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>0</v>
      </c>
      <c r="BH308" s="5" t="str">
        <f>IF(AND('Project Database'!A312&lt;&gt;"",OR('Smart Search'!$L$5="",'Smart Search'!$L$5="All",TRIM('Project Database'!D312)=TRIM('Smart Search'!$L$5)),OR(TRIM('Smart Search'!$L$6)="",TRIM('Smart Search'!$L$6)="All",ISNUMBER(SEARCH(SUBSTITUTE(SUBSTITUTE(SUBSTITUTE(TRIM('Smart Search'!$L$6),"~","~~"),"*","~*"),"?","~?"),'Project Database'!C312))),OR('Smart Search'!$L$7="",AND('Project Database'!E312&lt;&gt;"",'Project Database'!E312='Smart Search'!$L$7)),OR('Smart Search'!$L$8="",'Smart Search'!$L$8="All",TRIM('Project Database'!F312)=TRIM('Smart Search'!$L$8))),IF(BA308="","",BA308+ROW()*0.0000000001),"")</f>
        <v/>
      </c>
      <c r="BI308" s="5" t="str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 t="str">
        <f>IF('Project Database'!A312="","",N('Project Database'!AC312))</f>
        <v/>
      </c>
      <c r="BK308" s="5" t="str">
        <f>IF('Project Database'!A312="","",N('Project Database'!AD312))</f>
        <v/>
      </c>
      <c r="BL308" s="5" t="str">
        <f>IF('Project Database'!A312="","",N('Project Database'!AE312))</f>
        <v/>
      </c>
      <c r="BM308" s="5" t="str">
        <f>IF('Project Database'!A312="","",N('Project Database'!AF312))</f>
        <v/>
      </c>
      <c r="BN308" s="5" t="str">
        <f>IF('Project Database'!A312="","",N('Project Database'!AG312))</f>
        <v/>
      </c>
      <c r="BO308" s="5" t="str">
        <f>IF('Project Database'!A312="","",N('Project Database'!AH312))</f>
        <v/>
      </c>
      <c r="BP308" s="5" t="str">
        <f>IF('Project Database'!A312="","",N('Project Database'!AI312))</f>
        <v/>
      </c>
      <c r="BQ308" s="5" t="str">
        <f>IF('Project Database'!A312="","",N('Project Database'!AJ312))</f>
        <v/>
      </c>
      <c r="BR308" s="5" t="str">
        <f>IF('Project Database'!A312="","",N('Project Database'!AK312))</f>
        <v/>
      </c>
      <c r="BS308" s="5" t="str">
        <f>IF('Project Database'!A312="","",N('Project Database'!AL312))</f>
        <v/>
      </c>
      <c r="BT308" s="5" t="str">
        <f>IF('Project Database'!A312="","",N('Project Database'!AM312))</f>
        <v/>
      </c>
      <c r="BU308" s="5" t="str">
        <f>IF('Project Database'!A312="","",N('Project Database'!AN312))</f>
        <v/>
      </c>
      <c r="BV308" s="5" t="str">
        <f>IF('Project Database'!A312="","",N('Project Database'!AO312))</f>
        <v/>
      </c>
      <c r="BW308" s="5" t="str">
        <f>IF('Project Database'!A312="","",N('Project Database'!AP312))</f>
        <v/>
      </c>
      <c r="BX308" s="5">
        <f t="shared" si="68"/>
        <v>0</v>
      </c>
      <c r="BY308" s="5">
        <f t="shared" si="69"/>
        <v>0</v>
      </c>
    </row>
    <row r="309" spans="1:77" ht="15" customHeight="1" x14ac:dyDescent="0.3">
      <c r="A309" s="66">
        <f>'Project Database'!A313</f>
        <v>0</v>
      </c>
      <c r="B309" s="66">
        <f>'Project Database'!B313</f>
        <v>0</v>
      </c>
      <c r="C309" s="66">
        <f>'Project Database'!G313</f>
        <v>0</v>
      </c>
      <c r="D309" s="66">
        <f>'Project Database'!H313</f>
        <v>0</v>
      </c>
      <c r="E309" s="66">
        <f>'Project Database'!I313</f>
        <v>0</v>
      </c>
      <c r="F309" s="66">
        <f>'Project Database'!J313</f>
        <v>0</v>
      </c>
      <c r="G309" s="66">
        <f>'Project Database'!K313</f>
        <v>0</v>
      </c>
      <c r="H309" s="66">
        <f>'Project Database'!L313</f>
        <v>0</v>
      </c>
      <c r="I309" s="66">
        <f>'Project Database'!M313</f>
        <v>0</v>
      </c>
      <c r="J309" s="66">
        <f>'Project Database'!N313</f>
        <v>0</v>
      </c>
      <c r="K309" s="66">
        <f>'Project Database'!O313</f>
        <v>0</v>
      </c>
      <c r="L309" s="66">
        <f>'Project Database'!P313</f>
        <v>0</v>
      </c>
      <c r="M309" s="66">
        <f>'Project Database'!Q313</f>
        <v>0</v>
      </c>
      <c r="N309" s="66">
        <f>'Project Database'!R313</f>
        <v>0</v>
      </c>
      <c r="O309" s="66">
        <f>'Project Database'!S313</f>
        <v>0</v>
      </c>
      <c r="P309" s="66">
        <f>'Project Database'!T313</f>
        <v>0</v>
      </c>
      <c r="Q309" s="66">
        <f>'Project Database'!U313</f>
        <v>0</v>
      </c>
      <c r="R309" s="66">
        <f>'Project Database'!V313</f>
        <v>0</v>
      </c>
      <c r="S309" s="66">
        <f>'Project Database'!W313</f>
        <v>0</v>
      </c>
      <c r="T309" s="66">
        <f>'Project Database'!X313</f>
        <v>0</v>
      </c>
      <c r="U309" s="67">
        <f>'Project Database'!Y313</f>
        <v>0</v>
      </c>
      <c r="V309" s="66">
        <f>IF('Smart Search'!B13=1,IFERROR(1/'Smart Search'!H13,0),0)</f>
        <v>0</v>
      </c>
      <c r="W309" s="66">
        <f>IF('Smart Search'!B13=1,IFERROR(1/'Smart Search'!H13,0),0)</f>
        <v>0</v>
      </c>
      <c r="X309" s="66">
        <f>IF('Smart Search'!C13=1,IFERROR(1/'Smart Search'!H13,0),0)</f>
        <v>0.5</v>
      </c>
      <c r="Y309" s="66">
        <f>IF('Smart Search'!C13=1,IFERROR(1/'Smart Search'!H13,0),0)</f>
        <v>0.5</v>
      </c>
      <c r="Z309" s="66">
        <f>IF('Smart Search'!D13=1,IFERROR(1/'Smart Search'!H13,0),0)</f>
        <v>0</v>
      </c>
      <c r="AA309" s="66">
        <f>IF('Smart Search'!D13=1,IFERROR(1/'Smart Search'!H13,0),0)</f>
        <v>0</v>
      </c>
      <c r="AB309" s="66">
        <f>IF('Smart Search'!E13=1,IFERROR(1/'Smart Search'!H13,0),0)</f>
        <v>0</v>
      </c>
      <c r="AC309" s="66">
        <f>IF('Smart Search'!E13=1,IFERROR(1/'Smart Search'!H13,0),0)</f>
        <v>0</v>
      </c>
      <c r="AD309" s="66">
        <f>IF('Smart Search'!F13=1,IFERROR(1/'Smart Search'!H13,0),0)</f>
        <v>0</v>
      </c>
      <c r="AE309" s="66">
        <f>IF('Smart Search'!F13=1,IFERROR(1/'Smart Search'!H13,0),0)</f>
        <v>0</v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>0</v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>0</v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>0</v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>0</v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>0</v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>0</v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>0</v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>0</v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>0</v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>0</v>
      </c>
      <c r="AP309" s="66">
        <f t="shared" si="56"/>
        <v>0</v>
      </c>
      <c r="AQ309" s="66">
        <f t="shared" si="57"/>
        <v>0</v>
      </c>
      <c r="AR309" s="66">
        <f t="shared" si="58"/>
        <v>0</v>
      </c>
      <c r="AS309" s="66">
        <f t="shared" si="59"/>
        <v>0</v>
      </c>
      <c r="AT309" s="66">
        <f t="shared" si="60"/>
        <v>0</v>
      </c>
      <c r="AU309" s="66">
        <f t="shared" si="61"/>
        <v>0</v>
      </c>
      <c r="AV309" s="66">
        <f t="shared" si="62"/>
        <v>0</v>
      </c>
      <c r="AW309" s="66">
        <f t="shared" si="63"/>
        <v>0</v>
      </c>
      <c r="AX309" s="66">
        <f t="shared" si="64"/>
        <v>0</v>
      </c>
      <c r="AY309" s="66">
        <f t="shared" si="65"/>
        <v>0</v>
      </c>
      <c r="AZ309" s="66">
        <f>'Project Database'!Z313</f>
        <v>0</v>
      </c>
      <c r="BA309" s="66">
        <f>IF(OR(A309="",'Smart Search'!H13=0),"",MAX(0,BE309*BF309*MAX(0,1-BG309)))</f>
        <v>0</v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>0</v>
      </c>
      <c r="BC309" s="66">
        <f>IF('Smart Search'!G13=1,IFERROR(1/'Smart Search'!H13,0),0)</f>
        <v>0</v>
      </c>
      <c r="BD309" s="66">
        <f t="shared" si="66"/>
        <v>0</v>
      </c>
      <c r="BE309" s="66">
        <f t="shared" si="67"/>
        <v>0</v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>0</v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>0</v>
      </c>
      <c r="BH309" s="5" t="str">
        <f>IF(AND('Project Database'!A313&lt;&gt;"",OR('Smart Search'!$L$5="",'Smart Search'!$L$5="All",TRIM('Project Database'!D313)=TRIM('Smart Search'!$L$5)),OR(TRIM('Smart Search'!$L$6)="",TRIM('Smart Search'!$L$6)="All",ISNUMBER(SEARCH(SUBSTITUTE(SUBSTITUTE(SUBSTITUTE(TRIM('Smart Search'!$L$6),"~","~~"),"*","~*"),"?","~?"),'Project Database'!C313))),OR('Smart Search'!$L$7="",AND('Project Database'!E313&lt;&gt;"",'Project Database'!E313='Smart Search'!$L$7)),OR('Smart Search'!$L$8="",'Smart Search'!$L$8="All",TRIM('Project Database'!F313)=TRIM('Smart Search'!$L$8))),IF(BA309="","",BA309+ROW()*0.0000000001),"")</f>
        <v/>
      </c>
      <c r="BI309" s="5" t="str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 t="str">
        <f>IF('Project Database'!A313="","",N('Project Database'!AC313))</f>
        <v/>
      </c>
      <c r="BK309" s="5" t="str">
        <f>IF('Project Database'!A313="","",N('Project Database'!AD313))</f>
        <v/>
      </c>
      <c r="BL309" s="5" t="str">
        <f>IF('Project Database'!A313="","",N('Project Database'!AE313))</f>
        <v/>
      </c>
      <c r="BM309" s="5" t="str">
        <f>IF('Project Database'!A313="","",N('Project Database'!AF313))</f>
        <v/>
      </c>
      <c r="BN309" s="5" t="str">
        <f>IF('Project Database'!A313="","",N('Project Database'!AG313))</f>
        <v/>
      </c>
      <c r="BO309" s="5" t="str">
        <f>IF('Project Database'!A313="","",N('Project Database'!AH313))</f>
        <v/>
      </c>
      <c r="BP309" s="5" t="str">
        <f>IF('Project Database'!A313="","",N('Project Database'!AI313))</f>
        <v/>
      </c>
      <c r="BQ309" s="5" t="str">
        <f>IF('Project Database'!A313="","",N('Project Database'!AJ313))</f>
        <v/>
      </c>
      <c r="BR309" s="5" t="str">
        <f>IF('Project Database'!A313="","",N('Project Database'!AK313))</f>
        <v/>
      </c>
      <c r="BS309" s="5" t="str">
        <f>IF('Project Database'!A313="","",N('Project Database'!AL313))</f>
        <v/>
      </c>
      <c r="BT309" s="5" t="str">
        <f>IF('Project Database'!A313="","",N('Project Database'!AM313))</f>
        <v/>
      </c>
      <c r="BU309" s="5" t="str">
        <f>IF('Project Database'!A313="","",N('Project Database'!AN313))</f>
        <v/>
      </c>
      <c r="BV309" s="5" t="str">
        <f>IF('Project Database'!A313="","",N('Project Database'!AO313))</f>
        <v/>
      </c>
      <c r="BW309" s="5" t="str">
        <f>IF('Project Database'!A313="","",N('Project Database'!AP313))</f>
        <v/>
      </c>
      <c r="BX309" s="5">
        <f t="shared" si="68"/>
        <v>0</v>
      </c>
      <c r="BY309" s="5">
        <f t="shared" si="69"/>
        <v>0</v>
      </c>
    </row>
    <row r="310" spans="1:77" ht="15" customHeight="1" x14ac:dyDescent="0.3">
      <c r="A310" s="66">
        <f>'Project Database'!A314</f>
        <v>0</v>
      </c>
      <c r="B310" s="66">
        <f>'Project Database'!B314</f>
        <v>0</v>
      </c>
      <c r="C310" s="66">
        <f>'Project Database'!G314</f>
        <v>0</v>
      </c>
      <c r="D310" s="66">
        <f>'Project Database'!H314</f>
        <v>0</v>
      </c>
      <c r="E310" s="66">
        <f>'Project Database'!I314</f>
        <v>0</v>
      </c>
      <c r="F310" s="66">
        <f>'Project Database'!J314</f>
        <v>0</v>
      </c>
      <c r="G310" s="66">
        <f>'Project Database'!K314</f>
        <v>0</v>
      </c>
      <c r="H310" s="66">
        <f>'Project Database'!L314</f>
        <v>0</v>
      </c>
      <c r="I310" s="66">
        <f>'Project Database'!M314</f>
        <v>0</v>
      </c>
      <c r="J310" s="66">
        <f>'Project Database'!N314</f>
        <v>0</v>
      </c>
      <c r="K310" s="66">
        <f>'Project Database'!O314</f>
        <v>0</v>
      </c>
      <c r="L310" s="66">
        <f>'Project Database'!P314</f>
        <v>0</v>
      </c>
      <c r="M310" s="66">
        <f>'Project Database'!Q314</f>
        <v>0</v>
      </c>
      <c r="N310" s="66">
        <f>'Project Database'!R314</f>
        <v>0</v>
      </c>
      <c r="O310" s="66">
        <f>'Project Database'!S314</f>
        <v>0</v>
      </c>
      <c r="P310" s="66">
        <f>'Project Database'!T314</f>
        <v>0</v>
      </c>
      <c r="Q310" s="66">
        <f>'Project Database'!U314</f>
        <v>0</v>
      </c>
      <c r="R310" s="66">
        <f>'Project Database'!V314</f>
        <v>0</v>
      </c>
      <c r="S310" s="66">
        <f>'Project Database'!W314</f>
        <v>0</v>
      </c>
      <c r="T310" s="66">
        <f>'Project Database'!X314</f>
        <v>0</v>
      </c>
      <c r="U310" s="67">
        <f>'Project Database'!Y314</f>
        <v>0</v>
      </c>
      <c r="V310" s="66">
        <f>IF('Smart Search'!B13=1,IFERROR(1/'Smart Search'!H13,0),0)</f>
        <v>0</v>
      </c>
      <c r="W310" s="66">
        <f>IF('Smart Search'!B13=1,IFERROR(1/'Smart Search'!H13,0),0)</f>
        <v>0</v>
      </c>
      <c r="X310" s="66">
        <f>IF('Smart Search'!C13=1,IFERROR(1/'Smart Search'!H13,0),0)</f>
        <v>0.5</v>
      </c>
      <c r="Y310" s="66">
        <f>IF('Smart Search'!C13=1,IFERROR(1/'Smart Search'!H13,0),0)</f>
        <v>0.5</v>
      </c>
      <c r="Z310" s="66">
        <f>IF('Smart Search'!D13=1,IFERROR(1/'Smart Search'!H13,0),0)</f>
        <v>0</v>
      </c>
      <c r="AA310" s="66">
        <f>IF('Smart Search'!D13=1,IFERROR(1/'Smart Search'!H13,0),0)</f>
        <v>0</v>
      </c>
      <c r="AB310" s="66">
        <f>IF('Smart Search'!E13=1,IFERROR(1/'Smart Search'!H13,0),0)</f>
        <v>0</v>
      </c>
      <c r="AC310" s="66">
        <f>IF('Smart Search'!E13=1,IFERROR(1/'Smart Search'!H13,0),0)</f>
        <v>0</v>
      </c>
      <c r="AD310" s="66">
        <f>IF('Smart Search'!F13=1,IFERROR(1/'Smart Search'!H13,0),0)</f>
        <v>0</v>
      </c>
      <c r="AE310" s="66">
        <f>IF('Smart Search'!F13=1,IFERROR(1/'Smart Search'!H13,0),0)</f>
        <v>0</v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>0</v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>0</v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>0</v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>0</v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>0</v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>0</v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>0</v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>0</v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>0</v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>0</v>
      </c>
      <c r="AP310" s="66">
        <f t="shared" si="56"/>
        <v>0</v>
      </c>
      <c r="AQ310" s="66">
        <f t="shared" si="57"/>
        <v>0</v>
      </c>
      <c r="AR310" s="66">
        <f t="shared" si="58"/>
        <v>0</v>
      </c>
      <c r="AS310" s="66">
        <f t="shared" si="59"/>
        <v>0</v>
      </c>
      <c r="AT310" s="66">
        <f t="shared" si="60"/>
        <v>0</v>
      </c>
      <c r="AU310" s="66">
        <f t="shared" si="61"/>
        <v>0</v>
      </c>
      <c r="AV310" s="66">
        <f t="shared" si="62"/>
        <v>0</v>
      </c>
      <c r="AW310" s="66">
        <f t="shared" si="63"/>
        <v>0</v>
      </c>
      <c r="AX310" s="66">
        <f t="shared" si="64"/>
        <v>0</v>
      </c>
      <c r="AY310" s="66">
        <f t="shared" si="65"/>
        <v>0</v>
      </c>
      <c r="AZ310" s="66">
        <f>'Project Database'!Z314</f>
        <v>0</v>
      </c>
      <c r="BA310" s="66">
        <f>IF(OR(A310="",'Smart Search'!H13=0),"",MAX(0,BE310*BF310*MAX(0,1-BG310)))</f>
        <v>0</v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>0</v>
      </c>
      <c r="BC310" s="66">
        <f>IF('Smart Search'!G13=1,IFERROR(1/'Smart Search'!H13,0),0)</f>
        <v>0</v>
      </c>
      <c r="BD310" s="66">
        <f t="shared" si="66"/>
        <v>0</v>
      </c>
      <c r="BE310" s="66">
        <f t="shared" si="67"/>
        <v>0</v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>0</v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>0</v>
      </c>
      <c r="BH310" s="5" t="str">
        <f>IF(AND('Project Database'!A314&lt;&gt;"",OR('Smart Search'!$L$5="",'Smart Search'!$L$5="All",TRIM('Project Database'!D314)=TRIM('Smart Search'!$L$5)),OR(TRIM('Smart Search'!$L$6)="",TRIM('Smart Search'!$L$6)="All",ISNUMBER(SEARCH(SUBSTITUTE(SUBSTITUTE(SUBSTITUTE(TRIM('Smart Search'!$L$6),"~","~~"),"*","~*"),"?","~?"),'Project Database'!C314))),OR('Smart Search'!$L$7="",AND('Project Database'!E314&lt;&gt;"",'Project Database'!E314='Smart Search'!$L$7)),OR('Smart Search'!$L$8="",'Smart Search'!$L$8="All",TRIM('Project Database'!F314)=TRIM('Smart Search'!$L$8))),IF(BA310="","",BA310+ROW()*0.0000000001),"")</f>
        <v/>
      </c>
      <c r="BI310" s="5" t="str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 t="str">
        <f>IF('Project Database'!A314="","",N('Project Database'!AC314))</f>
        <v/>
      </c>
      <c r="BK310" s="5" t="str">
        <f>IF('Project Database'!A314="","",N('Project Database'!AD314))</f>
        <v/>
      </c>
      <c r="BL310" s="5" t="str">
        <f>IF('Project Database'!A314="","",N('Project Database'!AE314))</f>
        <v/>
      </c>
      <c r="BM310" s="5" t="str">
        <f>IF('Project Database'!A314="","",N('Project Database'!AF314))</f>
        <v/>
      </c>
      <c r="BN310" s="5" t="str">
        <f>IF('Project Database'!A314="","",N('Project Database'!AG314))</f>
        <v/>
      </c>
      <c r="BO310" s="5" t="str">
        <f>IF('Project Database'!A314="","",N('Project Database'!AH314))</f>
        <v/>
      </c>
      <c r="BP310" s="5" t="str">
        <f>IF('Project Database'!A314="","",N('Project Database'!AI314))</f>
        <v/>
      </c>
      <c r="BQ310" s="5" t="str">
        <f>IF('Project Database'!A314="","",N('Project Database'!AJ314))</f>
        <v/>
      </c>
      <c r="BR310" s="5" t="str">
        <f>IF('Project Database'!A314="","",N('Project Database'!AK314))</f>
        <v/>
      </c>
      <c r="BS310" s="5" t="str">
        <f>IF('Project Database'!A314="","",N('Project Database'!AL314))</f>
        <v/>
      </c>
      <c r="BT310" s="5" t="str">
        <f>IF('Project Database'!A314="","",N('Project Database'!AM314))</f>
        <v/>
      </c>
      <c r="BU310" s="5" t="str">
        <f>IF('Project Database'!A314="","",N('Project Database'!AN314))</f>
        <v/>
      </c>
      <c r="BV310" s="5" t="str">
        <f>IF('Project Database'!A314="","",N('Project Database'!AO314))</f>
        <v/>
      </c>
      <c r="BW310" s="5" t="str">
        <f>IF('Project Database'!A314="","",N('Project Database'!AP314))</f>
        <v/>
      </c>
      <c r="BX310" s="5">
        <f t="shared" si="68"/>
        <v>0</v>
      </c>
      <c r="BY310" s="5">
        <f t="shared" si="69"/>
        <v>0</v>
      </c>
    </row>
    <row r="311" spans="1:77" ht="15" customHeight="1" x14ac:dyDescent="0.3">
      <c r="A311" s="66">
        <f>'Project Database'!A315</f>
        <v>0</v>
      </c>
      <c r="B311" s="66">
        <f>'Project Database'!B315</f>
        <v>0</v>
      </c>
      <c r="C311" s="66">
        <f>'Project Database'!G315</f>
        <v>0</v>
      </c>
      <c r="D311" s="66">
        <f>'Project Database'!H315</f>
        <v>0</v>
      </c>
      <c r="E311" s="66">
        <f>'Project Database'!I315</f>
        <v>0</v>
      </c>
      <c r="F311" s="66">
        <f>'Project Database'!J315</f>
        <v>0</v>
      </c>
      <c r="G311" s="66">
        <f>'Project Database'!K315</f>
        <v>0</v>
      </c>
      <c r="H311" s="66">
        <f>'Project Database'!L315</f>
        <v>0</v>
      </c>
      <c r="I311" s="66">
        <f>'Project Database'!M315</f>
        <v>0</v>
      </c>
      <c r="J311" s="66">
        <f>'Project Database'!N315</f>
        <v>0</v>
      </c>
      <c r="K311" s="66">
        <f>'Project Database'!O315</f>
        <v>0</v>
      </c>
      <c r="L311" s="66">
        <f>'Project Database'!P315</f>
        <v>0</v>
      </c>
      <c r="M311" s="66">
        <f>'Project Database'!Q315</f>
        <v>0</v>
      </c>
      <c r="N311" s="66">
        <f>'Project Database'!R315</f>
        <v>0</v>
      </c>
      <c r="O311" s="66">
        <f>'Project Database'!S315</f>
        <v>0</v>
      </c>
      <c r="P311" s="66">
        <f>'Project Database'!T315</f>
        <v>0</v>
      </c>
      <c r="Q311" s="66">
        <f>'Project Database'!U315</f>
        <v>0</v>
      </c>
      <c r="R311" s="66">
        <f>'Project Database'!V315</f>
        <v>0</v>
      </c>
      <c r="S311" s="66">
        <f>'Project Database'!W315</f>
        <v>0</v>
      </c>
      <c r="T311" s="66">
        <f>'Project Database'!X315</f>
        <v>0</v>
      </c>
      <c r="U311" s="67">
        <f>'Project Database'!Y315</f>
        <v>0</v>
      </c>
      <c r="V311" s="66">
        <f>IF('Smart Search'!B13=1,IFERROR(1/'Smart Search'!H13,0),0)</f>
        <v>0</v>
      </c>
      <c r="W311" s="66">
        <f>IF('Smart Search'!B13=1,IFERROR(1/'Smart Search'!H13,0),0)</f>
        <v>0</v>
      </c>
      <c r="X311" s="66">
        <f>IF('Smart Search'!C13=1,IFERROR(1/'Smart Search'!H13,0),0)</f>
        <v>0.5</v>
      </c>
      <c r="Y311" s="66">
        <f>IF('Smart Search'!C13=1,IFERROR(1/'Smart Search'!H13,0),0)</f>
        <v>0.5</v>
      </c>
      <c r="Z311" s="66">
        <f>IF('Smart Search'!D13=1,IFERROR(1/'Smart Search'!H13,0),0)</f>
        <v>0</v>
      </c>
      <c r="AA311" s="66">
        <f>IF('Smart Search'!D13=1,IFERROR(1/'Smart Search'!H13,0),0)</f>
        <v>0</v>
      </c>
      <c r="AB311" s="66">
        <f>IF('Smart Search'!E13=1,IFERROR(1/'Smart Search'!H13,0),0)</f>
        <v>0</v>
      </c>
      <c r="AC311" s="66">
        <f>IF('Smart Search'!E13=1,IFERROR(1/'Smart Search'!H13,0),0)</f>
        <v>0</v>
      </c>
      <c r="AD311" s="66">
        <f>IF('Smart Search'!F13=1,IFERROR(1/'Smart Search'!H13,0),0)</f>
        <v>0</v>
      </c>
      <c r="AE311" s="66">
        <f>IF('Smart Search'!F13=1,IFERROR(1/'Smart Search'!H13,0),0)</f>
        <v>0</v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>0</v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>0</v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>0</v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>0</v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>0</v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>0</v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>0</v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>0</v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>0</v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>0</v>
      </c>
      <c r="AP311" s="66">
        <f t="shared" si="56"/>
        <v>0</v>
      </c>
      <c r="AQ311" s="66">
        <f t="shared" si="57"/>
        <v>0</v>
      </c>
      <c r="AR311" s="66">
        <f t="shared" si="58"/>
        <v>0</v>
      </c>
      <c r="AS311" s="66">
        <f t="shared" si="59"/>
        <v>0</v>
      </c>
      <c r="AT311" s="66">
        <f t="shared" si="60"/>
        <v>0</v>
      </c>
      <c r="AU311" s="66">
        <f t="shared" si="61"/>
        <v>0</v>
      </c>
      <c r="AV311" s="66">
        <f t="shared" si="62"/>
        <v>0</v>
      </c>
      <c r="AW311" s="66">
        <f t="shared" si="63"/>
        <v>0</v>
      </c>
      <c r="AX311" s="66">
        <f t="shared" si="64"/>
        <v>0</v>
      </c>
      <c r="AY311" s="66">
        <f t="shared" si="65"/>
        <v>0</v>
      </c>
      <c r="AZ311" s="66">
        <f>'Project Database'!Z315</f>
        <v>0</v>
      </c>
      <c r="BA311" s="66">
        <f>IF(OR(A311="",'Smart Search'!H13=0),"",MAX(0,BE311*BF311*MAX(0,1-BG311)))</f>
        <v>0</v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>0</v>
      </c>
      <c r="BC311" s="66">
        <f>IF('Smart Search'!G13=1,IFERROR(1/'Smart Search'!H13,0),0)</f>
        <v>0</v>
      </c>
      <c r="BD311" s="66">
        <f t="shared" si="66"/>
        <v>0</v>
      </c>
      <c r="BE311" s="66">
        <f t="shared" si="67"/>
        <v>0</v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>0</v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>0</v>
      </c>
      <c r="BH311" s="5" t="str">
        <f>IF(AND('Project Database'!A315&lt;&gt;"",OR('Smart Search'!$L$5="",'Smart Search'!$L$5="All",TRIM('Project Database'!D315)=TRIM('Smart Search'!$L$5)),OR(TRIM('Smart Search'!$L$6)="",TRIM('Smart Search'!$L$6)="All",ISNUMBER(SEARCH(SUBSTITUTE(SUBSTITUTE(SUBSTITUTE(TRIM('Smart Search'!$L$6),"~","~~"),"*","~*"),"?","~?"),'Project Database'!C315))),OR('Smart Search'!$L$7="",AND('Project Database'!E315&lt;&gt;"",'Project Database'!E315='Smart Search'!$L$7)),OR('Smart Search'!$L$8="",'Smart Search'!$L$8="All",TRIM('Project Database'!F315)=TRIM('Smart Search'!$L$8))),IF(BA311="","",BA311+ROW()*0.0000000001),"")</f>
        <v/>
      </c>
      <c r="BI311" s="5" t="str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 t="str">
        <f>IF('Project Database'!A315="","",N('Project Database'!AC315))</f>
        <v/>
      </c>
      <c r="BK311" s="5" t="str">
        <f>IF('Project Database'!A315="","",N('Project Database'!AD315))</f>
        <v/>
      </c>
      <c r="BL311" s="5" t="str">
        <f>IF('Project Database'!A315="","",N('Project Database'!AE315))</f>
        <v/>
      </c>
      <c r="BM311" s="5" t="str">
        <f>IF('Project Database'!A315="","",N('Project Database'!AF315))</f>
        <v/>
      </c>
      <c r="BN311" s="5" t="str">
        <f>IF('Project Database'!A315="","",N('Project Database'!AG315))</f>
        <v/>
      </c>
      <c r="BO311" s="5" t="str">
        <f>IF('Project Database'!A315="","",N('Project Database'!AH315))</f>
        <v/>
      </c>
      <c r="BP311" s="5" t="str">
        <f>IF('Project Database'!A315="","",N('Project Database'!AI315))</f>
        <v/>
      </c>
      <c r="BQ311" s="5" t="str">
        <f>IF('Project Database'!A315="","",N('Project Database'!AJ315))</f>
        <v/>
      </c>
      <c r="BR311" s="5" t="str">
        <f>IF('Project Database'!A315="","",N('Project Database'!AK315))</f>
        <v/>
      </c>
      <c r="BS311" s="5" t="str">
        <f>IF('Project Database'!A315="","",N('Project Database'!AL315))</f>
        <v/>
      </c>
      <c r="BT311" s="5" t="str">
        <f>IF('Project Database'!A315="","",N('Project Database'!AM315))</f>
        <v/>
      </c>
      <c r="BU311" s="5" t="str">
        <f>IF('Project Database'!A315="","",N('Project Database'!AN315))</f>
        <v/>
      </c>
      <c r="BV311" s="5" t="str">
        <f>IF('Project Database'!A315="","",N('Project Database'!AO315))</f>
        <v/>
      </c>
      <c r="BW311" s="5" t="str">
        <f>IF('Project Database'!A315="","",N('Project Database'!AP315))</f>
        <v/>
      </c>
      <c r="BX311" s="5">
        <f t="shared" si="68"/>
        <v>0</v>
      </c>
      <c r="BY311" s="5">
        <f t="shared" si="69"/>
        <v>0</v>
      </c>
    </row>
    <row r="312" spans="1:77" ht="15" customHeight="1" x14ac:dyDescent="0.3">
      <c r="A312" s="66">
        <f>'Project Database'!A316</f>
        <v>0</v>
      </c>
      <c r="B312" s="66">
        <f>'Project Database'!B316</f>
        <v>0</v>
      </c>
      <c r="C312" s="66">
        <f>'Project Database'!G316</f>
        <v>0</v>
      </c>
      <c r="D312" s="66">
        <f>'Project Database'!H316</f>
        <v>0</v>
      </c>
      <c r="E312" s="66">
        <f>'Project Database'!I316</f>
        <v>0</v>
      </c>
      <c r="F312" s="66">
        <f>'Project Database'!J316</f>
        <v>0</v>
      </c>
      <c r="G312" s="66">
        <f>'Project Database'!K316</f>
        <v>0</v>
      </c>
      <c r="H312" s="66">
        <f>'Project Database'!L316</f>
        <v>0</v>
      </c>
      <c r="I312" s="66">
        <f>'Project Database'!M316</f>
        <v>0</v>
      </c>
      <c r="J312" s="66">
        <f>'Project Database'!N316</f>
        <v>0</v>
      </c>
      <c r="K312" s="66">
        <f>'Project Database'!O316</f>
        <v>0</v>
      </c>
      <c r="L312" s="66">
        <f>'Project Database'!P316</f>
        <v>0</v>
      </c>
      <c r="M312" s="66">
        <f>'Project Database'!Q316</f>
        <v>0</v>
      </c>
      <c r="N312" s="66">
        <f>'Project Database'!R316</f>
        <v>0</v>
      </c>
      <c r="O312" s="66">
        <f>'Project Database'!S316</f>
        <v>0</v>
      </c>
      <c r="P312" s="66">
        <f>'Project Database'!T316</f>
        <v>0</v>
      </c>
      <c r="Q312" s="66">
        <f>'Project Database'!U316</f>
        <v>0</v>
      </c>
      <c r="R312" s="66">
        <f>'Project Database'!V316</f>
        <v>0</v>
      </c>
      <c r="S312" s="66">
        <f>'Project Database'!W316</f>
        <v>0</v>
      </c>
      <c r="T312" s="66">
        <f>'Project Database'!X316</f>
        <v>0</v>
      </c>
      <c r="U312" s="67">
        <f>'Project Database'!Y316</f>
        <v>0</v>
      </c>
      <c r="V312" s="66">
        <f>IF('Smart Search'!B13=1,IFERROR(1/'Smart Search'!H13,0),0)</f>
        <v>0</v>
      </c>
      <c r="W312" s="66">
        <f>IF('Smart Search'!B13=1,IFERROR(1/'Smart Search'!H13,0),0)</f>
        <v>0</v>
      </c>
      <c r="X312" s="66">
        <f>IF('Smart Search'!C13=1,IFERROR(1/'Smart Search'!H13,0),0)</f>
        <v>0.5</v>
      </c>
      <c r="Y312" s="66">
        <f>IF('Smart Search'!C13=1,IFERROR(1/'Smart Search'!H13,0),0)</f>
        <v>0.5</v>
      </c>
      <c r="Z312" s="66">
        <f>IF('Smart Search'!D13=1,IFERROR(1/'Smart Search'!H13,0),0)</f>
        <v>0</v>
      </c>
      <c r="AA312" s="66">
        <f>IF('Smart Search'!D13=1,IFERROR(1/'Smart Search'!H13,0),0)</f>
        <v>0</v>
      </c>
      <c r="AB312" s="66">
        <f>IF('Smart Search'!E13=1,IFERROR(1/'Smart Search'!H13,0),0)</f>
        <v>0</v>
      </c>
      <c r="AC312" s="66">
        <f>IF('Smart Search'!E13=1,IFERROR(1/'Smart Search'!H13,0),0)</f>
        <v>0</v>
      </c>
      <c r="AD312" s="66">
        <f>IF('Smart Search'!F13=1,IFERROR(1/'Smart Search'!H13,0),0)</f>
        <v>0</v>
      </c>
      <c r="AE312" s="66">
        <f>IF('Smart Search'!F13=1,IFERROR(1/'Smart Search'!H13,0),0)</f>
        <v>0</v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>0</v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>0</v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>0</v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>0</v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>0</v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>0</v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>0</v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>0</v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>0</v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>0</v>
      </c>
      <c r="AP312" s="66">
        <f t="shared" si="56"/>
        <v>0</v>
      </c>
      <c r="AQ312" s="66">
        <f t="shared" si="57"/>
        <v>0</v>
      </c>
      <c r="AR312" s="66">
        <f t="shared" si="58"/>
        <v>0</v>
      </c>
      <c r="AS312" s="66">
        <f t="shared" si="59"/>
        <v>0</v>
      </c>
      <c r="AT312" s="66">
        <f t="shared" si="60"/>
        <v>0</v>
      </c>
      <c r="AU312" s="66">
        <f t="shared" si="61"/>
        <v>0</v>
      </c>
      <c r="AV312" s="66">
        <f t="shared" si="62"/>
        <v>0</v>
      </c>
      <c r="AW312" s="66">
        <f t="shared" si="63"/>
        <v>0</v>
      </c>
      <c r="AX312" s="66">
        <f t="shared" si="64"/>
        <v>0</v>
      </c>
      <c r="AY312" s="66">
        <f t="shared" si="65"/>
        <v>0</v>
      </c>
      <c r="AZ312" s="66">
        <f>'Project Database'!Z316</f>
        <v>0</v>
      </c>
      <c r="BA312" s="66">
        <f>IF(OR(A312="",'Smart Search'!H13=0),"",MAX(0,BE312*BF312*MAX(0,1-BG312)))</f>
        <v>0</v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>0</v>
      </c>
      <c r="BC312" s="66">
        <f>IF('Smart Search'!G13=1,IFERROR(1/'Smart Search'!H13,0),0)</f>
        <v>0</v>
      </c>
      <c r="BD312" s="66">
        <f t="shared" si="66"/>
        <v>0</v>
      </c>
      <c r="BE312" s="66">
        <f t="shared" si="67"/>
        <v>0</v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>0</v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>0</v>
      </c>
      <c r="BH312" s="5" t="str">
        <f>IF(AND('Project Database'!A316&lt;&gt;"",OR('Smart Search'!$L$5="",'Smart Search'!$L$5="All",TRIM('Project Database'!D316)=TRIM('Smart Search'!$L$5)),OR(TRIM('Smart Search'!$L$6)="",TRIM('Smart Search'!$L$6)="All",ISNUMBER(SEARCH(SUBSTITUTE(SUBSTITUTE(SUBSTITUTE(TRIM('Smart Search'!$L$6),"~","~~"),"*","~*"),"?","~?"),'Project Database'!C316))),OR('Smart Search'!$L$7="",AND('Project Database'!E316&lt;&gt;"",'Project Database'!E316='Smart Search'!$L$7)),OR('Smart Search'!$L$8="",'Smart Search'!$L$8="All",TRIM('Project Database'!F316)=TRIM('Smart Search'!$L$8))),IF(BA312="","",BA312+ROW()*0.0000000001),"")</f>
        <v/>
      </c>
      <c r="BI312" s="5" t="str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 t="str">
        <f>IF('Project Database'!A316="","",N('Project Database'!AC316))</f>
        <v/>
      </c>
      <c r="BK312" s="5" t="str">
        <f>IF('Project Database'!A316="","",N('Project Database'!AD316))</f>
        <v/>
      </c>
      <c r="BL312" s="5" t="str">
        <f>IF('Project Database'!A316="","",N('Project Database'!AE316))</f>
        <v/>
      </c>
      <c r="BM312" s="5" t="str">
        <f>IF('Project Database'!A316="","",N('Project Database'!AF316))</f>
        <v/>
      </c>
      <c r="BN312" s="5" t="str">
        <f>IF('Project Database'!A316="","",N('Project Database'!AG316))</f>
        <v/>
      </c>
      <c r="BO312" s="5" t="str">
        <f>IF('Project Database'!A316="","",N('Project Database'!AH316))</f>
        <v/>
      </c>
      <c r="BP312" s="5" t="str">
        <f>IF('Project Database'!A316="","",N('Project Database'!AI316))</f>
        <v/>
      </c>
      <c r="BQ312" s="5" t="str">
        <f>IF('Project Database'!A316="","",N('Project Database'!AJ316))</f>
        <v/>
      </c>
      <c r="BR312" s="5" t="str">
        <f>IF('Project Database'!A316="","",N('Project Database'!AK316))</f>
        <v/>
      </c>
      <c r="BS312" s="5" t="str">
        <f>IF('Project Database'!A316="","",N('Project Database'!AL316))</f>
        <v/>
      </c>
      <c r="BT312" s="5" t="str">
        <f>IF('Project Database'!A316="","",N('Project Database'!AM316))</f>
        <v/>
      </c>
      <c r="BU312" s="5" t="str">
        <f>IF('Project Database'!A316="","",N('Project Database'!AN316))</f>
        <v/>
      </c>
      <c r="BV312" s="5" t="str">
        <f>IF('Project Database'!A316="","",N('Project Database'!AO316))</f>
        <v/>
      </c>
      <c r="BW312" s="5" t="str">
        <f>IF('Project Database'!A316="","",N('Project Database'!AP316))</f>
        <v/>
      </c>
      <c r="BX312" s="5">
        <f t="shared" si="68"/>
        <v>0</v>
      </c>
      <c r="BY312" s="5">
        <f t="shared" si="69"/>
        <v>0</v>
      </c>
    </row>
    <row r="313" spans="1:77" ht="15" customHeight="1" x14ac:dyDescent="0.3">
      <c r="A313" s="66">
        <f>'Project Database'!A317</f>
        <v>0</v>
      </c>
      <c r="B313" s="66">
        <f>'Project Database'!B317</f>
        <v>0</v>
      </c>
      <c r="C313" s="66">
        <f>'Project Database'!G317</f>
        <v>0</v>
      </c>
      <c r="D313" s="66">
        <f>'Project Database'!H317</f>
        <v>0</v>
      </c>
      <c r="E313" s="66">
        <f>'Project Database'!I317</f>
        <v>0</v>
      </c>
      <c r="F313" s="66">
        <f>'Project Database'!J317</f>
        <v>0</v>
      </c>
      <c r="G313" s="66">
        <f>'Project Database'!K317</f>
        <v>0</v>
      </c>
      <c r="H313" s="66">
        <f>'Project Database'!L317</f>
        <v>0</v>
      </c>
      <c r="I313" s="66">
        <f>'Project Database'!M317</f>
        <v>0</v>
      </c>
      <c r="J313" s="66">
        <f>'Project Database'!N317</f>
        <v>0</v>
      </c>
      <c r="K313" s="66">
        <f>'Project Database'!O317</f>
        <v>0</v>
      </c>
      <c r="L313" s="66">
        <f>'Project Database'!P317</f>
        <v>0</v>
      </c>
      <c r="M313" s="66">
        <f>'Project Database'!Q317</f>
        <v>0</v>
      </c>
      <c r="N313" s="66">
        <f>'Project Database'!R317</f>
        <v>0</v>
      </c>
      <c r="O313" s="66">
        <f>'Project Database'!S317</f>
        <v>0</v>
      </c>
      <c r="P313" s="66">
        <f>'Project Database'!T317</f>
        <v>0</v>
      </c>
      <c r="Q313" s="66">
        <f>'Project Database'!U317</f>
        <v>0</v>
      </c>
      <c r="R313" s="66">
        <f>'Project Database'!V317</f>
        <v>0</v>
      </c>
      <c r="S313" s="66">
        <f>'Project Database'!W317</f>
        <v>0</v>
      </c>
      <c r="T313" s="66">
        <f>'Project Database'!X317</f>
        <v>0</v>
      </c>
      <c r="U313" s="67">
        <f>'Project Database'!Y317</f>
        <v>0</v>
      </c>
      <c r="V313" s="66">
        <f>IF('Smart Search'!B13=1,IFERROR(1/'Smart Search'!H13,0),0)</f>
        <v>0</v>
      </c>
      <c r="W313" s="66">
        <f>IF('Smart Search'!B13=1,IFERROR(1/'Smart Search'!H13,0),0)</f>
        <v>0</v>
      </c>
      <c r="X313" s="66">
        <f>IF('Smart Search'!C13=1,IFERROR(1/'Smart Search'!H13,0),0)</f>
        <v>0.5</v>
      </c>
      <c r="Y313" s="66">
        <f>IF('Smart Search'!C13=1,IFERROR(1/'Smart Search'!H13,0),0)</f>
        <v>0.5</v>
      </c>
      <c r="Z313" s="66">
        <f>IF('Smart Search'!D13=1,IFERROR(1/'Smart Search'!H13,0),0)</f>
        <v>0</v>
      </c>
      <c r="AA313" s="66">
        <f>IF('Smart Search'!D13=1,IFERROR(1/'Smart Search'!H13,0),0)</f>
        <v>0</v>
      </c>
      <c r="AB313" s="66">
        <f>IF('Smart Search'!E13=1,IFERROR(1/'Smart Search'!H13,0),0)</f>
        <v>0</v>
      </c>
      <c r="AC313" s="66">
        <f>IF('Smart Search'!E13=1,IFERROR(1/'Smart Search'!H13,0),0)</f>
        <v>0</v>
      </c>
      <c r="AD313" s="66">
        <f>IF('Smart Search'!F13=1,IFERROR(1/'Smart Search'!H13,0),0)</f>
        <v>0</v>
      </c>
      <c r="AE313" s="66">
        <f>IF('Smart Search'!F13=1,IFERROR(1/'Smart Search'!H13,0),0)</f>
        <v>0</v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>0</v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>0</v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>0</v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>0</v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>0</v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>0</v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>0</v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>0</v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>0</v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>0</v>
      </c>
      <c r="AP313" s="66">
        <f t="shared" si="56"/>
        <v>0</v>
      </c>
      <c r="AQ313" s="66">
        <f t="shared" si="57"/>
        <v>0</v>
      </c>
      <c r="AR313" s="66">
        <f t="shared" si="58"/>
        <v>0</v>
      </c>
      <c r="AS313" s="66">
        <f t="shared" si="59"/>
        <v>0</v>
      </c>
      <c r="AT313" s="66">
        <f t="shared" si="60"/>
        <v>0</v>
      </c>
      <c r="AU313" s="66">
        <f t="shared" si="61"/>
        <v>0</v>
      </c>
      <c r="AV313" s="66">
        <f t="shared" si="62"/>
        <v>0</v>
      </c>
      <c r="AW313" s="66">
        <f t="shared" si="63"/>
        <v>0</v>
      </c>
      <c r="AX313" s="66">
        <f t="shared" si="64"/>
        <v>0</v>
      </c>
      <c r="AY313" s="66">
        <f t="shared" si="65"/>
        <v>0</v>
      </c>
      <c r="AZ313" s="66">
        <f>'Project Database'!Z317</f>
        <v>0</v>
      </c>
      <c r="BA313" s="66">
        <f>IF(OR(A313="",'Smart Search'!H13=0),"",MAX(0,BE313*BF313*MAX(0,1-BG313)))</f>
        <v>0</v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>0</v>
      </c>
      <c r="BC313" s="66">
        <f>IF('Smart Search'!G13=1,IFERROR(1/'Smart Search'!H13,0),0)</f>
        <v>0</v>
      </c>
      <c r="BD313" s="66">
        <f t="shared" si="66"/>
        <v>0</v>
      </c>
      <c r="BE313" s="66">
        <f t="shared" si="67"/>
        <v>0</v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>0</v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>0</v>
      </c>
      <c r="BH313" s="5" t="str">
        <f>IF(AND('Project Database'!A317&lt;&gt;"",OR('Smart Search'!$L$5="",'Smart Search'!$L$5="All",TRIM('Project Database'!D317)=TRIM('Smart Search'!$L$5)),OR(TRIM('Smart Search'!$L$6)="",TRIM('Smart Search'!$L$6)="All",ISNUMBER(SEARCH(SUBSTITUTE(SUBSTITUTE(SUBSTITUTE(TRIM('Smart Search'!$L$6),"~","~~"),"*","~*"),"?","~?"),'Project Database'!C317))),OR('Smart Search'!$L$7="",AND('Project Database'!E317&lt;&gt;"",'Project Database'!E317='Smart Search'!$L$7)),OR('Smart Search'!$L$8="",'Smart Search'!$L$8="All",TRIM('Project Database'!F317)=TRIM('Smart Search'!$L$8))),IF(BA313="","",BA313+ROW()*0.0000000001),"")</f>
        <v/>
      </c>
      <c r="BI313" s="5" t="str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 t="str">
        <f>IF('Project Database'!A317="","",N('Project Database'!AC317))</f>
        <v/>
      </c>
      <c r="BK313" s="5" t="str">
        <f>IF('Project Database'!A317="","",N('Project Database'!AD317))</f>
        <v/>
      </c>
      <c r="BL313" s="5" t="str">
        <f>IF('Project Database'!A317="","",N('Project Database'!AE317))</f>
        <v/>
      </c>
      <c r="BM313" s="5" t="str">
        <f>IF('Project Database'!A317="","",N('Project Database'!AF317))</f>
        <v/>
      </c>
      <c r="BN313" s="5" t="str">
        <f>IF('Project Database'!A317="","",N('Project Database'!AG317))</f>
        <v/>
      </c>
      <c r="BO313" s="5" t="str">
        <f>IF('Project Database'!A317="","",N('Project Database'!AH317))</f>
        <v/>
      </c>
      <c r="BP313" s="5" t="str">
        <f>IF('Project Database'!A317="","",N('Project Database'!AI317))</f>
        <v/>
      </c>
      <c r="BQ313" s="5" t="str">
        <f>IF('Project Database'!A317="","",N('Project Database'!AJ317))</f>
        <v/>
      </c>
      <c r="BR313" s="5" t="str">
        <f>IF('Project Database'!A317="","",N('Project Database'!AK317))</f>
        <v/>
      </c>
      <c r="BS313" s="5" t="str">
        <f>IF('Project Database'!A317="","",N('Project Database'!AL317))</f>
        <v/>
      </c>
      <c r="BT313" s="5" t="str">
        <f>IF('Project Database'!A317="","",N('Project Database'!AM317))</f>
        <v/>
      </c>
      <c r="BU313" s="5" t="str">
        <f>IF('Project Database'!A317="","",N('Project Database'!AN317))</f>
        <v/>
      </c>
      <c r="BV313" s="5" t="str">
        <f>IF('Project Database'!A317="","",N('Project Database'!AO317))</f>
        <v/>
      </c>
      <c r="BW313" s="5" t="str">
        <f>IF('Project Database'!A317="","",N('Project Database'!AP317))</f>
        <v/>
      </c>
      <c r="BX313" s="5">
        <f t="shared" si="68"/>
        <v>0</v>
      </c>
      <c r="BY313" s="5">
        <f t="shared" si="69"/>
        <v>0</v>
      </c>
    </row>
    <row r="314" spans="1:77" ht="15" customHeight="1" x14ac:dyDescent="0.3">
      <c r="A314" s="66">
        <f>'Project Database'!A318</f>
        <v>0</v>
      </c>
      <c r="B314" s="66">
        <f>'Project Database'!B318</f>
        <v>0</v>
      </c>
      <c r="C314" s="66">
        <f>'Project Database'!G318</f>
        <v>0</v>
      </c>
      <c r="D314" s="66">
        <f>'Project Database'!H318</f>
        <v>0</v>
      </c>
      <c r="E314" s="66">
        <f>'Project Database'!I318</f>
        <v>0</v>
      </c>
      <c r="F314" s="66">
        <f>'Project Database'!J318</f>
        <v>0</v>
      </c>
      <c r="G314" s="66">
        <f>'Project Database'!K318</f>
        <v>0</v>
      </c>
      <c r="H314" s="66">
        <f>'Project Database'!L318</f>
        <v>0</v>
      </c>
      <c r="I314" s="66">
        <f>'Project Database'!M318</f>
        <v>0</v>
      </c>
      <c r="J314" s="66">
        <f>'Project Database'!N318</f>
        <v>0</v>
      </c>
      <c r="K314" s="66">
        <f>'Project Database'!O318</f>
        <v>0</v>
      </c>
      <c r="L314" s="66">
        <f>'Project Database'!P318</f>
        <v>0</v>
      </c>
      <c r="M314" s="66">
        <f>'Project Database'!Q318</f>
        <v>0</v>
      </c>
      <c r="N314" s="66">
        <f>'Project Database'!R318</f>
        <v>0</v>
      </c>
      <c r="O314" s="66">
        <f>'Project Database'!S318</f>
        <v>0</v>
      </c>
      <c r="P314" s="66">
        <f>'Project Database'!T318</f>
        <v>0</v>
      </c>
      <c r="Q314" s="66">
        <f>'Project Database'!U318</f>
        <v>0</v>
      </c>
      <c r="R314" s="66">
        <f>'Project Database'!V318</f>
        <v>0</v>
      </c>
      <c r="S314" s="66">
        <f>'Project Database'!W318</f>
        <v>0</v>
      </c>
      <c r="T314" s="66">
        <f>'Project Database'!X318</f>
        <v>0</v>
      </c>
      <c r="U314" s="67">
        <f>'Project Database'!Y318</f>
        <v>0</v>
      </c>
      <c r="V314" s="66">
        <f>IF('Smart Search'!B13=1,IFERROR(1/'Smart Search'!H13,0),0)</f>
        <v>0</v>
      </c>
      <c r="W314" s="66">
        <f>IF('Smart Search'!B13=1,IFERROR(1/'Smart Search'!H13,0),0)</f>
        <v>0</v>
      </c>
      <c r="X314" s="66">
        <f>IF('Smart Search'!C13=1,IFERROR(1/'Smart Search'!H13,0),0)</f>
        <v>0.5</v>
      </c>
      <c r="Y314" s="66">
        <f>IF('Smart Search'!C13=1,IFERROR(1/'Smart Search'!H13,0),0)</f>
        <v>0.5</v>
      </c>
      <c r="Z314" s="66">
        <f>IF('Smart Search'!D13=1,IFERROR(1/'Smart Search'!H13,0),0)</f>
        <v>0</v>
      </c>
      <c r="AA314" s="66">
        <f>IF('Smart Search'!D13=1,IFERROR(1/'Smart Search'!H13,0),0)</f>
        <v>0</v>
      </c>
      <c r="AB314" s="66">
        <f>IF('Smart Search'!E13=1,IFERROR(1/'Smart Search'!H13,0),0)</f>
        <v>0</v>
      </c>
      <c r="AC314" s="66">
        <f>IF('Smart Search'!E13=1,IFERROR(1/'Smart Search'!H13,0),0)</f>
        <v>0</v>
      </c>
      <c r="AD314" s="66">
        <f>IF('Smart Search'!F13=1,IFERROR(1/'Smart Search'!H13,0),0)</f>
        <v>0</v>
      </c>
      <c r="AE314" s="66">
        <f>IF('Smart Search'!F13=1,IFERROR(1/'Smart Search'!H13,0),0)</f>
        <v>0</v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>0</v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>0</v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>0</v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>0</v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>0</v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>0</v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>0</v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>0</v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>0</v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>0</v>
      </c>
      <c r="AP314" s="66">
        <f t="shared" si="56"/>
        <v>0</v>
      </c>
      <c r="AQ314" s="66">
        <f t="shared" si="57"/>
        <v>0</v>
      </c>
      <c r="AR314" s="66">
        <f t="shared" si="58"/>
        <v>0</v>
      </c>
      <c r="AS314" s="66">
        <f t="shared" si="59"/>
        <v>0</v>
      </c>
      <c r="AT314" s="66">
        <f t="shared" si="60"/>
        <v>0</v>
      </c>
      <c r="AU314" s="66">
        <f t="shared" si="61"/>
        <v>0</v>
      </c>
      <c r="AV314" s="66">
        <f t="shared" si="62"/>
        <v>0</v>
      </c>
      <c r="AW314" s="66">
        <f t="shared" si="63"/>
        <v>0</v>
      </c>
      <c r="AX314" s="66">
        <f t="shared" si="64"/>
        <v>0</v>
      </c>
      <c r="AY314" s="66">
        <f t="shared" si="65"/>
        <v>0</v>
      </c>
      <c r="AZ314" s="66">
        <f>'Project Database'!Z318</f>
        <v>0</v>
      </c>
      <c r="BA314" s="66">
        <f>IF(OR(A314="",'Smart Search'!H13=0),"",MAX(0,BE314*BF314*MAX(0,1-BG314)))</f>
        <v>0</v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>0</v>
      </c>
      <c r="BC314" s="66">
        <f>IF('Smart Search'!G13=1,IFERROR(1/'Smart Search'!H13,0),0)</f>
        <v>0</v>
      </c>
      <c r="BD314" s="66">
        <f t="shared" si="66"/>
        <v>0</v>
      </c>
      <c r="BE314" s="66">
        <f t="shared" si="67"/>
        <v>0</v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>0</v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>0</v>
      </c>
      <c r="BH314" s="5" t="str">
        <f>IF(AND('Project Database'!A318&lt;&gt;"",OR('Smart Search'!$L$5="",'Smart Search'!$L$5="All",TRIM('Project Database'!D318)=TRIM('Smart Search'!$L$5)),OR(TRIM('Smart Search'!$L$6)="",TRIM('Smart Search'!$L$6)="All",ISNUMBER(SEARCH(SUBSTITUTE(SUBSTITUTE(SUBSTITUTE(TRIM('Smart Search'!$L$6),"~","~~"),"*","~*"),"?","~?"),'Project Database'!C318))),OR('Smart Search'!$L$7="",AND('Project Database'!E318&lt;&gt;"",'Project Database'!E318='Smart Search'!$L$7)),OR('Smart Search'!$L$8="",'Smart Search'!$L$8="All",TRIM('Project Database'!F318)=TRIM('Smart Search'!$L$8))),IF(BA314="","",BA314+ROW()*0.0000000001),"")</f>
        <v/>
      </c>
      <c r="BI314" s="5" t="str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 t="str">
        <f>IF('Project Database'!A318="","",N('Project Database'!AC318))</f>
        <v/>
      </c>
      <c r="BK314" s="5" t="str">
        <f>IF('Project Database'!A318="","",N('Project Database'!AD318))</f>
        <v/>
      </c>
      <c r="BL314" s="5" t="str">
        <f>IF('Project Database'!A318="","",N('Project Database'!AE318))</f>
        <v/>
      </c>
      <c r="BM314" s="5" t="str">
        <f>IF('Project Database'!A318="","",N('Project Database'!AF318))</f>
        <v/>
      </c>
      <c r="BN314" s="5" t="str">
        <f>IF('Project Database'!A318="","",N('Project Database'!AG318))</f>
        <v/>
      </c>
      <c r="BO314" s="5" t="str">
        <f>IF('Project Database'!A318="","",N('Project Database'!AH318))</f>
        <v/>
      </c>
      <c r="BP314" s="5" t="str">
        <f>IF('Project Database'!A318="","",N('Project Database'!AI318))</f>
        <v/>
      </c>
      <c r="BQ314" s="5" t="str">
        <f>IF('Project Database'!A318="","",N('Project Database'!AJ318))</f>
        <v/>
      </c>
      <c r="BR314" s="5" t="str">
        <f>IF('Project Database'!A318="","",N('Project Database'!AK318))</f>
        <v/>
      </c>
      <c r="BS314" s="5" t="str">
        <f>IF('Project Database'!A318="","",N('Project Database'!AL318))</f>
        <v/>
      </c>
      <c r="BT314" s="5" t="str">
        <f>IF('Project Database'!A318="","",N('Project Database'!AM318))</f>
        <v/>
      </c>
      <c r="BU314" s="5" t="str">
        <f>IF('Project Database'!A318="","",N('Project Database'!AN318))</f>
        <v/>
      </c>
      <c r="BV314" s="5" t="str">
        <f>IF('Project Database'!A318="","",N('Project Database'!AO318))</f>
        <v/>
      </c>
      <c r="BW314" s="5" t="str">
        <f>IF('Project Database'!A318="","",N('Project Database'!AP318))</f>
        <v/>
      </c>
      <c r="BX314" s="5">
        <f t="shared" si="68"/>
        <v>0</v>
      </c>
      <c r="BY314" s="5">
        <f t="shared" si="69"/>
        <v>0</v>
      </c>
    </row>
    <row r="315" spans="1:77" ht="15" customHeight="1" x14ac:dyDescent="0.3">
      <c r="A315" s="66">
        <f>'Project Database'!A319</f>
        <v>0</v>
      </c>
      <c r="B315" s="66">
        <f>'Project Database'!B319</f>
        <v>0</v>
      </c>
      <c r="C315" s="66">
        <f>'Project Database'!G319</f>
        <v>0</v>
      </c>
      <c r="D315" s="66">
        <f>'Project Database'!H319</f>
        <v>0</v>
      </c>
      <c r="E315" s="66">
        <f>'Project Database'!I319</f>
        <v>0</v>
      </c>
      <c r="F315" s="66">
        <f>'Project Database'!J319</f>
        <v>0</v>
      </c>
      <c r="G315" s="66">
        <f>'Project Database'!K319</f>
        <v>0</v>
      </c>
      <c r="H315" s="66">
        <f>'Project Database'!L319</f>
        <v>0</v>
      </c>
      <c r="I315" s="66">
        <f>'Project Database'!M319</f>
        <v>0</v>
      </c>
      <c r="J315" s="66">
        <f>'Project Database'!N319</f>
        <v>0</v>
      </c>
      <c r="K315" s="66">
        <f>'Project Database'!O319</f>
        <v>0</v>
      </c>
      <c r="L315" s="66">
        <f>'Project Database'!P319</f>
        <v>0</v>
      </c>
      <c r="M315" s="66">
        <f>'Project Database'!Q319</f>
        <v>0</v>
      </c>
      <c r="N315" s="66">
        <f>'Project Database'!R319</f>
        <v>0</v>
      </c>
      <c r="O315" s="66">
        <f>'Project Database'!S319</f>
        <v>0</v>
      </c>
      <c r="P315" s="66">
        <f>'Project Database'!T319</f>
        <v>0</v>
      </c>
      <c r="Q315" s="66">
        <f>'Project Database'!U319</f>
        <v>0</v>
      </c>
      <c r="R315" s="66">
        <f>'Project Database'!V319</f>
        <v>0</v>
      </c>
      <c r="S315" s="66">
        <f>'Project Database'!W319</f>
        <v>0</v>
      </c>
      <c r="T315" s="66">
        <f>'Project Database'!X319</f>
        <v>0</v>
      </c>
      <c r="U315" s="67">
        <f>'Project Database'!Y319</f>
        <v>0</v>
      </c>
      <c r="V315" s="66">
        <f>IF('Smart Search'!B13=1,IFERROR(1/'Smart Search'!H13,0),0)</f>
        <v>0</v>
      </c>
      <c r="W315" s="66">
        <f>IF('Smart Search'!B13=1,IFERROR(1/'Smart Search'!H13,0),0)</f>
        <v>0</v>
      </c>
      <c r="X315" s="66">
        <f>IF('Smart Search'!C13=1,IFERROR(1/'Smart Search'!H13,0),0)</f>
        <v>0.5</v>
      </c>
      <c r="Y315" s="66">
        <f>IF('Smart Search'!C13=1,IFERROR(1/'Smart Search'!H13,0),0)</f>
        <v>0.5</v>
      </c>
      <c r="Z315" s="66">
        <f>IF('Smart Search'!D13=1,IFERROR(1/'Smart Search'!H13,0),0)</f>
        <v>0</v>
      </c>
      <c r="AA315" s="66">
        <f>IF('Smart Search'!D13=1,IFERROR(1/'Smart Search'!H13,0),0)</f>
        <v>0</v>
      </c>
      <c r="AB315" s="66">
        <f>IF('Smart Search'!E13=1,IFERROR(1/'Smart Search'!H13,0),0)</f>
        <v>0</v>
      </c>
      <c r="AC315" s="66">
        <f>IF('Smart Search'!E13=1,IFERROR(1/'Smart Search'!H13,0),0)</f>
        <v>0</v>
      </c>
      <c r="AD315" s="66">
        <f>IF('Smart Search'!F13=1,IFERROR(1/'Smart Search'!H13,0),0)</f>
        <v>0</v>
      </c>
      <c r="AE315" s="66">
        <f>IF('Smart Search'!F13=1,IFERROR(1/'Smart Search'!H13,0),0)</f>
        <v>0</v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>0</v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>0</v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>0</v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>0</v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>0</v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>0</v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>0</v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>0</v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>0</v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>0</v>
      </c>
      <c r="AP315" s="66">
        <f t="shared" si="56"/>
        <v>0</v>
      </c>
      <c r="AQ315" s="66">
        <f t="shared" si="57"/>
        <v>0</v>
      </c>
      <c r="AR315" s="66">
        <f t="shared" si="58"/>
        <v>0</v>
      </c>
      <c r="AS315" s="66">
        <f t="shared" si="59"/>
        <v>0</v>
      </c>
      <c r="AT315" s="66">
        <f t="shared" si="60"/>
        <v>0</v>
      </c>
      <c r="AU315" s="66">
        <f t="shared" si="61"/>
        <v>0</v>
      </c>
      <c r="AV315" s="66">
        <f t="shared" si="62"/>
        <v>0</v>
      </c>
      <c r="AW315" s="66">
        <f t="shared" si="63"/>
        <v>0</v>
      </c>
      <c r="AX315" s="66">
        <f t="shared" si="64"/>
        <v>0</v>
      </c>
      <c r="AY315" s="66">
        <f t="shared" si="65"/>
        <v>0</v>
      </c>
      <c r="AZ315" s="66">
        <f>'Project Database'!Z319</f>
        <v>0</v>
      </c>
      <c r="BA315" s="66">
        <f>IF(OR(A315="",'Smart Search'!H13=0),"",MAX(0,BE315*BF315*MAX(0,1-BG315)))</f>
        <v>0</v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>0</v>
      </c>
      <c r="BC315" s="66">
        <f>IF('Smart Search'!G13=1,IFERROR(1/'Smart Search'!H13,0),0)</f>
        <v>0</v>
      </c>
      <c r="BD315" s="66">
        <f t="shared" si="66"/>
        <v>0</v>
      </c>
      <c r="BE315" s="66">
        <f t="shared" si="67"/>
        <v>0</v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>0</v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>0</v>
      </c>
      <c r="BH315" s="5" t="str">
        <f>IF(AND('Project Database'!A319&lt;&gt;"",OR('Smart Search'!$L$5="",'Smart Search'!$L$5="All",TRIM('Project Database'!D319)=TRIM('Smart Search'!$L$5)),OR(TRIM('Smart Search'!$L$6)="",TRIM('Smart Search'!$L$6)="All",ISNUMBER(SEARCH(SUBSTITUTE(SUBSTITUTE(SUBSTITUTE(TRIM('Smart Search'!$L$6),"~","~~"),"*","~*"),"?","~?"),'Project Database'!C319))),OR('Smart Search'!$L$7="",AND('Project Database'!E319&lt;&gt;"",'Project Database'!E319='Smart Search'!$L$7)),OR('Smart Search'!$L$8="",'Smart Search'!$L$8="All",TRIM('Project Database'!F319)=TRIM('Smart Search'!$L$8))),IF(BA315="","",BA315+ROW()*0.0000000001),"")</f>
        <v/>
      </c>
      <c r="BI315" s="5" t="str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 t="str">
        <f>IF('Project Database'!A319="","",N('Project Database'!AC319))</f>
        <v/>
      </c>
      <c r="BK315" s="5" t="str">
        <f>IF('Project Database'!A319="","",N('Project Database'!AD319))</f>
        <v/>
      </c>
      <c r="BL315" s="5" t="str">
        <f>IF('Project Database'!A319="","",N('Project Database'!AE319))</f>
        <v/>
      </c>
      <c r="BM315" s="5" t="str">
        <f>IF('Project Database'!A319="","",N('Project Database'!AF319))</f>
        <v/>
      </c>
      <c r="BN315" s="5" t="str">
        <f>IF('Project Database'!A319="","",N('Project Database'!AG319))</f>
        <v/>
      </c>
      <c r="BO315" s="5" t="str">
        <f>IF('Project Database'!A319="","",N('Project Database'!AH319))</f>
        <v/>
      </c>
      <c r="BP315" s="5" t="str">
        <f>IF('Project Database'!A319="","",N('Project Database'!AI319))</f>
        <v/>
      </c>
      <c r="BQ315" s="5" t="str">
        <f>IF('Project Database'!A319="","",N('Project Database'!AJ319))</f>
        <v/>
      </c>
      <c r="BR315" s="5" t="str">
        <f>IF('Project Database'!A319="","",N('Project Database'!AK319))</f>
        <v/>
      </c>
      <c r="BS315" s="5" t="str">
        <f>IF('Project Database'!A319="","",N('Project Database'!AL319))</f>
        <v/>
      </c>
      <c r="BT315" s="5" t="str">
        <f>IF('Project Database'!A319="","",N('Project Database'!AM319))</f>
        <v/>
      </c>
      <c r="BU315" s="5" t="str">
        <f>IF('Project Database'!A319="","",N('Project Database'!AN319))</f>
        <v/>
      </c>
      <c r="BV315" s="5" t="str">
        <f>IF('Project Database'!A319="","",N('Project Database'!AO319))</f>
        <v/>
      </c>
      <c r="BW315" s="5" t="str">
        <f>IF('Project Database'!A319="","",N('Project Database'!AP319))</f>
        <v/>
      </c>
      <c r="BX315" s="5">
        <f t="shared" si="68"/>
        <v>0</v>
      </c>
      <c r="BY315" s="5">
        <f t="shared" si="69"/>
        <v>0</v>
      </c>
    </row>
    <row r="316" spans="1:77" ht="15" customHeight="1" x14ac:dyDescent="0.3">
      <c r="A316" s="66">
        <f>'Project Database'!A320</f>
        <v>0</v>
      </c>
      <c r="B316" s="66">
        <f>'Project Database'!B320</f>
        <v>0</v>
      </c>
      <c r="C316" s="66">
        <f>'Project Database'!G320</f>
        <v>0</v>
      </c>
      <c r="D316" s="66">
        <f>'Project Database'!H320</f>
        <v>0</v>
      </c>
      <c r="E316" s="66">
        <f>'Project Database'!I320</f>
        <v>0</v>
      </c>
      <c r="F316" s="66">
        <f>'Project Database'!J320</f>
        <v>0</v>
      </c>
      <c r="G316" s="66">
        <f>'Project Database'!K320</f>
        <v>0</v>
      </c>
      <c r="H316" s="66">
        <f>'Project Database'!L320</f>
        <v>0</v>
      </c>
      <c r="I316" s="66">
        <f>'Project Database'!M320</f>
        <v>0</v>
      </c>
      <c r="J316" s="66">
        <f>'Project Database'!N320</f>
        <v>0</v>
      </c>
      <c r="K316" s="66">
        <f>'Project Database'!O320</f>
        <v>0</v>
      </c>
      <c r="L316" s="66">
        <f>'Project Database'!P320</f>
        <v>0</v>
      </c>
      <c r="M316" s="66">
        <f>'Project Database'!Q320</f>
        <v>0</v>
      </c>
      <c r="N316" s="66">
        <f>'Project Database'!R320</f>
        <v>0</v>
      </c>
      <c r="O316" s="66">
        <f>'Project Database'!S320</f>
        <v>0</v>
      </c>
      <c r="P316" s="66">
        <f>'Project Database'!T320</f>
        <v>0</v>
      </c>
      <c r="Q316" s="66">
        <f>'Project Database'!U320</f>
        <v>0</v>
      </c>
      <c r="R316" s="66">
        <f>'Project Database'!V320</f>
        <v>0</v>
      </c>
      <c r="S316" s="66">
        <f>'Project Database'!W320</f>
        <v>0</v>
      </c>
      <c r="T316" s="66">
        <f>'Project Database'!X320</f>
        <v>0</v>
      </c>
      <c r="U316" s="67">
        <f>'Project Database'!Y320</f>
        <v>0</v>
      </c>
      <c r="V316" s="66">
        <f>IF('Smart Search'!B13=1,IFERROR(1/'Smart Search'!H13,0),0)</f>
        <v>0</v>
      </c>
      <c r="W316" s="66">
        <f>IF('Smart Search'!B13=1,IFERROR(1/'Smart Search'!H13,0),0)</f>
        <v>0</v>
      </c>
      <c r="X316" s="66">
        <f>IF('Smart Search'!C13=1,IFERROR(1/'Smart Search'!H13,0),0)</f>
        <v>0.5</v>
      </c>
      <c r="Y316" s="66">
        <f>IF('Smart Search'!C13=1,IFERROR(1/'Smart Search'!H13,0),0)</f>
        <v>0.5</v>
      </c>
      <c r="Z316" s="66">
        <f>IF('Smart Search'!D13=1,IFERROR(1/'Smart Search'!H13,0),0)</f>
        <v>0</v>
      </c>
      <c r="AA316" s="66">
        <f>IF('Smart Search'!D13=1,IFERROR(1/'Smart Search'!H13,0),0)</f>
        <v>0</v>
      </c>
      <c r="AB316" s="66">
        <f>IF('Smart Search'!E13=1,IFERROR(1/'Smart Search'!H13,0),0)</f>
        <v>0</v>
      </c>
      <c r="AC316" s="66">
        <f>IF('Smart Search'!E13=1,IFERROR(1/'Smart Search'!H13,0),0)</f>
        <v>0</v>
      </c>
      <c r="AD316" s="66">
        <f>IF('Smart Search'!F13=1,IFERROR(1/'Smart Search'!H13,0),0)</f>
        <v>0</v>
      </c>
      <c r="AE316" s="66">
        <f>IF('Smart Search'!F13=1,IFERROR(1/'Smart Search'!H13,0),0)</f>
        <v>0</v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>0</v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>0</v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>0</v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>0</v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>0</v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>0</v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>0</v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>0</v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>0</v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>0</v>
      </c>
      <c r="AP316" s="66">
        <f t="shared" si="56"/>
        <v>0</v>
      </c>
      <c r="AQ316" s="66">
        <f t="shared" si="57"/>
        <v>0</v>
      </c>
      <c r="AR316" s="66">
        <f t="shared" si="58"/>
        <v>0</v>
      </c>
      <c r="AS316" s="66">
        <f t="shared" si="59"/>
        <v>0</v>
      </c>
      <c r="AT316" s="66">
        <f t="shared" si="60"/>
        <v>0</v>
      </c>
      <c r="AU316" s="66">
        <f t="shared" si="61"/>
        <v>0</v>
      </c>
      <c r="AV316" s="66">
        <f t="shared" si="62"/>
        <v>0</v>
      </c>
      <c r="AW316" s="66">
        <f t="shared" si="63"/>
        <v>0</v>
      </c>
      <c r="AX316" s="66">
        <f t="shared" si="64"/>
        <v>0</v>
      </c>
      <c r="AY316" s="66">
        <f t="shared" si="65"/>
        <v>0</v>
      </c>
      <c r="AZ316" s="66">
        <f>'Project Database'!Z320</f>
        <v>0</v>
      </c>
      <c r="BA316" s="66">
        <f>IF(OR(A316="",'Smart Search'!H13=0),"",MAX(0,BE316*BF316*MAX(0,1-BG316)))</f>
        <v>0</v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>0</v>
      </c>
      <c r="BC316" s="66">
        <f>IF('Smart Search'!G13=1,IFERROR(1/'Smart Search'!H13,0),0)</f>
        <v>0</v>
      </c>
      <c r="BD316" s="66">
        <f t="shared" si="66"/>
        <v>0</v>
      </c>
      <c r="BE316" s="66">
        <f t="shared" si="67"/>
        <v>0</v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>0</v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>0</v>
      </c>
      <c r="BH316" s="5" t="str">
        <f>IF(AND('Project Database'!A320&lt;&gt;"",OR('Smart Search'!$L$5="",'Smart Search'!$L$5="All",TRIM('Project Database'!D320)=TRIM('Smart Search'!$L$5)),OR(TRIM('Smart Search'!$L$6)="",TRIM('Smart Search'!$L$6)="All",ISNUMBER(SEARCH(SUBSTITUTE(SUBSTITUTE(SUBSTITUTE(TRIM('Smart Search'!$L$6),"~","~~"),"*","~*"),"?","~?"),'Project Database'!C320))),OR('Smart Search'!$L$7="",AND('Project Database'!E320&lt;&gt;"",'Project Database'!E320='Smart Search'!$L$7)),OR('Smart Search'!$L$8="",'Smart Search'!$L$8="All",TRIM('Project Database'!F320)=TRIM('Smart Search'!$L$8))),IF(BA316="","",BA316+ROW()*0.0000000001),"")</f>
        <v/>
      </c>
      <c r="BI316" s="5" t="str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 t="str">
        <f>IF('Project Database'!A320="","",N('Project Database'!AC320))</f>
        <v/>
      </c>
      <c r="BK316" s="5" t="str">
        <f>IF('Project Database'!A320="","",N('Project Database'!AD320))</f>
        <v/>
      </c>
      <c r="BL316" s="5" t="str">
        <f>IF('Project Database'!A320="","",N('Project Database'!AE320))</f>
        <v/>
      </c>
      <c r="BM316" s="5" t="str">
        <f>IF('Project Database'!A320="","",N('Project Database'!AF320))</f>
        <v/>
      </c>
      <c r="BN316" s="5" t="str">
        <f>IF('Project Database'!A320="","",N('Project Database'!AG320))</f>
        <v/>
      </c>
      <c r="BO316" s="5" t="str">
        <f>IF('Project Database'!A320="","",N('Project Database'!AH320))</f>
        <v/>
      </c>
      <c r="BP316" s="5" t="str">
        <f>IF('Project Database'!A320="","",N('Project Database'!AI320))</f>
        <v/>
      </c>
      <c r="BQ316" s="5" t="str">
        <f>IF('Project Database'!A320="","",N('Project Database'!AJ320))</f>
        <v/>
      </c>
      <c r="BR316" s="5" t="str">
        <f>IF('Project Database'!A320="","",N('Project Database'!AK320))</f>
        <v/>
      </c>
      <c r="BS316" s="5" t="str">
        <f>IF('Project Database'!A320="","",N('Project Database'!AL320))</f>
        <v/>
      </c>
      <c r="BT316" s="5" t="str">
        <f>IF('Project Database'!A320="","",N('Project Database'!AM320))</f>
        <v/>
      </c>
      <c r="BU316" s="5" t="str">
        <f>IF('Project Database'!A320="","",N('Project Database'!AN320))</f>
        <v/>
      </c>
      <c r="BV316" s="5" t="str">
        <f>IF('Project Database'!A320="","",N('Project Database'!AO320))</f>
        <v/>
      </c>
      <c r="BW316" s="5" t="str">
        <f>IF('Project Database'!A320="","",N('Project Database'!AP320))</f>
        <v/>
      </c>
      <c r="BX316" s="5">
        <f t="shared" si="68"/>
        <v>0</v>
      </c>
      <c r="BY316" s="5">
        <f t="shared" si="69"/>
        <v>0</v>
      </c>
    </row>
    <row r="317" spans="1:77" ht="15" customHeight="1" x14ac:dyDescent="0.3">
      <c r="A317" s="66">
        <f>'Project Database'!A321</f>
        <v>0</v>
      </c>
      <c r="B317" s="66">
        <f>'Project Database'!B321</f>
        <v>0</v>
      </c>
      <c r="C317" s="66">
        <f>'Project Database'!G321</f>
        <v>0</v>
      </c>
      <c r="D317" s="66">
        <f>'Project Database'!H321</f>
        <v>0</v>
      </c>
      <c r="E317" s="66">
        <f>'Project Database'!I321</f>
        <v>0</v>
      </c>
      <c r="F317" s="66">
        <f>'Project Database'!J321</f>
        <v>0</v>
      </c>
      <c r="G317" s="66">
        <f>'Project Database'!K321</f>
        <v>0</v>
      </c>
      <c r="H317" s="66">
        <f>'Project Database'!L321</f>
        <v>0</v>
      </c>
      <c r="I317" s="66">
        <f>'Project Database'!M321</f>
        <v>0</v>
      </c>
      <c r="J317" s="66">
        <f>'Project Database'!N321</f>
        <v>0</v>
      </c>
      <c r="K317" s="66">
        <f>'Project Database'!O321</f>
        <v>0</v>
      </c>
      <c r="L317" s="66">
        <f>'Project Database'!P321</f>
        <v>0</v>
      </c>
      <c r="M317" s="66">
        <f>'Project Database'!Q321</f>
        <v>0</v>
      </c>
      <c r="N317" s="66">
        <f>'Project Database'!R321</f>
        <v>0</v>
      </c>
      <c r="O317" s="66">
        <f>'Project Database'!S321</f>
        <v>0</v>
      </c>
      <c r="P317" s="66">
        <f>'Project Database'!T321</f>
        <v>0</v>
      </c>
      <c r="Q317" s="66">
        <f>'Project Database'!U321</f>
        <v>0</v>
      </c>
      <c r="R317" s="66">
        <f>'Project Database'!V321</f>
        <v>0</v>
      </c>
      <c r="S317" s="66">
        <f>'Project Database'!W321</f>
        <v>0</v>
      </c>
      <c r="T317" s="66">
        <f>'Project Database'!X321</f>
        <v>0</v>
      </c>
      <c r="U317" s="67">
        <f>'Project Database'!Y321</f>
        <v>0</v>
      </c>
      <c r="V317" s="66">
        <f>IF('Smart Search'!B13=1,IFERROR(1/'Smart Search'!H13,0),0)</f>
        <v>0</v>
      </c>
      <c r="W317" s="66">
        <f>IF('Smart Search'!B13=1,IFERROR(1/'Smart Search'!H13,0),0)</f>
        <v>0</v>
      </c>
      <c r="X317" s="66">
        <f>IF('Smart Search'!C13=1,IFERROR(1/'Smart Search'!H13,0),0)</f>
        <v>0.5</v>
      </c>
      <c r="Y317" s="66">
        <f>IF('Smart Search'!C13=1,IFERROR(1/'Smart Search'!H13,0),0)</f>
        <v>0.5</v>
      </c>
      <c r="Z317" s="66">
        <f>IF('Smart Search'!D13=1,IFERROR(1/'Smart Search'!H13,0),0)</f>
        <v>0</v>
      </c>
      <c r="AA317" s="66">
        <f>IF('Smart Search'!D13=1,IFERROR(1/'Smart Search'!H13,0),0)</f>
        <v>0</v>
      </c>
      <c r="AB317" s="66">
        <f>IF('Smart Search'!E13=1,IFERROR(1/'Smart Search'!H13,0),0)</f>
        <v>0</v>
      </c>
      <c r="AC317" s="66">
        <f>IF('Smart Search'!E13=1,IFERROR(1/'Smart Search'!H13,0),0)</f>
        <v>0</v>
      </c>
      <c r="AD317" s="66">
        <f>IF('Smart Search'!F13=1,IFERROR(1/'Smart Search'!H13,0),0)</f>
        <v>0</v>
      </c>
      <c r="AE317" s="66">
        <f>IF('Smart Search'!F13=1,IFERROR(1/'Smart Search'!H13,0),0)</f>
        <v>0</v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>0</v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>0</v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>0</v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>0</v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>0</v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>0</v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>0</v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>0</v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>0</v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>0</v>
      </c>
      <c r="AP317" s="66">
        <f t="shared" si="56"/>
        <v>0</v>
      </c>
      <c r="AQ317" s="66">
        <f t="shared" si="57"/>
        <v>0</v>
      </c>
      <c r="AR317" s="66">
        <f t="shared" si="58"/>
        <v>0</v>
      </c>
      <c r="AS317" s="66">
        <f t="shared" si="59"/>
        <v>0</v>
      </c>
      <c r="AT317" s="66">
        <f t="shared" si="60"/>
        <v>0</v>
      </c>
      <c r="AU317" s="66">
        <f t="shared" si="61"/>
        <v>0</v>
      </c>
      <c r="AV317" s="66">
        <f t="shared" si="62"/>
        <v>0</v>
      </c>
      <c r="AW317" s="66">
        <f t="shared" si="63"/>
        <v>0</v>
      </c>
      <c r="AX317" s="66">
        <f t="shared" si="64"/>
        <v>0</v>
      </c>
      <c r="AY317" s="66">
        <f t="shared" si="65"/>
        <v>0</v>
      </c>
      <c r="AZ317" s="66">
        <f>'Project Database'!Z321</f>
        <v>0</v>
      </c>
      <c r="BA317" s="66">
        <f>IF(OR(A317="",'Smart Search'!H13=0),"",MAX(0,BE317*BF317*MAX(0,1-BG317)))</f>
        <v>0</v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>0</v>
      </c>
      <c r="BC317" s="66">
        <f>IF('Smart Search'!G13=1,IFERROR(1/'Smart Search'!H13,0),0)</f>
        <v>0</v>
      </c>
      <c r="BD317" s="66">
        <f t="shared" si="66"/>
        <v>0</v>
      </c>
      <c r="BE317" s="66">
        <f t="shared" si="67"/>
        <v>0</v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>0</v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>0</v>
      </c>
      <c r="BH317" s="5" t="str">
        <f>IF(AND('Project Database'!A321&lt;&gt;"",OR('Smart Search'!$L$5="",'Smart Search'!$L$5="All",TRIM('Project Database'!D321)=TRIM('Smart Search'!$L$5)),OR(TRIM('Smart Search'!$L$6)="",TRIM('Smart Search'!$L$6)="All",ISNUMBER(SEARCH(SUBSTITUTE(SUBSTITUTE(SUBSTITUTE(TRIM('Smart Search'!$L$6),"~","~~"),"*","~*"),"?","~?"),'Project Database'!C321))),OR('Smart Search'!$L$7="",AND('Project Database'!E321&lt;&gt;"",'Project Database'!E321='Smart Search'!$L$7)),OR('Smart Search'!$L$8="",'Smart Search'!$L$8="All",TRIM('Project Database'!F321)=TRIM('Smart Search'!$L$8))),IF(BA317="","",BA317+ROW()*0.0000000001),"")</f>
        <v/>
      </c>
      <c r="BI317" s="5" t="str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 t="str">
        <f>IF('Project Database'!A321="","",N('Project Database'!AC321))</f>
        <v/>
      </c>
      <c r="BK317" s="5" t="str">
        <f>IF('Project Database'!A321="","",N('Project Database'!AD321))</f>
        <v/>
      </c>
      <c r="BL317" s="5" t="str">
        <f>IF('Project Database'!A321="","",N('Project Database'!AE321))</f>
        <v/>
      </c>
      <c r="BM317" s="5" t="str">
        <f>IF('Project Database'!A321="","",N('Project Database'!AF321))</f>
        <v/>
      </c>
      <c r="BN317" s="5" t="str">
        <f>IF('Project Database'!A321="","",N('Project Database'!AG321))</f>
        <v/>
      </c>
      <c r="BO317" s="5" t="str">
        <f>IF('Project Database'!A321="","",N('Project Database'!AH321))</f>
        <v/>
      </c>
      <c r="BP317" s="5" t="str">
        <f>IF('Project Database'!A321="","",N('Project Database'!AI321))</f>
        <v/>
      </c>
      <c r="BQ317" s="5" t="str">
        <f>IF('Project Database'!A321="","",N('Project Database'!AJ321))</f>
        <v/>
      </c>
      <c r="BR317" s="5" t="str">
        <f>IF('Project Database'!A321="","",N('Project Database'!AK321))</f>
        <v/>
      </c>
      <c r="BS317" s="5" t="str">
        <f>IF('Project Database'!A321="","",N('Project Database'!AL321))</f>
        <v/>
      </c>
      <c r="BT317" s="5" t="str">
        <f>IF('Project Database'!A321="","",N('Project Database'!AM321))</f>
        <v/>
      </c>
      <c r="BU317" s="5" t="str">
        <f>IF('Project Database'!A321="","",N('Project Database'!AN321))</f>
        <v/>
      </c>
      <c r="BV317" s="5" t="str">
        <f>IF('Project Database'!A321="","",N('Project Database'!AO321))</f>
        <v/>
      </c>
      <c r="BW317" s="5" t="str">
        <f>IF('Project Database'!A321="","",N('Project Database'!AP321))</f>
        <v/>
      </c>
      <c r="BX317" s="5">
        <f t="shared" si="68"/>
        <v>0</v>
      </c>
      <c r="BY317" s="5">
        <f t="shared" si="69"/>
        <v>0</v>
      </c>
    </row>
    <row r="318" spans="1:77" ht="15" customHeight="1" x14ac:dyDescent="0.3">
      <c r="A318" s="66">
        <f>'Project Database'!A322</f>
        <v>0</v>
      </c>
      <c r="B318" s="66">
        <f>'Project Database'!B322</f>
        <v>0</v>
      </c>
      <c r="C318" s="66">
        <f>'Project Database'!G322</f>
        <v>0</v>
      </c>
      <c r="D318" s="66">
        <f>'Project Database'!H322</f>
        <v>0</v>
      </c>
      <c r="E318" s="66">
        <f>'Project Database'!I322</f>
        <v>0</v>
      </c>
      <c r="F318" s="66">
        <f>'Project Database'!J322</f>
        <v>0</v>
      </c>
      <c r="G318" s="66">
        <f>'Project Database'!K322</f>
        <v>0</v>
      </c>
      <c r="H318" s="66">
        <f>'Project Database'!L322</f>
        <v>0</v>
      </c>
      <c r="I318" s="66">
        <f>'Project Database'!M322</f>
        <v>0</v>
      </c>
      <c r="J318" s="66">
        <f>'Project Database'!N322</f>
        <v>0</v>
      </c>
      <c r="K318" s="66">
        <f>'Project Database'!O322</f>
        <v>0</v>
      </c>
      <c r="L318" s="66">
        <f>'Project Database'!P322</f>
        <v>0</v>
      </c>
      <c r="M318" s="66">
        <f>'Project Database'!Q322</f>
        <v>0</v>
      </c>
      <c r="N318" s="66">
        <f>'Project Database'!R322</f>
        <v>0</v>
      </c>
      <c r="O318" s="66">
        <f>'Project Database'!S322</f>
        <v>0</v>
      </c>
      <c r="P318" s="66">
        <f>'Project Database'!T322</f>
        <v>0</v>
      </c>
      <c r="Q318" s="66">
        <f>'Project Database'!U322</f>
        <v>0</v>
      </c>
      <c r="R318" s="66">
        <f>'Project Database'!V322</f>
        <v>0</v>
      </c>
      <c r="S318" s="66">
        <f>'Project Database'!W322</f>
        <v>0</v>
      </c>
      <c r="T318" s="66">
        <f>'Project Database'!X322</f>
        <v>0</v>
      </c>
      <c r="U318" s="67">
        <f>'Project Database'!Y322</f>
        <v>0</v>
      </c>
      <c r="V318" s="66">
        <f>IF('Smart Search'!B13=1,IFERROR(1/'Smart Search'!H13,0),0)</f>
        <v>0</v>
      </c>
      <c r="W318" s="66">
        <f>IF('Smart Search'!B13=1,IFERROR(1/'Smart Search'!H13,0),0)</f>
        <v>0</v>
      </c>
      <c r="X318" s="66">
        <f>IF('Smart Search'!C13=1,IFERROR(1/'Smart Search'!H13,0),0)</f>
        <v>0.5</v>
      </c>
      <c r="Y318" s="66">
        <f>IF('Smart Search'!C13=1,IFERROR(1/'Smart Search'!H13,0),0)</f>
        <v>0.5</v>
      </c>
      <c r="Z318" s="66">
        <f>IF('Smart Search'!D13=1,IFERROR(1/'Smart Search'!H13,0),0)</f>
        <v>0</v>
      </c>
      <c r="AA318" s="66">
        <f>IF('Smart Search'!D13=1,IFERROR(1/'Smart Search'!H13,0),0)</f>
        <v>0</v>
      </c>
      <c r="AB318" s="66">
        <f>IF('Smart Search'!E13=1,IFERROR(1/'Smart Search'!H13,0),0)</f>
        <v>0</v>
      </c>
      <c r="AC318" s="66">
        <f>IF('Smart Search'!E13=1,IFERROR(1/'Smart Search'!H13,0),0)</f>
        <v>0</v>
      </c>
      <c r="AD318" s="66">
        <f>IF('Smart Search'!F13=1,IFERROR(1/'Smart Search'!H13,0),0)</f>
        <v>0</v>
      </c>
      <c r="AE318" s="66">
        <f>IF('Smart Search'!F13=1,IFERROR(1/'Smart Search'!H13,0),0)</f>
        <v>0</v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>0</v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>0</v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>0</v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>0</v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>0</v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>0</v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>0</v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>0</v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>0</v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>0</v>
      </c>
      <c r="AP318" s="66">
        <f t="shared" si="56"/>
        <v>0</v>
      </c>
      <c r="AQ318" s="66">
        <f t="shared" si="57"/>
        <v>0</v>
      </c>
      <c r="AR318" s="66">
        <f t="shared" si="58"/>
        <v>0</v>
      </c>
      <c r="AS318" s="66">
        <f t="shared" si="59"/>
        <v>0</v>
      </c>
      <c r="AT318" s="66">
        <f t="shared" si="60"/>
        <v>0</v>
      </c>
      <c r="AU318" s="66">
        <f t="shared" si="61"/>
        <v>0</v>
      </c>
      <c r="AV318" s="66">
        <f t="shared" si="62"/>
        <v>0</v>
      </c>
      <c r="AW318" s="66">
        <f t="shared" si="63"/>
        <v>0</v>
      </c>
      <c r="AX318" s="66">
        <f t="shared" si="64"/>
        <v>0</v>
      </c>
      <c r="AY318" s="66">
        <f t="shared" si="65"/>
        <v>0</v>
      </c>
      <c r="AZ318" s="66">
        <f>'Project Database'!Z322</f>
        <v>0</v>
      </c>
      <c r="BA318" s="66">
        <f>IF(OR(A318="",'Smart Search'!H13=0),"",MAX(0,BE318*BF318*MAX(0,1-BG318)))</f>
        <v>0</v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>0</v>
      </c>
      <c r="BC318" s="66">
        <f>IF('Smart Search'!G13=1,IFERROR(1/'Smart Search'!H13,0),0)</f>
        <v>0</v>
      </c>
      <c r="BD318" s="66">
        <f t="shared" si="66"/>
        <v>0</v>
      </c>
      <c r="BE318" s="66">
        <f t="shared" si="67"/>
        <v>0</v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>0</v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>0</v>
      </c>
      <c r="BH318" s="5" t="str">
        <f>IF(AND('Project Database'!A322&lt;&gt;"",OR('Smart Search'!$L$5="",'Smart Search'!$L$5="All",TRIM('Project Database'!D322)=TRIM('Smart Search'!$L$5)),OR(TRIM('Smart Search'!$L$6)="",TRIM('Smart Search'!$L$6)="All",ISNUMBER(SEARCH(SUBSTITUTE(SUBSTITUTE(SUBSTITUTE(TRIM('Smart Search'!$L$6),"~","~~"),"*","~*"),"?","~?"),'Project Database'!C322))),OR('Smart Search'!$L$7="",AND('Project Database'!E322&lt;&gt;"",'Project Database'!E322='Smart Search'!$L$7)),OR('Smart Search'!$L$8="",'Smart Search'!$L$8="All",TRIM('Project Database'!F322)=TRIM('Smart Search'!$L$8))),IF(BA318="","",BA318+ROW()*0.0000000001),"")</f>
        <v/>
      </c>
      <c r="BI318" s="5" t="str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 t="str">
        <f>IF('Project Database'!A322="","",N('Project Database'!AC322))</f>
        <v/>
      </c>
      <c r="BK318" s="5" t="str">
        <f>IF('Project Database'!A322="","",N('Project Database'!AD322))</f>
        <v/>
      </c>
      <c r="BL318" s="5" t="str">
        <f>IF('Project Database'!A322="","",N('Project Database'!AE322))</f>
        <v/>
      </c>
      <c r="BM318" s="5" t="str">
        <f>IF('Project Database'!A322="","",N('Project Database'!AF322))</f>
        <v/>
      </c>
      <c r="BN318" s="5" t="str">
        <f>IF('Project Database'!A322="","",N('Project Database'!AG322))</f>
        <v/>
      </c>
      <c r="BO318" s="5" t="str">
        <f>IF('Project Database'!A322="","",N('Project Database'!AH322))</f>
        <v/>
      </c>
      <c r="BP318" s="5" t="str">
        <f>IF('Project Database'!A322="","",N('Project Database'!AI322))</f>
        <v/>
      </c>
      <c r="BQ318" s="5" t="str">
        <f>IF('Project Database'!A322="","",N('Project Database'!AJ322))</f>
        <v/>
      </c>
      <c r="BR318" s="5" t="str">
        <f>IF('Project Database'!A322="","",N('Project Database'!AK322))</f>
        <v/>
      </c>
      <c r="BS318" s="5" t="str">
        <f>IF('Project Database'!A322="","",N('Project Database'!AL322))</f>
        <v/>
      </c>
      <c r="BT318" s="5" t="str">
        <f>IF('Project Database'!A322="","",N('Project Database'!AM322))</f>
        <v/>
      </c>
      <c r="BU318" s="5" t="str">
        <f>IF('Project Database'!A322="","",N('Project Database'!AN322))</f>
        <v/>
      </c>
      <c r="BV318" s="5" t="str">
        <f>IF('Project Database'!A322="","",N('Project Database'!AO322))</f>
        <v/>
      </c>
      <c r="BW318" s="5" t="str">
        <f>IF('Project Database'!A322="","",N('Project Database'!AP322))</f>
        <v/>
      </c>
      <c r="BX318" s="5">
        <f t="shared" si="68"/>
        <v>0</v>
      </c>
      <c r="BY318" s="5">
        <f t="shared" si="69"/>
        <v>0</v>
      </c>
    </row>
    <row r="319" spans="1:77" ht="15" customHeight="1" x14ac:dyDescent="0.3">
      <c r="A319" s="66">
        <f>'Project Database'!A323</f>
        <v>0</v>
      </c>
      <c r="B319" s="66">
        <f>'Project Database'!B323</f>
        <v>0</v>
      </c>
      <c r="C319" s="66">
        <f>'Project Database'!G323</f>
        <v>0</v>
      </c>
      <c r="D319" s="66">
        <f>'Project Database'!H323</f>
        <v>0</v>
      </c>
      <c r="E319" s="66">
        <f>'Project Database'!I323</f>
        <v>0</v>
      </c>
      <c r="F319" s="66">
        <f>'Project Database'!J323</f>
        <v>0</v>
      </c>
      <c r="G319" s="66">
        <f>'Project Database'!K323</f>
        <v>0</v>
      </c>
      <c r="H319" s="66">
        <f>'Project Database'!L323</f>
        <v>0</v>
      </c>
      <c r="I319" s="66">
        <f>'Project Database'!M323</f>
        <v>0</v>
      </c>
      <c r="J319" s="66">
        <f>'Project Database'!N323</f>
        <v>0</v>
      </c>
      <c r="K319" s="66">
        <f>'Project Database'!O323</f>
        <v>0</v>
      </c>
      <c r="L319" s="66">
        <f>'Project Database'!P323</f>
        <v>0</v>
      </c>
      <c r="M319" s="66">
        <f>'Project Database'!Q323</f>
        <v>0</v>
      </c>
      <c r="N319" s="66">
        <f>'Project Database'!R323</f>
        <v>0</v>
      </c>
      <c r="O319" s="66">
        <f>'Project Database'!S323</f>
        <v>0</v>
      </c>
      <c r="P319" s="66">
        <f>'Project Database'!T323</f>
        <v>0</v>
      </c>
      <c r="Q319" s="66">
        <f>'Project Database'!U323</f>
        <v>0</v>
      </c>
      <c r="R319" s="66">
        <f>'Project Database'!V323</f>
        <v>0</v>
      </c>
      <c r="S319" s="66">
        <f>'Project Database'!W323</f>
        <v>0</v>
      </c>
      <c r="T319" s="66">
        <f>'Project Database'!X323</f>
        <v>0</v>
      </c>
      <c r="U319" s="67">
        <f>'Project Database'!Y323</f>
        <v>0</v>
      </c>
      <c r="V319" s="66">
        <f>IF('Smart Search'!B13=1,IFERROR(1/'Smart Search'!H13,0),0)</f>
        <v>0</v>
      </c>
      <c r="W319" s="66">
        <f>IF('Smart Search'!B13=1,IFERROR(1/'Smart Search'!H13,0),0)</f>
        <v>0</v>
      </c>
      <c r="X319" s="66">
        <f>IF('Smart Search'!C13=1,IFERROR(1/'Smart Search'!H13,0),0)</f>
        <v>0.5</v>
      </c>
      <c r="Y319" s="66">
        <f>IF('Smart Search'!C13=1,IFERROR(1/'Smart Search'!H13,0),0)</f>
        <v>0.5</v>
      </c>
      <c r="Z319" s="66">
        <f>IF('Smart Search'!D13=1,IFERROR(1/'Smart Search'!H13,0),0)</f>
        <v>0</v>
      </c>
      <c r="AA319" s="66">
        <f>IF('Smart Search'!D13=1,IFERROR(1/'Smart Search'!H13,0),0)</f>
        <v>0</v>
      </c>
      <c r="AB319" s="66">
        <f>IF('Smart Search'!E13=1,IFERROR(1/'Smart Search'!H13,0),0)</f>
        <v>0</v>
      </c>
      <c r="AC319" s="66">
        <f>IF('Smart Search'!E13=1,IFERROR(1/'Smart Search'!H13,0),0)</f>
        <v>0</v>
      </c>
      <c r="AD319" s="66">
        <f>IF('Smart Search'!F13=1,IFERROR(1/'Smart Search'!H13,0),0)</f>
        <v>0</v>
      </c>
      <c r="AE319" s="66">
        <f>IF('Smart Search'!F13=1,IFERROR(1/'Smart Search'!H13,0),0)</f>
        <v>0</v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>0</v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>0</v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>0</v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>0</v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>0</v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>0</v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>0</v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>0</v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>0</v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>0</v>
      </c>
      <c r="AP319" s="66">
        <f t="shared" si="56"/>
        <v>0</v>
      </c>
      <c r="AQ319" s="66">
        <f t="shared" si="57"/>
        <v>0</v>
      </c>
      <c r="AR319" s="66">
        <f t="shared" si="58"/>
        <v>0</v>
      </c>
      <c r="AS319" s="66">
        <f t="shared" si="59"/>
        <v>0</v>
      </c>
      <c r="AT319" s="66">
        <f t="shared" si="60"/>
        <v>0</v>
      </c>
      <c r="AU319" s="66">
        <f t="shared" si="61"/>
        <v>0</v>
      </c>
      <c r="AV319" s="66">
        <f t="shared" si="62"/>
        <v>0</v>
      </c>
      <c r="AW319" s="66">
        <f t="shared" si="63"/>
        <v>0</v>
      </c>
      <c r="AX319" s="66">
        <f t="shared" si="64"/>
        <v>0</v>
      </c>
      <c r="AY319" s="66">
        <f t="shared" si="65"/>
        <v>0</v>
      </c>
      <c r="AZ319" s="66">
        <f>'Project Database'!Z323</f>
        <v>0</v>
      </c>
      <c r="BA319" s="66">
        <f>IF(OR(A319="",'Smart Search'!H13=0),"",MAX(0,BE319*BF319*MAX(0,1-BG319)))</f>
        <v>0</v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>0</v>
      </c>
      <c r="BC319" s="66">
        <f>IF('Smart Search'!G13=1,IFERROR(1/'Smart Search'!H13,0),0)</f>
        <v>0</v>
      </c>
      <c r="BD319" s="66">
        <f t="shared" si="66"/>
        <v>0</v>
      </c>
      <c r="BE319" s="66">
        <f t="shared" si="67"/>
        <v>0</v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>0</v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>0</v>
      </c>
      <c r="BH319" s="5" t="str">
        <f>IF(AND('Project Database'!A323&lt;&gt;"",OR('Smart Search'!$L$5="",'Smart Search'!$L$5="All",TRIM('Project Database'!D323)=TRIM('Smart Search'!$L$5)),OR(TRIM('Smart Search'!$L$6)="",TRIM('Smart Search'!$L$6)="All",ISNUMBER(SEARCH(SUBSTITUTE(SUBSTITUTE(SUBSTITUTE(TRIM('Smart Search'!$L$6),"~","~~"),"*","~*"),"?","~?"),'Project Database'!C323))),OR('Smart Search'!$L$7="",AND('Project Database'!E323&lt;&gt;"",'Project Database'!E323='Smart Search'!$L$7)),OR('Smart Search'!$L$8="",'Smart Search'!$L$8="All",TRIM('Project Database'!F323)=TRIM('Smart Search'!$L$8))),IF(BA319="","",BA319+ROW()*0.0000000001),"")</f>
        <v/>
      </c>
      <c r="BI319" s="5" t="str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 t="str">
        <f>IF('Project Database'!A323="","",N('Project Database'!AC323))</f>
        <v/>
      </c>
      <c r="BK319" s="5" t="str">
        <f>IF('Project Database'!A323="","",N('Project Database'!AD323))</f>
        <v/>
      </c>
      <c r="BL319" s="5" t="str">
        <f>IF('Project Database'!A323="","",N('Project Database'!AE323))</f>
        <v/>
      </c>
      <c r="BM319" s="5" t="str">
        <f>IF('Project Database'!A323="","",N('Project Database'!AF323))</f>
        <v/>
      </c>
      <c r="BN319" s="5" t="str">
        <f>IF('Project Database'!A323="","",N('Project Database'!AG323))</f>
        <v/>
      </c>
      <c r="BO319" s="5" t="str">
        <f>IF('Project Database'!A323="","",N('Project Database'!AH323))</f>
        <v/>
      </c>
      <c r="BP319" s="5" t="str">
        <f>IF('Project Database'!A323="","",N('Project Database'!AI323))</f>
        <v/>
      </c>
      <c r="BQ319" s="5" t="str">
        <f>IF('Project Database'!A323="","",N('Project Database'!AJ323))</f>
        <v/>
      </c>
      <c r="BR319" s="5" t="str">
        <f>IF('Project Database'!A323="","",N('Project Database'!AK323))</f>
        <v/>
      </c>
      <c r="BS319" s="5" t="str">
        <f>IF('Project Database'!A323="","",N('Project Database'!AL323))</f>
        <v/>
      </c>
      <c r="BT319" s="5" t="str">
        <f>IF('Project Database'!A323="","",N('Project Database'!AM323))</f>
        <v/>
      </c>
      <c r="BU319" s="5" t="str">
        <f>IF('Project Database'!A323="","",N('Project Database'!AN323))</f>
        <v/>
      </c>
      <c r="BV319" s="5" t="str">
        <f>IF('Project Database'!A323="","",N('Project Database'!AO323))</f>
        <v/>
      </c>
      <c r="BW319" s="5" t="str">
        <f>IF('Project Database'!A323="","",N('Project Database'!AP323))</f>
        <v/>
      </c>
      <c r="BX319" s="5">
        <f t="shared" si="68"/>
        <v>0</v>
      </c>
      <c r="BY319" s="5">
        <f t="shared" si="69"/>
        <v>0</v>
      </c>
    </row>
    <row r="320" spans="1:77" ht="15" customHeight="1" x14ac:dyDescent="0.3">
      <c r="A320" s="66">
        <f>'Project Database'!A324</f>
        <v>0</v>
      </c>
      <c r="B320" s="66">
        <f>'Project Database'!B324</f>
        <v>0</v>
      </c>
      <c r="C320" s="66">
        <f>'Project Database'!G324</f>
        <v>0</v>
      </c>
      <c r="D320" s="66">
        <f>'Project Database'!H324</f>
        <v>0</v>
      </c>
      <c r="E320" s="66">
        <f>'Project Database'!I324</f>
        <v>0</v>
      </c>
      <c r="F320" s="66">
        <f>'Project Database'!J324</f>
        <v>0</v>
      </c>
      <c r="G320" s="66">
        <f>'Project Database'!K324</f>
        <v>0</v>
      </c>
      <c r="H320" s="66">
        <f>'Project Database'!L324</f>
        <v>0</v>
      </c>
      <c r="I320" s="66">
        <f>'Project Database'!M324</f>
        <v>0</v>
      </c>
      <c r="J320" s="66">
        <f>'Project Database'!N324</f>
        <v>0</v>
      </c>
      <c r="K320" s="66">
        <f>'Project Database'!O324</f>
        <v>0</v>
      </c>
      <c r="L320" s="66">
        <f>'Project Database'!P324</f>
        <v>0</v>
      </c>
      <c r="M320" s="66">
        <f>'Project Database'!Q324</f>
        <v>0</v>
      </c>
      <c r="N320" s="66">
        <f>'Project Database'!R324</f>
        <v>0</v>
      </c>
      <c r="O320" s="66">
        <f>'Project Database'!S324</f>
        <v>0</v>
      </c>
      <c r="P320" s="66">
        <f>'Project Database'!T324</f>
        <v>0</v>
      </c>
      <c r="Q320" s="66">
        <f>'Project Database'!U324</f>
        <v>0</v>
      </c>
      <c r="R320" s="66">
        <f>'Project Database'!V324</f>
        <v>0</v>
      </c>
      <c r="S320" s="66">
        <f>'Project Database'!W324</f>
        <v>0</v>
      </c>
      <c r="T320" s="66">
        <f>'Project Database'!X324</f>
        <v>0</v>
      </c>
      <c r="U320" s="67">
        <f>'Project Database'!Y324</f>
        <v>0</v>
      </c>
      <c r="V320" s="66">
        <f>IF('Smart Search'!B13=1,IFERROR(1/'Smart Search'!H13,0),0)</f>
        <v>0</v>
      </c>
      <c r="W320" s="66">
        <f>IF('Smart Search'!B13=1,IFERROR(1/'Smart Search'!H13,0),0)</f>
        <v>0</v>
      </c>
      <c r="X320" s="66">
        <f>IF('Smart Search'!C13=1,IFERROR(1/'Smart Search'!H13,0),0)</f>
        <v>0.5</v>
      </c>
      <c r="Y320" s="66">
        <f>IF('Smart Search'!C13=1,IFERROR(1/'Smart Search'!H13,0),0)</f>
        <v>0.5</v>
      </c>
      <c r="Z320" s="66">
        <f>IF('Smart Search'!D13=1,IFERROR(1/'Smart Search'!H13,0),0)</f>
        <v>0</v>
      </c>
      <c r="AA320" s="66">
        <f>IF('Smart Search'!D13=1,IFERROR(1/'Smart Search'!H13,0),0)</f>
        <v>0</v>
      </c>
      <c r="AB320" s="66">
        <f>IF('Smart Search'!E13=1,IFERROR(1/'Smart Search'!H13,0),0)</f>
        <v>0</v>
      </c>
      <c r="AC320" s="66">
        <f>IF('Smart Search'!E13=1,IFERROR(1/'Smart Search'!H13,0),0)</f>
        <v>0</v>
      </c>
      <c r="AD320" s="66">
        <f>IF('Smart Search'!F13=1,IFERROR(1/'Smart Search'!H13,0),0)</f>
        <v>0</v>
      </c>
      <c r="AE320" s="66">
        <f>IF('Smart Search'!F13=1,IFERROR(1/'Smart Search'!H13,0),0)</f>
        <v>0</v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>0</v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>0</v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>0</v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>0</v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>0</v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>0</v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>0</v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>0</v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>0</v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>0</v>
      </c>
      <c r="AP320" s="66">
        <f t="shared" si="56"/>
        <v>0</v>
      </c>
      <c r="AQ320" s="66">
        <f t="shared" si="57"/>
        <v>0</v>
      </c>
      <c r="AR320" s="66">
        <f t="shared" si="58"/>
        <v>0</v>
      </c>
      <c r="AS320" s="66">
        <f t="shared" si="59"/>
        <v>0</v>
      </c>
      <c r="AT320" s="66">
        <f t="shared" si="60"/>
        <v>0</v>
      </c>
      <c r="AU320" s="66">
        <f t="shared" si="61"/>
        <v>0</v>
      </c>
      <c r="AV320" s="66">
        <f t="shared" si="62"/>
        <v>0</v>
      </c>
      <c r="AW320" s="66">
        <f t="shared" si="63"/>
        <v>0</v>
      </c>
      <c r="AX320" s="66">
        <f t="shared" si="64"/>
        <v>0</v>
      </c>
      <c r="AY320" s="66">
        <f t="shared" si="65"/>
        <v>0</v>
      </c>
      <c r="AZ320" s="66">
        <f>'Project Database'!Z324</f>
        <v>0</v>
      </c>
      <c r="BA320" s="66">
        <f>IF(OR(A320="",'Smart Search'!H13=0),"",MAX(0,BE320*BF320*MAX(0,1-BG320)))</f>
        <v>0</v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>0</v>
      </c>
      <c r="BC320" s="66">
        <f>IF('Smart Search'!G13=1,IFERROR(1/'Smart Search'!H13,0),0)</f>
        <v>0</v>
      </c>
      <c r="BD320" s="66">
        <f t="shared" si="66"/>
        <v>0</v>
      </c>
      <c r="BE320" s="66">
        <f t="shared" si="67"/>
        <v>0</v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>0</v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>0</v>
      </c>
      <c r="BH320" s="5" t="str">
        <f>IF(AND('Project Database'!A324&lt;&gt;"",OR('Smart Search'!$L$5="",'Smart Search'!$L$5="All",TRIM('Project Database'!D324)=TRIM('Smart Search'!$L$5)),OR(TRIM('Smart Search'!$L$6)="",TRIM('Smart Search'!$L$6)="All",ISNUMBER(SEARCH(SUBSTITUTE(SUBSTITUTE(SUBSTITUTE(TRIM('Smart Search'!$L$6),"~","~~"),"*","~*"),"?","~?"),'Project Database'!C324))),OR('Smart Search'!$L$7="",AND('Project Database'!E324&lt;&gt;"",'Project Database'!E324='Smart Search'!$L$7)),OR('Smart Search'!$L$8="",'Smart Search'!$L$8="All",TRIM('Project Database'!F324)=TRIM('Smart Search'!$L$8))),IF(BA320="","",BA320+ROW()*0.0000000001),"")</f>
        <v/>
      </c>
      <c r="BI320" s="5" t="str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 t="str">
        <f>IF('Project Database'!A324="","",N('Project Database'!AC324))</f>
        <v/>
      </c>
      <c r="BK320" s="5" t="str">
        <f>IF('Project Database'!A324="","",N('Project Database'!AD324))</f>
        <v/>
      </c>
      <c r="BL320" s="5" t="str">
        <f>IF('Project Database'!A324="","",N('Project Database'!AE324))</f>
        <v/>
      </c>
      <c r="BM320" s="5" t="str">
        <f>IF('Project Database'!A324="","",N('Project Database'!AF324))</f>
        <v/>
      </c>
      <c r="BN320" s="5" t="str">
        <f>IF('Project Database'!A324="","",N('Project Database'!AG324))</f>
        <v/>
      </c>
      <c r="BO320" s="5" t="str">
        <f>IF('Project Database'!A324="","",N('Project Database'!AH324))</f>
        <v/>
      </c>
      <c r="BP320" s="5" t="str">
        <f>IF('Project Database'!A324="","",N('Project Database'!AI324))</f>
        <v/>
      </c>
      <c r="BQ320" s="5" t="str">
        <f>IF('Project Database'!A324="","",N('Project Database'!AJ324))</f>
        <v/>
      </c>
      <c r="BR320" s="5" t="str">
        <f>IF('Project Database'!A324="","",N('Project Database'!AK324))</f>
        <v/>
      </c>
      <c r="BS320" s="5" t="str">
        <f>IF('Project Database'!A324="","",N('Project Database'!AL324))</f>
        <v/>
      </c>
      <c r="BT320" s="5" t="str">
        <f>IF('Project Database'!A324="","",N('Project Database'!AM324))</f>
        <v/>
      </c>
      <c r="BU320" s="5" t="str">
        <f>IF('Project Database'!A324="","",N('Project Database'!AN324))</f>
        <v/>
      </c>
      <c r="BV320" s="5" t="str">
        <f>IF('Project Database'!A324="","",N('Project Database'!AO324))</f>
        <v/>
      </c>
      <c r="BW320" s="5" t="str">
        <f>IF('Project Database'!A324="","",N('Project Database'!AP324))</f>
        <v/>
      </c>
      <c r="BX320" s="5">
        <f t="shared" si="68"/>
        <v>0</v>
      </c>
      <c r="BY320" s="5">
        <f t="shared" si="69"/>
        <v>0</v>
      </c>
    </row>
    <row r="321" spans="1:77" ht="15" customHeight="1" x14ac:dyDescent="0.3">
      <c r="A321" s="66">
        <f>'Project Database'!A325</f>
        <v>0</v>
      </c>
      <c r="B321" s="66">
        <f>'Project Database'!B325</f>
        <v>0</v>
      </c>
      <c r="C321" s="66">
        <f>'Project Database'!G325</f>
        <v>0</v>
      </c>
      <c r="D321" s="66">
        <f>'Project Database'!H325</f>
        <v>0</v>
      </c>
      <c r="E321" s="66">
        <f>'Project Database'!I325</f>
        <v>0</v>
      </c>
      <c r="F321" s="66">
        <f>'Project Database'!J325</f>
        <v>0</v>
      </c>
      <c r="G321" s="66">
        <f>'Project Database'!K325</f>
        <v>0</v>
      </c>
      <c r="H321" s="66">
        <f>'Project Database'!L325</f>
        <v>0</v>
      </c>
      <c r="I321" s="66">
        <f>'Project Database'!M325</f>
        <v>0</v>
      </c>
      <c r="J321" s="66">
        <f>'Project Database'!N325</f>
        <v>0</v>
      </c>
      <c r="K321" s="66">
        <f>'Project Database'!O325</f>
        <v>0</v>
      </c>
      <c r="L321" s="66">
        <f>'Project Database'!P325</f>
        <v>0</v>
      </c>
      <c r="M321" s="66">
        <f>'Project Database'!Q325</f>
        <v>0</v>
      </c>
      <c r="N321" s="66">
        <f>'Project Database'!R325</f>
        <v>0</v>
      </c>
      <c r="O321" s="66">
        <f>'Project Database'!S325</f>
        <v>0</v>
      </c>
      <c r="P321" s="66">
        <f>'Project Database'!T325</f>
        <v>0</v>
      </c>
      <c r="Q321" s="66">
        <f>'Project Database'!U325</f>
        <v>0</v>
      </c>
      <c r="R321" s="66">
        <f>'Project Database'!V325</f>
        <v>0</v>
      </c>
      <c r="S321" s="66">
        <f>'Project Database'!W325</f>
        <v>0</v>
      </c>
      <c r="T321" s="66">
        <f>'Project Database'!X325</f>
        <v>0</v>
      </c>
      <c r="U321" s="67">
        <f>'Project Database'!Y325</f>
        <v>0</v>
      </c>
      <c r="V321" s="66">
        <f>IF('Smart Search'!B13=1,IFERROR(1/'Smart Search'!H13,0),0)</f>
        <v>0</v>
      </c>
      <c r="W321" s="66">
        <f>IF('Smart Search'!B13=1,IFERROR(1/'Smart Search'!H13,0),0)</f>
        <v>0</v>
      </c>
      <c r="X321" s="66">
        <f>IF('Smart Search'!C13=1,IFERROR(1/'Smart Search'!H13,0),0)</f>
        <v>0.5</v>
      </c>
      <c r="Y321" s="66">
        <f>IF('Smart Search'!C13=1,IFERROR(1/'Smart Search'!H13,0),0)</f>
        <v>0.5</v>
      </c>
      <c r="Z321" s="66">
        <f>IF('Smart Search'!D13=1,IFERROR(1/'Smart Search'!H13,0),0)</f>
        <v>0</v>
      </c>
      <c r="AA321" s="66">
        <f>IF('Smart Search'!D13=1,IFERROR(1/'Smart Search'!H13,0),0)</f>
        <v>0</v>
      </c>
      <c r="AB321" s="66">
        <f>IF('Smart Search'!E13=1,IFERROR(1/'Smart Search'!H13,0),0)</f>
        <v>0</v>
      </c>
      <c r="AC321" s="66">
        <f>IF('Smart Search'!E13=1,IFERROR(1/'Smart Search'!H13,0),0)</f>
        <v>0</v>
      </c>
      <c r="AD321" s="66">
        <f>IF('Smart Search'!F13=1,IFERROR(1/'Smart Search'!H13,0),0)</f>
        <v>0</v>
      </c>
      <c r="AE321" s="66">
        <f>IF('Smart Search'!F13=1,IFERROR(1/'Smart Search'!H13,0),0)</f>
        <v>0</v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>0</v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>0</v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>0</v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>0</v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>0</v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>0</v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>0</v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>0</v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>0</v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>0</v>
      </c>
      <c r="AP321" s="66">
        <f t="shared" si="56"/>
        <v>0</v>
      </c>
      <c r="AQ321" s="66">
        <f t="shared" si="57"/>
        <v>0</v>
      </c>
      <c r="AR321" s="66">
        <f t="shared" si="58"/>
        <v>0</v>
      </c>
      <c r="AS321" s="66">
        <f t="shared" si="59"/>
        <v>0</v>
      </c>
      <c r="AT321" s="66">
        <f t="shared" si="60"/>
        <v>0</v>
      </c>
      <c r="AU321" s="66">
        <f t="shared" si="61"/>
        <v>0</v>
      </c>
      <c r="AV321" s="66">
        <f t="shared" si="62"/>
        <v>0</v>
      </c>
      <c r="AW321" s="66">
        <f t="shared" si="63"/>
        <v>0</v>
      </c>
      <c r="AX321" s="66">
        <f t="shared" si="64"/>
        <v>0</v>
      </c>
      <c r="AY321" s="66">
        <f t="shared" si="65"/>
        <v>0</v>
      </c>
      <c r="AZ321" s="66">
        <f>'Project Database'!Z325</f>
        <v>0</v>
      </c>
      <c r="BA321" s="66">
        <f>IF(OR(A321="",'Smart Search'!H13=0),"",MAX(0,BE321*BF321*MAX(0,1-BG321)))</f>
        <v>0</v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>0</v>
      </c>
      <c r="BC321" s="66">
        <f>IF('Smart Search'!G13=1,IFERROR(1/'Smart Search'!H13,0),0)</f>
        <v>0</v>
      </c>
      <c r="BD321" s="66">
        <f t="shared" si="66"/>
        <v>0</v>
      </c>
      <c r="BE321" s="66">
        <f t="shared" si="67"/>
        <v>0</v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>0</v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>0</v>
      </c>
      <c r="BH321" s="5" t="str">
        <f>IF(AND('Project Database'!A325&lt;&gt;"",OR('Smart Search'!$L$5="",'Smart Search'!$L$5="All",TRIM('Project Database'!D325)=TRIM('Smart Search'!$L$5)),OR(TRIM('Smart Search'!$L$6)="",TRIM('Smart Search'!$L$6)="All",ISNUMBER(SEARCH(SUBSTITUTE(SUBSTITUTE(SUBSTITUTE(TRIM('Smart Search'!$L$6),"~","~~"),"*","~*"),"?","~?"),'Project Database'!C325))),OR('Smart Search'!$L$7="",AND('Project Database'!E325&lt;&gt;"",'Project Database'!E325='Smart Search'!$L$7)),OR('Smart Search'!$L$8="",'Smart Search'!$L$8="All",TRIM('Project Database'!F325)=TRIM('Smart Search'!$L$8))),IF(BA321="","",BA321+ROW()*0.0000000001),"")</f>
        <v/>
      </c>
      <c r="BI321" s="5" t="str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 t="str">
        <f>IF('Project Database'!A325="","",N('Project Database'!AC325))</f>
        <v/>
      </c>
      <c r="BK321" s="5" t="str">
        <f>IF('Project Database'!A325="","",N('Project Database'!AD325))</f>
        <v/>
      </c>
      <c r="BL321" s="5" t="str">
        <f>IF('Project Database'!A325="","",N('Project Database'!AE325))</f>
        <v/>
      </c>
      <c r="BM321" s="5" t="str">
        <f>IF('Project Database'!A325="","",N('Project Database'!AF325))</f>
        <v/>
      </c>
      <c r="BN321" s="5" t="str">
        <f>IF('Project Database'!A325="","",N('Project Database'!AG325))</f>
        <v/>
      </c>
      <c r="BO321" s="5" t="str">
        <f>IF('Project Database'!A325="","",N('Project Database'!AH325))</f>
        <v/>
      </c>
      <c r="BP321" s="5" t="str">
        <f>IF('Project Database'!A325="","",N('Project Database'!AI325))</f>
        <v/>
      </c>
      <c r="BQ321" s="5" t="str">
        <f>IF('Project Database'!A325="","",N('Project Database'!AJ325))</f>
        <v/>
      </c>
      <c r="BR321" s="5" t="str">
        <f>IF('Project Database'!A325="","",N('Project Database'!AK325))</f>
        <v/>
      </c>
      <c r="BS321" s="5" t="str">
        <f>IF('Project Database'!A325="","",N('Project Database'!AL325))</f>
        <v/>
      </c>
      <c r="BT321" s="5" t="str">
        <f>IF('Project Database'!A325="","",N('Project Database'!AM325))</f>
        <v/>
      </c>
      <c r="BU321" s="5" t="str">
        <f>IF('Project Database'!A325="","",N('Project Database'!AN325))</f>
        <v/>
      </c>
      <c r="BV321" s="5" t="str">
        <f>IF('Project Database'!A325="","",N('Project Database'!AO325))</f>
        <v/>
      </c>
      <c r="BW321" s="5" t="str">
        <f>IF('Project Database'!A325="","",N('Project Database'!AP325))</f>
        <v/>
      </c>
      <c r="BX321" s="5">
        <f t="shared" si="68"/>
        <v>0</v>
      </c>
      <c r="BY321" s="5">
        <f t="shared" si="69"/>
        <v>0</v>
      </c>
    </row>
    <row r="322" spans="1:77" ht="15" customHeight="1" x14ac:dyDescent="0.3">
      <c r="A322" s="66">
        <f>'Project Database'!A326</f>
        <v>0</v>
      </c>
      <c r="B322" s="66">
        <f>'Project Database'!B326</f>
        <v>0</v>
      </c>
      <c r="C322" s="66">
        <f>'Project Database'!G326</f>
        <v>0</v>
      </c>
      <c r="D322" s="66">
        <f>'Project Database'!H326</f>
        <v>0</v>
      </c>
      <c r="E322" s="66">
        <f>'Project Database'!I326</f>
        <v>0</v>
      </c>
      <c r="F322" s="66">
        <f>'Project Database'!J326</f>
        <v>0</v>
      </c>
      <c r="G322" s="66">
        <f>'Project Database'!K326</f>
        <v>0</v>
      </c>
      <c r="H322" s="66">
        <f>'Project Database'!L326</f>
        <v>0</v>
      </c>
      <c r="I322" s="66">
        <f>'Project Database'!M326</f>
        <v>0</v>
      </c>
      <c r="J322" s="66">
        <f>'Project Database'!N326</f>
        <v>0</v>
      </c>
      <c r="K322" s="66">
        <f>'Project Database'!O326</f>
        <v>0</v>
      </c>
      <c r="L322" s="66">
        <f>'Project Database'!P326</f>
        <v>0</v>
      </c>
      <c r="M322" s="66">
        <f>'Project Database'!Q326</f>
        <v>0</v>
      </c>
      <c r="N322" s="66">
        <f>'Project Database'!R326</f>
        <v>0</v>
      </c>
      <c r="O322" s="66">
        <f>'Project Database'!S326</f>
        <v>0</v>
      </c>
      <c r="P322" s="66">
        <f>'Project Database'!T326</f>
        <v>0</v>
      </c>
      <c r="Q322" s="66">
        <f>'Project Database'!U326</f>
        <v>0</v>
      </c>
      <c r="R322" s="66">
        <f>'Project Database'!V326</f>
        <v>0</v>
      </c>
      <c r="S322" s="66">
        <f>'Project Database'!W326</f>
        <v>0</v>
      </c>
      <c r="T322" s="66">
        <f>'Project Database'!X326</f>
        <v>0</v>
      </c>
      <c r="U322" s="67">
        <f>'Project Database'!Y326</f>
        <v>0</v>
      </c>
      <c r="V322" s="66">
        <f>IF('Smart Search'!B13=1,IFERROR(1/'Smart Search'!H13,0),0)</f>
        <v>0</v>
      </c>
      <c r="W322" s="66">
        <f>IF('Smart Search'!B13=1,IFERROR(1/'Smart Search'!H13,0),0)</f>
        <v>0</v>
      </c>
      <c r="X322" s="66">
        <f>IF('Smart Search'!C13=1,IFERROR(1/'Smart Search'!H13,0),0)</f>
        <v>0.5</v>
      </c>
      <c r="Y322" s="66">
        <f>IF('Smart Search'!C13=1,IFERROR(1/'Smart Search'!H13,0),0)</f>
        <v>0.5</v>
      </c>
      <c r="Z322" s="66">
        <f>IF('Smart Search'!D13=1,IFERROR(1/'Smart Search'!H13,0),0)</f>
        <v>0</v>
      </c>
      <c r="AA322" s="66">
        <f>IF('Smart Search'!D13=1,IFERROR(1/'Smart Search'!H13,0),0)</f>
        <v>0</v>
      </c>
      <c r="AB322" s="66">
        <f>IF('Smart Search'!E13=1,IFERROR(1/'Smart Search'!H13,0),0)</f>
        <v>0</v>
      </c>
      <c r="AC322" s="66">
        <f>IF('Smart Search'!E13=1,IFERROR(1/'Smart Search'!H13,0),0)</f>
        <v>0</v>
      </c>
      <c r="AD322" s="66">
        <f>IF('Smart Search'!F13=1,IFERROR(1/'Smart Search'!H13,0),0)</f>
        <v>0</v>
      </c>
      <c r="AE322" s="66">
        <f>IF('Smart Search'!F13=1,IFERROR(1/'Smart Search'!H13,0),0)</f>
        <v>0</v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>0</v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>0</v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>0</v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>0</v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>0</v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>0</v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>0</v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>0</v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>0</v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>0</v>
      </c>
      <c r="AP322" s="66">
        <f t="shared" ref="AP322:AP385" si="70">AF322*V322</f>
        <v>0</v>
      </c>
      <c r="AQ322" s="66">
        <f t="shared" ref="AQ322:AQ385" si="71">AG322*W322</f>
        <v>0</v>
      </c>
      <c r="AR322" s="66">
        <f t="shared" ref="AR322:AR385" si="72">AH322*X322</f>
        <v>0</v>
      </c>
      <c r="AS322" s="66">
        <f t="shared" ref="AS322:AS385" si="73">AI322*Y322</f>
        <v>0</v>
      </c>
      <c r="AT322" s="66">
        <f t="shared" ref="AT322:AT385" si="74">AJ322*Z322</f>
        <v>0</v>
      </c>
      <c r="AU322" s="66">
        <f t="shared" ref="AU322:AU385" si="75">AK322*AA322</f>
        <v>0</v>
      </c>
      <c r="AV322" s="66">
        <f t="shared" ref="AV322:AV385" si="76">AL322*AB322</f>
        <v>0</v>
      </c>
      <c r="AW322" s="66">
        <f t="shared" ref="AW322:AW385" si="77">AM322*AC322</f>
        <v>0</v>
      </c>
      <c r="AX322" s="66">
        <f t="shared" ref="AX322:AX385" si="78">AN322*AD322</f>
        <v>0</v>
      </c>
      <c r="AY322" s="66">
        <f t="shared" ref="AY322:AY385" si="79">AO322*AE322</f>
        <v>0</v>
      </c>
      <c r="AZ322" s="66">
        <f>'Project Database'!Z326</f>
        <v>0</v>
      </c>
      <c r="BA322" s="66">
        <f>IF(OR(A322="",'Smart Search'!H13=0),"",MAX(0,BE322*BF322*MAX(0,1-BG322)))</f>
        <v>0</v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>0</v>
      </c>
      <c r="BC322" s="66">
        <f>IF('Smart Search'!G13=1,IFERROR(1/'Smart Search'!H13,0),0)</f>
        <v>0</v>
      </c>
      <c r="BD322" s="66">
        <f t="shared" ref="BD322:BD385" si="80">BB322*BC322</f>
        <v>0</v>
      </c>
      <c r="BE322" s="66">
        <f t="shared" ref="BE322:BE385" si="81">AP322+AQ322+AR322+AS322+AT322+AU322+AV322+AW322+AX322+AY322+BD322</f>
        <v>0</v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>0</v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>0</v>
      </c>
      <c r="BH322" s="5" t="str">
        <f>IF(AND('Project Database'!A326&lt;&gt;"",OR('Smart Search'!$L$5="",'Smart Search'!$L$5="All",TRIM('Project Database'!D326)=TRIM('Smart Search'!$L$5)),OR(TRIM('Smart Search'!$L$6)="",TRIM('Smart Search'!$L$6)="All",ISNUMBER(SEARCH(SUBSTITUTE(SUBSTITUTE(SUBSTITUTE(TRIM('Smart Search'!$L$6),"~","~~"),"*","~*"),"?","~?"),'Project Database'!C326))),OR('Smart Search'!$L$7="",AND('Project Database'!E326&lt;&gt;"",'Project Database'!E326='Smart Search'!$L$7)),OR('Smart Search'!$L$8="",'Smart Search'!$L$8="All",TRIM('Project Database'!F326)=TRIM('Smart Search'!$L$8))),IF(BA322="","",BA322+ROW()*0.0000000001),"")</f>
        <v/>
      </c>
      <c r="BI322" s="5" t="str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 t="str">
        <f>IF('Project Database'!A326="","",N('Project Database'!AC326))</f>
        <v/>
      </c>
      <c r="BK322" s="5" t="str">
        <f>IF('Project Database'!A326="","",N('Project Database'!AD326))</f>
        <v/>
      </c>
      <c r="BL322" s="5" t="str">
        <f>IF('Project Database'!A326="","",N('Project Database'!AE326))</f>
        <v/>
      </c>
      <c r="BM322" s="5" t="str">
        <f>IF('Project Database'!A326="","",N('Project Database'!AF326))</f>
        <v/>
      </c>
      <c r="BN322" s="5" t="str">
        <f>IF('Project Database'!A326="","",N('Project Database'!AG326))</f>
        <v/>
      </c>
      <c r="BO322" s="5" t="str">
        <f>IF('Project Database'!A326="","",N('Project Database'!AH326))</f>
        <v/>
      </c>
      <c r="BP322" s="5" t="str">
        <f>IF('Project Database'!A326="","",N('Project Database'!AI326))</f>
        <v/>
      </c>
      <c r="BQ322" s="5" t="str">
        <f>IF('Project Database'!A326="","",N('Project Database'!AJ326))</f>
        <v/>
      </c>
      <c r="BR322" s="5" t="str">
        <f>IF('Project Database'!A326="","",N('Project Database'!AK326))</f>
        <v/>
      </c>
      <c r="BS322" s="5" t="str">
        <f>IF('Project Database'!A326="","",N('Project Database'!AL326))</f>
        <v/>
      </c>
      <c r="BT322" s="5" t="str">
        <f>IF('Project Database'!A326="","",N('Project Database'!AM326))</f>
        <v/>
      </c>
      <c r="BU322" s="5" t="str">
        <f>IF('Project Database'!A326="","",N('Project Database'!AN326))</f>
        <v/>
      </c>
      <c r="BV322" s="5" t="str">
        <f>IF('Project Database'!A326="","",N('Project Database'!AO326))</f>
        <v/>
      </c>
      <c r="BW322" s="5" t="str">
        <f>IF('Project Database'!A326="","",N('Project Database'!AP326))</f>
        <v/>
      </c>
      <c r="BX322" s="5">
        <f t="shared" ref="BX322:BX385" si="82">IF(A322="","",SUM(BJ322:BW322))</f>
        <v>0</v>
      </c>
      <c r="BY322" s="5">
        <f t="shared" ref="BY322:BY385" si="83">IF(A322="","",IFERROR(IF(ISNUMBER(U322),U322,VALUE(SUBSTITUTE(SUBSTITUTE(SUBSTITUTE(UPPER(TRIM(U322)),"M",""),",","")," ",""))),0))</f>
        <v>0</v>
      </c>
    </row>
    <row r="323" spans="1:77" ht="15" customHeight="1" x14ac:dyDescent="0.3">
      <c r="A323" s="66">
        <f>'Project Database'!A327</f>
        <v>0</v>
      </c>
      <c r="B323" s="66">
        <f>'Project Database'!B327</f>
        <v>0</v>
      </c>
      <c r="C323" s="66">
        <f>'Project Database'!G327</f>
        <v>0</v>
      </c>
      <c r="D323" s="66">
        <f>'Project Database'!H327</f>
        <v>0</v>
      </c>
      <c r="E323" s="66">
        <f>'Project Database'!I327</f>
        <v>0</v>
      </c>
      <c r="F323" s="66">
        <f>'Project Database'!J327</f>
        <v>0</v>
      </c>
      <c r="G323" s="66">
        <f>'Project Database'!K327</f>
        <v>0</v>
      </c>
      <c r="H323" s="66">
        <f>'Project Database'!L327</f>
        <v>0</v>
      </c>
      <c r="I323" s="66">
        <f>'Project Database'!M327</f>
        <v>0</v>
      </c>
      <c r="J323" s="66">
        <f>'Project Database'!N327</f>
        <v>0</v>
      </c>
      <c r="K323" s="66">
        <f>'Project Database'!O327</f>
        <v>0</v>
      </c>
      <c r="L323" s="66">
        <f>'Project Database'!P327</f>
        <v>0</v>
      </c>
      <c r="M323" s="66">
        <f>'Project Database'!Q327</f>
        <v>0</v>
      </c>
      <c r="N323" s="66">
        <f>'Project Database'!R327</f>
        <v>0</v>
      </c>
      <c r="O323" s="66">
        <f>'Project Database'!S327</f>
        <v>0</v>
      </c>
      <c r="P323" s="66">
        <f>'Project Database'!T327</f>
        <v>0</v>
      </c>
      <c r="Q323" s="66">
        <f>'Project Database'!U327</f>
        <v>0</v>
      </c>
      <c r="R323" s="66">
        <f>'Project Database'!V327</f>
        <v>0</v>
      </c>
      <c r="S323" s="66">
        <f>'Project Database'!W327</f>
        <v>0</v>
      </c>
      <c r="T323" s="66">
        <f>'Project Database'!X327</f>
        <v>0</v>
      </c>
      <c r="U323" s="67">
        <f>'Project Database'!Y327</f>
        <v>0</v>
      </c>
      <c r="V323" s="66">
        <f>IF('Smart Search'!B13=1,IFERROR(1/'Smart Search'!H13,0),0)</f>
        <v>0</v>
      </c>
      <c r="W323" s="66">
        <f>IF('Smart Search'!B13=1,IFERROR(1/'Smart Search'!H13,0),0)</f>
        <v>0</v>
      </c>
      <c r="X323" s="66">
        <f>IF('Smart Search'!C13=1,IFERROR(1/'Smart Search'!H13,0),0)</f>
        <v>0.5</v>
      </c>
      <c r="Y323" s="66">
        <f>IF('Smart Search'!C13=1,IFERROR(1/'Smart Search'!H13,0),0)</f>
        <v>0.5</v>
      </c>
      <c r="Z323" s="66">
        <f>IF('Smart Search'!D13=1,IFERROR(1/'Smart Search'!H13,0),0)</f>
        <v>0</v>
      </c>
      <c r="AA323" s="66">
        <f>IF('Smart Search'!D13=1,IFERROR(1/'Smart Search'!H13,0),0)</f>
        <v>0</v>
      </c>
      <c r="AB323" s="66">
        <f>IF('Smart Search'!E13=1,IFERROR(1/'Smart Search'!H13,0),0)</f>
        <v>0</v>
      </c>
      <c r="AC323" s="66">
        <f>IF('Smart Search'!E13=1,IFERROR(1/'Smart Search'!H13,0),0)</f>
        <v>0</v>
      </c>
      <c r="AD323" s="66">
        <f>IF('Smart Search'!F13=1,IFERROR(1/'Smart Search'!H13,0),0)</f>
        <v>0</v>
      </c>
      <c r="AE323" s="66">
        <f>IF('Smart Search'!F13=1,IFERROR(1/'Smart Search'!H13,0),0)</f>
        <v>0</v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>0</v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>0</v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>0</v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>0</v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>0</v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>0</v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>0</v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>0</v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>0</v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>0</v>
      </c>
      <c r="AP323" s="66">
        <f t="shared" si="70"/>
        <v>0</v>
      </c>
      <c r="AQ323" s="66">
        <f t="shared" si="71"/>
        <v>0</v>
      </c>
      <c r="AR323" s="66">
        <f t="shared" si="72"/>
        <v>0</v>
      </c>
      <c r="AS323" s="66">
        <f t="shared" si="73"/>
        <v>0</v>
      </c>
      <c r="AT323" s="66">
        <f t="shared" si="74"/>
        <v>0</v>
      </c>
      <c r="AU323" s="66">
        <f t="shared" si="75"/>
        <v>0</v>
      </c>
      <c r="AV323" s="66">
        <f t="shared" si="76"/>
        <v>0</v>
      </c>
      <c r="AW323" s="66">
        <f t="shared" si="77"/>
        <v>0</v>
      </c>
      <c r="AX323" s="66">
        <f t="shared" si="78"/>
        <v>0</v>
      </c>
      <c r="AY323" s="66">
        <f t="shared" si="79"/>
        <v>0</v>
      </c>
      <c r="AZ323" s="66">
        <f>'Project Database'!Z327</f>
        <v>0</v>
      </c>
      <c r="BA323" s="66">
        <f>IF(OR(A323="",'Smart Search'!H13=0),"",MAX(0,BE323*BF323*MAX(0,1-BG323)))</f>
        <v>0</v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>0</v>
      </c>
      <c r="BC323" s="66">
        <f>IF('Smart Search'!G13=1,IFERROR(1/'Smart Search'!H13,0),0)</f>
        <v>0</v>
      </c>
      <c r="BD323" s="66">
        <f t="shared" si="80"/>
        <v>0</v>
      </c>
      <c r="BE323" s="66">
        <f t="shared" si="81"/>
        <v>0</v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>0</v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>0</v>
      </c>
      <c r="BH323" s="5" t="str">
        <f>IF(AND('Project Database'!A327&lt;&gt;"",OR('Smart Search'!$L$5="",'Smart Search'!$L$5="All",TRIM('Project Database'!D327)=TRIM('Smart Search'!$L$5)),OR(TRIM('Smart Search'!$L$6)="",TRIM('Smart Search'!$L$6)="All",ISNUMBER(SEARCH(SUBSTITUTE(SUBSTITUTE(SUBSTITUTE(TRIM('Smart Search'!$L$6),"~","~~"),"*","~*"),"?","~?"),'Project Database'!C327))),OR('Smart Search'!$L$7="",AND('Project Database'!E327&lt;&gt;"",'Project Database'!E327='Smart Search'!$L$7)),OR('Smart Search'!$L$8="",'Smart Search'!$L$8="All",TRIM('Project Database'!F327)=TRIM('Smart Search'!$L$8))),IF(BA323="","",BA323+ROW()*0.0000000001),"")</f>
        <v/>
      </c>
      <c r="BI323" s="5" t="str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 t="str">
        <f>IF('Project Database'!A327="","",N('Project Database'!AC327))</f>
        <v/>
      </c>
      <c r="BK323" s="5" t="str">
        <f>IF('Project Database'!A327="","",N('Project Database'!AD327))</f>
        <v/>
      </c>
      <c r="BL323" s="5" t="str">
        <f>IF('Project Database'!A327="","",N('Project Database'!AE327))</f>
        <v/>
      </c>
      <c r="BM323" s="5" t="str">
        <f>IF('Project Database'!A327="","",N('Project Database'!AF327))</f>
        <v/>
      </c>
      <c r="BN323" s="5" t="str">
        <f>IF('Project Database'!A327="","",N('Project Database'!AG327))</f>
        <v/>
      </c>
      <c r="BO323" s="5" t="str">
        <f>IF('Project Database'!A327="","",N('Project Database'!AH327))</f>
        <v/>
      </c>
      <c r="BP323" s="5" t="str">
        <f>IF('Project Database'!A327="","",N('Project Database'!AI327))</f>
        <v/>
      </c>
      <c r="BQ323" s="5" t="str">
        <f>IF('Project Database'!A327="","",N('Project Database'!AJ327))</f>
        <v/>
      </c>
      <c r="BR323" s="5" t="str">
        <f>IF('Project Database'!A327="","",N('Project Database'!AK327))</f>
        <v/>
      </c>
      <c r="BS323" s="5" t="str">
        <f>IF('Project Database'!A327="","",N('Project Database'!AL327))</f>
        <v/>
      </c>
      <c r="BT323" s="5" t="str">
        <f>IF('Project Database'!A327="","",N('Project Database'!AM327))</f>
        <v/>
      </c>
      <c r="BU323" s="5" t="str">
        <f>IF('Project Database'!A327="","",N('Project Database'!AN327))</f>
        <v/>
      </c>
      <c r="BV323" s="5" t="str">
        <f>IF('Project Database'!A327="","",N('Project Database'!AO327))</f>
        <v/>
      </c>
      <c r="BW323" s="5" t="str">
        <f>IF('Project Database'!A327="","",N('Project Database'!AP327))</f>
        <v/>
      </c>
      <c r="BX323" s="5">
        <f t="shared" si="82"/>
        <v>0</v>
      </c>
      <c r="BY323" s="5">
        <f t="shared" si="83"/>
        <v>0</v>
      </c>
    </row>
    <row r="324" spans="1:77" ht="15" customHeight="1" x14ac:dyDescent="0.3">
      <c r="A324" s="66">
        <f>'Project Database'!A328</f>
        <v>0</v>
      </c>
      <c r="B324" s="66">
        <f>'Project Database'!B328</f>
        <v>0</v>
      </c>
      <c r="C324" s="66">
        <f>'Project Database'!G328</f>
        <v>0</v>
      </c>
      <c r="D324" s="66">
        <f>'Project Database'!H328</f>
        <v>0</v>
      </c>
      <c r="E324" s="66">
        <f>'Project Database'!I328</f>
        <v>0</v>
      </c>
      <c r="F324" s="66">
        <f>'Project Database'!J328</f>
        <v>0</v>
      </c>
      <c r="G324" s="66">
        <f>'Project Database'!K328</f>
        <v>0</v>
      </c>
      <c r="H324" s="66">
        <f>'Project Database'!L328</f>
        <v>0</v>
      </c>
      <c r="I324" s="66">
        <f>'Project Database'!M328</f>
        <v>0</v>
      </c>
      <c r="J324" s="66">
        <f>'Project Database'!N328</f>
        <v>0</v>
      </c>
      <c r="K324" s="66">
        <f>'Project Database'!O328</f>
        <v>0</v>
      </c>
      <c r="L324" s="66">
        <f>'Project Database'!P328</f>
        <v>0</v>
      </c>
      <c r="M324" s="66">
        <f>'Project Database'!Q328</f>
        <v>0</v>
      </c>
      <c r="N324" s="66">
        <f>'Project Database'!R328</f>
        <v>0</v>
      </c>
      <c r="O324" s="66">
        <f>'Project Database'!S328</f>
        <v>0</v>
      </c>
      <c r="P324" s="66">
        <f>'Project Database'!T328</f>
        <v>0</v>
      </c>
      <c r="Q324" s="66">
        <f>'Project Database'!U328</f>
        <v>0</v>
      </c>
      <c r="R324" s="66">
        <f>'Project Database'!V328</f>
        <v>0</v>
      </c>
      <c r="S324" s="66">
        <f>'Project Database'!W328</f>
        <v>0</v>
      </c>
      <c r="T324" s="66">
        <f>'Project Database'!X328</f>
        <v>0</v>
      </c>
      <c r="U324" s="67">
        <f>'Project Database'!Y328</f>
        <v>0</v>
      </c>
      <c r="V324" s="66">
        <f>IF('Smart Search'!B13=1,IFERROR(1/'Smart Search'!H13,0),0)</f>
        <v>0</v>
      </c>
      <c r="W324" s="66">
        <f>IF('Smart Search'!B13=1,IFERROR(1/'Smart Search'!H13,0),0)</f>
        <v>0</v>
      </c>
      <c r="X324" s="66">
        <f>IF('Smart Search'!C13=1,IFERROR(1/'Smart Search'!H13,0),0)</f>
        <v>0.5</v>
      </c>
      <c r="Y324" s="66">
        <f>IF('Smart Search'!C13=1,IFERROR(1/'Smart Search'!H13,0),0)</f>
        <v>0.5</v>
      </c>
      <c r="Z324" s="66">
        <f>IF('Smart Search'!D13=1,IFERROR(1/'Smart Search'!H13,0),0)</f>
        <v>0</v>
      </c>
      <c r="AA324" s="66">
        <f>IF('Smart Search'!D13=1,IFERROR(1/'Smart Search'!H13,0),0)</f>
        <v>0</v>
      </c>
      <c r="AB324" s="66">
        <f>IF('Smart Search'!E13=1,IFERROR(1/'Smart Search'!H13,0),0)</f>
        <v>0</v>
      </c>
      <c r="AC324" s="66">
        <f>IF('Smart Search'!E13=1,IFERROR(1/'Smart Search'!H13,0),0)</f>
        <v>0</v>
      </c>
      <c r="AD324" s="66">
        <f>IF('Smart Search'!F13=1,IFERROR(1/'Smart Search'!H13,0),0)</f>
        <v>0</v>
      </c>
      <c r="AE324" s="66">
        <f>IF('Smart Search'!F13=1,IFERROR(1/'Smart Search'!H13,0),0)</f>
        <v>0</v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>0</v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>0</v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>0</v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>0</v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>0</v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>0</v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>0</v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>0</v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>0</v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>0</v>
      </c>
      <c r="AP324" s="66">
        <f t="shared" si="70"/>
        <v>0</v>
      </c>
      <c r="AQ324" s="66">
        <f t="shared" si="71"/>
        <v>0</v>
      </c>
      <c r="AR324" s="66">
        <f t="shared" si="72"/>
        <v>0</v>
      </c>
      <c r="AS324" s="66">
        <f t="shared" si="73"/>
        <v>0</v>
      </c>
      <c r="AT324" s="66">
        <f t="shared" si="74"/>
        <v>0</v>
      </c>
      <c r="AU324" s="66">
        <f t="shared" si="75"/>
        <v>0</v>
      </c>
      <c r="AV324" s="66">
        <f t="shared" si="76"/>
        <v>0</v>
      </c>
      <c r="AW324" s="66">
        <f t="shared" si="77"/>
        <v>0</v>
      </c>
      <c r="AX324" s="66">
        <f t="shared" si="78"/>
        <v>0</v>
      </c>
      <c r="AY324" s="66">
        <f t="shared" si="79"/>
        <v>0</v>
      </c>
      <c r="AZ324" s="66">
        <f>'Project Database'!Z328</f>
        <v>0</v>
      </c>
      <c r="BA324" s="66">
        <f>IF(OR(A324="",'Smart Search'!H13=0),"",MAX(0,BE324*BF324*MAX(0,1-BG324)))</f>
        <v>0</v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>0</v>
      </c>
      <c r="BC324" s="66">
        <f>IF('Smart Search'!G13=1,IFERROR(1/'Smart Search'!H13,0),0)</f>
        <v>0</v>
      </c>
      <c r="BD324" s="66">
        <f t="shared" si="80"/>
        <v>0</v>
      </c>
      <c r="BE324" s="66">
        <f t="shared" si="81"/>
        <v>0</v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>0</v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>0</v>
      </c>
      <c r="BH324" s="5" t="str">
        <f>IF(AND('Project Database'!A328&lt;&gt;"",OR('Smart Search'!$L$5="",'Smart Search'!$L$5="All",TRIM('Project Database'!D328)=TRIM('Smart Search'!$L$5)),OR(TRIM('Smart Search'!$L$6)="",TRIM('Smart Search'!$L$6)="All",ISNUMBER(SEARCH(SUBSTITUTE(SUBSTITUTE(SUBSTITUTE(TRIM('Smart Search'!$L$6),"~","~~"),"*","~*"),"?","~?"),'Project Database'!C328))),OR('Smart Search'!$L$7="",AND('Project Database'!E328&lt;&gt;"",'Project Database'!E328='Smart Search'!$L$7)),OR('Smart Search'!$L$8="",'Smart Search'!$L$8="All",TRIM('Project Database'!F328)=TRIM('Smart Search'!$L$8))),IF(BA324="","",BA324+ROW()*0.0000000001),"")</f>
        <v/>
      </c>
      <c r="BI324" s="5" t="str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 t="str">
        <f>IF('Project Database'!A328="","",N('Project Database'!AC328))</f>
        <v/>
      </c>
      <c r="BK324" s="5" t="str">
        <f>IF('Project Database'!A328="","",N('Project Database'!AD328))</f>
        <v/>
      </c>
      <c r="BL324" s="5" t="str">
        <f>IF('Project Database'!A328="","",N('Project Database'!AE328))</f>
        <v/>
      </c>
      <c r="BM324" s="5" t="str">
        <f>IF('Project Database'!A328="","",N('Project Database'!AF328))</f>
        <v/>
      </c>
      <c r="BN324" s="5" t="str">
        <f>IF('Project Database'!A328="","",N('Project Database'!AG328))</f>
        <v/>
      </c>
      <c r="BO324" s="5" t="str">
        <f>IF('Project Database'!A328="","",N('Project Database'!AH328))</f>
        <v/>
      </c>
      <c r="BP324" s="5" t="str">
        <f>IF('Project Database'!A328="","",N('Project Database'!AI328))</f>
        <v/>
      </c>
      <c r="BQ324" s="5" t="str">
        <f>IF('Project Database'!A328="","",N('Project Database'!AJ328))</f>
        <v/>
      </c>
      <c r="BR324" s="5" t="str">
        <f>IF('Project Database'!A328="","",N('Project Database'!AK328))</f>
        <v/>
      </c>
      <c r="BS324" s="5" t="str">
        <f>IF('Project Database'!A328="","",N('Project Database'!AL328))</f>
        <v/>
      </c>
      <c r="BT324" s="5" t="str">
        <f>IF('Project Database'!A328="","",N('Project Database'!AM328))</f>
        <v/>
      </c>
      <c r="BU324" s="5" t="str">
        <f>IF('Project Database'!A328="","",N('Project Database'!AN328))</f>
        <v/>
      </c>
      <c r="BV324" s="5" t="str">
        <f>IF('Project Database'!A328="","",N('Project Database'!AO328))</f>
        <v/>
      </c>
      <c r="BW324" s="5" t="str">
        <f>IF('Project Database'!A328="","",N('Project Database'!AP328))</f>
        <v/>
      </c>
      <c r="BX324" s="5">
        <f t="shared" si="82"/>
        <v>0</v>
      </c>
      <c r="BY324" s="5">
        <f t="shared" si="83"/>
        <v>0</v>
      </c>
    </row>
    <row r="325" spans="1:77" ht="15" customHeight="1" x14ac:dyDescent="0.3">
      <c r="A325" s="66">
        <f>'Project Database'!A329</f>
        <v>0</v>
      </c>
      <c r="B325" s="66">
        <f>'Project Database'!B329</f>
        <v>0</v>
      </c>
      <c r="C325" s="66">
        <f>'Project Database'!G329</f>
        <v>0</v>
      </c>
      <c r="D325" s="66">
        <f>'Project Database'!H329</f>
        <v>0</v>
      </c>
      <c r="E325" s="66">
        <f>'Project Database'!I329</f>
        <v>0</v>
      </c>
      <c r="F325" s="66">
        <f>'Project Database'!J329</f>
        <v>0</v>
      </c>
      <c r="G325" s="66">
        <f>'Project Database'!K329</f>
        <v>0</v>
      </c>
      <c r="H325" s="66">
        <f>'Project Database'!L329</f>
        <v>0</v>
      </c>
      <c r="I325" s="66">
        <f>'Project Database'!M329</f>
        <v>0</v>
      </c>
      <c r="J325" s="66">
        <f>'Project Database'!N329</f>
        <v>0</v>
      </c>
      <c r="K325" s="66">
        <f>'Project Database'!O329</f>
        <v>0</v>
      </c>
      <c r="L325" s="66">
        <f>'Project Database'!P329</f>
        <v>0</v>
      </c>
      <c r="M325" s="66">
        <f>'Project Database'!Q329</f>
        <v>0</v>
      </c>
      <c r="N325" s="66">
        <f>'Project Database'!R329</f>
        <v>0</v>
      </c>
      <c r="O325" s="66">
        <f>'Project Database'!S329</f>
        <v>0</v>
      </c>
      <c r="P325" s="66">
        <f>'Project Database'!T329</f>
        <v>0</v>
      </c>
      <c r="Q325" s="66">
        <f>'Project Database'!U329</f>
        <v>0</v>
      </c>
      <c r="R325" s="66">
        <f>'Project Database'!V329</f>
        <v>0</v>
      </c>
      <c r="S325" s="66">
        <f>'Project Database'!W329</f>
        <v>0</v>
      </c>
      <c r="T325" s="66">
        <f>'Project Database'!X329</f>
        <v>0</v>
      </c>
      <c r="U325" s="67">
        <f>'Project Database'!Y329</f>
        <v>0</v>
      </c>
      <c r="V325" s="66">
        <f>IF('Smart Search'!B13=1,IFERROR(1/'Smart Search'!H13,0),0)</f>
        <v>0</v>
      </c>
      <c r="W325" s="66">
        <f>IF('Smart Search'!B13=1,IFERROR(1/'Smart Search'!H13,0),0)</f>
        <v>0</v>
      </c>
      <c r="X325" s="66">
        <f>IF('Smart Search'!C13=1,IFERROR(1/'Smart Search'!H13,0),0)</f>
        <v>0.5</v>
      </c>
      <c r="Y325" s="66">
        <f>IF('Smart Search'!C13=1,IFERROR(1/'Smart Search'!H13,0),0)</f>
        <v>0.5</v>
      </c>
      <c r="Z325" s="66">
        <f>IF('Smart Search'!D13=1,IFERROR(1/'Smart Search'!H13,0),0)</f>
        <v>0</v>
      </c>
      <c r="AA325" s="66">
        <f>IF('Smart Search'!D13=1,IFERROR(1/'Smart Search'!H13,0),0)</f>
        <v>0</v>
      </c>
      <c r="AB325" s="66">
        <f>IF('Smart Search'!E13=1,IFERROR(1/'Smart Search'!H13,0),0)</f>
        <v>0</v>
      </c>
      <c r="AC325" s="66">
        <f>IF('Smart Search'!E13=1,IFERROR(1/'Smart Search'!H13,0),0)</f>
        <v>0</v>
      </c>
      <c r="AD325" s="66">
        <f>IF('Smart Search'!F13=1,IFERROR(1/'Smart Search'!H13,0),0)</f>
        <v>0</v>
      </c>
      <c r="AE325" s="66">
        <f>IF('Smart Search'!F13=1,IFERROR(1/'Smart Search'!H13,0),0)</f>
        <v>0</v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>0</v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>0</v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>0</v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>0</v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>0</v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>0</v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>0</v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>0</v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>0</v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>0</v>
      </c>
      <c r="AP325" s="66">
        <f t="shared" si="70"/>
        <v>0</v>
      </c>
      <c r="AQ325" s="66">
        <f t="shared" si="71"/>
        <v>0</v>
      </c>
      <c r="AR325" s="66">
        <f t="shared" si="72"/>
        <v>0</v>
      </c>
      <c r="AS325" s="66">
        <f t="shared" si="73"/>
        <v>0</v>
      </c>
      <c r="AT325" s="66">
        <f t="shared" si="74"/>
        <v>0</v>
      </c>
      <c r="AU325" s="66">
        <f t="shared" si="75"/>
        <v>0</v>
      </c>
      <c r="AV325" s="66">
        <f t="shared" si="76"/>
        <v>0</v>
      </c>
      <c r="AW325" s="66">
        <f t="shared" si="77"/>
        <v>0</v>
      </c>
      <c r="AX325" s="66">
        <f t="shared" si="78"/>
        <v>0</v>
      </c>
      <c r="AY325" s="66">
        <f t="shared" si="79"/>
        <v>0</v>
      </c>
      <c r="AZ325" s="66">
        <f>'Project Database'!Z329</f>
        <v>0</v>
      </c>
      <c r="BA325" s="66">
        <f>IF(OR(A325="",'Smart Search'!H13=0),"",MAX(0,BE325*BF325*MAX(0,1-BG325)))</f>
        <v>0</v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>0</v>
      </c>
      <c r="BC325" s="66">
        <f>IF('Smart Search'!G13=1,IFERROR(1/'Smart Search'!H13,0),0)</f>
        <v>0</v>
      </c>
      <c r="BD325" s="66">
        <f t="shared" si="80"/>
        <v>0</v>
      </c>
      <c r="BE325" s="66">
        <f t="shared" si="81"/>
        <v>0</v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>0</v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>0</v>
      </c>
      <c r="BH325" s="5" t="str">
        <f>IF(AND('Project Database'!A329&lt;&gt;"",OR('Smart Search'!$L$5="",'Smart Search'!$L$5="All",TRIM('Project Database'!D329)=TRIM('Smart Search'!$L$5)),OR(TRIM('Smart Search'!$L$6)="",TRIM('Smart Search'!$L$6)="All",ISNUMBER(SEARCH(SUBSTITUTE(SUBSTITUTE(SUBSTITUTE(TRIM('Smart Search'!$L$6),"~","~~"),"*","~*"),"?","~?"),'Project Database'!C329))),OR('Smart Search'!$L$7="",AND('Project Database'!E329&lt;&gt;"",'Project Database'!E329='Smart Search'!$L$7)),OR('Smart Search'!$L$8="",'Smart Search'!$L$8="All",TRIM('Project Database'!F329)=TRIM('Smart Search'!$L$8))),IF(BA325="","",BA325+ROW()*0.0000000001),"")</f>
        <v/>
      </c>
      <c r="BI325" s="5" t="str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 t="str">
        <f>IF('Project Database'!A329="","",N('Project Database'!AC329))</f>
        <v/>
      </c>
      <c r="BK325" s="5" t="str">
        <f>IF('Project Database'!A329="","",N('Project Database'!AD329))</f>
        <v/>
      </c>
      <c r="BL325" s="5" t="str">
        <f>IF('Project Database'!A329="","",N('Project Database'!AE329))</f>
        <v/>
      </c>
      <c r="BM325" s="5" t="str">
        <f>IF('Project Database'!A329="","",N('Project Database'!AF329))</f>
        <v/>
      </c>
      <c r="BN325" s="5" t="str">
        <f>IF('Project Database'!A329="","",N('Project Database'!AG329))</f>
        <v/>
      </c>
      <c r="BO325" s="5" t="str">
        <f>IF('Project Database'!A329="","",N('Project Database'!AH329))</f>
        <v/>
      </c>
      <c r="BP325" s="5" t="str">
        <f>IF('Project Database'!A329="","",N('Project Database'!AI329))</f>
        <v/>
      </c>
      <c r="BQ325" s="5" t="str">
        <f>IF('Project Database'!A329="","",N('Project Database'!AJ329))</f>
        <v/>
      </c>
      <c r="BR325" s="5" t="str">
        <f>IF('Project Database'!A329="","",N('Project Database'!AK329))</f>
        <v/>
      </c>
      <c r="BS325" s="5" t="str">
        <f>IF('Project Database'!A329="","",N('Project Database'!AL329))</f>
        <v/>
      </c>
      <c r="BT325" s="5" t="str">
        <f>IF('Project Database'!A329="","",N('Project Database'!AM329))</f>
        <v/>
      </c>
      <c r="BU325" s="5" t="str">
        <f>IF('Project Database'!A329="","",N('Project Database'!AN329))</f>
        <v/>
      </c>
      <c r="BV325" s="5" t="str">
        <f>IF('Project Database'!A329="","",N('Project Database'!AO329))</f>
        <v/>
      </c>
      <c r="BW325" s="5" t="str">
        <f>IF('Project Database'!A329="","",N('Project Database'!AP329))</f>
        <v/>
      </c>
      <c r="BX325" s="5">
        <f t="shared" si="82"/>
        <v>0</v>
      </c>
      <c r="BY325" s="5">
        <f t="shared" si="83"/>
        <v>0</v>
      </c>
    </row>
    <row r="326" spans="1:77" ht="15" customHeight="1" x14ac:dyDescent="0.3">
      <c r="A326" s="66">
        <f>'Project Database'!A330</f>
        <v>0</v>
      </c>
      <c r="B326" s="66">
        <f>'Project Database'!B330</f>
        <v>0</v>
      </c>
      <c r="C326" s="66">
        <f>'Project Database'!G330</f>
        <v>0</v>
      </c>
      <c r="D326" s="66">
        <f>'Project Database'!H330</f>
        <v>0</v>
      </c>
      <c r="E326" s="66">
        <f>'Project Database'!I330</f>
        <v>0</v>
      </c>
      <c r="F326" s="66">
        <f>'Project Database'!J330</f>
        <v>0</v>
      </c>
      <c r="G326" s="66">
        <f>'Project Database'!K330</f>
        <v>0</v>
      </c>
      <c r="H326" s="66">
        <f>'Project Database'!L330</f>
        <v>0</v>
      </c>
      <c r="I326" s="66">
        <f>'Project Database'!M330</f>
        <v>0</v>
      </c>
      <c r="J326" s="66">
        <f>'Project Database'!N330</f>
        <v>0</v>
      </c>
      <c r="K326" s="66">
        <f>'Project Database'!O330</f>
        <v>0</v>
      </c>
      <c r="L326" s="66">
        <f>'Project Database'!P330</f>
        <v>0</v>
      </c>
      <c r="M326" s="66">
        <f>'Project Database'!Q330</f>
        <v>0</v>
      </c>
      <c r="N326" s="66">
        <f>'Project Database'!R330</f>
        <v>0</v>
      </c>
      <c r="O326" s="66">
        <f>'Project Database'!S330</f>
        <v>0</v>
      </c>
      <c r="P326" s="66">
        <f>'Project Database'!T330</f>
        <v>0</v>
      </c>
      <c r="Q326" s="66">
        <f>'Project Database'!U330</f>
        <v>0</v>
      </c>
      <c r="R326" s="66">
        <f>'Project Database'!V330</f>
        <v>0</v>
      </c>
      <c r="S326" s="66">
        <f>'Project Database'!W330</f>
        <v>0</v>
      </c>
      <c r="T326" s="66">
        <f>'Project Database'!X330</f>
        <v>0</v>
      </c>
      <c r="U326" s="67">
        <f>'Project Database'!Y330</f>
        <v>0</v>
      </c>
      <c r="V326" s="66">
        <f>IF('Smart Search'!B13=1,IFERROR(1/'Smart Search'!H13,0),0)</f>
        <v>0</v>
      </c>
      <c r="W326" s="66">
        <f>IF('Smart Search'!B13=1,IFERROR(1/'Smart Search'!H13,0),0)</f>
        <v>0</v>
      </c>
      <c r="X326" s="66">
        <f>IF('Smart Search'!C13=1,IFERROR(1/'Smart Search'!H13,0),0)</f>
        <v>0.5</v>
      </c>
      <c r="Y326" s="66">
        <f>IF('Smart Search'!C13=1,IFERROR(1/'Smart Search'!H13,0),0)</f>
        <v>0.5</v>
      </c>
      <c r="Z326" s="66">
        <f>IF('Smart Search'!D13=1,IFERROR(1/'Smart Search'!H13,0),0)</f>
        <v>0</v>
      </c>
      <c r="AA326" s="66">
        <f>IF('Smart Search'!D13=1,IFERROR(1/'Smart Search'!H13,0),0)</f>
        <v>0</v>
      </c>
      <c r="AB326" s="66">
        <f>IF('Smart Search'!E13=1,IFERROR(1/'Smart Search'!H13,0),0)</f>
        <v>0</v>
      </c>
      <c r="AC326" s="66">
        <f>IF('Smart Search'!E13=1,IFERROR(1/'Smart Search'!H13,0),0)</f>
        <v>0</v>
      </c>
      <c r="AD326" s="66">
        <f>IF('Smart Search'!F13=1,IFERROR(1/'Smart Search'!H13,0),0)</f>
        <v>0</v>
      </c>
      <c r="AE326" s="66">
        <f>IF('Smart Search'!F13=1,IFERROR(1/'Smart Search'!H13,0),0)</f>
        <v>0</v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>0</v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>0</v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>0</v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>0</v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>0</v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>0</v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>0</v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>0</v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>0</v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>0</v>
      </c>
      <c r="AP326" s="66">
        <f t="shared" si="70"/>
        <v>0</v>
      </c>
      <c r="AQ326" s="66">
        <f t="shared" si="71"/>
        <v>0</v>
      </c>
      <c r="AR326" s="66">
        <f t="shared" si="72"/>
        <v>0</v>
      </c>
      <c r="AS326" s="66">
        <f t="shared" si="73"/>
        <v>0</v>
      </c>
      <c r="AT326" s="66">
        <f t="shared" si="74"/>
        <v>0</v>
      </c>
      <c r="AU326" s="66">
        <f t="shared" si="75"/>
        <v>0</v>
      </c>
      <c r="AV326" s="66">
        <f t="shared" si="76"/>
        <v>0</v>
      </c>
      <c r="AW326" s="66">
        <f t="shared" si="77"/>
        <v>0</v>
      </c>
      <c r="AX326" s="66">
        <f t="shared" si="78"/>
        <v>0</v>
      </c>
      <c r="AY326" s="66">
        <f t="shared" si="79"/>
        <v>0</v>
      </c>
      <c r="AZ326" s="66">
        <f>'Project Database'!Z330</f>
        <v>0</v>
      </c>
      <c r="BA326" s="66">
        <f>IF(OR(A326="",'Smart Search'!H13=0),"",MAX(0,BE326*BF326*MAX(0,1-BG326)))</f>
        <v>0</v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>0</v>
      </c>
      <c r="BC326" s="66">
        <f>IF('Smart Search'!G13=1,IFERROR(1/'Smart Search'!H13,0),0)</f>
        <v>0</v>
      </c>
      <c r="BD326" s="66">
        <f t="shared" si="80"/>
        <v>0</v>
      </c>
      <c r="BE326" s="66">
        <f t="shared" si="81"/>
        <v>0</v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>0</v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>0</v>
      </c>
      <c r="BH326" s="5" t="str">
        <f>IF(AND('Project Database'!A330&lt;&gt;"",OR('Smart Search'!$L$5="",'Smart Search'!$L$5="All",TRIM('Project Database'!D330)=TRIM('Smart Search'!$L$5)),OR(TRIM('Smart Search'!$L$6)="",TRIM('Smart Search'!$L$6)="All",ISNUMBER(SEARCH(SUBSTITUTE(SUBSTITUTE(SUBSTITUTE(TRIM('Smart Search'!$L$6),"~","~~"),"*","~*"),"?","~?"),'Project Database'!C330))),OR('Smart Search'!$L$7="",AND('Project Database'!E330&lt;&gt;"",'Project Database'!E330='Smart Search'!$L$7)),OR('Smart Search'!$L$8="",'Smart Search'!$L$8="All",TRIM('Project Database'!F330)=TRIM('Smart Search'!$L$8))),IF(BA326="","",BA326+ROW()*0.0000000001),"")</f>
        <v/>
      </c>
      <c r="BI326" s="5" t="str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 t="str">
        <f>IF('Project Database'!A330="","",N('Project Database'!AC330))</f>
        <v/>
      </c>
      <c r="BK326" s="5" t="str">
        <f>IF('Project Database'!A330="","",N('Project Database'!AD330))</f>
        <v/>
      </c>
      <c r="BL326" s="5" t="str">
        <f>IF('Project Database'!A330="","",N('Project Database'!AE330))</f>
        <v/>
      </c>
      <c r="BM326" s="5" t="str">
        <f>IF('Project Database'!A330="","",N('Project Database'!AF330))</f>
        <v/>
      </c>
      <c r="BN326" s="5" t="str">
        <f>IF('Project Database'!A330="","",N('Project Database'!AG330))</f>
        <v/>
      </c>
      <c r="BO326" s="5" t="str">
        <f>IF('Project Database'!A330="","",N('Project Database'!AH330))</f>
        <v/>
      </c>
      <c r="BP326" s="5" t="str">
        <f>IF('Project Database'!A330="","",N('Project Database'!AI330))</f>
        <v/>
      </c>
      <c r="BQ326" s="5" t="str">
        <f>IF('Project Database'!A330="","",N('Project Database'!AJ330))</f>
        <v/>
      </c>
      <c r="BR326" s="5" t="str">
        <f>IF('Project Database'!A330="","",N('Project Database'!AK330))</f>
        <v/>
      </c>
      <c r="BS326" s="5" t="str">
        <f>IF('Project Database'!A330="","",N('Project Database'!AL330))</f>
        <v/>
      </c>
      <c r="BT326" s="5" t="str">
        <f>IF('Project Database'!A330="","",N('Project Database'!AM330))</f>
        <v/>
      </c>
      <c r="BU326" s="5" t="str">
        <f>IF('Project Database'!A330="","",N('Project Database'!AN330))</f>
        <v/>
      </c>
      <c r="BV326" s="5" t="str">
        <f>IF('Project Database'!A330="","",N('Project Database'!AO330))</f>
        <v/>
      </c>
      <c r="BW326" s="5" t="str">
        <f>IF('Project Database'!A330="","",N('Project Database'!AP330))</f>
        <v/>
      </c>
      <c r="BX326" s="5">
        <f t="shared" si="82"/>
        <v>0</v>
      </c>
      <c r="BY326" s="5">
        <f t="shared" si="83"/>
        <v>0</v>
      </c>
    </row>
    <row r="327" spans="1:77" ht="15" customHeight="1" x14ac:dyDescent="0.3">
      <c r="A327" s="66">
        <f>'Project Database'!A331</f>
        <v>0</v>
      </c>
      <c r="B327" s="66">
        <f>'Project Database'!B331</f>
        <v>0</v>
      </c>
      <c r="C327" s="66">
        <f>'Project Database'!G331</f>
        <v>0</v>
      </c>
      <c r="D327" s="66">
        <f>'Project Database'!H331</f>
        <v>0</v>
      </c>
      <c r="E327" s="66">
        <f>'Project Database'!I331</f>
        <v>0</v>
      </c>
      <c r="F327" s="66">
        <f>'Project Database'!J331</f>
        <v>0</v>
      </c>
      <c r="G327" s="66">
        <f>'Project Database'!K331</f>
        <v>0</v>
      </c>
      <c r="H327" s="66">
        <f>'Project Database'!L331</f>
        <v>0</v>
      </c>
      <c r="I327" s="66">
        <f>'Project Database'!M331</f>
        <v>0</v>
      </c>
      <c r="J327" s="66">
        <f>'Project Database'!N331</f>
        <v>0</v>
      </c>
      <c r="K327" s="66">
        <f>'Project Database'!O331</f>
        <v>0</v>
      </c>
      <c r="L327" s="66">
        <f>'Project Database'!P331</f>
        <v>0</v>
      </c>
      <c r="M327" s="66">
        <f>'Project Database'!Q331</f>
        <v>0</v>
      </c>
      <c r="N327" s="66">
        <f>'Project Database'!R331</f>
        <v>0</v>
      </c>
      <c r="O327" s="66">
        <f>'Project Database'!S331</f>
        <v>0</v>
      </c>
      <c r="P327" s="66">
        <f>'Project Database'!T331</f>
        <v>0</v>
      </c>
      <c r="Q327" s="66">
        <f>'Project Database'!U331</f>
        <v>0</v>
      </c>
      <c r="R327" s="66">
        <f>'Project Database'!V331</f>
        <v>0</v>
      </c>
      <c r="S327" s="66">
        <f>'Project Database'!W331</f>
        <v>0</v>
      </c>
      <c r="T327" s="66">
        <f>'Project Database'!X331</f>
        <v>0</v>
      </c>
      <c r="U327" s="67">
        <f>'Project Database'!Y331</f>
        <v>0</v>
      </c>
      <c r="V327" s="66">
        <f>IF('Smart Search'!B13=1,IFERROR(1/'Smart Search'!H13,0),0)</f>
        <v>0</v>
      </c>
      <c r="W327" s="66">
        <f>IF('Smart Search'!B13=1,IFERROR(1/'Smart Search'!H13,0),0)</f>
        <v>0</v>
      </c>
      <c r="X327" s="66">
        <f>IF('Smart Search'!C13=1,IFERROR(1/'Smart Search'!H13,0),0)</f>
        <v>0.5</v>
      </c>
      <c r="Y327" s="66">
        <f>IF('Smart Search'!C13=1,IFERROR(1/'Smart Search'!H13,0),0)</f>
        <v>0.5</v>
      </c>
      <c r="Z327" s="66">
        <f>IF('Smart Search'!D13=1,IFERROR(1/'Smart Search'!H13,0),0)</f>
        <v>0</v>
      </c>
      <c r="AA327" s="66">
        <f>IF('Smart Search'!D13=1,IFERROR(1/'Smart Search'!H13,0),0)</f>
        <v>0</v>
      </c>
      <c r="AB327" s="66">
        <f>IF('Smart Search'!E13=1,IFERROR(1/'Smart Search'!H13,0),0)</f>
        <v>0</v>
      </c>
      <c r="AC327" s="66">
        <f>IF('Smart Search'!E13=1,IFERROR(1/'Smart Search'!H13,0),0)</f>
        <v>0</v>
      </c>
      <c r="AD327" s="66">
        <f>IF('Smart Search'!F13=1,IFERROR(1/'Smart Search'!H13,0),0)</f>
        <v>0</v>
      </c>
      <c r="AE327" s="66">
        <f>IF('Smart Search'!F13=1,IFERROR(1/'Smart Search'!H13,0),0)</f>
        <v>0</v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>0</v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>0</v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>0</v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>0</v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>0</v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>0</v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>0</v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>0</v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>0</v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>0</v>
      </c>
      <c r="AP327" s="66">
        <f t="shared" si="70"/>
        <v>0</v>
      </c>
      <c r="AQ327" s="66">
        <f t="shared" si="71"/>
        <v>0</v>
      </c>
      <c r="AR327" s="66">
        <f t="shared" si="72"/>
        <v>0</v>
      </c>
      <c r="AS327" s="66">
        <f t="shared" si="73"/>
        <v>0</v>
      </c>
      <c r="AT327" s="66">
        <f t="shared" si="74"/>
        <v>0</v>
      </c>
      <c r="AU327" s="66">
        <f t="shared" si="75"/>
        <v>0</v>
      </c>
      <c r="AV327" s="66">
        <f t="shared" si="76"/>
        <v>0</v>
      </c>
      <c r="AW327" s="66">
        <f t="shared" si="77"/>
        <v>0</v>
      </c>
      <c r="AX327" s="66">
        <f t="shared" si="78"/>
        <v>0</v>
      </c>
      <c r="AY327" s="66">
        <f t="shared" si="79"/>
        <v>0</v>
      </c>
      <c r="AZ327" s="66">
        <f>'Project Database'!Z331</f>
        <v>0</v>
      </c>
      <c r="BA327" s="66">
        <f>IF(OR(A327="",'Smart Search'!H13=0),"",MAX(0,BE327*BF327*MAX(0,1-BG327)))</f>
        <v>0</v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>0</v>
      </c>
      <c r="BC327" s="66">
        <f>IF('Smart Search'!G13=1,IFERROR(1/'Smart Search'!H13,0),0)</f>
        <v>0</v>
      </c>
      <c r="BD327" s="66">
        <f t="shared" si="80"/>
        <v>0</v>
      </c>
      <c r="BE327" s="66">
        <f t="shared" si="81"/>
        <v>0</v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>0</v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>0</v>
      </c>
      <c r="BH327" s="5" t="str">
        <f>IF(AND('Project Database'!A331&lt;&gt;"",OR('Smart Search'!$L$5="",'Smart Search'!$L$5="All",TRIM('Project Database'!D331)=TRIM('Smart Search'!$L$5)),OR(TRIM('Smart Search'!$L$6)="",TRIM('Smart Search'!$L$6)="All",ISNUMBER(SEARCH(SUBSTITUTE(SUBSTITUTE(SUBSTITUTE(TRIM('Smart Search'!$L$6),"~","~~"),"*","~*"),"?","~?"),'Project Database'!C331))),OR('Smart Search'!$L$7="",AND('Project Database'!E331&lt;&gt;"",'Project Database'!E331='Smart Search'!$L$7)),OR('Smart Search'!$L$8="",'Smart Search'!$L$8="All",TRIM('Project Database'!F331)=TRIM('Smart Search'!$L$8))),IF(BA327="","",BA327+ROW()*0.0000000001),"")</f>
        <v/>
      </c>
      <c r="BI327" s="5" t="str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 t="str">
        <f>IF('Project Database'!A331="","",N('Project Database'!AC331))</f>
        <v/>
      </c>
      <c r="BK327" s="5" t="str">
        <f>IF('Project Database'!A331="","",N('Project Database'!AD331))</f>
        <v/>
      </c>
      <c r="BL327" s="5" t="str">
        <f>IF('Project Database'!A331="","",N('Project Database'!AE331))</f>
        <v/>
      </c>
      <c r="BM327" s="5" t="str">
        <f>IF('Project Database'!A331="","",N('Project Database'!AF331))</f>
        <v/>
      </c>
      <c r="BN327" s="5" t="str">
        <f>IF('Project Database'!A331="","",N('Project Database'!AG331))</f>
        <v/>
      </c>
      <c r="BO327" s="5" t="str">
        <f>IF('Project Database'!A331="","",N('Project Database'!AH331))</f>
        <v/>
      </c>
      <c r="BP327" s="5" t="str">
        <f>IF('Project Database'!A331="","",N('Project Database'!AI331))</f>
        <v/>
      </c>
      <c r="BQ327" s="5" t="str">
        <f>IF('Project Database'!A331="","",N('Project Database'!AJ331))</f>
        <v/>
      </c>
      <c r="BR327" s="5" t="str">
        <f>IF('Project Database'!A331="","",N('Project Database'!AK331))</f>
        <v/>
      </c>
      <c r="BS327" s="5" t="str">
        <f>IF('Project Database'!A331="","",N('Project Database'!AL331))</f>
        <v/>
      </c>
      <c r="BT327" s="5" t="str">
        <f>IF('Project Database'!A331="","",N('Project Database'!AM331))</f>
        <v/>
      </c>
      <c r="BU327" s="5" t="str">
        <f>IF('Project Database'!A331="","",N('Project Database'!AN331))</f>
        <v/>
      </c>
      <c r="BV327" s="5" t="str">
        <f>IF('Project Database'!A331="","",N('Project Database'!AO331))</f>
        <v/>
      </c>
      <c r="BW327" s="5" t="str">
        <f>IF('Project Database'!A331="","",N('Project Database'!AP331))</f>
        <v/>
      </c>
      <c r="BX327" s="5">
        <f t="shared" si="82"/>
        <v>0</v>
      </c>
      <c r="BY327" s="5">
        <f t="shared" si="83"/>
        <v>0</v>
      </c>
    </row>
    <row r="328" spans="1:77" ht="15" customHeight="1" x14ac:dyDescent="0.3">
      <c r="A328" s="66">
        <f>'Project Database'!A332</f>
        <v>0</v>
      </c>
      <c r="B328" s="66">
        <f>'Project Database'!B332</f>
        <v>0</v>
      </c>
      <c r="C328" s="66">
        <f>'Project Database'!G332</f>
        <v>0</v>
      </c>
      <c r="D328" s="66">
        <f>'Project Database'!H332</f>
        <v>0</v>
      </c>
      <c r="E328" s="66">
        <f>'Project Database'!I332</f>
        <v>0</v>
      </c>
      <c r="F328" s="66">
        <f>'Project Database'!J332</f>
        <v>0</v>
      </c>
      <c r="G328" s="66">
        <f>'Project Database'!K332</f>
        <v>0</v>
      </c>
      <c r="H328" s="66">
        <f>'Project Database'!L332</f>
        <v>0</v>
      </c>
      <c r="I328" s="66">
        <f>'Project Database'!M332</f>
        <v>0</v>
      </c>
      <c r="J328" s="66">
        <f>'Project Database'!N332</f>
        <v>0</v>
      </c>
      <c r="K328" s="66">
        <f>'Project Database'!O332</f>
        <v>0</v>
      </c>
      <c r="L328" s="66">
        <f>'Project Database'!P332</f>
        <v>0</v>
      </c>
      <c r="M328" s="66">
        <f>'Project Database'!Q332</f>
        <v>0</v>
      </c>
      <c r="N328" s="66">
        <f>'Project Database'!R332</f>
        <v>0</v>
      </c>
      <c r="O328" s="66">
        <f>'Project Database'!S332</f>
        <v>0</v>
      </c>
      <c r="P328" s="66">
        <f>'Project Database'!T332</f>
        <v>0</v>
      </c>
      <c r="Q328" s="66">
        <f>'Project Database'!U332</f>
        <v>0</v>
      </c>
      <c r="R328" s="66">
        <f>'Project Database'!V332</f>
        <v>0</v>
      </c>
      <c r="S328" s="66">
        <f>'Project Database'!W332</f>
        <v>0</v>
      </c>
      <c r="T328" s="66">
        <f>'Project Database'!X332</f>
        <v>0</v>
      </c>
      <c r="U328" s="67">
        <f>'Project Database'!Y332</f>
        <v>0</v>
      </c>
      <c r="V328" s="66">
        <f>IF('Smart Search'!B13=1,IFERROR(1/'Smart Search'!H13,0),0)</f>
        <v>0</v>
      </c>
      <c r="W328" s="66">
        <f>IF('Smart Search'!B13=1,IFERROR(1/'Smart Search'!H13,0),0)</f>
        <v>0</v>
      </c>
      <c r="X328" s="66">
        <f>IF('Smart Search'!C13=1,IFERROR(1/'Smart Search'!H13,0),0)</f>
        <v>0.5</v>
      </c>
      <c r="Y328" s="66">
        <f>IF('Smart Search'!C13=1,IFERROR(1/'Smart Search'!H13,0),0)</f>
        <v>0.5</v>
      </c>
      <c r="Z328" s="66">
        <f>IF('Smart Search'!D13=1,IFERROR(1/'Smart Search'!H13,0),0)</f>
        <v>0</v>
      </c>
      <c r="AA328" s="66">
        <f>IF('Smart Search'!D13=1,IFERROR(1/'Smart Search'!H13,0),0)</f>
        <v>0</v>
      </c>
      <c r="AB328" s="66">
        <f>IF('Smart Search'!E13=1,IFERROR(1/'Smart Search'!H13,0),0)</f>
        <v>0</v>
      </c>
      <c r="AC328" s="66">
        <f>IF('Smart Search'!E13=1,IFERROR(1/'Smart Search'!H13,0),0)</f>
        <v>0</v>
      </c>
      <c r="AD328" s="66">
        <f>IF('Smart Search'!F13=1,IFERROR(1/'Smart Search'!H13,0),0)</f>
        <v>0</v>
      </c>
      <c r="AE328" s="66">
        <f>IF('Smart Search'!F13=1,IFERROR(1/'Smart Search'!H13,0),0)</f>
        <v>0</v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>0</v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>0</v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>0</v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>0</v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>0</v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>0</v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>0</v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>0</v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>0</v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>0</v>
      </c>
      <c r="AP328" s="66">
        <f t="shared" si="70"/>
        <v>0</v>
      </c>
      <c r="AQ328" s="66">
        <f t="shared" si="71"/>
        <v>0</v>
      </c>
      <c r="AR328" s="66">
        <f t="shared" si="72"/>
        <v>0</v>
      </c>
      <c r="AS328" s="66">
        <f t="shared" si="73"/>
        <v>0</v>
      </c>
      <c r="AT328" s="66">
        <f t="shared" si="74"/>
        <v>0</v>
      </c>
      <c r="AU328" s="66">
        <f t="shared" si="75"/>
        <v>0</v>
      </c>
      <c r="AV328" s="66">
        <f t="shared" si="76"/>
        <v>0</v>
      </c>
      <c r="AW328" s="66">
        <f t="shared" si="77"/>
        <v>0</v>
      </c>
      <c r="AX328" s="66">
        <f t="shared" si="78"/>
        <v>0</v>
      </c>
      <c r="AY328" s="66">
        <f t="shared" si="79"/>
        <v>0</v>
      </c>
      <c r="AZ328" s="66">
        <f>'Project Database'!Z332</f>
        <v>0</v>
      </c>
      <c r="BA328" s="66">
        <f>IF(OR(A328="",'Smart Search'!H13=0),"",MAX(0,BE328*BF328*MAX(0,1-BG328)))</f>
        <v>0</v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>0</v>
      </c>
      <c r="BC328" s="66">
        <f>IF('Smart Search'!G13=1,IFERROR(1/'Smart Search'!H13,0),0)</f>
        <v>0</v>
      </c>
      <c r="BD328" s="66">
        <f t="shared" si="80"/>
        <v>0</v>
      </c>
      <c r="BE328" s="66">
        <f t="shared" si="81"/>
        <v>0</v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>0</v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>0</v>
      </c>
      <c r="BH328" s="5" t="str">
        <f>IF(AND('Project Database'!A332&lt;&gt;"",OR('Smart Search'!$L$5="",'Smart Search'!$L$5="All",TRIM('Project Database'!D332)=TRIM('Smart Search'!$L$5)),OR(TRIM('Smart Search'!$L$6)="",TRIM('Smart Search'!$L$6)="All",ISNUMBER(SEARCH(SUBSTITUTE(SUBSTITUTE(SUBSTITUTE(TRIM('Smart Search'!$L$6),"~","~~"),"*","~*"),"?","~?"),'Project Database'!C332))),OR('Smart Search'!$L$7="",AND('Project Database'!E332&lt;&gt;"",'Project Database'!E332='Smart Search'!$L$7)),OR('Smart Search'!$L$8="",'Smart Search'!$L$8="All",TRIM('Project Database'!F332)=TRIM('Smart Search'!$L$8))),IF(BA328="","",BA328+ROW()*0.0000000001),"")</f>
        <v/>
      </c>
      <c r="BI328" s="5" t="str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 t="str">
        <f>IF('Project Database'!A332="","",N('Project Database'!AC332))</f>
        <v/>
      </c>
      <c r="BK328" s="5" t="str">
        <f>IF('Project Database'!A332="","",N('Project Database'!AD332))</f>
        <v/>
      </c>
      <c r="BL328" s="5" t="str">
        <f>IF('Project Database'!A332="","",N('Project Database'!AE332))</f>
        <v/>
      </c>
      <c r="BM328" s="5" t="str">
        <f>IF('Project Database'!A332="","",N('Project Database'!AF332))</f>
        <v/>
      </c>
      <c r="BN328" s="5" t="str">
        <f>IF('Project Database'!A332="","",N('Project Database'!AG332))</f>
        <v/>
      </c>
      <c r="BO328" s="5" t="str">
        <f>IF('Project Database'!A332="","",N('Project Database'!AH332))</f>
        <v/>
      </c>
      <c r="BP328" s="5" t="str">
        <f>IF('Project Database'!A332="","",N('Project Database'!AI332))</f>
        <v/>
      </c>
      <c r="BQ328" s="5" t="str">
        <f>IF('Project Database'!A332="","",N('Project Database'!AJ332))</f>
        <v/>
      </c>
      <c r="BR328" s="5" t="str">
        <f>IF('Project Database'!A332="","",N('Project Database'!AK332))</f>
        <v/>
      </c>
      <c r="BS328" s="5" t="str">
        <f>IF('Project Database'!A332="","",N('Project Database'!AL332))</f>
        <v/>
      </c>
      <c r="BT328" s="5" t="str">
        <f>IF('Project Database'!A332="","",N('Project Database'!AM332))</f>
        <v/>
      </c>
      <c r="BU328" s="5" t="str">
        <f>IF('Project Database'!A332="","",N('Project Database'!AN332))</f>
        <v/>
      </c>
      <c r="BV328" s="5" t="str">
        <f>IF('Project Database'!A332="","",N('Project Database'!AO332))</f>
        <v/>
      </c>
      <c r="BW328" s="5" t="str">
        <f>IF('Project Database'!A332="","",N('Project Database'!AP332))</f>
        <v/>
      </c>
      <c r="BX328" s="5">
        <f t="shared" si="82"/>
        <v>0</v>
      </c>
      <c r="BY328" s="5">
        <f t="shared" si="83"/>
        <v>0</v>
      </c>
    </row>
    <row r="329" spans="1:77" ht="15" customHeight="1" x14ac:dyDescent="0.3">
      <c r="A329" s="66">
        <f>'Project Database'!A333</f>
        <v>0</v>
      </c>
      <c r="B329" s="66">
        <f>'Project Database'!B333</f>
        <v>0</v>
      </c>
      <c r="C329" s="66">
        <f>'Project Database'!G333</f>
        <v>0</v>
      </c>
      <c r="D329" s="66">
        <f>'Project Database'!H333</f>
        <v>0</v>
      </c>
      <c r="E329" s="66">
        <f>'Project Database'!I333</f>
        <v>0</v>
      </c>
      <c r="F329" s="66">
        <f>'Project Database'!J333</f>
        <v>0</v>
      </c>
      <c r="G329" s="66">
        <f>'Project Database'!K333</f>
        <v>0</v>
      </c>
      <c r="H329" s="66">
        <f>'Project Database'!L333</f>
        <v>0</v>
      </c>
      <c r="I329" s="66">
        <f>'Project Database'!M333</f>
        <v>0</v>
      </c>
      <c r="J329" s="66">
        <f>'Project Database'!N333</f>
        <v>0</v>
      </c>
      <c r="K329" s="66">
        <f>'Project Database'!O333</f>
        <v>0</v>
      </c>
      <c r="L329" s="66">
        <f>'Project Database'!P333</f>
        <v>0</v>
      </c>
      <c r="M329" s="66">
        <f>'Project Database'!Q333</f>
        <v>0</v>
      </c>
      <c r="N329" s="66">
        <f>'Project Database'!R333</f>
        <v>0</v>
      </c>
      <c r="O329" s="66">
        <f>'Project Database'!S333</f>
        <v>0</v>
      </c>
      <c r="P329" s="66">
        <f>'Project Database'!T333</f>
        <v>0</v>
      </c>
      <c r="Q329" s="66">
        <f>'Project Database'!U333</f>
        <v>0</v>
      </c>
      <c r="R329" s="66">
        <f>'Project Database'!V333</f>
        <v>0</v>
      </c>
      <c r="S329" s="66">
        <f>'Project Database'!W333</f>
        <v>0</v>
      </c>
      <c r="T329" s="66">
        <f>'Project Database'!X333</f>
        <v>0</v>
      </c>
      <c r="U329" s="67">
        <f>'Project Database'!Y333</f>
        <v>0</v>
      </c>
      <c r="V329" s="66">
        <f>IF('Smart Search'!B13=1,IFERROR(1/'Smart Search'!H13,0),0)</f>
        <v>0</v>
      </c>
      <c r="W329" s="66">
        <f>IF('Smart Search'!B13=1,IFERROR(1/'Smart Search'!H13,0),0)</f>
        <v>0</v>
      </c>
      <c r="X329" s="66">
        <f>IF('Smart Search'!C13=1,IFERROR(1/'Smart Search'!H13,0),0)</f>
        <v>0.5</v>
      </c>
      <c r="Y329" s="66">
        <f>IF('Smart Search'!C13=1,IFERROR(1/'Smart Search'!H13,0),0)</f>
        <v>0.5</v>
      </c>
      <c r="Z329" s="66">
        <f>IF('Smart Search'!D13=1,IFERROR(1/'Smart Search'!H13,0),0)</f>
        <v>0</v>
      </c>
      <c r="AA329" s="66">
        <f>IF('Smart Search'!D13=1,IFERROR(1/'Smart Search'!H13,0),0)</f>
        <v>0</v>
      </c>
      <c r="AB329" s="66">
        <f>IF('Smart Search'!E13=1,IFERROR(1/'Smart Search'!H13,0),0)</f>
        <v>0</v>
      </c>
      <c r="AC329" s="66">
        <f>IF('Smart Search'!E13=1,IFERROR(1/'Smart Search'!H13,0),0)</f>
        <v>0</v>
      </c>
      <c r="AD329" s="66">
        <f>IF('Smart Search'!F13=1,IFERROR(1/'Smart Search'!H13,0),0)</f>
        <v>0</v>
      </c>
      <c r="AE329" s="66">
        <f>IF('Smart Search'!F13=1,IFERROR(1/'Smart Search'!H13,0),0)</f>
        <v>0</v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>0</v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>0</v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>0</v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>0</v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>0</v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>0</v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>0</v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>0</v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>0</v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>0</v>
      </c>
      <c r="AP329" s="66">
        <f t="shared" si="70"/>
        <v>0</v>
      </c>
      <c r="AQ329" s="66">
        <f t="shared" si="71"/>
        <v>0</v>
      </c>
      <c r="AR329" s="66">
        <f t="shared" si="72"/>
        <v>0</v>
      </c>
      <c r="AS329" s="66">
        <f t="shared" si="73"/>
        <v>0</v>
      </c>
      <c r="AT329" s="66">
        <f t="shared" si="74"/>
        <v>0</v>
      </c>
      <c r="AU329" s="66">
        <f t="shared" si="75"/>
        <v>0</v>
      </c>
      <c r="AV329" s="66">
        <f t="shared" si="76"/>
        <v>0</v>
      </c>
      <c r="AW329" s="66">
        <f t="shared" si="77"/>
        <v>0</v>
      </c>
      <c r="AX329" s="66">
        <f t="shared" si="78"/>
        <v>0</v>
      </c>
      <c r="AY329" s="66">
        <f t="shared" si="79"/>
        <v>0</v>
      </c>
      <c r="AZ329" s="66">
        <f>'Project Database'!Z333</f>
        <v>0</v>
      </c>
      <c r="BA329" s="66">
        <f>IF(OR(A329="",'Smart Search'!H13=0),"",MAX(0,BE329*BF329*MAX(0,1-BG329)))</f>
        <v>0</v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>0</v>
      </c>
      <c r="BC329" s="66">
        <f>IF('Smart Search'!G13=1,IFERROR(1/'Smart Search'!H13,0),0)</f>
        <v>0</v>
      </c>
      <c r="BD329" s="66">
        <f t="shared" si="80"/>
        <v>0</v>
      </c>
      <c r="BE329" s="66">
        <f t="shared" si="81"/>
        <v>0</v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>0</v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>0</v>
      </c>
      <c r="BH329" s="5" t="str">
        <f>IF(AND('Project Database'!A333&lt;&gt;"",OR('Smart Search'!$L$5="",'Smart Search'!$L$5="All",TRIM('Project Database'!D333)=TRIM('Smart Search'!$L$5)),OR(TRIM('Smart Search'!$L$6)="",TRIM('Smart Search'!$L$6)="All",ISNUMBER(SEARCH(SUBSTITUTE(SUBSTITUTE(SUBSTITUTE(TRIM('Smart Search'!$L$6),"~","~~"),"*","~*"),"?","~?"),'Project Database'!C333))),OR('Smart Search'!$L$7="",AND('Project Database'!E333&lt;&gt;"",'Project Database'!E333='Smart Search'!$L$7)),OR('Smart Search'!$L$8="",'Smart Search'!$L$8="All",TRIM('Project Database'!F333)=TRIM('Smart Search'!$L$8))),IF(BA329="","",BA329+ROW()*0.0000000001),"")</f>
        <v/>
      </c>
      <c r="BI329" s="5" t="str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 t="str">
        <f>IF('Project Database'!A333="","",N('Project Database'!AC333))</f>
        <v/>
      </c>
      <c r="BK329" s="5" t="str">
        <f>IF('Project Database'!A333="","",N('Project Database'!AD333))</f>
        <v/>
      </c>
      <c r="BL329" s="5" t="str">
        <f>IF('Project Database'!A333="","",N('Project Database'!AE333))</f>
        <v/>
      </c>
      <c r="BM329" s="5" t="str">
        <f>IF('Project Database'!A333="","",N('Project Database'!AF333))</f>
        <v/>
      </c>
      <c r="BN329" s="5" t="str">
        <f>IF('Project Database'!A333="","",N('Project Database'!AG333))</f>
        <v/>
      </c>
      <c r="BO329" s="5" t="str">
        <f>IF('Project Database'!A333="","",N('Project Database'!AH333))</f>
        <v/>
      </c>
      <c r="BP329" s="5" t="str">
        <f>IF('Project Database'!A333="","",N('Project Database'!AI333))</f>
        <v/>
      </c>
      <c r="BQ329" s="5" t="str">
        <f>IF('Project Database'!A333="","",N('Project Database'!AJ333))</f>
        <v/>
      </c>
      <c r="BR329" s="5" t="str">
        <f>IF('Project Database'!A333="","",N('Project Database'!AK333))</f>
        <v/>
      </c>
      <c r="BS329" s="5" t="str">
        <f>IF('Project Database'!A333="","",N('Project Database'!AL333))</f>
        <v/>
      </c>
      <c r="BT329" s="5" t="str">
        <f>IF('Project Database'!A333="","",N('Project Database'!AM333))</f>
        <v/>
      </c>
      <c r="BU329" s="5" t="str">
        <f>IF('Project Database'!A333="","",N('Project Database'!AN333))</f>
        <v/>
      </c>
      <c r="BV329" s="5" t="str">
        <f>IF('Project Database'!A333="","",N('Project Database'!AO333))</f>
        <v/>
      </c>
      <c r="BW329" s="5" t="str">
        <f>IF('Project Database'!A333="","",N('Project Database'!AP333))</f>
        <v/>
      </c>
      <c r="BX329" s="5">
        <f t="shared" si="82"/>
        <v>0</v>
      </c>
      <c r="BY329" s="5">
        <f t="shared" si="83"/>
        <v>0</v>
      </c>
    </row>
    <row r="330" spans="1:77" ht="15" customHeight="1" x14ac:dyDescent="0.3">
      <c r="A330" s="66">
        <f>'Project Database'!A334</f>
        <v>0</v>
      </c>
      <c r="B330" s="66">
        <f>'Project Database'!B334</f>
        <v>0</v>
      </c>
      <c r="C330" s="66">
        <f>'Project Database'!G334</f>
        <v>0</v>
      </c>
      <c r="D330" s="66">
        <f>'Project Database'!H334</f>
        <v>0</v>
      </c>
      <c r="E330" s="66">
        <f>'Project Database'!I334</f>
        <v>0</v>
      </c>
      <c r="F330" s="66">
        <f>'Project Database'!J334</f>
        <v>0</v>
      </c>
      <c r="G330" s="66">
        <f>'Project Database'!K334</f>
        <v>0</v>
      </c>
      <c r="H330" s="66">
        <f>'Project Database'!L334</f>
        <v>0</v>
      </c>
      <c r="I330" s="66">
        <f>'Project Database'!M334</f>
        <v>0</v>
      </c>
      <c r="J330" s="66">
        <f>'Project Database'!N334</f>
        <v>0</v>
      </c>
      <c r="K330" s="66">
        <f>'Project Database'!O334</f>
        <v>0</v>
      </c>
      <c r="L330" s="66">
        <f>'Project Database'!P334</f>
        <v>0</v>
      </c>
      <c r="M330" s="66">
        <f>'Project Database'!Q334</f>
        <v>0</v>
      </c>
      <c r="N330" s="66">
        <f>'Project Database'!R334</f>
        <v>0</v>
      </c>
      <c r="O330" s="66">
        <f>'Project Database'!S334</f>
        <v>0</v>
      </c>
      <c r="P330" s="66">
        <f>'Project Database'!T334</f>
        <v>0</v>
      </c>
      <c r="Q330" s="66">
        <f>'Project Database'!U334</f>
        <v>0</v>
      </c>
      <c r="R330" s="66">
        <f>'Project Database'!V334</f>
        <v>0</v>
      </c>
      <c r="S330" s="66">
        <f>'Project Database'!W334</f>
        <v>0</v>
      </c>
      <c r="T330" s="66">
        <f>'Project Database'!X334</f>
        <v>0</v>
      </c>
      <c r="U330" s="67">
        <f>'Project Database'!Y334</f>
        <v>0</v>
      </c>
      <c r="V330" s="66">
        <f>IF('Smart Search'!B13=1,IFERROR(1/'Smart Search'!H13,0),0)</f>
        <v>0</v>
      </c>
      <c r="W330" s="66">
        <f>IF('Smart Search'!B13=1,IFERROR(1/'Smart Search'!H13,0),0)</f>
        <v>0</v>
      </c>
      <c r="X330" s="66">
        <f>IF('Smart Search'!C13=1,IFERROR(1/'Smart Search'!H13,0),0)</f>
        <v>0.5</v>
      </c>
      <c r="Y330" s="66">
        <f>IF('Smart Search'!C13=1,IFERROR(1/'Smart Search'!H13,0),0)</f>
        <v>0.5</v>
      </c>
      <c r="Z330" s="66">
        <f>IF('Smart Search'!D13=1,IFERROR(1/'Smart Search'!H13,0),0)</f>
        <v>0</v>
      </c>
      <c r="AA330" s="66">
        <f>IF('Smart Search'!D13=1,IFERROR(1/'Smart Search'!H13,0),0)</f>
        <v>0</v>
      </c>
      <c r="AB330" s="66">
        <f>IF('Smart Search'!E13=1,IFERROR(1/'Smart Search'!H13,0),0)</f>
        <v>0</v>
      </c>
      <c r="AC330" s="66">
        <f>IF('Smart Search'!E13=1,IFERROR(1/'Smart Search'!H13,0),0)</f>
        <v>0</v>
      </c>
      <c r="AD330" s="66">
        <f>IF('Smart Search'!F13=1,IFERROR(1/'Smart Search'!H13,0),0)</f>
        <v>0</v>
      </c>
      <c r="AE330" s="66">
        <f>IF('Smart Search'!F13=1,IFERROR(1/'Smart Search'!H13,0),0)</f>
        <v>0</v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>0</v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>0</v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>0</v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>0</v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>0</v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>0</v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>0</v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>0</v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>0</v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>0</v>
      </c>
      <c r="AP330" s="66">
        <f t="shared" si="70"/>
        <v>0</v>
      </c>
      <c r="AQ330" s="66">
        <f t="shared" si="71"/>
        <v>0</v>
      </c>
      <c r="AR330" s="66">
        <f t="shared" si="72"/>
        <v>0</v>
      </c>
      <c r="AS330" s="66">
        <f t="shared" si="73"/>
        <v>0</v>
      </c>
      <c r="AT330" s="66">
        <f t="shared" si="74"/>
        <v>0</v>
      </c>
      <c r="AU330" s="66">
        <f t="shared" si="75"/>
        <v>0</v>
      </c>
      <c r="AV330" s="66">
        <f t="shared" si="76"/>
        <v>0</v>
      </c>
      <c r="AW330" s="66">
        <f t="shared" si="77"/>
        <v>0</v>
      </c>
      <c r="AX330" s="66">
        <f t="shared" si="78"/>
        <v>0</v>
      </c>
      <c r="AY330" s="66">
        <f t="shared" si="79"/>
        <v>0</v>
      </c>
      <c r="AZ330" s="66">
        <f>'Project Database'!Z334</f>
        <v>0</v>
      </c>
      <c r="BA330" s="66">
        <f>IF(OR(A330="",'Smart Search'!H13=0),"",MAX(0,BE330*BF330*MAX(0,1-BG330)))</f>
        <v>0</v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>0</v>
      </c>
      <c r="BC330" s="66">
        <f>IF('Smart Search'!G13=1,IFERROR(1/'Smart Search'!H13,0),0)</f>
        <v>0</v>
      </c>
      <c r="BD330" s="66">
        <f t="shared" si="80"/>
        <v>0</v>
      </c>
      <c r="BE330" s="66">
        <f t="shared" si="81"/>
        <v>0</v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>0</v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>0</v>
      </c>
      <c r="BH330" s="5" t="str">
        <f>IF(AND('Project Database'!A334&lt;&gt;"",OR('Smart Search'!$L$5="",'Smart Search'!$L$5="All",TRIM('Project Database'!D334)=TRIM('Smart Search'!$L$5)),OR(TRIM('Smart Search'!$L$6)="",TRIM('Smart Search'!$L$6)="All",ISNUMBER(SEARCH(SUBSTITUTE(SUBSTITUTE(SUBSTITUTE(TRIM('Smart Search'!$L$6),"~","~~"),"*","~*"),"?","~?"),'Project Database'!C334))),OR('Smart Search'!$L$7="",AND('Project Database'!E334&lt;&gt;"",'Project Database'!E334='Smart Search'!$L$7)),OR('Smart Search'!$L$8="",'Smart Search'!$L$8="All",TRIM('Project Database'!F334)=TRIM('Smart Search'!$L$8))),IF(BA330="","",BA330+ROW()*0.0000000001),"")</f>
        <v/>
      </c>
      <c r="BI330" s="5" t="str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 t="str">
        <f>IF('Project Database'!A334="","",N('Project Database'!AC334))</f>
        <v/>
      </c>
      <c r="BK330" s="5" t="str">
        <f>IF('Project Database'!A334="","",N('Project Database'!AD334))</f>
        <v/>
      </c>
      <c r="BL330" s="5" t="str">
        <f>IF('Project Database'!A334="","",N('Project Database'!AE334))</f>
        <v/>
      </c>
      <c r="BM330" s="5" t="str">
        <f>IF('Project Database'!A334="","",N('Project Database'!AF334))</f>
        <v/>
      </c>
      <c r="BN330" s="5" t="str">
        <f>IF('Project Database'!A334="","",N('Project Database'!AG334))</f>
        <v/>
      </c>
      <c r="BO330" s="5" t="str">
        <f>IF('Project Database'!A334="","",N('Project Database'!AH334))</f>
        <v/>
      </c>
      <c r="BP330" s="5" t="str">
        <f>IF('Project Database'!A334="","",N('Project Database'!AI334))</f>
        <v/>
      </c>
      <c r="BQ330" s="5" t="str">
        <f>IF('Project Database'!A334="","",N('Project Database'!AJ334))</f>
        <v/>
      </c>
      <c r="BR330" s="5" t="str">
        <f>IF('Project Database'!A334="","",N('Project Database'!AK334))</f>
        <v/>
      </c>
      <c r="BS330" s="5" t="str">
        <f>IF('Project Database'!A334="","",N('Project Database'!AL334))</f>
        <v/>
      </c>
      <c r="BT330" s="5" t="str">
        <f>IF('Project Database'!A334="","",N('Project Database'!AM334))</f>
        <v/>
      </c>
      <c r="BU330" s="5" t="str">
        <f>IF('Project Database'!A334="","",N('Project Database'!AN334))</f>
        <v/>
      </c>
      <c r="BV330" s="5" t="str">
        <f>IF('Project Database'!A334="","",N('Project Database'!AO334))</f>
        <v/>
      </c>
      <c r="BW330" s="5" t="str">
        <f>IF('Project Database'!A334="","",N('Project Database'!AP334))</f>
        <v/>
      </c>
      <c r="BX330" s="5">
        <f t="shared" si="82"/>
        <v>0</v>
      </c>
      <c r="BY330" s="5">
        <f t="shared" si="83"/>
        <v>0</v>
      </c>
    </row>
    <row r="331" spans="1:77" ht="15" customHeight="1" x14ac:dyDescent="0.3">
      <c r="A331" s="66">
        <f>'Project Database'!A335</f>
        <v>0</v>
      </c>
      <c r="B331" s="66">
        <f>'Project Database'!B335</f>
        <v>0</v>
      </c>
      <c r="C331" s="66">
        <f>'Project Database'!G335</f>
        <v>0</v>
      </c>
      <c r="D331" s="66">
        <f>'Project Database'!H335</f>
        <v>0</v>
      </c>
      <c r="E331" s="66">
        <f>'Project Database'!I335</f>
        <v>0</v>
      </c>
      <c r="F331" s="66">
        <f>'Project Database'!J335</f>
        <v>0</v>
      </c>
      <c r="G331" s="66">
        <f>'Project Database'!K335</f>
        <v>0</v>
      </c>
      <c r="H331" s="66">
        <f>'Project Database'!L335</f>
        <v>0</v>
      </c>
      <c r="I331" s="66">
        <f>'Project Database'!M335</f>
        <v>0</v>
      </c>
      <c r="J331" s="66">
        <f>'Project Database'!N335</f>
        <v>0</v>
      </c>
      <c r="K331" s="66">
        <f>'Project Database'!O335</f>
        <v>0</v>
      </c>
      <c r="L331" s="66">
        <f>'Project Database'!P335</f>
        <v>0</v>
      </c>
      <c r="M331" s="66">
        <f>'Project Database'!Q335</f>
        <v>0</v>
      </c>
      <c r="N331" s="66">
        <f>'Project Database'!R335</f>
        <v>0</v>
      </c>
      <c r="O331" s="66">
        <f>'Project Database'!S335</f>
        <v>0</v>
      </c>
      <c r="P331" s="66">
        <f>'Project Database'!T335</f>
        <v>0</v>
      </c>
      <c r="Q331" s="66">
        <f>'Project Database'!U335</f>
        <v>0</v>
      </c>
      <c r="R331" s="66">
        <f>'Project Database'!V335</f>
        <v>0</v>
      </c>
      <c r="S331" s="66">
        <f>'Project Database'!W335</f>
        <v>0</v>
      </c>
      <c r="T331" s="66">
        <f>'Project Database'!X335</f>
        <v>0</v>
      </c>
      <c r="U331" s="67">
        <f>'Project Database'!Y335</f>
        <v>0</v>
      </c>
      <c r="V331" s="66">
        <f>IF('Smart Search'!B13=1,IFERROR(1/'Smart Search'!H13,0),0)</f>
        <v>0</v>
      </c>
      <c r="W331" s="66">
        <f>IF('Smart Search'!B13=1,IFERROR(1/'Smart Search'!H13,0),0)</f>
        <v>0</v>
      </c>
      <c r="X331" s="66">
        <f>IF('Smart Search'!C13=1,IFERROR(1/'Smart Search'!H13,0),0)</f>
        <v>0.5</v>
      </c>
      <c r="Y331" s="66">
        <f>IF('Smart Search'!C13=1,IFERROR(1/'Smart Search'!H13,0),0)</f>
        <v>0.5</v>
      </c>
      <c r="Z331" s="66">
        <f>IF('Smart Search'!D13=1,IFERROR(1/'Smart Search'!H13,0),0)</f>
        <v>0</v>
      </c>
      <c r="AA331" s="66">
        <f>IF('Smart Search'!D13=1,IFERROR(1/'Smart Search'!H13,0),0)</f>
        <v>0</v>
      </c>
      <c r="AB331" s="66">
        <f>IF('Smart Search'!E13=1,IFERROR(1/'Smart Search'!H13,0),0)</f>
        <v>0</v>
      </c>
      <c r="AC331" s="66">
        <f>IF('Smart Search'!E13=1,IFERROR(1/'Smart Search'!H13,0),0)</f>
        <v>0</v>
      </c>
      <c r="AD331" s="66">
        <f>IF('Smart Search'!F13=1,IFERROR(1/'Smart Search'!H13,0),0)</f>
        <v>0</v>
      </c>
      <c r="AE331" s="66">
        <f>IF('Smart Search'!F13=1,IFERROR(1/'Smart Search'!H13,0),0)</f>
        <v>0</v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>0</v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>0</v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>0</v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>0</v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>0</v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>0</v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>0</v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>0</v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>0</v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>0</v>
      </c>
      <c r="AP331" s="66">
        <f t="shared" si="70"/>
        <v>0</v>
      </c>
      <c r="AQ331" s="66">
        <f t="shared" si="71"/>
        <v>0</v>
      </c>
      <c r="AR331" s="66">
        <f t="shared" si="72"/>
        <v>0</v>
      </c>
      <c r="AS331" s="66">
        <f t="shared" si="73"/>
        <v>0</v>
      </c>
      <c r="AT331" s="66">
        <f t="shared" si="74"/>
        <v>0</v>
      </c>
      <c r="AU331" s="66">
        <f t="shared" si="75"/>
        <v>0</v>
      </c>
      <c r="AV331" s="66">
        <f t="shared" si="76"/>
        <v>0</v>
      </c>
      <c r="AW331" s="66">
        <f t="shared" si="77"/>
        <v>0</v>
      </c>
      <c r="AX331" s="66">
        <f t="shared" si="78"/>
        <v>0</v>
      </c>
      <c r="AY331" s="66">
        <f t="shared" si="79"/>
        <v>0</v>
      </c>
      <c r="AZ331" s="66">
        <f>'Project Database'!Z335</f>
        <v>0</v>
      </c>
      <c r="BA331" s="66">
        <f>IF(OR(A331="",'Smart Search'!H13=0),"",MAX(0,BE331*BF331*MAX(0,1-BG331)))</f>
        <v>0</v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>0</v>
      </c>
      <c r="BC331" s="66">
        <f>IF('Smart Search'!G13=1,IFERROR(1/'Smart Search'!H13,0),0)</f>
        <v>0</v>
      </c>
      <c r="BD331" s="66">
        <f t="shared" si="80"/>
        <v>0</v>
      </c>
      <c r="BE331" s="66">
        <f t="shared" si="81"/>
        <v>0</v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>0</v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>0</v>
      </c>
      <c r="BH331" s="5" t="str">
        <f>IF(AND('Project Database'!A335&lt;&gt;"",OR('Smart Search'!$L$5="",'Smart Search'!$L$5="All",TRIM('Project Database'!D335)=TRIM('Smart Search'!$L$5)),OR(TRIM('Smart Search'!$L$6)="",TRIM('Smart Search'!$L$6)="All",ISNUMBER(SEARCH(SUBSTITUTE(SUBSTITUTE(SUBSTITUTE(TRIM('Smart Search'!$L$6),"~","~~"),"*","~*"),"?","~?"),'Project Database'!C335))),OR('Smart Search'!$L$7="",AND('Project Database'!E335&lt;&gt;"",'Project Database'!E335='Smart Search'!$L$7)),OR('Smart Search'!$L$8="",'Smart Search'!$L$8="All",TRIM('Project Database'!F335)=TRIM('Smart Search'!$L$8))),IF(BA331="","",BA331+ROW()*0.0000000001),"")</f>
        <v/>
      </c>
      <c r="BI331" s="5" t="str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 t="str">
        <f>IF('Project Database'!A335="","",N('Project Database'!AC335))</f>
        <v/>
      </c>
      <c r="BK331" s="5" t="str">
        <f>IF('Project Database'!A335="","",N('Project Database'!AD335))</f>
        <v/>
      </c>
      <c r="BL331" s="5" t="str">
        <f>IF('Project Database'!A335="","",N('Project Database'!AE335))</f>
        <v/>
      </c>
      <c r="BM331" s="5" t="str">
        <f>IF('Project Database'!A335="","",N('Project Database'!AF335))</f>
        <v/>
      </c>
      <c r="BN331" s="5" t="str">
        <f>IF('Project Database'!A335="","",N('Project Database'!AG335))</f>
        <v/>
      </c>
      <c r="BO331" s="5" t="str">
        <f>IF('Project Database'!A335="","",N('Project Database'!AH335))</f>
        <v/>
      </c>
      <c r="BP331" s="5" t="str">
        <f>IF('Project Database'!A335="","",N('Project Database'!AI335))</f>
        <v/>
      </c>
      <c r="BQ331" s="5" t="str">
        <f>IF('Project Database'!A335="","",N('Project Database'!AJ335))</f>
        <v/>
      </c>
      <c r="BR331" s="5" t="str">
        <f>IF('Project Database'!A335="","",N('Project Database'!AK335))</f>
        <v/>
      </c>
      <c r="BS331" s="5" t="str">
        <f>IF('Project Database'!A335="","",N('Project Database'!AL335))</f>
        <v/>
      </c>
      <c r="BT331" s="5" t="str">
        <f>IF('Project Database'!A335="","",N('Project Database'!AM335))</f>
        <v/>
      </c>
      <c r="BU331" s="5" t="str">
        <f>IF('Project Database'!A335="","",N('Project Database'!AN335))</f>
        <v/>
      </c>
      <c r="BV331" s="5" t="str">
        <f>IF('Project Database'!A335="","",N('Project Database'!AO335))</f>
        <v/>
      </c>
      <c r="BW331" s="5" t="str">
        <f>IF('Project Database'!A335="","",N('Project Database'!AP335))</f>
        <v/>
      </c>
      <c r="BX331" s="5">
        <f t="shared" si="82"/>
        <v>0</v>
      </c>
      <c r="BY331" s="5">
        <f t="shared" si="83"/>
        <v>0</v>
      </c>
    </row>
    <row r="332" spans="1:77" ht="15" customHeight="1" x14ac:dyDescent="0.3">
      <c r="A332" s="66">
        <f>'Project Database'!A336</f>
        <v>0</v>
      </c>
      <c r="B332" s="66">
        <f>'Project Database'!B336</f>
        <v>0</v>
      </c>
      <c r="C332" s="66">
        <f>'Project Database'!G336</f>
        <v>0</v>
      </c>
      <c r="D332" s="66">
        <f>'Project Database'!H336</f>
        <v>0</v>
      </c>
      <c r="E332" s="66">
        <f>'Project Database'!I336</f>
        <v>0</v>
      </c>
      <c r="F332" s="66">
        <f>'Project Database'!J336</f>
        <v>0</v>
      </c>
      <c r="G332" s="66">
        <f>'Project Database'!K336</f>
        <v>0</v>
      </c>
      <c r="H332" s="66">
        <f>'Project Database'!L336</f>
        <v>0</v>
      </c>
      <c r="I332" s="66">
        <f>'Project Database'!M336</f>
        <v>0</v>
      </c>
      <c r="J332" s="66">
        <f>'Project Database'!N336</f>
        <v>0</v>
      </c>
      <c r="K332" s="66">
        <f>'Project Database'!O336</f>
        <v>0</v>
      </c>
      <c r="L332" s="66">
        <f>'Project Database'!P336</f>
        <v>0</v>
      </c>
      <c r="M332" s="66">
        <f>'Project Database'!Q336</f>
        <v>0</v>
      </c>
      <c r="N332" s="66">
        <f>'Project Database'!R336</f>
        <v>0</v>
      </c>
      <c r="O332" s="66">
        <f>'Project Database'!S336</f>
        <v>0</v>
      </c>
      <c r="P332" s="66">
        <f>'Project Database'!T336</f>
        <v>0</v>
      </c>
      <c r="Q332" s="66">
        <f>'Project Database'!U336</f>
        <v>0</v>
      </c>
      <c r="R332" s="66">
        <f>'Project Database'!V336</f>
        <v>0</v>
      </c>
      <c r="S332" s="66">
        <f>'Project Database'!W336</f>
        <v>0</v>
      </c>
      <c r="T332" s="66">
        <f>'Project Database'!X336</f>
        <v>0</v>
      </c>
      <c r="U332" s="67">
        <f>'Project Database'!Y336</f>
        <v>0</v>
      </c>
      <c r="V332" s="66">
        <f>IF('Smart Search'!B13=1,IFERROR(1/'Smart Search'!H13,0),0)</f>
        <v>0</v>
      </c>
      <c r="W332" s="66">
        <f>IF('Smart Search'!B13=1,IFERROR(1/'Smart Search'!H13,0),0)</f>
        <v>0</v>
      </c>
      <c r="X332" s="66">
        <f>IF('Smart Search'!C13=1,IFERROR(1/'Smart Search'!H13,0),0)</f>
        <v>0.5</v>
      </c>
      <c r="Y332" s="66">
        <f>IF('Smart Search'!C13=1,IFERROR(1/'Smart Search'!H13,0),0)</f>
        <v>0.5</v>
      </c>
      <c r="Z332" s="66">
        <f>IF('Smart Search'!D13=1,IFERROR(1/'Smart Search'!H13,0),0)</f>
        <v>0</v>
      </c>
      <c r="AA332" s="66">
        <f>IF('Smart Search'!D13=1,IFERROR(1/'Smart Search'!H13,0),0)</f>
        <v>0</v>
      </c>
      <c r="AB332" s="66">
        <f>IF('Smart Search'!E13=1,IFERROR(1/'Smart Search'!H13,0),0)</f>
        <v>0</v>
      </c>
      <c r="AC332" s="66">
        <f>IF('Smart Search'!E13=1,IFERROR(1/'Smart Search'!H13,0),0)</f>
        <v>0</v>
      </c>
      <c r="AD332" s="66">
        <f>IF('Smart Search'!F13=1,IFERROR(1/'Smart Search'!H13,0),0)</f>
        <v>0</v>
      </c>
      <c r="AE332" s="66">
        <f>IF('Smart Search'!F13=1,IFERROR(1/'Smart Search'!H13,0),0)</f>
        <v>0</v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>0</v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>0</v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>0</v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>0</v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>0</v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>0</v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>0</v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>0</v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>0</v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>0</v>
      </c>
      <c r="AP332" s="66">
        <f t="shared" si="70"/>
        <v>0</v>
      </c>
      <c r="AQ332" s="66">
        <f t="shared" si="71"/>
        <v>0</v>
      </c>
      <c r="AR332" s="66">
        <f t="shared" si="72"/>
        <v>0</v>
      </c>
      <c r="AS332" s="66">
        <f t="shared" si="73"/>
        <v>0</v>
      </c>
      <c r="AT332" s="66">
        <f t="shared" si="74"/>
        <v>0</v>
      </c>
      <c r="AU332" s="66">
        <f t="shared" si="75"/>
        <v>0</v>
      </c>
      <c r="AV332" s="66">
        <f t="shared" si="76"/>
        <v>0</v>
      </c>
      <c r="AW332" s="66">
        <f t="shared" si="77"/>
        <v>0</v>
      </c>
      <c r="AX332" s="66">
        <f t="shared" si="78"/>
        <v>0</v>
      </c>
      <c r="AY332" s="66">
        <f t="shared" si="79"/>
        <v>0</v>
      </c>
      <c r="AZ332" s="66">
        <f>'Project Database'!Z336</f>
        <v>0</v>
      </c>
      <c r="BA332" s="66">
        <f>IF(OR(A332="",'Smart Search'!H13=0),"",MAX(0,BE332*BF332*MAX(0,1-BG332)))</f>
        <v>0</v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>0</v>
      </c>
      <c r="BC332" s="66">
        <f>IF('Smart Search'!G13=1,IFERROR(1/'Smart Search'!H13,0),0)</f>
        <v>0</v>
      </c>
      <c r="BD332" s="66">
        <f t="shared" si="80"/>
        <v>0</v>
      </c>
      <c r="BE332" s="66">
        <f t="shared" si="81"/>
        <v>0</v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>0</v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>0</v>
      </c>
      <c r="BH332" s="5" t="str">
        <f>IF(AND('Project Database'!A336&lt;&gt;"",OR('Smart Search'!$L$5="",'Smart Search'!$L$5="All",TRIM('Project Database'!D336)=TRIM('Smart Search'!$L$5)),OR(TRIM('Smart Search'!$L$6)="",TRIM('Smart Search'!$L$6)="All",ISNUMBER(SEARCH(SUBSTITUTE(SUBSTITUTE(SUBSTITUTE(TRIM('Smart Search'!$L$6),"~","~~"),"*","~*"),"?","~?"),'Project Database'!C336))),OR('Smart Search'!$L$7="",AND('Project Database'!E336&lt;&gt;"",'Project Database'!E336='Smart Search'!$L$7)),OR('Smart Search'!$L$8="",'Smart Search'!$L$8="All",TRIM('Project Database'!F336)=TRIM('Smart Search'!$L$8))),IF(BA332="","",BA332+ROW()*0.0000000001),"")</f>
        <v/>
      </c>
      <c r="BI332" s="5" t="str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 t="str">
        <f>IF('Project Database'!A336="","",N('Project Database'!AC336))</f>
        <v/>
      </c>
      <c r="BK332" s="5" t="str">
        <f>IF('Project Database'!A336="","",N('Project Database'!AD336))</f>
        <v/>
      </c>
      <c r="BL332" s="5" t="str">
        <f>IF('Project Database'!A336="","",N('Project Database'!AE336))</f>
        <v/>
      </c>
      <c r="BM332" s="5" t="str">
        <f>IF('Project Database'!A336="","",N('Project Database'!AF336))</f>
        <v/>
      </c>
      <c r="BN332" s="5" t="str">
        <f>IF('Project Database'!A336="","",N('Project Database'!AG336))</f>
        <v/>
      </c>
      <c r="BO332" s="5" t="str">
        <f>IF('Project Database'!A336="","",N('Project Database'!AH336))</f>
        <v/>
      </c>
      <c r="BP332" s="5" t="str">
        <f>IF('Project Database'!A336="","",N('Project Database'!AI336))</f>
        <v/>
      </c>
      <c r="BQ332" s="5" t="str">
        <f>IF('Project Database'!A336="","",N('Project Database'!AJ336))</f>
        <v/>
      </c>
      <c r="BR332" s="5" t="str">
        <f>IF('Project Database'!A336="","",N('Project Database'!AK336))</f>
        <v/>
      </c>
      <c r="BS332" s="5" t="str">
        <f>IF('Project Database'!A336="","",N('Project Database'!AL336))</f>
        <v/>
      </c>
      <c r="BT332" s="5" t="str">
        <f>IF('Project Database'!A336="","",N('Project Database'!AM336))</f>
        <v/>
      </c>
      <c r="BU332" s="5" t="str">
        <f>IF('Project Database'!A336="","",N('Project Database'!AN336))</f>
        <v/>
      </c>
      <c r="BV332" s="5" t="str">
        <f>IF('Project Database'!A336="","",N('Project Database'!AO336))</f>
        <v/>
      </c>
      <c r="BW332" s="5" t="str">
        <f>IF('Project Database'!A336="","",N('Project Database'!AP336))</f>
        <v/>
      </c>
      <c r="BX332" s="5">
        <f t="shared" si="82"/>
        <v>0</v>
      </c>
      <c r="BY332" s="5">
        <f t="shared" si="83"/>
        <v>0</v>
      </c>
    </row>
    <row r="333" spans="1:77" ht="15" customHeight="1" x14ac:dyDescent="0.3">
      <c r="A333" s="66">
        <f>'Project Database'!A337</f>
        <v>0</v>
      </c>
      <c r="B333" s="66">
        <f>'Project Database'!B337</f>
        <v>0</v>
      </c>
      <c r="C333" s="66">
        <f>'Project Database'!G337</f>
        <v>0</v>
      </c>
      <c r="D333" s="66">
        <f>'Project Database'!H337</f>
        <v>0</v>
      </c>
      <c r="E333" s="66">
        <f>'Project Database'!I337</f>
        <v>0</v>
      </c>
      <c r="F333" s="66">
        <f>'Project Database'!J337</f>
        <v>0</v>
      </c>
      <c r="G333" s="66">
        <f>'Project Database'!K337</f>
        <v>0</v>
      </c>
      <c r="H333" s="66">
        <f>'Project Database'!L337</f>
        <v>0</v>
      </c>
      <c r="I333" s="66">
        <f>'Project Database'!M337</f>
        <v>0</v>
      </c>
      <c r="J333" s="66">
        <f>'Project Database'!N337</f>
        <v>0</v>
      </c>
      <c r="K333" s="66">
        <f>'Project Database'!O337</f>
        <v>0</v>
      </c>
      <c r="L333" s="66">
        <f>'Project Database'!P337</f>
        <v>0</v>
      </c>
      <c r="M333" s="66">
        <f>'Project Database'!Q337</f>
        <v>0</v>
      </c>
      <c r="N333" s="66">
        <f>'Project Database'!R337</f>
        <v>0</v>
      </c>
      <c r="O333" s="66">
        <f>'Project Database'!S337</f>
        <v>0</v>
      </c>
      <c r="P333" s="66">
        <f>'Project Database'!T337</f>
        <v>0</v>
      </c>
      <c r="Q333" s="66">
        <f>'Project Database'!U337</f>
        <v>0</v>
      </c>
      <c r="R333" s="66">
        <f>'Project Database'!V337</f>
        <v>0</v>
      </c>
      <c r="S333" s="66">
        <f>'Project Database'!W337</f>
        <v>0</v>
      </c>
      <c r="T333" s="66">
        <f>'Project Database'!X337</f>
        <v>0</v>
      </c>
      <c r="U333" s="67">
        <f>'Project Database'!Y337</f>
        <v>0</v>
      </c>
      <c r="V333" s="66">
        <f>IF('Smart Search'!B13=1,IFERROR(1/'Smart Search'!H13,0),0)</f>
        <v>0</v>
      </c>
      <c r="W333" s="66">
        <f>IF('Smart Search'!B13=1,IFERROR(1/'Smart Search'!H13,0),0)</f>
        <v>0</v>
      </c>
      <c r="X333" s="66">
        <f>IF('Smart Search'!C13=1,IFERROR(1/'Smart Search'!H13,0),0)</f>
        <v>0.5</v>
      </c>
      <c r="Y333" s="66">
        <f>IF('Smart Search'!C13=1,IFERROR(1/'Smart Search'!H13,0),0)</f>
        <v>0.5</v>
      </c>
      <c r="Z333" s="66">
        <f>IF('Smart Search'!D13=1,IFERROR(1/'Smart Search'!H13,0),0)</f>
        <v>0</v>
      </c>
      <c r="AA333" s="66">
        <f>IF('Smart Search'!D13=1,IFERROR(1/'Smart Search'!H13,0),0)</f>
        <v>0</v>
      </c>
      <c r="AB333" s="66">
        <f>IF('Smart Search'!E13=1,IFERROR(1/'Smart Search'!H13,0),0)</f>
        <v>0</v>
      </c>
      <c r="AC333" s="66">
        <f>IF('Smart Search'!E13=1,IFERROR(1/'Smart Search'!H13,0),0)</f>
        <v>0</v>
      </c>
      <c r="AD333" s="66">
        <f>IF('Smart Search'!F13=1,IFERROR(1/'Smart Search'!H13,0),0)</f>
        <v>0</v>
      </c>
      <c r="AE333" s="66">
        <f>IF('Smart Search'!F13=1,IFERROR(1/'Smart Search'!H13,0),0)</f>
        <v>0</v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>0</v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>0</v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>0</v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>0</v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>0</v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>0</v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>0</v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>0</v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>0</v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>0</v>
      </c>
      <c r="AP333" s="66">
        <f t="shared" si="70"/>
        <v>0</v>
      </c>
      <c r="AQ333" s="66">
        <f t="shared" si="71"/>
        <v>0</v>
      </c>
      <c r="AR333" s="66">
        <f t="shared" si="72"/>
        <v>0</v>
      </c>
      <c r="AS333" s="66">
        <f t="shared" si="73"/>
        <v>0</v>
      </c>
      <c r="AT333" s="66">
        <f t="shared" si="74"/>
        <v>0</v>
      </c>
      <c r="AU333" s="66">
        <f t="shared" si="75"/>
        <v>0</v>
      </c>
      <c r="AV333" s="66">
        <f t="shared" si="76"/>
        <v>0</v>
      </c>
      <c r="AW333" s="66">
        <f t="shared" si="77"/>
        <v>0</v>
      </c>
      <c r="AX333" s="66">
        <f t="shared" si="78"/>
        <v>0</v>
      </c>
      <c r="AY333" s="66">
        <f t="shared" si="79"/>
        <v>0</v>
      </c>
      <c r="AZ333" s="66">
        <f>'Project Database'!Z337</f>
        <v>0</v>
      </c>
      <c r="BA333" s="66">
        <f>IF(OR(A333="",'Smart Search'!H13=0),"",MAX(0,BE333*BF333*MAX(0,1-BG333)))</f>
        <v>0</v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>0</v>
      </c>
      <c r="BC333" s="66">
        <f>IF('Smart Search'!G13=1,IFERROR(1/'Smart Search'!H13,0),0)</f>
        <v>0</v>
      </c>
      <c r="BD333" s="66">
        <f t="shared" si="80"/>
        <v>0</v>
      </c>
      <c r="BE333" s="66">
        <f t="shared" si="81"/>
        <v>0</v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>0</v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>0</v>
      </c>
      <c r="BH333" s="5" t="str">
        <f>IF(AND('Project Database'!A337&lt;&gt;"",OR('Smart Search'!$L$5="",'Smart Search'!$L$5="All",TRIM('Project Database'!D337)=TRIM('Smart Search'!$L$5)),OR(TRIM('Smart Search'!$L$6)="",TRIM('Smart Search'!$L$6)="All",ISNUMBER(SEARCH(SUBSTITUTE(SUBSTITUTE(SUBSTITUTE(TRIM('Smart Search'!$L$6),"~","~~"),"*","~*"),"?","~?"),'Project Database'!C337))),OR('Smart Search'!$L$7="",AND('Project Database'!E337&lt;&gt;"",'Project Database'!E337='Smart Search'!$L$7)),OR('Smart Search'!$L$8="",'Smart Search'!$L$8="All",TRIM('Project Database'!F337)=TRIM('Smart Search'!$L$8))),IF(BA333="","",BA333+ROW()*0.0000000001),"")</f>
        <v/>
      </c>
      <c r="BI333" s="5" t="str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 t="str">
        <f>IF('Project Database'!A337="","",N('Project Database'!AC337))</f>
        <v/>
      </c>
      <c r="BK333" s="5" t="str">
        <f>IF('Project Database'!A337="","",N('Project Database'!AD337))</f>
        <v/>
      </c>
      <c r="BL333" s="5" t="str">
        <f>IF('Project Database'!A337="","",N('Project Database'!AE337))</f>
        <v/>
      </c>
      <c r="BM333" s="5" t="str">
        <f>IF('Project Database'!A337="","",N('Project Database'!AF337))</f>
        <v/>
      </c>
      <c r="BN333" s="5" t="str">
        <f>IF('Project Database'!A337="","",N('Project Database'!AG337))</f>
        <v/>
      </c>
      <c r="BO333" s="5" t="str">
        <f>IF('Project Database'!A337="","",N('Project Database'!AH337))</f>
        <v/>
      </c>
      <c r="BP333" s="5" t="str">
        <f>IF('Project Database'!A337="","",N('Project Database'!AI337))</f>
        <v/>
      </c>
      <c r="BQ333" s="5" t="str">
        <f>IF('Project Database'!A337="","",N('Project Database'!AJ337))</f>
        <v/>
      </c>
      <c r="BR333" s="5" t="str">
        <f>IF('Project Database'!A337="","",N('Project Database'!AK337))</f>
        <v/>
      </c>
      <c r="BS333" s="5" t="str">
        <f>IF('Project Database'!A337="","",N('Project Database'!AL337))</f>
        <v/>
      </c>
      <c r="BT333" s="5" t="str">
        <f>IF('Project Database'!A337="","",N('Project Database'!AM337))</f>
        <v/>
      </c>
      <c r="BU333" s="5" t="str">
        <f>IF('Project Database'!A337="","",N('Project Database'!AN337))</f>
        <v/>
      </c>
      <c r="BV333" s="5" t="str">
        <f>IF('Project Database'!A337="","",N('Project Database'!AO337))</f>
        <v/>
      </c>
      <c r="BW333" s="5" t="str">
        <f>IF('Project Database'!A337="","",N('Project Database'!AP337))</f>
        <v/>
      </c>
      <c r="BX333" s="5">
        <f t="shared" si="82"/>
        <v>0</v>
      </c>
      <c r="BY333" s="5">
        <f t="shared" si="83"/>
        <v>0</v>
      </c>
    </row>
    <row r="334" spans="1:77" ht="15" customHeight="1" x14ac:dyDescent="0.3">
      <c r="A334" s="66">
        <f>'Project Database'!A338</f>
        <v>0</v>
      </c>
      <c r="B334" s="66">
        <f>'Project Database'!B338</f>
        <v>0</v>
      </c>
      <c r="C334" s="66">
        <f>'Project Database'!G338</f>
        <v>0</v>
      </c>
      <c r="D334" s="66">
        <f>'Project Database'!H338</f>
        <v>0</v>
      </c>
      <c r="E334" s="66">
        <f>'Project Database'!I338</f>
        <v>0</v>
      </c>
      <c r="F334" s="66">
        <f>'Project Database'!J338</f>
        <v>0</v>
      </c>
      <c r="G334" s="66">
        <f>'Project Database'!K338</f>
        <v>0</v>
      </c>
      <c r="H334" s="66">
        <f>'Project Database'!L338</f>
        <v>0</v>
      </c>
      <c r="I334" s="66">
        <f>'Project Database'!M338</f>
        <v>0</v>
      </c>
      <c r="J334" s="66">
        <f>'Project Database'!N338</f>
        <v>0</v>
      </c>
      <c r="K334" s="66">
        <f>'Project Database'!O338</f>
        <v>0</v>
      </c>
      <c r="L334" s="66">
        <f>'Project Database'!P338</f>
        <v>0</v>
      </c>
      <c r="M334" s="66">
        <f>'Project Database'!Q338</f>
        <v>0</v>
      </c>
      <c r="N334" s="66">
        <f>'Project Database'!R338</f>
        <v>0</v>
      </c>
      <c r="O334" s="66">
        <f>'Project Database'!S338</f>
        <v>0</v>
      </c>
      <c r="P334" s="66">
        <f>'Project Database'!T338</f>
        <v>0</v>
      </c>
      <c r="Q334" s="66">
        <f>'Project Database'!U338</f>
        <v>0</v>
      </c>
      <c r="R334" s="66">
        <f>'Project Database'!V338</f>
        <v>0</v>
      </c>
      <c r="S334" s="66">
        <f>'Project Database'!W338</f>
        <v>0</v>
      </c>
      <c r="T334" s="66">
        <f>'Project Database'!X338</f>
        <v>0</v>
      </c>
      <c r="U334" s="67">
        <f>'Project Database'!Y338</f>
        <v>0</v>
      </c>
      <c r="V334" s="66">
        <f>IF('Smart Search'!B13=1,IFERROR(1/'Smart Search'!H13,0),0)</f>
        <v>0</v>
      </c>
      <c r="W334" s="66">
        <f>IF('Smart Search'!B13=1,IFERROR(1/'Smart Search'!H13,0),0)</f>
        <v>0</v>
      </c>
      <c r="X334" s="66">
        <f>IF('Smart Search'!C13=1,IFERROR(1/'Smart Search'!H13,0),0)</f>
        <v>0.5</v>
      </c>
      <c r="Y334" s="66">
        <f>IF('Smart Search'!C13=1,IFERROR(1/'Smart Search'!H13,0),0)</f>
        <v>0.5</v>
      </c>
      <c r="Z334" s="66">
        <f>IF('Smart Search'!D13=1,IFERROR(1/'Smart Search'!H13,0),0)</f>
        <v>0</v>
      </c>
      <c r="AA334" s="66">
        <f>IF('Smart Search'!D13=1,IFERROR(1/'Smart Search'!H13,0),0)</f>
        <v>0</v>
      </c>
      <c r="AB334" s="66">
        <f>IF('Smart Search'!E13=1,IFERROR(1/'Smart Search'!H13,0),0)</f>
        <v>0</v>
      </c>
      <c r="AC334" s="66">
        <f>IF('Smart Search'!E13=1,IFERROR(1/'Smart Search'!H13,0),0)</f>
        <v>0</v>
      </c>
      <c r="AD334" s="66">
        <f>IF('Smart Search'!F13=1,IFERROR(1/'Smart Search'!H13,0),0)</f>
        <v>0</v>
      </c>
      <c r="AE334" s="66">
        <f>IF('Smart Search'!F13=1,IFERROR(1/'Smart Search'!H13,0),0)</f>
        <v>0</v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>0</v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>0</v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>0</v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>0</v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>0</v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>0</v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>0</v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>0</v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>0</v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>0</v>
      </c>
      <c r="AP334" s="66">
        <f t="shared" si="70"/>
        <v>0</v>
      </c>
      <c r="AQ334" s="66">
        <f t="shared" si="71"/>
        <v>0</v>
      </c>
      <c r="AR334" s="66">
        <f t="shared" si="72"/>
        <v>0</v>
      </c>
      <c r="AS334" s="66">
        <f t="shared" si="73"/>
        <v>0</v>
      </c>
      <c r="AT334" s="66">
        <f t="shared" si="74"/>
        <v>0</v>
      </c>
      <c r="AU334" s="66">
        <f t="shared" si="75"/>
        <v>0</v>
      </c>
      <c r="AV334" s="66">
        <f t="shared" si="76"/>
        <v>0</v>
      </c>
      <c r="AW334" s="66">
        <f t="shared" si="77"/>
        <v>0</v>
      </c>
      <c r="AX334" s="66">
        <f t="shared" si="78"/>
        <v>0</v>
      </c>
      <c r="AY334" s="66">
        <f t="shared" si="79"/>
        <v>0</v>
      </c>
      <c r="AZ334" s="66">
        <f>'Project Database'!Z338</f>
        <v>0</v>
      </c>
      <c r="BA334" s="66">
        <f>IF(OR(A334="",'Smart Search'!H13=0),"",MAX(0,BE334*BF334*MAX(0,1-BG334)))</f>
        <v>0</v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>0</v>
      </c>
      <c r="BC334" s="66">
        <f>IF('Smart Search'!G13=1,IFERROR(1/'Smart Search'!H13,0),0)</f>
        <v>0</v>
      </c>
      <c r="BD334" s="66">
        <f t="shared" si="80"/>
        <v>0</v>
      </c>
      <c r="BE334" s="66">
        <f t="shared" si="81"/>
        <v>0</v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>0</v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>0</v>
      </c>
      <c r="BH334" s="5" t="str">
        <f>IF(AND('Project Database'!A338&lt;&gt;"",OR('Smart Search'!$L$5="",'Smart Search'!$L$5="All",TRIM('Project Database'!D338)=TRIM('Smart Search'!$L$5)),OR(TRIM('Smart Search'!$L$6)="",TRIM('Smart Search'!$L$6)="All",ISNUMBER(SEARCH(SUBSTITUTE(SUBSTITUTE(SUBSTITUTE(TRIM('Smart Search'!$L$6),"~","~~"),"*","~*"),"?","~?"),'Project Database'!C338))),OR('Smart Search'!$L$7="",AND('Project Database'!E338&lt;&gt;"",'Project Database'!E338='Smart Search'!$L$7)),OR('Smart Search'!$L$8="",'Smart Search'!$L$8="All",TRIM('Project Database'!F338)=TRIM('Smart Search'!$L$8))),IF(BA334="","",BA334+ROW()*0.0000000001),"")</f>
        <v/>
      </c>
      <c r="BI334" s="5" t="str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 t="str">
        <f>IF('Project Database'!A338="","",N('Project Database'!AC338))</f>
        <v/>
      </c>
      <c r="BK334" s="5" t="str">
        <f>IF('Project Database'!A338="","",N('Project Database'!AD338))</f>
        <v/>
      </c>
      <c r="BL334" s="5" t="str">
        <f>IF('Project Database'!A338="","",N('Project Database'!AE338))</f>
        <v/>
      </c>
      <c r="BM334" s="5" t="str">
        <f>IF('Project Database'!A338="","",N('Project Database'!AF338))</f>
        <v/>
      </c>
      <c r="BN334" s="5" t="str">
        <f>IF('Project Database'!A338="","",N('Project Database'!AG338))</f>
        <v/>
      </c>
      <c r="BO334" s="5" t="str">
        <f>IF('Project Database'!A338="","",N('Project Database'!AH338))</f>
        <v/>
      </c>
      <c r="BP334" s="5" t="str">
        <f>IF('Project Database'!A338="","",N('Project Database'!AI338))</f>
        <v/>
      </c>
      <c r="BQ334" s="5" t="str">
        <f>IF('Project Database'!A338="","",N('Project Database'!AJ338))</f>
        <v/>
      </c>
      <c r="BR334" s="5" t="str">
        <f>IF('Project Database'!A338="","",N('Project Database'!AK338))</f>
        <v/>
      </c>
      <c r="BS334" s="5" t="str">
        <f>IF('Project Database'!A338="","",N('Project Database'!AL338))</f>
        <v/>
      </c>
      <c r="BT334" s="5" t="str">
        <f>IF('Project Database'!A338="","",N('Project Database'!AM338))</f>
        <v/>
      </c>
      <c r="BU334" s="5" t="str">
        <f>IF('Project Database'!A338="","",N('Project Database'!AN338))</f>
        <v/>
      </c>
      <c r="BV334" s="5" t="str">
        <f>IF('Project Database'!A338="","",N('Project Database'!AO338))</f>
        <v/>
      </c>
      <c r="BW334" s="5" t="str">
        <f>IF('Project Database'!A338="","",N('Project Database'!AP338))</f>
        <v/>
      </c>
      <c r="BX334" s="5">
        <f t="shared" si="82"/>
        <v>0</v>
      </c>
      <c r="BY334" s="5">
        <f t="shared" si="83"/>
        <v>0</v>
      </c>
    </row>
    <row r="335" spans="1:77" ht="15" customHeight="1" x14ac:dyDescent="0.3">
      <c r="A335" s="66">
        <f>'Project Database'!A339</f>
        <v>0</v>
      </c>
      <c r="B335" s="66">
        <f>'Project Database'!B339</f>
        <v>0</v>
      </c>
      <c r="C335" s="66">
        <f>'Project Database'!G339</f>
        <v>0</v>
      </c>
      <c r="D335" s="66">
        <f>'Project Database'!H339</f>
        <v>0</v>
      </c>
      <c r="E335" s="66">
        <f>'Project Database'!I339</f>
        <v>0</v>
      </c>
      <c r="F335" s="66">
        <f>'Project Database'!J339</f>
        <v>0</v>
      </c>
      <c r="G335" s="66">
        <f>'Project Database'!K339</f>
        <v>0</v>
      </c>
      <c r="H335" s="66">
        <f>'Project Database'!L339</f>
        <v>0</v>
      </c>
      <c r="I335" s="66">
        <f>'Project Database'!M339</f>
        <v>0</v>
      </c>
      <c r="J335" s="66">
        <f>'Project Database'!N339</f>
        <v>0</v>
      </c>
      <c r="K335" s="66">
        <f>'Project Database'!O339</f>
        <v>0</v>
      </c>
      <c r="L335" s="66">
        <f>'Project Database'!P339</f>
        <v>0</v>
      </c>
      <c r="M335" s="66">
        <f>'Project Database'!Q339</f>
        <v>0</v>
      </c>
      <c r="N335" s="66">
        <f>'Project Database'!R339</f>
        <v>0</v>
      </c>
      <c r="O335" s="66">
        <f>'Project Database'!S339</f>
        <v>0</v>
      </c>
      <c r="P335" s="66">
        <f>'Project Database'!T339</f>
        <v>0</v>
      </c>
      <c r="Q335" s="66">
        <f>'Project Database'!U339</f>
        <v>0</v>
      </c>
      <c r="R335" s="66">
        <f>'Project Database'!V339</f>
        <v>0</v>
      </c>
      <c r="S335" s="66">
        <f>'Project Database'!W339</f>
        <v>0</v>
      </c>
      <c r="T335" s="66">
        <f>'Project Database'!X339</f>
        <v>0</v>
      </c>
      <c r="U335" s="67">
        <f>'Project Database'!Y339</f>
        <v>0</v>
      </c>
      <c r="V335" s="66">
        <f>IF('Smart Search'!B13=1,IFERROR(1/'Smart Search'!H13,0),0)</f>
        <v>0</v>
      </c>
      <c r="W335" s="66">
        <f>IF('Smart Search'!B13=1,IFERROR(1/'Smart Search'!H13,0),0)</f>
        <v>0</v>
      </c>
      <c r="X335" s="66">
        <f>IF('Smart Search'!C13=1,IFERROR(1/'Smart Search'!H13,0),0)</f>
        <v>0.5</v>
      </c>
      <c r="Y335" s="66">
        <f>IF('Smart Search'!C13=1,IFERROR(1/'Smart Search'!H13,0),0)</f>
        <v>0.5</v>
      </c>
      <c r="Z335" s="66">
        <f>IF('Smart Search'!D13=1,IFERROR(1/'Smart Search'!H13,0),0)</f>
        <v>0</v>
      </c>
      <c r="AA335" s="66">
        <f>IF('Smart Search'!D13=1,IFERROR(1/'Smart Search'!H13,0),0)</f>
        <v>0</v>
      </c>
      <c r="AB335" s="66">
        <f>IF('Smart Search'!E13=1,IFERROR(1/'Smart Search'!H13,0),0)</f>
        <v>0</v>
      </c>
      <c r="AC335" s="66">
        <f>IF('Smart Search'!E13=1,IFERROR(1/'Smart Search'!H13,0),0)</f>
        <v>0</v>
      </c>
      <c r="AD335" s="66">
        <f>IF('Smart Search'!F13=1,IFERROR(1/'Smart Search'!H13,0),0)</f>
        <v>0</v>
      </c>
      <c r="AE335" s="66">
        <f>IF('Smart Search'!F13=1,IFERROR(1/'Smart Search'!H13,0),0)</f>
        <v>0</v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>0</v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>0</v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>0</v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>0</v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>0</v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>0</v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>0</v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>0</v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>0</v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>0</v>
      </c>
      <c r="AP335" s="66">
        <f t="shared" si="70"/>
        <v>0</v>
      </c>
      <c r="AQ335" s="66">
        <f t="shared" si="71"/>
        <v>0</v>
      </c>
      <c r="AR335" s="66">
        <f t="shared" si="72"/>
        <v>0</v>
      </c>
      <c r="AS335" s="66">
        <f t="shared" si="73"/>
        <v>0</v>
      </c>
      <c r="AT335" s="66">
        <f t="shared" si="74"/>
        <v>0</v>
      </c>
      <c r="AU335" s="66">
        <f t="shared" si="75"/>
        <v>0</v>
      </c>
      <c r="AV335" s="66">
        <f t="shared" si="76"/>
        <v>0</v>
      </c>
      <c r="AW335" s="66">
        <f t="shared" si="77"/>
        <v>0</v>
      </c>
      <c r="AX335" s="66">
        <f t="shared" si="78"/>
        <v>0</v>
      </c>
      <c r="AY335" s="66">
        <f t="shared" si="79"/>
        <v>0</v>
      </c>
      <c r="AZ335" s="66">
        <f>'Project Database'!Z339</f>
        <v>0</v>
      </c>
      <c r="BA335" s="66">
        <f>IF(OR(A335="",'Smart Search'!H13=0),"",MAX(0,BE335*BF335*MAX(0,1-BG335)))</f>
        <v>0</v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>0</v>
      </c>
      <c r="BC335" s="66">
        <f>IF('Smart Search'!G13=1,IFERROR(1/'Smart Search'!H13,0),0)</f>
        <v>0</v>
      </c>
      <c r="BD335" s="66">
        <f t="shared" si="80"/>
        <v>0</v>
      </c>
      <c r="BE335" s="66">
        <f t="shared" si="81"/>
        <v>0</v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>0</v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>0</v>
      </c>
      <c r="BH335" s="5" t="str">
        <f>IF(AND('Project Database'!A339&lt;&gt;"",OR('Smart Search'!$L$5="",'Smart Search'!$L$5="All",TRIM('Project Database'!D339)=TRIM('Smart Search'!$L$5)),OR(TRIM('Smart Search'!$L$6)="",TRIM('Smart Search'!$L$6)="All",ISNUMBER(SEARCH(SUBSTITUTE(SUBSTITUTE(SUBSTITUTE(TRIM('Smart Search'!$L$6),"~","~~"),"*","~*"),"?","~?"),'Project Database'!C339))),OR('Smart Search'!$L$7="",AND('Project Database'!E339&lt;&gt;"",'Project Database'!E339='Smart Search'!$L$7)),OR('Smart Search'!$L$8="",'Smart Search'!$L$8="All",TRIM('Project Database'!F339)=TRIM('Smart Search'!$L$8))),IF(BA335="","",BA335+ROW()*0.0000000001),"")</f>
        <v/>
      </c>
      <c r="BI335" s="5" t="str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 t="str">
        <f>IF('Project Database'!A339="","",N('Project Database'!AC339))</f>
        <v/>
      </c>
      <c r="BK335" s="5" t="str">
        <f>IF('Project Database'!A339="","",N('Project Database'!AD339))</f>
        <v/>
      </c>
      <c r="BL335" s="5" t="str">
        <f>IF('Project Database'!A339="","",N('Project Database'!AE339))</f>
        <v/>
      </c>
      <c r="BM335" s="5" t="str">
        <f>IF('Project Database'!A339="","",N('Project Database'!AF339))</f>
        <v/>
      </c>
      <c r="BN335" s="5" t="str">
        <f>IF('Project Database'!A339="","",N('Project Database'!AG339))</f>
        <v/>
      </c>
      <c r="BO335" s="5" t="str">
        <f>IF('Project Database'!A339="","",N('Project Database'!AH339))</f>
        <v/>
      </c>
      <c r="BP335" s="5" t="str">
        <f>IF('Project Database'!A339="","",N('Project Database'!AI339))</f>
        <v/>
      </c>
      <c r="BQ335" s="5" t="str">
        <f>IF('Project Database'!A339="","",N('Project Database'!AJ339))</f>
        <v/>
      </c>
      <c r="BR335" s="5" t="str">
        <f>IF('Project Database'!A339="","",N('Project Database'!AK339))</f>
        <v/>
      </c>
      <c r="BS335" s="5" t="str">
        <f>IF('Project Database'!A339="","",N('Project Database'!AL339))</f>
        <v/>
      </c>
      <c r="BT335" s="5" t="str">
        <f>IF('Project Database'!A339="","",N('Project Database'!AM339))</f>
        <v/>
      </c>
      <c r="BU335" s="5" t="str">
        <f>IF('Project Database'!A339="","",N('Project Database'!AN339))</f>
        <v/>
      </c>
      <c r="BV335" s="5" t="str">
        <f>IF('Project Database'!A339="","",N('Project Database'!AO339))</f>
        <v/>
      </c>
      <c r="BW335" s="5" t="str">
        <f>IF('Project Database'!A339="","",N('Project Database'!AP339))</f>
        <v/>
      </c>
      <c r="BX335" s="5">
        <f t="shared" si="82"/>
        <v>0</v>
      </c>
      <c r="BY335" s="5">
        <f t="shared" si="83"/>
        <v>0</v>
      </c>
    </row>
    <row r="336" spans="1:77" ht="15" customHeight="1" x14ac:dyDescent="0.3">
      <c r="A336" s="66">
        <f>'Project Database'!A340</f>
        <v>0</v>
      </c>
      <c r="B336" s="66">
        <f>'Project Database'!B340</f>
        <v>0</v>
      </c>
      <c r="C336" s="66">
        <f>'Project Database'!G340</f>
        <v>0</v>
      </c>
      <c r="D336" s="66">
        <f>'Project Database'!H340</f>
        <v>0</v>
      </c>
      <c r="E336" s="66">
        <f>'Project Database'!I340</f>
        <v>0</v>
      </c>
      <c r="F336" s="66">
        <f>'Project Database'!J340</f>
        <v>0</v>
      </c>
      <c r="G336" s="66">
        <f>'Project Database'!K340</f>
        <v>0</v>
      </c>
      <c r="H336" s="66">
        <f>'Project Database'!L340</f>
        <v>0</v>
      </c>
      <c r="I336" s="66">
        <f>'Project Database'!M340</f>
        <v>0</v>
      </c>
      <c r="J336" s="66">
        <f>'Project Database'!N340</f>
        <v>0</v>
      </c>
      <c r="K336" s="66">
        <f>'Project Database'!O340</f>
        <v>0</v>
      </c>
      <c r="L336" s="66">
        <f>'Project Database'!P340</f>
        <v>0</v>
      </c>
      <c r="M336" s="66">
        <f>'Project Database'!Q340</f>
        <v>0</v>
      </c>
      <c r="N336" s="66">
        <f>'Project Database'!R340</f>
        <v>0</v>
      </c>
      <c r="O336" s="66">
        <f>'Project Database'!S340</f>
        <v>0</v>
      </c>
      <c r="P336" s="66">
        <f>'Project Database'!T340</f>
        <v>0</v>
      </c>
      <c r="Q336" s="66">
        <f>'Project Database'!U340</f>
        <v>0</v>
      </c>
      <c r="R336" s="66">
        <f>'Project Database'!V340</f>
        <v>0</v>
      </c>
      <c r="S336" s="66">
        <f>'Project Database'!W340</f>
        <v>0</v>
      </c>
      <c r="T336" s="66">
        <f>'Project Database'!X340</f>
        <v>0</v>
      </c>
      <c r="U336" s="67">
        <f>'Project Database'!Y340</f>
        <v>0</v>
      </c>
      <c r="V336" s="66">
        <f>IF('Smart Search'!B13=1,IFERROR(1/'Smart Search'!H13,0),0)</f>
        <v>0</v>
      </c>
      <c r="W336" s="66">
        <f>IF('Smart Search'!B13=1,IFERROR(1/'Smart Search'!H13,0),0)</f>
        <v>0</v>
      </c>
      <c r="X336" s="66">
        <f>IF('Smart Search'!C13=1,IFERROR(1/'Smart Search'!H13,0),0)</f>
        <v>0.5</v>
      </c>
      <c r="Y336" s="66">
        <f>IF('Smart Search'!C13=1,IFERROR(1/'Smart Search'!H13,0),0)</f>
        <v>0.5</v>
      </c>
      <c r="Z336" s="66">
        <f>IF('Smart Search'!D13=1,IFERROR(1/'Smart Search'!H13,0),0)</f>
        <v>0</v>
      </c>
      <c r="AA336" s="66">
        <f>IF('Smart Search'!D13=1,IFERROR(1/'Smart Search'!H13,0),0)</f>
        <v>0</v>
      </c>
      <c r="AB336" s="66">
        <f>IF('Smart Search'!E13=1,IFERROR(1/'Smart Search'!H13,0),0)</f>
        <v>0</v>
      </c>
      <c r="AC336" s="66">
        <f>IF('Smart Search'!E13=1,IFERROR(1/'Smart Search'!H13,0),0)</f>
        <v>0</v>
      </c>
      <c r="AD336" s="66">
        <f>IF('Smart Search'!F13=1,IFERROR(1/'Smart Search'!H13,0),0)</f>
        <v>0</v>
      </c>
      <c r="AE336" s="66">
        <f>IF('Smart Search'!F13=1,IFERROR(1/'Smart Search'!H13,0),0)</f>
        <v>0</v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>0</v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>0</v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>0</v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>0</v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>0</v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>0</v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>0</v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>0</v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>0</v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>0</v>
      </c>
      <c r="AP336" s="66">
        <f t="shared" si="70"/>
        <v>0</v>
      </c>
      <c r="AQ336" s="66">
        <f t="shared" si="71"/>
        <v>0</v>
      </c>
      <c r="AR336" s="66">
        <f t="shared" si="72"/>
        <v>0</v>
      </c>
      <c r="AS336" s="66">
        <f t="shared" si="73"/>
        <v>0</v>
      </c>
      <c r="AT336" s="66">
        <f t="shared" si="74"/>
        <v>0</v>
      </c>
      <c r="AU336" s="66">
        <f t="shared" si="75"/>
        <v>0</v>
      </c>
      <c r="AV336" s="66">
        <f t="shared" si="76"/>
        <v>0</v>
      </c>
      <c r="AW336" s="66">
        <f t="shared" si="77"/>
        <v>0</v>
      </c>
      <c r="AX336" s="66">
        <f t="shared" si="78"/>
        <v>0</v>
      </c>
      <c r="AY336" s="66">
        <f t="shared" si="79"/>
        <v>0</v>
      </c>
      <c r="AZ336" s="66">
        <f>'Project Database'!Z340</f>
        <v>0</v>
      </c>
      <c r="BA336" s="66">
        <f>IF(OR(A336="",'Smart Search'!H13=0),"",MAX(0,BE336*BF336*MAX(0,1-BG336)))</f>
        <v>0</v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>0</v>
      </c>
      <c r="BC336" s="66">
        <f>IF('Smart Search'!G13=1,IFERROR(1/'Smart Search'!H13,0),0)</f>
        <v>0</v>
      </c>
      <c r="BD336" s="66">
        <f t="shared" si="80"/>
        <v>0</v>
      </c>
      <c r="BE336" s="66">
        <f t="shared" si="81"/>
        <v>0</v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>0</v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>0</v>
      </c>
      <c r="BH336" s="5" t="str">
        <f>IF(AND('Project Database'!A340&lt;&gt;"",OR('Smart Search'!$L$5="",'Smart Search'!$L$5="All",TRIM('Project Database'!D340)=TRIM('Smart Search'!$L$5)),OR(TRIM('Smart Search'!$L$6)="",TRIM('Smart Search'!$L$6)="All",ISNUMBER(SEARCH(SUBSTITUTE(SUBSTITUTE(SUBSTITUTE(TRIM('Smart Search'!$L$6),"~","~~"),"*","~*"),"?","~?"),'Project Database'!C340))),OR('Smart Search'!$L$7="",AND('Project Database'!E340&lt;&gt;"",'Project Database'!E340='Smart Search'!$L$7)),OR('Smart Search'!$L$8="",'Smart Search'!$L$8="All",TRIM('Project Database'!F340)=TRIM('Smart Search'!$L$8))),IF(BA336="","",BA336+ROW()*0.0000000001),"")</f>
        <v/>
      </c>
      <c r="BI336" s="5" t="str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 t="str">
        <f>IF('Project Database'!A340="","",N('Project Database'!AC340))</f>
        <v/>
      </c>
      <c r="BK336" s="5" t="str">
        <f>IF('Project Database'!A340="","",N('Project Database'!AD340))</f>
        <v/>
      </c>
      <c r="BL336" s="5" t="str">
        <f>IF('Project Database'!A340="","",N('Project Database'!AE340))</f>
        <v/>
      </c>
      <c r="BM336" s="5" t="str">
        <f>IF('Project Database'!A340="","",N('Project Database'!AF340))</f>
        <v/>
      </c>
      <c r="BN336" s="5" t="str">
        <f>IF('Project Database'!A340="","",N('Project Database'!AG340))</f>
        <v/>
      </c>
      <c r="BO336" s="5" t="str">
        <f>IF('Project Database'!A340="","",N('Project Database'!AH340))</f>
        <v/>
      </c>
      <c r="BP336" s="5" t="str">
        <f>IF('Project Database'!A340="","",N('Project Database'!AI340))</f>
        <v/>
      </c>
      <c r="BQ336" s="5" t="str">
        <f>IF('Project Database'!A340="","",N('Project Database'!AJ340))</f>
        <v/>
      </c>
      <c r="BR336" s="5" t="str">
        <f>IF('Project Database'!A340="","",N('Project Database'!AK340))</f>
        <v/>
      </c>
      <c r="BS336" s="5" t="str">
        <f>IF('Project Database'!A340="","",N('Project Database'!AL340))</f>
        <v/>
      </c>
      <c r="BT336" s="5" t="str">
        <f>IF('Project Database'!A340="","",N('Project Database'!AM340))</f>
        <v/>
      </c>
      <c r="BU336" s="5" t="str">
        <f>IF('Project Database'!A340="","",N('Project Database'!AN340))</f>
        <v/>
      </c>
      <c r="BV336" s="5" t="str">
        <f>IF('Project Database'!A340="","",N('Project Database'!AO340))</f>
        <v/>
      </c>
      <c r="BW336" s="5" t="str">
        <f>IF('Project Database'!A340="","",N('Project Database'!AP340))</f>
        <v/>
      </c>
      <c r="BX336" s="5">
        <f t="shared" si="82"/>
        <v>0</v>
      </c>
      <c r="BY336" s="5">
        <f t="shared" si="83"/>
        <v>0</v>
      </c>
    </row>
    <row r="337" spans="1:77" ht="15" customHeight="1" x14ac:dyDescent="0.3">
      <c r="A337" s="66">
        <f>'Project Database'!A341</f>
        <v>0</v>
      </c>
      <c r="B337" s="66">
        <f>'Project Database'!B341</f>
        <v>0</v>
      </c>
      <c r="C337" s="66">
        <f>'Project Database'!G341</f>
        <v>0</v>
      </c>
      <c r="D337" s="66">
        <f>'Project Database'!H341</f>
        <v>0</v>
      </c>
      <c r="E337" s="66">
        <f>'Project Database'!I341</f>
        <v>0</v>
      </c>
      <c r="F337" s="66">
        <f>'Project Database'!J341</f>
        <v>0</v>
      </c>
      <c r="G337" s="66">
        <f>'Project Database'!K341</f>
        <v>0</v>
      </c>
      <c r="H337" s="66">
        <f>'Project Database'!L341</f>
        <v>0</v>
      </c>
      <c r="I337" s="66">
        <f>'Project Database'!M341</f>
        <v>0</v>
      </c>
      <c r="J337" s="66">
        <f>'Project Database'!N341</f>
        <v>0</v>
      </c>
      <c r="K337" s="66">
        <f>'Project Database'!O341</f>
        <v>0</v>
      </c>
      <c r="L337" s="66">
        <f>'Project Database'!P341</f>
        <v>0</v>
      </c>
      <c r="M337" s="66">
        <f>'Project Database'!Q341</f>
        <v>0</v>
      </c>
      <c r="N337" s="66">
        <f>'Project Database'!R341</f>
        <v>0</v>
      </c>
      <c r="O337" s="66">
        <f>'Project Database'!S341</f>
        <v>0</v>
      </c>
      <c r="P337" s="66">
        <f>'Project Database'!T341</f>
        <v>0</v>
      </c>
      <c r="Q337" s="66">
        <f>'Project Database'!U341</f>
        <v>0</v>
      </c>
      <c r="R337" s="66">
        <f>'Project Database'!V341</f>
        <v>0</v>
      </c>
      <c r="S337" s="66">
        <f>'Project Database'!W341</f>
        <v>0</v>
      </c>
      <c r="T337" s="66">
        <f>'Project Database'!X341</f>
        <v>0</v>
      </c>
      <c r="U337" s="67">
        <f>'Project Database'!Y341</f>
        <v>0</v>
      </c>
      <c r="V337" s="66">
        <f>IF('Smart Search'!B13=1,IFERROR(1/'Smart Search'!H13,0),0)</f>
        <v>0</v>
      </c>
      <c r="W337" s="66">
        <f>IF('Smart Search'!B13=1,IFERROR(1/'Smart Search'!H13,0),0)</f>
        <v>0</v>
      </c>
      <c r="X337" s="66">
        <f>IF('Smart Search'!C13=1,IFERROR(1/'Smart Search'!H13,0),0)</f>
        <v>0.5</v>
      </c>
      <c r="Y337" s="66">
        <f>IF('Smart Search'!C13=1,IFERROR(1/'Smart Search'!H13,0),0)</f>
        <v>0.5</v>
      </c>
      <c r="Z337" s="66">
        <f>IF('Smart Search'!D13=1,IFERROR(1/'Smart Search'!H13,0),0)</f>
        <v>0</v>
      </c>
      <c r="AA337" s="66">
        <f>IF('Smart Search'!D13=1,IFERROR(1/'Smart Search'!H13,0),0)</f>
        <v>0</v>
      </c>
      <c r="AB337" s="66">
        <f>IF('Smart Search'!E13=1,IFERROR(1/'Smart Search'!H13,0),0)</f>
        <v>0</v>
      </c>
      <c r="AC337" s="66">
        <f>IF('Smart Search'!E13=1,IFERROR(1/'Smart Search'!H13,0),0)</f>
        <v>0</v>
      </c>
      <c r="AD337" s="66">
        <f>IF('Smart Search'!F13=1,IFERROR(1/'Smart Search'!H13,0),0)</f>
        <v>0</v>
      </c>
      <c r="AE337" s="66">
        <f>IF('Smart Search'!F13=1,IFERROR(1/'Smart Search'!H13,0),0)</f>
        <v>0</v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>0</v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>0</v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>0</v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>0</v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>0</v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>0</v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>0</v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>0</v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>0</v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>0</v>
      </c>
      <c r="AP337" s="66">
        <f t="shared" si="70"/>
        <v>0</v>
      </c>
      <c r="AQ337" s="66">
        <f t="shared" si="71"/>
        <v>0</v>
      </c>
      <c r="AR337" s="66">
        <f t="shared" si="72"/>
        <v>0</v>
      </c>
      <c r="AS337" s="66">
        <f t="shared" si="73"/>
        <v>0</v>
      </c>
      <c r="AT337" s="66">
        <f t="shared" si="74"/>
        <v>0</v>
      </c>
      <c r="AU337" s="66">
        <f t="shared" si="75"/>
        <v>0</v>
      </c>
      <c r="AV337" s="66">
        <f t="shared" si="76"/>
        <v>0</v>
      </c>
      <c r="AW337" s="66">
        <f t="shared" si="77"/>
        <v>0</v>
      </c>
      <c r="AX337" s="66">
        <f t="shared" si="78"/>
        <v>0</v>
      </c>
      <c r="AY337" s="66">
        <f t="shared" si="79"/>
        <v>0</v>
      </c>
      <c r="AZ337" s="66">
        <f>'Project Database'!Z341</f>
        <v>0</v>
      </c>
      <c r="BA337" s="66">
        <f>IF(OR(A337="",'Smart Search'!H13=0),"",MAX(0,BE337*BF337*MAX(0,1-BG337)))</f>
        <v>0</v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>0</v>
      </c>
      <c r="BC337" s="66">
        <f>IF('Smart Search'!G13=1,IFERROR(1/'Smart Search'!H13,0),0)</f>
        <v>0</v>
      </c>
      <c r="BD337" s="66">
        <f t="shared" si="80"/>
        <v>0</v>
      </c>
      <c r="BE337" s="66">
        <f t="shared" si="81"/>
        <v>0</v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>0</v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>0</v>
      </c>
      <c r="BH337" s="5" t="str">
        <f>IF(AND('Project Database'!A341&lt;&gt;"",OR('Smart Search'!$L$5="",'Smart Search'!$L$5="All",TRIM('Project Database'!D341)=TRIM('Smart Search'!$L$5)),OR(TRIM('Smart Search'!$L$6)="",TRIM('Smart Search'!$L$6)="All",ISNUMBER(SEARCH(SUBSTITUTE(SUBSTITUTE(SUBSTITUTE(TRIM('Smart Search'!$L$6),"~","~~"),"*","~*"),"?","~?"),'Project Database'!C341))),OR('Smart Search'!$L$7="",AND('Project Database'!E341&lt;&gt;"",'Project Database'!E341='Smart Search'!$L$7)),OR('Smart Search'!$L$8="",'Smart Search'!$L$8="All",TRIM('Project Database'!F341)=TRIM('Smart Search'!$L$8))),IF(BA337="","",BA337+ROW()*0.0000000001),"")</f>
        <v/>
      </c>
      <c r="BI337" s="5" t="str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 t="str">
        <f>IF('Project Database'!A341="","",N('Project Database'!AC341))</f>
        <v/>
      </c>
      <c r="BK337" s="5" t="str">
        <f>IF('Project Database'!A341="","",N('Project Database'!AD341))</f>
        <v/>
      </c>
      <c r="BL337" s="5" t="str">
        <f>IF('Project Database'!A341="","",N('Project Database'!AE341))</f>
        <v/>
      </c>
      <c r="BM337" s="5" t="str">
        <f>IF('Project Database'!A341="","",N('Project Database'!AF341))</f>
        <v/>
      </c>
      <c r="BN337" s="5" t="str">
        <f>IF('Project Database'!A341="","",N('Project Database'!AG341))</f>
        <v/>
      </c>
      <c r="BO337" s="5" t="str">
        <f>IF('Project Database'!A341="","",N('Project Database'!AH341))</f>
        <v/>
      </c>
      <c r="BP337" s="5" t="str">
        <f>IF('Project Database'!A341="","",N('Project Database'!AI341))</f>
        <v/>
      </c>
      <c r="BQ337" s="5" t="str">
        <f>IF('Project Database'!A341="","",N('Project Database'!AJ341))</f>
        <v/>
      </c>
      <c r="BR337" s="5" t="str">
        <f>IF('Project Database'!A341="","",N('Project Database'!AK341))</f>
        <v/>
      </c>
      <c r="BS337" s="5" t="str">
        <f>IF('Project Database'!A341="","",N('Project Database'!AL341))</f>
        <v/>
      </c>
      <c r="BT337" s="5" t="str">
        <f>IF('Project Database'!A341="","",N('Project Database'!AM341))</f>
        <v/>
      </c>
      <c r="BU337" s="5" t="str">
        <f>IF('Project Database'!A341="","",N('Project Database'!AN341))</f>
        <v/>
      </c>
      <c r="BV337" s="5" t="str">
        <f>IF('Project Database'!A341="","",N('Project Database'!AO341))</f>
        <v/>
      </c>
      <c r="BW337" s="5" t="str">
        <f>IF('Project Database'!A341="","",N('Project Database'!AP341))</f>
        <v/>
      </c>
      <c r="BX337" s="5">
        <f t="shared" si="82"/>
        <v>0</v>
      </c>
      <c r="BY337" s="5">
        <f t="shared" si="83"/>
        <v>0</v>
      </c>
    </row>
    <row r="338" spans="1:77" ht="15" customHeight="1" x14ac:dyDescent="0.3">
      <c r="A338" s="66">
        <f>'Project Database'!A342</f>
        <v>0</v>
      </c>
      <c r="B338" s="66">
        <f>'Project Database'!B342</f>
        <v>0</v>
      </c>
      <c r="C338" s="66">
        <f>'Project Database'!G342</f>
        <v>0</v>
      </c>
      <c r="D338" s="66">
        <f>'Project Database'!H342</f>
        <v>0</v>
      </c>
      <c r="E338" s="66">
        <f>'Project Database'!I342</f>
        <v>0</v>
      </c>
      <c r="F338" s="66">
        <f>'Project Database'!J342</f>
        <v>0</v>
      </c>
      <c r="G338" s="66">
        <f>'Project Database'!K342</f>
        <v>0</v>
      </c>
      <c r="H338" s="66">
        <f>'Project Database'!L342</f>
        <v>0</v>
      </c>
      <c r="I338" s="66">
        <f>'Project Database'!M342</f>
        <v>0</v>
      </c>
      <c r="J338" s="66">
        <f>'Project Database'!N342</f>
        <v>0</v>
      </c>
      <c r="K338" s="66">
        <f>'Project Database'!O342</f>
        <v>0</v>
      </c>
      <c r="L338" s="66">
        <f>'Project Database'!P342</f>
        <v>0</v>
      </c>
      <c r="M338" s="66">
        <f>'Project Database'!Q342</f>
        <v>0</v>
      </c>
      <c r="N338" s="66">
        <f>'Project Database'!R342</f>
        <v>0</v>
      </c>
      <c r="O338" s="66">
        <f>'Project Database'!S342</f>
        <v>0</v>
      </c>
      <c r="P338" s="66">
        <f>'Project Database'!T342</f>
        <v>0</v>
      </c>
      <c r="Q338" s="66">
        <f>'Project Database'!U342</f>
        <v>0</v>
      </c>
      <c r="R338" s="66">
        <f>'Project Database'!V342</f>
        <v>0</v>
      </c>
      <c r="S338" s="66">
        <f>'Project Database'!W342</f>
        <v>0</v>
      </c>
      <c r="T338" s="66">
        <f>'Project Database'!X342</f>
        <v>0</v>
      </c>
      <c r="U338" s="67">
        <f>'Project Database'!Y342</f>
        <v>0</v>
      </c>
      <c r="V338" s="66">
        <f>IF('Smart Search'!B13=1,IFERROR(1/'Smart Search'!H13,0),0)</f>
        <v>0</v>
      </c>
      <c r="W338" s="66">
        <f>IF('Smart Search'!B13=1,IFERROR(1/'Smart Search'!H13,0),0)</f>
        <v>0</v>
      </c>
      <c r="X338" s="66">
        <f>IF('Smart Search'!C13=1,IFERROR(1/'Smart Search'!H13,0),0)</f>
        <v>0.5</v>
      </c>
      <c r="Y338" s="66">
        <f>IF('Smart Search'!C13=1,IFERROR(1/'Smart Search'!H13,0),0)</f>
        <v>0.5</v>
      </c>
      <c r="Z338" s="66">
        <f>IF('Smart Search'!D13=1,IFERROR(1/'Smart Search'!H13,0),0)</f>
        <v>0</v>
      </c>
      <c r="AA338" s="66">
        <f>IF('Smart Search'!D13=1,IFERROR(1/'Smart Search'!H13,0),0)</f>
        <v>0</v>
      </c>
      <c r="AB338" s="66">
        <f>IF('Smart Search'!E13=1,IFERROR(1/'Smart Search'!H13,0),0)</f>
        <v>0</v>
      </c>
      <c r="AC338" s="66">
        <f>IF('Smart Search'!E13=1,IFERROR(1/'Smart Search'!H13,0),0)</f>
        <v>0</v>
      </c>
      <c r="AD338" s="66">
        <f>IF('Smart Search'!F13=1,IFERROR(1/'Smart Search'!H13,0),0)</f>
        <v>0</v>
      </c>
      <c r="AE338" s="66">
        <f>IF('Smart Search'!F13=1,IFERROR(1/'Smart Search'!H13,0),0)</f>
        <v>0</v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>0</v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>0</v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>0</v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>0</v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>0</v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>0</v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>0</v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>0</v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>0</v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>0</v>
      </c>
      <c r="AP338" s="66">
        <f t="shared" si="70"/>
        <v>0</v>
      </c>
      <c r="AQ338" s="66">
        <f t="shared" si="71"/>
        <v>0</v>
      </c>
      <c r="AR338" s="66">
        <f t="shared" si="72"/>
        <v>0</v>
      </c>
      <c r="AS338" s="66">
        <f t="shared" si="73"/>
        <v>0</v>
      </c>
      <c r="AT338" s="66">
        <f t="shared" si="74"/>
        <v>0</v>
      </c>
      <c r="AU338" s="66">
        <f t="shared" si="75"/>
        <v>0</v>
      </c>
      <c r="AV338" s="66">
        <f t="shared" si="76"/>
        <v>0</v>
      </c>
      <c r="AW338" s="66">
        <f t="shared" si="77"/>
        <v>0</v>
      </c>
      <c r="AX338" s="66">
        <f t="shared" si="78"/>
        <v>0</v>
      </c>
      <c r="AY338" s="66">
        <f t="shared" si="79"/>
        <v>0</v>
      </c>
      <c r="AZ338" s="66">
        <f>'Project Database'!Z342</f>
        <v>0</v>
      </c>
      <c r="BA338" s="66">
        <f>IF(OR(A338="",'Smart Search'!H13=0),"",MAX(0,BE338*BF338*MAX(0,1-BG338)))</f>
        <v>0</v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>0</v>
      </c>
      <c r="BC338" s="66">
        <f>IF('Smart Search'!G13=1,IFERROR(1/'Smart Search'!H13,0),0)</f>
        <v>0</v>
      </c>
      <c r="BD338" s="66">
        <f t="shared" si="80"/>
        <v>0</v>
      </c>
      <c r="BE338" s="66">
        <f t="shared" si="81"/>
        <v>0</v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>0</v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>0</v>
      </c>
      <c r="BH338" s="5" t="str">
        <f>IF(AND('Project Database'!A342&lt;&gt;"",OR('Smart Search'!$L$5="",'Smart Search'!$L$5="All",TRIM('Project Database'!D342)=TRIM('Smart Search'!$L$5)),OR(TRIM('Smart Search'!$L$6)="",TRIM('Smart Search'!$L$6)="All",ISNUMBER(SEARCH(SUBSTITUTE(SUBSTITUTE(SUBSTITUTE(TRIM('Smart Search'!$L$6),"~","~~"),"*","~*"),"?","~?"),'Project Database'!C342))),OR('Smart Search'!$L$7="",AND('Project Database'!E342&lt;&gt;"",'Project Database'!E342='Smart Search'!$L$7)),OR('Smart Search'!$L$8="",'Smart Search'!$L$8="All",TRIM('Project Database'!F342)=TRIM('Smart Search'!$L$8))),IF(BA338="","",BA338+ROW()*0.0000000001),"")</f>
        <v/>
      </c>
      <c r="BI338" s="5" t="str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 t="str">
        <f>IF('Project Database'!A342="","",N('Project Database'!AC342))</f>
        <v/>
      </c>
      <c r="BK338" s="5" t="str">
        <f>IF('Project Database'!A342="","",N('Project Database'!AD342))</f>
        <v/>
      </c>
      <c r="BL338" s="5" t="str">
        <f>IF('Project Database'!A342="","",N('Project Database'!AE342))</f>
        <v/>
      </c>
      <c r="BM338" s="5" t="str">
        <f>IF('Project Database'!A342="","",N('Project Database'!AF342))</f>
        <v/>
      </c>
      <c r="BN338" s="5" t="str">
        <f>IF('Project Database'!A342="","",N('Project Database'!AG342))</f>
        <v/>
      </c>
      <c r="BO338" s="5" t="str">
        <f>IF('Project Database'!A342="","",N('Project Database'!AH342))</f>
        <v/>
      </c>
      <c r="BP338" s="5" t="str">
        <f>IF('Project Database'!A342="","",N('Project Database'!AI342))</f>
        <v/>
      </c>
      <c r="BQ338" s="5" t="str">
        <f>IF('Project Database'!A342="","",N('Project Database'!AJ342))</f>
        <v/>
      </c>
      <c r="BR338" s="5" t="str">
        <f>IF('Project Database'!A342="","",N('Project Database'!AK342))</f>
        <v/>
      </c>
      <c r="BS338" s="5" t="str">
        <f>IF('Project Database'!A342="","",N('Project Database'!AL342))</f>
        <v/>
      </c>
      <c r="BT338" s="5" t="str">
        <f>IF('Project Database'!A342="","",N('Project Database'!AM342))</f>
        <v/>
      </c>
      <c r="BU338" s="5" t="str">
        <f>IF('Project Database'!A342="","",N('Project Database'!AN342))</f>
        <v/>
      </c>
      <c r="BV338" s="5" t="str">
        <f>IF('Project Database'!A342="","",N('Project Database'!AO342))</f>
        <v/>
      </c>
      <c r="BW338" s="5" t="str">
        <f>IF('Project Database'!A342="","",N('Project Database'!AP342))</f>
        <v/>
      </c>
      <c r="BX338" s="5">
        <f t="shared" si="82"/>
        <v>0</v>
      </c>
      <c r="BY338" s="5">
        <f t="shared" si="83"/>
        <v>0</v>
      </c>
    </row>
    <row r="339" spans="1:77" ht="15" customHeight="1" x14ac:dyDescent="0.3">
      <c r="A339" s="66">
        <f>'Project Database'!A343</f>
        <v>0</v>
      </c>
      <c r="B339" s="66">
        <f>'Project Database'!B343</f>
        <v>0</v>
      </c>
      <c r="C339" s="66">
        <f>'Project Database'!G343</f>
        <v>0</v>
      </c>
      <c r="D339" s="66">
        <f>'Project Database'!H343</f>
        <v>0</v>
      </c>
      <c r="E339" s="66">
        <f>'Project Database'!I343</f>
        <v>0</v>
      </c>
      <c r="F339" s="66">
        <f>'Project Database'!J343</f>
        <v>0</v>
      </c>
      <c r="G339" s="66">
        <f>'Project Database'!K343</f>
        <v>0</v>
      </c>
      <c r="H339" s="66">
        <f>'Project Database'!L343</f>
        <v>0</v>
      </c>
      <c r="I339" s="66">
        <f>'Project Database'!M343</f>
        <v>0</v>
      </c>
      <c r="J339" s="66">
        <f>'Project Database'!N343</f>
        <v>0</v>
      </c>
      <c r="K339" s="66">
        <f>'Project Database'!O343</f>
        <v>0</v>
      </c>
      <c r="L339" s="66">
        <f>'Project Database'!P343</f>
        <v>0</v>
      </c>
      <c r="M339" s="66">
        <f>'Project Database'!Q343</f>
        <v>0</v>
      </c>
      <c r="N339" s="66">
        <f>'Project Database'!R343</f>
        <v>0</v>
      </c>
      <c r="O339" s="66">
        <f>'Project Database'!S343</f>
        <v>0</v>
      </c>
      <c r="P339" s="66">
        <f>'Project Database'!T343</f>
        <v>0</v>
      </c>
      <c r="Q339" s="66">
        <f>'Project Database'!U343</f>
        <v>0</v>
      </c>
      <c r="R339" s="66">
        <f>'Project Database'!V343</f>
        <v>0</v>
      </c>
      <c r="S339" s="66">
        <f>'Project Database'!W343</f>
        <v>0</v>
      </c>
      <c r="T339" s="66">
        <f>'Project Database'!X343</f>
        <v>0</v>
      </c>
      <c r="U339" s="67">
        <f>'Project Database'!Y343</f>
        <v>0</v>
      </c>
      <c r="V339" s="66">
        <f>IF('Smart Search'!B13=1,IFERROR(1/'Smart Search'!H13,0),0)</f>
        <v>0</v>
      </c>
      <c r="W339" s="66">
        <f>IF('Smart Search'!B13=1,IFERROR(1/'Smart Search'!H13,0),0)</f>
        <v>0</v>
      </c>
      <c r="X339" s="66">
        <f>IF('Smart Search'!C13=1,IFERROR(1/'Smart Search'!H13,0),0)</f>
        <v>0.5</v>
      </c>
      <c r="Y339" s="66">
        <f>IF('Smart Search'!C13=1,IFERROR(1/'Smart Search'!H13,0),0)</f>
        <v>0.5</v>
      </c>
      <c r="Z339" s="66">
        <f>IF('Smart Search'!D13=1,IFERROR(1/'Smart Search'!H13,0),0)</f>
        <v>0</v>
      </c>
      <c r="AA339" s="66">
        <f>IF('Smart Search'!D13=1,IFERROR(1/'Smart Search'!H13,0),0)</f>
        <v>0</v>
      </c>
      <c r="AB339" s="66">
        <f>IF('Smart Search'!E13=1,IFERROR(1/'Smart Search'!H13,0),0)</f>
        <v>0</v>
      </c>
      <c r="AC339" s="66">
        <f>IF('Smart Search'!E13=1,IFERROR(1/'Smart Search'!H13,0),0)</f>
        <v>0</v>
      </c>
      <c r="AD339" s="66">
        <f>IF('Smart Search'!F13=1,IFERROR(1/'Smart Search'!H13,0),0)</f>
        <v>0</v>
      </c>
      <c r="AE339" s="66">
        <f>IF('Smart Search'!F13=1,IFERROR(1/'Smart Search'!H13,0),0)</f>
        <v>0</v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>0</v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>0</v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>0</v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>0</v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>0</v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>0</v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>0</v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>0</v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>0</v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>0</v>
      </c>
      <c r="AP339" s="66">
        <f t="shared" si="70"/>
        <v>0</v>
      </c>
      <c r="AQ339" s="66">
        <f t="shared" si="71"/>
        <v>0</v>
      </c>
      <c r="AR339" s="66">
        <f t="shared" si="72"/>
        <v>0</v>
      </c>
      <c r="AS339" s="66">
        <f t="shared" si="73"/>
        <v>0</v>
      </c>
      <c r="AT339" s="66">
        <f t="shared" si="74"/>
        <v>0</v>
      </c>
      <c r="AU339" s="66">
        <f t="shared" si="75"/>
        <v>0</v>
      </c>
      <c r="AV339" s="66">
        <f t="shared" si="76"/>
        <v>0</v>
      </c>
      <c r="AW339" s="66">
        <f t="shared" si="77"/>
        <v>0</v>
      </c>
      <c r="AX339" s="66">
        <f t="shared" si="78"/>
        <v>0</v>
      </c>
      <c r="AY339" s="66">
        <f t="shared" si="79"/>
        <v>0</v>
      </c>
      <c r="AZ339" s="66">
        <f>'Project Database'!Z343</f>
        <v>0</v>
      </c>
      <c r="BA339" s="66">
        <f>IF(OR(A339="",'Smart Search'!H13=0),"",MAX(0,BE339*BF339*MAX(0,1-BG339)))</f>
        <v>0</v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>0</v>
      </c>
      <c r="BC339" s="66">
        <f>IF('Smart Search'!G13=1,IFERROR(1/'Smart Search'!H13,0),0)</f>
        <v>0</v>
      </c>
      <c r="BD339" s="66">
        <f t="shared" si="80"/>
        <v>0</v>
      </c>
      <c r="BE339" s="66">
        <f t="shared" si="81"/>
        <v>0</v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>0</v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>0</v>
      </c>
      <c r="BH339" s="5" t="str">
        <f>IF(AND('Project Database'!A343&lt;&gt;"",OR('Smart Search'!$L$5="",'Smart Search'!$L$5="All",TRIM('Project Database'!D343)=TRIM('Smart Search'!$L$5)),OR(TRIM('Smart Search'!$L$6)="",TRIM('Smart Search'!$L$6)="All",ISNUMBER(SEARCH(SUBSTITUTE(SUBSTITUTE(SUBSTITUTE(TRIM('Smart Search'!$L$6),"~","~~"),"*","~*"),"?","~?"),'Project Database'!C343))),OR('Smart Search'!$L$7="",AND('Project Database'!E343&lt;&gt;"",'Project Database'!E343='Smart Search'!$L$7)),OR('Smart Search'!$L$8="",'Smart Search'!$L$8="All",TRIM('Project Database'!F343)=TRIM('Smart Search'!$L$8))),IF(BA339="","",BA339+ROW()*0.0000000001),"")</f>
        <v/>
      </c>
      <c r="BI339" s="5" t="str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 t="str">
        <f>IF('Project Database'!A343="","",N('Project Database'!AC343))</f>
        <v/>
      </c>
      <c r="BK339" s="5" t="str">
        <f>IF('Project Database'!A343="","",N('Project Database'!AD343))</f>
        <v/>
      </c>
      <c r="BL339" s="5" t="str">
        <f>IF('Project Database'!A343="","",N('Project Database'!AE343))</f>
        <v/>
      </c>
      <c r="BM339" s="5" t="str">
        <f>IF('Project Database'!A343="","",N('Project Database'!AF343))</f>
        <v/>
      </c>
      <c r="BN339" s="5" t="str">
        <f>IF('Project Database'!A343="","",N('Project Database'!AG343))</f>
        <v/>
      </c>
      <c r="BO339" s="5" t="str">
        <f>IF('Project Database'!A343="","",N('Project Database'!AH343))</f>
        <v/>
      </c>
      <c r="BP339" s="5" t="str">
        <f>IF('Project Database'!A343="","",N('Project Database'!AI343))</f>
        <v/>
      </c>
      <c r="BQ339" s="5" t="str">
        <f>IF('Project Database'!A343="","",N('Project Database'!AJ343))</f>
        <v/>
      </c>
      <c r="BR339" s="5" t="str">
        <f>IF('Project Database'!A343="","",N('Project Database'!AK343))</f>
        <v/>
      </c>
      <c r="BS339" s="5" t="str">
        <f>IF('Project Database'!A343="","",N('Project Database'!AL343))</f>
        <v/>
      </c>
      <c r="BT339" s="5" t="str">
        <f>IF('Project Database'!A343="","",N('Project Database'!AM343))</f>
        <v/>
      </c>
      <c r="BU339" s="5" t="str">
        <f>IF('Project Database'!A343="","",N('Project Database'!AN343))</f>
        <v/>
      </c>
      <c r="BV339" s="5" t="str">
        <f>IF('Project Database'!A343="","",N('Project Database'!AO343))</f>
        <v/>
      </c>
      <c r="BW339" s="5" t="str">
        <f>IF('Project Database'!A343="","",N('Project Database'!AP343))</f>
        <v/>
      </c>
      <c r="BX339" s="5">
        <f t="shared" si="82"/>
        <v>0</v>
      </c>
      <c r="BY339" s="5">
        <f t="shared" si="83"/>
        <v>0</v>
      </c>
    </row>
    <row r="340" spans="1:77" ht="15" customHeight="1" x14ac:dyDescent="0.3">
      <c r="A340" s="66">
        <f>'Project Database'!A344</f>
        <v>0</v>
      </c>
      <c r="B340" s="66">
        <f>'Project Database'!B344</f>
        <v>0</v>
      </c>
      <c r="C340" s="66">
        <f>'Project Database'!G344</f>
        <v>0</v>
      </c>
      <c r="D340" s="66">
        <f>'Project Database'!H344</f>
        <v>0</v>
      </c>
      <c r="E340" s="66">
        <f>'Project Database'!I344</f>
        <v>0</v>
      </c>
      <c r="F340" s="66">
        <f>'Project Database'!J344</f>
        <v>0</v>
      </c>
      <c r="G340" s="66">
        <f>'Project Database'!K344</f>
        <v>0</v>
      </c>
      <c r="H340" s="66">
        <f>'Project Database'!L344</f>
        <v>0</v>
      </c>
      <c r="I340" s="66">
        <f>'Project Database'!M344</f>
        <v>0</v>
      </c>
      <c r="J340" s="66">
        <f>'Project Database'!N344</f>
        <v>0</v>
      </c>
      <c r="K340" s="66">
        <f>'Project Database'!O344</f>
        <v>0</v>
      </c>
      <c r="L340" s="66">
        <f>'Project Database'!P344</f>
        <v>0</v>
      </c>
      <c r="M340" s="66">
        <f>'Project Database'!Q344</f>
        <v>0</v>
      </c>
      <c r="N340" s="66">
        <f>'Project Database'!R344</f>
        <v>0</v>
      </c>
      <c r="O340" s="66">
        <f>'Project Database'!S344</f>
        <v>0</v>
      </c>
      <c r="P340" s="66">
        <f>'Project Database'!T344</f>
        <v>0</v>
      </c>
      <c r="Q340" s="66">
        <f>'Project Database'!U344</f>
        <v>0</v>
      </c>
      <c r="R340" s="66">
        <f>'Project Database'!V344</f>
        <v>0</v>
      </c>
      <c r="S340" s="66">
        <f>'Project Database'!W344</f>
        <v>0</v>
      </c>
      <c r="T340" s="66">
        <f>'Project Database'!X344</f>
        <v>0</v>
      </c>
      <c r="U340" s="67">
        <f>'Project Database'!Y344</f>
        <v>0</v>
      </c>
      <c r="V340" s="66">
        <f>IF('Smart Search'!B13=1,IFERROR(1/'Smart Search'!H13,0),0)</f>
        <v>0</v>
      </c>
      <c r="W340" s="66">
        <f>IF('Smart Search'!B13=1,IFERROR(1/'Smart Search'!H13,0),0)</f>
        <v>0</v>
      </c>
      <c r="X340" s="66">
        <f>IF('Smart Search'!C13=1,IFERROR(1/'Smart Search'!H13,0),0)</f>
        <v>0.5</v>
      </c>
      <c r="Y340" s="66">
        <f>IF('Smart Search'!C13=1,IFERROR(1/'Smart Search'!H13,0),0)</f>
        <v>0.5</v>
      </c>
      <c r="Z340" s="66">
        <f>IF('Smart Search'!D13=1,IFERROR(1/'Smart Search'!H13,0),0)</f>
        <v>0</v>
      </c>
      <c r="AA340" s="66">
        <f>IF('Smart Search'!D13=1,IFERROR(1/'Smart Search'!H13,0),0)</f>
        <v>0</v>
      </c>
      <c r="AB340" s="66">
        <f>IF('Smart Search'!E13=1,IFERROR(1/'Smart Search'!H13,0),0)</f>
        <v>0</v>
      </c>
      <c r="AC340" s="66">
        <f>IF('Smart Search'!E13=1,IFERROR(1/'Smart Search'!H13,0),0)</f>
        <v>0</v>
      </c>
      <c r="AD340" s="66">
        <f>IF('Smart Search'!F13=1,IFERROR(1/'Smart Search'!H13,0),0)</f>
        <v>0</v>
      </c>
      <c r="AE340" s="66">
        <f>IF('Smart Search'!F13=1,IFERROR(1/'Smart Search'!H13,0),0)</f>
        <v>0</v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>0</v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>0</v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>0</v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>0</v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>0</v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>0</v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>0</v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>0</v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>0</v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>0</v>
      </c>
      <c r="AP340" s="66">
        <f t="shared" si="70"/>
        <v>0</v>
      </c>
      <c r="AQ340" s="66">
        <f t="shared" si="71"/>
        <v>0</v>
      </c>
      <c r="AR340" s="66">
        <f t="shared" si="72"/>
        <v>0</v>
      </c>
      <c r="AS340" s="66">
        <f t="shared" si="73"/>
        <v>0</v>
      </c>
      <c r="AT340" s="66">
        <f t="shared" si="74"/>
        <v>0</v>
      </c>
      <c r="AU340" s="66">
        <f t="shared" si="75"/>
        <v>0</v>
      </c>
      <c r="AV340" s="66">
        <f t="shared" si="76"/>
        <v>0</v>
      </c>
      <c r="AW340" s="66">
        <f t="shared" si="77"/>
        <v>0</v>
      </c>
      <c r="AX340" s="66">
        <f t="shared" si="78"/>
        <v>0</v>
      </c>
      <c r="AY340" s="66">
        <f t="shared" si="79"/>
        <v>0</v>
      </c>
      <c r="AZ340" s="66">
        <f>'Project Database'!Z344</f>
        <v>0</v>
      </c>
      <c r="BA340" s="66">
        <f>IF(OR(A340="",'Smart Search'!H13=0),"",MAX(0,BE340*BF340*MAX(0,1-BG340)))</f>
        <v>0</v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>0</v>
      </c>
      <c r="BC340" s="66">
        <f>IF('Smart Search'!G13=1,IFERROR(1/'Smart Search'!H13,0),0)</f>
        <v>0</v>
      </c>
      <c r="BD340" s="66">
        <f t="shared" si="80"/>
        <v>0</v>
      </c>
      <c r="BE340" s="66">
        <f t="shared" si="81"/>
        <v>0</v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>0</v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>0</v>
      </c>
      <c r="BH340" s="5" t="str">
        <f>IF(AND('Project Database'!A344&lt;&gt;"",OR('Smart Search'!$L$5="",'Smart Search'!$L$5="All",TRIM('Project Database'!D344)=TRIM('Smart Search'!$L$5)),OR(TRIM('Smart Search'!$L$6)="",TRIM('Smart Search'!$L$6)="All",ISNUMBER(SEARCH(SUBSTITUTE(SUBSTITUTE(SUBSTITUTE(TRIM('Smart Search'!$L$6),"~","~~"),"*","~*"),"?","~?"),'Project Database'!C344))),OR('Smart Search'!$L$7="",AND('Project Database'!E344&lt;&gt;"",'Project Database'!E344='Smart Search'!$L$7)),OR('Smart Search'!$L$8="",'Smart Search'!$L$8="All",TRIM('Project Database'!F344)=TRIM('Smart Search'!$L$8))),IF(BA340="","",BA340+ROW()*0.0000000001),"")</f>
        <v/>
      </c>
      <c r="BI340" s="5" t="str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 t="str">
        <f>IF('Project Database'!A344="","",N('Project Database'!AC344))</f>
        <v/>
      </c>
      <c r="BK340" s="5" t="str">
        <f>IF('Project Database'!A344="","",N('Project Database'!AD344))</f>
        <v/>
      </c>
      <c r="BL340" s="5" t="str">
        <f>IF('Project Database'!A344="","",N('Project Database'!AE344))</f>
        <v/>
      </c>
      <c r="BM340" s="5" t="str">
        <f>IF('Project Database'!A344="","",N('Project Database'!AF344))</f>
        <v/>
      </c>
      <c r="BN340" s="5" t="str">
        <f>IF('Project Database'!A344="","",N('Project Database'!AG344))</f>
        <v/>
      </c>
      <c r="BO340" s="5" t="str">
        <f>IF('Project Database'!A344="","",N('Project Database'!AH344))</f>
        <v/>
      </c>
      <c r="BP340" s="5" t="str">
        <f>IF('Project Database'!A344="","",N('Project Database'!AI344))</f>
        <v/>
      </c>
      <c r="BQ340" s="5" t="str">
        <f>IF('Project Database'!A344="","",N('Project Database'!AJ344))</f>
        <v/>
      </c>
      <c r="BR340" s="5" t="str">
        <f>IF('Project Database'!A344="","",N('Project Database'!AK344))</f>
        <v/>
      </c>
      <c r="BS340" s="5" t="str">
        <f>IF('Project Database'!A344="","",N('Project Database'!AL344))</f>
        <v/>
      </c>
      <c r="BT340" s="5" t="str">
        <f>IF('Project Database'!A344="","",N('Project Database'!AM344))</f>
        <v/>
      </c>
      <c r="BU340" s="5" t="str">
        <f>IF('Project Database'!A344="","",N('Project Database'!AN344))</f>
        <v/>
      </c>
      <c r="BV340" s="5" t="str">
        <f>IF('Project Database'!A344="","",N('Project Database'!AO344))</f>
        <v/>
      </c>
      <c r="BW340" s="5" t="str">
        <f>IF('Project Database'!A344="","",N('Project Database'!AP344))</f>
        <v/>
      </c>
      <c r="BX340" s="5">
        <f t="shared" si="82"/>
        <v>0</v>
      </c>
      <c r="BY340" s="5">
        <f t="shared" si="83"/>
        <v>0</v>
      </c>
    </row>
    <row r="341" spans="1:77" ht="15" customHeight="1" x14ac:dyDescent="0.3">
      <c r="A341" s="66">
        <f>'Project Database'!A345</f>
        <v>0</v>
      </c>
      <c r="B341" s="66">
        <f>'Project Database'!B345</f>
        <v>0</v>
      </c>
      <c r="C341" s="66">
        <f>'Project Database'!G345</f>
        <v>0</v>
      </c>
      <c r="D341" s="66">
        <f>'Project Database'!H345</f>
        <v>0</v>
      </c>
      <c r="E341" s="66">
        <f>'Project Database'!I345</f>
        <v>0</v>
      </c>
      <c r="F341" s="66">
        <f>'Project Database'!J345</f>
        <v>0</v>
      </c>
      <c r="G341" s="66">
        <f>'Project Database'!K345</f>
        <v>0</v>
      </c>
      <c r="H341" s="66">
        <f>'Project Database'!L345</f>
        <v>0</v>
      </c>
      <c r="I341" s="66">
        <f>'Project Database'!M345</f>
        <v>0</v>
      </c>
      <c r="J341" s="66">
        <f>'Project Database'!N345</f>
        <v>0</v>
      </c>
      <c r="K341" s="66">
        <f>'Project Database'!O345</f>
        <v>0</v>
      </c>
      <c r="L341" s="66">
        <f>'Project Database'!P345</f>
        <v>0</v>
      </c>
      <c r="M341" s="66">
        <f>'Project Database'!Q345</f>
        <v>0</v>
      </c>
      <c r="N341" s="66">
        <f>'Project Database'!R345</f>
        <v>0</v>
      </c>
      <c r="O341" s="66">
        <f>'Project Database'!S345</f>
        <v>0</v>
      </c>
      <c r="P341" s="66">
        <f>'Project Database'!T345</f>
        <v>0</v>
      </c>
      <c r="Q341" s="66">
        <f>'Project Database'!U345</f>
        <v>0</v>
      </c>
      <c r="R341" s="66">
        <f>'Project Database'!V345</f>
        <v>0</v>
      </c>
      <c r="S341" s="66">
        <f>'Project Database'!W345</f>
        <v>0</v>
      </c>
      <c r="T341" s="66">
        <f>'Project Database'!X345</f>
        <v>0</v>
      </c>
      <c r="U341" s="67">
        <f>'Project Database'!Y345</f>
        <v>0</v>
      </c>
      <c r="V341" s="66">
        <f>IF('Smart Search'!B13=1,IFERROR(1/'Smart Search'!H13,0),0)</f>
        <v>0</v>
      </c>
      <c r="W341" s="66">
        <f>IF('Smart Search'!B13=1,IFERROR(1/'Smart Search'!H13,0),0)</f>
        <v>0</v>
      </c>
      <c r="X341" s="66">
        <f>IF('Smart Search'!C13=1,IFERROR(1/'Smart Search'!H13,0),0)</f>
        <v>0.5</v>
      </c>
      <c r="Y341" s="66">
        <f>IF('Smart Search'!C13=1,IFERROR(1/'Smart Search'!H13,0),0)</f>
        <v>0.5</v>
      </c>
      <c r="Z341" s="66">
        <f>IF('Smart Search'!D13=1,IFERROR(1/'Smart Search'!H13,0),0)</f>
        <v>0</v>
      </c>
      <c r="AA341" s="66">
        <f>IF('Smart Search'!D13=1,IFERROR(1/'Smart Search'!H13,0),0)</f>
        <v>0</v>
      </c>
      <c r="AB341" s="66">
        <f>IF('Smart Search'!E13=1,IFERROR(1/'Smart Search'!H13,0),0)</f>
        <v>0</v>
      </c>
      <c r="AC341" s="66">
        <f>IF('Smart Search'!E13=1,IFERROR(1/'Smart Search'!H13,0),0)</f>
        <v>0</v>
      </c>
      <c r="AD341" s="66">
        <f>IF('Smart Search'!F13=1,IFERROR(1/'Smart Search'!H13,0),0)</f>
        <v>0</v>
      </c>
      <c r="AE341" s="66">
        <f>IF('Smart Search'!F13=1,IFERROR(1/'Smart Search'!H13,0),0)</f>
        <v>0</v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>0</v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>0</v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>0</v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>0</v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>0</v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>0</v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>0</v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>0</v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>0</v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>0</v>
      </c>
      <c r="AP341" s="66">
        <f t="shared" si="70"/>
        <v>0</v>
      </c>
      <c r="AQ341" s="66">
        <f t="shared" si="71"/>
        <v>0</v>
      </c>
      <c r="AR341" s="66">
        <f t="shared" si="72"/>
        <v>0</v>
      </c>
      <c r="AS341" s="66">
        <f t="shared" si="73"/>
        <v>0</v>
      </c>
      <c r="AT341" s="66">
        <f t="shared" si="74"/>
        <v>0</v>
      </c>
      <c r="AU341" s="66">
        <f t="shared" si="75"/>
        <v>0</v>
      </c>
      <c r="AV341" s="66">
        <f t="shared" si="76"/>
        <v>0</v>
      </c>
      <c r="AW341" s="66">
        <f t="shared" si="77"/>
        <v>0</v>
      </c>
      <c r="AX341" s="66">
        <f t="shared" si="78"/>
        <v>0</v>
      </c>
      <c r="AY341" s="66">
        <f t="shared" si="79"/>
        <v>0</v>
      </c>
      <c r="AZ341" s="66">
        <f>'Project Database'!Z345</f>
        <v>0</v>
      </c>
      <c r="BA341" s="66">
        <f>IF(OR(A341="",'Smart Search'!H13=0),"",MAX(0,BE341*BF341*MAX(0,1-BG341)))</f>
        <v>0</v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>0</v>
      </c>
      <c r="BC341" s="66">
        <f>IF('Smart Search'!G13=1,IFERROR(1/'Smart Search'!H13,0),0)</f>
        <v>0</v>
      </c>
      <c r="BD341" s="66">
        <f t="shared" si="80"/>
        <v>0</v>
      </c>
      <c r="BE341" s="66">
        <f t="shared" si="81"/>
        <v>0</v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>0</v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>0</v>
      </c>
      <c r="BH341" s="5" t="str">
        <f>IF(AND('Project Database'!A345&lt;&gt;"",OR('Smart Search'!$L$5="",'Smart Search'!$L$5="All",TRIM('Project Database'!D345)=TRIM('Smart Search'!$L$5)),OR(TRIM('Smart Search'!$L$6)="",TRIM('Smart Search'!$L$6)="All",ISNUMBER(SEARCH(SUBSTITUTE(SUBSTITUTE(SUBSTITUTE(TRIM('Smart Search'!$L$6),"~","~~"),"*","~*"),"?","~?"),'Project Database'!C345))),OR('Smart Search'!$L$7="",AND('Project Database'!E345&lt;&gt;"",'Project Database'!E345='Smart Search'!$L$7)),OR('Smart Search'!$L$8="",'Smart Search'!$L$8="All",TRIM('Project Database'!F345)=TRIM('Smart Search'!$L$8))),IF(BA341="","",BA341+ROW()*0.0000000001),"")</f>
        <v/>
      </c>
      <c r="BI341" s="5" t="str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 t="str">
        <f>IF('Project Database'!A345="","",N('Project Database'!AC345))</f>
        <v/>
      </c>
      <c r="BK341" s="5" t="str">
        <f>IF('Project Database'!A345="","",N('Project Database'!AD345))</f>
        <v/>
      </c>
      <c r="BL341" s="5" t="str">
        <f>IF('Project Database'!A345="","",N('Project Database'!AE345))</f>
        <v/>
      </c>
      <c r="BM341" s="5" t="str">
        <f>IF('Project Database'!A345="","",N('Project Database'!AF345))</f>
        <v/>
      </c>
      <c r="BN341" s="5" t="str">
        <f>IF('Project Database'!A345="","",N('Project Database'!AG345))</f>
        <v/>
      </c>
      <c r="BO341" s="5" t="str">
        <f>IF('Project Database'!A345="","",N('Project Database'!AH345))</f>
        <v/>
      </c>
      <c r="BP341" s="5" t="str">
        <f>IF('Project Database'!A345="","",N('Project Database'!AI345))</f>
        <v/>
      </c>
      <c r="BQ341" s="5" t="str">
        <f>IF('Project Database'!A345="","",N('Project Database'!AJ345))</f>
        <v/>
      </c>
      <c r="BR341" s="5" t="str">
        <f>IF('Project Database'!A345="","",N('Project Database'!AK345))</f>
        <v/>
      </c>
      <c r="BS341" s="5" t="str">
        <f>IF('Project Database'!A345="","",N('Project Database'!AL345))</f>
        <v/>
      </c>
      <c r="BT341" s="5" t="str">
        <f>IF('Project Database'!A345="","",N('Project Database'!AM345))</f>
        <v/>
      </c>
      <c r="BU341" s="5" t="str">
        <f>IF('Project Database'!A345="","",N('Project Database'!AN345))</f>
        <v/>
      </c>
      <c r="BV341" s="5" t="str">
        <f>IF('Project Database'!A345="","",N('Project Database'!AO345))</f>
        <v/>
      </c>
      <c r="BW341" s="5" t="str">
        <f>IF('Project Database'!A345="","",N('Project Database'!AP345))</f>
        <v/>
      </c>
      <c r="BX341" s="5">
        <f t="shared" si="82"/>
        <v>0</v>
      </c>
      <c r="BY341" s="5">
        <f t="shared" si="83"/>
        <v>0</v>
      </c>
    </row>
    <row r="342" spans="1:77" ht="15" customHeight="1" x14ac:dyDescent="0.3">
      <c r="A342" s="66">
        <f>'Project Database'!A346</f>
        <v>0</v>
      </c>
      <c r="B342" s="66">
        <f>'Project Database'!B346</f>
        <v>0</v>
      </c>
      <c r="C342" s="66">
        <f>'Project Database'!G346</f>
        <v>0</v>
      </c>
      <c r="D342" s="66">
        <f>'Project Database'!H346</f>
        <v>0</v>
      </c>
      <c r="E342" s="66">
        <f>'Project Database'!I346</f>
        <v>0</v>
      </c>
      <c r="F342" s="66">
        <f>'Project Database'!J346</f>
        <v>0</v>
      </c>
      <c r="G342" s="66">
        <f>'Project Database'!K346</f>
        <v>0</v>
      </c>
      <c r="H342" s="66">
        <f>'Project Database'!L346</f>
        <v>0</v>
      </c>
      <c r="I342" s="66">
        <f>'Project Database'!M346</f>
        <v>0</v>
      </c>
      <c r="J342" s="66">
        <f>'Project Database'!N346</f>
        <v>0</v>
      </c>
      <c r="K342" s="66">
        <f>'Project Database'!O346</f>
        <v>0</v>
      </c>
      <c r="L342" s="66">
        <f>'Project Database'!P346</f>
        <v>0</v>
      </c>
      <c r="M342" s="66">
        <f>'Project Database'!Q346</f>
        <v>0</v>
      </c>
      <c r="N342" s="66">
        <f>'Project Database'!R346</f>
        <v>0</v>
      </c>
      <c r="O342" s="66">
        <f>'Project Database'!S346</f>
        <v>0</v>
      </c>
      <c r="P342" s="66">
        <f>'Project Database'!T346</f>
        <v>0</v>
      </c>
      <c r="Q342" s="66">
        <f>'Project Database'!U346</f>
        <v>0</v>
      </c>
      <c r="R342" s="66">
        <f>'Project Database'!V346</f>
        <v>0</v>
      </c>
      <c r="S342" s="66">
        <f>'Project Database'!W346</f>
        <v>0</v>
      </c>
      <c r="T342" s="66">
        <f>'Project Database'!X346</f>
        <v>0</v>
      </c>
      <c r="U342" s="67">
        <f>'Project Database'!Y346</f>
        <v>0</v>
      </c>
      <c r="V342" s="66">
        <f>IF('Smart Search'!B13=1,IFERROR(1/'Smart Search'!H13,0),0)</f>
        <v>0</v>
      </c>
      <c r="W342" s="66">
        <f>IF('Smart Search'!B13=1,IFERROR(1/'Smart Search'!H13,0),0)</f>
        <v>0</v>
      </c>
      <c r="X342" s="66">
        <f>IF('Smart Search'!C13=1,IFERROR(1/'Smart Search'!H13,0),0)</f>
        <v>0.5</v>
      </c>
      <c r="Y342" s="66">
        <f>IF('Smart Search'!C13=1,IFERROR(1/'Smart Search'!H13,0),0)</f>
        <v>0.5</v>
      </c>
      <c r="Z342" s="66">
        <f>IF('Smart Search'!D13=1,IFERROR(1/'Smart Search'!H13,0),0)</f>
        <v>0</v>
      </c>
      <c r="AA342" s="66">
        <f>IF('Smart Search'!D13=1,IFERROR(1/'Smart Search'!H13,0),0)</f>
        <v>0</v>
      </c>
      <c r="AB342" s="66">
        <f>IF('Smart Search'!E13=1,IFERROR(1/'Smart Search'!H13,0),0)</f>
        <v>0</v>
      </c>
      <c r="AC342" s="66">
        <f>IF('Smart Search'!E13=1,IFERROR(1/'Smart Search'!H13,0),0)</f>
        <v>0</v>
      </c>
      <c r="AD342" s="66">
        <f>IF('Smart Search'!F13=1,IFERROR(1/'Smart Search'!H13,0),0)</f>
        <v>0</v>
      </c>
      <c r="AE342" s="66">
        <f>IF('Smart Search'!F13=1,IFERROR(1/'Smart Search'!H13,0),0)</f>
        <v>0</v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>0</v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>0</v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>0</v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>0</v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>0</v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>0</v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>0</v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>0</v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>0</v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>0</v>
      </c>
      <c r="AP342" s="66">
        <f t="shared" si="70"/>
        <v>0</v>
      </c>
      <c r="AQ342" s="66">
        <f t="shared" si="71"/>
        <v>0</v>
      </c>
      <c r="AR342" s="66">
        <f t="shared" si="72"/>
        <v>0</v>
      </c>
      <c r="AS342" s="66">
        <f t="shared" si="73"/>
        <v>0</v>
      </c>
      <c r="AT342" s="66">
        <f t="shared" si="74"/>
        <v>0</v>
      </c>
      <c r="AU342" s="66">
        <f t="shared" si="75"/>
        <v>0</v>
      </c>
      <c r="AV342" s="66">
        <f t="shared" si="76"/>
        <v>0</v>
      </c>
      <c r="AW342" s="66">
        <f t="shared" si="77"/>
        <v>0</v>
      </c>
      <c r="AX342" s="66">
        <f t="shared" si="78"/>
        <v>0</v>
      </c>
      <c r="AY342" s="66">
        <f t="shared" si="79"/>
        <v>0</v>
      </c>
      <c r="AZ342" s="66">
        <f>'Project Database'!Z346</f>
        <v>0</v>
      </c>
      <c r="BA342" s="66">
        <f>IF(OR(A342="",'Smart Search'!H13=0),"",MAX(0,BE342*BF342*MAX(0,1-BG342)))</f>
        <v>0</v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>0</v>
      </c>
      <c r="BC342" s="66">
        <f>IF('Smart Search'!G13=1,IFERROR(1/'Smart Search'!H13,0),0)</f>
        <v>0</v>
      </c>
      <c r="BD342" s="66">
        <f t="shared" si="80"/>
        <v>0</v>
      </c>
      <c r="BE342" s="66">
        <f t="shared" si="81"/>
        <v>0</v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>0</v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>0</v>
      </c>
      <c r="BH342" s="5" t="str">
        <f>IF(AND('Project Database'!A346&lt;&gt;"",OR('Smart Search'!$L$5="",'Smart Search'!$L$5="All",TRIM('Project Database'!D346)=TRIM('Smart Search'!$L$5)),OR(TRIM('Smart Search'!$L$6)="",TRIM('Smart Search'!$L$6)="All",ISNUMBER(SEARCH(SUBSTITUTE(SUBSTITUTE(SUBSTITUTE(TRIM('Smart Search'!$L$6),"~","~~"),"*","~*"),"?","~?"),'Project Database'!C346))),OR('Smart Search'!$L$7="",AND('Project Database'!E346&lt;&gt;"",'Project Database'!E346='Smart Search'!$L$7)),OR('Smart Search'!$L$8="",'Smart Search'!$L$8="All",TRIM('Project Database'!F346)=TRIM('Smart Search'!$L$8))),IF(BA342="","",BA342+ROW()*0.0000000001),"")</f>
        <v/>
      </c>
      <c r="BI342" s="5" t="str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 t="str">
        <f>IF('Project Database'!A346="","",N('Project Database'!AC346))</f>
        <v/>
      </c>
      <c r="BK342" s="5" t="str">
        <f>IF('Project Database'!A346="","",N('Project Database'!AD346))</f>
        <v/>
      </c>
      <c r="BL342" s="5" t="str">
        <f>IF('Project Database'!A346="","",N('Project Database'!AE346))</f>
        <v/>
      </c>
      <c r="BM342" s="5" t="str">
        <f>IF('Project Database'!A346="","",N('Project Database'!AF346))</f>
        <v/>
      </c>
      <c r="BN342" s="5" t="str">
        <f>IF('Project Database'!A346="","",N('Project Database'!AG346))</f>
        <v/>
      </c>
      <c r="BO342" s="5" t="str">
        <f>IF('Project Database'!A346="","",N('Project Database'!AH346))</f>
        <v/>
      </c>
      <c r="BP342" s="5" t="str">
        <f>IF('Project Database'!A346="","",N('Project Database'!AI346))</f>
        <v/>
      </c>
      <c r="BQ342" s="5" t="str">
        <f>IF('Project Database'!A346="","",N('Project Database'!AJ346))</f>
        <v/>
      </c>
      <c r="BR342" s="5" t="str">
        <f>IF('Project Database'!A346="","",N('Project Database'!AK346))</f>
        <v/>
      </c>
      <c r="BS342" s="5" t="str">
        <f>IF('Project Database'!A346="","",N('Project Database'!AL346))</f>
        <v/>
      </c>
      <c r="BT342" s="5" t="str">
        <f>IF('Project Database'!A346="","",N('Project Database'!AM346))</f>
        <v/>
      </c>
      <c r="BU342" s="5" t="str">
        <f>IF('Project Database'!A346="","",N('Project Database'!AN346))</f>
        <v/>
      </c>
      <c r="BV342" s="5" t="str">
        <f>IF('Project Database'!A346="","",N('Project Database'!AO346))</f>
        <v/>
      </c>
      <c r="BW342" s="5" t="str">
        <f>IF('Project Database'!A346="","",N('Project Database'!AP346))</f>
        <v/>
      </c>
      <c r="BX342" s="5">
        <f t="shared" si="82"/>
        <v>0</v>
      </c>
      <c r="BY342" s="5">
        <f t="shared" si="83"/>
        <v>0</v>
      </c>
    </row>
    <row r="343" spans="1:77" ht="15" customHeight="1" x14ac:dyDescent="0.3">
      <c r="A343" s="66">
        <f>'Project Database'!A347</f>
        <v>0</v>
      </c>
      <c r="B343" s="66">
        <f>'Project Database'!B347</f>
        <v>0</v>
      </c>
      <c r="C343" s="66">
        <f>'Project Database'!G347</f>
        <v>0</v>
      </c>
      <c r="D343" s="66">
        <f>'Project Database'!H347</f>
        <v>0</v>
      </c>
      <c r="E343" s="66">
        <f>'Project Database'!I347</f>
        <v>0</v>
      </c>
      <c r="F343" s="66">
        <f>'Project Database'!J347</f>
        <v>0</v>
      </c>
      <c r="G343" s="66">
        <f>'Project Database'!K347</f>
        <v>0</v>
      </c>
      <c r="H343" s="66">
        <f>'Project Database'!L347</f>
        <v>0</v>
      </c>
      <c r="I343" s="66">
        <f>'Project Database'!M347</f>
        <v>0</v>
      </c>
      <c r="J343" s="66">
        <f>'Project Database'!N347</f>
        <v>0</v>
      </c>
      <c r="K343" s="66">
        <f>'Project Database'!O347</f>
        <v>0</v>
      </c>
      <c r="L343" s="66">
        <f>'Project Database'!P347</f>
        <v>0</v>
      </c>
      <c r="M343" s="66">
        <f>'Project Database'!Q347</f>
        <v>0</v>
      </c>
      <c r="N343" s="66">
        <f>'Project Database'!R347</f>
        <v>0</v>
      </c>
      <c r="O343" s="66">
        <f>'Project Database'!S347</f>
        <v>0</v>
      </c>
      <c r="P343" s="66">
        <f>'Project Database'!T347</f>
        <v>0</v>
      </c>
      <c r="Q343" s="66">
        <f>'Project Database'!U347</f>
        <v>0</v>
      </c>
      <c r="R343" s="66">
        <f>'Project Database'!V347</f>
        <v>0</v>
      </c>
      <c r="S343" s="66">
        <f>'Project Database'!W347</f>
        <v>0</v>
      </c>
      <c r="T343" s="66">
        <f>'Project Database'!X347</f>
        <v>0</v>
      </c>
      <c r="U343" s="67">
        <f>'Project Database'!Y347</f>
        <v>0</v>
      </c>
      <c r="V343" s="66">
        <f>IF('Smart Search'!B13=1,IFERROR(1/'Smart Search'!H13,0),0)</f>
        <v>0</v>
      </c>
      <c r="W343" s="66">
        <f>IF('Smart Search'!B13=1,IFERROR(1/'Smart Search'!H13,0),0)</f>
        <v>0</v>
      </c>
      <c r="X343" s="66">
        <f>IF('Smart Search'!C13=1,IFERROR(1/'Smart Search'!H13,0),0)</f>
        <v>0.5</v>
      </c>
      <c r="Y343" s="66">
        <f>IF('Smart Search'!C13=1,IFERROR(1/'Smart Search'!H13,0),0)</f>
        <v>0.5</v>
      </c>
      <c r="Z343" s="66">
        <f>IF('Smart Search'!D13=1,IFERROR(1/'Smart Search'!H13,0),0)</f>
        <v>0</v>
      </c>
      <c r="AA343" s="66">
        <f>IF('Smart Search'!D13=1,IFERROR(1/'Smart Search'!H13,0),0)</f>
        <v>0</v>
      </c>
      <c r="AB343" s="66">
        <f>IF('Smart Search'!E13=1,IFERROR(1/'Smart Search'!H13,0),0)</f>
        <v>0</v>
      </c>
      <c r="AC343" s="66">
        <f>IF('Smart Search'!E13=1,IFERROR(1/'Smart Search'!H13,0),0)</f>
        <v>0</v>
      </c>
      <c r="AD343" s="66">
        <f>IF('Smart Search'!F13=1,IFERROR(1/'Smart Search'!H13,0),0)</f>
        <v>0</v>
      </c>
      <c r="AE343" s="66">
        <f>IF('Smart Search'!F13=1,IFERROR(1/'Smart Search'!H13,0),0)</f>
        <v>0</v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>0</v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>0</v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>0</v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>0</v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>0</v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>0</v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>0</v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>0</v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>0</v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>0</v>
      </c>
      <c r="AP343" s="66">
        <f t="shared" si="70"/>
        <v>0</v>
      </c>
      <c r="AQ343" s="66">
        <f t="shared" si="71"/>
        <v>0</v>
      </c>
      <c r="AR343" s="66">
        <f t="shared" si="72"/>
        <v>0</v>
      </c>
      <c r="AS343" s="66">
        <f t="shared" si="73"/>
        <v>0</v>
      </c>
      <c r="AT343" s="66">
        <f t="shared" si="74"/>
        <v>0</v>
      </c>
      <c r="AU343" s="66">
        <f t="shared" si="75"/>
        <v>0</v>
      </c>
      <c r="AV343" s="66">
        <f t="shared" si="76"/>
        <v>0</v>
      </c>
      <c r="AW343" s="66">
        <f t="shared" si="77"/>
        <v>0</v>
      </c>
      <c r="AX343" s="66">
        <f t="shared" si="78"/>
        <v>0</v>
      </c>
      <c r="AY343" s="66">
        <f t="shared" si="79"/>
        <v>0</v>
      </c>
      <c r="AZ343" s="66">
        <f>'Project Database'!Z347</f>
        <v>0</v>
      </c>
      <c r="BA343" s="66">
        <f>IF(OR(A343="",'Smart Search'!H13=0),"",MAX(0,BE343*BF343*MAX(0,1-BG343)))</f>
        <v>0</v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>0</v>
      </c>
      <c r="BC343" s="66">
        <f>IF('Smart Search'!G13=1,IFERROR(1/'Smart Search'!H13,0),0)</f>
        <v>0</v>
      </c>
      <c r="BD343" s="66">
        <f t="shared" si="80"/>
        <v>0</v>
      </c>
      <c r="BE343" s="66">
        <f t="shared" si="81"/>
        <v>0</v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>0</v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>0</v>
      </c>
      <c r="BH343" s="5" t="str">
        <f>IF(AND('Project Database'!A347&lt;&gt;"",OR('Smart Search'!$L$5="",'Smart Search'!$L$5="All",TRIM('Project Database'!D347)=TRIM('Smart Search'!$L$5)),OR(TRIM('Smart Search'!$L$6)="",TRIM('Smart Search'!$L$6)="All",ISNUMBER(SEARCH(SUBSTITUTE(SUBSTITUTE(SUBSTITUTE(TRIM('Smart Search'!$L$6),"~","~~"),"*","~*"),"?","~?"),'Project Database'!C347))),OR('Smart Search'!$L$7="",AND('Project Database'!E347&lt;&gt;"",'Project Database'!E347='Smart Search'!$L$7)),OR('Smart Search'!$L$8="",'Smart Search'!$L$8="All",TRIM('Project Database'!F347)=TRIM('Smart Search'!$L$8))),IF(BA343="","",BA343+ROW()*0.0000000001),"")</f>
        <v/>
      </c>
      <c r="BI343" s="5" t="str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 t="str">
        <f>IF('Project Database'!A347="","",N('Project Database'!AC347))</f>
        <v/>
      </c>
      <c r="BK343" s="5" t="str">
        <f>IF('Project Database'!A347="","",N('Project Database'!AD347))</f>
        <v/>
      </c>
      <c r="BL343" s="5" t="str">
        <f>IF('Project Database'!A347="","",N('Project Database'!AE347))</f>
        <v/>
      </c>
      <c r="BM343" s="5" t="str">
        <f>IF('Project Database'!A347="","",N('Project Database'!AF347))</f>
        <v/>
      </c>
      <c r="BN343" s="5" t="str">
        <f>IF('Project Database'!A347="","",N('Project Database'!AG347))</f>
        <v/>
      </c>
      <c r="BO343" s="5" t="str">
        <f>IF('Project Database'!A347="","",N('Project Database'!AH347))</f>
        <v/>
      </c>
      <c r="BP343" s="5" t="str">
        <f>IF('Project Database'!A347="","",N('Project Database'!AI347))</f>
        <v/>
      </c>
      <c r="BQ343" s="5" t="str">
        <f>IF('Project Database'!A347="","",N('Project Database'!AJ347))</f>
        <v/>
      </c>
      <c r="BR343" s="5" t="str">
        <f>IF('Project Database'!A347="","",N('Project Database'!AK347))</f>
        <v/>
      </c>
      <c r="BS343" s="5" t="str">
        <f>IF('Project Database'!A347="","",N('Project Database'!AL347))</f>
        <v/>
      </c>
      <c r="BT343" s="5" t="str">
        <f>IF('Project Database'!A347="","",N('Project Database'!AM347))</f>
        <v/>
      </c>
      <c r="BU343" s="5" t="str">
        <f>IF('Project Database'!A347="","",N('Project Database'!AN347))</f>
        <v/>
      </c>
      <c r="BV343" s="5" t="str">
        <f>IF('Project Database'!A347="","",N('Project Database'!AO347))</f>
        <v/>
      </c>
      <c r="BW343" s="5" t="str">
        <f>IF('Project Database'!A347="","",N('Project Database'!AP347))</f>
        <v/>
      </c>
      <c r="BX343" s="5">
        <f t="shared" si="82"/>
        <v>0</v>
      </c>
      <c r="BY343" s="5">
        <f t="shared" si="83"/>
        <v>0</v>
      </c>
    </row>
    <row r="344" spans="1:77" ht="15" customHeight="1" x14ac:dyDescent="0.3">
      <c r="A344" s="66">
        <f>'Project Database'!A348</f>
        <v>0</v>
      </c>
      <c r="B344" s="66">
        <f>'Project Database'!B348</f>
        <v>0</v>
      </c>
      <c r="C344" s="66">
        <f>'Project Database'!G348</f>
        <v>0</v>
      </c>
      <c r="D344" s="66">
        <f>'Project Database'!H348</f>
        <v>0</v>
      </c>
      <c r="E344" s="66">
        <f>'Project Database'!I348</f>
        <v>0</v>
      </c>
      <c r="F344" s="66">
        <f>'Project Database'!J348</f>
        <v>0</v>
      </c>
      <c r="G344" s="66">
        <f>'Project Database'!K348</f>
        <v>0</v>
      </c>
      <c r="H344" s="66">
        <f>'Project Database'!L348</f>
        <v>0</v>
      </c>
      <c r="I344" s="66">
        <f>'Project Database'!M348</f>
        <v>0</v>
      </c>
      <c r="J344" s="66">
        <f>'Project Database'!N348</f>
        <v>0</v>
      </c>
      <c r="K344" s="66">
        <f>'Project Database'!O348</f>
        <v>0</v>
      </c>
      <c r="L344" s="66">
        <f>'Project Database'!P348</f>
        <v>0</v>
      </c>
      <c r="M344" s="66">
        <f>'Project Database'!Q348</f>
        <v>0</v>
      </c>
      <c r="N344" s="66">
        <f>'Project Database'!R348</f>
        <v>0</v>
      </c>
      <c r="O344" s="66">
        <f>'Project Database'!S348</f>
        <v>0</v>
      </c>
      <c r="P344" s="66">
        <f>'Project Database'!T348</f>
        <v>0</v>
      </c>
      <c r="Q344" s="66">
        <f>'Project Database'!U348</f>
        <v>0</v>
      </c>
      <c r="R344" s="66">
        <f>'Project Database'!V348</f>
        <v>0</v>
      </c>
      <c r="S344" s="66">
        <f>'Project Database'!W348</f>
        <v>0</v>
      </c>
      <c r="T344" s="66">
        <f>'Project Database'!X348</f>
        <v>0</v>
      </c>
      <c r="U344" s="67">
        <f>'Project Database'!Y348</f>
        <v>0</v>
      </c>
      <c r="V344" s="66">
        <f>IF('Smart Search'!B13=1,IFERROR(1/'Smart Search'!H13,0),0)</f>
        <v>0</v>
      </c>
      <c r="W344" s="66">
        <f>IF('Smart Search'!B13=1,IFERROR(1/'Smart Search'!H13,0),0)</f>
        <v>0</v>
      </c>
      <c r="X344" s="66">
        <f>IF('Smart Search'!C13=1,IFERROR(1/'Smart Search'!H13,0),0)</f>
        <v>0.5</v>
      </c>
      <c r="Y344" s="66">
        <f>IF('Smart Search'!C13=1,IFERROR(1/'Smart Search'!H13,0),0)</f>
        <v>0.5</v>
      </c>
      <c r="Z344" s="66">
        <f>IF('Smart Search'!D13=1,IFERROR(1/'Smart Search'!H13,0),0)</f>
        <v>0</v>
      </c>
      <c r="AA344" s="66">
        <f>IF('Smart Search'!D13=1,IFERROR(1/'Smart Search'!H13,0),0)</f>
        <v>0</v>
      </c>
      <c r="AB344" s="66">
        <f>IF('Smart Search'!E13=1,IFERROR(1/'Smart Search'!H13,0),0)</f>
        <v>0</v>
      </c>
      <c r="AC344" s="66">
        <f>IF('Smart Search'!E13=1,IFERROR(1/'Smart Search'!H13,0),0)</f>
        <v>0</v>
      </c>
      <c r="AD344" s="66">
        <f>IF('Smart Search'!F13=1,IFERROR(1/'Smart Search'!H13,0),0)</f>
        <v>0</v>
      </c>
      <c r="AE344" s="66">
        <f>IF('Smart Search'!F13=1,IFERROR(1/'Smart Search'!H13,0),0)</f>
        <v>0</v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>0</v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>0</v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>0</v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>0</v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>0</v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>0</v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>0</v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>0</v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>0</v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>0</v>
      </c>
      <c r="AP344" s="66">
        <f t="shared" si="70"/>
        <v>0</v>
      </c>
      <c r="AQ344" s="66">
        <f t="shared" si="71"/>
        <v>0</v>
      </c>
      <c r="AR344" s="66">
        <f t="shared" si="72"/>
        <v>0</v>
      </c>
      <c r="AS344" s="66">
        <f t="shared" si="73"/>
        <v>0</v>
      </c>
      <c r="AT344" s="66">
        <f t="shared" si="74"/>
        <v>0</v>
      </c>
      <c r="AU344" s="66">
        <f t="shared" si="75"/>
        <v>0</v>
      </c>
      <c r="AV344" s="66">
        <f t="shared" si="76"/>
        <v>0</v>
      </c>
      <c r="AW344" s="66">
        <f t="shared" si="77"/>
        <v>0</v>
      </c>
      <c r="AX344" s="66">
        <f t="shared" si="78"/>
        <v>0</v>
      </c>
      <c r="AY344" s="66">
        <f t="shared" si="79"/>
        <v>0</v>
      </c>
      <c r="AZ344" s="66">
        <f>'Project Database'!Z348</f>
        <v>0</v>
      </c>
      <c r="BA344" s="66">
        <f>IF(OR(A344="",'Smart Search'!H13=0),"",MAX(0,BE344*BF344*MAX(0,1-BG344)))</f>
        <v>0</v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>0</v>
      </c>
      <c r="BC344" s="66">
        <f>IF('Smart Search'!G13=1,IFERROR(1/'Smart Search'!H13,0),0)</f>
        <v>0</v>
      </c>
      <c r="BD344" s="66">
        <f t="shared" si="80"/>
        <v>0</v>
      </c>
      <c r="BE344" s="66">
        <f t="shared" si="81"/>
        <v>0</v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>0</v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>0</v>
      </c>
      <c r="BH344" s="5" t="str">
        <f>IF(AND('Project Database'!A348&lt;&gt;"",OR('Smart Search'!$L$5="",'Smart Search'!$L$5="All",TRIM('Project Database'!D348)=TRIM('Smart Search'!$L$5)),OR(TRIM('Smart Search'!$L$6)="",TRIM('Smart Search'!$L$6)="All",ISNUMBER(SEARCH(SUBSTITUTE(SUBSTITUTE(SUBSTITUTE(TRIM('Smart Search'!$L$6),"~","~~"),"*","~*"),"?","~?"),'Project Database'!C348))),OR('Smart Search'!$L$7="",AND('Project Database'!E348&lt;&gt;"",'Project Database'!E348='Smart Search'!$L$7)),OR('Smart Search'!$L$8="",'Smart Search'!$L$8="All",TRIM('Project Database'!F348)=TRIM('Smart Search'!$L$8))),IF(BA344="","",BA344+ROW()*0.0000000001),"")</f>
        <v/>
      </c>
      <c r="BI344" s="5" t="str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 t="str">
        <f>IF('Project Database'!A348="","",N('Project Database'!AC348))</f>
        <v/>
      </c>
      <c r="BK344" s="5" t="str">
        <f>IF('Project Database'!A348="","",N('Project Database'!AD348))</f>
        <v/>
      </c>
      <c r="BL344" s="5" t="str">
        <f>IF('Project Database'!A348="","",N('Project Database'!AE348))</f>
        <v/>
      </c>
      <c r="BM344" s="5" t="str">
        <f>IF('Project Database'!A348="","",N('Project Database'!AF348))</f>
        <v/>
      </c>
      <c r="BN344" s="5" t="str">
        <f>IF('Project Database'!A348="","",N('Project Database'!AG348))</f>
        <v/>
      </c>
      <c r="BO344" s="5" t="str">
        <f>IF('Project Database'!A348="","",N('Project Database'!AH348))</f>
        <v/>
      </c>
      <c r="BP344" s="5" t="str">
        <f>IF('Project Database'!A348="","",N('Project Database'!AI348))</f>
        <v/>
      </c>
      <c r="BQ344" s="5" t="str">
        <f>IF('Project Database'!A348="","",N('Project Database'!AJ348))</f>
        <v/>
      </c>
      <c r="BR344" s="5" t="str">
        <f>IF('Project Database'!A348="","",N('Project Database'!AK348))</f>
        <v/>
      </c>
      <c r="BS344" s="5" t="str">
        <f>IF('Project Database'!A348="","",N('Project Database'!AL348))</f>
        <v/>
      </c>
      <c r="BT344" s="5" t="str">
        <f>IF('Project Database'!A348="","",N('Project Database'!AM348))</f>
        <v/>
      </c>
      <c r="BU344" s="5" t="str">
        <f>IF('Project Database'!A348="","",N('Project Database'!AN348))</f>
        <v/>
      </c>
      <c r="BV344" s="5" t="str">
        <f>IF('Project Database'!A348="","",N('Project Database'!AO348))</f>
        <v/>
      </c>
      <c r="BW344" s="5" t="str">
        <f>IF('Project Database'!A348="","",N('Project Database'!AP348))</f>
        <v/>
      </c>
      <c r="BX344" s="5">
        <f t="shared" si="82"/>
        <v>0</v>
      </c>
      <c r="BY344" s="5">
        <f t="shared" si="83"/>
        <v>0</v>
      </c>
    </row>
    <row r="345" spans="1:77" ht="15" customHeight="1" x14ac:dyDescent="0.3">
      <c r="A345" s="66">
        <f>'Project Database'!A349</f>
        <v>0</v>
      </c>
      <c r="B345" s="66">
        <f>'Project Database'!B349</f>
        <v>0</v>
      </c>
      <c r="C345" s="66">
        <f>'Project Database'!G349</f>
        <v>0</v>
      </c>
      <c r="D345" s="66">
        <f>'Project Database'!H349</f>
        <v>0</v>
      </c>
      <c r="E345" s="66">
        <f>'Project Database'!I349</f>
        <v>0</v>
      </c>
      <c r="F345" s="66">
        <f>'Project Database'!J349</f>
        <v>0</v>
      </c>
      <c r="G345" s="66">
        <f>'Project Database'!K349</f>
        <v>0</v>
      </c>
      <c r="H345" s="66">
        <f>'Project Database'!L349</f>
        <v>0</v>
      </c>
      <c r="I345" s="66">
        <f>'Project Database'!M349</f>
        <v>0</v>
      </c>
      <c r="J345" s="66">
        <f>'Project Database'!N349</f>
        <v>0</v>
      </c>
      <c r="K345" s="66">
        <f>'Project Database'!O349</f>
        <v>0</v>
      </c>
      <c r="L345" s="66">
        <f>'Project Database'!P349</f>
        <v>0</v>
      </c>
      <c r="M345" s="66">
        <f>'Project Database'!Q349</f>
        <v>0</v>
      </c>
      <c r="N345" s="66">
        <f>'Project Database'!R349</f>
        <v>0</v>
      </c>
      <c r="O345" s="66">
        <f>'Project Database'!S349</f>
        <v>0</v>
      </c>
      <c r="P345" s="66">
        <f>'Project Database'!T349</f>
        <v>0</v>
      </c>
      <c r="Q345" s="66">
        <f>'Project Database'!U349</f>
        <v>0</v>
      </c>
      <c r="R345" s="66">
        <f>'Project Database'!V349</f>
        <v>0</v>
      </c>
      <c r="S345" s="66">
        <f>'Project Database'!W349</f>
        <v>0</v>
      </c>
      <c r="T345" s="66">
        <f>'Project Database'!X349</f>
        <v>0</v>
      </c>
      <c r="U345" s="67">
        <f>'Project Database'!Y349</f>
        <v>0</v>
      </c>
      <c r="V345" s="66">
        <f>IF('Smart Search'!B13=1,IFERROR(1/'Smart Search'!H13,0),0)</f>
        <v>0</v>
      </c>
      <c r="W345" s="66">
        <f>IF('Smart Search'!B13=1,IFERROR(1/'Smart Search'!H13,0),0)</f>
        <v>0</v>
      </c>
      <c r="X345" s="66">
        <f>IF('Smart Search'!C13=1,IFERROR(1/'Smart Search'!H13,0),0)</f>
        <v>0.5</v>
      </c>
      <c r="Y345" s="66">
        <f>IF('Smart Search'!C13=1,IFERROR(1/'Smart Search'!H13,0),0)</f>
        <v>0.5</v>
      </c>
      <c r="Z345" s="66">
        <f>IF('Smart Search'!D13=1,IFERROR(1/'Smart Search'!H13,0),0)</f>
        <v>0</v>
      </c>
      <c r="AA345" s="66">
        <f>IF('Smart Search'!D13=1,IFERROR(1/'Smart Search'!H13,0),0)</f>
        <v>0</v>
      </c>
      <c r="AB345" s="66">
        <f>IF('Smart Search'!E13=1,IFERROR(1/'Smart Search'!H13,0),0)</f>
        <v>0</v>
      </c>
      <c r="AC345" s="66">
        <f>IF('Smart Search'!E13=1,IFERROR(1/'Smart Search'!H13,0),0)</f>
        <v>0</v>
      </c>
      <c r="AD345" s="66">
        <f>IF('Smart Search'!F13=1,IFERROR(1/'Smart Search'!H13,0),0)</f>
        <v>0</v>
      </c>
      <c r="AE345" s="66">
        <f>IF('Smart Search'!F13=1,IFERROR(1/'Smart Search'!H13,0),0)</f>
        <v>0</v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>0</v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>0</v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>0</v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>0</v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>0</v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>0</v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>0</v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>0</v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>0</v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>0</v>
      </c>
      <c r="AP345" s="66">
        <f t="shared" si="70"/>
        <v>0</v>
      </c>
      <c r="AQ345" s="66">
        <f t="shared" si="71"/>
        <v>0</v>
      </c>
      <c r="AR345" s="66">
        <f t="shared" si="72"/>
        <v>0</v>
      </c>
      <c r="AS345" s="66">
        <f t="shared" si="73"/>
        <v>0</v>
      </c>
      <c r="AT345" s="66">
        <f t="shared" si="74"/>
        <v>0</v>
      </c>
      <c r="AU345" s="66">
        <f t="shared" si="75"/>
        <v>0</v>
      </c>
      <c r="AV345" s="66">
        <f t="shared" si="76"/>
        <v>0</v>
      </c>
      <c r="AW345" s="66">
        <f t="shared" si="77"/>
        <v>0</v>
      </c>
      <c r="AX345" s="66">
        <f t="shared" si="78"/>
        <v>0</v>
      </c>
      <c r="AY345" s="66">
        <f t="shared" si="79"/>
        <v>0</v>
      </c>
      <c r="AZ345" s="66">
        <f>'Project Database'!Z349</f>
        <v>0</v>
      </c>
      <c r="BA345" s="66">
        <f>IF(OR(A345="",'Smart Search'!H13=0),"",MAX(0,BE345*BF345*MAX(0,1-BG345)))</f>
        <v>0</v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>0</v>
      </c>
      <c r="BC345" s="66">
        <f>IF('Smart Search'!G13=1,IFERROR(1/'Smart Search'!H13,0),0)</f>
        <v>0</v>
      </c>
      <c r="BD345" s="66">
        <f t="shared" si="80"/>
        <v>0</v>
      </c>
      <c r="BE345" s="66">
        <f t="shared" si="81"/>
        <v>0</v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>0</v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>0</v>
      </c>
      <c r="BH345" s="5" t="str">
        <f>IF(AND('Project Database'!A349&lt;&gt;"",OR('Smart Search'!$L$5="",'Smart Search'!$L$5="All",TRIM('Project Database'!D349)=TRIM('Smart Search'!$L$5)),OR(TRIM('Smart Search'!$L$6)="",TRIM('Smart Search'!$L$6)="All",ISNUMBER(SEARCH(SUBSTITUTE(SUBSTITUTE(SUBSTITUTE(TRIM('Smart Search'!$L$6),"~","~~"),"*","~*"),"?","~?"),'Project Database'!C349))),OR('Smart Search'!$L$7="",AND('Project Database'!E349&lt;&gt;"",'Project Database'!E349='Smart Search'!$L$7)),OR('Smart Search'!$L$8="",'Smart Search'!$L$8="All",TRIM('Project Database'!F349)=TRIM('Smart Search'!$L$8))),IF(BA345="","",BA345+ROW()*0.0000000001),"")</f>
        <v/>
      </c>
      <c r="BI345" s="5" t="str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 t="str">
        <f>IF('Project Database'!A349="","",N('Project Database'!AC349))</f>
        <v/>
      </c>
      <c r="BK345" s="5" t="str">
        <f>IF('Project Database'!A349="","",N('Project Database'!AD349))</f>
        <v/>
      </c>
      <c r="BL345" s="5" t="str">
        <f>IF('Project Database'!A349="","",N('Project Database'!AE349))</f>
        <v/>
      </c>
      <c r="BM345" s="5" t="str">
        <f>IF('Project Database'!A349="","",N('Project Database'!AF349))</f>
        <v/>
      </c>
      <c r="BN345" s="5" t="str">
        <f>IF('Project Database'!A349="","",N('Project Database'!AG349))</f>
        <v/>
      </c>
      <c r="BO345" s="5" t="str">
        <f>IF('Project Database'!A349="","",N('Project Database'!AH349))</f>
        <v/>
      </c>
      <c r="BP345" s="5" t="str">
        <f>IF('Project Database'!A349="","",N('Project Database'!AI349))</f>
        <v/>
      </c>
      <c r="BQ345" s="5" t="str">
        <f>IF('Project Database'!A349="","",N('Project Database'!AJ349))</f>
        <v/>
      </c>
      <c r="BR345" s="5" t="str">
        <f>IF('Project Database'!A349="","",N('Project Database'!AK349))</f>
        <v/>
      </c>
      <c r="BS345" s="5" t="str">
        <f>IF('Project Database'!A349="","",N('Project Database'!AL349))</f>
        <v/>
      </c>
      <c r="BT345" s="5" t="str">
        <f>IF('Project Database'!A349="","",N('Project Database'!AM349))</f>
        <v/>
      </c>
      <c r="BU345" s="5" t="str">
        <f>IF('Project Database'!A349="","",N('Project Database'!AN349))</f>
        <v/>
      </c>
      <c r="BV345" s="5" t="str">
        <f>IF('Project Database'!A349="","",N('Project Database'!AO349))</f>
        <v/>
      </c>
      <c r="BW345" s="5" t="str">
        <f>IF('Project Database'!A349="","",N('Project Database'!AP349))</f>
        <v/>
      </c>
      <c r="BX345" s="5">
        <f t="shared" si="82"/>
        <v>0</v>
      </c>
      <c r="BY345" s="5">
        <f t="shared" si="83"/>
        <v>0</v>
      </c>
    </row>
    <row r="346" spans="1:77" ht="15" customHeight="1" x14ac:dyDescent="0.3">
      <c r="A346" s="66">
        <f>'Project Database'!A350</f>
        <v>0</v>
      </c>
      <c r="B346" s="66">
        <f>'Project Database'!B350</f>
        <v>0</v>
      </c>
      <c r="C346" s="66">
        <f>'Project Database'!G350</f>
        <v>0</v>
      </c>
      <c r="D346" s="66">
        <f>'Project Database'!H350</f>
        <v>0</v>
      </c>
      <c r="E346" s="66">
        <f>'Project Database'!I350</f>
        <v>0</v>
      </c>
      <c r="F346" s="66">
        <f>'Project Database'!J350</f>
        <v>0</v>
      </c>
      <c r="G346" s="66">
        <f>'Project Database'!K350</f>
        <v>0</v>
      </c>
      <c r="H346" s="66">
        <f>'Project Database'!L350</f>
        <v>0</v>
      </c>
      <c r="I346" s="66">
        <f>'Project Database'!M350</f>
        <v>0</v>
      </c>
      <c r="J346" s="66">
        <f>'Project Database'!N350</f>
        <v>0</v>
      </c>
      <c r="K346" s="66">
        <f>'Project Database'!O350</f>
        <v>0</v>
      </c>
      <c r="L346" s="66">
        <f>'Project Database'!P350</f>
        <v>0</v>
      </c>
      <c r="M346" s="66">
        <f>'Project Database'!Q350</f>
        <v>0</v>
      </c>
      <c r="N346" s="66">
        <f>'Project Database'!R350</f>
        <v>0</v>
      </c>
      <c r="O346" s="66">
        <f>'Project Database'!S350</f>
        <v>0</v>
      </c>
      <c r="P346" s="66">
        <f>'Project Database'!T350</f>
        <v>0</v>
      </c>
      <c r="Q346" s="66">
        <f>'Project Database'!U350</f>
        <v>0</v>
      </c>
      <c r="R346" s="66">
        <f>'Project Database'!V350</f>
        <v>0</v>
      </c>
      <c r="S346" s="66">
        <f>'Project Database'!W350</f>
        <v>0</v>
      </c>
      <c r="T346" s="66">
        <f>'Project Database'!X350</f>
        <v>0</v>
      </c>
      <c r="U346" s="67">
        <f>'Project Database'!Y350</f>
        <v>0</v>
      </c>
      <c r="V346" s="66">
        <f>IF('Smart Search'!B13=1,IFERROR(1/'Smart Search'!H13,0),0)</f>
        <v>0</v>
      </c>
      <c r="W346" s="66">
        <f>IF('Smart Search'!B13=1,IFERROR(1/'Smart Search'!H13,0),0)</f>
        <v>0</v>
      </c>
      <c r="X346" s="66">
        <f>IF('Smart Search'!C13=1,IFERROR(1/'Smart Search'!H13,0),0)</f>
        <v>0.5</v>
      </c>
      <c r="Y346" s="66">
        <f>IF('Smart Search'!C13=1,IFERROR(1/'Smart Search'!H13,0),0)</f>
        <v>0.5</v>
      </c>
      <c r="Z346" s="66">
        <f>IF('Smart Search'!D13=1,IFERROR(1/'Smart Search'!H13,0),0)</f>
        <v>0</v>
      </c>
      <c r="AA346" s="66">
        <f>IF('Smart Search'!D13=1,IFERROR(1/'Smart Search'!H13,0),0)</f>
        <v>0</v>
      </c>
      <c r="AB346" s="66">
        <f>IF('Smart Search'!E13=1,IFERROR(1/'Smart Search'!H13,0),0)</f>
        <v>0</v>
      </c>
      <c r="AC346" s="66">
        <f>IF('Smart Search'!E13=1,IFERROR(1/'Smart Search'!H13,0),0)</f>
        <v>0</v>
      </c>
      <c r="AD346" s="66">
        <f>IF('Smart Search'!F13=1,IFERROR(1/'Smart Search'!H13,0),0)</f>
        <v>0</v>
      </c>
      <c r="AE346" s="66">
        <f>IF('Smart Search'!F13=1,IFERROR(1/'Smart Search'!H13,0),0)</f>
        <v>0</v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>0</v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>0</v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>0</v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>0</v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>0</v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>0</v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>0</v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>0</v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>0</v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>0</v>
      </c>
      <c r="AP346" s="66">
        <f t="shared" si="70"/>
        <v>0</v>
      </c>
      <c r="AQ346" s="66">
        <f t="shared" si="71"/>
        <v>0</v>
      </c>
      <c r="AR346" s="66">
        <f t="shared" si="72"/>
        <v>0</v>
      </c>
      <c r="AS346" s="66">
        <f t="shared" si="73"/>
        <v>0</v>
      </c>
      <c r="AT346" s="66">
        <f t="shared" si="74"/>
        <v>0</v>
      </c>
      <c r="AU346" s="66">
        <f t="shared" si="75"/>
        <v>0</v>
      </c>
      <c r="AV346" s="66">
        <f t="shared" si="76"/>
        <v>0</v>
      </c>
      <c r="AW346" s="66">
        <f t="shared" si="77"/>
        <v>0</v>
      </c>
      <c r="AX346" s="66">
        <f t="shared" si="78"/>
        <v>0</v>
      </c>
      <c r="AY346" s="66">
        <f t="shared" si="79"/>
        <v>0</v>
      </c>
      <c r="AZ346" s="66">
        <f>'Project Database'!Z350</f>
        <v>0</v>
      </c>
      <c r="BA346" s="66">
        <f>IF(OR(A346="",'Smart Search'!H13=0),"",MAX(0,BE346*BF346*MAX(0,1-BG346)))</f>
        <v>0</v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>0</v>
      </c>
      <c r="BC346" s="66">
        <f>IF('Smart Search'!G13=1,IFERROR(1/'Smart Search'!H13,0),0)</f>
        <v>0</v>
      </c>
      <c r="BD346" s="66">
        <f t="shared" si="80"/>
        <v>0</v>
      </c>
      <c r="BE346" s="66">
        <f t="shared" si="81"/>
        <v>0</v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>0</v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>0</v>
      </c>
      <c r="BH346" s="5" t="str">
        <f>IF(AND('Project Database'!A350&lt;&gt;"",OR('Smart Search'!$L$5="",'Smart Search'!$L$5="All",TRIM('Project Database'!D350)=TRIM('Smart Search'!$L$5)),OR(TRIM('Smart Search'!$L$6)="",TRIM('Smart Search'!$L$6)="All",ISNUMBER(SEARCH(SUBSTITUTE(SUBSTITUTE(SUBSTITUTE(TRIM('Smart Search'!$L$6),"~","~~"),"*","~*"),"?","~?"),'Project Database'!C350))),OR('Smart Search'!$L$7="",AND('Project Database'!E350&lt;&gt;"",'Project Database'!E350='Smart Search'!$L$7)),OR('Smart Search'!$L$8="",'Smart Search'!$L$8="All",TRIM('Project Database'!F350)=TRIM('Smart Search'!$L$8))),IF(BA346="","",BA346+ROW()*0.0000000001),"")</f>
        <v/>
      </c>
      <c r="BI346" s="5" t="str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 t="str">
        <f>IF('Project Database'!A350="","",N('Project Database'!AC350))</f>
        <v/>
      </c>
      <c r="BK346" s="5" t="str">
        <f>IF('Project Database'!A350="","",N('Project Database'!AD350))</f>
        <v/>
      </c>
      <c r="BL346" s="5" t="str">
        <f>IF('Project Database'!A350="","",N('Project Database'!AE350))</f>
        <v/>
      </c>
      <c r="BM346" s="5" t="str">
        <f>IF('Project Database'!A350="","",N('Project Database'!AF350))</f>
        <v/>
      </c>
      <c r="BN346" s="5" t="str">
        <f>IF('Project Database'!A350="","",N('Project Database'!AG350))</f>
        <v/>
      </c>
      <c r="BO346" s="5" t="str">
        <f>IF('Project Database'!A350="","",N('Project Database'!AH350))</f>
        <v/>
      </c>
      <c r="BP346" s="5" t="str">
        <f>IF('Project Database'!A350="","",N('Project Database'!AI350))</f>
        <v/>
      </c>
      <c r="BQ346" s="5" t="str">
        <f>IF('Project Database'!A350="","",N('Project Database'!AJ350))</f>
        <v/>
      </c>
      <c r="BR346" s="5" t="str">
        <f>IF('Project Database'!A350="","",N('Project Database'!AK350))</f>
        <v/>
      </c>
      <c r="BS346" s="5" t="str">
        <f>IF('Project Database'!A350="","",N('Project Database'!AL350))</f>
        <v/>
      </c>
      <c r="BT346" s="5" t="str">
        <f>IF('Project Database'!A350="","",N('Project Database'!AM350))</f>
        <v/>
      </c>
      <c r="BU346" s="5" t="str">
        <f>IF('Project Database'!A350="","",N('Project Database'!AN350))</f>
        <v/>
      </c>
      <c r="BV346" s="5" t="str">
        <f>IF('Project Database'!A350="","",N('Project Database'!AO350))</f>
        <v/>
      </c>
      <c r="BW346" s="5" t="str">
        <f>IF('Project Database'!A350="","",N('Project Database'!AP350))</f>
        <v/>
      </c>
      <c r="BX346" s="5">
        <f t="shared" si="82"/>
        <v>0</v>
      </c>
      <c r="BY346" s="5">
        <f t="shared" si="83"/>
        <v>0</v>
      </c>
    </row>
    <row r="347" spans="1:77" ht="15" customHeight="1" x14ac:dyDescent="0.3">
      <c r="A347" s="66">
        <f>'Project Database'!A351</f>
        <v>0</v>
      </c>
      <c r="B347" s="66">
        <f>'Project Database'!B351</f>
        <v>0</v>
      </c>
      <c r="C347" s="66">
        <f>'Project Database'!G351</f>
        <v>0</v>
      </c>
      <c r="D347" s="66">
        <f>'Project Database'!H351</f>
        <v>0</v>
      </c>
      <c r="E347" s="66">
        <f>'Project Database'!I351</f>
        <v>0</v>
      </c>
      <c r="F347" s="66">
        <f>'Project Database'!J351</f>
        <v>0</v>
      </c>
      <c r="G347" s="66">
        <f>'Project Database'!K351</f>
        <v>0</v>
      </c>
      <c r="H347" s="66">
        <f>'Project Database'!L351</f>
        <v>0</v>
      </c>
      <c r="I347" s="66">
        <f>'Project Database'!M351</f>
        <v>0</v>
      </c>
      <c r="J347" s="66">
        <f>'Project Database'!N351</f>
        <v>0</v>
      </c>
      <c r="K347" s="66">
        <f>'Project Database'!O351</f>
        <v>0</v>
      </c>
      <c r="L347" s="66">
        <f>'Project Database'!P351</f>
        <v>0</v>
      </c>
      <c r="M347" s="66">
        <f>'Project Database'!Q351</f>
        <v>0</v>
      </c>
      <c r="N347" s="66">
        <f>'Project Database'!R351</f>
        <v>0</v>
      </c>
      <c r="O347" s="66">
        <f>'Project Database'!S351</f>
        <v>0</v>
      </c>
      <c r="P347" s="66">
        <f>'Project Database'!T351</f>
        <v>0</v>
      </c>
      <c r="Q347" s="66">
        <f>'Project Database'!U351</f>
        <v>0</v>
      </c>
      <c r="R347" s="66">
        <f>'Project Database'!V351</f>
        <v>0</v>
      </c>
      <c r="S347" s="66">
        <f>'Project Database'!W351</f>
        <v>0</v>
      </c>
      <c r="T347" s="66">
        <f>'Project Database'!X351</f>
        <v>0</v>
      </c>
      <c r="U347" s="67">
        <f>'Project Database'!Y351</f>
        <v>0</v>
      </c>
      <c r="V347" s="66">
        <f>IF('Smart Search'!B13=1,IFERROR(1/'Smart Search'!H13,0),0)</f>
        <v>0</v>
      </c>
      <c r="W347" s="66">
        <f>IF('Smart Search'!B13=1,IFERROR(1/'Smart Search'!H13,0),0)</f>
        <v>0</v>
      </c>
      <c r="X347" s="66">
        <f>IF('Smart Search'!C13=1,IFERROR(1/'Smart Search'!H13,0),0)</f>
        <v>0.5</v>
      </c>
      <c r="Y347" s="66">
        <f>IF('Smart Search'!C13=1,IFERROR(1/'Smart Search'!H13,0),0)</f>
        <v>0.5</v>
      </c>
      <c r="Z347" s="66">
        <f>IF('Smart Search'!D13=1,IFERROR(1/'Smart Search'!H13,0),0)</f>
        <v>0</v>
      </c>
      <c r="AA347" s="66">
        <f>IF('Smart Search'!D13=1,IFERROR(1/'Smart Search'!H13,0),0)</f>
        <v>0</v>
      </c>
      <c r="AB347" s="66">
        <f>IF('Smart Search'!E13=1,IFERROR(1/'Smart Search'!H13,0),0)</f>
        <v>0</v>
      </c>
      <c r="AC347" s="66">
        <f>IF('Smart Search'!E13=1,IFERROR(1/'Smart Search'!H13,0),0)</f>
        <v>0</v>
      </c>
      <c r="AD347" s="66">
        <f>IF('Smart Search'!F13=1,IFERROR(1/'Smart Search'!H13,0),0)</f>
        <v>0</v>
      </c>
      <c r="AE347" s="66">
        <f>IF('Smart Search'!F13=1,IFERROR(1/'Smart Search'!H13,0),0)</f>
        <v>0</v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>0</v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>0</v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>0</v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>0</v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>0</v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>0</v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>0</v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>0</v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>0</v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>0</v>
      </c>
      <c r="AP347" s="66">
        <f t="shared" si="70"/>
        <v>0</v>
      </c>
      <c r="AQ347" s="66">
        <f t="shared" si="71"/>
        <v>0</v>
      </c>
      <c r="AR347" s="66">
        <f t="shared" si="72"/>
        <v>0</v>
      </c>
      <c r="AS347" s="66">
        <f t="shared" si="73"/>
        <v>0</v>
      </c>
      <c r="AT347" s="66">
        <f t="shared" si="74"/>
        <v>0</v>
      </c>
      <c r="AU347" s="66">
        <f t="shared" si="75"/>
        <v>0</v>
      </c>
      <c r="AV347" s="66">
        <f t="shared" si="76"/>
        <v>0</v>
      </c>
      <c r="AW347" s="66">
        <f t="shared" si="77"/>
        <v>0</v>
      </c>
      <c r="AX347" s="66">
        <f t="shared" si="78"/>
        <v>0</v>
      </c>
      <c r="AY347" s="66">
        <f t="shared" si="79"/>
        <v>0</v>
      </c>
      <c r="AZ347" s="66">
        <f>'Project Database'!Z351</f>
        <v>0</v>
      </c>
      <c r="BA347" s="66">
        <f>IF(OR(A347="",'Smart Search'!H13=0),"",MAX(0,BE347*BF347*MAX(0,1-BG347)))</f>
        <v>0</v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>0</v>
      </c>
      <c r="BC347" s="66">
        <f>IF('Smart Search'!G13=1,IFERROR(1/'Smart Search'!H13,0),0)</f>
        <v>0</v>
      </c>
      <c r="BD347" s="66">
        <f t="shared" si="80"/>
        <v>0</v>
      </c>
      <c r="BE347" s="66">
        <f t="shared" si="81"/>
        <v>0</v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>0</v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>0</v>
      </c>
      <c r="BH347" s="5" t="str">
        <f>IF(AND('Project Database'!A351&lt;&gt;"",OR('Smart Search'!$L$5="",'Smart Search'!$L$5="All",TRIM('Project Database'!D351)=TRIM('Smart Search'!$L$5)),OR(TRIM('Smart Search'!$L$6)="",TRIM('Smart Search'!$L$6)="All",ISNUMBER(SEARCH(SUBSTITUTE(SUBSTITUTE(SUBSTITUTE(TRIM('Smart Search'!$L$6),"~","~~"),"*","~*"),"?","~?"),'Project Database'!C351))),OR('Smart Search'!$L$7="",AND('Project Database'!E351&lt;&gt;"",'Project Database'!E351='Smart Search'!$L$7)),OR('Smart Search'!$L$8="",'Smart Search'!$L$8="All",TRIM('Project Database'!F351)=TRIM('Smart Search'!$L$8))),IF(BA347="","",BA347+ROW()*0.0000000001),"")</f>
        <v/>
      </c>
      <c r="BI347" s="5" t="str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 t="str">
        <f>IF('Project Database'!A351="","",N('Project Database'!AC351))</f>
        <v/>
      </c>
      <c r="BK347" s="5" t="str">
        <f>IF('Project Database'!A351="","",N('Project Database'!AD351))</f>
        <v/>
      </c>
      <c r="BL347" s="5" t="str">
        <f>IF('Project Database'!A351="","",N('Project Database'!AE351))</f>
        <v/>
      </c>
      <c r="BM347" s="5" t="str">
        <f>IF('Project Database'!A351="","",N('Project Database'!AF351))</f>
        <v/>
      </c>
      <c r="BN347" s="5" t="str">
        <f>IF('Project Database'!A351="","",N('Project Database'!AG351))</f>
        <v/>
      </c>
      <c r="BO347" s="5" t="str">
        <f>IF('Project Database'!A351="","",N('Project Database'!AH351))</f>
        <v/>
      </c>
      <c r="BP347" s="5" t="str">
        <f>IF('Project Database'!A351="","",N('Project Database'!AI351))</f>
        <v/>
      </c>
      <c r="BQ347" s="5" t="str">
        <f>IF('Project Database'!A351="","",N('Project Database'!AJ351))</f>
        <v/>
      </c>
      <c r="BR347" s="5" t="str">
        <f>IF('Project Database'!A351="","",N('Project Database'!AK351))</f>
        <v/>
      </c>
      <c r="BS347" s="5" t="str">
        <f>IF('Project Database'!A351="","",N('Project Database'!AL351))</f>
        <v/>
      </c>
      <c r="BT347" s="5" t="str">
        <f>IF('Project Database'!A351="","",N('Project Database'!AM351))</f>
        <v/>
      </c>
      <c r="BU347" s="5" t="str">
        <f>IF('Project Database'!A351="","",N('Project Database'!AN351))</f>
        <v/>
      </c>
      <c r="BV347" s="5" t="str">
        <f>IF('Project Database'!A351="","",N('Project Database'!AO351))</f>
        <v/>
      </c>
      <c r="BW347" s="5" t="str">
        <f>IF('Project Database'!A351="","",N('Project Database'!AP351))</f>
        <v/>
      </c>
      <c r="BX347" s="5">
        <f t="shared" si="82"/>
        <v>0</v>
      </c>
      <c r="BY347" s="5">
        <f t="shared" si="83"/>
        <v>0</v>
      </c>
    </row>
    <row r="348" spans="1:77" ht="15" customHeight="1" x14ac:dyDescent="0.3">
      <c r="A348" s="66">
        <f>'Project Database'!A352</f>
        <v>0</v>
      </c>
      <c r="B348" s="66">
        <f>'Project Database'!B352</f>
        <v>0</v>
      </c>
      <c r="C348" s="66">
        <f>'Project Database'!G352</f>
        <v>0</v>
      </c>
      <c r="D348" s="66">
        <f>'Project Database'!H352</f>
        <v>0</v>
      </c>
      <c r="E348" s="66">
        <f>'Project Database'!I352</f>
        <v>0</v>
      </c>
      <c r="F348" s="66">
        <f>'Project Database'!J352</f>
        <v>0</v>
      </c>
      <c r="G348" s="66">
        <f>'Project Database'!K352</f>
        <v>0</v>
      </c>
      <c r="H348" s="66">
        <f>'Project Database'!L352</f>
        <v>0</v>
      </c>
      <c r="I348" s="66">
        <f>'Project Database'!M352</f>
        <v>0</v>
      </c>
      <c r="J348" s="66">
        <f>'Project Database'!N352</f>
        <v>0</v>
      </c>
      <c r="K348" s="66">
        <f>'Project Database'!O352</f>
        <v>0</v>
      </c>
      <c r="L348" s="66">
        <f>'Project Database'!P352</f>
        <v>0</v>
      </c>
      <c r="M348" s="66">
        <f>'Project Database'!Q352</f>
        <v>0</v>
      </c>
      <c r="N348" s="66">
        <f>'Project Database'!R352</f>
        <v>0</v>
      </c>
      <c r="O348" s="66">
        <f>'Project Database'!S352</f>
        <v>0</v>
      </c>
      <c r="P348" s="66">
        <f>'Project Database'!T352</f>
        <v>0</v>
      </c>
      <c r="Q348" s="66">
        <f>'Project Database'!U352</f>
        <v>0</v>
      </c>
      <c r="R348" s="66">
        <f>'Project Database'!V352</f>
        <v>0</v>
      </c>
      <c r="S348" s="66">
        <f>'Project Database'!W352</f>
        <v>0</v>
      </c>
      <c r="T348" s="66">
        <f>'Project Database'!X352</f>
        <v>0</v>
      </c>
      <c r="U348" s="67">
        <f>'Project Database'!Y352</f>
        <v>0</v>
      </c>
      <c r="V348" s="66">
        <f>IF('Smart Search'!B13=1,IFERROR(1/'Smart Search'!H13,0),0)</f>
        <v>0</v>
      </c>
      <c r="W348" s="66">
        <f>IF('Smart Search'!B13=1,IFERROR(1/'Smart Search'!H13,0),0)</f>
        <v>0</v>
      </c>
      <c r="X348" s="66">
        <f>IF('Smart Search'!C13=1,IFERROR(1/'Smart Search'!H13,0),0)</f>
        <v>0.5</v>
      </c>
      <c r="Y348" s="66">
        <f>IF('Smart Search'!C13=1,IFERROR(1/'Smart Search'!H13,0),0)</f>
        <v>0.5</v>
      </c>
      <c r="Z348" s="66">
        <f>IF('Smart Search'!D13=1,IFERROR(1/'Smart Search'!H13,0),0)</f>
        <v>0</v>
      </c>
      <c r="AA348" s="66">
        <f>IF('Smart Search'!D13=1,IFERROR(1/'Smart Search'!H13,0),0)</f>
        <v>0</v>
      </c>
      <c r="AB348" s="66">
        <f>IF('Smart Search'!E13=1,IFERROR(1/'Smart Search'!H13,0),0)</f>
        <v>0</v>
      </c>
      <c r="AC348" s="66">
        <f>IF('Smart Search'!E13=1,IFERROR(1/'Smart Search'!H13,0),0)</f>
        <v>0</v>
      </c>
      <c r="AD348" s="66">
        <f>IF('Smart Search'!F13=1,IFERROR(1/'Smart Search'!H13,0),0)</f>
        <v>0</v>
      </c>
      <c r="AE348" s="66">
        <f>IF('Smart Search'!F13=1,IFERROR(1/'Smart Search'!H13,0),0)</f>
        <v>0</v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>0</v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>0</v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>0</v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>0</v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>0</v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>0</v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>0</v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>0</v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>0</v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>0</v>
      </c>
      <c r="AP348" s="66">
        <f t="shared" si="70"/>
        <v>0</v>
      </c>
      <c r="AQ348" s="66">
        <f t="shared" si="71"/>
        <v>0</v>
      </c>
      <c r="AR348" s="66">
        <f t="shared" si="72"/>
        <v>0</v>
      </c>
      <c r="AS348" s="66">
        <f t="shared" si="73"/>
        <v>0</v>
      </c>
      <c r="AT348" s="66">
        <f t="shared" si="74"/>
        <v>0</v>
      </c>
      <c r="AU348" s="66">
        <f t="shared" si="75"/>
        <v>0</v>
      </c>
      <c r="AV348" s="66">
        <f t="shared" si="76"/>
        <v>0</v>
      </c>
      <c r="AW348" s="66">
        <f t="shared" si="77"/>
        <v>0</v>
      </c>
      <c r="AX348" s="66">
        <f t="shared" si="78"/>
        <v>0</v>
      </c>
      <c r="AY348" s="66">
        <f t="shared" si="79"/>
        <v>0</v>
      </c>
      <c r="AZ348" s="66">
        <f>'Project Database'!Z352</f>
        <v>0</v>
      </c>
      <c r="BA348" s="66">
        <f>IF(OR(A348="",'Smart Search'!H13=0),"",MAX(0,BE348*BF348*MAX(0,1-BG348)))</f>
        <v>0</v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>0</v>
      </c>
      <c r="BC348" s="66">
        <f>IF('Smart Search'!G13=1,IFERROR(1/'Smart Search'!H13,0),0)</f>
        <v>0</v>
      </c>
      <c r="BD348" s="66">
        <f t="shared" si="80"/>
        <v>0</v>
      </c>
      <c r="BE348" s="66">
        <f t="shared" si="81"/>
        <v>0</v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>0</v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>0</v>
      </c>
      <c r="BH348" s="5" t="str">
        <f>IF(AND('Project Database'!A352&lt;&gt;"",OR('Smart Search'!$L$5="",'Smart Search'!$L$5="All",TRIM('Project Database'!D352)=TRIM('Smart Search'!$L$5)),OR(TRIM('Smart Search'!$L$6)="",TRIM('Smart Search'!$L$6)="All",ISNUMBER(SEARCH(SUBSTITUTE(SUBSTITUTE(SUBSTITUTE(TRIM('Smart Search'!$L$6),"~","~~"),"*","~*"),"?","~?"),'Project Database'!C352))),OR('Smart Search'!$L$7="",AND('Project Database'!E352&lt;&gt;"",'Project Database'!E352='Smart Search'!$L$7)),OR('Smart Search'!$L$8="",'Smart Search'!$L$8="All",TRIM('Project Database'!F352)=TRIM('Smart Search'!$L$8))),IF(BA348="","",BA348+ROW()*0.0000000001),"")</f>
        <v/>
      </c>
      <c r="BI348" s="5" t="str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 t="str">
        <f>IF('Project Database'!A352="","",N('Project Database'!AC352))</f>
        <v/>
      </c>
      <c r="BK348" s="5" t="str">
        <f>IF('Project Database'!A352="","",N('Project Database'!AD352))</f>
        <v/>
      </c>
      <c r="BL348" s="5" t="str">
        <f>IF('Project Database'!A352="","",N('Project Database'!AE352))</f>
        <v/>
      </c>
      <c r="BM348" s="5" t="str">
        <f>IF('Project Database'!A352="","",N('Project Database'!AF352))</f>
        <v/>
      </c>
      <c r="BN348" s="5" t="str">
        <f>IF('Project Database'!A352="","",N('Project Database'!AG352))</f>
        <v/>
      </c>
      <c r="BO348" s="5" t="str">
        <f>IF('Project Database'!A352="","",N('Project Database'!AH352))</f>
        <v/>
      </c>
      <c r="BP348" s="5" t="str">
        <f>IF('Project Database'!A352="","",N('Project Database'!AI352))</f>
        <v/>
      </c>
      <c r="BQ348" s="5" t="str">
        <f>IF('Project Database'!A352="","",N('Project Database'!AJ352))</f>
        <v/>
      </c>
      <c r="BR348" s="5" t="str">
        <f>IF('Project Database'!A352="","",N('Project Database'!AK352))</f>
        <v/>
      </c>
      <c r="BS348" s="5" t="str">
        <f>IF('Project Database'!A352="","",N('Project Database'!AL352))</f>
        <v/>
      </c>
      <c r="BT348" s="5" t="str">
        <f>IF('Project Database'!A352="","",N('Project Database'!AM352))</f>
        <v/>
      </c>
      <c r="BU348" s="5" t="str">
        <f>IF('Project Database'!A352="","",N('Project Database'!AN352))</f>
        <v/>
      </c>
      <c r="BV348" s="5" t="str">
        <f>IF('Project Database'!A352="","",N('Project Database'!AO352))</f>
        <v/>
      </c>
      <c r="BW348" s="5" t="str">
        <f>IF('Project Database'!A352="","",N('Project Database'!AP352))</f>
        <v/>
      </c>
      <c r="BX348" s="5">
        <f t="shared" si="82"/>
        <v>0</v>
      </c>
      <c r="BY348" s="5">
        <f t="shared" si="83"/>
        <v>0</v>
      </c>
    </row>
    <row r="349" spans="1:77" ht="15" customHeight="1" x14ac:dyDescent="0.3">
      <c r="A349" s="66">
        <f>'Project Database'!A353</f>
        <v>0</v>
      </c>
      <c r="B349" s="66">
        <f>'Project Database'!B353</f>
        <v>0</v>
      </c>
      <c r="C349" s="66">
        <f>'Project Database'!G353</f>
        <v>0</v>
      </c>
      <c r="D349" s="66">
        <f>'Project Database'!H353</f>
        <v>0</v>
      </c>
      <c r="E349" s="66">
        <f>'Project Database'!I353</f>
        <v>0</v>
      </c>
      <c r="F349" s="66">
        <f>'Project Database'!J353</f>
        <v>0</v>
      </c>
      <c r="G349" s="66">
        <f>'Project Database'!K353</f>
        <v>0</v>
      </c>
      <c r="H349" s="66">
        <f>'Project Database'!L353</f>
        <v>0</v>
      </c>
      <c r="I349" s="66">
        <f>'Project Database'!M353</f>
        <v>0</v>
      </c>
      <c r="J349" s="66">
        <f>'Project Database'!N353</f>
        <v>0</v>
      </c>
      <c r="K349" s="66">
        <f>'Project Database'!O353</f>
        <v>0</v>
      </c>
      <c r="L349" s="66">
        <f>'Project Database'!P353</f>
        <v>0</v>
      </c>
      <c r="M349" s="66">
        <f>'Project Database'!Q353</f>
        <v>0</v>
      </c>
      <c r="N349" s="66">
        <f>'Project Database'!R353</f>
        <v>0</v>
      </c>
      <c r="O349" s="66">
        <f>'Project Database'!S353</f>
        <v>0</v>
      </c>
      <c r="P349" s="66">
        <f>'Project Database'!T353</f>
        <v>0</v>
      </c>
      <c r="Q349" s="66">
        <f>'Project Database'!U353</f>
        <v>0</v>
      </c>
      <c r="R349" s="66">
        <f>'Project Database'!V353</f>
        <v>0</v>
      </c>
      <c r="S349" s="66">
        <f>'Project Database'!W353</f>
        <v>0</v>
      </c>
      <c r="T349" s="66">
        <f>'Project Database'!X353</f>
        <v>0</v>
      </c>
      <c r="U349" s="67">
        <f>'Project Database'!Y353</f>
        <v>0</v>
      </c>
      <c r="V349" s="66">
        <f>IF('Smart Search'!B13=1,IFERROR(1/'Smart Search'!H13,0),0)</f>
        <v>0</v>
      </c>
      <c r="W349" s="66">
        <f>IF('Smart Search'!B13=1,IFERROR(1/'Smart Search'!H13,0),0)</f>
        <v>0</v>
      </c>
      <c r="X349" s="66">
        <f>IF('Smart Search'!C13=1,IFERROR(1/'Smart Search'!H13,0),0)</f>
        <v>0.5</v>
      </c>
      <c r="Y349" s="66">
        <f>IF('Smart Search'!C13=1,IFERROR(1/'Smart Search'!H13,0),0)</f>
        <v>0.5</v>
      </c>
      <c r="Z349" s="66">
        <f>IF('Smart Search'!D13=1,IFERROR(1/'Smart Search'!H13,0),0)</f>
        <v>0</v>
      </c>
      <c r="AA349" s="66">
        <f>IF('Smart Search'!D13=1,IFERROR(1/'Smart Search'!H13,0),0)</f>
        <v>0</v>
      </c>
      <c r="AB349" s="66">
        <f>IF('Smart Search'!E13=1,IFERROR(1/'Smart Search'!H13,0),0)</f>
        <v>0</v>
      </c>
      <c r="AC349" s="66">
        <f>IF('Smart Search'!E13=1,IFERROR(1/'Smart Search'!H13,0),0)</f>
        <v>0</v>
      </c>
      <c r="AD349" s="66">
        <f>IF('Smart Search'!F13=1,IFERROR(1/'Smart Search'!H13,0),0)</f>
        <v>0</v>
      </c>
      <c r="AE349" s="66">
        <f>IF('Smart Search'!F13=1,IFERROR(1/'Smart Search'!H13,0),0)</f>
        <v>0</v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>0</v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>0</v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>0</v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>0</v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>0</v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>0</v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>0</v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>0</v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>0</v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>0</v>
      </c>
      <c r="AP349" s="66">
        <f t="shared" si="70"/>
        <v>0</v>
      </c>
      <c r="AQ349" s="66">
        <f t="shared" si="71"/>
        <v>0</v>
      </c>
      <c r="AR349" s="66">
        <f t="shared" si="72"/>
        <v>0</v>
      </c>
      <c r="AS349" s="66">
        <f t="shared" si="73"/>
        <v>0</v>
      </c>
      <c r="AT349" s="66">
        <f t="shared" si="74"/>
        <v>0</v>
      </c>
      <c r="AU349" s="66">
        <f t="shared" si="75"/>
        <v>0</v>
      </c>
      <c r="AV349" s="66">
        <f t="shared" si="76"/>
        <v>0</v>
      </c>
      <c r="AW349" s="66">
        <f t="shared" si="77"/>
        <v>0</v>
      </c>
      <c r="AX349" s="66">
        <f t="shared" si="78"/>
        <v>0</v>
      </c>
      <c r="AY349" s="66">
        <f t="shared" si="79"/>
        <v>0</v>
      </c>
      <c r="AZ349" s="66">
        <f>'Project Database'!Z353</f>
        <v>0</v>
      </c>
      <c r="BA349" s="66">
        <f>IF(OR(A349="",'Smart Search'!H13=0),"",MAX(0,BE349*BF349*MAX(0,1-BG349)))</f>
        <v>0</v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>0</v>
      </c>
      <c r="BC349" s="66">
        <f>IF('Smart Search'!G13=1,IFERROR(1/'Smart Search'!H13,0),0)</f>
        <v>0</v>
      </c>
      <c r="BD349" s="66">
        <f t="shared" si="80"/>
        <v>0</v>
      </c>
      <c r="BE349" s="66">
        <f t="shared" si="81"/>
        <v>0</v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>0</v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>0</v>
      </c>
      <c r="BH349" s="5" t="str">
        <f>IF(AND('Project Database'!A353&lt;&gt;"",OR('Smart Search'!$L$5="",'Smart Search'!$L$5="All",TRIM('Project Database'!D353)=TRIM('Smart Search'!$L$5)),OR(TRIM('Smart Search'!$L$6)="",TRIM('Smart Search'!$L$6)="All",ISNUMBER(SEARCH(SUBSTITUTE(SUBSTITUTE(SUBSTITUTE(TRIM('Smart Search'!$L$6),"~","~~"),"*","~*"),"?","~?"),'Project Database'!C353))),OR('Smart Search'!$L$7="",AND('Project Database'!E353&lt;&gt;"",'Project Database'!E353='Smart Search'!$L$7)),OR('Smart Search'!$L$8="",'Smart Search'!$L$8="All",TRIM('Project Database'!F353)=TRIM('Smart Search'!$L$8))),IF(BA349="","",BA349+ROW()*0.0000000001),"")</f>
        <v/>
      </c>
      <c r="BI349" s="5" t="str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 t="str">
        <f>IF('Project Database'!A353="","",N('Project Database'!AC353))</f>
        <v/>
      </c>
      <c r="BK349" s="5" t="str">
        <f>IF('Project Database'!A353="","",N('Project Database'!AD353))</f>
        <v/>
      </c>
      <c r="BL349" s="5" t="str">
        <f>IF('Project Database'!A353="","",N('Project Database'!AE353))</f>
        <v/>
      </c>
      <c r="BM349" s="5" t="str">
        <f>IF('Project Database'!A353="","",N('Project Database'!AF353))</f>
        <v/>
      </c>
      <c r="BN349" s="5" t="str">
        <f>IF('Project Database'!A353="","",N('Project Database'!AG353))</f>
        <v/>
      </c>
      <c r="BO349" s="5" t="str">
        <f>IF('Project Database'!A353="","",N('Project Database'!AH353))</f>
        <v/>
      </c>
      <c r="BP349" s="5" t="str">
        <f>IF('Project Database'!A353="","",N('Project Database'!AI353))</f>
        <v/>
      </c>
      <c r="BQ349" s="5" t="str">
        <f>IF('Project Database'!A353="","",N('Project Database'!AJ353))</f>
        <v/>
      </c>
      <c r="BR349" s="5" t="str">
        <f>IF('Project Database'!A353="","",N('Project Database'!AK353))</f>
        <v/>
      </c>
      <c r="BS349" s="5" t="str">
        <f>IF('Project Database'!A353="","",N('Project Database'!AL353))</f>
        <v/>
      </c>
      <c r="BT349" s="5" t="str">
        <f>IF('Project Database'!A353="","",N('Project Database'!AM353))</f>
        <v/>
      </c>
      <c r="BU349" s="5" t="str">
        <f>IF('Project Database'!A353="","",N('Project Database'!AN353))</f>
        <v/>
      </c>
      <c r="BV349" s="5" t="str">
        <f>IF('Project Database'!A353="","",N('Project Database'!AO353))</f>
        <v/>
      </c>
      <c r="BW349" s="5" t="str">
        <f>IF('Project Database'!A353="","",N('Project Database'!AP353))</f>
        <v/>
      </c>
      <c r="BX349" s="5">
        <f t="shared" si="82"/>
        <v>0</v>
      </c>
      <c r="BY349" s="5">
        <f t="shared" si="83"/>
        <v>0</v>
      </c>
    </row>
    <row r="350" spans="1:77" ht="15" customHeight="1" x14ac:dyDescent="0.3">
      <c r="A350" s="66">
        <f>'Project Database'!A354</f>
        <v>0</v>
      </c>
      <c r="B350" s="66">
        <f>'Project Database'!B354</f>
        <v>0</v>
      </c>
      <c r="C350" s="66">
        <f>'Project Database'!G354</f>
        <v>0</v>
      </c>
      <c r="D350" s="66">
        <f>'Project Database'!H354</f>
        <v>0</v>
      </c>
      <c r="E350" s="66">
        <f>'Project Database'!I354</f>
        <v>0</v>
      </c>
      <c r="F350" s="66">
        <f>'Project Database'!J354</f>
        <v>0</v>
      </c>
      <c r="G350" s="66">
        <f>'Project Database'!K354</f>
        <v>0</v>
      </c>
      <c r="H350" s="66">
        <f>'Project Database'!L354</f>
        <v>0</v>
      </c>
      <c r="I350" s="66">
        <f>'Project Database'!M354</f>
        <v>0</v>
      </c>
      <c r="J350" s="66">
        <f>'Project Database'!N354</f>
        <v>0</v>
      </c>
      <c r="K350" s="66">
        <f>'Project Database'!O354</f>
        <v>0</v>
      </c>
      <c r="L350" s="66">
        <f>'Project Database'!P354</f>
        <v>0</v>
      </c>
      <c r="M350" s="66">
        <f>'Project Database'!Q354</f>
        <v>0</v>
      </c>
      <c r="N350" s="66">
        <f>'Project Database'!R354</f>
        <v>0</v>
      </c>
      <c r="O350" s="66">
        <f>'Project Database'!S354</f>
        <v>0</v>
      </c>
      <c r="P350" s="66">
        <f>'Project Database'!T354</f>
        <v>0</v>
      </c>
      <c r="Q350" s="66">
        <f>'Project Database'!U354</f>
        <v>0</v>
      </c>
      <c r="R350" s="66">
        <f>'Project Database'!V354</f>
        <v>0</v>
      </c>
      <c r="S350" s="66">
        <f>'Project Database'!W354</f>
        <v>0</v>
      </c>
      <c r="T350" s="66">
        <f>'Project Database'!X354</f>
        <v>0</v>
      </c>
      <c r="U350" s="67">
        <f>'Project Database'!Y354</f>
        <v>0</v>
      </c>
      <c r="V350" s="66">
        <f>IF('Smart Search'!B13=1,IFERROR(1/'Smart Search'!H13,0),0)</f>
        <v>0</v>
      </c>
      <c r="W350" s="66">
        <f>IF('Smart Search'!B13=1,IFERROR(1/'Smart Search'!H13,0),0)</f>
        <v>0</v>
      </c>
      <c r="X350" s="66">
        <f>IF('Smart Search'!C13=1,IFERROR(1/'Smart Search'!H13,0),0)</f>
        <v>0.5</v>
      </c>
      <c r="Y350" s="66">
        <f>IF('Smart Search'!C13=1,IFERROR(1/'Smart Search'!H13,0),0)</f>
        <v>0.5</v>
      </c>
      <c r="Z350" s="66">
        <f>IF('Smart Search'!D13=1,IFERROR(1/'Smart Search'!H13,0),0)</f>
        <v>0</v>
      </c>
      <c r="AA350" s="66">
        <f>IF('Smart Search'!D13=1,IFERROR(1/'Smart Search'!H13,0),0)</f>
        <v>0</v>
      </c>
      <c r="AB350" s="66">
        <f>IF('Smart Search'!E13=1,IFERROR(1/'Smart Search'!H13,0),0)</f>
        <v>0</v>
      </c>
      <c r="AC350" s="66">
        <f>IF('Smart Search'!E13=1,IFERROR(1/'Smart Search'!H13,0),0)</f>
        <v>0</v>
      </c>
      <c r="AD350" s="66">
        <f>IF('Smart Search'!F13=1,IFERROR(1/'Smart Search'!H13,0),0)</f>
        <v>0</v>
      </c>
      <c r="AE350" s="66">
        <f>IF('Smart Search'!F13=1,IFERROR(1/'Smart Search'!H13,0),0)</f>
        <v>0</v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>0</v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>0</v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>0</v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>0</v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>0</v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>0</v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>0</v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>0</v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>0</v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>0</v>
      </c>
      <c r="AP350" s="66">
        <f t="shared" si="70"/>
        <v>0</v>
      </c>
      <c r="AQ350" s="66">
        <f t="shared" si="71"/>
        <v>0</v>
      </c>
      <c r="AR350" s="66">
        <f t="shared" si="72"/>
        <v>0</v>
      </c>
      <c r="AS350" s="66">
        <f t="shared" si="73"/>
        <v>0</v>
      </c>
      <c r="AT350" s="66">
        <f t="shared" si="74"/>
        <v>0</v>
      </c>
      <c r="AU350" s="66">
        <f t="shared" si="75"/>
        <v>0</v>
      </c>
      <c r="AV350" s="66">
        <f t="shared" si="76"/>
        <v>0</v>
      </c>
      <c r="AW350" s="66">
        <f t="shared" si="77"/>
        <v>0</v>
      </c>
      <c r="AX350" s="66">
        <f t="shared" si="78"/>
        <v>0</v>
      </c>
      <c r="AY350" s="66">
        <f t="shared" si="79"/>
        <v>0</v>
      </c>
      <c r="AZ350" s="66">
        <f>'Project Database'!Z354</f>
        <v>0</v>
      </c>
      <c r="BA350" s="66">
        <f>IF(OR(A350="",'Smart Search'!H13=0),"",MAX(0,BE350*BF350*MAX(0,1-BG350)))</f>
        <v>0</v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>0</v>
      </c>
      <c r="BC350" s="66">
        <f>IF('Smart Search'!G13=1,IFERROR(1/'Smart Search'!H13,0),0)</f>
        <v>0</v>
      </c>
      <c r="BD350" s="66">
        <f t="shared" si="80"/>
        <v>0</v>
      </c>
      <c r="BE350" s="66">
        <f t="shared" si="81"/>
        <v>0</v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>0</v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>0</v>
      </c>
      <c r="BH350" s="5" t="str">
        <f>IF(AND('Project Database'!A354&lt;&gt;"",OR('Smart Search'!$L$5="",'Smart Search'!$L$5="All",TRIM('Project Database'!D354)=TRIM('Smart Search'!$L$5)),OR(TRIM('Smart Search'!$L$6)="",TRIM('Smart Search'!$L$6)="All",ISNUMBER(SEARCH(SUBSTITUTE(SUBSTITUTE(SUBSTITUTE(TRIM('Smart Search'!$L$6),"~","~~"),"*","~*"),"?","~?"),'Project Database'!C354))),OR('Smart Search'!$L$7="",AND('Project Database'!E354&lt;&gt;"",'Project Database'!E354='Smart Search'!$L$7)),OR('Smart Search'!$L$8="",'Smart Search'!$L$8="All",TRIM('Project Database'!F354)=TRIM('Smart Search'!$L$8))),IF(BA350="","",BA350+ROW()*0.0000000001),"")</f>
        <v/>
      </c>
      <c r="BI350" s="5" t="str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 t="str">
        <f>IF('Project Database'!A354="","",N('Project Database'!AC354))</f>
        <v/>
      </c>
      <c r="BK350" s="5" t="str">
        <f>IF('Project Database'!A354="","",N('Project Database'!AD354))</f>
        <v/>
      </c>
      <c r="BL350" s="5" t="str">
        <f>IF('Project Database'!A354="","",N('Project Database'!AE354))</f>
        <v/>
      </c>
      <c r="BM350" s="5" t="str">
        <f>IF('Project Database'!A354="","",N('Project Database'!AF354))</f>
        <v/>
      </c>
      <c r="BN350" s="5" t="str">
        <f>IF('Project Database'!A354="","",N('Project Database'!AG354))</f>
        <v/>
      </c>
      <c r="BO350" s="5" t="str">
        <f>IF('Project Database'!A354="","",N('Project Database'!AH354))</f>
        <v/>
      </c>
      <c r="BP350" s="5" t="str">
        <f>IF('Project Database'!A354="","",N('Project Database'!AI354))</f>
        <v/>
      </c>
      <c r="BQ350" s="5" t="str">
        <f>IF('Project Database'!A354="","",N('Project Database'!AJ354))</f>
        <v/>
      </c>
      <c r="BR350" s="5" t="str">
        <f>IF('Project Database'!A354="","",N('Project Database'!AK354))</f>
        <v/>
      </c>
      <c r="BS350" s="5" t="str">
        <f>IF('Project Database'!A354="","",N('Project Database'!AL354))</f>
        <v/>
      </c>
      <c r="BT350" s="5" t="str">
        <f>IF('Project Database'!A354="","",N('Project Database'!AM354))</f>
        <v/>
      </c>
      <c r="BU350" s="5" t="str">
        <f>IF('Project Database'!A354="","",N('Project Database'!AN354))</f>
        <v/>
      </c>
      <c r="BV350" s="5" t="str">
        <f>IF('Project Database'!A354="","",N('Project Database'!AO354))</f>
        <v/>
      </c>
      <c r="BW350" s="5" t="str">
        <f>IF('Project Database'!A354="","",N('Project Database'!AP354))</f>
        <v/>
      </c>
      <c r="BX350" s="5">
        <f t="shared" si="82"/>
        <v>0</v>
      </c>
      <c r="BY350" s="5">
        <f t="shared" si="83"/>
        <v>0</v>
      </c>
    </row>
    <row r="351" spans="1:77" ht="15" customHeight="1" x14ac:dyDescent="0.3">
      <c r="A351" s="66">
        <f>'Project Database'!A355</f>
        <v>0</v>
      </c>
      <c r="B351" s="66">
        <f>'Project Database'!B355</f>
        <v>0</v>
      </c>
      <c r="C351" s="66">
        <f>'Project Database'!G355</f>
        <v>0</v>
      </c>
      <c r="D351" s="66">
        <f>'Project Database'!H355</f>
        <v>0</v>
      </c>
      <c r="E351" s="66">
        <f>'Project Database'!I355</f>
        <v>0</v>
      </c>
      <c r="F351" s="66">
        <f>'Project Database'!J355</f>
        <v>0</v>
      </c>
      <c r="G351" s="66">
        <f>'Project Database'!K355</f>
        <v>0</v>
      </c>
      <c r="H351" s="66">
        <f>'Project Database'!L355</f>
        <v>0</v>
      </c>
      <c r="I351" s="66">
        <f>'Project Database'!M355</f>
        <v>0</v>
      </c>
      <c r="J351" s="66">
        <f>'Project Database'!N355</f>
        <v>0</v>
      </c>
      <c r="K351" s="66">
        <f>'Project Database'!O355</f>
        <v>0</v>
      </c>
      <c r="L351" s="66">
        <f>'Project Database'!P355</f>
        <v>0</v>
      </c>
      <c r="M351" s="66">
        <f>'Project Database'!Q355</f>
        <v>0</v>
      </c>
      <c r="N351" s="66">
        <f>'Project Database'!R355</f>
        <v>0</v>
      </c>
      <c r="O351" s="66">
        <f>'Project Database'!S355</f>
        <v>0</v>
      </c>
      <c r="P351" s="66">
        <f>'Project Database'!T355</f>
        <v>0</v>
      </c>
      <c r="Q351" s="66">
        <f>'Project Database'!U355</f>
        <v>0</v>
      </c>
      <c r="R351" s="66">
        <f>'Project Database'!V355</f>
        <v>0</v>
      </c>
      <c r="S351" s="66">
        <f>'Project Database'!W355</f>
        <v>0</v>
      </c>
      <c r="T351" s="66">
        <f>'Project Database'!X355</f>
        <v>0</v>
      </c>
      <c r="U351" s="67">
        <f>'Project Database'!Y355</f>
        <v>0</v>
      </c>
      <c r="V351" s="66">
        <f>IF('Smart Search'!B13=1,IFERROR(1/'Smart Search'!H13,0),0)</f>
        <v>0</v>
      </c>
      <c r="W351" s="66">
        <f>IF('Smart Search'!B13=1,IFERROR(1/'Smart Search'!H13,0),0)</f>
        <v>0</v>
      </c>
      <c r="X351" s="66">
        <f>IF('Smart Search'!C13=1,IFERROR(1/'Smart Search'!H13,0),0)</f>
        <v>0.5</v>
      </c>
      <c r="Y351" s="66">
        <f>IF('Smart Search'!C13=1,IFERROR(1/'Smart Search'!H13,0),0)</f>
        <v>0.5</v>
      </c>
      <c r="Z351" s="66">
        <f>IF('Smart Search'!D13=1,IFERROR(1/'Smart Search'!H13,0),0)</f>
        <v>0</v>
      </c>
      <c r="AA351" s="66">
        <f>IF('Smart Search'!D13=1,IFERROR(1/'Smart Search'!H13,0),0)</f>
        <v>0</v>
      </c>
      <c r="AB351" s="66">
        <f>IF('Smart Search'!E13=1,IFERROR(1/'Smart Search'!H13,0),0)</f>
        <v>0</v>
      </c>
      <c r="AC351" s="66">
        <f>IF('Smart Search'!E13=1,IFERROR(1/'Smart Search'!H13,0),0)</f>
        <v>0</v>
      </c>
      <c r="AD351" s="66">
        <f>IF('Smart Search'!F13=1,IFERROR(1/'Smart Search'!H13,0),0)</f>
        <v>0</v>
      </c>
      <c r="AE351" s="66">
        <f>IF('Smart Search'!F13=1,IFERROR(1/'Smart Search'!H13,0),0)</f>
        <v>0</v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>0</v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>0</v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>0</v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>0</v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>0</v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>0</v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>0</v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>0</v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>0</v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>0</v>
      </c>
      <c r="AP351" s="66">
        <f t="shared" si="70"/>
        <v>0</v>
      </c>
      <c r="AQ351" s="66">
        <f t="shared" si="71"/>
        <v>0</v>
      </c>
      <c r="AR351" s="66">
        <f t="shared" si="72"/>
        <v>0</v>
      </c>
      <c r="AS351" s="66">
        <f t="shared" si="73"/>
        <v>0</v>
      </c>
      <c r="AT351" s="66">
        <f t="shared" si="74"/>
        <v>0</v>
      </c>
      <c r="AU351" s="66">
        <f t="shared" si="75"/>
        <v>0</v>
      </c>
      <c r="AV351" s="66">
        <f t="shared" si="76"/>
        <v>0</v>
      </c>
      <c r="AW351" s="66">
        <f t="shared" si="77"/>
        <v>0</v>
      </c>
      <c r="AX351" s="66">
        <f t="shared" si="78"/>
        <v>0</v>
      </c>
      <c r="AY351" s="66">
        <f t="shared" si="79"/>
        <v>0</v>
      </c>
      <c r="AZ351" s="66">
        <f>'Project Database'!Z355</f>
        <v>0</v>
      </c>
      <c r="BA351" s="66">
        <f>IF(OR(A351="",'Smart Search'!H13=0),"",MAX(0,BE351*BF351*MAX(0,1-BG351)))</f>
        <v>0</v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>0</v>
      </c>
      <c r="BC351" s="66">
        <f>IF('Smart Search'!G13=1,IFERROR(1/'Smart Search'!H13,0),0)</f>
        <v>0</v>
      </c>
      <c r="BD351" s="66">
        <f t="shared" si="80"/>
        <v>0</v>
      </c>
      <c r="BE351" s="66">
        <f t="shared" si="81"/>
        <v>0</v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>0</v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>0</v>
      </c>
      <c r="BH351" s="5" t="str">
        <f>IF(AND('Project Database'!A355&lt;&gt;"",OR('Smart Search'!$L$5="",'Smart Search'!$L$5="All",TRIM('Project Database'!D355)=TRIM('Smart Search'!$L$5)),OR(TRIM('Smart Search'!$L$6)="",TRIM('Smart Search'!$L$6)="All",ISNUMBER(SEARCH(SUBSTITUTE(SUBSTITUTE(SUBSTITUTE(TRIM('Smart Search'!$L$6),"~","~~"),"*","~*"),"?","~?"),'Project Database'!C355))),OR('Smart Search'!$L$7="",AND('Project Database'!E355&lt;&gt;"",'Project Database'!E355='Smart Search'!$L$7)),OR('Smart Search'!$L$8="",'Smart Search'!$L$8="All",TRIM('Project Database'!F355)=TRIM('Smart Search'!$L$8))),IF(BA351="","",BA351+ROW()*0.0000000001),"")</f>
        <v/>
      </c>
      <c r="BI351" s="5" t="str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 t="str">
        <f>IF('Project Database'!A355="","",N('Project Database'!AC355))</f>
        <v/>
      </c>
      <c r="BK351" s="5" t="str">
        <f>IF('Project Database'!A355="","",N('Project Database'!AD355))</f>
        <v/>
      </c>
      <c r="BL351" s="5" t="str">
        <f>IF('Project Database'!A355="","",N('Project Database'!AE355))</f>
        <v/>
      </c>
      <c r="BM351" s="5" t="str">
        <f>IF('Project Database'!A355="","",N('Project Database'!AF355))</f>
        <v/>
      </c>
      <c r="BN351" s="5" t="str">
        <f>IF('Project Database'!A355="","",N('Project Database'!AG355))</f>
        <v/>
      </c>
      <c r="BO351" s="5" t="str">
        <f>IF('Project Database'!A355="","",N('Project Database'!AH355))</f>
        <v/>
      </c>
      <c r="BP351" s="5" t="str">
        <f>IF('Project Database'!A355="","",N('Project Database'!AI355))</f>
        <v/>
      </c>
      <c r="BQ351" s="5" t="str">
        <f>IF('Project Database'!A355="","",N('Project Database'!AJ355))</f>
        <v/>
      </c>
      <c r="BR351" s="5" t="str">
        <f>IF('Project Database'!A355="","",N('Project Database'!AK355))</f>
        <v/>
      </c>
      <c r="BS351" s="5" t="str">
        <f>IF('Project Database'!A355="","",N('Project Database'!AL355))</f>
        <v/>
      </c>
      <c r="BT351" s="5" t="str">
        <f>IF('Project Database'!A355="","",N('Project Database'!AM355))</f>
        <v/>
      </c>
      <c r="BU351" s="5" t="str">
        <f>IF('Project Database'!A355="","",N('Project Database'!AN355))</f>
        <v/>
      </c>
      <c r="BV351" s="5" t="str">
        <f>IF('Project Database'!A355="","",N('Project Database'!AO355))</f>
        <v/>
      </c>
      <c r="BW351" s="5" t="str">
        <f>IF('Project Database'!A355="","",N('Project Database'!AP355))</f>
        <v/>
      </c>
      <c r="BX351" s="5">
        <f t="shared" si="82"/>
        <v>0</v>
      </c>
      <c r="BY351" s="5">
        <f t="shared" si="83"/>
        <v>0</v>
      </c>
    </row>
    <row r="352" spans="1:77" ht="15" customHeight="1" x14ac:dyDescent="0.3">
      <c r="A352" s="66">
        <f>'Project Database'!A356</f>
        <v>0</v>
      </c>
      <c r="B352" s="66">
        <f>'Project Database'!B356</f>
        <v>0</v>
      </c>
      <c r="C352" s="66">
        <f>'Project Database'!G356</f>
        <v>0</v>
      </c>
      <c r="D352" s="66">
        <f>'Project Database'!H356</f>
        <v>0</v>
      </c>
      <c r="E352" s="66">
        <f>'Project Database'!I356</f>
        <v>0</v>
      </c>
      <c r="F352" s="66">
        <f>'Project Database'!J356</f>
        <v>0</v>
      </c>
      <c r="G352" s="66">
        <f>'Project Database'!K356</f>
        <v>0</v>
      </c>
      <c r="H352" s="66">
        <f>'Project Database'!L356</f>
        <v>0</v>
      </c>
      <c r="I352" s="66">
        <f>'Project Database'!M356</f>
        <v>0</v>
      </c>
      <c r="J352" s="66">
        <f>'Project Database'!N356</f>
        <v>0</v>
      </c>
      <c r="K352" s="66">
        <f>'Project Database'!O356</f>
        <v>0</v>
      </c>
      <c r="L352" s="66">
        <f>'Project Database'!P356</f>
        <v>0</v>
      </c>
      <c r="M352" s="66">
        <f>'Project Database'!Q356</f>
        <v>0</v>
      </c>
      <c r="N352" s="66">
        <f>'Project Database'!R356</f>
        <v>0</v>
      </c>
      <c r="O352" s="66">
        <f>'Project Database'!S356</f>
        <v>0</v>
      </c>
      <c r="P352" s="66">
        <f>'Project Database'!T356</f>
        <v>0</v>
      </c>
      <c r="Q352" s="66">
        <f>'Project Database'!U356</f>
        <v>0</v>
      </c>
      <c r="R352" s="66">
        <f>'Project Database'!V356</f>
        <v>0</v>
      </c>
      <c r="S352" s="66">
        <f>'Project Database'!W356</f>
        <v>0</v>
      </c>
      <c r="T352" s="66">
        <f>'Project Database'!X356</f>
        <v>0</v>
      </c>
      <c r="U352" s="67">
        <f>'Project Database'!Y356</f>
        <v>0</v>
      </c>
      <c r="V352" s="66">
        <f>IF('Smart Search'!B13=1,IFERROR(1/'Smart Search'!H13,0),0)</f>
        <v>0</v>
      </c>
      <c r="W352" s="66">
        <f>IF('Smart Search'!B13=1,IFERROR(1/'Smart Search'!H13,0),0)</f>
        <v>0</v>
      </c>
      <c r="X352" s="66">
        <f>IF('Smart Search'!C13=1,IFERROR(1/'Smart Search'!H13,0),0)</f>
        <v>0.5</v>
      </c>
      <c r="Y352" s="66">
        <f>IF('Smart Search'!C13=1,IFERROR(1/'Smart Search'!H13,0),0)</f>
        <v>0.5</v>
      </c>
      <c r="Z352" s="66">
        <f>IF('Smart Search'!D13=1,IFERROR(1/'Smart Search'!H13,0),0)</f>
        <v>0</v>
      </c>
      <c r="AA352" s="66">
        <f>IF('Smart Search'!D13=1,IFERROR(1/'Smart Search'!H13,0),0)</f>
        <v>0</v>
      </c>
      <c r="AB352" s="66">
        <f>IF('Smart Search'!E13=1,IFERROR(1/'Smart Search'!H13,0),0)</f>
        <v>0</v>
      </c>
      <c r="AC352" s="66">
        <f>IF('Smart Search'!E13=1,IFERROR(1/'Smart Search'!H13,0),0)</f>
        <v>0</v>
      </c>
      <c r="AD352" s="66">
        <f>IF('Smart Search'!F13=1,IFERROR(1/'Smart Search'!H13,0),0)</f>
        <v>0</v>
      </c>
      <c r="AE352" s="66">
        <f>IF('Smart Search'!F13=1,IFERROR(1/'Smart Search'!H13,0),0)</f>
        <v>0</v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>0</v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>0</v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>0</v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>0</v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>0</v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>0</v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>0</v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>0</v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>0</v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>0</v>
      </c>
      <c r="AP352" s="66">
        <f t="shared" si="70"/>
        <v>0</v>
      </c>
      <c r="AQ352" s="66">
        <f t="shared" si="71"/>
        <v>0</v>
      </c>
      <c r="AR352" s="66">
        <f t="shared" si="72"/>
        <v>0</v>
      </c>
      <c r="AS352" s="66">
        <f t="shared" si="73"/>
        <v>0</v>
      </c>
      <c r="AT352" s="66">
        <f t="shared" si="74"/>
        <v>0</v>
      </c>
      <c r="AU352" s="66">
        <f t="shared" si="75"/>
        <v>0</v>
      </c>
      <c r="AV352" s="66">
        <f t="shared" si="76"/>
        <v>0</v>
      </c>
      <c r="AW352" s="66">
        <f t="shared" si="77"/>
        <v>0</v>
      </c>
      <c r="AX352" s="66">
        <f t="shared" si="78"/>
        <v>0</v>
      </c>
      <c r="AY352" s="66">
        <f t="shared" si="79"/>
        <v>0</v>
      </c>
      <c r="AZ352" s="66">
        <f>'Project Database'!Z356</f>
        <v>0</v>
      </c>
      <c r="BA352" s="66">
        <f>IF(OR(A352="",'Smart Search'!H13=0),"",MAX(0,BE352*BF352*MAX(0,1-BG352)))</f>
        <v>0</v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>0</v>
      </c>
      <c r="BC352" s="66">
        <f>IF('Smart Search'!G13=1,IFERROR(1/'Smart Search'!H13,0),0)</f>
        <v>0</v>
      </c>
      <c r="BD352" s="66">
        <f t="shared" si="80"/>
        <v>0</v>
      </c>
      <c r="BE352" s="66">
        <f t="shared" si="81"/>
        <v>0</v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>0</v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>0</v>
      </c>
      <c r="BH352" s="5" t="str">
        <f>IF(AND('Project Database'!A356&lt;&gt;"",OR('Smart Search'!$L$5="",'Smart Search'!$L$5="All",TRIM('Project Database'!D356)=TRIM('Smart Search'!$L$5)),OR(TRIM('Smart Search'!$L$6)="",TRIM('Smart Search'!$L$6)="All",ISNUMBER(SEARCH(SUBSTITUTE(SUBSTITUTE(SUBSTITUTE(TRIM('Smart Search'!$L$6),"~","~~"),"*","~*"),"?","~?"),'Project Database'!C356))),OR('Smart Search'!$L$7="",AND('Project Database'!E356&lt;&gt;"",'Project Database'!E356='Smart Search'!$L$7)),OR('Smart Search'!$L$8="",'Smart Search'!$L$8="All",TRIM('Project Database'!F356)=TRIM('Smart Search'!$L$8))),IF(BA352="","",BA352+ROW()*0.0000000001),"")</f>
        <v/>
      </c>
      <c r="BI352" s="5" t="str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 t="str">
        <f>IF('Project Database'!A356="","",N('Project Database'!AC356))</f>
        <v/>
      </c>
      <c r="BK352" s="5" t="str">
        <f>IF('Project Database'!A356="","",N('Project Database'!AD356))</f>
        <v/>
      </c>
      <c r="BL352" s="5" t="str">
        <f>IF('Project Database'!A356="","",N('Project Database'!AE356))</f>
        <v/>
      </c>
      <c r="BM352" s="5" t="str">
        <f>IF('Project Database'!A356="","",N('Project Database'!AF356))</f>
        <v/>
      </c>
      <c r="BN352" s="5" t="str">
        <f>IF('Project Database'!A356="","",N('Project Database'!AG356))</f>
        <v/>
      </c>
      <c r="BO352" s="5" t="str">
        <f>IF('Project Database'!A356="","",N('Project Database'!AH356))</f>
        <v/>
      </c>
      <c r="BP352" s="5" t="str">
        <f>IF('Project Database'!A356="","",N('Project Database'!AI356))</f>
        <v/>
      </c>
      <c r="BQ352" s="5" t="str">
        <f>IF('Project Database'!A356="","",N('Project Database'!AJ356))</f>
        <v/>
      </c>
      <c r="BR352" s="5" t="str">
        <f>IF('Project Database'!A356="","",N('Project Database'!AK356))</f>
        <v/>
      </c>
      <c r="BS352" s="5" t="str">
        <f>IF('Project Database'!A356="","",N('Project Database'!AL356))</f>
        <v/>
      </c>
      <c r="BT352" s="5" t="str">
        <f>IF('Project Database'!A356="","",N('Project Database'!AM356))</f>
        <v/>
      </c>
      <c r="BU352" s="5" t="str">
        <f>IF('Project Database'!A356="","",N('Project Database'!AN356))</f>
        <v/>
      </c>
      <c r="BV352" s="5" t="str">
        <f>IF('Project Database'!A356="","",N('Project Database'!AO356))</f>
        <v/>
      </c>
      <c r="BW352" s="5" t="str">
        <f>IF('Project Database'!A356="","",N('Project Database'!AP356))</f>
        <v/>
      </c>
      <c r="BX352" s="5">
        <f t="shared" si="82"/>
        <v>0</v>
      </c>
      <c r="BY352" s="5">
        <f t="shared" si="83"/>
        <v>0</v>
      </c>
    </row>
    <row r="353" spans="1:77" ht="15" customHeight="1" x14ac:dyDescent="0.3">
      <c r="A353" s="66">
        <f>'Project Database'!A357</f>
        <v>0</v>
      </c>
      <c r="B353" s="66">
        <f>'Project Database'!B357</f>
        <v>0</v>
      </c>
      <c r="C353" s="66">
        <f>'Project Database'!G357</f>
        <v>0</v>
      </c>
      <c r="D353" s="66">
        <f>'Project Database'!H357</f>
        <v>0</v>
      </c>
      <c r="E353" s="66">
        <f>'Project Database'!I357</f>
        <v>0</v>
      </c>
      <c r="F353" s="66">
        <f>'Project Database'!J357</f>
        <v>0</v>
      </c>
      <c r="G353" s="66">
        <f>'Project Database'!K357</f>
        <v>0</v>
      </c>
      <c r="H353" s="66">
        <f>'Project Database'!L357</f>
        <v>0</v>
      </c>
      <c r="I353" s="66">
        <f>'Project Database'!M357</f>
        <v>0</v>
      </c>
      <c r="J353" s="66">
        <f>'Project Database'!N357</f>
        <v>0</v>
      </c>
      <c r="K353" s="66">
        <f>'Project Database'!O357</f>
        <v>0</v>
      </c>
      <c r="L353" s="66">
        <f>'Project Database'!P357</f>
        <v>0</v>
      </c>
      <c r="M353" s="66">
        <f>'Project Database'!Q357</f>
        <v>0</v>
      </c>
      <c r="N353" s="66">
        <f>'Project Database'!R357</f>
        <v>0</v>
      </c>
      <c r="O353" s="66">
        <f>'Project Database'!S357</f>
        <v>0</v>
      </c>
      <c r="P353" s="66">
        <f>'Project Database'!T357</f>
        <v>0</v>
      </c>
      <c r="Q353" s="66">
        <f>'Project Database'!U357</f>
        <v>0</v>
      </c>
      <c r="R353" s="66">
        <f>'Project Database'!V357</f>
        <v>0</v>
      </c>
      <c r="S353" s="66">
        <f>'Project Database'!W357</f>
        <v>0</v>
      </c>
      <c r="T353" s="66">
        <f>'Project Database'!X357</f>
        <v>0</v>
      </c>
      <c r="U353" s="67">
        <f>'Project Database'!Y357</f>
        <v>0</v>
      </c>
      <c r="V353" s="66">
        <f>IF('Smart Search'!B13=1,IFERROR(1/'Smart Search'!H13,0),0)</f>
        <v>0</v>
      </c>
      <c r="W353" s="66">
        <f>IF('Smart Search'!B13=1,IFERROR(1/'Smart Search'!H13,0),0)</f>
        <v>0</v>
      </c>
      <c r="X353" s="66">
        <f>IF('Smart Search'!C13=1,IFERROR(1/'Smart Search'!H13,0),0)</f>
        <v>0.5</v>
      </c>
      <c r="Y353" s="66">
        <f>IF('Smart Search'!C13=1,IFERROR(1/'Smart Search'!H13,0),0)</f>
        <v>0.5</v>
      </c>
      <c r="Z353" s="66">
        <f>IF('Smart Search'!D13=1,IFERROR(1/'Smart Search'!H13,0),0)</f>
        <v>0</v>
      </c>
      <c r="AA353" s="66">
        <f>IF('Smart Search'!D13=1,IFERROR(1/'Smart Search'!H13,0),0)</f>
        <v>0</v>
      </c>
      <c r="AB353" s="66">
        <f>IF('Smart Search'!E13=1,IFERROR(1/'Smart Search'!H13,0),0)</f>
        <v>0</v>
      </c>
      <c r="AC353" s="66">
        <f>IF('Smart Search'!E13=1,IFERROR(1/'Smart Search'!H13,0),0)</f>
        <v>0</v>
      </c>
      <c r="AD353" s="66">
        <f>IF('Smart Search'!F13=1,IFERROR(1/'Smart Search'!H13,0),0)</f>
        <v>0</v>
      </c>
      <c r="AE353" s="66">
        <f>IF('Smart Search'!F13=1,IFERROR(1/'Smart Search'!H13,0),0)</f>
        <v>0</v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>0</v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>0</v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>0</v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>0</v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>0</v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>0</v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>0</v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>0</v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>0</v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>0</v>
      </c>
      <c r="AP353" s="66">
        <f t="shared" si="70"/>
        <v>0</v>
      </c>
      <c r="AQ353" s="66">
        <f t="shared" si="71"/>
        <v>0</v>
      </c>
      <c r="AR353" s="66">
        <f t="shared" si="72"/>
        <v>0</v>
      </c>
      <c r="AS353" s="66">
        <f t="shared" si="73"/>
        <v>0</v>
      </c>
      <c r="AT353" s="66">
        <f t="shared" si="74"/>
        <v>0</v>
      </c>
      <c r="AU353" s="66">
        <f t="shared" si="75"/>
        <v>0</v>
      </c>
      <c r="AV353" s="66">
        <f t="shared" si="76"/>
        <v>0</v>
      </c>
      <c r="AW353" s="66">
        <f t="shared" si="77"/>
        <v>0</v>
      </c>
      <c r="AX353" s="66">
        <f t="shared" si="78"/>
        <v>0</v>
      </c>
      <c r="AY353" s="66">
        <f t="shared" si="79"/>
        <v>0</v>
      </c>
      <c r="AZ353" s="66">
        <f>'Project Database'!Z357</f>
        <v>0</v>
      </c>
      <c r="BA353" s="66">
        <f>IF(OR(A353="",'Smart Search'!H13=0),"",MAX(0,BE353*BF353*MAX(0,1-BG353)))</f>
        <v>0</v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>0</v>
      </c>
      <c r="BC353" s="66">
        <f>IF('Smart Search'!G13=1,IFERROR(1/'Smart Search'!H13,0),0)</f>
        <v>0</v>
      </c>
      <c r="BD353" s="66">
        <f t="shared" si="80"/>
        <v>0</v>
      </c>
      <c r="BE353" s="66">
        <f t="shared" si="81"/>
        <v>0</v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>0</v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>0</v>
      </c>
      <c r="BH353" s="5" t="str">
        <f>IF(AND('Project Database'!A357&lt;&gt;"",OR('Smart Search'!$L$5="",'Smart Search'!$L$5="All",TRIM('Project Database'!D357)=TRIM('Smart Search'!$L$5)),OR(TRIM('Smart Search'!$L$6)="",TRIM('Smart Search'!$L$6)="All",ISNUMBER(SEARCH(SUBSTITUTE(SUBSTITUTE(SUBSTITUTE(TRIM('Smart Search'!$L$6),"~","~~"),"*","~*"),"?","~?"),'Project Database'!C357))),OR('Smart Search'!$L$7="",AND('Project Database'!E357&lt;&gt;"",'Project Database'!E357='Smart Search'!$L$7)),OR('Smart Search'!$L$8="",'Smart Search'!$L$8="All",TRIM('Project Database'!F357)=TRIM('Smart Search'!$L$8))),IF(BA353="","",BA353+ROW()*0.0000000001),"")</f>
        <v/>
      </c>
      <c r="BI353" s="5" t="str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 t="str">
        <f>IF('Project Database'!A357="","",N('Project Database'!AC357))</f>
        <v/>
      </c>
      <c r="BK353" s="5" t="str">
        <f>IF('Project Database'!A357="","",N('Project Database'!AD357))</f>
        <v/>
      </c>
      <c r="BL353" s="5" t="str">
        <f>IF('Project Database'!A357="","",N('Project Database'!AE357))</f>
        <v/>
      </c>
      <c r="BM353" s="5" t="str">
        <f>IF('Project Database'!A357="","",N('Project Database'!AF357))</f>
        <v/>
      </c>
      <c r="BN353" s="5" t="str">
        <f>IF('Project Database'!A357="","",N('Project Database'!AG357))</f>
        <v/>
      </c>
      <c r="BO353" s="5" t="str">
        <f>IF('Project Database'!A357="","",N('Project Database'!AH357))</f>
        <v/>
      </c>
      <c r="BP353" s="5" t="str">
        <f>IF('Project Database'!A357="","",N('Project Database'!AI357))</f>
        <v/>
      </c>
      <c r="BQ353" s="5" t="str">
        <f>IF('Project Database'!A357="","",N('Project Database'!AJ357))</f>
        <v/>
      </c>
      <c r="BR353" s="5" t="str">
        <f>IF('Project Database'!A357="","",N('Project Database'!AK357))</f>
        <v/>
      </c>
      <c r="BS353" s="5" t="str">
        <f>IF('Project Database'!A357="","",N('Project Database'!AL357))</f>
        <v/>
      </c>
      <c r="BT353" s="5" t="str">
        <f>IF('Project Database'!A357="","",N('Project Database'!AM357))</f>
        <v/>
      </c>
      <c r="BU353" s="5" t="str">
        <f>IF('Project Database'!A357="","",N('Project Database'!AN357))</f>
        <v/>
      </c>
      <c r="BV353" s="5" t="str">
        <f>IF('Project Database'!A357="","",N('Project Database'!AO357))</f>
        <v/>
      </c>
      <c r="BW353" s="5" t="str">
        <f>IF('Project Database'!A357="","",N('Project Database'!AP357))</f>
        <v/>
      </c>
      <c r="BX353" s="5">
        <f t="shared" si="82"/>
        <v>0</v>
      </c>
      <c r="BY353" s="5">
        <f t="shared" si="83"/>
        <v>0</v>
      </c>
    </row>
    <row r="354" spans="1:77" ht="15" customHeight="1" x14ac:dyDescent="0.3">
      <c r="A354" s="66">
        <f>'Project Database'!A358</f>
        <v>0</v>
      </c>
      <c r="B354" s="66">
        <f>'Project Database'!B358</f>
        <v>0</v>
      </c>
      <c r="C354" s="66">
        <f>'Project Database'!G358</f>
        <v>0</v>
      </c>
      <c r="D354" s="66">
        <f>'Project Database'!H358</f>
        <v>0</v>
      </c>
      <c r="E354" s="66">
        <f>'Project Database'!I358</f>
        <v>0</v>
      </c>
      <c r="F354" s="66">
        <f>'Project Database'!J358</f>
        <v>0</v>
      </c>
      <c r="G354" s="66">
        <f>'Project Database'!K358</f>
        <v>0</v>
      </c>
      <c r="H354" s="66">
        <f>'Project Database'!L358</f>
        <v>0</v>
      </c>
      <c r="I354" s="66">
        <f>'Project Database'!M358</f>
        <v>0</v>
      </c>
      <c r="J354" s="66">
        <f>'Project Database'!N358</f>
        <v>0</v>
      </c>
      <c r="K354" s="66">
        <f>'Project Database'!O358</f>
        <v>0</v>
      </c>
      <c r="L354" s="66">
        <f>'Project Database'!P358</f>
        <v>0</v>
      </c>
      <c r="M354" s="66">
        <f>'Project Database'!Q358</f>
        <v>0</v>
      </c>
      <c r="N354" s="66">
        <f>'Project Database'!R358</f>
        <v>0</v>
      </c>
      <c r="O354" s="66">
        <f>'Project Database'!S358</f>
        <v>0</v>
      </c>
      <c r="P354" s="66">
        <f>'Project Database'!T358</f>
        <v>0</v>
      </c>
      <c r="Q354" s="66">
        <f>'Project Database'!U358</f>
        <v>0</v>
      </c>
      <c r="R354" s="66">
        <f>'Project Database'!V358</f>
        <v>0</v>
      </c>
      <c r="S354" s="66">
        <f>'Project Database'!W358</f>
        <v>0</v>
      </c>
      <c r="T354" s="66">
        <f>'Project Database'!X358</f>
        <v>0</v>
      </c>
      <c r="U354" s="67">
        <f>'Project Database'!Y358</f>
        <v>0</v>
      </c>
      <c r="V354" s="66">
        <f>IF('Smart Search'!B13=1,IFERROR(1/'Smart Search'!H13,0),0)</f>
        <v>0</v>
      </c>
      <c r="W354" s="66">
        <f>IF('Smart Search'!B13=1,IFERROR(1/'Smart Search'!H13,0),0)</f>
        <v>0</v>
      </c>
      <c r="X354" s="66">
        <f>IF('Smart Search'!C13=1,IFERROR(1/'Smart Search'!H13,0),0)</f>
        <v>0.5</v>
      </c>
      <c r="Y354" s="66">
        <f>IF('Smart Search'!C13=1,IFERROR(1/'Smart Search'!H13,0),0)</f>
        <v>0.5</v>
      </c>
      <c r="Z354" s="66">
        <f>IF('Smart Search'!D13=1,IFERROR(1/'Smart Search'!H13,0),0)</f>
        <v>0</v>
      </c>
      <c r="AA354" s="66">
        <f>IF('Smart Search'!D13=1,IFERROR(1/'Smart Search'!H13,0),0)</f>
        <v>0</v>
      </c>
      <c r="AB354" s="66">
        <f>IF('Smart Search'!E13=1,IFERROR(1/'Smart Search'!H13,0),0)</f>
        <v>0</v>
      </c>
      <c r="AC354" s="66">
        <f>IF('Smart Search'!E13=1,IFERROR(1/'Smart Search'!H13,0),0)</f>
        <v>0</v>
      </c>
      <c r="AD354" s="66">
        <f>IF('Smart Search'!F13=1,IFERROR(1/'Smart Search'!H13,0),0)</f>
        <v>0</v>
      </c>
      <c r="AE354" s="66">
        <f>IF('Smart Search'!F13=1,IFERROR(1/'Smart Search'!H13,0),0)</f>
        <v>0</v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>0</v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>0</v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>0</v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>0</v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>0</v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>0</v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>0</v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>0</v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>0</v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>0</v>
      </c>
      <c r="AP354" s="66">
        <f t="shared" si="70"/>
        <v>0</v>
      </c>
      <c r="AQ354" s="66">
        <f t="shared" si="71"/>
        <v>0</v>
      </c>
      <c r="AR354" s="66">
        <f t="shared" si="72"/>
        <v>0</v>
      </c>
      <c r="AS354" s="66">
        <f t="shared" si="73"/>
        <v>0</v>
      </c>
      <c r="AT354" s="66">
        <f t="shared" si="74"/>
        <v>0</v>
      </c>
      <c r="AU354" s="66">
        <f t="shared" si="75"/>
        <v>0</v>
      </c>
      <c r="AV354" s="66">
        <f t="shared" si="76"/>
        <v>0</v>
      </c>
      <c r="AW354" s="66">
        <f t="shared" si="77"/>
        <v>0</v>
      </c>
      <c r="AX354" s="66">
        <f t="shared" si="78"/>
        <v>0</v>
      </c>
      <c r="AY354" s="66">
        <f t="shared" si="79"/>
        <v>0</v>
      </c>
      <c r="AZ354" s="66">
        <f>'Project Database'!Z358</f>
        <v>0</v>
      </c>
      <c r="BA354" s="66">
        <f>IF(OR(A354="",'Smart Search'!H13=0),"",MAX(0,BE354*BF354*MAX(0,1-BG354)))</f>
        <v>0</v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>0</v>
      </c>
      <c r="BC354" s="66">
        <f>IF('Smart Search'!G13=1,IFERROR(1/'Smart Search'!H13,0),0)</f>
        <v>0</v>
      </c>
      <c r="BD354" s="66">
        <f t="shared" si="80"/>
        <v>0</v>
      </c>
      <c r="BE354" s="66">
        <f t="shared" si="81"/>
        <v>0</v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>0</v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>0</v>
      </c>
      <c r="BH354" s="5" t="str">
        <f>IF(AND('Project Database'!A358&lt;&gt;"",OR('Smart Search'!$L$5="",'Smart Search'!$L$5="All",TRIM('Project Database'!D358)=TRIM('Smart Search'!$L$5)),OR(TRIM('Smart Search'!$L$6)="",TRIM('Smart Search'!$L$6)="All",ISNUMBER(SEARCH(SUBSTITUTE(SUBSTITUTE(SUBSTITUTE(TRIM('Smart Search'!$L$6),"~","~~"),"*","~*"),"?","~?"),'Project Database'!C358))),OR('Smart Search'!$L$7="",AND('Project Database'!E358&lt;&gt;"",'Project Database'!E358='Smart Search'!$L$7)),OR('Smart Search'!$L$8="",'Smart Search'!$L$8="All",TRIM('Project Database'!F358)=TRIM('Smart Search'!$L$8))),IF(BA354="","",BA354+ROW()*0.0000000001),"")</f>
        <v/>
      </c>
      <c r="BI354" s="5" t="str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 t="str">
        <f>IF('Project Database'!A358="","",N('Project Database'!AC358))</f>
        <v/>
      </c>
      <c r="BK354" s="5" t="str">
        <f>IF('Project Database'!A358="","",N('Project Database'!AD358))</f>
        <v/>
      </c>
      <c r="BL354" s="5" t="str">
        <f>IF('Project Database'!A358="","",N('Project Database'!AE358))</f>
        <v/>
      </c>
      <c r="BM354" s="5" t="str">
        <f>IF('Project Database'!A358="","",N('Project Database'!AF358))</f>
        <v/>
      </c>
      <c r="BN354" s="5" t="str">
        <f>IF('Project Database'!A358="","",N('Project Database'!AG358))</f>
        <v/>
      </c>
      <c r="BO354" s="5" t="str">
        <f>IF('Project Database'!A358="","",N('Project Database'!AH358))</f>
        <v/>
      </c>
      <c r="BP354" s="5" t="str">
        <f>IF('Project Database'!A358="","",N('Project Database'!AI358))</f>
        <v/>
      </c>
      <c r="BQ354" s="5" t="str">
        <f>IF('Project Database'!A358="","",N('Project Database'!AJ358))</f>
        <v/>
      </c>
      <c r="BR354" s="5" t="str">
        <f>IF('Project Database'!A358="","",N('Project Database'!AK358))</f>
        <v/>
      </c>
      <c r="BS354" s="5" t="str">
        <f>IF('Project Database'!A358="","",N('Project Database'!AL358))</f>
        <v/>
      </c>
      <c r="BT354" s="5" t="str">
        <f>IF('Project Database'!A358="","",N('Project Database'!AM358))</f>
        <v/>
      </c>
      <c r="BU354" s="5" t="str">
        <f>IF('Project Database'!A358="","",N('Project Database'!AN358))</f>
        <v/>
      </c>
      <c r="BV354" s="5" t="str">
        <f>IF('Project Database'!A358="","",N('Project Database'!AO358))</f>
        <v/>
      </c>
      <c r="BW354" s="5" t="str">
        <f>IF('Project Database'!A358="","",N('Project Database'!AP358))</f>
        <v/>
      </c>
      <c r="BX354" s="5">
        <f t="shared" si="82"/>
        <v>0</v>
      </c>
      <c r="BY354" s="5">
        <f t="shared" si="83"/>
        <v>0</v>
      </c>
    </row>
    <row r="355" spans="1:77" ht="15" customHeight="1" x14ac:dyDescent="0.3">
      <c r="A355" s="66">
        <f>'Project Database'!A359</f>
        <v>0</v>
      </c>
      <c r="B355" s="66">
        <f>'Project Database'!B359</f>
        <v>0</v>
      </c>
      <c r="C355" s="66">
        <f>'Project Database'!G359</f>
        <v>0</v>
      </c>
      <c r="D355" s="66">
        <f>'Project Database'!H359</f>
        <v>0</v>
      </c>
      <c r="E355" s="66">
        <f>'Project Database'!I359</f>
        <v>0</v>
      </c>
      <c r="F355" s="66">
        <f>'Project Database'!J359</f>
        <v>0</v>
      </c>
      <c r="G355" s="66">
        <f>'Project Database'!K359</f>
        <v>0</v>
      </c>
      <c r="H355" s="66">
        <f>'Project Database'!L359</f>
        <v>0</v>
      </c>
      <c r="I355" s="66">
        <f>'Project Database'!M359</f>
        <v>0</v>
      </c>
      <c r="J355" s="66">
        <f>'Project Database'!N359</f>
        <v>0</v>
      </c>
      <c r="K355" s="66">
        <f>'Project Database'!O359</f>
        <v>0</v>
      </c>
      <c r="L355" s="66">
        <f>'Project Database'!P359</f>
        <v>0</v>
      </c>
      <c r="M355" s="66">
        <f>'Project Database'!Q359</f>
        <v>0</v>
      </c>
      <c r="N355" s="66">
        <f>'Project Database'!R359</f>
        <v>0</v>
      </c>
      <c r="O355" s="66">
        <f>'Project Database'!S359</f>
        <v>0</v>
      </c>
      <c r="P355" s="66">
        <f>'Project Database'!T359</f>
        <v>0</v>
      </c>
      <c r="Q355" s="66">
        <f>'Project Database'!U359</f>
        <v>0</v>
      </c>
      <c r="R355" s="66">
        <f>'Project Database'!V359</f>
        <v>0</v>
      </c>
      <c r="S355" s="66">
        <f>'Project Database'!W359</f>
        <v>0</v>
      </c>
      <c r="T355" s="66">
        <f>'Project Database'!X359</f>
        <v>0</v>
      </c>
      <c r="U355" s="67">
        <f>'Project Database'!Y359</f>
        <v>0</v>
      </c>
      <c r="V355" s="66">
        <f>IF('Smart Search'!B13=1,IFERROR(1/'Smart Search'!H13,0),0)</f>
        <v>0</v>
      </c>
      <c r="W355" s="66">
        <f>IF('Smart Search'!B13=1,IFERROR(1/'Smart Search'!H13,0),0)</f>
        <v>0</v>
      </c>
      <c r="X355" s="66">
        <f>IF('Smart Search'!C13=1,IFERROR(1/'Smart Search'!H13,0),0)</f>
        <v>0.5</v>
      </c>
      <c r="Y355" s="66">
        <f>IF('Smart Search'!C13=1,IFERROR(1/'Smart Search'!H13,0),0)</f>
        <v>0.5</v>
      </c>
      <c r="Z355" s="66">
        <f>IF('Smart Search'!D13=1,IFERROR(1/'Smart Search'!H13,0),0)</f>
        <v>0</v>
      </c>
      <c r="AA355" s="66">
        <f>IF('Smart Search'!D13=1,IFERROR(1/'Smart Search'!H13,0),0)</f>
        <v>0</v>
      </c>
      <c r="AB355" s="66">
        <f>IF('Smart Search'!E13=1,IFERROR(1/'Smart Search'!H13,0),0)</f>
        <v>0</v>
      </c>
      <c r="AC355" s="66">
        <f>IF('Smart Search'!E13=1,IFERROR(1/'Smart Search'!H13,0),0)</f>
        <v>0</v>
      </c>
      <c r="AD355" s="66">
        <f>IF('Smart Search'!F13=1,IFERROR(1/'Smart Search'!H13,0),0)</f>
        <v>0</v>
      </c>
      <c r="AE355" s="66">
        <f>IF('Smart Search'!F13=1,IFERROR(1/'Smart Search'!H13,0),0)</f>
        <v>0</v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>0</v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>0</v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>0</v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>0</v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>0</v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>0</v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>0</v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>0</v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>0</v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>0</v>
      </c>
      <c r="AP355" s="66">
        <f t="shared" si="70"/>
        <v>0</v>
      </c>
      <c r="AQ355" s="66">
        <f t="shared" si="71"/>
        <v>0</v>
      </c>
      <c r="AR355" s="66">
        <f t="shared" si="72"/>
        <v>0</v>
      </c>
      <c r="AS355" s="66">
        <f t="shared" si="73"/>
        <v>0</v>
      </c>
      <c r="AT355" s="66">
        <f t="shared" si="74"/>
        <v>0</v>
      </c>
      <c r="AU355" s="66">
        <f t="shared" si="75"/>
        <v>0</v>
      </c>
      <c r="AV355" s="66">
        <f t="shared" si="76"/>
        <v>0</v>
      </c>
      <c r="AW355" s="66">
        <f t="shared" si="77"/>
        <v>0</v>
      </c>
      <c r="AX355" s="66">
        <f t="shared" si="78"/>
        <v>0</v>
      </c>
      <c r="AY355" s="66">
        <f t="shared" si="79"/>
        <v>0</v>
      </c>
      <c r="AZ355" s="66">
        <f>'Project Database'!Z359</f>
        <v>0</v>
      </c>
      <c r="BA355" s="66">
        <f>IF(OR(A355="",'Smart Search'!H13=0),"",MAX(0,BE355*BF355*MAX(0,1-BG355)))</f>
        <v>0</v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>0</v>
      </c>
      <c r="BC355" s="66">
        <f>IF('Smart Search'!G13=1,IFERROR(1/'Smart Search'!H13,0),0)</f>
        <v>0</v>
      </c>
      <c r="BD355" s="66">
        <f t="shared" si="80"/>
        <v>0</v>
      </c>
      <c r="BE355" s="66">
        <f t="shared" si="81"/>
        <v>0</v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>0</v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>0</v>
      </c>
      <c r="BH355" s="5" t="str">
        <f>IF(AND('Project Database'!A359&lt;&gt;"",OR('Smart Search'!$L$5="",'Smart Search'!$L$5="All",TRIM('Project Database'!D359)=TRIM('Smart Search'!$L$5)),OR(TRIM('Smart Search'!$L$6)="",TRIM('Smart Search'!$L$6)="All",ISNUMBER(SEARCH(SUBSTITUTE(SUBSTITUTE(SUBSTITUTE(TRIM('Smart Search'!$L$6),"~","~~"),"*","~*"),"?","~?"),'Project Database'!C359))),OR('Smart Search'!$L$7="",AND('Project Database'!E359&lt;&gt;"",'Project Database'!E359='Smart Search'!$L$7)),OR('Smart Search'!$L$8="",'Smart Search'!$L$8="All",TRIM('Project Database'!F359)=TRIM('Smart Search'!$L$8))),IF(BA355="","",BA355+ROW()*0.0000000001),"")</f>
        <v/>
      </c>
      <c r="BI355" s="5" t="str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 t="str">
        <f>IF('Project Database'!A359="","",N('Project Database'!AC359))</f>
        <v/>
      </c>
      <c r="BK355" s="5" t="str">
        <f>IF('Project Database'!A359="","",N('Project Database'!AD359))</f>
        <v/>
      </c>
      <c r="BL355" s="5" t="str">
        <f>IF('Project Database'!A359="","",N('Project Database'!AE359))</f>
        <v/>
      </c>
      <c r="BM355" s="5" t="str">
        <f>IF('Project Database'!A359="","",N('Project Database'!AF359))</f>
        <v/>
      </c>
      <c r="BN355" s="5" t="str">
        <f>IF('Project Database'!A359="","",N('Project Database'!AG359))</f>
        <v/>
      </c>
      <c r="BO355" s="5" t="str">
        <f>IF('Project Database'!A359="","",N('Project Database'!AH359))</f>
        <v/>
      </c>
      <c r="BP355" s="5" t="str">
        <f>IF('Project Database'!A359="","",N('Project Database'!AI359))</f>
        <v/>
      </c>
      <c r="BQ355" s="5" t="str">
        <f>IF('Project Database'!A359="","",N('Project Database'!AJ359))</f>
        <v/>
      </c>
      <c r="BR355" s="5" t="str">
        <f>IF('Project Database'!A359="","",N('Project Database'!AK359))</f>
        <v/>
      </c>
      <c r="BS355" s="5" t="str">
        <f>IF('Project Database'!A359="","",N('Project Database'!AL359))</f>
        <v/>
      </c>
      <c r="BT355" s="5" t="str">
        <f>IF('Project Database'!A359="","",N('Project Database'!AM359))</f>
        <v/>
      </c>
      <c r="BU355" s="5" t="str">
        <f>IF('Project Database'!A359="","",N('Project Database'!AN359))</f>
        <v/>
      </c>
      <c r="BV355" s="5" t="str">
        <f>IF('Project Database'!A359="","",N('Project Database'!AO359))</f>
        <v/>
      </c>
      <c r="BW355" s="5" t="str">
        <f>IF('Project Database'!A359="","",N('Project Database'!AP359))</f>
        <v/>
      </c>
      <c r="BX355" s="5">
        <f t="shared" si="82"/>
        <v>0</v>
      </c>
      <c r="BY355" s="5">
        <f t="shared" si="83"/>
        <v>0</v>
      </c>
    </row>
    <row r="356" spans="1:77" ht="15" customHeight="1" x14ac:dyDescent="0.3">
      <c r="A356" s="66">
        <f>'Project Database'!A360</f>
        <v>0</v>
      </c>
      <c r="B356" s="66">
        <f>'Project Database'!B360</f>
        <v>0</v>
      </c>
      <c r="C356" s="66">
        <f>'Project Database'!G360</f>
        <v>0</v>
      </c>
      <c r="D356" s="66">
        <f>'Project Database'!H360</f>
        <v>0</v>
      </c>
      <c r="E356" s="66">
        <f>'Project Database'!I360</f>
        <v>0</v>
      </c>
      <c r="F356" s="66">
        <f>'Project Database'!J360</f>
        <v>0</v>
      </c>
      <c r="G356" s="66">
        <f>'Project Database'!K360</f>
        <v>0</v>
      </c>
      <c r="H356" s="66">
        <f>'Project Database'!L360</f>
        <v>0</v>
      </c>
      <c r="I356" s="66">
        <f>'Project Database'!M360</f>
        <v>0</v>
      </c>
      <c r="J356" s="66">
        <f>'Project Database'!N360</f>
        <v>0</v>
      </c>
      <c r="K356" s="66">
        <f>'Project Database'!O360</f>
        <v>0</v>
      </c>
      <c r="L356" s="66">
        <f>'Project Database'!P360</f>
        <v>0</v>
      </c>
      <c r="M356" s="66">
        <f>'Project Database'!Q360</f>
        <v>0</v>
      </c>
      <c r="N356" s="66">
        <f>'Project Database'!R360</f>
        <v>0</v>
      </c>
      <c r="O356" s="66">
        <f>'Project Database'!S360</f>
        <v>0</v>
      </c>
      <c r="P356" s="66">
        <f>'Project Database'!T360</f>
        <v>0</v>
      </c>
      <c r="Q356" s="66">
        <f>'Project Database'!U360</f>
        <v>0</v>
      </c>
      <c r="R356" s="66">
        <f>'Project Database'!V360</f>
        <v>0</v>
      </c>
      <c r="S356" s="66">
        <f>'Project Database'!W360</f>
        <v>0</v>
      </c>
      <c r="T356" s="66">
        <f>'Project Database'!X360</f>
        <v>0</v>
      </c>
      <c r="U356" s="67">
        <f>'Project Database'!Y360</f>
        <v>0</v>
      </c>
      <c r="V356" s="66">
        <f>IF('Smart Search'!B13=1,IFERROR(1/'Smart Search'!H13,0),0)</f>
        <v>0</v>
      </c>
      <c r="W356" s="66">
        <f>IF('Smart Search'!B13=1,IFERROR(1/'Smart Search'!H13,0),0)</f>
        <v>0</v>
      </c>
      <c r="X356" s="66">
        <f>IF('Smart Search'!C13=1,IFERROR(1/'Smart Search'!H13,0),0)</f>
        <v>0.5</v>
      </c>
      <c r="Y356" s="66">
        <f>IF('Smart Search'!C13=1,IFERROR(1/'Smart Search'!H13,0),0)</f>
        <v>0.5</v>
      </c>
      <c r="Z356" s="66">
        <f>IF('Smart Search'!D13=1,IFERROR(1/'Smart Search'!H13,0),0)</f>
        <v>0</v>
      </c>
      <c r="AA356" s="66">
        <f>IF('Smart Search'!D13=1,IFERROR(1/'Smart Search'!H13,0),0)</f>
        <v>0</v>
      </c>
      <c r="AB356" s="66">
        <f>IF('Smart Search'!E13=1,IFERROR(1/'Smart Search'!H13,0),0)</f>
        <v>0</v>
      </c>
      <c r="AC356" s="66">
        <f>IF('Smart Search'!E13=1,IFERROR(1/'Smart Search'!H13,0),0)</f>
        <v>0</v>
      </c>
      <c r="AD356" s="66">
        <f>IF('Smart Search'!F13=1,IFERROR(1/'Smart Search'!H13,0),0)</f>
        <v>0</v>
      </c>
      <c r="AE356" s="66">
        <f>IF('Smart Search'!F13=1,IFERROR(1/'Smart Search'!H13,0),0)</f>
        <v>0</v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>0</v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>0</v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>0</v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>0</v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>0</v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>0</v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>0</v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>0</v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>0</v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>0</v>
      </c>
      <c r="AP356" s="66">
        <f t="shared" si="70"/>
        <v>0</v>
      </c>
      <c r="AQ356" s="66">
        <f t="shared" si="71"/>
        <v>0</v>
      </c>
      <c r="AR356" s="66">
        <f t="shared" si="72"/>
        <v>0</v>
      </c>
      <c r="AS356" s="66">
        <f t="shared" si="73"/>
        <v>0</v>
      </c>
      <c r="AT356" s="66">
        <f t="shared" si="74"/>
        <v>0</v>
      </c>
      <c r="AU356" s="66">
        <f t="shared" si="75"/>
        <v>0</v>
      </c>
      <c r="AV356" s="66">
        <f t="shared" si="76"/>
        <v>0</v>
      </c>
      <c r="AW356" s="66">
        <f t="shared" si="77"/>
        <v>0</v>
      </c>
      <c r="AX356" s="66">
        <f t="shared" si="78"/>
        <v>0</v>
      </c>
      <c r="AY356" s="66">
        <f t="shared" si="79"/>
        <v>0</v>
      </c>
      <c r="AZ356" s="66">
        <f>'Project Database'!Z360</f>
        <v>0</v>
      </c>
      <c r="BA356" s="66">
        <f>IF(OR(A356="",'Smart Search'!H13=0),"",MAX(0,BE356*BF356*MAX(0,1-BG356)))</f>
        <v>0</v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>0</v>
      </c>
      <c r="BC356" s="66">
        <f>IF('Smart Search'!G13=1,IFERROR(1/'Smart Search'!H13,0),0)</f>
        <v>0</v>
      </c>
      <c r="BD356" s="66">
        <f t="shared" si="80"/>
        <v>0</v>
      </c>
      <c r="BE356" s="66">
        <f t="shared" si="81"/>
        <v>0</v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>0</v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>0</v>
      </c>
      <c r="BH356" s="5" t="str">
        <f>IF(AND('Project Database'!A360&lt;&gt;"",OR('Smart Search'!$L$5="",'Smart Search'!$L$5="All",TRIM('Project Database'!D360)=TRIM('Smart Search'!$L$5)),OR(TRIM('Smart Search'!$L$6)="",TRIM('Smart Search'!$L$6)="All",ISNUMBER(SEARCH(SUBSTITUTE(SUBSTITUTE(SUBSTITUTE(TRIM('Smart Search'!$L$6),"~","~~"),"*","~*"),"?","~?"),'Project Database'!C360))),OR('Smart Search'!$L$7="",AND('Project Database'!E360&lt;&gt;"",'Project Database'!E360='Smart Search'!$L$7)),OR('Smart Search'!$L$8="",'Smart Search'!$L$8="All",TRIM('Project Database'!F360)=TRIM('Smart Search'!$L$8))),IF(BA356="","",BA356+ROW()*0.0000000001),"")</f>
        <v/>
      </c>
      <c r="BI356" s="5" t="str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 t="str">
        <f>IF('Project Database'!A360="","",N('Project Database'!AC360))</f>
        <v/>
      </c>
      <c r="BK356" s="5" t="str">
        <f>IF('Project Database'!A360="","",N('Project Database'!AD360))</f>
        <v/>
      </c>
      <c r="BL356" s="5" t="str">
        <f>IF('Project Database'!A360="","",N('Project Database'!AE360))</f>
        <v/>
      </c>
      <c r="BM356" s="5" t="str">
        <f>IF('Project Database'!A360="","",N('Project Database'!AF360))</f>
        <v/>
      </c>
      <c r="BN356" s="5" t="str">
        <f>IF('Project Database'!A360="","",N('Project Database'!AG360))</f>
        <v/>
      </c>
      <c r="BO356" s="5" t="str">
        <f>IF('Project Database'!A360="","",N('Project Database'!AH360))</f>
        <v/>
      </c>
      <c r="BP356" s="5" t="str">
        <f>IF('Project Database'!A360="","",N('Project Database'!AI360))</f>
        <v/>
      </c>
      <c r="BQ356" s="5" t="str">
        <f>IF('Project Database'!A360="","",N('Project Database'!AJ360))</f>
        <v/>
      </c>
      <c r="BR356" s="5" t="str">
        <f>IF('Project Database'!A360="","",N('Project Database'!AK360))</f>
        <v/>
      </c>
      <c r="BS356" s="5" t="str">
        <f>IF('Project Database'!A360="","",N('Project Database'!AL360))</f>
        <v/>
      </c>
      <c r="BT356" s="5" t="str">
        <f>IF('Project Database'!A360="","",N('Project Database'!AM360))</f>
        <v/>
      </c>
      <c r="BU356" s="5" t="str">
        <f>IF('Project Database'!A360="","",N('Project Database'!AN360))</f>
        <v/>
      </c>
      <c r="BV356" s="5" t="str">
        <f>IF('Project Database'!A360="","",N('Project Database'!AO360))</f>
        <v/>
      </c>
      <c r="BW356" s="5" t="str">
        <f>IF('Project Database'!A360="","",N('Project Database'!AP360))</f>
        <v/>
      </c>
      <c r="BX356" s="5">
        <f t="shared" si="82"/>
        <v>0</v>
      </c>
      <c r="BY356" s="5">
        <f t="shared" si="83"/>
        <v>0</v>
      </c>
    </row>
    <row r="357" spans="1:77" ht="15" customHeight="1" x14ac:dyDescent="0.3">
      <c r="A357" s="66">
        <f>'Project Database'!A361</f>
        <v>0</v>
      </c>
      <c r="B357" s="66">
        <f>'Project Database'!B361</f>
        <v>0</v>
      </c>
      <c r="C357" s="66">
        <f>'Project Database'!G361</f>
        <v>0</v>
      </c>
      <c r="D357" s="66">
        <f>'Project Database'!H361</f>
        <v>0</v>
      </c>
      <c r="E357" s="66">
        <f>'Project Database'!I361</f>
        <v>0</v>
      </c>
      <c r="F357" s="66">
        <f>'Project Database'!J361</f>
        <v>0</v>
      </c>
      <c r="G357" s="66">
        <f>'Project Database'!K361</f>
        <v>0</v>
      </c>
      <c r="H357" s="66">
        <f>'Project Database'!L361</f>
        <v>0</v>
      </c>
      <c r="I357" s="66">
        <f>'Project Database'!M361</f>
        <v>0</v>
      </c>
      <c r="J357" s="66">
        <f>'Project Database'!N361</f>
        <v>0</v>
      </c>
      <c r="K357" s="66">
        <f>'Project Database'!O361</f>
        <v>0</v>
      </c>
      <c r="L357" s="66">
        <f>'Project Database'!P361</f>
        <v>0</v>
      </c>
      <c r="M357" s="66">
        <f>'Project Database'!Q361</f>
        <v>0</v>
      </c>
      <c r="N357" s="66">
        <f>'Project Database'!R361</f>
        <v>0</v>
      </c>
      <c r="O357" s="66">
        <f>'Project Database'!S361</f>
        <v>0</v>
      </c>
      <c r="P357" s="66">
        <f>'Project Database'!T361</f>
        <v>0</v>
      </c>
      <c r="Q357" s="66">
        <f>'Project Database'!U361</f>
        <v>0</v>
      </c>
      <c r="R357" s="66">
        <f>'Project Database'!V361</f>
        <v>0</v>
      </c>
      <c r="S357" s="66">
        <f>'Project Database'!W361</f>
        <v>0</v>
      </c>
      <c r="T357" s="66">
        <f>'Project Database'!X361</f>
        <v>0</v>
      </c>
      <c r="U357" s="67">
        <f>'Project Database'!Y361</f>
        <v>0</v>
      </c>
      <c r="V357" s="66">
        <f>IF('Smart Search'!B13=1,IFERROR(1/'Smart Search'!H13,0),0)</f>
        <v>0</v>
      </c>
      <c r="W357" s="66">
        <f>IF('Smart Search'!B13=1,IFERROR(1/'Smart Search'!H13,0),0)</f>
        <v>0</v>
      </c>
      <c r="X357" s="66">
        <f>IF('Smart Search'!C13=1,IFERROR(1/'Smart Search'!H13,0),0)</f>
        <v>0.5</v>
      </c>
      <c r="Y357" s="66">
        <f>IF('Smart Search'!C13=1,IFERROR(1/'Smart Search'!H13,0),0)</f>
        <v>0.5</v>
      </c>
      <c r="Z357" s="66">
        <f>IF('Smart Search'!D13=1,IFERROR(1/'Smart Search'!H13,0),0)</f>
        <v>0</v>
      </c>
      <c r="AA357" s="66">
        <f>IF('Smart Search'!D13=1,IFERROR(1/'Smart Search'!H13,0),0)</f>
        <v>0</v>
      </c>
      <c r="AB357" s="66">
        <f>IF('Smart Search'!E13=1,IFERROR(1/'Smart Search'!H13,0),0)</f>
        <v>0</v>
      </c>
      <c r="AC357" s="66">
        <f>IF('Smart Search'!E13=1,IFERROR(1/'Smart Search'!H13,0),0)</f>
        <v>0</v>
      </c>
      <c r="AD357" s="66">
        <f>IF('Smart Search'!F13=1,IFERROR(1/'Smart Search'!H13,0),0)</f>
        <v>0</v>
      </c>
      <c r="AE357" s="66">
        <f>IF('Smart Search'!F13=1,IFERROR(1/'Smart Search'!H13,0),0)</f>
        <v>0</v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>0</v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>0</v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>0</v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>0</v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>0</v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>0</v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>0</v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>0</v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>0</v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>0</v>
      </c>
      <c r="AP357" s="66">
        <f t="shared" si="70"/>
        <v>0</v>
      </c>
      <c r="AQ357" s="66">
        <f t="shared" si="71"/>
        <v>0</v>
      </c>
      <c r="AR357" s="66">
        <f t="shared" si="72"/>
        <v>0</v>
      </c>
      <c r="AS357" s="66">
        <f t="shared" si="73"/>
        <v>0</v>
      </c>
      <c r="AT357" s="66">
        <f t="shared" si="74"/>
        <v>0</v>
      </c>
      <c r="AU357" s="66">
        <f t="shared" si="75"/>
        <v>0</v>
      </c>
      <c r="AV357" s="66">
        <f t="shared" si="76"/>
        <v>0</v>
      </c>
      <c r="AW357" s="66">
        <f t="shared" si="77"/>
        <v>0</v>
      </c>
      <c r="AX357" s="66">
        <f t="shared" si="78"/>
        <v>0</v>
      </c>
      <c r="AY357" s="66">
        <f t="shared" si="79"/>
        <v>0</v>
      </c>
      <c r="AZ357" s="66">
        <f>'Project Database'!Z361</f>
        <v>0</v>
      </c>
      <c r="BA357" s="66">
        <f>IF(OR(A357="",'Smart Search'!H13=0),"",MAX(0,BE357*BF357*MAX(0,1-BG357)))</f>
        <v>0</v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>0</v>
      </c>
      <c r="BC357" s="66">
        <f>IF('Smart Search'!G13=1,IFERROR(1/'Smart Search'!H13,0),0)</f>
        <v>0</v>
      </c>
      <c r="BD357" s="66">
        <f t="shared" si="80"/>
        <v>0</v>
      </c>
      <c r="BE357" s="66">
        <f t="shared" si="81"/>
        <v>0</v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>0</v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>0</v>
      </c>
      <c r="BH357" s="5" t="str">
        <f>IF(AND('Project Database'!A361&lt;&gt;"",OR('Smart Search'!$L$5="",'Smart Search'!$L$5="All",TRIM('Project Database'!D361)=TRIM('Smart Search'!$L$5)),OR(TRIM('Smart Search'!$L$6)="",TRIM('Smart Search'!$L$6)="All",ISNUMBER(SEARCH(SUBSTITUTE(SUBSTITUTE(SUBSTITUTE(TRIM('Smart Search'!$L$6),"~","~~"),"*","~*"),"?","~?"),'Project Database'!C361))),OR('Smart Search'!$L$7="",AND('Project Database'!E361&lt;&gt;"",'Project Database'!E361='Smart Search'!$L$7)),OR('Smart Search'!$L$8="",'Smart Search'!$L$8="All",TRIM('Project Database'!F361)=TRIM('Smart Search'!$L$8))),IF(BA357="","",BA357+ROW()*0.0000000001),"")</f>
        <v/>
      </c>
      <c r="BI357" s="5" t="str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 t="str">
        <f>IF('Project Database'!A361="","",N('Project Database'!AC361))</f>
        <v/>
      </c>
      <c r="BK357" s="5" t="str">
        <f>IF('Project Database'!A361="","",N('Project Database'!AD361))</f>
        <v/>
      </c>
      <c r="BL357" s="5" t="str">
        <f>IF('Project Database'!A361="","",N('Project Database'!AE361))</f>
        <v/>
      </c>
      <c r="BM357" s="5" t="str">
        <f>IF('Project Database'!A361="","",N('Project Database'!AF361))</f>
        <v/>
      </c>
      <c r="BN357" s="5" t="str">
        <f>IF('Project Database'!A361="","",N('Project Database'!AG361))</f>
        <v/>
      </c>
      <c r="BO357" s="5" t="str">
        <f>IF('Project Database'!A361="","",N('Project Database'!AH361))</f>
        <v/>
      </c>
      <c r="BP357" s="5" t="str">
        <f>IF('Project Database'!A361="","",N('Project Database'!AI361))</f>
        <v/>
      </c>
      <c r="BQ357" s="5" t="str">
        <f>IF('Project Database'!A361="","",N('Project Database'!AJ361))</f>
        <v/>
      </c>
      <c r="BR357" s="5" t="str">
        <f>IF('Project Database'!A361="","",N('Project Database'!AK361))</f>
        <v/>
      </c>
      <c r="BS357" s="5" t="str">
        <f>IF('Project Database'!A361="","",N('Project Database'!AL361))</f>
        <v/>
      </c>
      <c r="BT357" s="5" t="str">
        <f>IF('Project Database'!A361="","",N('Project Database'!AM361))</f>
        <v/>
      </c>
      <c r="BU357" s="5" t="str">
        <f>IF('Project Database'!A361="","",N('Project Database'!AN361))</f>
        <v/>
      </c>
      <c r="BV357" s="5" t="str">
        <f>IF('Project Database'!A361="","",N('Project Database'!AO361))</f>
        <v/>
      </c>
      <c r="BW357" s="5" t="str">
        <f>IF('Project Database'!A361="","",N('Project Database'!AP361))</f>
        <v/>
      </c>
      <c r="BX357" s="5">
        <f t="shared" si="82"/>
        <v>0</v>
      </c>
      <c r="BY357" s="5">
        <f t="shared" si="83"/>
        <v>0</v>
      </c>
    </row>
    <row r="358" spans="1:77" ht="15" customHeight="1" x14ac:dyDescent="0.3">
      <c r="A358" s="66">
        <f>'Project Database'!A362</f>
        <v>0</v>
      </c>
      <c r="B358" s="66">
        <f>'Project Database'!B362</f>
        <v>0</v>
      </c>
      <c r="C358" s="66">
        <f>'Project Database'!G362</f>
        <v>0</v>
      </c>
      <c r="D358" s="66">
        <f>'Project Database'!H362</f>
        <v>0</v>
      </c>
      <c r="E358" s="66">
        <f>'Project Database'!I362</f>
        <v>0</v>
      </c>
      <c r="F358" s="66">
        <f>'Project Database'!J362</f>
        <v>0</v>
      </c>
      <c r="G358" s="66">
        <f>'Project Database'!K362</f>
        <v>0</v>
      </c>
      <c r="H358" s="66">
        <f>'Project Database'!L362</f>
        <v>0</v>
      </c>
      <c r="I358" s="66">
        <f>'Project Database'!M362</f>
        <v>0</v>
      </c>
      <c r="J358" s="66">
        <f>'Project Database'!N362</f>
        <v>0</v>
      </c>
      <c r="K358" s="66">
        <f>'Project Database'!O362</f>
        <v>0</v>
      </c>
      <c r="L358" s="66">
        <f>'Project Database'!P362</f>
        <v>0</v>
      </c>
      <c r="M358" s="66">
        <f>'Project Database'!Q362</f>
        <v>0</v>
      </c>
      <c r="N358" s="66">
        <f>'Project Database'!R362</f>
        <v>0</v>
      </c>
      <c r="O358" s="66">
        <f>'Project Database'!S362</f>
        <v>0</v>
      </c>
      <c r="P358" s="66">
        <f>'Project Database'!T362</f>
        <v>0</v>
      </c>
      <c r="Q358" s="66">
        <f>'Project Database'!U362</f>
        <v>0</v>
      </c>
      <c r="R358" s="66">
        <f>'Project Database'!V362</f>
        <v>0</v>
      </c>
      <c r="S358" s="66">
        <f>'Project Database'!W362</f>
        <v>0</v>
      </c>
      <c r="T358" s="66">
        <f>'Project Database'!X362</f>
        <v>0</v>
      </c>
      <c r="U358" s="67">
        <f>'Project Database'!Y362</f>
        <v>0</v>
      </c>
      <c r="V358" s="66">
        <f>IF('Smart Search'!B13=1,IFERROR(1/'Smart Search'!H13,0),0)</f>
        <v>0</v>
      </c>
      <c r="W358" s="66">
        <f>IF('Smart Search'!B13=1,IFERROR(1/'Smart Search'!H13,0),0)</f>
        <v>0</v>
      </c>
      <c r="X358" s="66">
        <f>IF('Smart Search'!C13=1,IFERROR(1/'Smart Search'!H13,0),0)</f>
        <v>0.5</v>
      </c>
      <c r="Y358" s="66">
        <f>IF('Smart Search'!C13=1,IFERROR(1/'Smart Search'!H13,0),0)</f>
        <v>0.5</v>
      </c>
      <c r="Z358" s="66">
        <f>IF('Smart Search'!D13=1,IFERROR(1/'Smart Search'!H13,0),0)</f>
        <v>0</v>
      </c>
      <c r="AA358" s="66">
        <f>IF('Smart Search'!D13=1,IFERROR(1/'Smart Search'!H13,0),0)</f>
        <v>0</v>
      </c>
      <c r="AB358" s="66">
        <f>IF('Smart Search'!E13=1,IFERROR(1/'Smart Search'!H13,0),0)</f>
        <v>0</v>
      </c>
      <c r="AC358" s="66">
        <f>IF('Smart Search'!E13=1,IFERROR(1/'Smart Search'!H13,0),0)</f>
        <v>0</v>
      </c>
      <c r="AD358" s="66">
        <f>IF('Smart Search'!F13=1,IFERROR(1/'Smart Search'!H13,0),0)</f>
        <v>0</v>
      </c>
      <c r="AE358" s="66">
        <f>IF('Smart Search'!F13=1,IFERROR(1/'Smart Search'!H13,0),0)</f>
        <v>0</v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>0</v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>0</v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>0</v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>0</v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>0</v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>0</v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>0</v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>0</v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>0</v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>0</v>
      </c>
      <c r="AP358" s="66">
        <f t="shared" si="70"/>
        <v>0</v>
      </c>
      <c r="AQ358" s="66">
        <f t="shared" si="71"/>
        <v>0</v>
      </c>
      <c r="AR358" s="66">
        <f t="shared" si="72"/>
        <v>0</v>
      </c>
      <c r="AS358" s="66">
        <f t="shared" si="73"/>
        <v>0</v>
      </c>
      <c r="AT358" s="66">
        <f t="shared" si="74"/>
        <v>0</v>
      </c>
      <c r="AU358" s="66">
        <f t="shared" si="75"/>
        <v>0</v>
      </c>
      <c r="AV358" s="66">
        <f t="shared" si="76"/>
        <v>0</v>
      </c>
      <c r="AW358" s="66">
        <f t="shared" si="77"/>
        <v>0</v>
      </c>
      <c r="AX358" s="66">
        <f t="shared" si="78"/>
        <v>0</v>
      </c>
      <c r="AY358" s="66">
        <f t="shared" si="79"/>
        <v>0</v>
      </c>
      <c r="AZ358" s="66">
        <f>'Project Database'!Z362</f>
        <v>0</v>
      </c>
      <c r="BA358" s="66">
        <f>IF(OR(A358="",'Smart Search'!H13=0),"",MAX(0,BE358*BF358*MAX(0,1-BG358)))</f>
        <v>0</v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>0</v>
      </c>
      <c r="BC358" s="66">
        <f>IF('Smart Search'!G13=1,IFERROR(1/'Smart Search'!H13,0),0)</f>
        <v>0</v>
      </c>
      <c r="BD358" s="66">
        <f t="shared" si="80"/>
        <v>0</v>
      </c>
      <c r="BE358" s="66">
        <f t="shared" si="81"/>
        <v>0</v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>0</v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>0</v>
      </c>
      <c r="BH358" s="5" t="str">
        <f>IF(AND('Project Database'!A362&lt;&gt;"",OR('Smart Search'!$L$5="",'Smart Search'!$L$5="All",TRIM('Project Database'!D362)=TRIM('Smart Search'!$L$5)),OR(TRIM('Smart Search'!$L$6)="",TRIM('Smart Search'!$L$6)="All",ISNUMBER(SEARCH(SUBSTITUTE(SUBSTITUTE(SUBSTITUTE(TRIM('Smart Search'!$L$6),"~","~~"),"*","~*"),"?","~?"),'Project Database'!C362))),OR('Smart Search'!$L$7="",AND('Project Database'!E362&lt;&gt;"",'Project Database'!E362='Smart Search'!$L$7)),OR('Smart Search'!$L$8="",'Smart Search'!$L$8="All",TRIM('Project Database'!F362)=TRIM('Smart Search'!$L$8))),IF(BA358="","",BA358+ROW()*0.0000000001),"")</f>
        <v/>
      </c>
      <c r="BI358" s="5" t="str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 t="str">
        <f>IF('Project Database'!A362="","",N('Project Database'!AC362))</f>
        <v/>
      </c>
      <c r="BK358" s="5" t="str">
        <f>IF('Project Database'!A362="","",N('Project Database'!AD362))</f>
        <v/>
      </c>
      <c r="BL358" s="5" t="str">
        <f>IF('Project Database'!A362="","",N('Project Database'!AE362))</f>
        <v/>
      </c>
      <c r="BM358" s="5" t="str">
        <f>IF('Project Database'!A362="","",N('Project Database'!AF362))</f>
        <v/>
      </c>
      <c r="BN358" s="5" t="str">
        <f>IF('Project Database'!A362="","",N('Project Database'!AG362))</f>
        <v/>
      </c>
      <c r="BO358" s="5" t="str">
        <f>IF('Project Database'!A362="","",N('Project Database'!AH362))</f>
        <v/>
      </c>
      <c r="BP358" s="5" t="str">
        <f>IF('Project Database'!A362="","",N('Project Database'!AI362))</f>
        <v/>
      </c>
      <c r="BQ358" s="5" t="str">
        <f>IF('Project Database'!A362="","",N('Project Database'!AJ362))</f>
        <v/>
      </c>
      <c r="BR358" s="5" t="str">
        <f>IF('Project Database'!A362="","",N('Project Database'!AK362))</f>
        <v/>
      </c>
      <c r="BS358" s="5" t="str">
        <f>IF('Project Database'!A362="","",N('Project Database'!AL362))</f>
        <v/>
      </c>
      <c r="BT358" s="5" t="str">
        <f>IF('Project Database'!A362="","",N('Project Database'!AM362))</f>
        <v/>
      </c>
      <c r="BU358" s="5" t="str">
        <f>IF('Project Database'!A362="","",N('Project Database'!AN362))</f>
        <v/>
      </c>
      <c r="BV358" s="5" t="str">
        <f>IF('Project Database'!A362="","",N('Project Database'!AO362))</f>
        <v/>
      </c>
      <c r="BW358" s="5" t="str">
        <f>IF('Project Database'!A362="","",N('Project Database'!AP362))</f>
        <v/>
      </c>
      <c r="BX358" s="5">
        <f t="shared" si="82"/>
        <v>0</v>
      </c>
      <c r="BY358" s="5">
        <f t="shared" si="83"/>
        <v>0</v>
      </c>
    </row>
    <row r="359" spans="1:77" ht="15" customHeight="1" x14ac:dyDescent="0.3">
      <c r="A359" s="66">
        <f>'Project Database'!A363</f>
        <v>0</v>
      </c>
      <c r="B359" s="66">
        <f>'Project Database'!B363</f>
        <v>0</v>
      </c>
      <c r="C359" s="66">
        <f>'Project Database'!G363</f>
        <v>0</v>
      </c>
      <c r="D359" s="66">
        <f>'Project Database'!H363</f>
        <v>0</v>
      </c>
      <c r="E359" s="66">
        <f>'Project Database'!I363</f>
        <v>0</v>
      </c>
      <c r="F359" s="66">
        <f>'Project Database'!J363</f>
        <v>0</v>
      </c>
      <c r="G359" s="66">
        <f>'Project Database'!K363</f>
        <v>0</v>
      </c>
      <c r="H359" s="66">
        <f>'Project Database'!L363</f>
        <v>0</v>
      </c>
      <c r="I359" s="66">
        <f>'Project Database'!M363</f>
        <v>0</v>
      </c>
      <c r="J359" s="66">
        <f>'Project Database'!N363</f>
        <v>0</v>
      </c>
      <c r="K359" s="66">
        <f>'Project Database'!O363</f>
        <v>0</v>
      </c>
      <c r="L359" s="66">
        <f>'Project Database'!P363</f>
        <v>0</v>
      </c>
      <c r="M359" s="66">
        <f>'Project Database'!Q363</f>
        <v>0</v>
      </c>
      <c r="N359" s="66">
        <f>'Project Database'!R363</f>
        <v>0</v>
      </c>
      <c r="O359" s="66">
        <f>'Project Database'!S363</f>
        <v>0</v>
      </c>
      <c r="P359" s="66">
        <f>'Project Database'!T363</f>
        <v>0</v>
      </c>
      <c r="Q359" s="66">
        <f>'Project Database'!U363</f>
        <v>0</v>
      </c>
      <c r="R359" s="66">
        <f>'Project Database'!V363</f>
        <v>0</v>
      </c>
      <c r="S359" s="66">
        <f>'Project Database'!W363</f>
        <v>0</v>
      </c>
      <c r="T359" s="66">
        <f>'Project Database'!X363</f>
        <v>0</v>
      </c>
      <c r="U359" s="67">
        <f>'Project Database'!Y363</f>
        <v>0</v>
      </c>
      <c r="V359" s="66">
        <f>IF('Smart Search'!B13=1,IFERROR(1/'Smart Search'!H13,0),0)</f>
        <v>0</v>
      </c>
      <c r="W359" s="66">
        <f>IF('Smart Search'!B13=1,IFERROR(1/'Smart Search'!H13,0),0)</f>
        <v>0</v>
      </c>
      <c r="X359" s="66">
        <f>IF('Smart Search'!C13=1,IFERROR(1/'Smart Search'!H13,0),0)</f>
        <v>0.5</v>
      </c>
      <c r="Y359" s="66">
        <f>IF('Smart Search'!C13=1,IFERROR(1/'Smart Search'!H13,0),0)</f>
        <v>0.5</v>
      </c>
      <c r="Z359" s="66">
        <f>IF('Smart Search'!D13=1,IFERROR(1/'Smart Search'!H13,0),0)</f>
        <v>0</v>
      </c>
      <c r="AA359" s="66">
        <f>IF('Smart Search'!D13=1,IFERROR(1/'Smart Search'!H13,0),0)</f>
        <v>0</v>
      </c>
      <c r="AB359" s="66">
        <f>IF('Smart Search'!E13=1,IFERROR(1/'Smart Search'!H13,0),0)</f>
        <v>0</v>
      </c>
      <c r="AC359" s="66">
        <f>IF('Smart Search'!E13=1,IFERROR(1/'Smart Search'!H13,0),0)</f>
        <v>0</v>
      </c>
      <c r="AD359" s="66">
        <f>IF('Smart Search'!F13=1,IFERROR(1/'Smart Search'!H13,0),0)</f>
        <v>0</v>
      </c>
      <c r="AE359" s="66">
        <f>IF('Smart Search'!F13=1,IFERROR(1/'Smart Search'!H13,0),0)</f>
        <v>0</v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>0</v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>0</v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>0</v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>0</v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>0</v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>0</v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>0</v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>0</v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>0</v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>0</v>
      </c>
      <c r="AP359" s="66">
        <f t="shared" si="70"/>
        <v>0</v>
      </c>
      <c r="AQ359" s="66">
        <f t="shared" si="71"/>
        <v>0</v>
      </c>
      <c r="AR359" s="66">
        <f t="shared" si="72"/>
        <v>0</v>
      </c>
      <c r="AS359" s="66">
        <f t="shared" si="73"/>
        <v>0</v>
      </c>
      <c r="AT359" s="66">
        <f t="shared" si="74"/>
        <v>0</v>
      </c>
      <c r="AU359" s="66">
        <f t="shared" si="75"/>
        <v>0</v>
      </c>
      <c r="AV359" s="66">
        <f t="shared" si="76"/>
        <v>0</v>
      </c>
      <c r="AW359" s="66">
        <f t="shared" si="77"/>
        <v>0</v>
      </c>
      <c r="AX359" s="66">
        <f t="shared" si="78"/>
        <v>0</v>
      </c>
      <c r="AY359" s="66">
        <f t="shared" si="79"/>
        <v>0</v>
      </c>
      <c r="AZ359" s="66">
        <f>'Project Database'!Z363</f>
        <v>0</v>
      </c>
      <c r="BA359" s="66">
        <f>IF(OR(A359="",'Smart Search'!H13=0),"",MAX(0,BE359*BF359*MAX(0,1-BG359)))</f>
        <v>0</v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>0</v>
      </c>
      <c r="BC359" s="66">
        <f>IF('Smart Search'!G13=1,IFERROR(1/'Smart Search'!H13,0),0)</f>
        <v>0</v>
      </c>
      <c r="BD359" s="66">
        <f t="shared" si="80"/>
        <v>0</v>
      </c>
      <c r="BE359" s="66">
        <f t="shared" si="81"/>
        <v>0</v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>0</v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>0</v>
      </c>
      <c r="BH359" s="5" t="str">
        <f>IF(AND('Project Database'!A363&lt;&gt;"",OR('Smart Search'!$L$5="",'Smart Search'!$L$5="All",TRIM('Project Database'!D363)=TRIM('Smart Search'!$L$5)),OR(TRIM('Smart Search'!$L$6)="",TRIM('Smart Search'!$L$6)="All",ISNUMBER(SEARCH(SUBSTITUTE(SUBSTITUTE(SUBSTITUTE(TRIM('Smart Search'!$L$6),"~","~~"),"*","~*"),"?","~?"),'Project Database'!C363))),OR('Smart Search'!$L$7="",AND('Project Database'!E363&lt;&gt;"",'Project Database'!E363='Smart Search'!$L$7)),OR('Smart Search'!$L$8="",'Smart Search'!$L$8="All",TRIM('Project Database'!F363)=TRIM('Smart Search'!$L$8))),IF(BA359="","",BA359+ROW()*0.0000000001),"")</f>
        <v/>
      </c>
      <c r="BI359" s="5" t="str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 t="str">
        <f>IF('Project Database'!A363="","",N('Project Database'!AC363))</f>
        <v/>
      </c>
      <c r="BK359" s="5" t="str">
        <f>IF('Project Database'!A363="","",N('Project Database'!AD363))</f>
        <v/>
      </c>
      <c r="BL359" s="5" t="str">
        <f>IF('Project Database'!A363="","",N('Project Database'!AE363))</f>
        <v/>
      </c>
      <c r="BM359" s="5" t="str">
        <f>IF('Project Database'!A363="","",N('Project Database'!AF363))</f>
        <v/>
      </c>
      <c r="BN359" s="5" t="str">
        <f>IF('Project Database'!A363="","",N('Project Database'!AG363))</f>
        <v/>
      </c>
      <c r="BO359" s="5" t="str">
        <f>IF('Project Database'!A363="","",N('Project Database'!AH363))</f>
        <v/>
      </c>
      <c r="BP359" s="5" t="str">
        <f>IF('Project Database'!A363="","",N('Project Database'!AI363))</f>
        <v/>
      </c>
      <c r="BQ359" s="5" t="str">
        <f>IF('Project Database'!A363="","",N('Project Database'!AJ363))</f>
        <v/>
      </c>
      <c r="BR359" s="5" t="str">
        <f>IF('Project Database'!A363="","",N('Project Database'!AK363))</f>
        <v/>
      </c>
      <c r="BS359" s="5" t="str">
        <f>IF('Project Database'!A363="","",N('Project Database'!AL363))</f>
        <v/>
      </c>
      <c r="BT359" s="5" t="str">
        <f>IF('Project Database'!A363="","",N('Project Database'!AM363))</f>
        <v/>
      </c>
      <c r="BU359" s="5" t="str">
        <f>IF('Project Database'!A363="","",N('Project Database'!AN363))</f>
        <v/>
      </c>
      <c r="BV359" s="5" t="str">
        <f>IF('Project Database'!A363="","",N('Project Database'!AO363))</f>
        <v/>
      </c>
      <c r="BW359" s="5" t="str">
        <f>IF('Project Database'!A363="","",N('Project Database'!AP363))</f>
        <v/>
      </c>
      <c r="BX359" s="5">
        <f t="shared" si="82"/>
        <v>0</v>
      </c>
      <c r="BY359" s="5">
        <f t="shared" si="83"/>
        <v>0</v>
      </c>
    </row>
    <row r="360" spans="1:77" ht="15" customHeight="1" x14ac:dyDescent="0.3">
      <c r="A360" s="66">
        <f>'Project Database'!A364</f>
        <v>0</v>
      </c>
      <c r="B360" s="66">
        <f>'Project Database'!B364</f>
        <v>0</v>
      </c>
      <c r="C360" s="66">
        <f>'Project Database'!G364</f>
        <v>0</v>
      </c>
      <c r="D360" s="66">
        <f>'Project Database'!H364</f>
        <v>0</v>
      </c>
      <c r="E360" s="66">
        <f>'Project Database'!I364</f>
        <v>0</v>
      </c>
      <c r="F360" s="66">
        <f>'Project Database'!J364</f>
        <v>0</v>
      </c>
      <c r="G360" s="66">
        <f>'Project Database'!K364</f>
        <v>0</v>
      </c>
      <c r="H360" s="66">
        <f>'Project Database'!L364</f>
        <v>0</v>
      </c>
      <c r="I360" s="66">
        <f>'Project Database'!M364</f>
        <v>0</v>
      </c>
      <c r="J360" s="66">
        <f>'Project Database'!N364</f>
        <v>0</v>
      </c>
      <c r="K360" s="66">
        <f>'Project Database'!O364</f>
        <v>0</v>
      </c>
      <c r="L360" s="66">
        <f>'Project Database'!P364</f>
        <v>0</v>
      </c>
      <c r="M360" s="66">
        <f>'Project Database'!Q364</f>
        <v>0</v>
      </c>
      <c r="N360" s="66">
        <f>'Project Database'!R364</f>
        <v>0</v>
      </c>
      <c r="O360" s="66">
        <f>'Project Database'!S364</f>
        <v>0</v>
      </c>
      <c r="P360" s="66">
        <f>'Project Database'!T364</f>
        <v>0</v>
      </c>
      <c r="Q360" s="66">
        <f>'Project Database'!U364</f>
        <v>0</v>
      </c>
      <c r="R360" s="66">
        <f>'Project Database'!V364</f>
        <v>0</v>
      </c>
      <c r="S360" s="66">
        <f>'Project Database'!W364</f>
        <v>0</v>
      </c>
      <c r="T360" s="66">
        <f>'Project Database'!X364</f>
        <v>0</v>
      </c>
      <c r="U360" s="67">
        <f>'Project Database'!Y364</f>
        <v>0</v>
      </c>
      <c r="V360" s="66">
        <f>IF('Smart Search'!B13=1,IFERROR(1/'Smart Search'!H13,0),0)</f>
        <v>0</v>
      </c>
      <c r="W360" s="66">
        <f>IF('Smart Search'!B13=1,IFERROR(1/'Smart Search'!H13,0),0)</f>
        <v>0</v>
      </c>
      <c r="X360" s="66">
        <f>IF('Smart Search'!C13=1,IFERROR(1/'Smart Search'!H13,0),0)</f>
        <v>0.5</v>
      </c>
      <c r="Y360" s="66">
        <f>IF('Smart Search'!C13=1,IFERROR(1/'Smart Search'!H13,0),0)</f>
        <v>0.5</v>
      </c>
      <c r="Z360" s="66">
        <f>IF('Smart Search'!D13=1,IFERROR(1/'Smart Search'!H13,0),0)</f>
        <v>0</v>
      </c>
      <c r="AA360" s="66">
        <f>IF('Smart Search'!D13=1,IFERROR(1/'Smart Search'!H13,0),0)</f>
        <v>0</v>
      </c>
      <c r="AB360" s="66">
        <f>IF('Smart Search'!E13=1,IFERROR(1/'Smart Search'!H13,0),0)</f>
        <v>0</v>
      </c>
      <c r="AC360" s="66">
        <f>IF('Smart Search'!E13=1,IFERROR(1/'Smart Search'!H13,0),0)</f>
        <v>0</v>
      </c>
      <c r="AD360" s="66">
        <f>IF('Smart Search'!F13=1,IFERROR(1/'Smart Search'!H13,0),0)</f>
        <v>0</v>
      </c>
      <c r="AE360" s="66">
        <f>IF('Smart Search'!F13=1,IFERROR(1/'Smart Search'!H13,0),0)</f>
        <v>0</v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>0</v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>0</v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>0</v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>0</v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>0</v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>0</v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>0</v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>0</v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>0</v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>0</v>
      </c>
      <c r="AP360" s="66">
        <f t="shared" si="70"/>
        <v>0</v>
      </c>
      <c r="AQ360" s="66">
        <f t="shared" si="71"/>
        <v>0</v>
      </c>
      <c r="AR360" s="66">
        <f t="shared" si="72"/>
        <v>0</v>
      </c>
      <c r="AS360" s="66">
        <f t="shared" si="73"/>
        <v>0</v>
      </c>
      <c r="AT360" s="66">
        <f t="shared" si="74"/>
        <v>0</v>
      </c>
      <c r="AU360" s="66">
        <f t="shared" si="75"/>
        <v>0</v>
      </c>
      <c r="AV360" s="66">
        <f t="shared" si="76"/>
        <v>0</v>
      </c>
      <c r="AW360" s="66">
        <f t="shared" si="77"/>
        <v>0</v>
      </c>
      <c r="AX360" s="66">
        <f t="shared" si="78"/>
        <v>0</v>
      </c>
      <c r="AY360" s="66">
        <f t="shared" si="79"/>
        <v>0</v>
      </c>
      <c r="AZ360" s="66">
        <f>'Project Database'!Z364</f>
        <v>0</v>
      </c>
      <c r="BA360" s="66">
        <f>IF(OR(A360="",'Smart Search'!H13=0),"",MAX(0,BE360*BF360*MAX(0,1-BG360)))</f>
        <v>0</v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>0</v>
      </c>
      <c r="BC360" s="66">
        <f>IF('Smart Search'!G13=1,IFERROR(1/'Smart Search'!H13,0),0)</f>
        <v>0</v>
      </c>
      <c r="BD360" s="66">
        <f t="shared" si="80"/>
        <v>0</v>
      </c>
      <c r="BE360" s="66">
        <f t="shared" si="81"/>
        <v>0</v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>0</v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>0</v>
      </c>
      <c r="BH360" s="5" t="str">
        <f>IF(AND('Project Database'!A364&lt;&gt;"",OR('Smart Search'!$L$5="",'Smart Search'!$L$5="All",TRIM('Project Database'!D364)=TRIM('Smart Search'!$L$5)),OR(TRIM('Smart Search'!$L$6)="",TRIM('Smart Search'!$L$6)="All",ISNUMBER(SEARCH(SUBSTITUTE(SUBSTITUTE(SUBSTITUTE(TRIM('Smart Search'!$L$6),"~","~~"),"*","~*"),"?","~?"),'Project Database'!C364))),OR('Smart Search'!$L$7="",AND('Project Database'!E364&lt;&gt;"",'Project Database'!E364='Smart Search'!$L$7)),OR('Smart Search'!$L$8="",'Smart Search'!$L$8="All",TRIM('Project Database'!F364)=TRIM('Smart Search'!$L$8))),IF(BA360="","",BA360+ROW()*0.0000000001),"")</f>
        <v/>
      </c>
      <c r="BI360" s="5" t="str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 t="str">
        <f>IF('Project Database'!A364="","",N('Project Database'!AC364))</f>
        <v/>
      </c>
      <c r="BK360" s="5" t="str">
        <f>IF('Project Database'!A364="","",N('Project Database'!AD364))</f>
        <v/>
      </c>
      <c r="BL360" s="5" t="str">
        <f>IF('Project Database'!A364="","",N('Project Database'!AE364))</f>
        <v/>
      </c>
      <c r="BM360" s="5" t="str">
        <f>IF('Project Database'!A364="","",N('Project Database'!AF364))</f>
        <v/>
      </c>
      <c r="BN360" s="5" t="str">
        <f>IF('Project Database'!A364="","",N('Project Database'!AG364))</f>
        <v/>
      </c>
      <c r="BO360" s="5" t="str">
        <f>IF('Project Database'!A364="","",N('Project Database'!AH364))</f>
        <v/>
      </c>
      <c r="BP360" s="5" t="str">
        <f>IF('Project Database'!A364="","",N('Project Database'!AI364))</f>
        <v/>
      </c>
      <c r="BQ360" s="5" t="str">
        <f>IF('Project Database'!A364="","",N('Project Database'!AJ364))</f>
        <v/>
      </c>
      <c r="BR360" s="5" t="str">
        <f>IF('Project Database'!A364="","",N('Project Database'!AK364))</f>
        <v/>
      </c>
      <c r="BS360" s="5" t="str">
        <f>IF('Project Database'!A364="","",N('Project Database'!AL364))</f>
        <v/>
      </c>
      <c r="BT360" s="5" t="str">
        <f>IF('Project Database'!A364="","",N('Project Database'!AM364))</f>
        <v/>
      </c>
      <c r="BU360" s="5" t="str">
        <f>IF('Project Database'!A364="","",N('Project Database'!AN364))</f>
        <v/>
      </c>
      <c r="BV360" s="5" t="str">
        <f>IF('Project Database'!A364="","",N('Project Database'!AO364))</f>
        <v/>
      </c>
      <c r="BW360" s="5" t="str">
        <f>IF('Project Database'!A364="","",N('Project Database'!AP364))</f>
        <v/>
      </c>
      <c r="BX360" s="5">
        <f t="shared" si="82"/>
        <v>0</v>
      </c>
      <c r="BY360" s="5">
        <f t="shared" si="83"/>
        <v>0</v>
      </c>
    </row>
    <row r="361" spans="1:77" ht="15" customHeight="1" x14ac:dyDescent="0.3">
      <c r="A361" s="66">
        <f>'Project Database'!A365</f>
        <v>0</v>
      </c>
      <c r="B361" s="66">
        <f>'Project Database'!B365</f>
        <v>0</v>
      </c>
      <c r="C361" s="66">
        <f>'Project Database'!G365</f>
        <v>0</v>
      </c>
      <c r="D361" s="66">
        <f>'Project Database'!H365</f>
        <v>0</v>
      </c>
      <c r="E361" s="66">
        <f>'Project Database'!I365</f>
        <v>0</v>
      </c>
      <c r="F361" s="66">
        <f>'Project Database'!J365</f>
        <v>0</v>
      </c>
      <c r="G361" s="66">
        <f>'Project Database'!K365</f>
        <v>0</v>
      </c>
      <c r="H361" s="66">
        <f>'Project Database'!L365</f>
        <v>0</v>
      </c>
      <c r="I361" s="66">
        <f>'Project Database'!M365</f>
        <v>0</v>
      </c>
      <c r="J361" s="66">
        <f>'Project Database'!N365</f>
        <v>0</v>
      </c>
      <c r="K361" s="66">
        <f>'Project Database'!O365</f>
        <v>0</v>
      </c>
      <c r="L361" s="66">
        <f>'Project Database'!P365</f>
        <v>0</v>
      </c>
      <c r="M361" s="66">
        <f>'Project Database'!Q365</f>
        <v>0</v>
      </c>
      <c r="N361" s="66">
        <f>'Project Database'!R365</f>
        <v>0</v>
      </c>
      <c r="O361" s="66">
        <f>'Project Database'!S365</f>
        <v>0</v>
      </c>
      <c r="P361" s="66">
        <f>'Project Database'!T365</f>
        <v>0</v>
      </c>
      <c r="Q361" s="66">
        <f>'Project Database'!U365</f>
        <v>0</v>
      </c>
      <c r="R361" s="66">
        <f>'Project Database'!V365</f>
        <v>0</v>
      </c>
      <c r="S361" s="66">
        <f>'Project Database'!W365</f>
        <v>0</v>
      </c>
      <c r="T361" s="66">
        <f>'Project Database'!X365</f>
        <v>0</v>
      </c>
      <c r="U361" s="67">
        <f>'Project Database'!Y365</f>
        <v>0</v>
      </c>
      <c r="V361" s="66">
        <f>IF('Smart Search'!B13=1,IFERROR(1/'Smart Search'!H13,0),0)</f>
        <v>0</v>
      </c>
      <c r="W361" s="66">
        <f>IF('Smart Search'!B13=1,IFERROR(1/'Smart Search'!H13,0),0)</f>
        <v>0</v>
      </c>
      <c r="X361" s="66">
        <f>IF('Smart Search'!C13=1,IFERROR(1/'Smart Search'!H13,0),0)</f>
        <v>0.5</v>
      </c>
      <c r="Y361" s="66">
        <f>IF('Smart Search'!C13=1,IFERROR(1/'Smart Search'!H13,0),0)</f>
        <v>0.5</v>
      </c>
      <c r="Z361" s="66">
        <f>IF('Smart Search'!D13=1,IFERROR(1/'Smart Search'!H13,0),0)</f>
        <v>0</v>
      </c>
      <c r="AA361" s="66">
        <f>IF('Smart Search'!D13=1,IFERROR(1/'Smart Search'!H13,0),0)</f>
        <v>0</v>
      </c>
      <c r="AB361" s="66">
        <f>IF('Smart Search'!E13=1,IFERROR(1/'Smart Search'!H13,0),0)</f>
        <v>0</v>
      </c>
      <c r="AC361" s="66">
        <f>IF('Smart Search'!E13=1,IFERROR(1/'Smart Search'!H13,0),0)</f>
        <v>0</v>
      </c>
      <c r="AD361" s="66">
        <f>IF('Smart Search'!F13=1,IFERROR(1/'Smart Search'!H13,0),0)</f>
        <v>0</v>
      </c>
      <c r="AE361" s="66">
        <f>IF('Smart Search'!F13=1,IFERROR(1/'Smart Search'!H13,0),0)</f>
        <v>0</v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>0</v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>0</v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>0</v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>0</v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>0</v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>0</v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>0</v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>0</v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>0</v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>0</v>
      </c>
      <c r="AP361" s="66">
        <f t="shared" si="70"/>
        <v>0</v>
      </c>
      <c r="AQ361" s="66">
        <f t="shared" si="71"/>
        <v>0</v>
      </c>
      <c r="AR361" s="66">
        <f t="shared" si="72"/>
        <v>0</v>
      </c>
      <c r="AS361" s="66">
        <f t="shared" si="73"/>
        <v>0</v>
      </c>
      <c r="AT361" s="66">
        <f t="shared" si="74"/>
        <v>0</v>
      </c>
      <c r="AU361" s="66">
        <f t="shared" si="75"/>
        <v>0</v>
      </c>
      <c r="AV361" s="66">
        <f t="shared" si="76"/>
        <v>0</v>
      </c>
      <c r="AW361" s="66">
        <f t="shared" si="77"/>
        <v>0</v>
      </c>
      <c r="AX361" s="66">
        <f t="shared" si="78"/>
        <v>0</v>
      </c>
      <c r="AY361" s="66">
        <f t="shared" si="79"/>
        <v>0</v>
      </c>
      <c r="AZ361" s="66">
        <f>'Project Database'!Z365</f>
        <v>0</v>
      </c>
      <c r="BA361" s="66">
        <f>IF(OR(A361="",'Smart Search'!H13=0),"",MAX(0,BE361*BF361*MAX(0,1-BG361)))</f>
        <v>0</v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>0</v>
      </c>
      <c r="BC361" s="66">
        <f>IF('Smart Search'!G13=1,IFERROR(1/'Smart Search'!H13,0),0)</f>
        <v>0</v>
      </c>
      <c r="BD361" s="66">
        <f t="shared" si="80"/>
        <v>0</v>
      </c>
      <c r="BE361" s="66">
        <f t="shared" si="81"/>
        <v>0</v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>0</v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>0</v>
      </c>
      <c r="BH361" s="5" t="str">
        <f>IF(AND('Project Database'!A365&lt;&gt;"",OR('Smart Search'!$L$5="",'Smart Search'!$L$5="All",TRIM('Project Database'!D365)=TRIM('Smart Search'!$L$5)),OR(TRIM('Smart Search'!$L$6)="",TRIM('Smart Search'!$L$6)="All",ISNUMBER(SEARCH(SUBSTITUTE(SUBSTITUTE(SUBSTITUTE(TRIM('Smart Search'!$L$6),"~","~~"),"*","~*"),"?","~?"),'Project Database'!C365))),OR('Smart Search'!$L$7="",AND('Project Database'!E365&lt;&gt;"",'Project Database'!E365='Smart Search'!$L$7)),OR('Smart Search'!$L$8="",'Smart Search'!$L$8="All",TRIM('Project Database'!F365)=TRIM('Smart Search'!$L$8))),IF(BA361="","",BA361+ROW()*0.0000000001),"")</f>
        <v/>
      </c>
      <c r="BI361" s="5" t="str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 t="str">
        <f>IF('Project Database'!A365="","",N('Project Database'!AC365))</f>
        <v/>
      </c>
      <c r="BK361" s="5" t="str">
        <f>IF('Project Database'!A365="","",N('Project Database'!AD365))</f>
        <v/>
      </c>
      <c r="BL361" s="5" t="str">
        <f>IF('Project Database'!A365="","",N('Project Database'!AE365))</f>
        <v/>
      </c>
      <c r="BM361" s="5" t="str">
        <f>IF('Project Database'!A365="","",N('Project Database'!AF365))</f>
        <v/>
      </c>
      <c r="BN361" s="5" t="str">
        <f>IF('Project Database'!A365="","",N('Project Database'!AG365))</f>
        <v/>
      </c>
      <c r="BO361" s="5" t="str">
        <f>IF('Project Database'!A365="","",N('Project Database'!AH365))</f>
        <v/>
      </c>
      <c r="BP361" s="5" t="str">
        <f>IF('Project Database'!A365="","",N('Project Database'!AI365))</f>
        <v/>
      </c>
      <c r="BQ361" s="5" t="str">
        <f>IF('Project Database'!A365="","",N('Project Database'!AJ365))</f>
        <v/>
      </c>
      <c r="BR361" s="5" t="str">
        <f>IF('Project Database'!A365="","",N('Project Database'!AK365))</f>
        <v/>
      </c>
      <c r="BS361" s="5" t="str">
        <f>IF('Project Database'!A365="","",N('Project Database'!AL365))</f>
        <v/>
      </c>
      <c r="BT361" s="5" t="str">
        <f>IF('Project Database'!A365="","",N('Project Database'!AM365))</f>
        <v/>
      </c>
      <c r="BU361" s="5" t="str">
        <f>IF('Project Database'!A365="","",N('Project Database'!AN365))</f>
        <v/>
      </c>
      <c r="BV361" s="5" t="str">
        <f>IF('Project Database'!A365="","",N('Project Database'!AO365))</f>
        <v/>
      </c>
      <c r="BW361" s="5" t="str">
        <f>IF('Project Database'!A365="","",N('Project Database'!AP365))</f>
        <v/>
      </c>
      <c r="BX361" s="5">
        <f t="shared" si="82"/>
        <v>0</v>
      </c>
      <c r="BY361" s="5">
        <f t="shared" si="83"/>
        <v>0</v>
      </c>
    </row>
    <row r="362" spans="1:77" ht="15" customHeight="1" x14ac:dyDescent="0.3">
      <c r="A362" s="66">
        <f>'Project Database'!A366</f>
        <v>0</v>
      </c>
      <c r="B362" s="66">
        <f>'Project Database'!B366</f>
        <v>0</v>
      </c>
      <c r="C362" s="66">
        <f>'Project Database'!G366</f>
        <v>0</v>
      </c>
      <c r="D362" s="66">
        <f>'Project Database'!H366</f>
        <v>0</v>
      </c>
      <c r="E362" s="66">
        <f>'Project Database'!I366</f>
        <v>0</v>
      </c>
      <c r="F362" s="66">
        <f>'Project Database'!J366</f>
        <v>0</v>
      </c>
      <c r="G362" s="66">
        <f>'Project Database'!K366</f>
        <v>0</v>
      </c>
      <c r="H362" s="66">
        <f>'Project Database'!L366</f>
        <v>0</v>
      </c>
      <c r="I362" s="66">
        <f>'Project Database'!M366</f>
        <v>0</v>
      </c>
      <c r="J362" s="66">
        <f>'Project Database'!N366</f>
        <v>0</v>
      </c>
      <c r="K362" s="66">
        <f>'Project Database'!O366</f>
        <v>0</v>
      </c>
      <c r="L362" s="66">
        <f>'Project Database'!P366</f>
        <v>0</v>
      </c>
      <c r="M362" s="66">
        <f>'Project Database'!Q366</f>
        <v>0</v>
      </c>
      <c r="N362" s="66">
        <f>'Project Database'!R366</f>
        <v>0</v>
      </c>
      <c r="O362" s="66">
        <f>'Project Database'!S366</f>
        <v>0</v>
      </c>
      <c r="P362" s="66">
        <f>'Project Database'!T366</f>
        <v>0</v>
      </c>
      <c r="Q362" s="66">
        <f>'Project Database'!U366</f>
        <v>0</v>
      </c>
      <c r="R362" s="66">
        <f>'Project Database'!V366</f>
        <v>0</v>
      </c>
      <c r="S362" s="66">
        <f>'Project Database'!W366</f>
        <v>0</v>
      </c>
      <c r="T362" s="66">
        <f>'Project Database'!X366</f>
        <v>0</v>
      </c>
      <c r="U362" s="67">
        <f>'Project Database'!Y366</f>
        <v>0</v>
      </c>
      <c r="V362" s="66">
        <f>IF('Smart Search'!B13=1,IFERROR(1/'Smart Search'!H13,0),0)</f>
        <v>0</v>
      </c>
      <c r="W362" s="66">
        <f>IF('Smart Search'!B13=1,IFERROR(1/'Smart Search'!H13,0),0)</f>
        <v>0</v>
      </c>
      <c r="X362" s="66">
        <f>IF('Smart Search'!C13=1,IFERROR(1/'Smart Search'!H13,0),0)</f>
        <v>0.5</v>
      </c>
      <c r="Y362" s="66">
        <f>IF('Smart Search'!C13=1,IFERROR(1/'Smart Search'!H13,0),0)</f>
        <v>0.5</v>
      </c>
      <c r="Z362" s="66">
        <f>IF('Smart Search'!D13=1,IFERROR(1/'Smart Search'!H13,0),0)</f>
        <v>0</v>
      </c>
      <c r="AA362" s="66">
        <f>IF('Smart Search'!D13=1,IFERROR(1/'Smart Search'!H13,0),0)</f>
        <v>0</v>
      </c>
      <c r="AB362" s="66">
        <f>IF('Smart Search'!E13=1,IFERROR(1/'Smart Search'!H13,0),0)</f>
        <v>0</v>
      </c>
      <c r="AC362" s="66">
        <f>IF('Smart Search'!E13=1,IFERROR(1/'Smart Search'!H13,0),0)</f>
        <v>0</v>
      </c>
      <c r="AD362" s="66">
        <f>IF('Smart Search'!F13=1,IFERROR(1/'Smart Search'!H13,0),0)</f>
        <v>0</v>
      </c>
      <c r="AE362" s="66">
        <f>IF('Smart Search'!F13=1,IFERROR(1/'Smart Search'!H13,0),0)</f>
        <v>0</v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>0</v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>0</v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>0</v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>0</v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>0</v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>0</v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>0</v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>0</v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>0</v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>0</v>
      </c>
      <c r="AP362" s="66">
        <f t="shared" si="70"/>
        <v>0</v>
      </c>
      <c r="AQ362" s="66">
        <f t="shared" si="71"/>
        <v>0</v>
      </c>
      <c r="AR362" s="66">
        <f t="shared" si="72"/>
        <v>0</v>
      </c>
      <c r="AS362" s="66">
        <f t="shared" si="73"/>
        <v>0</v>
      </c>
      <c r="AT362" s="66">
        <f t="shared" si="74"/>
        <v>0</v>
      </c>
      <c r="AU362" s="66">
        <f t="shared" si="75"/>
        <v>0</v>
      </c>
      <c r="AV362" s="66">
        <f t="shared" si="76"/>
        <v>0</v>
      </c>
      <c r="AW362" s="66">
        <f t="shared" si="77"/>
        <v>0</v>
      </c>
      <c r="AX362" s="66">
        <f t="shared" si="78"/>
        <v>0</v>
      </c>
      <c r="AY362" s="66">
        <f t="shared" si="79"/>
        <v>0</v>
      </c>
      <c r="AZ362" s="66">
        <f>'Project Database'!Z366</f>
        <v>0</v>
      </c>
      <c r="BA362" s="66">
        <f>IF(OR(A362="",'Smart Search'!H13=0),"",MAX(0,BE362*BF362*MAX(0,1-BG362)))</f>
        <v>0</v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>0</v>
      </c>
      <c r="BC362" s="66">
        <f>IF('Smart Search'!G13=1,IFERROR(1/'Smart Search'!H13,0),0)</f>
        <v>0</v>
      </c>
      <c r="BD362" s="66">
        <f t="shared" si="80"/>
        <v>0</v>
      </c>
      <c r="BE362" s="66">
        <f t="shared" si="81"/>
        <v>0</v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>0</v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>0</v>
      </c>
      <c r="BH362" s="5" t="str">
        <f>IF(AND('Project Database'!A366&lt;&gt;"",OR('Smart Search'!$L$5="",'Smart Search'!$L$5="All",TRIM('Project Database'!D366)=TRIM('Smart Search'!$L$5)),OR(TRIM('Smart Search'!$L$6)="",TRIM('Smart Search'!$L$6)="All",ISNUMBER(SEARCH(SUBSTITUTE(SUBSTITUTE(SUBSTITUTE(TRIM('Smart Search'!$L$6),"~","~~"),"*","~*"),"?","~?"),'Project Database'!C366))),OR('Smart Search'!$L$7="",AND('Project Database'!E366&lt;&gt;"",'Project Database'!E366='Smart Search'!$L$7)),OR('Smart Search'!$L$8="",'Smart Search'!$L$8="All",TRIM('Project Database'!F366)=TRIM('Smart Search'!$L$8))),IF(BA362="","",BA362+ROW()*0.0000000001),"")</f>
        <v/>
      </c>
      <c r="BI362" s="5" t="str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 t="str">
        <f>IF('Project Database'!A366="","",N('Project Database'!AC366))</f>
        <v/>
      </c>
      <c r="BK362" s="5" t="str">
        <f>IF('Project Database'!A366="","",N('Project Database'!AD366))</f>
        <v/>
      </c>
      <c r="BL362" s="5" t="str">
        <f>IF('Project Database'!A366="","",N('Project Database'!AE366))</f>
        <v/>
      </c>
      <c r="BM362" s="5" t="str">
        <f>IF('Project Database'!A366="","",N('Project Database'!AF366))</f>
        <v/>
      </c>
      <c r="BN362" s="5" t="str">
        <f>IF('Project Database'!A366="","",N('Project Database'!AG366))</f>
        <v/>
      </c>
      <c r="BO362" s="5" t="str">
        <f>IF('Project Database'!A366="","",N('Project Database'!AH366))</f>
        <v/>
      </c>
      <c r="BP362" s="5" t="str">
        <f>IF('Project Database'!A366="","",N('Project Database'!AI366))</f>
        <v/>
      </c>
      <c r="BQ362" s="5" t="str">
        <f>IF('Project Database'!A366="","",N('Project Database'!AJ366))</f>
        <v/>
      </c>
      <c r="BR362" s="5" t="str">
        <f>IF('Project Database'!A366="","",N('Project Database'!AK366))</f>
        <v/>
      </c>
      <c r="BS362" s="5" t="str">
        <f>IF('Project Database'!A366="","",N('Project Database'!AL366))</f>
        <v/>
      </c>
      <c r="BT362" s="5" t="str">
        <f>IF('Project Database'!A366="","",N('Project Database'!AM366))</f>
        <v/>
      </c>
      <c r="BU362" s="5" t="str">
        <f>IF('Project Database'!A366="","",N('Project Database'!AN366))</f>
        <v/>
      </c>
      <c r="BV362" s="5" t="str">
        <f>IF('Project Database'!A366="","",N('Project Database'!AO366))</f>
        <v/>
      </c>
      <c r="BW362" s="5" t="str">
        <f>IF('Project Database'!A366="","",N('Project Database'!AP366))</f>
        <v/>
      </c>
      <c r="BX362" s="5">
        <f t="shared" si="82"/>
        <v>0</v>
      </c>
      <c r="BY362" s="5">
        <f t="shared" si="83"/>
        <v>0</v>
      </c>
    </row>
    <row r="363" spans="1:77" ht="15" customHeight="1" x14ac:dyDescent="0.3">
      <c r="A363" s="66">
        <f>'Project Database'!A367</f>
        <v>0</v>
      </c>
      <c r="B363" s="66">
        <f>'Project Database'!B367</f>
        <v>0</v>
      </c>
      <c r="C363" s="66">
        <f>'Project Database'!G367</f>
        <v>0</v>
      </c>
      <c r="D363" s="66">
        <f>'Project Database'!H367</f>
        <v>0</v>
      </c>
      <c r="E363" s="66">
        <f>'Project Database'!I367</f>
        <v>0</v>
      </c>
      <c r="F363" s="66">
        <f>'Project Database'!J367</f>
        <v>0</v>
      </c>
      <c r="G363" s="66">
        <f>'Project Database'!K367</f>
        <v>0</v>
      </c>
      <c r="H363" s="66">
        <f>'Project Database'!L367</f>
        <v>0</v>
      </c>
      <c r="I363" s="66">
        <f>'Project Database'!M367</f>
        <v>0</v>
      </c>
      <c r="J363" s="66">
        <f>'Project Database'!N367</f>
        <v>0</v>
      </c>
      <c r="K363" s="66">
        <f>'Project Database'!O367</f>
        <v>0</v>
      </c>
      <c r="L363" s="66">
        <f>'Project Database'!P367</f>
        <v>0</v>
      </c>
      <c r="M363" s="66">
        <f>'Project Database'!Q367</f>
        <v>0</v>
      </c>
      <c r="N363" s="66">
        <f>'Project Database'!R367</f>
        <v>0</v>
      </c>
      <c r="O363" s="66">
        <f>'Project Database'!S367</f>
        <v>0</v>
      </c>
      <c r="P363" s="66">
        <f>'Project Database'!T367</f>
        <v>0</v>
      </c>
      <c r="Q363" s="66">
        <f>'Project Database'!U367</f>
        <v>0</v>
      </c>
      <c r="R363" s="66">
        <f>'Project Database'!V367</f>
        <v>0</v>
      </c>
      <c r="S363" s="66">
        <f>'Project Database'!W367</f>
        <v>0</v>
      </c>
      <c r="T363" s="66">
        <f>'Project Database'!X367</f>
        <v>0</v>
      </c>
      <c r="U363" s="67">
        <f>'Project Database'!Y367</f>
        <v>0</v>
      </c>
      <c r="V363" s="66">
        <f>IF('Smart Search'!B13=1,IFERROR(1/'Smart Search'!H13,0),0)</f>
        <v>0</v>
      </c>
      <c r="W363" s="66">
        <f>IF('Smart Search'!B13=1,IFERROR(1/'Smart Search'!H13,0),0)</f>
        <v>0</v>
      </c>
      <c r="X363" s="66">
        <f>IF('Smart Search'!C13=1,IFERROR(1/'Smart Search'!H13,0),0)</f>
        <v>0.5</v>
      </c>
      <c r="Y363" s="66">
        <f>IF('Smart Search'!C13=1,IFERROR(1/'Smart Search'!H13,0),0)</f>
        <v>0.5</v>
      </c>
      <c r="Z363" s="66">
        <f>IF('Smart Search'!D13=1,IFERROR(1/'Smart Search'!H13,0),0)</f>
        <v>0</v>
      </c>
      <c r="AA363" s="66">
        <f>IF('Smart Search'!D13=1,IFERROR(1/'Smart Search'!H13,0),0)</f>
        <v>0</v>
      </c>
      <c r="AB363" s="66">
        <f>IF('Smart Search'!E13=1,IFERROR(1/'Smart Search'!H13,0),0)</f>
        <v>0</v>
      </c>
      <c r="AC363" s="66">
        <f>IF('Smart Search'!E13=1,IFERROR(1/'Smart Search'!H13,0),0)</f>
        <v>0</v>
      </c>
      <c r="AD363" s="66">
        <f>IF('Smart Search'!F13=1,IFERROR(1/'Smart Search'!H13,0),0)</f>
        <v>0</v>
      </c>
      <c r="AE363" s="66">
        <f>IF('Smart Search'!F13=1,IFERROR(1/'Smart Search'!H13,0),0)</f>
        <v>0</v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>0</v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>0</v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>0</v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>0</v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>0</v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>0</v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>0</v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>0</v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>0</v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>0</v>
      </c>
      <c r="AP363" s="66">
        <f t="shared" si="70"/>
        <v>0</v>
      </c>
      <c r="AQ363" s="66">
        <f t="shared" si="71"/>
        <v>0</v>
      </c>
      <c r="AR363" s="66">
        <f t="shared" si="72"/>
        <v>0</v>
      </c>
      <c r="AS363" s="66">
        <f t="shared" si="73"/>
        <v>0</v>
      </c>
      <c r="AT363" s="66">
        <f t="shared" si="74"/>
        <v>0</v>
      </c>
      <c r="AU363" s="66">
        <f t="shared" si="75"/>
        <v>0</v>
      </c>
      <c r="AV363" s="66">
        <f t="shared" si="76"/>
        <v>0</v>
      </c>
      <c r="AW363" s="66">
        <f t="shared" si="77"/>
        <v>0</v>
      </c>
      <c r="AX363" s="66">
        <f t="shared" si="78"/>
        <v>0</v>
      </c>
      <c r="AY363" s="66">
        <f t="shared" si="79"/>
        <v>0</v>
      </c>
      <c r="AZ363" s="66">
        <f>'Project Database'!Z367</f>
        <v>0</v>
      </c>
      <c r="BA363" s="66">
        <f>IF(OR(A363="",'Smart Search'!H13=0),"",MAX(0,BE363*BF363*MAX(0,1-BG363)))</f>
        <v>0</v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>0</v>
      </c>
      <c r="BC363" s="66">
        <f>IF('Smart Search'!G13=1,IFERROR(1/'Smart Search'!H13,0),0)</f>
        <v>0</v>
      </c>
      <c r="BD363" s="66">
        <f t="shared" si="80"/>
        <v>0</v>
      </c>
      <c r="BE363" s="66">
        <f t="shared" si="81"/>
        <v>0</v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>0</v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>0</v>
      </c>
      <c r="BH363" s="5" t="str">
        <f>IF(AND('Project Database'!A367&lt;&gt;"",OR('Smart Search'!$L$5="",'Smart Search'!$L$5="All",TRIM('Project Database'!D367)=TRIM('Smart Search'!$L$5)),OR(TRIM('Smart Search'!$L$6)="",TRIM('Smart Search'!$L$6)="All",ISNUMBER(SEARCH(SUBSTITUTE(SUBSTITUTE(SUBSTITUTE(TRIM('Smart Search'!$L$6),"~","~~"),"*","~*"),"?","~?"),'Project Database'!C367))),OR('Smart Search'!$L$7="",AND('Project Database'!E367&lt;&gt;"",'Project Database'!E367='Smart Search'!$L$7)),OR('Smart Search'!$L$8="",'Smart Search'!$L$8="All",TRIM('Project Database'!F367)=TRIM('Smart Search'!$L$8))),IF(BA363="","",BA363+ROW()*0.0000000001),"")</f>
        <v/>
      </c>
      <c r="BI363" s="5" t="str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 t="str">
        <f>IF('Project Database'!A367="","",N('Project Database'!AC367))</f>
        <v/>
      </c>
      <c r="BK363" s="5" t="str">
        <f>IF('Project Database'!A367="","",N('Project Database'!AD367))</f>
        <v/>
      </c>
      <c r="BL363" s="5" t="str">
        <f>IF('Project Database'!A367="","",N('Project Database'!AE367))</f>
        <v/>
      </c>
      <c r="BM363" s="5" t="str">
        <f>IF('Project Database'!A367="","",N('Project Database'!AF367))</f>
        <v/>
      </c>
      <c r="BN363" s="5" t="str">
        <f>IF('Project Database'!A367="","",N('Project Database'!AG367))</f>
        <v/>
      </c>
      <c r="BO363" s="5" t="str">
        <f>IF('Project Database'!A367="","",N('Project Database'!AH367))</f>
        <v/>
      </c>
      <c r="BP363" s="5" t="str">
        <f>IF('Project Database'!A367="","",N('Project Database'!AI367))</f>
        <v/>
      </c>
      <c r="BQ363" s="5" t="str">
        <f>IF('Project Database'!A367="","",N('Project Database'!AJ367))</f>
        <v/>
      </c>
      <c r="BR363" s="5" t="str">
        <f>IF('Project Database'!A367="","",N('Project Database'!AK367))</f>
        <v/>
      </c>
      <c r="BS363" s="5" t="str">
        <f>IF('Project Database'!A367="","",N('Project Database'!AL367))</f>
        <v/>
      </c>
      <c r="BT363" s="5" t="str">
        <f>IF('Project Database'!A367="","",N('Project Database'!AM367))</f>
        <v/>
      </c>
      <c r="BU363" s="5" t="str">
        <f>IF('Project Database'!A367="","",N('Project Database'!AN367))</f>
        <v/>
      </c>
      <c r="BV363" s="5" t="str">
        <f>IF('Project Database'!A367="","",N('Project Database'!AO367))</f>
        <v/>
      </c>
      <c r="BW363" s="5" t="str">
        <f>IF('Project Database'!A367="","",N('Project Database'!AP367))</f>
        <v/>
      </c>
      <c r="BX363" s="5">
        <f t="shared" si="82"/>
        <v>0</v>
      </c>
      <c r="BY363" s="5">
        <f t="shared" si="83"/>
        <v>0</v>
      </c>
    </row>
    <row r="364" spans="1:77" ht="15" customHeight="1" x14ac:dyDescent="0.3">
      <c r="A364" s="66">
        <f>'Project Database'!A368</f>
        <v>0</v>
      </c>
      <c r="B364" s="66">
        <f>'Project Database'!B368</f>
        <v>0</v>
      </c>
      <c r="C364" s="66">
        <f>'Project Database'!G368</f>
        <v>0</v>
      </c>
      <c r="D364" s="66">
        <f>'Project Database'!H368</f>
        <v>0</v>
      </c>
      <c r="E364" s="66">
        <f>'Project Database'!I368</f>
        <v>0</v>
      </c>
      <c r="F364" s="66">
        <f>'Project Database'!J368</f>
        <v>0</v>
      </c>
      <c r="G364" s="66">
        <f>'Project Database'!K368</f>
        <v>0</v>
      </c>
      <c r="H364" s="66">
        <f>'Project Database'!L368</f>
        <v>0</v>
      </c>
      <c r="I364" s="66">
        <f>'Project Database'!M368</f>
        <v>0</v>
      </c>
      <c r="J364" s="66">
        <f>'Project Database'!N368</f>
        <v>0</v>
      </c>
      <c r="K364" s="66">
        <f>'Project Database'!O368</f>
        <v>0</v>
      </c>
      <c r="L364" s="66">
        <f>'Project Database'!P368</f>
        <v>0</v>
      </c>
      <c r="M364" s="66">
        <f>'Project Database'!Q368</f>
        <v>0</v>
      </c>
      <c r="N364" s="66">
        <f>'Project Database'!R368</f>
        <v>0</v>
      </c>
      <c r="O364" s="66">
        <f>'Project Database'!S368</f>
        <v>0</v>
      </c>
      <c r="P364" s="66">
        <f>'Project Database'!T368</f>
        <v>0</v>
      </c>
      <c r="Q364" s="66">
        <f>'Project Database'!U368</f>
        <v>0</v>
      </c>
      <c r="R364" s="66">
        <f>'Project Database'!V368</f>
        <v>0</v>
      </c>
      <c r="S364" s="66">
        <f>'Project Database'!W368</f>
        <v>0</v>
      </c>
      <c r="T364" s="66">
        <f>'Project Database'!X368</f>
        <v>0</v>
      </c>
      <c r="U364" s="67">
        <f>'Project Database'!Y368</f>
        <v>0</v>
      </c>
      <c r="V364" s="66">
        <f>IF('Smart Search'!B13=1,IFERROR(1/'Smart Search'!H13,0),0)</f>
        <v>0</v>
      </c>
      <c r="W364" s="66">
        <f>IF('Smart Search'!B13=1,IFERROR(1/'Smart Search'!H13,0),0)</f>
        <v>0</v>
      </c>
      <c r="X364" s="66">
        <f>IF('Smart Search'!C13=1,IFERROR(1/'Smart Search'!H13,0),0)</f>
        <v>0.5</v>
      </c>
      <c r="Y364" s="66">
        <f>IF('Smart Search'!C13=1,IFERROR(1/'Smart Search'!H13,0),0)</f>
        <v>0.5</v>
      </c>
      <c r="Z364" s="66">
        <f>IF('Smart Search'!D13=1,IFERROR(1/'Smart Search'!H13,0),0)</f>
        <v>0</v>
      </c>
      <c r="AA364" s="66">
        <f>IF('Smart Search'!D13=1,IFERROR(1/'Smart Search'!H13,0),0)</f>
        <v>0</v>
      </c>
      <c r="AB364" s="66">
        <f>IF('Smart Search'!E13=1,IFERROR(1/'Smart Search'!H13,0),0)</f>
        <v>0</v>
      </c>
      <c r="AC364" s="66">
        <f>IF('Smart Search'!E13=1,IFERROR(1/'Smart Search'!H13,0),0)</f>
        <v>0</v>
      </c>
      <c r="AD364" s="66">
        <f>IF('Smart Search'!F13=1,IFERROR(1/'Smart Search'!H13,0),0)</f>
        <v>0</v>
      </c>
      <c r="AE364" s="66">
        <f>IF('Smart Search'!F13=1,IFERROR(1/'Smart Search'!H13,0),0)</f>
        <v>0</v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>0</v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>0</v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>0</v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>0</v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>0</v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>0</v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>0</v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>0</v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>0</v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>0</v>
      </c>
      <c r="AP364" s="66">
        <f t="shared" si="70"/>
        <v>0</v>
      </c>
      <c r="AQ364" s="66">
        <f t="shared" si="71"/>
        <v>0</v>
      </c>
      <c r="AR364" s="66">
        <f t="shared" si="72"/>
        <v>0</v>
      </c>
      <c r="AS364" s="66">
        <f t="shared" si="73"/>
        <v>0</v>
      </c>
      <c r="AT364" s="66">
        <f t="shared" si="74"/>
        <v>0</v>
      </c>
      <c r="AU364" s="66">
        <f t="shared" si="75"/>
        <v>0</v>
      </c>
      <c r="AV364" s="66">
        <f t="shared" si="76"/>
        <v>0</v>
      </c>
      <c r="AW364" s="66">
        <f t="shared" si="77"/>
        <v>0</v>
      </c>
      <c r="AX364" s="66">
        <f t="shared" si="78"/>
        <v>0</v>
      </c>
      <c r="AY364" s="66">
        <f t="shared" si="79"/>
        <v>0</v>
      </c>
      <c r="AZ364" s="66">
        <f>'Project Database'!Z368</f>
        <v>0</v>
      </c>
      <c r="BA364" s="66">
        <f>IF(OR(A364="",'Smart Search'!H13=0),"",MAX(0,BE364*BF364*MAX(0,1-BG364)))</f>
        <v>0</v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>0</v>
      </c>
      <c r="BC364" s="66">
        <f>IF('Smart Search'!G13=1,IFERROR(1/'Smart Search'!H13,0),0)</f>
        <v>0</v>
      </c>
      <c r="BD364" s="66">
        <f t="shared" si="80"/>
        <v>0</v>
      </c>
      <c r="BE364" s="66">
        <f t="shared" si="81"/>
        <v>0</v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>0</v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>0</v>
      </c>
      <c r="BH364" s="5" t="str">
        <f>IF(AND('Project Database'!A368&lt;&gt;"",OR('Smart Search'!$L$5="",'Smart Search'!$L$5="All",TRIM('Project Database'!D368)=TRIM('Smart Search'!$L$5)),OR(TRIM('Smart Search'!$L$6)="",TRIM('Smart Search'!$L$6)="All",ISNUMBER(SEARCH(SUBSTITUTE(SUBSTITUTE(SUBSTITUTE(TRIM('Smart Search'!$L$6),"~","~~"),"*","~*"),"?","~?"),'Project Database'!C368))),OR('Smart Search'!$L$7="",AND('Project Database'!E368&lt;&gt;"",'Project Database'!E368='Smart Search'!$L$7)),OR('Smart Search'!$L$8="",'Smart Search'!$L$8="All",TRIM('Project Database'!F368)=TRIM('Smart Search'!$L$8))),IF(BA364="","",BA364+ROW()*0.0000000001),"")</f>
        <v/>
      </c>
      <c r="BI364" s="5" t="str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 t="str">
        <f>IF('Project Database'!A368="","",N('Project Database'!AC368))</f>
        <v/>
      </c>
      <c r="BK364" s="5" t="str">
        <f>IF('Project Database'!A368="","",N('Project Database'!AD368))</f>
        <v/>
      </c>
      <c r="BL364" s="5" t="str">
        <f>IF('Project Database'!A368="","",N('Project Database'!AE368))</f>
        <v/>
      </c>
      <c r="BM364" s="5" t="str">
        <f>IF('Project Database'!A368="","",N('Project Database'!AF368))</f>
        <v/>
      </c>
      <c r="BN364" s="5" t="str">
        <f>IF('Project Database'!A368="","",N('Project Database'!AG368))</f>
        <v/>
      </c>
      <c r="BO364" s="5" t="str">
        <f>IF('Project Database'!A368="","",N('Project Database'!AH368))</f>
        <v/>
      </c>
      <c r="BP364" s="5" t="str">
        <f>IF('Project Database'!A368="","",N('Project Database'!AI368))</f>
        <v/>
      </c>
      <c r="BQ364" s="5" t="str">
        <f>IF('Project Database'!A368="","",N('Project Database'!AJ368))</f>
        <v/>
      </c>
      <c r="BR364" s="5" t="str">
        <f>IF('Project Database'!A368="","",N('Project Database'!AK368))</f>
        <v/>
      </c>
      <c r="BS364" s="5" t="str">
        <f>IF('Project Database'!A368="","",N('Project Database'!AL368))</f>
        <v/>
      </c>
      <c r="BT364" s="5" t="str">
        <f>IF('Project Database'!A368="","",N('Project Database'!AM368))</f>
        <v/>
      </c>
      <c r="BU364" s="5" t="str">
        <f>IF('Project Database'!A368="","",N('Project Database'!AN368))</f>
        <v/>
      </c>
      <c r="BV364" s="5" t="str">
        <f>IF('Project Database'!A368="","",N('Project Database'!AO368))</f>
        <v/>
      </c>
      <c r="BW364" s="5" t="str">
        <f>IF('Project Database'!A368="","",N('Project Database'!AP368))</f>
        <v/>
      </c>
      <c r="BX364" s="5">
        <f t="shared" si="82"/>
        <v>0</v>
      </c>
      <c r="BY364" s="5">
        <f t="shared" si="83"/>
        <v>0</v>
      </c>
    </row>
    <row r="365" spans="1:77" ht="15" customHeight="1" x14ac:dyDescent="0.3">
      <c r="A365" s="66">
        <f>'Project Database'!A369</f>
        <v>0</v>
      </c>
      <c r="B365" s="66">
        <f>'Project Database'!B369</f>
        <v>0</v>
      </c>
      <c r="C365" s="66">
        <f>'Project Database'!G369</f>
        <v>0</v>
      </c>
      <c r="D365" s="66">
        <f>'Project Database'!H369</f>
        <v>0</v>
      </c>
      <c r="E365" s="66">
        <f>'Project Database'!I369</f>
        <v>0</v>
      </c>
      <c r="F365" s="66">
        <f>'Project Database'!J369</f>
        <v>0</v>
      </c>
      <c r="G365" s="66">
        <f>'Project Database'!K369</f>
        <v>0</v>
      </c>
      <c r="H365" s="66">
        <f>'Project Database'!L369</f>
        <v>0</v>
      </c>
      <c r="I365" s="66">
        <f>'Project Database'!M369</f>
        <v>0</v>
      </c>
      <c r="J365" s="66">
        <f>'Project Database'!N369</f>
        <v>0</v>
      </c>
      <c r="K365" s="66">
        <f>'Project Database'!O369</f>
        <v>0</v>
      </c>
      <c r="L365" s="66">
        <f>'Project Database'!P369</f>
        <v>0</v>
      </c>
      <c r="M365" s="66">
        <f>'Project Database'!Q369</f>
        <v>0</v>
      </c>
      <c r="N365" s="66">
        <f>'Project Database'!R369</f>
        <v>0</v>
      </c>
      <c r="O365" s="66">
        <f>'Project Database'!S369</f>
        <v>0</v>
      </c>
      <c r="P365" s="66">
        <f>'Project Database'!T369</f>
        <v>0</v>
      </c>
      <c r="Q365" s="66">
        <f>'Project Database'!U369</f>
        <v>0</v>
      </c>
      <c r="R365" s="66">
        <f>'Project Database'!V369</f>
        <v>0</v>
      </c>
      <c r="S365" s="66">
        <f>'Project Database'!W369</f>
        <v>0</v>
      </c>
      <c r="T365" s="66">
        <f>'Project Database'!X369</f>
        <v>0</v>
      </c>
      <c r="U365" s="67">
        <f>'Project Database'!Y369</f>
        <v>0</v>
      </c>
      <c r="V365" s="66">
        <f>IF('Smart Search'!B13=1,IFERROR(1/'Smart Search'!H13,0),0)</f>
        <v>0</v>
      </c>
      <c r="W365" s="66">
        <f>IF('Smart Search'!B13=1,IFERROR(1/'Smart Search'!H13,0),0)</f>
        <v>0</v>
      </c>
      <c r="X365" s="66">
        <f>IF('Smart Search'!C13=1,IFERROR(1/'Smart Search'!H13,0),0)</f>
        <v>0.5</v>
      </c>
      <c r="Y365" s="66">
        <f>IF('Smart Search'!C13=1,IFERROR(1/'Smart Search'!H13,0),0)</f>
        <v>0.5</v>
      </c>
      <c r="Z365" s="66">
        <f>IF('Smart Search'!D13=1,IFERROR(1/'Smart Search'!H13,0),0)</f>
        <v>0</v>
      </c>
      <c r="AA365" s="66">
        <f>IF('Smart Search'!D13=1,IFERROR(1/'Smart Search'!H13,0),0)</f>
        <v>0</v>
      </c>
      <c r="AB365" s="66">
        <f>IF('Smart Search'!E13=1,IFERROR(1/'Smart Search'!H13,0),0)</f>
        <v>0</v>
      </c>
      <c r="AC365" s="66">
        <f>IF('Smart Search'!E13=1,IFERROR(1/'Smart Search'!H13,0),0)</f>
        <v>0</v>
      </c>
      <c r="AD365" s="66">
        <f>IF('Smart Search'!F13=1,IFERROR(1/'Smart Search'!H13,0),0)</f>
        <v>0</v>
      </c>
      <c r="AE365" s="66">
        <f>IF('Smart Search'!F13=1,IFERROR(1/'Smart Search'!H13,0),0)</f>
        <v>0</v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>0</v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>0</v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>0</v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>0</v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>0</v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>0</v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>0</v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>0</v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>0</v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>0</v>
      </c>
      <c r="AP365" s="66">
        <f t="shared" si="70"/>
        <v>0</v>
      </c>
      <c r="AQ365" s="66">
        <f t="shared" si="71"/>
        <v>0</v>
      </c>
      <c r="AR365" s="66">
        <f t="shared" si="72"/>
        <v>0</v>
      </c>
      <c r="AS365" s="66">
        <f t="shared" si="73"/>
        <v>0</v>
      </c>
      <c r="AT365" s="66">
        <f t="shared" si="74"/>
        <v>0</v>
      </c>
      <c r="AU365" s="66">
        <f t="shared" si="75"/>
        <v>0</v>
      </c>
      <c r="AV365" s="66">
        <f t="shared" si="76"/>
        <v>0</v>
      </c>
      <c r="AW365" s="66">
        <f t="shared" si="77"/>
        <v>0</v>
      </c>
      <c r="AX365" s="66">
        <f t="shared" si="78"/>
        <v>0</v>
      </c>
      <c r="AY365" s="66">
        <f t="shared" si="79"/>
        <v>0</v>
      </c>
      <c r="AZ365" s="66">
        <f>'Project Database'!Z369</f>
        <v>0</v>
      </c>
      <c r="BA365" s="66">
        <f>IF(OR(A365="",'Smart Search'!H13=0),"",MAX(0,BE365*BF365*MAX(0,1-BG365)))</f>
        <v>0</v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>0</v>
      </c>
      <c r="BC365" s="66">
        <f>IF('Smart Search'!G13=1,IFERROR(1/'Smart Search'!H13,0),0)</f>
        <v>0</v>
      </c>
      <c r="BD365" s="66">
        <f t="shared" si="80"/>
        <v>0</v>
      </c>
      <c r="BE365" s="66">
        <f t="shared" si="81"/>
        <v>0</v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>0</v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>0</v>
      </c>
      <c r="BH365" s="5" t="str">
        <f>IF(AND('Project Database'!A369&lt;&gt;"",OR('Smart Search'!$L$5="",'Smart Search'!$L$5="All",TRIM('Project Database'!D369)=TRIM('Smart Search'!$L$5)),OR(TRIM('Smart Search'!$L$6)="",TRIM('Smart Search'!$L$6)="All",ISNUMBER(SEARCH(SUBSTITUTE(SUBSTITUTE(SUBSTITUTE(TRIM('Smart Search'!$L$6),"~","~~"),"*","~*"),"?","~?"),'Project Database'!C369))),OR('Smart Search'!$L$7="",AND('Project Database'!E369&lt;&gt;"",'Project Database'!E369='Smart Search'!$L$7)),OR('Smart Search'!$L$8="",'Smart Search'!$L$8="All",TRIM('Project Database'!F369)=TRIM('Smart Search'!$L$8))),IF(BA365="","",BA365+ROW()*0.0000000001),"")</f>
        <v/>
      </c>
      <c r="BI365" s="5" t="str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 t="str">
        <f>IF('Project Database'!A369="","",N('Project Database'!AC369))</f>
        <v/>
      </c>
      <c r="BK365" s="5" t="str">
        <f>IF('Project Database'!A369="","",N('Project Database'!AD369))</f>
        <v/>
      </c>
      <c r="BL365" s="5" t="str">
        <f>IF('Project Database'!A369="","",N('Project Database'!AE369))</f>
        <v/>
      </c>
      <c r="BM365" s="5" t="str">
        <f>IF('Project Database'!A369="","",N('Project Database'!AF369))</f>
        <v/>
      </c>
      <c r="BN365" s="5" t="str">
        <f>IF('Project Database'!A369="","",N('Project Database'!AG369))</f>
        <v/>
      </c>
      <c r="BO365" s="5" t="str">
        <f>IF('Project Database'!A369="","",N('Project Database'!AH369))</f>
        <v/>
      </c>
      <c r="BP365" s="5" t="str">
        <f>IF('Project Database'!A369="","",N('Project Database'!AI369))</f>
        <v/>
      </c>
      <c r="BQ365" s="5" t="str">
        <f>IF('Project Database'!A369="","",N('Project Database'!AJ369))</f>
        <v/>
      </c>
      <c r="BR365" s="5" t="str">
        <f>IF('Project Database'!A369="","",N('Project Database'!AK369))</f>
        <v/>
      </c>
      <c r="BS365" s="5" t="str">
        <f>IF('Project Database'!A369="","",N('Project Database'!AL369))</f>
        <v/>
      </c>
      <c r="BT365" s="5" t="str">
        <f>IF('Project Database'!A369="","",N('Project Database'!AM369))</f>
        <v/>
      </c>
      <c r="BU365" s="5" t="str">
        <f>IF('Project Database'!A369="","",N('Project Database'!AN369))</f>
        <v/>
      </c>
      <c r="BV365" s="5" t="str">
        <f>IF('Project Database'!A369="","",N('Project Database'!AO369))</f>
        <v/>
      </c>
      <c r="BW365" s="5" t="str">
        <f>IF('Project Database'!A369="","",N('Project Database'!AP369))</f>
        <v/>
      </c>
      <c r="BX365" s="5">
        <f t="shared" si="82"/>
        <v>0</v>
      </c>
      <c r="BY365" s="5">
        <f t="shared" si="83"/>
        <v>0</v>
      </c>
    </row>
    <row r="366" spans="1:77" ht="15" customHeight="1" x14ac:dyDescent="0.3">
      <c r="A366" s="66">
        <f>'Project Database'!A370</f>
        <v>0</v>
      </c>
      <c r="B366" s="66">
        <f>'Project Database'!B370</f>
        <v>0</v>
      </c>
      <c r="C366" s="66">
        <f>'Project Database'!G370</f>
        <v>0</v>
      </c>
      <c r="D366" s="66">
        <f>'Project Database'!H370</f>
        <v>0</v>
      </c>
      <c r="E366" s="66">
        <f>'Project Database'!I370</f>
        <v>0</v>
      </c>
      <c r="F366" s="66">
        <f>'Project Database'!J370</f>
        <v>0</v>
      </c>
      <c r="G366" s="66">
        <f>'Project Database'!K370</f>
        <v>0</v>
      </c>
      <c r="H366" s="66">
        <f>'Project Database'!L370</f>
        <v>0</v>
      </c>
      <c r="I366" s="66">
        <f>'Project Database'!M370</f>
        <v>0</v>
      </c>
      <c r="J366" s="66">
        <f>'Project Database'!N370</f>
        <v>0</v>
      </c>
      <c r="K366" s="66">
        <f>'Project Database'!O370</f>
        <v>0</v>
      </c>
      <c r="L366" s="66">
        <f>'Project Database'!P370</f>
        <v>0</v>
      </c>
      <c r="M366" s="66">
        <f>'Project Database'!Q370</f>
        <v>0</v>
      </c>
      <c r="N366" s="66">
        <f>'Project Database'!R370</f>
        <v>0</v>
      </c>
      <c r="O366" s="66">
        <f>'Project Database'!S370</f>
        <v>0</v>
      </c>
      <c r="P366" s="66">
        <f>'Project Database'!T370</f>
        <v>0</v>
      </c>
      <c r="Q366" s="66">
        <f>'Project Database'!U370</f>
        <v>0</v>
      </c>
      <c r="R366" s="66">
        <f>'Project Database'!V370</f>
        <v>0</v>
      </c>
      <c r="S366" s="66">
        <f>'Project Database'!W370</f>
        <v>0</v>
      </c>
      <c r="T366" s="66">
        <f>'Project Database'!X370</f>
        <v>0</v>
      </c>
      <c r="U366" s="67">
        <f>'Project Database'!Y370</f>
        <v>0</v>
      </c>
      <c r="V366" s="66">
        <f>IF('Smart Search'!B13=1,IFERROR(1/'Smart Search'!H13,0),0)</f>
        <v>0</v>
      </c>
      <c r="W366" s="66">
        <f>IF('Smart Search'!B13=1,IFERROR(1/'Smart Search'!H13,0),0)</f>
        <v>0</v>
      </c>
      <c r="X366" s="66">
        <f>IF('Smart Search'!C13=1,IFERROR(1/'Smart Search'!H13,0),0)</f>
        <v>0.5</v>
      </c>
      <c r="Y366" s="66">
        <f>IF('Smart Search'!C13=1,IFERROR(1/'Smart Search'!H13,0),0)</f>
        <v>0.5</v>
      </c>
      <c r="Z366" s="66">
        <f>IF('Smart Search'!D13=1,IFERROR(1/'Smart Search'!H13,0),0)</f>
        <v>0</v>
      </c>
      <c r="AA366" s="66">
        <f>IF('Smart Search'!D13=1,IFERROR(1/'Smart Search'!H13,0),0)</f>
        <v>0</v>
      </c>
      <c r="AB366" s="66">
        <f>IF('Smart Search'!E13=1,IFERROR(1/'Smart Search'!H13,0),0)</f>
        <v>0</v>
      </c>
      <c r="AC366" s="66">
        <f>IF('Smart Search'!E13=1,IFERROR(1/'Smart Search'!H13,0),0)</f>
        <v>0</v>
      </c>
      <c r="AD366" s="66">
        <f>IF('Smart Search'!F13=1,IFERROR(1/'Smart Search'!H13,0),0)</f>
        <v>0</v>
      </c>
      <c r="AE366" s="66">
        <f>IF('Smart Search'!F13=1,IFERROR(1/'Smart Search'!H13,0),0)</f>
        <v>0</v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>0</v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>0</v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>0</v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>0</v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>0</v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>0</v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>0</v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>0</v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>0</v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>0</v>
      </c>
      <c r="AP366" s="66">
        <f t="shared" si="70"/>
        <v>0</v>
      </c>
      <c r="AQ366" s="66">
        <f t="shared" si="71"/>
        <v>0</v>
      </c>
      <c r="AR366" s="66">
        <f t="shared" si="72"/>
        <v>0</v>
      </c>
      <c r="AS366" s="66">
        <f t="shared" si="73"/>
        <v>0</v>
      </c>
      <c r="AT366" s="66">
        <f t="shared" si="74"/>
        <v>0</v>
      </c>
      <c r="AU366" s="66">
        <f t="shared" si="75"/>
        <v>0</v>
      </c>
      <c r="AV366" s="66">
        <f t="shared" si="76"/>
        <v>0</v>
      </c>
      <c r="AW366" s="66">
        <f t="shared" si="77"/>
        <v>0</v>
      </c>
      <c r="AX366" s="66">
        <f t="shared" si="78"/>
        <v>0</v>
      </c>
      <c r="AY366" s="66">
        <f t="shared" si="79"/>
        <v>0</v>
      </c>
      <c r="AZ366" s="66">
        <f>'Project Database'!Z370</f>
        <v>0</v>
      </c>
      <c r="BA366" s="66">
        <f>IF(OR(A366="",'Smart Search'!H13=0),"",MAX(0,BE366*BF366*MAX(0,1-BG366)))</f>
        <v>0</v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>0</v>
      </c>
      <c r="BC366" s="66">
        <f>IF('Smart Search'!G13=1,IFERROR(1/'Smart Search'!H13,0),0)</f>
        <v>0</v>
      </c>
      <c r="BD366" s="66">
        <f t="shared" si="80"/>
        <v>0</v>
      </c>
      <c r="BE366" s="66">
        <f t="shared" si="81"/>
        <v>0</v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>0</v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>0</v>
      </c>
      <c r="BH366" s="5" t="str">
        <f>IF(AND('Project Database'!A370&lt;&gt;"",OR('Smart Search'!$L$5="",'Smart Search'!$L$5="All",TRIM('Project Database'!D370)=TRIM('Smart Search'!$L$5)),OR(TRIM('Smart Search'!$L$6)="",TRIM('Smart Search'!$L$6)="All",ISNUMBER(SEARCH(SUBSTITUTE(SUBSTITUTE(SUBSTITUTE(TRIM('Smart Search'!$L$6),"~","~~"),"*","~*"),"?","~?"),'Project Database'!C370))),OR('Smart Search'!$L$7="",AND('Project Database'!E370&lt;&gt;"",'Project Database'!E370='Smart Search'!$L$7)),OR('Smart Search'!$L$8="",'Smart Search'!$L$8="All",TRIM('Project Database'!F370)=TRIM('Smart Search'!$L$8))),IF(BA366="","",BA366+ROW()*0.0000000001),"")</f>
        <v/>
      </c>
      <c r="BI366" s="5" t="str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 t="str">
        <f>IF('Project Database'!A370="","",N('Project Database'!AC370))</f>
        <v/>
      </c>
      <c r="BK366" s="5" t="str">
        <f>IF('Project Database'!A370="","",N('Project Database'!AD370))</f>
        <v/>
      </c>
      <c r="BL366" s="5" t="str">
        <f>IF('Project Database'!A370="","",N('Project Database'!AE370))</f>
        <v/>
      </c>
      <c r="BM366" s="5" t="str">
        <f>IF('Project Database'!A370="","",N('Project Database'!AF370))</f>
        <v/>
      </c>
      <c r="BN366" s="5" t="str">
        <f>IF('Project Database'!A370="","",N('Project Database'!AG370))</f>
        <v/>
      </c>
      <c r="BO366" s="5" t="str">
        <f>IF('Project Database'!A370="","",N('Project Database'!AH370))</f>
        <v/>
      </c>
      <c r="BP366" s="5" t="str">
        <f>IF('Project Database'!A370="","",N('Project Database'!AI370))</f>
        <v/>
      </c>
      <c r="BQ366" s="5" t="str">
        <f>IF('Project Database'!A370="","",N('Project Database'!AJ370))</f>
        <v/>
      </c>
      <c r="BR366" s="5" t="str">
        <f>IF('Project Database'!A370="","",N('Project Database'!AK370))</f>
        <v/>
      </c>
      <c r="BS366" s="5" t="str">
        <f>IF('Project Database'!A370="","",N('Project Database'!AL370))</f>
        <v/>
      </c>
      <c r="BT366" s="5" t="str">
        <f>IF('Project Database'!A370="","",N('Project Database'!AM370))</f>
        <v/>
      </c>
      <c r="BU366" s="5" t="str">
        <f>IF('Project Database'!A370="","",N('Project Database'!AN370))</f>
        <v/>
      </c>
      <c r="BV366" s="5" t="str">
        <f>IF('Project Database'!A370="","",N('Project Database'!AO370))</f>
        <v/>
      </c>
      <c r="BW366" s="5" t="str">
        <f>IF('Project Database'!A370="","",N('Project Database'!AP370))</f>
        <v/>
      </c>
      <c r="BX366" s="5">
        <f t="shared" si="82"/>
        <v>0</v>
      </c>
      <c r="BY366" s="5">
        <f t="shared" si="83"/>
        <v>0</v>
      </c>
    </row>
    <row r="367" spans="1:77" ht="15" customHeight="1" x14ac:dyDescent="0.3">
      <c r="A367" s="66">
        <f>'Project Database'!A371</f>
        <v>0</v>
      </c>
      <c r="B367" s="66">
        <f>'Project Database'!B371</f>
        <v>0</v>
      </c>
      <c r="C367" s="66">
        <f>'Project Database'!G371</f>
        <v>0</v>
      </c>
      <c r="D367" s="66">
        <f>'Project Database'!H371</f>
        <v>0</v>
      </c>
      <c r="E367" s="66">
        <f>'Project Database'!I371</f>
        <v>0</v>
      </c>
      <c r="F367" s="66">
        <f>'Project Database'!J371</f>
        <v>0</v>
      </c>
      <c r="G367" s="66">
        <f>'Project Database'!K371</f>
        <v>0</v>
      </c>
      <c r="H367" s="66">
        <f>'Project Database'!L371</f>
        <v>0</v>
      </c>
      <c r="I367" s="66">
        <f>'Project Database'!M371</f>
        <v>0</v>
      </c>
      <c r="J367" s="66">
        <f>'Project Database'!N371</f>
        <v>0</v>
      </c>
      <c r="K367" s="66">
        <f>'Project Database'!O371</f>
        <v>0</v>
      </c>
      <c r="L367" s="66">
        <f>'Project Database'!P371</f>
        <v>0</v>
      </c>
      <c r="M367" s="66">
        <f>'Project Database'!Q371</f>
        <v>0</v>
      </c>
      <c r="N367" s="66">
        <f>'Project Database'!R371</f>
        <v>0</v>
      </c>
      <c r="O367" s="66">
        <f>'Project Database'!S371</f>
        <v>0</v>
      </c>
      <c r="P367" s="66">
        <f>'Project Database'!T371</f>
        <v>0</v>
      </c>
      <c r="Q367" s="66">
        <f>'Project Database'!U371</f>
        <v>0</v>
      </c>
      <c r="R367" s="66">
        <f>'Project Database'!V371</f>
        <v>0</v>
      </c>
      <c r="S367" s="66">
        <f>'Project Database'!W371</f>
        <v>0</v>
      </c>
      <c r="T367" s="66">
        <f>'Project Database'!X371</f>
        <v>0</v>
      </c>
      <c r="U367" s="67">
        <f>'Project Database'!Y371</f>
        <v>0</v>
      </c>
      <c r="V367" s="66">
        <f>IF('Smart Search'!B13=1,IFERROR(1/'Smart Search'!H13,0),0)</f>
        <v>0</v>
      </c>
      <c r="W367" s="66">
        <f>IF('Smart Search'!B13=1,IFERROR(1/'Smart Search'!H13,0),0)</f>
        <v>0</v>
      </c>
      <c r="X367" s="66">
        <f>IF('Smart Search'!C13=1,IFERROR(1/'Smart Search'!H13,0),0)</f>
        <v>0.5</v>
      </c>
      <c r="Y367" s="66">
        <f>IF('Smart Search'!C13=1,IFERROR(1/'Smart Search'!H13,0),0)</f>
        <v>0.5</v>
      </c>
      <c r="Z367" s="66">
        <f>IF('Smart Search'!D13=1,IFERROR(1/'Smart Search'!H13,0),0)</f>
        <v>0</v>
      </c>
      <c r="AA367" s="66">
        <f>IF('Smart Search'!D13=1,IFERROR(1/'Smart Search'!H13,0),0)</f>
        <v>0</v>
      </c>
      <c r="AB367" s="66">
        <f>IF('Smart Search'!E13=1,IFERROR(1/'Smart Search'!H13,0),0)</f>
        <v>0</v>
      </c>
      <c r="AC367" s="66">
        <f>IF('Smart Search'!E13=1,IFERROR(1/'Smart Search'!H13,0),0)</f>
        <v>0</v>
      </c>
      <c r="AD367" s="66">
        <f>IF('Smart Search'!F13=1,IFERROR(1/'Smart Search'!H13,0),0)</f>
        <v>0</v>
      </c>
      <c r="AE367" s="66">
        <f>IF('Smart Search'!F13=1,IFERROR(1/'Smart Search'!H13,0),0)</f>
        <v>0</v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>0</v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>0</v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>0</v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>0</v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>0</v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>0</v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>0</v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>0</v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>0</v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>0</v>
      </c>
      <c r="AP367" s="66">
        <f t="shared" si="70"/>
        <v>0</v>
      </c>
      <c r="AQ367" s="66">
        <f t="shared" si="71"/>
        <v>0</v>
      </c>
      <c r="AR367" s="66">
        <f t="shared" si="72"/>
        <v>0</v>
      </c>
      <c r="AS367" s="66">
        <f t="shared" si="73"/>
        <v>0</v>
      </c>
      <c r="AT367" s="66">
        <f t="shared" si="74"/>
        <v>0</v>
      </c>
      <c r="AU367" s="66">
        <f t="shared" si="75"/>
        <v>0</v>
      </c>
      <c r="AV367" s="66">
        <f t="shared" si="76"/>
        <v>0</v>
      </c>
      <c r="AW367" s="66">
        <f t="shared" si="77"/>
        <v>0</v>
      </c>
      <c r="AX367" s="66">
        <f t="shared" si="78"/>
        <v>0</v>
      </c>
      <c r="AY367" s="66">
        <f t="shared" si="79"/>
        <v>0</v>
      </c>
      <c r="AZ367" s="66">
        <f>'Project Database'!Z371</f>
        <v>0</v>
      </c>
      <c r="BA367" s="66">
        <f>IF(OR(A367="",'Smart Search'!H13=0),"",MAX(0,BE367*BF367*MAX(0,1-BG367)))</f>
        <v>0</v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>0</v>
      </c>
      <c r="BC367" s="66">
        <f>IF('Smart Search'!G13=1,IFERROR(1/'Smart Search'!H13,0),0)</f>
        <v>0</v>
      </c>
      <c r="BD367" s="66">
        <f t="shared" si="80"/>
        <v>0</v>
      </c>
      <c r="BE367" s="66">
        <f t="shared" si="81"/>
        <v>0</v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>0</v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>0</v>
      </c>
      <c r="BH367" s="5" t="str">
        <f>IF(AND('Project Database'!A371&lt;&gt;"",OR('Smart Search'!$L$5="",'Smart Search'!$L$5="All",TRIM('Project Database'!D371)=TRIM('Smart Search'!$L$5)),OR(TRIM('Smart Search'!$L$6)="",TRIM('Smart Search'!$L$6)="All",ISNUMBER(SEARCH(SUBSTITUTE(SUBSTITUTE(SUBSTITUTE(TRIM('Smart Search'!$L$6),"~","~~"),"*","~*"),"?","~?"),'Project Database'!C371))),OR('Smart Search'!$L$7="",AND('Project Database'!E371&lt;&gt;"",'Project Database'!E371='Smart Search'!$L$7)),OR('Smart Search'!$L$8="",'Smart Search'!$L$8="All",TRIM('Project Database'!F371)=TRIM('Smart Search'!$L$8))),IF(BA367="","",BA367+ROW()*0.0000000001),"")</f>
        <v/>
      </c>
      <c r="BI367" s="5" t="str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 t="str">
        <f>IF('Project Database'!A371="","",N('Project Database'!AC371))</f>
        <v/>
      </c>
      <c r="BK367" s="5" t="str">
        <f>IF('Project Database'!A371="","",N('Project Database'!AD371))</f>
        <v/>
      </c>
      <c r="BL367" s="5" t="str">
        <f>IF('Project Database'!A371="","",N('Project Database'!AE371))</f>
        <v/>
      </c>
      <c r="BM367" s="5" t="str">
        <f>IF('Project Database'!A371="","",N('Project Database'!AF371))</f>
        <v/>
      </c>
      <c r="BN367" s="5" t="str">
        <f>IF('Project Database'!A371="","",N('Project Database'!AG371))</f>
        <v/>
      </c>
      <c r="BO367" s="5" t="str">
        <f>IF('Project Database'!A371="","",N('Project Database'!AH371))</f>
        <v/>
      </c>
      <c r="BP367" s="5" t="str">
        <f>IF('Project Database'!A371="","",N('Project Database'!AI371))</f>
        <v/>
      </c>
      <c r="BQ367" s="5" t="str">
        <f>IF('Project Database'!A371="","",N('Project Database'!AJ371))</f>
        <v/>
      </c>
      <c r="BR367" s="5" t="str">
        <f>IF('Project Database'!A371="","",N('Project Database'!AK371))</f>
        <v/>
      </c>
      <c r="BS367" s="5" t="str">
        <f>IF('Project Database'!A371="","",N('Project Database'!AL371))</f>
        <v/>
      </c>
      <c r="BT367" s="5" t="str">
        <f>IF('Project Database'!A371="","",N('Project Database'!AM371))</f>
        <v/>
      </c>
      <c r="BU367" s="5" t="str">
        <f>IF('Project Database'!A371="","",N('Project Database'!AN371))</f>
        <v/>
      </c>
      <c r="BV367" s="5" t="str">
        <f>IF('Project Database'!A371="","",N('Project Database'!AO371))</f>
        <v/>
      </c>
      <c r="BW367" s="5" t="str">
        <f>IF('Project Database'!A371="","",N('Project Database'!AP371))</f>
        <v/>
      </c>
      <c r="BX367" s="5">
        <f t="shared" si="82"/>
        <v>0</v>
      </c>
      <c r="BY367" s="5">
        <f t="shared" si="83"/>
        <v>0</v>
      </c>
    </row>
    <row r="368" spans="1:77" ht="15" customHeight="1" x14ac:dyDescent="0.3">
      <c r="A368" s="66">
        <f>'Project Database'!A372</f>
        <v>0</v>
      </c>
      <c r="B368" s="66">
        <f>'Project Database'!B372</f>
        <v>0</v>
      </c>
      <c r="C368" s="66">
        <f>'Project Database'!G372</f>
        <v>0</v>
      </c>
      <c r="D368" s="66">
        <f>'Project Database'!H372</f>
        <v>0</v>
      </c>
      <c r="E368" s="66">
        <f>'Project Database'!I372</f>
        <v>0</v>
      </c>
      <c r="F368" s="66">
        <f>'Project Database'!J372</f>
        <v>0</v>
      </c>
      <c r="G368" s="66">
        <f>'Project Database'!K372</f>
        <v>0</v>
      </c>
      <c r="H368" s="66">
        <f>'Project Database'!L372</f>
        <v>0</v>
      </c>
      <c r="I368" s="66">
        <f>'Project Database'!M372</f>
        <v>0</v>
      </c>
      <c r="J368" s="66">
        <f>'Project Database'!N372</f>
        <v>0</v>
      </c>
      <c r="K368" s="66">
        <f>'Project Database'!O372</f>
        <v>0</v>
      </c>
      <c r="L368" s="66">
        <f>'Project Database'!P372</f>
        <v>0</v>
      </c>
      <c r="M368" s="66">
        <f>'Project Database'!Q372</f>
        <v>0</v>
      </c>
      <c r="N368" s="66">
        <f>'Project Database'!R372</f>
        <v>0</v>
      </c>
      <c r="O368" s="66">
        <f>'Project Database'!S372</f>
        <v>0</v>
      </c>
      <c r="P368" s="66">
        <f>'Project Database'!T372</f>
        <v>0</v>
      </c>
      <c r="Q368" s="66">
        <f>'Project Database'!U372</f>
        <v>0</v>
      </c>
      <c r="R368" s="66">
        <f>'Project Database'!V372</f>
        <v>0</v>
      </c>
      <c r="S368" s="66">
        <f>'Project Database'!W372</f>
        <v>0</v>
      </c>
      <c r="T368" s="66">
        <f>'Project Database'!X372</f>
        <v>0</v>
      </c>
      <c r="U368" s="67">
        <f>'Project Database'!Y372</f>
        <v>0</v>
      </c>
      <c r="V368" s="66">
        <f>IF('Smart Search'!B13=1,IFERROR(1/'Smart Search'!H13,0),0)</f>
        <v>0</v>
      </c>
      <c r="W368" s="66">
        <f>IF('Smart Search'!B13=1,IFERROR(1/'Smart Search'!H13,0),0)</f>
        <v>0</v>
      </c>
      <c r="X368" s="66">
        <f>IF('Smart Search'!C13=1,IFERROR(1/'Smart Search'!H13,0),0)</f>
        <v>0.5</v>
      </c>
      <c r="Y368" s="66">
        <f>IF('Smart Search'!C13=1,IFERROR(1/'Smart Search'!H13,0),0)</f>
        <v>0.5</v>
      </c>
      <c r="Z368" s="66">
        <f>IF('Smart Search'!D13=1,IFERROR(1/'Smart Search'!H13,0),0)</f>
        <v>0</v>
      </c>
      <c r="AA368" s="66">
        <f>IF('Smart Search'!D13=1,IFERROR(1/'Smart Search'!H13,0),0)</f>
        <v>0</v>
      </c>
      <c r="AB368" s="66">
        <f>IF('Smart Search'!E13=1,IFERROR(1/'Smart Search'!H13,0),0)</f>
        <v>0</v>
      </c>
      <c r="AC368" s="66">
        <f>IF('Smart Search'!E13=1,IFERROR(1/'Smart Search'!H13,0),0)</f>
        <v>0</v>
      </c>
      <c r="AD368" s="66">
        <f>IF('Smart Search'!F13=1,IFERROR(1/'Smart Search'!H13,0),0)</f>
        <v>0</v>
      </c>
      <c r="AE368" s="66">
        <f>IF('Smart Search'!F13=1,IFERROR(1/'Smart Search'!H13,0),0)</f>
        <v>0</v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>0</v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>0</v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>0</v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>0</v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>0</v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>0</v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>0</v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>0</v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>0</v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>0</v>
      </c>
      <c r="AP368" s="66">
        <f t="shared" si="70"/>
        <v>0</v>
      </c>
      <c r="AQ368" s="66">
        <f t="shared" si="71"/>
        <v>0</v>
      </c>
      <c r="AR368" s="66">
        <f t="shared" si="72"/>
        <v>0</v>
      </c>
      <c r="AS368" s="66">
        <f t="shared" si="73"/>
        <v>0</v>
      </c>
      <c r="AT368" s="66">
        <f t="shared" si="74"/>
        <v>0</v>
      </c>
      <c r="AU368" s="66">
        <f t="shared" si="75"/>
        <v>0</v>
      </c>
      <c r="AV368" s="66">
        <f t="shared" si="76"/>
        <v>0</v>
      </c>
      <c r="AW368" s="66">
        <f t="shared" si="77"/>
        <v>0</v>
      </c>
      <c r="AX368" s="66">
        <f t="shared" si="78"/>
        <v>0</v>
      </c>
      <c r="AY368" s="66">
        <f t="shared" si="79"/>
        <v>0</v>
      </c>
      <c r="AZ368" s="66">
        <f>'Project Database'!Z372</f>
        <v>0</v>
      </c>
      <c r="BA368" s="66">
        <f>IF(OR(A368="",'Smart Search'!H13=0),"",MAX(0,BE368*BF368*MAX(0,1-BG368)))</f>
        <v>0</v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>0</v>
      </c>
      <c r="BC368" s="66">
        <f>IF('Smart Search'!G13=1,IFERROR(1/'Smart Search'!H13,0),0)</f>
        <v>0</v>
      </c>
      <c r="BD368" s="66">
        <f t="shared" si="80"/>
        <v>0</v>
      </c>
      <c r="BE368" s="66">
        <f t="shared" si="81"/>
        <v>0</v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>0</v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>0</v>
      </c>
      <c r="BH368" s="5" t="str">
        <f>IF(AND('Project Database'!A372&lt;&gt;"",OR('Smart Search'!$L$5="",'Smart Search'!$L$5="All",TRIM('Project Database'!D372)=TRIM('Smart Search'!$L$5)),OR(TRIM('Smart Search'!$L$6)="",TRIM('Smart Search'!$L$6)="All",ISNUMBER(SEARCH(SUBSTITUTE(SUBSTITUTE(SUBSTITUTE(TRIM('Smart Search'!$L$6),"~","~~"),"*","~*"),"?","~?"),'Project Database'!C372))),OR('Smart Search'!$L$7="",AND('Project Database'!E372&lt;&gt;"",'Project Database'!E372='Smart Search'!$L$7)),OR('Smart Search'!$L$8="",'Smart Search'!$L$8="All",TRIM('Project Database'!F372)=TRIM('Smart Search'!$L$8))),IF(BA368="","",BA368+ROW()*0.0000000001),"")</f>
        <v/>
      </c>
      <c r="BI368" s="5" t="str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 t="str">
        <f>IF('Project Database'!A372="","",N('Project Database'!AC372))</f>
        <v/>
      </c>
      <c r="BK368" s="5" t="str">
        <f>IF('Project Database'!A372="","",N('Project Database'!AD372))</f>
        <v/>
      </c>
      <c r="BL368" s="5" t="str">
        <f>IF('Project Database'!A372="","",N('Project Database'!AE372))</f>
        <v/>
      </c>
      <c r="BM368" s="5" t="str">
        <f>IF('Project Database'!A372="","",N('Project Database'!AF372))</f>
        <v/>
      </c>
      <c r="BN368" s="5" t="str">
        <f>IF('Project Database'!A372="","",N('Project Database'!AG372))</f>
        <v/>
      </c>
      <c r="BO368" s="5" t="str">
        <f>IF('Project Database'!A372="","",N('Project Database'!AH372))</f>
        <v/>
      </c>
      <c r="BP368" s="5" t="str">
        <f>IF('Project Database'!A372="","",N('Project Database'!AI372))</f>
        <v/>
      </c>
      <c r="BQ368" s="5" t="str">
        <f>IF('Project Database'!A372="","",N('Project Database'!AJ372))</f>
        <v/>
      </c>
      <c r="BR368" s="5" t="str">
        <f>IF('Project Database'!A372="","",N('Project Database'!AK372))</f>
        <v/>
      </c>
      <c r="BS368" s="5" t="str">
        <f>IF('Project Database'!A372="","",N('Project Database'!AL372))</f>
        <v/>
      </c>
      <c r="BT368" s="5" t="str">
        <f>IF('Project Database'!A372="","",N('Project Database'!AM372))</f>
        <v/>
      </c>
      <c r="BU368" s="5" t="str">
        <f>IF('Project Database'!A372="","",N('Project Database'!AN372))</f>
        <v/>
      </c>
      <c r="BV368" s="5" t="str">
        <f>IF('Project Database'!A372="","",N('Project Database'!AO372))</f>
        <v/>
      </c>
      <c r="BW368" s="5" t="str">
        <f>IF('Project Database'!A372="","",N('Project Database'!AP372))</f>
        <v/>
      </c>
      <c r="BX368" s="5">
        <f t="shared" si="82"/>
        <v>0</v>
      </c>
      <c r="BY368" s="5">
        <f t="shared" si="83"/>
        <v>0</v>
      </c>
    </row>
    <row r="369" spans="1:77" ht="15" customHeight="1" x14ac:dyDescent="0.3">
      <c r="A369" s="66">
        <f>'Project Database'!A373</f>
        <v>0</v>
      </c>
      <c r="B369" s="66">
        <f>'Project Database'!B373</f>
        <v>0</v>
      </c>
      <c r="C369" s="66">
        <f>'Project Database'!G373</f>
        <v>0</v>
      </c>
      <c r="D369" s="66">
        <f>'Project Database'!H373</f>
        <v>0</v>
      </c>
      <c r="E369" s="66">
        <f>'Project Database'!I373</f>
        <v>0</v>
      </c>
      <c r="F369" s="66">
        <f>'Project Database'!J373</f>
        <v>0</v>
      </c>
      <c r="G369" s="66">
        <f>'Project Database'!K373</f>
        <v>0</v>
      </c>
      <c r="H369" s="66">
        <f>'Project Database'!L373</f>
        <v>0</v>
      </c>
      <c r="I369" s="66">
        <f>'Project Database'!M373</f>
        <v>0</v>
      </c>
      <c r="J369" s="66">
        <f>'Project Database'!N373</f>
        <v>0</v>
      </c>
      <c r="K369" s="66">
        <f>'Project Database'!O373</f>
        <v>0</v>
      </c>
      <c r="L369" s="66">
        <f>'Project Database'!P373</f>
        <v>0</v>
      </c>
      <c r="M369" s="66">
        <f>'Project Database'!Q373</f>
        <v>0</v>
      </c>
      <c r="N369" s="66">
        <f>'Project Database'!R373</f>
        <v>0</v>
      </c>
      <c r="O369" s="66">
        <f>'Project Database'!S373</f>
        <v>0</v>
      </c>
      <c r="P369" s="66">
        <f>'Project Database'!T373</f>
        <v>0</v>
      </c>
      <c r="Q369" s="66">
        <f>'Project Database'!U373</f>
        <v>0</v>
      </c>
      <c r="R369" s="66">
        <f>'Project Database'!V373</f>
        <v>0</v>
      </c>
      <c r="S369" s="66">
        <f>'Project Database'!W373</f>
        <v>0</v>
      </c>
      <c r="T369" s="66">
        <f>'Project Database'!X373</f>
        <v>0</v>
      </c>
      <c r="U369" s="67">
        <f>'Project Database'!Y373</f>
        <v>0</v>
      </c>
      <c r="V369" s="66">
        <f>IF('Smart Search'!B13=1,IFERROR(1/'Smart Search'!H13,0),0)</f>
        <v>0</v>
      </c>
      <c r="W369" s="66">
        <f>IF('Smart Search'!B13=1,IFERROR(1/'Smart Search'!H13,0),0)</f>
        <v>0</v>
      </c>
      <c r="X369" s="66">
        <f>IF('Smart Search'!C13=1,IFERROR(1/'Smart Search'!H13,0),0)</f>
        <v>0.5</v>
      </c>
      <c r="Y369" s="66">
        <f>IF('Smart Search'!C13=1,IFERROR(1/'Smart Search'!H13,0),0)</f>
        <v>0.5</v>
      </c>
      <c r="Z369" s="66">
        <f>IF('Smart Search'!D13=1,IFERROR(1/'Smart Search'!H13,0),0)</f>
        <v>0</v>
      </c>
      <c r="AA369" s="66">
        <f>IF('Smart Search'!D13=1,IFERROR(1/'Smart Search'!H13,0),0)</f>
        <v>0</v>
      </c>
      <c r="AB369" s="66">
        <f>IF('Smart Search'!E13=1,IFERROR(1/'Smart Search'!H13,0),0)</f>
        <v>0</v>
      </c>
      <c r="AC369" s="66">
        <f>IF('Smart Search'!E13=1,IFERROR(1/'Smart Search'!H13,0),0)</f>
        <v>0</v>
      </c>
      <c r="AD369" s="66">
        <f>IF('Smart Search'!F13=1,IFERROR(1/'Smart Search'!H13,0),0)</f>
        <v>0</v>
      </c>
      <c r="AE369" s="66">
        <f>IF('Smart Search'!F13=1,IFERROR(1/'Smart Search'!H13,0),0)</f>
        <v>0</v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>0</v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>0</v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>0</v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>0</v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>0</v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>0</v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>0</v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>0</v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>0</v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>0</v>
      </c>
      <c r="AP369" s="66">
        <f t="shared" si="70"/>
        <v>0</v>
      </c>
      <c r="AQ369" s="66">
        <f t="shared" si="71"/>
        <v>0</v>
      </c>
      <c r="AR369" s="66">
        <f t="shared" si="72"/>
        <v>0</v>
      </c>
      <c r="AS369" s="66">
        <f t="shared" si="73"/>
        <v>0</v>
      </c>
      <c r="AT369" s="66">
        <f t="shared" si="74"/>
        <v>0</v>
      </c>
      <c r="AU369" s="66">
        <f t="shared" si="75"/>
        <v>0</v>
      </c>
      <c r="AV369" s="66">
        <f t="shared" si="76"/>
        <v>0</v>
      </c>
      <c r="AW369" s="66">
        <f t="shared" si="77"/>
        <v>0</v>
      </c>
      <c r="AX369" s="66">
        <f t="shared" si="78"/>
        <v>0</v>
      </c>
      <c r="AY369" s="66">
        <f t="shared" si="79"/>
        <v>0</v>
      </c>
      <c r="AZ369" s="66">
        <f>'Project Database'!Z373</f>
        <v>0</v>
      </c>
      <c r="BA369" s="66">
        <f>IF(OR(A369="",'Smart Search'!H13=0),"",MAX(0,BE369*BF369*MAX(0,1-BG369)))</f>
        <v>0</v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>0</v>
      </c>
      <c r="BC369" s="66">
        <f>IF('Smart Search'!G13=1,IFERROR(1/'Smart Search'!H13,0),0)</f>
        <v>0</v>
      </c>
      <c r="BD369" s="66">
        <f t="shared" si="80"/>
        <v>0</v>
      </c>
      <c r="BE369" s="66">
        <f t="shared" si="81"/>
        <v>0</v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>0</v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>0</v>
      </c>
      <c r="BH369" s="5" t="str">
        <f>IF(AND('Project Database'!A373&lt;&gt;"",OR('Smart Search'!$L$5="",'Smart Search'!$L$5="All",TRIM('Project Database'!D373)=TRIM('Smart Search'!$L$5)),OR(TRIM('Smart Search'!$L$6)="",TRIM('Smart Search'!$L$6)="All",ISNUMBER(SEARCH(SUBSTITUTE(SUBSTITUTE(SUBSTITUTE(TRIM('Smart Search'!$L$6),"~","~~"),"*","~*"),"?","~?"),'Project Database'!C373))),OR('Smart Search'!$L$7="",AND('Project Database'!E373&lt;&gt;"",'Project Database'!E373='Smart Search'!$L$7)),OR('Smart Search'!$L$8="",'Smart Search'!$L$8="All",TRIM('Project Database'!F373)=TRIM('Smart Search'!$L$8))),IF(BA369="","",BA369+ROW()*0.0000000001),"")</f>
        <v/>
      </c>
      <c r="BI369" s="5" t="str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 t="str">
        <f>IF('Project Database'!A373="","",N('Project Database'!AC373))</f>
        <v/>
      </c>
      <c r="BK369" s="5" t="str">
        <f>IF('Project Database'!A373="","",N('Project Database'!AD373))</f>
        <v/>
      </c>
      <c r="BL369" s="5" t="str">
        <f>IF('Project Database'!A373="","",N('Project Database'!AE373))</f>
        <v/>
      </c>
      <c r="BM369" s="5" t="str">
        <f>IF('Project Database'!A373="","",N('Project Database'!AF373))</f>
        <v/>
      </c>
      <c r="BN369" s="5" t="str">
        <f>IF('Project Database'!A373="","",N('Project Database'!AG373))</f>
        <v/>
      </c>
      <c r="BO369" s="5" t="str">
        <f>IF('Project Database'!A373="","",N('Project Database'!AH373))</f>
        <v/>
      </c>
      <c r="BP369" s="5" t="str">
        <f>IF('Project Database'!A373="","",N('Project Database'!AI373))</f>
        <v/>
      </c>
      <c r="BQ369" s="5" t="str">
        <f>IF('Project Database'!A373="","",N('Project Database'!AJ373))</f>
        <v/>
      </c>
      <c r="BR369" s="5" t="str">
        <f>IF('Project Database'!A373="","",N('Project Database'!AK373))</f>
        <v/>
      </c>
      <c r="BS369" s="5" t="str">
        <f>IF('Project Database'!A373="","",N('Project Database'!AL373))</f>
        <v/>
      </c>
      <c r="BT369" s="5" t="str">
        <f>IF('Project Database'!A373="","",N('Project Database'!AM373))</f>
        <v/>
      </c>
      <c r="BU369" s="5" t="str">
        <f>IF('Project Database'!A373="","",N('Project Database'!AN373))</f>
        <v/>
      </c>
      <c r="BV369" s="5" t="str">
        <f>IF('Project Database'!A373="","",N('Project Database'!AO373))</f>
        <v/>
      </c>
      <c r="BW369" s="5" t="str">
        <f>IF('Project Database'!A373="","",N('Project Database'!AP373))</f>
        <v/>
      </c>
      <c r="BX369" s="5">
        <f t="shared" si="82"/>
        <v>0</v>
      </c>
      <c r="BY369" s="5">
        <f t="shared" si="83"/>
        <v>0</v>
      </c>
    </row>
    <row r="370" spans="1:77" ht="15" customHeight="1" x14ac:dyDescent="0.3">
      <c r="A370" s="66">
        <f>'Project Database'!A374</f>
        <v>0</v>
      </c>
      <c r="B370" s="66">
        <f>'Project Database'!B374</f>
        <v>0</v>
      </c>
      <c r="C370" s="66">
        <f>'Project Database'!G374</f>
        <v>0</v>
      </c>
      <c r="D370" s="66">
        <f>'Project Database'!H374</f>
        <v>0</v>
      </c>
      <c r="E370" s="66">
        <f>'Project Database'!I374</f>
        <v>0</v>
      </c>
      <c r="F370" s="66">
        <f>'Project Database'!J374</f>
        <v>0</v>
      </c>
      <c r="G370" s="66">
        <f>'Project Database'!K374</f>
        <v>0</v>
      </c>
      <c r="H370" s="66">
        <f>'Project Database'!L374</f>
        <v>0</v>
      </c>
      <c r="I370" s="66">
        <f>'Project Database'!M374</f>
        <v>0</v>
      </c>
      <c r="J370" s="66">
        <f>'Project Database'!N374</f>
        <v>0</v>
      </c>
      <c r="K370" s="66">
        <f>'Project Database'!O374</f>
        <v>0</v>
      </c>
      <c r="L370" s="66">
        <f>'Project Database'!P374</f>
        <v>0</v>
      </c>
      <c r="M370" s="66">
        <f>'Project Database'!Q374</f>
        <v>0</v>
      </c>
      <c r="N370" s="66">
        <f>'Project Database'!R374</f>
        <v>0</v>
      </c>
      <c r="O370" s="66">
        <f>'Project Database'!S374</f>
        <v>0</v>
      </c>
      <c r="P370" s="66">
        <f>'Project Database'!T374</f>
        <v>0</v>
      </c>
      <c r="Q370" s="66">
        <f>'Project Database'!U374</f>
        <v>0</v>
      </c>
      <c r="R370" s="66">
        <f>'Project Database'!V374</f>
        <v>0</v>
      </c>
      <c r="S370" s="66">
        <f>'Project Database'!W374</f>
        <v>0</v>
      </c>
      <c r="T370" s="66">
        <f>'Project Database'!X374</f>
        <v>0</v>
      </c>
      <c r="U370" s="67">
        <f>'Project Database'!Y374</f>
        <v>0</v>
      </c>
      <c r="V370" s="66">
        <f>IF('Smart Search'!B13=1,IFERROR(1/'Smart Search'!H13,0),0)</f>
        <v>0</v>
      </c>
      <c r="W370" s="66">
        <f>IF('Smart Search'!B13=1,IFERROR(1/'Smart Search'!H13,0),0)</f>
        <v>0</v>
      </c>
      <c r="X370" s="66">
        <f>IF('Smart Search'!C13=1,IFERROR(1/'Smart Search'!H13,0),0)</f>
        <v>0.5</v>
      </c>
      <c r="Y370" s="66">
        <f>IF('Smart Search'!C13=1,IFERROR(1/'Smart Search'!H13,0),0)</f>
        <v>0.5</v>
      </c>
      <c r="Z370" s="66">
        <f>IF('Smart Search'!D13=1,IFERROR(1/'Smart Search'!H13,0),0)</f>
        <v>0</v>
      </c>
      <c r="AA370" s="66">
        <f>IF('Smart Search'!D13=1,IFERROR(1/'Smart Search'!H13,0),0)</f>
        <v>0</v>
      </c>
      <c r="AB370" s="66">
        <f>IF('Smart Search'!E13=1,IFERROR(1/'Smart Search'!H13,0),0)</f>
        <v>0</v>
      </c>
      <c r="AC370" s="66">
        <f>IF('Smart Search'!E13=1,IFERROR(1/'Smart Search'!H13,0),0)</f>
        <v>0</v>
      </c>
      <c r="AD370" s="66">
        <f>IF('Smart Search'!F13=1,IFERROR(1/'Smart Search'!H13,0),0)</f>
        <v>0</v>
      </c>
      <c r="AE370" s="66">
        <f>IF('Smart Search'!F13=1,IFERROR(1/'Smart Search'!H13,0),0)</f>
        <v>0</v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>0</v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>0</v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>0</v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>0</v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>0</v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>0</v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>0</v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>0</v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>0</v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>0</v>
      </c>
      <c r="AP370" s="66">
        <f t="shared" si="70"/>
        <v>0</v>
      </c>
      <c r="AQ370" s="66">
        <f t="shared" si="71"/>
        <v>0</v>
      </c>
      <c r="AR370" s="66">
        <f t="shared" si="72"/>
        <v>0</v>
      </c>
      <c r="AS370" s="66">
        <f t="shared" si="73"/>
        <v>0</v>
      </c>
      <c r="AT370" s="66">
        <f t="shared" si="74"/>
        <v>0</v>
      </c>
      <c r="AU370" s="66">
        <f t="shared" si="75"/>
        <v>0</v>
      </c>
      <c r="AV370" s="66">
        <f t="shared" si="76"/>
        <v>0</v>
      </c>
      <c r="AW370" s="66">
        <f t="shared" si="77"/>
        <v>0</v>
      </c>
      <c r="AX370" s="66">
        <f t="shared" si="78"/>
        <v>0</v>
      </c>
      <c r="AY370" s="66">
        <f t="shared" si="79"/>
        <v>0</v>
      </c>
      <c r="AZ370" s="66">
        <f>'Project Database'!Z374</f>
        <v>0</v>
      </c>
      <c r="BA370" s="66">
        <f>IF(OR(A370="",'Smart Search'!H13=0),"",MAX(0,BE370*BF370*MAX(0,1-BG370)))</f>
        <v>0</v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>0</v>
      </c>
      <c r="BC370" s="66">
        <f>IF('Smart Search'!G13=1,IFERROR(1/'Smart Search'!H13,0),0)</f>
        <v>0</v>
      </c>
      <c r="BD370" s="66">
        <f t="shared" si="80"/>
        <v>0</v>
      </c>
      <c r="BE370" s="66">
        <f t="shared" si="81"/>
        <v>0</v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>0</v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>0</v>
      </c>
      <c r="BH370" s="5" t="str">
        <f>IF(AND('Project Database'!A374&lt;&gt;"",OR('Smart Search'!$L$5="",'Smart Search'!$L$5="All",TRIM('Project Database'!D374)=TRIM('Smart Search'!$L$5)),OR(TRIM('Smart Search'!$L$6)="",TRIM('Smart Search'!$L$6)="All",ISNUMBER(SEARCH(SUBSTITUTE(SUBSTITUTE(SUBSTITUTE(TRIM('Smart Search'!$L$6),"~","~~"),"*","~*"),"?","~?"),'Project Database'!C374))),OR('Smart Search'!$L$7="",AND('Project Database'!E374&lt;&gt;"",'Project Database'!E374='Smart Search'!$L$7)),OR('Smart Search'!$L$8="",'Smart Search'!$L$8="All",TRIM('Project Database'!F374)=TRIM('Smart Search'!$L$8))),IF(BA370="","",BA370+ROW()*0.0000000001),"")</f>
        <v/>
      </c>
      <c r="BI370" s="5" t="str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 t="str">
        <f>IF('Project Database'!A374="","",N('Project Database'!AC374))</f>
        <v/>
      </c>
      <c r="BK370" s="5" t="str">
        <f>IF('Project Database'!A374="","",N('Project Database'!AD374))</f>
        <v/>
      </c>
      <c r="BL370" s="5" t="str">
        <f>IF('Project Database'!A374="","",N('Project Database'!AE374))</f>
        <v/>
      </c>
      <c r="BM370" s="5" t="str">
        <f>IF('Project Database'!A374="","",N('Project Database'!AF374))</f>
        <v/>
      </c>
      <c r="BN370" s="5" t="str">
        <f>IF('Project Database'!A374="","",N('Project Database'!AG374))</f>
        <v/>
      </c>
      <c r="BO370" s="5" t="str">
        <f>IF('Project Database'!A374="","",N('Project Database'!AH374))</f>
        <v/>
      </c>
      <c r="BP370" s="5" t="str">
        <f>IF('Project Database'!A374="","",N('Project Database'!AI374))</f>
        <v/>
      </c>
      <c r="BQ370" s="5" t="str">
        <f>IF('Project Database'!A374="","",N('Project Database'!AJ374))</f>
        <v/>
      </c>
      <c r="BR370" s="5" t="str">
        <f>IF('Project Database'!A374="","",N('Project Database'!AK374))</f>
        <v/>
      </c>
      <c r="BS370" s="5" t="str">
        <f>IF('Project Database'!A374="","",N('Project Database'!AL374))</f>
        <v/>
      </c>
      <c r="BT370" s="5" t="str">
        <f>IF('Project Database'!A374="","",N('Project Database'!AM374))</f>
        <v/>
      </c>
      <c r="BU370" s="5" t="str">
        <f>IF('Project Database'!A374="","",N('Project Database'!AN374))</f>
        <v/>
      </c>
      <c r="BV370" s="5" t="str">
        <f>IF('Project Database'!A374="","",N('Project Database'!AO374))</f>
        <v/>
      </c>
      <c r="BW370" s="5" t="str">
        <f>IF('Project Database'!A374="","",N('Project Database'!AP374))</f>
        <v/>
      </c>
      <c r="BX370" s="5">
        <f t="shared" si="82"/>
        <v>0</v>
      </c>
      <c r="BY370" s="5">
        <f t="shared" si="83"/>
        <v>0</v>
      </c>
    </row>
    <row r="371" spans="1:77" ht="15" customHeight="1" x14ac:dyDescent="0.3">
      <c r="A371" s="66">
        <f>'Project Database'!A375</f>
        <v>0</v>
      </c>
      <c r="B371" s="66">
        <f>'Project Database'!B375</f>
        <v>0</v>
      </c>
      <c r="C371" s="66">
        <f>'Project Database'!G375</f>
        <v>0</v>
      </c>
      <c r="D371" s="66">
        <f>'Project Database'!H375</f>
        <v>0</v>
      </c>
      <c r="E371" s="66">
        <f>'Project Database'!I375</f>
        <v>0</v>
      </c>
      <c r="F371" s="66">
        <f>'Project Database'!J375</f>
        <v>0</v>
      </c>
      <c r="G371" s="66">
        <f>'Project Database'!K375</f>
        <v>0</v>
      </c>
      <c r="H371" s="66">
        <f>'Project Database'!L375</f>
        <v>0</v>
      </c>
      <c r="I371" s="66">
        <f>'Project Database'!M375</f>
        <v>0</v>
      </c>
      <c r="J371" s="66">
        <f>'Project Database'!N375</f>
        <v>0</v>
      </c>
      <c r="K371" s="66">
        <f>'Project Database'!O375</f>
        <v>0</v>
      </c>
      <c r="L371" s="66">
        <f>'Project Database'!P375</f>
        <v>0</v>
      </c>
      <c r="M371" s="66">
        <f>'Project Database'!Q375</f>
        <v>0</v>
      </c>
      <c r="N371" s="66">
        <f>'Project Database'!R375</f>
        <v>0</v>
      </c>
      <c r="O371" s="66">
        <f>'Project Database'!S375</f>
        <v>0</v>
      </c>
      <c r="P371" s="66">
        <f>'Project Database'!T375</f>
        <v>0</v>
      </c>
      <c r="Q371" s="66">
        <f>'Project Database'!U375</f>
        <v>0</v>
      </c>
      <c r="R371" s="66">
        <f>'Project Database'!V375</f>
        <v>0</v>
      </c>
      <c r="S371" s="66">
        <f>'Project Database'!W375</f>
        <v>0</v>
      </c>
      <c r="T371" s="66">
        <f>'Project Database'!X375</f>
        <v>0</v>
      </c>
      <c r="U371" s="67">
        <f>'Project Database'!Y375</f>
        <v>0</v>
      </c>
      <c r="V371" s="66">
        <f>IF('Smart Search'!B13=1,IFERROR(1/'Smart Search'!H13,0),0)</f>
        <v>0</v>
      </c>
      <c r="W371" s="66">
        <f>IF('Smart Search'!B13=1,IFERROR(1/'Smart Search'!H13,0),0)</f>
        <v>0</v>
      </c>
      <c r="X371" s="66">
        <f>IF('Smart Search'!C13=1,IFERROR(1/'Smart Search'!H13,0),0)</f>
        <v>0.5</v>
      </c>
      <c r="Y371" s="66">
        <f>IF('Smart Search'!C13=1,IFERROR(1/'Smart Search'!H13,0),0)</f>
        <v>0.5</v>
      </c>
      <c r="Z371" s="66">
        <f>IF('Smart Search'!D13=1,IFERROR(1/'Smart Search'!H13,0),0)</f>
        <v>0</v>
      </c>
      <c r="AA371" s="66">
        <f>IF('Smart Search'!D13=1,IFERROR(1/'Smart Search'!H13,0),0)</f>
        <v>0</v>
      </c>
      <c r="AB371" s="66">
        <f>IF('Smart Search'!E13=1,IFERROR(1/'Smart Search'!H13,0),0)</f>
        <v>0</v>
      </c>
      <c r="AC371" s="66">
        <f>IF('Smart Search'!E13=1,IFERROR(1/'Smart Search'!H13,0),0)</f>
        <v>0</v>
      </c>
      <c r="AD371" s="66">
        <f>IF('Smart Search'!F13=1,IFERROR(1/'Smart Search'!H13,0),0)</f>
        <v>0</v>
      </c>
      <c r="AE371" s="66">
        <f>IF('Smart Search'!F13=1,IFERROR(1/'Smart Search'!H13,0),0)</f>
        <v>0</v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>0</v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>0</v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>0</v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>0</v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>0</v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>0</v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>0</v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>0</v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>0</v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>0</v>
      </c>
      <c r="AP371" s="66">
        <f t="shared" si="70"/>
        <v>0</v>
      </c>
      <c r="AQ371" s="66">
        <f t="shared" si="71"/>
        <v>0</v>
      </c>
      <c r="AR371" s="66">
        <f t="shared" si="72"/>
        <v>0</v>
      </c>
      <c r="AS371" s="66">
        <f t="shared" si="73"/>
        <v>0</v>
      </c>
      <c r="AT371" s="66">
        <f t="shared" si="74"/>
        <v>0</v>
      </c>
      <c r="AU371" s="66">
        <f t="shared" si="75"/>
        <v>0</v>
      </c>
      <c r="AV371" s="66">
        <f t="shared" si="76"/>
        <v>0</v>
      </c>
      <c r="AW371" s="66">
        <f t="shared" si="77"/>
        <v>0</v>
      </c>
      <c r="AX371" s="66">
        <f t="shared" si="78"/>
        <v>0</v>
      </c>
      <c r="AY371" s="66">
        <f t="shared" si="79"/>
        <v>0</v>
      </c>
      <c r="AZ371" s="66">
        <f>'Project Database'!Z375</f>
        <v>0</v>
      </c>
      <c r="BA371" s="66">
        <f>IF(OR(A371="",'Smart Search'!H13=0),"",MAX(0,BE371*BF371*MAX(0,1-BG371)))</f>
        <v>0</v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>0</v>
      </c>
      <c r="BC371" s="66">
        <f>IF('Smart Search'!G13=1,IFERROR(1/'Smart Search'!H13,0),0)</f>
        <v>0</v>
      </c>
      <c r="BD371" s="66">
        <f t="shared" si="80"/>
        <v>0</v>
      </c>
      <c r="BE371" s="66">
        <f t="shared" si="81"/>
        <v>0</v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>0</v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>0</v>
      </c>
      <c r="BH371" s="5" t="str">
        <f>IF(AND('Project Database'!A375&lt;&gt;"",OR('Smart Search'!$L$5="",'Smart Search'!$L$5="All",TRIM('Project Database'!D375)=TRIM('Smart Search'!$L$5)),OR(TRIM('Smart Search'!$L$6)="",TRIM('Smart Search'!$L$6)="All",ISNUMBER(SEARCH(SUBSTITUTE(SUBSTITUTE(SUBSTITUTE(TRIM('Smart Search'!$L$6),"~","~~"),"*","~*"),"?","~?"),'Project Database'!C375))),OR('Smart Search'!$L$7="",AND('Project Database'!E375&lt;&gt;"",'Project Database'!E375='Smart Search'!$L$7)),OR('Smart Search'!$L$8="",'Smart Search'!$L$8="All",TRIM('Project Database'!F375)=TRIM('Smart Search'!$L$8))),IF(BA371="","",BA371+ROW()*0.0000000001),"")</f>
        <v/>
      </c>
      <c r="BI371" s="5" t="str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 t="str">
        <f>IF('Project Database'!A375="","",N('Project Database'!AC375))</f>
        <v/>
      </c>
      <c r="BK371" s="5" t="str">
        <f>IF('Project Database'!A375="","",N('Project Database'!AD375))</f>
        <v/>
      </c>
      <c r="BL371" s="5" t="str">
        <f>IF('Project Database'!A375="","",N('Project Database'!AE375))</f>
        <v/>
      </c>
      <c r="BM371" s="5" t="str">
        <f>IF('Project Database'!A375="","",N('Project Database'!AF375))</f>
        <v/>
      </c>
      <c r="BN371" s="5" t="str">
        <f>IF('Project Database'!A375="","",N('Project Database'!AG375))</f>
        <v/>
      </c>
      <c r="BO371" s="5" t="str">
        <f>IF('Project Database'!A375="","",N('Project Database'!AH375))</f>
        <v/>
      </c>
      <c r="BP371" s="5" t="str">
        <f>IF('Project Database'!A375="","",N('Project Database'!AI375))</f>
        <v/>
      </c>
      <c r="BQ371" s="5" t="str">
        <f>IF('Project Database'!A375="","",N('Project Database'!AJ375))</f>
        <v/>
      </c>
      <c r="BR371" s="5" t="str">
        <f>IF('Project Database'!A375="","",N('Project Database'!AK375))</f>
        <v/>
      </c>
      <c r="BS371" s="5" t="str">
        <f>IF('Project Database'!A375="","",N('Project Database'!AL375))</f>
        <v/>
      </c>
      <c r="BT371" s="5" t="str">
        <f>IF('Project Database'!A375="","",N('Project Database'!AM375))</f>
        <v/>
      </c>
      <c r="BU371" s="5" t="str">
        <f>IF('Project Database'!A375="","",N('Project Database'!AN375))</f>
        <v/>
      </c>
      <c r="BV371" s="5" t="str">
        <f>IF('Project Database'!A375="","",N('Project Database'!AO375))</f>
        <v/>
      </c>
      <c r="BW371" s="5" t="str">
        <f>IF('Project Database'!A375="","",N('Project Database'!AP375))</f>
        <v/>
      </c>
      <c r="BX371" s="5">
        <f t="shared" si="82"/>
        <v>0</v>
      </c>
      <c r="BY371" s="5">
        <f t="shared" si="83"/>
        <v>0</v>
      </c>
    </row>
    <row r="372" spans="1:77" ht="15" customHeight="1" x14ac:dyDescent="0.3">
      <c r="A372" s="66">
        <f>'Project Database'!A376</f>
        <v>0</v>
      </c>
      <c r="B372" s="66">
        <f>'Project Database'!B376</f>
        <v>0</v>
      </c>
      <c r="C372" s="66">
        <f>'Project Database'!G376</f>
        <v>0</v>
      </c>
      <c r="D372" s="66">
        <f>'Project Database'!H376</f>
        <v>0</v>
      </c>
      <c r="E372" s="66">
        <f>'Project Database'!I376</f>
        <v>0</v>
      </c>
      <c r="F372" s="66">
        <f>'Project Database'!J376</f>
        <v>0</v>
      </c>
      <c r="G372" s="66">
        <f>'Project Database'!K376</f>
        <v>0</v>
      </c>
      <c r="H372" s="66">
        <f>'Project Database'!L376</f>
        <v>0</v>
      </c>
      <c r="I372" s="66">
        <f>'Project Database'!M376</f>
        <v>0</v>
      </c>
      <c r="J372" s="66">
        <f>'Project Database'!N376</f>
        <v>0</v>
      </c>
      <c r="K372" s="66">
        <f>'Project Database'!O376</f>
        <v>0</v>
      </c>
      <c r="L372" s="66">
        <f>'Project Database'!P376</f>
        <v>0</v>
      </c>
      <c r="M372" s="66">
        <f>'Project Database'!Q376</f>
        <v>0</v>
      </c>
      <c r="N372" s="66">
        <f>'Project Database'!R376</f>
        <v>0</v>
      </c>
      <c r="O372" s="66">
        <f>'Project Database'!S376</f>
        <v>0</v>
      </c>
      <c r="P372" s="66">
        <f>'Project Database'!T376</f>
        <v>0</v>
      </c>
      <c r="Q372" s="66">
        <f>'Project Database'!U376</f>
        <v>0</v>
      </c>
      <c r="R372" s="66">
        <f>'Project Database'!V376</f>
        <v>0</v>
      </c>
      <c r="S372" s="66">
        <f>'Project Database'!W376</f>
        <v>0</v>
      </c>
      <c r="T372" s="66">
        <f>'Project Database'!X376</f>
        <v>0</v>
      </c>
      <c r="U372" s="67">
        <f>'Project Database'!Y376</f>
        <v>0</v>
      </c>
      <c r="V372" s="66">
        <f>IF('Smart Search'!B13=1,IFERROR(1/'Smart Search'!H13,0),0)</f>
        <v>0</v>
      </c>
      <c r="W372" s="66">
        <f>IF('Smart Search'!B13=1,IFERROR(1/'Smart Search'!H13,0),0)</f>
        <v>0</v>
      </c>
      <c r="X372" s="66">
        <f>IF('Smart Search'!C13=1,IFERROR(1/'Smart Search'!H13,0),0)</f>
        <v>0.5</v>
      </c>
      <c r="Y372" s="66">
        <f>IF('Smart Search'!C13=1,IFERROR(1/'Smart Search'!H13,0),0)</f>
        <v>0.5</v>
      </c>
      <c r="Z372" s="66">
        <f>IF('Smart Search'!D13=1,IFERROR(1/'Smart Search'!H13,0),0)</f>
        <v>0</v>
      </c>
      <c r="AA372" s="66">
        <f>IF('Smart Search'!D13=1,IFERROR(1/'Smart Search'!H13,0),0)</f>
        <v>0</v>
      </c>
      <c r="AB372" s="66">
        <f>IF('Smart Search'!E13=1,IFERROR(1/'Smart Search'!H13,0),0)</f>
        <v>0</v>
      </c>
      <c r="AC372" s="66">
        <f>IF('Smart Search'!E13=1,IFERROR(1/'Smart Search'!H13,0),0)</f>
        <v>0</v>
      </c>
      <c r="AD372" s="66">
        <f>IF('Smart Search'!F13=1,IFERROR(1/'Smart Search'!H13,0),0)</f>
        <v>0</v>
      </c>
      <c r="AE372" s="66">
        <f>IF('Smart Search'!F13=1,IFERROR(1/'Smart Search'!H13,0),0)</f>
        <v>0</v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>0</v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>0</v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>0</v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>0</v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>0</v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>0</v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>0</v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>0</v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>0</v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>0</v>
      </c>
      <c r="AP372" s="66">
        <f t="shared" si="70"/>
        <v>0</v>
      </c>
      <c r="AQ372" s="66">
        <f t="shared" si="71"/>
        <v>0</v>
      </c>
      <c r="AR372" s="66">
        <f t="shared" si="72"/>
        <v>0</v>
      </c>
      <c r="AS372" s="66">
        <f t="shared" si="73"/>
        <v>0</v>
      </c>
      <c r="AT372" s="66">
        <f t="shared" si="74"/>
        <v>0</v>
      </c>
      <c r="AU372" s="66">
        <f t="shared" si="75"/>
        <v>0</v>
      </c>
      <c r="AV372" s="66">
        <f t="shared" si="76"/>
        <v>0</v>
      </c>
      <c r="AW372" s="66">
        <f t="shared" si="77"/>
        <v>0</v>
      </c>
      <c r="AX372" s="66">
        <f t="shared" si="78"/>
        <v>0</v>
      </c>
      <c r="AY372" s="66">
        <f t="shared" si="79"/>
        <v>0</v>
      </c>
      <c r="AZ372" s="66">
        <f>'Project Database'!Z376</f>
        <v>0</v>
      </c>
      <c r="BA372" s="66">
        <f>IF(OR(A372="",'Smart Search'!H13=0),"",MAX(0,BE372*BF372*MAX(0,1-BG372)))</f>
        <v>0</v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>0</v>
      </c>
      <c r="BC372" s="66">
        <f>IF('Smart Search'!G13=1,IFERROR(1/'Smart Search'!H13,0),0)</f>
        <v>0</v>
      </c>
      <c r="BD372" s="66">
        <f t="shared" si="80"/>
        <v>0</v>
      </c>
      <c r="BE372" s="66">
        <f t="shared" si="81"/>
        <v>0</v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>0</v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>0</v>
      </c>
      <c r="BH372" s="5" t="str">
        <f>IF(AND('Project Database'!A376&lt;&gt;"",OR('Smart Search'!$L$5="",'Smart Search'!$L$5="All",TRIM('Project Database'!D376)=TRIM('Smart Search'!$L$5)),OR(TRIM('Smart Search'!$L$6)="",TRIM('Smart Search'!$L$6)="All",ISNUMBER(SEARCH(SUBSTITUTE(SUBSTITUTE(SUBSTITUTE(TRIM('Smart Search'!$L$6),"~","~~"),"*","~*"),"?","~?"),'Project Database'!C376))),OR('Smart Search'!$L$7="",AND('Project Database'!E376&lt;&gt;"",'Project Database'!E376='Smart Search'!$L$7)),OR('Smart Search'!$L$8="",'Smart Search'!$L$8="All",TRIM('Project Database'!F376)=TRIM('Smart Search'!$L$8))),IF(BA372="","",BA372+ROW()*0.0000000001),"")</f>
        <v/>
      </c>
      <c r="BI372" s="5" t="str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 t="str">
        <f>IF('Project Database'!A376="","",N('Project Database'!AC376))</f>
        <v/>
      </c>
      <c r="BK372" s="5" t="str">
        <f>IF('Project Database'!A376="","",N('Project Database'!AD376))</f>
        <v/>
      </c>
      <c r="BL372" s="5" t="str">
        <f>IF('Project Database'!A376="","",N('Project Database'!AE376))</f>
        <v/>
      </c>
      <c r="BM372" s="5" t="str">
        <f>IF('Project Database'!A376="","",N('Project Database'!AF376))</f>
        <v/>
      </c>
      <c r="BN372" s="5" t="str">
        <f>IF('Project Database'!A376="","",N('Project Database'!AG376))</f>
        <v/>
      </c>
      <c r="BO372" s="5" t="str">
        <f>IF('Project Database'!A376="","",N('Project Database'!AH376))</f>
        <v/>
      </c>
      <c r="BP372" s="5" t="str">
        <f>IF('Project Database'!A376="","",N('Project Database'!AI376))</f>
        <v/>
      </c>
      <c r="BQ372" s="5" t="str">
        <f>IF('Project Database'!A376="","",N('Project Database'!AJ376))</f>
        <v/>
      </c>
      <c r="BR372" s="5" t="str">
        <f>IF('Project Database'!A376="","",N('Project Database'!AK376))</f>
        <v/>
      </c>
      <c r="BS372" s="5" t="str">
        <f>IF('Project Database'!A376="","",N('Project Database'!AL376))</f>
        <v/>
      </c>
      <c r="BT372" s="5" t="str">
        <f>IF('Project Database'!A376="","",N('Project Database'!AM376))</f>
        <v/>
      </c>
      <c r="BU372" s="5" t="str">
        <f>IF('Project Database'!A376="","",N('Project Database'!AN376))</f>
        <v/>
      </c>
      <c r="BV372" s="5" t="str">
        <f>IF('Project Database'!A376="","",N('Project Database'!AO376))</f>
        <v/>
      </c>
      <c r="BW372" s="5" t="str">
        <f>IF('Project Database'!A376="","",N('Project Database'!AP376))</f>
        <v/>
      </c>
      <c r="BX372" s="5">
        <f t="shared" si="82"/>
        <v>0</v>
      </c>
      <c r="BY372" s="5">
        <f t="shared" si="83"/>
        <v>0</v>
      </c>
    </row>
    <row r="373" spans="1:77" ht="15" customHeight="1" x14ac:dyDescent="0.3">
      <c r="A373" s="66">
        <f>'Project Database'!A377</f>
        <v>0</v>
      </c>
      <c r="B373" s="66">
        <f>'Project Database'!B377</f>
        <v>0</v>
      </c>
      <c r="C373" s="66">
        <f>'Project Database'!G377</f>
        <v>0</v>
      </c>
      <c r="D373" s="66">
        <f>'Project Database'!H377</f>
        <v>0</v>
      </c>
      <c r="E373" s="66">
        <f>'Project Database'!I377</f>
        <v>0</v>
      </c>
      <c r="F373" s="66">
        <f>'Project Database'!J377</f>
        <v>0</v>
      </c>
      <c r="G373" s="66">
        <f>'Project Database'!K377</f>
        <v>0</v>
      </c>
      <c r="H373" s="66">
        <f>'Project Database'!L377</f>
        <v>0</v>
      </c>
      <c r="I373" s="66">
        <f>'Project Database'!M377</f>
        <v>0</v>
      </c>
      <c r="J373" s="66">
        <f>'Project Database'!N377</f>
        <v>0</v>
      </c>
      <c r="K373" s="66">
        <f>'Project Database'!O377</f>
        <v>0</v>
      </c>
      <c r="L373" s="66">
        <f>'Project Database'!P377</f>
        <v>0</v>
      </c>
      <c r="M373" s="66">
        <f>'Project Database'!Q377</f>
        <v>0</v>
      </c>
      <c r="N373" s="66">
        <f>'Project Database'!R377</f>
        <v>0</v>
      </c>
      <c r="O373" s="66">
        <f>'Project Database'!S377</f>
        <v>0</v>
      </c>
      <c r="P373" s="66">
        <f>'Project Database'!T377</f>
        <v>0</v>
      </c>
      <c r="Q373" s="66">
        <f>'Project Database'!U377</f>
        <v>0</v>
      </c>
      <c r="R373" s="66">
        <f>'Project Database'!V377</f>
        <v>0</v>
      </c>
      <c r="S373" s="66">
        <f>'Project Database'!W377</f>
        <v>0</v>
      </c>
      <c r="T373" s="66">
        <f>'Project Database'!X377</f>
        <v>0</v>
      </c>
      <c r="U373" s="67">
        <f>'Project Database'!Y377</f>
        <v>0</v>
      </c>
      <c r="V373" s="66">
        <f>IF('Smart Search'!B13=1,IFERROR(1/'Smart Search'!H13,0),0)</f>
        <v>0</v>
      </c>
      <c r="W373" s="66">
        <f>IF('Smart Search'!B13=1,IFERROR(1/'Smart Search'!H13,0),0)</f>
        <v>0</v>
      </c>
      <c r="X373" s="66">
        <f>IF('Smart Search'!C13=1,IFERROR(1/'Smart Search'!H13,0),0)</f>
        <v>0.5</v>
      </c>
      <c r="Y373" s="66">
        <f>IF('Smart Search'!C13=1,IFERROR(1/'Smart Search'!H13,0),0)</f>
        <v>0.5</v>
      </c>
      <c r="Z373" s="66">
        <f>IF('Smart Search'!D13=1,IFERROR(1/'Smart Search'!H13,0),0)</f>
        <v>0</v>
      </c>
      <c r="AA373" s="66">
        <f>IF('Smart Search'!D13=1,IFERROR(1/'Smart Search'!H13,0),0)</f>
        <v>0</v>
      </c>
      <c r="AB373" s="66">
        <f>IF('Smart Search'!E13=1,IFERROR(1/'Smart Search'!H13,0),0)</f>
        <v>0</v>
      </c>
      <c r="AC373" s="66">
        <f>IF('Smart Search'!E13=1,IFERROR(1/'Smart Search'!H13,0),0)</f>
        <v>0</v>
      </c>
      <c r="AD373" s="66">
        <f>IF('Smart Search'!F13=1,IFERROR(1/'Smart Search'!H13,0),0)</f>
        <v>0</v>
      </c>
      <c r="AE373" s="66">
        <f>IF('Smart Search'!F13=1,IFERROR(1/'Smart Search'!H13,0),0)</f>
        <v>0</v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>0</v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>0</v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>0</v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>0</v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>0</v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>0</v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>0</v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>0</v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>0</v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>0</v>
      </c>
      <c r="AP373" s="66">
        <f t="shared" si="70"/>
        <v>0</v>
      </c>
      <c r="AQ373" s="66">
        <f t="shared" si="71"/>
        <v>0</v>
      </c>
      <c r="AR373" s="66">
        <f t="shared" si="72"/>
        <v>0</v>
      </c>
      <c r="AS373" s="66">
        <f t="shared" si="73"/>
        <v>0</v>
      </c>
      <c r="AT373" s="66">
        <f t="shared" si="74"/>
        <v>0</v>
      </c>
      <c r="AU373" s="66">
        <f t="shared" si="75"/>
        <v>0</v>
      </c>
      <c r="AV373" s="66">
        <f t="shared" si="76"/>
        <v>0</v>
      </c>
      <c r="AW373" s="66">
        <f t="shared" si="77"/>
        <v>0</v>
      </c>
      <c r="AX373" s="66">
        <f t="shared" si="78"/>
        <v>0</v>
      </c>
      <c r="AY373" s="66">
        <f t="shared" si="79"/>
        <v>0</v>
      </c>
      <c r="AZ373" s="66">
        <f>'Project Database'!Z377</f>
        <v>0</v>
      </c>
      <c r="BA373" s="66">
        <f>IF(OR(A373="",'Smart Search'!H13=0),"",MAX(0,BE373*BF373*MAX(0,1-BG373)))</f>
        <v>0</v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>0</v>
      </c>
      <c r="BC373" s="66">
        <f>IF('Smart Search'!G13=1,IFERROR(1/'Smart Search'!H13,0),0)</f>
        <v>0</v>
      </c>
      <c r="BD373" s="66">
        <f t="shared" si="80"/>
        <v>0</v>
      </c>
      <c r="BE373" s="66">
        <f t="shared" si="81"/>
        <v>0</v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>0</v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>0</v>
      </c>
      <c r="BH373" s="5" t="str">
        <f>IF(AND('Project Database'!A377&lt;&gt;"",OR('Smart Search'!$L$5="",'Smart Search'!$L$5="All",TRIM('Project Database'!D377)=TRIM('Smart Search'!$L$5)),OR(TRIM('Smart Search'!$L$6)="",TRIM('Smart Search'!$L$6)="All",ISNUMBER(SEARCH(SUBSTITUTE(SUBSTITUTE(SUBSTITUTE(TRIM('Smart Search'!$L$6),"~","~~"),"*","~*"),"?","~?"),'Project Database'!C377))),OR('Smart Search'!$L$7="",AND('Project Database'!E377&lt;&gt;"",'Project Database'!E377='Smart Search'!$L$7)),OR('Smart Search'!$L$8="",'Smart Search'!$L$8="All",TRIM('Project Database'!F377)=TRIM('Smart Search'!$L$8))),IF(BA373="","",BA373+ROW()*0.0000000001),"")</f>
        <v/>
      </c>
      <c r="BI373" s="5" t="str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 t="str">
        <f>IF('Project Database'!A377="","",N('Project Database'!AC377))</f>
        <v/>
      </c>
      <c r="BK373" s="5" t="str">
        <f>IF('Project Database'!A377="","",N('Project Database'!AD377))</f>
        <v/>
      </c>
      <c r="BL373" s="5" t="str">
        <f>IF('Project Database'!A377="","",N('Project Database'!AE377))</f>
        <v/>
      </c>
      <c r="BM373" s="5" t="str">
        <f>IF('Project Database'!A377="","",N('Project Database'!AF377))</f>
        <v/>
      </c>
      <c r="BN373" s="5" t="str">
        <f>IF('Project Database'!A377="","",N('Project Database'!AG377))</f>
        <v/>
      </c>
      <c r="BO373" s="5" t="str">
        <f>IF('Project Database'!A377="","",N('Project Database'!AH377))</f>
        <v/>
      </c>
      <c r="BP373" s="5" t="str">
        <f>IF('Project Database'!A377="","",N('Project Database'!AI377))</f>
        <v/>
      </c>
      <c r="BQ373" s="5" t="str">
        <f>IF('Project Database'!A377="","",N('Project Database'!AJ377))</f>
        <v/>
      </c>
      <c r="BR373" s="5" t="str">
        <f>IF('Project Database'!A377="","",N('Project Database'!AK377))</f>
        <v/>
      </c>
      <c r="BS373" s="5" t="str">
        <f>IF('Project Database'!A377="","",N('Project Database'!AL377))</f>
        <v/>
      </c>
      <c r="BT373" s="5" t="str">
        <f>IF('Project Database'!A377="","",N('Project Database'!AM377))</f>
        <v/>
      </c>
      <c r="BU373" s="5" t="str">
        <f>IF('Project Database'!A377="","",N('Project Database'!AN377))</f>
        <v/>
      </c>
      <c r="BV373" s="5" t="str">
        <f>IF('Project Database'!A377="","",N('Project Database'!AO377))</f>
        <v/>
      </c>
      <c r="BW373" s="5" t="str">
        <f>IF('Project Database'!A377="","",N('Project Database'!AP377))</f>
        <v/>
      </c>
      <c r="BX373" s="5">
        <f t="shared" si="82"/>
        <v>0</v>
      </c>
      <c r="BY373" s="5">
        <f t="shared" si="83"/>
        <v>0</v>
      </c>
    </row>
    <row r="374" spans="1:77" ht="15" customHeight="1" x14ac:dyDescent="0.3">
      <c r="A374" s="66">
        <f>'Project Database'!A378</f>
        <v>0</v>
      </c>
      <c r="B374" s="66">
        <f>'Project Database'!B378</f>
        <v>0</v>
      </c>
      <c r="C374" s="66">
        <f>'Project Database'!G378</f>
        <v>0</v>
      </c>
      <c r="D374" s="66">
        <f>'Project Database'!H378</f>
        <v>0</v>
      </c>
      <c r="E374" s="66">
        <f>'Project Database'!I378</f>
        <v>0</v>
      </c>
      <c r="F374" s="66">
        <f>'Project Database'!J378</f>
        <v>0</v>
      </c>
      <c r="G374" s="66">
        <f>'Project Database'!K378</f>
        <v>0</v>
      </c>
      <c r="H374" s="66">
        <f>'Project Database'!L378</f>
        <v>0</v>
      </c>
      <c r="I374" s="66">
        <f>'Project Database'!M378</f>
        <v>0</v>
      </c>
      <c r="J374" s="66">
        <f>'Project Database'!N378</f>
        <v>0</v>
      </c>
      <c r="K374" s="66">
        <f>'Project Database'!O378</f>
        <v>0</v>
      </c>
      <c r="L374" s="66">
        <f>'Project Database'!P378</f>
        <v>0</v>
      </c>
      <c r="M374" s="66">
        <f>'Project Database'!Q378</f>
        <v>0</v>
      </c>
      <c r="N374" s="66">
        <f>'Project Database'!R378</f>
        <v>0</v>
      </c>
      <c r="O374" s="66">
        <f>'Project Database'!S378</f>
        <v>0</v>
      </c>
      <c r="P374" s="66">
        <f>'Project Database'!T378</f>
        <v>0</v>
      </c>
      <c r="Q374" s="66">
        <f>'Project Database'!U378</f>
        <v>0</v>
      </c>
      <c r="R374" s="66">
        <f>'Project Database'!V378</f>
        <v>0</v>
      </c>
      <c r="S374" s="66">
        <f>'Project Database'!W378</f>
        <v>0</v>
      </c>
      <c r="T374" s="66">
        <f>'Project Database'!X378</f>
        <v>0</v>
      </c>
      <c r="U374" s="67">
        <f>'Project Database'!Y378</f>
        <v>0</v>
      </c>
      <c r="V374" s="66">
        <f>IF('Smart Search'!B13=1,IFERROR(1/'Smart Search'!H13,0),0)</f>
        <v>0</v>
      </c>
      <c r="W374" s="66">
        <f>IF('Smart Search'!B13=1,IFERROR(1/'Smart Search'!H13,0),0)</f>
        <v>0</v>
      </c>
      <c r="X374" s="66">
        <f>IF('Smart Search'!C13=1,IFERROR(1/'Smart Search'!H13,0),0)</f>
        <v>0.5</v>
      </c>
      <c r="Y374" s="66">
        <f>IF('Smart Search'!C13=1,IFERROR(1/'Smart Search'!H13,0),0)</f>
        <v>0.5</v>
      </c>
      <c r="Z374" s="66">
        <f>IF('Smart Search'!D13=1,IFERROR(1/'Smart Search'!H13,0),0)</f>
        <v>0</v>
      </c>
      <c r="AA374" s="66">
        <f>IF('Smart Search'!D13=1,IFERROR(1/'Smart Search'!H13,0),0)</f>
        <v>0</v>
      </c>
      <c r="AB374" s="66">
        <f>IF('Smart Search'!E13=1,IFERROR(1/'Smart Search'!H13,0),0)</f>
        <v>0</v>
      </c>
      <c r="AC374" s="66">
        <f>IF('Smart Search'!E13=1,IFERROR(1/'Smart Search'!H13,0),0)</f>
        <v>0</v>
      </c>
      <c r="AD374" s="66">
        <f>IF('Smart Search'!F13=1,IFERROR(1/'Smart Search'!H13,0),0)</f>
        <v>0</v>
      </c>
      <c r="AE374" s="66">
        <f>IF('Smart Search'!F13=1,IFERROR(1/'Smart Search'!H13,0),0)</f>
        <v>0</v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>0</v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>0</v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>0</v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>0</v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>0</v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>0</v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>0</v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>0</v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>0</v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>0</v>
      </c>
      <c r="AP374" s="66">
        <f t="shared" si="70"/>
        <v>0</v>
      </c>
      <c r="AQ374" s="66">
        <f t="shared" si="71"/>
        <v>0</v>
      </c>
      <c r="AR374" s="66">
        <f t="shared" si="72"/>
        <v>0</v>
      </c>
      <c r="AS374" s="66">
        <f t="shared" si="73"/>
        <v>0</v>
      </c>
      <c r="AT374" s="66">
        <f t="shared" si="74"/>
        <v>0</v>
      </c>
      <c r="AU374" s="66">
        <f t="shared" si="75"/>
        <v>0</v>
      </c>
      <c r="AV374" s="66">
        <f t="shared" si="76"/>
        <v>0</v>
      </c>
      <c r="AW374" s="66">
        <f t="shared" si="77"/>
        <v>0</v>
      </c>
      <c r="AX374" s="66">
        <f t="shared" si="78"/>
        <v>0</v>
      </c>
      <c r="AY374" s="66">
        <f t="shared" si="79"/>
        <v>0</v>
      </c>
      <c r="AZ374" s="66">
        <f>'Project Database'!Z378</f>
        <v>0</v>
      </c>
      <c r="BA374" s="66">
        <f>IF(OR(A374="",'Smart Search'!H13=0),"",MAX(0,BE374*BF374*MAX(0,1-BG374)))</f>
        <v>0</v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>0</v>
      </c>
      <c r="BC374" s="66">
        <f>IF('Smart Search'!G13=1,IFERROR(1/'Smart Search'!H13,0),0)</f>
        <v>0</v>
      </c>
      <c r="BD374" s="66">
        <f t="shared" si="80"/>
        <v>0</v>
      </c>
      <c r="BE374" s="66">
        <f t="shared" si="81"/>
        <v>0</v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>0</v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>0</v>
      </c>
      <c r="BH374" s="5" t="str">
        <f>IF(AND('Project Database'!A378&lt;&gt;"",OR('Smart Search'!$L$5="",'Smart Search'!$L$5="All",TRIM('Project Database'!D378)=TRIM('Smart Search'!$L$5)),OR(TRIM('Smart Search'!$L$6)="",TRIM('Smart Search'!$L$6)="All",ISNUMBER(SEARCH(SUBSTITUTE(SUBSTITUTE(SUBSTITUTE(TRIM('Smart Search'!$L$6),"~","~~"),"*","~*"),"?","~?"),'Project Database'!C378))),OR('Smart Search'!$L$7="",AND('Project Database'!E378&lt;&gt;"",'Project Database'!E378='Smart Search'!$L$7)),OR('Smart Search'!$L$8="",'Smart Search'!$L$8="All",TRIM('Project Database'!F378)=TRIM('Smart Search'!$L$8))),IF(BA374="","",BA374+ROW()*0.0000000001),"")</f>
        <v/>
      </c>
      <c r="BI374" s="5" t="str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 t="str">
        <f>IF('Project Database'!A378="","",N('Project Database'!AC378))</f>
        <v/>
      </c>
      <c r="BK374" s="5" t="str">
        <f>IF('Project Database'!A378="","",N('Project Database'!AD378))</f>
        <v/>
      </c>
      <c r="BL374" s="5" t="str">
        <f>IF('Project Database'!A378="","",N('Project Database'!AE378))</f>
        <v/>
      </c>
      <c r="BM374" s="5" t="str">
        <f>IF('Project Database'!A378="","",N('Project Database'!AF378))</f>
        <v/>
      </c>
      <c r="BN374" s="5" t="str">
        <f>IF('Project Database'!A378="","",N('Project Database'!AG378))</f>
        <v/>
      </c>
      <c r="BO374" s="5" t="str">
        <f>IF('Project Database'!A378="","",N('Project Database'!AH378))</f>
        <v/>
      </c>
      <c r="BP374" s="5" t="str">
        <f>IF('Project Database'!A378="","",N('Project Database'!AI378))</f>
        <v/>
      </c>
      <c r="BQ374" s="5" t="str">
        <f>IF('Project Database'!A378="","",N('Project Database'!AJ378))</f>
        <v/>
      </c>
      <c r="BR374" s="5" t="str">
        <f>IF('Project Database'!A378="","",N('Project Database'!AK378))</f>
        <v/>
      </c>
      <c r="BS374" s="5" t="str">
        <f>IF('Project Database'!A378="","",N('Project Database'!AL378))</f>
        <v/>
      </c>
      <c r="BT374" s="5" t="str">
        <f>IF('Project Database'!A378="","",N('Project Database'!AM378))</f>
        <v/>
      </c>
      <c r="BU374" s="5" t="str">
        <f>IF('Project Database'!A378="","",N('Project Database'!AN378))</f>
        <v/>
      </c>
      <c r="BV374" s="5" t="str">
        <f>IF('Project Database'!A378="","",N('Project Database'!AO378))</f>
        <v/>
      </c>
      <c r="BW374" s="5" t="str">
        <f>IF('Project Database'!A378="","",N('Project Database'!AP378))</f>
        <v/>
      </c>
      <c r="BX374" s="5">
        <f t="shared" si="82"/>
        <v>0</v>
      </c>
      <c r="BY374" s="5">
        <f t="shared" si="83"/>
        <v>0</v>
      </c>
    </row>
    <row r="375" spans="1:77" ht="15" customHeight="1" x14ac:dyDescent="0.3">
      <c r="A375" s="66">
        <f>'Project Database'!A379</f>
        <v>0</v>
      </c>
      <c r="B375" s="66">
        <f>'Project Database'!B379</f>
        <v>0</v>
      </c>
      <c r="C375" s="66">
        <f>'Project Database'!G379</f>
        <v>0</v>
      </c>
      <c r="D375" s="66">
        <f>'Project Database'!H379</f>
        <v>0</v>
      </c>
      <c r="E375" s="66">
        <f>'Project Database'!I379</f>
        <v>0</v>
      </c>
      <c r="F375" s="66">
        <f>'Project Database'!J379</f>
        <v>0</v>
      </c>
      <c r="G375" s="66">
        <f>'Project Database'!K379</f>
        <v>0</v>
      </c>
      <c r="H375" s="66">
        <f>'Project Database'!L379</f>
        <v>0</v>
      </c>
      <c r="I375" s="66">
        <f>'Project Database'!M379</f>
        <v>0</v>
      </c>
      <c r="J375" s="66">
        <f>'Project Database'!N379</f>
        <v>0</v>
      </c>
      <c r="K375" s="66">
        <f>'Project Database'!O379</f>
        <v>0</v>
      </c>
      <c r="L375" s="66">
        <f>'Project Database'!P379</f>
        <v>0</v>
      </c>
      <c r="M375" s="66">
        <f>'Project Database'!Q379</f>
        <v>0</v>
      </c>
      <c r="N375" s="66">
        <f>'Project Database'!R379</f>
        <v>0</v>
      </c>
      <c r="O375" s="66">
        <f>'Project Database'!S379</f>
        <v>0</v>
      </c>
      <c r="P375" s="66">
        <f>'Project Database'!T379</f>
        <v>0</v>
      </c>
      <c r="Q375" s="66">
        <f>'Project Database'!U379</f>
        <v>0</v>
      </c>
      <c r="R375" s="66">
        <f>'Project Database'!V379</f>
        <v>0</v>
      </c>
      <c r="S375" s="66">
        <f>'Project Database'!W379</f>
        <v>0</v>
      </c>
      <c r="T375" s="66">
        <f>'Project Database'!X379</f>
        <v>0</v>
      </c>
      <c r="U375" s="67">
        <f>'Project Database'!Y379</f>
        <v>0</v>
      </c>
      <c r="V375" s="66">
        <f>IF('Smart Search'!B13=1,IFERROR(1/'Smart Search'!H13,0),0)</f>
        <v>0</v>
      </c>
      <c r="W375" s="66">
        <f>IF('Smart Search'!B13=1,IFERROR(1/'Smart Search'!H13,0),0)</f>
        <v>0</v>
      </c>
      <c r="X375" s="66">
        <f>IF('Smart Search'!C13=1,IFERROR(1/'Smart Search'!H13,0),0)</f>
        <v>0.5</v>
      </c>
      <c r="Y375" s="66">
        <f>IF('Smart Search'!C13=1,IFERROR(1/'Smart Search'!H13,0),0)</f>
        <v>0.5</v>
      </c>
      <c r="Z375" s="66">
        <f>IF('Smart Search'!D13=1,IFERROR(1/'Smart Search'!H13,0),0)</f>
        <v>0</v>
      </c>
      <c r="AA375" s="66">
        <f>IF('Smart Search'!D13=1,IFERROR(1/'Smart Search'!H13,0),0)</f>
        <v>0</v>
      </c>
      <c r="AB375" s="66">
        <f>IF('Smart Search'!E13=1,IFERROR(1/'Smart Search'!H13,0),0)</f>
        <v>0</v>
      </c>
      <c r="AC375" s="66">
        <f>IF('Smart Search'!E13=1,IFERROR(1/'Smart Search'!H13,0),0)</f>
        <v>0</v>
      </c>
      <c r="AD375" s="66">
        <f>IF('Smart Search'!F13=1,IFERROR(1/'Smart Search'!H13,0),0)</f>
        <v>0</v>
      </c>
      <c r="AE375" s="66">
        <f>IF('Smart Search'!F13=1,IFERROR(1/'Smart Search'!H13,0),0)</f>
        <v>0</v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>0</v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>0</v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>0</v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>0</v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>0</v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>0</v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>0</v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>0</v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>0</v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>0</v>
      </c>
      <c r="AP375" s="66">
        <f t="shared" si="70"/>
        <v>0</v>
      </c>
      <c r="AQ375" s="66">
        <f t="shared" si="71"/>
        <v>0</v>
      </c>
      <c r="AR375" s="66">
        <f t="shared" si="72"/>
        <v>0</v>
      </c>
      <c r="AS375" s="66">
        <f t="shared" si="73"/>
        <v>0</v>
      </c>
      <c r="AT375" s="66">
        <f t="shared" si="74"/>
        <v>0</v>
      </c>
      <c r="AU375" s="66">
        <f t="shared" si="75"/>
        <v>0</v>
      </c>
      <c r="AV375" s="66">
        <f t="shared" si="76"/>
        <v>0</v>
      </c>
      <c r="AW375" s="66">
        <f t="shared" si="77"/>
        <v>0</v>
      </c>
      <c r="AX375" s="66">
        <f t="shared" si="78"/>
        <v>0</v>
      </c>
      <c r="AY375" s="66">
        <f t="shared" si="79"/>
        <v>0</v>
      </c>
      <c r="AZ375" s="66">
        <f>'Project Database'!Z379</f>
        <v>0</v>
      </c>
      <c r="BA375" s="66">
        <f>IF(OR(A375="",'Smart Search'!H13=0),"",MAX(0,BE375*BF375*MAX(0,1-BG375)))</f>
        <v>0</v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>0</v>
      </c>
      <c r="BC375" s="66">
        <f>IF('Smart Search'!G13=1,IFERROR(1/'Smart Search'!H13,0),0)</f>
        <v>0</v>
      </c>
      <c r="BD375" s="66">
        <f t="shared" si="80"/>
        <v>0</v>
      </c>
      <c r="BE375" s="66">
        <f t="shared" si="81"/>
        <v>0</v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>0</v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>0</v>
      </c>
      <c r="BH375" s="5" t="str">
        <f>IF(AND('Project Database'!A379&lt;&gt;"",OR('Smart Search'!$L$5="",'Smart Search'!$L$5="All",TRIM('Project Database'!D379)=TRIM('Smart Search'!$L$5)),OR(TRIM('Smart Search'!$L$6)="",TRIM('Smart Search'!$L$6)="All",ISNUMBER(SEARCH(SUBSTITUTE(SUBSTITUTE(SUBSTITUTE(TRIM('Smart Search'!$L$6),"~","~~"),"*","~*"),"?","~?"),'Project Database'!C379))),OR('Smart Search'!$L$7="",AND('Project Database'!E379&lt;&gt;"",'Project Database'!E379='Smart Search'!$L$7)),OR('Smart Search'!$L$8="",'Smart Search'!$L$8="All",TRIM('Project Database'!F379)=TRIM('Smart Search'!$L$8))),IF(BA375="","",BA375+ROW()*0.0000000001),"")</f>
        <v/>
      </c>
      <c r="BI375" s="5" t="str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 t="str">
        <f>IF('Project Database'!A379="","",N('Project Database'!AC379))</f>
        <v/>
      </c>
      <c r="BK375" s="5" t="str">
        <f>IF('Project Database'!A379="","",N('Project Database'!AD379))</f>
        <v/>
      </c>
      <c r="BL375" s="5" t="str">
        <f>IF('Project Database'!A379="","",N('Project Database'!AE379))</f>
        <v/>
      </c>
      <c r="BM375" s="5" t="str">
        <f>IF('Project Database'!A379="","",N('Project Database'!AF379))</f>
        <v/>
      </c>
      <c r="BN375" s="5" t="str">
        <f>IF('Project Database'!A379="","",N('Project Database'!AG379))</f>
        <v/>
      </c>
      <c r="BO375" s="5" t="str">
        <f>IF('Project Database'!A379="","",N('Project Database'!AH379))</f>
        <v/>
      </c>
      <c r="BP375" s="5" t="str">
        <f>IF('Project Database'!A379="","",N('Project Database'!AI379))</f>
        <v/>
      </c>
      <c r="BQ375" s="5" t="str">
        <f>IF('Project Database'!A379="","",N('Project Database'!AJ379))</f>
        <v/>
      </c>
      <c r="BR375" s="5" t="str">
        <f>IF('Project Database'!A379="","",N('Project Database'!AK379))</f>
        <v/>
      </c>
      <c r="BS375" s="5" t="str">
        <f>IF('Project Database'!A379="","",N('Project Database'!AL379))</f>
        <v/>
      </c>
      <c r="BT375" s="5" t="str">
        <f>IF('Project Database'!A379="","",N('Project Database'!AM379))</f>
        <v/>
      </c>
      <c r="BU375" s="5" t="str">
        <f>IF('Project Database'!A379="","",N('Project Database'!AN379))</f>
        <v/>
      </c>
      <c r="BV375" s="5" t="str">
        <f>IF('Project Database'!A379="","",N('Project Database'!AO379))</f>
        <v/>
      </c>
      <c r="BW375" s="5" t="str">
        <f>IF('Project Database'!A379="","",N('Project Database'!AP379))</f>
        <v/>
      </c>
      <c r="BX375" s="5">
        <f t="shared" si="82"/>
        <v>0</v>
      </c>
      <c r="BY375" s="5">
        <f t="shared" si="83"/>
        <v>0</v>
      </c>
    </row>
    <row r="376" spans="1:77" ht="15" customHeight="1" x14ac:dyDescent="0.3">
      <c r="A376" s="66">
        <f>'Project Database'!A380</f>
        <v>0</v>
      </c>
      <c r="B376" s="66">
        <f>'Project Database'!B380</f>
        <v>0</v>
      </c>
      <c r="C376" s="66">
        <f>'Project Database'!G380</f>
        <v>0</v>
      </c>
      <c r="D376" s="66">
        <f>'Project Database'!H380</f>
        <v>0</v>
      </c>
      <c r="E376" s="66">
        <f>'Project Database'!I380</f>
        <v>0</v>
      </c>
      <c r="F376" s="66">
        <f>'Project Database'!J380</f>
        <v>0</v>
      </c>
      <c r="G376" s="66">
        <f>'Project Database'!K380</f>
        <v>0</v>
      </c>
      <c r="H376" s="66">
        <f>'Project Database'!L380</f>
        <v>0</v>
      </c>
      <c r="I376" s="66">
        <f>'Project Database'!M380</f>
        <v>0</v>
      </c>
      <c r="J376" s="66">
        <f>'Project Database'!N380</f>
        <v>0</v>
      </c>
      <c r="K376" s="66">
        <f>'Project Database'!O380</f>
        <v>0</v>
      </c>
      <c r="L376" s="66">
        <f>'Project Database'!P380</f>
        <v>0</v>
      </c>
      <c r="M376" s="66">
        <f>'Project Database'!Q380</f>
        <v>0</v>
      </c>
      <c r="N376" s="66">
        <f>'Project Database'!R380</f>
        <v>0</v>
      </c>
      <c r="O376" s="66">
        <f>'Project Database'!S380</f>
        <v>0</v>
      </c>
      <c r="P376" s="66">
        <f>'Project Database'!T380</f>
        <v>0</v>
      </c>
      <c r="Q376" s="66">
        <f>'Project Database'!U380</f>
        <v>0</v>
      </c>
      <c r="R376" s="66">
        <f>'Project Database'!V380</f>
        <v>0</v>
      </c>
      <c r="S376" s="66">
        <f>'Project Database'!W380</f>
        <v>0</v>
      </c>
      <c r="T376" s="66">
        <f>'Project Database'!X380</f>
        <v>0</v>
      </c>
      <c r="U376" s="67">
        <f>'Project Database'!Y380</f>
        <v>0</v>
      </c>
      <c r="V376" s="66">
        <f>IF('Smart Search'!B13=1,IFERROR(1/'Smart Search'!H13,0),0)</f>
        <v>0</v>
      </c>
      <c r="W376" s="66">
        <f>IF('Smart Search'!B13=1,IFERROR(1/'Smart Search'!H13,0),0)</f>
        <v>0</v>
      </c>
      <c r="X376" s="66">
        <f>IF('Smart Search'!C13=1,IFERROR(1/'Smart Search'!H13,0),0)</f>
        <v>0.5</v>
      </c>
      <c r="Y376" s="66">
        <f>IF('Smart Search'!C13=1,IFERROR(1/'Smart Search'!H13,0),0)</f>
        <v>0.5</v>
      </c>
      <c r="Z376" s="66">
        <f>IF('Smart Search'!D13=1,IFERROR(1/'Smart Search'!H13,0),0)</f>
        <v>0</v>
      </c>
      <c r="AA376" s="66">
        <f>IF('Smart Search'!D13=1,IFERROR(1/'Smart Search'!H13,0),0)</f>
        <v>0</v>
      </c>
      <c r="AB376" s="66">
        <f>IF('Smart Search'!E13=1,IFERROR(1/'Smart Search'!H13,0),0)</f>
        <v>0</v>
      </c>
      <c r="AC376" s="66">
        <f>IF('Smart Search'!E13=1,IFERROR(1/'Smart Search'!H13,0),0)</f>
        <v>0</v>
      </c>
      <c r="AD376" s="66">
        <f>IF('Smart Search'!F13=1,IFERROR(1/'Smart Search'!H13,0),0)</f>
        <v>0</v>
      </c>
      <c r="AE376" s="66">
        <f>IF('Smart Search'!F13=1,IFERROR(1/'Smart Search'!H13,0),0)</f>
        <v>0</v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>0</v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>0</v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>0</v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>0</v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>0</v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>0</v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>0</v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>0</v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>0</v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>0</v>
      </c>
      <c r="AP376" s="66">
        <f t="shared" si="70"/>
        <v>0</v>
      </c>
      <c r="AQ376" s="66">
        <f t="shared" si="71"/>
        <v>0</v>
      </c>
      <c r="AR376" s="66">
        <f t="shared" si="72"/>
        <v>0</v>
      </c>
      <c r="AS376" s="66">
        <f t="shared" si="73"/>
        <v>0</v>
      </c>
      <c r="AT376" s="66">
        <f t="shared" si="74"/>
        <v>0</v>
      </c>
      <c r="AU376" s="66">
        <f t="shared" si="75"/>
        <v>0</v>
      </c>
      <c r="AV376" s="66">
        <f t="shared" si="76"/>
        <v>0</v>
      </c>
      <c r="AW376" s="66">
        <f t="shared" si="77"/>
        <v>0</v>
      </c>
      <c r="AX376" s="66">
        <f t="shared" si="78"/>
        <v>0</v>
      </c>
      <c r="AY376" s="66">
        <f t="shared" si="79"/>
        <v>0</v>
      </c>
      <c r="AZ376" s="66">
        <f>'Project Database'!Z380</f>
        <v>0</v>
      </c>
      <c r="BA376" s="66">
        <f>IF(OR(A376="",'Smart Search'!H13=0),"",MAX(0,BE376*BF376*MAX(0,1-BG376)))</f>
        <v>0</v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>0</v>
      </c>
      <c r="BC376" s="66">
        <f>IF('Smart Search'!G13=1,IFERROR(1/'Smart Search'!H13,0),0)</f>
        <v>0</v>
      </c>
      <c r="BD376" s="66">
        <f t="shared" si="80"/>
        <v>0</v>
      </c>
      <c r="BE376" s="66">
        <f t="shared" si="81"/>
        <v>0</v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>0</v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>0</v>
      </c>
      <c r="BH376" s="5" t="str">
        <f>IF(AND('Project Database'!A380&lt;&gt;"",OR('Smart Search'!$L$5="",'Smart Search'!$L$5="All",TRIM('Project Database'!D380)=TRIM('Smart Search'!$L$5)),OR(TRIM('Smart Search'!$L$6)="",TRIM('Smart Search'!$L$6)="All",ISNUMBER(SEARCH(SUBSTITUTE(SUBSTITUTE(SUBSTITUTE(TRIM('Smart Search'!$L$6),"~","~~"),"*","~*"),"?","~?"),'Project Database'!C380))),OR('Smart Search'!$L$7="",AND('Project Database'!E380&lt;&gt;"",'Project Database'!E380='Smart Search'!$L$7)),OR('Smart Search'!$L$8="",'Smart Search'!$L$8="All",TRIM('Project Database'!F380)=TRIM('Smart Search'!$L$8))),IF(BA376="","",BA376+ROW()*0.0000000001),"")</f>
        <v/>
      </c>
      <c r="BI376" s="5" t="str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 t="str">
        <f>IF('Project Database'!A380="","",N('Project Database'!AC380))</f>
        <v/>
      </c>
      <c r="BK376" s="5" t="str">
        <f>IF('Project Database'!A380="","",N('Project Database'!AD380))</f>
        <v/>
      </c>
      <c r="BL376" s="5" t="str">
        <f>IF('Project Database'!A380="","",N('Project Database'!AE380))</f>
        <v/>
      </c>
      <c r="BM376" s="5" t="str">
        <f>IF('Project Database'!A380="","",N('Project Database'!AF380))</f>
        <v/>
      </c>
      <c r="BN376" s="5" t="str">
        <f>IF('Project Database'!A380="","",N('Project Database'!AG380))</f>
        <v/>
      </c>
      <c r="BO376" s="5" t="str">
        <f>IF('Project Database'!A380="","",N('Project Database'!AH380))</f>
        <v/>
      </c>
      <c r="BP376" s="5" t="str">
        <f>IF('Project Database'!A380="","",N('Project Database'!AI380))</f>
        <v/>
      </c>
      <c r="BQ376" s="5" t="str">
        <f>IF('Project Database'!A380="","",N('Project Database'!AJ380))</f>
        <v/>
      </c>
      <c r="BR376" s="5" t="str">
        <f>IF('Project Database'!A380="","",N('Project Database'!AK380))</f>
        <v/>
      </c>
      <c r="BS376" s="5" t="str">
        <f>IF('Project Database'!A380="","",N('Project Database'!AL380))</f>
        <v/>
      </c>
      <c r="BT376" s="5" t="str">
        <f>IF('Project Database'!A380="","",N('Project Database'!AM380))</f>
        <v/>
      </c>
      <c r="BU376" s="5" t="str">
        <f>IF('Project Database'!A380="","",N('Project Database'!AN380))</f>
        <v/>
      </c>
      <c r="BV376" s="5" t="str">
        <f>IF('Project Database'!A380="","",N('Project Database'!AO380))</f>
        <v/>
      </c>
      <c r="BW376" s="5" t="str">
        <f>IF('Project Database'!A380="","",N('Project Database'!AP380))</f>
        <v/>
      </c>
      <c r="BX376" s="5">
        <f t="shared" si="82"/>
        <v>0</v>
      </c>
      <c r="BY376" s="5">
        <f t="shared" si="83"/>
        <v>0</v>
      </c>
    </row>
    <row r="377" spans="1:77" ht="15" customHeight="1" x14ac:dyDescent="0.3">
      <c r="A377" s="66">
        <f>'Project Database'!A381</f>
        <v>0</v>
      </c>
      <c r="B377" s="66">
        <f>'Project Database'!B381</f>
        <v>0</v>
      </c>
      <c r="C377" s="66">
        <f>'Project Database'!G381</f>
        <v>0</v>
      </c>
      <c r="D377" s="66">
        <f>'Project Database'!H381</f>
        <v>0</v>
      </c>
      <c r="E377" s="66">
        <f>'Project Database'!I381</f>
        <v>0</v>
      </c>
      <c r="F377" s="66">
        <f>'Project Database'!J381</f>
        <v>0</v>
      </c>
      <c r="G377" s="66">
        <f>'Project Database'!K381</f>
        <v>0</v>
      </c>
      <c r="H377" s="66">
        <f>'Project Database'!L381</f>
        <v>0</v>
      </c>
      <c r="I377" s="66">
        <f>'Project Database'!M381</f>
        <v>0</v>
      </c>
      <c r="J377" s="66">
        <f>'Project Database'!N381</f>
        <v>0</v>
      </c>
      <c r="K377" s="66">
        <f>'Project Database'!O381</f>
        <v>0</v>
      </c>
      <c r="L377" s="66">
        <f>'Project Database'!P381</f>
        <v>0</v>
      </c>
      <c r="M377" s="66">
        <f>'Project Database'!Q381</f>
        <v>0</v>
      </c>
      <c r="N377" s="66">
        <f>'Project Database'!R381</f>
        <v>0</v>
      </c>
      <c r="O377" s="66">
        <f>'Project Database'!S381</f>
        <v>0</v>
      </c>
      <c r="P377" s="66">
        <f>'Project Database'!T381</f>
        <v>0</v>
      </c>
      <c r="Q377" s="66">
        <f>'Project Database'!U381</f>
        <v>0</v>
      </c>
      <c r="R377" s="66">
        <f>'Project Database'!V381</f>
        <v>0</v>
      </c>
      <c r="S377" s="66">
        <f>'Project Database'!W381</f>
        <v>0</v>
      </c>
      <c r="T377" s="66">
        <f>'Project Database'!X381</f>
        <v>0</v>
      </c>
      <c r="U377" s="67">
        <f>'Project Database'!Y381</f>
        <v>0</v>
      </c>
      <c r="V377" s="66">
        <f>IF('Smart Search'!B13=1,IFERROR(1/'Smart Search'!H13,0),0)</f>
        <v>0</v>
      </c>
      <c r="W377" s="66">
        <f>IF('Smart Search'!B13=1,IFERROR(1/'Smart Search'!H13,0),0)</f>
        <v>0</v>
      </c>
      <c r="X377" s="66">
        <f>IF('Smart Search'!C13=1,IFERROR(1/'Smart Search'!H13,0),0)</f>
        <v>0.5</v>
      </c>
      <c r="Y377" s="66">
        <f>IF('Smart Search'!C13=1,IFERROR(1/'Smart Search'!H13,0),0)</f>
        <v>0.5</v>
      </c>
      <c r="Z377" s="66">
        <f>IF('Smart Search'!D13=1,IFERROR(1/'Smart Search'!H13,0),0)</f>
        <v>0</v>
      </c>
      <c r="AA377" s="66">
        <f>IF('Smart Search'!D13=1,IFERROR(1/'Smart Search'!H13,0),0)</f>
        <v>0</v>
      </c>
      <c r="AB377" s="66">
        <f>IF('Smart Search'!E13=1,IFERROR(1/'Smart Search'!H13,0),0)</f>
        <v>0</v>
      </c>
      <c r="AC377" s="66">
        <f>IF('Smart Search'!E13=1,IFERROR(1/'Smart Search'!H13,0),0)</f>
        <v>0</v>
      </c>
      <c r="AD377" s="66">
        <f>IF('Smart Search'!F13=1,IFERROR(1/'Smart Search'!H13,0),0)</f>
        <v>0</v>
      </c>
      <c r="AE377" s="66">
        <f>IF('Smart Search'!F13=1,IFERROR(1/'Smart Search'!H13,0),0)</f>
        <v>0</v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>0</v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>0</v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>0</v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>0</v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>0</v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>0</v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>0</v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>0</v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>0</v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>0</v>
      </c>
      <c r="AP377" s="66">
        <f t="shared" si="70"/>
        <v>0</v>
      </c>
      <c r="AQ377" s="66">
        <f t="shared" si="71"/>
        <v>0</v>
      </c>
      <c r="AR377" s="66">
        <f t="shared" si="72"/>
        <v>0</v>
      </c>
      <c r="AS377" s="66">
        <f t="shared" si="73"/>
        <v>0</v>
      </c>
      <c r="AT377" s="66">
        <f t="shared" si="74"/>
        <v>0</v>
      </c>
      <c r="AU377" s="66">
        <f t="shared" si="75"/>
        <v>0</v>
      </c>
      <c r="AV377" s="66">
        <f t="shared" si="76"/>
        <v>0</v>
      </c>
      <c r="AW377" s="66">
        <f t="shared" si="77"/>
        <v>0</v>
      </c>
      <c r="AX377" s="66">
        <f t="shared" si="78"/>
        <v>0</v>
      </c>
      <c r="AY377" s="66">
        <f t="shared" si="79"/>
        <v>0</v>
      </c>
      <c r="AZ377" s="66">
        <f>'Project Database'!Z381</f>
        <v>0</v>
      </c>
      <c r="BA377" s="66">
        <f>IF(OR(A377="",'Smart Search'!H13=0),"",MAX(0,BE377*BF377*MAX(0,1-BG377)))</f>
        <v>0</v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>0</v>
      </c>
      <c r="BC377" s="66">
        <f>IF('Smart Search'!G13=1,IFERROR(1/'Smart Search'!H13,0),0)</f>
        <v>0</v>
      </c>
      <c r="BD377" s="66">
        <f t="shared" si="80"/>
        <v>0</v>
      </c>
      <c r="BE377" s="66">
        <f t="shared" si="81"/>
        <v>0</v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>0</v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>0</v>
      </c>
      <c r="BH377" s="5" t="str">
        <f>IF(AND('Project Database'!A381&lt;&gt;"",OR('Smart Search'!$L$5="",'Smart Search'!$L$5="All",TRIM('Project Database'!D381)=TRIM('Smart Search'!$L$5)),OR(TRIM('Smart Search'!$L$6)="",TRIM('Smart Search'!$L$6)="All",ISNUMBER(SEARCH(SUBSTITUTE(SUBSTITUTE(SUBSTITUTE(TRIM('Smart Search'!$L$6),"~","~~"),"*","~*"),"?","~?"),'Project Database'!C381))),OR('Smart Search'!$L$7="",AND('Project Database'!E381&lt;&gt;"",'Project Database'!E381='Smart Search'!$L$7)),OR('Smart Search'!$L$8="",'Smart Search'!$L$8="All",TRIM('Project Database'!F381)=TRIM('Smart Search'!$L$8))),IF(BA377="","",BA377+ROW()*0.0000000001),"")</f>
        <v/>
      </c>
      <c r="BI377" s="5" t="str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 t="str">
        <f>IF('Project Database'!A381="","",N('Project Database'!AC381))</f>
        <v/>
      </c>
      <c r="BK377" s="5" t="str">
        <f>IF('Project Database'!A381="","",N('Project Database'!AD381))</f>
        <v/>
      </c>
      <c r="BL377" s="5" t="str">
        <f>IF('Project Database'!A381="","",N('Project Database'!AE381))</f>
        <v/>
      </c>
      <c r="BM377" s="5" t="str">
        <f>IF('Project Database'!A381="","",N('Project Database'!AF381))</f>
        <v/>
      </c>
      <c r="BN377" s="5" t="str">
        <f>IF('Project Database'!A381="","",N('Project Database'!AG381))</f>
        <v/>
      </c>
      <c r="BO377" s="5" t="str">
        <f>IF('Project Database'!A381="","",N('Project Database'!AH381))</f>
        <v/>
      </c>
      <c r="BP377" s="5" t="str">
        <f>IF('Project Database'!A381="","",N('Project Database'!AI381))</f>
        <v/>
      </c>
      <c r="BQ377" s="5" t="str">
        <f>IF('Project Database'!A381="","",N('Project Database'!AJ381))</f>
        <v/>
      </c>
      <c r="BR377" s="5" t="str">
        <f>IF('Project Database'!A381="","",N('Project Database'!AK381))</f>
        <v/>
      </c>
      <c r="BS377" s="5" t="str">
        <f>IF('Project Database'!A381="","",N('Project Database'!AL381))</f>
        <v/>
      </c>
      <c r="BT377" s="5" t="str">
        <f>IF('Project Database'!A381="","",N('Project Database'!AM381))</f>
        <v/>
      </c>
      <c r="BU377" s="5" t="str">
        <f>IF('Project Database'!A381="","",N('Project Database'!AN381))</f>
        <v/>
      </c>
      <c r="BV377" s="5" t="str">
        <f>IF('Project Database'!A381="","",N('Project Database'!AO381))</f>
        <v/>
      </c>
      <c r="BW377" s="5" t="str">
        <f>IF('Project Database'!A381="","",N('Project Database'!AP381))</f>
        <v/>
      </c>
      <c r="BX377" s="5">
        <f t="shared" si="82"/>
        <v>0</v>
      </c>
      <c r="BY377" s="5">
        <f t="shared" si="83"/>
        <v>0</v>
      </c>
    </row>
    <row r="378" spans="1:77" ht="15" customHeight="1" x14ac:dyDescent="0.3">
      <c r="A378" s="66">
        <f>'Project Database'!A382</f>
        <v>0</v>
      </c>
      <c r="B378" s="66">
        <f>'Project Database'!B382</f>
        <v>0</v>
      </c>
      <c r="C378" s="66">
        <f>'Project Database'!G382</f>
        <v>0</v>
      </c>
      <c r="D378" s="66">
        <f>'Project Database'!H382</f>
        <v>0</v>
      </c>
      <c r="E378" s="66">
        <f>'Project Database'!I382</f>
        <v>0</v>
      </c>
      <c r="F378" s="66">
        <f>'Project Database'!J382</f>
        <v>0</v>
      </c>
      <c r="G378" s="66">
        <f>'Project Database'!K382</f>
        <v>0</v>
      </c>
      <c r="H378" s="66">
        <f>'Project Database'!L382</f>
        <v>0</v>
      </c>
      <c r="I378" s="66">
        <f>'Project Database'!M382</f>
        <v>0</v>
      </c>
      <c r="J378" s="66">
        <f>'Project Database'!N382</f>
        <v>0</v>
      </c>
      <c r="K378" s="66">
        <f>'Project Database'!O382</f>
        <v>0</v>
      </c>
      <c r="L378" s="66">
        <f>'Project Database'!P382</f>
        <v>0</v>
      </c>
      <c r="M378" s="66">
        <f>'Project Database'!Q382</f>
        <v>0</v>
      </c>
      <c r="N378" s="66">
        <f>'Project Database'!R382</f>
        <v>0</v>
      </c>
      <c r="O378" s="66">
        <f>'Project Database'!S382</f>
        <v>0</v>
      </c>
      <c r="P378" s="66">
        <f>'Project Database'!T382</f>
        <v>0</v>
      </c>
      <c r="Q378" s="66">
        <f>'Project Database'!U382</f>
        <v>0</v>
      </c>
      <c r="R378" s="66">
        <f>'Project Database'!V382</f>
        <v>0</v>
      </c>
      <c r="S378" s="66">
        <f>'Project Database'!W382</f>
        <v>0</v>
      </c>
      <c r="T378" s="66">
        <f>'Project Database'!X382</f>
        <v>0</v>
      </c>
      <c r="U378" s="67">
        <f>'Project Database'!Y382</f>
        <v>0</v>
      </c>
      <c r="V378" s="66">
        <f>IF('Smart Search'!B13=1,IFERROR(1/'Smart Search'!H13,0),0)</f>
        <v>0</v>
      </c>
      <c r="W378" s="66">
        <f>IF('Smart Search'!B13=1,IFERROR(1/'Smart Search'!H13,0),0)</f>
        <v>0</v>
      </c>
      <c r="X378" s="66">
        <f>IF('Smart Search'!C13=1,IFERROR(1/'Smart Search'!H13,0),0)</f>
        <v>0.5</v>
      </c>
      <c r="Y378" s="66">
        <f>IF('Smart Search'!C13=1,IFERROR(1/'Smart Search'!H13,0),0)</f>
        <v>0.5</v>
      </c>
      <c r="Z378" s="66">
        <f>IF('Smart Search'!D13=1,IFERROR(1/'Smart Search'!H13,0),0)</f>
        <v>0</v>
      </c>
      <c r="AA378" s="66">
        <f>IF('Smart Search'!D13=1,IFERROR(1/'Smart Search'!H13,0),0)</f>
        <v>0</v>
      </c>
      <c r="AB378" s="66">
        <f>IF('Smart Search'!E13=1,IFERROR(1/'Smart Search'!H13,0),0)</f>
        <v>0</v>
      </c>
      <c r="AC378" s="66">
        <f>IF('Smart Search'!E13=1,IFERROR(1/'Smart Search'!H13,0),0)</f>
        <v>0</v>
      </c>
      <c r="AD378" s="66">
        <f>IF('Smart Search'!F13=1,IFERROR(1/'Smart Search'!H13,0),0)</f>
        <v>0</v>
      </c>
      <c r="AE378" s="66">
        <f>IF('Smart Search'!F13=1,IFERROR(1/'Smart Search'!H13,0),0)</f>
        <v>0</v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>0</v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>0</v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>0</v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>0</v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>0</v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>0</v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>0</v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>0</v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>0</v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>0</v>
      </c>
      <c r="AP378" s="66">
        <f t="shared" si="70"/>
        <v>0</v>
      </c>
      <c r="AQ378" s="66">
        <f t="shared" si="71"/>
        <v>0</v>
      </c>
      <c r="AR378" s="66">
        <f t="shared" si="72"/>
        <v>0</v>
      </c>
      <c r="AS378" s="66">
        <f t="shared" si="73"/>
        <v>0</v>
      </c>
      <c r="AT378" s="66">
        <f t="shared" si="74"/>
        <v>0</v>
      </c>
      <c r="AU378" s="66">
        <f t="shared" si="75"/>
        <v>0</v>
      </c>
      <c r="AV378" s="66">
        <f t="shared" si="76"/>
        <v>0</v>
      </c>
      <c r="AW378" s="66">
        <f t="shared" si="77"/>
        <v>0</v>
      </c>
      <c r="AX378" s="66">
        <f t="shared" si="78"/>
        <v>0</v>
      </c>
      <c r="AY378" s="66">
        <f t="shared" si="79"/>
        <v>0</v>
      </c>
      <c r="AZ378" s="66">
        <f>'Project Database'!Z382</f>
        <v>0</v>
      </c>
      <c r="BA378" s="66">
        <f>IF(OR(A378="",'Smart Search'!H13=0),"",MAX(0,BE378*BF378*MAX(0,1-BG378)))</f>
        <v>0</v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>0</v>
      </c>
      <c r="BC378" s="66">
        <f>IF('Smart Search'!G13=1,IFERROR(1/'Smart Search'!H13,0),0)</f>
        <v>0</v>
      </c>
      <c r="BD378" s="66">
        <f t="shared" si="80"/>
        <v>0</v>
      </c>
      <c r="BE378" s="66">
        <f t="shared" si="81"/>
        <v>0</v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>0</v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>0</v>
      </c>
      <c r="BH378" s="5" t="str">
        <f>IF(AND('Project Database'!A382&lt;&gt;"",OR('Smart Search'!$L$5="",'Smart Search'!$L$5="All",TRIM('Project Database'!D382)=TRIM('Smart Search'!$L$5)),OR(TRIM('Smart Search'!$L$6)="",TRIM('Smart Search'!$L$6)="All",ISNUMBER(SEARCH(SUBSTITUTE(SUBSTITUTE(SUBSTITUTE(TRIM('Smart Search'!$L$6),"~","~~"),"*","~*"),"?","~?"),'Project Database'!C382))),OR('Smart Search'!$L$7="",AND('Project Database'!E382&lt;&gt;"",'Project Database'!E382='Smart Search'!$L$7)),OR('Smart Search'!$L$8="",'Smart Search'!$L$8="All",TRIM('Project Database'!F382)=TRIM('Smart Search'!$L$8))),IF(BA378="","",BA378+ROW()*0.0000000001),"")</f>
        <v/>
      </c>
      <c r="BI378" s="5" t="str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 t="str">
        <f>IF('Project Database'!A382="","",N('Project Database'!AC382))</f>
        <v/>
      </c>
      <c r="BK378" s="5" t="str">
        <f>IF('Project Database'!A382="","",N('Project Database'!AD382))</f>
        <v/>
      </c>
      <c r="BL378" s="5" t="str">
        <f>IF('Project Database'!A382="","",N('Project Database'!AE382))</f>
        <v/>
      </c>
      <c r="BM378" s="5" t="str">
        <f>IF('Project Database'!A382="","",N('Project Database'!AF382))</f>
        <v/>
      </c>
      <c r="BN378" s="5" t="str">
        <f>IF('Project Database'!A382="","",N('Project Database'!AG382))</f>
        <v/>
      </c>
      <c r="BO378" s="5" t="str">
        <f>IF('Project Database'!A382="","",N('Project Database'!AH382))</f>
        <v/>
      </c>
      <c r="BP378" s="5" t="str">
        <f>IF('Project Database'!A382="","",N('Project Database'!AI382))</f>
        <v/>
      </c>
      <c r="BQ378" s="5" t="str">
        <f>IF('Project Database'!A382="","",N('Project Database'!AJ382))</f>
        <v/>
      </c>
      <c r="BR378" s="5" t="str">
        <f>IF('Project Database'!A382="","",N('Project Database'!AK382))</f>
        <v/>
      </c>
      <c r="BS378" s="5" t="str">
        <f>IF('Project Database'!A382="","",N('Project Database'!AL382))</f>
        <v/>
      </c>
      <c r="BT378" s="5" t="str">
        <f>IF('Project Database'!A382="","",N('Project Database'!AM382))</f>
        <v/>
      </c>
      <c r="BU378" s="5" t="str">
        <f>IF('Project Database'!A382="","",N('Project Database'!AN382))</f>
        <v/>
      </c>
      <c r="BV378" s="5" t="str">
        <f>IF('Project Database'!A382="","",N('Project Database'!AO382))</f>
        <v/>
      </c>
      <c r="BW378" s="5" t="str">
        <f>IF('Project Database'!A382="","",N('Project Database'!AP382))</f>
        <v/>
      </c>
      <c r="BX378" s="5">
        <f t="shared" si="82"/>
        <v>0</v>
      </c>
      <c r="BY378" s="5">
        <f t="shared" si="83"/>
        <v>0</v>
      </c>
    </row>
    <row r="379" spans="1:77" ht="15" customHeight="1" x14ac:dyDescent="0.3">
      <c r="A379" s="66">
        <f>'Project Database'!A383</f>
        <v>0</v>
      </c>
      <c r="B379" s="66">
        <f>'Project Database'!B383</f>
        <v>0</v>
      </c>
      <c r="C379" s="66">
        <f>'Project Database'!G383</f>
        <v>0</v>
      </c>
      <c r="D379" s="66">
        <f>'Project Database'!H383</f>
        <v>0</v>
      </c>
      <c r="E379" s="66">
        <f>'Project Database'!I383</f>
        <v>0</v>
      </c>
      <c r="F379" s="66">
        <f>'Project Database'!J383</f>
        <v>0</v>
      </c>
      <c r="G379" s="66">
        <f>'Project Database'!K383</f>
        <v>0</v>
      </c>
      <c r="H379" s="66">
        <f>'Project Database'!L383</f>
        <v>0</v>
      </c>
      <c r="I379" s="66">
        <f>'Project Database'!M383</f>
        <v>0</v>
      </c>
      <c r="J379" s="66">
        <f>'Project Database'!N383</f>
        <v>0</v>
      </c>
      <c r="K379" s="66">
        <f>'Project Database'!O383</f>
        <v>0</v>
      </c>
      <c r="L379" s="66">
        <f>'Project Database'!P383</f>
        <v>0</v>
      </c>
      <c r="M379" s="66">
        <f>'Project Database'!Q383</f>
        <v>0</v>
      </c>
      <c r="N379" s="66">
        <f>'Project Database'!R383</f>
        <v>0</v>
      </c>
      <c r="O379" s="66">
        <f>'Project Database'!S383</f>
        <v>0</v>
      </c>
      <c r="P379" s="66">
        <f>'Project Database'!T383</f>
        <v>0</v>
      </c>
      <c r="Q379" s="66">
        <f>'Project Database'!U383</f>
        <v>0</v>
      </c>
      <c r="R379" s="66">
        <f>'Project Database'!V383</f>
        <v>0</v>
      </c>
      <c r="S379" s="66">
        <f>'Project Database'!W383</f>
        <v>0</v>
      </c>
      <c r="T379" s="66">
        <f>'Project Database'!X383</f>
        <v>0</v>
      </c>
      <c r="U379" s="67">
        <f>'Project Database'!Y383</f>
        <v>0</v>
      </c>
      <c r="V379" s="66">
        <f>IF('Smart Search'!B13=1,IFERROR(1/'Smart Search'!H13,0),0)</f>
        <v>0</v>
      </c>
      <c r="W379" s="66">
        <f>IF('Smart Search'!B13=1,IFERROR(1/'Smart Search'!H13,0),0)</f>
        <v>0</v>
      </c>
      <c r="X379" s="66">
        <f>IF('Smart Search'!C13=1,IFERROR(1/'Smart Search'!H13,0),0)</f>
        <v>0.5</v>
      </c>
      <c r="Y379" s="66">
        <f>IF('Smart Search'!C13=1,IFERROR(1/'Smart Search'!H13,0),0)</f>
        <v>0.5</v>
      </c>
      <c r="Z379" s="66">
        <f>IF('Smart Search'!D13=1,IFERROR(1/'Smart Search'!H13,0),0)</f>
        <v>0</v>
      </c>
      <c r="AA379" s="66">
        <f>IF('Smart Search'!D13=1,IFERROR(1/'Smart Search'!H13,0),0)</f>
        <v>0</v>
      </c>
      <c r="AB379" s="66">
        <f>IF('Smart Search'!E13=1,IFERROR(1/'Smart Search'!H13,0),0)</f>
        <v>0</v>
      </c>
      <c r="AC379" s="66">
        <f>IF('Smart Search'!E13=1,IFERROR(1/'Smart Search'!H13,0),0)</f>
        <v>0</v>
      </c>
      <c r="AD379" s="66">
        <f>IF('Smart Search'!F13=1,IFERROR(1/'Smart Search'!H13,0),0)</f>
        <v>0</v>
      </c>
      <c r="AE379" s="66">
        <f>IF('Smart Search'!F13=1,IFERROR(1/'Smart Search'!H13,0),0)</f>
        <v>0</v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>0</v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>0</v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>0</v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>0</v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>0</v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>0</v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>0</v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>0</v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>0</v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>0</v>
      </c>
      <c r="AP379" s="66">
        <f t="shared" si="70"/>
        <v>0</v>
      </c>
      <c r="AQ379" s="66">
        <f t="shared" si="71"/>
        <v>0</v>
      </c>
      <c r="AR379" s="66">
        <f t="shared" si="72"/>
        <v>0</v>
      </c>
      <c r="AS379" s="66">
        <f t="shared" si="73"/>
        <v>0</v>
      </c>
      <c r="AT379" s="66">
        <f t="shared" si="74"/>
        <v>0</v>
      </c>
      <c r="AU379" s="66">
        <f t="shared" si="75"/>
        <v>0</v>
      </c>
      <c r="AV379" s="66">
        <f t="shared" si="76"/>
        <v>0</v>
      </c>
      <c r="AW379" s="66">
        <f t="shared" si="77"/>
        <v>0</v>
      </c>
      <c r="AX379" s="66">
        <f t="shared" si="78"/>
        <v>0</v>
      </c>
      <c r="AY379" s="66">
        <f t="shared" si="79"/>
        <v>0</v>
      </c>
      <c r="AZ379" s="66">
        <f>'Project Database'!Z383</f>
        <v>0</v>
      </c>
      <c r="BA379" s="66">
        <f>IF(OR(A379="",'Smart Search'!H13=0),"",MAX(0,BE379*BF379*MAX(0,1-BG379)))</f>
        <v>0</v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>0</v>
      </c>
      <c r="BC379" s="66">
        <f>IF('Smart Search'!G13=1,IFERROR(1/'Smart Search'!H13,0),0)</f>
        <v>0</v>
      </c>
      <c r="BD379" s="66">
        <f t="shared" si="80"/>
        <v>0</v>
      </c>
      <c r="BE379" s="66">
        <f t="shared" si="81"/>
        <v>0</v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>0</v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>0</v>
      </c>
      <c r="BH379" s="5" t="str">
        <f>IF(AND('Project Database'!A383&lt;&gt;"",OR('Smart Search'!$L$5="",'Smart Search'!$L$5="All",TRIM('Project Database'!D383)=TRIM('Smart Search'!$L$5)),OR(TRIM('Smart Search'!$L$6)="",TRIM('Smart Search'!$L$6)="All",ISNUMBER(SEARCH(SUBSTITUTE(SUBSTITUTE(SUBSTITUTE(TRIM('Smart Search'!$L$6),"~","~~"),"*","~*"),"?","~?"),'Project Database'!C383))),OR('Smart Search'!$L$7="",AND('Project Database'!E383&lt;&gt;"",'Project Database'!E383='Smart Search'!$L$7)),OR('Smart Search'!$L$8="",'Smart Search'!$L$8="All",TRIM('Project Database'!F383)=TRIM('Smart Search'!$L$8))),IF(BA379="","",BA379+ROW()*0.0000000001),"")</f>
        <v/>
      </c>
      <c r="BI379" s="5" t="str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 t="str">
        <f>IF('Project Database'!A383="","",N('Project Database'!AC383))</f>
        <v/>
      </c>
      <c r="BK379" s="5" t="str">
        <f>IF('Project Database'!A383="","",N('Project Database'!AD383))</f>
        <v/>
      </c>
      <c r="BL379" s="5" t="str">
        <f>IF('Project Database'!A383="","",N('Project Database'!AE383))</f>
        <v/>
      </c>
      <c r="BM379" s="5" t="str">
        <f>IF('Project Database'!A383="","",N('Project Database'!AF383))</f>
        <v/>
      </c>
      <c r="BN379" s="5" t="str">
        <f>IF('Project Database'!A383="","",N('Project Database'!AG383))</f>
        <v/>
      </c>
      <c r="BO379" s="5" t="str">
        <f>IF('Project Database'!A383="","",N('Project Database'!AH383))</f>
        <v/>
      </c>
      <c r="BP379" s="5" t="str">
        <f>IF('Project Database'!A383="","",N('Project Database'!AI383))</f>
        <v/>
      </c>
      <c r="BQ379" s="5" t="str">
        <f>IF('Project Database'!A383="","",N('Project Database'!AJ383))</f>
        <v/>
      </c>
      <c r="BR379" s="5" t="str">
        <f>IF('Project Database'!A383="","",N('Project Database'!AK383))</f>
        <v/>
      </c>
      <c r="BS379" s="5" t="str">
        <f>IF('Project Database'!A383="","",N('Project Database'!AL383))</f>
        <v/>
      </c>
      <c r="BT379" s="5" t="str">
        <f>IF('Project Database'!A383="","",N('Project Database'!AM383))</f>
        <v/>
      </c>
      <c r="BU379" s="5" t="str">
        <f>IF('Project Database'!A383="","",N('Project Database'!AN383))</f>
        <v/>
      </c>
      <c r="BV379" s="5" t="str">
        <f>IF('Project Database'!A383="","",N('Project Database'!AO383))</f>
        <v/>
      </c>
      <c r="BW379" s="5" t="str">
        <f>IF('Project Database'!A383="","",N('Project Database'!AP383))</f>
        <v/>
      </c>
      <c r="BX379" s="5">
        <f t="shared" si="82"/>
        <v>0</v>
      </c>
      <c r="BY379" s="5">
        <f t="shared" si="83"/>
        <v>0</v>
      </c>
    </row>
    <row r="380" spans="1:77" ht="15" customHeight="1" x14ac:dyDescent="0.3">
      <c r="A380" s="66">
        <f>'Project Database'!A384</f>
        <v>0</v>
      </c>
      <c r="B380" s="66">
        <f>'Project Database'!B384</f>
        <v>0</v>
      </c>
      <c r="C380" s="66">
        <f>'Project Database'!G384</f>
        <v>0</v>
      </c>
      <c r="D380" s="66">
        <f>'Project Database'!H384</f>
        <v>0</v>
      </c>
      <c r="E380" s="66">
        <f>'Project Database'!I384</f>
        <v>0</v>
      </c>
      <c r="F380" s="66">
        <f>'Project Database'!J384</f>
        <v>0</v>
      </c>
      <c r="G380" s="66">
        <f>'Project Database'!K384</f>
        <v>0</v>
      </c>
      <c r="H380" s="66">
        <f>'Project Database'!L384</f>
        <v>0</v>
      </c>
      <c r="I380" s="66">
        <f>'Project Database'!M384</f>
        <v>0</v>
      </c>
      <c r="J380" s="66">
        <f>'Project Database'!N384</f>
        <v>0</v>
      </c>
      <c r="K380" s="66">
        <f>'Project Database'!O384</f>
        <v>0</v>
      </c>
      <c r="L380" s="66">
        <f>'Project Database'!P384</f>
        <v>0</v>
      </c>
      <c r="M380" s="66">
        <f>'Project Database'!Q384</f>
        <v>0</v>
      </c>
      <c r="N380" s="66">
        <f>'Project Database'!R384</f>
        <v>0</v>
      </c>
      <c r="O380" s="66">
        <f>'Project Database'!S384</f>
        <v>0</v>
      </c>
      <c r="P380" s="66">
        <f>'Project Database'!T384</f>
        <v>0</v>
      </c>
      <c r="Q380" s="66">
        <f>'Project Database'!U384</f>
        <v>0</v>
      </c>
      <c r="R380" s="66">
        <f>'Project Database'!V384</f>
        <v>0</v>
      </c>
      <c r="S380" s="66">
        <f>'Project Database'!W384</f>
        <v>0</v>
      </c>
      <c r="T380" s="66">
        <f>'Project Database'!X384</f>
        <v>0</v>
      </c>
      <c r="U380" s="67">
        <f>'Project Database'!Y384</f>
        <v>0</v>
      </c>
      <c r="V380" s="66">
        <f>IF('Smart Search'!B13=1,IFERROR(1/'Smart Search'!H13,0),0)</f>
        <v>0</v>
      </c>
      <c r="W380" s="66">
        <f>IF('Smart Search'!B13=1,IFERROR(1/'Smart Search'!H13,0),0)</f>
        <v>0</v>
      </c>
      <c r="X380" s="66">
        <f>IF('Smart Search'!C13=1,IFERROR(1/'Smart Search'!H13,0),0)</f>
        <v>0.5</v>
      </c>
      <c r="Y380" s="66">
        <f>IF('Smart Search'!C13=1,IFERROR(1/'Smart Search'!H13,0),0)</f>
        <v>0.5</v>
      </c>
      <c r="Z380" s="66">
        <f>IF('Smart Search'!D13=1,IFERROR(1/'Smart Search'!H13,0),0)</f>
        <v>0</v>
      </c>
      <c r="AA380" s="66">
        <f>IF('Smart Search'!D13=1,IFERROR(1/'Smart Search'!H13,0),0)</f>
        <v>0</v>
      </c>
      <c r="AB380" s="66">
        <f>IF('Smart Search'!E13=1,IFERROR(1/'Smart Search'!H13,0),0)</f>
        <v>0</v>
      </c>
      <c r="AC380" s="66">
        <f>IF('Smart Search'!E13=1,IFERROR(1/'Smart Search'!H13,0),0)</f>
        <v>0</v>
      </c>
      <c r="AD380" s="66">
        <f>IF('Smart Search'!F13=1,IFERROR(1/'Smart Search'!H13,0),0)</f>
        <v>0</v>
      </c>
      <c r="AE380" s="66">
        <f>IF('Smart Search'!F13=1,IFERROR(1/'Smart Search'!H13,0),0)</f>
        <v>0</v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>0</v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>0</v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>0</v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>0</v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>0</v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>0</v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>0</v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>0</v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>0</v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>0</v>
      </c>
      <c r="AP380" s="66">
        <f t="shared" si="70"/>
        <v>0</v>
      </c>
      <c r="AQ380" s="66">
        <f t="shared" si="71"/>
        <v>0</v>
      </c>
      <c r="AR380" s="66">
        <f t="shared" si="72"/>
        <v>0</v>
      </c>
      <c r="AS380" s="66">
        <f t="shared" si="73"/>
        <v>0</v>
      </c>
      <c r="AT380" s="66">
        <f t="shared" si="74"/>
        <v>0</v>
      </c>
      <c r="AU380" s="66">
        <f t="shared" si="75"/>
        <v>0</v>
      </c>
      <c r="AV380" s="66">
        <f t="shared" si="76"/>
        <v>0</v>
      </c>
      <c r="AW380" s="66">
        <f t="shared" si="77"/>
        <v>0</v>
      </c>
      <c r="AX380" s="66">
        <f t="shared" si="78"/>
        <v>0</v>
      </c>
      <c r="AY380" s="66">
        <f t="shared" si="79"/>
        <v>0</v>
      </c>
      <c r="AZ380" s="66">
        <f>'Project Database'!Z384</f>
        <v>0</v>
      </c>
      <c r="BA380" s="66">
        <f>IF(OR(A380="",'Smart Search'!H13=0),"",MAX(0,BE380*BF380*MAX(0,1-BG380)))</f>
        <v>0</v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>0</v>
      </c>
      <c r="BC380" s="66">
        <f>IF('Smart Search'!G13=1,IFERROR(1/'Smart Search'!H13,0),0)</f>
        <v>0</v>
      </c>
      <c r="BD380" s="66">
        <f t="shared" si="80"/>
        <v>0</v>
      </c>
      <c r="BE380" s="66">
        <f t="shared" si="81"/>
        <v>0</v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>0</v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>0</v>
      </c>
      <c r="BH380" s="5" t="str">
        <f>IF(AND('Project Database'!A384&lt;&gt;"",OR('Smart Search'!$L$5="",'Smart Search'!$L$5="All",TRIM('Project Database'!D384)=TRIM('Smart Search'!$L$5)),OR(TRIM('Smart Search'!$L$6)="",TRIM('Smart Search'!$L$6)="All",ISNUMBER(SEARCH(SUBSTITUTE(SUBSTITUTE(SUBSTITUTE(TRIM('Smart Search'!$L$6),"~","~~"),"*","~*"),"?","~?"),'Project Database'!C384))),OR('Smart Search'!$L$7="",AND('Project Database'!E384&lt;&gt;"",'Project Database'!E384='Smart Search'!$L$7)),OR('Smart Search'!$L$8="",'Smart Search'!$L$8="All",TRIM('Project Database'!F384)=TRIM('Smart Search'!$L$8))),IF(BA380="","",BA380+ROW()*0.0000000001),"")</f>
        <v/>
      </c>
      <c r="BI380" s="5" t="str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 t="str">
        <f>IF('Project Database'!A384="","",N('Project Database'!AC384))</f>
        <v/>
      </c>
      <c r="BK380" s="5" t="str">
        <f>IF('Project Database'!A384="","",N('Project Database'!AD384))</f>
        <v/>
      </c>
      <c r="BL380" s="5" t="str">
        <f>IF('Project Database'!A384="","",N('Project Database'!AE384))</f>
        <v/>
      </c>
      <c r="BM380" s="5" t="str">
        <f>IF('Project Database'!A384="","",N('Project Database'!AF384))</f>
        <v/>
      </c>
      <c r="BN380" s="5" t="str">
        <f>IF('Project Database'!A384="","",N('Project Database'!AG384))</f>
        <v/>
      </c>
      <c r="BO380" s="5" t="str">
        <f>IF('Project Database'!A384="","",N('Project Database'!AH384))</f>
        <v/>
      </c>
      <c r="BP380" s="5" t="str">
        <f>IF('Project Database'!A384="","",N('Project Database'!AI384))</f>
        <v/>
      </c>
      <c r="BQ380" s="5" t="str">
        <f>IF('Project Database'!A384="","",N('Project Database'!AJ384))</f>
        <v/>
      </c>
      <c r="BR380" s="5" t="str">
        <f>IF('Project Database'!A384="","",N('Project Database'!AK384))</f>
        <v/>
      </c>
      <c r="BS380" s="5" t="str">
        <f>IF('Project Database'!A384="","",N('Project Database'!AL384))</f>
        <v/>
      </c>
      <c r="BT380" s="5" t="str">
        <f>IF('Project Database'!A384="","",N('Project Database'!AM384))</f>
        <v/>
      </c>
      <c r="BU380" s="5" t="str">
        <f>IF('Project Database'!A384="","",N('Project Database'!AN384))</f>
        <v/>
      </c>
      <c r="BV380" s="5" t="str">
        <f>IF('Project Database'!A384="","",N('Project Database'!AO384))</f>
        <v/>
      </c>
      <c r="BW380" s="5" t="str">
        <f>IF('Project Database'!A384="","",N('Project Database'!AP384))</f>
        <v/>
      </c>
      <c r="BX380" s="5">
        <f t="shared" si="82"/>
        <v>0</v>
      </c>
      <c r="BY380" s="5">
        <f t="shared" si="83"/>
        <v>0</v>
      </c>
    </row>
    <row r="381" spans="1:77" ht="15" customHeight="1" x14ac:dyDescent="0.3">
      <c r="A381" s="66">
        <f>'Project Database'!A385</f>
        <v>0</v>
      </c>
      <c r="B381" s="66">
        <f>'Project Database'!B385</f>
        <v>0</v>
      </c>
      <c r="C381" s="66">
        <f>'Project Database'!G385</f>
        <v>0</v>
      </c>
      <c r="D381" s="66">
        <f>'Project Database'!H385</f>
        <v>0</v>
      </c>
      <c r="E381" s="66">
        <f>'Project Database'!I385</f>
        <v>0</v>
      </c>
      <c r="F381" s="66">
        <f>'Project Database'!J385</f>
        <v>0</v>
      </c>
      <c r="G381" s="66">
        <f>'Project Database'!K385</f>
        <v>0</v>
      </c>
      <c r="H381" s="66">
        <f>'Project Database'!L385</f>
        <v>0</v>
      </c>
      <c r="I381" s="66">
        <f>'Project Database'!M385</f>
        <v>0</v>
      </c>
      <c r="J381" s="66">
        <f>'Project Database'!N385</f>
        <v>0</v>
      </c>
      <c r="K381" s="66">
        <f>'Project Database'!O385</f>
        <v>0</v>
      </c>
      <c r="L381" s="66">
        <f>'Project Database'!P385</f>
        <v>0</v>
      </c>
      <c r="M381" s="66">
        <f>'Project Database'!Q385</f>
        <v>0</v>
      </c>
      <c r="N381" s="66">
        <f>'Project Database'!R385</f>
        <v>0</v>
      </c>
      <c r="O381" s="66">
        <f>'Project Database'!S385</f>
        <v>0</v>
      </c>
      <c r="P381" s="66">
        <f>'Project Database'!T385</f>
        <v>0</v>
      </c>
      <c r="Q381" s="66">
        <f>'Project Database'!U385</f>
        <v>0</v>
      </c>
      <c r="R381" s="66">
        <f>'Project Database'!V385</f>
        <v>0</v>
      </c>
      <c r="S381" s="66">
        <f>'Project Database'!W385</f>
        <v>0</v>
      </c>
      <c r="T381" s="66">
        <f>'Project Database'!X385</f>
        <v>0</v>
      </c>
      <c r="U381" s="67">
        <f>'Project Database'!Y385</f>
        <v>0</v>
      </c>
      <c r="V381" s="66">
        <f>IF('Smart Search'!B13=1,IFERROR(1/'Smart Search'!H13,0),0)</f>
        <v>0</v>
      </c>
      <c r="W381" s="66">
        <f>IF('Smart Search'!B13=1,IFERROR(1/'Smart Search'!H13,0),0)</f>
        <v>0</v>
      </c>
      <c r="X381" s="66">
        <f>IF('Smart Search'!C13=1,IFERROR(1/'Smart Search'!H13,0),0)</f>
        <v>0.5</v>
      </c>
      <c r="Y381" s="66">
        <f>IF('Smart Search'!C13=1,IFERROR(1/'Smart Search'!H13,0),0)</f>
        <v>0.5</v>
      </c>
      <c r="Z381" s="66">
        <f>IF('Smart Search'!D13=1,IFERROR(1/'Smart Search'!H13,0),0)</f>
        <v>0</v>
      </c>
      <c r="AA381" s="66">
        <f>IF('Smart Search'!D13=1,IFERROR(1/'Smart Search'!H13,0),0)</f>
        <v>0</v>
      </c>
      <c r="AB381" s="66">
        <f>IF('Smart Search'!E13=1,IFERROR(1/'Smart Search'!H13,0),0)</f>
        <v>0</v>
      </c>
      <c r="AC381" s="66">
        <f>IF('Smart Search'!E13=1,IFERROR(1/'Smart Search'!H13,0),0)</f>
        <v>0</v>
      </c>
      <c r="AD381" s="66">
        <f>IF('Smart Search'!F13=1,IFERROR(1/'Smart Search'!H13,0),0)</f>
        <v>0</v>
      </c>
      <c r="AE381" s="66">
        <f>IF('Smart Search'!F13=1,IFERROR(1/'Smart Search'!H13,0),0)</f>
        <v>0</v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>0</v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>0</v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>0</v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>0</v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>0</v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>0</v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>0</v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>0</v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>0</v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>0</v>
      </c>
      <c r="AP381" s="66">
        <f t="shared" si="70"/>
        <v>0</v>
      </c>
      <c r="AQ381" s="66">
        <f t="shared" si="71"/>
        <v>0</v>
      </c>
      <c r="AR381" s="66">
        <f t="shared" si="72"/>
        <v>0</v>
      </c>
      <c r="AS381" s="66">
        <f t="shared" si="73"/>
        <v>0</v>
      </c>
      <c r="AT381" s="66">
        <f t="shared" si="74"/>
        <v>0</v>
      </c>
      <c r="AU381" s="66">
        <f t="shared" si="75"/>
        <v>0</v>
      </c>
      <c r="AV381" s="66">
        <f t="shared" si="76"/>
        <v>0</v>
      </c>
      <c r="AW381" s="66">
        <f t="shared" si="77"/>
        <v>0</v>
      </c>
      <c r="AX381" s="66">
        <f t="shared" si="78"/>
        <v>0</v>
      </c>
      <c r="AY381" s="66">
        <f t="shared" si="79"/>
        <v>0</v>
      </c>
      <c r="AZ381" s="66">
        <f>'Project Database'!Z385</f>
        <v>0</v>
      </c>
      <c r="BA381" s="66">
        <f>IF(OR(A381="",'Smart Search'!H13=0),"",MAX(0,BE381*BF381*MAX(0,1-BG381)))</f>
        <v>0</v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>0</v>
      </c>
      <c r="BC381" s="66">
        <f>IF('Smart Search'!G13=1,IFERROR(1/'Smart Search'!H13,0),0)</f>
        <v>0</v>
      </c>
      <c r="BD381" s="66">
        <f t="shared" si="80"/>
        <v>0</v>
      </c>
      <c r="BE381" s="66">
        <f t="shared" si="81"/>
        <v>0</v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>0</v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>0</v>
      </c>
      <c r="BH381" s="5" t="str">
        <f>IF(AND('Project Database'!A385&lt;&gt;"",OR('Smart Search'!$L$5="",'Smart Search'!$L$5="All",TRIM('Project Database'!D385)=TRIM('Smart Search'!$L$5)),OR(TRIM('Smart Search'!$L$6)="",TRIM('Smart Search'!$L$6)="All",ISNUMBER(SEARCH(SUBSTITUTE(SUBSTITUTE(SUBSTITUTE(TRIM('Smart Search'!$L$6),"~","~~"),"*","~*"),"?","~?"),'Project Database'!C385))),OR('Smart Search'!$L$7="",AND('Project Database'!E385&lt;&gt;"",'Project Database'!E385='Smart Search'!$L$7)),OR('Smart Search'!$L$8="",'Smart Search'!$L$8="All",TRIM('Project Database'!F385)=TRIM('Smart Search'!$L$8))),IF(BA381="","",BA381+ROW()*0.0000000001),"")</f>
        <v/>
      </c>
      <c r="BI381" s="5" t="str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 t="str">
        <f>IF('Project Database'!A385="","",N('Project Database'!AC385))</f>
        <v/>
      </c>
      <c r="BK381" s="5" t="str">
        <f>IF('Project Database'!A385="","",N('Project Database'!AD385))</f>
        <v/>
      </c>
      <c r="BL381" s="5" t="str">
        <f>IF('Project Database'!A385="","",N('Project Database'!AE385))</f>
        <v/>
      </c>
      <c r="BM381" s="5" t="str">
        <f>IF('Project Database'!A385="","",N('Project Database'!AF385))</f>
        <v/>
      </c>
      <c r="BN381" s="5" t="str">
        <f>IF('Project Database'!A385="","",N('Project Database'!AG385))</f>
        <v/>
      </c>
      <c r="BO381" s="5" t="str">
        <f>IF('Project Database'!A385="","",N('Project Database'!AH385))</f>
        <v/>
      </c>
      <c r="BP381" s="5" t="str">
        <f>IF('Project Database'!A385="","",N('Project Database'!AI385))</f>
        <v/>
      </c>
      <c r="BQ381" s="5" t="str">
        <f>IF('Project Database'!A385="","",N('Project Database'!AJ385))</f>
        <v/>
      </c>
      <c r="BR381" s="5" t="str">
        <f>IF('Project Database'!A385="","",N('Project Database'!AK385))</f>
        <v/>
      </c>
      <c r="BS381" s="5" t="str">
        <f>IF('Project Database'!A385="","",N('Project Database'!AL385))</f>
        <v/>
      </c>
      <c r="BT381" s="5" t="str">
        <f>IF('Project Database'!A385="","",N('Project Database'!AM385))</f>
        <v/>
      </c>
      <c r="BU381" s="5" t="str">
        <f>IF('Project Database'!A385="","",N('Project Database'!AN385))</f>
        <v/>
      </c>
      <c r="BV381" s="5" t="str">
        <f>IF('Project Database'!A385="","",N('Project Database'!AO385))</f>
        <v/>
      </c>
      <c r="BW381" s="5" t="str">
        <f>IF('Project Database'!A385="","",N('Project Database'!AP385))</f>
        <v/>
      </c>
      <c r="BX381" s="5">
        <f t="shared" si="82"/>
        <v>0</v>
      </c>
      <c r="BY381" s="5">
        <f t="shared" si="83"/>
        <v>0</v>
      </c>
    </row>
    <row r="382" spans="1:77" ht="15" customHeight="1" x14ac:dyDescent="0.3">
      <c r="A382" s="66">
        <f>'Project Database'!A386</f>
        <v>0</v>
      </c>
      <c r="B382" s="66">
        <f>'Project Database'!B386</f>
        <v>0</v>
      </c>
      <c r="C382" s="66">
        <f>'Project Database'!G386</f>
        <v>0</v>
      </c>
      <c r="D382" s="66">
        <f>'Project Database'!H386</f>
        <v>0</v>
      </c>
      <c r="E382" s="66">
        <f>'Project Database'!I386</f>
        <v>0</v>
      </c>
      <c r="F382" s="66">
        <f>'Project Database'!J386</f>
        <v>0</v>
      </c>
      <c r="G382" s="66">
        <f>'Project Database'!K386</f>
        <v>0</v>
      </c>
      <c r="H382" s="66">
        <f>'Project Database'!L386</f>
        <v>0</v>
      </c>
      <c r="I382" s="66">
        <f>'Project Database'!M386</f>
        <v>0</v>
      </c>
      <c r="J382" s="66">
        <f>'Project Database'!N386</f>
        <v>0</v>
      </c>
      <c r="K382" s="66">
        <f>'Project Database'!O386</f>
        <v>0</v>
      </c>
      <c r="L382" s="66">
        <f>'Project Database'!P386</f>
        <v>0</v>
      </c>
      <c r="M382" s="66">
        <f>'Project Database'!Q386</f>
        <v>0</v>
      </c>
      <c r="N382" s="66">
        <f>'Project Database'!R386</f>
        <v>0</v>
      </c>
      <c r="O382" s="66">
        <f>'Project Database'!S386</f>
        <v>0</v>
      </c>
      <c r="P382" s="66">
        <f>'Project Database'!T386</f>
        <v>0</v>
      </c>
      <c r="Q382" s="66">
        <f>'Project Database'!U386</f>
        <v>0</v>
      </c>
      <c r="R382" s="66">
        <f>'Project Database'!V386</f>
        <v>0</v>
      </c>
      <c r="S382" s="66">
        <f>'Project Database'!W386</f>
        <v>0</v>
      </c>
      <c r="T382" s="66">
        <f>'Project Database'!X386</f>
        <v>0</v>
      </c>
      <c r="U382" s="67">
        <f>'Project Database'!Y386</f>
        <v>0</v>
      </c>
      <c r="V382" s="66">
        <f>IF('Smart Search'!B13=1,IFERROR(1/'Smart Search'!H13,0),0)</f>
        <v>0</v>
      </c>
      <c r="W382" s="66">
        <f>IF('Smart Search'!B13=1,IFERROR(1/'Smart Search'!H13,0),0)</f>
        <v>0</v>
      </c>
      <c r="X382" s="66">
        <f>IF('Smart Search'!C13=1,IFERROR(1/'Smart Search'!H13,0),0)</f>
        <v>0.5</v>
      </c>
      <c r="Y382" s="66">
        <f>IF('Smart Search'!C13=1,IFERROR(1/'Smart Search'!H13,0),0)</f>
        <v>0.5</v>
      </c>
      <c r="Z382" s="66">
        <f>IF('Smart Search'!D13=1,IFERROR(1/'Smart Search'!H13,0),0)</f>
        <v>0</v>
      </c>
      <c r="AA382" s="66">
        <f>IF('Smart Search'!D13=1,IFERROR(1/'Smart Search'!H13,0),0)</f>
        <v>0</v>
      </c>
      <c r="AB382" s="66">
        <f>IF('Smart Search'!E13=1,IFERROR(1/'Smart Search'!H13,0),0)</f>
        <v>0</v>
      </c>
      <c r="AC382" s="66">
        <f>IF('Smart Search'!E13=1,IFERROR(1/'Smart Search'!H13,0),0)</f>
        <v>0</v>
      </c>
      <c r="AD382" s="66">
        <f>IF('Smart Search'!F13=1,IFERROR(1/'Smart Search'!H13,0),0)</f>
        <v>0</v>
      </c>
      <c r="AE382" s="66">
        <f>IF('Smart Search'!F13=1,IFERROR(1/'Smart Search'!H13,0),0)</f>
        <v>0</v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>0</v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>0</v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>0</v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>0</v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>0</v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>0</v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>0</v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>0</v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>0</v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>0</v>
      </c>
      <c r="AP382" s="66">
        <f t="shared" si="70"/>
        <v>0</v>
      </c>
      <c r="AQ382" s="66">
        <f t="shared" si="71"/>
        <v>0</v>
      </c>
      <c r="AR382" s="66">
        <f t="shared" si="72"/>
        <v>0</v>
      </c>
      <c r="AS382" s="66">
        <f t="shared" si="73"/>
        <v>0</v>
      </c>
      <c r="AT382" s="66">
        <f t="shared" si="74"/>
        <v>0</v>
      </c>
      <c r="AU382" s="66">
        <f t="shared" si="75"/>
        <v>0</v>
      </c>
      <c r="AV382" s="66">
        <f t="shared" si="76"/>
        <v>0</v>
      </c>
      <c r="AW382" s="66">
        <f t="shared" si="77"/>
        <v>0</v>
      </c>
      <c r="AX382" s="66">
        <f t="shared" si="78"/>
        <v>0</v>
      </c>
      <c r="AY382" s="66">
        <f t="shared" si="79"/>
        <v>0</v>
      </c>
      <c r="AZ382" s="66">
        <f>'Project Database'!Z386</f>
        <v>0</v>
      </c>
      <c r="BA382" s="66">
        <f>IF(OR(A382="",'Smart Search'!H13=0),"",MAX(0,BE382*BF382*MAX(0,1-BG382)))</f>
        <v>0</v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>0</v>
      </c>
      <c r="BC382" s="66">
        <f>IF('Smart Search'!G13=1,IFERROR(1/'Smart Search'!H13,0),0)</f>
        <v>0</v>
      </c>
      <c r="BD382" s="66">
        <f t="shared" si="80"/>
        <v>0</v>
      </c>
      <c r="BE382" s="66">
        <f t="shared" si="81"/>
        <v>0</v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>0</v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>0</v>
      </c>
      <c r="BH382" s="5" t="str">
        <f>IF(AND('Project Database'!A386&lt;&gt;"",OR('Smart Search'!$L$5="",'Smart Search'!$L$5="All",TRIM('Project Database'!D386)=TRIM('Smart Search'!$L$5)),OR(TRIM('Smart Search'!$L$6)="",TRIM('Smart Search'!$L$6)="All",ISNUMBER(SEARCH(SUBSTITUTE(SUBSTITUTE(SUBSTITUTE(TRIM('Smart Search'!$L$6),"~","~~"),"*","~*"),"?","~?"),'Project Database'!C386))),OR('Smart Search'!$L$7="",AND('Project Database'!E386&lt;&gt;"",'Project Database'!E386='Smart Search'!$L$7)),OR('Smart Search'!$L$8="",'Smart Search'!$L$8="All",TRIM('Project Database'!F386)=TRIM('Smart Search'!$L$8))),IF(BA382="","",BA382+ROW()*0.0000000001),"")</f>
        <v/>
      </c>
      <c r="BI382" s="5" t="str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 t="str">
        <f>IF('Project Database'!A386="","",N('Project Database'!AC386))</f>
        <v/>
      </c>
      <c r="BK382" s="5" t="str">
        <f>IF('Project Database'!A386="","",N('Project Database'!AD386))</f>
        <v/>
      </c>
      <c r="BL382" s="5" t="str">
        <f>IF('Project Database'!A386="","",N('Project Database'!AE386))</f>
        <v/>
      </c>
      <c r="BM382" s="5" t="str">
        <f>IF('Project Database'!A386="","",N('Project Database'!AF386))</f>
        <v/>
      </c>
      <c r="BN382" s="5" t="str">
        <f>IF('Project Database'!A386="","",N('Project Database'!AG386))</f>
        <v/>
      </c>
      <c r="BO382" s="5" t="str">
        <f>IF('Project Database'!A386="","",N('Project Database'!AH386))</f>
        <v/>
      </c>
      <c r="BP382" s="5" t="str">
        <f>IF('Project Database'!A386="","",N('Project Database'!AI386))</f>
        <v/>
      </c>
      <c r="BQ382" s="5" t="str">
        <f>IF('Project Database'!A386="","",N('Project Database'!AJ386))</f>
        <v/>
      </c>
      <c r="BR382" s="5" t="str">
        <f>IF('Project Database'!A386="","",N('Project Database'!AK386))</f>
        <v/>
      </c>
      <c r="BS382" s="5" t="str">
        <f>IF('Project Database'!A386="","",N('Project Database'!AL386))</f>
        <v/>
      </c>
      <c r="BT382" s="5" t="str">
        <f>IF('Project Database'!A386="","",N('Project Database'!AM386))</f>
        <v/>
      </c>
      <c r="BU382" s="5" t="str">
        <f>IF('Project Database'!A386="","",N('Project Database'!AN386))</f>
        <v/>
      </c>
      <c r="BV382" s="5" t="str">
        <f>IF('Project Database'!A386="","",N('Project Database'!AO386))</f>
        <v/>
      </c>
      <c r="BW382" s="5" t="str">
        <f>IF('Project Database'!A386="","",N('Project Database'!AP386))</f>
        <v/>
      </c>
      <c r="BX382" s="5">
        <f t="shared" si="82"/>
        <v>0</v>
      </c>
      <c r="BY382" s="5">
        <f t="shared" si="83"/>
        <v>0</v>
      </c>
    </row>
    <row r="383" spans="1:77" ht="15" customHeight="1" x14ac:dyDescent="0.3">
      <c r="A383" s="66">
        <f>'Project Database'!A387</f>
        <v>0</v>
      </c>
      <c r="B383" s="66">
        <f>'Project Database'!B387</f>
        <v>0</v>
      </c>
      <c r="C383" s="66">
        <f>'Project Database'!G387</f>
        <v>0</v>
      </c>
      <c r="D383" s="66">
        <f>'Project Database'!H387</f>
        <v>0</v>
      </c>
      <c r="E383" s="66">
        <f>'Project Database'!I387</f>
        <v>0</v>
      </c>
      <c r="F383" s="66">
        <f>'Project Database'!J387</f>
        <v>0</v>
      </c>
      <c r="G383" s="66">
        <f>'Project Database'!K387</f>
        <v>0</v>
      </c>
      <c r="H383" s="66">
        <f>'Project Database'!L387</f>
        <v>0</v>
      </c>
      <c r="I383" s="66">
        <f>'Project Database'!M387</f>
        <v>0</v>
      </c>
      <c r="J383" s="66">
        <f>'Project Database'!N387</f>
        <v>0</v>
      </c>
      <c r="K383" s="66">
        <f>'Project Database'!O387</f>
        <v>0</v>
      </c>
      <c r="L383" s="66">
        <f>'Project Database'!P387</f>
        <v>0</v>
      </c>
      <c r="M383" s="66">
        <f>'Project Database'!Q387</f>
        <v>0</v>
      </c>
      <c r="N383" s="66">
        <f>'Project Database'!R387</f>
        <v>0</v>
      </c>
      <c r="O383" s="66">
        <f>'Project Database'!S387</f>
        <v>0</v>
      </c>
      <c r="P383" s="66">
        <f>'Project Database'!T387</f>
        <v>0</v>
      </c>
      <c r="Q383" s="66">
        <f>'Project Database'!U387</f>
        <v>0</v>
      </c>
      <c r="R383" s="66">
        <f>'Project Database'!V387</f>
        <v>0</v>
      </c>
      <c r="S383" s="66">
        <f>'Project Database'!W387</f>
        <v>0</v>
      </c>
      <c r="T383" s="66">
        <f>'Project Database'!X387</f>
        <v>0</v>
      </c>
      <c r="U383" s="67">
        <f>'Project Database'!Y387</f>
        <v>0</v>
      </c>
      <c r="V383" s="66">
        <f>IF('Smart Search'!B13=1,IFERROR(1/'Smart Search'!H13,0),0)</f>
        <v>0</v>
      </c>
      <c r="W383" s="66">
        <f>IF('Smart Search'!B13=1,IFERROR(1/'Smart Search'!H13,0),0)</f>
        <v>0</v>
      </c>
      <c r="X383" s="66">
        <f>IF('Smart Search'!C13=1,IFERROR(1/'Smart Search'!H13,0),0)</f>
        <v>0.5</v>
      </c>
      <c r="Y383" s="66">
        <f>IF('Smart Search'!C13=1,IFERROR(1/'Smart Search'!H13,0),0)</f>
        <v>0.5</v>
      </c>
      <c r="Z383" s="66">
        <f>IF('Smart Search'!D13=1,IFERROR(1/'Smart Search'!H13,0),0)</f>
        <v>0</v>
      </c>
      <c r="AA383" s="66">
        <f>IF('Smart Search'!D13=1,IFERROR(1/'Smart Search'!H13,0),0)</f>
        <v>0</v>
      </c>
      <c r="AB383" s="66">
        <f>IF('Smart Search'!E13=1,IFERROR(1/'Smart Search'!H13,0),0)</f>
        <v>0</v>
      </c>
      <c r="AC383" s="66">
        <f>IF('Smart Search'!E13=1,IFERROR(1/'Smart Search'!H13,0),0)</f>
        <v>0</v>
      </c>
      <c r="AD383" s="66">
        <f>IF('Smart Search'!F13=1,IFERROR(1/'Smart Search'!H13,0),0)</f>
        <v>0</v>
      </c>
      <c r="AE383" s="66">
        <f>IF('Smart Search'!F13=1,IFERROR(1/'Smart Search'!H13,0),0)</f>
        <v>0</v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>0</v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>0</v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>0</v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>0</v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>0</v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>0</v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>0</v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>0</v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>0</v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>0</v>
      </c>
      <c r="AP383" s="66">
        <f t="shared" si="70"/>
        <v>0</v>
      </c>
      <c r="AQ383" s="66">
        <f t="shared" si="71"/>
        <v>0</v>
      </c>
      <c r="AR383" s="66">
        <f t="shared" si="72"/>
        <v>0</v>
      </c>
      <c r="AS383" s="66">
        <f t="shared" si="73"/>
        <v>0</v>
      </c>
      <c r="AT383" s="66">
        <f t="shared" si="74"/>
        <v>0</v>
      </c>
      <c r="AU383" s="66">
        <f t="shared" si="75"/>
        <v>0</v>
      </c>
      <c r="AV383" s="66">
        <f t="shared" si="76"/>
        <v>0</v>
      </c>
      <c r="AW383" s="66">
        <f t="shared" si="77"/>
        <v>0</v>
      </c>
      <c r="AX383" s="66">
        <f t="shared" si="78"/>
        <v>0</v>
      </c>
      <c r="AY383" s="66">
        <f t="shared" si="79"/>
        <v>0</v>
      </c>
      <c r="AZ383" s="66">
        <f>'Project Database'!Z387</f>
        <v>0</v>
      </c>
      <c r="BA383" s="66">
        <f>IF(OR(A383="",'Smart Search'!H13=0),"",MAX(0,BE383*BF383*MAX(0,1-BG383)))</f>
        <v>0</v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>0</v>
      </c>
      <c r="BC383" s="66">
        <f>IF('Smart Search'!G13=1,IFERROR(1/'Smart Search'!H13,0),0)</f>
        <v>0</v>
      </c>
      <c r="BD383" s="66">
        <f t="shared" si="80"/>
        <v>0</v>
      </c>
      <c r="BE383" s="66">
        <f t="shared" si="81"/>
        <v>0</v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>0</v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>0</v>
      </c>
      <c r="BH383" s="5" t="str">
        <f>IF(AND('Project Database'!A387&lt;&gt;"",OR('Smart Search'!$L$5="",'Smart Search'!$L$5="All",TRIM('Project Database'!D387)=TRIM('Smart Search'!$L$5)),OR(TRIM('Smart Search'!$L$6)="",TRIM('Smart Search'!$L$6)="All",ISNUMBER(SEARCH(SUBSTITUTE(SUBSTITUTE(SUBSTITUTE(TRIM('Smart Search'!$L$6),"~","~~"),"*","~*"),"?","~?"),'Project Database'!C387))),OR('Smart Search'!$L$7="",AND('Project Database'!E387&lt;&gt;"",'Project Database'!E387='Smart Search'!$L$7)),OR('Smart Search'!$L$8="",'Smart Search'!$L$8="All",TRIM('Project Database'!F387)=TRIM('Smart Search'!$L$8))),IF(BA383="","",BA383+ROW()*0.0000000001),"")</f>
        <v/>
      </c>
      <c r="BI383" s="5" t="str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 t="str">
        <f>IF('Project Database'!A387="","",N('Project Database'!AC387))</f>
        <v/>
      </c>
      <c r="BK383" s="5" t="str">
        <f>IF('Project Database'!A387="","",N('Project Database'!AD387))</f>
        <v/>
      </c>
      <c r="BL383" s="5" t="str">
        <f>IF('Project Database'!A387="","",N('Project Database'!AE387))</f>
        <v/>
      </c>
      <c r="BM383" s="5" t="str">
        <f>IF('Project Database'!A387="","",N('Project Database'!AF387))</f>
        <v/>
      </c>
      <c r="BN383" s="5" t="str">
        <f>IF('Project Database'!A387="","",N('Project Database'!AG387))</f>
        <v/>
      </c>
      <c r="BO383" s="5" t="str">
        <f>IF('Project Database'!A387="","",N('Project Database'!AH387))</f>
        <v/>
      </c>
      <c r="BP383" s="5" t="str">
        <f>IF('Project Database'!A387="","",N('Project Database'!AI387))</f>
        <v/>
      </c>
      <c r="BQ383" s="5" t="str">
        <f>IF('Project Database'!A387="","",N('Project Database'!AJ387))</f>
        <v/>
      </c>
      <c r="BR383" s="5" t="str">
        <f>IF('Project Database'!A387="","",N('Project Database'!AK387))</f>
        <v/>
      </c>
      <c r="BS383" s="5" t="str">
        <f>IF('Project Database'!A387="","",N('Project Database'!AL387))</f>
        <v/>
      </c>
      <c r="BT383" s="5" t="str">
        <f>IF('Project Database'!A387="","",N('Project Database'!AM387))</f>
        <v/>
      </c>
      <c r="BU383" s="5" t="str">
        <f>IF('Project Database'!A387="","",N('Project Database'!AN387))</f>
        <v/>
      </c>
      <c r="BV383" s="5" t="str">
        <f>IF('Project Database'!A387="","",N('Project Database'!AO387))</f>
        <v/>
      </c>
      <c r="BW383" s="5" t="str">
        <f>IF('Project Database'!A387="","",N('Project Database'!AP387))</f>
        <v/>
      </c>
      <c r="BX383" s="5">
        <f t="shared" si="82"/>
        <v>0</v>
      </c>
      <c r="BY383" s="5">
        <f t="shared" si="83"/>
        <v>0</v>
      </c>
    </row>
    <row r="384" spans="1:77" ht="15" customHeight="1" x14ac:dyDescent="0.3">
      <c r="A384" s="66">
        <f>'Project Database'!A388</f>
        <v>0</v>
      </c>
      <c r="B384" s="66">
        <f>'Project Database'!B388</f>
        <v>0</v>
      </c>
      <c r="C384" s="66">
        <f>'Project Database'!G388</f>
        <v>0</v>
      </c>
      <c r="D384" s="66">
        <f>'Project Database'!H388</f>
        <v>0</v>
      </c>
      <c r="E384" s="66">
        <f>'Project Database'!I388</f>
        <v>0</v>
      </c>
      <c r="F384" s="66">
        <f>'Project Database'!J388</f>
        <v>0</v>
      </c>
      <c r="G384" s="66">
        <f>'Project Database'!K388</f>
        <v>0</v>
      </c>
      <c r="H384" s="66">
        <f>'Project Database'!L388</f>
        <v>0</v>
      </c>
      <c r="I384" s="66">
        <f>'Project Database'!M388</f>
        <v>0</v>
      </c>
      <c r="J384" s="66">
        <f>'Project Database'!N388</f>
        <v>0</v>
      </c>
      <c r="K384" s="66">
        <f>'Project Database'!O388</f>
        <v>0</v>
      </c>
      <c r="L384" s="66">
        <f>'Project Database'!P388</f>
        <v>0</v>
      </c>
      <c r="M384" s="66">
        <f>'Project Database'!Q388</f>
        <v>0</v>
      </c>
      <c r="N384" s="66">
        <f>'Project Database'!R388</f>
        <v>0</v>
      </c>
      <c r="O384" s="66">
        <f>'Project Database'!S388</f>
        <v>0</v>
      </c>
      <c r="P384" s="66">
        <f>'Project Database'!T388</f>
        <v>0</v>
      </c>
      <c r="Q384" s="66">
        <f>'Project Database'!U388</f>
        <v>0</v>
      </c>
      <c r="R384" s="66">
        <f>'Project Database'!V388</f>
        <v>0</v>
      </c>
      <c r="S384" s="66">
        <f>'Project Database'!W388</f>
        <v>0</v>
      </c>
      <c r="T384" s="66">
        <f>'Project Database'!X388</f>
        <v>0</v>
      </c>
      <c r="U384" s="67">
        <f>'Project Database'!Y388</f>
        <v>0</v>
      </c>
      <c r="V384" s="66">
        <f>IF('Smart Search'!B13=1,IFERROR(1/'Smart Search'!H13,0),0)</f>
        <v>0</v>
      </c>
      <c r="W384" s="66">
        <f>IF('Smart Search'!B13=1,IFERROR(1/'Smart Search'!H13,0),0)</f>
        <v>0</v>
      </c>
      <c r="X384" s="66">
        <f>IF('Smart Search'!C13=1,IFERROR(1/'Smart Search'!H13,0),0)</f>
        <v>0.5</v>
      </c>
      <c r="Y384" s="66">
        <f>IF('Smart Search'!C13=1,IFERROR(1/'Smart Search'!H13,0),0)</f>
        <v>0.5</v>
      </c>
      <c r="Z384" s="66">
        <f>IF('Smart Search'!D13=1,IFERROR(1/'Smart Search'!H13,0),0)</f>
        <v>0</v>
      </c>
      <c r="AA384" s="66">
        <f>IF('Smart Search'!D13=1,IFERROR(1/'Smart Search'!H13,0),0)</f>
        <v>0</v>
      </c>
      <c r="AB384" s="66">
        <f>IF('Smart Search'!E13=1,IFERROR(1/'Smart Search'!H13,0),0)</f>
        <v>0</v>
      </c>
      <c r="AC384" s="66">
        <f>IF('Smart Search'!E13=1,IFERROR(1/'Smart Search'!H13,0),0)</f>
        <v>0</v>
      </c>
      <c r="AD384" s="66">
        <f>IF('Smart Search'!F13=1,IFERROR(1/'Smart Search'!H13,0),0)</f>
        <v>0</v>
      </c>
      <c r="AE384" s="66">
        <f>IF('Smart Search'!F13=1,IFERROR(1/'Smart Search'!H13,0),0)</f>
        <v>0</v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>0</v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>0</v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>0</v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>0</v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>0</v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>0</v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>0</v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>0</v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>0</v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>0</v>
      </c>
      <c r="AP384" s="66">
        <f t="shared" si="70"/>
        <v>0</v>
      </c>
      <c r="AQ384" s="66">
        <f t="shared" si="71"/>
        <v>0</v>
      </c>
      <c r="AR384" s="66">
        <f t="shared" si="72"/>
        <v>0</v>
      </c>
      <c r="AS384" s="66">
        <f t="shared" si="73"/>
        <v>0</v>
      </c>
      <c r="AT384" s="66">
        <f t="shared" si="74"/>
        <v>0</v>
      </c>
      <c r="AU384" s="66">
        <f t="shared" si="75"/>
        <v>0</v>
      </c>
      <c r="AV384" s="66">
        <f t="shared" si="76"/>
        <v>0</v>
      </c>
      <c r="AW384" s="66">
        <f t="shared" si="77"/>
        <v>0</v>
      </c>
      <c r="AX384" s="66">
        <f t="shared" si="78"/>
        <v>0</v>
      </c>
      <c r="AY384" s="66">
        <f t="shared" si="79"/>
        <v>0</v>
      </c>
      <c r="AZ384" s="66">
        <f>'Project Database'!Z388</f>
        <v>0</v>
      </c>
      <c r="BA384" s="66">
        <f>IF(OR(A384="",'Smart Search'!H13=0),"",MAX(0,BE384*BF384*MAX(0,1-BG384)))</f>
        <v>0</v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>0</v>
      </c>
      <c r="BC384" s="66">
        <f>IF('Smart Search'!G13=1,IFERROR(1/'Smart Search'!H13,0),0)</f>
        <v>0</v>
      </c>
      <c r="BD384" s="66">
        <f t="shared" si="80"/>
        <v>0</v>
      </c>
      <c r="BE384" s="66">
        <f t="shared" si="81"/>
        <v>0</v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>0</v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>0</v>
      </c>
      <c r="BH384" s="5" t="str">
        <f>IF(AND('Project Database'!A388&lt;&gt;"",OR('Smart Search'!$L$5="",'Smart Search'!$L$5="All",TRIM('Project Database'!D388)=TRIM('Smart Search'!$L$5)),OR(TRIM('Smart Search'!$L$6)="",TRIM('Smart Search'!$L$6)="All",ISNUMBER(SEARCH(SUBSTITUTE(SUBSTITUTE(SUBSTITUTE(TRIM('Smart Search'!$L$6),"~","~~"),"*","~*"),"?","~?"),'Project Database'!C388))),OR('Smart Search'!$L$7="",AND('Project Database'!E388&lt;&gt;"",'Project Database'!E388='Smart Search'!$L$7)),OR('Smart Search'!$L$8="",'Smart Search'!$L$8="All",TRIM('Project Database'!F388)=TRIM('Smart Search'!$L$8))),IF(BA384="","",BA384+ROW()*0.0000000001),"")</f>
        <v/>
      </c>
      <c r="BI384" s="5" t="str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 t="str">
        <f>IF('Project Database'!A388="","",N('Project Database'!AC388))</f>
        <v/>
      </c>
      <c r="BK384" s="5" t="str">
        <f>IF('Project Database'!A388="","",N('Project Database'!AD388))</f>
        <v/>
      </c>
      <c r="BL384" s="5" t="str">
        <f>IF('Project Database'!A388="","",N('Project Database'!AE388))</f>
        <v/>
      </c>
      <c r="BM384" s="5" t="str">
        <f>IF('Project Database'!A388="","",N('Project Database'!AF388))</f>
        <v/>
      </c>
      <c r="BN384" s="5" t="str">
        <f>IF('Project Database'!A388="","",N('Project Database'!AG388))</f>
        <v/>
      </c>
      <c r="BO384" s="5" t="str">
        <f>IF('Project Database'!A388="","",N('Project Database'!AH388))</f>
        <v/>
      </c>
      <c r="BP384" s="5" t="str">
        <f>IF('Project Database'!A388="","",N('Project Database'!AI388))</f>
        <v/>
      </c>
      <c r="BQ384" s="5" t="str">
        <f>IF('Project Database'!A388="","",N('Project Database'!AJ388))</f>
        <v/>
      </c>
      <c r="BR384" s="5" t="str">
        <f>IF('Project Database'!A388="","",N('Project Database'!AK388))</f>
        <v/>
      </c>
      <c r="BS384" s="5" t="str">
        <f>IF('Project Database'!A388="","",N('Project Database'!AL388))</f>
        <v/>
      </c>
      <c r="BT384" s="5" t="str">
        <f>IF('Project Database'!A388="","",N('Project Database'!AM388))</f>
        <v/>
      </c>
      <c r="BU384" s="5" t="str">
        <f>IF('Project Database'!A388="","",N('Project Database'!AN388))</f>
        <v/>
      </c>
      <c r="BV384" s="5" t="str">
        <f>IF('Project Database'!A388="","",N('Project Database'!AO388))</f>
        <v/>
      </c>
      <c r="BW384" s="5" t="str">
        <f>IF('Project Database'!A388="","",N('Project Database'!AP388))</f>
        <v/>
      </c>
      <c r="BX384" s="5">
        <f t="shared" si="82"/>
        <v>0</v>
      </c>
      <c r="BY384" s="5">
        <f t="shared" si="83"/>
        <v>0</v>
      </c>
    </row>
    <row r="385" spans="1:77" ht="15" customHeight="1" x14ac:dyDescent="0.3">
      <c r="A385" s="66">
        <f>'Project Database'!A389</f>
        <v>0</v>
      </c>
      <c r="B385" s="66">
        <f>'Project Database'!B389</f>
        <v>0</v>
      </c>
      <c r="C385" s="66">
        <f>'Project Database'!G389</f>
        <v>0</v>
      </c>
      <c r="D385" s="66">
        <f>'Project Database'!H389</f>
        <v>0</v>
      </c>
      <c r="E385" s="66">
        <f>'Project Database'!I389</f>
        <v>0</v>
      </c>
      <c r="F385" s="66">
        <f>'Project Database'!J389</f>
        <v>0</v>
      </c>
      <c r="G385" s="66">
        <f>'Project Database'!K389</f>
        <v>0</v>
      </c>
      <c r="H385" s="66">
        <f>'Project Database'!L389</f>
        <v>0</v>
      </c>
      <c r="I385" s="66">
        <f>'Project Database'!M389</f>
        <v>0</v>
      </c>
      <c r="J385" s="66">
        <f>'Project Database'!N389</f>
        <v>0</v>
      </c>
      <c r="K385" s="66">
        <f>'Project Database'!O389</f>
        <v>0</v>
      </c>
      <c r="L385" s="66">
        <f>'Project Database'!P389</f>
        <v>0</v>
      </c>
      <c r="M385" s="66">
        <f>'Project Database'!Q389</f>
        <v>0</v>
      </c>
      <c r="N385" s="66">
        <f>'Project Database'!R389</f>
        <v>0</v>
      </c>
      <c r="O385" s="66">
        <f>'Project Database'!S389</f>
        <v>0</v>
      </c>
      <c r="P385" s="66">
        <f>'Project Database'!T389</f>
        <v>0</v>
      </c>
      <c r="Q385" s="66">
        <f>'Project Database'!U389</f>
        <v>0</v>
      </c>
      <c r="R385" s="66">
        <f>'Project Database'!V389</f>
        <v>0</v>
      </c>
      <c r="S385" s="66">
        <f>'Project Database'!W389</f>
        <v>0</v>
      </c>
      <c r="T385" s="66">
        <f>'Project Database'!X389</f>
        <v>0</v>
      </c>
      <c r="U385" s="67">
        <f>'Project Database'!Y389</f>
        <v>0</v>
      </c>
      <c r="V385" s="66">
        <f>IF('Smart Search'!B13=1,IFERROR(1/'Smart Search'!H13,0),0)</f>
        <v>0</v>
      </c>
      <c r="W385" s="66">
        <f>IF('Smart Search'!B13=1,IFERROR(1/'Smart Search'!H13,0),0)</f>
        <v>0</v>
      </c>
      <c r="X385" s="66">
        <f>IF('Smart Search'!C13=1,IFERROR(1/'Smart Search'!H13,0),0)</f>
        <v>0.5</v>
      </c>
      <c r="Y385" s="66">
        <f>IF('Smart Search'!C13=1,IFERROR(1/'Smart Search'!H13,0),0)</f>
        <v>0.5</v>
      </c>
      <c r="Z385" s="66">
        <f>IF('Smart Search'!D13=1,IFERROR(1/'Smart Search'!H13,0),0)</f>
        <v>0</v>
      </c>
      <c r="AA385" s="66">
        <f>IF('Smart Search'!D13=1,IFERROR(1/'Smart Search'!H13,0),0)</f>
        <v>0</v>
      </c>
      <c r="AB385" s="66">
        <f>IF('Smart Search'!E13=1,IFERROR(1/'Smart Search'!H13,0),0)</f>
        <v>0</v>
      </c>
      <c r="AC385" s="66">
        <f>IF('Smart Search'!E13=1,IFERROR(1/'Smart Search'!H13,0),0)</f>
        <v>0</v>
      </c>
      <c r="AD385" s="66">
        <f>IF('Smart Search'!F13=1,IFERROR(1/'Smart Search'!H13,0),0)</f>
        <v>0</v>
      </c>
      <c r="AE385" s="66">
        <f>IF('Smart Search'!F13=1,IFERROR(1/'Smart Search'!H13,0),0)</f>
        <v>0</v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>0</v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>0</v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>0</v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>0</v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>0</v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>0</v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>0</v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>0</v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>0</v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>0</v>
      </c>
      <c r="AP385" s="66">
        <f t="shared" si="70"/>
        <v>0</v>
      </c>
      <c r="AQ385" s="66">
        <f t="shared" si="71"/>
        <v>0</v>
      </c>
      <c r="AR385" s="66">
        <f t="shared" si="72"/>
        <v>0</v>
      </c>
      <c r="AS385" s="66">
        <f t="shared" si="73"/>
        <v>0</v>
      </c>
      <c r="AT385" s="66">
        <f t="shared" si="74"/>
        <v>0</v>
      </c>
      <c r="AU385" s="66">
        <f t="shared" si="75"/>
        <v>0</v>
      </c>
      <c r="AV385" s="66">
        <f t="shared" si="76"/>
        <v>0</v>
      </c>
      <c r="AW385" s="66">
        <f t="shared" si="77"/>
        <v>0</v>
      </c>
      <c r="AX385" s="66">
        <f t="shared" si="78"/>
        <v>0</v>
      </c>
      <c r="AY385" s="66">
        <f t="shared" si="79"/>
        <v>0</v>
      </c>
      <c r="AZ385" s="66">
        <f>'Project Database'!Z389</f>
        <v>0</v>
      </c>
      <c r="BA385" s="66">
        <f>IF(OR(A385="",'Smart Search'!H13=0),"",MAX(0,BE385*BF385*MAX(0,1-BG385)))</f>
        <v>0</v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>0</v>
      </c>
      <c r="BC385" s="66">
        <f>IF('Smart Search'!G13=1,IFERROR(1/'Smart Search'!H13,0),0)</f>
        <v>0</v>
      </c>
      <c r="BD385" s="66">
        <f t="shared" si="80"/>
        <v>0</v>
      </c>
      <c r="BE385" s="66">
        <f t="shared" si="81"/>
        <v>0</v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>0</v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>0</v>
      </c>
      <c r="BH385" s="5" t="str">
        <f>IF(AND('Project Database'!A389&lt;&gt;"",OR('Smart Search'!$L$5="",'Smart Search'!$L$5="All",TRIM('Project Database'!D389)=TRIM('Smart Search'!$L$5)),OR(TRIM('Smart Search'!$L$6)="",TRIM('Smart Search'!$L$6)="All",ISNUMBER(SEARCH(SUBSTITUTE(SUBSTITUTE(SUBSTITUTE(TRIM('Smart Search'!$L$6),"~","~~"),"*","~*"),"?","~?"),'Project Database'!C389))),OR('Smart Search'!$L$7="",AND('Project Database'!E389&lt;&gt;"",'Project Database'!E389='Smart Search'!$L$7)),OR('Smart Search'!$L$8="",'Smart Search'!$L$8="All",TRIM('Project Database'!F389)=TRIM('Smart Search'!$L$8))),IF(BA385="","",BA385+ROW()*0.0000000001),"")</f>
        <v/>
      </c>
      <c r="BI385" s="5" t="str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 t="str">
        <f>IF('Project Database'!A389="","",N('Project Database'!AC389))</f>
        <v/>
      </c>
      <c r="BK385" s="5" t="str">
        <f>IF('Project Database'!A389="","",N('Project Database'!AD389))</f>
        <v/>
      </c>
      <c r="BL385" s="5" t="str">
        <f>IF('Project Database'!A389="","",N('Project Database'!AE389))</f>
        <v/>
      </c>
      <c r="BM385" s="5" t="str">
        <f>IF('Project Database'!A389="","",N('Project Database'!AF389))</f>
        <v/>
      </c>
      <c r="BN385" s="5" t="str">
        <f>IF('Project Database'!A389="","",N('Project Database'!AG389))</f>
        <v/>
      </c>
      <c r="BO385" s="5" t="str">
        <f>IF('Project Database'!A389="","",N('Project Database'!AH389))</f>
        <v/>
      </c>
      <c r="BP385" s="5" t="str">
        <f>IF('Project Database'!A389="","",N('Project Database'!AI389))</f>
        <v/>
      </c>
      <c r="BQ385" s="5" t="str">
        <f>IF('Project Database'!A389="","",N('Project Database'!AJ389))</f>
        <v/>
      </c>
      <c r="BR385" s="5" t="str">
        <f>IF('Project Database'!A389="","",N('Project Database'!AK389))</f>
        <v/>
      </c>
      <c r="BS385" s="5" t="str">
        <f>IF('Project Database'!A389="","",N('Project Database'!AL389))</f>
        <v/>
      </c>
      <c r="BT385" s="5" t="str">
        <f>IF('Project Database'!A389="","",N('Project Database'!AM389))</f>
        <v/>
      </c>
      <c r="BU385" s="5" t="str">
        <f>IF('Project Database'!A389="","",N('Project Database'!AN389))</f>
        <v/>
      </c>
      <c r="BV385" s="5" t="str">
        <f>IF('Project Database'!A389="","",N('Project Database'!AO389))</f>
        <v/>
      </c>
      <c r="BW385" s="5" t="str">
        <f>IF('Project Database'!A389="","",N('Project Database'!AP389))</f>
        <v/>
      </c>
      <c r="BX385" s="5">
        <f t="shared" si="82"/>
        <v>0</v>
      </c>
      <c r="BY385" s="5">
        <f t="shared" si="83"/>
        <v>0</v>
      </c>
    </row>
    <row r="386" spans="1:77" ht="15" customHeight="1" x14ac:dyDescent="0.3">
      <c r="A386" s="66">
        <f>'Project Database'!A390</f>
        <v>0</v>
      </c>
      <c r="B386" s="66">
        <f>'Project Database'!B390</f>
        <v>0</v>
      </c>
      <c r="C386" s="66">
        <f>'Project Database'!G390</f>
        <v>0</v>
      </c>
      <c r="D386" s="66">
        <f>'Project Database'!H390</f>
        <v>0</v>
      </c>
      <c r="E386" s="66">
        <f>'Project Database'!I390</f>
        <v>0</v>
      </c>
      <c r="F386" s="66">
        <f>'Project Database'!J390</f>
        <v>0</v>
      </c>
      <c r="G386" s="66">
        <f>'Project Database'!K390</f>
        <v>0</v>
      </c>
      <c r="H386" s="66">
        <f>'Project Database'!L390</f>
        <v>0</v>
      </c>
      <c r="I386" s="66">
        <f>'Project Database'!M390</f>
        <v>0</v>
      </c>
      <c r="J386" s="66">
        <f>'Project Database'!N390</f>
        <v>0</v>
      </c>
      <c r="K386" s="66">
        <f>'Project Database'!O390</f>
        <v>0</v>
      </c>
      <c r="L386" s="66">
        <f>'Project Database'!P390</f>
        <v>0</v>
      </c>
      <c r="M386" s="66">
        <f>'Project Database'!Q390</f>
        <v>0</v>
      </c>
      <c r="N386" s="66">
        <f>'Project Database'!R390</f>
        <v>0</v>
      </c>
      <c r="O386" s="66">
        <f>'Project Database'!S390</f>
        <v>0</v>
      </c>
      <c r="P386" s="66">
        <f>'Project Database'!T390</f>
        <v>0</v>
      </c>
      <c r="Q386" s="66">
        <f>'Project Database'!U390</f>
        <v>0</v>
      </c>
      <c r="R386" s="66">
        <f>'Project Database'!V390</f>
        <v>0</v>
      </c>
      <c r="S386" s="66">
        <f>'Project Database'!W390</f>
        <v>0</v>
      </c>
      <c r="T386" s="66">
        <f>'Project Database'!X390</f>
        <v>0</v>
      </c>
      <c r="U386" s="67">
        <f>'Project Database'!Y390</f>
        <v>0</v>
      </c>
      <c r="V386" s="66">
        <f>IF('Smart Search'!B13=1,IFERROR(1/'Smart Search'!H13,0),0)</f>
        <v>0</v>
      </c>
      <c r="W386" s="66">
        <f>IF('Smart Search'!B13=1,IFERROR(1/'Smart Search'!H13,0),0)</f>
        <v>0</v>
      </c>
      <c r="X386" s="66">
        <f>IF('Smart Search'!C13=1,IFERROR(1/'Smart Search'!H13,0),0)</f>
        <v>0.5</v>
      </c>
      <c r="Y386" s="66">
        <f>IF('Smart Search'!C13=1,IFERROR(1/'Smart Search'!H13,0),0)</f>
        <v>0.5</v>
      </c>
      <c r="Z386" s="66">
        <f>IF('Smart Search'!D13=1,IFERROR(1/'Smart Search'!H13,0),0)</f>
        <v>0</v>
      </c>
      <c r="AA386" s="66">
        <f>IF('Smart Search'!D13=1,IFERROR(1/'Smart Search'!H13,0),0)</f>
        <v>0</v>
      </c>
      <c r="AB386" s="66">
        <f>IF('Smart Search'!E13=1,IFERROR(1/'Smart Search'!H13,0),0)</f>
        <v>0</v>
      </c>
      <c r="AC386" s="66">
        <f>IF('Smart Search'!E13=1,IFERROR(1/'Smart Search'!H13,0),0)</f>
        <v>0</v>
      </c>
      <c r="AD386" s="66">
        <f>IF('Smart Search'!F13=1,IFERROR(1/'Smart Search'!H13,0),0)</f>
        <v>0</v>
      </c>
      <c r="AE386" s="66">
        <f>IF('Smart Search'!F13=1,IFERROR(1/'Smart Search'!H13,0),0)</f>
        <v>0</v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>0</v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>0</v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>0</v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>0</v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>0</v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>0</v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>0</v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>0</v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>0</v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>0</v>
      </c>
      <c r="AP386" s="66">
        <f t="shared" ref="AP386:AP449" si="84">AF386*V386</f>
        <v>0</v>
      </c>
      <c r="AQ386" s="66">
        <f t="shared" ref="AQ386:AQ449" si="85">AG386*W386</f>
        <v>0</v>
      </c>
      <c r="AR386" s="66">
        <f t="shared" ref="AR386:AR449" si="86">AH386*X386</f>
        <v>0</v>
      </c>
      <c r="AS386" s="66">
        <f t="shared" ref="AS386:AS449" si="87">AI386*Y386</f>
        <v>0</v>
      </c>
      <c r="AT386" s="66">
        <f t="shared" ref="AT386:AT449" si="88">AJ386*Z386</f>
        <v>0</v>
      </c>
      <c r="AU386" s="66">
        <f t="shared" ref="AU386:AU449" si="89">AK386*AA386</f>
        <v>0</v>
      </c>
      <c r="AV386" s="66">
        <f t="shared" ref="AV386:AV449" si="90">AL386*AB386</f>
        <v>0</v>
      </c>
      <c r="AW386" s="66">
        <f t="shared" ref="AW386:AW449" si="91">AM386*AC386</f>
        <v>0</v>
      </c>
      <c r="AX386" s="66">
        <f t="shared" ref="AX386:AX449" si="92">AN386*AD386</f>
        <v>0</v>
      </c>
      <c r="AY386" s="66">
        <f t="shared" ref="AY386:AY449" si="93">AO386*AE386</f>
        <v>0</v>
      </c>
      <c r="AZ386" s="66">
        <f>'Project Database'!Z390</f>
        <v>0</v>
      </c>
      <c r="BA386" s="66">
        <f>IF(OR(A386="",'Smart Search'!H13=0),"",MAX(0,BE386*BF386*MAX(0,1-BG386)))</f>
        <v>0</v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>0</v>
      </c>
      <c r="BC386" s="66">
        <f>IF('Smart Search'!G13=1,IFERROR(1/'Smart Search'!H13,0),0)</f>
        <v>0</v>
      </c>
      <c r="BD386" s="66">
        <f t="shared" ref="BD386:BD449" si="94">BB386*BC386</f>
        <v>0</v>
      </c>
      <c r="BE386" s="66">
        <f t="shared" ref="BE386:BE449" si="95">AP386+AQ386+AR386+AS386+AT386+AU386+AV386+AW386+AX386+AY386+BD386</f>
        <v>0</v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>0</v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>0</v>
      </c>
      <c r="BH386" s="5" t="str">
        <f>IF(AND('Project Database'!A390&lt;&gt;"",OR('Smart Search'!$L$5="",'Smart Search'!$L$5="All",TRIM('Project Database'!D390)=TRIM('Smart Search'!$L$5)),OR(TRIM('Smart Search'!$L$6)="",TRIM('Smart Search'!$L$6)="All",ISNUMBER(SEARCH(SUBSTITUTE(SUBSTITUTE(SUBSTITUTE(TRIM('Smart Search'!$L$6),"~","~~"),"*","~*"),"?","~?"),'Project Database'!C390))),OR('Smart Search'!$L$7="",AND('Project Database'!E390&lt;&gt;"",'Project Database'!E390='Smart Search'!$L$7)),OR('Smart Search'!$L$8="",'Smart Search'!$L$8="All",TRIM('Project Database'!F390)=TRIM('Smart Search'!$L$8))),IF(BA386="","",BA386+ROW()*0.0000000001),"")</f>
        <v/>
      </c>
      <c r="BI386" s="5" t="str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 t="str">
        <f>IF('Project Database'!A390="","",N('Project Database'!AC390))</f>
        <v/>
      </c>
      <c r="BK386" s="5" t="str">
        <f>IF('Project Database'!A390="","",N('Project Database'!AD390))</f>
        <v/>
      </c>
      <c r="BL386" s="5" t="str">
        <f>IF('Project Database'!A390="","",N('Project Database'!AE390))</f>
        <v/>
      </c>
      <c r="BM386" s="5" t="str">
        <f>IF('Project Database'!A390="","",N('Project Database'!AF390))</f>
        <v/>
      </c>
      <c r="BN386" s="5" t="str">
        <f>IF('Project Database'!A390="","",N('Project Database'!AG390))</f>
        <v/>
      </c>
      <c r="BO386" s="5" t="str">
        <f>IF('Project Database'!A390="","",N('Project Database'!AH390))</f>
        <v/>
      </c>
      <c r="BP386" s="5" t="str">
        <f>IF('Project Database'!A390="","",N('Project Database'!AI390))</f>
        <v/>
      </c>
      <c r="BQ386" s="5" t="str">
        <f>IF('Project Database'!A390="","",N('Project Database'!AJ390))</f>
        <v/>
      </c>
      <c r="BR386" s="5" t="str">
        <f>IF('Project Database'!A390="","",N('Project Database'!AK390))</f>
        <v/>
      </c>
      <c r="BS386" s="5" t="str">
        <f>IF('Project Database'!A390="","",N('Project Database'!AL390))</f>
        <v/>
      </c>
      <c r="BT386" s="5" t="str">
        <f>IF('Project Database'!A390="","",N('Project Database'!AM390))</f>
        <v/>
      </c>
      <c r="BU386" s="5" t="str">
        <f>IF('Project Database'!A390="","",N('Project Database'!AN390))</f>
        <v/>
      </c>
      <c r="BV386" s="5" t="str">
        <f>IF('Project Database'!A390="","",N('Project Database'!AO390))</f>
        <v/>
      </c>
      <c r="BW386" s="5" t="str">
        <f>IF('Project Database'!A390="","",N('Project Database'!AP390))</f>
        <v/>
      </c>
      <c r="BX386" s="5">
        <f t="shared" ref="BX386:BX449" si="96">IF(A386="","",SUM(BJ386:BW386))</f>
        <v>0</v>
      </c>
      <c r="BY386" s="5">
        <f t="shared" ref="BY386:BY449" si="97">IF(A386="","",IFERROR(IF(ISNUMBER(U386),U386,VALUE(SUBSTITUTE(SUBSTITUTE(SUBSTITUTE(UPPER(TRIM(U386)),"M",""),",","")," ",""))),0))</f>
        <v>0</v>
      </c>
    </row>
    <row r="387" spans="1:77" ht="15" customHeight="1" x14ac:dyDescent="0.3">
      <c r="A387" s="66">
        <f>'Project Database'!A391</f>
        <v>0</v>
      </c>
      <c r="B387" s="66">
        <f>'Project Database'!B391</f>
        <v>0</v>
      </c>
      <c r="C387" s="66">
        <f>'Project Database'!G391</f>
        <v>0</v>
      </c>
      <c r="D387" s="66">
        <f>'Project Database'!H391</f>
        <v>0</v>
      </c>
      <c r="E387" s="66">
        <f>'Project Database'!I391</f>
        <v>0</v>
      </c>
      <c r="F387" s="66">
        <f>'Project Database'!J391</f>
        <v>0</v>
      </c>
      <c r="G387" s="66">
        <f>'Project Database'!K391</f>
        <v>0</v>
      </c>
      <c r="H387" s="66">
        <f>'Project Database'!L391</f>
        <v>0</v>
      </c>
      <c r="I387" s="66">
        <f>'Project Database'!M391</f>
        <v>0</v>
      </c>
      <c r="J387" s="66">
        <f>'Project Database'!N391</f>
        <v>0</v>
      </c>
      <c r="K387" s="66">
        <f>'Project Database'!O391</f>
        <v>0</v>
      </c>
      <c r="L387" s="66">
        <f>'Project Database'!P391</f>
        <v>0</v>
      </c>
      <c r="M387" s="66">
        <f>'Project Database'!Q391</f>
        <v>0</v>
      </c>
      <c r="N387" s="66">
        <f>'Project Database'!R391</f>
        <v>0</v>
      </c>
      <c r="O387" s="66">
        <f>'Project Database'!S391</f>
        <v>0</v>
      </c>
      <c r="P387" s="66">
        <f>'Project Database'!T391</f>
        <v>0</v>
      </c>
      <c r="Q387" s="66">
        <f>'Project Database'!U391</f>
        <v>0</v>
      </c>
      <c r="R387" s="66">
        <f>'Project Database'!V391</f>
        <v>0</v>
      </c>
      <c r="S387" s="66">
        <f>'Project Database'!W391</f>
        <v>0</v>
      </c>
      <c r="T387" s="66">
        <f>'Project Database'!X391</f>
        <v>0</v>
      </c>
      <c r="U387" s="67">
        <f>'Project Database'!Y391</f>
        <v>0</v>
      </c>
      <c r="V387" s="66">
        <f>IF('Smart Search'!B13=1,IFERROR(1/'Smart Search'!H13,0),0)</f>
        <v>0</v>
      </c>
      <c r="W387" s="66">
        <f>IF('Smart Search'!B13=1,IFERROR(1/'Smart Search'!H13,0),0)</f>
        <v>0</v>
      </c>
      <c r="X387" s="66">
        <f>IF('Smart Search'!C13=1,IFERROR(1/'Smart Search'!H13,0),0)</f>
        <v>0.5</v>
      </c>
      <c r="Y387" s="66">
        <f>IF('Smart Search'!C13=1,IFERROR(1/'Smart Search'!H13,0),0)</f>
        <v>0.5</v>
      </c>
      <c r="Z387" s="66">
        <f>IF('Smart Search'!D13=1,IFERROR(1/'Smart Search'!H13,0),0)</f>
        <v>0</v>
      </c>
      <c r="AA387" s="66">
        <f>IF('Smart Search'!D13=1,IFERROR(1/'Smart Search'!H13,0),0)</f>
        <v>0</v>
      </c>
      <c r="AB387" s="66">
        <f>IF('Smart Search'!E13=1,IFERROR(1/'Smart Search'!H13,0),0)</f>
        <v>0</v>
      </c>
      <c r="AC387" s="66">
        <f>IF('Smart Search'!E13=1,IFERROR(1/'Smart Search'!H13,0),0)</f>
        <v>0</v>
      </c>
      <c r="AD387" s="66">
        <f>IF('Smart Search'!F13=1,IFERROR(1/'Smart Search'!H13,0),0)</f>
        <v>0</v>
      </c>
      <c r="AE387" s="66">
        <f>IF('Smart Search'!F13=1,IFERROR(1/'Smart Search'!H13,0),0)</f>
        <v>0</v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>0</v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>0</v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>0</v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>0</v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>0</v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>0</v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>0</v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>0</v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>0</v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>0</v>
      </c>
      <c r="AP387" s="66">
        <f t="shared" si="84"/>
        <v>0</v>
      </c>
      <c r="AQ387" s="66">
        <f t="shared" si="85"/>
        <v>0</v>
      </c>
      <c r="AR387" s="66">
        <f t="shared" si="86"/>
        <v>0</v>
      </c>
      <c r="AS387" s="66">
        <f t="shared" si="87"/>
        <v>0</v>
      </c>
      <c r="AT387" s="66">
        <f t="shared" si="88"/>
        <v>0</v>
      </c>
      <c r="AU387" s="66">
        <f t="shared" si="89"/>
        <v>0</v>
      </c>
      <c r="AV387" s="66">
        <f t="shared" si="90"/>
        <v>0</v>
      </c>
      <c r="AW387" s="66">
        <f t="shared" si="91"/>
        <v>0</v>
      </c>
      <c r="AX387" s="66">
        <f t="shared" si="92"/>
        <v>0</v>
      </c>
      <c r="AY387" s="66">
        <f t="shared" si="93"/>
        <v>0</v>
      </c>
      <c r="AZ387" s="66">
        <f>'Project Database'!Z391</f>
        <v>0</v>
      </c>
      <c r="BA387" s="66">
        <f>IF(OR(A387="",'Smart Search'!H13=0),"",MAX(0,BE387*BF387*MAX(0,1-BG387)))</f>
        <v>0</v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>0</v>
      </c>
      <c r="BC387" s="66">
        <f>IF('Smart Search'!G13=1,IFERROR(1/'Smart Search'!H13,0),0)</f>
        <v>0</v>
      </c>
      <c r="BD387" s="66">
        <f t="shared" si="94"/>
        <v>0</v>
      </c>
      <c r="BE387" s="66">
        <f t="shared" si="95"/>
        <v>0</v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>0</v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>0</v>
      </c>
      <c r="BH387" s="5" t="str">
        <f>IF(AND('Project Database'!A391&lt;&gt;"",OR('Smart Search'!$L$5="",'Smart Search'!$L$5="All",TRIM('Project Database'!D391)=TRIM('Smart Search'!$L$5)),OR(TRIM('Smart Search'!$L$6)="",TRIM('Smart Search'!$L$6)="All",ISNUMBER(SEARCH(SUBSTITUTE(SUBSTITUTE(SUBSTITUTE(TRIM('Smart Search'!$L$6),"~","~~"),"*","~*"),"?","~?"),'Project Database'!C391))),OR('Smart Search'!$L$7="",AND('Project Database'!E391&lt;&gt;"",'Project Database'!E391='Smart Search'!$L$7)),OR('Smart Search'!$L$8="",'Smart Search'!$L$8="All",TRIM('Project Database'!F391)=TRIM('Smart Search'!$L$8))),IF(BA387="","",BA387+ROW()*0.0000000001),"")</f>
        <v/>
      </c>
      <c r="BI387" s="5" t="str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 t="str">
        <f>IF('Project Database'!A391="","",N('Project Database'!AC391))</f>
        <v/>
      </c>
      <c r="BK387" s="5" t="str">
        <f>IF('Project Database'!A391="","",N('Project Database'!AD391))</f>
        <v/>
      </c>
      <c r="BL387" s="5" t="str">
        <f>IF('Project Database'!A391="","",N('Project Database'!AE391))</f>
        <v/>
      </c>
      <c r="BM387" s="5" t="str">
        <f>IF('Project Database'!A391="","",N('Project Database'!AF391))</f>
        <v/>
      </c>
      <c r="BN387" s="5" t="str">
        <f>IF('Project Database'!A391="","",N('Project Database'!AG391))</f>
        <v/>
      </c>
      <c r="BO387" s="5" t="str">
        <f>IF('Project Database'!A391="","",N('Project Database'!AH391))</f>
        <v/>
      </c>
      <c r="BP387" s="5" t="str">
        <f>IF('Project Database'!A391="","",N('Project Database'!AI391))</f>
        <v/>
      </c>
      <c r="BQ387" s="5" t="str">
        <f>IF('Project Database'!A391="","",N('Project Database'!AJ391))</f>
        <v/>
      </c>
      <c r="BR387" s="5" t="str">
        <f>IF('Project Database'!A391="","",N('Project Database'!AK391))</f>
        <v/>
      </c>
      <c r="BS387" s="5" t="str">
        <f>IF('Project Database'!A391="","",N('Project Database'!AL391))</f>
        <v/>
      </c>
      <c r="BT387" s="5" t="str">
        <f>IF('Project Database'!A391="","",N('Project Database'!AM391))</f>
        <v/>
      </c>
      <c r="BU387" s="5" t="str">
        <f>IF('Project Database'!A391="","",N('Project Database'!AN391))</f>
        <v/>
      </c>
      <c r="BV387" s="5" t="str">
        <f>IF('Project Database'!A391="","",N('Project Database'!AO391))</f>
        <v/>
      </c>
      <c r="BW387" s="5" t="str">
        <f>IF('Project Database'!A391="","",N('Project Database'!AP391))</f>
        <v/>
      </c>
      <c r="BX387" s="5">
        <f t="shared" si="96"/>
        <v>0</v>
      </c>
      <c r="BY387" s="5">
        <f t="shared" si="97"/>
        <v>0</v>
      </c>
    </row>
    <row r="388" spans="1:77" ht="15" customHeight="1" x14ac:dyDescent="0.3">
      <c r="A388" s="66">
        <f>'Project Database'!A392</f>
        <v>0</v>
      </c>
      <c r="B388" s="66">
        <f>'Project Database'!B392</f>
        <v>0</v>
      </c>
      <c r="C388" s="66">
        <f>'Project Database'!G392</f>
        <v>0</v>
      </c>
      <c r="D388" s="66">
        <f>'Project Database'!H392</f>
        <v>0</v>
      </c>
      <c r="E388" s="66">
        <f>'Project Database'!I392</f>
        <v>0</v>
      </c>
      <c r="F388" s="66">
        <f>'Project Database'!J392</f>
        <v>0</v>
      </c>
      <c r="G388" s="66">
        <f>'Project Database'!K392</f>
        <v>0</v>
      </c>
      <c r="H388" s="66">
        <f>'Project Database'!L392</f>
        <v>0</v>
      </c>
      <c r="I388" s="66">
        <f>'Project Database'!M392</f>
        <v>0</v>
      </c>
      <c r="J388" s="66">
        <f>'Project Database'!N392</f>
        <v>0</v>
      </c>
      <c r="K388" s="66">
        <f>'Project Database'!O392</f>
        <v>0</v>
      </c>
      <c r="L388" s="66">
        <f>'Project Database'!P392</f>
        <v>0</v>
      </c>
      <c r="M388" s="66">
        <f>'Project Database'!Q392</f>
        <v>0</v>
      </c>
      <c r="N388" s="66">
        <f>'Project Database'!R392</f>
        <v>0</v>
      </c>
      <c r="O388" s="66">
        <f>'Project Database'!S392</f>
        <v>0</v>
      </c>
      <c r="P388" s="66">
        <f>'Project Database'!T392</f>
        <v>0</v>
      </c>
      <c r="Q388" s="66">
        <f>'Project Database'!U392</f>
        <v>0</v>
      </c>
      <c r="R388" s="66">
        <f>'Project Database'!V392</f>
        <v>0</v>
      </c>
      <c r="S388" s="66">
        <f>'Project Database'!W392</f>
        <v>0</v>
      </c>
      <c r="T388" s="66">
        <f>'Project Database'!X392</f>
        <v>0</v>
      </c>
      <c r="U388" s="67">
        <f>'Project Database'!Y392</f>
        <v>0</v>
      </c>
      <c r="V388" s="66">
        <f>IF('Smart Search'!B13=1,IFERROR(1/'Smart Search'!H13,0),0)</f>
        <v>0</v>
      </c>
      <c r="W388" s="66">
        <f>IF('Smart Search'!B13=1,IFERROR(1/'Smart Search'!H13,0),0)</f>
        <v>0</v>
      </c>
      <c r="X388" s="66">
        <f>IF('Smart Search'!C13=1,IFERROR(1/'Smart Search'!H13,0),0)</f>
        <v>0.5</v>
      </c>
      <c r="Y388" s="66">
        <f>IF('Smart Search'!C13=1,IFERROR(1/'Smart Search'!H13,0),0)</f>
        <v>0.5</v>
      </c>
      <c r="Z388" s="66">
        <f>IF('Smart Search'!D13=1,IFERROR(1/'Smart Search'!H13,0),0)</f>
        <v>0</v>
      </c>
      <c r="AA388" s="66">
        <f>IF('Smart Search'!D13=1,IFERROR(1/'Smart Search'!H13,0),0)</f>
        <v>0</v>
      </c>
      <c r="AB388" s="66">
        <f>IF('Smart Search'!E13=1,IFERROR(1/'Smart Search'!H13,0),0)</f>
        <v>0</v>
      </c>
      <c r="AC388" s="66">
        <f>IF('Smart Search'!E13=1,IFERROR(1/'Smart Search'!H13,0),0)</f>
        <v>0</v>
      </c>
      <c r="AD388" s="66">
        <f>IF('Smart Search'!F13=1,IFERROR(1/'Smart Search'!H13,0),0)</f>
        <v>0</v>
      </c>
      <c r="AE388" s="66">
        <f>IF('Smart Search'!F13=1,IFERROR(1/'Smart Search'!H13,0),0)</f>
        <v>0</v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>0</v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>0</v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>0</v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>0</v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>0</v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>0</v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>0</v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>0</v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>0</v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>0</v>
      </c>
      <c r="AP388" s="66">
        <f t="shared" si="84"/>
        <v>0</v>
      </c>
      <c r="AQ388" s="66">
        <f t="shared" si="85"/>
        <v>0</v>
      </c>
      <c r="AR388" s="66">
        <f t="shared" si="86"/>
        <v>0</v>
      </c>
      <c r="AS388" s="66">
        <f t="shared" si="87"/>
        <v>0</v>
      </c>
      <c r="AT388" s="66">
        <f t="shared" si="88"/>
        <v>0</v>
      </c>
      <c r="AU388" s="66">
        <f t="shared" si="89"/>
        <v>0</v>
      </c>
      <c r="AV388" s="66">
        <f t="shared" si="90"/>
        <v>0</v>
      </c>
      <c r="AW388" s="66">
        <f t="shared" si="91"/>
        <v>0</v>
      </c>
      <c r="AX388" s="66">
        <f t="shared" si="92"/>
        <v>0</v>
      </c>
      <c r="AY388" s="66">
        <f t="shared" si="93"/>
        <v>0</v>
      </c>
      <c r="AZ388" s="66">
        <f>'Project Database'!Z392</f>
        <v>0</v>
      </c>
      <c r="BA388" s="66">
        <f>IF(OR(A388="",'Smart Search'!H13=0),"",MAX(0,BE388*BF388*MAX(0,1-BG388)))</f>
        <v>0</v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>0</v>
      </c>
      <c r="BC388" s="66">
        <f>IF('Smart Search'!G13=1,IFERROR(1/'Smart Search'!H13,0),0)</f>
        <v>0</v>
      </c>
      <c r="BD388" s="66">
        <f t="shared" si="94"/>
        <v>0</v>
      </c>
      <c r="BE388" s="66">
        <f t="shared" si="95"/>
        <v>0</v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>0</v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>0</v>
      </c>
      <c r="BH388" s="5" t="str">
        <f>IF(AND('Project Database'!A392&lt;&gt;"",OR('Smart Search'!$L$5="",'Smart Search'!$L$5="All",TRIM('Project Database'!D392)=TRIM('Smart Search'!$L$5)),OR(TRIM('Smart Search'!$L$6)="",TRIM('Smart Search'!$L$6)="All",ISNUMBER(SEARCH(SUBSTITUTE(SUBSTITUTE(SUBSTITUTE(TRIM('Smart Search'!$L$6),"~","~~"),"*","~*"),"?","~?"),'Project Database'!C392))),OR('Smart Search'!$L$7="",AND('Project Database'!E392&lt;&gt;"",'Project Database'!E392='Smart Search'!$L$7)),OR('Smart Search'!$L$8="",'Smart Search'!$L$8="All",TRIM('Project Database'!F392)=TRIM('Smart Search'!$L$8))),IF(BA388="","",BA388+ROW()*0.0000000001),"")</f>
        <v/>
      </c>
      <c r="BI388" s="5" t="str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 t="str">
        <f>IF('Project Database'!A392="","",N('Project Database'!AC392))</f>
        <v/>
      </c>
      <c r="BK388" s="5" t="str">
        <f>IF('Project Database'!A392="","",N('Project Database'!AD392))</f>
        <v/>
      </c>
      <c r="BL388" s="5" t="str">
        <f>IF('Project Database'!A392="","",N('Project Database'!AE392))</f>
        <v/>
      </c>
      <c r="BM388" s="5" t="str">
        <f>IF('Project Database'!A392="","",N('Project Database'!AF392))</f>
        <v/>
      </c>
      <c r="BN388" s="5" t="str">
        <f>IF('Project Database'!A392="","",N('Project Database'!AG392))</f>
        <v/>
      </c>
      <c r="BO388" s="5" t="str">
        <f>IF('Project Database'!A392="","",N('Project Database'!AH392))</f>
        <v/>
      </c>
      <c r="BP388" s="5" t="str">
        <f>IF('Project Database'!A392="","",N('Project Database'!AI392))</f>
        <v/>
      </c>
      <c r="BQ388" s="5" t="str">
        <f>IF('Project Database'!A392="","",N('Project Database'!AJ392))</f>
        <v/>
      </c>
      <c r="BR388" s="5" t="str">
        <f>IF('Project Database'!A392="","",N('Project Database'!AK392))</f>
        <v/>
      </c>
      <c r="BS388" s="5" t="str">
        <f>IF('Project Database'!A392="","",N('Project Database'!AL392))</f>
        <v/>
      </c>
      <c r="BT388" s="5" t="str">
        <f>IF('Project Database'!A392="","",N('Project Database'!AM392))</f>
        <v/>
      </c>
      <c r="BU388" s="5" t="str">
        <f>IF('Project Database'!A392="","",N('Project Database'!AN392))</f>
        <v/>
      </c>
      <c r="BV388" s="5" t="str">
        <f>IF('Project Database'!A392="","",N('Project Database'!AO392))</f>
        <v/>
      </c>
      <c r="BW388" s="5" t="str">
        <f>IF('Project Database'!A392="","",N('Project Database'!AP392))</f>
        <v/>
      </c>
      <c r="BX388" s="5">
        <f t="shared" si="96"/>
        <v>0</v>
      </c>
      <c r="BY388" s="5">
        <f t="shared" si="97"/>
        <v>0</v>
      </c>
    </row>
    <row r="389" spans="1:77" ht="15" customHeight="1" x14ac:dyDescent="0.3">
      <c r="A389" s="66">
        <f>'Project Database'!A393</f>
        <v>0</v>
      </c>
      <c r="B389" s="66">
        <f>'Project Database'!B393</f>
        <v>0</v>
      </c>
      <c r="C389" s="66">
        <f>'Project Database'!G393</f>
        <v>0</v>
      </c>
      <c r="D389" s="66">
        <f>'Project Database'!H393</f>
        <v>0</v>
      </c>
      <c r="E389" s="66">
        <f>'Project Database'!I393</f>
        <v>0</v>
      </c>
      <c r="F389" s="66">
        <f>'Project Database'!J393</f>
        <v>0</v>
      </c>
      <c r="G389" s="66">
        <f>'Project Database'!K393</f>
        <v>0</v>
      </c>
      <c r="H389" s="66">
        <f>'Project Database'!L393</f>
        <v>0</v>
      </c>
      <c r="I389" s="66">
        <f>'Project Database'!M393</f>
        <v>0</v>
      </c>
      <c r="J389" s="66">
        <f>'Project Database'!N393</f>
        <v>0</v>
      </c>
      <c r="K389" s="66">
        <f>'Project Database'!O393</f>
        <v>0</v>
      </c>
      <c r="L389" s="66">
        <f>'Project Database'!P393</f>
        <v>0</v>
      </c>
      <c r="M389" s="66">
        <f>'Project Database'!Q393</f>
        <v>0</v>
      </c>
      <c r="N389" s="66">
        <f>'Project Database'!R393</f>
        <v>0</v>
      </c>
      <c r="O389" s="66">
        <f>'Project Database'!S393</f>
        <v>0</v>
      </c>
      <c r="P389" s="66">
        <f>'Project Database'!T393</f>
        <v>0</v>
      </c>
      <c r="Q389" s="66">
        <f>'Project Database'!U393</f>
        <v>0</v>
      </c>
      <c r="R389" s="66">
        <f>'Project Database'!V393</f>
        <v>0</v>
      </c>
      <c r="S389" s="66">
        <f>'Project Database'!W393</f>
        <v>0</v>
      </c>
      <c r="T389" s="66">
        <f>'Project Database'!X393</f>
        <v>0</v>
      </c>
      <c r="U389" s="67">
        <f>'Project Database'!Y393</f>
        <v>0</v>
      </c>
      <c r="V389" s="66">
        <f>IF('Smart Search'!B13=1,IFERROR(1/'Smart Search'!H13,0),0)</f>
        <v>0</v>
      </c>
      <c r="W389" s="66">
        <f>IF('Smart Search'!B13=1,IFERROR(1/'Smart Search'!H13,0),0)</f>
        <v>0</v>
      </c>
      <c r="X389" s="66">
        <f>IF('Smart Search'!C13=1,IFERROR(1/'Smart Search'!H13,0),0)</f>
        <v>0.5</v>
      </c>
      <c r="Y389" s="66">
        <f>IF('Smart Search'!C13=1,IFERROR(1/'Smart Search'!H13,0),0)</f>
        <v>0.5</v>
      </c>
      <c r="Z389" s="66">
        <f>IF('Smart Search'!D13=1,IFERROR(1/'Smart Search'!H13,0),0)</f>
        <v>0</v>
      </c>
      <c r="AA389" s="66">
        <f>IF('Smart Search'!D13=1,IFERROR(1/'Smart Search'!H13,0),0)</f>
        <v>0</v>
      </c>
      <c r="AB389" s="66">
        <f>IF('Smart Search'!E13=1,IFERROR(1/'Smart Search'!H13,0),0)</f>
        <v>0</v>
      </c>
      <c r="AC389" s="66">
        <f>IF('Smart Search'!E13=1,IFERROR(1/'Smart Search'!H13,0),0)</f>
        <v>0</v>
      </c>
      <c r="AD389" s="66">
        <f>IF('Smart Search'!F13=1,IFERROR(1/'Smart Search'!H13,0),0)</f>
        <v>0</v>
      </c>
      <c r="AE389" s="66">
        <f>IF('Smart Search'!F13=1,IFERROR(1/'Smart Search'!H13,0),0)</f>
        <v>0</v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>0</v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>0</v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>0</v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>0</v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>0</v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>0</v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>0</v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>0</v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>0</v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>0</v>
      </c>
      <c r="AP389" s="66">
        <f t="shared" si="84"/>
        <v>0</v>
      </c>
      <c r="AQ389" s="66">
        <f t="shared" si="85"/>
        <v>0</v>
      </c>
      <c r="AR389" s="66">
        <f t="shared" si="86"/>
        <v>0</v>
      </c>
      <c r="AS389" s="66">
        <f t="shared" si="87"/>
        <v>0</v>
      </c>
      <c r="AT389" s="66">
        <f t="shared" si="88"/>
        <v>0</v>
      </c>
      <c r="AU389" s="66">
        <f t="shared" si="89"/>
        <v>0</v>
      </c>
      <c r="AV389" s="66">
        <f t="shared" si="90"/>
        <v>0</v>
      </c>
      <c r="AW389" s="66">
        <f t="shared" si="91"/>
        <v>0</v>
      </c>
      <c r="AX389" s="66">
        <f t="shared" si="92"/>
        <v>0</v>
      </c>
      <c r="AY389" s="66">
        <f t="shared" si="93"/>
        <v>0</v>
      </c>
      <c r="AZ389" s="66">
        <f>'Project Database'!Z393</f>
        <v>0</v>
      </c>
      <c r="BA389" s="66">
        <f>IF(OR(A389="",'Smart Search'!H13=0),"",MAX(0,BE389*BF389*MAX(0,1-BG389)))</f>
        <v>0</v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>0</v>
      </c>
      <c r="BC389" s="66">
        <f>IF('Smart Search'!G13=1,IFERROR(1/'Smart Search'!H13,0),0)</f>
        <v>0</v>
      </c>
      <c r="BD389" s="66">
        <f t="shared" si="94"/>
        <v>0</v>
      </c>
      <c r="BE389" s="66">
        <f t="shared" si="95"/>
        <v>0</v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>0</v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>0</v>
      </c>
      <c r="BH389" s="5" t="str">
        <f>IF(AND('Project Database'!A393&lt;&gt;"",OR('Smart Search'!$L$5="",'Smart Search'!$L$5="All",TRIM('Project Database'!D393)=TRIM('Smart Search'!$L$5)),OR(TRIM('Smart Search'!$L$6)="",TRIM('Smart Search'!$L$6)="All",ISNUMBER(SEARCH(SUBSTITUTE(SUBSTITUTE(SUBSTITUTE(TRIM('Smart Search'!$L$6),"~","~~"),"*","~*"),"?","~?"),'Project Database'!C393))),OR('Smart Search'!$L$7="",AND('Project Database'!E393&lt;&gt;"",'Project Database'!E393='Smart Search'!$L$7)),OR('Smart Search'!$L$8="",'Smart Search'!$L$8="All",TRIM('Project Database'!F393)=TRIM('Smart Search'!$L$8))),IF(BA389="","",BA389+ROW()*0.0000000001),"")</f>
        <v/>
      </c>
      <c r="BI389" s="5" t="str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 t="str">
        <f>IF('Project Database'!A393="","",N('Project Database'!AC393))</f>
        <v/>
      </c>
      <c r="BK389" s="5" t="str">
        <f>IF('Project Database'!A393="","",N('Project Database'!AD393))</f>
        <v/>
      </c>
      <c r="BL389" s="5" t="str">
        <f>IF('Project Database'!A393="","",N('Project Database'!AE393))</f>
        <v/>
      </c>
      <c r="BM389" s="5" t="str">
        <f>IF('Project Database'!A393="","",N('Project Database'!AF393))</f>
        <v/>
      </c>
      <c r="BN389" s="5" t="str">
        <f>IF('Project Database'!A393="","",N('Project Database'!AG393))</f>
        <v/>
      </c>
      <c r="BO389" s="5" t="str">
        <f>IF('Project Database'!A393="","",N('Project Database'!AH393))</f>
        <v/>
      </c>
      <c r="BP389" s="5" t="str">
        <f>IF('Project Database'!A393="","",N('Project Database'!AI393))</f>
        <v/>
      </c>
      <c r="BQ389" s="5" t="str">
        <f>IF('Project Database'!A393="","",N('Project Database'!AJ393))</f>
        <v/>
      </c>
      <c r="BR389" s="5" t="str">
        <f>IF('Project Database'!A393="","",N('Project Database'!AK393))</f>
        <v/>
      </c>
      <c r="BS389" s="5" t="str">
        <f>IF('Project Database'!A393="","",N('Project Database'!AL393))</f>
        <v/>
      </c>
      <c r="BT389" s="5" t="str">
        <f>IF('Project Database'!A393="","",N('Project Database'!AM393))</f>
        <v/>
      </c>
      <c r="BU389" s="5" t="str">
        <f>IF('Project Database'!A393="","",N('Project Database'!AN393))</f>
        <v/>
      </c>
      <c r="BV389" s="5" t="str">
        <f>IF('Project Database'!A393="","",N('Project Database'!AO393))</f>
        <v/>
      </c>
      <c r="BW389" s="5" t="str">
        <f>IF('Project Database'!A393="","",N('Project Database'!AP393))</f>
        <v/>
      </c>
      <c r="BX389" s="5">
        <f t="shared" si="96"/>
        <v>0</v>
      </c>
      <c r="BY389" s="5">
        <f t="shared" si="97"/>
        <v>0</v>
      </c>
    </row>
    <row r="390" spans="1:77" ht="15" customHeight="1" x14ac:dyDescent="0.3">
      <c r="A390" s="66">
        <f>'Project Database'!A394</f>
        <v>0</v>
      </c>
      <c r="B390" s="66">
        <f>'Project Database'!B394</f>
        <v>0</v>
      </c>
      <c r="C390" s="66">
        <f>'Project Database'!G394</f>
        <v>0</v>
      </c>
      <c r="D390" s="66">
        <f>'Project Database'!H394</f>
        <v>0</v>
      </c>
      <c r="E390" s="66">
        <f>'Project Database'!I394</f>
        <v>0</v>
      </c>
      <c r="F390" s="66">
        <f>'Project Database'!J394</f>
        <v>0</v>
      </c>
      <c r="G390" s="66">
        <f>'Project Database'!K394</f>
        <v>0</v>
      </c>
      <c r="H390" s="66">
        <f>'Project Database'!L394</f>
        <v>0</v>
      </c>
      <c r="I390" s="66">
        <f>'Project Database'!M394</f>
        <v>0</v>
      </c>
      <c r="J390" s="66">
        <f>'Project Database'!N394</f>
        <v>0</v>
      </c>
      <c r="K390" s="66">
        <f>'Project Database'!O394</f>
        <v>0</v>
      </c>
      <c r="L390" s="66">
        <f>'Project Database'!P394</f>
        <v>0</v>
      </c>
      <c r="M390" s="66">
        <f>'Project Database'!Q394</f>
        <v>0</v>
      </c>
      <c r="N390" s="66">
        <f>'Project Database'!R394</f>
        <v>0</v>
      </c>
      <c r="O390" s="66">
        <f>'Project Database'!S394</f>
        <v>0</v>
      </c>
      <c r="P390" s="66">
        <f>'Project Database'!T394</f>
        <v>0</v>
      </c>
      <c r="Q390" s="66">
        <f>'Project Database'!U394</f>
        <v>0</v>
      </c>
      <c r="R390" s="66">
        <f>'Project Database'!V394</f>
        <v>0</v>
      </c>
      <c r="S390" s="66">
        <f>'Project Database'!W394</f>
        <v>0</v>
      </c>
      <c r="T390" s="66">
        <f>'Project Database'!X394</f>
        <v>0</v>
      </c>
      <c r="U390" s="67">
        <f>'Project Database'!Y394</f>
        <v>0</v>
      </c>
      <c r="V390" s="66">
        <f>IF('Smart Search'!B13=1,IFERROR(1/'Smart Search'!H13,0),0)</f>
        <v>0</v>
      </c>
      <c r="W390" s="66">
        <f>IF('Smart Search'!B13=1,IFERROR(1/'Smart Search'!H13,0),0)</f>
        <v>0</v>
      </c>
      <c r="X390" s="66">
        <f>IF('Smart Search'!C13=1,IFERROR(1/'Smart Search'!H13,0),0)</f>
        <v>0.5</v>
      </c>
      <c r="Y390" s="66">
        <f>IF('Smart Search'!C13=1,IFERROR(1/'Smart Search'!H13,0),0)</f>
        <v>0.5</v>
      </c>
      <c r="Z390" s="66">
        <f>IF('Smart Search'!D13=1,IFERROR(1/'Smart Search'!H13,0),0)</f>
        <v>0</v>
      </c>
      <c r="AA390" s="66">
        <f>IF('Smart Search'!D13=1,IFERROR(1/'Smart Search'!H13,0),0)</f>
        <v>0</v>
      </c>
      <c r="AB390" s="66">
        <f>IF('Smart Search'!E13=1,IFERROR(1/'Smart Search'!H13,0),0)</f>
        <v>0</v>
      </c>
      <c r="AC390" s="66">
        <f>IF('Smart Search'!E13=1,IFERROR(1/'Smart Search'!H13,0),0)</f>
        <v>0</v>
      </c>
      <c r="AD390" s="66">
        <f>IF('Smart Search'!F13=1,IFERROR(1/'Smart Search'!H13,0),0)</f>
        <v>0</v>
      </c>
      <c r="AE390" s="66">
        <f>IF('Smart Search'!F13=1,IFERROR(1/'Smart Search'!H13,0),0)</f>
        <v>0</v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>0</v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>0</v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>0</v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>0</v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>0</v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>0</v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>0</v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>0</v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>0</v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>0</v>
      </c>
      <c r="AP390" s="66">
        <f t="shared" si="84"/>
        <v>0</v>
      </c>
      <c r="AQ390" s="66">
        <f t="shared" si="85"/>
        <v>0</v>
      </c>
      <c r="AR390" s="66">
        <f t="shared" si="86"/>
        <v>0</v>
      </c>
      <c r="AS390" s="66">
        <f t="shared" si="87"/>
        <v>0</v>
      </c>
      <c r="AT390" s="66">
        <f t="shared" si="88"/>
        <v>0</v>
      </c>
      <c r="AU390" s="66">
        <f t="shared" si="89"/>
        <v>0</v>
      </c>
      <c r="AV390" s="66">
        <f t="shared" si="90"/>
        <v>0</v>
      </c>
      <c r="AW390" s="66">
        <f t="shared" si="91"/>
        <v>0</v>
      </c>
      <c r="AX390" s="66">
        <f t="shared" si="92"/>
        <v>0</v>
      </c>
      <c r="AY390" s="66">
        <f t="shared" si="93"/>
        <v>0</v>
      </c>
      <c r="AZ390" s="66">
        <f>'Project Database'!Z394</f>
        <v>0</v>
      </c>
      <c r="BA390" s="66">
        <f>IF(OR(A390="",'Smart Search'!H13=0),"",MAX(0,BE390*BF390*MAX(0,1-BG390)))</f>
        <v>0</v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>0</v>
      </c>
      <c r="BC390" s="66">
        <f>IF('Smart Search'!G13=1,IFERROR(1/'Smart Search'!H13,0),0)</f>
        <v>0</v>
      </c>
      <c r="BD390" s="66">
        <f t="shared" si="94"/>
        <v>0</v>
      </c>
      <c r="BE390" s="66">
        <f t="shared" si="95"/>
        <v>0</v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>0</v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>0</v>
      </c>
      <c r="BH390" s="5" t="str">
        <f>IF(AND('Project Database'!A394&lt;&gt;"",OR('Smart Search'!$L$5="",'Smart Search'!$L$5="All",TRIM('Project Database'!D394)=TRIM('Smart Search'!$L$5)),OR(TRIM('Smart Search'!$L$6)="",TRIM('Smart Search'!$L$6)="All",ISNUMBER(SEARCH(SUBSTITUTE(SUBSTITUTE(SUBSTITUTE(TRIM('Smart Search'!$L$6),"~","~~"),"*","~*"),"?","~?"),'Project Database'!C394))),OR('Smart Search'!$L$7="",AND('Project Database'!E394&lt;&gt;"",'Project Database'!E394='Smart Search'!$L$7)),OR('Smart Search'!$L$8="",'Smart Search'!$L$8="All",TRIM('Project Database'!F394)=TRIM('Smart Search'!$L$8))),IF(BA390="","",BA390+ROW()*0.0000000001),"")</f>
        <v/>
      </c>
      <c r="BI390" s="5" t="str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 t="str">
        <f>IF('Project Database'!A394="","",N('Project Database'!AC394))</f>
        <v/>
      </c>
      <c r="BK390" s="5" t="str">
        <f>IF('Project Database'!A394="","",N('Project Database'!AD394))</f>
        <v/>
      </c>
      <c r="BL390" s="5" t="str">
        <f>IF('Project Database'!A394="","",N('Project Database'!AE394))</f>
        <v/>
      </c>
      <c r="BM390" s="5" t="str">
        <f>IF('Project Database'!A394="","",N('Project Database'!AF394))</f>
        <v/>
      </c>
      <c r="BN390" s="5" t="str">
        <f>IF('Project Database'!A394="","",N('Project Database'!AG394))</f>
        <v/>
      </c>
      <c r="BO390" s="5" t="str">
        <f>IF('Project Database'!A394="","",N('Project Database'!AH394))</f>
        <v/>
      </c>
      <c r="BP390" s="5" t="str">
        <f>IF('Project Database'!A394="","",N('Project Database'!AI394))</f>
        <v/>
      </c>
      <c r="BQ390" s="5" t="str">
        <f>IF('Project Database'!A394="","",N('Project Database'!AJ394))</f>
        <v/>
      </c>
      <c r="BR390" s="5" t="str">
        <f>IF('Project Database'!A394="","",N('Project Database'!AK394))</f>
        <v/>
      </c>
      <c r="BS390" s="5" t="str">
        <f>IF('Project Database'!A394="","",N('Project Database'!AL394))</f>
        <v/>
      </c>
      <c r="BT390" s="5" t="str">
        <f>IF('Project Database'!A394="","",N('Project Database'!AM394))</f>
        <v/>
      </c>
      <c r="BU390" s="5" t="str">
        <f>IF('Project Database'!A394="","",N('Project Database'!AN394))</f>
        <v/>
      </c>
      <c r="BV390" s="5" t="str">
        <f>IF('Project Database'!A394="","",N('Project Database'!AO394))</f>
        <v/>
      </c>
      <c r="BW390" s="5" t="str">
        <f>IF('Project Database'!A394="","",N('Project Database'!AP394))</f>
        <v/>
      </c>
      <c r="BX390" s="5">
        <f t="shared" si="96"/>
        <v>0</v>
      </c>
      <c r="BY390" s="5">
        <f t="shared" si="97"/>
        <v>0</v>
      </c>
    </row>
    <row r="391" spans="1:77" ht="15" customHeight="1" x14ac:dyDescent="0.3">
      <c r="A391" s="66">
        <f>'Project Database'!A395</f>
        <v>0</v>
      </c>
      <c r="B391" s="66">
        <f>'Project Database'!B395</f>
        <v>0</v>
      </c>
      <c r="C391" s="66">
        <f>'Project Database'!G395</f>
        <v>0</v>
      </c>
      <c r="D391" s="66">
        <f>'Project Database'!H395</f>
        <v>0</v>
      </c>
      <c r="E391" s="66">
        <f>'Project Database'!I395</f>
        <v>0</v>
      </c>
      <c r="F391" s="66">
        <f>'Project Database'!J395</f>
        <v>0</v>
      </c>
      <c r="G391" s="66">
        <f>'Project Database'!K395</f>
        <v>0</v>
      </c>
      <c r="H391" s="66">
        <f>'Project Database'!L395</f>
        <v>0</v>
      </c>
      <c r="I391" s="66">
        <f>'Project Database'!M395</f>
        <v>0</v>
      </c>
      <c r="J391" s="66">
        <f>'Project Database'!N395</f>
        <v>0</v>
      </c>
      <c r="K391" s="66">
        <f>'Project Database'!O395</f>
        <v>0</v>
      </c>
      <c r="L391" s="66">
        <f>'Project Database'!P395</f>
        <v>0</v>
      </c>
      <c r="M391" s="66">
        <f>'Project Database'!Q395</f>
        <v>0</v>
      </c>
      <c r="N391" s="66">
        <f>'Project Database'!R395</f>
        <v>0</v>
      </c>
      <c r="O391" s="66">
        <f>'Project Database'!S395</f>
        <v>0</v>
      </c>
      <c r="P391" s="66">
        <f>'Project Database'!T395</f>
        <v>0</v>
      </c>
      <c r="Q391" s="66">
        <f>'Project Database'!U395</f>
        <v>0</v>
      </c>
      <c r="R391" s="66">
        <f>'Project Database'!V395</f>
        <v>0</v>
      </c>
      <c r="S391" s="66">
        <f>'Project Database'!W395</f>
        <v>0</v>
      </c>
      <c r="T391" s="66">
        <f>'Project Database'!X395</f>
        <v>0</v>
      </c>
      <c r="U391" s="67">
        <f>'Project Database'!Y395</f>
        <v>0</v>
      </c>
      <c r="V391" s="66">
        <f>IF('Smart Search'!B13=1,IFERROR(1/'Smart Search'!H13,0),0)</f>
        <v>0</v>
      </c>
      <c r="W391" s="66">
        <f>IF('Smart Search'!B13=1,IFERROR(1/'Smart Search'!H13,0),0)</f>
        <v>0</v>
      </c>
      <c r="X391" s="66">
        <f>IF('Smart Search'!C13=1,IFERROR(1/'Smart Search'!H13,0),0)</f>
        <v>0.5</v>
      </c>
      <c r="Y391" s="66">
        <f>IF('Smart Search'!C13=1,IFERROR(1/'Smart Search'!H13,0),0)</f>
        <v>0.5</v>
      </c>
      <c r="Z391" s="66">
        <f>IF('Smart Search'!D13=1,IFERROR(1/'Smart Search'!H13,0),0)</f>
        <v>0</v>
      </c>
      <c r="AA391" s="66">
        <f>IF('Smart Search'!D13=1,IFERROR(1/'Smart Search'!H13,0),0)</f>
        <v>0</v>
      </c>
      <c r="AB391" s="66">
        <f>IF('Smart Search'!E13=1,IFERROR(1/'Smart Search'!H13,0),0)</f>
        <v>0</v>
      </c>
      <c r="AC391" s="66">
        <f>IF('Smart Search'!E13=1,IFERROR(1/'Smart Search'!H13,0),0)</f>
        <v>0</v>
      </c>
      <c r="AD391" s="66">
        <f>IF('Smart Search'!F13=1,IFERROR(1/'Smart Search'!H13,0),0)</f>
        <v>0</v>
      </c>
      <c r="AE391" s="66">
        <f>IF('Smart Search'!F13=1,IFERROR(1/'Smart Search'!H13,0),0)</f>
        <v>0</v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>0</v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>0</v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>0</v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>0</v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>0</v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>0</v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>0</v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>0</v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>0</v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>0</v>
      </c>
      <c r="AP391" s="66">
        <f t="shared" si="84"/>
        <v>0</v>
      </c>
      <c r="AQ391" s="66">
        <f t="shared" si="85"/>
        <v>0</v>
      </c>
      <c r="AR391" s="66">
        <f t="shared" si="86"/>
        <v>0</v>
      </c>
      <c r="AS391" s="66">
        <f t="shared" si="87"/>
        <v>0</v>
      </c>
      <c r="AT391" s="66">
        <f t="shared" si="88"/>
        <v>0</v>
      </c>
      <c r="AU391" s="66">
        <f t="shared" si="89"/>
        <v>0</v>
      </c>
      <c r="AV391" s="66">
        <f t="shared" si="90"/>
        <v>0</v>
      </c>
      <c r="AW391" s="66">
        <f t="shared" si="91"/>
        <v>0</v>
      </c>
      <c r="AX391" s="66">
        <f t="shared" si="92"/>
        <v>0</v>
      </c>
      <c r="AY391" s="66">
        <f t="shared" si="93"/>
        <v>0</v>
      </c>
      <c r="AZ391" s="66">
        <f>'Project Database'!Z395</f>
        <v>0</v>
      </c>
      <c r="BA391" s="66">
        <f>IF(OR(A391="",'Smart Search'!H13=0),"",MAX(0,BE391*BF391*MAX(0,1-BG391)))</f>
        <v>0</v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>0</v>
      </c>
      <c r="BC391" s="66">
        <f>IF('Smart Search'!G13=1,IFERROR(1/'Smart Search'!H13,0),0)</f>
        <v>0</v>
      </c>
      <c r="BD391" s="66">
        <f t="shared" si="94"/>
        <v>0</v>
      </c>
      <c r="BE391" s="66">
        <f t="shared" si="95"/>
        <v>0</v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>0</v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>0</v>
      </c>
      <c r="BH391" s="5" t="str">
        <f>IF(AND('Project Database'!A395&lt;&gt;"",OR('Smart Search'!$L$5="",'Smart Search'!$L$5="All",TRIM('Project Database'!D395)=TRIM('Smart Search'!$L$5)),OR(TRIM('Smart Search'!$L$6)="",TRIM('Smart Search'!$L$6)="All",ISNUMBER(SEARCH(SUBSTITUTE(SUBSTITUTE(SUBSTITUTE(TRIM('Smart Search'!$L$6),"~","~~"),"*","~*"),"?","~?"),'Project Database'!C395))),OR('Smart Search'!$L$7="",AND('Project Database'!E395&lt;&gt;"",'Project Database'!E395='Smart Search'!$L$7)),OR('Smart Search'!$L$8="",'Smart Search'!$L$8="All",TRIM('Project Database'!F395)=TRIM('Smart Search'!$L$8))),IF(BA391="","",BA391+ROW()*0.0000000001),"")</f>
        <v/>
      </c>
      <c r="BI391" s="5" t="str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 t="str">
        <f>IF('Project Database'!A395="","",N('Project Database'!AC395))</f>
        <v/>
      </c>
      <c r="BK391" s="5" t="str">
        <f>IF('Project Database'!A395="","",N('Project Database'!AD395))</f>
        <v/>
      </c>
      <c r="BL391" s="5" t="str">
        <f>IF('Project Database'!A395="","",N('Project Database'!AE395))</f>
        <v/>
      </c>
      <c r="BM391" s="5" t="str">
        <f>IF('Project Database'!A395="","",N('Project Database'!AF395))</f>
        <v/>
      </c>
      <c r="BN391" s="5" t="str">
        <f>IF('Project Database'!A395="","",N('Project Database'!AG395))</f>
        <v/>
      </c>
      <c r="BO391" s="5" t="str">
        <f>IF('Project Database'!A395="","",N('Project Database'!AH395))</f>
        <v/>
      </c>
      <c r="BP391" s="5" t="str">
        <f>IF('Project Database'!A395="","",N('Project Database'!AI395))</f>
        <v/>
      </c>
      <c r="BQ391" s="5" t="str">
        <f>IF('Project Database'!A395="","",N('Project Database'!AJ395))</f>
        <v/>
      </c>
      <c r="BR391" s="5" t="str">
        <f>IF('Project Database'!A395="","",N('Project Database'!AK395))</f>
        <v/>
      </c>
      <c r="BS391" s="5" t="str">
        <f>IF('Project Database'!A395="","",N('Project Database'!AL395))</f>
        <v/>
      </c>
      <c r="BT391" s="5" t="str">
        <f>IF('Project Database'!A395="","",N('Project Database'!AM395))</f>
        <v/>
      </c>
      <c r="BU391" s="5" t="str">
        <f>IF('Project Database'!A395="","",N('Project Database'!AN395))</f>
        <v/>
      </c>
      <c r="BV391" s="5" t="str">
        <f>IF('Project Database'!A395="","",N('Project Database'!AO395))</f>
        <v/>
      </c>
      <c r="BW391" s="5" t="str">
        <f>IF('Project Database'!A395="","",N('Project Database'!AP395))</f>
        <v/>
      </c>
      <c r="BX391" s="5">
        <f t="shared" si="96"/>
        <v>0</v>
      </c>
      <c r="BY391" s="5">
        <f t="shared" si="97"/>
        <v>0</v>
      </c>
    </row>
    <row r="392" spans="1:77" ht="15" customHeight="1" x14ac:dyDescent="0.3">
      <c r="A392" s="66">
        <f>'Project Database'!A396</f>
        <v>0</v>
      </c>
      <c r="B392" s="66">
        <f>'Project Database'!B396</f>
        <v>0</v>
      </c>
      <c r="C392" s="66">
        <f>'Project Database'!G396</f>
        <v>0</v>
      </c>
      <c r="D392" s="66">
        <f>'Project Database'!H396</f>
        <v>0</v>
      </c>
      <c r="E392" s="66">
        <f>'Project Database'!I396</f>
        <v>0</v>
      </c>
      <c r="F392" s="66">
        <f>'Project Database'!J396</f>
        <v>0</v>
      </c>
      <c r="G392" s="66">
        <f>'Project Database'!K396</f>
        <v>0</v>
      </c>
      <c r="H392" s="66">
        <f>'Project Database'!L396</f>
        <v>0</v>
      </c>
      <c r="I392" s="66">
        <f>'Project Database'!M396</f>
        <v>0</v>
      </c>
      <c r="J392" s="66">
        <f>'Project Database'!N396</f>
        <v>0</v>
      </c>
      <c r="K392" s="66">
        <f>'Project Database'!O396</f>
        <v>0</v>
      </c>
      <c r="L392" s="66">
        <f>'Project Database'!P396</f>
        <v>0</v>
      </c>
      <c r="M392" s="66">
        <f>'Project Database'!Q396</f>
        <v>0</v>
      </c>
      <c r="N392" s="66">
        <f>'Project Database'!R396</f>
        <v>0</v>
      </c>
      <c r="O392" s="66">
        <f>'Project Database'!S396</f>
        <v>0</v>
      </c>
      <c r="P392" s="66">
        <f>'Project Database'!T396</f>
        <v>0</v>
      </c>
      <c r="Q392" s="66">
        <f>'Project Database'!U396</f>
        <v>0</v>
      </c>
      <c r="R392" s="66">
        <f>'Project Database'!V396</f>
        <v>0</v>
      </c>
      <c r="S392" s="66">
        <f>'Project Database'!W396</f>
        <v>0</v>
      </c>
      <c r="T392" s="66">
        <f>'Project Database'!X396</f>
        <v>0</v>
      </c>
      <c r="U392" s="67">
        <f>'Project Database'!Y396</f>
        <v>0</v>
      </c>
      <c r="V392" s="66">
        <f>IF('Smart Search'!B13=1,IFERROR(1/'Smart Search'!H13,0),0)</f>
        <v>0</v>
      </c>
      <c r="W392" s="66">
        <f>IF('Smart Search'!B13=1,IFERROR(1/'Smart Search'!H13,0),0)</f>
        <v>0</v>
      </c>
      <c r="X392" s="66">
        <f>IF('Smart Search'!C13=1,IFERROR(1/'Smart Search'!H13,0),0)</f>
        <v>0.5</v>
      </c>
      <c r="Y392" s="66">
        <f>IF('Smart Search'!C13=1,IFERROR(1/'Smart Search'!H13,0),0)</f>
        <v>0.5</v>
      </c>
      <c r="Z392" s="66">
        <f>IF('Smart Search'!D13=1,IFERROR(1/'Smart Search'!H13,0),0)</f>
        <v>0</v>
      </c>
      <c r="AA392" s="66">
        <f>IF('Smart Search'!D13=1,IFERROR(1/'Smart Search'!H13,0),0)</f>
        <v>0</v>
      </c>
      <c r="AB392" s="66">
        <f>IF('Smart Search'!E13=1,IFERROR(1/'Smart Search'!H13,0),0)</f>
        <v>0</v>
      </c>
      <c r="AC392" s="66">
        <f>IF('Smart Search'!E13=1,IFERROR(1/'Smart Search'!H13,0),0)</f>
        <v>0</v>
      </c>
      <c r="AD392" s="66">
        <f>IF('Smart Search'!F13=1,IFERROR(1/'Smart Search'!H13,0),0)</f>
        <v>0</v>
      </c>
      <c r="AE392" s="66">
        <f>IF('Smart Search'!F13=1,IFERROR(1/'Smart Search'!H13,0),0)</f>
        <v>0</v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>0</v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>0</v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>0</v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>0</v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>0</v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>0</v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>0</v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>0</v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>0</v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>0</v>
      </c>
      <c r="AP392" s="66">
        <f t="shared" si="84"/>
        <v>0</v>
      </c>
      <c r="AQ392" s="66">
        <f t="shared" si="85"/>
        <v>0</v>
      </c>
      <c r="AR392" s="66">
        <f t="shared" si="86"/>
        <v>0</v>
      </c>
      <c r="AS392" s="66">
        <f t="shared" si="87"/>
        <v>0</v>
      </c>
      <c r="AT392" s="66">
        <f t="shared" si="88"/>
        <v>0</v>
      </c>
      <c r="AU392" s="66">
        <f t="shared" si="89"/>
        <v>0</v>
      </c>
      <c r="AV392" s="66">
        <f t="shared" si="90"/>
        <v>0</v>
      </c>
      <c r="AW392" s="66">
        <f t="shared" si="91"/>
        <v>0</v>
      </c>
      <c r="AX392" s="66">
        <f t="shared" si="92"/>
        <v>0</v>
      </c>
      <c r="AY392" s="66">
        <f t="shared" si="93"/>
        <v>0</v>
      </c>
      <c r="AZ392" s="66">
        <f>'Project Database'!Z396</f>
        <v>0</v>
      </c>
      <c r="BA392" s="66">
        <f>IF(OR(A392="",'Smart Search'!H13=0),"",MAX(0,BE392*BF392*MAX(0,1-BG392)))</f>
        <v>0</v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>0</v>
      </c>
      <c r="BC392" s="66">
        <f>IF('Smart Search'!G13=1,IFERROR(1/'Smart Search'!H13,0),0)</f>
        <v>0</v>
      </c>
      <c r="BD392" s="66">
        <f t="shared" si="94"/>
        <v>0</v>
      </c>
      <c r="BE392" s="66">
        <f t="shared" si="95"/>
        <v>0</v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>0</v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>0</v>
      </c>
      <c r="BH392" s="5" t="str">
        <f>IF(AND('Project Database'!A396&lt;&gt;"",OR('Smart Search'!$L$5="",'Smart Search'!$L$5="All",TRIM('Project Database'!D396)=TRIM('Smart Search'!$L$5)),OR(TRIM('Smart Search'!$L$6)="",TRIM('Smart Search'!$L$6)="All",ISNUMBER(SEARCH(SUBSTITUTE(SUBSTITUTE(SUBSTITUTE(TRIM('Smart Search'!$L$6),"~","~~"),"*","~*"),"?","~?"),'Project Database'!C396))),OR('Smart Search'!$L$7="",AND('Project Database'!E396&lt;&gt;"",'Project Database'!E396='Smart Search'!$L$7)),OR('Smart Search'!$L$8="",'Smart Search'!$L$8="All",TRIM('Project Database'!F396)=TRIM('Smart Search'!$L$8))),IF(BA392="","",BA392+ROW()*0.0000000001),"")</f>
        <v/>
      </c>
      <c r="BI392" s="5" t="str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 t="str">
        <f>IF('Project Database'!A396="","",N('Project Database'!AC396))</f>
        <v/>
      </c>
      <c r="BK392" s="5" t="str">
        <f>IF('Project Database'!A396="","",N('Project Database'!AD396))</f>
        <v/>
      </c>
      <c r="BL392" s="5" t="str">
        <f>IF('Project Database'!A396="","",N('Project Database'!AE396))</f>
        <v/>
      </c>
      <c r="BM392" s="5" t="str">
        <f>IF('Project Database'!A396="","",N('Project Database'!AF396))</f>
        <v/>
      </c>
      <c r="BN392" s="5" t="str">
        <f>IF('Project Database'!A396="","",N('Project Database'!AG396))</f>
        <v/>
      </c>
      <c r="BO392" s="5" t="str">
        <f>IF('Project Database'!A396="","",N('Project Database'!AH396))</f>
        <v/>
      </c>
      <c r="BP392" s="5" t="str">
        <f>IF('Project Database'!A396="","",N('Project Database'!AI396))</f>
        <v/>
      </c>
      <c r="BQ392" s="5" t="str">
        <f>IF('Project Database'!A396="","",N('Project Database'!AJ396))</f>
        <v/>
      </c>
      <c r="BR392" s="5" t="str">
        <f>IF('Project Database'!A396="","",N('Project Database'!AK396))</f>
        <v/>
      </c>
      <c r="BS392" s="5" t="str">
        <f>IF('Project Database'!A396="","",N('Project Database'!AL396))</f>
        <v/>
      </c>
      <c r="BT392" s="5" t="str">
        <f>IF('Project Database'!A396="","",N('Project Database'!AM396))</f>
        <v/>
      </c>
      <c r="BU392" s="5" t="str">
        <f>IF('Project Database'!A396="","",N('Project Database'!AN396))</f>
        <v/>
      </c>
      <c r="BV392" s="5" t="str">
        <f>IF('Project Database'!A396="","",N('Project Database'!AO396))</f>
        <v/>
      </c>
      <c r="BW392" s="5" t="str">
        <f>IF('Project Database'!A396="","",N('Project Database'!AP396))</f>
        <v/>
      </c>
      <c r="BX392" s="5">
        <f t="shared" si="96"/>
        <v>0</v>
      </c>
      <c r="BY392" s="5">
        <f t="shared" si="97"/>
        <v>0</v>
      </c>
    </row>
    <row r="393" spans="1:77" ht="15" customHeight="1" x14ac:dyDescent="0.3">
      <c r="A393" s="66">
        <f>'Project Database'!A397</f>
        <v>0</v>
      </c>
      <c r="B393" s="66">
        <f>'Project Database'!B397</f>
        <v>0</v>
      </c>
      <c r="C393" s="66">
        <f>'Project Database'!G397</f>
        <v>0</v>
      </c>
      <c r="D393" s="66">
        <f>'Project Database'!H397</f>
        <v>0</v>
      </c>
      <c r="E393" s="66">
        <f>'Project Database'!I397</f>
        <v>0</v>
      </c>
      <c r="F393" s="66">
        <f>'Project Database'!J397</f>
        <v>0</v>
      </c>
      <c r="G393" s="66">
        <f>'Project Database'!K397</f>
        <v>0</v>
      </c>
      <c r="H393" s="66">
        <f>'Project Database'!L397</f>
        <v>0</v>
      </c>
      <c r="I393" s="66">
        <f>'Project Database'!M397</f>
        <v>0</v>
      </c>
      <c r="J393" s="66">
        <f>'Project Database'!N397</f>
        <v>0</v>
      </c>
      <c r="K393" s="66">
        <f>'Project Database'!O397</f>
        <v>0</v>
      </c>
      <c r="L393" s="66">
        <f>'Project Database'!P397</f>
        <v>0</v>
      </c>
      <c r="M393" s="66">
        <f>'Project Database'!Q397</f>
        <v>0</v>
      </c>
      <c r="N393" s="66">
        <f>'Project Database'!R397</f>
        <v>0</v>
      </c>
      <c r="O393" s="66">
        <f>'Project Database'!S397</f>
        <v>0</v>
      </c>
      <c r="P393" s="66">
        <f>'Project Database'!T397</f>
        <v>0</v>
      </c>
      <c r="Q393" s="66">
        <f>'Project Database'!U397</f>
        <v>0</v>
      </c>
      <c r="R393" s="66">
        <f>'Project Database'!V397</f>
        <v>0</v>
      </c>
      <c r="S393" s="66">
        <f>'Project Database'!W397</f>
        <v>0</v>
      </c>
      <c r="T393" s="66">
        <f>'Project Database'!X397</f>
        <v>0</v>
      </c>
      <c r="U393" s="67">
        <f>'Project Database'!Y397</f>
        <v>0</v>
      </c>
      <c r="V393" s="66">
        <f>IF('Smart Search'!B13=1,IFERROR(1/'Smart Search'!H13,0),0)</f>
        <v>0</v>
      </c>
      <c r="W393" s="66">
        <f>IF('Smart Search'!B13=1,IFERROR(1/'Smart Search'!H13,0),0)</f>
        <v>0</v>
      </c>
      <c r="X393" s="66">
        <f>IF('Smart Search'!C13=1,IFERROR(1/'Smart Search'!H13,0),0)</f>
        <v>0.5</v>
      </c>
      <c r="Y393" s="66">
        <f>IF('Smart Search'!C13=1,IFERROR(1/'Smart Search'!H13,0),0)</f>
        <v>0.5</v>
      </c>
      <c r="Z393" s="66">
        <f>IF('Smart Search'!D13=1,IFERROR(1/'Smart Search'!H13,0),0)</f>
        <v>0</v>
      </c>
      <c r="AA393" s="66">
        <f>IF('Smart Search'!D13=1,IFERROR(1/'Smart Search'!H13,0),0)</f>
        <v>0</v>
      </c>
      <c r="AB393" s="66">
        <f>IF('Smart Search'!E13=1,IFERROR(1/'Smart Search'!H13,0),0)</f>
        <v>0</v>
      </c>
      <c r="AC393" s="66">
        <f>IF('Smart Search'!E13=1,IFERROR(1/'Smart Search'!H13,0),0)</f>
        <v>0</v>
      </c>
      <c r="AD393" s="66">
        <f>IF('Smart Search'!F13=1,IFERROR(1/'Smart Search'!H13,0),0)</f>
        <v>0</v>
      </c>
      <c r="AE393" s="66">
        <f>IF('Smart Search'!F13=1,IFERROR(1/'Smart Search'!H13,0),0)</f>
        <v>0</v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>0</v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>0</v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>0</v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>0</v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>0</v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>0</v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>0</v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>0</v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>0</v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>0</v>
      </c>
      <c r="AP393" s="66">
        <f t="shared" si="84"/>
        <v>0</v>
      </c>
      <c r="AQ393" s="66">
        <f t="shared" si="85"/>
        <v>0</v>
      </c>
      <c r="AR393" s="66">
        <f t="shared" si="86"/>
        <v>0</v>
      </c>
      <c r="AS393" s="66">
        <f t="shared" si="87"/>
        <v>0</v>
      </c>
      <c r="AT393" s="66">
        <f t="shared" si="88"/>
        <v>0</v>
      </c>
      <c r="AU393" s="66">
        <f t="shared" si="89"/>
        <v>0</v>
      </c>
      <c r="AV393" s="66">
        <f t="shared" si="90"/>
        <v>0</v>
      </c>
      <c r="AW393" s="66">
        <f t="shared" si="91"/>
        <v>0</v>
      </c>
      <c r="AX393" s="66">
        <f t="shared" si="92"/>
        <v>0</v>
      </c>
      <c r="AY393" s="66">
        <f t="shared" si="93"/>
        <v>0</v>
      </c>
      <c r="AZ393" s="66">
        <f>'Project Database'!Z397</f>
        <v>0</v>
      </c>
      <c r="BA393" s="66">
        <f>IF(OR(A393="",'Smart Search'!H13=0),"",MAX(0,BE393*BF393*MAX(0,1-BG393)))</f>
        <v>0</v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>0</v>
      </c>
      <c r="BC393" s="66">
        <f>IF('Smart Search'!G13=1,IFERROR(1/'Smart Search'!H13,0),0)</f>
        <v>0</v>
      </c>
      <c r="BD393" s="66">
        <f t="shared" si="94"/>
        <v>0</v>
      </c>
      <c r="BE393" s="66">
        <f t="shared" si="95"/>
        <v>0</v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>0</v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>0</v>
      </c>
      <c r="BH393" s="5" t="str">
        <f>IF(AND('Project Database'!A397&lt;&gt;"",OR('Smart Search'!$L$5="",'Smart Search'!$L$5="All",TRIM('Project Database'!D397)=TRIM('Smart Search'!$L$5)),OR(TRIM('Smart Search'!$L$6)="",TRIM('Smart Search'!$L$6)="All",ISNUMBER(SEARCH(SUBSTITUTE(SUBSTITUTE(SUBSTITUTE(TRIM('Smart Search'!$L$6),"~","~~"),"*","~*"),"?","~?"),'Project Database'!C397))),OR('Smart Search'!$L$7="",AND('Project Database'!E397&lt;&gt;"",'Project Database'!E397='Smart Search'!$L$7)),OR('Smart Search'!$L$8="",'Smart Search'!$L$8="All",TRIM('Project Database'!F397)=TRIM('Smart Search'!$L$8))),IF(BA393="","",BA393+ROW()*0.0000000001),"")</f>
        <v/>
      </c>
      <c r="BI393" s="5" t="str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 t="str">
        <f>IF('Project Database'!A397="","",N('Project Database'!AC397))</f>
        <v/>
      </c>
      <c r="BK393" s="5" t="str">
        <f>IF('Project Database'!A397="","",N('Project Database'!AD397))</f>
        <v/>
      </c>
      <c r="BL393" s="5" t="str">
        <f>IF('Project Database'!A397="","",N('Project Database'!AE397))</f>
        <v/>
      </c>
      <c r="BM393" s="5" t="str">
        <f>IF('Project Database'!A397="","",N('Project Database'!AF397))</f>
        <v/>
      </c>
      <c r="BN393" s="5" t="str">
        <f>IF('Project Database'!A397="","",N('Project Database'!AG397))</f>
        <v/>
      </c>
      <c r="BO393" s="5" t="str">
        <f>IF('Project Database'!A397="","",N('Project Database'!AH397))</f>
        <v/>
      </c>
      <c r="BP393" s="5" t="str">
        <f>IF('Project Database'!A397="","",N('Project Database'!AI397))</f>
        <v/>
      </c>
      <c r="BQ393" s="5" t="str">
        <f>IF('Project Database'!A397="","",N('Project Database'!AJ397))</f>
        <v/>
      </c>
      <c r="BR393" s="5" t="str">
        <f>IF('Project Database'!A397="","",N('Project Database'!AK397))</f>
        <v/>
      </c>
      <c r="BS393" s="5" t="str">
        <f>IF('Project Database'!A397="","",N('Project Database'!AL397))</f>
        <v/>
      </c>
      <c r="BT393" s="5" t="str">
        <f>IF('Project Database'!A397="","",N('Project Database'!AM397))</f>
        <v/>
      </c>
      <c r="BU393" s="5" t="str">
        <f>IF('Project Database'!A397="","",N('Project Database'!AN397))</f>
        <v/>
      </c>
      <c r="BV393" s="5" t="str">
        <f>IF('Project Database'!A397="","",N('Project Database'!AO397))</f>
        <v/>
      </c>
      <c r="BW393" s="5" t="str">
        <f>IF('Project Database'!A397="","",N('Project Database'!AP397))</f>
        <v/>
      </c>
      <c r="BX393" s="5">
        <f t="shared" si="96"/>
        <v>0</v>
      </c>
      <c r="BY393" s="5">
        <f t="shared" si="97"/>
        <v>0</v>
      </c>
    </row>
    <row r="394" spans="1:77" ht="15" customHeight="1" x14ac:dyDescent="0.3">
      <c r="A394" s="66">
        <f>'Project Database'!A398</f>
        <v>0</v>
      </c>
      <c r="B394" s="66">
        <f>'Project Database'!B398</f>
        <v>0</v>
      </c>
      <c r="C394" s="66">
        <f>'Project Database'!G398</f>
        <v>0</v>
      </c>
      <c r="D394" s="66">
        <f>'Project Database'!H398</f>
        <v>0</v>
      </c>
      <c r="E394" s="66">
        <f>'Project Database'!I398</f>
        <v>0</v>
      </c>
      <c r="F394" s="66">
        <f>'Project Database'!J398</f>
        <v>0</v>
      </c>
      <c r="G394" s="66">
        <f>'Project Database'!K398</f>
        <v>0</v>
      </c>
      <c r="H394" s="66">
        <f>'Project Database'!L398</f>
        <v>0</v>
      </c>
      <c r="I394" s="66">
        <f>'Project Database'!M398</f>
        <v>0</v>
      </c>
      <c r="J394" s="66">
        <f>'Project Database'!N398</f>
        <v>0</v>
      </c>
      <c r="K394" s="66">
        <f>'Project Database'!O398</f>
        <v>0</v>
      </c>
      <c r="L394" s="66">
        <f>'Project Database'!P398</f>
        <v>0</v>
      </c>
      <c r="M394" s="66">
        <f>'Project Database'!Q398</f>
        <v>0</v>
      </c>
      <c r="N394" s="66">
        <f>'Project Database'!R398</f>
        <v>0</v>
      </c>
      <c r="O394" s="66">
        <f>'Project Database'!S398</f>
        <v>0</v>
      </c>
      <c r="P394" s="66">
        <f>'Project Database'!T398</f>
        <v>0</v>
      </c>
      <c r="Q394" s="66">
        <f>'Project Database'!U398</f>
        <v>0</v>
      </c>
      <c r="R394" s="66">
        <f>'Project Database'!V398</f>
        <v>0</v>
      </c>
      <c r="S394" s="66">
        <f>'Project Database'!W398</f>
        <v>0</v>
      </c>
      <c r="T394" s="66">
        <f>'Project Database'!X398</f>
        <v>0</v>
      </c>
      <c r="U394" s="67">
        <f>'Project Database'!Y398</f>
        <v>0</v>
      </c>
      <c r="V394" s="66">
        <f>IF('Smart Search'!B13=1,IFERROR(1/'Smart Search'!H13,0),0)</f>
        <v>0</v>
      </c>
      <c r="W394" s="66">
        <f>IF('Smart Search'!B13=1,IFERROR(1/'Smart Search'!H13,0),0)</f>
        <v>0</v>
      </c>
      <c r="X394" s="66">
        <f>IF('Smart Search'!C13=1,IFERROR(1/'Smart Search'!H13,0),0)</f>
        <v>0.5</v>
      </c>
      <c r="Y394" s="66">
        <f>IF('Smart Search'!C13=1,IFERROR(1/'Smart Search'!H13,0),0)</f>
        <v>0.5</v>
      </c>
      <c r="Z394" s="66">
        <f>IF('Smart Search'!D13=1,IFERROR(1/'Smart Search'!H13,0),0)</f>
        <v>0</v>
      </c>
      <c r="AA394" s="66">
        <f>IF('Smart Search'!D13=1,IFERROR(1/'Smart Search'!H13,0),0)</f>
        <v>0</v>
      </c>
      <c r="AB394" s="66">
        <f>IF('Smart Search'!E13=1,IFERROR(1/'Smart Search'!H13,0),0)</f>
        <v>0</v>
      </c>
      <c r="AC394" s="66">
        <f>IF('Smart Search'!E13=1,IFERROR(1/'Smart Search'!H13,0),0)</f>
        <v>0</v>
      </c>
      <c r="AD394" s="66">
        <f>IF('Smart Search'!F13=1,IFERROR(1/'Smart Search'!H13,0),0)</f>
        <v>0</v>
      </c>
      <c r="AE394" s="66">
        <f>IF('Smart Search'!F13=1,IFERROR(1/'Smart Search'!H13,0),0)</f>
        <v>0</v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>0</v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>0</v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>0</v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>0</v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>0</v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>0</v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>0</v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>0</v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>0</v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>0</v>
      </c>
      <c r="AP394" s="66">
        <f t="shared" si="84"/>
        <v>0</v>
      </c>
      <c r="AQ394" s="66">
        <f t="shared" si="85"/>
        <v>0</v>
      </c>
      <c r="AR394" s="66">
        <f t="shared" si="86"/>
        <v>0</v>
      </c>
      <c r="AS394" s="66">
        <f t="shared" si="87"/>
        <v>0</v>
      </c>
      <c r="AT394" s="66">
        <f t="shared" si="88"/>
        <v>0</v>
      </c>
      <c r="AU394" s="66">
        <f t="shared" si="89"/>
        <v>0</v>
      </c>
      <c r="AV394" s="66">
        <f t="shared" si="90"/>
        <v>0</v>
      </c>
      <c r="AW394" s="66">
        <f t="shared" si="91"/>
        <v>0</v>
      </c>
      <c r="AX394" s="66">
        <f t="shared" si="92"/>
        <v>0</v>
      </c>
      <c r="AY394" s="66">
        <f t="shared" si="93"/>
        <v>0</v>
      </c>
      <c r="AZ394" s="66">
        <f>'Project Database'!Z398</f>
        <v>0</v>
      </c>
      <c r="BA394" s="66">
        <f>IF(OR(A394="",'Smart Search'!H13=0),"",MAX(0,BE394*BF394*MAX(0,1-BG394)))</f>
        <v>0</v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>0</v>
      </c>
      <c r="BC394" s="66">
        <f>IF('Smart Search'!G13=1,IFERROR(1/'Smart Search'!H13,0),0)</f>
        <v>0</v>
      </c>
      <c r="BD394" s="66">
        <f t="shared" si="94"/>
        <v>0</v>
      </c>
      <c r="BE394" s="66">
        <f t="shared" si="95"/>
        <v>0</v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>0</v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>0</v>
      </c>
      <c r="BH394" s="5" t="str">
        <f>IF(AND('Project Database'!A398&lt;&gt;"",OR('Smart Search'!$L$5="",'Smart Search'!$L$5="All",TRIM('Project Database'!D398)=TRIM('Smart Search'!$L$5)),OR(TRIM('Smart Search'!$L$6)="",TRIM('Smart Search'!$L$6)="All",ISNUMBER(SEARCH(SUBSTITUTE(SUBSTITUTE(SUBSTITUTE(TRIM('Smart Search'!$L$6),"~","~~"),"*","~*"),"?","~?"),'Project Database'!C398))),OR('Smart Search'!$L$7="",AND('Project Database'!E398&lt;&gt;"",'Project Database'!E398='Smart Search'!$L$7)),OR('Smart Search'!$L$8="",'Smart Search'!$L$8="All",TRIM('Project Database'!F398)=TRIM('Smart Search'!$L$8))),IF(BA394="","",BA394+ROW()*0.0000000001),"")</f>
        <v/>
      </c>
      <c r="BI394" s="5" t="str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 t="str">
        <f>IF('Project Database'!A398="","",N('Project Database'!AC398))</f>
        <v/>
      </c>
      <c r="BK394" s="5" t="str">
        <f>IF('Project Database'!A398="","",N('Project Database'!AD398))</f>
        <v/>
      </c>
      <c r="BL394" s="5" t="str">
        <f>IF('Project Database'!A398="","",N('Project Database'!AE398))</f>
        <v/>
      </c>
      <c r="BM394" s="5" t="str">
        <f>IF('Project Database'!A398="","",N('Project Database'!AF398))</f>
        <v/>
      </c>
      <c r="BN394" s="5" t="str">
        <f>IF('Project Database'!A398="","",N('Project Database'!AG398))</f>
        <v/>
      </c>
      <c r="BO394" s="5" t="str">
        <f>IF('Project Database'!A398="","",N('Project Database'!AH398))</f>
        <v/>
      </c>
      <c r="BP394" s="5" t="str">
        <f>IF('Project Database'!A398="","",N('Project Database'!AI398))</f>
        <v/>
      </c>
      <c r="BQ394" s="5" t="str">
        <f>IF('Project Database'!A398="","",N('Project Database'!AJ398))</f>
        <v/>
      </c>
      <c r="BR394" s="5" t="str">
        <f>IF('Project Database'!A398="","",N('Project Database'!AK398))</f>
        <v/>
      </c>
      <c r="BS394" s="5" t="str">
        <f>IF('Project Database'!A398="","",N('Project Database'!AL398))</f>
        <v/>
      </c>
      <c r="BT394" s="5" t="str">
        <f>IF('Project Database'!A398="","",N('Project Database'!AM398))</f>
        <v/>
      </c>
      <c r="BU394" s="5" t="str">
        <f>IF('Project Database'!A398="","",N('Project Database'!AN398))</f>
        <v/>
      </c>
      <c r="BV394" s="5" t="str">
        <f>IF('Project Database'!A398="","",N('Project Database'!AO398))</f>
        <v/>
      </c>
      <c r="BW394" s="5" t="str">
        <f>IF('Project Database'!A398="","",N('Project Database'!AP398))</f>
        <v/>
      </c>
      <c r="BX394" s="5">
        <f t="shared" si="96"/>
        <v>0</v>
      </c>
      <c r="BY394" s="5">
        <f t="shared" si="97"/>
        <v>0</v>
      </c>
    </row>
    <row r="395" spans="1:77" ht="15" customHeight="1" x14ac:dyDescent="0.3">
      <c r="A395" s="66">
        <f>'Project Database'!A399</f>
        <v>0</v>
      </c>
      <c r="B395" s="66">
        <f>'Project Database'!B399</f>
        <v>0</v>
      </c>
      <c r="C395" s="66">
        <f>'Project Database'!G399</f>
        <v>0</v>
      </c>
      <c r="D395" s="66">
        <f>'Project Database'!H399</f>
        <v>0</v>
      </c>
      <c r="E395" s="66">
        <f>'Project Database'!I399</f>
        <v>0</v>
      </c>
      <c r="F395" s="66">
        <f>'Project Database'!J399</f>
        <v>0</v>
      </c>
      <c r="G395" s="66">
        <f>'Project Database'!K399</f>
        <v>0</v>
      </c>
      <c r="H395" s="66">
        <f>'Project Database'!L399</f>
        <v>0</v>
      </c>
      <c r="I395" s="66">
        <f>'Project Database'!M399</f>
        <v>0</v>
      </c>
      <c r="J395" s="66">
        <f>'Project Database'!N399</f>
        <v>0</v>
      </c>
      <c r="K395" s="66">
        <f>'Project Database'!O399</f>
        <v>0</v>
      </c>
      <c r="L395" s="66">
        <f>'Project Database'!P399</f>
        <v>0</v>
      </c>
      <c r="M395" s="66">
        <f>'Project Database'!Q399</f>
        <v>0</v>
      </c>
      <c r="N395" s="66">
        <f>'Project Database'!R399</f>
        <v>0</v>
      </c>
      <c r="O395" s="66">
        <f>'Project Database'!S399</f>
        <v>0</v>
      </c>
      <c r="P395" s="66">
        <f>'Project Database'!T399</f>
        <v>0</v>
      </c>
      <c r="Q395" s="66">
        <f>'Project Database'!U399</f>
        <v>0</v>
      </c>
      <c r="R395" s="66">
        <f>'Project Database'!V399</f>
        <v>0</v>
      </c>
      <c r="S395" s="66">
        <f>'Project Database'!W399</f>
        <v>0</v>
      </c>
      <c r="T395" s="66">
        <f>'Project Database'!X399</f>
        <v>0</v>
      </c>
      <c r="U395" s="67">
        <f>'Project Database'!Y399</f>
        <v>0</v>
      </c>
      <c r="V395" s="66">
        <f>IF('Smart Search'!B13=1,IFERROR(1/'Smart Search'!H13,0),0)</f>
        <v>0</v>
      </c>
      <c r="W395" s="66">
        <f>IF('Smart Search'!B13=1,IFERROR(1/'Smart Search'!H13,0),0)</f>
        <v>0</v>
      </c>
      <c r="X395" s="66">
        <f>IF('Smart Search'!C13=1,IFERROR(1/'Smart Search'!H13,0),0)</f>
        <v>0.5</v>
      </c>
      <c r="Y395" s="66">
        <f>IF('Smart Search'!C13=1,IFERROR(1/'Smart Search'!H13,0),0)</f>
        <v>0.5</v>
      </c>
      <c r="Z395" s="66">
        <f>IF('Smart Search'!D13=1,IFERROR(1/'Smart Search'!H13,0),0)</f>
        <v>0</v>
      </c>
      <c r="AA395" s="66">
        <f>IF('Smart Search'!D13=1,IFERROR(1/'Smart Search'!H13,0),0)</f>
        <v>0</v>
      </c>
      <c r="AB395" s="66">
        <f>IF('Smart Search'!E13=1,IFERROR(1/'Smart Search'!H13,0),0)</f>
        <v>0</v>
      </c>
      <c r="AC395" s="66">
        <f>IF('Smart Search'!E13=1,IFERROR(1/'Smart Search'!H13,0),0)</f>
        <v>0</v>
      </c>
      <c r="AD395" s="66">
        <f>IF('Smart Search'!F13=1,IFERROR(1/'Smart Search'!H13,0),0)</f>
        <v>0</v>
      </c>
      <c r="AE395" s="66">
        <f>IF('Smart Search'!F13=1,IFERROR(1/'Smart Search'!H13,0),0)</f>
        <v>0</v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>0</v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>0</v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>0</v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>0</v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>0</v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>0</v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>0</v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>0</v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>0</v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>0</v>
      </c>
      <c r="AP395" s="66">
        <f t="shared" si="84"/>
        <v>0</v>
      </c>
      <c r="AQ395" s="66">
        <f t="shared" si="85"/>
        <v>0</v>
      </c>
      <c r="AR395" s="66">
        <f t="shared" si="86"/>
        <v>0</v>
      </c>
      <c r="AS395" s="66">
        <f t="shared" si="87"/>
        <v>0</v>
      </c>
      <c r="AT395" s="66">
        <f t="shared" si="88"/>
        <v>0</v>
      </c>
      <c r="AU395" s="66">
        <f t="shared" si="89"/>
        <v>0</v>
      </c>
      <c r="AV395" s="66">
        <f t="shared" si="90"/>
        <v>0</v>
      </c>
      <c r="AW395" s="66">
        <f t="shared" si="91"/>
        <v>0</v>
      </c>
      <c r="AX395" s="66">
        <f t="shared" si="92"/>
        <v>0</v>
      </c>
      <c r="AY395" s="66">
        <f t="shared" si="93"/>
        <v>0</v>
      </c>
      <c r="AZ395" s="66">
        <f>'Project Database'!Z399</f>
        <v>0</v>
      </c>
      <c r="BA395" s="66">
        <f>IF(OR(A395="",'Smart Search'!H13=0),"",MAX(0,BE395*BF395*MAX(0,1-BG395)))</f>
        <v>0</v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>0</v>
      </c>
      <c r="BC395" s="66">
        <f>IF('Smart Search'!G13=1,IFERROR(1/'Smart Search'!H13,0),0)</f>
        <v>0</v>
      </c>
      <c r="BD395" s="66">
        <f t="shared" si="94"/>
        <v>0</v>
      </c>
      <c r="BE395" s="66">
        <f t="shared" si="95"/>
        <v>0</v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>0</v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>0</v>
      </c>
      <c r="BH395" s="5" t="str">
        <f>IF(AND('Project Database'!A399&lt;&gt;"",OR('Smart Search'!$L$5="",'Smart Search'!$L$5="All",TRIM('Project Database'!D399)=TRIM('Smart Search'!$L$5)),OR(TRIM('Smart Search'!$L$6)="",TRIM('Smart Search'!$L$6)="All",ISNUMBER(SEARCH(SUBSTITUTE(SUBSTITUTE(SUBSTITUTE(TRIM('Smart Search'!$L$6),"~","~~"),"*","~*"),"?","~?"),'Project Database'!C399))),OR('Smart Search'!$L$7="",AND('Project Database'!E399&lt;&gt;"",'Project Database'!E399='Smart Search'!$L$7)),OR('Smart Search'!$L$8="",'Smart Search'!$L$8="All",TRIM('Project Database'!F399)=TRIM('Smart Search'!$L$8))),IF(BA395="","",BA395+ROW()*0.0000000001),"")</f>
        <v/>
      </c>
      <c r="BI395" s="5" t="str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 t="str">
        <f>IF('Project Database'!A399="","",N('Project Database'!AC399))</f>
        <v/>
      </c>
      <c r="BK395" s="5" t="str">
        <f>IF('Project Database'!A399="","",N('Project Database'!AD399))</f>
        <v/>
      </c>
      <c r="BL395" s="5" t="str">
        <f>IF('Project Database'!A399="","",N('Project Database'!AE399))</f>
        <v/>
      </c>
      <c r="BM395" s="5" t="str">
        <f>IF('Project Database'!A399="","",N('Project Database'!AF399))</f>
        <v/>
      </c>
      <c r="BN395" s="5" t="str">
        <f>IF('Project Database'!A399="","",N('Project Database'!AG399))</f>
        <v/>
      </c>
      <c r="BO395" s="5" t="str">
        <f>IF('Project Database'!A399="","",N('Project Database'!AH399))</f>
        <v/>
      </c>
      <c r="BP395" s="5" t="str">
        <f>IF('Project Database'!A399="","",N('Project Database'!AI399))</f>
        <v/>
      </c>
      <c r="BQ395" s="5" t="str">
        <f>IF('Project Database'!A399="","",N('Project Database'!AJ399))</f>
        <v/>
      </c>
      <c r="BR395" s="5" t="str">
        <f>IF('Project Database'!A399="","",N('Project Database'!AK399))</f>
        <v/>
      </c>
      <c r="BS395" s="5" t="str">
        <f>IF('Project Database'!A399="","",N('Project Database'!AL399))</f>
        <v/>
      </c>
      <c r="BT395" s="5" t="str">
        <f>IF('Project Database'!A399="","",N('Project Database'!AM399))</f>
        <v/>
      </c>
      <c r="BU395" s="5" t="str">
        <f>IF('Project Database'!A399="","",N('Project Database'!AN399))</f>
        <v/>
      </c>
      <c r="BV395" s="5" t="str">
        <f>IF('Project Database'!A399="","",N('Project Database'!AO399))</f>
        <v/>
      </c>
      <c r="BW395" s="5" t="str">
        <f>IF('Project Database'!A399="","",N('Project Database'!AP399))</f>
        <v/>
      </c>
      <c r="BX395" s="5">
        <f t="shared" si="96"/>
        <v>0</v>
      </c>
      <c r="BY395" s="5">
        <f t="shared" si="97"/>
        <v>0</v>
      </c>
    </row>
    <row r="396" spans="1:77" ht="15" customHeight="1" x14ac:dyDescent="0.3">
      <c r="A396" s="66">
        <f>'Project Database'!A400</f>
        <v>0</v>
      </c>
      <c r="B396" s="66">
        <f>'Project Database'!B400</f>
        <v>0</v>
      </c>
      <c r="C396" s="66">
        <f>'Project Database'!G400</f>
        <v>0</v>
      </c>
      <c r="D396" s="66">
        <f>'Project Database'!H400</f>
        <v>0</v>
      </c>
      <c r="E396" s="66">
        <f>'Project Database'!I400</f>
        <v>0</v>
      </c>
      <c r="F396" s="66">
        <f>'Project Database'!J400</f>
        <v>0</v>
      </c>
      <c r="G396" s="66">
        <f>'Project Database'!K400</f>
        <v>0</v>
      </c>
      <c r="H396" s="66">
        <f>'Project Database'!L400</f>
        <v>0</v>
      </c>
      <c r="I396" s="66">
        <f>'Project Database'!M400</f>
        <v>0</v>
      </c>
      <c r="J396" s="66">
        <f>'Project Database'!N400</f>
        <v>0</v>
      </c>
      <c r="K396" s="66">
        <f>'Project Database'!O400</f>
        <v>0</v>
      </c>
      <c r="L396" s="66">
        <f>'Project Database'!P400</f>
        <v>0</v>
      </c>
      <c r="M396" s="66">
        <f>'Project Database'!Q400</f>
        <v>0</v>
      </c>
      <c r="N396" s="66">
        <f>'Project Database'!R400</f>
        <v>0</v>
      </c>
      <c r="O396" s="66">
        <f>'Project Database'!S400</f>
        <v>0</v>
      </c>
      <c r="P396" s="66">
        <f>'Project Database'!T400</f>
        <v>0</v>
      </c>
      <c r="Q396" s="66">
        <f>'Project Database'!U400</f>
        <v>0</v>
      </c>
      <c r="R396" s="66">
        <f>'Project Database'!V400</f>
        <v>0</v>
      </c>
      <c r="S396" s="66">
        <f>'Project Database'!W400</f>
        <v>0</v>
      </c>
      <c r="T396" s="66">
        <f>'Project Database'!X400</f>
        <v>0</v>
      </c>
      <c r="U396" s="67">
        <f>'Project Database'!Y400</f>
        <v>0</v>
      </c>
      <c r="V396" s="66">
        <f>IF('Smart Search'!B13=1,IFERROR(1/'Smart Search'!H13,0),0)</f>
        <v>0</v>
      </c>
      <c r="W396" s="66">
        <f>IF('Smart Search'!B13=1,IFERROR(1/'Smart Search'!H13,0),0)</f>
        <v>0</v>
      </c>
      <c r="X396" s="66">
        <f>IF('Smart Search'!C13=1,IFERROR(1/'Smart Search'!H13,0),0)</f>
        <v>0.5</v>
      </c>
      <c r="Y396" s="66">
        <f>IF('Smart Search'!C13=1,IFERROR(1/'Smart Search'!H13,0),0)</f>
        <v>0.5</v>
      </c>
      <c r="Z396" s="66">
        <f>IF('Smart Search'!D13=1,IFERROR(1/'Smart Search'!H13,0),0)</f>
        <v>0</v>
      </c>
      <c r="AA396" s="66">
        <f>IF('Smart Search'!D13=1,IFERROR(1/'Smart Search'!H13,0),0)</f>
        <v>0</v>
      </c>
      <c r="AB396" s="66">
        <f>IF('Smart Search'!E13=1,IFERROR(1/'Smart Search'!H13,0),0)</f>
        <v>0</v>
      </c>
      <c r="AC396" s="66">
        <f>IF('Smart Search'!E13=1,IFERROR(1/'Smart Search'!H13,0),0)</f>
        <v>0</v>
      </c>
      <c r="AD396" s="66">
        <f>IF('Smart Search'!F13=1,IFERROR(1/'Smart Search'!H13,0),0)</f>
        <v>0</v>
      </c>
      <c r="AE396" s="66">
        <f>IF('Smart Search'!F13=1,IFERROR(1/'Smart Search'!H13,0),0)</f>
        <v>0</v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>0</v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>0</v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>0</v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>0</v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>0</v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>0</v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>0</v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>0</v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>0</v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>0</v>
      </c>
      <c r="AP396" s="66">
        <f t="shared" si="84"/>
        <v>0</v>
      </c>
      <c r="AQ396" s="66">
        <f t="shared" si="85"/>
        <v>0</v>
      </c>
      <c r="AR396" s="66">
        <f t="shared" si="86"/>
        <v>0</v>
      </c>
      <c r="AS396" s="66">
        <f t="shared" si="87"/>
        <v>0</v>
      </c>
      <c r="AT396" s="66">
        <f t="shared" si="88"/>
        <v>0</v>
      </c>
      <c r="AU396" s="66">
        <f t="shared" si="89"/>
        <v>0</v>
      </c>
      <c r="AV396" s="66">
        <f t="shared" si="90"/>
        <v>0</v>
      </c>
      <c r="AW396" s="66">
        <f t="shared" si="91"/>
        <v>0</v>
      </c>
      <c r="AX396" s="66">
        <f t="shared" si="92"/>
        <v>0</v>
      </c>
      <c r="AY396" s="66">
        <f t="shared" si="93"/>
        <v>0</v>
      </c>
      <c r="AZ396" s="66">
        <f>'Project Database'!Z400</f>
        <v>0</v>
      </c>
      <c r="BA396" s="66">
        <f>IF(OR(A396="",'Smart Search'!H13=0),"",MAX(0,BE396*BF396*MAX(0,1-BG396)))</f>
        <v>0</v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>0</v>
      </c>
      <c r="BC396" s="66">
        <f>IF('Smart Search'!G13=1,IFERROR(1/'Smart Search'!H13,0),0)</f>
        <v>0</v>
      </c>
      <c r="BD396" s="66">
        <f t="shared" si="94"/>
        <v>0</v>
      </c>
      <c r="BE396" s="66">
        <f t="shared" si="95"/>
        <v>0</v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>0</v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>0</v>
      </c>
      <c r="BH396" s="5" t="str">
        <f>IF(AND('Project Database'!A400&lt;&gt;"",OR('Smart Search'!$L$5="",'Smart Search'!$L$5="All",TRIM('Project Database'!D400)=TRIM('Smart Search'!$L$5)),OR(TRIM('Smart Search'!$L$6)="",TRIM('Smart Search'!$L$6)="All",ISNUMBER(SEARCH(SUBSTITUTE(SUBSTITUTE(SUBSTITUTE(TRIM('Smart Search'!$L$6),"~","~~"),"*","~*"),"?","~?"),'Project Database'!C400))),OR('Smart Search'!$L$7="",AND('Project Database'!E400&lt;&gt;"",'Project Database'!E400='Smart Search'!$L$7)),OR('Smart Search'!$L$8="",'Smart Search'!$L$8="All",TRIM('Project Database'!F400)=TRIM('Smart Search'!$L$8))),IF(BA396="","",BA396+ROW()*0.0000000001),"")</f>
        <v/>
      </c>
      <c r="BI396" s="5" t="str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 t="str">
        <f>IF('Project Database'!A400="","",N('Project Database'!AC400))</f>
        <v/>
      </c>
      <c r="BK396" s="5" t="str">
        <f>IF('Project Database'!A400="","",N('Project Database'!AD400))</f>
        <v/>
      </c>
      <c r="BL396" s="5" t="str">
        <f>IF('Project Database'!A400="","",N('Project Database'!AE400))</f>
        <v/>
      </c>
      <c r="BM396" s="5" t="str">
        <f>IF('Project Database'!A400="","",N('Project Database'!AF400))</f>
        <v/>
      </c>
      <c r="BN396" s="5" t="str">
        <f>IF('Project Database'!A400="","",N('Project Database'!AG400))</f>
        <v/>
      </c>
      <c r="BO396" s="5" t="str">
        <f>IF('Project Database'!A400="","",N('Project Database'!AH400))</f>
        <v/>
      </c>
      <c r="BP396" s="5" t="str">
        <f>IF('Project Database'!A400="","",N('Project Database'!AI400))</f>
        <v/>
      </c>
      <c r="BQ396" s="5" t="str">
        <f>IF('Project Database'!A400="","",N('Project Database'!AJ400))</f>
        <v/>
      </c>
      <c r="BR396" s="5" t="str">
        <f>IF('Project Database'!A400="","",N('Project Database'!AK400))</f>
        <v/>
      </c>
      <c r="BS396" s="5" t="str">
        <f>IF('Project Database'!A400="","",N('Project Database'!AL400))</f>
        <v/>
      </c>
      <c r="BT396" s="5" t="str">
        <f>IF('Project Database'!A400="","",N('Project Database'!AM400))</f>
        <v/>
      </c>
      <c r="BU396" s="5" t="str">
        <f>IF('Project Database'!A400="","",N('Project Database'!AN400))</f>
        <v/>
      </c>
      <c r="BV396" s="5" t="str">
        <f>IF('Project Database'!A400="","",N('Project Database'!AO400))</f>
        <v/>
      </c>
      <c r="BW396" s="5" t="str">
        <f>IF('Project Database'!A400="","",N('Project Database'!AP400))</f>
        <v/>
      </c>
      <c r="BX396" s="5">
        <f t="shared" si="96"/>
        <v>0</v>
      </c>
      <c r="BY396" s="5">
        <f t="shared" si="97"/>
        <v>0</v>
      </c>
    </row>
    <row r="397" spans="1:77" ht="15" customHeight="1" x14ac:dyDescent="0.3">
      <c r="A397" s="66">
        <f>'Project Database'!A401</f>
        <v>0</v>
      </c>
      <c r="B397" s="66">
        <f>'Project Database'!B401</f>
        <v>0</v>
      </c>
      <c r="C397" s="66">
        <f>'Project Database'!G401</f>
        <v>0</v>
      </c>
      <c r="D397" s="66">
        <f>'Project Database'!H401</f>
        <v>0</v>
      </c>
      <c r="E397" s="66">
        <f>'Project Database'!I401</f>
        <v>0</v>
      </c>
      <c r="F397" s="66">
        <f>'Project Database'!J401</f>
        <v>0</v>
      </c>
      <c r="G397" s="66">
        <f>'Project Database'!K401</f>
        <v>0</v>
      </c>
      <c r="H397" s="66">
        <f>'Project Database'!L401</f>
        <v>0</v>
      </c>
      <c r="I397" s="66">
        <f>'Project Database'!M401</f>
        <v>0</v>
      </c>
      <c r="J397" s="66">
        <f>'Project Database'!N401</f>
        <v>0</v>
      </c>
      <c r="K397" s="66">
        <f>'Project Database'!O401</f>
        <v>0</v>
      </c>
      <c r="L397" s="66">
        <f>'Project Database'!P401</f>
        <v>0</v>
      </c>
      <c r="M397" s="66">
        <f>'Project Database'!Q401</f>
        <v>0</v>
      </c>
      <c r="N397" s="66">
        <f>'Project Database'!R401</f>
        <v>0</v>
      </c>
      <c r="O397" s="66">
        <f>'Project Database'!S401</f>
        <v>0</v>
      </c>
      <c r="P397" s="66">
        <f>'Project Database'!T401</f>
        <v>0</v>
      </c>
      <c r="Q397" s="66">
        <f>'Project Database'!U401</f>
        <v>0</v>
      </c>
      <c r="R397" s="66">
        <f>'Project Database'!V401</f>
        <v>0</v>
      </c>
      <c r="S397" s="66">
        <f>'Project Database'!W401</f>
        <v>0</v>
      </c>
      <c r="T397" s="66">
        <f>'Project Database'!X401</f>
        <v>0</v>
      </c>
      <c r="U397" s="67">
        <f>'Project Database'!Y401</f>
        <v>0</v>
      </c>
      <c r="V397" s="66">
        <f>IF('Smart Search'!B13=1,IFERROR(1/'Smart Search'!H13,0),0)</f>
        <v>0</v>
      </c>
      <c r="W397" s="66">
        <f>IF('Smart Search'!B13=1,IFERROR(1/'Smart Search'!H13,0),0)</f>
        <v>0</v>
      </c>
      <c r="X397" s="66">
        <f>IF('Smart Search'!C13=1,IFERROR(1/'Smart Search'!H13,0),0)</f>
        <v>0.5</v>
      </c>
      <c r="Y397" s="66">
        <f>IF('Smart Search'!C13=1,IFERROR(1/'Smart Search'!H13,0),0)</f>
        <v>0.5</v>
      </c>
      <c r="Z397" s="66">
        <f>IF('Smart Search'!D13=1,IFERROR(1/'Smart Search'!H13,0),0)</f>
        <v>0</v>
      </c>
      <c r="AA397" s="66">
        <f>IF('Smart Search'!D13=1,IFERROR(1/'Smart Search'!H13,0),0)</f>
        <v>0</v>
      </c>
      <c r="AB397" s="66">
        <f>IF('Smart Search'!E13=1,IFERROR(1/'Smart Search'!H13,0),0)</f>
        <v>0</v>
      </c>
      <c r="AC397" s="66">
        <f>IF('Smart Search'!E13=1,IFERROR(1/'Smart Search'!H13,0),0)</f>
        <v>0</v>
      </c>
      <c r="AD397" s="66">
        <f>IF('Smart Search'!F13=1,IFERROR(1/'Smart Search'!H13,0),0)</f>
        <v>0</v>
      </c>
      <c r="AE397" s="66">
        <f>IF('Smart Search'!F13=1,IFERROR(1/'Smart Search'!H13,0),0)</f>
        <v>0</v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>0</v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>0</v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>0</v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>0</v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>0</v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>0</v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>0</v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>0</v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>0</v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>0</v>
      </c>
      <c r="AP397" s="66">
        <f t="shared" si="84"/>
        <v>0</v>
      </c>
      <c r="AQ397" s="66">
        <f t="shared" si="85"/>
        <v>0</v>
      </c>
      <c r="AR397" s="66">
        <f t="shared" si="86"/>
        <v>0</v>
      </c>
      <c r="AS397" s="66">
        <f t="shared" si="87"/>
        <v>0</v>
      </c>
      <c r="AT397" s="66">
        <f t="shared" si="88"/>
        <v>0</v>
      </c>
      <c r="AU397" s="66">
        <f t="shared" si="89"/>
        <v>0</v>
      </c>
      <c r="AV397" s="66">
        <f t="shared" si="90"/>
        <v>0</v>
      </c>
      <c r="AW397" s="66">
        <f t="shared" si="91"/>
        <v>0</v>
      </c>
      <c r="AX397" s="66">
        <f t="shared" si="92"/>
        <v>0</v>
      </c>
      <c r="AY397" s="66">
        <f t="shared" si="93"/>
        <v>0</v>
      </c>
      <c r="AZ397" s="66">
        <f>'Project Database'!Z401</f>
        <v>0</v>
      </c>
      <c r="BA397" s="66">
        <f>IF(OR(A397="",'Smart Search'!H13=0),"",MAX(0,BE397*BF397*MAX(0,1-BG397)))</f>
        <v>0</v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>0</v>
      </c>
      <c r="BC397" s="66">
        <f>IF('Smart Search'!G13=1,IFERROR(1/'Smart Search'!H13,0),0)</f>
        <v>0</v>
      </c>
      <c r="BD397" s="66">
        <f t="shared" si="94"/>
        <v>0</v>
      </c>
      <c r="BE397" s="66">
        <f t="shared" si="95"/>
        <v>0</v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>0</v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>0</v>
      </c>
      <c r="BH397" s="5" t="str">
        <f>IF(AND('Project Database'!A401&lt;&gt;"",OR('Smart Search'!$L$5="",'Smart Search'!$L$5="All",TRIM('Project Database'!D401)=TRIM('Smart Search'!$L$5)),OR(TRIM('Smart Search'!$L$6)="",TRIM('Smart Search'!$L$6)="All",ISNUMBER(SEARCH(SUBSTITUTE(SUBSTITUTE(SUBSTITUTE(TRIM('Smart Search'!$L$6),"~","~~"),"*","~*"),"?","~?"),'Project Database'!C401))),OR('Smart Search'!$L$7="",AND('Project Database'!E401&lt;&gt;"",'Project Database'!E401='Smart Search'!$L$7)),OR('Smart Search'!$L$8="",'Smart Search'!$L$8="All",TRIM('Project Database'!F401)=TRIM('Smart Search'!$L$8))),IF(BA397="","",BA397+ROW()*0.0000000001),"")</f>
        <v/>
      </c>
      <c r="BI397" s="5" t="str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 t="str">
        <f>IF('Project Database'!A401="","",N('Project Database'!AC401))</f>
        <v/>
      </c>
      <c r="BK397" s="5" t="str">
        <f>IF('Project Database'!A401="","",N('Project Database'!AD401))</f>
        <v/>
      </c>
      <c r="BL397" s="5" t="str">
        <f>IF('Project Database'!A401="","",N('Project Database'!AE401))</f>
        <v/>
      </c>
      <c r="BM397" s="5" t="str">
        <f>IF('Project Database'!A401="","",N('Project Database'!AF401))</f>
        <v/>
      </c>
      <c r="BN397" s="5" t="str">
        <f>IF('Project Database'!A401="","",N('Project Database'!AG401))</f>
        <v/>
      </c>
      <c r="BO397" s="5" t="str">
        <f>IF('Project Database'!A401="","",N('Project Database'!AH401))</f>
        <v/>
      </c>
      <c r="BP397" s="5" t="str">
        <f>IF('Project Database'!A401="","",N('Project Database'!AI401))</f>
        <v/>
      </c>
      <c r="BQ397" s="5" t="str">
        <f>IF('Project Database'!A401="","",N('Project Database'!AJ401))</f>
        <v/>
      </c>
      <c r="BR397" s="5" t="str">
        <f>IF('Project Database'!A401="","",N('Project Database'!AK401))</f>
        <v/>
      </c>
      <c r="BS397" s="5" t="str">
        <f>IF('Project Database'!A401="","",N('Project Database'!AL401))</f>
        <v/>
      </c>
      <c r="BT397" s="5" t="str">
        <f>IF('Project Database'!A401="","",N('Project Database'!AM401))</f>
        <v/>
      </c>
      <c r="BU397" s="5" t="str">
        <f>IF('Project Database'!A401="","",N('Project Database'!AN401))</f>
        <v/>
      </c>
      <c r="BV397" s="5" t="str">
        <f>IF('Project Database'!A401="","",N('Project Database'!AO401))</f>
        <v/>
      </c>
      <c r="BW397" s="5" t="str">
        <f>IF('Project Database'!A401="","",N('Project Database'!AP401))</f>
        <v/>
      </c>
      <c r="BX397" s="5">
        <f t="shared" si="96"/>
        <v>0</v>
      </c>
      <c r="BY397" s="5">
        <f t="shared" si="97"/>
        <v>0</v>
      </c>
    </row>
    <row r="398" spans="1:77" ht="15" customHeight="1" x14ac:dyDescent="0.3">
      <c r="A398" s="66">
        <f>'Project Database'!A402</f>
        <v>0</v>
      </c>
      <c r="B398" s="66">
        <f>'Project Database'!B402</f>
        <v>0</v>
      </c>
      <c r="C398" s="66">
        <f>'Project Database'!G402</f>
        <v>0</v>
      </c>
      <c r="D398" s="66">
        <f>'Project Database'!H402</f>
        <v>0</v>
      </c>
      <c r="E398" s="66">
        <f>'Project Database'!I402</f>
        <v>0</v>
      </c>
      <c r="F398" s="66">
        <f>'Project Database'!J402</f>
        <v>0</v>
      </c>
      <c r="G398" s="66">
        <f>'Project Database'!K402</f>
        <v>0</v>
      </c>
      <c r="H398" s="66">
        <f>'Project Database'!L402</f>
        <v>0</v>
      </c>
      <c r="I398" s="66">
        <f>'Project Database'!M402</f>
        <v>0</v>
      </c>
      <c r="J398" s="66">
        <f>'Project Database'!N402</f>
        <v>0</v>
      </c>
      <c r="K398" s="66">
        <f>'Project Database'!O402</f>
        <v>0</v>
      </c>
      <c r="L398" s="66">
        <f>'Project Database'!P402</f>
        <v>0</v>
      </c>
      <c r="M398" s="66">
        <f>'Project Database'!Q402</f>
        <v>0</v>
      </c>
      <c r="N398" s="66">
        <f>'Project Database'!R402</f>
        <v>0</v>
      </c>
      <c r="O398" s="66">
        <f>'Project Database'!S402</f>
        <v>0</v>
      </c>
      <c r="P398" s="66">
        <f>'Project Database'!T402</f>
        <v>0</v>
      </c>
      <c r="Q398" s="66">
        <f>'Project Database'!U402</f>
        <v>0</v>
      </c>
      <c r="R398" s="66">
        <f>'Project Database'!V402</f>
        <v>0</v>
      </c>
      <c r="S398" s="66">
        <f>'Project Database'!W402</f>
        <v>0</v>
      </c>
      <c r="T398" s="66">
        <f>'Project Database'!X402</f>
        <v>0</v>
      </c>
      <c r="U398" s="67">
        <f>'Project Database'!Y402</f>
        <v>0</v>
      </c>
      <c r="V398" s="66">
        <f>IF('Smart Search'!B13=1,IFERROR(1/'Smart Search'!H13,0),0)</f>
        <v>0</v>
      </c>
      <c r="W398" s="66">
        <f>IF('Smart Search'!B13=1,IFERROR(1/'Smart Search'!H13,0),0)</f>
        <v>0</v>
      </c>
      <c r="X398" s="66">
        <f>IF('Smart Search'!C13=1,IFERROR(1/'Smart Search'!H13,0),0)</f>
        <v>0.5</v>
      </c>
      <c r="Y398" s="66">
        <f>IF('Smart Search'!C13=1,IFERROR(1/'Smart Search'!H13,0),0)</f>
        <v>0.5</v>
      </c>
      <c r="Z398" s="66">
        <f>IF('Smart Search'!D13=1,IFERROR(1/'Smart Search'!H13,0),0)</f>
        <v>0</v>
      </c>
      <c r="AA398" s="66">
        <f>IF('Smart Search'!D13=1,IFERROR(1/'Smart Search'!H13,0),0)</f>
        <v>0</v>
      </c>
      <c r="AB398" s="66">
        <f>IF('Smart Search'!E13=1,IFERROR(1/'Smart Search'!H13,0),0)</f>
        <v>0</v>
      </c>
      <c r="AC398" s="66">
        <f>IF('Smart Search'!E13=1,IFERROR(1/'Smart Search'!H13,0),0)</f>
        <v>0</v>
      </c>
      <c r="AD398" s="66">
        <f>IF('Smart Search'!F13=1,IFERROR(1/'Smart Search'!H13,0),0)</f>
        <v>0</v>
      </c>
      <c r="AE398" s="66">
        <f>IF('Smart Search'!F13=1,IFERROR(1/'Smart Search'!H13,0),0)</f>
        <v>0</v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>0</v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>0</v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>0</v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>0</v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>0</v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>0</v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>0</v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>0</v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>0</v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>0</v>
      </c>
      <c r="AP398" s="66">
        <f t="shared" si="84"/>
        <v>0</v>
      </c>
      <c r="AQ398" s="66">
        <f t="shared" si="85"/>
        <v>0</v>
      </c>
      <c r="AR398" s="66">
        <f t="shared" si="86"/>
        <v>0</v>
      </c>
      <c r="AS398" s="66">
        <f t="shared" si="87"/>
        <v>0</v>
      </c>
      <c r="AT398" s="66">
        <f t="shared" si="88"/>
        <v>0</v>
      </c>
      <c r="AU398" s="66">
        <f t="shared" si="89"/>
        <v>0</v>
      </c>
      <c r="AV398" s="66">
        <f t="shared" si="90"/>
        <v>0</v>
      </c>
      <c r="AW398" s="66">
        <f t="shared" si="91"/>
        <v>0</v>
      </c>
      <c r="AX398" s="66">
        <f t="shared" si="92"/>
        <v>0</v>
      </c>
      <c r="AY398" s="66">
        <f t="shared" si="93"/>
        <v>0</v>
      </c>
      <c r="AZ398" s="66">
        <f>'Project Database'!Z402</f>
        <v>0</v>
      </c>
      <c r="BA398" s="66">
        <f>IF(OR(A398="",'Smart Search'!H13=0),"",MAX(0,BE398*BF398*MAX(0,1-BG398)))</f>
        <v>0</v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>0</v>
      </c>
      <c r="BC398" s="66">
        <f>IF('Smart Search'!G13=1,IFERROR(1/'Smart Search'!H13,0),0)</f>
        <v>0</v>
      </c>
      <c r="BD398" s="66">
        <f t="shared" si="94"/>
        <v>0</v>
      </c>
      <c r="BE398" s="66">
        <f t="shared" si="95"/>
        <v>0</v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>0</v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>0</v>
      </c>
      <c r="BH398" s="5" t="str">
        <f>IF(AND('Project Database'!A402&lt;&gt;"",OR('Smart Search'!$L$5="",'Smart Search'!$L$5="All",TRIM('Project Database'!D402)=TRIM('Smart Search'!$L$5)),OR(TRIM('Smart Search'!$L$6)="",TRIM('Smart Search'!$L$6)="All",ISNUMBER(SEARCH(SUBSTITUTE(SUBSTITUTE(SUBSTITUTE(TRIM('Smart Search'!$L$6),"~","~~"),"*","~*"),"?","~?"),'Project Database'!C402))),OR('Smart Search'!$L$7="",AND('Project Database'!E402&lt;&gt;"",'Project Database'!E402='Smart Search'!$L$7)),OR('Smart Search'!$L$8="",'Smart Search'!$L$8="All",TRIM('Project Database'!F402)=TRIM('Smart Search'!$L$8))),IF(BA398="","",BA398+ROW()*0.0000000001),"")</f>
        <v/>
      </c>
      <c r="BI398" s="5" t="str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 t="str">
        <f>IF('Project Database'!A402="","",N('Project Database'!AC402))</f>
        <v/>
      </c>
      <c r="BK398" s="5" t="str">
        <f>IF('Project Database'!A402="","",N('Project Database'!AD402))</f>
        <v/>
      </c>
      <c r="BL398" s="5" t="str">
        <f>IF('Project Database'!A402="","",N('Project Database'!AE402))</f>
        <v/>
      </c>
      <c r="BM398" s="5" t="str">
        <f>IF('Project Database'!A402="","",N('Project Database'!AF402))</f>
        <v/>
      </c>
      <c r="BN398" s="5" t="str">
        <f>IF('Project Database'!A402="","",N('Project Database'!AG402))</f>
        <v/>
      </c>
      <c r="BO398" s="5" t="str">
        <f>IF('Project Database'!A402="","",N('Project Database'!AH402))</f>
        <v/>
      </c>
      <c r="BP398" s="5" t="str">
        <f>IF('Project Database'!A402="","",N('Project Database'!AI402))</f>
        <v/>
      </c>
      <c r="BQ398" s="5" t="str">
        <f>IF('Project Database'!A402="","",N('Project Database'!AJ402))</f>
        <v/>
      </c>
      <c r="BR398" s="5" t="str">
        <f>IF('Project Database'!A402="","",N('Project Database'!AK402))</f>
        <v/>
      </c>
      <c r="BS398" s="5" t="str">
        <f>IF('Project Database'!A402="","",N('Project Database'!AL402))</f>
        <v/>
      </c>
      <c r="BT398" s="5" t="str">
        <f>IF('Project Database'!A402="","",N('Project Database'!AM402))</f>
        <v/>
      </c>
      <c r="BU398" s="5" t="str">
        <f>IF('Project Database'!A402="","",N('Project Database'!AN402))</f>
        <v/>
      </c>
      <c r="BV398" s="5" t="str">
        <f>IF('Project Database'!A402="","",N('Project Database'!AO402))</f>
        <v/>
      </c>
      <c r="BW398" s="5" t="str">
        <f>IF('Project Database'!A402="","",N('Project Database'!AP402))</f>
        <v/>
      </c>
      <c r="BX398" s="5">
        <f t="shared" si="96"/>
        <v>0</v>
      </c>
      <c r="BY398" s="5">
        <f t="shared" si="97"/>
        <v>0</v>
      </c>
    </row>
    <row r="399" spans="1:77" ht="15" customHeight="1" x14ac:dyDescent="0.3">
      <c r="A399" s="66">
        <f>'Project Database'!A403</f>
        <v>0</v>
      </c>
      <c r="B399" s="66">
        <f>'Project Database'!B403</f>
        <v>0</v>
      </c>
      <c r="C399" s="66">
        <f>'Project Database'!G403</f>
        <v>0</v>
      </c>
      <c r="D399" s="66">
        <f>'Project Database'!H403</f>
        <v>0</v>
      </c>
      <c r="E399" s="66">
        <f>'Project Database'!I403</f>
        <v>0</v>
      </c>
      <c r="F399" s="66">
        <f>'Project Database'!J403</f>
        <v>0</v>
      </c>
      <c r="G399" s="66">
        <f>'Project Database'!K403</f>
        <v>0</v>
      </c>
      <c r="H399" s="66">
        <f>'Project Database'!L403</f>
        <v>0</v>
      </c>
      <c r="I399" s="66">
        <f>'Project Database'!M403</f>
        <v>0</v>
      </c>
      <c r="J399" s="66">
        <f>'Project Database'!N403</f>
        <v>0</v>
      </c>
      <c r="K399" s="66">
        <f>'Project Database'!O403</f>
        <v>0</v>
      </c>
      <c r="L399" s="66">
        <f>'Project Database'!P403</f>
        <v>0</v>
      </c>
      <c r="M399" s="66">
        <f>'Project Database'!Q403</f>
        <v>0</v>
      </c>
      <c r="N399" s="66">
        <f>'Project Database'!R403</f>
        <v>0</v>
      </c>
      <c r="O399" s="66">
        <f>'Project Database'!S403</f>
        <v>0</v>
      </c>
      <c r="P399" s="66">
        <f>'Project Database'!T403</f>
        <v>0</v>
      </c>
      <c r="Q399" s="66">
        <f>'Project Database'!U403</f>
        <v>0</v>
      </c>
      <c r="R399" s="66">
        <f>'Project Database'!V403</f>
        <v>0</v>
      </c>
      <c r="S399" s="66">
        <f>'Project Database'!W403</f>
        <v>0</v>
      </c>
      <c r="T399" s="66">
        <f>'Project Database'!X403</f>
        <v>0</v>
      </c>
      <c r="U399" s="67">
        <f>'Project Database'!Y403</f>
        <v>0</v>
      </c>
      <c r="V399" s="66">
        <f>IF('Smart Search'!B13=1,IFERROR(1/'Smart Search'!H13,0),0)</f>
        <v>0</v>
      </c>
      <c r="W399" s="66">
        <f>IF('Smart Search'!B13=1,IFERROR(1/'Smart Search'!H13,0),0)</f>
        <v>0</v>
      </c>
      <c r="X399" s="66">
        <f>IF('Smart Search'!C13=1,IFERROR(1/'Smart Search'!H13,0),0)</f>
        <v>0.5</v>
      </c>
      <c r="Y399" s="66">
        <f>IF('Smart Search'!C13=1,IFERROR(1/'Smart Search'!H13,0),0)</f>
        <v>0.5</v>
      </c>
      <c r="Z399" s="66">
        <f>IF('Smart Search'!D13=1,IFERROR(1/'Smart Search'!H13,0),0)</f>
        <v>0</v>
      </c>
      <c r="AA399" s="66">
        <f>IF('Smart Search'!D13=1,IFERROR(1/'Smart Search'!H13,0),0)</f>
        <v>0</v>
      </c>
      <c r="AB399" s="66">
        <f>IF('Smart Search'!E13=1,IFERROR(1/'Smart Search'!H13,0),0)</f>
        <v>0</v>
      </c>
      <c r="AC399" s="66">
        <f>IF('Smart Search'!E13=1,IFERROR(1/'Smart Search'!H13,0),0)</f>
        <v>0</v>
      </c>
      <c r="AD399" s="66">
        <f>IF('Smart Search'!F13=1,IFERROR(1/'Smart Search'!H13,0),0)</f>
        <v>0</v>
      </c>
      <c r="AE399" s="66">
        <f>IF('Smart Search'!F13=1,IFERROR(1/'Smart Search'!H13,0),0)</f>
        <v>0</v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>0</v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>0</v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>0</v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>0</v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>0</v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>0</v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>0</v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>0</v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>0</v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>0</v>
      </c>
      <c r="AP399" s="66">
        <f t="shared" si="84"/>
        <v>0</v>
      </c>
      <c r="AQ399" s="66">
        <f t="shared" si="85"/>
        <v>0</v>
      </c>
      <c r="AR399" s="66">
        <f t="shared" si="86"/>
        <v>0</v>
      </c>
      <c r="AS399" s="66">
        <f t="shared" si="87"/>
        <v>0</v>
      </c>
      <c r="AT399" s="66">
        <f t="shared" si="88"/>
        <v>0</v>
      </c>
      <c r="AU399" s="66">
        <f t="shared" si="89"/>
        <v>0</v>
      </c>
      <c r="AV399" s="66">
        <f t="shared" si="90"/>
        <v>0</v>
      </c>
      <c r="AW399" s="66">
        <f t="shared" si="91"/>
        <v>0</v>
      </c>
      <c r="AX399" s="66">
        <f t="shared" si="92"/>
        <v>0</v>
      </c>
      <c r="AY399" s="66">
        <f t="shared" si="93"/>
        <v>0</v>
      </c>
      <c r="AZ399" s="66">
        <f>'Project Database'!Z403</f>
        <v>0</v>
      </c>
      <c r="BA399" s="66">
        <f>IF(OR(A399="",'Smart Search'!H13=0),"",MAX(0,BE399*BF399*MAX(0,1-BG399)))</f>
        <v>0</v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>0</v>
      </c>
      <c r="BC399" s="66">
        <f>IF('Smart Search'!G13=1,IFERROR(1/'Smart Search'!H13,0),0)</f>
        <v>0</v>
      </c>
      <c r="BD399" s="66">
        <f t="shared" si="94"/>
        <v>0</v>
      </c>
      <c r="BE399" s="66">
        <f t="shared" si="95"/>
        <v>0</v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>0</v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>0</v>
      </c>
      <c r="BH399" s="5" t="str">
        <f>IF(AND('Project Database'!A403&lt;&gt;"",OR('Smart Search'!$L$5="",'Smart Search'!$L$5="All",TRIM('Project Database'!D403)=TRIM('Smart Search'!$L$5)),OR(TRIM('Smart Search'!$L$6)="",TRIM('Smart Search'!$L$6)="All",ISNUMBER(SEARCH(SUBSTITUTE(SUBSTITUTE(SUBSTITUTE(TRIM('Smart Search'!$L$6),"~","~~"),"*","~*"),"?","~?"),'Project Database'!C403))),OR('Smart Search'!$L$7="",AND('Project Database'!E403&lt;&gt;"",'Project Database'!E403='Smart Search'!$L$7)),OR('Smart Search'!$L$8="",'Smart Search'!$L$8="All",TRIM('Project Database'!F403)=TRIM('Smart Search'!$L$8))),IF(BA399="","",BA399+ROW()*0.0000000001),"")</f>
        <v/>
      </c>
      <c r="BI399" s="5" t="str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 t="str">
        <f>IF('Project Database'!A403="","",N('Project Database'!AC403))</f>
        <v/>
      </c>
      <c r="BK399" s="5" t="str">
        <f>IF('Project Database'!A403="","",N('Project Database'!AD403))</f>
        <v/>
      </c>
      <c r="BL399" s="5" t="str">
        <f>IF('Project Database'!A403="","",N('Project Database'!AE403))</f>
        <v/>
      </c>
      <c r="BM399" s="5" t="str">
        <f>IF('Project Database'!A403="","",N('Project Database'!AF403))</f>
        <v/>
      </c>
      <c r="BN399" s="5" t="str">
        <f>IF('Project Database'!A403="","",N('Project Database'!AG403))</f>
        <v/>
      </c>
      <c r="BO399" s="5" t="str">
        <f>IF('Project Database'!A403="","",N('Project Database'!AH403))</f>
        <v/>
      </c>
      <c r="BP399" s="5" t="str">
        <f>IF('Project Database'!A403="","",N('Project Database'!AI403))</f>
        <v/>
      </c>
      <c r="BQ399" s="5" t="str">
        <f>IF('Project Database'!A403="","",N('Project Database'!AJ403))</f>
        <v/>
      </c>
      <c r="BR399" s="5" t="str">
        <f>IF('Project Database'!A403="","",N('Project Database'!AK403))</f>
        <v/>
      </c>
      <c r="BS399" s="5" t="str">
        <f>IF('Project Database'!A403="","",N('Project Database'!AL403))</f>
        <v/>
      </c>
      <c r="BT399" s="5" t="str">
        <f>IF('Project Database'!A403="","",N('Project Database'!AM403))</f>
        <v/>
      </c>
      <c r="BU399" s="5" t="str">
        <f>IF('Project Database'!A403="","",N('Project Database'!AN403))</f>
        <v/>
      </c>
      <c r="BV399" s="5" t="str">
        <f>IF('Project Database'!A403="","",N('Project Database'!AO403))</f>
        <v/>
      </c>
      <c r="BW399" s="5" t="str">
        <f>IF('Project Database'!A403="","",N('Project Database'!AP403))</f>
        <v/>
      </c>
      <c r="BX399" s="5">
        <f t="shared" si="96"/>
        <v>0</v>
      </c>
      <c r="BY399" s="5">
        <f t="shared" si="97"/>
        <v>0</v>
      </c>
    </row>
    <row r="400" spans="1:77" ht="15" customHeight="1" x14ac:dyDescent="0.3">
      <c r="A400" s="66">
        <f>'Project Database'!A404</f>
        <v>0</v>
      </c>
      <c r="B400" s="66">
        <f>'Project Database'!B404</f>
        <v>0</v>
      </c>
      <c r="C400" s="66">
        <f>'Project Database'!G404</f>
        <v>0</v>
      </c>
      <c r="D400" s="66">
        <f>'Project Database'!H404</f>
        <v>0</v>
      </c>
      <c r="E400" s="66">
        <f>'Project Database'!I404</f>
        <v>0</v>
      </c>
      <c r="F400" s="66">
        <f>'Project Database'!J404</f>
        <v>0</v>
      </c>
      <c r="G400" s="66">
        <f>'Project Database'!K404</f>
        <v>0</v>
      </c>
      <c r="H400" s="66">
        <f>'Project Database'!L404</f>
        <v>0</v>
      </c>
      <c r="I400" s="66">
        <f>'Project Database'!M404</f>
        <v>0</v>
      </c>
      <c r="J400" s="66">
        <f>'Project Database'!N404</f>
        <v>0</v>
      </c>
      <c r="K400" s="66">
        <f>'Project Database'!O404</f>
        <v>0</v>
      </c>
      <c r="L400" s="66">
        <f>'Project Database'!P404</f>
        <v>0</v>
      </c>
      <c r="M400" s="66">
        <f>'Project Database'!Q404</f>
        <v>0</v>
      </c>
      <c r="N400" s="66">
        <f>'Project Database'!R404</f>
        <v>0</v>
      </c>
      <c r="O400" s="66">
        <f>'Project Database'!S404</f>
        <v>0</v>
      </c>
      <c r="P400" s="66">
        <f>'Project Database'!T404</f>
        <v>0</v>
      </c>
      <c r="Q400" s="66">
        <f>'Project Database'!U404</f>
        <v>0</v>
      </c>
      <c r="R400" s="66">
        <f>'Project Database'!V404</f>
        <v>0</v>
      </c>
      <c r="S400" s="66">
        <f>'Project Database'!W404</f>
        <v>0</v>
      </c>
      <c r="T400" s="66">
        <f>'Project Database'!X404</f>
        <v>0</v>
      </c>
      <c r="U400" s="67">
        <f>'Project Database'!Y404</f>
        <v>0</v>
      </c>
      <c r="V400" s="66">
        <f>IF('Smart Search'!B13=1,IFERROR(1/'Smart Search'!H13,0),0)</f>
        <v>0</v>
      </c>
      <c r="W400" s="66">
        <f>IF('Smart Search'!B13=1,IFERROR(1/'Smart Search'!H13,0),0)</f>
        <v>0</v>
      </c>
      <c r="X400" s="66">
        <f>IF('Smart Search'!C13=1,IFERROR(1/'Smart Search'!H13,0),0)</f>
        <v>0.5</v>
      </c>
      <c r="Y400" s="66">
        <f>IF('Smart Search'!C13=1,IFERROR(1/'Smart Search'!H13,0),0)</f>
        <v>0.5</v>
      </c>
      <c r="Z400" s="66">
        <f>IF('Smart Search'!D13=1,IFERROR(1/'Smart Search'!H13,0),0)</f>
        <v>0</v>
      </c>
      <c r="AA400" s="66">
        <f>IF('Smart Search'!D13=1,IFERROR(1/'Smart Search'!H13,0),0)</f>
        <v>0</v>
      </c>
      <c r="AB400" s="66">
        <f>IF('Smart Search'!E13=1,IFERROR(1/'Smart Search'!H13,0),0)</f>
        <v>0</v>
      </c>
      <c r="AC400" s="66">
        <f>IF('Smart Search'!E13=1,IFERROR(1/'Smart Search'!H13,0),0)</f>
        <v>0</v>
      </c>
      <c r="AD400" s="66">
        <f>IF('Smart Search'!F13=1,IFERROR(1/'Smart Search'!H13,0),0)</f>
        <v>0</v>
      </c>
      <c r="AE400" s="66">
        <f>IF('Smart Search'!F13=1,IFERROR(1/'Smart Search'!H13,0),0)</f>
        <v>0</v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>0</v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>0</v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>0</v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>0</v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>0</v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>0</v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>0</v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>0</v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>0</v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>0</v>
      </c>
      <c r="AP400" s="66">
        <f t="shared" si="84"/>
        <v>0</v>
      </c>
      <c r="AQ400" s="66">
        <f t="shared" si="85"/>
        <v>0</v>
      </c>
      <c r="AR400" s="66">
        <f t="shared" si="86"/>
        <v>0</v>
      </c>
      <c r="AS400" s="66">
        <f t="shared" si="87"/>
        <v>0</v>
      </c>
      <c r="AT400" s="66">
        <f t="shared" si="88"/>
        <v>0</v>
      </c>
      <c r="AU400" s="66">
        <f t="shared" si="89"/>
        <v>0</v>
      </c>
      <c r="AV400" s="66">
        <f t="shared" si="90"/>
        <v>0</v>
      </c>
      <c r="AW400" s="66">
        <f t="shared" si="91"/>
        <v>0</v>
      </c>
      <c r="AX400" s="66">
        <f t="shared" si="92"/>
        <v>0</v>
      </c>
      <c r="AY400" s="66">
        <f t="shared" si="93"/>
        <v>0</v>
      </c>
      <c r="AZ400" s="66">
        <f>'Project Database'!Z404</f>
        <v>0</v>
      </c>
      <c r="BA400" s="66">
        <f>IF(OR(A400="",'Smart Search'!H13=0),"",MAX(0,BE400*BF400*MAX(0,1-BG400)))</f>
        <v>0</v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>0</v>
      </c>
      <c r="BC400" s="66">
        <f>IF('Smart Search'!G13=1,IFERROR(1/'Smart Search'!H13,0),0)</f>
        <v>0</v>
      </c>
      <c r="BD400" s="66">
        <f t="shared" si="94"/>
        <v>0</v>
      </c>
      <c r="BE400" s="66">
        <f t="shared" si="95"/>
        <v>0</v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>0</v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>0</v>
      </c>
      <c r="BH400" s="5" t="str">
        <f>IF(AND('Project Database'!A404&lt;&gt;"",OR('Smart Search'!$L$5="",'Smart Search'!$L$5="All",TRIM('Project Database'!D404)=TRIM('Smart Search'!$L$5)),OR(TRIM('Smart Search'!$L$6)="",TRIM('Smart Search'!$L$6)="All",ISNUMBER(SEARCH(SUBSTITUTE(SUBSTITUTE(SUBSTITUTE(TRIM('Smart Search'!$L$6),"~","~~"),"*","~*"),"?","~?"),'Project Database'!C404))),OR('Smart Search'!$L$7="",AND('Project Database'!E404&lt;&gt;"",'Project Database'!E404='Smart Search'!$L$7)),OR('Smart Search'!$L$8="",'Smart Search'!$L$8="All",TRIM('Project Database'!F404)=TRIM('Smart Search'!$L$8))),IF(BA400="","",BA400+ROW()*0.0000000001),"")</f>
        <v/>
      </c>
      <c r="BI400" s="5" t="str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 t="str">
        <f>IF('Project Database'!A404="","",N('Project Database'!AC404))</f>
        <v/>
      </c>
      <c r="BK400" s="5" t="str">
        <f>IF('Project Database'!A404="","",N('Project Database'!AD404))</f>
        <v/>
      </c>
      <c r="BL400" s="5" t="str">
        <f>IF('Project Database'!A404="","",N('Project Database'!AE404))</f>
        <v/>
      </c>
      <c r="BM400" s="5" t="str">
        <f>IF('Project Database'!A404="","",N('Project Database'!AF404))</f>
        <v/>
      </c>
      <c r="BN400" s="5" t="str">
        <f>IF('Project Database'!A404="","",N('Project Database'!AG404))</f>
        <v/>
      </c>
      <c r="BO400" s="5" t="str">
        <f>IF('Project Database'!A404="","",N('Project Database'!AH404))</f>
        <v/>
      </c>
      <c r="BP400" s="5" t="str">
        <f>IF('Project Database'!A404="","",N('Project Database'!AI404))</f>
        <v/>
      </c>
      <c r="BQ400" s="5" t="str">
        <f>IF('Project Database'!A404="","",N('Project Database'!AJ404))</f>
        <v/>
      </c>
      <c r="BR400" s="5" t="str">
        <f>IF('Project Database'!A404="","",N('Project Database'!AK404))</f>
        <v/>
      </c>
      <c r="BS400" s="5" t="str">
        <f>IF('Project Database'!A404="","",N('Project Database'!AL404))</f>
        <v/>
      </c>
      <c r="BT400" s="5" t="str">
        <f>IF('Project Database'!A404="","",N('Project Database'!AM404))</f>
        <v/>
      </c>
      <c r="BU400" s="5" t="str">
        <f>IF('Project Database'!A404="","",N('Project Database'!AN404))</f>
        <v/>
      </c>
      <c r="BV400" s="5" t="str">
        <f>IF('Project Database'!A404="","",N('Project Database'!AO404))</f>
        <v/>
      </c>
      <c r="BW400" s="5" t="str">
        <f>IF('Project Database'!A404="","",N('Project Database'!AP404))</f>
        <v/>
      </c>
      <c r="BX400" s="5">
        <f t="shared" si="96"/>
        <v>0</v>
      </c>
      <c r="BY400" s="5">
        <f t="shared" si="97"/>
        <v>0</v>
      </c>
    </row>
    <row r="401" spans="1:77" ht="15" customHeight="1" x14ac:dyDescent="0.3">
      <c r="A401" s="66">
        <f>'Project Database'!A405</f>
        <v>0</v>
      </c>
      <c r="B401" s="66">
        <f>'Project Database'!B405</f>
        <v>0</v>
      </c>
      <c r="C401" s="66">
        <f>'Project Database'!G405</f>
        <v>0</v>
      </c>
      <c r="D401" s="66">
        <f>'Project Database'!H405</f>
        <v>0</v>
      </c>
      <c r="E401" s="66">
        <f>'Project Database'!I405</f>
        <v>0</v>
      </c>
      <c r="F401" s="66">
        <f>'Project Database'!J405</f>
        <v>0</v>
      </c>
      <c r="G401" s="66">
        <f>'Project Database'!K405</f>
        <v>0</v>
      </c>
      <c r="H401" s="66">
        <f>'Project Database'!L405</f>
        <v>0</v>
      </c>
      <c r="I401" s="66">
        <f>'Project Database'!M405</f>
        <v>0</v>
      </c>
      <c r="J401" s="66">
        <f>'Project Database'!N405</f>
        <v>0</v>
      </c>
      <c r="K401" s="66">
        <f>'Project Database'!O405</f>
        <v>0</v>
      </c>
      <c r="L401" s="66">
        <f>'Project Database'!P405</f>
        <v>0</v>
      </c>
      <c r="M401" s="66">
        <f>'Project Database'!Q405</f>
        <v>0</v>
      </c>
      <c r="N401" s="66">
        <f>'Project Database'!R405</f>
        <v>0</v>
      </c>
      <c r="O401" s="66">
        <f>'Project Database'!S405</f>
        <v>0</v>
      </c>
      <c r="P401" s="66">
        <f>'Project Database'!T405</f>
        <v>0</v>
      </c>
      <c r="Q401" s="66">
        <f>'Project Database'!U405</f>
        <v>0</v>
      </c>
      <c r="R401" s="66">
        <f>'Project Database'!V405</f>
        <v>0</v>
      </c>
      <c r="S401" s="66">
        <f>'Project Database'!W405</f>
        <v>0</v>
      </c>
      <c r="T401" s="66">
        <f>'Project Database'!X405</f>
        <v>0</v>
      </c>
      <c r="U401" s="67">
        <f>'Project Database'!Y405</f>
        <v>0</v>
      </c>
      <c r="V401" s="66">
        <f>IF('Smart Search'!B13=1,IFERROR(1/'Smart Search'!H13,0),0)</f>
        <v>0</v>
      </c>
      <c r="W401" s="66">
        <f>IF('Smart Search'!B13=1,IFERROR(1/'Smart Search'!H13,0),0)</f>
        <v>0</v>
      </c>
      <c r="X401" s="66">
        <f>IF('Smart Search'!C13=1,IFERROR(1/'Smart Search'!H13,0),0)</f>
        <v>0.5</v>
      </c>
      <c r="Y401" s="66">
        <f>IF('Smart Search'!C13=1,IFERROR(1/'Smart Search'!H13,0),0)</f>
        <v>0.5</v>
      </c>
      <c r="Z401" s="66">
        <f>IF('Smart Search'!D13=1,IFERROR(1/'Smart Search'!H13,0),0)</f>
        <v>0</v>
      </c>
      <c r="AA401" s="66">
        <f>IF('Smart Search'!D13=1,IFERROR(1/'Smart Search'!H13,0),0)</f>
        <v>0</v>
      </c>
      <c r="AB401" s="66">
        <f>IF('Smart Search'!E13=1,IFERROR(1/'Smart Search'!H13,0),0)</f>
        <v>0</v>
      </c>
      <c r="AC401" s="66">
        <f>IF('Smart Search'!E13=1,IFERROR(1/'Smart Search'!H13,0),0)</f>
        <v>0</v>
      </c>
      <c r="AD401" s="66">
        <f>IF('Smart Search'!F13=1,IFERROR(1/'Smart Search'!H13,0),0)</f>
        <v>0</v>
      </c>
      <c r="AE401" s="66">
        <f>IF('Smart Search'!F13=1,IFERROR(1/'Smart Search'!H13,0),0)</f>
        <v>0</v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>0</v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>0</v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>0</v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>0</v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>0</v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>0</v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>0</v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>0</v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>0</v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>0</v>
      </c>
      <c r="AP401" s="66">
        <f t="shared" si="84"/>
        <v>0</v>
      </c>
      <c r="AQ401" s="66">
        <f t="shared" si="85"/>
        <v>0</v>
      </c>
      <c r="AR401" s="66">
        <f t="shared" si="86"/>
        <v>0</v>
      </c>
      <c r="AS401" s="66">
        <f t="shared" si="87"/>
        <v>0</v>
      </c>
      <c r="AT401" s="66">
        <f t="shared" si="88"/>
        <v>0</v>
      </c>
      <c r="AU401" s="66">
        <f t="shared" si="89"/>
        <v>0</v>
      </c>
      <c r="AV401" s="66">
        <f t="shared" si="90"/>
        <v>0</v>
      </c>
      <c r="AW401" s="66">
        <f t="shared" si="91"/>
        <v>0</v>
      </c>
      <c r="AX401" s="66">
        <f t="shared" si="92"/>
        <v>0</v>
      </c>
      <c r="AY401" s="66">
        <f t="shared" si="93"/>
        <v>0</v>
      </c>
      <c r="AZ401" s="66">
        <f>'Project Database'!Z405</f>
        <v>0</v>
      </c>
      <c r="BA401" s="66">
        <f>IF(OR(A401="",'Smart Search'!H13=0),"",MAX(0,BE401*BF401*MAX(0,1-BG401)))</f>
        <v>0</v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>0</v>
      </c>
      <c r="BC401" s="66">
        <f>IF('Smart Search'!G13=1,IFERROR(1/'Smart Search'!H13,0),0)</f>
        <v>0</v>
      </c>
      <c r="BD401" s="66">
        <f t="shared" si="94"/>
        <v>0</v>
      </c>
      <c r="BE401" s="66">
        <f t="shared" si="95"/>
        <v>0</v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>0</v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>0</v>
      </c>
      <c r="BH401" s="5" t="str">
        <f>IF(AND('Project Database'!A405&lt;&gt;"",OR('Smart Search'!$L$5="",'Smart Search'!$L$5="All",TRIM('Project Database'!D405)=TRIM('Smart Search'!$L$5)),OR(TRIM('Smart Search'!$L$6)="",TRIM('Smart Search'!$L$6)="All",ISNUMBER(SEARCH(SUBSTITUTE(SUBSTITUTE(SUBSTITUTE(TRIM('Smart Search'!$L$6),"~","~~"),"*","~*"),"?","~?"),'Project Database'!C405))),OR('Smart Search'!$L$7="",AND('Project Database'!E405&lt;&gt;"",'Project Database'!E405='Smart Search'!$L$7)),OR('Smart Search'!$L$8="",'Smart Search'!$L$8="All",TRIM('Project Database'!F405)=TRIM('Smart Search'!$L$8))),IF(BA401="","",BA401+ROW()*0.0000000001),"")</f>
        <v/>
      </c>
      <c r="BI401" s="5" t="str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 t="str">
        <f>IF('Project Database'!A405="","",N('Project Database'!AC405))</f>
        <v/>
      </c>
      <c r="BK401" s="5" t="str">
        <f>IF('Project Database'!A405="","",N('Project Database'!AD405))</f>
        <v/>
      </c>
      <c r="BL401" s="5" t="str">
        <f>IF('Project Database'!A405="","",N('Project Database'!AE405))</f>
        <v/>
      </c>
      <c r="BM401" s="5" t="str">
        <f>IF('Project Database'!A405="","",N('Project Database'!AF405))</f>
        <v/>
      </c>
      <c r="BN401" s="5" t="str">
        <f>IF('Project Database'!A405="","",N('Project Database'!AG405))</f>
        <v/>
      </c>
      <c r="BO401" s="5" t="str">
        <f>IF('Project Database'!A405="","",N('Project Database'!AH405))</f>
        <v/>
      </c>
      <c r="BP401" s="5" t="str">
        <f>IF('Project Database'!A405="","",N('Project Database'!AI405))</f>
        <v/>
      </c>
      <c r="BQ401" s="5" t="str">
        <f>IF('Project Database'!A405="","",N('Project Database'!AJ405))</f>
        <v/>
      </c>
      <c r="BR401" s="5" t="str">
        <f>IF('Project Database'!A405="","",N('Project Database'!AK405))</f>
        <v/>
      </c>
      <c r="BS401" s="5" t="str">
        <f>IF('Project Database'!A405="","",N('Project Database'!AL405))</f>
        <v/>
      </c>
      <c r="BT401" s="5" t="str">
        <f>IF('Project Database'!A405="","",N('Project Database'!AM405))</f>
        <v/>
      </c>
      <c r="BU401" s="5" t="str">
        <f>IF('Project Database'!A405="","",N('Project Database'!AN405))</f>
        <v/>
      </c>
      <c r="BV401" s="5" t="str">
        <f>IF('Project Database'!A405="","",N('Project Database'!AO405))</f>
        <v/>
      </c>
      <c r="BW401" s="5" t="str">
        <f>IF('Project Database'!A405="","",N('Project Database'!AP405))</f>
        <v/>
      </c>
      <c r="BX401" s="5">
        <f t="shared" si="96"/>
        <v>0</v>
      </c>
      <c r="BY401" s="5">
        <f t="shared" si="97"/>
        <v>0</v>
      </c>
    </row>
    <row r="402" spans="1:77" ht="15" customHeight="1" x14ac:dyDescent="0.3">
      <c r="A402" s="66">
        <f>'Project Database'!A406</f>
        <v>0</v>
      </c>
      <c r="B402" s="66">
        <f>'Project Database'!B406</f>
        <v>0</v>
      </c>
      <c r="C402" s="66">
        <f>'Project Database'!G406</f>
        <v>0</v>
      </c>
      <c r="D402" s="66">
        <f>'Project Database'!H406</f>
        <v>0</v>
      </c>
      <c r="E402" s="66">
        <f>'Project Database'!I406</f>
        <v>0</v>
      </c>
      <c r="F402" s="66">
        <f>'Project Database'!J406</f>
        <v>0</v>
      </c>
      <c r="G402" s="66">
        <f>'Project Database'!K406</f>
        <v>0</v>
      </c>
      <c r="H402" s="66">
        <f>'Project Database'!L406</f>
        <v>0</v>
      </c>
      <c r="I402" s="66">
        <f>'Project Database'!M406</f>
        <v>0</v>
      </c>
      <c r="J402" s="66">
        <f>'Project Database'!N406</f>
        <v>0</v>
      </c>
      <c r="K402" s="66">
        <f>'Project Database'!O406</f>
        <v>0</v>
      </c>
      <c r="L402" s="66">
        <f>'Project Database'!P406</f>
        <v>0</v>
      </c>
      <c r="M402" s="66">
        <f>'Project Database'!Q406</f>
        <v>0</v>
      </c>
      <c r="N402" s="66">
        <f>'Project Database'!R406</f>
        <v>0</v>
      </c>
      <c r="O402" s="66">
        <f>'Project Database'!S406</f>
        <v>0</v>
      </c>
      <c r="P402" s="66">
        <f>'Project Database'!T406</f>
        <v>0</v>
      </c>
      <c r="Q402" s="66">
        <f>'Project Database'!U406</f>
        <v>0</v>
      </c>
      <c r="R402" s="66">
        <f>'Project Database'!V406</f>
        <v>0</v>
      </c>
      <c r="S402" s="66">
        <f>'Project Database'!W406</f>
        <v>0</v>
      </c>
      <c r="T402" s="66">
        <f>'Project Database'!X406</f>
        <v>0</v>
      </c>
      <c r="U402" s="67">
        <f>'Project Database'!Y406</f>
        <v>0</v>
      </c>
      <c r="V402" s="66">
        <f>IF('Smart Search'!B13=1,IFERROR(1/'Smart Search'!H13,0),0)</f>
        <v>0</v>
      </c>
      <c r="W402" s="66">
        <f>IF('Smart Search'!B13=1,IFERROR(1/'Smart Search'!H13,0),0)</f>
        <v>0</v>
      </c>
      <c r="X402" s="66">
        <f>IF('Smart Search'!C13=1,IFERROR(1/'Smart Search'!H13,0),0)</f>
        <v>0.5</v>
      </c>
      <c r="Y402" s="66">
        <f>IF('Smart Search'!C13=1,IFERROR(1/'Smart Search'!H13,0),0)</f>
        <v>0.5</v>
      </c>
      <c r="Z402" s="66">
        <f>IF('Smart Search'!D13=1,IFERROR(1/'Smart Search'!H13,0),0)</f>
        <v>0</v>
      </c>
      <c r="AA402" s="66">
        <f>IF('Smart Search'!D13=1,IFERROR(1/'Smart Search'!H13,0),0)</f>
        <v>0</v>
      </c>
      <c r="AB402" s="66">
        <f>IF('Smart Search'!E13=1,IFERROR(1/'Smart Search'!H13,0),0)</f>
        <v>0</v>
      </c>
      <c r="AC402" s="66">
        <f>IF('Smart Search'!E13=1,IFERROR(1/'Smart Search'!H13,0),0)</f>
        <v>0</v>
      </c>
      <c r="AD402" s="66">
        <f>IF('Smart Search'!F13=1,IFERROR(1/'Smart Search'!H13,0),0)</f>
        <v>0</v>
      </c>
      <c r="AE402" s="66">
        <f>IF('Smart Search'!F13=1,IFERROR(1/'Smart Search'!H13,0),0)</f>
        <v>0</v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>0</v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>0</v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>0</v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>0</v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>0</v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>0</v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>0</v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>0</v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>0</v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>0</v>
      </c>
      <c r="AP402" s="66">
        <f t="shared" si="84"/>
        <v>0</v>
      </c>
      <c r="AQ402" s="66">
        <f t="shared" si="85"/>
        <v>0</v>
      </c>
      <c r="AR402" s="66">
        <f t="shared" si="86"/>
        <v>0</v>
      </c>
      <c r="AS402" s="66">
        <f t="shared" si="87"/>
        <v>0</v>
      </c>
      <c r="AT402" s="66">
        <f t="shared" si="88"/>
        <v>0</v>
      </c>
      <c r="AU402" s="66">
        <f t="shared" si="89"/>
        <v>0</v>
      </c>
      <c r="AV402" s="66">
        <f t="shared" si="90"/>
        <v>0</v>
      </c>
      <c r="AW402" s="66">
        <f t="shared" si="91"/>
        <v>0</v>
      </c>
      <c r="AX402" s="66">
        <f t="shared" si="92"/>
        <v>0</v>
      </c>
      <c r="AY402" s="66">
        <f t="shared" si="93"/>
        <v>0</v>
      </c>
      <c r="AZ402" s="66">
        <f>'Project Database'!Z406</f>
        <v>0</v>
      </c>
      <c r="BA402" s="66">
        <f>IF(OR(A402="",'Smart Search'!H13=0),"",MAX(0,BE402*BF402*MAX(0,1-BG402)))</f>
        <v>0</v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>0</v>
      </c>
      <c r="BC402" s="66">
        <f>IF('Smart Search'!G13=1,IFERROR(1/'Smart Search'!H13,0),0)</f>
        <v>0</v>
      </c>
      <c r="BD402" s="66">
        <f t="shared" si="94"/>
        <v>0</v>
      </c>
      <c r="BE402" s="66">
        <f t="shared" si="95"/>
        <v>0</v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>0</v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>0</v>
      </c>
      <c r="BH402" s="5" t="str">
        <f>IF(AND('Project Database'!A406&lt;&gt;"",OR('Smart Search'!$L$5="",'Smart Search'!$L$5="All",TRIM('Project Database'!D406)=TRIM('Smart Search'!$L$5)),OR(TRIM('Smart Search'!$L$6)="",TRIM('Smart Search'!$L$6)="All",ISNUMBER(SEARCH(SUBSTITUTE(SUBSTITUTE(SUBSTITUTE(TRIM('Smart Search'!$L$6),"~","~~"),"*","~*"),"?","~?"),'Project Database'!C406))),OR('Smart Search'!$L$7="",AND('Project Database'!E406&lt;&gt;"",'Project Database'!E406='Smart Search'!$L$7)),OR('Smart Search'!$L$8="",'Smart Search'!$L$8="All",TRIM('Project Database'!F406)=TRIM('Smart Search'!$L$8))),IF(BA402="","",BA402+ROW()*0.0000000001),"")</f>
        <v/>
      </c>
      <c r="BI402" s="5" t="str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 t="str">
        <f>IF('Project Database'!A406="","",N('Project Database'!AC406))</f>
        <v/>
      </c>
      <c r="BK402" s="5" t="str">
        <f>IF('Project Database'!A406="","",N('Project Database'!AD406))</f>
        <v/>
      </c>
      <c r="BL402" s="5" t="str">
        <f>IF('Project Database'!A406="","",N('Project Database'!AE406))</f>
        <v/>
      </c>
      <c r="BM402" s="5" t="str">
        <f>IF('Project Database'!A406="","",N('Project Database'!AF406))</f>
        <v/>
      </c>
      <c r="BN402" s="5" t="str">
        <f>IF('Project Database'!A406="","",N('Project Database'!AG406))</f>
        <v/>
      </c>
      <c r="BO402" s="5" t="str">
        <f>IF('Project Database'!A406="","",N('Project Database'!AH406))</f>
        <v/>
      </c>
      <c r="BP402" s="5" t="str">
        <f>IF('Project Database'!A406="","",N('Project Database'!AI406))</f>
        <v/>
      </c>
      <c r="BQ402" s="5" t="str">
        <f>IF('Project Database'!A406="","",N('Project Database'!AJ406))</f>
        <v/>
      </c>
      <c r="BR402" s="5" t="str">
        <f>IF('Project Database'!A406="","",N('Project Database'!AK406))</f>
        <v/>
      </c>
      <c r="BS402" s="5" t="str">
        <f>IF('Project Database'!A406="","",N('Project Database'!AL406))</f>
        <v/>
      </c>
      <c r="BT402" s="5" t="str">
        <f>IF('Project Database'!A406="","",N('Project Database'!AM406))</f>
        <v/>
      </c>
      <c r="BU402" s="5" t="str">
        <f>IF('Project Database'!A406="","",N('Project Database'!AN406))</f>
        <v/>
      </c>
      <c r="BV402" s="5" t="str">
        <f>IF('Project Database'!A406="","",N('Project Database'!AO406))</f>
        <v/>
      </c>
      <c r="BW402" s="5" t="str">
        <f>IF('Project Database'!A406="","",N('Project Database'!AP406))</f>
        <v/>
      </c>
      <c r="BX402" s="5">
        <f t="shared" si="96"/>
        <v>0</v>
      </c>
      <c r="BY402" s="5">
        <f t="shared" si="97"/>
        <v>0</v>
      </c>
    </row>
    <row r="403" spans="1:77" ht="15" customHeight="1" x14ac:dyDescent="0.3">
      <c r="A403" s="66">
        <f>'Project Database'!A407</f>
        <v>0</v>
      </c>
      <c r="B403" s="66">
        <f>'Project Database'!B407</f>
        <v>0</v>
      </c>
      <c r="C403" s="66">
        <f>'Project Database'!G407</f>
        <v>0</v>
      </c>
      <c r="D403" s="66">
        <f>'Project Database'!H407</f>
        <v>0</v>
      </c>
      <c r="E403" s="66">
        <f>'Project Database'!I407</f>
        <v>0</v>
      </c>
      <c r="F403" s="66">
        <f>'Project Database'!J407</f>
        <v>0</v>
      </c>
      <c r="G403" s="66">
        <f>'Project Database'!K407</f>
        <v>0</v>
      </c>
      <c r="H403" s="66">
        <f>'Project Database'!L407</f>
        <v>0</v>
      </c>
      <c r="I403" s="66">
        <f>'Project Database'!M407</f>
        <v>0</v>
      </c>
      <c r="J403" s="66">
        <f>'Project Database'!N407</f>
        <v>0</v>
      </c>
      <c r="K403" s="66">
        <f>'Project Database'!O407</f>
        <v>0</v>
      </c>
      <c r="L403" s="66">
        <f>'Project Database'!P407</f>
        <v>0</v>
      </c>
      <c r="M403" s="66">
        <f>'Project Database'!Q407</f>
        <v>0</v>
      </c>
      <c r="N403" s="66">
        <f>'Project Database'!R407</f>
        <v>0</v>
      </c>
      <c r="O403" s="66">
        <f>'Project Database'!S407</f>
        <v>0</v>
      </c>
      <c r="P403" s="66">
        <f>'Project Database'!T407</f>
        <v>0</v>
      </c>
      <c r="Q403" s="66">
        <f>'Project Database'!U407</f>
        <v>0</v>
      </c>
      <c r="R403" s="66">
        <f>'Project Database'!V407</f>
        <v>0</v>
      </c>
      <c r="S403" s="66">
        <f>'Project Database'!W407</f>
        <v>0</v>
      </c>
      <c r="T403" s="66">
        <f>'Project Database'!X407</f>
        <v>0</v>
      </c>
      <c r="U403" s="67">
        <f>'Project Database'!Y407</f>
        <v>0</v>
      </c>
      <c r="V403" s="66">
        <f>IF('Smart Search'!B13=1,IFERROR(1/'Smart Search'!H13,0),0)</f>
        <v>0</v>
      </c>
      <c r="W403" s="66">
        <f>IF('Smart Search'!B13=1,IFERROR(1/'Smart Search'!H13,0),0)</f>
        <v>0</v>
      </c>
      <c r="X403" s="66">
        <f>IF('Smart Search'!C13=1,IFERROR(1/'Smart Search'!H13,0),0)</f>
        <v>0.5</v>
      </c>
      <c r="Y403" s="66">
        <f>IF('Smart Search'!C13=1,IFERROR(1/'Smart Search'!H13,0),0)</f>
        <v>0.5</v>
      </c>
      <c r="Z403" s="66">
        <f>IF('Smart Search'!D13=1,IFERROR(1/'Smart Search'!H13,0),0)</f>
        <v>0</v>
      </c>
      <c r="AA403" s="66">
        <f>IF('Smart Search'!D13=1,IFERROR(1/'Smart Search'!H13,0),0)</f>
        <v>0</v>
      </c>
      <c r="AB403" s="66">
        <f>IF('Smart Search'!E13=1,IFERROR(1/'Smart Search'!H13,0),0)</f>
        <v>0</v>
      </c>
      <c r="AC403" s="66">
        <f>IF('Smart Search'!E13=1,IFERROR(1/'Smart Search'!H13,0),0)</f>
        <v>0</v>
      </c>
      <c r="AD403" s="66">
        <f>IF('Smart Search'!F13=1,IFERROR(1/'Smart Search'!H13,0),0)</f>
        <v>0</v>
      </c>
      <c r="AE403" s="66">
        <f>IF('Smart Search'!F13=1,IFERROR(1/'Smart Search'!H13,0),0)</f>
        <v>0</v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>0</v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>0</v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>0</v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>0</v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>0</v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>0</v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>0</v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>0</v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>0</v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>0</v>
      </c>
      <c r="AP403" s="66">
        <f t="shared" si="84"/>
        <v>0</v>
      </c>
      <c r="AQ403" s="66">
        <f t="shared" si="85"/>
        <v>0</v>
      </c>
      <c r="AR403" s="66">
        <f t="shared" si="86"/>
        <v>0</v>
      </c>
      <c r="AS403" s="66">
        <f t="shared" si="87"/>
        <v>0</v>
      </c>
      <c r="AT403" s="66">
        <f t="shared" si="88"/>
        <v>0</v>
      </c>
      <c r="AU403" s="66">
        <f t="shared" si="89"/>
        <v>0</v>
      </c>
      <c r="AV403" s="66">
        <f t="shared" si="90"/>
        <v>0</v>
      </c>
      <c r="AW403" s="66">
        <f t="shared" si="91"/>
        <v>0</v>
      </c>
      <c r="AX403" s="66">
        <f t="shared" si="92"/>
        <v>0</v>
      </c>
      <c r="AY403" s="66">
        <f t="shared" si="93"/>
        <v>0</v>
      </c>
      <c r="AZ403" s="66">
        <f>'Project Database'!Z407</f>
        <v>0</v>
      </c>
      <c r="BA403" s="66">
        <f>IF(OR(A403="",'Smart Search'!H13=0),"",MAX(0,BE403*BF403*MAX(0,1-BG403)))</f>
        <v>0</v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>0</v>
      </c>
      <c r="BC403" s="66">
        <f>IF('Smart Search'!G13=1,IFERROR(1/'Smart Search'!H13,0),0)</f>
        <v>0</v>
      </c>
      <c r="BD403" s="66">
        <f t="shared" si="94"/>
        <v>0</v>
      </c>
      <c r="BE403" s="66">
        <f t="shared" si="95"/>
        <v>0</v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>0</v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>0</v>
      </c>
      <c r="BH403" s="5" t="str">
        <f>IF(AND('Project Database'!A407&lt;&gt;"",OR('Smart Search'!$L$5="",'Smart Search'!$L$5="All",TRIM('Project Database'!D407)=TRIM('Smart Search'!$L$5)),OR(TRIM('Smart Search'!$L$6)="",TRIM('Smart Search'!$L$6)="All",ISNUMBER(SEARCH(SUBSTITUTE(SUBSTITUTE(SUBSTITUTE(TRIM('Smart Search'!$L$6),"~","~~"),"*","~*"),"?","~?"),'Project Database'!C407))),OR('Smart Search'!$L$7="",AND('Project Database'!E407&lt;&gt;"",'Project Database'!E407='Smart Search'!$L$7)),OR('Smart Search'!$L$8="",'Smart Search'!$L$8="All",TRIM('Project Database'!F407)=TRIM('Smart Search'!$L$8))),IF(BA403="","",BA403+ROW()*0.0000000001),"")</f>
        <v/>
      </c>
      <c r="BI403" s="5" t="str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 t="str">
        <f>IF('Project Database'!A407="","",N('Project Database'!AC407))</f>
        <v/>
      </c>
      <c r="BK403" s="5" t="str">
        <f>IF('Project Database'!A407="","",N('Project Database'!AD407))</f>
        <v/>
      </c>
      <c r="BL403" s="5" t="str">
        <f>IF('Project Database'!A407="","",N('Project Database'!AE407))</f>
        <v/>
      </c>
      <c r="BM403" s="5" t="str">
        <f>IF('Project Database'!A407="","",N('Project Database'!AF407))</f>
        <v/>
      </c>
      <c r="BN403" s="5" t="str">
        <f>IF('Project Database'!A407="","",N('Project Database'!AG407))</f>
        <v/>
      </c>
      <c r="BO403" s="5" t="str">
        <f>IF('Project Database'!A407="","",N('Project Database'!AH407))</f>
        <v/>
      </c>
      <c r="BP403" s="5" t="str">
        <f>IF('Project Database'!A407="","",N('Project Database'!AI407))</f>
        <v/>
      </c>
      <c r="BQ403" s="5" t="str">
        <f>IF('Project Database'!A407="","",N('Project Database'!AJ407))</f>
        <v/>
      </c>
      <c r="BR403" s="5" t="str">
        <f>IF('Project Database'!A407="","",N('Project Database'!AK407))</f>
        <v/>
      </c>
      <c r="BS403" s="5" t="str">
        <f>IF('Project Database'!A407="","",N('Project Database'!AL407))</f>
        <v/>
      </c>
      <c r="BT403" s="5" t="str">
        <f>IF('Project Database'!A407="","",N('Project Database'!AM407))</f>
        <v/>
      </c>
      <c r="BU403" s="5" t="str">
        <f>IF('Project Database'!A407="","",N('Project Database'!AN407))</f>
        <v/>
      </c>
      <c r="BV403" s="5" t="str">
        <f>IF('Project Database'!A407="","",N('Project Database'!AO407))</f>
        <v/>
      </c>
      <c r="BW403" s="5" t="str">
        <f>IF('Project Database'!A407="","",N('Project Database'!AP407))</f>
        <v/>
      </c>
      <c r="BX403" s="5">
        <f t="shared" si="96"/>
        <v>0</v>
      </c>
      <c r="BY403" s="5">
        <f t="shared" si="97"/>
        <v>0</v>
      </c>
    </row>
    <row r="404" spans="1:77" ht="15" customHeight="1" x14ac:dyDescent="0.3">
      <c r="A404" s="66">
        <f>'Project Database'!A408</f>
        <v>0</v>
      </c>
      <c r="B404" s="66">
        <f>'Project Database'!B408</f>
        <v>0</v>
      </c>
      <c r="C404" s="66">
        <f>'Project Database'!G408</f>
        <v>0</v>
      </c>
      <c r="D404" s="66">
        <f>'Project Database'!H408</f>
        <v>0</v>
      </c>
      <c r="E404" s="66">
        <f>'Project Database'!I408</f>
        <v>0</v>
      </c>
      <c r="F404" s="66">
        <f>'Project Database'!J408</f>
        <v>0</v>
      </c>
      <c r="G404" s="66">
        <f>'Project Database'!K408</f>
        <v>0</v>
      </c>
      <c r="H404" s="66">
        <f>'Project Database'!L408</f>
        <v>0</v>
      </c>
      <c r="I404" s="66">
        <f>'Project Database'!M408</f>
        <v>0</v>
      </c>
      <c r="J404" s="66">
        <f>'Project Database'!N408</f>
        <v>0</v>
      </c>
      <c r="K404" s="66">
        <f>'Project Database'!O408</f>
        <v>0</v>
      </c>
      <c r="L404" s="66">
        <f>'Project Database'!P408</f>
        <v>0</v>
      </c>
      <c r="M404" s="66">
        <f>'Project Database'!Q408</f>
        <v>0</v>
      </c>
      <c r="N404" s="66">
        <f>'Project Database'!R408</f>
        <v>0</v>
      </c>
      <c r="O404" s="66">
        <f>'Project Database'!S408</f>
        <v>0</v>
      </c>
      <c r="P404" s="66">
        <f>'Project Database'!T408</f>
        <v>0</v>
      </c>
      <c r="Q404" s="66">
        <f>'Project Database'!U408</f>
        <v>0</v>
      </c>
      <c r="R404" s="66">
        <f>'Project Database'!V408</f>
        <v>0</v>
      </c>
      <c r="S404" s="66">
        <f>'Project Database'!W408</f>
        <v>0</v>
      </c>
      <c r="T404" s="66">
        <f>'Project Database'!X408</f>
        <v>0</v>
      </c>
      <c r="U404" s="67">
        <f>'Project Database'!Y408</f>
        <v>0</v>
      </c>
      <c r="V404" s="66">
        <f>IF('Smart Search'!B13=1,IFERROR(1/'Smart Search'!H13,0),0)</f>
        <v>0</v>
      </c>
      <c r="W404" s="66">
        <f>IF('Smart Search'!B13=1,IFERROR(1/'Smart Search'!H13,0),0)</f>
        <v>0</v>
      </c>
      <c r="X404" s="66">
        <f>IF('Smart Search'!C13=1,IFERROR(1/'Smart Search'!H13,0),0)</f>
        <v>0.5</v>
      </c>
      <c r="Y404" s="66">
        <f>IF('Smart Search'!C13=1,IFERROR(1/'Smart Search'!H13,0),0)</f>
        <v>0.5</v>
      </c>
      <c r="Z404" s="66">
        <f>IF('Smart Search'!D13=1,IFERROR(1/'Smart Search'!H13,0),0)</f>
        <v>0</v>
      </c>
      <c r="AA404" s="66">
        <f>IF('Smart Search'!D13=1,IFERROR(1/'Smart Search'!H13,0),0)</f>
        <v>0</v>
      </c>
      <c r="AB404" s="66">
        <f>IF('Smart Search'!E13=1,IFERROR(1/'Smart Search'!H13,0),0)</f>
        <v>0</v>
      </c>
      <c r="AC404" s="66">
        <f>IF('Smart Search'!E13=1,IFERROR(1/'Smart Search'!H13,0),0)</f>
        <v>0</v>
      </c>
      <c r="AD404" s="66">
        <f>IF('Smart Search'!F13=1,IFERROR(1/'Smart Search'!H13,0),0)</f>
        <v>0</v>
      </c>
      <c r="AE404" s="66">
        <f>IF('Smart Search'!F13=1,IFERROR(1/'Smart Search'!H13,0),0)</f>
        <v>0</v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>0</v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>0</v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>0</v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>0</v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>0</v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>0</v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>0</v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>0</v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>0</v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>0</v>
      </c>
      <c r="AP404" s="66">
        <f t="shared" si="84"/>
        <v>0</v>
      </c>
      <c r="AQ404" s="66">
        <f t="shared" si="85"/>
        <v>0</v>
      </c>
      <c r="AR404" s="66">
        <f t="shared" si="86"/>
        <v>0</v>
      </c>
      <c r="AS404" s="66">
        <f t="shared" si="87"/>
        <v>0</v>
      </c>
      <c r="AT404" s="66">
        <f t="shared" si="88"/>
        <v>0</v>
      </c>
      <c r="AU404" s="66">
        <f t="shared" si="89"/>
        <v>0</v>
      </c>
      <c r="AV404" s="66">
        <f t="shared" si="90"/>
        <v>0</v>
      </c>
      <c r="AW404" s="66">
        <f t="shared" si="91"/>
        <v>0</v>
      </c>
      <c r="AX404" s="66">
        <f t="shared" si="92"/>
        <v>0</v>
      </c>
      <c r="AY404" s="66">
        <f t="shared" si="93"/>
        <v>0</v>
      </c>
      <c r="AZ404" s="66">
        <f>'Project Database'!Z408</f>
        <v>0</v>
      </c>
      <c r="BA404" s="66">
        <f>IF(OR(A404="",'Smart Search'!H13=0),"",MAX(0,BE404*BF404*MAX(0,1-BG404)))</f>
        <v>0</v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>0</v>
      </c>
      <c r="BC404" s="66">
        <f>IF('Smart Search'!G13=1,IFERROR(1/'Smart Search'!H13,0),0)</f>
        <v>0</v>
      </c>
      <c r="BD404" s="66">
        <f t="shared" si="94"/>
        <v>0</v>
      </c>
      <c r="BE404" s="66">
        <f t="shared" si="95"/>
        <v>0</v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>0</v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>0</v>
      </c>
      <c r="BH404" s="5" t="str">
        <f>IF(AND('Project Database'!A408&lt;&gt;"",OR('Smart Search'!$L$5="",'Smart Search'!$L$5="All",TRIM('Project Database'!D408)=TRIM('Smart Search'!$L$5)),OR(TRIM('Smart Search'!$L$6)="",TRIM('Smart Search'!$L$6)="All",ISNUMBER(SEARCH(SUBSTITUTE(SUBSTITUTE(SUBSTITUTE(TRIM('Smart Search'!$L$6),"~","~~"),"*","~*"),"?","~?"),'Project Database'!C408))),OR('Smart Search'!$L$7="",AND('Project Database'!E408&lt;&gt;"",'Project Database'!E408='Smart Search'!$L$7)),OR('Smart Search'!$L$8="",'Smart Search'!$L$8="All",TRIM('Project Database'!F408)=TRIM('Smart Search'!$L$8))),IF(BA404="","",BA404+ROW()*0.0000000001),"")</f>
        <v/>
      </c>
      <c r="BI404" s="5" t="str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 t="str">
        <f>IF('Project Database'!A408="","",N('Project Database'!AC408))</f>
        <v/>
      </c>
      <c r="BK404" s="5" t="str">
        <f>IF('Project Database'!A408="","",N('Project Database'!AD408))</f>
        <v/>
      </c>
      <c r="BL404" s="5" t="str">
        <f>IF('Project Database'!A408="","",N('Project Database'!AE408))</f>
        <v/>
      </c>
      <c r="BM404" s="5" t="str">
        <f>IF('Project Database'!A408="","",N('Project Database'!AF408))</f>
        <v/>
      </c>
      <c r="BN404" s="5" t="str">
        <f>IF('Project Database'!A408="","",N('Project Database'!AG408))</f>
        <v/>
      </c>
      <c r="BO404" s="5" t="str">
        <f>IF('Project Database'!A408="","",N('Project Database'!AH408))</f>
        <v/>
      </c>
      <c r="BP404" s="5" t="str">
        <f>IF('Project Database'!A408="","",N('Project Database'!AI408))</f>
        <v/>
      </c>
      <c r="BQ404" s="5" t="str">
        <f>IF('Project Database'!A408="","",N('Project Database'!AJ408))</f>
        <v/>
      </c>
      <c r="BR404" s="5" t="str">
        <f>IF('Project Database'!A408="","",N('Project Database'!AK408))</f>
        <v/>
      </c>
      <c r="BS404" s="5" t="str">
        <f>IF('Project Database'!A408="","",N('Project Database'!AL408))</f>
        <v/>
      </c>
      <c r="BT404" s="5" t="str">
        <f>IF('Project Database'!A408="","",N('Project Database'!AM408))</f>
        <v/>
      </c>
      <c r="BU404" s="5" t="str">
        <f>IF('Project Database'!A408="","",N('Project Database'!AN408))</f>
        <v/>
      </c>
      <c r="BV404" s="5" t="str">
        <f>IF('Project Database'!A408="","",N('Project Database'!AO408))</f>
        <v/>
      </c>
      <c r="BW404" s="5" t="str">
        <f>IF('Project Database'!A408="","",N('Project Database'!AP408))</f>
        <v/>
      </c>
      <c r="BX404" s="5">
        <f t="shared" si="96"/>
        <v>0</v>
      </c>
      <c r="BY404" s="5">
        <f t="shared" si="97"/>
        <v>0</v>
      </c>
    </row>
    <row r="405" spans="1:77" ht="15" customHeight="1" x14ac:dyDescent="0.3">
      <c r="A405" s="66">
        <f>'Project Database'!A409</f>
        <v>0</v>
      </c>
      <c r="B405" s="66">
        <f>'Project Database'!B409</f>
        <v>0</v>
      </c>
      <c r="C405" s="66">
        <f>'Project Database'!G409</f>
        <v>0</v>
      </c>
      <c r="D405" s="66">
        <f>'Project Database'!H409</f>
        <v>0</v>
      </c>
      <c r="E405" s="66">
        <f>'Project Database'!I409</f>
        <v>0</v>
      </c>
      <c r="F405" s="66">
        <f>'Project Database'!J409</f>
        <v>0</v>
      </c>
      <c r="G405" s="66">
        <f>'Project Database'!K409</f>
        <v>0</v>
      </c>
      <c r="H405" s="66">
        <f>'Project Database'!L409</f>
        <v>0</v>
      </c>
      <c r="I405" s="66">
        <f>'Project Database'!M409</f>
        <v>0</v>
      </c>
      <c r="J405" s="66">
        <f>'Project Database'!N409</f>
        <v>0</v>
      </c>
      <c r="K405" s="66">
        <f>'Project Database'!O409</f>
        <v>0</v>
      </c>
      <c r="L405" s="66">
        <f>'Project Database'!P409</f>
        <v>0</v>
      </c>
      <c r="M405" s="66">
        <f>'Project Database'!Q409</f>
        <v>0</v>
      </c>
      <c r="N405" s="66">
        <f>'Project Database'!R409</f>
        <v>0</v>
      </c>
      <c r="O405" s="66">
        <f>'Project Database'!S409</f>
        <v>0</v>
      </c>
      <c r="P405" s="66">
        <f>'Project Database'!T409</f>
        <v>0</v>
      </c>
      <c r="Q405" s="66">
        <f>'Project Database'!U409</f>
        <v>0</v>
      </c>
      <c r="R405" s="66">
        <f>'Project Database'!V409</f>
        <v>0</v>
      </c>
      <c r="S405" s="66">
        <f>'Project Database'!W409</f>
        <v>0</v>
      </c>
      <c r="T405" s="66">
        <f>'Project Database'!X409</f>
        <v>0</v>
      </c>
      <c r="U405" s="67">
        <f>'Project Database'!Y409</f>
        <v>0</v>
      </c>
      <c r="V405" s="66">
        <f>IF('Smart Search'!B13=1,IFERROR(1/'Smart Search'!H13,0),0)</f>
        <v>0</v>
      </c>
      <c r="W405" s="66">
        <f>IF('Smart Search'!B13=1,IFERROR(1/'Smart Search'!H13,0),0)</f>
        <v>0</v>
      </c>
      <c r="X405" s="66">
        <f>IF('Smart Search'!C13=1,IFERROR(1/'Smart Search'!H13,0),0)</f>
        <v>0.5</v>
      </c>
      <c r="Y405" s="66">
        <f>IF('Smart Search'!C13=1,IFERROR(1/'Smart Search'!H13,0),0)</f>
        <v>0.5</v>
      </c>
      <c r="Z405" s="66">
        <f>IF('Smart Search'!D13=1,IFERROR(1/'Smart Search'!H13,0),0)</f>
        <v>0</v>
      </c>
      <c r="AA405" s="66">
        <f>IF('Smart Search'!D13=1,IFERROR(1/'Smart Search'!H13,0),0)</f>
        <v>0</v>
      </c>
      <c r="AB405" s="66">
        <f>IF('Smart Search'!E13=1,IFERROR(1/'Smart Search'!H13,0),0)</f>
        <v>0</v>
      </c>
      <c r="AC405" s="66">
        <f>IF('Smart Search'!E13=1,IFERROR(1/'Smart Search'!H13,0),0)</f>
        <v>0</v>
      </c>
      <c r="AD405" s="66">
        <f>IF('Smart Search'!F13=1,IFERROR(1/'Smart Search'!H13,0),0)</f>
        <v>0</v>
      </c>
      <c r="AE405" s="66">
        <f>IF('Smart Search'!F13=1,IFERROR(1/'Smart Search'!H13,0),0)</f>
        <v>0</v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>0</v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>0</v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>0</v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>0</v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>0</v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>0</v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>0</v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>0</v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>0</v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>0</v>
      </c>
      <c r="AP405" s="66">
        <f t="shared" si="84"/>
        <v>0</v>
      </c>
      <c r="AQ405" s="66">
        <f t="shared" si="85"/>
        <v>0</v>
      </c>
      <c r="AR405" s="66">
        <f t="shared" si="86"/>
        <v>0</v>
      </c>
      <c r="AS405" s="66">
        <f t="shared" si="87"/>
        <v>0</v>
      </c>
      <c r="AT405" s="66">
        <f t="shared" si="88"/>
        <v>0</v>
      </c>
      <c r="AU405" s="66">
        <f t="shared" si="89"/>
        <v>0</v>
      </c>
      <c r="AV405" s="66">
        <f t="shared" si="90"/>
        <v>0</v>
      </c>
      <c r="AW405" s="66">
        <f t="shared" si="91"/>
        <v>0</v>
      </c>
      <c r="AX405" s="66">
        <f t="shared" si="92"/>
        <v>0</v>
      </c>
      <c r="AY405" s="66">
        <f t="shared" si="93"/>
        <v>0</v>
      </c>
      <c r="AZ405" s="66">
        <f>'Project Database'!Z409</f>
        <v>0</v>
      </c>
      <c r="BA405" s="66">
        <f>IF(OR(A405="",'Smart Search'!H13=0),"",MAX(0,BE405*BF405*MAX(0,1-BG405)))</f>
        <v>0</v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>0</v>
      </c>
      <c r="BC405" s="66">
        <f>IF('Smart Search'!G13=1,IFERROR(1/'Smart Search'!H13,0),0)</f>
        <v>0</v>
      </c>
      <c r="BD405" s="66">
        <f t="shared" si="94"/>
        <v>0</v>
      </c>
      <c r="BE405" s="66">
        <f t="shared" si="95"/>
        <v>0</v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>0</v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>0</v>
      </c>
      <c r="BH405" s="5" t="str">
        <f>IF(AND('Project Database'!A409&lt;&gt;"",OR('Smart Search'!$L$5="",'Smart Search'!$L$5="All",TRIM('Project Database'!D409)=TRIM('Smart Search'!$L$5)),OR(TRIM('Smart Search'!$L$6)="",TRIM('Smart Search'!$L$6)="All",ISNUMBER(SEARCH(SUBSTITUTE(SUBSTITUTE(SUBSTITUTE(TRIM('Smart Search'!$L$6),"~","~~"),"*","~*"),"?","~?"),'Project Database'!C409))),OR('Smart Search'!$L$7="",AND('Project Database'!E409&lt;&gt;"",'Project Database'!E409='Smart Search'!$L$7)),OR('Smart Search'!$L$8="",'Smart Search'!$L$8="All",TRIM('Project Database'!F409)=TRIM('Smart Search'!$L$8))),IF(BA405="","",BA405+ROW()*0.0000000001),"")</f>
        <v/>
      </c>
      <c r="BI405" s="5" t="str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 t="str">
        <f>IF('Project Database'!A409="","",N('Project Database'!AC409))</f>
        <v/>
      </c>
      <c r="BK405" s="5" t="str">
        <f>IF('Project Database'!A409="","",N('Project Database'!AD409))</f>
        <v/>
      </c>
      <c r="BL405" s="5" t="str">
        <f>IF('Project Database'!A409="","",N('Project Database'!AE409))</f>
        <v/>
      </c>
      <c r="BM405" s="5" t="str">
        <f>IF('Project Database'!A409="","",N('Project Database'!AF409))</f>
        <v/>
      </c>
      <c r="BN405" s="5" t="str">
        <f>IF('Project Database'!A409="","",N('Project Database'!AG409))</f>
        <v/>
      </c>
      <c r="BO405" s="5" t="str">
        <f>IF('Project Database'!A409="","",N('Project Database'!AH409))</f>
        <v/>
      </c>
      <c r="BP405" s="5" t="str">
        <f>IF('Project Database'!A409="","",N('Project Database'!AI409))</f>
        <v/>
      </c>
      <c r="BQ405" s="5" t="str">
        <f>IF('Project Database'!A409="","",N('Project Database'!AJ409))</f>
        <v/>
      </c>
      <c r="BR405" s="5" t="str">
        <f>IF('Project Database'!A409="","",N('Project Database'!AK409))</f>
        <v/>
      </c>
      <c r="BS405" s="5" t="str">
        <f>IF('Project Database'!A409="","",N('Project Database'!AL409))</f>
        <v/>
      </c>
      <c r="BT405" s="5" t="str">
        <f>IF('Project Database'!A409="","",N('Project Database'!AM409))</f>
        <v/>
      </c>
      <c r="BU405" s="5" t="str">
        <f>IF('Project Database'!A409="","",N('Project Database'!AN409))</f>
        <v/>
      </c>
      <c r="BV405" s="5" t="str">
        <f>IF('Project Database'!A409="","",N('Project Database'!AO409))</f>
        <v/>
      </c>
      <c r="BW405" s="5" t="str">
        <f>IF('Project Database'!A409="","",N('Project Database'!AP409))</f>
        <v/>
      </c>
      <c r="BX405" s="5">
        <f t="shared" si="96"/>
        <v>0</v>
      </c>
      <c r="BY405" s="5">
        <f t="shared" si="97"/>
        <v>0</v>
      </c>
    </row>
    <row r="406" spans="1:77" ht="15" customHeight="1" x14ac:dyDescent="0.3">
      <c r="A406" s="66">
        <f>'Project Database'!A410</f>
        <v>0</v>
      </c>
      <c r="B406" s="66">
        <f>'Project Database'!B410</f>
        <v>0</v>
      </c>
      <c r="C406" s="66">
        <f>'Project Database'!G410</f>
        <v>0</v>
      </c>
      <c r="D406" s="66">
        <f>'Project Database'!H410</f>
        <v>0</v>
      </c>
      <c r="E406" s="66">
        <f>'Project Database'!I410</f>
        <v>0</v>
      </c>
      <c r="F406" s="66">
        <f>'Project Database'!J410</f>
        <v>0</v>
      </c>
      <c r="G406" s="66">
        <f>'Project Database'!K410</f>
        <v>0</v>
      </c>
      <c r="H406" s="66">
        <f>'Project Database'!L410</f>
        <v>0</v>
      </c>
      <c r="I406" s="66">
        <f>'Project Database'!M410</f>
        <v>0</v>
      </c>
      <c r="J406" s="66">
        <f>'Project Database'!N410</f>
        <v>0</v>
      </c>
      <c r="K406" s="66">
        <f>'Project Database'!O410</f>
        <v>0</v>
      </c>
      <c r="L406" s="66">
        <f>'Project Database'!P410</f>
        <v>0</v>
      </c>
      <c r="M406" s="66">
        <f>'Project Database'!Q410</f>
        <v>0</v>
      </c>
      <c r="N406" s="66">
        <f>'Project Database'!R410</f>
        <v>0</v>
      </c>
      <c r="O406" s="66">
        <f>'Project Database'!S410</f>
        <v>0</v>
      </c>
      <c r="P406" s="66">
        <f>'Project Database'!T410</f>
        <v>0</v>
      </c>
      <c r="Q406" s="66">
        <f>'Project Database'!U410</f>
        <v>0</v>
      </c>
      <c r="R406" s="66">
        <f>'Project Database'!V410</f>
        <v>0</v>
      </c>
      <c r="S406" s="66">
        <f>'Project Database'!W410</f>
        <v>0</v>
      </c>
      <c r="T406" s="66">
        <f>'Project Database'!X410</f>
        <v>0</v>
      </c>
      <c r="U406" s="67">
        <f>'Project Database'!Y410</f>
        <v>0</v>
      </c>
      <c r="V406" s="66">
        <f>IF('Smart Search'!B13=1,IFERROR(1/'Smart Search'!H13,0),0)</f>
        <v>0</v>
      </c>
      <c r="W406" s="66">
        <f>IF('Smart Search'!B13=1,IFERROR(1/'Smart Search'!H13,0),0)</f>
        <v>0</v>
      </c>
      <c r="X406" s="66">
        <f>IF('Smart Search'!C13=1,IFERROR(1/'Smart Search'!H13,0),0)</f>
        <v>0.5</v>
      </c>
      <c r="Y406" s="66">
        <f>IF('Smart Search'!C13=1,IFERROR(1/'Smart Search'!H13,0),0)</f>
        <v>0.5</v>
      </c>
      <c r="Z406" s="66">
        <f>IF('Smart Search'!D13=1,IFERROR(1/'Smart Search'!H13,0),0)</f>
        <v>0</v>
      </c>
      <c r="AA406" s="66">
        <f>IF('Smart Search'!D13=1,IFERROR(1/'Smart Search'!H13,0),0)</f>
        <v>0</v>
      </c>
      <c r="AB406" s="66">
        <f>IF('Smart Search'!E13=1,IFERROR(1/'Smart Search'!H13,0),0)</f>
        <v>0</v>
      </c>
      <c r="AC406" s="66">
        <f>IF('Smart Search'!E13=1,IFERROR(1/'Smart Search'!H13,0),0)</f>
        <v>0</v>
      </c>
      <c r="AD406" s="66">
        <f>IF('Smart Search'!F13=1,IFERROR(1/'Smart Search'!H13,0),0)</f>
        <v>0</v>
      </c>
      <c r="AE406" s="66">
        <f>IF('Smart Search'!F13=1,IFERROR(1/'Smart Search'!H13,0),0)</f>
        <v>0</v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>0</v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>0</v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>0</v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>0</v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>0</v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>0</v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>0</v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>0</v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>0</v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>0</v>
      </c>
      <c r="AP406" s="66">
        <f t="shared" si="84"/>
        <v>0</v>
      </c>
      <c r="AQ406" s="66">
        <f t="shared" si="85"/>
        <v>0</v>
      </c>
      <c r="AR406" s="66">
        <f t="shared" si="86"/>
        <v>0</v>
      </c>
      <c r="AS406" s="66">
        <f t="shared" si="87"/>
        <v>0</v>
      </c>
      <c r="AT406" s="66">
        <f t="shared" si="88"/>
        <v>0</v>
      </c>
      <c r="AU406" s="66">
        <f t="shared" si="89"/>
        <v>0</v>
      </c>
      <c r="AV406" s="66">
        <f t="shared" si="90"/>
        <v>0</v>
      </c>
      <c r="AW406" s="66">
        <f t="shared" si="91"/>
        <v>0</v>
      </c>
      <c r="AX406" s="66">
        <f t="shared" si="92"/>
        <v>0</v>
      </c>
      <c r="AY406" s="66">
        <f t="shared" si="93"/>
        <v>0</v>
      </c>
      <c r="AZ406" s="66">
        <f>'Project Database'!Z410</f>
        <v>0</v>
      </c>
      <c r="BA406" s="66">
        <f>IF(OR(A406="",'Smart Search'!H13=0),"",MAX(0,BE406*BF406*MAX(0,1-BG406)))</f>
        <v>0</v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>0</v>
      </c>
      <c r="BC406" s="66">
        <f>IF('Smart Search'!G13=1,IFERROR(1/'Smart Search'!H13,0),0)</f>
        <v>0</v>
      </c>
      <c r="BD406" s="66">
        <f t="shared" si="94"/>
        <v>0</v>
      </c>
      <c r="BE406" s="66">
        <f t="shared" si="95"/>
        <v>0</v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>0</v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>0</v>
      </c>
      <c r="BH406" s="5" t="str">
        <f>IF(AND('Project Database'!A410&lt;&gt;"",OR('Smart Search'!$L$5="",'Smart Search'!$L$5="All",TRIM('Project Database'!D410)=TRIM('Smart Search'!$L$5)),OR(TRIM('Smart Search'!$L$6)="",TRIM('Smart Search'!$L$6)="All",ISNUMBER(SEARCH(SUBSTITUTE(SUBSTITUTE(SUBSTITUTE(TRIM('Smart Search'!$L$6),"~","~~"),"*","~*"),"?","~?"),'Project Database'!C410))),OR('Smart Search'!$L$7="",AND('Project Database'!E410&lt;&gt;"",'Project Database'!E410='Smart Search'!$L$7)),OR('Smart Search'!$L$8="",'Smart Search'!$L$8="All",TRIM('Project Database'!F410)=TRIM('Smart Search'!$L$8))),IF(BA406="","",BA406+ROW()*0.0000000001),"")</f>
        <v/>
      </c>
      <c r="BI406" s="5" t="str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 t="str">
        <f>IF('Project Database'!A410="","",N('Project Database'!AC410))</f>
        <v/>
      </c>
      <c r="BK406" s="5" t="str">
        <f>IF('Project Database'!A410="","",N('Project Database'!AD410))</f>
        <v/>
      </c>
      <c r="BL406" s="5" t="str">
        <f>IF('Project Database'!A410="","",N('Project Database'!AE410))</f>
        <v/>
      </c>
      <c r="BM406" s="5" t="str">
        <f>IF('Project Database'!A410="","",N('Project Database'!AF410))</f>
        <v/>
      </c>
      <c r="BN406" s="5" t="str">
        <f>IF('Project Database'!A410="","",N('Project Database'!AG410))</f>
        <v/>
      </c>
      <c r="BO406" s="5" t="str">
        <f>IF('Project Database'!A410="","",N('Project Database'!AH410))</f>
        <v/>
      </c>
      <c r="BP406" s="5" t="str">
        <f>IF('Project Database'!A410="","",N('Project Database'!AI410))</f>
        <v/>
      </c>
      <c r="BQ406" s="5" t="str">
        <f>IF('Project Database'!A410="","",N('Project Database'!AJ410))</f>
        <v/>
      </c>
      <c r="BR406" s="5" t="str">
        <f>IF('Project Database'!A410="","",N('Project Database'!AK410))</f>
        <v/>
      </c>
      <c r="BS406" s="5" t="str">
        <f>IF('Project Database'!A410="","",N('Project Database'!AL410))</f>
        <v/>
      </c>
      <c r="BT406" s="5" t="str">
        <f>IF('Project Database'!A410="","",N('Project Database'!AM410))</f>
        <v/>
      </c>
      <c r="BU406" s="5" t="str">
        <f>IF('Project Database'!A410="","",N('Project Database'!AN410))</f>
        <v/>
      </c>
      <c r="BV406" s="5" t="str">
        <f>IF('Project Database'!A410="","",N('Project Database'!AO410))</f>
        <v/>
      </c>
      <c r="BW406" s="5" t="str">
        <f>IF('Project Database'!A410="","",N('Project Database'!AP410))</f>
        <v/>
      </c>
      <c r="BX406" s="5">
        <f t="shared" si="96"/>
        <v>0</v>
      </c>
      <c r="BY406" s="5">
        <f t="shared" si="97"/>
        <v>0</v>
      </c>
    </row>
    <row r="407" spans="1:77" ht="15" customHeight="1" x14ac:dyDescent="0.3">
      <c r="A407" s="66">
        <f>'Project Database'!A411</f>
        <v>0</v>
      </c>
      <c r="B407" s="66">
        <f>'Project Database'!B411</f>
        <v>0</v>
      </c>
      <c r="C407" s="66">
        <f>'Project Database'!G411</f>
        <v>0</v>
      </c>
      <c r="D407" s="66">
        <f>'Project Database'!H411</f>
        <v>0</v>
      </c>
      <c r="E407" s="66">
        <f>'Project Database'!I411</f>
        <v>0</v>
      </c>
      <c r="F407" s="66">
        <f>'Project Database'!J411</f>
        <v>0</v>
      </c>
      <c r="G407" s="66">
        <f>'Project Database'!K411</f>
        <v>0</v>
      </c>
      <c r="H407" s="66">
        <f>'Project Database'!L411</f>
        <v>0</v>
      </c>
      <c r="I407" s="66">
        <f>'Project Database'!M411</f>
        <v>0</v>
      </c>
      <c r="J407" s="66">
        <f>'Project Database'!N411</f>
        <v>0</v>
      </c>
      <c r="K407" s="66">
        <f>'Project Database'!O411</f>
        <v>0</v>
      </c>
      <c r="L407" s="66">
        <f>'Project Database'!P411</f>
        <v>0</v>
      </c>
      <c r="M407" s="66">
        <f>'Project Database'!Q411</f>
        <v>0</v>
      </c>
      <c r="N407" s="66">
        <f>'Project Database'!R411</f>
        <v>0</v>
      </c>
      <c r="O407" s="66">
        <f>'Project Database'!S411</f>
        <v>0</v>
      </c>
      <c r="P407" s="66">
        <f>'Project Database'!T411</f>
        <v>0</v>
      </c>
      <c r="Q407" s="66">
        <f>'Project Database'!U411</f>
        <v>0</v>
      </c>
      <c r="R407" s="66">
        <f>'Project Database'!V411</f>
        <v>0</v>
      </c>
      <c r="S407" s="66">
        <f>'Project Database'!W411</f>
        <v>0</v>
      </c>
      <c r="T407" s="66">
        <f>'Project Database'!X411</f>
        <v>0</v>
      </c>
      <c r="U407" s="67">
        <f>'Project Database'!Y411</f>
        <v>0</v>
      </c>
      <c r="V407" s="66">
        <f>IF('Smart Search'!B13=1,IFERROR(1/'Smart Search'!H13,0),0)</f>
        <v>0</v>
      </c>
      <c r="W407" s="66">
        <f>IF('Smart Search'!B13=1,IFERROR(1/'Smart Search'!H13,0),0)</f>
        <v>0</v>
      </c>
      <c r="X407" s="66">
        <f>IF('Smart Search'!C13=1,IFERROR(1/'Smart Search'!H13,0),0)</f>
        <v>0.5</v>
      </c>
      <c r="Y407" s="66">
        <f>IF('Smart Search'!C13=1,IFERROR(1/'Smart Search'!H13,0),0)</f>
        <v>0.5</v>
      </c>
      <c r="Z407" s="66">
        <f>IF('Smart Search'!D13=1,IFERROR(1/'Smart Search'!H13,0),0)</f>
        <v>0</v>
      </c>
      <c r="AA407" s="66">
        <f>IF('Smart Search'!D13=1,IFERROR(1/'Smart Search'!H13,0),0)</f>
        <v>0</v>
      </c>
      <c r="AB407" s="66">
        <f>IF('Smart Search'!E13=1,IFERROR(1/'Smart Search'!H13,0),0)</f>
        <v>0</v>
      </c>
      <c r="AC407" s="66">
        <f>IF('Smart Search'!E13=1,IFERROR(1/'Smart Search'!H13,0),0)</f>
        <v>0</v>
      </c>
      <c r="AD407" s="66">
        <f>IF('Smart Search'!F13=1,IFERROR(1/'Smart Search'!H13,0),0)</f>
        <v>0</v>
      </c>
      <c r="AE407" s="66">
        <f>IF('Smart Search'!F13=1,IFERROR(1/'Smart Search'!H13,0),0)</f>
        <v>0</v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>0</v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>0</v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>0</v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>0</v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>0</v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>0</v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>0</v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>0</v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>0</v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>0</v>
      </c>
      <c r="AP407" s="66">
        <f t="shared" si="84"/>
        <v>0</v>
      </c>
      <c r="AQ407" s="66">
        <f t="shared" si="85"/>
        <v>0</v>
      </c>
      <c r="AR407" s="66">
        <f t="shared" si="86"/>
        <v>0</v>
      </c>
      <c r="AS407" s="66">
        <f t="shared" si="87"/>
        <v>0</v>
      </c>
      <c r="AT407" s="66">
        <f t="shared" si="88"/>
        <v>0</v>
      </c>
      <c r="AU407" s="66">
        <f t="shared" si="89"/>
        <v>0</v>
      </c>
      <c r="AV407" s="66">
        <f t="shared" si="90"/>
        <v>0</v>
      </c>
      <c r="AW407" s="66">
        <f t="shared" si="91"/>
        <v>0</v>
      </c>
      <c r="AX407" s="66">
        <f t="shared" si="92"/>
        <v>0</v>
      </c>
      <c r="AY407" s="66">
        <f t="shared" si="93"/>
        <v>0</v>
      </c>
      <c r="AZ407" s="66">
        <f>'Project Database'!Z411</f>
        <v>0</v>
      </c>
      <c r="BA407" s="66">
        <f>IF(OR(A407="",'Smart Search'!H13=0),"",MAX(0,BE407*BF407*MAX(0,1-BG407)))</f>
        <v>0</v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>0</v>
      </c>
      <c r="BC407" s="66">
        <f>IF('Smart Search'!G13=1,IFERROR(1/'Smart Search'!H13,0),0)</f>
        <v>0</v>
      </c>
      <c r="BD407" s="66">
        <f t="shared" si="94"/>
        <v>0</v>
      </c>
      <c r="BE407" s="66">
        <f t="shared" si="95"/>
        <v>0</v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>0</v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>0</v>
      </c>
      <c r="BH407" s="5" t="str">
        <f>IF(AND('Project Database'!A411&lt;&gt;"",OR('Smart Search'!$L$5="",'Smart Search'!$L$5="All",TRIM('Project Database'!D411)=TRIM('Smart Search'!$L$5)),OR(TRIM('Smart Search'!$L$6)="",TRIM('Smart Search'!$L$6)="All",ISNUMBER(SEARCH(SUBSTITUTE(SUBSTITUTE(SUBSTITUTE(TRIM('Smart Search'!$L$6),"~","~~"),"*","~*"),"?","~?"),'Project Database'!C411))),OR('Smart Search'!$L$7="",AND('Project Database'!E411&lt;&gt;"",'Project Database'!E411='Smart Search'!$L$7)),OR('Smart Search'!$L$8="",'Smart Search'!$L$8="All",TRIM('Project Database'!F411)=TRIM('Smart Search'!$L$8))),IF(BA407="","",BA407+ROW()*0.0000000001),"")</f>
        <v/>
      </c>
      <c r="BI407" s="5" t="str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 t="str">
        <f>IF('Project Database'!A411="","",N('Project Database'!AC411))</f>
        <v/>
      </c>
      <c r="BK407" s="5" t="str">
        <f>IF('Project Database'!A411="","",N('Project Database'!AD411))</f>
        <v/>
      </c>
      <c r="BL407" s="5" t="str">
        <f>IF('Project Database'!A411="","",N('Project Database'!AE411))</f>
        <v/>
      </c>
      <c r="BM407" s="5" t="str">
        <f>IF('Project Database'!A411="","",N('Project Database'!AF411))</f>
        <v/>
      </c>
      <c r="BN407" s="5" t="str">
        <f>IF('Project Database'!A411="","",N('Project Database'!AG411))</f>
        <v/>
      </c>
      <c r="BO407" s="5" t="str">
        <f>IF('Project Database'!A411="","",N('Project Database'!AH411))</f>
        <v/>
      </c>
      <c r="BP407" s="5" t="str">
        <f>IF('Project Database'!A411="","",N('Project Database'!AI411))</f>
        <v/>
      </c>
      <c r="BQ407" s="5" t="str">
        <f>IF('Project Database'!A411="","",N('Project Database'!AJ411))</f>
        <v/>
      </c>
      <c r="BR407" s="5" t="str">
        <f>IF('Project Database'!A411="","",N('Project Database'!AK411))</f>
        <v/>
      </c>
      <c r="BS407" s="5" t="str">
        <f>IF('Project Database'!A411="","",N('Project Database'!AL411))</f>
        <v/>
      </c>
      <c r="BT407" s="5" t="str">
        <f>IF('Project Database'!A411="","",N('Project Database'!AM411))</f>
        <v/>
      </c>
      <c r="BU407" s="5" t="str">
        <f>IF('Project Database'!A411="","",N('Project Database'!AN411))</f>
        <v/>
      </c>
      <c r="BV407" s="5" t="str">
        <f>IF('Project Database'!A411="","",N('Project Database'!AO411))</f>
        <v/>
      </c>
      <c r="BW407" s="5" t="str">
        <f>IF('Project Database'!A411="","",N('Project Database'!AP411))</f>
        <v/>
      </c>
      <c r="BX407" s="5">
        <f t="shared" si="96"/>
        <v>0</v>
      </c>
      <c r="BY407" s="5">
        <f t="shared" si="97"/>
        <v>0</v>
      </c>
    </row>
    <row r="408" spans="1:77" ht="15" customHeight="1" x14ac:dyDescent="0.3">
      <c r="A408" s="66">
        <f>'Project Database'!A412</f>
        <v>0</v>
      </c>
      <c r="B408" s="66">
        <f>'Project Database'!B412</f>
        <v>0</v>
      </c>
      <c r="C408" s="66">
        <f>'Project Database'!G412</f>
        <v>0</v>
      </c>
      <c r="D408" s="66">
        <f>'Project Database'!H412</f>
        <v>0</v>
      </c>
      <c r="E408" s="66">
        <f>'Project Database'!I412</f>
        <v>0</v>
      </c>
      <c r="F408" s="66">
        <f>'Project Database'!J412</f>
        <v>0</v>
      </c>
      <c r="G408" s="66">
        <f>'Project Database'!K412</f>
        <v>0</v>
      </c>
      <c r="H408" s="66">
        <f>'Project Database'!L412</f>
        <v>0</v>
      </c>
      <c r="I408" s="66">
        <f>'Project Database'!M412</f>
        <v>0</v>
      </c>
      <c r="J408" s="66">
        <f>'Project Database'!N412</f>
        <v>0</v>
      </c>
      <c r="K408" s="66">
        <f>'Project Database'!O412</f>
        <v>0</v>
      </c>
      <c r="L408" s="66">
        <f>'Project Database'!P412</f>
        <v>0</v>
      </c>
      <c r="M408" s="66">
        <f>'Project Database'!Q412</f>
        <v>0</v>
      </c>
      <c r="N408" s="66">
        <f>'Project Database'!R412</f>
        <v>0</v>
      </c>
      <c r="O408" s="66">
        <f>'Project Database'!S412</f>
        <v>0</v>
      </c>
      <c r="P408" s="66">
        <f>'Project Database'!T412</f>
        <v>0</v>
      </c>
      <c r="Q408" s="66">
        <f>'Project Database'!U412</f>
        <v>0</v>
      </c>
      <c r="R408" s="66">
        <f>'Project Database'!V412</f>
        <v>0</v>
      </c>
      <c r="S408" s="66">
        <f>'Project Database'!W412</f>
        <v>0</v>
      </c>
      <c r="T408" s="66">
        <f>'Project Database'!X412</f>
        <v>0</v>
      </c>
      <c r="U408" s="67">
        <f>'Project Database'!Y412</f>
        <v>0</v>
      </c>
      <c r="V408" s="66">
        <f>IF('Smart Search'!B13=1,IFERROR(1/'Smart Search'!H13,0),0)</f>
        <v>0</v>
      </c>
      <c r="W408" s="66">
        <f>IF('Smart Search'!B13=1,IFERROR(1/'Smart Search'!H13,0),0)</f>
        <v>0</v>
      </c>
      <c r="X408" s="66">
        <f>IF('Smart Search'!C13=1,IFERROR(1/'Smart Search'!H13,0),0)</f>
        <v>0.5</v>
      </c>
      <c r="Y408" s="66">
        <f>IF('Smart Search'!C13=1,IFERROR(1/'Smart Search'!H13,0),0)</f>
        <v>0.5</v>
      </c>
      <c r="Z408" s="66">
        <f>IF('Smart Search'!D13=1,IFERROR(1/'Smart Search'!H13,0),0)</f>
        <v>0</v>
      </c>
      <c r="AA408" s="66">
        <f>IF('Smart Search'!D13=1,IFERROR(1/'Smart Search'!H13,0),0)</f>
        <v>0</v>
      </c>
      <c r="AB408" s="66">
        <f>IF('Smart Search'!E13=1,IFERROR(1/'Smart Search'!H13,0),0)</f>
        <v>0</v>
      </c>
      <c r="AC408" s="66">
        <f>IF('Smart Search'!E13=1,IFERROR(1/'Smart Search'!H13,0),0)</f>
        <v>0</v>
      </c>
      <c r="AD408" s="66">
        <f>IF('Smart Search'!F13=1,IFERROR(1/'Smart Search'!H13,0),0)</f>
        <v>0</v>
      </c>
      <c r="AE408" s="66">
        <f>IF('Smart Search'!F13=1,IFERROR(1/'Smart Search'!H13,0),0)</f>
        <v>0</v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>0</v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>0</v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>0</v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>0</v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>0</v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>0</v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>0</v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>0</v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>0</v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>0</v>
      </c>
      <c r="AP408" s="66">
        <f t="shared" si="84"/>
        <v>0</v>
      </c>
      <c r="AQ408" s="66">
        <f t="shared" si="85"/>
        <v>0</v>
      </c>
      <c r="AR408" s="66">
        <f t="shared" si="86"/>
        <v>0</v>
      </c>
      <c r="AS408" s="66">
        <f t="shared" si="87"/>
        <v>0</v>
      </c>
      <c r="AT408" s="66">
        <f t="shared" si="88"/>
        <v>0</v>
      </c>
      <c r="AU408" s="66">
        <f t="shared" si="89"/>
        <v>0</v>
      </c>
      <c r="AV408" s="66">
        <f t="shared" si="90"/>
        <v>0</v>
      </c>
      <c r="AW408" s="66">
        <f t="shared" si="91"/>
        <v>0</v>
      </c>
      <c r="AX408" s="66">
        <f t="shared" si="92"/>
        <v>0</v>
      </c>
      <c r="AY408" s="66">
        <f t="shared" si="93"/>
        <v>0</v>
      </c>
      <c r="AZ408" s="66">
        <f>'Project Database'!Z412</f>
        <v>0</v>
      </c>
      <c r="BA408" s="66">
        <f>IF(OR(A408="",'Smart Search'!H13=0),"",MAX(0,BE408*BF408*MAX(0,1-BG408)))</f>
        <v>0</v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>0</v>
      </c>
      <c r="BC408" s="66">
        <f>IF('Smart Search'!G13=1,IFERROR(1/'Smart Search'!H13,0),0)</f>
        <v>0</v>
      </c>
      <c r="BD408" s="66">
        <f t="shared" si="94"/>
        <v>0</v>
      </c>
      <c r="BE408" s="66">
        <f t="shared" si="95"/>
        <v>0</v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>0</v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>0</v>
      </c>
      <c r="BH408" s="5" t="str">
        <f>IF(AND('Project Database'!A412&lt;&gt;"",OR('Smart Search'!$L$5="",'Smart Search'!$L$5="All",TRIM('Project Database'!D412)=TRIM('Smart Search'!$L$5)),OR(TRIM('Smart Search'!$L$6)="",TRIM('Smart Search'!$L$6)="All",ISNUMBER(SEARCH(SUBSTITUTE(SUBSTITUTE(SUBSTITUTE(TRIM('Smart Search'!$L$6),"~","~~"),"*","~*"),"?","~?"),'Project Database'!C412))),OR('Smart Search'!$L$7="",AND('Project Database'!E412&lt;&gt;"",'Project Database'!E412='Smart Search'!$L$7)),OR('Smart Search'!$L$8="",'Smart Search'!$L$8="All",TRIM('Project Database'!F412)=TRIM('Smart Search'!$L$8))),IF(BA408="","",BA408+ROW()*0.0000000001),"")</f>
        <v/>
      </c>
      <c r="BI408" s="5" t="str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 t="str">
        <f>IF('Project Database'!A412="","",N('Project Database'!AC412))</f>
        <v/>
      </c>
      <c r="BK408" s="5" t="str">
        <f>IF('Project Database'!A412="","",N('Project Database'!AD412))</f>
        <v/>
      </c>
      <c r="BL408" s="5" t="str">
        <f>IF('Project Database'!A412="","",N('Project Database'!AE412))</f>
        <v/>
      </c>
      <c r="BM408" s="5" t="str">
        <f>IF('Project Database'!A412="","",N('Project Database'!AF412))</f>
        <v/>
      </c>
      <c r="BN408" s="5" t="str">
        <f>IF('Project Database'!A412="","",N('Project Database'!AG412))</f>
        <v/>
      </c>
      <c r="BO408" s="5" t="str">
        <f>IF('Project Database'!A412="","",N('Project Database'!AH412))</f>
        <v/>
      </c>
      <c r="BP408" s="5" t="str">
        <f>IF('Project Database'!A412="","",N('Project Database'!AI412))</f>
        <v/>
      </c>
      <c r="BQ408" s="5" t="str">
        <f>IF('Project Database'!A412="","",N('Project Database'!AJ412))</f>
        <v/>
      </c>
      <c r="BR408" s="5" t="str">
        <f>IF('Project Database'!A412="","",N('Project Database'!AK412))</f>
        <v/>
      </c>
      <c r="BS408" s="5" t="str">
        <f>IF('Project Database'!A412="","",N('Project Database'!AL412))</f>
        <v/>
      </c>
      <c r="BT408" s="5" t="str">
        <f>IF('Project Database'!A412="","",N('Project Database'!AM412))</f>
        <v/>
      </c>
      <c r="BU408" s="5" t="str">
        <f>IF('Project Database'!A412="","",N('Project Database'!AN412))</f>
        <v/>
      </c>
      <c r="BV408" s="5" t="str">
        <f>IF('Project Database'!A412="","",N('Project Database'!AO412))</f>
        <v/>
      </c>
      <c r="BW408" s="5" t="str">
        <f>IF('Project Database'!A412="","",N('Project Database'!AP412))</f>
        <v/>
      </c>
      <c r="BX408" s="5">
        <f t="shared" si="96"/>
        <v>0</v>
      </c>
      <c r="BY408" s="5">
        <f t="shared" si="97"/>
        <v>0</v>
      </c>
    </row>
    <row r="409" spans="1:77" ht="15" customHeight="1" x14ac:dyDescent="0.3">
      <c r="A409" s="66">
        <f>'Project Database'!A413</f>
        <v>0</v>
      </c>
      <c r="B409" s="66">
        <f>'Project Database'!B413</f>
        <v>0</v>
      </c>
      <c r="C409" s="66">
        <f>'Project Database'!G413</f>
        <v>0</v>
      </c>
      <c r="D409" s="66">
        <f>'Project Database'!H413</f>
        <v>0</v>
      </c>
      <c r="E409" s="66">
        <f>'Project Database'!I413</f>
        <v>0</v>
      </c>
      <c r="F409" s="66">
        <f>'Project Database'!J413</f>
        <v>0</v>
      </c>
      <c r="G409" s="66">
        <f>'Project Database'!K413</f>
        <v>0</v>
      </c>
      <c r="H409" s="66">
        <f>'Project Database'!L413</f>
        <v>0</v>
      </c>
      <c r="I409" s="66">
        <f>'Project Database'!M413</f>
        <v>0</v>
      </c>
      <c r="J409" s="66">
        <f>'Project Database'!N413</f>
        <v>0</v>
      </c>
      <c r="K409" s="66">
        <f>'Project Database'!O413</f>
        <v>0</v>
      </c>
      <c r="L409" s="66">
        <f>'Project Database'!P413</f>
        <v>0</v>
      </c>
      <c r="M409" s="66">
        <f>'Project Database'!Q413</f>
        <v>0</v>
      </c>
      <c r="N409" s="66">
        <f>'Project Database'!R413</f>
        <v>0</v>
      </c>
      <c r="O409" s="66">
        <f>'Project Database'!S413</f>
        <v>0</v>
      </c>
      <c r="P409" s="66">
        <f>'Project Database'!T413</f>
        <v>0</v>
      </c>
      <c r="Q409" s="66">
        <f>'Project Database'!U413</f>
        <v>0</v>
      </c>
      <c r="R409" s="66">
        <f>'Project Database'!V413</f>
        <v>0</v>
      </c>
      <c r="S409" s="66">
        <f>'Project Database'!W413</f>
        <v>0</v>
      </c>
      <c r="T409" s="66">
        <f>'Project Database'!X413</f>
        <v>0</v>
      </c>
      <c r="U409" s="67">
        <f>'Project Database'!Y413</f>
        <v>0</v>
      </c>
      <c r="V409" s="66">
        <f>IF('Smart Search'!B13=1,IFERROR(1/'Smart Search'!H13,0),0)</f>
        <v>0</v>
      </c>
      <c r="W409" s="66">
        <f>IF('Smart Search'!B13=1,IFERROR(1/'Smart Search'!H13,0),0)</f>
        <v>0</v>
      </c>
      <c r="X409" s="66">
        <f>IF('Smart Search'!C13=1,IFERROR(1/'Smart Search'!H13,0),0)</f>
        <v>0.5</v>
      </c>
      <c r="Y409" s="66">
        <f>IF('Smart Search'!C13=1,IFERROR(1/'Smart Search'!H13,0),0)</f>
        <v>0.5</v>
      </c>
      <c r="Z409" s="66">
        <f>IF('Smart Search'!D13=1,IFERROR(1/'Smart Search'!H13,0),0)</f>
        <v>0</v>
      </c>
      <c r="AA409" s="66">
        <f>IF('Smart Search'!D13=1,IFERROR(1/'Smart Search'!H13,0),0)</f>
        <v>0</v>
      </c>
      <c r="AB409" s="66">
        <f>IF('Smart Search'!E13=1,IFERROR(1/'Smart Search'!H13,0),0)</f>
        <v>0</v>
      </c>
      <c r="AC409" s="66">
        <f>IF('Smart Search'!E13=1,IFERROR(1/'Smart Search'!H13,0),0)</f>
        <v>0</v>
      </c>
      <c r="AD409" s="66">
        <f>IF('Smart Search'!F13=1,IFERROR(1/'Smart Search'!H13,0),0)</f>
        <v>0</v>
      </c>
      <c r="AE409" s="66">
        <f>IF('Smart Search'!F13=1,IFERROR(1/'Smart Search'!H13,0),0)</f>
        <v>0</v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>0</v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>0</v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>0</v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>0</v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>0</v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>0</v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>0</v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>0</v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>0</v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>0</v>
      </c>
      <c r="AP409" s="66">
        <f t="shared" si="84"/>
        <v>0</v>
      </c>
      <c r="AQ409" s="66">
        <f t="shared" si="85"/>
        <v>0</v>
      </c>
      <c r="AR409" s="66">
        <f t="shared" si="86"/>
        <v>0</v>
      </c>
      <c r="AS409" s="66">
        <f t="shared" si="87"/>
        <v>0</v>
      </c>
      <c r="AT409" s="66">
        <f t="shared" si="88"/>
        <v>0</v>
      </c>
      <c r="AU409" s="66">
        <f t="shared" si="89"/>
        <v>0</v>
      </c>
      <c r="AV409" s="66">
        <f t="shared" si="90"/>
        <v>0</v>
      </c>
      <c r="AW409" s="66">
        <f t="shared" si="91"/>
        <v>0</v>
      </c>
      <c r="AX409" s="66">
        <f t="shared" si="92"/>
        <v>0</v>
      </c>
      <c r="AY409" s="66">
        <f t="shared" si="93"/>
        <v>0</v>
      </c>
      <c r="AZ409" s="66">
        <f>'Project Database'!Z413</f>
        <v>0</v>
      </c>
      <c r="BA409" s="66">
        <f>IF(OR(A409="",'Smart Search'!H13=0),"",MAX(0,BE409*BF409*MAX(0,1-BG409)))</f>
        <v>0</v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>0</v>
      </c>
      <c r="BC409" s="66">
        <f>IF('Smart Search'!G13=1,IFERROR(1/'Smart Search'!H13,0),0)</f>
        <v>0</v>
      </c>
      <c r="BD409" s="66">
        <f t="shared" si="94"/>
        <v>0</v>
      </c>
      <c r="BE409" s="66">
        <f t="shared" si="95"/>
        <v>0</v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>0</v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>0</v>
      </c>
      <c r="BH409" s="5" t="str">
        <f>IF(AND('Project Database'!A413&lt;&gt;"",OR('Smart Search'!$L$5="",'Smart Search'!$L$5="All",TRIM('Project Database'!D413)=TRIM('Smart Search'!$L$5)),OR(TRIM('Smart Search'!$L$6)="",TRIM('Smart Search'!$L$6)="All",ISNUMBER(SEARCH(SUBSTITUTE(SUBSTITUTE(SUBSTITUTE(TRIM('Smart Search'!$L$6),"~","~~"),"*","~*"),"?","~?"),'Project Database'!C413))),OR('Smart Search'!$L$7="",AND('Project Database'!E413&lt;&gt;"",'Project Database'!E413='Smart Search'!$L$7)),OR('Smart Search'!$L$8="",'Smart Search'!$L$8="All",TRIM('Project Database'!F413)=TRIM('Smart Search'!$L$8))),IF(BA409="","",BA409+ROW()*0.0000000001),"")</f>
        <v/>
      </c>
      <c r="BI409" s="5" t="str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 t="str">
        <f>IF('Project Database'!A413="","",N('Project Database'!AC413))</f>
        <v/>
      </c>
      <c r="BK409" s="5" t="str">
        <f>IF('Project Database'!A413="","",N('Project Database'!AD413))</f>
        <v/>
      </c>
      <c r="BL409" s="5" t="str">
        <f>IF('Project Database'!A413="","",N('Project Database'!AE413))</f>
        <v/>
      </c>
      <c r="BM409" s="5" t="str">
        <f>IF('Project Database'!A413="","",N('Project Database'!AF413))</f>
        <v/>
      </c>
      <c r="BN409" s="5" t="str">
        <f>IF('Project Database'!A413="","",N('Project Database'!AG413))</f>
        <v/>
      </c>
      <c r="BO409" s="5" t="str">
        <f>IF('Project Database'!A413="","",N('Project Database'!AH413))</f>
        <v/>
      </c>
      <c r="BP409" s="5" t="str">
        <f>IF('Project Database'!A413="","",N('Project Database'!AI413))</f>
        <v/>
      </c>
      <c r="BQ409" s="5" t="str">
        <f>IF('Project Database'!A413="","",N('Project Database'!AJ413))</f>
        <v/>
      </c>
      <c r="BR409" s="5" t="str">
        <f>IF('Project Database'!A413="","",N('Project Database'!AK413))</f>
        <v/>
      </c>
      <c r="BS409" s="5" t="str">
        <f>IF('Project Database'!A413="","",N('Project Database'!AL413))</f>
        <v/>
      </c>
      <c r="BT409" s="5" t="str">
        <f>IF('Project Database'!A413="","",N('Project Database'!AM413))</f>
        <v/>
      </c>
      <c r="BU409" s="5" t="str">
        <f>IF('Project Database'!A413="","",N('Project Database'!AN413))</f>
        <v/>
      </c>
      <c r="BV409" s="5" t="str">
        <f>IF('Project Database'!A413="","",N('Project Database'!AO413))</f>
        <v/>
      </c>
      <c r="BW409" s="5" t="str">
        <f>IF('Project Database'!A413="","",N('Project Database'!AP413))</f>
        <v/>
      </c>
      <c r="BX409" s="5">
        <f t="shared" si="96"/>
        <v>0</v>
      </c>
      <c r="BY409" s="5">
        <f t="shared" si="97"/>
        <v>0</v>
      </c>
    </row>
    <row r="410" spans="1:77" ht="15" customHeight="1" x14ac:dyDescent="0.3">
      <c r="A410" s="66">
        <f>'Project Database'!A414</f>
        <v>0</v>
      </c>
      <c r="B410" s="66">
        <f>'Project Database'!B414</f>
        <v>0</v>
      </c>
      <c r="C410" s="66">
        <f>'Project Database'!G414</f>
        <v>0</v>
      </c>
      <c r="D410" s="66">
        <f>'Project Database'!H414</f>
        <v>0</v>
      </c>
      <c r="E410" s="66">
        <f>'Project Database'!I414</f>
        <v>0</v>
      </c>
      <c r="F410" s="66">
        <f>'Project Database'!J414</f>
        <v>0</v>
      </c>
      <c r="G410" s="66">
        <f>'Project Database'!K414</f>
        <v>0</v>
      </c>
      <c r="H410" s="66">
        <f>'Project Database'!L414</f>
        <v>0</v>
      </c>
      <c r="I410" s="66">
        <f>'Project Database'!M414</f>
        <v>0</v>
      </c>
      <c r="J410" s="66">
        <f>'Project Database'!N414</f>
        <v>0</v>
      </c>
      <c r="K410" s="66">
        <f>'Project Database'!O414</f>
        <v>0</v>
      </c>
      <c r="L410" s="66">
        <f>'Project Database'!P414</f>
        <v>0</v>
      </c>
      <c r="M410" s="66">
        <f>'Project Database'!Q414</f>
        <v>0</v>
      </c>
      <c r="N410" s="66">
        <f>'Project Database'!R414</f>
        <v>0</v>
      </c>
      <c r="O410" s="66">
        <f>'Project Database'!S414</f>
        <v>0</v>
      </c>
      <c r="P410" s="66">
        <f>'Project Database'!T414</f>
        <v>0</v>
      </c>
      <c r="Q410" s="66">
        <f>'Project Database'!U414</f>
        <v>0</v>
      </c>
      <c r="R410" s="66">
        <f>'Project Database'!V414</f>
        <v>0</v>
      </c>
      <c r="S410" s="66">
        <f>'Project Database'!W414</f>
        <v>0</v>
      </c>
      <c r="T410" s="66">
        <f>'Project Database'!X414</f>
        <v>0</v>
      </c>
      <c r="U410" s="67">
        <f>'Project Database'!Y414</f>
        <v>0</v>
      </c>
      <c r="V410" s="66">
        <f>IF('Smart Search'!B13=1,IFERROR(1/'Smart Search'!H13,0),0)</f>
        <v>0</v>
      </c>
      <c r="W410" s="66">
        <f>IF('Smart Search'!B13=1,IFERROR(1/'Smart Search'!H13,0),0)</f>
        <v>0</v>
      </c>
      <c r="X410" s="66">
        <f>IF('Smart Search'!C13=1,IFERROR(1/'Smart Search'!H13,0),0)</f>
        <v>0.5</v>
      </c>
      <c r="Y410" s="66">
        <f>IF('Smart Search'!C13=1,IFERROR(1/'Smart Search'!H13,0),0)</f>
        <v>0.5</v>
      </c>
      <c r="Z410" s="66">
        <f>IF('Smart Search'!D13=1,IFERROR(1/'Smart Search'!H13,0),0)</f>
        <v>0</v>
      </c>
      <c r="AA410" s="66">
        <f>IF('Smart Search'!D13=1,IFERROR(1/'Smart Search'!H13,0),0)</f>
        <v>0</v>
      </c>
      <c r="AB410" s="66">
        <f>IF('Smart Search'!E13=1,IFERROR(1/'Smart Search'!H13,0),0)</f>
        <v>0</v>
      </c>
      <c r="AC410" s="66">
        <f>IF('Smart Search'!E13=1,IFERROR(1/'Smart Search'!H13,0),0)</f>
        <v>0</v>
      </c>
      <c r="AD410" s="66">
        <f>IF('Smart Search'!F13=1,IFERROR(1/'Smart Search'!H13,0),0)</f>
        <v>0</v>
      </c>
      <c r="AE410" s="66">
        <f>IF('Smart Search'!F13=1,IFERROR(1/'Smart Search'!H13,0),0)</f>
        <v>0</v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>0</v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>0</v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>0</v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>0</v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>0</v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>0</v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>0</v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>0</v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>0</v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>0</v>
      </c>
      <c r="AP410" s="66">
        <f t="shared" si="84"/>
        <v>0</v>
      </c>
      <c r="AQ410" s="66">
        <f t="shared" si="85"/>
        <v>0</v>
      </c>
      <c r="AR410" s="66">
        <f t="shared" si="86"/>
        <v>0</v>
      </c>
      <c r="AS410" s="66">
        <f t="shared" si="87"/>
        <v>0</v>
      </c>
      <c r="AT410" s="66">
        <f t="shared" si="88"/>
        <v>0</v>
      </c>
      <c r="AU410" s="66">
        <f t="shared" si="89"/>
        <v>0</v>
      </c>
      <c r="AV410" s="66">
        <f t="shared" si="90"/>
        <v>0</v>
      </c>
      <c r="AW410" s="66">
        <f t="shared" si="91"/>
        <v>0</v>
      </c>
      <c r="AX410" s="66">
        <f t="shared" si="92"/>
        <v>0</v>
      </c>
      <c r="AY410" s="66">
        <f t="shared" si="93"/>
        <v>0</v>
      </c>
      <c r="AZ410" s="66">
        <f>'Project Database'!Z414</f>
        <v>0</v>
      </c>
      <c r="BA410" s="66">
        <f>IF(OR(A410="",'Smart Search'!H13=0),"",MAX(0,BE410*BF410*MAX(0,1-BG410)))</f>
        <v>0</v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>0</v>
      </c>
      <c r="BC410" s="66">
        <f>IF('Smart Search'!G13=1,IFERROR(1/'Smart Search'!H13,0),0)</f>
        <v>0</v>
      </c>
      <c r="BD410" s="66">
        <f t="shared" si="94"/>
        <v>0</v>
      </c>
      <c r="BE410" s="66">
        <f t="shared" si="95"/>
        <v>0</v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>0</v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>0</v>
      </c>
      <c r="BH410" s="5" t="str">
        <f>IF(AND('Project Database'!A414&lt;&gt;"",OR('Smart Search'!$L$5="",'Smart Search'!$L$5="All",TRIM('Project Database'!D414)=TRIM('Smart Search'!$L$5)),OR(TRIM('Smart Search'!$L$6)="",TRIM('Smart Search'!$L$6)="All",ISNUMBER(SEARCH(SUBSTITUTE(SUBSTITUTE(SUBSTITUTE(TRIM('Smart Search'!$L$6),"~","~~"),"*","~*"),"?","~?"),'Project Database'!C414))),OR('Smart Search'!$L$7="",AND('Project Database'!E414&lt;&gt;"",'Project Database'!E414='Smart Search'!$L$7)),OR('Smart Search'!$L$8="",'Smart Search'!$L$8="All",TRIM('Project Database'!F414)=TRIM('Smart Search'!$L$8))),IF(BA410="","",BA410+ROW()*0.0000000001),"")</f>
        <v/>
      </c>
      <c r="BI410" s="5" t="str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 t="str">
        <f>IF('Project Database'!A414="","",N('Project Database'!AC414))</f>
        <v/>
      </c>
      <c r="BK410" s="5" t="str">
        <f>IF('Project Database'!A414="","",N('Project Database'!AD414))</f>
        <v/>
      </c>
      <c r="BL410" s="5" t="str">
        <f>IF('Project Database'!A414="","",N('Project Database'!AE414))</f>
        <v/>
      </c>
      <c r="BM410" s="5" t="str">
        <f>IF('Project Database'!A414="","",N('Project Database'!AF414))</f>
        <v/>
      </c>
      <c r="BN410" s="5" t="str">
        <f>IF('Project Database'!A414="","",N('Project Database'!AG414))</f>
        <v/>
      </c>
      <c r="BO410" s="5" t="str">
        <f>IF('Project Database'!A414="","",N('Project Database'!AH414))</f>
        <v/>
      </c>
      <c r="BP410" s="5" t="str">
        <f>IF('Project Database'!A414="","",N('Project Database'!AI414))</f>
        <v/>
      </c>
      <c r="BQ410" s="5" t="str">
        <f>IF('Project Database'!A414="","",N('Project Database'!AJ414))</f>
        <v/>
      </c>
      <c r="BR410" s="5" t="str">
        <f>IF('Project Database'!A414="","",N('Project Database'!AK414))</f>
        <v/>
      </c>
      <c r="BS410" s="5" t="str">
        <f>IF('Project Database'!A414="","",N('Project Database'!AL414))</f>
        <v/>
      </c>
      <c r="BT410" s="5" t="str">
        <f>IF('Project Database'!A414="","",N('Project Database'!AM414))</f>
        <v/>
      </c>
      <c r="BU410" s="5" t="str">
        <f>IF('Project Database'!A414="","",N('Project Database'!AN414))</f>
        <v/>
      </c>
      <c r="BV410" s="5" t="str">
        <f>IF('Project Database'!A414="","",N('Project Database'!AO414))</f>
        <v/>
      </c>
      <c r="BW410" s="5" t="str">
        <f>IF('Project Database'!A414="","",N('Project Database'!AP414))</f>
        <v/>
      </c>
      <c r="BX410" s="5">
        <f t="shared" si="96"/>
        <v>0</v>
      </c>
      <c r="BY410" s="5">
        <f t="shared" si="97"/>
        <v>0</v>
      </c>
    </row>
    <row r="411" spans="1:77" ht="15" customHeight="1" x14ac:dyDescent="0.3">
      <c r="A411" s="66">
        <f>'Project Database'!A415</f>
        <v>0</v>
      </c>
      <c r="B411" s="66">
        <f>'Project Database'!B415</f>
        <v>0</v>
      </c>
      <c r="C411" s="66">
        <f>'Project Database'!G415</f>
        <v>0</v>
      </c>
      <c r="D411" s="66">
        <f>'Project Database'!H415</f>
        <v>0</v>
      </c>
      <c r="E411" s="66">
        <f>'Project Database'!I415</f>
        <v>0</v>
      </c>
      <c r="F411" s="66">
        <f>'Project Database'!J415</f>
        <v>0</v>
      </c>
      <c r="G411" s="66">
        <f>'Project Database'!K415</f>
        <v>0</v>
      </c>
      <c r="H411" s="66">
        <f>'Project Database'!L415</f>
        <v>0</v>
      </c>
      <c r="I411" s="66">
        <f>'Project Database'!M415</f>
        <v>0</v>
      </c>
      <c r="J411" s="66">
        <f>'Project Database'!N415</f>
        <v>0</v>
      </c>
      <c r="K411" s="66">
        <f>'Project Database'!O415</f>
        <v>0</v>
      </c>
      <c r="L411" s="66">
        <f>'Project Database'!P415</f>
        <v>0</v>
      </c>
      <c r="M411" s="66">
        <f>'Project Database'!Q415</f>
        <v>0</v>
      </c>
      <c r="N411" s="66">
        <f>'Project Database'!R415</f>
        <v>0</v>
      </c>
      <c r="O411" s="66">
        <f>'Project Database'!S415</f>
        <v>0</v>
      </c>
      <c r="P411" s="66">
        <f>'Project Database'!T415</f>
        <v>0</v>
      </c>
      <c r="Q411" s="66">
        <f>'Project Database'!U415</f>
        <v>0</v>
      </c>
      <c r="R411" s="66">
        <f>'Project Database'!V415</f>
        <v>0</v>
      </c>
      <c r="S411" s="66">
        <f>'Project Database'!W415</f>
        <v>0</v>
      </c>
      <c r="T411" s="66">
        <f>'Project Database'!X415</f>
        <v>0</v>
      </c>
      <c r="U411" s="67">
        <f>'Project Database'!Y415</f>
        <v>0</v>
      </c>
      <c r="V411" s="66">
        <f>IF('Smart Search'!B13=1,IFERROR(1/'Smart Search'!H13,0),0)</f>
        <v>0</v>
      </c>
      <c r="W411" s="66">
        <f>IF('Smart Search'!B13=1,IFERROR(1/'Smart Search'!H13,0),0)</f>
        <v>0</v>
      </c>
      <c r="X411" s="66">
        <f>IF('Smart Search'!C13=1,IFERROR(1/'Smart Search'!H13,0),0)</f>
        <v>0.5</v>
      </c>
      <c r="Y411" s="66">
        <f>IF('Smart Search'!C13=1,IFERROR(1/'Smart Search'!H13,0),0)</f>
        <v>0.5</v>
      </c>
      <c r="Z411" s="66">
        <f>IF('Smart Search'!D13=1,IFERROR(1/'Smart Search'!H13,0),0)</f>
        <v>0</v>
      </c>
      <c r="AA411" s="66">
        <f>IF('Smart Search'!D13=1,IFERROR(1/'Smart Search'!H13,0),0)</f>
        <v>0</v>
      </c>
      <c r="AB411" s="66">
        <f>IF('Smart Search'!E13=1,IFERROR(1/'Smart Search'!H13,0),0)</f>
        <v>0</v>
      </c>
      <c r="AC411" s="66">
        <f>IF('Smart Search'!E13=1,IFERROR(1/'Smart Search'!H13,0),0)</f>
        <v>0</v>
      </c>
      <c r="AD411" s="66">
        <f>IF('Smart Search'!F13=1,IFERROR(1/'Smart Search'!H13,0),0)</f>
        <v>0</v>
      </c>
      <c r="AE411" s="66">
        <f>IF('Smart Search'!F13=1,IFERROR(1/'Smart Search'!H13,0),0)</f>
        <v>0</v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>0</v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>0</v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>0</v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>0</v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>0</v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>0</v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>0</v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>0</v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>0</v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>0</v>
      </c>
      <c r="AP411" s="66">
        <f t="shared" si="84"/>
        <v>0</v>
      </c>
      <c r="AQ411" s="66">
        <f t="shared" si="85"/>
        <v>0</v>
      </c>
      <c r="AR411" s="66">
        <f t="shared" si="86"/>
        <v>0</v>
      </c>
      <c r="AS411" s="66">
        <f t="shared" si="87"/>
        <v>0</v>
      </c>
      <c r="AT411" s="66">
        <f t="shared" si="88"/>
        <v>0</v>
      </c>
      <c r="AU411" s="66">
        <f t="shared" si="89"/>
        <v>0</v>
      </c>
      <c r="AV411" s="66">
        <f t="shared" si="90"/>
        <v>0</v>
      </c>
      <c r="AW411" s="66">
        <f t="shared" si="91"/>
        <v>0</v>
      </c>
      <c r="AX411" s="66">
        <f t="shared" si="92"/>
        <v>0</v>
      </c>
      <c r="AY411" s="66">
        <f t="shared" si="93"/>
        <v>0</v>
      </c>
      <c r="AZ411" s="66">
        <f>'Project Database'!Z415</f>
        <v>0</v>
      </c>
      <c r="BA411" s="66">
        <f>IF(OR(A411="",'Smart Search'!H13=0),"",MAX(0,BE411*BF411*MAX(0,1-BG411)))</f>
        <v>0</v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>0</v>
      </c>
      <c r="BC411" s="66">
        <f>IF('Smart Search'!G13=1,IFERROR(1/'Smart Search'!H13,0),0)</f>
        <v>0</v>
      </c>
      <c r="BD411" s="66">
        <f t="shared" si="94"/>
        <v>0</v>
      </c>
      <c r="BE411" s="66">
        <f t="shared" si="95"/>
        <v>0</v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>0</v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>0</v>
      </c>
      <c r="BH411" s="5" t="str">
        <f>IF(AND('Project Database'!A415&lt;&gt;"",OR('Smart Search'!$L$5="",'Smart Search'!$L$5="All",TRIM('Project Database'!D415)=TRIM('Smart Search'!$L$5)),OR(TRIM('Smart Search'!$L$6)="",TRIM('Smart Search'!$L$6)="All",ISNUMBER(SEARCH(SUBSTITUTE(SUBSTITUTE(SUBSTITUTE(TRIM('Smart Search'!$L$6),"~","~~"),"*","~*"),"?","~?"),'Project Database'!C415))),OR('Smart Search'!$L$7="",AND('Project Database'!E415&lt;&gt;"",'Project Database'!E415='Smart Search'!$L$7)),OR('Smart Search'!$L$8="",'Smart Search'!$L$8="All",TRIM('Project Database'!F415)=TRIM('Smart Search'!$L$8))),IF(BA411="","",BA411+ROW()*0.0000000001),"")</f>
        <v/>
      </c>
      <c r="BI411" s="5" t="str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 t="str">
        <f>IF('Project Database'!A415="","",N('Project Database'!AC415))</f>
        <v/>
      </c>
      <c r="BK411" s="5" t="str">
        <f>IF('Project Database'!A415="","",N('Project Database'!AD415))</f>
        <v/>
      </c>
      <c r="BL411" s="5" t="str">
        <f>IF('Project Database'!A415="","",N('Project Database'!AE415))</f>
        <v/>
      </c>
      <c r="BM411" s="5" t="str">
        <f>IF('Project Database'!A415="","",N('Project Database'!AF415))</f>
        <v/>
      </c>
      <c r="BN411" s="5" t="str">
        <f>IF('Project Database'!A415="","",N('Project Database'!AG415))</f>
        <v/>
      </c>
      <c r="BO411" s="5" t="str">
        <f>IF('Project Database'!A415="","",N('Project Database'!AH415))</f>
        <v/>
      </c>
      <c r="BP411" s="5" t="str">
        <f>IF('Project Database'!A415="","",N('Project Database'!AI415))</f>
        <v/>
      </c>
      <c r="BQ411" s="5" t="str">
        <f>IF('Project Database'!A415="","",N('Project Database'!AJ415))</f>
        <v/>
      </c>
      <c r="BR411" s="5" t="str">
        <f>IF('Project Database'!A415="","",N('Project Database'!AK415))</f>
        <v/>
      </c>
      <c r="BS411" s="5" t="str">
        <f>IF('Project Database'!A415="","",N('Project Database'!AL415))</f>
        <v/>
      </c>
      <c r="BT411" s="5" t="str">
        <f>IF('Project Database'!A415="","",N('Project Database'!AM415))</f>
        <v/>
      </c>
      <c r="BU411" s="5" t="str">
        <f>IF('Project Database'!A415="","",N('Project Database'!AN415))</f>
        <v/>
      </c>
      <c r="BV411" s="5" t="str">
        <f>IF('Project Database'!A415="","",N('Project Database'!AO415))</f>
        <v/>
      </c>
      <c r="BW411" s="5" t="str">
        <f>IF('Project Database'!A415="","",N('Project Database'!AP415))</f>
        <v/>
      </c>
      <c r="BX411" s="5">
        <f t="shared" si="96"/>
        <v>0</v>
      </c>
      <c r="BY411" s="5">
        <f t="shared" si="97"/>
        <v>0</v>
      </c>
    </row>
    <row r="412" spans="1:77" ht="15" customHeight="1" x14ac:dyDescent="0.3">
      <c r="A412" s="66">
        <f>'Project Database'!A416</f>
        <v>0</v>
      </c>
      <c r="B412" s="66">
        <f>'Project Database'!B416</f>
        <v>0</v>
      </c>
      <c r="C412" s="66">
        <f>'Project Database'!G416</f>
        <v>0</v>
      </c>
      <c r="D412" s="66">
        <f>'Project Database'!H416</f>
        <v>0</v>
      </c>
      <c r="E412" s="66">
        <f>'Project Database'!I416</f>
        <v>0</v>
      </c>
      <c r="F412" s="66">
        <f>'Project Database'!J416</f>
        <v>0</v>
      </c>
      <c r="G412" s="66">
        <f>'Project Database'!K416</f>
        <v>0</v>
      </c>
      <c r="H412" s="66">
        <f>'Project Database'!L416</f>
        <v>0</v>
      </c>
      <c r="I412" s="66">
        <f>'Project Database'!M416</f>
        <v>0</v>
      </c>
      <c r="J412" s="66">
        <f>'Project Database'!N416</f>
        <v>0</v>
      </c>
      <c r="K412" s="66">
        <f>'Project Database'!O416</f>
        <v>0</v>
      </c>
      <c r="L412" s="66">
        <f>'Project Database'!P416</f>
        <v>0</v>
      </c>
      <c r="M412" s="66">
        <f>'Project Database'!Q416</f>
        <v>0</v>
      </c>
      <c r="N412" s="66">
        <f>'Project Database'!R416</f>
        <v>0</v>
      </c>
      <c r="O412" s="66">
        <f>'Project Database'!S416</f>
        <v>0</v>
      </c>
      <c r="P412" s="66">
        <f>'Project Database'!T416</f>
        <v>0</v>
      </c>
      <c r="Q412" s="66">
        <f>'Project Database'!U416</f>
        <v>0</v>
      </c>
      <c r="R412" s="66">
        <f>'Project Database'!V416</f>
        <v>0</v>
      </c>
      <c r="S412" s="66">
        <f>'Project Database'!W416</f>
        <v>0</v>
      </c>
      <c r="T412" s="66">
        <f>'Project Database'!X416</f>
        <v>0</v>
      </c>
      <c r="U412" s="67">
        <f>'Project Database'!Y416</f>
        <v>0</v>
      </c>
      <c r="V412" s="66">
        <f>IF('Smart Search'!B13=1,IFERROR(1/'Smart Search'!H13,0),0)</f>
        <v>0</v>
      </c>
      <c r="W412" s="66">
        <f>IF('Smart Search'!B13=1,IFERROR(1/'Smart Search'!H13,0),0)</f>
        <v>0</v>
      </c>
      <c r="X412" s="66">
        <f>IF('Smart Search'!C13=1,IFERROR(1/'Smart Search'!H13,0),0)</f>
        <v>0.5</v>
      </c>
      <c r="Y412" s="66">
        <f>IF('Smart Search'!C13=1,IFERROR(1/'Smart Search'!H13,0),0)</f>
        <v>0.5</v>
      </c>
      <c r="Z412" s="66">
        <f>IF('Smart Search'!D13=1,IFERROR(1/'Smart Search'!H13,0),0)</f>
        <v>0</v>
      </c>
      <c r="AA412" s="66">
        <f>IF('Smart Search'!D13=1,IFERROR(1/'Smart Search'!H13,0),0)</f>
        <v>0</v>
      </c>
      <c r="AB412" s="66">
        <f>IF('Smart Search'!E13=1,IFERROR(1/'Smart Search'!H13,0),0)</f>
        <v>0</v>
      </c>
      <c r="AC412" s="66">
        <f>IF('Smart Search'!E13=1,IFERROR(1/'Smart Search'!H13,0),0)</f>
        <v>0</v>
      </c>
      <c r="AD412" s="66">
        <f>IF('Smart Search'!F13=1,IFERROR(1/'Smart Search'!H13,0),0)</f>
        <v>0</v>
      </c>
      <c r="AE412" s="66">
        <f>IF('Smart Search'!F13=1,IFERROR(1/'Smart Search'!H13,0),0)</f>
        <v>0</v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>0</v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>0</v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>0</v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>0</v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>0</v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>0</v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>0</v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>0</v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>0</v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>0</v>
      </c>
      <c r="AP412" s="66">
        <f t="shared" si="84"/>
        <v>0</v>
      </c>
      <c r="AQ412" s="66">
        <f t="shared" si="85"/>
        <v>0</v>
      </c>
      <c r="AR412" s="66">
        <f t="shared" si="86"/>
        <v>0</v>
      </c>
      <c r="AS412" s="66">
        <f t="shared" si="87"/>
        <v>0</v>
      </c>
      <c r="AT412" s="66">
        <f t="shared" si="88"/>
        <v>0</v>
      </c>
      <c r="AU412" s="66">
        <f t="shared" si="89"/>
        <v>0</v>
      </c>
      <c r="AV412" s="66">
        <f t="shared" si="90"/>
        <v>0</v>
      </c>
      <c r="AW412" s="66">
        <f t="shared" si="91"/>
        <v>0</v>
      </c>
      <c r="AX412" s="66">
        <f t="shared" si="92"/>
        <v>0</v>
      </c>
      <c r="AY412" s="66">
        <f t="shared" si="93"/>
        <v>0</v>
      </c>
      <c r="AZ412" s="66">
        <f>'Project Database'!Z416</f>
        <v>0</v>
      </c>
      <c r="BA412" s="66">
        <f>IF(OR(A412="",'Smart Search'!H13=0),"",MAX(0,BE412*BF412*MAX(0,1-BG412)))</f>
        <v>0</v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>0</v>
      </c>
      <c r="BC412" s="66">
        <f>IF('Smart Search'!G13=1,IFERROR(1/'Smart Search'!H13,0),0)</f>
        <v>0</v>
      </c>
      <c r="BD412" s="66">
        <f t="shared" si="94"/>
        <v>0</v>
      </c>
      <c r="BE412" s="66">
        <f t="shared" si="95"/>
        <v>0</v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>0</v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>0</v>
      </c>
      <c r="BH412" s="5" t="str">
        <f>IF(AND('Project Database'!A416&lt;&gt;"",OR('Smart Search'!$L$5="",'Smart Search'!$L$5="All",TRIM('Project Database'!D416)=TRIM('Smart Search'!$L$5)),OR(TRIM('Smart Search'!$L$6)="",TRIM('Smart Search'!$L$6)="All",ISNUMBER(SEARCH(SUBSTITUTE(SUBSTITUTE(SUBSTITUTE(TRIM('Smart Search'!$L$6),"~","~~"),"*","~*"),"?","~?"),'Project Database'!C416))),OR('Smart Search'!$L$7="",AND('Project Database'!E416&lt;&gt;"",'Project Database'!E416='Smart Search'!$L$7)),OR('Smart Search'!$L$8="",'Smart Search'!$L$8="All",TRIM('Project Database'!F416)=TRIM('Smart Search'!$L$8))),IF(BA412="","",BA412+ROW()*0.0000000001),"")</f>
        <v/>
      </c>
      <c r="BI412" s="5" t="str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 t="str">
        <f>IF('Project Database'!A416="","",N('Project Database'!AC416))</f>
        <v/>
      </c>
      <c r="BK412" s="5" t="str">
        <f>IF('Project Database'!A416="","",N('Project Database'!AD416))</f>
        <v/>
      </c>
      <c r="BL412" s="5" t="str">
        <f>IF('Project Database'!A416="","",N('Project Database'!AE416))</f>
        <v/>
      </c>
      <c r="BM412" s="5" t="str">
        <f>IF('Project Database'!A416="","",N('Project Database'!AF416))</f>
        <v/>
      </c>
      <c r="BN412" s="5" t="str">
        <f>IF('Project Database'!A416="","",N('Project Database'!AG416))</f>
        <v/>
      </c>
      <c r="BO412" s="5" t="str">
        <f>IF('Project Database'!A416="","",N('Project Database'!AH416))</f>
        <v/>
      </c>
      <c r="BP412" s="5" t="str">
        <f>IF('Project Database'!A416="","",N('Project Database'!AI416))</f>
        <v/>
      </c>
      <c r="BQ412" s="5" t="str">
        <f>IF('Project Database'!A416="","",N('Project Database'!AJ416))</f>
        <v/>
      </c>
      <c r="BR412" s="5" t="str">
        <f>IF('Project Database'!A416="","",N('Project Database'!AK416))</f>
        <v/>
      </c>
      <c r="BS412" s="5" t="str">
        <f>IF('Project Database'!A416="","",N('Project Database'!AL416))</f>
        <v/>
      </c>
      <c r="BT412" s="5" t="str">
        <f>IF('Project Database'!A416="","",N('Project Database'!AM416))</f>
        <v/>
      </c>
      <c r="BU412" s="5" t="str">
        <f>IF('Project Database'!A416="","",N('Project Database'!AN416))</f>
        <v/>
      </c>
      <c r="BV412" s="5" t="str">
        <f>IF('Project Database'!A416="","",N('Project Database'!AO416))</f>
        <v/>
      </c>
      <c r="BW412" s="5" t="str">
        <f>IF('Project Database'!A416="","",N('Project Database'!AP416))</f>
        <v/>
      </c>
      <c r="BX412" s="5">
        <f t="shared" si="96"/>
        <v>0</v>
      </c>
      <c r="BY412" s="5">
        <f t="shared" si="97"/>
        <v>0</v>
      </c>
    </row>
    <row r="413" spans="1:77" ht="15" customHeight="1" x14ac:dyDescent="0.3">
      <c r="A413" s="66">
        <f>'Project Database'!A417</f>
        <v>0</v>
      </c>
      <c r="B413" s="66">
        <f>'Project Database'!B417</f>
        <v>0</v>
      </c>
      <c r="C413" s="66">
        <f>'Project Database'!G417</f>
        <v>0</v>
      </c>
      <c r="D413" s="66">
        <f>'Project Database'!H417</f>
        <v>0</v>
      </c>
      <c r="E413" s="66">
        <f>'Project Database'!I417</f>
        <v>0</v>
      </c>
      <c r="F413" s="66">
        <f>'Project Database'!J417</f>
        <v>0</v>
      </c>
      <c r="G413" s="66">
        <f>'Project Database'!K417</f>
        <v>0</v>
      </c>
      <c r="H413" s="66">
        <f>'Project Database'!L417</f>
        <v>0</v>
      </c>
      <c r="I413" s="66">
        <f>'Project Database'!M417</f>
        <v>0</v>
      </c>
      <c r="J413" s="66">
        <f>'Project Database'!N417</f>
        <v>0</v>
      </c>
      <c r="K413" s="66">
        <f>'Project Database'!O417</f>
        <v>0</v>
      </c>
      <c r="L413" s="66">
        <f>'Project Database'!P417</f>
        <v>0</v>
      </c>
      <c r="M413" s="66">
        <f>'Project Database'!Q417</f>
        <v>0</v>
      </c>
      <c r="N413" s="66">
        <f>'Project Database'!R417</f>
        <v>0</v>
      </c>
      <c r="O413" s="66">
        <f>'Project Database'!S417</f>
        <v>0</v>
      </c>
      <c r="P413" s="66">
        <f>'Project Database'!T417</f>
        <v>0</v>
      </c>
      <c r="Q413" s="66">
        <f>'Project Database'!U417</f>
        <v>0</v>
      </c>
      <c r="R413" s="66">
        <f>'Project Database'!V417</f>
        <v>0</v>
      </c>
      <c r="S413" s="66">
        <f>'Project Database'!W417</f>
        <v>0</v>
      </c>
      <c r="T413" s="66">
        <f>'Project Database'!X417</f>
        <v>0</v>
      </c>
      <c r="U413" s="67">
        <f>'Project Database'!Y417</f>
        <v>0</v>
      </c>
      <c r="V413" s="66">
        <f>IF('Smart Search'!B13=1,IFERROR(1/'Smart Search'!H13,0),0)</f>
        <v>0</v>
      </c>
      <c r="W413" s="66">
        <f>IF('Smart Search'!B13=1,IFERROR(1/'Smart Search'!H13,0),0)</f>
        <v>0</v>
      </c>
      <c r="X413" s="66">
        <f>IF('Smart Search'!C13=1,IFERROR(1/'Smart Search'!H13,0),0)</f>
        <v>0.5</v>
      </c>
      <c r="Y413" s="66">
        <f>IF('Smart Search'!C13=1,IFERROR(1/'Smart Search'!H13,0),0)</f>
        <v>0.5</v>
      </c>
      <c r="Z413" s="66">
        <f>IF('Smart Search'!D13=1,IFERROR(1/'Smart Search'!H13,0),0)</f>
        <v>0</v>
      </c>
      <c r="AA413" s="66">
        <f>IF('Smart Search'!D13=1,IFERROR(1/'Smart Search'!H13,0),0)</f>
        <v>0</v>
      </c>
      <c r="AB413" s="66">
        <f>IF('Smart Search'!E13=1,IFERROR(1/'Smart Search'!H13,0),0)</f>
        <v>0</v>
      </c>
      <c r="AC413" s="66">
        <f>IF('Smart Search'!E13=1,IFERROR(1/'Smart Search'!H13,0),0)</f>
        <v>0</v>
      </c>
      <c r="AD413" s="66">
        <f>IF('Smart Search'!F13=1,IFERROR(1/'Smart Search'!H13,0),0)</f>
        <v>0</v>
      </c>
      <c r="AE413" s="66">
        <f>IF('Smart Search'!F13=1,IFERROR(1/'Smart Search'!H13,0),0)</f>
        <v>0</v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>0</v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>0</v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>0</v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>0</v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>0</v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>0</v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>0</v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>0</v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>0</v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>0</v>
      </c>
      <c r="AP413" s="66">
        <f t="shared" si="84"/>
        <v>0</v>
      </c>
      <c r="AQ413" s="66">
        <f t="shared" si="85"/>
        <v>0</v>
      </c>
      <c r="AR413" s="66">
        <f t="shared" si="86"/>
        <v>0</v>
      </c>
      <c r="AS413" s="66">
        <f t="shared" si="87"/>
        <v>0</v>
      </c>
      <c r="AT413" s="66">
        <f t="shared" si="88"/>
        <v>0</v>
      </c>
      <c r="AU413" s="66">
        <f t="shared" si="89"/>
        <v>0</v>
      </c>
      <c r="AV413" s="66">
        <f t="shared" si="90"/>
        <v>0</v>
      </c>
      <c r="AW413" s="66">
        <f t="shared" si="91"/>
        <v>0</v>
      </c>
      <c r="AX413" s="66">
        <f t="shared" si="92"/>
        <v>0</v>
      </c>
      <c r="AY413" s="66">
        <f t="shared" si="93"/>
        <v>0</v>
      </c>
      <c r="AZ413" s="66">
        <f>'Project Database'!Z417</f>
        <v>0</v>
      </c>
      <c r="BA413" s="66">
        <f>IF(OR(A413="",'Smart Search'!H13=0),"",MAX(0,BE413*BF413*MAX(0,1-BG413)))</f>
        <v>0</v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>0</v>
      </c>
      <c r="BC413" s="66">
        <f>IF('Smart Search'!G13=1,IFERROR(1/'Smart Search'!H13,0),0)</f>
        <v>0</v>
      </c>
      <c r="BD413" s="66">
        <f t="shared" si="94"/>
        <v>0</v>
      </c>
      <c r="BE413" s="66">
        <f t="shared" si="95"/>
        <v>0</v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>0</v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>0</v>
      </c>
      <c r="BH413" s="5" t="str">
        <f>IF(AND('Project Database'!A417&lt;&gt;"",OR('Smart Search'!$L$5="",'Smart Search'!$L$5="All",TRIM('Project Database'!D417)=TRIM('Smart Search'!$L$5)),OR(TRIM('Smart Search'!$L$6)="",TRIM('Smart Search'!$L$6)="All",ISNUMBER(SEARCH(SUBSTITUTE(SUBSTITUTE(SUBSTITUTE(TRIM('Smart Search'!$L$6),"~","~~"),"*","~*"),"?","~?"),'Project Database'!C417))),OR('Smart Search'!$L$7="",AND('Project Database'!E417&lt;&gt;"",'Project Database'!E417='Smart Search'!$L$7)),OR('Smart Search'!$L$8="",'Smart Search'!$L$8="All",TRIM('Project Database'!F417)=TRIM('Smart Search'!$L$8))),IF(BA413="","",BA413+ROW()*0.0000000001),"")</f>
        <v/>
      </c>
      <c r="BI413" s="5" t="str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 t="str">
        <f>IF('Project Database'!A417="","",N('Project Database'!AC417))</f>
        <v/>
      </c>
      <c r="BK413" s="5" t="str">
        <f>IF('Project Database'!A417="","",N('Project Database'!AD417))</f>
        <v/>
      </c>
      <c r="BL413" s="5" t="str">
        <f>IF('Project Database'!A417="","",N('Project Database'!AE417))</f>
        <v/>
      </c>
      <c r="BM413" s="5" t="str">
        <f>IF('Project Database'!A417="","",N('Project Database'!AF417))</f>
        <v/>
      </c>
      <c r="BN413" s="5" t="str">
        <f>IF('Project Database'!A417="","",N('Project Database'!AG417))</f>
        <v/>
      </c>
      <c r="BO413" s="5" t="str">
        <f>IF('Project Database'!A417="","",N('Project Database'!AH417))</f>
        <v/>
      </c>
      <c r="BP413" s="5" t="str">
        <f>IF('Project Database'!A417="","",N('Project Database'!AI417))</f>
        <v/>
      </c>
      <c r="BQ413" s="5" t="str">
        <f>IF('Project Database'!A417="","",N('Project Database'!AJ417))</f>
        <v/>
      </c>
      <c r="BR413" s="5" t="str">
        <f>IF('Project Database'!A417="","",N('Project Database'!AK417))</f>
        <v/>
      </c>
      <c r="BS413" s="5" t="str">
        <f>IF('Project Database'!A417="","",N('Project Database'!AL417))</f>
        <v/>
      </c>
      <c r="BT413" s="5" t="str">
        <f>IF('Project Database'!A417="","",N('Project Database'!AM417))</f>
        <v/>
      </c>
      <c r="BU413" s="5" t="str">
        <f>IF('Project Database'!A417="","",N('Project Database'!AN417))</f>
        <v/>
      </c>
      <c r="BV413" s="5" t="str">
        <f>IF('Project Database'!A417="","",N('Project Database'!AO417))</f>
        <v/>
      </c>
      <c r="BW413" s="5" t="str">
        <f>IF('Project Database'!A417="","",N('Project Database'!AP417))</f>
        <v/>
      </c>
      <c r="BX413" s="5">
        <f t="shared" si="96"/>
        <v>0</v>
      </c>
      <c r="BY413" s="5">
        <f t="shared" si="97"/>
        <v>0</v>
      </c>
    </row>
    <row r="414" spans="1:77" ht="15" customHeight="1" x14ac:dyDescent="0.3">
      <c r="A414" s="66">
        <f>'Project Database'!A418</f>
        <v>0</v>
      </c>
      <c r="B414" s="66">
        <f>'Project Database'!B418</f>
        <v>0</v>
      </c>
      <c r="C414" s="66">
        <f>'Project Database'!G418</f>
        <v>0</v>
      </c>
      <c r="D414" s="66">
        <f>'Project Database'!H418</f>
        <v>0</v>
      </c>
      <c r="E414" s="66">
        <f>'Project Database'!I418</f>
        <v>0</v>
      </c>
      <c r="F414" s="66">
        <f>'Project Database'!J418</f>
        <v>0</v>
      </c>
      <c r="G414" s="66">
        <f>'Project Database'!K418</f>
        <v>0</v>
      </c>
      <c r="H414" s="66">
        <f>'Project Database'!L418</f>
        <v>0</v>
      </c>
      <c r="I414" s="66">
        <f>'Project Database'!M418</f>
        <v>0</v>
      </c>
      <c r="J414" s="66">
        <f>'Project Database'!N418</f>
        <v>0</v>
      </c>
      <c r="K414" s="66">
        <f>'Project Database'!O418</f>
        <v>0</v>
      </c>
      <c r="L414" s="66">
        <f>'Project Database'!P418</f>
        <v>0</v>
      </c>
      <c r="M414" s="66">
        <f>'Project Database'!Q418</f>
        <v>0</v>
      </c>
      <c r="N414" s="66">
        <f>'Project Database'!R418</f>
        <v>0</v>
      </c>
      <c r="O414" s="66">
        <f>'Project Database'!S418</f>
        <v>0</v>
      </c>
      <c r="P414" s="66">
        <f>'Project Database'!T418</f>
        <v>0</v>
      </c>
      <c r="Q414" s="66">
        <f>'Project Database'!U418</f>
        <v>0</v>
      </c>
      <c r="R414" s="66">
        <f>'Project Database'!V418</f>
        <v>0</v>
      </c>
      <c r="S414" s="66">
        <f>'Project Database'!W418</f>
        <v>0</v>
      </c>
      <c r="T414" s="66">
        <f>'Project Database'!X418</f>
        <v>0</v>
      </c>
      <c r="U414" s="67">
        <f>'Project Database'!Y418</f>
        <v>0</v>
      </c>
      <c r="V414" s="66">
        <f>IF('Smart Search'!B13=1,IFERROR(1/'Smart Search'!H13,0),0)</f>
        <v>0</v>
      </c>
      <c r="W414" s="66">
        <f>IF('Smart Search'!B13=1,IFERROR(1/'Smart Search'!H13,0),0)</f>
        <v>0</v>
      </c>
      <c r="X414" s="66">
        <f>IF('Smart Search'!C13=1,IFERROR(1/'Smart Search'!H13,0),0)</f>
        <v>0.5</v>
      </c>
      <c r="Y414" s="66">
        <f>IF('Smart Search'!C13=1,IFERROR(1/'Smart Search'!H13,0),0)</f>
        <v>0.5</v>
      </c>
      <c r="Z414" s="66">
        <f>IF('Smart Search'!D13=1,IFERROR(1/'Smart Search'!H13,0),0)</f>
        <v>0</v>
      </c>
      <c r="AA414" s="66">
        <f>IF('Smart Search'!D13=1,IFERROR(1/'Smart Search'!H13,0),0)</f>
        <v>0</v>
      </c>
      <c r="AB414" s="66">
        <f>IF('Smart Search'!E13=1,IFERROR(1/'Smart Search'!H13,0),0)</f>
        <v>0</v>
      </c>
      <c r="AC414" s="66">
        <f>IF('Smart Search'!E13=1,IFERROR(1/'Smart Search'!H13,0),0)</f>
        <v>0</v>
      </c>
      <c r="AD414" s="66">
        <f>IF('Smart Search'!F13=1,IFERROR(1/'Smart Search'!H13,0),0)</f>
        <v>0</v>
      </c>
      <c r="AE414" s="66">
        <f>IF('Smart Search'!F13=1,IFERROR(1/'Smart Search'!H13,0),0)</f>
        <v>0</v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>0</v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>0</v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>0</v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>0</v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>0</v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>0</v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>0</v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>0</v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>0</v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>0</v>
      </c>
      <c r="AP414" s="66">
        <f t="shared" si="84"/>
        <v>0</v>
      </c>
      <c r="AQ414" s="66">
        <f t="shared" si="85"/>
        <v>0</v>
      </c>
      <c r="AR414" s="66">
        <f t="shared" si="86"/>
        <v>0</v>
      </c>
      <c r="AS414" s="66">
        <f t="shared" si="87"/>
        <v>0</v>
      </c>
      <c r="AT414" s="66">
        <f t="shared" si="88"/>
        <v>0</v>
      </c>
      <c r="AU414" s="66">
        <f t="shared" si="89"/>
        <v>0</v>
      </c>
      <c r="AV414" s="66">
        <f t="shared" si="90"/>
        <v>0</v>
      </c>
      <c r="AW414" s="66">
        <f t="shared" si="91"/>
        <v>0</v>
      </c>
      <c r="AX414" s="66">
        <f t="shared" si="92"/>
        <v>0</v>
      </c>
      <c r="AY414" s="66">
        <f t="shared" si="93"/>
        <v>0</v>
      </c>
      <c r="AZ414" s="66">
        <f>'Project Database'!Z418</f>
        <v>0</v>
      </c>
      <c r="BA414" s="66">
        <f>IF(OR(A414="",'Smart Search'!H13=0),"",MAX(0,BE414*BF414*MAX(0,1-BG414)))</f>
        <v>0</v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>0</v>
      </c>
      <c r="BC414" s="66">
        <f>IF('Smart Search'!G13=1,IFERROR(1/'Smart Search'!H13,0),0)</f>
        <v>0</v>
      </c>
      <c r="BD414" s="66">
        <f t="shared" si="94"/>
        <v>0</v>
      </c>
      <c r="BE414" s="66">
        <f t="shared" si="95"/>
        <v>0</v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>0</v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>0</v>
      </c>
      <c r="BH414" s="5" t="str">
        <f>IF(AND('Project Database'!A418&lt;&gt;"",OR('Smart Search'!$L$5="",'Smart Search'!$L$5="All",TRIM('Project Database'!D418)=TRIM('Smart Search'!$L$5)),OR(TRIM('Smart Search'!$L$6)="",TRIM('Smart Search'!$L$6)="All",ISNUMBER(SEARCH(SUBSTITUTE(SUBSTITUTE(SUBSTITUTE(TRIM('Smart Search'!$L$6),"~","~~"),"*","~*"),"?","~?"),'Project Database'!C418))),OR('Smart Search'!$L$7="",AND('Project Database'!E418&lt;&gt;"",'Project Database'!E418='Smart Search'!$L$7)),OR('Smart Search'!$L$8="",'Smart Search'!$L$8="All",TRIM('Project Database'!F418)=TRIM('Smart Search'!$L$8))),IF(BA414="","",BA414+ROW()*0.0000000001),"")</f>
        <v/>
      </c>
      <c r="BI414" s="5" t="str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 t="str">
        <f>IF('Project Database'!A418="","",N('Project Database'!AC418))</f>
        <v/>
      </c>
      <c r="BK414" s="5" t="str">
        <f>IF('Project Database'!A418="","",N('Project Database'!AD418))</f>
        <v/>
      </c>
      <c r="BL414" s="5" t="str">
        <f>IF('Project Database'!A418="","",N('Project Database'!AE418))</f>
        <v/>
      </c>
      <c r="BM414" s="5" t="str">
        <f>IF('Project Database'!A418="","",N('Project Database'!AF418))</f>
        <v/>
      </c>
      <c r="BN414" s="5" t="str">
        <f>IF('Project Database'!A418="","",N('Project Database'!AG418))</f>
        <v/>
      </c>
      <c r="BO414" s="5" t="str">
        <f>IF('Project Database'!A418="","",N('Project Database'!AH418))</f>
        <v/>
      </c>
      <c r="BP414" s="5" t="str">
        <f>IF('Project Database'!A418="","",N('Project Database'!AI418))</f>
        <v/>
      </c>
      <c r="BQ414" s="5" t="str">
        <f>IF('Project Database'!A418="","",N('Project Database'!AJ418))</f>
        <v/>
      </c>
      <c r="BR414" s="5" t="str">
        <f>IF('Project Database'!A418="","",N('Project Database'!AK418))</f>
        <v/>
      </c>
      <c r="BS414" s="5" t="str">
        <f>IF('Project Database'!A418="","",N('Project Database'!AL418))</f>
        <v/>
      </c>
      <c r="BT414" s="5" t="str">
        <f>IF('Project Database'!A418="","",N('Project Database'!AM418))</f>
        <v/>
      </c>
      <c r="BU414" s="5" t="str">
        <f>IF('Project Database'!A418="","",N('Project Database'!AN418))</f>
        <v/>
      </c>
      <c r="BV414" s="5" t="str">
        <f>IF('Project Database'!A418="","",N('Project Database'!AO418))</f>
        <v/>
      </c>
      <c r="BW414" s="5" t="str">
        <f>IF('Project Database'!A418="","",N('Project Database'!AP418))</f>
        <v/>
      </c>
      <c r="BX414" s="5">
        <f t="shared" si="96"/>
        <v>0</v>
      </c>
      <c r="BY414" s="5">
        <f t="shared" si="97"/>
        <v>0</v>
      </c>
    </row>
    <row r="415" spans="1:77" ht="15" customHeight="1" x14ac:dyDescent="0.3">
      <c r="A415" s="66">
        <f>'Project Database'!A419</f>
        <v>0</v>
      </c>
      <c r="B415" s="66">
        <f>'Project Database'!B419</f>
        <v>0</v>
      </c>
      <c r="C415" s="66">
        <f>'Project Database'!G419</f>
        <v>0</v>
      </c>
      <c r="D415" s="66">
        <f>'Project Database'!H419</f>
        <v>0</v>
      </c>
      <c r="E415" s="66">
        <f>'Project Database'!I419</f>
        <v>0</v>
      </c>
      <c r="F415" s="66">
        <f>'Project Database'!J419</f>
        <v>0</v>
      </c>
      <c r="G415" s="66">
        <f>'Project Database'!K419</f>
        <v>0</v>
      </c>
      <c r="H415" s="66">
        <f>'Project Database'!L419</f>
        <v>0</v>
      </c>
      <c r="I415" s="66">
        <f>'Project Database'!M419</f>
        <v>0</v>
      </c>
      <c r="J415" s="66">
        <f>'Project Database'!N419</f>
        <v>0</v>
      </c>
      <c r="K415" s="66">
        <f>'Project Database'!O419</f>
        <v>0</v>
      </c>
      <c r="L415" s="66">
        <f>'Project Database'!P419</f>
        <v>0</v>
      </c>
      <c r="M415" s="66">
        <f>'Project Database'!Q419</f>
        <v>0</v>
      </c>
      <c r="N415" s="66">
        <f>'Project Database'!R419</f>
        <v>0</v>
      </c>
      <c r="O415" s="66">
        <f>'Project Database'!S419</f>
        <v>0</v>
      </c>
      <c r="P415" s="66">
        <f>'Project Database'!T419</f>
        <v>0</v>
      </c>
      <c r="Q415" s="66">
        <f>'Project Database'!U419</f>
        <v>0</v>
      </c>
      <c r="R415" s="66">
        <f>'Project Database'!V419</f>
        <v>0</v>
      </c>
      <c r="S415" s="66">
        <f>'Project Database'!W419</f>
        <v>0</v>
      </c>
      <c r="T415" s="66">
        <f>'Project Database'!X419</f>
        <v>0</v>
      </c>
      <c r="U415" s="67">
        <f>'Project Database'!Y419</f>
        <v>0</v>
      </c>
      <c r="V415" s="66">
        <f>IF('Smart Search'!B13=1,IFERROR(1/'Smart Search'!H13,0),0)</f>
        <v>0</v>
      </c>
      <c r="W415" s="66">
        <f>IF('Smart Search'!B13=1,IFERROR(1/'Smart Search'!H13,0),0)</f>
        <v>0</v>
      </c>
      <c r="X415" s="66">
        <f>IF('Smart Search'!C13=1,IFERROR(1/'Smart Search'!H13,0),0)</f>
        <v>0.5</v>
      </c>
      <c r="Y415" s="66">
        <f>IF('Smart Search'!C13=1,IFERROR(1/'Smart Search'!H13,0),0)</f>
        <v>0.5</v>
      </c>
      <c r="Z415" s="66">
        <f>IF('Smart Search'!D13=1,IFERROR(1/'Smart Search'!H13,0),0)</f>
        <v>0</v>
      </c>
      <c r="AA415" s="66">
        <f>IF('Smart Search'!D13=1,IFERROR(1/'Smart Search'!H13,0),0)</f>
        <v>0</v>
      </c>
      <c r="AB415" s="66">
        <f>IF('Smart Search'!E13=1,IFERROR(1/'Smart Search'!H13,0),0)</f>
        <v>0</v>
      </c>
      <c r="AC415" s="66">
        <f>IF('Smart Search'!E13=1,IFERROR(1/'Smart Search'!H13,0),0)</f>
        <v>0</v>
      </c>
      <c r="AD415" s="66">
        <f>IF('Smart Search'!F13=1,IFERROR(1/'Smart Search'!H13,0),0)</f>
        <v>0</v>
      </c>
      <c r="AE415" s="66">
        <f>IF('Smart Search'!F13=1,IFERROR(1/'Smart Search'!H13,0),0)</f>
        <v>0</v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>0</v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>0</v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>0</v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>0</v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>0</v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>0</v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>0</v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>0</v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>0</v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>0</v>
      </c>
      <c r="AP415" s="66">
        <f t="shared" si="84"/>
        <v>0</v>
      </c>
      <c r="AQ415" s="66">
        <f t="shared" si="85"/>
        <v>0</v>
      </c>
      <c r="AR415" s="66">
        <f t="shared" si="86"/>
        <v>0</v>
      </c>
      <c r="AS415" s="66">
        <f t="shared" si="87"/>
        <v>0</v>
      </c>
      <c r="AT415" s="66">
        <f t="shared" si="88"/>
        <v>0</v>
      </c>
      <c r="AU415" s="66">
        <f t="shared" si="89"/>
        <v>0</v>
      </c>
      <c r="AV415" s="66">
        <f t="shared" si="90"/>
        <v>0</v>
      </c>
      <c r="AW415" s="66">
        <f t="shared" si="91"/>
        <v>0</v>
      </c>
      <c r="AX415" s="66">
        <f t="shared" si="92"/>
        <v>0</v>
      </c>
      <c r="AY415" s="66">
        <f t="shared" si="93"/>
        <v>0</v>
      </c>
      <c r="AZ415" s="66">
        <f>'Project Database'!Z419</f>
        <v>0</v>
      </c>
      <c r="BA415" s="66">
        <f>IF(OR(A415="",'Smart Search'!H13=0),"",MAX(0,BE415*BF415*MAX(0,1-BG415)))</f>
        <v>0</v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>0</v>
      </c>
      <c r="BC415" s="66">
        <f>IF('Smart Search'!G13=1,IFERROR(1/'Smart Search'!H13,0),0)</f>
        <v>0</v>
      </c>
      <c r="BD415" s="66">
        <f t="shared" si="94"/>
        <v>0</v>
      </c>
      <c r="BE415" s="66">
        <f t="shared" si="95"/>
        <v>0</v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>0</v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>0</v>
      </c>
      <c r="BH415" s="5" t="str">
        <f>IF(AND('Project Database'!A419&lt;&gt;"",OR('Smart Search'!$L$5="",'Smart Search'!$L$5="All",TRIM('Project Database'!D419)=TRIM('Smart Search'!$L$5)),OR(TRIM('Smart Search'!$L$6)="",TRIM('Smart Search'!$L$6)="All",ISNUMBER(SEARCH(SUBSTITUTE(SUBSTITUTE(SUBSTITUTE(TRIM('Smart Search'!$L$6),"~","~~"),"*","~*"),"?","~?"),'Project Database'!C419))),OR('Smart Search'!$L$7="",AND('Project Database'!E419&lt;&gt;"",'Project Database'!E419='Smart Search'!$L$7)),OR('Smart Search'!$L$8="",'Smart Search'!$L$8="All",TRIM('Project Database'!F419)=TRIM('Smart Search'!$L$8))),IF(BA415="","",BA415+ROW()*0.0000000001),"")</f>
        <v/>
      </c>
      <c r="BI415" s="5" t="str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 t="str">
        <f>IF('Project Database'!A419="","",N('Project Database'!AC419))</f>
        <v/>
      </c>
      <c r="BK415" s="5" t="str">
        <f>IF('Project Database'!A419="","",N('Project Database'!AD419))</f>
        <v/>
      </c>
      <c r="BL415" s="5" t="str">
        <f>IF('Project Database'!A419="","",N('Project Database'!AE419))</f>
        <v/>
      </c>
      <c r="BM415" s="5" t="str">
        <f>IF('Project Database'!A419="","",N('Project Database'!AF419))</f>
        <v/>
      </c>
      <c r="BN415" s="5" t="str">
        <f>IF('Project Database'!A419="","",N('Project Database'!AG419))</f>
        <v/>
      </c>
      <c r="BO415" s="5" t="str">
        <f>IF('Project Database'!A419="","",N('Project Database'!AH419))</f>
        <v/>
      </c>
      <c r="BP415" s="5" t="str">
        <f>IF('Project Database'!A419="","",N('Project Database'!AI419))</f>
        <v/>
      </c>
      <c r="BQ415" s="5" t="str">
        <f>IF('Project Database'!A419="","",N('Project Database'!AJ419))</f>
        <v/>
      </c>
      <c r="BR415" s="5" t="str">
        <f>IF('Project Database'!A419="","",N('Project Database'!AK419))</f>
        <v/>
      </c>
      <c r="BS415" s="5" t="str">
        <f>IF('Project Database'!A419="","",N('Project Database'!AL419))</f>
        <v/>
      </c>
      <c r="BT415" s="5" t="str">
        <f>IF('Project Database'!A419="","",N('Project Database'!AM419))</f>
        <v/>
      </c>
      <c r="BU415" s="5" t="str">
        <f>IF('Project Database'!A419="","",N('Project Database'!AN419))</f>
        <v/>
      </c>
      <c r="BV415" s="5" t="str">
        <f>IF('Project Database'!A419="","",N('Project Database'!AO419))</f>
        <v/>
      </c>
      <c r="BW415" s="5" t="str">
        <f>IF('Project Database'!A419="","",N('Project Database'!AP419))</f>
        <v/>
      </c>
      <c r="BX415" s="5">
        <f t="shared" si="96"/>
        <v>0</v>
      </c>
      <c r="BY415" s="5">
        <f t="shared" si="97"/>
        <v>0</v>
      </c>
    </row>
    <row r="416" spans="1:77" ht="15" customHeight="1" x14ac:dyDescent="0.3">
      <c r="A416" s="66">
        <f>'Project Database'!A420</f>
        <v>0</v>
      </c>
      <c r="B416" s="66">
        <f>'Project Database'!B420</f>
        <v>0</v>
      </c>
      <c r="C416" s="66">
        <f>'Project Database'!G420</f>
        <v>0</v>
      </c>
      <c r="D416" s="66">
        <f>'Project Database'!H420</f>
        <v>0</v>
      </c>
      <c r="E416" s="66">
        <f>'Project Database'!I420</f>
        <v>0</v>
      </c>
      <c r="F416" s="66">
        <f>'Project Database'!J420</f>
        <v>0</v>
      </c>
      <c r="G416" s="66">
        <f>'Project Database'!K420</f>
        <v>0</v>
      </c>
      <c r="H416" s="66">
        <f>'Project Database'!L420</f>
        <v>0</v>
      </c>
      <c r="I416" s="66">
        <f>'Project Database'!M420</f>
        <v>0</v>
      </c>
      <c r="J416" s="66">
        <f>'Project Database'!N420</f>
        <v>0</v>
      </c>
      <c r="K416" s="66">
        <f>'Project Database'!O420</f>
        <v>0</v>
      </c>
      <c r="L416" s="66">
        <f>'Project Database'!P420</f>
        <v>0</v>
      </c>
      <c r="M416" s="66">
        <f>'Project Database'!Q420</f>
        <v>0</v>
      </c>
      <c r="N416" s="66">
        <f>'Project Database'!R420</f>
        <v>0</v>
      </c>
      <c r="O416" s="66">
        <f>'Project Database'!S420</f>
        <v>0</v>
      </c>
      <c r="P416" s="66">
        <f>'Project Database'!T420</f>
        <v>0</v>
      </c>
      <c r="Q416" s="66">
        <f>'Project Database'!U420</f>
        <v>0</v>
      </c>
      <c r="R416" s="66">
        <f>'Project Database'!V420</f>
        <v>0</v>
      </c>
      <c r="S416" s="66">
        <f>'Project Database'!W420</f>
        <v>0</v>
      </c>
      <c r="T416" s="66">
        <f>'Project Database'!X420</f>
        <v>0</v>
      </c>
      <c r="U416" s="67">
        <f>'Project Database'!Y420</f>
        <v>0</v>
      </c>
      <c r="V416" s="66">
        <f>IF('Smart Search'!B13=1,IFERROR(1/'Smart Search'!H13,0),0)</f>
        <v>0</v>
      </c>
      <c r="W416" s="66">
        <f>IF('Smart Search'!B13=1,IFERROR(1/'Smart Search'!H13,0),0)</f>
        <v>0</v>
      </c>
      <c r="X416" s="66">
        <f>IF('Smart Search'!C13=1,IFERROR(1/'Smart Search'!H13,0),0)</f>
        <v>0.5</v>
      </c>
      <c r="Y416" s="66">
        <f>IF('Smart Search'!C13=1,IFERROR(1/'Smart Search'!H13,0),0)</f>
        <v>0.5</v>
      </c>
      <c r="Z416" s="66">
        <f>IF('Smart Search'!D13=1,IFERROR(1/'Smart Search'!H13,0),0)</f>
        <v>0</v>
      </c>
      <c r="AA416" s="66">
        <f>IF('Smart Search'!D13=1,IFERROR(1/'Smart Search'!H13,0),0)</f>
        <v>0</v>
      </c>
      <c r="AB416" s="66">
        <f>IF('Smart Search'!E13=1,IFERROR(1/'Smart Search'!H13,0),0)</f>
        <v>0</v>
      </c>
      <c r="AC416" s="66">
        <f>IF('Smart Search'!E13=1,IFERROR(1/'Smart Search'!H13,0),0)</f>
        <v>0</v>
      </c>
      <c r="AD416" s="66">
        <f>IF('Smart Search'!F13=1,IFERROR(1/'Smart Search'!H13,0),0)</f>
        <v>0</v>
      </c>
      <c r="AE416" s="66">
        <f>IF('Smart Search'!F13=1,IFERROR(1/'Smart Search'!H13,0),0)</f>
        <v>0</v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>0</v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>0</v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>0</v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>0</v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>0</v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>0</v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>0</v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>0</v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>0</v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>0</v>
      </c>
      <c r="AP416" s="66">
        <f t="shared" si="84"/>
        <v>0</v>
      </c>
      <c r="AQ416" s="66">
        <f t="shared" si="85"/>
        <v>0</v>
      </c>
      <c r="AR416" s="66">
        <f t="shared" si="86"/>
        <v>0</v>
      </c>
      <c r="AS416" s="66">
        <f t="shared" si="87"/>
        <v>0</v>
      </c>
      <c r="AT416" s="66">
        <f t="shared" si="88"/>
        <v>0</v>
      </c>
      <c r="AU416" s="66">
        <f t="shared" si="89"/>
        <v>0</v>
      </c>
      <c r="AV416" s="66">
        <f t="shared" si="90"/>
        <v>0</v>
      </c>
      <c r="AW416" s="66">
        <f t="shared" si="91"/>
        <v>0</v>
      </c>
      <c r="AX416" s="66">
        <f t="shared" si="92"/>
        <v>0</v>
      </c>
      <c r="AY416" s="66">
        <f t="shared" si="93"/>
        <v>0</v>
      </c>
      <c r="AZ416" s="66">
        <f>'Project Database'!Z420</f>
        <v>0</v>
      </c>
      <c r="BA416" s="66">
        <f>IF(OR(A416="",'Smart Search'!H13=0),"",MAX(0,BE416*BF416*MAX(0,1-BG416)))</f>
        <v>0</v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>0</v>
      </c>
      <c r="BC416" s="66">
        <f>IF('Smart Search'!G13=1,IFERROR(1/'Smart Search'!H13,0),0)</f>
        <v>0</v>
      </c>
      <c r="BD416" s="66">
        <f t="shared" si="94"/>
        <v>0</v>
      </c>
      <c r="BE416" s="66">
        <f t="shared" si="95"/>
        <v>0</v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>0</v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>0</v>
      </c>
      <c r="BH416" s="5" t="str">
        <f>IF(AND('Project Database'!A420&lt;&gt;"",OR('Smart Search'!$L$5="",'Smart Search'!$L$5="All",TRIM('Project Database'!D420)=TRIM('Smart Search'!$L$5)),OR(TRIM('Smart Search'!$L$6)="",TRIM('Smart Search'!$L$6)="All",ISNUMBER(SEARCH(SUBSTITUTE(SUBSTITUTE(SUBSTITUTE(TRIM('Smart Search'!$L$6),"~","~~"),"*","~*"),"?","~?"),'Project Database'!C420))),OR('Smart Search'!$L$7="",AND('Project Database'!E420&lt;&gt;"",'Project Database'!E420='Smart Search'!$L$7)),OR('Smart Search'!$L$8="",'Smart Search'!$L$8="All",TRIM('Project Database'!F420)=TRIM('Smart Search'!$L$8))),IF(BA416="","",BA416+ROW()*0.0000000001),"")</f>
        <v/>
      </c>
      <c r="BI416" s="5" t="str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 t="str">
        <f>IF('Project Database'!A420="","",N('Project Database'!AC420))</f>
        <v/>
      </c>
      <c r="BK416" s="5" t="str">
        <f>IF('Project Database'!A420="","",N('Project Database'!AD420))</f>
        <v/>
      </c>
      <c r="BL416" s="5" t="str">
        <f>IF('Project Database'!A420="","",N('Project Database'!AE420))</f>
        <v/>
      </c>
      <c r="BM416" s="5" t="str">
        <f>IF('Project Database'!A420="","",N('Project Database'!AF420))</f>
        <v/>
      </c>
      <c r="BN416" s="5" t="str">
        <f>IF('Project Database'!A420="","",N('Project Database'!AG420))</f>
        <v/>
      </c>
      <c r="BO416" s="5" t="str">
        <f>IF('Project Database'!A420="","",N('Project Database'!AH420))</f>
        <v/>
      </c>
      <c r="BP416" s="5" t="str">
        <f>IF('Project Database'!A420="","",N('Project Database'!AI420))</f>
        <v/>
      </c>
      <c r="BQ416" s="5" t="str">
        <f>IF('Project Database'!A420="","",N('Project Database'!AJ420))</f>
        <v/>
      </c>
      <c r="BR416" s="5" t="str">
        <f>IF('Project Database'!A420="","",N('Project Database'!AK420))</f>
        <v/>
      </c>
      <c r="BS416" s="5" t="str">
        <f>IF('Project Database'!A420="","",N('Project Database'!AL420))</f>
        <v/>
      </c>
      <c r="BT416" s="5" t="str">
        <f>IF('Project Database'!A420="","",N('Project Database'!AM420))</f>
        <v/>
      </c>
      <c r="BU416" s="5" t="str">
        <f>IF('Project Database'!A420="","",N('Project Database'!AN420))</f>
        <v/>
      </c>
      <c r="BV416" s="5" t="str">
        <f>IF('Project Database'!A420="","",N('Project Database'!AO420))</f>
        <v/>
      </c>
      <c r="BW416" s="5" t="str">
        <f>IF('Project Database'!A420="","",N('Project Database'!AP420))</f>
        <v/>
      </c>
      <c r="BX416" s="5">
        <f t="shared" si="96"/>
        <v>0</v>
      </c>
      <c r="BY416" s="5">
        <f t="shared" si="97"/>
        <v>0</v>
      </c>
    </row>
    <row r="417" spans="1:77" ht="15" customHeight="1" x14ac:dyDescent="0.3">
      <c r="A417" s="66">
        <f>'Project Database'!A421</f>
        <v>0</v>
      </c>
      <c r="B417" s="66">
        <f>'Project Database'!B421</f>
        <v>0</v>
      </c>
      <c r="C417" s="66">
        <f>'Project Database'!G421</f>
        <v>0</v>
      </c>
      <c r="D417" s="66">
        <f>'Project Database'!H421</f>
        <v>0</v>
      </c>
      <c r="E417" s="66">
        <f>'Project Database'!I421</f>
        <v>0</v>
      </c>
      <c r="F417" s="66">
        <f>'Project Database'!J421</f>
        <v>0</v>
      </c>
      <c r="G417" s="66">
        <f>'Project Database'!K421</f>
        <v>0</v>
      </c>
      <c r="H417" s="66">
        <f>'Project Database'!L421</f>
        <v>0</v>
      </c>
      <c r="I417" s="66">
        <f>'Project Database'!M421</f>
        <v>0</v>
      </c>
      <c r="J417" s="66">
        <f>'Project Database'!N421</f>
        <v>0</v>
      </c>
      <c r="K417" s="66">
        <f>'Project Database'!O421</f>
        <v>0</v>
      </c>
      <c r="L417" s="66">
        <f>'Project Database'!P421</f>
        <v>0</v>
      </c>
      <c r="M417" s="66">
        <f>'Project Database'!Q421</f>
        <v>0</v>
      </c>
      <c r="N417" s="66">
        <f>'Project Database'!R421</f>
        <v>0</v>
      </c>
      <c r="O417" s="66">
        <f>'Project Database'!S421</f>
        <v>0</v>
      </c>
      <c r="P417" s="66">
        <f>'Project Database'!T421</f>
        <v>0</v>
      </c>
      <c r="Q417" s="66">
        <f>'Project Database'!U421</f>
        <v>0</v>
      </c>
      <c r="R417" s="66">
        <f>'Project Database'!V421</f>
        <v>0</v>
      </c>
      <c r="S417" s="66">
        <f>'Project Database'!W421</f>
        <v>0</v>
      </c>
      <c r="T417" s="66">
        <f>'Project Database'!X421</f>
        <v>0</v>
      </c>
      <c r="U417" s="67">
        <f>'Project Database'!Y421</f>
        <v>0</v>
      </c>
      <c r="V417" s="66">
        <f>IF('Smart Search'!B13=1,IFERROR(1/'Smart Search'!H13,0),0)</f>
        <v>0</v>
      </c>
      <c r="W417" s="66">
        <f>IF('Smart Search'!B13=1,IFERROR(1/'Smart Search'!H13,0),0)</f>
        <v>0</v>
      </c>
      <c r="X417" s="66">
        <f>IF('Smart Search'!C13=1,IFERROR(1/'Smart Search'!H13,0),0)</f>
        <v>0.5</v>
      </c>
      <c r="Y417" s="66">
        <f>IF('Smart Search'!C13=1,IFERROR(1/'Smart Search'!H13,0),0)</f>
        <v>0.5</v>
      </c>
      <c r="Z417" s="66">
        <f>IF('Smart Search'!D13=1,IFERROR(1/'Smart Search'!H13,0),0)</f>
        <v>0</v>
      </c>
      <c r="AA417" s="66">
        <f>IF('Smart Search'!D13=1,IFERROR(1/'Smart Search'!H13,0),0)</f>
        <v>0</v>
      </c>
      <c r="AB417" s="66">
        <f>IF('Smart Search'!E13=1,IFERROR(1/'Smart Search'!H13,0),0)</f>
        <v>0</v>
      </c>
      <c r="AC417" s="66">
        <f>IF('Smart Search'!E13=1,IFERROR(1/'Smart Search'!H13,0),0)</f>
        <v>0</v>
      </c>
      <c r="AD417" s="66">
        <f>IF('Smart Search'!F13=1,IFERROR(1/'Smart Search'!H13,0),0)</f>
        <v>0</v>
      </c>
      <c r="AE417" s="66">
        <f>IF('Smart Search'!F13=1,IFERROR(1/'Smart Search'!H13,0),0)</f>
        <v>0</v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>0</v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>0</v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>0</v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>0</v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>0</v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>0</v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>0</v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>0</v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>0</v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>0</v>
      </c>
      <c r="AP417" s="66">
        <f t="shared" si="84"/>
        <v>0</v>
      </c>
      <c r="AQ417" s="66">
        <f t="shared" si="85"/>
        <v>0</v>
      </c>
      <c r="AR417" s="66">
        <f t="shared" si="86"/>
        <v>0</v>
      </c>
      <c r="AS417" s="66">
        <f t="shared" si="87"/>
        <v>0</v>
      </c>
      <c r="AT417" s="66">
        <f t="shared" si="88"/>
        <v>0</v>
      </c>
      <c r="AU417" s="66">
        <f t="shared" si="89"/>
        <v>0</v>
      </c>
      <c r="AV417" s="66">
        <f t="shared" si="90"/>
        <v>0</v>
      </c>
      <c r="AW417" s="66">
        <f t="shared" si="91"/>
        <v>0</v>
      </c>
      <c r="AX417" s="66">
        <f t="shared" si="92"/>
        <v>0</v>
      </c>
      <c r="AY417" s="66">
        <f t="shared" si="93"/>
        <v>0</v>
      </c>
      <c r="AZ417" s="66">
        <f>'Project Database'!Z421</f>
        <v>0</v>
      </c>
      <c r="BA417" s="66">
        <f>IF(OR(A417="",'Smart Search'!H13=0),"",MAX(0,BE417*BF417*MAX(0,1-BG417)))</f>
        <v>0</v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>0</v>
      </c>
      <c r="BC417" s="66">
        <f>IF('Smart Search'!G13=1,IFERROR(1/'Smart Search'!H13,0),0)</f>
        <v>0</v>
      </c>
      <c r="BD417" s="66">
        <f t="shared" si="94"/>
        <v>0</v>
      </c>
      <c r="BE417" s="66">
        <f t="shared" si="95"/>
        <v>0</v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>0</v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>0</v>
      </c>
      <c r="BH417" s="5" t="str">
        <f>IF(AND('Project Database'!A421&lt;&gt;"",OR('Smart Search'!$L$5="",'Smart Search'!$L$5="All",TRIM('Project Database'!D421)=TRIM('Smart Search'!$L$5)),OR(TRIM('Smart Search'!$L$6)="",TRIM('Smart Search'!$L$6)="All",ISNUMBER(SEARCH(SUBSTITUTE(SUBSTITUTE(SUBSTITUTE(TRIM('Smart Search'!$L$6),"~","~~"),"*","~*"),"?","~?"),'Project Database'!C421))),OR('Smart Search'!$L$7="",AND('Project Database'!E421&lt;&gt;"",'Project Database'!E421='Smart Search'!$L$7)),OR('Smart Search'!$L$8="",'Smart Search'!$L$8="All",TRIM('Project Database'!F421)=TRIM('Smart Search'!$L$8))),IF(BA417="","",BA417+ROW()*0.0000000001),"")</f>
        <v/>
      </c>
      <c r="BI417" s="5" t="str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 t="str">
        <f>IF('Project Database'!A421="","",N('Project Database'!AC421))</f>
        <v/>
      </c>
      <c r="BK417" s="5" t="str">
        <f>IF('Project Database'!A421="","",N('Project Database'!AD421))</f>
        <v/>
      </c>
      <c r="BL417" s="5" t="str">
        <f>IF('Project Database'!A421="","",N('Project Database'!AE421))</f>
        <v/>
      </c>
      <c r="BM417" s="5" t="str">
        <f>IF('Project Database'!A421="","",N('Project Database'!AF421))</f>
        <v/>
      </c>
      <c r="BN417" s="5" t="str">
        <f>IF('Project Database'!A421="","",N('Project Database'!AG421))</f>
        <v/>
      </c>
      <c r="BO417" s="5" t="str">
        <f>IF('Project Database'!A421="","",N('Project Database'!AH421))</f>
        <v/>
      </c>
      <c r="BP417" s="5" t="str">
        <f>IF('Project Database'!A421="","",N('Project Database'!AI421))</f>
        <v/>
      </c>
      <c r="BQ417" s="5" t="str">
        <f>IF('Project Database'!A421="","",N('Project Database'!AJ421))</f>
        <v/>
      </c>
      <c r="BR417" s="5" t="str">
        <f>IF('Project Database'!A421="","",N('Project Database'!AK421))</f>
        <v/>
      </c>
      <c r="BS417" s="5" t="str">
        <f>IF('Project Database'!A421="","",N('Project Database'!AL421))</f>
        <v/>
      </c>
      <c r="BT417" s="5" t="str">
        <f>IF('Project Database'!A421="","",N('Project Database'!AM421))</f>
        <v/>
      </c>
      <c r="BU417" s="5" t="str">
        <f>IF('Project Database'!A421="","",N('Project Database'!AN421))</f>
        <v/>
      </c>
      <c r="BV417" s="5" t="str">
        <f>IF('Project Database'!A421="","",N('Project Database'!AO421))</f>
        <v/>
      </c>
      <c r="BW417" s="5" t="str">
        <f>IF('Project Database'!A421="","",N('Project Database'!AP421))</f>
        <v/>
      </c>
      <c r="BX417" s="5">
        <f t="shared" si="96"/>
        <v>0</v>
      </c>
      <c r="BY417" s="5">
        <f t="shared" si="97"/>
        <v>0</v>
      </c>
    </row>
    <row r="418" spans="1:77" ht="15" customHeight="1" x14ac:dyDescent="0.3">
      <c r="A418" s="66">
        <f>'Project Database'!A422</f>
        <v>0</v>
      </c>
      <c r="B418" s="66">
        <f>'Project Database'!B422</f>
        <v>0</v>
      </c>
      <c r="C418" s="66">
        <f>'Project Database'!G422</f>
        <v>0</v>
      </c>
      <c r="D418" s="66">
        <f>'Project Database'!H422</f>
        <v>0</v>
      </c>
      <c r="E418" s="66">
        <f>'Project Database'!I422</f>
        <v>0</v>
      </c>
      <c r="F418" s="66">
        <f>'Project Database'!J422</f>
        <v>0</v>
      </c>
      <c r="G418" s="66">
        <f>'Project Database'!K422</f>
        <v>0</v>
      </c>
      <c r="H418" s="66">
        <f>'Project Database'!L422</f>
        <v>0</v>
      </c>
      <c r="I418" s="66">
        <f>'Project Database'!M422</f>
        <v>0</v>
      </c>
      <c r="J418" s="66">
        <f>'Project Database'!N422</f>
        <v>0</v>
      </c>
      <c r="K418" s="66">
        <f>'Project Database'!O422</f>
        <v>0</v>
      </c>
      <c r="L418" s="66">
        <f>'Project Database'!P422</f>
        <v>0</v>
      </c>
      <c r="M418" s="66">
        <f>'Project Database'!Q422</f>
        <v>0</v>
      </c>
      <c r="N418" s="66">
        <f>'Project Database'!R422</f>
        <v>0</v>
      </c>
      <c r="O418" s="66">
        <f>'Project Database'!S422</f>
        <v>0</v>
      </c>
      <c r="P418" s="66">
        <f>'Project Database'!T422</f>
        <v>0</v>
      </c>
      <c r="Q418" s="66">
        <f>'Project Database'!U422</f>
        <v>0</v>
      </c>
      <c r="R418" s="66">
        <f>'Project Database'!V422</f>
        <v>0</v>
      </c>
      <c r="S418" s="66">
        <f>'Project Database'!W422</f>
        <v>0</v>
      </c>
      <c r="T418" s="66">
        <f>'Project Database'!X422</f>
        <v>0</v>
      </c>
      <c r="U418" s="67">
        <f>'Project Database'!Y422</f>
        <v>0</v>
      </c>
      <c r="V418" s="66">
        <f>IF('Smart Search'!B13=1,IFERROR(1/'Smart Search'!H13,0),0)</f>
        <v>0</v>
      </c>
      <c r="W418" s="66">
        <f>IF('Smart Search'!B13=1,IFERROR(1/'Smart Search'!H13,0),0)</f>
        <v>0</v>
      </c>
      <c r="X418" s="66">
        <f>IF('Smart Search'!C13=1,IFERROR(1/'Smart Search'!H13,0),0)</f>
        <v>0.5</v>
      </c>
      <c r="Y418" s="66">
        <f>IF('Smart Search'!C13=1,IFERROR(1/'Smart Search'!H13,0),0)</f>
        <v>0.5</v>
      </c>
      <c r="Z418" s="66">
        <f>IF('Smart Search'!D13=1,IFERROR(1/'Smart Search'!H13,0),0)</f>
        <v>0</v>
      </c>
      <c r="AA418" s="66">
        <f>IF('Smart Search'!D13=1,IFERROR(1/'Smart Search'!H13,0),0)</f>
        <v>0</v>
      </c>
      <c r="AB418" s="66">
        <f>IF('Smart Search'!E13=1,IFERROR(1/'Smart Search'!H13,0),0)</f>
        <v>0</v>
      </c>
      <c r="AC418" s="66">
        <f>IF('Smart Search'!E13=1,IFERROR(1/'Smart Search'!H13,0),0)</f>
        <v>0</v>
      </c>
      <c r="AD418" s="66">
        <f>IF('Smart Search'!F13=1,IFERROR(1/'Smart Search'!H13,0),0)</f>
        <v>0</v>
      </c>
      <c r="AE418" s="66">
        <f>IF('Smart Search'!F13=1,IFERROR(1/'Smart Search'!H13,0),0)</f>
        <v>0</v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>0</v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>0</v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>0</v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>0</v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>0</v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>0</v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>0</v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>0</v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>0</v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>0</v>
      </c>
      <c r="AP418" s="66">
        <f t="shared" si="84"/>
        <v>0</v>
      </c>
      <c r="AQ418" s="66">
        <f t="shared" si="85"/>
        <v>0</v>
      </c>
      <c r="AR418" s="66">
        <f t="shared" si="86"/>
        <v>0</v>
      </c>
      <c r="AS418" s="66">
        <f t="shared" si="87"/>
        <v>0</v>
      </c>
      <c r="AT418" s="66">
        <f t="shared" si="88"/>
        <v>0</v>
      </c>
      <c r="AU418" s="66">
        <f t="shared" si="89"/>
        <v>0</v>
      </c>
      <c r="AV418" s="66">
        <f t="shared" si="90"/>
        <v>0</v>
      </c>
      <c r="AW418" s="66">
        <f t="shared" si="91"/>
        <v>0</v>
      </c>
      <c r="AX418" s="66">
        <f t="shared" si="92"/>
        <v>0</v>
      </c>
      <c r="AY418" s="66">
        <f t="shared" si="93"/>
        <v>0</v>
      </c>
      <c r="AZ418" s="66">
        <f>'Project Database'!Z422</f>
        <v>0</v>
      </c>
      <c r="BA418" s="66">
        <f>IF(OR(A418="",'Smart Search'!H13=0),"",MAX(0,BE418*BF418*MAX(0,1-BG418)))</f>
        <v>0</v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>0</v>
      </c>
      <c r="BC418" s="66">
        <f>IF('Smart Search'!G13=1,IFERROR(1/'Smart Search'!H13,0),0)</f>
        <v>0</v>
      </c>
      <c r="BD418" s="66">
        <f t="shared" si="94"/>
        <v>0</v>
      </c>
      <c r="BE418" s="66">
        <f t="shared" si="95"/>
        <v>0</v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>0</v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>0</v>
      </c>
      <c r="BH418" s="5" t="str">
        <f>IF(AND('Project Database'!A422&lt;&gt;"",OR('Smart Search'!$L$5="",'Smart Search'!$L$5="All",TRIM('Project Database'!D422)=TRIM('Smart Search'!$L$5)),OR(TRIM('Smart Search'!$L$6)="",TRIM('Smart Search'!$L$6)="All",ISNUMBER(SEARCH(SUBSTITUTE(SUBSTITUTE(SUBSTITUTE(TRIM('Smart Search'!$L$6),"~","~~"),"*","~*"),"?","~?"),'Project Database'!C422))),OR('Smart Search'!$L$7="",AND('Project Database'!E422&lt;&gt;"",'Project Database'!E422='Smart Search'!$L$7)),OR('Smart Search'!$L$8="",'Smart Search'!$L$8="All",TRIM('Project Database'!F422)=TRIM('Smart Search'!$L$8))),IF(BA418="","",BA418+ROW()*0.0000000001),"")</f>
        <v/>
      </c>
      <c r="BI418" s="5" t="str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 t="str">
        <f>IF('Project Database'!A422="","",N('Project Database'!AC422))</f>
        <v/>
      </c>
      <c r="BK418" s="5" t="str">
        <f>IF('Project Database'!A422="","",N('Project Database'!AD422))</f>
        <v/>
      </c>
      <c r="BL418" s="5" t="str">
        <f>IF('Project Database'!A422="","",N('Project Database'!AE422))</f>
        <v/>
      </c>
      <c r="BM418" s="5" t="str">
        <f>IF('Project Database'!A422="","",N('Project Database'!AF422))</f>
        <v/>
      </c>
      <c r="BN418" s="5" t="str">
        <f>IF('Project Database'!A422="","",N('Project Database'!AG422))</f>
        <v/>
      </c>
      <c r="BO418" s="5" t="str">
        <f>IF('Project Database'!A422="","",N('Project Database'!AH422))</f>
        <v/>
      </c>
      <c r="BP418" s="5" t="str">
        <f>IF('Project Database'!A422="","",N('Project Database'!AI422))</f>
        <v/>
      </c>
      <c r="BQ418" s="5" t="str">
        <f>IF('Project Database'!A422="","",N('Project Database'!AJ422))</f>
        <v/>
      </c>
      <c r="BR418" s="5" t="str">
        <f>IF('Project Database'!A422="","",N('Project Database'!AK422))</f>
        <v/>
      </c>
      <c r="BS418" s="5" t="str">
        <f>IF('Project Database'!A422="","",N('Project Database'!AL422))</f>
        <v/>
      </c>
      <c r="BT418" s="5" t="str">
        <f>IF('Project Database'!A422="","",N('Project Database'!AM422))</f>
        <v/>
      </c>
      <c r="BU418" s="5" t="str">
        <f>IF('Project Database'!A422="","",N('Project Database'!AN422))</f>
        <v/>
      </c>
      <c r="BV418" s="5" t="str">
        <f>IF('Project Database'!A422="","",N('Project Database'!AO422))</f>
        <v/>
      </c>
      <c r="BW418" s="5" t="str">
        <f>IF('Project Database'!A422="","",N('Project Database'!AP422))</f>
        <v/>
      </c>
      <c r="BX418" s="5">
        <f t="shared" si="96"/>
        <v>0</v>
      </c>
      <c r="BY418" s="5">
        <f t="shared" si="97"/>
        <v>0</v>
      </c>
    </row>
    <row r="419" spans="1:77" ht="15" customHeight="1" x14ac:dyDescent="0.3">
      <c r="A419" s="66">
        <f>'Project Database'!A423</f>
        <v>0</v>
      </c>
      <c r="B419" s="66">
        <f>'Project Database'!B423</f>
        <v>0</v>
      </c>
      <c r="C419" s="66">
        <f>'Project Database'!G423</f>
        <v>0</v>
      </c>
      <c r="D419" s="66">
        <f>'Project Database'!H423</f>
        <v>0</v>
      </c>
      <c r="E419" s="66">
        <f>'Project Database'!I423</f>
        <v>0</v>
      </c>
      <c r="F419" s="66">
        <f>'Project Database'!J423</f>
        <v>0</v>
      </c>
      <c r="G419" s="66">
        <f>'Project Database'!K423</f>
        <v>0</v>
      </c>
      <c r="H419" s="66">
        <f>'Project Database'!L423</f>
        <v>0</v>
      </c>
      <c r="I419" s="66">
        <f>'Project Database'!M423</f>
        <v>0</v>
      </c>
      <c r="J419" s="66">
        <f>'Project Database'!N423</f>
        <v>0</v>
      </c>
      <c r="K419" s="66">
        <f>'Project Database'!O423</f>
        <v>0</v>
      </c>
      <c r="L419" s="66">
        <f>'Project Database'!P423</f>
        <v>0</v>
      </c>
      <c r="M419" s="66">
        <f>'Project Database'!Q423</f>
        <v>0</v>
      </c>
      <c r="N419" s="66">
        <f>'Project Database'!R423</f>
        <v>0</v>
      </c>
      <c r="O419" s="66">
        <f>'Project Database'!S423</f>
        <v>0</v>
      </c>
      <c r="P419" s="66">
        <f>'Project Database'!T423</f>
        <v>0</v>
      </c>
      <c r="Q419" s="66">
        <f>'Project Database'!U423</f>
        <v>0</v>
      </c>
      <c r="R419" s="66">
        <f>'Project Database'!V423</f>
        <v>0</v>
      </c>
      <c r="S419" s="66">
        <f>'Project Database'!W423</f>
        <v>0</v>
      </c>
      <c r="T419" s="66">
        <f>'Project Database'!X423</f>
        <v>0</v>
      </c>
      <c r="U419" s="67">
        <f>'Project Database'!Y423</f>
        <v>0</v>
      </c>
      <c r="V419" s="66">
        <f>IF('Smart Search'!B13=1,IFERROR(1/'Smart Search'!H13,0),0)</f>
        <v>0</v>
      </c>
      <c r="W419" s="66">
        <f>IF('Smart Search'!B13=1,IFERROR(1/'Smart Search'!H13,0),0)</f>
        <v>0</v>
      </c>
      <c r="X419" s="66">
        <f>IF('Smart Search'!C13=1,IFERROR(1/'Smart Search'!H13,0),0)</f>
        <v>0.5</v>
      </c>
      <c r="Y419" s="66">
        <f>IF('Smart Search'!C13=1,IFERROR(1/'Smart Search'!H13,0),0)</f>
        <v>0.5</v>
      </c>
      <c r="Z419" s="66">
        <f>IF('Smart Search'!D13=1,IFERROR(1/'Smart Search'!H13,0),0)</f>
        <v>0</v>
      </c>
      <c r="AA419" s="66">
        <f>IF('Smart Search'!D13=1,IFERROR(1/'Smart Search'!H13,0),0)</f>
        <v>0</v>
      </c>
      <c r="AB419" s="66">
        <f>IF('Smart Search'!E13=1,IFERROR(1/'Smart Search'!H13,0),0)</f>
        <v>0</v>
      </c>
      <c r="AC419" s="66">
        <f>IF('Smart Search'!E13=1,IFERROR(1/'Smart Search'!H13,0),0)</f>
        <v>0</v>
      </c>
      <c r="AD419" s="66">
        <f>IF('Smart Search'!F13=1,IFERROR(1/'Smart Search'!H13,0),0)</f>
        <v>0</v>
      </c>
      <c r="AE419" s="66">
        <f>IF('Smart Search'!F13=1,IFERROR(1/'Smart Search'!H13,0),0)</f>
        <v>0</v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>0</v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>0</v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>0</v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>0</v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>0</v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>0</v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>0</v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>0</v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>0</v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>0</v>
      </c>
      <c r="AP419" s="66">
        <f t="shared" si="84"/>
        <v>0</v>
      </c>
      <c r="AQ419" s="66">
        <f t="shared" si="85"/>
        <v>0</v>
      </c>
      <c r="AR419" s="66">
        <f t="shared" si="86"/>
        <v>0</v>
      </c>
      <c r="AS419" s="66">
        <f t="shared" si="87"/>
        <v>0</v>
      </c>
      <c r="AT419" s="66">
        <f t="shared" si="88"/>
        <v>0</v>
      </c>
      <c r="AU419" s="66">
        <f t="shared" si="89"/>
        <v>0</v>
      </c>
      <c r="AV419" s="66">
        <f t="shared" si="90"/>
        <v>0</v>
      </c>
      <c r="AW419" s="66">
        <f t="shared" si="91"/>
        <v>0</v>
      </c>
      <c r="AX419" s="66">
        <f t="shared" si="92"/>
        <v>0</v>
      </c>
      <c r="AY419" s="66">
        <f t="shared" si="93"/>
        <v>0</v>
      </c>
      <c r="AZ419" s="66">
        <f>'Project Database'!Z423</f>
        <v>0</v>
      </c>
      <c r="BA419" s="66">
        <f>IF(OR(A419="",'Smart Search'!H13=0),"",MAX(0,BE419*BF419*MAX(0,1-BG419)))</f>
        <v>0</v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>0</v>
      </c>
      <c r="BC419" s="66">
        <f>IF('Smart Search'!G13=1,IFERROR(1/'Smart Search'!H13,0),0)</f>
        <v>0</v>
      </c>
      <c r="BD419" s="66">
        <f t="shared" si="94"/>
        <v>0</v>
      </c>
      <c r="BE419" s="66">
        <f t="shared" si="95"/>
        <v>0</v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>0</v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>0</v>
      </c>
      <c r="BH419" s="5" t="str">
        <f>IF(AND('Project Database'!A423&lt;&gt;"",OR('Smart Search'!$L$5="",'Smart Search'!$L$5="All",TRIM('Project Database'!D423)=TRIM('Smart Search'!$L$5)),OR(TRIM('Smart Search'!$L$6)="",TRIM('Smart Search'!$L$6)="All",ISNUMBER(SEARCH(SUBSTITUTE(SUBSTITUTE(SUBSTITUTE(TRIM('Smart Search'!$L$6),"~","~~"),"*","~*"),"?","~?"),'Project Database'!C423))),OR('Smart Search'!$L$7="",AND('Project Database'!E423&lt;&gt;"",'Project Database'!E423='Smart Search'!$L$7)),OR('Smart Search'!$L$8="",'Smart Search'!$L$8="All",TRIM('Project Database'!F423)=TRIM('Smart Search'!$L$8))),IF(BA419="","",BA419+ROW()*0.0000000001),"")</f>
        <v/>
      </c>
      <c r="BI419" s="5" t="str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 t="str">
        <f>IF('Project Database'!A423="","",N('Project Database'!AC423))</f>
        <v/>
      </c>
      <c r="BK419" s="5" t="str">
        <f>IF('Project Database'!A423="","",N('Project Database'!AD423))</f>
        <v/>
      </c>
      <c r="BL419" s="5" t="str">
        <f>IF('Project Database'!A423="","",N('Project Database'!AE423))</f>
        <v/>
      </c>
      <c r="BM419" s="5" t="str">
        <f>IF('Project Database'!A423="","",N('Project Database'!AF423))</f>
        <v/>
      </c>
      <c r="BN419" s="5" t="str">
        <f>IF('Project Database'!A423="","",N('Project Database'!AG423))</f>
        <v/>
      </c>
      <c r="BO419" s="5" t="str">
        <f>IF('Project Database'!A423="","",N('Project Database'!AH423))</f>
        <v/>
      </c>
      <c r="BP419" s="5" t="str">
        <f>IF('Project Database'!A423="","",N('Project Database'!AI423))</f>
        <v/>
      </c>
      <c r="BQ419" s="5" t="str">
        <f>IF('Project Database'!A423="","",N('Project Database'!AJ423))</f>
        <v/>
      </c>
      <c r="BR419" s="5" t="str">
        <f>IF('Project Database'!A423="","",N('Project Database'!AK423))</f>
        <v/>
      </c>
      <c r="BS419" s="5" t="str">
        <f>IF('Project Database'!A423="","",N('Project Database'!AL423))</f>
        <v/>
      </c>
      <c r="BT419" s="5" t="str">
        <f>IF('Project Database'!A423="","",N('Project Database'!AM423))</f>
        <v/>
      </c>
      <c r="BU419" s="5" t="str">
        <f>IF('Project Database'!A423="","",N('Project Database'!AN423))</f>
        <v/>
      </c>
      <c r="BV419" s="5" t="str">
        <f>IF('Project Database'!A423="","",N('Project Database'!AO423))</f>
        <v/>
      </c>
      <c r="BW419" s="5" t="str">
        <f>IF('Project Database'!A423="","",N('Project Database'!AP423))</f>
        <v/>
      </c>
      <c r="BX419" s="5">
        <f t="shared" si="96"/>
        <v>0</v>
      </c>
      <c r="BY419" s="5">
        <f t="shared" si="97"/>
        <v>0</v>
      </c>
    </row>
    <row r="420" spans="1:77" ht="15" customHeight="1" x14ac:dyDescent="0.3">
      <c r="A420" s="66">
        <f>'Project Database'!A424</f>
        <v>0</v>
      </c>
      <c r="B420" s="66">
        <f>'Project Database'!B424</f>
        <v>0</v>
      </c>
      <c r="C420" s="66">
        <f>'Project Database'!G424</f>
        <v>0</v>
      </c>
      <c r="D420" s="66">
        <f>'Project Database'!H424</f>
        <v>0</v>
      </c>
      <c r="E420" s="66">
        <f>'Project Database'!I424</f>
        <v>0</v>
      </c>
      <c r="F420" s="66">
        <f>'Project Database'!J424</f>
        <v>0</v>
      </c>
      <c r="G420" s="66">
        <f>'Project Database'!K424</f>
        <v>0</v>
      </c>
      <c r="H420" s="66">
        <f>'Project Database'!L424</f>
        <v>0</v>
      </c>
      <c r="I420" s="66">
        <f>'Project Database'!M424</f>
        <v>0</v>
      </c>
      <c r="J420" s="66">
        <f>'Project Database'!N424</f>
        <v>0</v>
      </c>
      <c r="K420" s="66">
        <f>'Project Database'!O424</f>
        <v>0</v>
      </c>
      <c r="L420" s="66">
        <f>'Project Database'!P424</f>
        <v>0</v>
      </c>
      <c r="M420" s="66">
        <f>'Project Database'!Q424</f>
        <v>0</v>
      </c>
      <c r="N420" s="66">
        <f>'Project Database'!R424</f>
        <v>0</v>
      </c>
      <c r="O420" s="66">
        <f>'Project Database'!S424</f>
        <v>0</v>
      </c>
      <c r="P420" s="66">
        <f>'Project Database'!T424</f>
        <v>0</v>
      </c>
      <c r="Q420" s="66">
        <f>'Project Database'!U424</f>
        <v>0</v>
      </c>
      <c r="R420" s="66">
        <f>'Project Database'!V424</f>
        <v>0</v>
      </c>
      <c r="S420" s="66">
        <f>'Project Database'!W424</f>
        <v>0</v>
      </c>
      <c r="T420" s="66">
        <f>'Project Database'!X424</f>
        <v>0</v>
      </c>
      <c r="U420" s="67">
        <f>'Project Database'!Y424</f>
        <v>0</v>
      </c>
      <c r="V420" s="66">
        <f>IF('Smart Search'!B13=1,IFERROR(1/'Smart Search'!H13,0),0)</f>
        <v>0</v>
      </c>
      <c r="W420" s="66">
        <f>IF('Smart Search'!B13=1,IFERROR(1/'Smart Search'!H13,0),0)</f>
        <v>0</v>
      </c>
      <c r="X420" s="66">
        <f>IF('Smart Search'!C13=1,IFERROR(1/'Smart Search'!H13,0),0)</f>
        <v>0.5</v>
      </c>
      <c r="Y420" s="66">
        <f>IF('Smart Search'!C13=1,IFERROR(1/'Smart Search'!H13,0),0)</f>
        <v>0.5</v>
      </c>
      <c r="Z420" s="66">
        <f>IF('Smart Search'!D13=1,IFERROR(1/'Smart Search'!H13,0),0)</f>
        <v>0</v>
      </c>
      <c r="AA420" s="66">
        <f>IF('Smart Search'!D13=1,IFERROR(1/'Smart Search'!H13,0),0)</f>
        <v>0</v>
      </c>
      <c r="AB420" s="66">
        <f>IF('Smart Search'!E13=1,IFERROR(1/'Smart Search'!H13,0),0)</f>
        <v>0</v>
      </c>
      <c r="AC420" s="66">
        <f>IF('Smart Search'!E13=1,IFERROR(1/'Smart Search'!H13,0),0)</f>
        <v>0</v>
      </c>
      <c r="AD420" s="66">
        <f>IF('Smart Search'!F13=1,IFERROR(1/'Smart Search'!H13,0),0)</f>
        <v>0</v>
      </c>
      <c r="AE420" s="66">
        <f>IF('Smart Search'!F13=1,IFERROR(1/'Smart Search'!H13,0),0)</f>
        <v>0</v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>0</v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>0</v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>0</v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>0</v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>0</v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>0</v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>0</v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>0</v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>0</v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>0</v>
      </c>
      <c r="AP420" s="66">
        <f t="shared" si="84"/>
        <v>0</v>
      </c>
      <c r="AQ420" s="66">
        <f t="shared" si="85"/>
        <v>0</v>
      </c>
      <c r="AR420" s="66">
        <f t="shared" si="86"/>
        <v>0</v>
      </c>
      <c r="AS420" s="66">
        <f t="shared" si="87"/>
        <v>0</v>
      </c>
      <c r="AT420" s="66">
        <f t="shared" si="88"/>
        <v>0</v>
      </c>
      <c r="AU420" s="66">
        <f t="shared" si="89"/>
        <v>0</v>
      </c>
      <c r="AV420" s="66">
        <f t="shared" si="90"/>
        <v>0</v>
      </c>
      <c r="AW420" s="66">
        <f t="shared" si="91"/>
        <v>0</v>
      </c>
      <c r="AX420" s="66">
        <f t="shared" si="92"/>
        <v>0</v>
      </c>
      <c r="AY420" s="66">
        <f t="shared" si="93"/>
        <v>0</v>
      </c>
      <c r="AZ420" s="66">
        <f>'Project Database'!Z424</f>
        <v>0</v>
      </c>
      <c r="BA420" s="66">
        <f>IF(OR(A420="",'Smart Search'!H13=0),"",MAX(0,BE420*BF420*MAX(0,1-BG420)))</f>
        <v>0</v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>0</v>
      </c>
      <c r="BC420" s="66">
        <f>IF('Smart Search'!G13=1,IFERROR(1/'Smart Search'!H13,0),0)</f>
        <v>0</v>
      </c>
      <c r="BD420" s="66">
        <f t="shared" si="94"/>
        <v>0</v>
      </c>
      <c r="BE420" s="66">
        <f t="shared" si="95"/>
        <v>0</v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>0</v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>0</v>
      </c>
      <c r="BH420" s="5" t="str">
        <f>IF(AND('Project Database'!A424&lt;&gt;"",OR('Smart Search'!$L$5="",'Smart Search'!$L$5="All",TRIM('Project Database'!D424)=TRIM('Smart Search'!$L$5)),OR(TRIM('Smart Search'!$L$6)="",TRIM('Smart Search'!$L$6)="All",ISNUMBER(SEARCH(SUBSTITUTE(SUBSTITUTE(SUBSTITUTE(TRIM('Smart Search'!$L$6),"~","~~"),"*","~*"),"?","~?"),'Project Database'!C424))),OR('Smart Search'!$L$7="",AND('Project Database'!E424&lt;&gt;"",'Project Database'!E424='Smart Search'!$L$7)),OR('Smart Search'!$L$8="",'Smart Search'!$L$8="All",TRIM('Project Database'!F424)=TRIM('Smart Search'!$L$8))),IF(BA420="","",BA420+ROW()*0.0000000001),"")</f>
        <v/>
      </c>
      <c r="BI420" s="5" t="str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 t="str">
        <f>IF('Project Database'!A424="","",N('Project Database'!AC424))</f>
        <v/>
      </c>
      <c r="BK420" s="5" t="str">
        <f>IF('Project Database'!A424="","",N('Project Database'!AD424))</f>
        <v/>
      </c>
      <c r="BL420" s="5" t="str">
        <f>IF('Project Database'!A424="","",N('Project Database'!AE424))</f>
        <v/>
      </c>
      <c r="BM420" s="5" t="str">
        <f>IF('Project Database'!A424="","",N('Project Database'!AF424))</f>
        <v/>
      </c>
      <c r="BN420" s="5" t="str">
        <f>IF('Project Database'!A424="","",N('Project Database'!AG424))</f>
        <v/>
      </c>
      <c r="BO420" s="5" t="str">
        <f>IF('Project Database'!A424="","",N('Project Database'!AH424))</f>
        <v/>
      </c>
      <c r="BP420" s="5" t="str">
        <f>IF('Project Database'!A424="","",N('Project Database'!AI424))</f>
        <v/>
      </c>
      <c r="BQ420" s="5" t="str">
        <f>IF('Project Database'!A424="","",N('Project Database'!AJ424))</f>
        <v/>
      </c>
      <c r="BR420" s="5" t="str">
        <f>IF('Project Database'!A424="","",N('Project Database'!AK424))</f>
        <v/>
      </c>
      <c r="BS420" s="5" t="str">
        <f>IF('Project Database'!A424="","",N('Project Database'!AL424))</f>
        <v/>
      </c>
      <c r="BT420" s="5" t="str">
        <f>IF('Project Database'!A424="","",N('Project Database'!AM424))</f>
        <v/>
      </c>
      <c r="BU420" s="5" t="str">
        <f>IF('Project Database'!A424="","",N('Project Database'!AN424))</f>
        <v/>
      </c>
      <c r="BV420" s="5" t="str">
        <f>IF('Project Database'!A424="","",N('Project Database'!AO424))</f>
        <v/>
      </c>
      <c r="BW420" s="5" t="str">
        <f>IF('Project Database'!A424="","",N('Project Database'!AP424))</f>
        <v/>
      </c>
      <c r="BX420" s="5">
        <f t="shared" si="96"/>
        <v>0</v>
      </c>
      <c r="BY420" s="5">
        <f t="shared" si="97"/>
        <v>0</v>
      </c>
    </row>
    <row r="421" spans="1:77" ht="15" customHeight="1" x14ac:dyDescent="0.3">
      <c r="A421" s="66">
        <f>'Project Database'!A425</f>
        <v>0</v>
      </c>
      <c r="B421" s="66">
        <f>'Project Database'!B425</f>
        <v>0</v>
      </c>
      <c r="C421" s="66">
        <f>'Project Database'!G425</f>
        <v>0</v>
      </c>
      <c r="D421" s="66">
        <f>'Project Database'!H425</f>
        <v>0</v>
      </c>
      <c r="E421" s="66">
        <f>'Project Database'!I425</f>
        <v>0</v>
      </c>
      <c r="F421" s="66">
        <f>'Project Database'!J425</f>
        <v>0</v>
      </c>
      <c r="G421" s="66">
        <f>'Project Database'!K425</f>
        <v>0</v>
      </c>
      <c r="H421" s="66">
        <f>'Project Database'!L425</f>
        <v>0</v>
      </c>
      <c r="I421" s="66">
        <f>'Project Database'!M425</f>
        <v>0</v>
      </c>
      <c r="J421" s="66">
        <f>'Project Database'!N425</f>
        <v>0</v>
      </c>
      <c r="K421" s="66">
        <f>'Project Database'!O425</f>
        <v>0</v>
      </c>
      <c r="L421" s="66">
        <f>'Project Database'!P425</f>
        <v>0</v>
      </c>
      <c r="M421" s="66">
        <f>'Project Database'!Q425</f>
        <v>0</v>
      </c>
      <c r="N421" s="66">
        <f>'Project Database'!R425</f>
        <v>0</v>
      </c>
      <c r="O421" s="66">
        <f>'Project Database'!S425</f>
        <v>0</v>
      </c>
      <c r="P421" s="66">
        <f>'Project Database'!T425</f>
        <v>0</v>
      </c>
      <c r="Q421" s="66">
        <f>'Project Database'!U425</f>
        <v>0</v>
      </c>
      <c r="R421" s="66">
        <f>'Project Database'!V425</f>
        <v>0</v>
      </c>
      <c r="S421" s="66">
        <f>'Project Database'!W425</f>
        <v>0</v>
      </c>
      <c r="T421" s="66">
        <f>'Project Database'!X425</f>
        <v>0</v>
      </c>
      <c r="U421" s="67">
        <f>'Project Database'!Y425</f>
        <v>0</v>
      </c>
      <c r="V421" s="66">
        <f>IF('Smart Search'!B13=1,IFERROR(1/'Smart Search'!H13,0),0)</f>
        <v>0</v>
      </c>
      <c r="W421" s="66">
        <f>IF('Smart Search'!B13=1,IFERROR(1/'Smart Search'!H13,0),0)</f>
        <v>0</v>
      </c>
      <c r="X421" s="66">
        <f>IF('Smart Search'!C13=1,IFERROR(1/'Smart Search'!H13,0),0)</f>
        <v>0.5</v>
      </c>
      <c r="Y421" s="66">
        <f>IF('Smart Search'!C13=1,IFERROR(1/'Smart Search'!H13,0),0)</f>
        <v>0.5</v>
      </c>
      <c r="Z421" s="66">
        <f>IF('Smart Search'!D13=1,IFERROR(1/'Smart Search'!H13,0),0)</f>
        <v>0</v>
      </c>
      <c r="AA421" s="66">
        <f>IF('Smart Search'!D13=1,IFERROR(1/'Smart Search'!H13,0),0)</f>
        <v>0</v>
      </c>
      <c r="AB421" s="66">
        <f>IF('Smart Search'!E13=1,IFERROR(1/'Smart Search'!H13,0),0)</f>
        <v>0</v>
      </c>
      <c r="AC421" s="66">
        <f>IF('Smart Search'!E13=1,IFERROR(1/'Smart Search'!H13,0),0)</f>
        <v>0</v>
      </c>
      <c r="AD421" s="66">
        <f>IF('Smart Search'!F13=1,IFERROR(1/'Smart Search'!H13,0),0)</f>
        <v>0</v>
      </c>
      <c r="AE421" s="66">
        <f>IF('Smart Search'!F13=1,IFERROR(1/'Smart Search'!H13,0),0)</f>
        <v>0</v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>0</v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>0</v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>0</v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>0</v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>0</v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>0</v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>0</v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>0</v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>0</v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>0</v>
      </c>
      <c r="AP421" s="66">
        <f t="shared" si="84"/>
        <v>0</v>
      </c>
      <c r="AQ421" s="66">
        <f t="shared" si="85"/>
        <v>0</v>
      </c>
      <c r="AR421" s="66">
        <f t="shared" si="86"/>
        <v>0</v>
      </c>
      <c r="AS421" s="66">
        <f t="shared" si="87"/>
        <v>0</v>
      </c>
      <c r="AT421" s="66">
        <f t="shared" si="88"/>
        <v>0</v>
      </c>
      <c r="AU421" s="66">
        <f t="shared" si="89"/>
        <v>0</v>
      </c>
      <c r="AV421" s="66">
        <f t="shared" si="90"/>
        <v>0</v>
      </c>
      <c r="AW421" s="66">
        <f t="shared" si="91"/>
        <v>0</v>
      </c>
      <c r="AX421" s="66">
        <f t="shared" si="92"/>
        <v>0</v>
      </c>
      <c r="AY421" s="66">
        <f t="shared" si="93"/>
        <v>0</v>
      </c>
      <c r="AZ421" s="66">
        <f>'Project Database'!Z425</f>
        <v>0</v>
      </c>
      <c r="BA421" s="66">
        <f>IF(OR(A421="",'Smart Search'!H13=0),"",MAX(0,BE421*BF421*MAX(0,1-BG421)))</f>
        <v>0</v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>0</v>
      </c>
      <c r="BC421" s="66">
        <f>IF('Smart Search'!G13=1,IFERROR(1/'Smart Search'!H13,0),0)</f>
        <v>0</v>
      </c>
      <c r="BD421" s="66">
        <f t="shared" si="94"/>
        <v>0</v>
      </c>
      <c r="BE421" s="66">
        <f t="shared" si="95"/>
        <v>0</v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>0</v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>0</v>
      </c>
      <c r="BH421" s="5" t="str">
        <f>IF(AND('Project Database'!A425&lt;&gt;"",OR('Smart Search'!$L$5="",'Smart Search'!$L$5="All",TRIM('Project Database'!D425)=TRIM('Smart Search'!$L$5)),OR(TRIM('Smart Search'!$L$6)="",TRIM('Smart Search'!$L$6)="All",ISNUMBER(SEARCH(SUBSTITUTE(SUBSTITUTE(SUBSTITUTE(TRIM('Smart Search'!$L$6),"~","~~"),"*","~*"),"?","~?"),'Project Database'!C425))),OR('Smart Search'!$L$7="",AND('Project Database'!E425&lt;&gt;"",'Project Database'!E425='Smart Search'!$L$7)),OR('Smart Search'!$L$8="",'Smart Search'!$L$8="All",TRIM('Project Database'!F425)=TRIM('Smart Search'!$L$8))),IF(BA421="","",BA421+ROW()*0.0000000001),"")</f>
        <v/>
      </c>
      <c r="BI421" s="5" t="str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 t="str">
        <f>IF('Project Database'!A425="","",N('Project Database'!AC425))</f>
        <v/>
      </c>
      <c r="BK421" s="5" t="str">
        <f>IF('Project Database'!A425="","",N('Project Database'!AD425))</f>
        <v/>
      </c>
      <c r="BL421" s="5" t="str">
        <f>IF('Project Database'!A425="","",N('Project Database'!AE425))</f>
        <v/>
      </c>
      <c r="BM421" s="5" t="str">
        <f>IF('Project Database'!A425="","",N('Project Database'!AF425))</f>
        <v/>
      </c>
      <c r="BN421" s="5" t="str">
        <f>IF('Project Database'!A425="","",N('Project Database'!AG425))</f>
        <v/>
      </c>
      <c r="BO421" s="5" t="str">
        <f>IF('Project Database'!A425="","",N('Project Database'!AH425))</f>
        <v/>
      </c>
      <c r="BP421" s="5" t="str">
        <f>IF('Project Database'!A425="","",N('Project Database'!AI425))</f>
        <v/>
      </c>
      <c r="BQ421" s="5" t="str">
        <f>IF('Project Database'!A425="","",N('Project Database'!AJ425))</f>
        <v/>
      </c>
      <c r="BR421" s="5" t="str">
        <f>IF('Project Database'!A425="","",N('Project Database'!AK425))</f>
        <v/>
      </c>
      <c r="BS421" s="5" t="str">
        <f>IF('Project Database'!A425="","",N('Project Database'!AL425))</f>
        <v/>
      </c>
      <c r="BT421" s="5" t="str">
        <f>IF('Project Database'!A425="","",N('Project Database'!AM425))</f>
        <v/>
      </c>
      <c r="BU421" s="5" t="str">
        <f>IF('Project Database'!A425="","",N('Project Database'!AN425))</f>
        <v/>
      </c>
      <c r="BV421" s="5" t="str">
        <f>IF('Project Database'!A425="","",N('Project Database'!AO425))</f>
        <v/>
      </c>
      <c r="BW421" s="5" t="str">
        <f>IF('Project Database'!A425="","",N('Project Database'!AP425))</f>
        <v/>
      </c>
      <c r="BX421" s="5">
        <f t="shared" si="96"/>
        <v>0</v>
      </c>
      <c r="BY421" s="5">
        <f t="shared" si="97"/>
        <v>0</v>
      </c>
    </row>
    <row r="422" spans="1:77" ht="15" customHeight="1" x14ac:dyDescent="0.3">
      <c r="A422" s="66">
        <f>'Project Database'!A426</f>
        <v>0</v>
      </c>
      <c r="B422" s="66">
        <f>'Project Database'!B426</f>
        <v>0</v>
      </c>
      <c r="C422" s="66">
        <f>'Project Database'!G426</f>
        <v>0</v>
      </c>
      <c r="D422" s="66">
        <f>'Project Database'!H426</f>
        <v>0</v>
      </c>
      <c r="E422" s="66">
        <f>'Project Database'!I426</f>
        <v>0</v>
      </c>
      <c r="F422" s="66">
        <f>'Project Database'!J426</f>
        <v>0</v>
      </c>
      <c r="G422" s="66">
        <f>'Project Database'!K426</f>
        <v>0</v>
      </c>
      <c r="H422" s="66">
        <f>'Project Database'!L426</f>
        <v>0</v>
      </c>
      <c r="I422" s="66">
        <f>'Project Database'!M426</f>
        <v>0</v>
      </c>
      <c r="J422" s="66">
        <f>'Project Database'!N426</f>
        <v>0</v>
      </c>
      <c r="K422" s="66">
        <f>'Project Database'!O426</f>
        <v>0</v>
      </c>
      <c r="L422" s="66">
        <f>'Project Database'!P426</f>
        <v>0</v>
      </c>
      <c r="M422" s="66">
        <f>'Project Database'!Q426</f>
        <v>0</v>
      </c>
      <c r="N422" s="66">
        <f>'Project Database'!R426</f>
        <v>0</v>
      </c>
      <c r="O422" s="66">
        <f>'Project Database'!S426</f>
        <v>0</v>
      </c>
      <c r="P422" s="66">
        <f>'Project Database'!T426</f>
        <v>0</v>
      </c>
      <c r="Q422" s="66">
        <f>'Project Database'!U426</f>
        <v>0</v>
      </c>
      <c r="R422" s="66">
        <f>'Project Database'!V426</f>
        <v>0</v>
      </c>
      <c r="S422" s="66">
        <f>'Project Database'!W426</f>
        <v>0</v>
      </c>
      <c r="T422" s="66">
        <f>'Project Database'!X426</f>
        <v>0</v>
      </c>
      <c r="U422" s="67">
        <f>'Project Database'!Y426</f>
        <v>0</v>
      </c>
      <c r="V422" s="66">
        <f>IF('Smart Search'!B13=1,IFERROR(1/'Smart Search'!H13,0),0)</f>
        <v>0</v>
      </c>
      <c r="W422" s="66">
        <f>IF('Smart Search'!B13=1,IFERROR(1/'Smart Search'!H13,0),0)</f>
        <v>0</v>
      </c>
      <c r="X422" s="66">
        <f>IF('Smart Search'!C13=1,IFERROR(1/'Smart Search'!H13,0),0)</f>
        <v>0.5</v>
      </c>
      <c r="Y422" s="66">
        <f>IF('Smart Search'!C13=1,IFERROR(1/'Smart Search'!H13,0),0)</f>
        <v>0.5</v>
      </c>
      <c r="Z422" s="66">
        <f>IF('Smart Search'!D13=1,IFERROR(1/'Smart Search'!H13,0),0)</f>
        <v>0</v>
      </c>
      <c r="AA422" s="66">
        <f>IF('Smart Search'!D13=1,IFERROR(1/'Smart Search'!H13,0),0)</f>
        <v>0</v>
      </c>
      <c r="AB422" s="66">
        <f>IF('Smart Search'!E13=1,IFERROR(1/'Smart Search'!H13,0),0)</f>
        <v>0</v>
      </c>
      <c r="AC422" s="66">
        <f>IF('Smart Search'!E13=1,IFERROR(1/'Smart Search'!H13,0),0)</f>
        <v>0</v>
      </c>
      <c r="AD422" s="66">
        <f>IF('Smart Search'!F13=1,IFERROR(1/'Smart Search'!H13,0),0)</f>
        <v>0</v>
      </c>
      <c r="AE422" s="66">
        <f>IF('Smart Search'!F13=1,IFERROR(1/'Smart Search'!H13,0),0)</f>
        <v>0</v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>0</v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>0</v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>0</v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>0</v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>0</v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>0</v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>0</v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>0</v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>0</v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>0</v>
      </c>
      <c r="AP422" s="66">
        <f t="shared" si="84"/>
        <v>0</v>
      </c>
      <c r="AQ422" s="66">
        <f t="shared" si="85"/>
        <v>0</v>
      </c>
      <c r="AR422" s="66">
        <f t="shared" si="86"/>
        <v>0</v>
      </c>
      <c r="AS422" s="66">
        <f t="shared" si="87"/>
        <v>0</v>
      </c>
      <c r="AT422" s="66">
        <f t="shared" si="88"/>
        <v>0</v>
      </c>
      <c r="AU422" s="66">
        <f t="shared" si="89"/>
        <v>0</v>
      </c>
      <c r="AV422" s="66">
        <f t="shared" si="90"/>
        <v>0</v>
      </c>
      <c r="AW422" s="66">
        <f t="shared" si="91"/>
        <v>0</v>
      </c>
      <c r="AX422" s="66">
        <f t="shared" si="92"/>
        <v>0</v>
      </c>
      <c r="AY422" s="66">
        <f t="shared" si="93"/>
        <v>0</v>
      </c>
      <c r="AZ422" s="66">
        <f>'Project Database'!Z426</f>
        <v>0</v>
      </c>
      <c r="BA422" s="66">
        <f>IF(OR(A422="",'Smart Search'!H13=0),"",MAX(0,BE422*BF422*MAX(0,1-BG422)))</f>
        <v>0</v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>0</v>
      </c>
      <c r="BC422" s="66">
        <f>IF('Smart Search'!G13=1,IFERROR(1/'Smart Search'!H13,0),0)</f>
        <v>0</v>
      </c>
      <c r="BD422" s="66">
        <f t="shared" si="94"/>
        <v>0</v>
      </c>
      <c r="BE422" s="66">
        <f t="shared" si="95"/>
        <v>0</v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>0</v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>0</v>
      </c>
      <c r="BH422" s="5" t="str">
        <f>IF(AND('Project Database'!A426&lt;&gt;"",OR('Smart Search'!$L$5="",'Smart Search'!$L$5="All",TRIM('Project Database'!D426)=TRIM('Smart Search'!$L$5)),OR(TRIM('Smart Search'!$L$6)="",TRIM('Smart Search'!$L$6)="All",ISNUMBER(SEARCH(SUBSTITUTE(SUBSTITUTE(SUBSTITUTE(TRIM('Smart Search'!$L$6),"~","~~"),"*","~*"),"?","~?"),'Project Database'!C426))),OR('Smart Search'!$L$7="",AND('Project Database'!E426&lt;&gt;"",'Project Database'!E426='Smart Search'!$L$7)),OR('Smart Search'!$L$8="",'Smart Search'!$L$8="All",TRIM('Project Database'!F426)=TRIM('Smart Search'!$L$8))),IF(BA422="","",BA422+ROW()*0.0000000001),"")</f>
        <v/>
      </c>
      <c r="BI422" s="5" t="str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 t="str">
        <f>IF('Project Database'!A426="","",N('Project Database'!AC426))</f>
        <v/>
      </c>
      <c r="BK422" s="5" t="str">
        <f>IF('Project Database'!A426="","",N('Project Database'!AD426))</f>
        <v/>
      </c>
      <c r="BL422" s="5" t="str">
        <f>IF('Project Database'!A426="","",N('Project Database'!AE426))</f>
        <v/>
      </c>
      <c r="BM422" s="5" t="str">
        <f>IF('Project Database'!A426="","",N('Project Database'!AF426))</f>
        <v/>
      </c>
      <c r="BN422" s="5" t="str">
        <f>IF('Project Database'!A426="","",N('Project Database'!AG426))</f>
        <v/>
      </c>
      <c r="BO422" s="5" t="str">
        <f>IF('Project Database'!A426="","",N('Project Database'!AH426))</f>
        <v/>
      </c>
      <c r="BP422" s="5" t="str">
        <f>IF('Project Database'!A426="","",N('Project Database'!AI426))</f>
        <v/>
      </c>
      <c r="BQ422" s="5" t="str">
        <f>IF('Project Database'!A426="","",N('Project Database'!AJ426))</f>
        <v/>
      </c>
      <c r="BR422" s="5" t="str">
        <f>IF('Project Database'!A426="","",N('Project Database'!AK426))</f>
        <v/>
      </c>
      <c r="BS422" s="5" t="str">
        <f>IF('Project Database'!A426="","",N('Project Database'!AL426))</f>
        <v/>
      </c>
      <c r="BT422" s="5" t="str">
        <f>IF('Project Database'!A426="","",N('Project Database'!AM426))</f>
        <v/>
      </c>
      <c r="BU422" s="5" t="str">
        <f>IF('Project Database'!A426="","",N('Project Database'!AN426))</f>
        <v/>
      </c>
      <c r="BV422" s="5" t="str">
        <f>IF('Project Database'!A426="","",N('Project Database'!AO426))</f>
        <v/>
      </c>
      <c r="BW422" s="5" t="str">
        <f>IF('Project Database'!A426="","",N('Project Database'!AP426))</f>
        <v/>
      </c>
      <c r="BX422" s="5">
        <f t="shared" si="96"/>
        <v>0</v>
      </c>
      <c r="BY422" s="5">
        <f t="shared" si="97"/>
        <v>0</v>
      </c>
    </row>
    <row r="423" spans="1:77" ht="15" customHeight="1" x14ac:dyDescent="0.3">
      <c r="A423" s="66">
        <f>'Project Database'!A427</f>
        <v>0</v>
      </c>
      <c r="B423" s="66">
        <f>'Project Database'!B427</f>
        <v>0</v>
      </c>
      <c r="C423" s="66">
        <f>'Project Database'!G427</f>
        <v>0</v>
      </c>
      <c r="D423" s="66">
        <f>'Project Database'!H427</f>
        <v>0</v>
      </c>
      <c r="E423" s="66">
        <f>'Project Database'!I427</f>
        <v>0</v>
      </c>
      <c r="F423" s="66">
        <f>'Project Database'!J427</f>
        <v>0</v>
      </c>
      <c r="G423" s="66">
        <f>'Project Database'!K427</f>
        <v>0</v>
      </c>
      <c r="H423" s="66">
        <f>'Project Database'!L427</f>
        <v>0</v>
      </c>
      <c r="I423" s="66">
        <f>'Project Database'!M427</f>
        <v>0</v>
      </c>
      <c r="J423" s="66">
        <f>'Project Database'!N427</f>
        <v>0</v>
      </c>
      <c r="K423" s="66">
        <f>'Project Database'!O427</f>
        <v>0</v>
      </c>
      <c r="L423" s="66">
        <f>'Project Database'!P427</f>
        <v>0</v>
      </c>
      <c r="M423" s="66">
        <f>'Project Database'!Q427</f>
        <v>0</v>
      </c>
      <c r="N423" s="66">
        <f>'Project Database'!R427</f>
        <v>0</v>
      </c>
      <c r="O423" s="66">
        <f>'Project Database'!S427</f>
        <v>0</v>
      </c>
      <c r="P423" s="66">
        <f>'Project Database'!T427</f>
        <v>0</v>
      </c>
      <c r="Q423" s="66">
        <f>'Project Database'!U427</f>
        <v>0</v>
      </c>
      <c r="R423" s="66">
        <f>'Project Database'!V427</f>
        <v>0</v>
      </c>
      <c r="S423" s="66">
        <f>'Project Database'!W427</f>
        <v>0</v>
      </c>
      <c r="T423" s="66">
        <f>'Project Database'!X427</f>
        <v>0</v>
      </c>
      <c r="U423" s="67">
        <f>'Project Database'!Y427</f>
        <v>0</v>
      </c>
      <c r="V423" s="66">
        <f>IF('Smart Search'!B13=1,IFERROR(1/'Smart Search'!H13,0),0)</f>
        <v>0</v>
      </c>
      <c r="W423" s="66">
        <f>IF('Smart Search'!B13=1,IFERROR(1/'Smart Search'!H13,0),0)</f>
        <v>0</v>
      </c>
      <c r="X423" s="66">
        <f>IF('Smart Search'!C13=1,IFERROR(1/'Smart Search'!H13,0),0)</f>
        <v>0.5</v>
      </c>
      <c r="Y423" s="66">
        <f>IF('Smart Search'!C13=1,IFERROR(1/'Smart Search'!H13,0),0)</f>
        <v>0.5</v>
      </c>
      <c r="Z423" s="66">
        <f>IF('Smart Search'!D13=1,IFERROR(1/'Smart Search'!H13,0),0)</f>
        <v>0</v>
      </c>
      <c r="AA423" s="66">
        <f>IF('Smart Search'!D13=1,IFERROR(1/'Smart Search'!H13,0),0)</f>
        <v>0</v>
      </c>
      <c r="AB423" s="66">
        <f>IF('Smart Search'!E13=1,IFERROR(1/'Smart Search'!H13,0),0)</f>
        <v>0</v>
      </c>
      <c r="AC423" s="66">
        <f>IF('Smart Search'!E13=1,IFERROR(1/'Smart Search'!H13,0),0)</f>
        <v>0</v>
      </c>
      <c r="AD423" s="66">
        <f>IF('Smart Search'!F13=1,IFERROR(1/'Smart Search'!H13,0),0)</f>
        <v>0</v>
      </c>
      <c r="AE423" s="66">
        <f>IF('Smart Search'!F13=1,IFERROR(1/'Smart Search'!H13,0),0)</f>
        <v>0</v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>0</v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>0</v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>0</v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>0</v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>0</v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>0</v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>0</v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>0</v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>0</v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>0</v>
      </c>
      <c r="AP423" s="66">
        <f t="shared" si="84"/>
        <v>0</v>
      </c>
      <c r="AQ423" s="66">
        <f t="shared" si="85"/>
        <v>0</v>
      </c>
      <c r="AR423" s="66">
        <f t="shared" si="86"/>
        <v>0</v>
      </c>
      <c r="AS423" s="66">
        <f t="shared" si="87"/>
        <v>0</v>
      </c>
      <c r="AT423" s="66">
        <f t="shared" si="88"/>
        <v>0</v>
      </c>
      <c r="AU423" s="66">
        <f t="shared" si="89"/>
        <v>0</v>
      </c>
      <c r="AV423" s="66">
        <f t="shared" si="90"/>
        <v>0</v>
      </c>
      <c r="AW423" s="66">
        <f t="shared" si="91"/>
        <v>0</v>
      </c>
      <c r="AX423" s="66">
        <f t="shared" si="92"/>
        <v>0</v>
      </c>
      <c r="AY423" s="66">
        <f t="shared" si="93"/>
        <v>0</v>
      </c>
      <c r="AZ423" s="66">
        <f>'Project Database'!Z427</f>
        <v>0</v>
      </c>
      <c r="BA423" s="66">
        <f>IF(OR(A423="",'Smart Search'!H13=0),"",MAX(0,BE423*BF423*MAX(0,1-BG423)))</f>
        <v>0</v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>0</v>
      </c>
      <c r="BC423" s="66">
        <f>IF('Smart Search'!G13=1,IFERROR(1/'Smart Search'!H13,0),0)</f>
        <v>0</v>
      </c>
      <c r="BD423" s="66">
        <f t="shared" si="94"/>
        <v>0</v>
      </c>
      <c r="BE423" s="66">
        <f t="shared" si="95"/>
        <v>0</v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>0</v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>0</v>
      </c>
      <c r="BH423" s="5" t="str">
        <f>IF(AND('Project Database'!A427&lt;&gt;"",OR('Smart Search'!$L$5="",'Smart Search'!$L$5="All",TRIM('Project Database'!D427)=TRIM('Smart Search'!$L$5)),OR(TRIM('Smart Search'!$L$6)="",TRIM('Smart Search'!$L$6)="All",ISNUMBER(SEARCH(SUBSTITUTE(SUBSTITUTE(SUBSTITUTE(TRIM('Smart Search'!$L$6),"~","~~"),"*","~*"),"?","~?"),'Project Database'!C427))),OR('Smart Search'!$L$7="",AND('Project Database'!E427&lt;&gt;"",'Project Database'!E427='Smart Search'!$L$7)),OR('Smart Search'!$L$8="",'Smart Search'!$L$8="All",TRIM('Project Database'!F427)=TRIM('Smart Search'!$L$8))),IF(BA423="","",BA423+ROW()*0.0000000001),"")</f>
        <v/>
      </c>
      <c r="BI423" s="5" t="str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 t="str">
        <f>IF('Project Database'!A427="","",N('Project Database'!AC427))</f>
        <v/>
      </c>
      <c r="BK423" s="5" t="str">
        <f>IF('Project Database'!A427="","",N('Project Database'!AD427))</f>
        <v/>
      </c>
      <c r="BL423" s="5" t="str">
        <f>IF('Project Database'!A427="","",N('Project Database'!AE427))</f>
        <v/>
      </c>
      <c r="BM423" s="5" t="str">
        <f>IF('Project Database'!A427="","",N('Project Database'!AF427))</f>
        <v/>
      </c>
      <c r="BN423" s="5" t="str">
        <f>IF('Project Database'!A427="","",N('Project Database'!AG427))</f>
        <v/>
      </c>
      <c r="BO423" s="5" t="str">
        <f>IF('Project Database'!A427="","",N('Project Database'!AH427))</f>
        <v/>
      </c>
      <c r="BP423" s="5" t="str">
        <f>IF('Project Database'!A427="","",N('Project Database'!AI427))</f>
        <v/>
      </c>
      <c r="BQ423" s="5" t="str">
        <f>IF('Project Database'!A427="","",N('Project Database'!AJ427))</f>
        <v/>
      </c>
      <c r="BR423" s="5" t="str">
        <f>IF('Project Database'!A427="","",N('Project Database'!AK427))</f>
        <v/>
      </c>
      <c r="BS423" s="5" t="str">
        <f>IF('Project Database'!A427="","",N('Project Database'!AL427))</f>
        <v/>
      </c>
      <c r="BT423" s="5" t="str">
        <f>IF('Project Database'!A427="","",N('Project Database'!AM427))</f>
        <v/>
      </c>
      <c r="BU423" s="5" t="str">
        <f>IF('Project Database'!A427="","",N('Project Database'!AN427))</f>
        <v/>
      </c>
      <c r="BV423" s="5" t="str">
        <f>IF('Project Database'!A427="","",N('Project Database'!AO427))</f>
        <v/>
      </c>
      <c r="BW423" s="5" t="str">
        <f>IF('Project Database'!A427="","",N('Project Database'!AP427))</f>
        <v/>
      </c>
      <c r="BX423" s="5">
        <f t="shared" si="96"/>
        <v>0</v>
      </c>
      <c r="BY423" s="5">
        <f t="shared" si="97"/>
        <v>0</v>
      </c>
    </row>
    <row r="424" spans="1:77" ht="15" customHeight="1" x14ac:dyDescent="0.3">
      <c r="A424" s="66">
        <f>'Project Database'!A428</f>
        <v>0</v>
      </c>
      <c r="B424" s="66">
        <f>'Project Database'!B428</f>
        <v>0</v>
      </c>
      <c r="C424" s="66">
        <f>'Project Database'!G428</f>
        <v>0</v>
      </c>
      <c r="D424" s="66">
        <f>'Project Database'!H428</f>
        <v>0</v>
      </c>
      <c r="E424" s="66">
        <f>'Project Database'!I428</f>
        <v>0</v>
      </c>
      <c r="F424" s="66">
        <f>'Project Database'!J428</f>
        <v>0</v>
      </c>
      <c r="G424" s="66">
        <f>'Project Database'!K428</f>
        <v>0</v>
      </c>
      <c r="H424" s="66">
        <f>'Project Database'!L428</f>
        <v>0</v>
      </c>
      <c r="I424" s="66">
        <f>'Project Database'!M428</f>
        <v>0</v>
      </c>
      <c r="J424" s="66">
        <f>'Project Database'!N428</f>
        <v>0</v>
      </c>
      <c r="K424" s="66">
        <f>'Project Database'!O428</f>
        <v>0</v>
      </c>
      <c r="L424" s="66">
        <f>'Project Database'!P428</f>
        <v>0</v>
      </c>
      <c r="M424" s="66">
        <f>'Project Database'!Q428</f>
        <v>0</v>
      </c>
      <c r="N424" s="66">
        <f>'Project Database'!R428</f>
        <v>0</v>
      </c>
      <c r="O424" s="66">
        <f>'Project Database'!S428</f>
        <v>0</v>
      </c>
      <c r="P424" s="66">
        <f>'Project Database'!T428</f>
        <v>0</v>
      </c>
      <c r="Q424" s="66">
        <f>'Project Database'!U428</f>
        <v>0</v>
      </c>
      <c r="R424" s="66">
        <f>'Project Database'!V428</f>
        <v>0</v>
      </c>
      <c r="S424" s="66">
        <f>'Project Database'!W428</f>
        <v>0</v>
      </c>
      <c r="T424" s="66">
        <f>'Project Database'!X428</f>
        <v>0</v>
      </c>
      <c r="U424" s="67">
        <f>'Project Database'!Y428</f>
        <v>0</v>
      </c>
      <c r="V424" s="66">
        <f>IF('Smart Search'!B13=1,IFERROR(1/'Smart Search'!H13,0),0)</f>
        <v>0</v>
      </c>
      <c r="W424" s="66">
        <f>IF('Smart Search'!B13=1,IFERROR(1/'Smart Search'!H13,0),0)</f>
        <v>0</v>
      </c>
      <c r="X424" s="66">
        <f>IF('Smart Search'!C13=1,IFERROR(1/'Smart Search'!H13,0),0)</f>
        <v>0.5</v>
      </c>
      <c r="Y424" s="66">
        <f>IF('Smart Search'!C13=1,IFERROR(1/'Smart Search'!H13,0),0)</f>
        <v>0.5</v>
      </c>
      <c r="Z424" s="66">
        <f>IF('Smart Search'!D13=1,IFERROR(1/'Smart Search'!H13,0),0)</f>
        <v>0</v>
      </c>
      <c r="AA424" s="66">
        <f>IF('Smart Search'!D13=1,IFERROR(1/'Smart Search'!H13,0),0)</f>
        <v>0</v>
      </c>
      <c r="AB424" s="66">
        <f>IF('Smart Search'!E13=1,IFERROR(1/'Smart Search'!H13,0),0)</f>
        <v>0</v>
      </c>
      <c r="AC424" s="66">
        <f>IF('Smart Search'!E13=1,IFERROR(1/'Smart Search'!H13,0),0)</f>
        <v>0</v>
      </c>
      <c r="AD424" s="66">
        <f>IF('Smart Search'!F13=1,IFERROR(1/'Smart Search'!H13,0),0)</f>
        <v>0</v>
      </c>
      <c r="AE424" s="66">
        <f>IF('Smart Search'!F13=1,IFERROR(1/'Smart Search'!H13,0),0)</f>
        <v>0</v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>0</v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>0</v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>0</v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>0</v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>0</v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>0</v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>0</v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>0</v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>0</v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>0</v>
      </c>
      <c r="AP424" s="66">
        <f t="shared" si="84"/>
        <v>0</v>
      </c>
      <c r="AQ424" s="66">
        <f t="shared" si="85"/>
        <v>0</v>
      </c>
      <c r="AR424" s="66">
        <f t="shared" si="86"/>
        <v>0</v>
      </c>
      <c r="AS424" s="66">
        <f t="shared" si="87"/>
        <v>0</v>
      </c>
      <c r="AT424" s="66">
        <f t="shared" si="88"/>
        <v>0</v>
      </c>
      <c r="AU424" s="66">
        <f t="shared" si="89"/>
        <v>0</v>
      </c>
      <c r="AV424" s="66">
        <f t="shared" si="90"/>
        <v>0</v>
      </c>
      <c r="AW424" s="66">
        <f t="shared" si="91"/>
        <v>0</v>
      </c>
      <c r="AX424" s="66">
        <f t="shared" si="92"/>
        <v>0</v>
      </c>
      <c r="AY424" s="66">
        <f t="shared" si="93"/>
        <v>0</v>
      </c>
      <c r="AZ424" s="66">
        <f>'Project Database'!Z428</f>
        <v>0</v>
      </c>
      <c r="BA424" s="66">
        <f>IF(OR(A424="",'Smart Search'!H13=0),"",MAX(0,BE424*BF424*MAX(0,1-BG424)))</f>
        <v>0</v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>0</v>
      </c>
      <c r="BC424" s="66">
        <f>IF('Smart Search'!G13=1,IFERROR(1/'Smart Search'!H13,0),0)</f>
        <v>0</v>
      </c>
      <c r="BD424" s="66">
        <f t="shared" si="94"/>
        <v>0</v>
      </c>
      <c r="BE424" s="66">
        <f t="shared" si="95"/>
        <v>0</v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>0</v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>0</v>
      </c>
      <c r="BH424" s="5" t="str">
        <f>IF(AND('Project Database'!A428&lt;&gt;"",OR('Smart Search'!$L$5="",'Smart Search'!$L$5="All",TRIM('Project Database'!D428)=TRIM('Smart Search'!$L$5)),OR(TRIM('Smart Search'!$L$6)="",TRIM('Smart Search'!$L$6)="All",ISNUMBER(SEARCH(SUBSTITUTE(SUBSTITUTE(SUBSTITUTE(TRIM('Smart Search'!$L$6),"~","~~"),"*","~*"),"?","~?"),'Project Database'!C428))),OR('Smart Search'!$L$7="",AND('Project Database'!E428&lt;&gt;"",'Project Database'!E428='Smart Search'!$L$7)),OR('Smart Search'!$L$8="",'Smart Search'!$L$8="All",TRIM('Project Database'!F428)=TRIM('Smart Search'!$L$8))),IF(BA424="","",BA424+ROW()*0.0000000001),"")</f>
        <v/>
      </c>
      <c r="BI424" s="5" t="str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 t="str">
        <f>IF('Project Database'!A428="","",N('Project Database'!AC428))</f>
        <v/>
      </c>
      <c r="BK424" s="5" t="str">
        <f>IF('Project Database'!A428="","",N('Project Database'!AD428))</f>
        <v/>
      </c>
      <c r="BL424" s="5" t="str">
        <f>IF('Project Database'!A428="","",N('Project Database'!AE428))</f>
        <v/>
      </c>
      <c r="BM424" s="5" t="str">
        <f>IF('Project Database'!A428="","",N('Project Database'!AF428))</f>
        <v/>
      </c>
      <c r="BN424" s="5" t="str">
        <f>IF('Project Database'!A428="","",N('Project Database'!AG428))</f>
        <v/>
      </c>
      <c r="BO424" s="5" t="str">
        <f>IF('Project Database'!A428="","",N('Project Database'!AH428))</f>
        <v/>
      </c>
      <c r="BP424" s="5" t="str">
        <f>IF('Project Database'!A428="","",N('Project Database'!AI428))</f>
        <v/>
      </c>
      <c r="BQ424" s="5" t="str">
        <f>IF('Project Database'!A428="","",N('Project Database'!AJ428))</f>
        <v/>
      </c>
      <c r="BR424" s="5" t="str">
        <f>IF('Project Database'!A428="","",N('Project Database'!AK428))</f>
        <v/>
      </c>
      <c r="BS424" s="5" t="str">
        <f>IF('Project Database'!A428="","",N('Project Database'!AL428))</f>
        <v/>
      </c>
      <c r="BT424" s="5" t="str">
        <f>IF('Project Database'!A428="","",N('Project Database'!AM428))</f>
        <v/>
      </c>
      <c r="BU424" s="5" t="str">
        <f>IF('Project Database'!A428="","",N('Project Database'!AN428))</f>
        <v/>
      </c>
      <c r="BV424" s="5" t="str">
        <f>IF('Project Database'!A428="","",N('Project Database'!AO428))</f>
        <v/>
      </c>
      <c r="BW424" s="5" t="str">
        <f>IF('Project Database'!A428="","",N('Project Database'!AP428))</f>
        <v/>
      </c>
      <c r="BX424" s="5">
        <f t="shared" si="96"/>
        <v>0</v>
      </c>
      <c r="BY424" s="5">
        <f t="shared" si="97"/>
        <v>0</v>
      </c>
    </row>
    <row r="425" spans="1:77" ht="15" customHeight="1" x14ac:dyDescent="0.3">
      <c r="A425" s="66">
        <f>'Project Database'!A429</f>
        <v>0</v>
      </c>
      <c r="B425" s="66">
        <f>'Project Database'!B429</f>
        <v>0</v>
      </c>
      <c r="C425" s="66">
        <f>'Project Database'!G429</f>
        <v>0</v>
      </c>
      <c r="D425" s="66">
        <f>'Project Database'!H429</f>
        <v>0</v>
      </c>
      <c r="E425" s="66">
        <f>'Project Database'!I429</f>
        <v>0</v>
      </c>
      <c r="F425" s="66">
        <f>'Project Database'!J429</f>
        <v>0</v>
      </c>
      <c r="G425" s="66">
        <f>'Project Database'!K429</f>
        <v>0</v>
      </c>
      <c r="H425" s="66">
        <f>'Project Database'!L429</f>
        <v>0</v>
      </c>
      <c r="I425" s="66">
        <f>'Project Database'!M429</f>
        <v>0</v>
      </c>
      <c r="J425" s="66">
        <f>'Project Database'!N429</f>
        <v>0</v>
      </c>
      <c r="K425" s="66">
        <f>'Project Database'!O429</f>
        <v>0</v>
      </c>
      <c r="L425" s="66">
        <f>'Project Database'!P429</f>
        <v>0</v>
      </c>
      <c r="M425" s="66">
        <f>'Project Database'!Q429</f>
        <v>0</v>
      </c>
      <c r="N425" s="66">
        <f>'Project Database'!R429</f>
        <v>0</v>
      </c>
      <c r="O425" s="66">
        <f>'Project Database'!S429</f>
        <v>0</v>
      </c>
      <c r="P425" s="66">
        <f>'Project Database'!T429</f>
        <v>0</v>
      </c>
      <c r="Q425" s="66">
        <f>'Project Database'!U429</f>
        <v>0</v>
      </c>
      <c r="R425" s="66">
        <f>'Project Database'!V429</f>
        <v>0</v>
      </c>
      <c r="S425" s="66">
        <f>'Project Database'!W429</f>
        <v>0</v>
      </c>
      <c r="T425" s="66">
        <f>'Project Database'!X429</f>
        <v>0</v>
      </c>
      <c r="U425" s="67">
        <f>'Project Database'!Y429</f>
        <v>0</v>
      </c>
      <c r="V425" s="66">
        <f>IF('Smart Search'!B13=1,IFERROR(1/'Smart Search'!H13,0),0)</f>
        <v>0</v>
      </c>
      <c r="W425" s="66">
        <f>IF('Smart Search'!B13=1,IFERROR(1/'Smart Search'!H13,0),0)</f>
        <v>0</v>
      </c>
      <c r="X425" s="66">
        <f>IF('Smart Search'!C13=1,IFERROR(1/'Smart Search'!H13,0),0)</f>
        <v>0.5</v>
      </c>
      <c r="Y425" s="66">
        <f>IF('Smart Search'!C13=1,IFERROR(1/'Smart Search'!H13,0),0)</f>
        <v>0.5</v>
      </c>
      <c r="Z425" s="66">
        <f>IF('Smart Search'!D13=1,IFERROR(1/'Smart Search'!H13,0),0)</f>
        <v>0</v>
      </c>
      <c r="AA425" s="66">
        <f>IF('Smart Search'!D13=1,IFERROR(1/'Smart Search'!H13,0),0)</f>
        <v>0</v>
      </c>
      <c r="AB425" s="66">
        <f>IF('Smart Search'!E13=1,IFERROR(1/'Smart Search'!H13,0),0)</f>
        <v>0</v>
      </c>
      <c r="AC425" s="66">
        <f>IF('Smart Search'!E13=1,IFERROR(1/'Smart Search'!H13,0),0)</f>
        <v>0</v>
      </c>
      <c r="AD425" s="66">
        <f>IF('Smart Search'!F13=1,IFERROR(1/'Smart Search'!H13,0),0)</f>
        <v>0</v>
      </c>
      <c r="AE425" s="66">
        <f>IF('Smart Search'!F13=1,IFERROR(1/'Smart Search'!H13,0),0)</f>
        <v>0</v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>0</v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>0</v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>0</v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>0</v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>0</v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>0</v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>0</v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>0</v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>0</v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>0</v>
      </c>
      <c r="AP425" s="66">
        <f t="shared" si="84"/>
        <v>0</v>
      </c>
      <c r="AQ425" s="66">
        <f t="shared" si="85"/>
        <v>0</v>
      </c>
      <c r="AR425" s="66">
        <f t="shared" si="86"/>
        <v>0</v>
      </c>
      <c r="AS425" s="66">
        <f t="shared" si="87"/>
        <v>0</v>
      </c>
      <c r="AT425" s="66">
        <f t="shared" si="88"/>
        <v>0</v>
      </c>
      <c r="AU425" s="66">
        <f t="shared" si="89"/>
        <v>0</v>
      </c>
      <c r="AV425" s="66">
        <f t="shared" si="90"/>
        <v>0</v>
      </c>
      <c r="AW425" s="66">
        <f t="shared" si="91"/>
        <v>0</v>
      </c>
      <c r="AX425" s="66">
        <f t="shared" si="92"/>
        <v>0</v>
      </c>
      <c r="AY425" s="66">
        <f t="shared" si="93"/>
        <v>0</v>
      </c>
      <c r="AZ425" s="66">
        <f>'Project Database'!Z429</f>
        <v>0</v>
      </c>
      <c r="BA425" s="66">
        <f>IF(OR(A425="",'Smart Search'!H13=0),"",MAX(0,BE425*BF425*MAX(0,1-BG425)))</f>
        <v>0</v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>0</v>
      </c>
      <c r="BC425" s="66">
        <f>IF('Smart Search'!G13=1,IFERROR(1/'Smart Search'!H13,0),0)</f>
        <v>0</v>
      </c>
      <c r="BD425" s="66">
        <f t="shared" si="94"/>
        <v>0</v>
      </c>
      <c r="BE425" s="66">
        <f t="shared" si="95"/>
        <v>0</v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>0</v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>0</v>
      </c>
      <c r="BH425" s="5" t="str">
        <f>IF(AND('Project Database'!A429&lt;&gt;"",OR('Smart Search'!$L$5="",'Smart Search'!$L$5="All",TRIM('Project Database'!D429)=TRIM('Smart Search'!$L$5)),OR(TRIM('Smart Search'!$L$6)="",TRIM('Smart Search'!$L$6)="All",ISNUMBER(SEARCH(SUBSTITUTE(SUBSTITUTE(SUBSTITUTE(TRIM('Smart Search'!$L$6),"~","~~"),"*","~*"),"?","~?"),'Project Database'!C429))),OR('Smart Search'!$L$7="",AND('Project Database'!E429&lt;&gt;"",'Project Database'!E429='Smart Search'!$L$7)),OR('Smart Search'!$L$8="",'Smart Search'!$L$8="All",TRIM('Project Database'!F429)=TRIM('Smart Search'!$L$8))),IF(BA425="","",BA425+ROW()*0.0000000001),"")</f>
        <v/>
      </c>
      <c r="BI425" s="5" t="str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 t="str">
        <f>IF('Project Database'!A429="","",N('Project Database'!AC429))</f>
        <v/>
      </c>
      <c r="BK425" s="5" t="str">
        <f>IF('Project Database'!A429="","",N('Project Database'!AD429))</f>
        <v/>
      </c>
      <c r="BL425" s="5" t="str">
        <f>IF('Project Database'!A429="","",N('Project Database'!AE429))</f>
        <v/>
      </c>
      <c r="BM425" s="5" t="str">
        <f>IF('Project Database'!A429="","",N('Project Database'!AF429))</f>
        <v/>
      </c>
      <c r="BN425" s="5" t="str">
        <f>IF('Project Database'!A429="","",N('Project Database'!AG429))</f>
        <v/>
      </c>
      <c r="BO425" s="5" t="str">
        <f>IF('Project Database'!A429="","",N('Project Database'!AH429))</f>
        <v/>
      </c>
      <c r="BP425" s="5" t="str">
        <f>IF('Project Database'!A429="","",N('Project Database'!AI429))</f>
        <v/>
      </c>
      <c r="BQ425" s="5" t="str">
        <f>IF('Project Database'!A429="","",N('Project Database'!AJ429))</f>
        <v/>
      </c>
      <c r="BR425" s="5" t="str">
        <f>IF('Project Database'!A429="","",N('Project Database'!AK429))</f>
        <v/>
      </c>
      <c r="BS425" s="5" t="str">
        <f>IF('Project Database'!A429="","",N('Project Database'!AL429))</f>
        <v/>
      </c>
      <c r="BT425" s="5" t="str">
        <f>IF('Project Database'!A429="","",N('Project Database'!AM429))</f>
        <v/>
      </c>
      <c r="BU425" s="5" t="str">
        <f>IF('Project Database'!A429="","",N('Project Database'!AN429))</f>
        <v/>
      </c>
      <c r="BV425" s="5" t="str">
        <f>IF('Project Database'!A429="","",N('Project Database'!AO429))</f>
        <v/>
      </c>
      <c r="BW425" s="5" t="str">
        <f>IF('Project Database'!A429="","",N('Project Database'!AP429))</f>
        <v/>
      </c>
      <c r="BX425" s="5">
        <f t="shared" si="96"/>
        <v>0</v>
      </c>
      <c r="BY425" s="5">
        <f t="shared" si="97"/>
        <v>0</v>
      </c>
    </row>
    <row r="426" spans="1:77" ht="15" customHeight="1" x14ac:dyDescent="0.3">
      <c r="A426" s="66">
        <f>'Project Database'!A430</f>
        <v>0</v>
      </c>
      <c r="B426" s="66">
        <f>'Project Database'!B430</f>
        <v>0</v>
      </c>
      <c r="C426" s="66">
        <f>'Project Database'!G430</f>
        <v>0</v>
      </c>
      <c r="D426" s="66">
        <f>'Project Database'!H430</f>
        <v>0</v>
      </c>
      <c r="E426" s="66">
        <f>'Project Database'!I430</f>
        <v>0</v>
      </c>
      <c r="F426" s="66">
        <f>'Project Database'!J430</f>
        <v>0</v>
      </c>
      <c r="G426" s="66">
        <f>'Project Database'!K430</f>
        <v>0</v>
      </c>
      <c r="H426" s="66">
        <f>'Project Database'!L430</f>
        <v>0</v>
      </c>
      <c r="I426" s="66">
        <f>'Project Database'!M430</f>
        <v>0</v>
      </c>
      <c r="J426" s="66">
        <f>'Project Database'!N430</f>
        <v>0</v>
      </c>
      <c r="K426" s="66">
        <f>'Project Database'!O430</f>
        <v>0</v>
      </c>
      <c r="L426" s="66">
        <f>'Project Database'!P430</f>
        <v>0</v>
      </c>
      <c r="M426" s="66">
        <f>'Project Database'!Q430</f>
        <v>0</v>
      </c>
      <c r="N426" s="66">
        <f>'Project Database'!R430</f>
        <v>0</v>
      </c>
      <c r="O426" s="66">
        <f>'Project Database'!S430</f>
        <v>0</v>
      </c>
      <c r="P426" s="66">
        <f>'Project Database'!T430</f>
        <v>0</v>
      </c>
      <c r="Q426" s="66">
        <f>'Project Database'!U430</f>
        <v>0</v>
      </c>
      <c r="R426" s="66">
        <f>'Project Database'!V430</f>
        <v>0</v>
      </c>
      <c r="S426" s="66">
        <f>'Project Database'!W430</f>
        <v>0</v>
      </c>
      <c r="T426" s="66">
        <f>'Project Database'!X430</f>
        <v>0</v>
      </c>
      <c r="U426" s="67">
        <f>'Project Database'!Y430</f>
        <v>0</v>
      </c>
      <c r="V426" s="66">
        <f>IF('Smart Search'!B13=1,IFERROR(1/'Smart Search'!H13,0),0)</f>
        <v>0</v>
      </c>
      <c r="W426" s="66">
        <f>IF('Smart Search'!B13=1,IFERROR(1/'Smart Search'!H13,0),0)</f>
        <v>0</v>
      </c>
      <c r="X426" s="66">
        <f>IF('Smart Search'!C13=1,IFERROR(1/'Smart Search'!H13,0),0)</f>
        <v>0.5</v>
      </c>
      <c r="Y426" s="66">
        <f>IF('Smart Search'!C13=1,IFERROR(1/'Smart Search'!H13,0),0)</f>
        <v>0.5</v>
      </c>
      <c r="Z426" s="66">
        <f>IF('Smart Search'!D13=1,IFERROR(1/'Smart Search'!H13,0),0)</f>
        <v>0</v>
      </c>
      <c r="AA426" s="66">
        <f>IF('Smart Search'!D13=1,IFERROR(1/'Smart Search'!H13,0),0)</f>
        <v>0</v>
      </c>
      <c r="AB426" s="66">
        <f>IF('Smart Search'!E13=1,IFERROR(1/'Smart Search'!H13,0),0)</f>
        <v>0</v>
      </c>
      <c r="AC426" s="66">
        <f>IF('Smart Search'!E13=1,IFERROR(1/'Smart Search'!H13,0),0)</f>
        <v>0</v>
      </c>
      <c r="AD426" s="66">
        <f>IF('Smart Search'!F13=1,IFERROR(1/'Smart Search'!H13,0),0)</f>
        <v>0</v>
      </c>
      <c r="AE426" s="66">
        <f>IF('Smart Search'!F13=1,IFERROR(1/'Smart Search'!H13,0),0)</f>
        <v>0</v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>0</v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>0</v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>0</v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>0</v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>0</v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>0</v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>0</v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>0</v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>0</v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>0</v>
      </c>
      <c r="AP426" s="66">
        <f t="shared" si="84"/>
        <v>0</v>
      </c>
      <c r="AQ426" s="66">
        <f t="shared" si="85"/>
        <v>0</v>
      </c>
      <c r="AR426" s="66">
        <f t="shared" si="86"/>
        <v>0</v>
      </c>
      <c r="AS426" s="66">
        <f t="shared" si="87"/>
        <v>0</v>
      </c>
      <c r="AT426" s="66">
        <f t="shared" si="88"/>
        <v>0</v>
      </c>
      <c r="AU426" s="66">
        <f t="shared" si="89"/>
        <v>0</v>
      </c>
      <c r="AV426" s="66">
        <f t="shared" si="90"/>
        <v>0</v>
      </c>
      <c r="AW426" s="66">
        <f t="shared" si="91"/>
        <v>0</v>
      </c>
      <c r="AX426" s="66">
        <f t="shared" si="92"/>
        <v>0</v>
      </c>
      <c r="AY426" s="66">
        <f t="shared" si="93"/>
        <v>0</v>
      </c>
      <c r="AZ426" s="66">
        <f>'Project Database'!Z430</f>
        <v>0</v>
      </c>
      <c r="BA426" s="66">
        <f>IF(OR(A426="",'Smart Search'!H13=0),"",MAX(0,BE426*BF426*MAX(0,1-BG426)))</f>
        <v>0</v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>0</v>
      </c>
      <c r="BC426" s="66">
        <f>IF('Smart Search'!G13=1,IFERROR(1/'Smart Search'!H13,0),0)</f>
        <v>0</v>
      </c>
      <c r="BD426" s="66">
        <f t="shared" si="94"/>
        <v>0</v>
      </c>
      <c r="BE426" s="66">
        <f t="shared" si="95"/>
        <v>0</v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>0</v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>0</v>
      </c>
      <c r="BH426" s="5" t="str">
        <f>IF(AND('Project Database'!A430&lt;&gt;"",OR('Smart Search'!$L$5="",'Smart Search'!$L$5="All",TRIM('Project Database'!D430)=TRIM('Smart Search'!$L$5)),OR(TRIM('Smart Search'!$L$6)="",TRIM('Smart Search'!$L$6)="All",ISNUMBER(SEARCH(SUBSTITUTE(SUBSTITUTE(SUBSTITUTE(TRIM('Smart Search'!$L$6),"~","~~"),"*","~*"),"?","~?"),'Project Database'!C430))),OR('Smart Search'!$L$7="",AND('Project Database'!E430&lt;&gt;"",'Project Database'!E430='Smart Search'!$L$7)),OR('Smart Search'!$L$8="",'Smart Search'!$L$8="All",TRIM('Project Database'!F430)=TRIM('Smart Search'!$L$8))),IF(BA426="","",BA426+ROW()*0.0000000001),"")</f>
        <v/>
      </c>
      <c r="BI426" s="5" t="str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 t="str">
        <f>IF('Project Database'!A430="","",N('Project Database'!AC430))</f>
        <v/>
      </c>
      <c r="BK426" s="5" t="str">
        <f>IF('Project Database'!A430="","",N('Project Database'!AD430))</f>
        <v/>
      </c>
      <c r="BL426" s="5" t="str">
        <f>IF('Project Database'!A430="","",N('Project Database'!AE430))</f>
        <v/>
      </c>
      <c r="BM426" s="5" t="str">
        <f>IF('Project Database'!A430="","",N('Project Database'!AF430))</f>
        <v/>
      </c>
      <c r="BN426" s="5" t="str">
        <f>IF('Project Database'!A430="","",N('Project Database'!AG430))</f>
        <v/>
      </c>
      <c r="BO426" s="5" t="str">
        <f>IF('Project Database'!A430="","",N('Project Database'!AH430))</f>
        <v/>
      </c>
      <c r="BP426" s="5" t="str">
        <f>IF('Project Database'!A430="","",N('Project Database'!AI430))</f>
        <v/>
      </c>
      <c r="BQ426" s="5" t="str">
        <f>IF('Project Database'!A430="","",N('Project Database'!AJ430))</f>
        <v/>
      </c>
      <c r="BR426" s="5" t="str">
        <f>IF('Project Database'!A430="","",N('Project Database'!AK430))</f>
        <v/>
      </c>
      <c r="BS426" s="5" t="str">
        <f>IF('Project Database'!A430="","",N('Project Database'!AL430))</f>
        <v/>
      </c>
      <c r="BT426" s="5" t="str">
        <f>IF('Project Database'!A430="","",N('Project Database'!AM430))</f>
        <v/>
      </c>
      <c r="BU426" s="5" t="str">
        <f>IF('Project Database'!A430="","",N('Project Database'!AN430))</f>
        <v/>
      </c>
      <c r="BV426" s="5" t="str">
        <f>IF('Project Database'!A430="","",N('Project Database'!AO430))</f>
        <v/>
      </c>
      <c r="BW426" s="5" t="str">
        <f>IF('Project Database'!A430="","",N('Project Database'!AP430))</f>
        <v/>
      </c>
      <c r="BX426" s="5">
        <f t="shared" si="96"/>
        <v>0</v>
      </c>
      <c r="BY426" s="5">
        <f t="shared" si="97"/>
        <v>0</v>
      </c>
    </row>
    <row r="427" spans="1:77" ht="15" customHeight="1" x14ac:dyDescent="0.3">
      <c r="A427" s="66">
        <f>'Project Database'!A431</f>
        <v>0</v>
      </c>
      <c r="B427" s="66">
        <f>'Project Database'!B431</f>
        <v>0</v>
      </c>
      <c r="C427" s="66">
        <f>'Project Database'!G431</f>
        <v>0</v>
      </c>
      <c r="D427" s="66">
        <f>'Project Database'!H431</f>
        <v>0</v>
      </c>
      <c r="E427" s="66">
        <f>'Project Database'!I431</f>
        <v>0</v>
      </c>
      <c r="F427" s="66">
        <f>'Project Database'!J431</f>
        <v>0</v>
      </c>
      <c r="G427" s="66">
        <f>'Project Database'!K431</f>
        <v>0</v>
      </c>
      <c r="H427" s="66">
        <f>'Project Database'!L431</f>
        <v>0</v>
      </c>
      <c r="I427" s="66">
        <f>'Project Database'!M431</f>
        <v>0</v>
      </c>
      <c r="J427" s="66">
        <f>'Project Database'!N431</f>
        <v>0</v>
      </c>
      <c r="K427" s="66">
        <f>'Project Database'!O431</f>
        <v>0</v>
      </c>
      <c r="L427" s="66">
        <f>'Project Database'!P431</f>
        <v>0</v>
      </c>
      <c r="M427" s="66">
        <f>'Project Database'!Q431</f>
        <v>0</v>
      </c>
      <c r="N427" s="66">
        <f>'Project Database'!R431</f>
        <v>0</v>
      </c>
      <c r="O427" s="66">
        <f>'Project Database'!S431</f>
        <v>0</v>
      </c>
      <c r="P427" s="66">
        <f>'Project Database'!T431</f>
        <v>0</v>
      </c>
      <c r="Q427" s="66">
        <f>'Project Database'!U431</f>
        <v>0</v>
      </c>
      <c r="R427" s="66">
        <f>'Project Database'!V431</f>
        <v>0</v>
      </c>
      <c r="S427" s="66">
        <f>'Project Database'!W431</f>
        <v>0</v>
      </c>
      <c r="T427" s="66">
        <f>'Project Database'!X431</f>
        <v>0</v>
      </c>
      <c r="U427" s="67">
        <f>'Project Database'!Y431</f>
        <v>0</v>
      </c>
      <c r="V427" s="66">
        <f>IF('Smart Search'!B13=1,IFERROR(1/'Smart Search'!H13,0),0)</f>
        <v>0</v>
      </c>
      <c r="W427" s="66">
        <f>IF('Smart Search'!B13=1,IFERROR(1/'Smart Search'!H13,0),0)</f>
        <v>0</v>
      </c>
      <c r="X427" s="66">
        <f>IF('Smart Search'!C13=1,IFERROR(1/'Smart Search'!H13,0),0)</f>
        <v>0.5</v>
      </c>
      <c r="Y427" s="66">
        <f>IF('Smart Search'!C13=1,IFERROR(1/'Smart Search'!H13,0),0)</f>
        <v>0.5</v>
      </c>
      <c r="Z427" s="66">
        <f>IF('Smart Search'!D13=1,IFERROR(1/'Smart Search'!H13,0),0)</f>
        <v>0</v>
      </c>
      <c r="AA427" s="66">
        <f>IF('Smart Search'!D13=1,IFERROR(1/'Smart Search'!H13,0),0)</f>
        <v>0</v>
      </c>
      <c r="AB427" s="66">
        <f>IF('Smart Search'!E13=1,IFERROR(1/'Smart Search'!H13,0),0)</f>
        <v>0</v>
      </c>
      <c r="AC427" s="66">
        <f>IF('Smart Search'!E13=1,IFERROR(1/'Smart Search'!H13,0),0)</f>
        <v>0</v>
      </c>
      <c r="AD427" s="66">
        <f>IF('Smart Search'!F13=1,IFERROR(1/'Smart Search'!H13,0),0)</f>
        <v>0</v>
      </c>
      <c r="AE427" s="66">
        <f>IF('Smart Search'!F13=1,IFERROR(1/'Smart Search'!H13,0),0)</f>
        <v>0</v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>0</v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>0</v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>0</v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>0</v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>0</v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>0</v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>0</v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>0</v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>0</v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>0</v>
      </c>
      <c r="AP427" s="66">
        <f t="shared" si="84"/>
        <v>0</v>
      </c>
      <c r="AQ427" s="66">
        <f t="shared" si="85"/>
        <v>0</v>
      </c>
      <c r="AR427" s="66">
        <f t="shared" si="86"/>
        <v>0</v>
      </c>
      <c r="AS427" s="66">
        <f t="shared" si="87"/>
        <v>0</v>
      </c>
      <c r="AT427" s="66">
        <f t="shared" si="88"/>
        <v>0</v>
      </c>
      <c r="AU427" s="66">
        <f t="shared" si="89"/>
        <v>0</v>
      </c>
      <c r="AV427" s="66">
        <f t="shared" si="90"/>
        <v>0</v>
      </c>
      <c r="AW427" s="66">
        <f t="shared" si="91"/>
        <v>0</v>
      </c>
      <c r="AX427" s="66">
        <f t="shared" si="92"/>
        <v>0</v>
      </c>
      <c r="AY427" s="66">
        <f t="shared" si="93"/>
        <v>0</v>
      </c>
      <c r="AZ427" s="66">
        <f>'Project Database'!Z431</f>
        <v>0</v>
      </c>
      <c r="BA427" s="66">
        <f>IF(OR(A427="",'Smart Search'!H13=0),"",MAX(0,BE427*BF427*MAX(0,1-BG427)))</f>
        <v>0</v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>0</v>
      </c>
      <c r="BC427" s="66">
        <f>IF('Smart Search'!G13=1,IFERROR(1/'Smart Search'!H13,0),0)</f>
        <v>0</v>
      </c>
      <c r="BD427" s="66">
        <f t="shared" si="94"/>
        <v>0</v>
      </c>
      <c r="BE427" s="66">
        <f t="shared" si="95"/>
        <v>0</v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>0</v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>0</v>
      </c>
      <c r="BH427" s="5" t="str">
        <f>IF(AND('Project Database'!A431&lt;&gt;"",OR('Smart Search'!$L$5="",'Smart Search'!$L$5="All",TRIM('Project Database'!D431)=TRIM('Smart Search'!$L$5)),OR(TRIM('Smart Search'!$L$6)="",TRIM('Smart Search'!$L$6)="All",ISNUMBER(SEARCH(SUBSTITUTE(SUBSTITUTE(SUBSTITUTE(TRIM('Smart Search'!$L$6),"~","~~"),"*","~*"),"?","~?"),'Project Database'!C431))),OR('Smart Search'!$L$7="",AND('Project Database'!E431&lt;&gt;"",'Project Database'!E431='Smart Search'!$L$7)),OR('Smart Search'!$L$8="",'Smart Search'!$L$8="All",TRIM('Project Database'!F431)=TRIM('Smart Search'!$L$8))),IF(BA427="","",BA427+ROW()*0.0000000001),"")</f>
        <v/>
      </c>
      <c r="BI427" s="5" t="str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 t="str">
        <f>IF('Project Database'!A431="","",N('Project Database'!AC431))</f>
        <v/>
      </c>
      <c r="BK427" s="5" t="str">
        <f>IF('Project Database'!A431="","",N('Project Database'!AD431))</f>
        <v/>
      </c>
      <c r="BL427" s="5" t="str">
        <f>IF('Project Database'!A431="","",N('Project Database'!AE431))</f>
        <v/>
      </c>
      <c r="BM427" s="5" t="str">
        <f>IF('Project Database'!A431="","",N('Project Database'!AF431))</f>
        <v/>
      </c>
      <c r="BN427" s="5" t="str">
        <f>IF('Project Database'!A431="","",N('Project Database'!AG431))</f>
        <v/>
      </c>
      <c r="BO427" s="5" t="str">
        <f>IF('Project Database'!A431="","",N('Project Database'!AH431))</f>
        <v/>
      </c>
      <c r="BP427" s="5" t="str">
        <f>IF('Project Database'!A431="","",N('Project Database'!AI431))</f>
        <v/>
      </c>
      <c r="BQ427" s="5" t="str">
        <f>IF('Project Database'!A431="","",N('Project Database'!AJ431))</f>
        <v/>
      </c>
      <c r="BR427" s="5" t="str">
        <f>IF('Project Database'!A431="","",N('Project Database'!AK431))</f>
        <v/>
      </c>
      <c r="BS427" s="5" t="str">
        <f>IF('Project Database'!A431="","",N('Project Database'!AL431))</f>
        <v/>
      </c>
      <c r="BT427" s="5" t="str">
        <f>IF('Project Database'!A431="","",N('Project Database'!AM431))</f>
        <v/>
      </c>
      <c r="BU427" s="5" t="str">
        <f>IF('Project Database'!A431="","",N('Project Database'!AN431))</f>
        <v/>
      </c>
      <c r="BV427" s="5" t="str">
        <f>IF('Project Database'!A431="","",N('Project Database'!AO431))</f>
        <v/>
      </c>
      <c r="BW427" s="5" t="str">
        <f>IF('Project Database'!A431="","",N('Project Database'!AP431))</f>
        <v/>
      </c>
      <c r="BX427" s="5">
        <f t="shared" si="96"/>
        <v>0</v>
      </c>
      <c r="BY427" s="5">
        <f t="shared" si="97"/>
        <v>0</v>
      </c>
    </row>
    <row r="428" spans="1:77" ht="15" customHeight="1" x14ac:dyDescent="0.3">
      <c r="A428" s="66">
        <f>'Project Database'!A432</f>
        <v>0</v>
      </c>
      <c r="B428" s="66">
        <f>'Project Database'!B432</f>
        <v>0</v>
      </c>
      <c r="C428" s="66">
        <f>'Project Database'!G432</f>
        <v>0</v>
      </c>
      <c r="D428" s="66">
        <f>'Project Database'!H432</f>
        <v>0</v>
      </c>
      <c r="E428" s="66">
        <f>'Project Database'!I432</f>
        <v>0</v>
      </c>
      <c r="F428" s="66">
        <f>'Project Database'!J432</f>
        <v>0</v>
      </c>
      <c r="G428" s="66">
        <f>'Project Database'!K432</f>
        <v>0</v>
      </c>
      <c r="H428" s="66">
        <f>'Project Database'!L432</f>
        <v>0</v>
      </c>
      <c r="I428" s="66">
        <f>'Project Database'!M432</f>
        <v>0</v>
      </c>
      <c r="J428" s="66">
        <f>'Project Database'!N432</f>
        <v>0</v>
      </c>
      <c r="K428" s="66">
        <f>'Project Database'!O432</f>
        <v>0</v>
      </c>
      <c r="L428" s="66">
        <f>'Project Database'!P432</f>
        <v>0</v>
      </c>
      <c r="M428" s="66">
        <f>'Project Database'!Q432</f>
        <v>0</v>
      </c>
      <c r="N428" s="66">
        <f>'Project Database'!R432</f>
        <v>0</v>
      </c>
      <c r="O428" s="66">
        <f>'Project Database'!S432</f>
        <v>0</v>
      </c>
      <c r="P428" s="66">
        <f>'Project Database'!T432</f>
        <v>0</v>
      </c>
      <c r="Q428" s="66">
        <f>'Project Database'!U432</f>
        <v>0</v>
      </c>
      <c r="R428" s="66">
        <f>'Project Database'!V432</f>
        <v>0</v>
      </c>
      <c r="S428" s="66">
        <f>'Project Database'!W432</f>
        <v>0</v>
      </c>
      <c r="T428" s="66">
        <f>'Project Database'!X432</f>
        <v>0</v>
      </c>
      <c r="U428" s="67">
        <f>'Project Database'!Y432</f>
        <v>0</v>
      </c>
      <c r="V428" s="66">
        <f>IF('Smart Search'!B13=1,IFERROR(1/'Smart Search'!H13,0),0)</f>
        <v>0</v>
      </c>
      <c r="W428" s="66">
        <f>IF('Smart Search'!B13=1,IFERROR(1/'Smart Search'!H13,0),0)</f>
        <v>0</v>
      </c>
      <c r="X428" s="66">
        <f>IF('Smart Search'!C13=1,IFERROR(1/'Smart Search'!H13,0),0)</f>
        <v>0.5</v>
      </c>
      <c r="Y428" s="66">
        <f>IF('Smart Search'!C13=1,IFERROR(1/'Smart Search'!H13,0),0)</f>
        <v>0.5</v>
      </c>
      <c r="Z428" s="66">
        <f>IF('Smart Search'!D13=1,IFERROR(1/'Smart Search'!H13,0),0)</f>
        <v>0</v>
      </c>
      <c r="AA428" s="66">
        <f>IF('Smart Search'!D13=1,IFERROR(1/'Smart Search'!H13,0),0)</f>
        <v>0</v>
      </c>
      <c r="AB428" s="66">
        <f>IF('Smart Search'!E13=1,IFERROR(1/'Smart Search'!H13,0),0)</f>
        <v>0</v>
      </c>
      <c r="AC428" s="66">
        <f>IF('Smart Search'!E13=1,IFERROR(1/'Smart Search'!H13,0),0)</f>
        <v>0</v>
      </c>
      <c r="AD428" s="66">
        <f>IF('Smart Search'!F13=1,IFERROR(1/'Smart Search'!H13,0),0)</f>
        <v>0</v>
      </c>
      <c r="AE428" s="66">
        <f>IF('Smart Search'!F13=1,IFERROR(1/'Smart Search'!H13,0),0)</f>
        <v>0</v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>0</v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>0</v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>0</v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>0</v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>0</v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>0</v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>0</v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>0</v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>0</v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>0</v>
      </c>
      <c r="AP428" s="66">
        <f t="shared" si="84"/>
        <v>0</v>
      </c>
      <c r="AQ428" s="66">
        <f t="shared" si="85"/>
        <v>0</v>
      </c>
      <c r="AR428" s="66">
        <f t="shared" si="86"/>
        <v>0</v>
      </c>
      <c r="AS428" s="66">
        <f t="shared" si="87"/>
        <v>0</v>
      </c>
      <c r="AT428" s="66">
        <f t="shared" si="88"/>
        <v>0</v>
      </c>
      <c r="AU428" s="66">
        <f t="shared" si="89"/>
        <v>0</v>
      </c>
      <c r="AV428" s="66">
        <f t="shared" si="90"/>
        <v>0</v>
      </c>
      <c r="AW428" s="66">
        <f t="shared" si="91"/>
        <v>0</v>
      </c>
      <c r="AX428" s="66">
        <f t="shared" si="92"/>
        <v>0</v>
      </c>
      <c r="AY428" s="66">
        <f t="shared" si="93"/>
        <v>0</v>
      </c>
      <c r="AZ428" s="66">
        <f>'Project Database'!Z432</f>
        <v>0</v>
      </c>
      <c r="BA428" s="66">
        <f>IF(OR(A428="",'Smart Search'!H13=0),"",MAX(0,BE428*BF428*MAX(0,1-BG428)))</f>
        <v>0</v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>0</v>
      </c>
      <c r="BC428" s="66">
        <f>IF('Smart Search'!G13=1,IFERROR(1/'Smart Search'!H13,0),0)</f>
        <v>0</v>
      </c>
      <c r="BD428" s="66">
        <f t="shared" si="94"/>
        <v>0</v>
      </c>
      <c r="BE428" s="66">
        <f t="shared" si="95"/>
        <v>0</v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>0</v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>0</v>
      </c>
      <c r="BH428" s="5" t="str">
        <f>IF(AND('Project Database'!A432&lt;&gt;"",OR('Smart Search'!$L$5="",'Smart Search'!$L$5="All",TRIM('Project Database'!D432)=TRIM('Smart Search'!$L$5)),OR(TRIM('Smart Search'!$L$6)="",TRIM('Smart Search'!$L$6)="All",ISNUMBER(SEARCH(SUBSTITUTE(SUBSTITUTE(SUBSTITUTE(TRIM('Smart Search'!$L$6),"~","~~"),"*","~*"),"?","~?"),'Project Database'!C432))),OR('Smart Search'!$L$7="",AND('Project Database'!E432&lt;&gt;"",'Project Database'!E432='Smart Search'!$L$7)),OR('Smart Search'!$L$8="",'Smart Search'!$L$8="All",TRIM('Project Database'!F432)=TRIM('Smart Search'!$L$8))),IF(BA428="","",BA428+ROW()*0.0000000001),"")</f>
        <v/>
      </c>
      <c r="BI428" s="5" t="str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 t="str">
        <f>IF('Project Database'!A432="","",N('Project Database'!AC432))</f>
        <v/>
      </c>
      <c r="BK428" s="5" t="str">
        <f>IF('Project Database'!A432="","",N('Project Database'!AD432))</f>
        <v/>
      </c>
      <c r="BL428" s="5" t="str">
        <f>IF('Project Database'!A432="","",N('Project Database'!AE432))</f>
        <v/>
      </c>
      <c r="BM428" s="5" t="str">
        <f>IF('Project Database'!A432="","",N('Project Database'!AF432))</f>
        <v/>
      </c>
      <c r="BN428" s="5" t="str">
        <f>IF('Project Database'!A432="","",N('Project Database'!AG432))</f>
        <v/>
      </c>
      <c r="BO428" s="5" t="str">
        <f>IF('Project Database'!A432="","",N('Project Database'!AH432))</f>
        <v/>
      </c>
      <c r="BP428" s="5" t="str">
        <f>IF('Project Database'!A432="","",N('Project Database'!AI432))</f>
        <v/>
      </c>
      <c r="BQ428" s="5" t="str">
        <f>IF('Project Database'!A432="","",N('Project Database'!AJ432))</f>
        <v/>
      </c>
      <c r="BR428" s="5" t="str">
        <f>IF('Project Database'!A432="","",N('Project Database'!AK432))</f>
        <v/>
      </c>
      <c r="BS428" s="5" t="str">
        <f>IF('Project Database'!A432="","",N('Project Database'!AL432))</f>
        <v/>
      </c>
      <c r="BT428" s="5" t="str">
        <f>IF('Project Database'!A432="","",N('Project Database'!AM432))</f>
        <v/>
      </c>
      <c r="BU428" s="5" t="str">
        <f>IF('Project Database'!A432="","",N('Project Database'!AN432))</f>
        <v/>
      </c>
      <c r="BV428" s="5" t="str">
        <f>IF('Project Database'!A432="","",N('Project Database'!AO432))</f>
        <v/>
      </c>
      <c r="BW428" s="5" t="str">
        <f>IF('Project Database'!A432="","",N('Project Database'!AP432))</f>
        <v/>
      </c>
      <c r="BX428" s="5">
        <f t="shared" si="96"/>
        <v>0</v>
      </c>
      <c r="BY428" s="5">
        <f t="shared" si="97"/>
        <v>0</v>
      </c>
    </row>
    <row r="429" spans="1:77" ht="15" customHeight="1" x14ac:dyDescent="0.3">
      <c r="A429" s="66">
        <f>'Project Database'!A433</f>
        <v>0</v>
      </c>
      <c r="B429" s="66">
        <f>'Project Database'!B433</f>
        <v>0</v>
      </c>
      <c r="C429" s="66">
        <f>'Project Database'!G433</f>
        <v>0</v>
      </c>
      <c r="D429" s="66">
        <f>'Project Database'!H433</f>
        <v>0</v>
      </c>
      <c r="E429" s="66">
        <f>'Project Database'!I433</f>
        <v>0</v>
      </c>
      <c r="F429" s="66">
        <f>'Project Database'!J433</f>
        <v>0</v>
      </c>
      <c r="G429" s="66">
        <f>'Project Database'!K433</f>
        <v>0</v>
      </c>
      <c r="H429" s="66">
        <f>'Project Database'!L433</f>
        <v>0</v>
      </c>
      <c r="I429" s="66">
        <f>'Project Database'!M433</f>
        <v>0</v>
      </c>
      <c r="J429" s="66">
        <f>'Project Database'!N433</f>
        <v>0</v>
      </c>
      <c r="K429" s="66">
        <f>'Project Database'!O433</f>
        <v>0</v>
      </c>
      <c r="L429" s="66">
        <f>'Project Database'!P433</f>
        <v>0</v>
      </c>
      <c r="M429" s="66">
        <f>'Project Database'!Q433</f>
        <v>0</v>
      </c>
      <c r="N429" s="66">
        <f>'Project Database'!R433</f>
        <v>0</v>
      </c>
      <c r="O429" s="66">
        <f>'Project Database'!S433</f>
        <v>0</v>
      </c>
      <c r="P429" s="66">
        <f>'Project Database'!T433</f>
        <v>0</v>
      </c>
      <c r="Q429" s="66">
        <f>'Project Database'!U433</f>
        <v>0</v>
      </c>
      <c r="R429" s="66">
        <f>'Project Database'!V433</f>
        <v>0</v>
      </c>
      <c r="S429" s="66">
        <f>'Project Database'!W433</f>
        <v>0</v>
      </c>
      <c r="T429" s="66">
        <f>'Project Database'!X433</f>
        <v>0</v>
      </c>
      <c r="U429" s="67">
        <f>'Project Database'!Y433</f>
        <v>0</v>
      </c>
      <c r="V429" s="66">
        <f>IF('Smart Search'!B13=1,IFERROR(1/'Smart Search'!H13,0),0)</f>
        <v>0</v>
      </c>
      <c r="W429" s="66">
        <f>IF('Smart Search'!B13=1,IFERROR(1/'Smart Search'!H13,0),0)</f>
        <v>0</v>
      </c>
      <c r="X429" s="66">
        <f>IF('Smart Search'!C13=1,IFERROR(1/'Smart Search'!H13,0),0)</f>
        <v>0.5</v>
      </c>
      <c r="Y429" s="66">
        <f>IF('Smart Search'!C13=1,IFERROR(1/'Smart Search'!H13,0),0)</f>
        <v>0.5</v>
      </c>
      <c r="Z429" s="66">
        <f>IF('Smart Search'!D13=1,IFERROR(1/'Smart Search'!H13,0),0)</f>
        <v>0</v>
      </c>
      <c r="AA429" s="66">
        <f>IF('Smart Search'!D13=1,IFERROR(1/'Smart Search'!H13,0),0)</f>
        <v>0</v>
      </c>
      <c r="AB429" s="66">
        <f>IF('Smart Search'!E13=1,IFERROR(1/'Smart Search'!H13,0),0)</f>
        <v>0</v>
      </c>
      <c r="AC429" s="66">
        <f>IF('Smart Search'!E13=1,IFERROR(1/'Smart Search'!H13,0),0)</f>
        <v>0</v>
      </c>
      <c r="AD429" s="66">
        <f>IF('Smart Search'!F13=1,IFERROR(1/'Smart Search'!H13,0),0)</f>
        <v>0</v>
      </c>
      <c r="AE429" s="66">
        <f>IF('Smart Search'!F13=1,IFERROR(1/'Smart Search'!H13,0),0)</f>
        <v>0</v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>0</v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>0</v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>0</v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>0</v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>0</v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>0</v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>0</v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>0</v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>0</v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>0</v>
      </c>
      <c r="AP429" s="66">
        <f t="shared" si="84"/>
        <v>0</v>
      </c>
      <c r="AQ429" s="66">
        <f t="shared" si="85"/>
        <v>0</v>
      </c>
      <c r="AR429" s="66">
        <f t="shared" si="86"/>
        <v>0</v>
      </c>
      <c r="AS429" s="66">
        <f t="shared" si="87"/>
        <v>0</v>
      </c>
      <c r="AT429" s="66">
        <f t="shared" si="88"/>
        <v>0</v>
      </c>
      <c r="AU429" s="66">
        <f t="shared" si="89"/>
        <v>0</v>
      </c>
      <c r="AV429" s="66">
        <f t="shared" si="90"/>
        <v>0</v>
      </c>
      <c r="AW429" s="66">
        <f t="shared" si="91"/>
        <v>0</v>
      </c>
      <c r="AX429" s="66">
        <f t="shared" si="92"/>
        <v>0</v>
      </c>
      <c r="AY429" s="66">
        <f t="shared" si="93"/>
        <v>0</v>
      </c>
      <c r="AZ429" s="66">
        <f>'Project Database'!Z433</f>
        <v>0</v>
      </c>
      <c r="BA429" s="66">
        <f>IF(OR(A429="",'Smart Search'!H13=0),"",MAX(0,BE429*BF429*MAX(0,1-BG429)))</f>
        <v>0</v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>0</v>
      </c>
      <c r="BC429" s="66">
        <f>IF('Smart Search'!G13=1,IFERROR(1/'Smart Search'!H13,0),0)</f>
        <v>0</v>
      </c>
      <c r="BD429" s="66">
        <f t="shared" si="94"/>
        <v>0</v>
      </c>
      <c r="BE429" s="66">
        <f t="shared" si="95"/>
        <v>0</v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>0</v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>0</v>
      </c>
      <c r="BH429" s="5" t="str">
        <f>IF(AND('Project Database'!A433&lt;&gt;"",OR('Smart Search'!$L$5="",'Smart Search'!$L$5="All",TRIM('Project Database'!D433)=TRIM('Smart Search'!$L$5)),OR(TRIM('Smart Search'!$L$6)="",TRIM('Smart Search'!$L$6)="All",ISNUMBER(SEARCH(SUBSTITUTE(SUBSTITUTE(SUBSTITUTE(TRIM('Smart Search'!$L$6),"~","~~"),"*","~*"),"?","~?"),'Project Database'!C433))),OR('Smart Search'!$L$7="",AND('Project Database'!E433&lt;&gt;"",'Project Database'!E433='Smart Search'!$L$7)),OR('Smart Search'!$L$8="",'Smart Search'!$L$8="All",TRIM('Project Database'!F433)=TRIM('Smart Search'!$L$8))),IF(BA429="","",BA429+ROW()*0.0000000001),"")</f>
        <v/>
      </c>
      <c r="BI429" s="5" t="str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 t="str">
        <f>IF('Project Database'!A433="","",N('Project Database'!AC433))</f>
        <v/>
      </c>
      <c r="BK429" s="5" t="str">
        <f>IF('Project Database'!A433="","",N('Project Database'!AD433))</f>
        <v/>
      </c>
      <c r="BL429" s="5" t="str">
        <f>IF('Project Database'!A433="","",N('Project Database'!AE433))</f>
        <v/>
      </c>
      <c r="BM429" s="5" t="str">
        <f>IF('Project Database'!A433="","",N('Project Database'!AF433))</f>
        <v/>
      </c>
      <c r="BN429" s="5" t="str">
        <f>IF('Project Database'!A433="","",N('Project Database'!AG433))</f>
        <v/>
      </c>
      <c r="BO429" s="5" t="str">
        <f>IF('Project Database'!A433="","",N('Project Database'!AH433))</f>
        <v/>
      </c>
      <c r="BP429" s="5" t="str">
        <f>IF('Project Database'!A433="","",N('Project Database'!AI433))</f>
        <v/>
      </c>
      <c r="BQ429" s="5" t="str">
        <f>IF('Project Database'!A433="","",N('Project Database'!AJ433))</f>
        <v/>
      </c>
      <c r="BR429" s="5" t="str">
        <f>IF('Project Database'!A433="","",N('Project Database'!AK433))</f>
        <v/>
      </c>
      <c r="BS429" s="5" t="str">
        <f>IF('Project Database'!A433="","",N('Project Database'!AL433))</f>
        <v/>
      </c>
      <c r="BT429" s="5" t="str">
        <f>IF('Project Database'!A433="","",N('Project Database'!AM433))</f>
        <v/>
      </c>
      <c r="BU429" s="5" t="str">
        <f>IF('Project Database'!A433="","",N('Project Database'!AN433))</f>
        <v/>
      </c>
      <c r="BV429" s="5" t="str">
        <f>IF('Project Database'!A433="","",N('Project Database'!AO433))</f>
        <v/>
      </c>
      <c r="BW429" s="5" t="str">
        <f>IF('Project Database'!A433="","",N('Project Database'!AP433))</f>
        <v/>
      </c>
      <c r="BX429" s="5">
        <f t="shared" si="96"/>
        <v>0</v>
      </c>
      <c r="BY429" s="5">
        <f t="shared" si="97"/>
        <v>0</v>
      </c>
    </row>
    <row r="430" spans="1:77" ht="15" customHeight="1" x14ac:dyDescent="0.3">
      <c r="A430" s="66">
        <f>'Project Database'!A434</f>
        <v>0</v>
      </c>
      <c r="B430" s="66">
        <f>'Project Database'!B434</f>
        <v>0</v>
      </c>
      <c r="C430" s="66">
        <f>'Project Database'!G434</f>
        <v>0</v>
      </c>
      <c r="D430" s="66">
        <f>'Project Database'!H434</f>
        <v>0</v>
      </c>
      <c r="E430" s="66">
        <f>'Project Database'!I434</f>
        <v>0</v>
      </c>
      <c r="F430" s="66">
        <f>'Project Database'!J434</f>
        <v>0</v>
      </c>
      <c r="G430" s="66">
        <f>'Project Database'!K434</f>
        <v>0</v>
      </c>
      <c r="H430" s="66">
        <f>'Project Database'!L434</f>
        <v>0</v>
      </c>
      <c r="I430" s="66">
        <f>'Project Database'!M434</f>
        <v>0</v>
      </c>
      <c r="J430" s="66">
        <f>'Project Database'!N434</f>
        <v>0</v>
      </c>
      <c r="K430" s="66">
        <f>'Project Database'!O434</f>
        <v>0</v>
      </c>
      <c r="L430" s="66">
        <f>'Project Database'!P434</f>
        <v>0</v>
      </c>
      <c r="M430" s="66">
        <f>'Project Database'!Q434</f>
        <v>0</v>
      </c>
      <c r="N430" s="66">
        <f>'Project Database'!R434</f>
        <v>0</v>
      </c>
      <c r="O430" s="66">
        <f>'Project Database'!S434</f>
        <v>0</v>
      </c>
      <c r="P430" s="66">
        <f>'Project Database'!T434</f>
        <v>0</v>
      </c>
      <c r="Q430" s="66">
        <f>'Project Database'!U434</f>
        <v>0</v>
      </c>
      <c r="R430" s="66">
        <f>'Project Database'!V434</f>
        <v>0</v>
      </c>
      <c r="S430" s="66">
        <f>'Project Database'!W434</f>
        <v>0</v>
      </c>
      <c r="T430" s="66">
        <f>'Project Database'!X434</f>
        <v>0</v>
      </c>
      <c r="U430" s="67">
        <f>'Project Database'!Y434</f>
        <v>0</v>
      </c>
      <c r="V430" s="66">
        <f>IF('Smart Search'!B13=1,IFERROR(1/'Smart Search'!H13,0),0)</f>
        <v>0</v>
      </c>
      <c r="W430" s="66">
        <f>IF('Smart Search'!B13=1,IFERROR(1/'Smart Search'!H13,0),0)</f>
        <v>0</v>
      </c>
      <c r="X430" s="66">
        <f>IF('Smart Search'!C13=1,IFERROR(1/'Smart Search'!H13,0),0)</f>
        <v>0.5</v>
      </c>
      <c r="Y430" s="66">
        <f>IF('Smart Search'!C13=1,IFERROR(1/'Smart Search'!H13,0),0)</f>
        <v>0.5</v>
      </c>
      <c r="Z430" s="66">
        <f>IF('Smart Search'!D13=1,IFERROR(1/'Smart Search'!H13,0),0)</f>
        <v>0</v>
      </c>
      <c r="AA430" s="66">
        <f>IF('Smart Search'!D13=1,IFERROR(1/'Smart Search'!H13,0),0)</f>
        <v>0</v>
      </c>
      <c r="AB430" s="66">
        <f>IF('Smart Search'!E13=1,IFERROR(1/'Smart Search'!H13,0),0)</f>
        <v>0</v>
      </c>
      <c r="AC430" s="66">
        <f>IF('Smart Search'!E13=1,IFERROR(1/'Smart Search'!H13,0),0)</f>
        <v>0</v>
      </c>
      <c r="AD430" s="66">
        <f>IF('Smart Search'!F13=1,IFERROR(1/'Smart Search'!H13,0),0)</f>
        <v>0</v>
      </c>
      <c r="AE430" s="66">
        <f>IF('Smart Search'!F13=1,IFERROR(1/'Smart Search'!H13,0),0)</f>
        <v>0</v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>0</v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>0</v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>0</v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>0</v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>0</v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>0</v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>0</v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>0</v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>0</v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>0</v>
      </c>
      <c r="AP430" s="66">
        <f t="shared" si="84"/>
        <v>0</v>
      </c>
      <c r="AQ430" s="66">
        <f t="shared" si="85"/>
        <v>0</v>
      </c>
      <c r="AR430" s="66">
        <f t="shared" si="86"/>
        <v>0</v>
      </c>
      <c r="AS430" s="66">
        <f t="shared" si="87"/>
        <v>0</v>
      </c>
      <c r="AT430" s="66">
        <f t="shared" si="88"/>
        <v>0</v>
      </c>
      <c r="AU430" s="66">
        <f t="shared" si="89"/>
        <v>0</v>
      </c>
      <c r="AV430" s="66">
        <f t="shared" si="90"/>
        <v>0</v>
      </c>
      <c r="AW430" s="66">
        <f t="shared" si="91"/>
        <v>0</v>
      </c>
      <c r="AX430" s="66">
        <f t="shared" si="92"/>
        <v>0</v>
      </c>
      <c r="AY430" s="66">
        <f t="shared" si="93"/>
        <v>0</v>
      </c>
      <c r="AZ430" s="66">
        <f>'Project Database'!Z434</f>
        <v>0</v>
      </c>
      <c r="BA430" s="66">
        <f>IF(OR(A430="",'Smart Search'!H13=0),"",MAX(0,BE430*BF430*MAX(0,1-BG430)))</f>
        <v>0</v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>0</v>
      </c>
      <c r="BC430" s="66">
        <f>IF('Smart Search'!G13=1,IFERROR(1/'Smart Search'!H13,0),0)</f>
        <v>0</v>
      </c>
      <c r="BD430" s="66">
        <f t="shared" si="94"/>
        <v>0</v>
      </c>
      <c r="BE430" s="66">
        <f t="shared" si="95"/>
        <v>0</v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>0</v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>0</v>
      </c>
      <c r="BH430" s="5" t="str">
        <f>IF(AND('Project Database'!A434&lt;&gt;"",OR('Smart Search'!$L$5="",'Smart Search'!$L$5="All",TRIM('Project Database'!D434)=TRIM('Smart Search'!$L$5)),OR(TRIM('Smart Search'!$L$6)="",TRIM('Smart Search'!$L$6)="All",ISNUMBER(SEARCH(SUBSTITUTE(SUBSTITUTE(SUBSTITUTE(TRIM('Smart Search'!$L$6),"~","~~"),"*","~*"),"?","~?"),'Project Database'!C434))),OR('Smart Search'!$L$7="",AND('Project Database'!E434&lt;&gt;"",'Project Database'!E434='Smart Search'!$L$7)),OR('Smart Search'!$L$8="",'Smart Search'!$L$8="All",TRIM('Project Database'!F434)=TRIM('Smart Search'!$L$8))),IF(BA430="","",BA430+ROW()*0.0000000001),"")</f>
        <v/>
      </c>
      <c r="BI430" s="5" t="str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 t="str">
        <f>IF('Project Database'!A434="","",N('Project Database'!AC434))</f>
        <v/>
      </c>
      <c r="BK430" s="5" t="str">
        <f>IF('Project Database'!A434="","",N('Project Database'!AD434))</f>
        <v/>
      </c>
      <c r="BL430" s="5" t="str">
        <f>IF('Project Database'!A434="","",N('Project Database'!AE434))</f>
        <v/>
      </c>
      <c r="BM430" s="5" t="str">
        <f>IF('Project Database'!A434="","",N('Project Database'!AF434))</f>
        <v/>
      </c>
      <c r="BN430" s="5" t="str">
        <f>IF('Project Database'!A434="","",N('Project Database'!AG434))</f>
        <v/>
      </c>
      <c r="BO430" s="5" t="str">
        <f>IF('Project Database'!A434="","",N('Project Database'!AH434))</f>
        <v/>
      </c>
      <c r="BP430" s="5" t="str">
        <f>IF('Project Database'!A434="","",N('Project Database'!AI434))</f>
        <v/>
      </c>
      <c r="BQ430" s="5" t="str">
        <f>IF('Project Database'!A434="","",N('Project Database'!AJ434))</f>
        <v/>
      </c>
      <c r="BR430" s="5" t="str">
        <f>IF('Project Database'!A434="","",N('Project Database'!AK434))</f>
        <v/>
      </c>
      <c r="BS430" s="5" t="str">
        <f>IF('Project Database'!A434="","",N('Project Database'!AL434))</f>
        <v/>
      </c>
      <c r="BT430" s="5" t="str">
        <f>IF('Project Database'!A434="","",N('Project Database'!AM434))</f>
        <v/>
      </c>
      <c r="BU430" s="5" t="str">
        <f>IF('Project Database'!A434="","",N('Project Database'!AN434))</f>
        <v/>
      </c>
      <c r="BV430" s="5" t="str">
        <f>IF('Project Database'!A434="","",N('Project Database'!AO434))</f>
        <v/>
      </c>
      <c r="BW430" s="5" t="str">
        <f>IF('Project Database'!A434="","",N('Project Database'!AP434))</f>
        <v/>
      </c>
      <c r="BX430" s="5">
        <f t="shared" si="96"/>
        <v>0</v>
      </c>
      <c r="BY430" s="5">
        <f t="shared" si="97"/>
        <v>0</v>
      </c>
    </row>
    <row r="431" spans="1:77" ht="15" customHeight="1" x14ac:dyDescent="0.3">
      <c r="A431" s="66">
        <f>'Project Database'!A435</f>
        <v>0</v>
      </c>
      <c r="B431" s="66">
        <f>'Project Database'!B435</f>
        <v>0</v>
      </c>
      <c r="C431" s="66">
        <f>'Project Database'!G435</f>
        <v>0</v>
      </c>
      <c r="D431" s="66">
        <f>'Project Database'!H435</f>
        <v>0</v>
      </c>
      <c r="E431" s="66">
        <f>'Project Database'!I435</f>
        <v>0</v>
      </c>
      <c r="F431" s="66">
        <f>'Project Database'!J435</f>
        <v>0</v>
      </c>
      <c r="G431" s="66">
        <f>'Project Database'!K435</f>
        <v>0</v>
      </c>
      <c r="H431" s="66">
        <f>'Project Database'!L435</f>
        <v>0</v>
      </c>
      <c r="I431" s="66">
        <f>'Project Database'!M435</f>
        <v>0</v>
      </c>
      <c r="J431" s="66">
        <f>'Project Database'!N435</f>
        <v>0</v>
      </c>
      <c r="K431" s="66">
        <f>'Project Database'!O435</f>
        <v>0</v>
      </c>
      <c r="L431" s="66">
        <f>'Project Database'!P435</f>
        <v>0</v>
      </c>
      <c r="M431" s="66">
        <f>'Project Database'!Q435</f>
        <v>0</v>
      </c>
      <c r="N431" s="66">
        <f>'Project Database'!R435</f>
        <v>0</v>
      </c>
      <c r="O431" s="66">
        <f>'Project Database'!S435</f>
        <v>0</v>
      </c>
      <c r="P431" s="66">
        <f>'Project Database'!T435</f>
        <v>0</v>
      </c>
      <c r="Q431" s="66">
        <f>'Project Database'!U435</f>
        <v>0</v>
      </c>
      <c r="R431" s="66">
        <f>'Project Database'!V435</f>
        <v>0</v>
      </c>
      <c r="S431" s="66">
        <f>'Project Database'!W435</f>
        <v>0</v>
      </c>
      <c r="T431" s="66">
        <f>'Project Database'!X435</f>
        <v>0</v>
      </c>
      <c r="U431" s="67">
        <f>'Project Database'!Y435</f>
        <v>0</v>
      </c>
      <c r="V431" s="66">
        <f>IF('Smart Search'!B13=1,IFERROR(1/'Smart Search'!H13,0),0)</f>
        <v>0</v>
      </c>
      <c r="W431" s="66">
        <f>IF('Smart Search'!B13=1,IFERROR(1/'Smart Search'!H13,0),0)</f>
        <v>0</v>
      </c>
      <c r="X431" s="66">
        <f>IF('Smart Search'!C13=1,IFERROR(1/'Smart Search'!H13,0),0)</f>
        <v>0.5</v>
      </c>
      <c r="Y431" s="66">
        <f>IF('Smart Search'!C13=1,IFERROR(1/'Smart Search'!H13,0),0)</f>
        <v>0.5</v>
      </c>
      <c r="Z431" s="66">
        <f>IF('Smart Search'!D13=1,IFERROR(1/'Smart Search'!H13,0),0)</f>
        <v>0</v>
      </c>
      <c r="AA431" s="66">
        <f>IF('Smart Search'!D13=1,IFERROR(1/'Smart Search'!H13,0),0)</f>
        <v>0</v>
      </c>
      <c r="AB431" s="66">
        <f>IF('Smart Search'!E13=1,IFERROR(1/'Smart Search'!H13,0),0)</f>
        <v>0</v>
      </c>
      <c r="AC431" s="66">
        <f>IF('Smart Search'!E13=1,IFERROR(1/'Smart Search'!H13,0),0)</f>
        <v>0</v>
      </c>
      <c r="AD431" s="66">
        <f>IF('Smart Search'!F13=1,IFERROR(1/'Smart Search'!H13,0),0)</f>
        <v>0</v>
      </c>
      <c r="AE431" s="66">
        <f>IF('Smart Search'!F13=1,IFERROR(1/'Smart Search'!H13,0),0)</f>
        <v>0</v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>0</v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>0</v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>0</v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>0</v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>0</v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>0</v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>0</v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>0</v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>0</v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>0</v>
      </c>
      <c r="AP431" s="66">
        <f t="shared" si="84"/>
        <v>0</v>
      </c>
      <c r="AQ431" s="66">
        <f t="shared" si="85"/>
        <v>0</v>
      </c>
      <c r="AR431" s="66">
        <f t="shared" si="86"/>
        <v>0</v>
      </c>
      <c r="AS431" s="66">
        <f t="shared" si="87"/>
        <v>0</v>
      </c>
      <c r="AT431" s="66">
        <f t="shared" si="88"/>
        <v>0</v>
      </c>
      <c r="AU431" s="66">
        <f t="shared" si="89"/>
        <v>0</v>
      </c>
      <c r="AV431" s="66">
        <f t="shared" si="90"/>
        <v>0</v>
      </c>
      <c r="AW431" s="66">
        <f t="shared" si="91"/>
        <v>0</v>
      </c>
      <c r="AX431" s="66">
        <f t="shared" si="92"/>
        <v>0</v>
      </c>
      <c r="AY431" s="66">
        <f t="shared" si="93"/>
        <v>0</v>
      </c>
      <c r="AZ431" s="66">
        <f>'Project Database'!Z435</f>
        <v>0</v>
      </c>
      <c r="BA431" s="66">
        <f>IF(OR(A431="",'Smart Search'!H13=0),"",MAX(0,BE431*BF431*MAX(0,1-BG431)))</f>
        <v>0</v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>0</v>
      </c>
      <c r="BC431" s="66">
        <f>IF('Smart Search'!G13=1,IFERROR(1/'Smart Search'!H13,0),0)</f>
        <v>0</v>
      </c>
      <c r="BD431" s="66">
        <f t="shared" si="94"/>
        <v>0</v>
      </c>
      <c r="BE431" s="66">
        <f t="shared" si="95"/>
        <v>0</v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>0</v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>0</v>
      </c>
      <c r="BH431" s="5" t="str">
        <f>IF(AND('Project Database'!A435&lt;&gt;"",OR('Smart Search'!$L$5="",'Smart Search'!$L$5="All",TRIM('Project Database'!D435)=TRIM('Smart Search'!$L$5)),OR(TRIM('Smart Search'!$L$6)="",TRIM('Smart Search'!$L$6)="All",ISNUMBER(SEARCH(SUBSTITUTE(SUBSTITUTE(SUBSTITUTE(TRIM('Smart Search'!$L$6),"~","~~"),"*","~*"),"?","~?"),'Project Database'!C435))),OR('Smart Search'!$L$7="",AND('Project Database'!E435&lt;&gt;"",'Project Database'!E435='Smart Search'!$L$7)),OR('Smart Search'!$L$8="",'Smart Search'!$L$8="All",TRIM('Project Database'!F435)=TRIM('Smart Search'!$L$8))),IF(BA431="","",BA431+ROW()*0.0000000001),"")</f>
        <v/>
      </c>
      <c r="BI431" s="5" t="str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 t="str">
        <f>IF('Project Database'!A435="","",N('Project Database'!AC435))</f>
        <v/>
      </c>
      <c r="BK431" s="5" t="str">
        <f>IF('Project Database'!A435="","",N('Project Database'!AD435))</f>
        <v/>
      </c>
      <c r="BL431" s="5" t="str">
        <f>IF('Project Database'!A435="","",N('Project Database'!AE435))</f>
        <v/>
      </c>
      <c r="BM431" s="5" t="str">
        <f>IF('Project Database'!A435="","",N('Project Database'!AF435))</f>
        <v/>
      </c>
      <c r="BN431" s="5" t="str">
        <f>IF('Project Database'!A435="","",N('Project Database'!AG435))</f>
        <v/>
      </c>
      <c r="BO431" s="5" t="str">
        <f>IF('Project Database'!A435="","",N('Project Database'!AH435))</f>
        <v/>
      </c>
      <c r="BP431" s="5" t="str">
        <f>IF('Project Database'!A435="","",N('Project Database'!AI435))</f>
        <v/>
      </c>
      <c r="BQ431" s="5" t="str">
        <f>IF('Project Database'!A435="","",N('Project Database'!AJ435))</f>
        <v/>
      </c>
      <c r="BR431" s="5" t="str">
        <f>IF('Project Database'!A435="","",N('Project Database'!AK435))</f>
        <v/>
      </c>
      <c r="BS431" s="5" t="str">
        <f>IF('Project Database'!A435="","",N('Project Database'!AL435))</f>
        <v/>
      </c>
      <c r="BT431" s="5" t="str">
        <f>IF('Project Database'!A435="","",N('Project Database'!AM435))</f>
        <v/>
      </c>
      <c r="BU431" s="5" t="str">
        <f>IF('Project Database'!A435="","",N('Project Database'!AN435))</f>
        <v/>
      </c>
      <c r="BV431" s="5" t="str">
        <f>IF('Project Database'!A435="","",N('Project Database'!AO435))</f>
        <v/>
      </c>
      <c r="BW431" s="5" t="str">
        <f>IF('Project Database'!A435="","",N('Project Database'!AP435))</f>
        <v/>
      </c>
      <c r="BX431" s="5">
        <f t="shared" si="96"/>
        <v>0</v>
      </c>
      <c r="BY431" s="5">
        <f t="shared" si="97"/>
        <v>0</v>
      </c>
    </row>
    <row r="432" spans="1:77" ht="15" customHeight="1" x14ac:dyDescent="0.3">
      <c r="A432" s="66">
        <f>'Project Database'!A436</f>
        <v>0</v>
      </c>
      <c r="B432" s="66">
        <f>'Project Database'!B436</f>
        <v>0</v>
      </c>
      <c r="C432" s="66">
        <f>'Project Database'!G436</f>
        <v>0</v>
      </c>
      <c r="D432" s="66">
        <f>'Project Database'!H436</f>
        <v>0</v>
      </c>
      <c r="E432" s="66">
        <f>'Project Database'!I436</f>
        <v>0</v>
      </c>
      <c r="F432" s="66">
        <f>'Project Database'!J436</f>
        <v>0</v>
      </c>
      <c r="G432" s="66">
        <f>'Project Database'!K436</f>
        <v>0</v>
      </c>
      <c r="H432" s="66">
        <f>'Project Database'!L436</f>
        <v>0</v>
      </c>
      <c r="I432" s="66">
        <f>'Project Database'!M436</f>
        <v>0</v>
      </c>
      <c r="J432" s="66">
        <f>'Project Database'!N436</f>
        <v>0</v>
      </c>
      <c r="K432" s="66">
        <f>'Project Database'!O436</f>
        <v>0</v>
      </c>
      <c r="L432" s="66">
        <f>'Project Database'!P436</f>
        <v>0</v>
      </c>
      <c r="M432" s="66">
        <f>'Project Database'!Q436</f>
        <v>0</v>
      </c>
      <c r="N432" s="66">
        <f>'Project Database'!R436</f>
        <v>0</v>
      </c>
      <c r="O432" s="66">
        <f>'Project Database'!S436</f>
        <v>0</v>
      </c>
      <c r="P432" s="66">
        <f>'Project Database'!T436</f>
        <v>0</v>
      </c>
      <c r="Q432" s="66">
        <f>'Project Database'!U436</f>
        <v>0</v>
      </c>
      <c r="R432" s="66">
        <f>'Project Database'!V436</f>
        <v>0</v>
      </c>
      <c r="S432" s="66">
        <f>'Project Database'!W436</f>
        <v>0</v>
      </c>
      <c r="T432" s="66">
        <f>'Project Database'!X436</f>
        <v>0</v>
      </c>
      <c r="U432" s="67">
        <f>'Project Database'!Y436</f>
        <v>0</v>
      </c>
      <c r="V432" s="66">
        <f>IF('Smart Search'!B13=1,IFERROR(1/'Smart Search'!H13,0),0)</f>
        <v>0</v>
      </c>
      <c r="W432" s="66">
        <f>IF('Smart Search'!B13=1,IFERROR(1/'Smart Search'!H13,0),0)</f>
        <v>0</v>
      </c>
      <c r="X432" s="66">
        <f>IF('Smart Search'!C13=1,IFERROR(1/'Smart Search'!H13,0),0)</f>
        <v>0.5</v>
      </c>
      <c r="Y432" s="66">
        <f>IF('Smart Search'!C13=1,IFERROR(1/'Smart Search'!H13,0),0)</f>
        <v>0.5</v>
      </c>
      <c r="Z432" s="66">
        <f>IF('Smart Search'!D13=1,IFERROR(1/'Smart Search'!H13,0),0)</f>
        <v>0</v>
      </c>
      <c r="AA432" s="66">
        <f>IF('Smart Search'!D13=1,IFERROR(1/'Smart Search'!H13,0),0)</f>
        <v>0</v>
      </c>
      <c r="AB432" s="66">
        <f>IF('Smart Search'!E13=1,IFERROR(1/'Smart Search'!H13,0),0)</f>
        <v>0</v>
      </c>
      <c r="AC432" s="66">
        <f>IF('Smart Search'!E13=1,IFERROR(1/'Smart Search'!H13,0),0)</f>
        <v>0</v>
      </c>
      <c r="AD432" s="66">
        <f>IF('Smart Search'!F13=1,IFERROR(1/'Smart Search'!H13,0),0)</f>
        <v>0</v>
      </c>
      <c r="AE432" s="66">
        <f>IF('Smart Search'!F13=1,IFERROR(1/'Smart Search'!H13,0),0)</f>
        <v>0</v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>0</v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>0</v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>0</v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>0</v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>0</v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>0</v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>0</v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>0</v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>0</v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>0</v>
      </c>
      <c r="AP432" s="66">
        <f t="shared" si="84"/>
        <v>0</v>
      </c>
      <c r="AQ432" s="66">
        <f t="shared" si="85"/>
        <v>0</v>
      </c>
      <c r="AR432" s="66">
        <f t="shared" si="86"/>
        <v>0</v>
      </c>
      <c r="AS432" s="66">
        <f t="shared" si="87"/>
        <v>0</v>
      </c>
      <c r="AT432" s="66">
        <f t="shared" si="88"/>
        <v>0</v>
      </c>
      <c r="AU432" s="66">
        <f t="shared" si="89"/>
        <v>0</v>
      </c>
      <c r="AV432" s="66">
        <f t="shared" si="90"/>
        <v>0</v>
      </c>
      <c r="AW432" s="66">
        <f t="shared" si="91"/>
        <v>0</v>
      </c>
      <c r="AX432" s="66">
        <f t="shared" si="92"/>
        <v>0</v>
      </c>
      <c r="AY432" s="66">
        <f t="shared" si="93"/>
        <v>0</v>
      </c>
      <c r="AZ432" s="66">
        <f>'Project Database'!Z436</f>
        <v>0</v>
      </c>
      <c r="BA432" s="66">
        <f>IF(OR(A432="",'Smart Search'!H13=0),"",MAX(0,BE432*BF432*MAX(0,1-BG432)))</f>
        <v>0</v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>0</v>
      </c>
      <c r="BC432" s="66">
        <f>IF('Smart Search'!G13=1,IFERROR(1/'Smart Search'!H13,0),0)</f>
        <v>0</v>
      </c>
      <c r="BD432" s="66">
        <f t="shared" si="94"/>
        <v>0</v>
      </c>
      <c r="BE432" s="66">
        <f t="shared" si="95"/>
        <v>0</v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>0</v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>0</v>
      </c>
      <c r="BH432" s="5" t="str">
        <f>IF(AND('Project Database'!A436&lt;&gt;"",OR('Smart Search'!$L$5="",'Smart Search'!$L$5="All",TRIM('Project Database'!D436)=TRIM('Smart Search'!$L$5)),OR(TRIM('Smart Search'!$L$6)="",TRIM('Smart Search'!$L$6)="All",ISNUMBER(SEARCH(SUBSTITUTE(SUBSTITUTE(SUBSTITUTE(TRIM('Smart Search'!$L$6),"~","~~"),"*","~*"),"?","~?"),'Project Database'!C436))),OR('Smart Search'!$L$7="",AND('Project Database'!E436&lt;&gt;"",'Project Database'!E436='Smart Search'!$L$7)),OR('Smart Search'!$L$8="",'Smart Search'!$L$8="All",TRIM('Project Database'!F436)=TRIM('Smart Search'!$L$8))),IF(BA432="","",BA432+ROW()*0.0000000001),"")</f>
        <v/>
      </c>
      <c r="BI432" s="5" t="str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 t="str">
        <f>IF('Project Database'!A436="","",N('Project Database'!AC436))</f>
        <v/>
      </c>
      <c r="BK432" s="5" t="str">
        <f>IF('Project Database'!A436="","",N('Project Database'!AD436))</f>
        <v/>
      </c>
      <c r="BL432" s="5" t="str">
        <f>IF('Project Database'!A436="","",N('Project Database'!AE436))</f>
        <v/>
      </c>
      <c r="BM432" s="5" t="str">
        <f>IF('Project Database'!A436="","",N('Project Database'!AF436))</f>
        <v/>
      </c>
      <c r="BN432" s="5" t="str">
        <f>IF('Project Database'!A436="","",N('Project Database'!AG436))</f>
        <v/>
      </c>
      <c r="BO432" s="5" t="str">
        <f>IF('Project Database'!A436="","",N('Project Database'!AH436))</f>
        <v/>
      </c>
      <c r="BP432" s="5" t="str">
        <f>IF('Project Database'!A436="","",N('Project Database'!AI436))</f>
        <v/>
      </c>
      <c r="BQ432" s="5" t="str">
        <f>IF('Project Database'!A436="","",N('Project Database'!AJ436))</f>
        <v/>
      </c>
      <c r="BR432" s="5" t="str">
        <f>IF('Project Database'!A436="","",N('Project Database'!AK436))</f>
        <v/>
      </c>
      <c r="BS432" s="5" t="str">
        <f>IF('Project Database'!A436="","",N('Project Database'!AL436))</f>
        <v/>
      </c>
      <c r="BT432" s="5" t="str">
        <f>IF('Project Database'!A436="","",N('Project Database'!AM436))</f>
        <v/>
      </c>
      <c r="BU432" s="5" t="str">
        <f>IF('Project Database'!A436="","",N('Project Database'!AN436))</f>
        <v/>
      </c>
      <c r="BV432" s="5" t="str">
        <f>IF('Project Database'!A436="","",N('Project Database'!AO436))</f>
        <v/>
      </c>
      <c r="BW432" s="5" t="str">
        <f>IF('Project Database'!A436="","",N('Project Database'!AP436))</f>
        <v/>
      </c>
      <c r="BX432" s="5">
        <f t="shared" si="96"/>
        <v>0</v>
      </c>
      <c r="BY432" s="5">
        <f t="shared" si="97"/>
        <v>0</v>
      </c>
    </row>
    <row r="433" spans="1:77" ht="15" customHeight="1" x14ac:dyDescent="0.3">
      <c r="A433" s="66">
        <f>'Project Database'!A437</f>
        <v>0</v>
      </c>
      <c r="B433" s="66">
        <f>'Project Database'!B437</f>
        <v>0</v>
      </c>
      <c r="C433" s="66">
        <f>'Project Database'!G437</f>
        <v>0</v>
      </c>
      <c r="D433" s="66">
        <f>'Project Database'!H437</f>
        <v>0</v>
      </c>
      <c r="E433" s="66">
        <f>'Project Database'!I437</f>
        <v>0</v>
      </c>
      <c r="F433" s="66">
        <f>'Project Database'!J437</f>
        <v>0</v>
      </c>
      <c r="G433" s="66">
        <f>'Project Database'!K437</f>
        <v>0</v>
      </c>
      <c r="H433" s="66">
        <f>'Project Database'!L437</f>
        <v>0</v>
      </c>
      <c r="I433" s="66">
        <f>'Project Database'!M437</f>
        <v>0</v>
      </c>
      <c r="J433" s="66">
        <f>'Project Database'!N437</f>
        <v>0</v>
      </c>
      <c r="K433" s="66">
        <f>'Project Database'!O437</f>
        <v>0</v>
      </c>
      <c r="L433" s="66">
        <f>'Project Database'!P437</f>
        <v>0</v>
      </c>
      <c r="M433" s="66">
        <f>'Project Database'!Q437</f>
        <v>0</v>
      </c>
      <c r="N433" s="66">
        <f>'Project Database'!R437</f>
        <v>0</v>
      </c>
      <c r="O433" s="66">
        <f>'Project Database'!S437</f>
        <v>0</v>
      </c>
      <c r="P433" s="66">
        <f>'Project Database'!T437</f>
        <v>0</v>
      </c>
      <c r="Q433" s="66">
        <f>'Project Database'!U437</f>
        <v>0</v>
      </c>
      <c r="R433" s="66">
        <f>'Project Database'!V437</f>
        <v>0</v>
      </c>
      <c r="S433" s="66">
        <f>'Project Database'!W437</f>
        <v>0</v>
      </c>
      <c r="T433" s="66">
        <f>'Project Database'!X437</f>
        <v>0</v>
      </c>
      <c r="U433" s="67">
        <f>'Project Database'!Y437</f>
        <v>0</v>
      </c>
      <c r="V433" s="66">
        <f>IF('Smart Search'!B13=1,IFERROR(1/'Smart Search'!H13,0),0)</f>
        <v>0</v>
      </c>
      <c r="W433" s="66">
        <f>IF('Smart Search'!B13=1,IFERROR(1/'Smart Search'!H13,0),0)</f>
        <v>0</v>
      </c>
      <c r="X433" s="66">
        <f>IF('Smart Search'!C13=1,IFERROR(1/'Smart Search'!H13,0),0)</f>
        <v>0.5</v>
      </c>
      <c r="Y433" s="66">
        <f>IF('Smart Search'!C13=1,IFERROR(1/'Smart Search'!H13,0),0)</f>
        <v>0.5</v>
      </c>
      <c r="Z433" s="66">
        <f>IF('Smart Search'!D13=1,IFERROR(1/'Smart Search'!H13,0),0)</f>
        <v>0</v>
      </c>
      <c r="AA433" s="66">
        <f>IF('Smart Search'!D13=1,IFERROR(1/'Smart Search'!H13,0),0)</f>
        <v>0</v>
      </c>
      <c r="AB433" s="66">
        <f>IF('Smart Search'!E13=1,IFERROR(1/'Smart Search'!H13,0),0)</f>
        <v>0</v>
      </c>
      <c r="AC433" s="66">
        <f>IF('Smart Search'!E13=1,IFERROR(1/'Smart Search'!H13,0),0)</f>
        <v>0</v>
      </c>
      <c r="AD433" s="66">
        <f>IF('Smart Search'!F13=1,IFERROR(1/'Smart Search'!H13,0),0)</f>
        <v>0</v>
      </c>
      <c r="AE433" s="66">
        <f>IF('Smart Search'!F13=1,IFERROR(1/'Smart Search'!H13,0),0)</f>
        <v>0</v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>0</v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>0</v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>0</v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>0</v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>0</v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>0</v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>0</v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>0</v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>0</v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>0</v>
      </c>
      <c r="AP433" s="66">
        <f t="shared" si="84"/>
        <v>0</v>
      </c>
      <c r="AQ433" s="66">
        <f t="shared" si="85"/>
        <v>0</v>
      </c>
      <c r="AR433" s="66">
        <f t="shared" si="86"/>
        <v>0</v>
      </c>
      <c r="AS433" s="66">
        <f t="shared" si="87"/>
        <v>0</v>
      </c>
      <c r="AT433" s="66">
        <f t="shared" si="88"/>
        <v>0</v>
      </c>
      <c r="AU433" s="66">
        <f t="shared" si="89"/>
        <v>0</v>
      </c>
      <c r="AV433" s="66">
        <f t="shared" si="90"/>
        <v>0</v>
      </c>
      <c r="AW433" s="66">
        <f t="shared" si="91"/>
        <v>0</v>
      </c>
      <c r="AX433" s="66">
        <f t="shared" si="92"/>
        <v>0</v>
      </c>
      <c r="AY433" s="66">
        <f t="shared" si="93"/>
        <v>0</v>
      </c>
      <c r="AZ433" s="66">
        <f>'Project Database'!Z437</f>
        <v>0</v>
      </c>
      <c r="BA433" s="66">
        <f>IF(OR(A433="",'Smart Search'!H13=0),"",MAX(0,BE433*BF433*MAX(0,1-BG433)))</f>
        <v>0</v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>0</v>
      </c>
      <c r="BC433" s="66">
        <f>IF('Smart Search'!G13=1,IFERROR(1/'Smart Search'!H13,0),0)</f>
        <v>0</v>
      </c>
      <c r="BD433" s="66">
        <f t="shared" si="94"/>
        <v>0</v>
      </c>
      <c r="BE433" s="66">
        <f t="shared" si="95"/>
        <v>0</v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>0</v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>0</v>
      </c>
      <c r="BH433" s="5" t="str">
        <f>IF(AND('Project Database'!A437&lt;&gt;"",OR('Smart Search'!$L$5="",'Smart Search'!$L$5="All",TRIM('Project Database'!D437)=TRIM('Smart Search'!$L$5)),OR(TRIM('Smart Search'!$L$6)="",TRIM('Smart Search'!$L$6)="All",ISNUMBER(SEARCH(SUBSTITUTE(SUBSTITUTE(SUBSTITUTE(TRIM('Smart Search'!$L$6),"~","~~"),"*","~*"),"?","~?"),'Project Database'!C437))),OR('Smart Search'!$L$7="",AND('Project Database'!E437&lt;&gt;"",'Project Database'!E437='Smart Search'!$L$7)),OR('Smart Search'!$L$8="",'Smart Search'!$L$8="All",TRIM('Project Database'!F437)=TRIM('Smart Search'!$L$8))),IF(BA433="","",BA433+ROW()*0.0000000001),"")</f>
        <v/>
      </c>
      <c r="BI433" s="5" t="str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 t="str">
        <f>IF('Project Database'!A437="","",N('Project Database'!AC437))</f>
        <v/>
      </c>
      <c r="BK433" s="5" t="str">
        <f>IF('Project Database'!A437="","",N('Project Database'!AD437))</f>
        <v/>
      </c>
      <c r="BL433" s="5" t="str">
        <f>IF('Project Database'!A437="","",N('Project Database'!AE437))</f>
        <v/>
      </c>
      <c r="BM433" s="5" t="str">
        <f>IF('Project Database'!A437="","",N('Project Database'!AF437))</f>
        <v/>
      </c>
      <c r="BN433" s="5" t="str">
        <f>IF('Project Database'!A437="","",N('Project Database'!AG437))</f>
        <v/>
      </c>
      <c r="BO433" s="5" t="str">
        <f>IF('Project Database'!A437="","",N('Project Database'!AH437))</f>
        <v/>
      </c>
      <c r="BP433" s="5" t="str">
        <f>IF('Project Database'!A437="","",N('Project Database'!AI437))</f>
        <v/>
      </c>
      <c r="BQ433" s="5" t="str">
        <f>IF('Project Database'!A437="","",N('Project Database'!AJ437))</f>
        <v/>
      </c>
      <c r="BR433" s="5" t="str">
        <f>IF('Project Database'!A437="","",N('Project Database'!AK437))</f>
        <v/>
      </c>
      <c r="BS433" s="5" t="str">
        <f>IF('Project Database'!A437="","",N('Project Database'!AL437))</f>
        <v/>
      </c>
      <c r="BT433" s="5" t="str">
        <f>IF('Project Database'!A437="","",N('Project Database'!AM437))</f>
        <v/>
      </c>
      <c r="BU433" s="5" t="str">
        <f>IF('Project Database'!A437="","",N('Project Database'!AN437))</f>
        <v/>
      </c>
      <c r="BV433" s="5" t="str">
        <f>IF('Project Database'!A437="","",N('Project Database'!AO437))</f>
        <v/>
      </c>
      <c r="BW433" s="5" t="str">
        <f>IF('Project Database'!A437="","",N('Project Database'!AP437))</f>
        <v/>
      </c>
      <c r="BX433" s="5">
        <f t="shared" si="96"/>
        <v>0</v>
      </c>
      <c r="BY433" s="5">
        <f t="shared" si="97"/>
        <v>0</v>
      </c>
    </row>
    <row r="434" spans="1:77" ht="15" customHeight="1" x14ac:dyDescent="0.3">
      <c r="A434" s="66">
        <f>'Project Database'!A438</f>
        <v>0</v>
      </c>
      <c r="B434" s="66">
        <f>'Project Database'!B438</f>
        <v>0</v>
      </c>
      <c r="C434" s="66">
        <f>'Project Database'!G438</f>
        <v>0</v>
      </c>
      <c r="D434" s="66">
        <f>'Project Database'!H438</f>
        <v>0</v>
      </c>
      <c r="E434" s="66">
        <f>'Project Database'!I438</f>
        <v>0</v>
      </c>
      <c r="F434" s="66">
        <f>'Project Database'!J438</f>
        <v>0</v>
      </c>
      <c r="G434" s="66">
        <f>'Project Database'!K438</f>
        <v>0</v>
      </c>
      <c r="H434" s="66">
        <f>'Project Database'!L438</f>
        <v>0</v>
      </c>
      <c r="I434" s="66">
        <f>'Project Database'!M438</f>
        <v>0</v>
      </c>
      <c r="J434" s="66">
        <f>'Project Database'!N438</f>
        <v>0</v>
      </c>
      <c r="K434" s="66">
        <f>'Project Database'!O438</f>
        <v>0</v>
      </c>
      <c r="L434" s="66">
        <f>'Project Database'!P438</f>
        <v>0</v>
      </c>
      <c r="M434" s="66">
        <f>'Project Database'!Q438</f>
        <v>0</v>
      </c>
      <c r="N434" s="66">
        <f>'Project Database'!R438</f>
        <v>0</v>
      </c>
      <c r="O434" s="66">
        <f>'Project Database'!S438</f>
        <v>0</v>
      </c>
      <c r="P434" s="66">
        <f>'Project Database'!T438</f>
        <v>0</v>
      </c>
      <c r="Q434" s="66">
        <f>'Project Database'!U438</f>
        <v>0</v>
      </c>
      <c r="R434" s="66">
        <f>'Project Database'!V438</f>
        <v>0</v>
      </c>
      <c r="S434" s="66">
        <f>'Project Database'!W438</f>
        <v>0</v>
      </c>
      <c r="T434" s="66">
        <f>'Project Database'!X438</f>
        <v>0</v>
      </c>
      <c r="U434" s="67">
        <f>'Project Database'!Y438</f>
        <v>0</v>
      </c>
      <c r="V434" s="66">
        <f>IF('Smart Search'!B13=1,IFERROR(1/'Smart Search'!H13,0),0)</f>
        <v>0</v>
      </c>
      <c r="W434" s="66">
        <f>IF('Smart Search'!B13=1,IFERROR(1/'Smart Search'!H13,0),0)</f>
        <v>0</v>
      </c>
      <c r="X434" s="66">
        <f>IF('Smart Search'!C13=1,IFERROR(1/'Smart Search'!H13,0),0)</f>
        <v>0.5</v>
      </c>
      <c r="Y434" s="66">
        <f>IF('Smart Search'!C13=1,IFERROR(1/'Smart Search'!H13,0),0)</f>
        <v>0.5</v>
      </c>
      <c r="Z434" s="66">
        <f>IF('Smart Search'!D13=1,IFERROR(1/'Smart Search'!H13,0),0)</f>
        <v>0</v>
      </c>
      <c r="AA434" s="66">
        <f>IF('Smart Search'!D13=1,IFERROR(1/'Smart Search'!H13,0),0)</f>
        <v>0</v>
      </c>
      <c r="AB434" s="66">
        <f>IF('Smart Search'!E13=1,IFERROR(1/'Smart Search'!H13,0),0)</f>
        <v>0</v>
      </c>
      <c r="AC434" s="66">
        <f>IF('Smart Search'!E13=1,IFERROR(1/'Smart Search'!H13,0),0)</f>
        <v>0</v>
      </c>
      <c r="AD434" s="66">
        <f>IF('Smart Search'!F13=1,IFERROR(1/'Smart Search'!H13,0),0)</f>
        <v>0</v>
      </c>
      <c r="AE434" s="66">
        <f>IF('Smart Search'!F13=1,IFERROR(1/'Smart Search'!H13,0),0)</f>
        <v>0</v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>0</v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>0</v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>0</v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>0</v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>0</v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>0</v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>0</v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>0</v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>0</v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>0</v>
      </c>
      <c r="AP434" s="66">
        <f t="shared" si="84"/>
        <v>0</v>
      </c>
      <c r="AQ434" s="66">
        <f t="shared" si="85"/>
        <v>0</v>
      </c>
      <c r="AR434" s="66">
        <f t="shared" si="86"/>
        <v>0</v>
      </c>
      <c r="AS434" s="66">
        <f t="shared" si="87"/>
        <v>0</v>
      </c>
      <c r="AT434" s="66">
        <f t="shared" si="88"/>
        <v>0</v>
      </c>
      <c r="AU434" s="66">
        <f t="shared" si="89"/>
        <v>0</v>
      </c>
      <c r="AV434" s="66">
        <f t="shared" si="90"/>
        <v>0</v>
      </c>
      <c r="AW434" s="66">
        <f t="shared" si="91"/>
        <v>0</v>
      </c>
      <c r="AX434" s="66">
        <f t="shared" si="92"/>
        <v>0</v>
      </c>
      <c r="AY434" s="66">
        <f t="shared" si="93"/>
        <v>0</v>
      </c>
      <c r="AZ434" s="66">
        <f>'Project Database'!Z438</f>
        <v>0</v>
      </c>
      <c r="BA434" s="66">
        <f>IF(OR(A434="",'Smart Search'!H13=0),"",MAX(0,BE434*BF434*MAX(0,1-BG434)))</f>
        <v>0</v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>0</v>
      </c>
      <c r="BC434" s="66">
        <f>IF('Smart Search'!G13=1,IFERROR(1/'Smart Search'!H13,0),0)</f>
        <v>0</v>
      </c>
      <c r="BD434" s="66">
        <f t="shared" si="94"/>
        <v>0</v>
      </c>
      <c r="BE434" s="66">
        <f t="shared" si="95"/>
        <v>0</v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>0</v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>0</v>
      </c>
      <c r="BH434" s="5" t="str">
        <f>IF(AND('Project Database'!A438&lt;&gt;"",OR('Smart Search'!$L$5="",'Smart Search'!$L$5="All",TRIM('Project Database'!D438)=TRIM('Smart Search'!$L$5)),OR(TRIM('Smart Search'!$L$6)="",TRIM('Smart Search'!$L$6)="All",ISNUMBER(SEARCH(SUBSTITUTE(SUBSTITUTE(SUBSTITUTE(TRIM('Smart Search'!$L$6),"~","~~"),"*","~*"),"?","~?"),'Project Database'!C438))),OR('Smart Search'!$L$7="",AND('Project Database'!E438&lt;&gt;"",'Project Database'!E438='Smart Search'!$L$7)),OR('Smart Search'!$L$8="",'Smart Search'!$L$8="All",TRIM('Project Database'!F438)=TRIM('Smart Search'!$L$8))),IF(BA434="","",BA434+ROW()*0.0000000001),"")</f>
        <v/>
      </c>
      <c r="BI434" s="5" t="str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 t="str">
        <f>IF('Project Database'!A438="","",N('Project Database'!AC438))</f>
        <v/>
      </c>
      <c r="BK434" s="5" t="str">
        <f>IF('Project Database'!A438="","",N('Project Database'!AD438))</f>
        <v/>
      </c>
      <c r="BL434" s="5" t="str">
        <f>IF('Project Database'!A438="","",N('Project Database'!AE438))</f>
        <v/>
      </c>
      <c r="BM434" s="5" t="str">
        <f>IF('Project Database'!A438="","",N('Project Database'!AF438))</f>
        <v/>
      </c>
      <c r="BN434" s="5" t="str">
        <f>IF('Project Database'!A438="","",N('Project Database'!AG438))</f>
        <v/>
      </c>
      <c r="BO434" s="5" t="str">
        <f>IF('Project Database'!A438="","",N('Project Database'!AH438))</f>
        <v/>
      </c>
      <c r="BP434" s="5" t="str">
        <f>IF('Project Database'!A438="","",N('Project Database'!AI438))</f>
        <v/>
      </c>
      <c r="BQ434" s="5" t="str">
        <f>IF('Project Database'!A438="","",N('Project Database'!AJ438))</f>
        <v/>
      </c>
      <c r="BR434" s="5" t="str">
        <f>IF('Project Database'!A438="","",N('Project Database'!AK438))</f>
        <v/>
      </c>
      <c r="BS434" s="5" t="str">
        <f>IF('Project Database'!A438="","",N('Project Database'!AL438))</f>
        <v/>
      </c>
      <c r="BT434" s="5" t="str">
        <f>IF('Project Database'!A438="","",N('Project Database'!AM438))</f>
        <v/>
      </c>
      <c r="BU434" s="5" t="str">
        <f>IF('Project Database'!A438="","",N('Project Database'!AN438))</f>
        <v/>
      </c>
      <c r="BV434" s="5" t="str">
        <f>IF('Project Database'!A438="","",N('Project Database'!AO438))</f>
        <v/>
      </c>
      <c r="BW434" s="5" t="str">
        <f>IF('Project Database'!A438="","",N('Project Database'!AP438))</f>
        <v/>
      </c>
      <c r="BX434" s="5">
        <f t="shared" si="96"/>
        <v>0</v>
      </c>
      <c r="BY434" s="5">
        <f t="shared" si="97"/>
        <v>0</v>
      </c>
    </row>
    <row r="435" spans="1:77" ht="15" customHeight="1" x14ac:dyDescent="0.3">
      <c r="A435" s="66">
        <f>'Project Database'!A439</f>
        <v>0</v>
      </c>
      <c r="B435" s="66">
        <f>'Project Database'!B439</f>
        <v>0</v>
      </c>
      <c r="C435" s="66">
        <f>'Project Database'!G439</f>
        <v>0</v>
      </c>
      <c r="D435" s="66">
        <f>'Project Database'!H439</f>
        <v>0</v>
      </c>
      <c r="E435" s="66">
        <f>'Project Database'!I439</f>
        <v>0</v>
      </c>
      <c r="F435" s="66">
        <f>'Project Database'!J439</f>
        <v>0</v>
      </c>
      <c r="G435" s="66">
        <f>'Project Database'!K439</f>
        <v>0</v>
      </c>
      <c r="H435" s="66">
        <f>'Project Database'!L439</f>
        <v>0</v>
      </c>
      <c r="I435" s="66">
        <f>'Project Database'!M439</f>
        <v>0</v>
      </c>
      <c r="J435" s="66">
        <f>'Project Database'!N439</f>
        <v>0</v>
      </c>
      <c r="K435" s="66">
        <f>'Project Database'!O439</f>
        <v>0</v>
      </c>
      <c r="L435" s="66">
        <f>'Project Database'!P439</f>
        <v>0</v>
      </c>
      <c r="M435" s="66">
        <f>'Project Database'!Q439</f>
        <v>0</v>
      </c>
      <c r="N435" s="66">
        <f>'Project Database'!R439</f>
        <v>0</v>
      </c>
      <c r="O435" s="66">
        <f>'Project Database'!S439</f>
        <v>0</v>
      </c>
      <c r="P435" s="66">
        <f>'Project Database'!T439</f>
        <v>0</v>
      </c>
      <c r="Q435" s="66">
        <f>'Project Database'!U439</f>
        <v>0</v>
      </c>
      <c r="R435" s="66">
        <f>'Project Database'!V439</f>
        <v>0</v>
      </c>
      <c r="S435" s="66">
        <f>'Project Database'!W439</f>
        <v>0</v>
      </c>
      <c r="T435" s="66">
        <f>'Project Database'!X439</f>
        <v>0</v>
      </c>
      <c r="U435" s="67">
        <f>'Project Database'!Y439</f>
        <v>0</v>
      </c>
      <c r="V435" s="66">
        <f>IF('Smart Search'!B13=1,IFERROR(1/'Smart Search'!H13,0),0)</f>
        <v>0</v>
      </c>
      <c r="W435" s="66">
        <f>IF('Smart Search'!B13=1,IFERROR(1/'Smart Search'!H13,0),0)</f>
        <v>0</v>
      </c>
      <c r="X435" s="66">
        <f>IF('Smart Search'!C13=1,IFERROR(1/'Smart Search'!H13,0),0)</f>
        <v>0.5</v>
      </c>
      <c r="Y435" s="66">
        <f>IF('Smart Search'!C13=1,IFERROR(1/'Smart Search'!H13,0),0)</f>
        <v>0.5</v>
      </c>
      <c r="Z435" s="66">
        <f>IF('Smart Search'!D13=1,IFERROR(1/'Smart Search'!H13,0),0)</f>
        <v>0</v>
      </c>
      <c r="AA435" s="66">
        <f>IF('Smart Search'!D13=1,IFERROR(1/'Smart Search'!H13,0),0)</f>
        <v>0</v>
      </c>
      <c r="AB435" s="66">
        <f>IF('Smart Search'!E13=1,IFERROR(1/'Smart Search'!H13,0),0)</f>
        <v>0</v>
      </c>
      <c r="AC435" s="66">
        <f>IF('Smart Search'!E13=1,IFERROR(1/'Smart Search'!H13,0),0)</f>
        <v>0</v>
      </c>
      <c r="AD435" s="66">
        <f>IF('Smart Search'!F13=1,IFERROR(1/'Smart Search'!H13,0),0)</f>
        <v>0</v>
      </c>
      <c r="AE435" s="66">
        <f>IF('Smart Search'!F13=1,IFERROR(1/'Smart Search'!H13,0),0)</f>
        <v>0</v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>0</v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>0</v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>0</v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>0</v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>0</v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>0</v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>0</v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>0</v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>0</v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>0</v>
      </c>
      <c r="AP435" s="66">
        <f t="shared" si="84"/>
        <v>0</v>
      </c>
      <c r="AQ435" s="66">
        <f t="shared" si="85"/>
        <v>0</v>
      </c>
      <c r="AR435" s="66">
        <f t="shared" si="86"/>
        <v>0</v>
      </c>
      <c r="AS435" s="66">
        <f t="shared" si="87"/>
        <v>0</v>
      </c>
      <c r="AT435" s="66">
        <f t="shared" si="88"/>
        <v>0</v>
      </c>
      <c r="AU435" s="66">
        <f t="shared" si="89"/>
        <v>0</v>
      </c>
      <c r="AV435" s="66">
        <f t="shared" si="90"/>
        <v>0</v>
      </c>
      <c r="AW435" s="66">
        <f t="shared" si="91"/>
        <v>0</v>
      </c>
      <c r="AX435" s="66">
        <f t="shared" si="92"/>
        <v>0</v>
      </c>
      <c r="AY435" s="66">
        <f t="shared" si="93"/>
        <v>0</v>
      </c>
      <c r="AZ435" s="66">
        <f>'Project Database'!Z439</f>
        <v>0</v>
      </c>
      <c r="BA435" s="66">
        <f>IF(OR(A435="",'Smart Search'!H13=0),"",MAX(0,BE435*BF435*MAX(0,1-BG435)))</f>
        <v>0</v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>0</v>
      </c>
      <c r="BC435" s="66">
        <f>IF('Smart Search'!G13=1,IFERROR(1/'Smart Search'!H13,0),0)</f>
        <v>0</v>
      </c>
      <c r="BD435" s="66">
        <f t="shared" si="94"/>
        <v>0</v>
      </c>
      <c r="BE435" s="66">
        <f t="shared" si="95"/>
        <v>0</v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>0</v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>0</v>
      </c>
      <c r="BH435" s="5" t="str">
        <f>IF(AND('Project Database'!A439&lt;&gt;"",OR('Smart Search'!$L$5="",'Smart Search'!$L$5="All",TRIM('Project Database'!D439)=TRIM('Smart Search'!$L$5)),OR(TRIM('Smart Search'!$L$6)="",TRIM('Smart Search'!$L$6)="All",ISNUMBER(SEARCH(SUBSTITUTE(SUBSTITUTE(SUBSTITUTE(TRIM('Smart Search'!$L$6),"~","~~"),"*","~*"),"?","~?"),'Project Database'!C439))),OR('Smart Search'!$L$7="",AND('Project Database'!E439&lt;&gt;"",'Project Database'!E439='Smart Search'!$L$7)),OR('Smart Search'!$L$8="",'Smart Search'!$L$8="All",TRIM('Project Database'!F439)=TRIM('Smart Search'!$L$8))),IF(BA435="","",BA435+ROW()*0.0000000001),"")</f>
        <v/>
      </c>
      <c r="BI435" s="5" t="str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 t="str">
        <f>IF('Project Database'!A439="","",N('Project Database'!AC439))</f>
        <v/>
      </c>
      <c r="BK435" s="5" t="str">
        <f>IF('Project Database'!A439="","",N('Project Database'!AD439))</f>
        <v/>
      </c>
      <c r="BL435" s="5" t="str">
        <f>IF('Project Database'!A439="","",N('Project Database'!AE439))</f>
        <v/>
      </c>
      <c r="BM435" s="5" t="str">
        <f>IF('Project Database'!A439="","",N('Project Database'!AF439))</f>
        <v/>
      </c>
      <c r="BN435" s="5" t="str">
        <f>IF('Project Database'!A439="","",N('Project Database'!AG439))</f>
        <v/>
      </c>
      <c r="BO435" s="5" t="str">
        <f>IF('Project Database'!A439="","",N('Project Database'!AH439))</f>
        <v/>
      </c>
      <c r="BP435" s="5" t="str">
        <f>IF('Project Database'!A439="","",N('Project Database'!AI439))</f>
        <v/>
      </c>
      <c r="BQ435" s="5" t="str">
        <f>IF('Project Database'!A439="","",N('Project Database'!AJ439))</f>
        <v/>
      </c>
      <c r="BR435" s="5" t="str">
        <f>IF('Project Database'!A439="","",N('Project Database'!AK439))</f>
        <v/>
      </c>
      <c r="BS435" s="5" t="str">
        <f>IF('Project Database'!A439="","",N('Project Database'!AL439))</f>
        <v/>
      </c>
      <c r="BT435" s="5" t="str">
        <f>IF('Project Database'!A439="","",N('Project Database'!AM439))</f>
        <v/>
      </c>
      <c r="BU435" s="5" t="str">
        <f>IF('Project Database'!A439="","",N('Project Database'!AN439))</f>
        <v/>
      </c>
      <c r="BV435" s="5" t="str">
        <f>IF('Project Database'!A439="","",N('Project Database'!AO439))</f>
        <v/>
      </c>
      <c r="BW435" s="5" t="str">
        <f>IF('Project Database'!A439="","",N('Project Database'!AP439))</f>
        <v/>
      </c>
      <c r="BX435" s="5">
        <f t="shared" si="96"/>
        <v>0</v>
      </c>
      <c r="BY435" s="5">
        <f t="shared" si="97"/>
        <v>0</v>
      </c>
    </row>
    <row r="436" spans="1:77" ht="15" customHeight="1" x14ac:dyDescent="0.3">
      <c r="A436" s="66">
        <f>'Project Database'!A440</f>
        <v>0</v>
      </c>
      <c r="B436" s="66">
        <f>'Project Database'!B440</f>
        <v>0</v>
      </c>
      <c r="C436" s="66">
        <f>'Project Database'!G440</f>
        <v>0</v>
      </c>
      <c r="D436" s="66">
        <f>'Project Database'!H440</f>
        <v>0</v>
      </c>
      <c r="E436" s="66">
        <f>'Project Database'!I440</f>
        <v>0</v>
      </c>
      <c r="F436" s="66">
        <f>'Project Database'!J440</f>
        <v>0</v>
      </c>
      <c r="G436" s="66">
        <f>'Project Database'!K440</f>
        <v>0</v>
      </c>
      <c r="H436" s="66">
        <f>'Project Database'!L440</f>
        <v>0</v>
      </c>
      <c r="I436" s="66">
        <f>'Project Database'!M440</f>
        <v>0</v>
      </c>
      <c r="J436" s="66">
        <f>'Project Database'!N440</f>
        <v>0</v>
      </c>
      <c r="K436" s="66">
        <f>'Project Database'!O440</f>
        <v>0</v>
      </c>
      <c r="L436" s="66">
        <f>'Project Database'!P440</f>
        <v>0</v>
      </c>
      <c r="M436" s="66">
        <f>'Project Database'!Q440</f>
        <v>0</v>
      </c>
      <c r="N436" s="66">
        <f>'Project Database'!R440</f>
        <v>0</v>
      </c>
      <c r="O436" s="66">
        <f>'Project Database'!S440</f>
        <v>0</v>
      </c>
      <c r="P436" s="66">
        <f>'Project Database'!T440</f>
        <v>0</v>
      </c>
      <c r="Q436" s="66">
        <f>'Project Database'!U440</f>
        <v>0</v>
      </c>
      <c r="R436" s="66">
        <f>'Project Database'!V440</f>
        <v>0</v>
      </c>
      <c r="S436" s="66">
        <f>'Project Database'!W440</f>
        <v>0</v>
      </c>
      <c r="T436" s="66">
        <f>'Project Database'!X440</f>
        <v>0</v>
      </c>
      <c r="U436" s="67">
        <f>'Project Database'!Y440</f>
        <v>0</v>
      </c>
      <c r="V436" s="66">
        <f>IF('Smart Search'!B13=1,IFERROR(1/'Smart Search'!H13,0),0)</f>
        <v>0</v>
      </c>
      <c r="W436" s="66">
        <f>IF('Smart Search'!B13=1,IFERROR(1/'Smart Search'!H13,0),0)</f>
        <v>0</v>
      </c>
      <c r="X436" s="66">
        <f>IF('Smart Search'!C13=1,IFERROR(1/'Smart Search'!H13,0),0)</f>
        <v>0.5</v>
      </c>
      <c r="Y436" s="66">
        <f>IF('Smart Search'!C13=1,IFERROR(1/'Smart Search'!H13,0),0)</f>
        <v>0.5</v>
      </c>
      <c r="Z436" s="66">
        <f>IF('Smart Search'!D13=1,IFERROR(1/'Smart Search'!H13,0),0)</f>
        <v>0</v>
      </c>
      <c r="AA436" s="66">
        <f>IF('Smart Search'!D13=1,IFERROR(1/'Smart Search'!H13,0),0)</f>
        <v>0</v>
      </c>
      <c r="AB436" s="66">
        <f>IF('Smart Search'!E13=1,IFERROR(1/'Smart Search'!H13,0),0)</f>
        <v>0</v>
      </c>
      <c r="AC436" s="66">
        <f>IF('Smart Search'!E13=1,IFERROR(1/'Smart Search'!H13,0),0)</f>
        <v>0</v>
      </c>
      <c r="AD436" s="66">
        <f>IF('Smart Search'!F13=1,IFERROR(1/'Smart Search'!H13,0),0)</f>
        <v>0</v>
      </c>
      <c r="AE436" s="66">
        <f>IF('Smart Search'!F13=1,IFERROR(1/'Smart Search'!H13,0),0)</f>
        <v>0</v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>0</v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>0</v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>0</v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>0</v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>0</v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>0</v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>0</v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>0</v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>0</v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>0</v>
      </c>
      <c r="AP436" s="66">
        <f t="shared" si="84"/>
        <v>0</v>
      </c>
      <c r="AQ436" s="66">
        <f t="shared" si="85"/>
        <v>0</v>
      </c>
      <c r="AR436" s="66">
        <f t="shared" si="86"/>
        <v>0</v>
      </c>
      <c r="AS436" s="66">
        <f t="shared" si="87"/>
        <v>0</v>
      </c>
      <c r="AT436" s="66">
        <f t="shared" si="88"/>
        <v>0</v>
      </c>
      <c r="AU436" s="66">
        <f t="shared" si="89"/>
        <v>0</v>
      </c>
      <c r="AV436" s="66">
        <f t="shared" si="90"/>
        <v>0</v>
      </c>
      <c r="AW436" s="66">
        <f t="shared" si="91"/>
        <v>0</v>
      </c>
      <c r="AX436" s="66">
        <f t="shared" si="92"/>
        <v>0</v>
      </c>
      <c r="AY436" s="66">
        <f t="shared" si="93"/>
        <v>0</v>
      </c>
      <c r="AZ436" s="66">
        <f>'Project Database'!Z440</f>
        <v>0</v>
      </c>
      <c r="BA436" s="66">
        <f>IF(OR(A436="",'Smart Search'!H13=0),"",MAX(0,BE436*BF436*MAX(0,1-BG436)))</f>
        <v>0</v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>0</v>
      </c>
      <c r="BC436" s="66">
        <f>IF('Smart Search'!G13=1,IFERROR(1/'Smart Search'!H13,0),0)</f>
        <v>0</v>
      </c>
      <c r="BD436" s="66">
        <f t="shared" si="94"/>
        <v>0</v>
      </c>
      <c r="BE436" s="66">
        <f t="shared" si="95"/>
        <v>0</v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>0</v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>0</v>
      </c>
      <c r="BH436" s="5" t="str">
        <f>IF(AND('Project Database'!A440&lt;&gt;"",OR('Smart Search'!$L$5="",'Smart Search'!$L$5="All",TRIM('Project Database'!D440)=TRIM('Smart Search'!$L$5)),OR(TRIM('Smart Search'!$L$6)="",TRIM('Smart Search'!$L$6)="All",ISNUMBER(SEARCH(SUBSTITUTE(SUBSTITUTE(SUBSTITUTE(TRIM('Smart Search'!$L$6),"~","~~"),"*","~*"),"?","~?"),'Project Database'!C440))),OR('Smart Search'!$L$7="",AND('Project Database'!E440&lt;&gt;"",'Project Database'!E440='Smart Search'!$L$7)),OR('Smart Search'!$L$8="",'Smart Search'!$L$8="All",TRIM('Project Database'!F440)=TRIM('Smart Search'!$L$8))),IF(BA436="","",BA436+ROW()*0.0000000001),"")</f>
        <v/>
      </c>
      <c r="BI436" s="5" t="str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 t="str">
        <f>IF('Project Database'!A440="","",N('Project Database'!AC440))</f>
        <v/>
      </c>
      <c r="BK436" s="5" t="str">
        <f>IF('Project Database'!A440="","",N('Project Database'!AD440))</f>
        <v/>
      </c>
      <c r="BL436" s="5" t="str">
        <f>IF('Project Database'!A440="","",N('Project Database'!AE440))</f>
        <v/>
      </c>
      <c r="BM436" s="5" t="str">
        <f>IF('Project Database'!A440="","",N('Project Database'!AF440))</f>
        <v/>
      </c>
      <c r="BN436" s="5" t="str">
        <f>IF('Project Database'!A440="","",N('Project Database'!AG440))</f>
        <v/>
      </c>
      <c r="BO436" s="5" t="str">
        <f>IF('Project Database'!A440="","",N('Project Database'!AH440))</f>
        <v/>
      </c>
      <c r="BP436" s="5" t="str">
        <f>IF('Project Database'!A440="","",N('Project Database'!AI440))</f>
        <v/>
      </c>
      <c r="BQ436" s="5" t="str">
        <f>IF('Project Database'!A440="","",N('Project Database'!AJ440))</f>
        <v/>
      </c>
      <c r="BR436" s="5" t="str">
        <f>IF('Project Database'!A440="","",N('Project Database'!AK440))</f>
        <v/>
      </c>
      <c r="BS436" s="5" t="str">
        <f>IF('Project Database'!A440="","",N('Project Database'!AL440))</f>
        <v/>
      </c>
      <c r="BT436" s="5" t="str">
        <f>IF('Project Database'!A440="","",N('Project Database'!AM440))</f>
        <v/>
      </c>
      <c r="BU436" s="5" t="str">
        <f>IF('Project Database'!A440="","",N('Project Database'!AN440))</f>
        <v/>
      </c>
      <c r="BV436" s="5" t="str">
        <f>IF('Project Database'!A440="","",N('Project Database'!AO440))</f>
        <v/>
      </c>
      <c r="BW436" s="5" t="str">
        <f>IF('Project Database'!A440="","",N('Project Database'!AP440))</f>
        <v/>
      </c>
      <c r="BX436" s="5">
        <f t="shared" si="96"/>
        <v>0</v>
      </c>
      <c r="BY436" s="5">
        <f t="shared" si="97"/>
        <v>0</v>
      </c>
    </row>
    <row r="437" spans="1:77" ht="15" customHeight="1" x14ac:dyDescent="0.3">
      <c r="A437" s="66">
        <f>'Project Database'!A441</f>
        <v>0</v>
      </c>
      <c r="B437" s="66">
        <f>'Project Database'!B441</f>
        <v>0</v>
      </c>
      <c r="C437" s="66">
        <f>'Project Database'!G441</f>
        <v>0</v>
      </c>
      <c r="D437" s="66">
        <f>'Project Database'!H441</f>
        <v>0</v>
      </c>
      <c r="E437" s="66">
        <f>'Project Database'!I441</f>
        <v>0</v>
      </c>
      <c r="F437" s="66">
        <f>'Project Database'!J441</f>
        <v>0</v>
      </c>
      <c r="G437" s="66">
        <f>'Project Database'!K441</f>
        <v>0</v>
      </c>
      <c r="H437" s="66">
        <f>'Project Database'!L441</f>
        <v>0</v>
      </c>
      <c r="I437" s="66">
        <f>'Project Database'!M441</f>
        <v>0</v>
      </c>
      <c r="J437" s="66">
        <f>'Project Database'!N441</f>
        <v>0</v>
      </c>
      <c r="K437" s="66">
        <f>'Project Database'!O441</f>
        <v>0</v>
      </c>
      <c r="L437" s="66">
        <f>'Project Database'!P441</f>
        <v>0</v>
      </c>
      <c r="M437" s="66">
        <f>'Project Database'!Q441</f>
        <v>0</v>
      </c>
      <c r="N437" s="66">
        <f>'Project Database'!R441</f>
        <v>0</v>
      </c>
      <c r="O437" s="66">
        <f>'Project Database'!S441</f>
        <v>0</v>
      </c>
      <c r="P437" s="66">
        <f>'Project Database'!T441</f>
        <v>0</v>
      </c>
      <c r="Q437" s="66">
        <f>'Project Database'!U441</f>
        <v>0</v>
      </c>
      <c r="R437" s="66">
        <f>'Project Database'!V441</f>
        <v>0</v>
      </c>
      <c r="S437" s="66">
        <f>'Project Database'!W441</f>
        <v>0</v>
      </c>
      <c r="T437" s="66">
        <f>'Project Database'!X441</f>
        <v>0</v>
      </c>
      <c r="U437" s="67">
        <f>'Project Database'!Y441</f>
        <v>0</v>
      </c>
      <c r="V437" s="66">
        <f>IF('Smart Search'!B13=1,IFERROR(1/'Smart Search'!H13,0),0)</f>
        <v>0</v>
      </c>
      <c r="W437" s="66">
        <f>IF('Smart Search'!B13=1,IFERROR(1/'Smart Search'!H13,0),0)</f>
        <v>0</v>
      </c>
      <c r="X437" s="66">
        <f>IF('Smart Search'!C13=1,IFERROR(1/'Smart Search'!H13,0),0)</f>
        <v>0.5</v>
      </c>
      <c r="Y437" s="66">
        <f>IF('Smart Search'!C13=1,IFERROR(1/'Smart Search'!H13,0),0)</f>
        <v>0.5</v>
      </c>
      <c r="Z437" s="66">
        <f>IF('Smart Search'!D13=1,IFERROR(1/'Smart Search'!H13,0),0)</f>
        <v>0</v>
      </c>
      <c r="AA437" s="66">
        <f>IF('Smart Search'!D13=1,IFERROR(1/'Smart Search'!H13,0),0)</f>
        <v>0</v>
      </c>
      <c r="AB437" s="66">
        <f>IF('Smart Search'!E13=1,IFERROR(1/'Smart Search'!H13,0),0)</f>
        <v>0</v>
      </c>
      <c r="AC437" s="66">
        <f>IF('Smart Search'!E13=1,IFERROR(1/'Smart Search'!H13,0),0)</f>
        <v>0</v>
      </c>
      <c r="AD437" s="66">
        <f>IF('Smart Search'!F13=1,IFERROR(1/'Smart Search'!H13,0),0)</f>
        <v>0</v>
      </c>
      <c r="AE437" s="66">
        <f>IF('Smart Search'!F13=1,IFERROR(1/'Smart Search'!H13,0),0)</f>
        <v>0</v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>0</v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>0</v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>0</v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>0</v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>0</v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>0</v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>0</v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>0</v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>0</v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>0</v>
      </c>
      <c r="AP437" s="66">
        <f t="shared" si="84"/>
        <v>0</v>
      </c>
      <c r="AQ437" s="66">
        <f t="shared" si="85"/>
        <v>0</v>
      </c>
      <c r="AR437" s="66">
        <f t="shared" si="86"/>
        <v>0</v>
      </c>
      <c r="AS437" s="66">
        <f t="shared" si="87"/>
        <v>0</v>
      </c>
      <c r="AT437" s="66">
        <f t="shared" si="88"/>
        <v>0</v>
      </c>
      <c r="AU437" s="66">
        <f t="shared" si="89"/>
        <v>0</v>
      </c>
      <c r="AV437" s="66">
        <f t="shared" si="90"/>
        <v>0</v>
      </c>
      <c r="AW437" s="66">
        <f t="shared" si="91"/>
        <v>0</v>
      </c>
      <c r="AX437" s="66">
        <f t="shared" si="92"/>
        <v>0</v>
      </c>
      <c r="AY437" s="66">
        <f t="shared" si="93"/>
        <v>0</v>
      </c>
      <c r="AZ437" s="66">
        <f>'Project Database'!Z441</f>
        <v>0</v>
      </c>
      <c r="BA437" s="66">
        <f>IF(OR(A437="",'Smart Search'!H13=0),"",MAX(0,BE437*BF437*MAX(0,1-BG437)))</f>
        <v>0</v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>0</v>
      </c>
      <c r="BC437" s="66">
        <f>IF('Smart Search'!G13=1,IFERROR(1/'Smart Search'!H13,0),0)</f>
        <v>0</v>
      </c>
      <c r="BD437" s="66">
        <f t="shared" si="94"/>
        <v>0</v>
      </c>
      <c r="BE437" s="66">
        <f t="shared" si="95"/>
        <v>0</v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>0</v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>0</v>
      </c>
      <c r="BH437" s="5" t="str">
        <f>IF(AND('Project Database'!A441&lt;&gt;"",OR('Smart Search'!$L$5="",'Smart Search'!$L$5="All",TRIM('Project Database'!D441)=TRIM('Smart Search'!$L$5)),OR(TRIM('Smart Search'!$L$6)="",TRIM('Smart Search'!$L$6)="All",ISNUMBER(SEARCH(SUBSTITUTE(SUBSTITUTE(SUBSTITUTE(TRIM('Smart Search'!$L$6),"~","~~"),"*","~*"),"?","~?"),'Project Database'!C441))),OR('Smart Search'!$L$7="",AND('Project Database'!E441&lt;&gt;"",'Project Database'!E441='Smart Search'!$L$7)),OR('Smart Search'!$L$8="",'Smart Search'!$L$8="All",TRIM('Project Database'!F441)=TRIM('Smart Search'!$L$8))),IF(BA437="","",BA437+ROW()*0.0000000001),"")</f>
        <v/>
      </c>
      <c r="BI437" s="5" t="str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 t="str">
        <f>IF('Project Database'!A441="","",N('Project Database'!AC441))</f>
        <v/>
      </c>
      <c r="BK437" s="5" t="str">
        <f>IF('Project Database'!A441="","",N('Project Database'!AD441))</f>
        <v/>
      </c>
      <c r="BL437" s="5" t="str">
        <f>IF('Project Database'!A441="","",N('Project Database'!AE441))</f>
        <v/>
      </c>
      <c r="BM437" s="5" t="str">
        <f>IF('Project Database'!A441="","",N('Project Database'!AF441))</f>
        <v/>
      </c>
      <c r="BN437" s="5" t="str">
        <f>IF('Project Database'!A441="","",N('Project Database'!AG441))</f>
        <v/>
      </c>
      <c r="BO437" s="5" t="str">
        <f>IF('Project Database'!A441="","",N('Project Database'!AH441))</f>
        <v/>
      </c>
      <c r="BP437" s="5" t="str">
        <f>IF('Project Database'!A441="","",N('Project Database'!AI441))</f>
        <v/>
      </c>
      <c r="BQ437" s="5" t="str">
        <f>IF('Project Database'!A441="","",N('Project Database'!AJ441))</f>
        <v/>
      </c>
      <c r="BR437" s="5" t="str">
        <f>IF('Project Database'!A441="","",N('Project Database'!AK441))</f>
        <v/>
      </c>
      <c r="BS437" s="5" t="str">
        <f>IF('Project Database'!A441="","",N('Project Database'!AL441))</f>
        <v/>
      </c>
      <c r="BT437" s="5" t="str">
        <f>IF('Project Database'!A441="","",N('Project Database'!AM441))</f>
        <v/>
      </c>
      <c r="BU437" s="5" t="str">
        <f>IF('Project Database'!A441="","",N('Project Database'!AN441))</f>
        <v/>
      </c>
      <c r="BV437" s="5" t="str">
        <f>IF('Project Database'!A441="","",N('Project Database'!AO441))</f>
        <v/>
      </c>
      <c r="BW437" s="5" t="str">
        <f>IF('Project Database'!A441="","",N('Project Database'!AP441))</f>
        <v/>
      </c>
      <c r="BX437" s="5">
        <f t="shared" si="96"/>
        <v>0</v>
      </c>
      <c r="BY437" s="5">
        <f t="shared" si="97"/>
        <v>0</v>
      </c>
    </row>
    <row r="438" spans="1:77" ht="15" customHeight="1" x14ac:dyDescent="0.3">
      <c r="A438" s="66">
        <f>'Project Database'!A442</f>
        <v>0</v>
      </c>
      <c r="B438" s="66">
        <f>'Project Database'!B442</f>
        <v>0</v>
      </c>
      <c r="C438" s="66">
        <f>'Project Database'!G442</f>
        <v>0</v>
      </c>
      <c r="D438" s="66">
        <f>'Project Database'!H442</f>
        <v>0</v>
      </c>
      <c r="E438" s="66">
        <f>'Project Database'!I442</f>
        <v>0</v>
      </c>
      <c r="F438" s="66">
        <f>'Project Database'!J442</f>
        <v>0</v>
      </c>
      <c r="G438" s="66">
        <f>'Project Database'!K442</f>
        <v>0</v>
      </c>
      <c r="H438" s="66">
        <f>'Project Database'!L442</f>
        <v>0</v>
      </c>
      <c r="I438" s="66">
        <f>'Project Database'!M442</f>
        <v>0</v>
      </c>
      <c r="J438" s="66">
        <f>'Project Database'!N442</f>
        <v>0</v>
      </c>
      <c r="K438" s="66">
        <f>'Project Database'!O442</f>
        <v>0</v>
      </c>
      <c r="L438" s="66">
        <f>'Project Database'!P442</f>
        <v>0</v>
      </c>
      <c r="M438" s="66">
        <f>'Project Database'!Q442</f>
        <v>0</v>
      </c>
      <c r="N438" s="66">
        <f>'Project Database'!R442</f>
        <v>0</v>
      </c>
      <c r="O438" s="66">
        <f>'Project Database'!S442</f>
        <v>0</v>
      </c>
      <c r="P438" s="66">
        <f>'Project Database'!T442</f>
        <v>0</v>
      </c>
      <c r="Q438" s="66">
        <f>'Project Database'!U442</f>
        <v>0</v>
      </c>
      <c r="R438" s="66">
        <f>'Project Database'!V442</f>
        <v>0</v>
      </c>
      <c r="S438" s="66">
        <f>'Project Database'!W442</f>
        <v>0</v>
      </c>
      <c r="T438" s="66">
        <f>'Project Database'!X442</f>
        <v>0</v>
      </c>
      <c r="U438" s="67">
        <f>'Project Database'!Y442</f>
        <v>0</v>
      </c>
      <c r="V438" s="66">
        <f>IF('Smart Search'!B13=1,IFERROR(1/'Smart Search'!H13,0),0)</f>
        <v>0</v>
      </c>
      <c r="W438" s="66">
        <f>IF('Smart Search'!B13=1,IFERROR(1/'Smart Search'!H13,0),0)</f>
        <v>0</v>
      </c>
      <c r="X438" s="66">
        <f>IF('Smart Search'!C13=1,IFERROR(1/'Smart Search'!H13,0),0)</f>
        <v>0.5</v>
      </c>
      <c r="Y438" s="66">
        <f>IF('Smart Search'!C13=1,IFERROR(1/'Smart Search'!H13,0),0)</f>
        <v>0.5</v>
      </c>
      <c r="Z438" s="66">
        <f>IF('Smart Search'!D13=1,IFERROR(1/'Smart Search'!H13,0),0)</f>
        <v>0</v>
      </c>
      <c r="AA438" s="66">
        <f>IF('Smart Search'!D13=1,IFERROR(1/'Smart Search'!H13,0),0)</f>
        <v>0</v>
      </c>
      <c r="AB438" s="66">
        <f>IF('Smart Search'!E13=1,IFERROR(1/'Smart Search'!H13,0),0)</f>
        <v>0</v>
      </c>
      <c r="AC438" s="66">
        <f>IF('Smart Search'!E13=1,IFERROR(1/'Smart Search'!H13,0),0)</f>
        <v>0</v>
      </c>
      <c r="AD438" s="66">
        <f>IF('Smart Search'!F13=1,IFERROR(1/'Smart Search'!H13,0),0)</f>
        <v>0</v>
      </c>
      <c r="AE438" s="66">
        <f>IF('Smart Search'!F13=1,IFERROR(1/'Smart Search'!H13,0),0)</f>
        <v>0</v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>0</v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>0</v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>0</v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>0</v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>0</v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>0</v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>0</v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>0</v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>0</v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>0</v>
      </c>
      <c r="AP438" s="66">
        <f t="shared" si="84"/>
        <v>0</v>
      </c>
      <c r="AQ438" s="66">
        <f t="shared" si="85"/>
        <v>0</v>
      </c>
      <c r="AR438" s="66">
        <f t="shared" si="86"/>
        <v>0</v>
      </c>
      <c r="AS438" s="66">
        <f t="shared" si="87"/>
        <v>0</v>
      </c>
      <c r="AT438" s="66">
        <f t="shared" si="88"/>
        <v>0</v>
      </c>
      <c r="AU438" s="66">
        <f t="shared" si="89"/>
        <v>0</v>
      </c>
      <c r="AV438" s="66">
        <f t="shared" si="90"/>
        <v>0</v>
      </c>
      <c r="AW438" s="66">
        <f t="shared" si="91"/>
        <v>0</v>
      </c>
      <c r="AX438" s="66">
        <f t="shared" si="92"/>
        <v>0</v>
      </c>
      <c r="AY438" s="66">
        <f t="shared" si="93"/>
        <v>0</v>
      </c>
      <c r="AZ438" s="66">
        <f>'Project Database'!Z442</f>
        <v>0</v>
      </c>
      <c r="BA438" s="66">
        <f>IF(OR(A438="",'Smart Search'!H13=0),"",MAX(0,BE438*BF438*MAX(0,1-BG438)))</f>
        <v>0</v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>0</v>
      </c>
      <c r="BC438" s="66">
        <f>IF('Smart Search'!G13=1,IFERROR(1/'Smart Search'!H13,0),0)</f>
        <v>0</v>
      </c>
      <c r="BD438" s="66">
        <f t="shared" si="94"/>
        <v>0</v>
      </c>
      <c r="BE438" s="66">
        <f t="shared" si="95"/>
        <v>0</v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>0</v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>0</v>
      </c>
      <c r="BH438" s="5" t="str">
        <f>IF(AND('Project Database'!A442&lt;&gt;"",OR('Smart Search'!$L$5="",'Smart Search'!$L$5="All",TRIM('Project Database'!D442)=TRIM('Smart Search'!$L$5)),OR(TRIM('Smart Search'!$L$6)="",TRIM('Smart Search'!$L$6)="All",ISNUMBER(SEARCH(SUBSTITUTE(SUBSTITUTE(SUBSTITUTE(TRIM('Smart Search'!$L$6),"~","~~"),"*","~*"),"?","~?"),'Project Database'!C442))),OR('Smart Search'!$L$7="",AND('Project Database'!E442&lt;&gt;"",'Project Database'!E442='Smart Search'!$L$7)),OR('Smart Search'!$L$8="",'Smart Search'!$L$8="All",TRIM('Project Database'!F442)=TRIM('Smart Search'!$L$8))),IF(BA438="","",BA438+ROW()*0.0000000001),"")</f>
        <v/>
      </c>
      <c r="BI438" s="5" t="str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 t="str">
        <f>IF('Project Database'!A442="","",N('Project Database'!AC442))</f>
        <v/>
      </c>
      <c r="BK438" s="5" t="str">
        <f>IF('Project Database'!A442="","",N('Project Database'!AD442))</f>
        <v/>
      </c>
      <c r="BL438" s="5" t="str">
        <f>IF('Project Database'!A442="","",N('Project Database'!AE442))</f>
        <v/>
      </c>
      <c r="BM438" s="5" t="str">
        <f>IF('Project Database'!A442="","",N('Project Database'!AF442))</f>
        <v/>
      </c>
      <c r="BN438" s="5" t="str">
        <f>IF('Project Database'!A442="","",N('Project Database'!AG442))</f>
        <v/>
      </c>
      <c r="BO438" s="5" t="str">
        <f>IF('Project Database'!A442="","",N('Project Database'!AH442))</f>
        <v/>
      </c>
      <c r="BP438" s="5" t="str">
        <f>IF('Project Database'!A442="","",N('Project Database'!AI442))</f>
        <v/>
      </c>
      <c r="BQ438" s="5" t="str">
        <f>IF('Project Database'!A442="","",N('Project Database'!AJ442))</f>
        <v/>
      </c>
      <c r="BR438" s="5" t="str">
        <f>IF('Project Database'!A442="","",N('Project Database'!AK442))</f>
        <v/>
      </c>
      <c r="BS438" s="5" t="str">
        <f>IF('Project Database'!A442="","",N('Project Database'!AL442))</f>
        <v/>
      </c>
      <c r="BT438" s="5" t="str">
        <f>IF('Project Database'!A442="","",N('Project Database'!AM442))</f>
        <v/>
      </c>
      <c r="BU438" s="5" t="str">
        <f>IF('Project Database'!A442="","",N('Project Database'!AN442))</f>
        <v/>
      </c>
      <c r="BV438" s="5" t="str">
        <f>IF('Project Database'!A442="","",N('Project Database'!AO442))</f>
        <v/>
      </c>
      <c r="BW438" s="5" t="str">
        <f>IF('Project Database'!A442="","",N('Project Database'!AP442))</f>
        <v/>
      </c>
      <c r="BX438" s="5">
        <f t="shared" si="96"/>
        <v>0</v>
      </c>
      <c r="BY438" s="5">
        <f t="shared" si="97"/>
        <v>0</v>
      </c>
    </row>
    <row r="439" spans="1:77" ht="15" customHeight="1" x14ac:dyDescent="0.3">
      <c r="A439" s="66">
        <f>'Project Database'!A443</f>
        <v>0</v>
      </c>
      <c r="B439" s="66">
        <f>'Project Database'!B443</f>
        <v>0</v>
      </c>
      <c r="C439" s="66">
        <f>'Project Database'!G443</f>
        <v>0</v>
      </c>
      <c r="D439" s="66">
        <f>'Project Database'!H443</f>
        <v>0</v>
      </c>
      <c r="E439" s="66">
        <f>'Project Database'!I443</f>
        <v>0</v>
      </c>
      <c r="F439" s="66">
        <f>'Project Database'!J443</f>
        <v>0</v>
      </c>
      <c r="G439" s="66">
        <f>'Project Database'!K443</f>
        <v>0</v>
      </c>
      <c r="H439" s="66">
        <f>'Project Database'!L443</f>
        <v>0</v>
      </c>
      <c r="I439" s="66">
        <f>'Project Database'!M443</f>
        <v>0</v>
      </c>
      <c r="J439" s="66">
        <f>'Project Database'!N443</f>
        <v>0</v>
      </c>
      <c r="K439" s="66">
        <f>'Project Database'!O443</f>
        <v>0</v>
      </c>
      <c r="L439" s="66">
        <f>'Project Database'!P443</f>
        <v>0</v>
      </c>
      <c r="M439" s="66">
        <f>'Project Database'!Q443</f>
        <v>0</v>
      </c>
      <c r="N439" s="66">
        <f>'Project Database'!R443</f>
        <v>0</v>
      </c>
      <c r="O439" s="66">
        <f>'Project Database'!S443</f>
        <v>0</v>
      </c>
      <c r="P439" s="66">
        <f>'Project Database'!T443</f>
        <v>0</v>
      </c>
      <c r="Q439" s="66">
        <f>'Project Database'!U443</f>
        <v>0</v>
      </c>
      <c r="R439" s="66">
        <f>'Project Database'!V443</f>
        <v>0</v>
      </c>
      <c r="S439" s="66">
        <f>'Project Database'!W443</f>
        <v>0</v>
      </c>
      <c r="T439" s="66">
        <f>'Project Database'!X443</f>
        <v>0</v>
      </c>
      <c r="U439" s="67">
        <f>'Project Database'!Y443</f>
        <v>0</v>
      </c>
      <c r="V439" s="66">
        <f>IF('Smart Search'!B13=1,IFERROR(1/'Smart Search'!H13,0),0)</f>
        <v>0</v>
      </c>
      <c r="W439" s="66">
        <f>IF('Smart Search'!B13=1,IFERROR(1/'Smart Search'!H13,0),0)</f>
        <v>0</v>
      </c>
      <c r="X439" s="66">
        <f>IF('Smart Search'!C13=1,IFERROR(1/'Smart Search'!H13,0),0)</f>
        <v>0.5</v>
      </c>
      <c r="Y439" s="66">
        <f>IF('Smart Search'!C13=1,IFERROR(1/'Smart Search'!H13,0),0)</f>
        <v>0.5</v>
      </c>
      <c r="Z439" s="66">
        <f>IF('Smart Search'!D13=1,IFERROR(1/'Smart Search'!H13,0),0)</f>
        <v>0</v>
      </c>
      <c r="AA439" s="66">
        <f>IF('Smart Search'!D13=1,IFERROR(1/'Smart Search'!H13,0),0)</f>
        <v>0</v>
      </c>
      <c r="AB439" s="66">
        <f>IF('Smart Search'!E13=1,IFERROR(1/'Smart Search'!H13,0),0)</f>
        <v>0</v>
      </c>
      <c r="AC439" s="66">
        <f>IF('Smart Search'!E13=1,IFERROR(1/'Smart Search'!H13,0),0)</f>
        <v>0</v>
      </c>
      <c r="AD439" s="66">
        <f>IF('Smart Search'!F13=1,IFERROR(1/'Smart Search'!H13,0),0)</f>
        <v>0</v>
      </c>
      <c r="AE439" s="66">
        <f>IF('Smart Search'!F13=1,IFERROR(1/'Smart Search'!H13,0),0)</f>
        <v>0</v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>0</v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>0</v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>0</v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>0</v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>0</v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>0</v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>0</v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>0</v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>0</v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>0</v>
      </c>
      <c r="AP439" s="66">
        <f t="shared" si="84"/>
        <v>0</v>
      </c>
      <c r="AQ439" s="66">
        <f t="shared" si="85"/>
        <v>0</v>
      </c>
      <c r="AR439" s="66">
        <f t="shared" si="86"/>
        <v>0</v>
      </c>
      <c r="AS439" s="66">
        <f t="shared" si="87"/>
        <v>0</v>
      </c>
      <c r="AT439" s="66">
        <f t="shared" si="88"/>
        <v>0</v>
      </c>
      <c r="AU439" s="66">
        <f t="shared" si="89"/>
        <v>0</v>
      </c>
      <c r="AV439" s="66">
        <f t="shared" si="90"/>
        <v>0</v>
      </c>
      <c r="AW439" s="66">
        <f t="shared" si="91"/>
        <v>0</v>
      </c>
      <c r="AX439" s="66">
        <f t="shared" si="92"/>
        <v>0</v>
      </c>
      <c r="AY439" s="66">
        <f t="shared" si="93"/>
        <v>0</v>
      </c>
      <c r="AZ439" s="66">
        <f>'Project Database'!Z443</f>
        <v>0</v>
      </c>
      <c r="BA439" s="66">
        <f>IF(OR(A439="",'Smart Search'!H13=0),"",MAX(0,BE439*BF439*MAX(0,1-BG439)))</f>
        <v>0</v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>0</v>
      </c>
      <c r="BC439" s="66">
        <f>IF('Smart Search'!G13=1,IFERROR(1/'Smart Search'!H13,0),0)</f>
        <v>0</v>
      </c>
      <c r="BD439" s="66">
        <f t="shared" si="94"/>
        <v>0</v>
      </c>
      <c r="BE439" s="66">
        <f t="shared" si="95"/>
        <v>0</v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>0</v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>0</v>
      </c>
      <c r="BH439" s="5" t="str">
        <f>IF(AND('Project Database'!A443&lt;&gt;"",OR('Smart Search'!$L$5="",'Smart Search'!$L$5="All",TRIM('Project Database'!D443)=TRIM('Smart Search'!$L$5)),OR(TRIM('Smart Search'!$L$6)="",TRIM('Smart Search'!$L$6)="All",ISNUMBER(SEARCH(SUBSTITUTE(SUBSTITUTE(SUBSTITUTE(TRIM('Smart Search'!$L$6),"~","~~"),"*","~*"),"?","~?"),'Project Database'!C443))),OR('Smart Search'!$L$7="",AND('Project Database'!E443&lt;&gt;"",'Project Database'!E443='Smart Search'!$L$7)),OR('Smart Search'!$L$8="",'Smart Search'!$L$8="All",TRIM('Project Database'!F443)=TRIM('Smart Search'!$L$8))),IF(BA439="","",BA439+ROW()*0.0000000001),"")</f>
        <v/>
      </c>
      <c r="BI439" s="5" t="str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 t="str">
        <f>IF('Project Database'!A443="","",N('Project Database'!AC443))</f>
        <v/>
      </c>
      <c r="BK439" s="5" t="str">
        <f>IF('Project Database'!A443="","",N('Project Database'!AD443))</f>
        <v/>
      </c>
      <c r="BL439" s="5" t="str">
        <f>IF('Project Database'!A443="","",N('Project Database'!AE443))</f>
        <v/>
      </c>
      <c r="BM439" s="5" t="str">
        <f>IF('Project Database'!A443="","",N('Project Database'!AF443))</f>
        <v/>
      </c>
      <c r="BN439" s="5" t="str">
        <f>IF('Project Database'!A443="","",N('Project Database'!AG443))</f>
        <v/>
      </c>
      <c r="BO439" s="5" t="str">
        <f>IF('Project Database'!A443="","",N('Project Database'!AH443))</f>
        <v/>
      </c>
      <c r="BP439" s="5" t="str">
        <f>IF('Project Database'!A443="","",N('Project Database'!AI443))</f>
        <v/>
      </c>
      <c r="BQ439" s="5" t="str">
        <f>IF('Project Database'!A443="","",N('Project Database'!AJ443))</f>
        <v/>
      </c>
      <c r="BR439" s="5" t="str">
        <f>IF('Project Database'!A443="","",N('Project Database'!AK443))</f>
        <v/>
      </c>
      <c r="BS439" s="5" t="str">
        <f>IF('Project Database'!A443="","",N('Project Database'!AL443))</f>
        <v/>
      </c>
      <c r="BT439" s="5" t="str">
        <f>IF('Project Database'!A443="","",N('Project Database'!AM443))</f>
        <v/>
      </c>
      <c r="BU439" s="5" t="str">
        <f>IF('Project Database'!A443="","",N('Project Database'!AN443))</f>
        <v/>
      </c>
      <c r="BV439" s="5" t="str">
        <f>IF('Project Database'!A443="","",N('Project Database'!AO443))</f>
        <v/>
      </c>
      <c r="BW439" s="5" t="str">
        <f>IF('Project Database'!A443="","",N('Project Database'!AP443))</f>
        <v/>
      </c>
      <c r="BX439" s="5">
        <f t="shared" si="96"/>
        <v>0</v>
      </c>
      <c r="BY439" s="5">
        <f t="shared" si="97"/>
        <v>0</v>
      </c>
    </row>
    <row r="440" spans="1:77" ht="15" customHeight="1" x14ac:dyDescent="0.3">
      <c r="A440" s="66">
        <f>'Project Database'!A444</f>
        <v>0</v>
      </c>
      <c r="B440" s="66">
        <f>'Project Database'!B444</f>
        <v>0</v>
      </c>
      <c r="C440" s="66">
        <f>'Project Database'!G444</f>
        <v>0</v>
      </c>
      <c r="D440" s="66">
        <f>'Project Database'!H444</f>
        <v>0</v>
      </c>
      <c r="E440" s="66">
        <f>'Project Database'!I444</f>
        <v>0</v>
      </c>
      <c r="F440" s="66">
        <f>'Project Database'!J444</f>
        <v>0</v>
      </c>
      <c r="G440" s="66">
        <f>'Project Database'!K444</f>
        <v>0</v>
      </c>
      <c r="H440" s="66">
        <f>'Project Database'!L444</f>
        <v>0</v>
      </c>
      <c r="I440" s="66">
        <f>'Project Database'!M444</f>
        <v>0</v>
      </c>
      <c r="J440" s="66">
        <f>'Project Database'!N444</f>
        <v>0</v>
      </c>
      <c r="K440" s="66">
        <f>'Project Database'!O444</f>
        <v>0</v>
      </c>
      <c r="L440" s="66">
        <f>'Project Database'!P444</f>
        <v>0</v>
      </c>
      <c r="M440" s="66">
        <f>'Project Database'!Q444</f>
        <v>0</v>
      </c>
      <c r="N440" s="66">
        <f>'Project Database'!R444</f>
        <v>0</v>
      </c>
      <c r="O440" s="66">
        <f>'Project Database'!S444</f>
        <v>0</v>
      </c>
      <c r="P440" s="66">
        <f>'Project Database'!T444</f>
        <v>0</v>
      </c>
      <c r="Q440" s="66">
        <f>'Project Database'!U444</f>
        <v>0</v>
      </c>
      <c r="R440" s="66">
        <f>'Project Database'!V444</f>
        <v>0</v>
      </c>
      <c r="S440" s="66">
        <f>'Project Database'!W444</f>
        <v>0</v>
      </c>
      <c r="T440" s="66">
        <f>'Project Database'!X444</f>
        <v>0</v>
      </c>
      <c r="U440" s="67">
        <f>'Project Database'!Y444</f>
        <v>0</v>
      </c>
      <c r="V440" s="66">
        <f>IF('Smart Search'!B13=1,IFERROR(1/'Smart Search'!H13,0),0)</f>
        <v>0</v>
      </c>
      <c r="W440" s="66">
        <f>IF('Smart Search'!B13=1,IFERROR(1/'Smart Search'!H13,0),0)</f>
        <v>0</v>
      </c>
      <c r="X440" s="66">
        <f>IF('Smart Search'!C13=1,IFERROR(1/'Smart Search'!H13,0),0)</f>
        <v>0.5</v>
      </c>
      <c r="Y440" s="66">
        <f>IF('Smart Search'!C13=1,IFERROR(1/'Smart Search'!H13,0),0)</f>
        <v>0.5</v>
      </c>
      <c r="Z440" s="66">
        <f>IF('Smart Search'!D13=1,IFERROR(1/'Smart Search'!H13,0),0)</f>
        <v>0</v>
      </c>
      <c r="AA440" s="66">
        <f>IF('Smart Search'!D13=1,IFERROR(1/'Smart Search'!H13,0),0)</f>
        <v>0</v>
      </c>
      <c r="AB440" s="66">
        <f>IF('Smart Search'!E13=1,IFERROR(1/'Smart Search'!H13,0),0)</f>
        <v>0</v>
      </c>
      <c r="AC440" s="66">
        <f>IF('Smart Search'!E13=1,IFERROR(1/'Smart Search'!H13,0),0)</f>
        <v>0</v>
      </c>
      <c r="AD440" s="66">
        <f>IF('Smart Search'!F13=1,IFERROR(1/'Smart Search'!H13,0),0)</f>
        <v>0</v>
      </c>
      <c r="AE440" s="66">
        <f>IF('Smart Search'!F13=1,IFERROR(1/'Smart Search'!H13,0),0)</f>
        <v>0</v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>0</v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>0</v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>0</v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>0</v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>0</v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>0</v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>0</v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>0</v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>0</v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>0</v>
      </c>
      <c r="AP440" s="66">
        <f t="shared" si="84"/>
        <v>0</v>
      </c>
      <c r="AQ440" s="66">
        <f t="shared" si="85"/>
        <v>0</v>
      </c>
      <c r="AR440" s="66">
        <f t="shared" si="86"/>
        <v>0</v>
      </c>
      <c r="AS440" s="66">
        <f t="shared" si="87"/>
        <v>0</v>
      </c>
      <c r="AT440" s="66">
        <f t="shared" si="88"/>
        <v>0</v>
      </c>
      <c r="AU440" s="66">
        <f t="shared" si="89"/>
        <v>0</v>
      </c>
      <c r="AV440" s="66">
        <f t="shared" si="90"/>
        <v>0</v>
      </c>
      <c r="AW440" s="66">
        <f t="shared" si="91"/>
        <v>0</v>
      </c>
      <c r="AX440" s="66">
        <f t="shared" si="92"/>
        <v>0</v>
      </c>
      <c r="AY440" s="66">
        <f t="shared" si="93"/>
        <v>0</v>
      </c>
      <c r="AZ440" s="66">
        <f>'Project Database'!Z444</f>
        <v>0</v>
      </c>
      <c r="BA440" s="66">
        <f>IF(OR(A440="",'Smart Search'!H13=0),"",MAX(0,BE440*BF440*MAX(0,1-BG440)))</f>
        <v>0</v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>0</v>
      </c>
      <c r="BC440" s="66">
        <f>IF('Smart Search'!G13=1,IFERROR(1/'Smart Search'!H13,0),0)</f>
        <v>0</v>
      </c>
      <c r="BD440" s="66">
        <f t="shared" si="94"/>
        <v>0</v>
      </c>
      <c r="BE440" s="66">
        <f t="shared" si="95"/>
        <v>0</v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>0</v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>0</v>
      </c>
      <c r="BH440" s="5" t="str">
        <f>IF(AND('Project Database'!A444&lt;&gt;"",OR('Smart Search'!$L$5="",'Smart Search'!$L$5="All",TRIM('Project Database'!D444)=TRIM('Smart Search'!$L$5)),OR(TRIM('Smart Search'!$L$6)="",TRIM('Smart Search'!$L$6)="All",ISNUMBER(SEARCH(SUBSTITUTE(SUBSTITUTE(SUBSTITUTE(TRIM('Smart Search'!$L$6),"~","~~"),"*","~*"),"?","~?"),'Project Database'!C444))),OR('Smart Search'!$L$7="",AND('Project Database'!E444&lt;&gt;"",'Project Database'!E444='Smart Search'!$L$7)),OR('Smart Search'!$L$8="",'Smart Search'!$L$8="All",TRIM('Project Database'!F444)=TRIM('Smart Search'!$L$8))),IF(BA440="","",BA440+ROW()*0.0000000001),"")</f>
        <v/>
      </c>
      <c r="BI440" s="5" t="str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 t="str">
        <f>IF('Project Database'!A444="","",N('Project Database'!AC444))</f>
        <v/>
      </c>
      <c r="BK440" s="5" t="str">
        <f>IF('Project Database'!A444="","",N('Project Database'!AD444))</f>
        <v/>
      </c>
      <c r="BL440" s="5" t="str">
        <f>IF('Project Database'!A444="","",N('Project Database'!AE444))</f>
        <v/>
      </c>
      <c r="BM440" s="5" t="str">
        <f>IF('Project Database'!A444="","",N('Project Database'!AF444))</f>
        <v/>
      </c>
      <c r="BN440" s="5" t="str">
        <f>IF('Project Database'!A444="","",N('Project Database'!AG444))</f>
        <v/>
      </c>
      <c r="BO440" s="5" t="str">
        <f>IF('Project Database'!A444="","",N('Project Database'!AH444))</f>
        <v/>
      </c>
      <c r="BP440" s="5" t="str">
        <f>IF('Project Database'!A444="","",N('Project Database'!AI444))</f>
        <v/>
      </c>
      <c r="BQ440" s="5" t="str">
        <f>IF('Project Database'!A444="","",N('Project Database'!AJ444))</f>
        <v/>
      </c>
      <c r="BR440" s="5" t="str">
        <f>IF('Project Database'!A444="","",N('Project Database'!AK444))</f>
        <v/>
      </c>
      <c r="BS440" s="5" t="str">
        <f>IF('Project Database'!A444="","",N('Project Database'!AL444))</f>
        <v/>
      </c>
      <c r="BT440" s="5" t="str">
        <f>IF('Project Database'!A444="","",N('Project Database'!AM444))</f>
        <v/>
      </c>
      <c r="BU440" s="5" t="str">
        <f>IF('Project Database'!A444="","",N('Project Database'!AN444))</f>
        <v/>
      </c>
      <c r="BV440" s="5" t="str">
        <f>IF('Project Database'!A444="","",N('Project Database'!AO444))</f>
        <v/>
      </c>
      <c r="BW440" s="5" t="str">
        <f>IF('Project Database'!A444="","",N('Project Database'!AP444))</f>
        <v/>
      </c>
      <c r="BX440" s="5">
        <f t="shared" si="96"/>
        <v>0</v>
      </c>
      <c r="BY440" s="5">
        <f t="shared" si="97"/>
        <v>0</v>
      </c>
    </row>
    <row r="441" spans="1:77" ht="15" customHeight="1" x14ac:dyDescent="0.3">
      <c r="A441" s="66">
        <f>'Project Database'!A445</f>
        <v>0</v>
      </c>
      <c r="B441" s="66">
        <f>'Project Database'!B445</f>
        <v>0</v>
      </c>
      <c r="C441" s="66">
        <f>'Project Database'!G445</f>
        <v>0</v>
      </c>
      <c r="D441" s="66">
        <f>'Project Database'!H445</f>
        <v>0</v>
      </c>
      <c r="E441" s="66">
        <f>'Project Database'!I445</f>
        <v>0</v>
      </c>
      <c r="F441" s="66">
        <f>'Project Database'!J445</f>
        <v>0</v>
      </c>
      <c r="G441" s="66">
        <f>'Project Database'!K445</f>
        <v>0</v>
      </c>
      <c r="H441" s="66">
        <f>'Project Database'!L445</f>
        <v>0</v>
      </c>
      <c r="I441" s="66">
        <f>'Project Database'!M445</f>
        <v>0</v>
      </c>
      <c r="J441" s="66">
        <f>'Project Database'!N445</f>
        <v>0</v>
      </c>
      <c r="K441" s="66">
        <f>'Project Database'!O445</f>
        <v>0</v>
      </c>
      <c r="L441" s="66">
        <f>'Project Database'!P445</f>
        <v>0</v>
      </c>
      <c r="M441" s="66">
        <f>'Project Database'!Q445</f>
        <v>0</v>
      </c>
      <c r="N441" s="66">
        <f>'Project Database'!R445</f>
        <v>0</v>
      </c>
      <c r="O441" s="66">
        <f>'Project Database'!S445</f>
        <v>0</v>
      </c>
      <c r="P441" s="66">
        <f>'Project Database'!T445</f>
        <v>0</v>
      </c>
      <c r="Q441" s="66">
        <f>'Project Database'!U445</f>
        <v>0</v>
      </c>
      <c r="R441" s="66">
        <f>'Project Database'!V445</f>
        <v>0</v>
      </c>
      <c r="S441" s="66">
        <f>'Project Database'!W445</f>
        <v>0</v>
      </c>
      <c r="T441" s="66">
        <f>'Project Database'!X445</f>
        <v>0</v>
      </c>
      <c r="U441" s="67">
        <f>'Project Database'!Y445</f>
        <v>0</v>
      </c>
      <c r="V441" s="66">
        <f>IF('Smart Search'!B13=1,IFERROR(1/'Smart Search'!H13,0),0)</f>
        <v>0</v>
      </c>
      <c r="W441" s="66">
        <f>IF('Smart Search'!B13=1,IFERROR(1/'Smart Search'!H13,0),0)</f>
        <v>0</v>
      </c>
      <c r="X441" s="66">
        <f>IF('Smart Search'!C13=1,IFERROR(1/'Smart Search'!H13,0),0)</f>
        <v>0.5</v>
      </c>
      <c r="Y441" s="66">
        <f>IF('Smart Search'!C13=1,IFERROR(1/'Smart Search'!H13,0),0)</f>
        <v>0.5</v>
      </c>
      <c r="Z441" s="66">
        <f>IF('Smart Search'!D13=1,IFERROR(1/'Smart Search'!H13,0),0)</f>
        <v>0</v>
      </c>
      <c r="AA441" s="66">
        <f>IF('Smart Search'!D13=1,IFERROR(1/'Smart Search'!H13,0),0)</f>
        <v>0</v>
      </c>
      <c r="AB441" s="66">
        <f>IF('Smart Search'!E13=1,IFERROR(1/'Smart Search'!H13,0),0)</f>
        <v>0</v>
      </c>
      <c r="AC441" s="66">
        <f>IF('Smart Search'!E13=1,IFERROR(1/'Smart Search'!H13,0),0)</f>
        <v>0</v>
      </c>
      <c r="AD441" s="66">
        <f>IF('Smart Search'!F13=1,IFERROR(1/'Smart Search'!H13,0),0)</f>
        <v>0</v>
      </c>
      <c r="AE441" s="66">
        <f>IF('Smart Search'!F13=1,IFERROR(1/'Smart Search'!H13,0),0)</f>
        <v>0</v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>0</v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>0</v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>0</v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>0</v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>0</v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>0</v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>0</v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>0</v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>0</v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>0</v>
      </c>
      <c r="AP441" s="66">
        <f t="shared" si="84"/>
        <v>0</v>
      </c>
      <c r="AQ441" s="66">
        <f t="shared" si="85"/>
        <v>0</v>
      </c>
      <c r="AR441" s="66">
        <f t="shared" si="86"/>
        <v>0</v>
      </c>
      <c r="AS441" s="66">
        <f t="shared" si="87"/>
        <v>0</v>
      </c>
      <c r="AT441" s="66">
        <f t="shared" si="88"/>
        <v>0</v>
      </c>
      <c r="AU441" s="66">
        <f t="shared" si="89"/>
        <v>0</v>
      </c>
      <c r="AV441" s="66">
        <f t="shared" si="90"/>
        <v>0</v>
      </c>
      <c r="AW441" s="66">
        <f t="shared" si="91"/>
        <v>0</v>
      </c>
      <c r="AX441" s="66">
        <f t="shared" si="92"/>
        <v>0</v>
      </c>
      <c r="AY441" s="66">
        <f t="shared" si="93"/>
        <v>0</v>
      </c>
      <c r="AZ441" s="66">
        <f>'Project Database'!Z445</f>
        <v>0</v>
      </c>
      <c r="BA441" s="66">
        <f>IF(OR(A441="",'Smart Search'!H13=0),"",MAX(0,BE441*BF441*MAX(0,1-BG441)))</f>
        <v>0</v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>0</v>
      </c>
      <c r="BC441" s="66">
        <f>IF('Smart Search'!G13=1,IFERROR(1/'Smart Search'!H13,0),0)</f>
        <v>0</v>
      </c>
      <c r="BD441" s="66">
        <f t="shared" si="94"/>
        <v>0</v>
      </c>
      <c r="BE441" s="66">
        <f t="shared" si="95"/>
        <v>0</v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>0</v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>0</v>
      </c>
      <c r="BH441" s="5" t="str">
        <f>IF(AND('Project Database'!A445&lt;&gt;"",OR('Smart Search'!$L$5="",'Smart Search'!$L$5="All",TRIM('Project Database'!D445)=TRIM('Smart Search'!$L$5)),OR(TRIM('Smart Search'!$L$6)="",TRIM('Smart Search'!$L$6)="All",ISNUMBER(SEARCH(SUBSTITUTE(SUBSTITUTE(SUBSTITUTE(TRIM('Smart Search'!$L$6),"~","~~"),"*","~*"),"?","~?"),'Project Database'!C445))),OR('Smart Search'!$L$7="",AND('Project Database'!E445&lt;&gt;"",'Project Database'!E445='Smart Search'!$L$7)),OR('Smart Search'!$L$8="",'Smart Search'!$L$8="All",TRIM('Project Database'!F445)=TRIM('Smart Search'!$L$8))),IF(BA441="","",BA441+ROW()*0.0000000001),"")</f>
        <v/>
      </c>
      <c r="BI441" s="5" t="str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 t="str">
        <f>IF('Project Database'!A445="","",N('Project Database'!AC445))</f>
        <v/>
      </c>
      <c r="BK441" s="5" t="str">
        <f>IF('Project Database'!A445="","",N('Project Database'!AD445))</f>
        <v/>
      </c>
      <c r="BL441" s="5" t="str">
        <f>IF('Project Database'!A445="","",N('Project Database'!AE445))</f>
        <v/>
      </c>
      <c r="BM441" s="5" t="str">
        <f>IF('Project Database'!A445="","",N('Project Database'!AF445))</f>
        <v/>
      </c>
      <c r="BN441" s="5" t="str">
        <f>IF('Project Database'!A445="","",N('Project Database'!AG445))</f>
        <v/>
      </c>
      <c r="BO441" s="5" t="str">
        <f>IF('Project Database'!A445="","",N('Project Database'!AH445))</f>
        <v/>
      </c>
      <c r="BP441" s="5" t="str">
        <f>IF('Project Database'!A445="","",N('Project Database'!AI445))</f>
        <v/>
      </c>
      <c r="BQ441" s="5" t="str">
        <f>IF('Project Database'!A445="","",N('Project Database'!AJ445))</f>
        <v/>
      </c>
      <c r="BR441" s="5" t="str">
        <f>IF('Project Database'!A445="","",N('Project Database'!AK445))</f>
        <v/>
      </c>
      <c r="BS441" s="5" t="str">
        <f>IF('Project Database'!A445="","",N('Project Database'!AL445))</f>
        <v/>
      </c>
      <c r="BT441" s="5" t="str">
        <f>IF('Project Database'!A445="","",N('Project Database'!AM445))</f>
        <v/>
      </c>
      <c r="BU441" s="5" t="str">
        <f>IF('Project Database'!A445="","",N('Project Database'!AN445))</f>
        <v/>
      </c>
      <c r="BV441" s="5" t="str">
        <f>IF('Project Database'!A445="","",N('Project Database'!AO445))</f>
        <v/>
      </c>
      <c r="BW441" s="5" t="str">
        <f>IF('Project Database'!A445="","",N('Project Database'!AP445))</f>
        <v/>
      </c>
      <c r="BX441" s="5">
        <f t="shared" si="96"/>
        <v>0</v>
      </c>
      <c r="BY441" s="5">
        <f t="shared" si="97"/>
        <v>0</v>
      </c>
    </row>
    <row r="442" spans="1:77" ht="15" customHeight="1" x14ac:dyDescent="0.3">
      <c r="A442" s="66">
        <f>'Project Database'!A446</f>
        <v>0</v>
      </c>
      <c r="B442" s="66">
        <f>'Project Database'!B446</f>
        <v>0</v>
      </c>
      <c r="C442" s="66">
        <f>'Project Database'!G446</f>
        <v>0</v>
      </c>
      <c r="D442" s="66">
        <f>'Project Database'!H446</f>
        <v>0</v>
      </c>
      <c r="E442" s="66">
        <f>'Project Database'!I446</f>
        <v>0</v>
      </c>
      <c r="F442" s="66">
        <f>'Project Database'!J446</f>
        <v>0</v>
      </c>
      <c r="G442" s="66">
        <f>'Project Database'!K446</f>
        <v>0</v>
      </c>
      <c r="H442" s="66">
        <f>'Project Database'!L446</f>
        <v>0</v>
      </c>
      <c r="I442" s="66">
        <f>'Project Database'!M446</f>
        <v>0</v>
      </c>
      <c r="J442" s="66">
        <f>'Project Database'!N446</f>
        <v>0</v>
      </c>
      <c r="K442" s="66">
        <f>'Project Database'!O446</f>
        <v>0</v>
      </c>
      <c r="L442" s="66">
        <f>'Project Database'!P446</f>
        <v>0</v>
      </c>
      <c r="M442" s="66">
        <f>'Project Database'!Q446</f>
        <v>0</v>
      </c>
      <c r="N442" s="66">
        <f>'Project Database'!R446</f>
        <v>0</v>
      </c>
      <c r="O442" s="66">
        <f>'Project Database'!S446</f>
        <v>0</v>
      </c>
      <c r="P442" s="66">
        <f>'Project Database'!T446</f>
        <v>0</v>
      </c>
      <c r="Q442" s="66">
        <f>'Project Database'!U446</f>
        <v>0</v>
      </c>
      <c r="R442" s="66">
        <f>'Project Database'!V446</f>
        <v>0</v>
      </c>
      <c r="S442" s="66">
        <f>'Project Database'!W446</f>
        <v>0</v>
      </c>
      <c r="T442" s="66">
        <f>'Project Database'!X446</f>
        <v>0</v>
      </c>
      <c r="U442" s="67">
        <f>'Project Database'!Y446</f>
        <v>0</v>
      </c>
      <c r="V442" s="66">
        <f>IF('Smart Search'!B13=1,IFERROR(1/'Smart Search'!H13,0),0)</f>
        <v>0</v>
      </c>
      <c r="W442" s="66">
        <f>IF('Smart Search'!B13=1,IFERROR(1/'Smart Search'!H13,0),0)</f>
        <v>0</v>
      </c>
      <c r="X442" s="66">
        <f>IF('Smart Search'!C13=1,IFERROR(1/'Smart Search'!H13,0),0)</f>
        <v>0.5</v>
      </c>
      <c r="Y442" s="66">
        <f>IF('Smart Search'!C13=1,IFERROR(1/'Smart Search'!H13,0),0)</f>
        <v>0.5</v>
      </c>
      <c r="Z442" s="66">
        <f>IF('Smart Search'!D13=1,IFERROR(1/'Smart Search'!H13,0),0)</f>
        <v>0</v>
      </c>
      <c r="AA442" s="66">
        <f>IF('Smart Search'!D13=1,IFERROR(1/'Smart Search'!H13,0),0)</f>
        <v>0</v>
      </c>
      <c r="AB442" s="66">
        <f>IF('Smart Search'!E13=1,IFERROR(1/'Smart Search'!H13,0),0)</f>
        <v>0</v>
      </c>
      <c r="AC442" s="66">
        <f>IF('Smart Search'!E13=1,IFERROR(1/'Smart Search'!H13,0),0)</f>
        <v>0</v>
      </c>
      <c r="AD442" s="66">
        <f>IF('Smart Search'!F13=1,IFERROR(1/'Smart Search'!H13,0),0)</f>
        <v>0</v>
      </c>
      <c r="AE442" s="66">
        <f>IF('Smart Search'!F13=1,IFERROR(1/'Smart Search'!H13,0),0)</f>
        <v>0</v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>0</v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>0</v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>0</v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>0</v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>0</v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>0</v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>0</v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>0</v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>0</v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>0</v>
      </c>
      <c r="AP442" s="66">
        <f t="shared" si="84"/>
        <v>0</v>
      </c>
      <c r="AQ442" s="66">
        <f t="shared" si="85"/>
        <v>0</v>
      </c>
      <c r="AR442" s="66">
        <f t="shared" si="86"/>
        <v>0</v>
      </c>
      <c r="AS442" s="66">
        <f t="shared" si="87"/>
        <v>0</v>
      </c>
      <c r="AT442" s="66">
        <f t="shared" si="88"/>
        <v>0</v>
      </c>
      <c r="AU442" s="66">
        <f t="shared" si="89"/>
        <v>0</v>
      </c>
      <c r="AV442" s="66">
        <f t="shared" si="90"/>
        <v>0</v>
      </c>
      <c r="AW442" s="66">
        <f t="shared" si="91"/>
        <v>0</v>
      </c>
      <c r="AX442" s="66">
        <f t="shared" si="92"/>
        <v>0</v>
      </c>
      <c r="AY442" s="66">
        <f t="shared" si="93"/>
        <v>0</v>
      </c>
      <c r="AZ442" s="66">
        <f>'Project Database'!Z446</f>
        <v>0</v>
      </c>
      <c r="BA442" s="66">
        <f>IF(OR(A442="",'Smart Search'!H13=0),"",MAX(0,BE442*BF442*MAX(0,1-BG442)))</f>
        <v>0</v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>0</v>
      </c>
      <c r="BC442" s="66">
        <f>IF('Smart Search'!G13=1,IFERROR(1/'Smart Search'!H13,0),0)</f>
        <v>0</v>
      </c>
      <c r="BD442" s="66">
        <f t="shared" si="94"/>
        <v>0</v>
      </c>
      <c r="BE442" s="66">
        <f t="shared" si="95"/>
        <v>0</v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>0</v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>0</v>
      </c>
      <c r="BH442" s="5" t="str">
        <f>IF(AND('Project Database'!A446&lt;&gt;"",OR('Smart Search'!$L$5="",'Smart Search'!$L$5="All",TRIM('Project Database'!D446)=TRIM('Smart Search'!$L$5)),OR(TRIM('Smart Search'!$L$6)="",TRIM('Smart Search'!$L$6)="All",ISNUMBER(SEARCH(SUBSTITUTE(SUBSTITUTE(SUBSTITUTE(TRIM('Smart Search'!$L$6),"~","~~"),"*","~*"),"?","~?"),'Project Database'!C446))),OR('Smart Search'!$L$7="",AND('Project Database'!E446&lt;&gt;"",'Project Database'!E446='Smart Search'!$L$7)),OR('Smart Search'!$L$8="",'Smart Search'!$L$8="All",TRIM('Project Database'!F446)=TRIM('Smart Search'!$L$8))),IF(BA442="","",BA442+ROW()*0.0000000001),"")</f>
        <v/>
      </c>
      <c r="BI442" s="5" t="str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 t="str">
        <f>IF('Project Database'!A446="","",N('Project Database'!AC446))</f>
        <v/>
      </c>
      <c r="BK442" s="5" t="str">
        <f>IF('Project Database'!A446="","",N('Project Database'!AD446))</f>
        <v/>
      </c>
      <c r="BL442" s="5" t="str">
        <f>IF('Project Database'!A446="","",N('Project Database'!AE446))</f>
        <v/>
      </c>
      <c r="BM442" s="5" t="str">
        <f>IF('Project Database'!A446="","",N('Project Database'!AF446))</f>
        <v/>
      </c>
      <c r="BN442" s="5" t="str">
        <f>IF('Project Database'!A446="","",N('Project Database'!AG446))</f>
        <v/>
      </c>
      <c r="BO442" s="5" t="str">
        <f>IF('Project Database'!A446="","",N('Project Database'!AH446))</f>
        <v/>
      </c>
      <c r="BP442" s="5" t="str">
        <f>IF('Project Database'!A446="","",N('Project Database'!AI446))</f>
        <v/>
      </c>
      <c r="BQ442" s="5" t="str">
        <f>IF('Project Database'!A446="","",N('Project Database'!AJ446))</f>
        <v/>
      </c>
      <c r="BR442" s="5" t="str">
        <f>IF('Project Database'!A446="","",N('Project Database'!AK446))</f>
        <v/>
      </c>
      <c r="BS442" s="5" t="str">
        <f>IF('Project Database'!A446="","",N('Project Database'!AL446))</f>
        <v/>
      </c>
      <c r="BT442" s="5" t="str">
        <f>IF('Project Database'!A446="","",N('Project Database'!AM446))</f>
        <v/>
      </c>
      <c r="BU442" s="5" t="str">
        <f>IF('Project Database'!A446="","",N('Project Database'!AN446))</f>
        <v/>
      </c>
      <c r="BV442" s="5" t="str">
        <f>IF('Project Database'!A446="","",N('Project Database'!AO446))</f>
        <v/>
      </c>
      <c r="BW442" s="5" t="str">
        <f>IF('Project Database'!A446="","",N('Project Database'!AP446))</f>
        <v/>
      </c>
      <c r="BX442" s="5">
        <f t="shared" si="96"/>
        <v>0</v>
      </c>
      <c r="BY442" s="5">
        <f t="shared" si="97"/>
        <v>0</v>
      </c>
    </row>
    <row r="443" spans="1:77" ht="15" customHeight="1" x14ac:dyDescent="0.3">
      <c r="A443" s="66">
        <f>'Project Database'!A447</f>
        <v>0</v>
      </c>
      <c r="B443" s="66">
        <f>'Project Database'!B447</f>
        <v>0</v>
      </c>
      <c r="C443" s="66">
        <f>'Project Database'!G447</f>
        <v>0</v>
      </c>
      <c r="D443" s="66">
        <f>'Project Database'!H447</f>
        <v>0</v>
      </c>
      <c r="E443" s="66">
        <f>'Project Database'!I447</f>
        <v>0</v>
      </c>
      <c r="F443" s="66">
        <f>'Project Database'!J447</f>
        <v>0</v>
      </c>
      <c r="G443" s="66">
        <f>'Project Database'!K447</f>
        <v>0</v>
      </c>
      <c r="H443" s="66">
        <f>'Project Database'!L447</f>
        <v>0</v>
      </c>
      <c r="I443" s="66">
        <f>'Project Database'!M447</f>
        <v>0</v>
      </c>
      <c r="J443" s="66">
        <f>'Project Database'!N447</f>
        <v>0</v>
      </c>
      <c r="K443" s="66">
        <f>'Project Database'!O447</f>
        <v>0</v>
      </c>
      <c r="L443" s="66">
        <f>'Project Database'!P447</f>
        <v>0</v>
      </c>
      <c r="M443" s="66">
        <f>'Project Database'!Q447</f>
        <v>0</v>
      </c>
      <c r="N443" s="66">
        <f>'Project Database'!R447</f>
        <v>0</v>
      </c>
      <c r="O443" s="66">
        <f>'Project Database'!S447</f>
        <v>0</v>
      </c>
      <c r="P443" s="66">
        <f>'Project Database'!T447</f>
        <v>0</v>
      </c>
      <c r="Q443" s="66">
        <f>'Project Database'!U447</f>
        <v>0</v>
      </c>
      <c r="R443" s="66">
        <f>'Project Database'!V447</f>
        <v>0</v>
      </c>
      <c r="S443" s="66">
        <f>'Project Database'!W447</f>
        <v>0</v>
      </c>
      <c r="T443" s="66">
        <f>'Project Database'!X447</f>
        <v>0</v>
      </c>
      <c r="U443" s="67">
        <f>'Project Database'!Y447</f>
        <v>0</v>
      </c>
      <c r="V443" s="66">
        <f>IF('Smart Search'!B13=1,IFERROR(1/'Smart Search'!H13,0),0)</f>
        <v>0</v>
      </c>
      <c r="W443" s="66">
        <f>IF('Smart Search'!B13=1,IFERROR(1/'Smart Search'!H13,0),0)</f>
        <v>0</v>
      </c>
      <c r="X443" s="66">
        <f>IF('Smart Search'!C13=1,IFERROR(1/'Smart Search'!H13,0),0)</f>
        <v>0.5</v>
      </c>
      <c r="Y443" s="66">
        <f>IF('Smart Search'!C13=1,IFERROR(1/'Smart Search'!H13,0),0)</f>
        <v>0.5</v>
      </c>
      <c r="Z443" s="66">
        <f>IF('Smart Search'!D13=1,IFERROR(1/'Smart Search'!H13,0),0)</f>
        <v>0</v>
      </c>
      <c r="AA443" s="66">
        <f>IF('Smart Search'!D13=1,IFERROR(1/'Smart Search'!H13,0),0)</f>
        <v>0</v>
      </c>
      <c r="AB443" s="66">
        <f>IF('Smart Search'!E13=1,IFERROR(1/'Smart Search'!H13,0),0)</f>
        <v>0</v>
      </c>
      <c r="AC443" s="66">
        <f>IF('Smart Search'!E13=1,IFERROR(1/'Smart Search'!H13,0),0)</f>
        <v>0</v>
      </c>
      <c r="AD443" s="66">
        <f>IF('Smart Search'!F13=1,IFERROR(1/'Smart Search'!H13,0),0)</f>
        <v>0</v>
      </c>
      <c r="AE443" s="66">
        <f>IF('Smart Search'!F13=1,IFERROR(1/'Smart Search'!H13,0),0)</f>
        <v>0</v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>0</v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>0</v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>0</v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>0</v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>0</v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>0</v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>0</v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>0</v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>0</v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>0</v>
      </c>
      <c r="AP443" s="66">
        <f t="shared" si="84"/>
        <v>0</v>
      </c>
      <c r="AQ443" s="66">
        <f t="shared" si="85"/>
        <v>0</v>
      </c>
      <c r="AR443" s="66">
        <f t="shared" si="86"/>
        <v>0</v>
      </c>
      <c r="AS443" s="66">
        <f t="shared" si="87"/>
        <v>0</v>
      </c>
      <c r="AT443" s="66">
        <f t="shared" si="88"/>
        <v>0</v>
      </c>
      <c r="AU443" s="66">
        <f t="shared" si="89"/>
        <v>0</v>
      </c>
      <c r="AV443" s="66">
        <f t="shared" si="90"/>
        <v>0</v>
      </c>
      <c r="AW443" s="66">
        <f t="shared" si="91"/>
        <v>0</v>
      </c>
      <c r="AX443" s="66">
        <f t="shared" si="92"/>
        <v>0</v>
      </c>
      <c r="AY443" s="66">
        <f t="shared" si="93"/>
        <v>0</v>
      </c>
      <c r="AZ443" s="66">
        <f>'Project Database'!Z447</f>
        <v>0</v>
      </c>
      <c r="BA443" s="66">
        <f>IF(OR(A443="",'Smart Search'!H13=0),"",MAX(0,BE443*BF443*MAX(0,1-BG443)))</f>
        <v>0</v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>0</v>
      </c>
      <c r="BC443" s="66">
        <f>IF('Smart Search'!G13=1,IFERROR(1/'Smart Search'!H13,0),0)</f>
        <v>0</v>
      </c>
      <c r="BD443" s="66">
        <f t="shared" si="94"/>
        <v>0</v>
      </c>
      <c r="BE443" s="66">
        <f t="shared" si="95"/>
        <v>0</v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>0</v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>0</v>
      </c>
      <c r="BH443" s="5" t="str">
        <f>IF(AND('Project Database'!A447&lt;&gt;"",OR('Smart Search'!$L$5="",'Smart Search'!$L$5="All",TRIM('Project Database'!D447)=TRIM('Smart Search'!$L$5)),OR(TRIM('Smart Search'!$L$6)="",TRIM('Smart Search'!$L$6)="All",ISNUMBER(SEARCH(SUBSTITUTE(SUBSTITUTE(SUBSTITUTE(TRIM('Smart Search'!$L$6),"~","~~"),"*","~*"),"?","~?"),'Project Database'!C447))),OR('Smart Search'!$L$7="",AND('Project Database'!E447&lt;&gt;"",'Project Database'!E447='Smart Search'!$L$7)),OR('Smart Search'!$L$8="",'Smart Search'!$L$8="All",TRIM('Project Database'!F447)=TRIM('Smart Search'!$L$8))),IF(BA443="","",BA443+ROW()*0.0000000001),"")</f>
        <v/>
      </c>
      <c r="BI443" s="5" t="str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 t="str">
        <f>IF('Project Database'!A447="","",N('Project Database'!AC447))</f>
        <v/>
      </c>
      <c r="BK443" s="5" t="str">
        <f>IF('Project Database'!A447="","",N('Project Database'!AD447))</f>
        <v/>
      </c>
      <c r="BL443" s="5" t="str">
        <f>IF('Project Database'!A447="","",N('Project Database'!AE447))</f>
        <v/>
      </c>
      <c r="BM443" s="5" t="str">
        <f>IF('Project Database'!A447="","",N('Project Database'!AF447))</f>
        <v/>
      </c>
      <c r="BN443" s="5" t="str">
        <f>IF('Project Database'!A447="","",N('Project Database'!AG447))</f>
        <v/>
      </c>
      <c r="BO443" s="5" t="str">
        <f>IF('Project Database'!A447="","",N('Project Database'!AH447))</f>
        <v/>
      </c>
      <c r="BP443" s="5" t="str">
        <f>IF('Project Database'!A447="","",N('Project Database'!AI447))</f>
        <v/>
      </c>
      <c r="BQ443" s="5" t="str">
        <f>IF('Project Database'!A447="","",N('Project Database'!AJ447))</f>
        <v/>
      </c>
      <c r="BR443" s="5" t="str">
        <f>IF('Project Database'!A447="","",N('Project Database'!AK447))</f>
        <v/>
      </c>
      <c r="BS443" s="5" t="str">
        <f>IF('Project Database'!A447="","",N('Project Database'!AL447))</f>
        <v/>
      </c>
      <c r="BT443" s="5" t="str">
        <f>IF('Project Database'!A447="","",N('Project Database'!AM447))</f>
        <v/>
      </c>
      <c r="BU443" s="5" t="str">
        <f>IF('Project Database'!A447="","",N('Project Database'!AN447))</f>
        <v/>
      </c>
      <c r="BV443" s="5" t="str">
        <f>IF('Project Database'!A447="","",N('Project Database'!AO447))</f>
        <v/>
      </c>
      <c r="BW443" s="5" t="str">
        <f>IF('Project Database'!A447="","",N('Project Database'!AP447))</f>
        <v/>
      </c>
      <c r="BX443" s="5">
        <f t="shared" si="96"/>
        <v>0</v>
      </c>
      <c r="BY443" s="5">
        <f t="shared" si="97"/>
        <v>0</v>
      </c>
    </row>
    <row r="444" spans="1:77" ht="15" customHeight="1" x14ac:dyDescent="0.3">
      <c r="A444" s="66">
        <f>'Project Database'!A448</f>
        <v>0</v>
      </c>
      <c r="B444" s="66">
        <f>'Project Database'!B448</f>
        <v>0</v>
      </c>
      <c r="C444" s="66">
        <f>'Project Database'!G448</f>
        <v>0</v>
      </c>
      <c r="D444" s="66">
        <f>'Project Database'!H448</f>
        <v>0</v>
      </c>
      <c r="E444" s="66">
        <f>'Project Database'!I448</f>
        <v>0</v>
      </c>
      <c r="F444" s="66">
        <f>'Project Database'!J448</f>
        <v>0</v>
      </c>
      <c r="G444" s="66">
        <f>'Project Database'!K448</f>
        <v>0</v>
      </c>
      <c r="H444" s="66">
        <f>'Project Database'!L448</f>
        <v>0</v>
      </c>
      <c r="I444" s="66">
        <f>'Project Database'!M448</f>
        <v>0</v>
      </c>
      <c r="J444" s="66">
        <f>'Project Database'!N448</f>
        <v>0</v>
      </c>
      <c r="K444" s="66">
        <f>'Project Database'!O448</f>
        <v>0</v>
      </c>
      <c r="L444" s="66">
        <f>'Project Database'!P448</f>
        <v>0</v>
      </c>
      <c r="M444" s="66">
        <f>'Project Database'!Q448</f>
        <v>0</v>
      </c>
      <c r="N444" s="66">
        <f>'Project Database'!R448</f>
        <v>0</v>
      </c>
      <c r="O444" s="66">
        <f>'Project Database'!S448</f>
        <v>0</v>
      </c>
      <c r="P444" s="66">
        <f>'Project Database'!T448</f>
        <v>0</v>
      </c>
      <c r="Q444" s="66">
        <f>'Project Database'!U448</f>
        <v>0</v>
      </c>
      <c r="R444" s="66">
        <f>'Project Database'!V448</f>
        <v>0</v>
      </c>
      <c r="S444" s="66">
        <f>'Project Database'!W448</f>
        <v>0</v>
      </c>
      <c r="T444" s="66">
        <f>'Project Database'!X448</f>
        <v>0</v>
      </c>
      <c r="U444" s="67">
        <f>'Project Database'!Y448</f>
        <v>0</v>
      </c>
      <c r="V444" s="66">
        <f>IF('Smart Search'!B13=1,IFERROR(1/'Smart Search'!H13,0),0)</f>
        <v>0</v>
      </c>
      <c r="W444" s="66">
        <f>IF('Smart Search'!B13=1,IFERROR(1/'Smart Search'!H13,0),0)</f>
        <v>0</v>
      </c>
      <c r="X444" s="66">
        <f>IF('Smart Search'!C13=1,IFERROR(1/'Smart Search'!H13,0),0)</f>
        <v>0.5</v>
      </c>
      <c r="Y444" s="66">
        <f>IF('Smart Search'!C13=1,IFERROR(1/'Smart Search'!H13,0),0)</f>
        <v>0.5</v>
      </c>
      <c r="Z444" s="66">
        <f>IF('Smart Search'!D13=1,IFERROR(1/'Smart Search'!H13,0),0)</f>
        <v>0</v>
      </c>
      <c r="AA444" s="66">
        <f>IF('Smart Search'!D13=1,IFERROR(1/'Smart Search'!H13,0),0)</f>
        <v>0</v>
      </c>
      <c r="AB444" s="66">
        <f>IF('Smart Search'!E13=1,IFERROR(1/'Smart Search'!H13,0),0)</f>
        <v>0</v>
      </c>
      <c r="AC444" s="66">
        <f>IF('Smart Search'!E13=1,IFERROR(1/'Smart Search'!H13,0),0)</f>
        <v>0</v>
      </c>
      <c r="AD444" s="66">
        <f>IF('Smart Search'!F13=1,IFERROR(1/'Smart Search'!H13,0),0)</f>
        <v>0</v>
      </c>
      <c r="AE444" s="66">
        <f>IF('Smart Search'!F13=1,IFERROR(1/'Smart Search'!H13,0),0)</f>
        <v>0</v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>0</v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>0</v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>0</v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>0</v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>0</v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>0</v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>0</v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>0</v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>0</v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>0</v>
      </c>
      <c r="AP444" s="66">
        <f t="shared" si="84"/>
        <v>0</v>
      </c>
      <c r="AQ444" s="66">
        <f t="shared" si="85"/>
        <v>0</v>
      </c>
      <c r="AR444" s="66">
        <f t="shared" si="86"/>
        <v>0</v>
      </c>
      <c r="AS444" s="66">
        <f t="shared" si="87"/>
        <v>0</v>
      </c>
      <c r="AT444" s="66">
        <f t="shared" si="88"/>
        <v>0</v>
      </c>
      <c r="AU444" s="66">
        <f t="shared" si="89"/>
        <v>0</v>
      </c>
      <c r="AV444" s="66">
        <f t="shared" si="90"/>
        <v>0</v>
      </c>
      <c r="AW444" s="66">
        <f t="shared" si="91"/>
        <v>0</v>
      </c>
      <c r="AX444" s="66">
        <f t="shared" si="92"/>
        <v>0</v>
      </c>
      <c r="AY444" s="66">
        <f t="shared" si="93"/>
        <v>0</v>
      </c>
      <c r="AZ444" s="66">
        <f>'Project Database'!Z448</f>
        <v>0</v>
      </c>
      <c r="BA444" s="66">
        <f>IF(OR(A444="",'Smart Search'!H13=0),"",MAX(0,BE444*BF444*MAX(0,1-BG444)))</f>
        <v>0</v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>0</v>
      </c>
      <c r="BC444" s="66">
        <f>IF('Smart Search'!G13=1,IFERROR(1/'Smart Search'!H13,0),0)</f>
        <v>0</v>
      </c>
      <c r="BD444" s="66">
        <f t="shared" si="94"/>
        <v>0</v>
      </c>
      <c r="BE444" s="66">
        <f t="shared" si="95"/>
        <v>0</v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>0</v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>0</v>
      </c>
      <c r="BH444" s="5" t="str">
        <f>IF(AND('Project Database'!A448&lt;&gt;"",OR('Smart Search'!$L$5="",'Smart Search'!$L$5="All",TRIM('Project Database'!D448)=TRIM('Smart Search'!$L$5)),OR(TRIM('Smart Search'!$L$6)="",TRIM('Smart Search'!$L$6)="All",ISNUMBER(SEARCH(SUBSTITUTE(SUBSTITUTE(SUBSTITUTE(TRIM('Smart Search'!$L$6),"~","~~"),"*","~*"),"?","~?"),'Project Database'!C448))),OR('Smart Search'!$L$7="",AND('Project Database'!E448&lt;&gt;"",'Project Database'!E448='Smart Search'!$L$7)),OR('Smart Search'!$L$8="",'Smart Search'!$L$8="All",TRIM('Project Database'!F448)=TRIM('Smart Search'!$L$8))),IF(BA444="","",BA444+ROW()*0.0000000001),"")</f>
        <v/>
      </c>
      <c r="BI444" s="5" t="str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 t="str">
        <f>IF('Project Database'!A448="","",N('Project Database'!AC448))</f>
        <v/>
      </c>
      <c r="BK444" s="5" t="str">
        <f>IF('Project Database'!A448="","",N('Project Database'!AD448))</f>
        <v/>
      </c>
      <c r="BL444" s="5" t="str">
        <f>IF('Project Database'!A448="","",N('Project Database'!AE448))</f>
        <v/>
      </c>
      <c r="BM444" s="5" t="str">
        <f>IF('Project Database'!A448="","",N('Project Database'!AF448))</f>
        <v/>
      </c>
      <c r="BN444" s="5" t="str">
        <f>IF('Project Database'!A448="","",N('Project Database'!AG448))</f>
        <v/>
      </c>
      <c r="BO444" s="5" t="str">
        <f>IF('Project Database'!A448="","",N('Project Database'!AH448))</f>
        <v/>
      </c>
      <c r="BP444" s="5" t="str">
        <f>IF('Project Database'!A448="","",N('Project Database'!AI448))</f>
        <v/>
      </c>
      <c r="BQ444" s="5" t="str">
        <f>IF('Project Database'!A448="","",N('Project Database'!AJ448))</f>
        <v/>
      </c>
      <c r="BR444" s="5" t="str">
        <f>IF('Project Database'!A448="","",N('Project Database'!AK448))</f>
        <v/>
      </c>
      <c r="BS444" s="5" t="str">
        <f>IF('Project Database'!A448="","",N('Project Database'!AL448))</f>
        <v/>
      </c>
      <c r="BT444" s="5" t="str">
        <f>IF('Project Database'!A448="","",N('Project Database'!AM448))</f>
        <v/>
      </c>
      <c r="BU444" s="5" t="str">
        <f>IF('Project Database'!A448="","",N('Project Database'!AN448))</f>
        <v/>
      </c>
      <c r="BV444" s="5" t="str">
        <f>IF('Project Database'!A448="","",N('Project Database'!AO448))</f>
        <v/>
      </c>
      <c r="BW444" s="5" t="str">
        <f>IF('Project Database'!A448="","",N('Project Database'!AP448))</f>
        <v/>
      </c>
      <c r="BX444" s="5">
        <f t="shared" si="96"/>
        <v>0</v>
      </c>
      <c r="BY444" s="5">
        <f t="shared" si="97"/>
        <v>0</v>
      </c>
    </row>
    <row r="445" spans="1:77" ht="15" customHeight="1" x14ac:dyDescent="0.3">
      <c r="A445" s="66">
        <f>'Project Database'!A449</f>
        <v>0</v>
      </c>
      <c r="B445" s="66">
        <f>'Project Database'!B449</f>
        <v>0</v>
      </c>
      <c r="C445" s="66">
        <f>'Project Database'!G449</f>
        <v>0</v>
      </c>
      <c r="D445" s="66">
        <f>'Project Database'!H449</f>
        <v>0</v>
      </c>
      <c r="E445" s="66">
        <f>'Project Database'!I449</f>
        <v>0</v>
      </c>
      <c r="F445" s="66">
        <f>'Project Database'!J449</f>
        <v>0</v>
      </c>
      <c r="G445" s="66">
        <f>'Project Database'!K449</f>
        <v>0</v>
      </c>
      <c r="H445" s="66">
        <f>'Project Database'!L449</f>
        <v>0</v>
      </c>
      <c r="I445" s="66">
        <f>'Project Database'!M449</f>
        <v>0</v>
      </c>
      <c r="J445" s="66">
        <f>'Project Database'!N449</f>
        <v>0</v>
      </c>
      <c r="K445" s="66">
        <f>'Project Database'!O449</f>
        <v>0</v>
      </c>
      <c r="L445" s="66">
        <f>'Project Database'!P449</f>
        <v>0</v>
      </c>
      <c r="M445" s="66">
        <f>'Project Database'!Q449</f>
        <v>0</v>
      </c>
      <c r="N445" s="66">
        <f>'Project Database'!R449</f>
        <v>0</v>
      </c>
      <c r="O445" s="66">
        <f>'Project Database'!S449</f>
        <v>0</v>
      </c>
      <c r="P445" s="66">
        <f>'Project Database'!T449</f>
        <v>0</v>
      </c>
      <c r="Q445" s="66">
        <f>'Project Database'!U449</f>
        <v>0</v>
      </c>
      <c r="R445" s="66">
        <f>'Project Database'!V449</f>
        <v>0</v>
      </c>
      <c r="S445" s="66">
        <f>'Project Database'!W449</f>
        <v>0</v>
      </c>
      <c r="T445" s="66">
        <f>'Project Database'!X449</f>
        <v>0</v>
      </c>
      <c r="U445" s="67">
        <f>'Project Database'!Y449</f>
        <v>0</v>
      </c>
      <c r="V445" s="66">
        <f>IF('Smart Search'!B13=1,IFERROR(1/'Smart Search'!H13,0),0)</f>
        <v>0</v>
      </c>
      <c r="W445" s="66">
        <f>IF('Smart Search'!B13=1,IFERROR(1/'Smart Search'!H13,0),0)</f>
        <v>0</v>
      </c>
      <c r="X445" s="66">
        <f>IF('Smart Search'!C13=1,IFERROR(1/'Smart Search'!H13,0),0)</f>
        <v>0.5</v>
      </c>
      <c r="Y445" s="66">
        <f>IF('Smart Search'!C13=1,IFERROR(1/'Smart Search'!H13,0),0)</f>
        <v>0.5</v>
      </c>
      <c r="Z445" s="66">
        <f>IF('Smart Search'!D13=1,IFERROR(1/'Smart Search'!H13,0),0)</f>
        <v>0</v>
      </c>
      <c r="AA445" s="66">
        <f>IF('Smart Search'!D13=1,IFERROR(1/'Smart Search'!H13,0),0)</f>
        <v>0</v>
      </c>
      <c r="AB445" s="66">
        <f>IF('Smart Search'!E13=1,IFERROR(1/'Smart Search'!H13,0),0)</f>
        <v>0</v>
      </c>
      <c r="AC445" s="66">
        <f>IF('Smart Search'!E13=1,IFERROR(1/'Smart Search'!H13,0),0)</f>
        <v>0</v>
      </c>
      <c r="AD445" s="66">
        <f>IF('Smart Search'!F13=1,IFERROR(1/'Smart Search'!H13,0),0)</f>
        <v>0</v>
      </c>
      <c r="AE445" s="66">
        <f>IF('Smart Search'!F13=1,IFERROR(1/'Smart Search'!H13,0),0)</f>
        <v>0</v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>0</v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>0</v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>0</v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>0</v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>0</v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>0</v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>0</v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>0</v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>0</v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>0</v>
      </c>
      <c r="AP445" s="66">
        <f t="shared" si="84"/>
        <v>0</v>
      </c>
      <c r="AQ445" s="66">
        <f t="shared" si="85"/>
        <v>0</v>
      </c>
      <c r="AR445" s="66">
        <f t="shared" si="86"/>
        <v>0</v>
      </c>
      <c r="AS445" s="66">
        <f t="shared" si="87"/>
        <v>0</v>
      </c>
      <c r="AT445" s="66">
        <f t="shared" si="88"/>
        <v>0</v>
      </c>
      <c r="AU445" s="66">
        <f t="shared" si="89"/>
        <v>0</v>
      </c>
      <c r="AV445" s="66">
        <f t="shared" si="90"/>
        <v>0</v>
      </c>
      <c r="AW445" s="66">
        <f t="shared" si="91"/>
        <v>0</v>
      </c>
      <c r="AX445" s="66">
        <f t="shared" si="92"/>
        <v>0</v>
      </c>
      <c r="AY445" s="66">
        <f t="shared" si="93"/>
        <v>0</v>
      </c>
      <c r="AZ445" s="66">
        <f>'Project Database'!Z449</f>
        <v>0</v>
      </c>
      <c r="BA445" s="66">
        <f>IF(OR(A445="",'Smart Search'!H13=0),"",MAX(0,BE445*BF445*MAX(0,1-BG445)))</f>
        <v>0</v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>0</v>
      </c>
      <c r="BC445" s="66">
        <f>IF('Smart Search'!G13=1,IFERROR(1/'Smart Search'!H13,0),0)</f>
        <v>0</v>
      </c>
      <c r="BD445" s="66">
        <f t="shared" si="94"/>
        <v>0</v>
      </c>
      <c r="BE445" s="66">
        <f t="shared" si="95"/>
        <v>0</v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>0</v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>0</v>
      </c>
      <c r="BH445" s="5" t="str">
        <f>IF(AND('Project Database'!A449&lt;&gt;"",OR('Smart Search'!$L$5="",'Smart Search'!$L$5="All",TRIM('Project Database'!D449)=TRIM('Smart Search'!$L$5)),OR(TRIM('Smart Search'!$L$6)="",TRIM('Smart Search'!$L$6)="All",ISNUMBER(SEARCH(SUBSTITUTE(SUBSTITUTE(SUBSTITUTE(TRIM('Smart Search'!$L$6),"~","~~"),"*","~*"),"?","~?"),'Project Database'!C449))),OR('Smart Search'!$L$7="",AND('Project Database'!E449&lt;&gt;"",'Project Database'!E449='Smart Search'!$L$7)),OR('Smart Search'!$L$8="",'Smart Search'!$L$8="All",TRIM('Project Database'!F449)=TRIM('Smart Search'!$L$8))),IF(BA445="","",BA445+ROW()*0.0000000001),"")</f>
        <v/>
      </c>
      <c r="BI445" s="5" t="str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 t="str">
        <f>IF('Project Database'!A449="","",N('Project Database'!AC449))</f>
        <v/>
      </c>
      <c r="BK445" s="5" t="str">
        <f>IF('Project Database'!A449="","",N('Project Database'!AD449))</f>
        <v/>
      </c>
      <c r="BL445" s="5" t="str">
        <f>IF('Project Database'!A449="","",N('Project Database'!AE449))</f>
        <v/>
      </c>
      <c r="BM445" s="5" t="str">
        <f>IF('Project Database'!A449="","",N('Project Database'!AF449))</f>
        <v/>
      </c>
      <c r="BN445" s="5" t="str">
        <f>IF('Project Database'!A449="","",N('Project Database'!AG449))</f>
        <v/>
      </c>
      <c r="BO445" s="5" t="str">
        <f>IF('Project Database'!A449="","",N('Project Database'!AH449))</f>
        <v/>
      </c>
      <c r="BP445" s="5" t="str">
        <f>IF('Project Database'!A449="","",N('Project Database'!AI449))</f>
        <v/>
      </c>
      <c r="BQ445" s="5" t="str">
        <f>IF('Project Database'!A449="","",N('Project Database'!AJ449))</f>
        <v/>
      </c>
      <c r="BR445" s="5" t="str">
        <f>IF('Project Database'!A449="","",N('Project Database'!AK449))</f>
        <v/>
      </c>
      <c r="BS445" s="5" t="str">
        <f>IF('Project Database'!A449="","",N('Project Database'!AL449))</f>
        <v/>
      </c>
      <c r="BT445" s="5" t="str">
        <f>IF('Project Database'!A449="","",N('Project Database'!AM449))</f>
        <v/>
      </c>
      <c r="BU445" s="5" t="str">
        <f>IF('Project Database'!A449="","",N('Project Database'!AN449))</f>
        <v/>
      </c>
      <c r="BV445" s="5" t="str">
        <f>IF('Project Database'!A449="","",N('Project Database'!AO449))</f>
        <v/>
      </c>
      <c r="BW445" s="5" t="str">
        <f>IF('Project Database'!A449="","",N('Project Database'!AP449))</f>
        <v/>
      </c>
      <c r="BX445" s="5">
        <f t="shared" si="96"/>
        <v>0</v>
      </c>
      <c r="BY445" s="5">
        <f t="shared" si="97"/>
        <v>0</v>
      </c>
    </row>
    <row r="446" spans="1:77" ht="15" customHeight="1" x14ac:dyDescent="0.3">
      <c r="A446" s="66">
        <f>'Project Database'!A450</f>
        <v>0</v>
      </c>
      <c r="B446" s="66">
        <f>'Project Database'!B450</f>
        <v>0</v>
      </c>
      <c r="C446" s="66">
        <f>'Project Database'!G450</f>
        <v>0</v>
      </c>
      <c r="D446" s="66">
        <f>'Project Database'!H450</f>
        <v>0</v>
      </c>
      <c r="E446" s="66">
        <f>'Project Database'!I450</f>
        <v>0</v>
      </c>
      <c r="F446" s="66">
        <f>'Project Database'!J450</f>
        <v>0</v>
      </c>
      <c r="G446" s="66">
        <f>'Project Database'!K450</f>
        <v>0</v>
      </c>
      <c r="H446" s="66">
        <f>'Project Database'!L450</f>
        <v>0</v>
      </c>
      <c r="I446" s="66">
        <f>'Project Database'!M450</f>
        <v>0</v>
      </c>
      <c r="J446" s="66">
        <f>'Project Database'!N450</f>
        <v>0</v>
      </c>
      <c r="K446" s="66">
        <f>'Project Database'!O450</f>
        <v>0</v>
      </c>
      <c r="L446" s="66">
        <f>'Project Database'!P450</f>
        <v>0</v>
      </c>
      <c r="M446" s="66">
        <f>'Project Database'!Q450</f>
        <v>0</v>
      </c>
      <c r="N446" s="66">
        <f>'Project Database'!R450</f>
        <v>0</v>
      </c>
      <c r="O446" s="66">
        <f>'Project Database'!S450</f>
        <v>0</v>
      </c>
      <c r="P446" s="66">
        <f>'Project Database'!T450</f>
        <v>0</v>
      </c>
      <c r="Q446" s="66">
        <f>'Project Database'!U450</f>
        <v>0</v>
      </c>
      <c r="R446" s="66">
        <f>'Project Database'!V450</f>
        <v>0</v>
      </c>
      <c r="S446" s="66">
        <f>'Project Database'!W450</f>
        <v>0</v>
      </c>
      <c r="T446" s="66">
        <f>'Project Database'!X450</f>
        <v>0</v>
      </c>
      <c r="U446" s="67">
        <f>'Project Database'!Y450</f>
        <v>0</v>
      </c>
      <c r="V446" s="66">
        <f>IF('Smart Search'!B13=1,IFERROR(1/'Smart Search'!H13,0),0)</f>
        <v>0</v>
      </c>
      <c r="W446" s="66">
        <f>IF('Smart Search'!B13=1,IFERROR(1/'Smart Search'!H13,0),0)</f>
        <v>0</v>
      </c>
      <c r="X446" s="66">
        <f>IF('Smart Search'!C13=1,IFERROR(1/'Smart Search'!H13,0),0)</f>
        <v>0.5</v>
      </c>
      <c r="Y446" s="66">
        <f>IF('Smart Search'!C13=1,IFERROR(1/'Smart Search'!H13,0),0)</f>
        <v>0.5</v>
      </c>
      <c r="Z446" s="66">
        <f>IF('Smart Search'!D13=1,IFERROR(1/'Smart Search'!H13,0),0)</f>
        <v>0</v>
      </c>
      <c r="AA446" s="66">
        <f>IF('Smart Search'!D13=1,IFERROR(1/'Smart Search'!H13,0),0)</f>
        <v>0</v>
      </c>
      <c r="AB446" s="66">
        <f>IF('Smart Search'!E13=1,IFERROR(1/'Smart Search'!H13,0),0)</f>
        <v>0</v>
      </c>
      <c r="AC446" s="66">
        <f>IF('Smart Search'!E13=1,IFERROR(1/'Smart Search'!H13,0),0)</f>
        <v>0</v>
      </c>
      <c r="AD446" s="66">
        <f>IF('Smart Search'!F13=1,IFERROR(1/'Smart Search'!H13,0),0)</f>
        <v>0</v>
      </c>
      <c r="AE446" s="66">
        <f>IF('Smart Search'!F13=1,IFERROR(1/'Smart Search'!H13,0),0)</f>
        <v>0</v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>0</v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>0</v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>0</v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>0</v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>0</v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>0</v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>0</v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>0</v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>0</v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>0</v>
      </c>
      <c r="AP446" s="66">
        <f t="shared" si="84"/>
        <v>0</v>
      </c>
      <c r="AQ446" s="66">
        <f t="shared" si="85"/>
        <v>0</v>
      </c>
      <c r="AR446" s="66">
        <f t="shared" si="86"/>
        <v>0</v>
      </c>
      <c r="AS446" s="66">
        <f t="shared" si="87"/>
        <v>0</v>
      </c>
      <c r="AT446" s="66">
        <f t="shared" si="88"/>
        <v>0</v>
      </c>
      <c r="AU446" s="66">
        <f t="shared" si="89"/>
        <v>0</v>
      </c>
      <c r="AV446" s="66">
        <f t="shared" si="90"/>
        <v>0</v>
      </c>
      <c r="AW446" s="66">
        <f t="shared" si="91"/>
        <v>0</v>
      </c>
      <c r="AX446" s="66">
        <f t="shared" si="92"/>
        <v>0</v>
      </c>
      <c r="AY446" s="66">
        <f t="shared" si="93"/>
        <v>0</v>
      </c>
      <c r="AZ446" s="66">
        <f>'Project Database'!Z450</f>
        <v>0</v>
      </c>
      <c r="BA446" s="66">
        <f>IF(OR(A446="",'Smart Search'!H13=0),"",MAX(0,BE446*BF446*MAX(0,1-BG446)))</f>
        <v>0</v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>0</v>
      </c>
      <c r="BC446" s="66">
        <f>IF('Smart Search'!G13=1,IFERROR(1/'Smart Search'!H13,0),0)</f>
        <v>0</v>
      </c>
      <c r="BD446" s="66">
        <f t="shared" si="94"/>
        <v>0</v>
      </c>
      <c r="BE446" s="66">
        <f t="shared" si="95"/>
        <v>0</v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>0</v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>0</v>
      </c>
      <c r="BH446" s="5" t="str">
        <f>IF(AND('Project Database'!A450&lt;&gt;"",OR('Smart Search'!$L$5="",'Smart Search'!$L$5="All",TRIM('Project Database'!D450)=TRIM('Smart Search'!$L$5)),OR(TRIM('Smart Search'!$L$6)="",TRIM('Smart Search'!$L$6)="All",ISNUMBER(SEARCH(SUBSTITUTE(SUBSTITUTE(SUBSTITUTE(TRIM('Smart Search'!$L$6),"~","~~"),"*","~*"),"?","~?"),'Project Database'!C450))),OR('Smart Search'!$L$7="",AND('Project Database'!E450&lt;&gt;"",'Project Database'!E450='Smart Search'!$L$7)),OR('Smart Search'!$L$8="",'Smart Search'!$L$8="All",TRIM('Project Database'!F450)=TRIM('Smart Search'!$L$8))),IF(BA446="","",BA446+ROW()*0.0000000001),"")</f>
        <v/>
      </c>
      <c r="BI446" s="5" t="str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 t="str">
        <f>IF('Project Database'!A450="","",N('Project Database'!AC450))</f>
        <v/>
      </c>
      <c r="BK446" s="5" t="str">
        <f>IF('Project Database'!A450="","",N('Project Database'!AD450))</f>
        <v/>
      </c>
      <c r="BL446" s="5" t="str">
        <f>IF('Project Database'!A450="","",N('Project Database'!AE450))</f>
        <v/>
      </c>
      <c r="BM446" s="5" t="str">
        <f>IF('Project Database'!A450="","",N('Project Database'!AF450))</f>
        <v/>
      </c>
      <c r="BN446" s="5" t="str">
        <f>IF('Project Database'!A450="","",N('Project Database'!AG450))</f>
        <v/>
      </c>
      <c r="BO446" s="5" t="str">
        <f>IF('Project Database'!A450="","",N('Project Database'!AH450))</f>
        <v/>
      </c>
      <c r="BP446" s="5" t="str">
        <f>IF('Project Database'!A450="","",N('Project Database'!AI450))</f>
        <v/>
      </c>
      <c r="BQ446" s="5" t="str">
        <f>IF('Project Database'!A450="","",N('Project Database'!AJ450))</f>
        <v/>
      </c>
      <c r="BR446" s="5" t="str">
        <f>IF('Project Database'!A450="","",N('Project Database'!AK450))</f>
        <v/>
      </c>
      <c r="BS446" s="5" t="str">
        <f>IF('Project Database'!A450="","",N('Project Database'!AL450))</f>
        <v/>
      </c>
      <c r="BT446" s="5" t="str">
        <f>IF('Project Database'!A450="","",N('Project Database'!AM450))</f>
        <v/>
      </c>
      <c r="BU446" s="5" t="str">
        <f>IF('Project Database'!A450="","",N('Project Database'!AN450))</f>
        <v/>
      </c>
      <c r="BV446" s="5" t="str">
        <f>IF('Project Database'!A450="","",N('Project Database'!AO450))</f>
        <v/>
      </c>
      <c r="BW446" s="5" t="str">
        <f>IF('Project Database'!A450="","",N('Project Database'!AP450))</f>
        <v/>
      </c>
      <c r="BX446" s="5">
        <f t="shared" si="96"/>
        <v>0</v>
      </c>
      <c r="BY446" s="5">
        <f t="shared" si="97"/>
        <v>0</v>
      </c>
    </row>
    <row r="447" spans="1:77" ht="15" customHeight="1" x14ac:dyDescent="0.3">
      <c r="A447" s="66">
        <f>'Project Database'!A451</f>
        <v>0</v>
      </c>
      <c r="B447" s="66">
        <f>'Project Database'!B451</f>
        <v>0</v>
      </c>
      <c r="C447" s="66">
        <f>'Project Database'!G451</f>
        <v>0</v>
      </c>
      <c r="D447" s="66">
        <f>'Project Database'!H451</f>
        <v>0</v>
      </c>
      <c r="E447" s="66">
        <f>'Project Database'!I451</f>
        <v>0</v>
      </c>
      <c r="F447" s="66">
        <f>'Project Database'!J451</f>
        <v>0</v>
      </c>
      <c r="G447" s="66">
        <f>'Project Database'!K451</f>
        <v>0</v>
      </c>
      <c r="H447" s="66">
        <f>'Project Database'!L451</f>
        <v>0</v>
      </c>
      <c r="I447" s="66">
        <f>'Project Database'!M451</f>
        <v>0</v>
      </c>
      <c r="J447" s="66">
        <f>'Project Database'!N451</f>
        <v>0</v>
      </c>
      <c r="K447" s="66">
        <f>'Project Database'!O451</f>
        <v>0</v>
      </c>
      <c r="L447" s="66">
        <f>'Project Database'!P451</f>
        <v>0</v>
      </c>
      <c r="M447" s="66">
        <f>'Project Database'!Q451</f>
        <v>0</v>
      </c>
      <c r="N447" s="66">
        <f>'Project Database'!R451</f>
        <v>0</v>
      </c>
      <c r="O447" s="66">
        <f>'Project Database'!S451</f>
        <v>0</v>
      </c>
      <c r="P447" s="66">
        <f>'Project Database'!T451</f>
        <v>0</v>
      </c>
      <c r="Q447" s="66">
        <f>'Project Database'!U451</f>
        <v>0</v>
      </c>
      <c r="R447" s="66">
        <f>'Project Database'!V451</f>
        <v>0</v>
      </c>
      <c r="S447" s="66">
        <f>'Project Database'!W451</f>
        <v>0</v>
      </c>
      <c r="T447" s="66">
        <f>'Project Database'!X451</f>
        <v>0</v>
      </c>
      <c r="U447" s="67">
        <f>'Project Database'!Y451</f>
        <v>0</v>
      </c>
      <c r="V447" s="66">
        <f>IF('Smart Search'!B13=1,IFERROR(1/'Smart Search'!H13,0),0)</f>
        <v>0</v>
      </c>
      <c r="W447" s="66">
        <f>IF('Smart Search'!B13=1,IFERROR(1/'Smart Search'!H13,0),0)</f>
        <v>0</v>
      </c>
      <c r="X447" s="66">
        <f>IF('Smart Search'!C13=1,IFERROR(1/'Smart Search'!H13,0),0)</f>
        <v>0.5</v>
      </c>
      <c r="Y447" s="66">
        <f>IF('Smart Search'!C13=1,IFERROR(1/'Smart Search'!H13,0),0)</f>
        <v>0.5</v>
      </c>
      <c r="Z447" s="66">
        <f>IF('Smart Search'!D13=1,IFERROR(1/'Smart Search'!H13,0),0)</f>
        <v>0</v>
      </c>
      <c r="AA447" s="66">
        <f>IF('Smart Search'!D13=1,IFERROR(1/'Smart Search'!H13,0),0)</f>
        <v>0</v>
      </c>
      <c r="AB447" s="66">
        <f>IF('Smart Search'!E13=1,IFERROR(1/'Smart Search'!H13,0),0)</f>
        <v>0</v>
      </c>
      <c r="AC447" s="66">
        <f>IF('Smart Search'!E13=1,IFERROR(1/'Smart Search'!H13,0),0)</f>
        <v>0</v>
      </c>
      <c r="AD447" s="66">
        <f>IF('Smart Search'!F13=1,IFERROR(1/'Smart Search'!H13,0),0)</f>
        <v>0</v>
      </c>
      <c r="AE447" s="66">
        <f>IF('Smart Search'!F13=1,IFERROR(1/'Smart Search'!H13,0),0)</f>
        <v>0</v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>0</v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>0</v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>0</v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>0</v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>0</v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>0</v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>0</v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>0</v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>0</v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>0</v>
      </c>
      <c r="AP447" s="66">
        <f t="shared" si="84"/>
        <v>0</v>
      </c>
      <c r="AQ447" s="66">
        <f t="shared" si="85"/>
        <v>0</v>
      </c>
      <c r="AR447" s="66">
        <f t="shared" si="86"/>
        <v>0</v>
      </c>
      <c r="AS447" s="66">
        <f t="shared" si="87"/>
        <v>0</v>
      </c>
      <c r="AT447" s="66">
        <f t="shared" si="88"/>
        <v>0</v>
      </c>
      <c r="AU447" s="66">
        <f t="shared" si="89"/>
        <v>0</v>
      </c>
      <c r="AV447" s="66">
        <f t="shared" si="90"/>
        <v>0</v>
      </c>
      <c r="AW447" s="66">
        <f t="shared" si="91"/>
        <v>0</v>
      </c>
      <c r="AX447" s="66">
        <f t="shared" si="92"/>
        <v>0</v>
      </c>
      <c r="AY447" s="66">
        <f t="shared" si="93"/>
        <v>0</v>
      </c>
      <c r="AZ447" s="66">
        <f>'Project Database'!Z451</f>
        <v>0</v>
      </c>
      <c r="BA447" s="66">
        <f>IF(OR(A447="",'Smart Search'!H13=0),"",MAX(0,BE447*BF447*MAX(0,1-BG447)))</f>
        <v>0</v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>0</v>
      </c>
      <c r="BC447" s="66">
        <f>IF('Smart Search'!G13=1,IFERROR(1/'Smart Search'!H13,0),0)</f>
        <v>0</v>
      </c>
      <c r="BD447" s="66">
        <f t="shared" si="94"/>
        <v>0</v>
      </c>
      <c r="BE447" s="66">
        <f t="shared" si="95"/>
        <v>0</v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>0</v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>0</v>
      </c>
      <c r="BH447" s="5" t="str">
        <f>IF(AND('Project Database'!A451&lt;&gt;"",OR('Smart Search'!$L$5="",'Smart Search'!$L$5="All",TRIM('Project Database'!D451)=TRIM('Smart Search'!$L$5)),OR(TRIM('Smart Search'!$L$6)="",TRIM('Smart Search'!$L$6)="All",ISNUMBER(SEARCH(SUBSTITUTE(SUBSTITUTE(SUBSTITUTE(TRIM('Smart Search'!$L$6),"~","~~"),"*","~*"),"?","~?"),'Project Database'!C451))),OR('Smart Search'!$L$7="",AND('Project Database'!E451&lt;&gt;"",'Project Database'!E451='Smart Search'!$L$7)),OR('Smart Search'!$L$8="",'Smart Search'!$L$8="All",TRIM('Project Database'!F451)=TRIM('Smart Search'!$L$8))),IF(BA447="","",BA447+ROW()*0.0000000001),"")</f>
        <v/>
      </c>
      <c r="BI447" s="5" t="str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 t="str">
        <f>IF('Project Database'!A451="","",N('Project Database'!AC451))</f>
        <v/>
      </c>
      <c r="BK447" s="5" t="str">
        <f>IF('Project Database'!A451="","",N('Project Database'!AD451))</f>
        <v/>
      </c>
      <c r="BL447" s="5" t="str">
        <f>IF('Project Database'!A451="","",N('Project Database'!AE451))</f>
        <v/>
      </c>
      <c r="BM447" s="5" t="str">
        <f>IF('Project Database'!A451="","",N('Project Database'!AF451))</f>
        <v/>
      </c>
      <c r="BN447" s="5" t="str">
        <f>IF('Project Database'!A451="","",N('Project Database'!AG451))</f>
        <v/>
      </c>
      <c r="BO447" s="5" t="str">
        <f>IF('Project Database'!A451="","",N('Project Database'!AH451))</f>
        <v/>
      </c>
      <c r="BP447" s="5" t="str">
        <f>IF('Project Database'!A451="","",N('Project Database'!AI451))</f>
        <v/>
      </c>
      <c r="BQ447" s="5" t="str">
        <f>IF('Project Database'!A451="","",N('Project Database'!AJ451))</f>
        <v/>
      </c>
      <c r="BR447" s="5" t="str">
        <f>IF('Project Database'!A451="","",N('Project Database'!AK451))</f>
        <v/>
      </c>
      <c r="BS447" s="5" t="str">
        <f>IF('Project Database'!A451="","",N('Project Database'!AL451))</f>
        <v/>
      </c>
      <c r="BT447" s="5" t="str">
        <f>IF('Project Database'!A451="","",N('Project Database'!AM451))</f>
        <v/>
      </c>
      <c r="BU447" s="5" t="str">
        <f>IF('Project Database'!A451="","",N('Project Database'!AN451))</f>
        <v/>
      </c>
      <c r="BV447" s="5" t="str">
        <f>IF('Project Database'!A451="","",N('Project Database'!AO451))</f>
        <v/>
      </c>
      <c r="BW447" s="5" t="str">
        <f>IF('Project Database'!A451="","",N('Project Database'!AP451))</f>
        <v/>
      </c>
      <c r="BX447" s="5">
        <f t="shared" si="96"/>
        <v>0</v>
      </c>
      <c r="BY447" s="5">
        <f t="shared" si="97"/>
        <v>0</v>
      </c>
    </row>
    <row r="448" spans="1:77" ht="15" customHeight="1" x14ac:dyDescent="0.3">
      <c r="A448" s="66">
        <f>'Project Database'!A452</f>
        <v>0</v>
      </c>
      <c r="B448" s="66">
        <f>'Project Database'!B452</f>
        <v>0</v>
      </c>
      <c r="C448" s="66">
        <f>'Project Database'!G452</f>
        <v>0</v>
      </c>
      <c r="D448" s="66">
        <f>'Project Database'!H452</f>
        <v>0</v>
      </c>
      <c r="E448" s="66">
        <f>'Project Database'!I452</f>
        <v>0</v>
      </c>
      <c r="F448" s="66">
        <f>'Project Database'!J452</f>
        <v>0</v>
      </c>
      <c r="G448" s="66">
        <f>'Project Database'!K452</f>
        <v>0</v>
      </c>
      <c r="H448" s="66">
        <f>'Project Database'!L452</f>
        <v>0</v>
      </c>
      <c r="I448" s="66">
        <f>'Project Database'!M452</f>
        <v>0</v>
      </c>
      <c r="J448" s="66">
        <f>'Project Database'!N452</f>
        <v>0</v>
      </c>
      <c r="K448" s="66">
        <f>'Project Database'!O452</f>
        <v>0</v>
      </c>
      <c r="L448" s="66">
        <f>'Project Database'!P452</f>
        <v>0</v>
      </c>
      <c r="M448" s="66">
        <f>'Project Database'!Q452</f>
        <v>0</v>
      </c>
      <c r="N448" s="66">
        <f>'Project Database'!R452</f>
        <v>0</v>
      </c>
      <c r="O448" s="66">
        <f>'Project Database'!S452</f>
        <v>0</v>
      </c>
      <c r="P448" s="66">
        <f>'Project Database'!T452</f>
        <v>0</v>
      </c>
      <c r="Q448" s="66">
        <f>'Project Database'!U452</f>
        <v>0</v>
      </c>
      <c r="R448" s="66">
        <f>'Project Database'!V452</f>
        <v>0</v>
      </c>
      <c r="S448" s="66">
        <f>'Project Database'!W452</f>
        <v>0</v>
      </c>
      <c r="T448" s="66">
        <f>'Project Database'!X452</f>
        <v>0</v>
      </c>
      <c r="U448" s="67">
        <f>'Project Database'!Y452</f>
        <v>0</v>
      </c>
      <c r="V448" s="66">
        <f>IF('Smart Search'!B13=1,IFERROR(1/'Smart Search'!H13,0),0)</f>
        <v>0</v>
      </c>
      <c r="W448" s="66">
        <f>IF('Smart Search'!B13=1,IFERROR(1/'Smart Search'!H13,0),0)</f>
        <v>0</v>
      </c>
      <c r="X448" s="66">
        <f>IF('Smart Search'!C13=1,IFERROR(1/'Smart Search'!H13,0),0)</f>
        <v>0.5</v>
      </c>
      <c r="Y448" s="66">
        <f>IF('Smart Search'!C13=1,IFERROR(1/'Smart Search'!H13,0),0)</f>
        <v>0.5</v>
      </c>
      <c r="Z448" s="66">
        <f>IF('Smart Search'!D13=1,IFERROR(1/'Smart Search'!H13,0),0)</f>
        <v>0</v>
      </c>
      <c r="AA448" s="66">
        <f>IF('Smart Search'!D13=1,IFERROR(1/'Smart Search'!H13,0),0)</f>
        <v>0</v>
      </c>
      <c r="AB448" s="66">
        <f>IF('Smart Search'!E13=1,IFERROR(1/'Smart Search'!H13,0),0)</f>
        <v>0</v>
      </c>
      <c r="AC448" s="66">
        <f>IF('Smart Search'!E13=1,IFERROR(1/'Smart Search'!H13,0),0)</f>
        <v>0</v>
      </c>
      <c r="AD448" s="66">
        <f>IF('Smart Search'!F13=1,IFERROR(1/'Smart Search'!H13,0),0)</f>
        <v>0</v>
      </c>
      <c r="AE448" s="66">
        <f>IF('Smart Search'!F13=1,IFERROR(1/'Smart Search'!H13,0),0)</f>
        <v>0</v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>0</v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>0</v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>0</v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>0</v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>0</v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>0</v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>0</v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>0</v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>0</v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>0</v>
      </c>
      <c r="AP448" s="66">
        <f t="shared" si="84"/>
        <v>0</v>
      </c>
      <c r="AQ448" s="66">
        <f t="shared" si="85"/>
        <v>0</v>
      </c>
      <c r="AR448" s="66">
        <f t="shared" si="86"/>
        <v>0</v>
      </c>
      <c r="AS448" s="66">
        <f t="shared" si="87"/>
        <v>0</v>
      </c>
      <c r="AT448" s="66">
        <f t="shared" si="88"/>
        <v>0</v>
      </c>
      <c r="AU448" s="66">
        <f t="shared" si="89"/>
        <v>0</v>
      </c>
      <c r="AV448" s="66">
        <f t="shared" si="90"/>
        <v>0</v>
      </c>
      <c r="AW448" s="66">
        <f t="shared" si="91"/>
        <v>0</v>
      </c>
      <c r="AX448" s="66">
        <f t="shared" si="92"/>
        <v>0</v>
      </c>
      <c r="AY448" s="66">
        <f t="shared" si="93"/>
        <v>0</v>
      </c>
      <c r="AZ448" s="66">
        <f>'Project Database'!Z452</f>
        <v>0</v>
      </c>
      <c r="BA448" s="66">
        <f>IF(OR(A448="",'Smart Search'!H13=0),"",MAX(0,BE448*BF448*MAX(0,1-BG448)))</f>
        <v>0</v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>0</v>
      </c>
      <c r="BC448" s="66">
        <f>IF('Smart Search'!G13=1,IFERROR(1/'Smart Search'!H13,0),0)</f>
        <v>0</v>
      </c>
      <c r="BD448" s="66">
        <f t="shared" si="94"/>
        <v>0</v>
      </c>
      <c r="BE448" s="66">
        <f t="shared" si="95"/>
        <v>0</v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>0</v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>0</v>
      </c>
      <c r="BH448" s="5" t="str">
        <f>IF(AND('Project Database'!A452&lt;&gt;"",OR('Smart Search'!$L$5="",'Smart Search'!$L$5="All",TRIM('Project Database'!D452)=TRIM('Smart Search'!$L$5)),OR(TRIM('Smart Search'!$L$6)="",TRIM('Smart Search'!$L$6)="All",ISNUMBER(SEARCH(SUBSTITUTE(SUBSTITUTE(SUBSTITUTE(TRIM('Smart Search'!$L$6),"~","~~"),"*","~*"),"?","~?"),'Project Database'!C452))),OR('Smart Search'!$L$7="",AND('Project Database'!E452&lt;&gt;"",'Project Database'!E452='Smart Search'!$L$7)),OR('Smart Search'!$L$8="",'Smart Search'!$L$8="All",TRIM('Project Database'!F452)=TRIM('Smart Search'!$L$8))),IF(BA448="","",BA448+ROW()*0.0000000001),"")</f>
        <v/>
      </c>
      <c r="BI448" s="5" t="str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 t="str">
        <f>IF('Project Database'!A452="","",N('Project Database'!AC452))</f>
        <v/>
      </c>
      <c r="BK448" s="5" t="str">
        <f>IF('Project Database'!A452="","",N('Project Database'!AD452))</f>
        <v/>
      </c>
      <c r="BL448" s="5" t="str">
        <f>IF('Project Database'!A452="","",N('Project Database'!AE452))</f>
        <v/>
      </c>
      <c r="BM448" s="5" t="str">
        <f>IF('Project Database'!A452="","",N('Project Database'!AF452))</f>
        <v/>
      </c>
      <c r="BN448" s="5" t="str">
        <f>IF('Project Database'!A452="","",N('Project Database'!AG452))</f>
        <v/>
      </c>
      <c r="BO448" s="5" t="str">
        <f>IF('Project Database'!A452="","",N('Project Database'!AH452))</f>
        <v/>
      </c>
      <c r="BP448" s="5" t="str">
        <f>IF('Project Database'!A452="","",N('Project Database'!AI452))</f>
        <v/>
      </c>
      <c r="BQ448" s="5" t="str">
        <f>IF('Project Database'!A452="","",N('Project Database'!AJ452))</f>
        <v/>
      </c>
      <c r="BR448" s="5" t="str">
        <f>IF('Project Database'!A452="","",N('Project Database'!AK452))</f>
        <v/>
      </c>
      <c r="BS448" s="5" t="str">
        <f>IF('Project Database'!A452="","",N('Project Database'!AL452))</f>
        <v/>
      </c>
      <c r="BT448" s="5" t="str">
        <f>IF('Project Database'!A452="","",N('Project Database'!AM452))</f>
        <v/>
      </c>
      <c r="BU448" s="5" t="str">
        <f>IF('Project Database'!A452="","",N('Project Database'!AN452))</f>
        <v/>
      </c>
      <c r="BV448" s="5" t="str">
        <f>IF('Project Database'!A452="","",N('Project Database'!AO452))</f>
        <v/>
      </c>
      <c r="BW448" s="5" t="str">
        <f>IF('Project Database'!A452="","",N('Project Database'!AP452))</f>
        <v/>
      </c>
      <c r="BX448" s="5">
        <f t="shared" si="96"/>
        <v>0</v>
      </c>
      <c r="BY448" s="5">
        <f t="shared" si="97"/>
        <v>0</v>
      </c>
    </row>
    <row r="449" spans="1:77" ht="15" customHeight="1" x14ac:dyDescent="0.3">
      <c r="A449" s="66">
        <f>'Project Database'!A453</f>
        <v>0</v>
      </c>
      <c r="B449" s="66">
        <f>'Project Database'!B453</f>
        <v>0</v>
      </c>
      <c r="C449" s="66">
        <f>'Project Database'!G453</f>
        <v>0</v>
      </c>
      <c r="D449" s="66">
        <f>'Project Database'!H453</f>
        <v>0</v>
      </c>
      <c r="E449" s="66">
        <f>'Project Database'!I453</f>
        <v>0</v>
      </c>
      <c r="F449" s="66">
        <f>'Project Database'!J453</f>
        <v>0</v>
      </c>
      <c r="G449" s="66">
        <f>'Project Database'!K453</f>
        <v>0</v>
      </c>
      <c r="H449" s="66">
        <f>'Project Database'!L453</f>
        <v>0</v>
      </c>
      <c r="I449" s="66">
        <f>'Project Database'!M453</f>
        <v>0</v>
      </c>
      <c r="J449" s="66">
        <f>'Project Database'!N453</f>
        <v>0</v>
      </c>
      <c r="K449" s="66">
        <f>'Project Database'!O453</f>
        <v>0</v>
      </c>
      <c r="L449" s="66">
        <f>'Project Database'!P453</f>
        <v>0</v>
      </c>
      <c r="M449" s="66">
        <f>'Project Database'!Q453</f>
        <v>0</v>
      </c>
      <c r="N449" s="66">
        <f>'Project Database'!R453</f>
        <v>0</v>
      </c>
      <c r="O449" s="66">
        <f>'Project Database'!S453</f>
        <v>0</v>
      </c>
      <c r="P449" s="66">
        <f>'Project Database'!T453</f>
        <v>0</v>
      </c>
      <c r="Q449" s="66">
        <f>'Project Database'!U453</f>
        <v>0</v>
      </c>
      <c r="R449" s="66">
        <f>'Project Database'!V453</f>
        <v>0</v>
      </c>
      <c r="S449" s="66">
        <f>'Project Database'!W453</f>
        <v>0</v>
      </c>
      <c r="T449" s="66">
        <f>'Project Database'!X453</f>
        <v>0</v>
      </c>
      <c r="U449" s="67">
        <f>'Project Database'!Y453</f>
        <v>0</v>
      </c>
      <c r="V449" s="66">
        <f>IF('Smart Search'!B13=1,IFERROR(1/'Smart Search'!H13,0),0)</f>
        <v>0</v>
      </c>
      <c r="W449" s="66">
        <f>IF('Smart Search'!B13=1,IFERROR(1/'Smart Search'!H13,0),0)</f>
        <v>0</v>
      </c>
      <c r="X449" s="66">
        <f>IF('Smart Search'!C13=1,IFERROR(1/'Smart Search'!H13,0),0)</f>
        <v>0.5</v>
      </c>
      <c r="Y449" s="66">
        <f>IF('Smart Search'!C13=1,IFERROR(1/'Smart Search'!H13,0),0)</f>
        <v>0.5</v>
      </c>
      <c r="Z449" s="66">
        <f>IF('Smart Search'!D13=1,IFERROR(1/'Smart Search'!H13,0),0)</f>
        <v>0</v>
      </c>
      <c r="AA449" s="66">
        <f>IF('Smart Search'!D13=1,IFERROR(1/'Smart Search'!H13,0),0)</f>
        <v>0</v>
      </c>
      <c r="AB449" s="66">
        <f>IF('Smart Search'!E13=1,IFERROR(1/'Smart Search'!H13,0),0)</f>
        <v>0</v>
      </c>
      <c r="AC449" s="66">
        <f>IF('Smart Search'!E13=1,IFERROR(1/'Smart Search'!H13,0),0)</f>
        <v>0</v>
      </c>
      <c r="AD449" s="66">
        <f>IF('Smart Search'!F13=1,IFERROR(1/'Smart Search'!H13,0),0)</f>
        <v>0</v>
      </c>
      <c r="AE449" s="66">
        <f>IF('Smart Search'!F13=1,IFERROR(1/'Smart Search'!H13,0),0)</f>
        <v>0</v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>0</v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>0</v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>0</v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>0</v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>0</v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>0</v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>0</v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>0</v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>0</v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>0</v>
      </c>
      <c r="AP449" s="66">
        <f t="shared" si="84"/>
        <v>0</v>
      </c>
      <c r="AQ449" s="66">
        <f t="shared" si="85"/>
        <v>0</v>
      </c>
      <c r="AR449" s="66">
        <f t="shared" si="86"/>
        <v>0</v>
      </c>
      <c r="AS449" s="66">
        <f t="shared" si="87"/>
        <v>0</v>
      </c>
      <c r="AT449" s="66">
        <f t="shared" si="88"/>
        <v>0</v>
      </c>
      <c r="AU449" s="66">
        <f t="shared" si="89"/>
        <v>0</v>
      </c>
      <c r="AV449" s="66">
        <f t="shared" si="90"/>
        <v>0</v>
      </c>
      <c r="AW449" s="66">
        <f t="shared" si="91"/>
        <v>0</v>
      </c>
      <c r="AX449" s="66">
        <f t="shared" si="92"/>
        <v>0</v>
      </c>
      <c r="AY449" s="66">
        <f t="shared" si="93"/>
        <v>0</v>
      </c>
      <c r="AZ449" s="66">
        <f>'Project Database'!Z453</f>
        <v>0</v>
      </c>
      <c r="BA449" s="66">
        <f>IF(OR(A449="",'Smart Search'!H13=0),"",MAX(0,BE449*BF449*MAX(0,1-BG449)))</f>
        <v>0</v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>0</v>
      </c>
      <c r="BC449" s="66">
        <f>IF('Smart Search'!G13=1,IFERROR(1/'Smart Search'!H13,0),0)</f>
        <v>0</v>
      </c>
      <c r="BD449" s="66">
        <f t="shared" si="94"/>
        <v>0</v>
      </c>
      <c r="BE449" s="66">
        <f t="shared" si="95"/>
        <v>0</v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>0</v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>0</v>
      </c>
      <c r="BH449" s="5" t="str">
        <f>IF(AND('Project Database'!A453&lt;&gt;"",OR('Smart Search'!$L$5="",'Smart Search'!$L$5="All",TRIM('Project Database'!D453)=TRIM('Smart Search'!$L$5)),OR(TRIM('Smart Search'!$L$6)="",TRIM('Smart Search'!$L$6)="All",ISNUMBER(SEARCH(SUBSTITUTE(SUBSTITUTE(SUBSTITUTE(TRIM('Smart Search'!$L$6),"~","~~"),"*","~*"),"?","~?"),'Project Database'!C453))),OR('Smart Search'!$L$7="",AND('Project Database'!E453&lt;&gt;"",'Project Database'!E453='Smart Search'!$L$7)),OR('Smart Search'!$L$8="",'Smart Search'!$L$8="All",TRIM('Project Database'!F453)=TRIM('Smart Search'!$L$8))),IF(BA449="","",BA449+ROW()*0.0000000001),"")</f>
        <v/>
      </c>
      <c r="BI449" s="5" t="str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 t="str">
        <f>IF('Project Database'!A453="","",N('Project Database'!AC453))</f>
        <v/>
      </c>
      <c r="BK449" s="5" t="str">
        <f>IF('Project Database'!A453="","",N('Project Database'!AD453))</f>
        <v/>
      </c>
      <c r="BL449" s="5" t="str">
        <f>IF('Project Database'!A453="","",N('Project Database'!AE453))</f>
        <v/>
      </c>
      <c r="BM449" s="5" t="str">
        <f>IF('Project Database'!A453="","",N('Project Database'!AF453))</f>
        <v/>
      </c>
      <c r="BN449" s="5" t="str">
        <f>IF('Project Database'!A453="","",N('Project Database'!AG453))</f>
        <v/>
      </c>
      <c r="BO449" s="5" t="str">
        <f>IF('Project Database'!A453="","",N('Project Database'!AH453))</f>
        <v/>
      </c>
      <c r="BP449" s="5" t="str">
        <f>IF('Project Database'!A453="","",N('Project Database'!AI453))</f>
        <v/>
      </c>
      <c r="BQ449" s="5" t="str">
        <f>IF('Project Database'!A453="","",N('Project Database'!AJ453))</f>
        <v/>
      </c>
      <c r="BR449" s="5" t="str">
        <f>IF('Project Database'!A453="","",N('Project Database'!AK453))</f>
        <v/>
      </c>
      <c r="BS449" s="5" t="str">
        <f>IF('Project Database'!A453="","",N('Project Database'!AL453))</f>
        <v/>
      </c>
      <c r="BT449" s="5" t="str">
        <f>IF('Project Database'!A453="","",N('Project Database'!AM453))</f>
        <v/>
      </c>
      <c r="BU449" s="5" t="str">
        <f>IF('Project Database'!A453="","",N('Project Database'!AN453))</f>
        <v/>
      </c>
      <c r="BV449" s="5" t="str">
        <f>IF('Project Database'!A453="","",N('Project Database'!AO453))</f>
        <v/>
      </c>
      <c r="BW449" s="5" t="str">
        <f>IF('Project Database'!A453="","",N('Project Database'!AP453))</f>
        <v/>
      </c>
      <c r="BX449" s="5">
        <f t="shared" si="96"/>
        <v>0</v>
      </c>
      <c r="BY449" s="5">
        <f t="shared" si="97"/>
        <v>0</v>
      </c>
    </row>
    <row r="450" spans="1:77" ht="15" customHeight="1" x14ac:dyDescent="0.3">
      <c r="A450" s="66">
        <f>'Project Database'!A454</f>
        <v>0</v>
      </c>
      <c r="B450" s="66">
        <f>'Project Database'!B454</f>
        <v>0</v>
      </c>
      <c r="C450" s="66">
        <f>'Project Database'!G454</f>
        <v>0</v>
      </c>
      <c r="D450" s="66">
        <f>'Project Database'!H454</f>
        <v>0</v>
      </c>
      <c r="E450" s="66">
        <f>'Project Database'!I454</f>
        <v>0</v>
      </c>
      <c r="F450" s="66">
        <f>'Project Database'!J454</f>
        <v>0</v>
      </c>
      <c r="G450" s="66">
        <f>'Project Database'!K454</f>
        <v>0</v>
      </c>
      <c r="H450" s="66">
        <f>'Project Database'!L454</f>
        <v>0</v>
      </c>
      <c r="I450" s="66">
        <f>'Project Database'!M454</f>
        <v>0</v>
      </c>
      <c r="J450" s="66">
        <f>'Project Database'!N454</f>
        <v>0</v>
      </c>
      <c r="K450" s="66">
        <f>'Project Database'!O454</f>
        <v>0</v>
      </c>
      <c r="L450" s="66">
        <f>'Project Database'!P454</f>
        <v>0</v>
      </c>
      <c r="M450" s="66">
        <f>'Project Database'!Q454</f>
        <v>0</v>
      </c>
      <c r="N450" s="66">
        <f>'Project Database'!R454</f>
        <v>0</v>
      </c>
      <c r="O450" s="66">
        <f>'Project Database'!S454</f>
        <v>0</v>
      </c>
      <c r="P450" s="66">
        <f>'Project Database'!T454</f>
        <v>0</v>
      </c>
      <c r="Q450" s="66">
        <f>'Project Database'!U454</f>
        <v>0</v>
      </c>
      <c r="R450" s="66">
        <f>'Project Database'!V454</f>
        <v>0</v>
      </c>
      <c r="S450" s="66">
        <f>'Project Database'!W454</f>
        <v>0</v>
      </c>
      <c r="T450" s="66">
        <f>'Project Database'!X454</f>
        <v>0</v>
      </c>
      <c r="U450" s="67">
        <f>'Project Database'!Y454</f>
        <v>0</v>
      </c>
      <c r="V450" s="66">
        <f>IF('Smart Search'!B13=1,IFERROR(1/'Smart Search'!H13,0),0)</f>
        <v>0</v>
      </c>
      <c r="W450" s="66">
        <f>IF('Smart Search'!B13=1,IFERROR(1/'Smart Search'!H13,0),0)</f>
        <v>0</v>
      </c>
      <c r="X450" s="66">
        <f>IF('Smart Search'!C13=1,IFERROR(1/'Smart Search'!H13,0),0)</f>
        <v>0.5</v>
      </c>
      <c r="Y450" s="66">
        <f>IF('Smart Search'!C13=1,IFERROR(1/'Smart Search'!H13,0),0)</f>
        <v>0.5</v>
      </c>
      <c r="Z450" s="66">
        <f>IF('Smart Search'!D13=1,IFERROR(1/'Smart Search'!H13,0),0)</f>
        <v>0</v>
      </c>
      <c r="AA450" s="66">
        <f>IF('Smart Search'!D13=1,IFERROR(1/'Smart Search'!H13,0),0)</f>
        <v>0</v>
      </c>
      <c r="AB450" s="66">
        <f>IF('Smart Search'!E13=1,IFERROR(1/'Smart Search'!H13,0),0)</f>
        <v>0</v>
      </c>
      <c r="AC450" s="66">
        <f>IF('Smart Search'!E13=1,IFERROR(1/'Smart Search'!H13,0),0)</f>
        <v>0</v>
      </c>
      <c r="AD450" s="66">
        <f>IF('Smart Search'!F13=1,IFERROR(1/'Smart Search'!H13,0),0)</f>
        <v>0</v>
      </c>
      <c r="AE450" s="66">
        <f>IF('Smart Search'!F13=1,IFERROR(1/'Smart Search'!H13,0),0)</f>
        <v>0</v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>0</v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>0</v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>0</v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>0</v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>0</v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>0</v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>0</v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>0</v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>0</v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>0</v>
      </c>
      <c r="AP450" s="66">
        <f t="shared" ref="AP450:AP501" si="98">AF450*V450</f>
        <v>0</v>
      </c>
      <c r="AQ450" s="66">
        <f t="shared" ref="AQ450:AQ501" si="99">AG450*W450</f>
        <v>0</v>
      </c>
      <c r="AR450" s="66">
        <f t="shared" ref="AR450:AR501" si="100">AH450*X450</f>
        <v>0</v>
      </c>
      <c r="AS450" s="66">
        <f t="shared" ref="AS450:AS501" si="101">AI450*Y450</f>
        <v>0</v>
      </c>
      <c r="AT450" s="66">
        <f t="shared" ref="AT450:AT501" si="102">AJ450*Z450</f>
        <v>0</v>
      </c>
      <c r="AU450" s="66">
        <f t="shared" ref="AU450:AU501" si="103">AK450*AA450</f>
        <v>0</v>
      </c>
      <c r="AV450" s="66">
        <f t="shared" ref="AV450:AV501" si="104">AL450*AB450</f>
        <v>0</v>
      </c>
      <c r="AW450" s="66">
        <f t="shared" ref="AW450:AW501" si="105">AM450*AC450</f>
        <v>0</v>
      </c>
      <c r="AX450" s="66">
        <f t="shared" ref="AX450:AX501" si="106">AN450*AD450</f>
        <v>0</v>
      </c>
      <c r="AY450" s="66">
        <f t="shared" ref="AY450:AY501" si="107">AO450*AE450</f>
        <v>0</v>
      </c>
      <c r="AZ450" s="66">
        <f>'Project Database'!Z454</f>
        <v>0</v>
      </c>
      <c r="BA450" s="66">
        <f>IF(OR(A450="",'Smart Search'!H13=0),"",MAX(0,BE450*BF450*MAX(0,1-BG450)))</f>
        <v>0</v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>0</v>
      </c>
      <c r="BC450" s="66">
        <f>IF('Smart Search'!G13=1,IFERROR(1/'Smart Search'!H13,0),0)</f>
        <v>0</v>
      </c>
      <c r="BD450" s="66">
        <f t="shared" ref="BD450:BD501" si="108">BB450*BC450</f>
        <v>0</v>
      </c>
      <c r="BE450" s="66">
        <f t="shared" ref="BE450:BE501" si="109">AP450+AQ450+AR450+AS450+AT450+AU450+AV450+AW450+AX450+AY450+BD450</f>
        <v>0</v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>0</v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>0</v>
      </c>
      <c r="BH450" s="5" t="str">
        <f>IF(AND('Project Database'!A454&lt;&gt;"",OR('Smart Search'!$L$5="",'Smart Search'!$L$5="All",TRIM('Project Database'!D454)=TRIM('Smart Search'!$L$5)),OR(TRIM('Smart Search'!$L$6)="",TRIM('Smart Search'!$L$6)="All",ISNUMBER(SEARCH(SUBSTITUTE(SUBSTITUTE(SUBSTITUTE(TRIM('Smart Search'!$L$6),"~","~~"),"*","~*"),"?","~?"),'Project Database'!C454))),OR('Smart Search'!$L$7="",AND('Project Database'!E454&lt;&gt;"",'Project Database'!E454='Smart Search'!$L$7)),OR('Smart Search'!$L$8="",'Smart Search'!$L$8="All",TRIM('Project Database'!F454)=TRIM('Smart Search'!$L$8))),IF(BA450="","",BA450+ROW()*0.0000000001),"")</f>
        <v/>
      </c>
      <c r="BI450" s="5" t="str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 t="str">
        <f>IF('Project Database'!A454="","",N('Project Database'!AC454))</f>
        <v/>
      </c>
      <c r="BK450" s="5" t="str">
        <f>IF('Project Database'!A454="","",N('Project Database'!AD454))</f>
        <v/>
      </c>
      <c r="BL450" s="5" t="str">
        <f>IF('Project Database'!A454="","",N('Project Database'!AE454))</f>
        <v/>
      </c>
      <c r="BM450" s="5" t="str">
        <f>IF('Project Database'!A454="","",N('Project Database'!AF454))</f>
        <v/>
      </c>
      <c r="BN450" s="5" t="str">
        <f>IF('Project Database'!A454="","",N('Project Database'!AG454))</f>
        <v/>
      </c>
      <c r="BO450" s="5" t="str">
        <f>IF('Project Database'!A454="","",N('Project Database'!AH454))</f>
        <v/>
      </c>
      <c r="BP450" s="5" t="str">
        <f>IF('Project Database'!A454="","",N('Project Database'!AI454))</f>
        <v/>
      </c>
      <c r="BQ450" s="5" t="str">
        <f>IF('Project Database'!A454="","",N('Project Database'!AJ454))</f>
        <v/>
      </c>
      <c r="BR450" s="5" t="str">
        <f>IF('Project Database'!A454="","",N('Project Database'!AK454))</f>
        <v/>
      </c>
      <c r="BS450" s="5" t="str">
        <f>IF('Project Database'!A454="","",N('Project Database'!AL454))</f>
        <v/>
      </c>
      <c r="BT450" s="5" t="str">
        <f>IF('Project Database'!A454="","",N('Project Database'!AM454))</f>
        <v/>
      </c>
      <c r="BU450" s="5" t="str">
        <f>IF('Project Database'!A454="","",N('Project Database'!AN454))</f>
        <v/>
      </c>
      <c r="BV450" s="5" t="str">
        <f>IF('Project Database'!A454="","",N('Project Database'!AO454))</f>
        <v/>
      </c>
      <c r="BW450" s="5" t="str">
        <f>IF('Project Database'!A454="","",N('Project Database'!AP454))</f>
        <v/>
      </c>
      <c r="BX450" s="5">
        <f t="shared" ref="BX450:BX501" si="110">IF(A450="","",SUM(BJ450:BW450))</f>
        <v>0</v>
      </c>
      <c r="BY450" s="5">
        <f t="shared" ref="BY450:BY501" si="111">IF(A450="","",IFERROR(IF(ISNUMBER(U450),U450,VALUE(SUBSTITUTE(SUBSTITUTE(SUBSTITUTE(UPPER(TRIM(U450)),"M",""),",","")," ",""))),0))</f>
        <v>0</v>
      </c>
    </row>
    <row r="451" spans="1:77" ht="15" customHeight="1" x14ac:dyDescent="0.3">
      <c r="A451" s="66">
        <f>'Project Database'!A455</f>
        <v>0</v>
      </c>
      <c r="B451" s="66">
        <f>'Project Database'!B455</f>
        <v>0</v>
      </c>
      <c r="C451" s="66">
        <f>'Project Database'!G455</f>
        <v>0</v>
      </c>
      <c r="D451" s="66">
        <f>'Project Database'!H455</f>
        <v>0</v>
      </c>
      <c r="E451" s="66">
        <f>'Project Database'!I455</f>
        <v>0</v>
      </c>
      <c r="F451" s="66">
        <f>'Project Database'!J455</f>
        <v>0</v>
      </c>
      <c r="G451" s="66">
        <f>'Project Database'!K455</f>
        <v>0</v>
      </c>
      <c r="H451" s="66">
        <f>'Project Database'!L455</f>
        <v>0</v>
      </c>
      <c r="I451" s="66">
        <f>'Project Database'!M455</f>
        <v>0</v>
      </c>
      <c r="J451" s="66">
        <f>'Project Database'!N455</f>
        <v>0</v>
      </c>
      <c r="K451" s="66">
        <f>'Project Database'!O455</f>
        <v>0</v>
      </c>
      <c r="L451" s="66">
        <f>'Project Database'!P455</f>
        <v>0</v>
      </c>
      <c r="M451" s="66">
        <f>'Project Database'!Q455</f>
        <v>0</v>
      </c>
      <c r="N451" s="66">
        <f>'Project Database'!R455</f>
        <v>0</v>
      </c>
      <c r="O451" s="66">
        <f>'Project Database'!S455</f>
        <v>0</v>
      </c>
      <c r="P451" s="66">
        <f>'Project Database'!T455</f>
        <v>0</v>
      </c>
      <c r="Q451" s="66">
        <f>'Project Database'!U455</f>
        <v>0</v>
      </c>
      <c r="R451" s="66">
        <f>'Project Database'!V455</f>
        <v>0</v>
      </c>
      <c r="S451" s="66">
        <f>'Project Database'!W455</f>
        <v>0</v>
      </c>
      <c r="T451" s="66">
        <f>'Project Database'!X455</f>
        <v>0</v>
      </c>
      <c r="U451" s="67">
        <f>'Project Database'!Y455</f>
        <v>0</v>
      </c>
      <c r="V451" s="66">
        <f>IF('Smart Search'!B13=1,IFERROR(1/'Smart Search'!H13,0),0)</f>
        <v>0</v>
      </c>
      <c r="W451" s="66">
        <f>IF('Smart Search'!B13=1,IFERROR(1/'Smart Search'!H13,0),0)</f>
        <v>0</v>
      </c>
      <c r="X451" s="66">
        <f>IF('Smart Search'!C13=1,IFERROR(1/'Smart Search'!H13,0),0)</f>
        <v>0.5</v>
      </c>
      <c r="Y451" s="66">
        <f>IF('Smart Search'!C13=1,IFERROR(1/'Smart Search'!H13,0),0)</f>
        <v>0.5</v>
      </c>
      <c r="Z451" s="66">
        <f>IF('Smart Search'!D13=1,IFERROR(1/'Smart Search'!H13,0),0)</f>
        <v>0</v>
      </c>
      <c r="AA451" s="66">
        <f>IF('Smart Search'!D13=1,IFERROR(1/'Smart Search'!H13,0),0)</f>
        <v>0</v>
      </c>
      <c r="AB451" s="66">
        <f>IF('Smart Search'!E13=1,IFERROR(1/'Smart Search'!H13,0),0)</f>
        <v>0</v>
      </c>
      <c r="AC451" s="66">
        <f>IF('Smart Search'!E13=1,IFERROR(1/'Smart Search'!H13,0),0)</f>
        <v>0</v>
      </c>
      <c r="AD451" s="66">
        <f>IF('Smart Search'!F13=1,IFERROR(1/'Smart Search'!H13,0),0)</f>
        <v>0</v>
      </c>
      <c r="AE451" s="66">
        <f>IF('Smart Search'!F13=1,IFERROR(1/'Smart Search'!H13,0),0)</f>
        <v>0</v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>0</v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>0</v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>0</v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>0</v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>0</v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>0</v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>0</v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>0</v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>0</v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>0</v>
      </c>
      <c r="AP451" s="66">
        <f t="shared" si="98"/>
        <v>0</v>
      </c>
      <c r="AQ451" s="66">
        <f t="shared" si="99"/>
        <v>0</v>
      </c>
      <c r="AR451" s="66">
        <f t="shared" si="100"/>
        <v>0</v>
      </c>
      <c r="AS451" s="66">
        <f t="shared" si="101"/>
        <v>0</v>
      </c>
      <c r="AT451" s="66">
        <f t="shared" si="102"/>
        <v>0</v>
      </c>
      <c r="AU451" s="66">
        <f t="shared" si="103"/>
        <v>0</v>
      </c>
      <c r="AV451" s="66">
        <f t="shared" si="104"/>
        <v>0</v>
      </c>
      <c r="AW451" s="66">
        <f t="shared" si="105"/>
        <v>0</v>
      </c>
      <c r="AX451" s="66">
        <f t="shared" si="106"/>
        <v>0</v>
      </c>
      <c r="AY451" s="66">
        <f t="shared" si="107"/>
        <v>0</v>
      </c>
      <c r="AZ451" s="66">
        <f>'Project Database'!Z455</f>
        <v>0</v>
      </c>
      <c r="BA451" s="66">
        <f>IF(OR(A451="",'Smart Search'!H13=0),"",MAX(0,BE451*BF451*MAX(0,1-BG451)))</f>
        <v>0</v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>0</v>
      </c>
      <c r="BC451" s="66">
        <f>IF('Smart Search'!G13=1,IFERROR(1/'Smart Search'!H13,0),0)</f>
        <v>0</v>
      </c>
      <c r="BD451" s="66">
        <f t="shared" si="108"/>
        <v>0</v>
      </c>
      <c r="BE451" s="66">
        <f t="shared" si="109"/>
        <v>0</v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>0</v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>0</v>
      </c>
      <c r="BH451" s="5" t="str">
        <f>IF(AND('Project Database'!A455&lt;&gt;"",OR('Smart Search'!$L$5="",'Smart Search'!$L$5="All",TRIM('Project Database'!D455)=TRIM('Smart Search'!$L$5)),OR(TRIM('Smart Search'!$L$6)="",TRIM('Smart Search'!$L$6)="All",ISNUMBER(SEARCH(SUBSTITUTE(SUBSTITUTE(SUBSTITUTE(TRIM('Smart Search'!$L$6),"~","~~"),"*","~*"),"?","~?"),'Project Database'!C455))),OR('Smart Search'!$L$7="",AND('Project Database'!E455&lt;&gt;"",'Project Database'!E455='Smart Search'!$L$7)),OR('Smart Search'!$L$8="",'Smart Search'!$L$8="All",TRIM('Project Database'!F455)=TRIM('Smart Search'!$L$8))),IF(BA451="","",BA451+ROW()*0.0000000001),"")</f>
        <v/>
      </c>
      <c r="BI451" s="5" t="str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 t="str">
        <f>IF('Project Database'!A455="","",N('Project Database'!AC455))</f>
        <v/>
      </c>
      <c r="BK451" s="5" t="str">
        <f>IF('Project Database'!A455="","",N('Project Database'!AD455))</f>
        <v/>
      </c>
      <c r="BL451" s="5" t="str">
        <f>IF('Project Database'!A455="","",N('Project Database'!AE455))</f>
        <v/>
      </c>
      <c r="BM451" s="5" t="str">
        <f>IF('Project Database'!A455="","",N('Project Database'!AF455))</f>
        <v/>
      </c>
      <c r="BN451" s="5" t="str">
        <f>IF('Project Database'!A455="","",N('Project Database'!AG455))</f>
        <v/>
      </c>
      <c r="BO451" s="5" t="str">
        <f>IF('Project Database'!A455="","",N('Project Database'!AH455))</f>
        <v/>
      </c>
      <c r="BP451" s="5" t="str">
        <f>IF('Project Database'!A455="","",N('Project Database'!AI455))</f>
        <v/>
      </c>
      <c r="BQ451" s="5" t="str">
        <f>IF('Project Database'!A455="","",N('Project Database'!AJ455))</f>
        <v/>
      </c>
      <c r="BR451" s="5" t="str">
        <f>IF('Project Database'!A455="","",N('Project Database'!AK455))</f>
        <v/>
      </c>
      <c r="BS451" s="5" t="str">
        <f>IF('Project Database'!A455="","",N('Project Database'!AL455))</f>
        <v/>
      </c>
      <c r="BT451" s="5" t="str">
        <f>IF('Project Database'!A455="","",N('Project Database'!AM455))</f>
        <v/>
      </c>
      <c r="BU451" s="5" t="str">
        <f>IF('Project Database'!A455="","",N('Project Database'!AN455))</f>
        <v/>
      </c>
      <c r="BV451" s="5" t="str">
        <f>IF('Project Database'!A455="","",N('Project Database'!AO455))</f>
        <v/>
      </c>
      <c r="BW451" s="5" t="str">
        <f>IF('Project Database'!A455="","",N('Project Database'!AP455))</f>
        <v/>
      </c>
      <c r="BX451" s="5">
        <f t="shared" si="110"/>
        <v>0</v>
      </c>
      <c r="BY451" s="5">
        <f t="shared" si="111"/>
        <v>0</v>
      </c>
    </row>
    <row r="452" spans="1:77" ht="15" customHeight="1" x14ac:dyDescent="0.3">
      <c r="A452" s="66">
        <f>'Project Database'!A456</f>
        <v>0</v>
      </c>
      <c r="B452" s="66">
        <f>'Project Database'!B456</f>
        <v>0</v>
      </c>
      <c r="C452" s="66">
        <f>'Project Database'!G456</f>
        <v>0</v>
      </c>
      <c r="D452" s="66">
        <f>'Project Database'!H456</f>
        <v>0</v>
      </c>
      <c r="E452" s="66">
        <f>'Project Database'!I456</f>
        <v>0</v>
      </c>
      <c r="F452" s="66">
        <f>'Project Database'!J456</f>
        <v>0</v>
      </c>
      <c r="G452" s="66">
        <f>'Project Database'!K456</f>
        <v>0</v>
      </c>
      <c r="H452" s="66">
        <f>'Project Database'!L456</f>
        <v>0</v>
      </c>
      <c r="I452" s="66">
        <f>'Project Database'!M456</f>
        <v>0</v>
      </c>
      <c r="J452" s="66">
        <f>'Project Database'!N456</f>
        <v>0</v>
      </c>
      <c r="K452" s="66">
        <f>'Project Database'!O456</f>
        <v>0</v>
      </c>
      <c r="L452" s="66">
        <f>'Project Database'!P456</f>
        <v>0</v>
      </c>
      <c r="M452" s="66">
        <f>'Project Database'!Q456</f>
        <v>0</v>
      </c>
      <c r="N452" s="66">
        <f>'Project Database'!R456</f>
        <v>0</v>
      </c>
      <c r="O452" s="66">
        <f>'Project Database'!S456</f>
        <v>0</v>
      </c>
      <c r="P452" s="66">
        <f>'Project Database'!T456</f>
        <v>0</v>
      </c>
      <c r="Q452" s="66">
        <f>'Project Database'!U456</f>
        <v>0</v>
      </c>
      <c r="R452" s="66">
        <f>'Project Database'!V456</f>
        <v>0</v>
      </c>
      <c r="S452" s="66">
        <f>'Project Database'!W456</f>
        <v>0</v>
      </c>
      <c r="T452" s="66">
        <f>'Project Database'!X456</f>
        <v>0</v>
      </c>
      <c r="U452" s="67">
        <f>'Project Database'!Y456</f>
        <v>0</v>
      </c>
      <c r="V452" s="66">
        <f>IF('Smart Search'!B13=1,IFERROR(1/'Smart Search'!H13,0),0)</f>
        <v>0</v>
      </c>
      <c r="W452" s="66">
        <f>IF('Smart Search'!B13=1,IFERROR(1/'Smart Search'!H13,0),0)</f>
        <v>0</v>
      </c>
      <c r="X452" s="66">
        <f>IF('Smart Search'!C13=1,IFERROR(1/'Smart Search'!H13,0),0)</f>
        <v>0.5</v>
      </c>
      <c r="Y452" s="66">
        <f>IF('Smart Search'!C13=1,IFERROR(1/'Smart Search'!H13,0),0)</f>
        <v>0.5</v>
      </c>
      <c r="Z452" s="66">
        <f>IF('Smart Search'!D13=1,IFERROR(1/'Smart Search'!H13,0),0)</f>
        <v>0</v>
      </c>
      <c r="AA452" s="66">
        <f>IF('Smart Search'!D13=1,IFERROR(1/'Smart Search'!H13,0),0)</f>
        <v>0</v>
      </c>
      <c r="AB452" s="66">
        <f>IF('Smart Search'!E13=1,IFERROR(1/'Smart Search'!H13,0),0)</f>
        <v>0</v>
      </c>
      <c r="AC452" s="66">
        <f>IF('Smart Search'!E13=1,IFERROR(1/'Smart Search'!H13,0),0)</f>
        <v>0</v>
      </c>
      <c r="AD452" s="66">
        <f>IF('Smart Search'!F13=1,IFERROR(1/'Smart Search'!H13,0),0)</f>
        <v>0</v>
      </c>
      <c r="AE452" s="66">
        <f>IF('Smart Search'!F13=1,IFERROR(1/'Smart Search'!H13,0),0)</f>
        <v>0</v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>0</v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>0</v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>0</v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>0</v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>0</v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>0</v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>0</v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>0</v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>0</v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>0</v>
      </c>
      <c r="AP452" s="66">
        <f t="shared" si="98"/>
        <v>0</v>
      </c>
      <c r="AQ452" s="66">
        <f t="shared" si="99"/>
        <v>0</v>
      </c>
      <c r="AR452" s="66">
        <f t="shared" si="100"/>
        <v>0</v>
      </c>
      <c r="AS452" s="66">
        <f t="shared" si="101"/>
        <v>0</v>
      </c>
      <c r="AT452" s="66">
        <f t="shared" si="102"/>
        <v>0</v>
      </c>
      <c r="AU452" s="66">
        <f t="shared" si="103"/>
        <v>0</v>
      </c>
      <c r="AV452" s="66">
        <f t="shared" si="104"/>
        <v>0</v>
      </c>
      <c r="AW452" s="66">
        <f t="shared" si="105"/>
        <v>0</v>
      </c>
      <c r="AX452" s="66">
        <f t="shared" si="106"/>
        <v>0</v>
      </c>
      <c r="AY452" s="66">
        <f t="shared" si="107"/>
        <v>0</v>
      </c>
      <c r="AZ452" s="66">
        <f>'Project Database'!Z456</f>
        <v>0</v>
      </c>
      <c r="BA452" s="66">
        <f>IF(OR(A452="",'Smart Search'!H13=0),"",MAX(0,BE452*BF452*MAX(0,1-BG452)))</f>
        <v>0</v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>0</v>
      </c>
      <c r="BC452" s="66">
        <f>IF('Smart Search'!G13=1,IFERROR(1/'Smart Search'!H13,0),0)</f>
        <v>0</v>
      </c>
      <c r="BD452" s="66">
        <f t="shared" si="108"/>
        <v>0</v>
      </c>
      <c r="BE452" s="66">
        <f t="shared" si="109"/>
        <v>0</v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>0</v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>0</v>
      </c>
      <c r="BH452" s="5" t="str">
        <f>IF(AND('Project Database'!A456&lt;&gt;"",OR('Smart Search'!$L$5="",'Smart Search'!$L$5="All",TRIM('Project Database'!D456)=TRIM('Smart Search'!$L$5)),OR(TRIM('Smart Search'!$L$6)="",TRIM('Smart Search'!$L$6)="All",ISNUMBER(SEARCH(SUBSTITUTE(SUBSTITUTE(SUBSTITUTE(TRIM('Smart Search'!$L$6),"~","~~"),"*","~*"),"?","~?"),'Project Database'!C456))),OR('Smart Search'!$L$7="",AND('Project Database'!E456&lt;&gt;"",'Project Database'!E456='Smart Search'!$L$7)),OR('Smart Search'!$L$8="",'Smart Search'!$L$8="All",TRIM('Project Database'!F456)=TRIM('Smart Search'!$L$8))),IF(BA452="","",BA452+ROW()*0.0000000001),"")</f>
        <v/>
      </c>
      <c r="BI452" s="5" t="str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 t="str">
        <f>IF('Project Database'!A456="","",N('Project Database'!AC456))</f>
        <v/>
      </c>
      <c r="BK452" s="5" t="str">
        <f>IF('Project Database'!A456="","",N('Project Database'!AD456))</f>
        <v/>
      </c>
      <c r="BL452" s="5" t="str">
        <f>IF('Project Database'!A456="","",N('Project Database'!AE456))</f>
        <v/>
      </c>
      <c r="BM452" s="5" t="str">
        <f>IF('Project Database'!A456="","",N('Project Database'!AF456))</f>
        <v/>
      </c>
      <c r="BN452" s="5" t="str">
        <f>IF('Project Database'!A456="","",N('Project Database'!AG456))</f>
        <v/>
      </c>
      <c r="BO452" s="5" t="str">
        <f>IF('Project Database'!A456="","",N('Project Database'!AH456))</f>
        <v/>
      </c>
      <c r="BP452" s="5" t="str">
        <f>IF('Project Database'!A456="","",N('Project Database'!AI456))</f>
        <v/>
      </c>
      <c r="BQ452" s="5" t="str">
        <f>IF('Project Database'!A456="","",N('Project Database'!AJ456))</f>
        <v/>
      </c>
      <c r="BR452" s="5" t="str">
        <f>IF('Project Database'!A456="","",N('Project Database'!AK456))</f>
        <v/>
      </c>
      <c r="BS452" s="5" t="str">
        <f>IF('Project Database'!A456="","",N('Project Database'!AL456))</f>
        <v/>
      </c>
      <c r="BT452" s="5" t="str">
        <f>IF('Project Database'!A456="","",N('Project Database'!AM456))</f>
        <v/>
      </c>
      <c r="BU452" s="5" t="str">
        <f>IF('Project Database'!A456="","",N('Project Database'!AN456))</f>
        <v/>
      </c>
      <c r="BV452" s="5" t="str">
        <f>IF('Project Database'!A456="","",N('Project Database'!AO456))</f>
        <v/>
      </c>
      <c r="BW452" s="5" t="str">
        <f>IF('Project Database'!A456="","",N('Project Database'!AP456))</f>
        <v/>
      </c>
      <c r="BX452" s="5">
        <f t="shared" si="110"/>
        <v>0</v>
      </c>
      <c r="BY452" s="5">
        <f t="shared" si="111"/>
        <v>0</v>
      </c>
    </row>
    <row r="453" spans="1:77" ht="15" customHeight="1" x14ac:dyDescent="0.3">
      <c r="A453" s="66">
        <f>'Project Database'!A457</f>
        <v>0</v>
      </c>
      <c r="B453" s="66">
        <f>'Project Database'!B457</f>
        <v>0</v>
      </c>
      <c r="C453" s="66">
        <f>'Project Database'!G457</f>
        <v>0</v>
      </c>
      <c r="D453" s="66">
        <f>'Project Database'!H457</f>
        <v>0</v>
      </c>
      <c r="E453" s="66">
        <f>'Project Database'!I457</f>
        <v>0</v>
      </c>
      <c r="F453" s="66">
        <f>'Project Database'!J457</f>
        <v>0</v>
      </c>
      <c r="G453" s="66">
        <f>'Project Database'!K457</f>
        <v>0</v>
      </c>
      <c r="H453" s="66">
        <f>'Project Database'!L457</f>
        <v>0</v>
      </c>
      <c r="I453" s="66">
        <f>'Project Database'!M457</f>
        <v>0</v>
      </c>
      <c r="J453" s="66">
        <f>'Project Database'!N457</f>
        <v>0</v>
      </c>
      <c r="K453" s="66">
        <f>'Project Database'!O457</f>
        <v>0</v>
      </c>
      <c r="L453" s="66">
        <f>'Project Database'!P457</f>
        <v>0</v>
      </c>
      <c r="M453" s="66">
        <f>'Project Database'!Q457</f>
        <v>0</v>
      </c>
      <c r="N453" s="66">
        <f>'Project Database'!R457</f>
        <v>0</v>
      </c>
      <c r="O453" s="66">
        <f>'Project Database'!S457</f>
        <v>0</v>
      </c>
      <c r="P453" s="66">
        <f>'Project Database'!T457</f>
        <v>0</v>
      </c>
      <c r="Q453" s="66">
        <f>'Project Database'!U457</f>
        <v>0</v>
      </c>
      <c r="R453" s="66">
        <f>'Project Database'!V457</f>
        <v>0</v>
      </c>
      <c r="S453" s="66">
        <f>'Project Database'!W457</f>
        <v>0</v>
      </c>
      <c r="T453" s="66">
        <f>'Project Database'!X457</f>
        <v>0</v>
      </c>
      <c r="U453" s="67">
        <f>'Project Database'!Y457</f>
        <v>0</v>
      </c>
      <c r="V453" s="66">
        <f>IF('Smart Search'!B13=1,IFERROR(1/'Smart Search'!H13,0),0)</f>
        <v>0</v>
      </c>
      <c r="W453" s="66">
        <f>IF('Smart Search'!B13=1,IFERROR(1/'Smart Search'!H13,0),0)</f>
        <v>0</v>
      </c>
      <c r="X453" s="66">
        <f>IF('Smart Search'!C13=1,IFERROR(1/'Smart Search'!H13,0),0)</f>
        <v>0.5</v>
      </c>
      <c r="Y453" s="66">
        <f>IF('Smart Search'!C13=1,IFERROR(1/'Smart Search'!H13,0),0)</f>
        <v>0.5</v>
      </c>
      <c r="Z453" s="66">
        <f>IF('Smart Search'!D13=1,IFERROR(1/'Smart Search'!H13,0),0)</f>
        <v>0</v>
      </c>
      <c r="AA453" s="66">
        <f>IF('Smart Search'!D13=1,IFERROR(1/'Smart Search'!H13,0),0)</f>
        <v>0</v>
      </c>
      <c r="AB453" s="66">
        <f>IF('Smart Search'!E13=1,IFERROR(1/'Smart Search'!H13,0),0)</f>
        <v>0</v>
      </c>
      <c r="AC453" s="66">
        <f>IF('Smart Search'!E13=1,IFERROR(1/'Smart Search'!H13,0),0)</f>
        <v>0</v>
      </c>
      <c r="AD453" s="66">
        <f>IF('Smart Search'!F13=1,IFERROR(1/'Smart Search'!H13,0),0)</f>
        <v>0</v>
      </c>
      <c r="AE453" s="66">
        <f>IF('Smart Search'!F13=1,IFERROR(1/'Smart Search'!H13,0),0)</f>
        <v>0</v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>0</v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>0</v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>0</v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>0</v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>0</v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>0</v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>0</v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>0</v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>0</v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>0</v>
      </c>
      <c r="AP453" s="66">
        <f t="shared" si="98"/>
        <v>0</v>
      </c>
      <c r="AQ453" s="66">
        <f t="shared" si="99"/>
        <v>0</v>
      </c>
      <c r="AR453" s="66">
        <f t="shared" si="100"/>
        <v>0</v>
      </c>
      <c r="AS453" s="66">
        <f t="shared" si="101"/>
        <v>0</v>
      </c>
      <c r="AT453" s="66">
        <f t="shared" si="102"/>
        <v>0</v>
      </c>
      <c r="AU453" s="66">
        <f t="shared" si="103"/>
        <v>0</v>
      </c>
      <c r="AV453" s="66">
        <f t="shared" si="104"/>
        <v>0</v>
      </c>
      <c r="AW453" s="66">
        <f t="shared" si="105"/>
        <v>0</v>
      </c>
      <c r="AX453" s="66">
        <f t="shared" si="106"/>
        <v>0</v>
      </c>
      <c r="AY453" s="66">
        <f t="shared" si="107"/>
        <v>0</v>
      </c>
      <c r="AZ453" s="66">
        <f>'Project Database'!Z457</f>
        <v>0</v>
      </c>
      <c r="BA453" s="66">
        <f>IF(OR(A453="",'Smart Search'!H13=0),"",MAX(0,BE453*BF453*MAX(0,1-BG453)))</f>
        <v>0</v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>0</v>
      </c>
      <c r="BC453" s="66">
        <f>IF('Smart Search'!G13=1,IFERROR(1/'Smart Search'!H13,0),0)</f>
        <v>0</v>
      </c>
      <c r="BD453" s="66">
        <f t="shared" si="108"/>
        <v>0</v>
      </c>
      <c r="BE453" s="66">
        <f t="shared" si="109"/>
        <v>0</v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>0</v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>0</v>
      </c>
      <c r="BH453" s="5" t="str">
        <f>IF(AND('Project Database'!A457&lt;&gt;"",OR('Smart Search'!$L$5="",'Smart Search'!$L$5="All",TRIM('Project Database'!D457)=TRIM('Smart Search'!$L$5)),OR(TRIM('Smart Search'!$L$6)="",TRIM('Smart Search'!$L$6)="All",ISNUMBER(SEARCH(SUBSTITUTE(SUBSTITUTE(SUBSTITUTE(TRIM('Smart Search'!$L$6),"~","~~"),"*","~*"),"?","~?"),'Project Database'!C457))),OR('Smart Search'!$L$7="",AND('Project Database'!E457&lt;&gt;"",'Project Database'!E457='Smart Search'!$L$7)),OR('Smart Search'!$L$8="",'Smart Search'!$L$8="All",TRIM('Project Database'!F457)=TRIM('Smart Search'!$L$8))),IF(BA453="","",BA453+ROW()*0.0000000001),"")</f>
        <v/>
      </c>
      <c r="BI453" s="5" t="str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 t="str">
        <f>IF('Project Database'!A457="","",N('Project Database'!AC457))</f>
        <v/>
      </c>
      <c r="BK453" s="5" t="str">
        <f>IF('Project Database'!A457="","",N('Project Database'!AD457))</f>
        <v/>
      </c>
      <c r="BL453" s="5" t="str">
        <f>IF('Project Database'!A457="","",N('Project Database'!AE457))</f>
        <v/>
      </c>
      <c r="BM453" s="5" t="str">
        <f>IF('Project Database'!A457="","",N('Project Database'!AF457))</f>
        <v/>
      </c>
      <c r="BN453" s="5" t="str">
        <f>IF('Project Database'!A457="","",N('Project Database'!AG457))</f>
        <v/>
      </c>
      <c r="BO453" s="5" t="str">
        <f>IF('Project Database'!A457="","",N('Project Database'!AH457))</f>
        <v/>
      </c>
      <c r="BP453" s="5" t="str">
        <f>IF('Project Database'!A457="","",N('Project Database'!AI457))</f>
        <v/>
      </c>
      <c r="BQ453" s="5" t="str">
        <f>IF('Project Database'!A457="","",N('Project Database'!AJ457))</f>
        <v/>
      </c>
      <c r="BR453" s="5" t="str">
        <f>IF('Project Database'!A457="","",N('Project Database'!AK457))</f>
        <v/>
      </c>
      <c r="BS453" s="5" t="str">
        <f>IF('Project Database'!A457="","",N('Project Database'!AL457))</f>
        <v/>
      </c>
      <c r="BT453" s="5" t="str">
        <f>IF('Project Database'!A457="","",N('Project Database'!AM457))</f>
        <v/>
      </c>
      <c r="BU453" s="5" t="str">
        <f>IF('Project Database'!A457="","",N('Project Database'!AN457))</f>
        <v/>
      </c>
      <c r="BV453" s="5" t="str">
        <f>IF('Project Database'!A457="","",N('Project Database'!AO457))</f>
        <v/>
      </c>
      <c r="BW453" s="5" t="str">
        <f>IF('Project Database'!A457="","",N('Project Database'!AP457))</f>
        <v/>
      </c>
      <c r="BX453" s="5">
        <f t="shared" si="110"/>
        <v>0</v>
      </c>
      <c r="BY453" s="5">
        <f t="shared" si="111"/>
        <v>0</v>
      </c>
    </row>
    <row r="454" spans="1:77" ht="15" customHeight="1" x14ac:dyDescent="0.3">
      <c r="A454" s="66">
        <f>'Project Database'!A458</f>
        <v>0</v>
      </c>
      <c r="B454" s="66">
        <f>'Project Database'!B458</f>
        <v>0</v>
      </c>
      <c r="C454" s="66">
        <f>'Project Database'!G458</f>
        <v>0</v>
      </c>
      <c r="D454" s="66">
        <f>'Project Database'!H458</f>
        <v>0</v>
      </c>
      <c r="E454" s="66">
        <f>'Project Database'!I458</f>
        <v>0</v>
      </c>
      <c r="F454" s="66">
        <f>'Project Database'!J458</f>
        <v>0</v>
      </c>
      <c r="G454" s="66">
        <f>'Project Database'!K458</f>
        <v>0</v>
      </c>
      <c r="H454" s="66">
        <f>'Project Database'!L458</f>
        <v>0</v>
      </c>
      <c r="I454" s="66">
        <f>'Project Database'!M458</f>
        <v>0</v>
      </c>
      <c r="J454" s="66">
        <f>'Project Database'!N458</f>
        <v>0</v>
      </c>
      <c r="K454" s="66">
        <f>'Project Database'!O458</f>
        <v>0</v>
      </c>
      <c r="L454" s="66">
        <f>'Project Database'!P458</f>
        <v>0</v>
      </c>
      <c r="M454" s="66">
        <f>'Project Database'!Q458</f>
        <v>0</v>
      </c>
      <c r="N454" s="66">
        <f>'Project Database'!R458</f>
        <v>0</v>
      </c>
      <c r="O454" s="66">
        <f>'Project Database'!S458</f>
        <v>0</v>
      </c>
      <c r="P454" s="66">
        <f>'Project Database'!T458</f>
        <v>0</v>
      </c>
      <c r="Q454" s="66">
        <f>'Project Database'!U458</f>
        <v>0</v>
      </c>
      <c r="R454" s="66">
        <f>'Project Database'!V458</f>
        <v>0</v>
      </c>
      <c r="S454" s="66">
        <f>'Project Database'!W458</f>
        <v>0</v>
      </c>
      <c r="T454" s="66">
        <f>'Project Database'!X458</f>
        <v>0</v>
      </c>
      <c r="U454" s="67">
        <f>'Project Database'!Y458</f>
        <v>0</v>
      </c>
      <c r="V454" s="66">
        <f>IF('Smart Search'!B13=1,IFERROR(1/'Smart Search'!H13,0),0)</f>
        <v>0</v>
      </c>
      <c r="W454" s="66">
        <f>IF('Smart Search'!B13=1,IFERROR(1/'Smart Search'!H13,0),0)</f>
        <v>0</v>
      </c>
      <c r="X454" s="66">
        <f>IF('Smart Search'!C13=1,IFERROR(1/'Smart Search'!H13,0),0)</f>
        <v>0.5</v>
      </c>
      <c r="Y454" s="66">
        <f>IF('Smart Search'!C13=1,IFERROR(1/'Smart Search'!H13,0),0)</f>
        <v>0.5</v>
      </c>
      <c r="Z454" s="66">
        <f>IF('Smart Search'!D13=1,IFERROR(1/'Smart Search'!H13,0),0)</f>
        <v>0</v>
      </c>
      <c r="AA454" s="66">
        <f>IF('Smart Search'!D13=1,IFERROR(1/'Smart Search'!H13,0),0)</f>
        <v>0</v>
      </c>
      <c r="AB454" s="66">
        <f>IF('Smart Search'!E13=1,IFERROR(1/'Smart Search'!H13,0),0)</f>
        <v>0</v>
      </c>
      <c r="AC454" s="66">
        <f>IF('Smart Search'!E13=1,IFERROR(1/'Smart Search'!H13,0),0)</f>
        <v>0</v>
      </c>
      <c r="AD454" s="66">
        <f>IF('Smart Search'!F13=1,IFERROR(1/'Smart Search'!H13,0),0)</f>
        <v>0</v>
      </c>
      <c r="AE454" s="66">
        <f>IF('Smart Search'!F13=1,IFERROR(1/'Smart Search'!H13,0),0)</f>
        <v>0</v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>0</v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>0</v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>0</v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>0</v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>0</v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>0</v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>0</v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>0</v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>0</v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>0</v>
      </c>
      <c r="AP454" s="66">
        <f t="shared" si="98"/>
        <v>0</v>
      </c>
      <c r="AQ454" s="66">
        <f t="shared" si="99"/>
        <v>0</v>
      </c>
      <c r="AR454" s="66">
        <f t="shared" si="100"/>
        <v>0</v>
      </c>
      <c r="AS454" s="66">
        <f t="shared" si="101"/>
        <v>0</v>
      </c>
      <c r="AT454" s="66">
        <f t="shared" si="102"/>
        <v>0</v>
      </c>
      <c r="AU454" s="66">
        <f t="shared" si="103"/>
        <v>0</v>
      </c>
      <c r="AV454" s="66">
        <f t="shared" si="104"/>
        <v>0</v>
      </c>
      <c r="AW454" s="66">
        <f t="shared" si="105"/>
        <v>0</v>
      </c>
      <c r="AX454" s="66">
        <f t="shared" si="106"/>
        <v>0</v>
      </c>
      <c r="AY454" s="66">
        <f t="shared" si="107"/>
        <v>0</v>
      </c>
      <c r="AZ454" s="66">
        <f>'Project Database'!Z458</f>
        <v>0</v>
      </c>
      <c r="BA454" s="66">
        <f>IF(OR(A454="",'Smart Search'!H13=0),"",MAX(0,BE454*BF454*MAX(0,1-BG454)))</f>
        <v>0</v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>0</v>
      </c>
      <c r="BC454" s="66">
        <f>IF('Smart Search'!G13=1,IFERROR(1/'Smart Search'!H13,0),0)</f>
        <v>0</v>
      </c>
      <c r="BD454" s="66">
        <f t="shared" si="108"/>
        <v>0</v>
      </c>
      <c r="BE454" s="66">
        <f t="shared" si="109"/>
        <v>0</v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>0</v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>0</v>
      </c>
      <c r="BH454" s="5" t="str">
        <f>IF(AND('Project Database'!A458&lt;&gt;"",OR('Smart Search'!$L$5="",'Smart Search'!$L$5="All",TRIM('Project Database'!D458)=TRIM('Smart Search'!$L$5)),OR(TRIM('Smart Search'!$L$6)="",TRIM('Smart Search'!$L$6)="All",ISNUMBER(SEARCH(SUBSTITUTE(SUBSTITUTE(SUBSTITUTE(TRIM('Smart Search'!$L$6),"~","~~"),"*","~*"),"?","~?"),'Project Database'!C458))),OR('Smart Search'!$L$7="",AND('Project Database'!E458&lt;&gt;"",'Project Database'!E458='Smart Search'!$L$7)),OR('Smart Search'!$L$8="",'Smart Search'!$L$8="All",TRIM('Project Database'!F458)=TRIM('Smart Search'!$L$8))),IF(BA454="","",BA454+ROW()*0.0000000001),"")</f>
        <v/>
      </c>
      <c r="BI454" s="5" t="str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 t="str">
        <f>IF('Project Database'!A458="","",N('Project Database'!AC458))</f>
        <v/>
      </c>
      <c r="BK454" s="5" t="str">
        <f>IF('Project Database'!A458="","",N('Project Database'!AD458))</f>
        <v/>
      </c>
      <c r="BL454" s="5" t="str">
        <f>IF('Project Database'!A458="","",N('Project Database'!AE458))</f>
        <v/>
      </c>
      <c r="BM454" s="5" t="str">
        <f>IF('Project Database'!A458="","",N('Project Database'!AF458))</f>
        <v/>
      </c>
      <c r="BN454" s="5" t="str">
        <f>IF('Project Database'!A458="","",N('Project Database'!AG458))</f>
        <v/>
      </c>
      <c r="BO454" s="5" t="str">
        <f>IF('Project Database'!A458="","",N('Project Database'!AH458))</f>
        <v/>
      </c>
      <c r="BP454" s="5" t="str">
        <f>IF('Project Database'!A458="","",N('Project Database'!AI458))</f>
        <v/>
      </c>
      <c r="BQ454" s="5" t="str">
        <f>IF('Project Database'!A458="","",N('Project Database'!AJ458))</f>
        <v/>
      </c>
      <c r="BR454" s="5" t="str">
        <f>IF('Project Database'!A458="","",N('Project Database'!AK458))</f>
        <v/>
      </c>
      <c r="BS454" s="5" t="str">
        <f>IF('Project Database'!A458="","",N('Project Database'!AL458))</f>
        <v/>
      </c>
      <c r="BT454" s="5" t="str">
        <f>IF('Project Database'!A458="","",N('Project Database'!AM458))</f>
        <v/>
      </c>
      <c r="BU454" s="5" t="str">
        <f>IF('Project Database'!A458="","",N('Project Database'!AN458))</f>
        <v/>
      </c>
      <c r="BV454" s="5" t="str">
        <f>IF('Project Database'!A458="","",N('Project Database'!AO458))</f>
        <v/>
      </c>
      <c r="BW454" s="5" t="str">
        <f>IF('Project Database'!A458="","",N('Project Database'!AP458))</f>
        <v/>
      </c>
      <c r="BX454" s="5">
        <f t="shared" si="110"/>
        <v>0</v>
      </c>
      <c r="BY454" s="5">
        <f t="shared" si="111"/>
        <v>0</v>
      </c>
    </row>
    <row r="455" spans="1:77" ht="15" customHeight="1" x14ac:dyDescent="0.3">
      <c r="A455" s="66">
        <f>'Project Database'!A459</f>
        <v>0</v>
      </c>
      <c r="B455" s="66">
        <f>'Project Database'!B459</f>
        <v>0</v>
      </c>
      <c r="C455" s="66">
        <f>'Project Database'!G459</f>
        <v>0</v>
      </c>
      <c r="D455" s="66">
        <f>'Project Database'!H459</f>
        <v>0</v>
      </c>
      <c r="E455" s="66">
        <f>'Project Database'!I459</f>
        <v>0</v>
      </c>
      <c r="F455" s="66">
        <f>'Project Database'!J459</f>
        <v>0</v>
      </c>
      <c r="G455" s="66">
        <f>'Project Database'!K459</f>
        <v>0</v>
      </c>
      <c r="H455" s="66">
        <f>'Project Database'!L459</f>
        <v>0</v>
      </c>
      <c r="I455" s="66">
        <f>'Project Database'!M459</f>
        <v>0</v>
      </c>
      <c r="J455" s="66">
        <f>'Project Database'!N459</f>
        <v>0</v>
      </c>
      <c r="K455" s="66">
        <f>'Project Database'!O459</f>
        <v>0</v>
      </c>
      <c r="L455" s="66">
        <f>'Project Database'!P459</f>
        <v>0</v>
      </c>
      <c r="M455" s="66">
        <f>'Project Database'!Q459</f>
        <v>0</v>
      </c>
      <c r="N455" s="66">
        <f>'Project Database'!R459</f>
        <v>0</v>
      </c>
      <c r="O455" s="66">
        <f>'Project Database'!S459</f>
        <v>0</v>
      </c>
      <c r="P455" s="66">
        <f>'Project Database'!T459</f>
        <v>0</v>
      </c>
      <c r="Q455" s="66">
        <f>'Project Database'!U459</f>
        <v>0</v>
      </c>
      <c r="R455" s="66">
        <f>'Project Database'!V459</f>
        <v>0</v>
      </c>
      <c r="S455" s="66">
        <f>'Project Database'!W459</f>
        <v>0</v>
      </c>
      <c r="T455" s="66">
        <f>'Project Database'!X459</f>
        <v>0</v>
      </c>
      <c r="U455" s="67">
        <f>'Project Database'!Y459</f>
        <v>0</v>
      </c>
      <c r="V455" s="66">
        <f>IF('Smart Search'!B13=1,IFERROR(1/'Smart Search'!H13,0),0)</f>
        <v>0</v>
      </c>
      <c r="W455" s="66">
        <f>IF('Smart Search'!B13=1,IFERROR(1/'Smart Search'!H13,0),0)</f>
        <v>0</v>
      </c>
      <c r="X455" s="66">
        <f>IF('Smart Search'!C13=1,IFERROR(1/'Smart Search'!H13,0),0)</f>
        <v>0.5</v>
      </c>
      <c r="Y455" s="66">
        <f>IF('Smart Search'!C13=1,IFERROR(1/'Smart Search'!H13,0),0)</f>
        <v>0.5</v>
      </c>
      <c r="Z455" s="66">
        <f>IF('Smart Search'!D13=1,IFERROR(1/'Smart Search'!H13,0),0)</f>
        <v>0</v>
      </c>
      <c r="AA455" s="66">
        <f>IF('Smart Search'!D13=1,IFERROR(1/'Smart Search'!H13,0),0)</f>
        <v>0</v>
      </c>
      <c r="AB455" s="66">
        <f>IF('Smart Search'!E13=1,IFERROR(1/'Smart Search'!H13,0),0)</f>
        <v>0</v>
      </c>
      <c r="AC455" s="66">
        <f>IF('Smart Search'!E13=1,IFERROR(1/'Smart Search'!H13,0),0)</f>
        <v>0</v>
      </c>
      <c r="AD455" s="66">
        <f>IF('Smart Search'!F13=1,IFERROR(1/'Smart Search'!H13,0),0)</f>
        <v>0</v>
      </c>
      <c r="AE455" s="66">
        <f>IF('Smart Search'!F13=1,IFERROR(1/'Smart Search'!H13,0),0)</f>
        <v>0</v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>0</v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>0</v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>0</v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>0</v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>0</v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>0</v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>0</v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>0</v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>0</v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>0</v>
      </c>
      <c r="AP455" s="66">
        <f t="shared" si="98"/>
        <v>0</v>
      </c>
      <c r="AQ455" s="66">
        <f t="shared" si="99"/>
        <v>0</v>
      </c>
      <c r="AR455" s="66">
        <f t="shared" si="100"/>
        <v>0</v>
      </c>
      <c r="AS455" s="66">
        <f t="shared" si="101"/>
        <v>0</v>
      </c>
      <c r="AT455" s="66">
        <f t="shared" si="102"/>
        <v>0</v>
      </c>
      <c r="AU455" s="66">
        <f t="shared" si="103"/>
        <v>0</v>
      </c>
      <c r="AV455" s="66">
        <f t="shared" si="104"/>
        <v>0</v>
      </c>
      <c r="AW455" s="66">
        <f t="shared" si="105"/>
        <v>0</v>
      </c>
      <c r="AX455" s="66">
        <f t="shared" si="106"/>
        <v>0</v>
      </c>
      <c r="AY455" s="66">
        <f t="shared" si="107"/>
        <v>0</v>
      </c>
      <c r="AZ455" s="66">
        <f>'Project Database'!Z459</f>
        <v>0</v>
      </c>
      <c r="BA455" s="66">
        <f>IF(OR(A455="",'Smart Search'!H13=0),"",MAX(0,BE455*BF455*MAX(0,1-BG455)))</f>
        <v>0</v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>0</v>
      </c>
      <c r="BC455" s="66">
        <f>IF('Smart Search'!G13=1,IFERROR(1/'Smart Search'!H13,0),0)</f>
        <v>0</v>
      </c>
      <c r="BD455" s="66">
        <f t="shared" si="108"/>
        <v>0</v>
      </c>
      <c r="BE455" s="66">
        <f t="shared" si="109"/>
        <v>0</v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>0</v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>0</v>
      </c>
      <c r="BH455" s="5" t="str">
        <f>IF(AND('Project Database'!A459&lt;&gt;"",OR('Smart Search'!$L$5="",'Smart Search'!$L$5="All",TRIM('Project Database'!D459)=TRIM('Smart Search'!$L$5)),OR(TRIM('Smart Search'!$L$6)="",TRIM('Smart Search'!$L$6)="All",ISNUMBER(SEARCH(SUBSTITUTE(SUBSTITUTE(SUBSTITUTE(TRIM('Smart Search'!$L$6),"~","~~"),"*","~*"),"?","~?"),'Project Database'!C459))),OR('Smart Search'!$L$7="",AND('Project Database'!E459&lt;&gt;"",'Project Database'!E459='Smart Search'!$L$7)),OR('Smart Search'!$L$8="",'Smart Search'!$L$8="All",TRIM('Project Database'!F459)=TRIM('Smart Search'!$L$8))),IF(BA455="","",BA455+ROW()*0.0000000001),"")</f>
        <v/>
      </c>
      <c r="BI455" s="5" t="str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 t="str">
        <f>IF('Project Database'!A459="","",N('Project Database'!AC459))</f>
        <v/>
      </c>
      <c r="BK455" s="5" t="str">
        <f>IF('Project Database'!A459="","",N('Project Database'!AD459))</f>
        <v/>
      </c>
      <c r="BL455" s="5" t="str">
        <f>IF('Project Database'!A459="","",N('Project Database'!AE459))</f>
        <v/>
      </c>
      <c r="BM455" s="5" t="str">
        <f>IF('Project Database'!A459="","",N('Project Database'!AF459))</f>
        <v/>
      </c>
      <c r="BN455" s="5" t="str">
        <f>IF('Project Database'!A459="","",N('Project Database'!AG459))</f>
        <v/>
      </c>
      <c r="BO455" s="5" t="str">
        <f>IF('Project Database'!A459="","",N('Project Database'!AH459))</f>
        <v/>
      </c>
      <c r="BP455" s="5" t="str">
        <f>IF('Project Database'!A459="","",N('Project Database'!AI459))</f>
        <v/>
      </c>
      <c r="BQ455" s="5" t="str">
        <f>IF('Project Database'!A459="","",N('Project Database'!AJ459))</f>
        <v/>
      </c>
      <c r="BR455" s="5" t="str">
        <f>IF('Project Database'!A459="","",N('Project Database'!AK459))</f>
        <v/>
      </c>
      <c r="BS455" s="5" t="str">
        <f>IF('Project Database'!A459="","",N('Project Database'!AL459))</f>
        <v/>
      </c>
      <c r="BT455" s="5" t="str">
        <f>IF('Project Database'!A459="","",N('Project Database'!AM459))</f>
        <v/>
      </c>
      <c r="BU455" s="5" t="str">
        <f>IF('Project Database'!A459="","",N('Project Database'!AN459))</f>
        <v/>
      </c>
      <c r="BV455" s="5" t="str">
        <f>IF('Project Database'!A459="","",N('Project Database'!AO459))</f>
        <v/>
      </c>
      <c r="BW455" s="5" t="str">
        <f>IF('Project Database'!A459="","",N('Project Database'!AP459))</f>
        <v/>
      </c>
      <c r="BX455" s="5">
        <f t="shared" si="110"/>
        <v>0</v>
      </c>
      <c r="BY455" s="5">
        <f t="shared" si="111"/>
        <v>0</v>
      </c>
    </row>
    <row r="456" spans="1:77" ht="15" customHeight="1" x14ac:dyDescent="0.3">
      <c r="A456" s="66">
        <f>'Project Database'!A460</f>
        <v>0</v>
      </c>
      <c r="B456" s="66">
        <f>'Project Database'!B460</f>
        <v>0</v>
      </c>
      <c r="C456" s="66">
        <f>'Project Database'!G460</f>
        <v>0</v>
      </c>
      <c r="D456" s="66">
        <f>'Project Database'!H460</f>
        <v>0</v>
      </c>
      <c r="E456" s="66">
        <f>'Project Database'!I460</f>
        <v>0</v>
      </c>
      <c r="F456" s="66">
        <f>'Project Database'!J460</f>
        <v>0</v>
      </c>
      <c r="G456" s="66">
        <f>'Project Database'!K460</f>
        <v>0</v>
      </c>
      <c r="H456" s="66">
        <f>'Project Database'!L460</f>
        <v>0</v>
      </c>
      <c r="I456" s="66">
        <f>'Project Database'!M460</f>
        <v>0</v>
      </c>
      <c r="J456" s="66">
        <f>'Project Database'!N460</f>
        <v>0</v>
      </c>
      <c r="K456" s="66">
        <f>'Project Database'!O460</f>
        <v>0</v>
      </c>
      <c r="L456" s="66">
        <f>'Project Database'!P460</f>
        <v>0</v>
      </c>
      <c r="M456" s="66">
        <f>'Project Database'!Q460</f>
        <v>0</v>
      </c>
      <c r="N456" s="66">
        <f>'Project Database'!R460</f>
        <v>0</v>
      </c>
      <c r="O456" s="66">
        <f>'Project Database'!S460</f>
        <v>0</v>
      </c>
      <c r="P456" s="66">
        <f>'Project Database'!T460</f>
        <v>0</v>
      </c>
      <c r="Q456" s="66">
        <f>'Project Database'!U460</f>
        <v>0</v>
      </c>
      <c r="R456" s="66">
        <f>'Project Database'!V460</f>
        <v>0</v>
      </c>
      <c r="S456" s="66">
        <f>'Project Database'!W460</f>
        <v>0</v>
      </c>
      <c r="T456" s="66">
        <f>'Project Database'!X460</f>
        <v>0</v>
      </c>
      <c r="U456" s="67">
        <f>'Project Database'!Y460</f>
        <v>0</v>
      </c>
      <c r="V456" s="66">
        <f>IF('Smart Search'!B13=1,IFERROR(1/'Smart Search'!H13,0),0)</f>
        <v>0</v>
      </c>
      <c r="W456" s="66">
        <f>IF('Smart Search'!B13=1,IFERROR(1/'Smart Search'!H13,0),0)</f>
        <v>0</v>
      </c>
      <c r="X456" s="66">
        <f>IF('Smart Search'!C13=1,IFERROR(1/'Smart Search'!H13,0),0)</f>
        <v>0.5</v>
      </c>
      <c r="Y456" s="66">
        <f>IF('Smart Search'!C13=1,IFERROR(1/'Smart Search'!H13,0),0)</f>
        <v>0.5</v>
      </c>
      <c r="Z456" s="66">
        <f>IF('Smart Search'!D13=1,IFERROR(1/'Smart Search'!H13,0),0)</f>
        <v>0</v>
      </c>
      <c r="AA456" s="66">
        <f>IF('Smart Search'!D13=1,IFERROR(1/'Smart Search'!H13,0),0)</f>
        <v>0</v>
      </c>
      <c r="AB456" s="66">
        <f>IF('Smart Search'!E13=1,IFERROR(1/'Smart Search'!H13,0),0)</f>
        <v>0</v>
      </c>
      <c r="AC456" s="66">
        <f>IF('Smart Search'!E13=1,IFERROR(1/'Smart Search'!H13,0),0)</f>
        <v>0</v>
      </c>
      <c r="AD456" s="66">
        <f>IF('Smart Search'!F13=1,IFERROR(1/'Smart Search'!H13,0),0)</f>
        <v>0</v>
      </c>
      <c r="AE456" s="66">
        <f>IF('Smart Search'!F13=1,IFERROR(1/'Smart Search'!H13,0),0)</f>
        <v>0</v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>0</v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>0</v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>0</v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>0</v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>0</v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>0</v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>0</v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>0</v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>0</v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>0</v>
      </c>
      <c r="AP456" s="66">
        <f t="shared" si="98"/>
        <v>0</v>
      </c>
      <c r="AQ456" s="66">
        <f t="shared" si="99"/>
        <v>0</v>
      </c>
      <c r="AR456" s="66">
        <f t="shared" si="100"/>
        <v>0</v>
      </c>
      <c r="AS456" s="66">
        <f t="shared" si="101"/>
        <v>0</v>
      </c>
      <c r="AT456" s="66">
        <f t="shared" si="102"/>
        <v>0</v>
      </c>
      <c r="AU456" s="66">
        <f t="shared" si="103"/>
        <v>0</v>
      </c>
      <c r="AV456" s="66">
        <f t="shared" si="104"/>
        <v>0</v>
      </c>
      <c r="AW456" s="66">
        <f t="shared" si="105"/>
        <v>0</v>
      </c>
      <c r="AX456" s="66">
        <f t="shared" si="106"/>
        <v>0</v>
      </c>
      <c r="AY456" s="66">
        <f t="shared" si="107"/>
        <v>0</v>
      </c>
      <c r="AZ456" s="66">
        <f>'Project Database'!Z460</f>
        <v>0</v>
      </c>
      <c r="BA456" s="66">
        <f>IF(OR(A456="",'Smart Search'!H13=0),"",MAX(0,BE456*BF456*MAX(0,1-BG456)))</f>
        <v>0</v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>0</v>
      </c>
      <c r="BC456" s="66">
        <f>IF('Smart Search'!G13=1,IFERROR(1/'Smart Search'!H13,0),0)</f>
        <v>0</v>
      </c>
      <c r="BD456" s="66">
        <f t="shared" si="108"/>
        <v>0</v>
      </c>
      <c r="BE456" s="66">
        <f t="shared" si="109"/>
        <v>0</v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>0</v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>0</v>
      </c>
      <c r="BH456" s="5" t="str">
        <f>IF(AND('Project Database'!A460&lt;&gt;"",OR('Smart Search'!$L$5="",'Smart Search'!$L$5="All",TRIM('Project Database'!D460)=TRIM('Smart Search'!$L$5)),OR(TRIM('Smart Search'!$L$6)="",TRIM('Smart Search'!$L$6)="All",ISNUMBER(SEARCH(SUBSTITUTE(SUBSTITUTE(SUBSTITUTE(TRIM('Smart Search'!$L$6),"~","~~"),"*","~*"),"?","~?"),'Project Database'!C460))),OR('Smart Search'!$L$7="",AND('Project Database'!E460&lt;&gt;"",'Project Database'!E460='Smart Search'!$L$7)),OR('Smart Search'!$L$8="",'Smart Search'!$L$8="All",TRIM('Project Database'!F460)=TRIM('Smart Search'!$L$8))),IF(BA456="","",BA456+ROW()*0.0000000001),"")</f>
        <v/>
      </c>
      <c r="BI456" s="5" t="str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 t="str">
        <f>IF('Project Database'!A460="","",N('Project Database'!AC460))</f>
        <v/>
      </c>
      <c r="BK456" s="5" t="str">
        <f>IF('Project Database'!A460="","",N('Project Database'!AD460))</f>
        <v/>
      </c>
      <c r="BL456" s="5" t="str">
        <f>IF('Project Database'!A460="","",N('Project Database'!AE460))</f>
        <v/>
      </c>
      <c r="BM456" s="5" t="str">
        <f>IF('Project Database'!A460="","",N('Project Database'!AF460))</f>
        <v/>
      </c>
      <c r="BN456" s="5" t="str">
        <f>IF('Project Database'!A460="","",N('Project Database'!AG460))</f>
        <v/>
      </c>
      <c r="BO456" s="5" t="str">
        <f>IF('Project Database'!A460="","",N('Project Database'!AH460))</f>
        <v/>
      </c>
      <c r="BP456" s="5" t="str">
        <f>IF('Project Database'!A460="","",N('Project Database'!AI460))</f>
        <v/>
      </c>
      <c r="BQ456" s="5" t="str">
        <f>IF('Project Database'!A460="","",N('Project Database'!AJ460))</f>
        <v/>
      </c>
      <c r="BR456" s="5" t="str">
        <f>IF('Project Database'!A460="","",N('Project Database'!AK460))</f>
        <v/>
      </c>
      <c r="BS456" s="5" t="str">
        <f>IF('Project Database'!A460="","",N('Project Database'!AL460))</f>
        <v/>
      </c>
      <c r="BT456" s="5" t="str">
        <f>IF('Project Database'!A460="","",N('Project Database'!AM460))</f>
        <v/>
      </c>
      <c r="BU456" s="5" t="str">
        <f>IF('Project Database'!A460="","",N('Project Database'!AN460))</f>
        <v/>
      </c>
      <c r="BV456" s="5" t="str">
        <f>IF('Project Database'!A460="","",N('Project Database'!AO460))</f>
        <v/>
      </c>
      <c r="BW456" s="5" t="str">
        <f>IF('Project Database'!A460="","",N('Project Database'!AP460))</f>
        <v/>
      </c>
      <c r="BX456" s="5">
        <f t="shared" si="110"/>
        <v>0</v>
      </c>
      <c r="BY456" s="5">
        <f t="shared" si="111"/>
        <v>0</v>
      </c>
    </row>
    <row r="457" spans="1:77" ht="15" customHeight="1" x14ac:dyDescent="0.3">
      <c r="A457" s="66">
        <f>'Project Database'!A461</f>
        <v>0</v>
      </c>
      <c r="B457" s="66">
        <f>'Project Database'!B461</f>
        <v>0</v>
      </c>
      <c r="C457" s="66">
        <f>'Project Database'!G461</f>
        <v>0</v>
      </c>
      <c r="D457" s="66">
        <f>'Project Database'!H461</f>
        <v>0</v>
      </c>
      <c r="E457" s="66">
        <f>'Project Database'!I461</f>
        <v>0</v>
      </c>
      <c r="F457" s="66">
        <f>'Project Database'!J461</f>
        <v>0</v>
      </c>
      <c r="G457" s="66">
        <f>'Project Database'!K461</f>
        <v>0</v>
      </c>
      <c r="H457" s="66">
        <f>'Project Database'!L461</f>
        <v>0</v>
      </c>
      <c r="I457" s="66">
        <f>'Project Database'!M461</f>
        <v>0</v>
      </c>
      <c r="J457" s="66">
        <f>'Project Database'!N461</f>
        <v>0</v>
      </c>
      <c r="K457" s="66">
        <f>'Project Database'!O461</f>
        <v>0</v>
      </c>
      <c r="L457" s="66">
        <f>'Project Database'!P461</f>
        <v>0</v>
      </c>
      <c r="M457" s="66">
        <f>'Project Database'!Q461</f>
        <v>0</v>
      </c>
      <c r="N457" s="66">
        <f>'Project Database'!R461</f>
        <v>0</v>
      </c>
      <c r="O457" s="66">
        <f>'Project Database'!S461</f>
        <v>0</v>
      </c>
      <c r="P457" s="66">
        <f>'Project Database'!T461</f>
        <v>0</v>
      </c>
      <c r="Q457" s="66">
        <f>'Project Database'!U461</f>
        <v>0</v>
      </c>
      <c r="R457" s="66">
        <f>'Project Database'!V461</f>
        <v>0</v>
      </c>
      <c r="S457" s="66">
        <f>'Project Database'!W461</f>
        <v>0</v>
      </c>
      <c r="T457" s="66">
        <f>'Project Database'!X461</f>
        <v>0</v>
      </c>
      <c r="U457" s="67">
        <f>'Project Database'!Y461</f>
        <v>0</v>
      </c>
      <c r="V457" s="66">
        <f>IF('Smart Search'!B13=1,IFERROR(1/'Smart Search'!H13,0),0)</f>
        <v>0</v>
      </c>
      <c r="W457" s="66">
        <f>IF('Smart Search'!B13=1,IFERROR(1/'Smart Search'!H13,0),0)</f>
        <v>0</v>
      </c>
      <c r="X457" s="66">
        <f>IF('Smart Search'!C13=1,IFERROR(1/'Smart Search'!H13,0),0)</f>
        <v>0.5</v>
      </c>
      <c r="Y457" s="66">
        <f>IF('Smart Search'!C13=1,IFERROR(1/'Smart Search'!H13,0),0)</f>
        <v>0.5</v>
      </c>
      <c r="Z457" s="66">
        <f>IF('Smart Search'!D13=1,IFERROR(1/'Smart Search'!H13,0),0)</f>
        <v>0</v>
      </c>
      <c r="AA457" s="66">
        <f>IF('Smart Search'!D13=1,IFERROR(1/'Smart Search'!H13,0),0)</f>
        <v>0</v>
      </c>
      <c r="AB457" s="66">
        <f>IF('Smart Search'!E13=1,IFERROR(1/'Smart Search'!H13,0),0)</f>
        <v>0</v>
      </c>
      <c r="AC457" s="66">
        <f>IF('Smart Search'!E13=1,IFERROR(1/'Smart Search'!H13,0),0)</f>
        <v>0</v>
      </c>
      <c r="AD457" s="66">
        <f>IF('Smart Search'!F13=1,IFERROR(1/'Smart Search'!H13,0),0)</f>
        <v>0</v>
      </c>
      <c r="AE457" s="66">
        <f>IF('Smart Search'!F13=1,IFERROR(1/'Smart Search'!H13,0),0)</f>
        <v>0</v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>0</v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>0</v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>0</v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>0</v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>0</v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>0</v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>0</v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>0</v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>0</v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>0</v>
      </c>
      <c r="AP457" s="66">
        <f t="shared" si="98"/>
        <v>0</v>
      </c>
      <c r="AQ457" s="66">
        <f t="shared" si="99"/>
        <v>0</v>
      </c>
      <c r="AR457" s="66">
        <f t="shared" si="100"/>
        <v>0</v>
      </c>
      <c r="AS457" s="66">
        <f t="shared" si="101"/>
        <v>0</v>
      </c>
      <c r="AT457" s="66">
        <f t="shared" si="102"/>
        <v>0</v>
      </c>
      <c r="AU457" s="66">
        <f t="shared" si="103"/>
        <v>0</v>
      </c>
      <c r="AV457" s="66">
        <f t="shared" si="104"/>
        <v>0</v>
      </c>
      <c r="AW457" s="66">
        <f t="shared" si="105"/>
        <v>0</v>
      </c>
      <c r="AX457" s="66">
        <f t="shared" si="106"/>
        <v>0</v>
      </c>
      <c r="AY457" s="66">
        <f t="shared" si="107"/>
        <v>0</v>
      </c>
      <c r="AZ457" s="66">
        <f>'Project Database'!Z461</f>
        <v>0</v>
      </c>
      <c r="BA457" s="66">
        <f>IF(OR(A457="",'Smart Search'!H13=0),"",MAX(0,BE457*BF457*MAX(0,1-BG457)))</f>
        <v>0</v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>0</v>
      </c>
      <c r="BC457" s="66">
        <f>IF('Smart Search'!G13=1,IFERROR(1/'Smart Search'!H13,0),0)</f>
        <v>0</v>
      </c>
      <c r="BD457" s="66">
        <f t="shared" si="108"/>
        <v>0</v>
      </c>
      <c r="BE457" s="66">
        <f t="shared" si="109"/>
        <v>0</v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>0</v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>0</v>
      </c>
      <c r="BH457" s="5" t="str">
        <f>IF(AND('Project Database'!A461&lt;&gt;"",OR('Smart Search'!$L$5="",'Smart Search'!$L$5="All",TRIM('Project Database'!D461)=TRIM('Smart Search'!$L$5)),OR(TRIM('Smart Search'!$L$6)="",TRIM('Smart Search'!$L$6)="All",ISNUMBER(SEARCH(SUBSTITUTE(SUBSTITUTE(SUBSTITUTE(TRIM('Smart Search'!$L$6),"~","~~"),"*","~*"),"?","~?"),'Project Database'!C461))),OR('Smart Search'!$L$7="",AND('Project Database'!E461&lt;&gt;"",'Project Database'!E461='Smart Search'!$L$7)),OR('Smart Search'!$L$8="",'Smart Search'!$L$8="All",TRIM('Project Database'!F461)=TRIM('Smart Search'!$L$8))),IF(BA457="","",BA457+ROW()*0.0000000001),"")</f>
        <v/>
      </c>
      <c r="BI457" s="5" t="str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 t="str">
        <f>IF('Project Database'!A461="","",N('Project Database'!AC461))</f>
        <v/>
      </c>
      <c r="BK457" s="5" t="str">
        <f>IF('Project Database'!A461="","",N('Project Database'!AD461))</f>
        <v/>
      </c>
      <c r="BL457" s="5" t="str">
        <f>IF('Project Database'!A461="","",N('Project Database'!AE461))</f>
        <v/>
      </c>
      <c r="BM457" s="5" t="str">
        <f>IF('Project Database'!A461="","",N('Project Database'!AF461))</f>
        <v/>
      </c>
      <c r="BN457" s="5" t="str">
        <f>IF('Project Database'!A461="","",N('Project Database'!AG461))</f>
        <v/>
      </c>
      <c r="BO457" s="5" t="str">
        <f>IF('Project Database'!A461="","",N('Project Database'!AH461))</f>
        <v/>
      </c>
      <c r="BP457" s="5" t="str">
        <f>IF('Project Database'!A461="","",N('Project Database'!AI461))</f>
        <v/>
      </c>
      <c r="BQ457" s="5" t="str">
        <f>IF('Project Database'!A461="","",N('Project Database'!AJ461))</f>
        <v/>
      </c>
      <c r="BR457" s="5" t="str">
        <f>IF('Project Database'!A461="","",N('Project Database'!AK461))</f>
        <v/>
      </c>
      <c r="BS457" s="5" t="str">
        <f>IF('Project Database'!A461="","",N('Project Database'!AL461))</f>
        <v/>
      </c>
      <c r="BT457" s="5" t="str">
        <f>IF('Project Database'!A461="","",N('Project Database'!AM461))</f>
        <v/>
      </c>
      <c r="BU457" s="5" t="str">
        <f>IF('Project Database'!A461="","",N('Project Database'!AN461))</f>
        <v/>
      </c>
      <c r="BV457" s="5" t="str">
        <f>IF('Project Database'!A461="","",N('Project Database'!AO461))</f>
        <v/>
      </c>
      <c r="BW457" s="5" t="str">
        <f>IF('Project Database'!A461="","",N('Project Database'!AP461))</f>
        <v/>
      </c>
      <c r="BX457" s="5">
        <f t="shared" si="110"/>
        <v>0</v>
      </c>
      <c r="BY457" s="5">
        <f t="shared" si="111"/>
        <v>0</v>
      </c>
    </row>
    <row r="458" spans="1:77" ht="15" customHeight="1" x14ac:dyDescent="0.3">
      <c r="A458" s="66">
        <f>'Project Database'!A462</f>
        <v>0</v>
      </c>
      <c r="B458" s="66">
        <f>'Project Database'!B462</f>
        <v>0</v>
      </c>
      <c r="C458" s="66">
        <f>'Project Database'!G462</f>
        <v>0</v>
      </c>
      <c r="D458" s="66">
        <f>'Project Database'!H462</f>
        <v>0</v>
      </c>
      <c r="E458" s="66">
        <f>'Project Database'!I462</f>
        <v>0</v>
      </c>
      <c r="F458" s="66">
        <f>'Project Database'!J462</f>
        <v>0</v>
      </c>
      <c r="G458" s="66">
        <f>'Project Database'!K462</f>
        <v>0</v>
      </c>
      <c r="H458" s="66">
        <f>'Project Database'!L462</f>
        <v>0</v>
      </c>
      <c r="I458" s="66">
        <f>'Project Database'!M462</f>
        <v>0</v>
      </c>
      <c r="J458" s="66">
        <f>'Project Database'!N462</f>
        <v>0</v>
      </c>
      <c r="K458" s="66">
        <f>'Project Database'!O462</f>
        <v>0</v>
      </c>
      <c r="L458" s="66">
        <f>'Project Database'!P462</f>
        <v>0</v>
      </c>
      <c r="M458" s="66">
        <f>'Project Database'!Q462</f>
        <v>0</v>
      </c>
      <c r="N458" s="66">
        <f>'Project Database'!R462</f>
        <v>0</v>
      </c>
      <c r="O458" s="66">
        <f>'Project Database'!S462</f>
        <v>0</v>
      </c>
      <c r="P458" s="66">
        <f>'Project Database'!T462</f>
        <v>0</v>
      </c>
      <c r="Q458" s="66">
        <f>'Project Database'!U462</f>
        <v>0</v>
      </c>
      <c r="R458" s="66">
        <f>'Project Database'!V462</f>
        <v>0</v>
      </c>
      <c r="S458" s="66">
        <f>'Project Database'!W462</f>
        <v>0</v>
      </c>
      <c r="T458" s="66">
        <f>'Project Database'!X462</f>
        <v>0</v>
      </c>
      <c r="U458" s="67">
        <f>'Project Database'!Y462</f>
        <v>0</v>
      </c>
      <c r="V458" s="66">
        <f>IF('Smart Search'!B13=1,IFERROR(1/'Smart Search'!H13,0),0)</f>
        <v>0</v>
      </c>
      <c r="W458" s="66">
        <f>IF('Smart Search'!B13=1,IFERROR(1/'Smart Search'!H13,0),0)</f>
        <v>0</v>
      </c>
      <c r="X458" s="66">
        <f>IF('Smart Search'!C13=1,IFERROR(1/'Smart Search'!H13,0),0)</f>
        <v>0.5</v>
      </c>
      <c r="Y458" s="66">
        <f>IF('Smart Search'!C13=1,IFERROR(1/'Smart Search'!H13,0),0)</f>
        <v>0.5</v>
      </c>
      <c r="Z458" s="66">
        <f>IF('Smart Search'!D13=1,IFERROR(1/'Smart Search'!H13,0),0)</f>
        <v>0</v>
      </c>
      <c r="AA458" s="66">
        <f>IF('Smart Search'!D13=1,IFERROR(1/'Smart Search'!H13,0),0)</f>
        <v>0</v>
      </c>
      <c r="AB458" s="66">
        <f>IF('Smart Search'!E13=1,IFERROR(1/'Smart Search'!H13,0),0)</f>
        <v>0</v>
      </c>
      <c r="AC458" s="66">
        <f>IF('Smart Search'!E13=1,IFERROR(1/'Smart Search'!H13,0),0)</f>
        <v>0</v>
      </c>
      <c r="AD458" s="66">
        <f>IF('Smart Search'!F13=1,IFERROR(1/'Smart Search'!H13,0),0)</f>
        <v>0</v>
      </c>
      <c r="AE458" s="66">
        <f>IF('Smart Search'!F13=1,IFERROR(1/'Smart Search'!H13,0),0)</f>
        <v>0</v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>0</v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>0</v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>0</v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>0</v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>0</v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>0</v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>0</v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>0</v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>0</v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>0</v>
      </c>
      <c r="AP458" s="66">
        <f t="shared" si="98"/>
        <v>0</v>
      </c>
      <c r="AQ458" s="66">
        <f t="shared" si="99"/>
        <v>0</v>
      </c>
      <c r="AR458" s="66">
        <f t="shared" si="100"/>
        <v>0</v>
      </c>
      <c r="AS458" s="66">
        <f t="shared" si="101"/>
        <v>0</v>
      </c>
      <c r="AT458" s="66">
        <f t="shared" si="102"/>
        <v>0</v>
      </c>
      <c r="AU458" s="66">
        <f t="shared" si="103"/>
        <v>0</v>
      </c>
      <c r="AV458" s="66">
        <f t="shared" si="104"/>
        <v>0</v>
      </c>
      <c r="AW458" s="66">
        <f t="shared" si="105"/>
        <v>0</v>
      </c>
      <c r="AX458" s="66">
        <f t="shared" si="106"/>
        <v>0</v>
      </c>
      <c r="AY458" s="66">
        <f t="shared" si="107"/>
        <v>0</v>
      </c>
      <c r="AZ458" s="66">
        <f>'Project Database'!Z462</f>
        <v>0</v>
      </c>
      <c r="BA458" s="66">
        <f>IF(OR(A458="",'Smart Search'!H13=0),"",MAX(0,BE458*BF458*MAX(0,1-BG458)))</f>
        <v>0</v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>0</v>
      </c>
      <c r="BC458" s="66">
        <f>IF('Smart Search'!G13=1,IFERROR(1/'Smart Search'!H13,0),0)</f>
        <v>0</v>
      </c>
      <c r="BD458" s="66">
        <f t="shared" si="108"/>
        <v>0</v>
      </c>
      <c r="BE458" s="66">
        <f t="shared" si="109"/>
        <v>0</v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>0</v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>0</v>
      </c>
      <c r="BH458" s="5" t="str">
        <f>IF(AND('Project Database'!A462&lt;&gt;"",OR('Smart Search'!$L$5="",'Smart Search'!$L$5="All",TRIM('Project Database'!D462)=TRIM('Smart Search'!$L$5)),OR(TRIM('Smart Search'!$L$6)="",TRIM('Smart Search'!$L$6)="All",ISNUMBER(SEARCH(SUBSTITUTE(SUBSTITUTE(SUBSTITUTE(TRIM('Smart Search'!$L$6),"~","~~"),"*","~*"),"?","~?"),'Project Database'!C462))),OR('Smart Search'!$L$7="",AND('Project Database'!E462&lt;&gt;"",'Project Database'!E462='Smart Search'!$L$7)),OR('Smart Search'!$L$8="",'Smart Search'!$L$8="All",TRIM('Project Database'!F462)=TRIM('Smart Search'!$L$8))),IF(BA458="","",BA458+ROW()*0.0000000001),"")</f>
        <v/>
      </c>
      <c r="BI458" s="5" t="str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 t="str">
        <f>IF('Project Database'!A462="","",N('Project Database'!AC462))</f>
        <v/>
      </c>
      <c r="BK458" s="5" t="str">
        <f>IF('Project Database'!A462="","",N('Project Database'!AD462))</f>
        <v/>
      </c>
      <c r="BL458" s="5" t="str">
        <f>IF('Project Database'!A462="","",N('Project Database'!AE462))</f>
        <v/>
      </c>
      <c r="BM458" s="5" t="str">
        <f>IF('Project Database'!A462="","",N('Project Database'!AF462))</f>
        <v/>
      </c>
      <c r="BN458" s="5" t="str">
        <f>IF('Project Database'!A462="","",N('Project Database'!AG462))</f>
        <v/>
      </c>
      <c r="BO458" s="5" t="str">
        <f>IF('Project Database'!A462="","",N('Project Database'!AH462))</f>
        <v/>
      </c>
      <c r="BP458" s="5" t="str">
        <f>IF('Project Database'!A462="","",N('Project Database'!AI462))</f>
        <v/>
      </c>
      <c r="BQ458" s="5" t="str">
        <f>IF('Project Database'!A462="","",N('Project Database'!AJ462))</f>
        <v/>
      </c>
      <c r="BR458" s="5" t="str">
        <f>IF('Project Database'!A462="","",N('Project Database'!AK462))</f>
        <v/>
      </c>
      <c r="BS458" s="5" t="str">
        <f>IF('Project Database'!A462="","",N('Project Database'!AL462))</f>
        <v/>
      </c>
      <c r="BT458" s="5" t="str">
        <f>IF('Project Database'!A462="","",N('Project Database'!AM462))</f>
        <v/>
      </c>
      <c r="BU458" s="5" t="str">
        <f>IF('Project Database'!A462="","",N('Project Database'!AN462))</f>
        <v/>
      </c>
      <c r="BV458" s="5" t="str">
        <f>IF('Project Database'!A462="","",N('Project Database'!AO462))</f>
        <v/>
      </c>
      <c r="BW458" s="5" t="str">
        <f>IF('Project Database'!A462="","",N('Project Database'!AP462))</f>
        <v/>
      </c>
      <c r="BX458" s="5">
        <f t="shared" si="110"/>
        <v>0</v>
      </c>
      <c r="BY458" s="5">
        <f t="shared" si="111"/>
        <v>0</v>
      </c>
    </row>
    <row r="459" spans="1:77" ht="15" customHeight="1" x14ac:dyDescent="0.3">
      <c r="A459" s="66">
        <f>'Project Database'!A463</f>
        <v>0</v>
      </c>
      <c r="B459" s="66">
        <f>'Project Database'!B463</f>
        <v>0</v>
      </c>
      <c r="C459" s="66">
        <f>'Project Database'!G463</f>
        <v>0</v>
      </c>
      <c r="D459" s="66">
        <f>'Project Database'!H463</f>
        <v>0</v>
      </c>
      <c r="E459" s="66">
        <f>'Project Database'!I463</f>
        <v>0</v>
      </c>
      <c r="F459" s="66">
        <f>'Project Database'!J463</f>
        <v>0</v>
      </c>
      <c r="G459" s="66">
        <f>'Project Database'!K463</f>
        <v>0</v>
      </c>
      <c r="H459" s="66">
        <f>'Project Database'!L463</f>
        <v>0</v>
      </c>
      <c r="I459" s="66">
        <f>'Project Database'!M463</f>
        <v>0</v>
      </c>
      <c r="J459" s="66">
        <f>'Project Database'!N463</f>
        <v>0</v>
      </c>
      <c r="K459" s="66">
        <f>'Project Database'!O463</f>
        <v>0</v>
      </c>
      <c r="L459" s="66">
        <f>'Project Database'!P463</f>
        <v>0</v>
      </c>
      <c r="M459" s="66">
        <f>'Project Database'!Q463</f>
        <v>0</v>
      </c>
      <c r="N459" s="66">
        <f>'Project Database'!R463</f>
        <v>0</v>
      </c>
      <c r="O459" s="66">
        <f>'Project Database'!S463</f>
        <v>0</v>
      </c>
      <c r="P459" s="66">
        <f>'Project Database'!T463</f>
        <v>0</v>
      </c>
      <c r="Q459" s="66">
        <f>'Project Database'!U463</f>
        <v>0</v>
      </c>
      <c r="R459" s="66">
        <f>'Project Database'!V463</f>
        <v>0</v>
      </c>
      <c r="S459" s="66">
        <f>'Project Database'!W463</f>
        <v>0</v>
      </c>
      <c r="T459" s="66">
        <f>'Project Database'!X463</f>
        <v>0</v>
      </c>
      <c r="U459" s="67">
        <f>'Project Database'!Y463</f>
        <v>0</v>
      </c>
      <c r="V459" s="66">
        <f>IF('Smart Search'!B13=1,IFERROR(1/'Smart Search'!H13,0),0)</f>
        <v>0</v>
      </c>
      <c r="W459" s="66">
        <f>IF('Smart Search'!B13=1,IFERROR(1/'Smart Search'!H13,0),0)</f>
        <v>0</v>
      </c>
      <c r="X459" s="66">
        <f>IF('Smart Search'!C13=1,IFERROR(1/'Smart Search'!H13,0),0)</f>
        <v>0.5</v>
      </c>
      <c r="Y459" s="66">
        <f>IF('Smart Search'!C13=1,IFERROR(1/'Smart Search'!H13,0),0)</f>
        <v>0.5</v>
      </c>
      <c r="Z459" s="66">
        <f>IF('Smart Search'!D13=1,IFERROR(1/'Smart Search'!H13,0),0)</f>
        <v>0</v>
      </c>
      <c r="AA459" s="66">
        <f>IF('Smart Search'!D13=1,IFERROR(1/'Smart Search'!H13,0),0)</f>
        <v>0</v>
      </c>
      <c r="AB459" s="66">
        <f>IF('Smart Search'!E13=1,IFERROR(1/'Smart Search'!H13,0),0)</f>
        <v>0</v>
      </c>
      <c r="AC459" s="66">
        <f>IF('Smart Search'!E13=1,IFERROR(1/'Smart Search'!H13,0),0)</f>
        <v>0</v>
      </c>
      <c r="AD459" s="66">
        <f>IF('Smart Search'!F13=1,IFERROR(1/'Smart Search'!H13,0),0)</f>
        <v>0</v>
      </c>
      <c r="AE459" s="66">
        <f>IF('Smart Search'!F13=1,IFERROR(1/'Smart Search'!H13,0),0)</f>
        <v>0</v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>0</v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>0</v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>0</v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>0</v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>0</v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>0</v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>0</v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>0</v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>0</v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>0</v>
      </c>
      <c r="AP459" s="66">
        <f t="shared" si="98"/>
        <v>0</v>
      </c>
      <c r="AQ459" s="66">
        <f t="shared" si="99"/>
        <v>0</v>
      </c>
      <c r="AR459" s="66">
        <f t="shared" si="100"/>
        <v>0</v>
      </c>
      <c r="AS459" s="66">
        <f t="shared" si="101"/>
        <v>0</v>
      </c>
      <c r="AT459" s="66">
        <f t="shared" si="102"/>
        <v>0</v>
      </c>
      <c r="AU459" s="66">
        <f t="shared" si="103"/>
        <v>0</v>
      </c>
      <c r="AV459" s="66">
        <f t="shared" si="104"/>
        <v>0</v>
      </c>
      <c r="AW459" s="66">
        <f t="shared" si="105"/>
        <v>0</v>
      </c>
      <c r="AX459" s="66">
        <f t="shared" si="106"/>
        <v>0</v>
      </c>
      <c r="AY459" s="66">
        <f t="shared" si="107"/>
        <v>0</v>
      </c>
      <c r="AZ459" s="66">
        <f>'Project Database'!Z463</f>
        <v>0</v>
      </c>
      <c r="BA459" s="66">
        <f>IF(OR(A459="",'Smart Search'!H13=0),"",MAX(0,BE459*BF459*MAX(0,1-BG459)))</f>
        <v>0</v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>0</v>
      </c>
      <c r="BC459" s="66">
        <f>IF('Smart Search'!G13=1,IFERROR(1/'Smart Search'!H13,0),0)</f>
        <v>0</v>
      </c>
      <c r="BD459" s="66">
        <f t="shared" si="108"/>
        <v>0</v>
      </c>
      <c r="BE459" s="66">
        <f t="shared" si="109"/>
        <v>0</v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>0</v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>0</v>
      </c>
      <c r="BH459" s="5" t="str">
        <f>IF(AND('Project Database'!A463&lt;&gt;"",OR('Smart Search'!$L$5="",'Smart Search'!$L$5="All",TRIM('Project Database'!D463)=TRIM('Smart Search'!$L$5)),OR(TRIM('Smart Search'!$L$6)="",TRIM('Smart Search'!$L$6)="All",ISNUMBER(SEARCH(SUBSTITUTE(SUBSTITUTE(SUBSTITUTE(TRIM('Smart Search'!$L$6),"~","~~"),"*","~*"),"?","~?"),'Project Database'!C463))),OR('Smart Search'!$L$7="",AND('Project Database'!E463&lt;&gt;"",'Project Database'!E463='Smart Search'!$L$7)),OR('Smart Search'!$L$8="",'Smart Search'!$L$8="All",TRIM('Project Database'!F463)=TRIM('Smart Search'!$L$8))),IF(BA459="","",BA459+ROW()*0.0000000001),"")</f>
        <v/>
      </c>
      <c r="BI459" s="5" t="str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 t="str">
        <f>IF('Project Database'!A463="","",N('Project Database'!AC463))</f>
        <v/>
      </c>
      <c r="BK459" s="5" t="str">
        <f>IF('Project Database'!A463="","",N('Project Database'!AD463))</f>
        <v/>
      </c>
      <c r="BL459" s="5" t="str">
        <f>IF('Project Database'!A463="","",N('Project Database'!AE463))</f>
        <v/>
      </c>
      <c r="BM459" s="5" t="str">
        <f>IF('Project Database'!A463="","",N('Project Database'!AF463))</f>
        <v/>
      </c>
      <c r="BN459" s="5" t="str">
        <f>IF('Project Database'!A463="","",N('Project Database'!AG463))</f>
        <v/>
      </c>
      <c r="BO459" s="5" t="str">
        <f>IF('Project Database'!A463="","",N('Project Database'!AH463))</f>
        <v/>
      </c>
      <c r="BP459" s="5" t="str">
        <f>IF('Project Database'!A463="","",N('Project Database'!AI463))</f>
        <v/>
      </c>
      <c r="BQ459" s="5" t="str">
        <f>IF('Project Database'!A463="","",N('Project Database'!AJ463))</f>
        <v/>
      </c>
      <c r="BR459" s="5" t="str">
        <f>IF('Project Database'!A463="","",N('Project Database'!AK463))</f>
        <v/>
      </c>
      <c r="BS459" s="5" t="str">
        <f>IF('Project Database'!A463="","",N('Project Database'!AL463))</f>
        <v/>
      </c>
      <c r="BT459" s="5" t="str">
        <f>IF('Project Database'!A463="","",N('Project Database'!AM463))</f>
        <v/>
      </c>
      <c r="BU459" s="5" t="str">
        <f>IF('Project Database'!A463="","",N('Project Database'!AN463))</f>
        <v/>
      </c>
      <c r="BV459" s="5" t="str">
        <f>IF('Project Database'!A463="","",N('Project Database'!AO463))</f>
        <v/>
      </c>
      <c r="BW459" s="5" t="str">
        <f>IF('Project Database'!A463="","",N('Project Database'!AP463))</f>
        <v/>
      </c>
      <c r="BX459" s="5">
        <f t="shared" si="110"/>
        <v>0</v>
      </c>
      <c r="BY459" s="5">
        <f t="shared" si="111"/>
        <v>0</v>
      </c>
    </row>
    <row r="460" spans="1:77" ht="15" customHeight="1" x14ac:dyDescent="0.3">
      <c r="A460" s="66">
        <f>'Project Database'!A464</f>
        <v>0</v>
      </c>
      <c r="B460" s="66">
        <f>'Project Database'!B464</f>
        <v>0</v>
      </c>
      <c r="C460" s="66">
        <f>'Project Database'!G464</f>
        <v>0</v>
      </c>
      <c r="D460" s="66">
        <f>'Project Database'!H464</f>
        <v>0</v>
      </c>
      <c r="E460" s="66">
        <f>'Project Database'!I464</f>
        <v>0</v>
      </c>
      <c r="F460" s="66">
        <f>'Project Database'!J464</f>
        <v>0</v>
      </c>
      <c r="G460" s="66">
        <f>'Project Database'!K464</f>
        <v>0</v>
      </c>
      <c r="H460" s="66">
        <f>'Project Database'!L464</f>
        <v>0</v>
      </c>
      <c r="I460" s="66">
        <f>'Project Database'!M464</f>
        <v>0</v>
      </c>
      <c r="J460" s="66">
        <f>'Project Database'!N464</f>
        <v>0</v>
      </c>
      <c r="K460" s="66">
        <f>'Project Database'!O464</f>
        <v>0</v>
      </c>
      <c r="L460" s="66">
        <f>'Project Database'!P464</f>
        <v>0</v>
      </c>
      <c r="M460" s="66">
        <f>'Project Database'!Q464</f>
        <v>0</v>
      </c>
      <c r="N460" s="66">
        <f>'Project Database'!R464</f>
        <v>0</v>
      </c>
      <c r="O460" s="66">
        <f>'Project Database'!S464</f>
        <v>0</v>
      </c>
      <c r="P460" s="66">
        <f>'Project Database'!T464</f>
        <v>0</v>
      </c>
      <c r="Q460" s="66">
        <f>'Project Database'!U464</f>
        <v>0</v>
      </c>
      <c r="R460" s="66">
        <f>'Project Database'!V464</f>
        <v>0</v>
      </c>
      <c r="S460" s="66">
        <f>'Project Database'!W464</f>
        <v>0</v>
      </c>
      <c r="T460" s="66">
        <f>'Project Database'!X464</f>
        <v>0</v>
      </c>
      <c r="U460" s="67">
        <f>'Project Database'!Y464</f>
        <v>0</v>
      </c>
      <c r="V460" s="66">
        <f>IF('Smart Search'!B13=1,IFERROR(1/'Smart Search'!H13,0),0)</f>
        <v>0</v>
      </c>
      <c r="W460" s="66">
        <f>IF('Smart Search'!B13=1,IFERROR(1/'Smart Search'!H13,0),0)</f>
        <v>0</v>
      </c>
      <c r="X460" s="66">
        <f>IF('Smart Search'!C13=1,IFERROR(1/'Smart Search'!H13,0),0)</f>
        <v>0.5</v>
      </c>
      <c r="Y460" s="66">
        <f>IF('Smart Search'!C13=1,IFERROR(1/'Smart Search'!H13,0),0)</f>
        <v>0.5</v>
      </c>
      <c r="Z460" s="66">
        <f>IF('Smart Search'!D13=1,IFERROR(1/'Smart Search'!H13,0),0)</f>
        <v>0</v>
      </c>
      <c r="AA460" s="66">
        <f>IF('Smart Search'!D13=1,IFERROR(1/'Smart Search'!H13,0),0)</f>
        <v>0</v>
      </c>
      <c r="AB460" s="66">
        <f>IF('Smart Search'!E13=1,IFERROR(1/'Smart Search'!H13,0),0)</f>
        <v>0</v>
      </c>
      <c r="AC460" s="66">
        <f>IF('Smart Search'!E13=1,IFERROR(1/'Smart Search'!H13,0),0)</f>
        <v>0</v>
      </c>
      <c r="AD460" s="66">
        <f>IF('Smart Search'!F13=1,IFERROR(1/'Smart Search'!H13,0),0)</f>
        <v>0</v>
      </c>
      <c r="AE460" s="66">
        <f>IF('Smart Search'!F13=1,IFERROR(1/'Smart Search'!H13,0),0)</f>
        <v>0</v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>0</v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>0</v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>0</v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>0</v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>0</v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>0</v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>0</v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>0</v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>0</v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>0</v>
      </c>
      <c r="AP460" s="66">
        <f t="shared" si="98"/>
        <v>0</v>
      </c>
      <c r="AQ460" s="66">
        <f t="shared" si="99"/>
        <v>0</v>
      </c>
      <c r="AR460" s="66">
        <f t="shared" si="100"/>
        <v>0</v>
      </c>
      <c r="AS460" s="66">
        <f t="shared" si="101"/>
        <v>0</v>
      </c>
      <c r="AT460" s="66">
        <f t="shared" si="102"/>
        <v>0</v>
      </c>
      <c r="AU460" s="66">
        <f t="shared" si="103"/>
        <v>0</v>
      </c>
      <c r="AV460" s="66">
        <f t="shared" si="104"/>
        <v>0</v>
      </c>
      <c r="AW460" s="66">
        <f t="shared" si="105"/>
        <v>0</v>
      </c>
      <c r="AX460" s="66">
        <f t="shared" si="106"/>
        <v>0</v>
      </c>
      <c r="AY460" s="66">
        <f t="shared" si="107"/>
        <v>0</v>
      </c>
      <c r="AZ460" s="66">
        <f>'Project Database'!Z464</f>
        <v>0</v>
      </c>
      <c r="BA460" s="66">
        <f>IF(OR(A460="",'Smart Search'!H13=0),"",MAX(0,BE460*BF460*MAX(0,1-BG460)))</f>
        <v>0</v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>0</v>
      </c>
      <c r="BC460" s="66">
        <f>IF('Smart Search'!G13=1,IFERROR(1/'Smart Search'!H13,0),0)</f>
        <v>0</v>
      </c>
      <c r="BD460" s="66">
        <f t="shared" si="108"/>
        <v>0</v>
      </c>
      <c r="BE460" s="66">
        <f t="shared" si="109"/>
        <v>0</v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>0</v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>0</v>
      </c>
      <c r="BH460" s="5" t="str">
        <f>IF(AND('Project Database'!A464&lt;&gt;"",OR('Smart Search'!$L$5="",'Smart Search'!$L$5="All",TRIM('Project Database'!D464)=TRIM('Smart Search'!$L$5)),OR(TRIM('Smart Search'!$L$6)="",TRIM('Smart Search'!$L$6)="All",ISNUMBER(SEARCH(SUBSTITUTE(SUBSTITUTE(SUBSTITUTE(TRIM('Smart Search'!$L$6),"~","~~"),"*","~*"),"?","~?"),'Project Database'!C464))),OR('Smart Search'!$L$7="",AND('Project Database'!E464&lt;&gt;"",'Project Database'!E464='Smart Search'!$L$7)),OR('Smart Search'!$L$8="",'Smart Search'!$L$8="All",TRIM('Project Database'!F464)=TRIM('Smart Search'!$L$8))),IF(BA460="","",BA460+ROW()*0.0000000001),"")</f>
        <v/>
      </c>
      <c r="BI460" s="5" t="str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 t="str">
        <f>IF('Project Database'!A464="","",N('Project Database'!AC464))</f>
        <v/>
      </c>
      <c r="BK460" s="5" t="str">
        <f>IF('Project Database'!A464="","",N('Project Database'!AD464))</f>
        <v/>
      </c>
      <c r="BL460" s="5" t="str">
        <f>IF('Project Database'!A464="","",N('Project Database'!AE464))</f>
        <v/>
      </c>
      <c r="BM460" s="5" t="str">
        <f>IF('Project Database'!A464="","",N('Project Database'!AF464))</f>
        <v/>
      </c>
      <c r="BN460" s="5" t="str">
        <f>IF('Project Database'!A464="","",N('Project Database'!AG464))</f>
        <v/>
      </c>
      <c r="BO460" s="5" t="str">
        <f>IF('Project Database'!A464="","",N('Project Database'!AH464))</f>
        <v/>
      </c>
      <c r="BP460" s="5" t="str">
        <f>IF('Project Database'!A464="","",N('Project Database'!AI464))</f>
        <v/>
      </c>
      <c r="BQ460" s="5" t="str">
        <f>IF('Project Database'!A464="","",N('Project Database'!AJ464))</f>
        <v/>
      </c>
      <c r="BR460" s="5" t="str">
        <f>IF('Project Database'!A464="","",N('Project Database'!AK464))</f>
        <v/>
      </c>
      <c r="BS460" s="5" t="str">
        <f>IF('Project Database'!A464="","",N('Project Database'!AL464))</f>
        <v/>
      </c>
      <c r="BT460" s="5" t="str">
        <f>IF('Project Database'!A464="","",N('Project Database'!AM464))</f>
        <v/>
      </c>
      <c r="BU460" s="5" t="str">
        <f>IF('Project Database'!A464="","",N('Project Database'!AN464))</f>
        <v/>
      </c>
      <c r="BV460" s="5" t="str">
        <f>IF('Project Database'!A464="","",N('Project Database'!AO464))</f>
        <v/>
      </c>
      <c r="BW460" s="5" t="str">
        <f>IF('Project Database'!A464="","",N('Project Database'!AP464))</f>
        <v/>
      </c>
      <c r="BX460" s="5">
        <f t="shared" si="110"/>
        <v>0</v>
      </c>
      <c r="BY460" s="5">
        <f t="shared" si="111"/>
        <v>0</v>
      </c>
    </row>
    <row r="461" spans="1:77" ht="15" customHeight="1" x14ac:dyDescent="0.3">
      <c r="A461" s="66">
        <f>'Project Database'!A465</f>
        <v>0</v>
      </c>
      <c r="B461" s="66">
        <f>'Project Database'!B465</f>
        <v>0</v>
      </c>
      <c r="C461" s="66">
        <f>'Project Database'!G465</f>
        <v>0</v>
      </c>
      <c r="D461" s="66">
        <f>'Project Database'!H465</f>
        <v>0</v>
      </c>
      <c r="E461" s="66">
        <f>'Project Database'!I465</f>
        <v>0</v>
      </c>
      <c r="F461" s="66">
        <f>'Project Database'!J465</f>
        <v>0</v>
      </c>
      <c r="G461" s="66">
        <f>'Project Database'!K465</f>
        <v>0</v>
      </c>
      <c r="H461" s="66">
        <f>'Project Database'!L465</f>
        <v>0</v>
      </c>
      <c r="I461" s="66">
        <f>'Project Database'!M465</f>
        <v>0</v>
      </c>
      <c r="J461" s="66">
        <f>'Project Database'!N465</f>
        <v>0</v>
      </c>
      <c r="K461" s="66">
        <f>'Project Database'!O465</f>
        <v>0</v>
      </c>
      <c r="L461" s="66">
        <f>'Project Database'!P465</f>
        <v>0</v>
      </c>
      <c r="M461" s="66">
        <f>'Project Database'!Q465</f>
        <v>0</v>
      </c>
      <c r="N461" s="66">
        <f>'Project Database'!R465</f>
        <v>0</v>
      </c>
      <c r="O461" s="66">
        <f>'Project Database'!S465</f>
        <v>0</v>
      </c>
      <c r="P461" s="66">
        <f>'Project Database'!T465</f>
        <v>0</v>
      </c>
      <c r="Q461" s="66">
        <f>'Project Database'!U465</f>
        <v>0</v>
      </c>
      <c r="R461" s="66">
        <f>'Project Database'!V465</f>
        <v>0</v>
      </c>
      <c r="S461" s="66">
        <f>'Project Database'!W465</f>
        <v>0</v>
      </c>
      <c r="T461" s="66">
        <f>'Project Database'!X465</f>
        <v>0</v>
      </c>
      <c r="U461" s="67">
        <f>'Project Database'!Y465</f>
        <v>0</v>
      </c>
      <c r="V461" s="66">
        <f>IF('Smart Search'!B13=1,IFERROR(1/'Smart Search'!H13,0),0)</f>
        <v>0</v>
      </c>
      <c r="W461" s="66">
        <f>IF('Smart Search'!B13=1,IFERROR(1/'Smart Search'!H13,0),0)</f>
        <v>0</v>
      </c>
      <c r="X461" s="66">
        <f>IF('Smart Search'!C13=1,IFERROR(1/'Smart Search'!H13,0),0)</f>
        <v>0.5</v>
      </c>
      <c r="Y461" s="66">
        <f>IF('Smart Search'!C13=1,IFERROR(1/'Smart Search'!H13,0),0)</f>
        <v>0.5</v>
      </c>
      <c r="Z461" s="66">
        <f>IF('Smart Search'!D13=1,IFERROR(1/'Smart Search'!H13,0),0)</f>
        <v>0</v>
      </c>
      <c r="AA461" s="66">
        <f>IF('Smart Search'!D13=1,IFERROR(1/'Smart Search'!H13,0),0)</f>
        <v>0</v>
      </c>
      <c r="AB461" s="66">
        <f>IF('Smart Search'!E13=1,IFERROR(1/'Smart Search'!H13,0),0)</f>
        <v>0</v>
      </c>
      <c r="AC461" s="66">
        <f>IF('Smart Search'!E13=1,IFERROR(1/'Smart Search'!H13,0),0)</f>
        <v>0</v>
      </c>
      <c r="AD461" s="66">
        <f>IF('Smart Search'!F13=1,IFERROR(1/'Smart Search'!H13,0),0)</f>
        <v>0</v>
      </c>
      <c r="AE461" s="66">
        <f>IF('Smart Search'!F13=1,IFERROR(1/'Smart Search'!H13,0),0)</f>
        <v>0</v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>0</v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>0</v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>0</v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>0</v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>0</v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>0</v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>0</v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>0</v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>0</v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>0</v>
      </c>
      <c r="AP461" s="66">
        <f t="shared" si="98"/>
        <v>0</v>
      </c>
      <c r="AQ461" s="66">
        <f t="shared" si="99"/>
        <v>0</v>
      </c>
      <c r="AR461" s="66">
        <f t="shared" si="100"/>
        <v>0</v>
      </c>
      <c r="AS461" s="66">
        <f t="shared" si="101"/>
        <v>0</v>
      </c>
      <c r="AT461" s="66">
        <f t="shared" si="102"/>
        <v>0</v>
      </c>
      <c r="AU461" s="66">
        <f t="shared" si="103"/>
        <v>0</v>
      </c>
      <c r="AV461" s="66">
        <f t="shared" si="104"/>
        <v>0</v>
      </c>
      <c r="AW461" s="66">
        <f t="shared" si="105"/>
        <v>0</v>
      </c>
      <c r="AX461" s="66">
        <f t="shared" si="106"/>
        <v>0</v>
      </c>
      <c r="AY461" s="66">
        <f t="shared" si="107"/>
        <v>0</v>
      </c>
      <c r="AZ461" s="66">
        <f>'Project Database'!Z465</f>
        <v>0</v>
      </c>
      <c r="BA461" s="66">
        <f>IF(OR(A461="",'Smart Search'!H13=0),"",MAX(0,BE461*BF461*MAX(0,1-BG461)))</f>
        <v>0</v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>0</v>
      </c>
      <c r="BC461" s="66">
        <f>IF('Smart Search'!G13=1,IFERROR(1/'Smart Search'!H13,0),0)</f>
        <v>0</v>
      </c>
      <c r="BD461" s="66">
        <f t="shared" si="108"/>
        <v>0</v>
      </c>
      <c r="BE461" s="66">
        <f t="shared" si="109"/>
        <v>0</v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>0</v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>0</v>
      </c>
      <c r="BH461" s="5" t="str">
        <f>IF(AND('Project Database'!A465&lt;&gt;"",OR('Smart Search'!$L$5="",'Smart Search'!$L$5="All",TRIM('Project Database'!D465)=TRIM('Smart Search'!$L$5)),OR(TRIM('Smart Search'!$L$6)="",TRIM('Smart Search'!$L$6)="All",ISNUMBER(SEARCH(SUBSTITUTE(SUBSTITUTE(SUBSTITUTE(TRIM('Smart Search'!$L$6),"~","~~"),"*","~*"),"?","~?"),'Project Database'!C465))),OR('Smart Search'!$L$7="",AND('Project Database'!E465&lt;&gt;"",'Project Database'!E465='Smart Search'!$L$7)),OR('Smart Search'!$L$8="",'Smart Search'!$L$8="All",TRIM('Project Database'!F465)=TRIM('Smart Search'!$L$8))),IF(BA461="","",BA461+ROW()*0.0000000001),"")</f>
        <v/>
      </c>
      <c r="BI461" s="5" t="str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 t="str">
        <f>IF('Project Database'!A465="","",N('Project Database'!AC465))</f>
        <v/>
      </c>
      <c r="BK461" s="5" t="str">
        <f>IF('Project Database'!A465="","",N('Project Database'!AD465))</f>
        <v/>
      </c>
      <c r="BL461" s="5" t="str">
        <f>IF('Project Database'!A465="","",N('Project Database'!AE465))</f>
        <v/>
      </c>
      <c r="BM461" s="5" t="str">
        <f>IF('Project Database'!A465="","",N('Project Database'!AF465))</f>
        <v/>
      </c>
      <c r="BN461" s="5" t="str">
        <f>IF('Project Database'!A465="","",N('Project Database'!AG465))</f>
        <v/>
      </c>
      <c r="BO461" s="5" t="str">
        <f>IF('Project Database'!A465="","",N('Project Database'!AH465))</f>
        <v/>
      </c>
      <c r="BP461" s="5" t="str">
        <f>IF('Project Database'!A465="","",N('Project Database'!AI465))</f>
        <v/>
      </c>
      <c r="BQ461" s="5" t="str">
        <f>IF('Project Database'!A465="","",N('Project Database'!AJ465))</f>
        <v/>
      </c>
      <c r="BR461" s="5" t="str">
        <f>IF('Project Database'!A465="","",N('Project Database'!AK465))</f>
        <v/>
      </c>
      <c r="BS461" s="5" t="str">
        <f>IF('Project Database'!A465="","",N('Project Database'!AL465))</f>
        <v/>
      </c>
      <c r="BT461" s="5" t="str">
        <f>IF('Project Database'!A465="","",N('Project Database'!AM465))</f>
        <v/>
      </c>
      <c r="BU461" s="5" t="str">
        <f>IF('Project Database'!A465="","",N('Project Database'!AN465))</f>
        <v/>
      </c>
      <c r="BV461" s="5" t="str">
        <f>IF('Project Database'!A465="","",N('Project Database'!AO465))</f>
        <v/>
      </c>
      <c r="BW461" s="5" t="str">
        <f>IF('Project Database'!A465="","",N('Project Database'!AP465))</f>
        <v/>
      </c>
      <c r="BX461" s="5">
        <f t="shared" si="110"/>
        <v>0</v>
      </c>
      <c r="BY461" s="5">
        <f t="shared" si="111"/>
        <v>0</v>
      </c>
    </row>
    <row r="462" spans="1:77" ht="15" customHeight="1" x14ac:dyDescent="0.3">
      <c r="A462" s="66">
        <f>'Project Database'!A466</f>
        <v>0</v>
      </c>
      <c r="B462" s="66">
        <f>'Project Database'!B466</f>
        <v>0</v>
      </c>
      <c r="C462" s="66">
        <f>'Project Database'!G466</f>
        <v>0</v>
      </c>
      <c r="D462" s="66">
        <f>'Project Database'!H466</f>
        <v>0</v>
      </c>
      <c r="E462" s="66">
        <f>'Project Database'!I466</f>
        <v>0</v>
      </c>
      <c r="F462" s="66">
        <f>'Project Database'!J466</f>
        <v>0</v>
      </c>
      <c r="G462" s="66">
        <f>'Project Database'!K466</f>
        <v>0</v>
      </c>
      <c r="H462" s="66">
        <f>'Project Database'!L466</f>
        <v>0</v>
      </c>
      <c r="I462" s="66">
        <f>'Project Database'!M466</f>
        <v>0</v>
      </c>
      <c r="J462" s="66">
        <f>'Project Database'!N466</f>
        <v>0</v>
      </c>
      <c r="K462" s="66">
        <f>'Project Database'!O466</f>
        <v>0</v>
      </c>
      <c r="L462" s="66">
        <f>'Project Database'!P466</f>
        <v>0</v>
      </c>
      <c r="M462" s="66">
        <f>'Project Database'!Q466</f>
        <v>0</v>
      </c>
      <c r="N462" s="66">
        <f>'Project Database'!R466</f>
        <v>0</v>
      </c>
      <c r="O462" s="66">
        <f>'Project Database'!S466</f>
        <v>0</v>
      </c>
      <c r="P462" s="66">
        <f>'Project Database'!T466</f>
        <v>0</v>
      </c>
      <c r="Q462" s="66">
        <f>'Project Database'!U466</f>
        <v>0</v>
      </c>
      <c r="R462" s="66">
        <f>'Project Database'!V466</f>
        <v>0</v>
      </c>
      <c r="S462" s="66">
        <f>'Project Database'!W466</f>
        <v>0</v>
      </c>
      <c r="T462" s="66">
        <f>'Project Database'!X466</f>
        <v>0</v>
      </c>
      <c r="U462" s="67">
        <f>'Project Database'!Y466</f>
        <v>0</v>
      </c>
      <c r="V462" s="66">
        <f>IF('Smart Search'!B13=1,IFERROR(1/'Smart Search'!H13,0),0)</f>
        <v>0</v>
      </c>
      <c r="W462" s="66">
        <f>IF('Smart Search'!B13=1,IFERROR(1/'Smart Search'!H13,0),0)</f>
        <v>0</v>
      </c>
      <c r="X462" s="66">
        <f>IF('Smart Search'!C13=1,IFERROR(1/'Smart Search'!H13,0),0)</f>
        <v>0.5</v>
      </c>
      <c r="Y462" s="66">
        <f>IF('Smart Search'!C13=1,IFERROR(1/'Smart Search'!H13,0),0)</f>
        <v>0.5</v>
      </c>
      <c r="Z462" s="66">
        <f>IF('Smart Search'!D13=1,IFERROR(1/'Smart Search'!H13,0),0)</f>
        <v>0</v>
      </c>
      <c r="AA462" s="66">
        <f>IF('Smart Search'!D13=1,IFERROR(1/'Smart Search'!H13,0),0)</f>
        <v>0</v>
      </c>
      <c r="AB462" s="66">
        <f>IF('Smart Search'!E13=1,IFERROR(1/'Smart Search'!H13,0),0)</f>
        <v>0</v>
      </c>
      <c r="AC462" s="66">
        <f>IF('Smart Search'!E13=1,IFERROR(1/'Smart Search'!H13,0),0)</f>
        <v>0</v>
      </c>
      <c r="AD462" s="66">
        <f>IF('Smart Search'!F13=1,IFERROR(1/'Smart Search'!H13,0),0)</f>
        <v>0</v>
      </c>
      <c r="AE462" s="66">
        <f>IF('Smart Search'!F13=1,IFERROR(1/'Smart Search'!H13,0),0)</f>
        <v>0</v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>0</v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>0</v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>0</v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>0</v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>0</v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>0</v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>0</v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>0</v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>0</v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>0</v>
      </c>
      <c r="AP462" s="66">
        <f t="shared" si="98"/>
        <v>0</v>
      </c>
      <c r="AQ462" s="66">
        <f t="shared" si="99"/>
        <v>0</v>
      </c>
      <c r="AR462" s="66">
        <f t="shared" si="100"/>
        <v>0</v>
      </c>
      <c r="AS462" s="66">
        <f t="shared" si="101"/>
        <v>0</v>
      </c>
      <c r="AT462" s="66">
        <f t="shared" si="102"/>
        <v>0</v>
      </c>
      <c r="AU462" s="66">
        <f t="shared" si="103"/>
        <v>0</v>
      </c>
      <c r="AV462" s="66">
        <f t="shared" si="104"/>
        <v>0</v>
      </c>
      <c r="AW462" s="66">
        <f t="shared" si="105"/>
        <v>0</v>
      </c>
      <c r="AX462" s="66">
        <f t="shared" si="106"/>
        <v>0</v>
      </c>
      <c r="AY462" s="66">
        <f t="shared" si="107"/>
        <v>0</v>
      </c>
      <c r="AZ462" s="66">
        <f>'Project Database'!Z466</f>
        <v>0</v>
      </c>
      <c r="BA462" s="66">
        <f>IF(OR(A462="",'Smart Search'!H13=0),"",MAX(0,BE462*BF462*MAX(0,1-BG462)))</f>
        <v>0</v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>0</v>
      </c>
      <c r="BC462" s="66">
        <f>IF('Smart Search'!G13=1,IFERROR(1/'Smart Search'!H13,0),0)</f>
        <v>0</v>
      </c>
      <c r="BD462" s="66">
        <f t="shared" si="108"/>
        <v>0</v>
      </c>
      <c r="BE462" s="66">
        <f t="shared" si="109"/>
        <v>0</v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>0</v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>0</v>
      </c>
      <c r="BH462" s="5" t="str">
        <f>IF(AND('Project Database'!A466&lt;&gt;"",OR('Smart Search'!$L$5="",'Smart Search'!$L$5="All",TRIM('Project Database'!D466)=TRIM('Smart Search'!$L$5)),OR(TRIM('Smart Search'!$L$6)="",TRIM('Smart Search'!$L$6)="All",ISNUMBER(SEARCH(SUBSTITUTE(SUBSTITUTE(SUBSTITUTE(TRIM('Smart Search'!$L$6),"~","~~"),"*","~*"),"?","~?"),'Project Database'!C466))),OR('Smart Search'!$L$7="",AND('Project Database'!E466&lt;&gt;"",'Project Database'!E466='Smart Search'!$L$7)),OR('Smart Search'!$L$8="",'Smart Search'!$L$8="All",TRIM('Project Database'!F466)=TRIM('Smart Search'!$L$8))),IF(BA462="","",BA462+ROW()*0.0000000001),"")</f>
        <v/>
      </c>
      <c r="BI462" s="5" t="str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 t="str">
        <f>IF('Project Database'!A466="","",N('Project Database'!AC466))</f>
        <v/>
      </c>
      <c r="BK462" s="5" t="str">
        <f>IF('Project Database'!A466="","",N('Project Database'!AD466))</f>
        <v/>
      </c>
      <c r="BL462" s="5" t="str">
        <f>IF('Project Database'!A466="","",N('Project Database'!AE466))</f>
        <v/>
      </c>
      <c r="BM462" s="5" t="str">
        <f>IF('Project Database'!A466="","",N('Project Database'!AF466))</f>
        <v/>
      </c>
      <c r="BN462" s="5" t="str">
        <f>IF('Project Database'!A466="","",N('Project Database'!AG466))</f>
        <v/>
      </c>
      <c r="BO462" s="5" t="str">
        <f>IF('Project Database'!A466="","",N('Project Database'!AH466))</f>
        <v/>
      </c>
      <c r="BP462" s="5" t="str">
        <f>IF('Project Database'!A466="","",N('Project Database'!AI466))</f>
        <v/>
      </c>
      <c r="BQ462" s="5" t="str">
        <f>IF('Project Database'!A466="","",N('Project Database'!AJ466))</f>
        <v/>
      </c>
      <c r="BR462" s="5" t="str">
        <f>IF('Project Database'!A466="","",N('Project Database'!AK466))</f>
        <v/>
      </c>
      <c r="BS462" s="5" t="str">
        <f>IF('Project Database'!A466="","",N('Project Database'!AL466))</f>
        <v/>
      </c>
      <c r="BT462" s="5" t="str">
        <f>IF('Project Database'!A466="","",N('Project Database'!AM466))</f>
        <v/>
      </c>
      <c r="BU462" s="5" t="str">
        <f>IF('Project Database'!A466="","",N('Project Database'!AN466))</f>
        <v/>
      </c>
      <c r="BV462" s="5" t="str">
        <f>IF('Project Database'!A466="","",N('Project Database'!AO466))</f>
        <v/>
      </c>
      <c r="BW462" s="5" t="str">
        <f>IF('Project Database'!A466="","",N('Project Database'!AP466))</f>
        <v/>
      </c>
      <c r="BX462" s="5">
        <f t="shared" si="110"/>
        <v>0</v>
      </c>
      <c r="BY462" s="5">
        <f t="shared" si="111"/>
        <v>0</v>
      </c>
    </row>
    <row r="463" spans="1:77" ht="15" customHeight="1" x14ac:dyDescent="0.3">
      <c r="A463" s="66">
        <f>'Project Database'!A467</f>
        <v>0</v>
      </c>
      <c r="B463" s="66">
        <f>'Project Database'!B467</f>
        <v>0</v>
      </c>
      <c r="C463" s="66">
        <f>'Project Database'!G467</f>
        <v>0</v>
      </c>
      <c r="D463" s="66">
        <f>'Project Database'!H467</f>
        <v>0</v>
      </c>
      <c r="E463" s="66">
        <f>'Project Database'!I467</f>
        <v>0</v>
      </c>
      <c r="F463" s="66">
        <f>'Project Database'!J467</f>
        <v>0</v>
      </c>
      <c r="G463" s="66">
        <f>'Project Database'!K467</f>
        <v>0</v>
      </c>
      <c r="H463" s="66">
        <f>'Project Database'!L467</f>
        <v>0</v>
      </c>
      <c r="I463" s="66">
        <f>'Project Database'!M467</f>
        <v>0</v>
      </c>
      <c r="J463" s="66">
        <f>'Project Database'!N467</f>
        <v>0</v>
      </c>
      <c r="K463" s="66">
        <f>'Project Database'!O467</f>
        <v>0</v>
      </c>
      <c r="L463" s="66">
        <f>'Project Database'!P467</f>
        <v>0</v>
      </c>
      <c r="M463" s="66">
        <f>'Project Database'!Q467</f>
        <v>0</v>
      </c>
      <c r="N463" s="66">
        <f>'Project Database'!R467</f>
        <v>0</v>
      </c>
      <c r="O463" s="66">
        <f>'Project Database'!S467</f>
        <v>0</v>
      </c>
      <c r="P463" s="66">
        <f>'Project Database'!T467</f>
        <v>0</v>
      </c>
      <c r="Q463" s="66">
        <f>'Project Database'!U467</f>
        <v>0</v>
      </c>
      <c r="R463" s="66">
        <f>'Project Database'!V467</f>
        <v>0</v>
      </c>
      <c r="S463" s="66">
        <f>'Project Database'!W467</f>
        <v>0</v>
      </c>
      <c r="T463" s="66">
        <f>'Project Database'!X467</f>
        <v>0</v>
      </c>
      <c r="U463" s="67">
        <f>'Project Database'!Y467</f>
        <v>0</v>
      </c>
      <c r="V463" s="66">
        <f>IF('Smart Search'!B13=1,IFERROR(1/'Smart Search'!H13,0),0)</f>
        <v>0</v>
      </c>
      <c r="W463" s="66">
        <f>IF('Smart Search'!B13=1,IFERROR(1/'Smart Search'!H13,0),0)</f>
        <v>0</v>
      </c>
      <c r="X463" s="66">
        <f>IF('Smart Search'!C13=1,IFERROR(1/'Smart Search'!H13,0),0)</f>
        <v>0.5</v>
      </c>
      <c r="Y463" s="66">
        <f>IF('Smart Search'!C13=1,IFERROR(1/'Smart Search'!H13,0),0)</f>
        <v>0.5</v>
      </c>
      <c r="Z463" s="66">
        <f>IF('Smart Search'!D13=1,IFERROR(1/'Smart Search'!H13,0),0)</f>
        <v>0</v>
      </c>
      <c r="AA463" s="66">
        <f>IF('Smart Search'!D13=1,IFERROR(1/'Smart Search'!H13,0),0)</f>
        <v>0</v>
      </c>
      <c r="AB463" s="66">
        <f>IF('Smart Search'!E13=1,IFERROR(1/'Smart Search'!H13,0),0)</f>
        <v>0</v>
      </c>
      <c r="AC463" s="66">
        <f>IF('Smart Search'!E13=1,IFERROR(1/'Smart Search'!H13,0),0)</f>
        <v>0</v>
      </c>
      <c r="AD463" s="66">
        <f>IF('Smart Search'!F13=1,IFERROR(1/'Smart Search'!H13,0),0)</f>
        <v>0</v>
      </c>
      <c r="AE463" s="66">
        <f>IF('Smart Search'!F13=1,IFERROR(1/'Smart Search'!H13,0),0)</f>
        <v>0</v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>0</v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>0</v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>0</v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>0</v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>0</v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>0</v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>0</v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>0</v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>0</v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>0</v>
      </c>
      <c r="AP463" s="66">
        <f t="shared" si="98"/>
        <v>0</v>
      </c>
      <c r="AQ463" s="66">
        <f t="shared" si="99"/>
        <v>0</v>
      </c>
      <c r="AR463" s="66">
        <f t="shared" si="100"/>
        <v>0</v>
      </c>
      <c r="AS463" s="66">
        <f t="shared" si="101"/>
        <v>0</v>
      </c>
      <c r="AT463" s="66">
        <f t="shared" si="102"/>
        <v>0</v>
      </c>
      <c r="AU463" s="66">
        <f t="shared" si="103"/>
        <v>0</v>
      </c>
      <c r="AV463" s="66">
        <f t="shared" si="104"/>
        <v>0</v>
      </c>
      <c r="AW463" s="66">
        <f t="shared" si="105"/>
        <v>0</v>
      </c>
      <c r="AX463" s="66">
        <f t="shared" si="106"/>
        <v>0</v>
      </c>
      <c r="AY463" s="66">
        <f t="shared" si="107"/>
        <v>0</v>
      </c>
      <c r="AZ463" s="66">
        <f>'Project Database'!Z467</f>
        <v>0</v>
      </c>
      <c r="BA463" s="66">
        <f>IF(OR(A463="",'Smart Search'!H13=0),"",MAX(0,BE463*BF463*MAX(0,1-BG463)))</f>
        <v>0</v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>0</v>
      </c>
      <c r="BC463" s="66">
        <f>IF('Smart Search'!G13=1,IFERROR(1/'Smart Search'!H13,0),0)</f>
        <v>0</v>
      </c>
      <c r="BD463" s="66">
        <f t="shared" si="108"/>
        <v>0</v>
      </c>
      <c r="BE463" s="66">
        <f t="shared" si="109"/>
        <v>0</v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>0</v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>0</v>
      </c>
      <c r="BH463" s="5" t="str">
        <f>IF(AND('Project Database'!A467&lt;&gt;"",OR('Smart Search'!$L$5="",'Smart Search'!$L$5="All",TRIM('Project Database'!D467)=TRIM('Smart Search'!$L$5)),OR(TRIM('Smart Search'!$L$6)="",TRIM('Smart Search'!$L$6)="All",ISNUMBER(SEARCH(SUBSTITUTE(SUBSTITUTE(SUBSTITUTE(TRIM('Smart Search'!$L$6),"~","~~"),"*","~*"),"?","~?"),'Project Database'!C467))),OR('Smart Search'!$L$7="",AND('Project Database'!E467&lt;&gt;"",'Project Database'!E467='Smart Search'!$L$7)),OR('Smart Search'!$L$8="",'Smart Search'!$L$8="All",TRIM('Project Database'!F467)=TRIM('Smart Search'!$L$8))),IF(BA463="","",BA463+ROW()*0.0000000001),"")</f>
        <v/>
      </c>
      <c r="BI463" s="5" t="str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 t="str">
        <f>IF('Project Database'!A467="","",N('Project Database'!AC467))</f>
        <v/>
      </c>
      <c r="BK463" s="5" t="str">
        <f>IF('Project Database'!A467="","",N('Project Database'!AD467))</f>
        <v/>
      </c>
      <c r="BL463" s="5" t="str">
        <f>IF('Project Database'!A467="","",N('Project Database'!AE467))</f>
        <v/>
      </c>
      <c r="BM463" s="5" t="str">
        <f>IF('Project Database'!A467="","",N('Project Database'!AF467))</f>
        <v/>
      </c>
      <c r="BN463" s="5" t="str">
        <f>IF('Project Database'!A467="","",N('Project Database'!AG467))</f>
        <v/>
      </c>
      <c r="BO463" s="5" t="str">
        <f>IF('Project Database'!A467="","",N('Project Database'!AH467))</f>
        <v/>
      </c>
      <c r="BP463" s="5" t="str">
        <f>IF('Project Database'!A467="","",N('Project Database'!AI467))</f>
        <v/>
      </c>
      <c r="BQ463" s="5" t="str">
        <f>IF('Project Database'!A467="","",N('Project Database'!AJ467))</f>
        <v/>
      </c>
      <c r="BR463" s="5" t="str">
        <f>IF('Project Database'!A467="","",N('Project Database'!AK467))</f>
        <v/>
      </c>
      <c r="BS463" s="5" t="str">
        <f>IF('Project Database'!A467="","",N('Project Database'!AL467))</f>
        <v/>
      </c>
      <c r="BT463" s="5" t="str">
        <f>IF('Project Database'!A467="","",N('Project Database'!AM467))</f>
        <v/>
      </c>
      <c r="BU463" s="5" t="str">
        <f>IF('Project Database'!A467="","",N('Project Database'!AN467))</f>
        <v/>
      </c>
      <c r="BV463" s="5" t="str">
        <f>IF('Project Database'!A467="","",N('Project Database'!AO467))</f>
        <v/>
      </c>
      <c r="BW463" s="5" t="str">
        <f>IF('Project Database'!A467="","",N('Project Database'!AP467))</f>
        <v/>
      </c>
      <c r="BX463" s="5">
        <f t="shared" si="110"/>
        <v>0</v>
      </c>
      <c r="BY463" s="5">
        <f t="shared" si="111"/>
        <v>0</v>
      </c>
    </row>
    <row r="464" spans="1:77" ht="15" customHeight="1" x14ac:dyDescent="0.3">
      <c r="A464" s="66">
        <f>'Project Database'!A468</f>
        <v>0</v>
      </c>
      <c r="B464" s="66">
        <f>'Project Database'!B468</f>
        <v>0</v>
      </c>
      <c r="C464" s="66">
        <f>'Project Database'!G468</f>
        <v>0</v>
      </c>
      <c r="D464" s="66">
        <f>'Project Database'!H468</f>
        <v>0</v>
      </c>
      <c r="E464" s="66">
        <f>'Project Database'!I468</f>
        <v>0</v>
      </c>
      <c r="F464" s="66">
        <f>'Project Database'!J468</f>
        <v>0</v>
      </c>
      <c r="G464" s="66">
        <f>'Project Database'!K468</f>
        <v>0</v>
      </c>
      <c r="H464" s="66">
        <f>'Project Database'!L468</f>
        <v>0</v>
      </c>
      <c r="I464" s="66">
        <f>'Project Database'!M468</f>
        <v>0</v>
      </c>
      <c r="J464" s="66">
        <f>'Project Database'!N468</f>
        <v>0</v>
      </c>
      <c r="K464" s="66">
        <f>'Project Database'!O468</f>
        <v>0</v>
      </c>
      <c r="L464" s="66">
        <f>'Project Database'!P468</f>
        <v>0</v>
      </c>
      <c r="M464" s="66">
        <f>'Project Database'!Q468</f>
        <v>0</v>
      </c>
      <c r="N464" s="66">
        <f>'Project Database'!R468</f>
        <v>0</v>
      </c>
      <c r="O464" s="66">
        <f>'Project Database'!S468</f>
        <v>0</v>
      </c>
      <c r="P464" s="66">
        <f>'Project Database'!T468</f>
        <v>0</v>
      </c>
      <c r="Q464" s="66">
        <f>'Project Database'!U468</f>
        <v>0</v>
      </c>
      <c r="R464" s="66">
        <f>'Project Database'!V468</f>
        <v>0</v>
      </c>
      <c r="S464" s="66">
        <f>'Project Database'!W468</f>
        <v>0</v>
      </c>
      <c r="T464" s="66">
        <f>'Project Database'!X468</f>
        <v>0</v>
      </c>
      <c r="U464" s="67">
        <f>'Project Database'!Y468</f>
        <v>0</v>
      </c>
      <c r="V464" s="66">
        <f>IF('Smart Search'!B13=1,IFERROR(1/'Smart Search'!H13,0),0)</f>
        <v>0</v>
      </c>
      <c r="W464" s="66">
        <f>IF('Smart Search'!B13=1,IFERROR(1/'Smart Search'!H13,0),0)</f>
        <v>0</v>
      </c>
      <c r="X464" s="66">
        <f>IF('Smart Search'!C13=1,IFERROR(1/'Smart Search'!H13,0),0)</f>
        <v>0.5</v>
      </c>
      <c r="Y464" s="66">
        <f>IF('Smart Search'!C13=1,IFERROR(1/'Smart Search'!H13,0),0)</f>
        <v>0.5</v>
      </c>
      <c r="Z464" s="66">
        <f>IF('Smart Search'!D13=1,IFERROR(1/'Smart Search'!H13,0),0)</f>
        <v>0</v>
      </c>
      <c r="AA464" s="66">
        <f>IF('Smart Search'!D13=1,IFERROR(1/'Smart Search'!H13,0),0)</f>
        <v>0</v>
      </c>
      <c r="AB464" s="66">
        <f>IF('Smart Search'!E13=1,IFERROR(1/'Smart Search'!H13,0),0)</f>
        <v>0</v>
      </c>
      <c r="AC464" s="66">
        <f>IF('Smart Search'!E13=1,IFERROR(1/'Smart Search'!H13,0),0)</f>
        <v>0</v>
      </c>
      <c r="AD464" s="66">
        <f>IF('Smart Search'!F13=1,IFERROR(1/'Smart Search'!H13,0),0)</f>
        <v>0</v>
      </c>
      <c r="AE464" s="66">
        <f>IF('Smart Search'!F13=1,IFERROR(1/'Smart Search'!H13,0),0)</f>
        <v>0</v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>0</v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>0</v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>0</v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>0</v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>0</v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>0</v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>0</v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>0</v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>0</v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>0</v>
      </c>
      <c r="AP464" s="66">
        <f t="shared" si="98"/>
        <v>0</v>
      </c>
      <c r="AQ464" s="66">
        <f t="shared" si="99"/>
        <v>0</v>
      </c>
      <c r="AR464" s="66">
        <f t="shared" si="100"/>
        <v>0</v>
      </c>
      <c r="AS464" s="66">
        <f t="shared" si="101"/>
        <v>0</v>
      </c>
      <c r="AT464" s="66">
        <f t="shared" si="102"/>
        <v>0</v>
      </c>
      <c r="AU464" s="66">
        <f t="shared" si="103"/>
        <v>0</v>
      </c>
      <c r="AV464" s="66">
        <f t="shared" si="104"/>
        <v>0</v>
      </c>
      <c r="AW464" s="66">
        <f t="shared" si="105"/>
        <v>0</v>
      </c>
      <c r="AX464" s="66">
        <f t="shared" si="106"/>
        <v>0</v>
      </c>
      <c r="AY464" s="66">
        <f t="shared" si="107"/>
        <v>0</v>
      </c>
      <c r="AZ464" s="66">
        <f>'Project Database'!Z468</f>
        <v>0</v>
      </c>
      <c r="BA464" s="66">
        <f>IF(OR(A464="",'Smart Search'!H13=0),"",MAX(0,BE464*BF464*MAX(0,1-BG464)))</f>
        <v>0</v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>0</v>
      </c>
      <c r="BC464" s="66">
        <f>IF('Smart Search'!G13=1,IFERROR(1/'Smart Search'!H13,0),0)</f>
        <v>0</v>
      </c>
      <c r="BD464" s="66">
        <f t="shared" si="108"/>
        <v>0</v>
      </c>
      <c r="BE464" s="66">
        <f t="shared" si="109"/>
        <v>0</v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>0</v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>0</v>
      </c>
      <c r="BH464" s="5" t="str">
        <f>IF(AND('Project Database'!A468&lt;&gt;"",OR('Smart Search'!$L$5="",'Smart Search'!$L$5="All",TRIM('Project Database'!D468)=TRIM('Smart Search'!$L$5)),OR(TRIM('Smart Search'!$L$6)="",TRIM('Smart Search'!$L$6)="All",ISNUMBER(SEARCH(SUBSTITUTE(SUBSTITUTE(SUBSTITUTE(TRIM('Smart Search'!$L$6),"~","~~"),"*","~*"),"?","~?"),'Project Database'!C468))),OR('Smart Search'!$L$7="",AND('Project Database'!E468&lt;&gt;"",'Project Database'!E468='Smart Search'!$L$7)),OR('Smart Search'!$L$8="",'Smart Search'!$L$8="All",TRIM('Project Database'!F468)=TRIM('Smart Search'!$L$8))),IF(BA464="","",BA464+ROW()*0.0000000001),"")</f>
        <v/>
      </c>
      <c r="BI464" s="5" t="str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 t="str">
        <f>IF('Project Database'!A468="","",N('Project Database'!AC468))</f>
        <v/>
      </c>
      <c r="BK464" s="5" t="str">
        <f>IF('Project Database'!A468="","",N('Project Database'!AD468))</f>
        <v/>
      </c>
      <c r="BL464" s="5" t="str">
        <f>IF('Project Database'!A468="","",N('Project Database'!AE468))</f>
        <v/>
      </c>
      <c r="BM464" s="5" t="str">
        <f>IF('Project Database'!A468="","",N('Project Database'!AF468))</f>
        <v/>
      </c>
      <c r="BN464" s="5" t="str">
        <f>IF('Project Database'!A468="","",N('Project Database'!AG468))</f>
        <v/>
      </c>
      <c r="BO464" s="5" t="str">
        <f>IF('Project Database'!A468="","",N('Project Database'!AH468))</f>
        <v/>
      </c>
      <c r="BP464" s="5" t="str">
        <f>IF('Project Database'!A468="","",N('Project Database'!AI468))</f>
        <v/>
      </c>
      <c r="BQ464" s="5" t="str">
        <f>IF('Project Database'!A468="","",N('Project Database'!AJ468))</f>
        <v/>
      </c>
      <c r="BR464" s="5" t="str">
        <f>IF('Project Database'!A468="","",N('Project Database'!AK468))</f>
        <v/>
      </c>
      <c r="BS464" s="5" t="str">
        <f>IF('Project Database'!A468="","",N('Project Database'!AL468))</f>
        <v/>
      </c>
      <c r="BT464" s="5" t="str">
        <f>IF('Project Database'!A468="","",N('Project Database'!AM468))</f>
        <v/>
      </c>
      <c r="BU464" s="5" t="str">
        <f>IF('Project Database'!A468="","",N('Project Database'!AN468))</f>
        <v/>
      </c>
      <c r="BV464" s="5" t="str">
        <f>IF('Project Database'!A468="","",N('Project Database'!AO468))</f>
        <v/>
      </c>
      <c r="BW464" s="5" t="str">
        <f>IF('Project Database'!A468="","",N('Project Database'!AP468))</f>
        <v/>
      </c>
      <c r="BX464" s="5">
        <f t="shared" si="110"/>
        <v>0</v>
      </c>
      <c r="BY464" s="5">
        <f t="shared" si="111"/>
        <v>0</v>
      </c>
    </row>
    <row r="465" spans="1:77" ht="15" customHeight="1" x14ac:dyDescent="0.3">
      <c r="A465" s="66">
        <f>'Project Database'!A469</f>
        <v>0</v>
      </c>
      <c r="B465" s="66">
        <f>'Project Database'!B469</f>
        <v>0</v>
      </c>
      <c r="C465" s="66">
        <f>'Project Database'!G469</f>
        <v>0</v>
      </c>
      <c r="D465" s="66">
        <f>'Project Database'!H469</f>
        <v>0</v>
      </c>
      <c r="E465" s="66">
        <f>'Project Database'!I469</f>
        <v>0</v>
      </c>
      <c r="F465" s="66">
        <f>'Project Database'!J469</f>
        <v>0</v>
      </c>
      <c r="G465" s="66">
        <f>'Project Database'!K469</f>
        <v>0</v>
      </c>
      <c r="H465" s="66">
        <f>'Project Database'!L469</f>
        <v>0</v>
      </c>
      <c r="I465" s="66">
        <f>'Project Database'!M469</f>
        <v>0</v>
      </c>
      <c r="J465" s="66">
        <f>'Project Database'!N469</f>
        <v>0</v>
      </c>
      <c r="K465" s="66">
        <f>'Project Database'!O469</f>
        <v>0</v>
      </c>
      <c r="L465" s="66">
        <f>'Project Database'!P469</f>
        <v>0</v>
      </c>
      <c r="M465" s="66">
        <f>'Project Database'!Q469</f>
        <v>0</v>
      </c>
      <c r="N465" s="66">
        <f>'Project Database'!R469</f>
        <v>0</v>
      </c>
      <c r="O465" s="66">
        <f>'Project Database'!S469</f>
        <v>0</v>
      </c>
      <c r="P465" s="66">
        <f>'Project Database'!T469</f>
        <v>0</v>
      </c>
      <c r="Q465" s="66">
        <f>'Project Database'!U469</f>
        <v>0</v>
      </c>
      <c r="R465" s="66">
        <f>'Project Database'!V469</f>
        <v>0</v>
      </c>
      <c r="S465" s="66">
        <f>'Project Database'!W469</f>
        <v>0</v>
      </c>
      <c r="T465" s="66">
        <f>'Project Database'!X469</f>
        <v>0</v>
      </c>
      <c r="U465" s="67">
        <f>'Project Database'!Y469</f>
        <v>0</v>
      </c>
      <c r="V465" s="66">
        <f>IF('Smart Search'!B13=1,IFERROR(1/'Smart Search'!H13,0),0)</f>
        <v>0</v>
      </c>
      <c r="W465" s="66">
        <f>IF('Smart Search'!B13=1,IFERROR(1/'Smart Search'!H13,0),0)</f>
        <v>0</v>
      </c>
      <c r="X465" s="66">
        <f>IF('Smart Search'!C13=1,IFERROR(1/'Smart Search'!H13,0),0)</f>
        <v>0.5</v>
      </c>
      <c r="Y465" s="66">
        <f>IF('Smart Search'!C13=1,IFERROR(1/'Smart Search'!H13,0),0)</f>
        <v>0.5</v>
      </c>
      <c r="Z465" s="66">
        <f>IF('Smart Search'!D13=1,IFERROR(1/'Smart Search'!H13,0),0)</f>
        <v>0</v>
      </c>
      <c r="AA465" s="66">
        <f>IF('Smart Search'!D13=1,IFERROR(1/'Smart Search'!H13,0),0)</f>
        <v>0</v>
      </c>
      <c r="AB465" s="66">
        <f>IF('Smart Search'!E13=1,IFERROR(1/'Smart Search'!H13,0),0)</f>
        <v>0</v>
      </c>
      <c r="AC465" s="66">
        <f>IF('Smart Search'!E13=1,IFERROR(1/'Smart Search'!H13,0),0)</f>
        <v>0</v>
      </c>
      <c r="AD465" s="66">
        <f>IF('Smart Search'!F13=1,IFERROR(1/'Smart Search'!H13,0),0)</f>
        <v>0</v>
      </c>
      <c r="AE465" s="66">
        <f>IF('Smart Search'!F13=1,IFERROR(1/'Smart Search'!H13,0),0)</f>
        <v>0</v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>0</v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>0</v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>0</v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>0</v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>0</v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>0</v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>0</v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>0</v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>0</v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>0</v>
      </c>
      <c r="AP465" s="66">
        <f t="shared" si="98"/>
        <v>0</v>
      </c>
      <c r="AQ465" s="66">
        <f t="shared" si="99"/>
        <v>0</v>
      </c>
      <c r="AR465" s="66">
        <f t="shared" si="100"/>
        <v>0</v>
      </c>
      <c r="AS465" s="66">
        <f t="shared" si="101"/>
        <v>0</v>
      </c>
      <c r="AT465" s="66">
        <f t="shared" si="102"/>
        <v>0</v>
      </c>
      <c r="AU465" s="66">
        <f t="shared" si="103"/>
        <v>0</v>
      </c>
      <c r="AV465" s="66">
        <f t="shared" si="104"/>
        <v>0</v>
      </c>
      <c r="AW465" s="66">
        <f t="shared" si="105"/>
        <v>0</v>
      </c>
      <c r="AX465" s="66">
        <f t="shared" si="106"/>
        <v>0</v>
      </c>
      <c r="AY465" s="66">
        <f t="shared" si="107"/>
        <v>0</v>
      </c>
      <c r="AZ465" s="66">
        <f>'Project Database'!Z469</f>
        <v>0</v>
      </c>
      <c r="BA465" s="66">
        <f>IF(OR(A465="",'Smart Search'!H13=0),"",MAX(0,BE465*BF465*MAX(0,1-BG465)))</f>
        <v>0</v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>0</v>
      </c>
      <c r="BC465" s="66">
        <f>IF('Smart Search'!G13=1,IFERROR(1/'Smart Search'!H13,0),0)</f>
        <v>0</v>
      </c>
      <c r="BD465" s="66">
        <f t="shared" si="108"/>
        <v>0</v>
      </c>
      <c r="BE465" s="66">
        <f t="shared" si="109"/>
        <v>0</v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>0</v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>0</v>
      </c>
      <c r="BH465" s="5" t="str">
        <f>IF(AND('Project Database'!A469&lt;&gt;"",OR('Smart Search'!$L$5="",'Smart Search'!$L$5="All",TRIM('Project Database'!D469)=TRIM('Smart Search'!$L$5)),OR(TRIM('Smart Search'!$L$6)="",TRIM('Smart Search'!$L$6)="All",ISNUMBER(SEARCH(SUBSTITUTE(SUBSTITUTE(SUBSTITUTE(TRIM('Smart Search'!$L$6),"~","~~"),"*","~*"),"?","~?"),'Project Database'!C469))),OR('Smart Search'!$L$7="",AND('Project Database'!E469&lt;&gt;"",'Project Database'!E469='Smart Search'!$L$7)),OR('Smart Search'!$L$8="",'Smart Search'!$L$8="All",TRIM('Project Database'!F469)=TRIM('Smart Search'!$L$8))),IF(BA465="","",BA465+ROW()*0.0000000001),"")</f>
        <v/>
      </c>
      <c r="BI465" s="5" t="str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 t="str">
        <f>IF('Project Database'!A469="","",N('Project Database'!AC469))</f>
        <v/>
      </c>
      <c r="BK465" s="5" t="str">
        <f>IF('Project Database'!A469="","",N('Project Database'!AD469))</f>
        <v/>
      </c>
      <c r="BL465" s="5" t="str">
        <f>IF('Project Database'!A469="","",N('Project Database'!AE469))</f>
        <v/>
      </c>
      <c r="BM465" s="5" t="str">
        <f>IF('Project Database'!A469="","",N('Project Database'!AF469))</f>
        <v/>
      </c>
      <c r="BN465" s="5" t="str">
        <f>IF('Project Database'!A469="","",N('Project Database'!AG469))</f>
        <v/>
      </c>
      <c r="BO465" s="5" t="str">
        <f>IF('Project Database'!A469="","",N('Project Database'!AH469))</f>
        <v/>
      </c>
      <c r="BP465" s="5" t="str">
        <f>IF('Project Database'!A469="","",N('Project Database'!AI469))</f>
        <v/>
      </c>
      <c r="BQ465" s="5" t="str">
        <f>IF('Project Database'!A469="","",N('Project Database'!AJ469))</f>
        <v/>
      </c>
      <c r="BR465" s="5" t="str">
        <f>IF('Project Database'!A469="","",N('Project Database'!AK469))</f>
        <v/>
      </c>
      <c r="BS465" s="5" t="str">
        <f>IF('Project Database'!A469="","",N('Project Database'!AL469))</f>
        <v/>
      </c>
      <c r="BT465" s="5" t="str">
        <f>IF('Project Database'!A469="","",N('Project Database'!AM469))</f>
        <v/>
      </c>
      <c r="BU465" s="5" t="str">
        <f>IF('Project Database'!A469="","",N('Project Database'!AN469))</f>
        <v/>
      </c>
      <c r="BV465" s="5" t="str">
        <f>IF('Project Database'!A469="","",N('Project Database'!AO469))</f>
        <v/>
      </c>
      <c r="BW465" s="5" t="str">
        <f>IF('Project Database'!A469="","",N('Project Database'!AP469))</f>
        <v/>
      </c>
      <c r="BX465" s="5">
        <f t="shared" si="110"/>
        <v>0</v>
      </c>
      <c r="BY465" s="5">
        <f t="shared" si="111"/>
        <v>0</v>
      </c>
    </row>
    <row r="466" spans="1:77" ht="15" customHeight="1" x14ac:dyDescent="0.3">
      <c r="A466" s="66">
        <f>'Project Database'!A470</f>
        <v>0</v>
      </c>
      <c r="B466" s="66">
        <f>'Project Database'!B470</f>
        <v>0</v>
      </c>
      <c r="C466" s="66">
        <f>'Project Database'!G470</f>
        <v>0</v>
      </c>
      <c r="D466" s="66">
        <f>'Project Database'!H470</f>
        <v>0</v>
      </c>
      <c r="E466" s="66">
        <f>'Project Database'!I470</f>
        <v>0</v>
      </c>
      <c r="F466" s="66">
        <f>'Project Database'!J470</f>
        <v>0</v>
      </c>
      <c r="G466" s="66">
        <f>'Project Database'!K470</f>
        <v>0</v>
      </c>
      <c r="H466" s="66">
        <f>'Project Database'!L470</f>
        <v>0</v>
      </c>
      <c r="I466" s="66">
        <f>'Project Database'!M470</f>
        <v>0</v>
      </c>
      <c r="J466" s="66">
        <f>'Project Database'!N470</f>
        <v>0</v>
      </c>
      <c r="K466" s="66">
        <f>'Project Database'!O470</f>
        <v>0</v>
      </c>
      <c r="L466" s="66">
        <f>'Project Database'!P470</f>
        <v>0</v>
      </c>
      <c r="M466" s="66">
        <f>'Project Database'!Q470</f>
        <v>0</v>
      </c>
      <c r="N466" s="66">
        <f>'Project Database'!R470</f>
        <v>0</v>
      </c>
      <c r="O466" s="66">
        <f>'Project Database'!S470</f>
        <v>0</v>
      </c>
      <c r="P466" s="66">
        <f>'Project Database'!T470</f>
        <v>0</v>
      </c>
      <c r="Q466" s="66">
        <f>'Project Database'!U470</f>
        <v>0</v>
      </c>
      <c r="R466" s="66">
        <f>'Project Database'!V470</f>
        <v>0</v>
      </c>
      <c r="S466" s="66">
        <f>'Project Database'!W470</f>
        <v>0</v>
      </c>
      <c r="T466" s="66">
        <f>'Project Database'!X470</f>
        <v>0</v>
      </c>
      <c r="U466" s="67">
        <f>'Project Database'!Y470</f>
        <v>0</v>
      </c>
      <c r="V466" s="66">
        <f>IF('Smart Search'!B13=1,IFERROR(1/'Smart Search'!H13,0),0)</f>
        <v>0</v>
      </c>
      <c r="W466" s="66">
        <f>IF('Smart Search'!B13=1,IFERROR(1/'Smart Search'!H13,0),0)</f>
        <v>0</v>
      </c>
      <c r="X466" s="66">
        <f>IF('Smart Search'!C13=1,IFERROR(1/'Smart Search'!H13,0),0)</f>
        <v>0.5</v>
      </c>
      <c r="Y466" s="66">
        <f>IF('Smart Search'!C13=1,IFERROR(1/'Smart Search'!H13,0),0)</f>
        <v>0.5</v>
      </c>
      <c r="Z466" s="66">
        <f>IF('Smart Search'!D13=1,IFERROR(1/'Smart Search'!H13,0),0)</f>
        <v>0</v>
      </c>
      <c r="AA466" s="66">
        <f>IF('Smart Search'!D13=1,IFERROR(1/'Smart Search'!H13,0),0)</f>
        <v>0</v>
      </c>
      <c r="AB466" s="66">
        <f>IF('Smart Search'!E13=1,IFERROR(1/'Smart Search'!H13,0),0)</f>
        <v>0</v>
      </c>
      <c r="AC466" s="66">
        <f>IF('Smart Search'!E13=1,IFERROR(1/'Smart Search'!H13,0),0)</f>
        <v>0</v>
      </c>
      <c r="AD466" s="66">
        <f>IF('Smart Search'!F13=1,IFERROR(1/'Smart Search'!H13,0),0)</f>
        <v>0</v>
      </c>
      <c r="AE466" s="66">
        <f>IF('Smart Search'!F13=1,IFERROR(1/'Smart Search'!H13,0),0)</f>
        <v>0</v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>0</v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>0</v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>0</v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>0</v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>0</v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>0</v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>0</v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>0</v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>0</v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>0</v>
      </c>
      <c r="AP466" s="66">
        <f t="shared" si="98"/>
        <v>0</v>
      </c>
      <c r="AQ466" s="66">
        <f t="shared" si="99"/>
        <v>0</v>
      </c>
      <c r="AR466" s="66">
        <f t="shared" si="100"/>
        <v>0</v>
      </c>
      <c r="AS466" s="66">
        <f t="shared" si="101"/>
        <v>0</v>
      </c>
      <c r="AT466" s="66">
        <f t="shared" si="102"/>
        <v>0</v>
      </c>
      <c r="AU466" s="66">
        <f t="shared" si="103"/>
        <v>0</v>
      </c>
      <c r="AV466" s="66">
        <f t="shared" si="104"/>
        <v>0</v>
      </c>
      <c r="AW466" s="66">
        <f t="shared" si="105"/>
        <v>0</v>
      </c>
      <c r="AX466" s="66">
        <f t="shared" si="106"/>
        <v>0</v>
      </c>
      <c r="AY466" s="66">
        <f t="shared" si="107"/>
        <v>0</v>
      </c>
      <c r="AZ466" s="66">
        <f>'Project Database'!Z470</f>
        <v>0</v>
      </c>
      <c r="BA466" s="66">
        <f>IF(OR(A466="",'Smart Search'!H13=0),"",MAX(0,BE466*BF466*MAX(0,1-BG466)))</f>
        <v>0</v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>0</v>
      </c>
      <c r="BC466" s="66">
        <f>IF('Smart Search'!G13=1,IFERROR(1/'Smart Search'!H13,0),0)</f>
        <v>0</v>
      </c>
      <c r="BD466" s="66">
        <f t="shared" si="108"/>
        <v>0</v>
      </c>
      <c r="BE466" s="66">
        <f t="shared" si="109"/>
        <v>0</v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>0</v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>0</v>
      </c>
      <c r="BH466" s="5" t="str">
        <f>IF(AND('Project Database'!A470&lt;&gt;"",OR('Smart Search'!$L$5="",'Smart Search'!$L$5="All",TRIM('Project Database'!D470)=TRIM('Smart Search'!$L$5)),OR(TRIM('Smart Search'!$L$6)="",TRIM('Smart Search'!$L$6)="All",ISNUMBER(SEARCH(SUBSTITUTE(SUBSTITUTE(SUBSTITUTE(TRIM('Smart Search'!$L$6),"~","~~"),"*","~*"),"?","~?"),'Project Database'!C470))),OR('Smart Search'!$L$7="",AND('Project Database'!E470&lt;&gt;"",'Project Database'!E470='Smart Search'!$L$7)),OR('Smart Search'!$L$8="",'Smart Search'!$L$8="All",TRIM('Project Database'!F470)=TRIM('Smart Search'!$L$8))),IF(BA466="","",BA466+ROW()*0.0000000001),"")</f>
        <v/>
      </c>
      <c r="BI466" s="5" t="str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 t="str">
        <f>IF('Project Database'!A470="","",N('Project Database'!AC470))</f>
        <v/>
      </c>
      <c r="BK466" s="5" t="str">
        <f>IF('Project Database'!A470="","",N('Project Database'!AD470))</f>
        <v/>
      </c>
      <c r="BL466" s="5" t="str">
        <f>IF('Project Database'!A470="","",N('Project Database'!AE470))</f>
        <v/>
      </c>
      <c r="BM466" s="5" t="str">
        <f>IF('Project Database'!A470="","",N('Project Database'!AF470))</f>
        <v/>
      </c>
      <c r="BN466" s="5" t="str">
        <f>IF('Project Database'!A470="","",N('Project Database'!AG470))</f>
        <v/>
      </c>
      <c r="BO466" s="5" t="str">
        <f>IF('Project Database'!A470="","",N('Project Database'!AH470))</f>
        <v/>
      </c>
      <c r="BP466" s="5" t="str">
        <f>IF('Project Database'!A470="","",N('Project Database'!AI470))</f>
        <v/>
      </c>
      <c r="BQ466" s="5" t="str">
        <f>IF('Project Database'!A470="","",N('Project Database'!AJ470))</f>
        <v/>
      </c>
      <c r="BR466" s="5" t="str">
        <f>IF('Project Database'!A470="","",N('Project Database'!AK470))</f>
        <v/>
      </c>
      <c r="BS466" s="5" t="str">
        <f>IF('Project Database'!A470="","",N('Project Database'!AL470))</f>
        <v/>
      </c>
      <c r="BT466" s="5" t="str">
        <f>IF('Project Database'!A470="","",N('Project Database'!AM470))</f>
        <v/>
      </c>
      <c r="BU466" s="5" t="str">
        <f>IF('Project Database'!A470="","",N('Project Database'!AN470))</f>
        <v/>
      </c>
      <c r="BV466" s="5" t="str">
        <f>IF('Project Database'!A470="","",N('Project Database'!AO470))</f>
        <v/>
      </c>
      <c r="BW466" s="5" t="str">
        <f>IF('Project Database'!A470="","",N('Project Database'!AP470))</f>
        <v/>
      </c>
      <c r="BX466" s="5">
        <f t="shared" si="110"/>
        <v>0</v>
      </c>
      <c r="BY466" s="5">
        <f t="shared" si="111"/>
        <v>0</v>
      </c>
    </row>
    <row r="467" spans="1:77" ht="15" customHeight="1" x14ac:dyDescent="0.3">
      <c r="A467" s="66">
        <f>'Project Database'!A471</f>
        <v>0</v>
      </c>
      <c r="B467" s="66">
        <f>'Project Database'!B471</f>
        <v>0</v>
      </c>
      <c r="C467" s="66">
        <f>'Project Database'!G471</f>
        <v>0</v>
      </c>
      <c r="D467" s="66">
        <f>'Project Database'!H471</f>
        <v>0</v>
      </c>
      <c r="E467" s="66">
        <f>'Project Database'!I471</f>
        <v>0</v>
      </c>
      <c r="F467" s="66">
        <f>'Project Database'!J471</f>
        <v>0</v>
      </c>
      <c r="G467" s="66">
        <f>'Project Database'!K471</f>
        <v>0</v>
      </c>
      <c r="H467" s="66">
        <f>'Project Database'!L471</f>
        <v>0</v>
      </c>
      <c r="I467" s="66">
        <f>'Project Database'!M471</f>
        <v>0</v>
      </c>
      <c r="J467" s="66">
        <f>'Project Database'!N471</f>
        <v>0</v>
      </c>
      <c r="K467" s="66">
        <f>'Project Database'!O471</f>
        <v>0</v>
      </c>
      <c r="L467" s="66">
        <f>'Project Database'!P471</f>
        <v>0</v>
      </c>
      <c r="M467" s="66">
        <f>'Project Database'!Q471</f>
        <v>0</v>
      </c>
      <c r="N467" s="66">
        <f>'Project Database'!R471</f>
        <v>0</v>
      </c>
      <c r="O467" s="66">
        <f>'Project Database'!S471</f>
        <v>0</v>
      </c>
      <c r="P467" s="66">
        <f>'Project Database'!T471</f>
        <v>0</v>
      </c>
      <c r="Q467" s="66">
        <f>'Project Database'!U471</f>
        <v>0</v>
      </c>
      <c r="R467" s="66">
        <f>'Project Database'!V471</f>
        <v>0</v>
      </c>
      <c r="S467" s="66">
        <f>'Project Database'!W471</f>
        <v>0</v>
      </c>
      <c r="T467" s="66">
        <f>'Project Database'!X471</f>
        <v>0</v>
      </c>
      <c r="U467" s="67">
        <f>'Project Database'!Y471</f>
        <v>0</v>
      </c>
      <c r="V467" s="66">
        <f>IF('Smart Search'!B13=1,IFERROR(1/'Smart Search'!H13,0),0)</f>
        <v>0</v>
      </c>
      <c r="W467" s="66">
        <f>IF('Smart Search'!B13=1,IFERROR(1/'Smart Search'!H13,0),0)</f>
        <v>0</v>
      </c>
      <c r="X467" s="66">
        <f>IF('Smart Search'!C13=1,IFERROR(1/'Smart Search'!H13,0),0)</f>
        <v>0.5</v>
      </c>
      <c r="Y467" s="66">
        <f>IF('Smart Search'!C13=1,IFERROR(1/'Smart Search'!H13,0),0)</f>
        <v>0.5</v>
      </c>
      <c r="Z467" s="66">
        <f>IF('Smart Search'!D13=1,IFERROR(1/'Smart Search'!H13,0),0)</f>
        <v>0</v>
      </c>
      <c r="AA467" s="66">
        <f>IF('Smart Search'!D13=1,IFERROR(1/'Smart Search'!H13,0),0)</f>
        <v>0</v>
      </c>
      <c r="AB467" s="66">
        <f>IF('Smart Search'!E13=1,IFERROR(1/'Smart Search'!H13,0),0)</f>
        <v>0</v>
      </c>
      <c r="AC467" s="66">
        <f>IF('Smart Search'!E13=1,IFERROR(1/'Smart Search'!H13,0),0)</f>
        <v>0</v>
      </c>
      <c r="AD467" s="66">
        <f>IF('Smart Search'!F13=1,IFERROR(1/'Smart Search'!H13,0),0)</f>
        <v>0</v>
      </c>
      <c r="AE467" s="66">
        <f>IF('Smart Search'!F13=1,IFERROR(1/'Smart Search'!H13,0),0)</f>
        <v>0</v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>0</v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>0</v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>0</v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>0</v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>0</v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>0</v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>0</v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>0</v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>0</v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>0</v>
      </c>
      <c r="AP467" s="66">
        <f t="shared" si="98"/>
        <v>0</v>
      </c>
      <c r="AQ467" s="66">
        <f t="shared" si="99"/>
        <v>0</v>
      </c>
      <c r="AR467" s="66">
        <f t="shared" si="100"/>
        <v>0</v>
      </c>
      <c r="AS467" s="66">
        <f t="shared" si="101"/>
        <v>0</v>
      </c>
      <c r="AT467" s="66">
        <f t="shared" si="102"/>
        <v>0</v>
      </c>
      <c r="AU467" s="66">
        <f t="shared" si="103"/>
        <v>0</v>
      </c>
      <c r="AV467" s="66">
        <f t="shared" si="104"/>
        <v>0</v>
      </c>
      <c r="AW467" s="66">
        <f t="shared" si="105"/>
        <v>0</v>
      </c>
      <c r="AX467" s="66">
        <f t="shared" si="106"/>
        <v>0</v>
      </c>
      <c r="AY467" s="66">
        <f t="shared" si="107"/>
        <v>0</v>
      </c>
      <c r="AZ467" s="66">
        <f>'Project Database'!Z471</f>
        <v>0</v>
      </c>
      <c r="BA467" s="66">
        <f>IF(OR(A467="",'Smart Search'!H13=0),"",MAX(0,BE467*BF467*MAX(0,1-BG467)))</f>
        <v>0</v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>0</v>
      </c>
      <c r="BC467" s="66">
        <f>IF('Smart Search'!G13=1,IFERROR(1/'Smart Search'!H13,0),0)</f>
        <v>0</v>
      </c>
      <c r="BD467" s="66">
        <f t="shared" si="108"/>
        <v>0</v>
      </c>
      <c r="BE467" s="66">
        <f t="shared" si="109"/>
        <v>0</v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>0</v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>0</v>
      </c>
      <c r="BH467" s="5" t="str">
        <f>IF(AND('Project Database'!A471&lt;&gt;"",OR('Smart Search'!$L$5="",'Smart Search'!$L$5="All",TRIM('Project Database'!D471)=TRIM('Smart Search'!$L$5)),OR(TRIM('Smart Search'!$L$6)="",TRIM('Smart Search'!$L$6)="All",ISNUMBER(SEARCH(SUBSTITUTE(SUBSTITUTE(SUBSTITUTE(TRIM('Smart Search'!$L$6),"~","~~"),"*","~*"),"?","~?"),'Project Database'!C471))),OR('Smart Search'!$L$7="",AND('Project Database'!E471&lt;&gt;"",'Project Database'!E471='Smart Search'!$L$7)),OR('Smart Search'!$L$8="",'Smart Search'!$L$8="All",TRIM('Project Database'!F471)=TRIM('Smart Search'!$L$8))),IF(BA467="","",BA467+ROW()*0.0000000001),"")</f>
        <v/>
      </c>
      <c r="BI467" s="5" t="str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 t="str">
        <f>IF('Project Database'!A471="","",N('Project Database'!AC471))</f>
        <v/>
      </c>
      <c r="BK467" s="5" t="str">
        <f>IF('Project Database'!A471="","",N('Project Database'!AD471))</f>
        <v/>
      </c>
      <c r="BL467" s="5" t="str">
        <f>IF('Project Database'!A471="","",N('Project Database'!AE471))</f>
        <v/>
      </c>
      <c r="BM467" s="5" t="str">
        <f>IF('Project Database'!A471="","",N('Project Database'!AF471))</f>
        <v/>
      </c>
      <c r="BN467" s="5" t="str">
        <f>IF('Project Database'!A471="","",N('Project Database'!AG471))</f>
        <v/>
      </c>
      <c r="BO467" s="5" t="str">
        <f>IF('Project Database'!A471="","",N('Project Database'!AH471))</f>
        <v/>
      </c>
      <c r="BP467" s="5" t="str">
        <f>IF('Project Database'!A471="","",N('Project Database'!AI471))</f>
        <v/>
      </c>
      <c r="BQ467" s="5" t="str">
        <f>IF('Project Database'!A471="","",N('Project Database'!AJ471))</f>
        <v/>
      </c>
      <c r="BR467" s="5" t="str">
        <f>IF('Project Database'!A471="","",N('Project Database'!AK471))</f>
        <v/>
      </c>
      <c r="BS467" s="5" t="str">
        <f>IF('Project Database'!A471="","",N('Project Database'!AL471))</f>
        <v/>
      </c>
      <c r="BT467" s="5" t="str">
        <f>IF('Project Database'!A471="","",N('Project Database'!AM471))</f>
        <v/>
      </c>
      <c r="BU467" s="5" t="str">
        <f>IF('Project Database'!A471="","",N('Project Database'!AN471))</f>
        <v/>
      </c>
      <c r="BV467" s="5" t="str">
        <f>IF('Project Database'!A471="","",N('Project Database'!AO471))</f>
        <v/>
      </c>
      <c r="BW467" s="5" t="str">
        <f>IF('Project Database'!A471="","",N('Project Database'!AP471))</f>
        <v/>
      </c>
      <c r="BX467" s="5">
        <f t="shared" si="110"/>
        <v>0</v>
      </c>
      <c r="BY467" s="5">
        <f t="shared" si="111"/>
        <v>0</v>
      </c>
    </row>
    <row r="468" spans="1:77" ht="15" customHeight="1" x14ac:dyDescent="0.3">
      <c r="A468" s="66">
        <f>'Project Database'!A472</f>
        <v>0</v>
      </c>
      <c r="B468" s="66">
        <f>'Project Database'!B472</f>
        <v>0</v>
      </c>
      <c r="C468" s="66">
        <f>'Project Database'!G472</f>
        <v>0</v>
      </c>
      <c r="D468" s="66">
        <f>'Project Database'!H472</f>
        <v>0</v>
      </c>
      <c r="E468" s="66">
        <f>'Project Database'!I472</f>
        <v>0</v>
      </c>
      <c r="F468" s="66">
        <f>'Project Database'!J472</f>
        <v>0</v>
      </c>
      <c r="G468" s="66">
        <f>'Project Database'!K472</f>
        <v>0</v>
      </c>
      <c r="H468" s="66">
        <f>'Project Database'!L472</f>
        <v>0</v>
      </c>
      <c r="I468" s="66">
        <f>'Project Database'!M472</f>
        <v>0</v>
      </c>
      <c r="J468" s="66">
        <f>'Project Database'!N472</f>
        <v>0</v>
      </c>
      <c r="K468" s="66">
        <f>'Project Database'!O472</f>
        <v>0</v>
      </c>
      <c r="L468" s="66">
        <f>'Project Database'!P472</f>
        <v>0</v>
      </c>
      <c r="M468" s="66">
        <f>'Project Database'!Q472</f>
        <v>0</v>
      </c>
      <c r="N468" s="66">
        <f>'Project Database'!R472</f>
        <v>0</v>
      </c>
      <c r="O468" s="66">
        <f>'Project Database'!S472</f>
        <v>0</v>
      </c>
      <c r="P468" s="66">
        <f>'Project Database'!T472</f>
        <v>0</v>
      </c>
      <c r="Q468" s="66">
        <f>'Project Database'!U472</f>
        <v>0</v>
      </c>
      <c r="R468" s="66">
        <f>'Project Database'!V472</f>
        <v>0</v>
      </c>
      <c r="S468" s="66">
        <f>'Project Database'!W472</f>
        <v>0</v>
      </c>
      <c r="T468" s="66">
        <f>'Project Database'!X472</f>
        <v>0</v>
      </c>
      <c r="U468" s="67">
        <f>'Project Database'!Y472</f>
        <v>0</v>
      </c>
      <c r="V468" s="66">
        <f>IF('Smart Search'!B13=1,IFERROR(1/'Smart Search'!H13,0),0)</f>
        <v>0</v>
      </c>
      <c r="W468" s="66">
        <f>IF('Smart Search'!B13=1,IFERROR(1/'Smart Search'!H13,0),0)</f>
        <v>0</v>
      </c>
      <c r="X468" s="66">
        <f>IF('Smart Search'!C13=1,IFERROR(1/'Smart Search'!H13,0),0)</f>
        <v>0.5</v>
      </c>
      <c r="Y468" s="66">
        <f>IF('Smart Search'!C13=1,IFERROR(1/'Smart Search'!H13,0),0)</f>
        <v>0.5</v>
      </c>
      <c r="Z468" s="66">
        <f>IF('Smart Search'!D13=1,IFERROR(1/'Smart Search'!H13,0),0)</f>
        <v>0</v>
      </c>
      <c r="AA468" s="66">
        <f>IF('Smart Search'!D13=1,IFERROR(1/'Smart Search'!H13,0),0)</f>
        <v>0</v>
      </c>
      <c r="AB468" s="66">
        <f>IF('Smart Search'!E13=1,IFERROR(1/'Smart Search'!H13,0),0)</f>
        <v>0</v>
      </c>
      <c r="AC468" s="66">
        <f>IF('Smart Search'!E13=1,IFERROR(1/'Smart Search'!H13,0),0)</f>
        <v>0</v>
      </c>
      <c r="AD468" s="66">
        <f>IF('Smart Search'!F13=1,IFERROR(1/'Smart Search'!H13,0),0)</f>
        <v>0</v>
      </c>
      <c r="AE468" s="66">
        <f>IF('Smart Search'!F13=1,IFERROR(1/'Smart Search'!H13,0),0)</f>
        <v>0</v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>0</v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>0</v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>0</v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>0</v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>0</v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>0</v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>0</v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>0</v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>0</v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>0</v>
      </c>
      <c r="AP468" s="66">
        <f t="shared" si="98"/>
        <v>0</v>
      </c>
      <c r="AQ468" s="66">
        <f t="shared" si="99"/>
        <v>0</v>
      </c>
      <c r="AR468" s="66">
        <f t="shared" si="100"/>
        <v>0</v>
      </c>
      <c r="AS468" s="66">
        <f t="shared" si="101"/>
        <v>0</v>
      </c>
      <c r="AT468" s="66">
        <f t="shared" si="102"/>
        <v>0</v>
      </c>
      <c r="AU468" s="66">
        <f t="shared" si="103"/>
        <v>0</v>
      </c>
      <c r="AV468" s="66">
        <f t="shared" si="104"/>
        <v>0</v>
      </c>
      <c r="AW468" s="66">
        <f t="shared" si="105"/>
        <v>0</v>
      </c>
      <c r="AX468" s="66">
        <f t="shared" si="106"/>
        <v>0</v>
      </c>
      <c r="AY468" s="66">
        <f t="shared" si="107"/>
        <v>0</v>
      </c>
      <c r="AZ468" s="66">
        <f>'Project Database'!Z472</f>
        <v>0</v>
      </c>
      <c r="BA468" s="66">
        <f>IF(OR(A468="",'Smart Search'!H13=0),"",MAX(0,BE468*BF468*MAX(0,1-BG468)))</f>
        <v>0</v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>0</v>
      </c>
      <c r="BC468" s="66">
        <f>IF('Smart Search'!G13=1,IFERROR(1/'Smart Search'!H13,0),0)</f>
        <v>0</v>
      </c>
      <c r="BD468" s="66">
        <f t="shared" si="108"/>
        <v>0</v>
      </c>
      <c r="BE468" s="66">
        <f t="shared" si="109"/>
        <v>0</v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>0</v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>0</v>
      </c>
      <c r="BH468" s="5" t="str">
        <f>IF(AND('Project Database'!A472&lt;&gt;"",OR('Smart Search'!$L$5="",'Smart Search'!$L$5="All",TRIM('Project Database'!D472)=TRIM('Smart Search'!$L$5)),OR(TRIM('Smart Search'!$L$6)="",TRIM('Smart Search'!$L$6)="All",ISNUMBER(SEARCH(SUBSTITUTE(SUBSTITUTE(SUBSTITUTE(TRIM('Smart Search'!$L$6),"~","~~"),"*","~*"),"?","~?"),'Project Database'!C472))),OR('Smart Search'!$L$7="",AND('Project Database'!E472&lt;&gt;"",'Project Database'!E472='Smart Search'!$L$7)),OR('Smart Search'!$L$8="",'Smart Search'!$L$8="All",TRIM('Project Database'!F472)=TRIM('Smart Search'!$L$8))),IF(BA468="","",BA468+ROW()*0.0000000001),"")</f>
        <v/>
      </c>
      <c r="BI468" s="5" t="str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 t="str">
        <f>IF('Project Database'!A472="","",N('Project Database'!AC472))</f>
        <v/>
      </c>
      <c r="BK468" s="5" t="str">
        <f>IF('Project Database'!A472="","",N('Project Database'!AD472))</f>
        <v/>
      </c>
      <c r="BL468" s="5" t="str">
        <f>IF('Project Database'!A472="","",N('Project Database'!AE472))</f>
        <v/>
      </c>
      <c r="BM468" s="5" t="str">
        <f>IF('Project Database'!A472="","",N('Project Database'!AF472))</f>
        <v/>
      </c>
      <c r="BN468" s="5" t="str">
        <f>IF('Project Database'!A472="","",N('Project Database'!AG472))</f>
        <v/>
      </c>
      <c r="BO468" s="5" t="str">
        <f>IF('Project Database'!A472="","",N('Project Database'!AH472))</f>
        <v/>
      </c>
      <c r="BP468" s="5" t="str">
        <f>IF('Project Database'!A472="","",N('Project Database'!AI472))</f>
        <v/>
      </c>
      <c r="BQ468" s="5" t="str">
        <f>IF('Project Database'!A472="","",N('Project Database'!AJ472))</f>
        <v/>
      </c>
      <c r="BR468" s="5" t="str">
        <f>IF('Project Database'!A472="","",N('Project Database'!AK472))</f>
        <v/>
      </c>
      <c r="BS468" s="5" t="str">
        <f>IF('Project Database'!A472="","",N('Project Database'!AL472))</f>
        <v/>
      </c>
      <c r="BT468" s="5" t="str">
        <f>IF('Project Database'!A472="","",N('Project Database'!AM472))</f>
        <v/>
      </c>
      <c r="BU468" s="5" t="str">
        <f>IF('Project Database'!A472="","",N('Project Database'!AN472))</f>
        <v/>
      </c>
      <c r="BV468" s="5" t="str">
        <f>IF('Project Database'!A472="","",N('Project Database'!AO472))</f>
        <v/>
      </c>
      <c r="BW468" s="5" t="str">
        <f>IF('Project Database'!A472="","",N('Project Database'!AP472))</f>
        <v/>
      </c>
      <c r="BX468" s="5">
        <f t="shared" si="110"/>
        <v>0</v>
      </c>
      <c r="BY468" s="5">
        <f t="shared" si="111"/>
        <v>0</v>
      </c>
    </row>
    <row r="469" spans="1:77" ht="15" customHeight="1" x14ac:dyDescent="0.3">
      <c r="A469" s="66">
        <f>'Project Database'!A473</f>
        <v>0</v>
      </c>
      <c r="B469" s="66">
        <f>'Project Database'!B473</f>
        <v>0</v>
      </c>
      <c r="C469" s="66">
        <f>'Project Database'!G473</f>
        <v>0</v>
      </c>
      <c r="D469" s="66">
        <f>'Project Database'!H473</f>
        <v>0</v>
      </c>
      <c r="E469" s="66">
        <f>'Project Database'!I473</f>
        <v>0</v>
      </c>
      <c r="F469" s="66">
        <f>'Project Database'!J473</f>
        <v>0</v>
      </c>
      <c r="G469" s="66">
        <f>'Project Database'!K473</f>
        <v>0</v>
      </c>
      <c r="H469" s="66">
        <f>'Project Database'!L473</f>
        <v>0</v>
      </c>
      <c r="I469" s="66">
        <f>'Project Database'!M473</f>
        <v>0</v>
      </c>
      <c r="J469" s="66">
        <f>'Project Database'!N473</f>
        <v>0</v>
      </c>
      <c r="K469" s="66">
        <f>'Project Database'!O473</f>
        <v>0</v>
      </c>
      <c r="L469" s="66">
        <f>'Project Database'!P473</f>
        <v>0</v>
      </c>
      <c r="M469" s="66">
        <f>'Project Database'!Q473</f>
        <v>0</v>
      </c>
      <c r="N469" s="66">
        <f>'Project Database'!R473</f>
        <v>0</v>
      </c>
      <c r="O469" s="66">
        <f>'Project Database'!S473</f>
        <v>0</v>
      </c>
      <c r="P469" s="66">
        <f>'Project Database'!T473</f>
        <v>0</v>
      </c>
      <c r="Q469" s="66">
        <f>'Project Database'!U473</f>
        <v>0</v>
      </c>
      <c r="R469" s="66">
        <f>'Project Database'!V473</f>
        <v>0</v>
      </c>
      <c r="S469" s="66">
        <f>'Project Database'!W473</f>
        <v>0</v>
      </c>
      <c r="T469" s="66">
        <f>'Project Database'!X473</f>
        <v>0</v>
      </c>
      <c r="U469" s="67">
        <f>'Project Database'!Y473</f>
        <v>0</v>
      </c>
      <c r="V469" s="66">
        <f>IF('Smart Search'!B13=1,IFERROR(1/'Smart Search'!H13,0),0)</f>
        <v>0</v>
      </c>
      <c r="W469" s="66">
        <f>IF('Smart Search'!B13=1,IFERROR(1/'Smart Search'!H13,0),0)</f>
        <v>0</v>
      </c>
      <c r="X469" s="66">
        <f>IF('Smart Search'!C13=1,IFERROR(1/'Smart Search'!H13,0),0)</f>
        <v>0.5</v>
      </c>
      <c r="Y469" s="66">
        <f>IF('Smart Search'!C13=1,IFERROR(1/'Smart Search'!H13,0),0)</f>
        <v>0.5</v>
      </c>
      <c r="Z469" s="66">
        <f>IF('Smart Search'!D13=1,IFERROR(1/'Smart Search'!H13,0),0)</f>
        <v>0</v>
      </c>
      <c r="AA469" s="66">
        <f>IF('Smart Search'!D13=1,IFERROR(1/'Smart Search'!H13,0),0)</f>
        <v>0</v>
      </c>
      <c r="AB469" s="66">
        <f>IF('Smart Search'!E13=1,IFERROR(1/'Smart Search'!H13,0),0)</f>
        <v>0</v>
      </c>
      <c r="AC469" s="66">
        <f>IF('Smart Search'!E13=1,IFERROR(1/'Smart Search'!H13,0),0)</f>
        <v>0</v>
      </c>
      <c r="AD469" s="66">
        <f>IF('Smart Search'!F13=1,IFERROR(1/'Smart Search'!H13,0),0)</f>
        <v>0</v>
      </c>
      <c r="AE469" s="66">
        <f>IF('Smart Search'!F13=1,IFERROR(1/'Smart Search'!H13,0),0)</f>
        <v>0</v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>0</v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>0</v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>0</v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>0</v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>0</v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>0</v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>0</v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>0</v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>0</v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>0</v>
      </c>
      <c r="AP469" s="66">
        <f t="shared" si="98"/>
        <v>0</v>
      </c>
      <c r="AQ469" s="66">
        <f t="shared" si="99"/>
        <v>0</v>
      </c>
      <c r="AR469" s="66">
        <f t="shared" si="100"/>
        <v>0</v>
      </c>
      <c r="AS469" s="66">
        <f t="shared" si="101"/>
        <v>0</v>
      </c>
      <c r="AT469" s="66">
        <f t="shared" si="102"/>
        <v>0</v>
      </c>
      <c r="AU469" s="66">
        <f t="shared" si="103"/>
        <v>0</v>
      </c>
      <c r="AV469" s="66">
        <f t="shared" si="104"/>
        <v>0</v>
      </c>
      <c r="AW469" s="66">
        <f t="shared" si="105"/>
        <v>0</v>
      </c>
      <c r="AX469" s="66">
        <f t="shared" si="106"/>
        <v>0</v>
      </c>
      <c r="AY469" s="66">
        <f t="shared" si="107"/>
        <v>0</v>
      </c>
      <c r="AZ469" s="66">
        <f>'Project Database'!Z473</f>
        <v>0</v>
      </c>
      <c r="BA469" s="66">
        <f>IF(OR(A469="",'Smart Search'!H13=0),"",MAX(0,BE469*BF469*MAX(0,1-BG469)))</f>
        <v>0</v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>0</v>
      </c>
      <c r="BC469" s="66">
        <f>IF('Smart Search'!G13=1,IFERROR(1/'Smart Search'!H13,0),0)</f>
        <v>0</v>
      </c>
      <c r="BD469" s="66">
        <f t="shared" si="108"/>
        <v>0</v>
      </c>
      <c r="BE469" s="66">
        <f t="shared" si="109"/>
        <v>0</v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>0</v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>0</v>
      </c>
      <c r="BH469" s="5" t="str">
        <f>IF(AND('Project Database'!A473&lt;&gt;"",OR('Smart Search'!$L$5="",'Smart Search'!$L$5="All",TRIM('Project Database'!D473)=TRIM('Smart Search'!$L$5)),OR(TRIM('Smart Search'!$L$6)="",TRIM('Smart Search'!$L$6)="All",ISNUMBER(SEARCH(SUBSTITUTE(SUBSTITUTE(SUBSTITUTE(TRIM('Smart Search'!$L$6),"~","~~"),"*","~*"),"?","~?"),'Project Database'!C473))),OR('Smart Search'!$L$7="",AND('Project Database'!E473&lt;&gt;"",'Project Database'!E473='Smart Search'!$L$7)),OR('Smart Search'!$L$8="",'Smart Search'!$L$8="All",TRIM('Project Database'!F473)=TRIM('Smart Search'!$L$8))),IF(BA469="","",BA469+ROW()*0.0000000001),"")</f>
        <v/>
      </c>
      <c r="BI469" s="5" t="str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 t="str">
        <f>IF('Project Database'!A473="","",N('Project Database'!AC473))</f>
        <v/>
      </c>
      <c r="BK469" s="5" t="str">
        <f>IF('Project Database'!A473="","",N('Project Database'!AD473))</f>
        <v/>
      </c>
      <c r="BL469" s="5" t="str">
        <f>IF('Project Database'!A473="","",N('Project Database'!AE473))</f>
        <v/>
      </c>
      <c r="BM469" s="5" t="str">
        <f>IF('Project Database'!A473="","",N('Project Database'!AF473))</f>
        <v/>
      </c>
      <c r="BN469" s="5" t="str">
        <f>IF('Project Database'!A473="","",N('Project Database'!AG473))</f>
        <v/>
      </c>
      <c r="BO469" s="5" t="str">
        <f>IF('Project Database'!A473="","",N('Project Database'!AH473))</f>
        <v/>
      </c>
      <c r="BP469" s="5" t="str">
        <f>IF('Project Database'!A473="","",N('Project Database'!AI473))</f>
        <v/>
      </c>
      <c r="BQ469" s="5" t="str">
        <f>IF('Project Database'!A473="","",N('Project Database'!AJ473))</f>
        <v/>
      </c>
      <c r="BR469" s="5" t="str">
        <f>IF('Project Database'!A473="","",N('Project Database'!AK473))</f>
        <v/>
      </c>
      <c r="BS469" s="5" t="str">
        <f>IF('Project Database'!A473="","",N('Project Database'!AL473))</f>
        <v/>
      </c>
      <c r="BT469" s="5" t="str">
        <f>IF('Project Database'!A473="","",N('Project Database'!AM473))</f>
        <v/>
      </c>
      <c r="BU469" s="5" t="str">
        <f>IF('Project Database'!A473="","",N('Project Database'!AN473))</f>
        <v/>
      </c>
      <c r="BV469" s="5" t="str">
        <f>IF('Project Database'!A473="","",N('Project Database'!AO473))</f>
        <v/>
      </c>
      <c r="BW469" s="5" t="str">
        <f>IF('Project Database'!A473="","",N('Project Database'!AP473))</f>
        <v/>
      </c>
      <c r="BX469" s="5">
        <f t="shared" si="110"/>
        <v>0</v>
      </c>
      <c r="BY469" s="5">
        <f t="shared" si="111"/>
        <v>0</v>
      </c>
    </row>
    <row r="470" spans="1:77" ht="15" customHeight="1" x14ac:dyDescent="0.3">
      <c r="A470" s="66">
        <f>'Project Database'!A474</f>
        <v>0</v>
      </c>
      <c r="B470" s="66">
        <f>'Project Database'!B474</f>
        <v>0</v>
      </c>
      <c r="C470" s="66">
        <f>'Project Database'!G474</f>
        <v>0</v>
      </c>
      <c r="D470" s="66">
        <f>'Project Database'!H474</f>
        <v>0</v>
      </c>
      <c r="E470" s="66">
        <f>'Project Database'!I474</f>
        <v>0</v>
      </c>
      <c r="F470" s="66">
        <f>'Project Database'!J474</f>
        <v>0</v>
      </c>
      <c r="G470" s="66">
        <f>'Project Database'!K474</f>
        <v>0</v>
      </c>
      <c r="H470" s="66">
        <f>'Project Database'!L474</f>
        <v>0</v>
      </c>
      <c r="I470" s="66">
        <f>'Project Database'!M474</f>
        <v>0</v>
      </c>
      <c r="J470" s="66">
        <f>'Project Database'!N474</f>
        <v>0</v>
      </c>
      <c r="K470" s="66">
        <f>'Project Database'!O474</f>
        <v>0</v>
      </c>
      <c r="L470" s="66">
        <f>'Project Database'!P474</f>
        <v>0</v>
      </c>
      <c r="M470" s="66">
        <f>'Project Database'!Q474</f>
        <v>0</v>
      </c>
      <c r="N470" s="66">
        <f>'Project Database'!R474</f>
        <v>0</v>
      </c>
      <c r="O470" s="66">
        <f>'Project Database'!S474</f>
        <v>0</v>
      </c>
      <c r="P470" s="66">
        <f>'Project Database'!T474</f>
        <v>0</v>
      </c>
      <c r="Q470" s="66">
        <f>'Project Database'!U474</f>
        <v>0</v>
      </c>
      <c r="R470" s="66">
        <f>'Project Database'!V474</f>
        <v>0</v>
      </c>
      <c r="S470" s="66">
        <f>'Project Database'!W474</f>
        <v>0</v>
      </c>
      <c r="T470" s="66">
        <f>'Project Database'!X474</f>
        <v>0</v>
      </c>
      <c r="U470" s="67">
        <f>'Project Database'!Y474</f>
        <v>0</v>
      </c>
      <c r="V470" s="66">
        <f>IF('Smart Search'!B13=1,IFERROR(1/'Smart Search'!H13,0),0)</f>
        <v>0</v>
      </c>
      <c r="W470" s="66">
        <f>IF('Smart Search'!B13=1,IFERROR(1/'Smart Search'!H13,0),0)</f>
        <v>0</v>
      </c>
      <c r="X470" s="66">
        <f>IF('Smart Search'!C13=1,IFERROR(1/'Smart Search'!H13,0),0)</f>
        <v>0.5</v>
      </c>
      <c r="Y470" s="66">
        <f>IF('Smart Search'!C13=1,IFERROR(1/'Smart Search'!H13,0),0)</f>
        <v>0.5</v>
      </c>
      <c r="Z470" s="66">
        <f>IF('Smart Search'!D13=1,IFERROR(1/'Smart Search'!H13,0),0)</f>
        <v>0</v>
      </c>
      <c r="AA470" s="66">
        <f>IF('Smart Search'!D13=1,IFERROR(1/'Smart Search'!H13,0),0)</f>
        <v>0</v>
      </c>
      <c r="AB470" s="66">
        <f>IF('Smart Search'!E13=1,IFERROR(1/'Smart Search'!H13,0),0)</f>
        <v>0</v>
      </c>
      <c r="AC470" s="66">
        <f>IF('Smart Search'!E13=1,IFERROR(1/'Smart Search'!H13,0),0)</f>
        <v>0</v>
      </c>
      <c r="AD470" s="66">
        <f>IF('Smart Search'!F13=1,IFERROR(1/'Smart Search'!H13,0),0)</f>
        <v>0</v>
      </c>
      <c r="AE470" s="66">
        <f>IF('Smart Search'!F13=1,IFERROR(1/'Smart Search'!H13,0),0)</f>
        <v>0</v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>0</v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>0</v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>0</v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>0</v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>0</v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>0</v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>0</v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>0</v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>0</v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>0</v>
      </c>
      <c r="AP470" s="66">
        <f t="shared" si="98"/>
        <v>0</v>
      </c>
      <c r="AQ470" s="66">
        <f t="shared" si="99"/>
        <v>0</v>
      </c>
      <c r="AR470" s="66">
        <f t="shared" si="100"/>
        <v>0</v>
      </c>
      <c r="AS470" s="66">
        <f t="shared" si="101"/>
        <v>0</v>
      </c>
      <c r="AT470" s="66">
        <f t="shared" si="102"/>
        <v>0</v>
      </c>
      <c r="AU470" s="66">
        <f t="shared" si="103"/>
        <v>0</v>
      </c>
      <c r="AV470" s="66">
        <f t="shared" si="104"/>
        <v>0</v>
      </c>
      <c r="AW470" s="66">
        <f t="shared" si="105"/>
        <v>0</v>
      </c>
      <c r="AX470" s="66">
        <f t="shared" si="106"/>
        <v>0</v>
      </c>
      <c r="AY470" s="66">
        <f t="shared" si="107"/>
        <v>0</v>
      </c>
      <c r="AZ470" s="66">
        <f>'Project Database'!Z474</f>
        <v>0</v>
      </c>
      <c r="BA470" s="66">
        <f>IF(OR(A470="",'Smart Search'!H13=0),"",MAX(0,BE470*BF470*MAX(0,1-BG470)))</f>
        <v>0</v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>0</v>
      </c>
      <c r="BC470" s="66">
        <f>IF('Smart Search'!G13=1,IFERROR(1/'Smart Search'!H13,0),0)</f>
        <v>0</v>
      </c>
      <c r="BD470" s="66">
        <f t="shared" si="108"/>
        <v>0</v>
      </c>
      <c r="BE470" s="66">
        <f t="shared" si="109"/>
        <v>0</v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>0</v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>0</v>
      </c>
      <c r="BH470" s="5" t="str">
        <f>IF(AND('Project Database'!A474&lt;&gt;"",OR('Smart Search'!$L$5="",'Smart Search'!$L$5="All",TRIM('Project Database'!D474)=TRIM('Smart Search'!$L$5)),OR(TRIM('Smart Search'!$L$6)="",TRIM('Smart Search'!$L$6)="All",ISNUMBER(SEARCH(SUBSTITUTE(SUBSTITUTE(SUBSTITUTE(TRIM('Smart Search'!$L$6),"~","~~"),"*","~*"),"?","~?"),'Project Database'!C474))),OR('Smart Search'!$L$7="",AND('Project Database'!E474&lt;&gt;"",'Project Database'!E474='Smart Search'!$L$7)),OR('Smart Search'!$L$8="",'Smart Search'!$L$8="All",TRIM('Project Database'!F474)=TRIM('Smart Search'!$L$8))),IF(BA470="","",BA470+ROW()*0.0000000001),"")</f>
        <v/>
      </c>
      <c r="BI470" s="5" t="str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 t="str">
        <f>IF('Project Database'!A474="","",N('Project Database'!AC474))</f>
        <v/>
      </c>
      <c r="BK470" s="5" t="str">
        <f>IF('Project Database'!A474="","",N('Project Database'!AD474))</f>
        <v/>
      </c>
      <c r="BL470" s="5" t="str">
        <f>IF('Project Database'!A474="","",N('Project Database'!AE474))</f>
        <v/>
      </c>
      <c r="BM470" s="5" t="str">
        <f>IF('Project Database'!A474="","",N('Project Database'!AF474))</f>
        <v/>
      </c>
      <c r="BN470" s="5" t="str">
        <f>IF('Project Database'!A474="","",N('Project Database'!AG474))</f>
        <v/>
      </c>
      <c r="BO470" s="5" t="str">
        <f>IF('Project Database'!A474="","",N('Project Database'!AH474))</f>
        <v/>
      </c>
      <c r="BP470" s="5" t="str">
        <f>IF('Project Database'!A474="","",N('Project Database'!AI474))</f>
        <v/>
      </c>
      <c r="BQ470" s="5" t="str">
        <f>IF('Project Database'!A474="","",N('Project Database'!AJ474))</f>
        <v/>
      </c>
      <c r="BR470" s="5" t="str">
        <f>IF('Project Database'!A474="","",N('Project Database'!AK474))</f>
        <v/>
      </c>
      <c r="BS470" s="5" t="str">
        <f>IF('Project Database'!A474="","",N('Project Database'!AL474))</f>
        <v/>
      </c>
      <c r="BT470" s="5" t="str">
        <f>IF('Project Database'!A474="","",N('Project Database'!AM474))</f>
        <v/>
      </c>
      <c r="BU470" s="5" t="str">
        <f>IF('Project Database'!A474="","",N('Project Database'!AN474))</f>
        <v/>
      </c>
      <c r="BV470" s="5" t="str">
        <f>IF('Project Database'!A474="","",N('Project Database'!AO474))</f>
        <v/>
      </c>
      <c r="BW470" s="5" t="str">
        <f>IF('Project Database'!A474="","",N('Project Database'!AP474))</f>
        <v/>
      </c>
      <c r="BX470" s="5">
        <f t="shared" si="110"/>
        <v>0</v>
      </c>
      <c r="BY470" s="5">
        <f t="shared" si="111"/>
        <v>0</v>
      </c>
    </row>
    <row r="471" spans="1:77" ht="15" customHeight="1" x14ac:dyDescent="0.3">
      <c r="A471" s="66">
        <f>'Project Database'!A475</f>
        <v>0</v>
      </c>
      <c r="B471" s="66">
        <f>'Project Database'!B475</f>
        <v>0</v>
      </c>
      <c r="C471" s="66">
        <f>'Project Database'!G475</f>
        <v>0</v>
      </c>
      <c r="D471" s="66">
        <f>'Project Database'!H475</f>
        <v>0</v>
      </c>
      <c r="E471" s="66">
        <f>'Project Database'!I475</f>
        <v>0</v>
      </c>
      <c r="F471" s="66">
        <f>'Project Database'!J475</f>
        <v>0</v>
      </c>
      <c r="G471" s="66">
        <f>'Project Database'!K475</f>
        <v>0</v>
      </c>
      <c r="H471" s="66">
        <f>'Project Database'!L475</f>
        <v>0</v>
      </c>
      <c r="I471" s="66">
        <f>'Project Database'!M475</f>
        <v>0</v>
      </c>
      <c r="J471" s="66">
        <f>'Project Database'!N475</f>
        <v>0</v>
      </c>
      <c r="K471" s="66">
        <f>'Project Database'!O475</f>
        <v>0</v>
      </c>
      <c r="L471" s="66">
        <f>'Project Database'!P475</f>
        <v>0</v>
      </c>
      <c r="M471" s="66">
        <f>'Project Database'!Q475</f>
        <v>0</v>
      </c>
      <c r="N471" s="66">
        <f>'Project Database'!R475</f>
        <v>0</v>
      </c>
      <c r="O471" s="66">
        <f>'Project Database'!S475</f>
        <v>0</v>
      </c>
      <c r="P471" s="66">
        <f>'Project Database'!T475</f>
        <v>0</v>
      </c>
      <c r="Q471" s="66">
        <f>'Project Database'!U475</f>
        <v>0</v>
      </c>
      <c r="R471" s="66">
        <f>'Project Database'!V475</f>
        <v>0</v>
      </c>
      <c r="S471" s="66">
        <f>'Project Database'!W475</f>
        <v>0</v>
      </c>
      <c r="T471" s="66">
        <f>'Project Database'!X475</f>
        <v>0</v>
      </c>
      <c r="U471" s="67">
        <f>'Project Database'!Y475</f>
        <v>0</v>
      </c>
      <c r="V471" s="66">
        <f>IF('Smart Search'!B13=1,IFERROR(1/'Smart Search'!H13,0),0)</f>
        <v>0</v>
      </c>
      <c r="W471" s="66">
        <f>IF('Smart Search'!B13=1,IFERROR(1/'Smart Search'!H13,0),0)</f>
        <v>0</v>
      </c>
      <c r="X471" s="66">
        <f>IF('Smart Search'!C13=1,IFERROR(1/'Smart Search'!H13,0),0)</f>
        <v>0.5</v>
      </c>
      <c r="Y471" s="66">
        <f>IF('Smart Search'!C13=1,IFERROR(1/'Smart Search'!H13,0),0)</f>
        <v>0.5</v>
      </c>
      <c r="Z471" s="66">
        <f>IF('Smart Search'!D13=1,IFERROR(1/'Smart Search'!H13,0),0)</f>
        <v>0</v>
      </c>
      <c r="AA471" s="66">
        <f>IF('Smart Search'!D13=1,IFERROR(1/'Smart Search'!H13,0),0)</f>
        <v>0</v>
      </c>
      <c r="AB471" s="66">
        <f>IF('Smart Search'!E13=1,IFERROR(1/'Smart Search'!H13,0),0)</f>
        <v>0</v>
      </c>
      <c r="AC471" s="66">
        <f>IF('Smart Search'!E13=1,IFERROR(1/'Smart Search'!H13,0),0)</f>
        <v>0</v>
      </c>
      <c r="AD471" s="66">
        <f>IF('Smart Search'!F13=1,IFERROR(1/'Smart Search'!H13,0),0)</f>
        <v>0</v>
      </c>
      <c r="AE471" s="66">
        <f>IF('Smart Search'!F13=1,IFERROR(1/'Smart Search'!H13,0),0)</f>
        <v>0</v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>0</v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>0</v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>0</v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>0</v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>0</v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>0</v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>0</v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>0</v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>0</v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>0</v>
      </c>
      <c r="AP471" s="66">
        <f t="shared" si="98"/>
        <v>0</v>
      </c>
      <c r="AQ471" s="66">
        <f t="shared" si="99"/>
        <v>0</v>
      </c>
      <c r="AR471" s="66">
        <f t="shared" si="100"/>
        <v>0</v>
      </c>
      <c r="AS471" s="66">
        <f t="shared" si="101"/>
        <v>0</v>
      </c>
      <c r="AT471" s="66">
        <f t="shared" si="102"/>
        <v>0</v>
      </c>
      <c r="AU471" s="66">
        <f t="shared" si="103"/>
        <v>0</v>
      </c>
      <c r="AV471" s="66">
        <f t="shared" si="104"/>
        <v>0</v>
      </c>
      <c r="AW471" s="66">
        <f t="shared" si="105"/>
        <v>0</v>
      </c>
      <c r="AX471" s="66">
        <f t="shared" si="106"/>
        <v>0</v>
      </c>
      <c r="AY471" s="66">
        <f t="shared" si="107"/>
        <v>0</v>
      </c>
      <c r="AZ471" s="66">
        <f>'Project Database'!Z475</f>
        <v>0</v>
      </c>
      <c r="BA471" s="66">
        <f>IF(OR(A471="",'Smart Search'!H13=0),"",MAX(0,BE471*BF471*MAX(0,1-BG471)))</f>
        <v>0</v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>0</v>
      </c>
      <c r="BC471" s="66">
        <f>IF('Smart Search'!G13=1,IFERROR(1/'Smart Search'!H13,0),0)</f>
        <v>0</v>
      </c>
      <c r="BD471" s="66">
        <f t="shared" si="108"/>
        <v>0</v>
      </c>
      <c r="BE471" s="66">
        <f t="shared" si="109"/>
        <v>0</v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>0</v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>0</v>
      </c>
      <c r="BH471" s="5" t="str">
        <f>IF(AND('Project Database'!A475&lt;&gt;"",OR('Smart Search'!$L$5="",'Smart Search'!$L$5="All",TRIM('Project Database'!D475)=TRIM('Smart Search'!$L$5)),OR(TRIM('Smart Search'!$L$6)="",TRIM('Smart Search'!$L$6)="All",ISNUMBER(SEARCH(SUBSTITUTE(SUBSTITUTE(SUBSTITUTE(TRIM('Smart Search'!$L$6),"~","~~"),"*","~*"),"?","~?"),'Project Database'!C475))),OR('Smart Search'!$L$7="",AND('Project Database'!E475&lt;&gt;"",'Project Database'!E475='Smart Search'!$L$7)),OR('Smart Search'!$L$8="",'Smart Search'!$L$8="All",TRIM('Project Database'!F475)=TRIM('Smart Search'!$L$8))),IF(BA471="","",BA471+ROW()*0.0000000001),"")</f>
        <v/>
      </c>
      <c r="BI471" s="5" t="str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 t="str">
        <f>IF('Project Database'!A475="","",N('Project Database'!AC475))</f>
        <v/>
      </c>
      <c r="BK471" s="5" t="str">
        <f>IF('Project Database'!A475="","",N('Project Database'!AD475))</f>
        <v/>
      </c>
      <c r="BL471" s="5" t="str">
        <f>IF('Project Database'!A475="","",N('Project Database'!AE475))</f>
        <v/>
      </c>
      <c r="BM471" s="5" t="str">
        <f>IF('Project Database'!A475="","",N('Project Database'!AF475))</f>
        <v/>
      </c>
      <c r="BN471" s="5" t="str">
        <f>IF('Project Database'!A475="","",N('Project Database'!AG475))</f>
        <v/>
      </c>
      <c r="BO471" s="5" t="str">
        <f>IF('Project Database'!A475="","",N('Project Database'!AH475))</f>
        <v/>
      </c>
      <c r="BP471" s="5" t="str">
        <f>IF('Project Database'!A475="","",N('Project Database'!AI475))</f>
        <v/>
      </c>
      <c r="BQ471" s="5" t="str">
        <f>IF('Project Database'!A475="","",N('Project Database'!AJ475))</f>
        <v/>
      </c>
      <c r="BR471" s="5" t="str">
        <f>IF('Project Database'!A475="","",N('Project Database'!AK475))</f>
        <v/>
      </c>
      <c r="BS471" s="5" t="str">
        <f>IF('Project Database'!A475="","",N('Project Database'!AL475))</f>
        <v/>
      </c>
      <c r="BT471" s="5" t="str">
        <f>IF('Project Database'!A475="","",N('Project Database'!AM475))</f>
        <v/>
      </c>
      <c r="BU471" s="5" t="str">
        <f>IF('Project Database'!A475="","",N('Project Database'!AN475))</f>
        <v/>
      </c>
      <c r="BV471" s="5" t="str">
        <f>IF('Project Database'!A475="","",N('Project Database'!AO475))</f>
        <v/>
      </c>
      <c r="BW471" s="5" t="str">
        <f>IF('Project Database'!A475="","",N('Project Database'!AP475))</f>
        <v/>
      </c>
      <c r="BX471" s="5">
        <f t="shared" si="110"/>
        <v>0</v>
      </c>
      <c r="BY471" s="5">
        <f t="shared" si="111"/>
        <v>0</v>
      </c>
    </row>
    <row r="472" spans="1:77" ht="15" customHeight="1" x14ac:dyDescent="0.3">
      <c r="A472" s="66">
        <f>'Project Database'!A476</f>
        <v>0</v>
      </c>
      <c r="B472" s="66">
        <f>'Project Database'!B476</f>
        <v>0</v>
      </c>
      <c r="C472" s="66">
        <f>'Project Database'!G476</f>
        <v>0</v>
      </c>
      <c r="D472" s="66">
        <f>'Project Database'!H476</f>
        <v>0</v>
      </c>
      <c r="E472" s="66">
        <f>'Project Database'!I476</f>
        <v>0</v>
      </c>
      <c r="F472" s="66">
        <f>'Project Database'!J476</f>
        <v>0</v>
      </c>
      <c r="G472" s="66">
        <f>'Project Database'!K476</f>
        <v>0</v>
      </c>
      <c r="H472" s="66">
        <f>'Project Database'!L476</f>
        <v>0</v>
      </c>
      <c r="I472" s="66">
        <f>'Project Database'!M476</f>
        <v>0</v>
      </c>
      <c r="J472" s="66">
        <f>'Project Database'!N476</f>
        <v>0</v>
      </c>
      <c r="K472" s="66">
        <f>'Project Database'!O476</f>
        <v>0</v>
      </c>
      <c r="L472" s="66">
        <f>'Project Database'!P476</f>
        <v>0</v>
      </c>
      <c r="M472" s="66">
        <f>'Project Database'!Q476</f>
        <v>0</v>
      </c>
      <c r="N472" s="66">
        <f>'Project Database'!R476</f>
        <v>0</v>
      </c>
      <c r="O472" s="66">
        <f>'Project Database'!S476</f>
        <v>0</v>
      </c>
      <c r="P472" s="66">
        <f>'Project Database'!T476</f>
        <v>0</v>
      </c>
      <c r="Q472" s="66">
        <f>'Project Database'!U476</f>
        <v>0</v>
      </c>
      <c r="R472" s="66">
        <f>'Project Database'!V476</f>
        <v>0</v>
      </c>
      <c r="S472" s="66">
        <f>'Project Database'!W476</f>
        <v>0</v>
      </c>
      <c r="T472" s="66">
        <f>'Project Database'!X476</f>
        <v>0</v>
      </c>
      <c r="U472" s="67">
        <f>'Project Database'!Y476</f>
        <v>0</v>
      </c>
      <c r="V472" s="66">
        <f>IF('Smart Search'!B13=1,IFERROR(1/'Smart Search'!H13,0),0)</f>
        <v>0</v>
      </c>
      <c r="W472" s="66">
        <f>IF('Smart Search'!B13=1,IFERROR(1/'Smart Search'!H13,0),0)</f>
        <v>0</v>
      </c>
      <c r="X472" s="66">
        <f>IF('Smart Search'!C13=1,IFERROR(1/'Smart Search'!H13,0),0)</f>
        <v>0.5</v>
      </c>
      <c r="Y472" s="66">
        <f>IF('Smart Search'!C13=1,IFERROR(1/'Smart Search'!H13,0),0)</f>
        <v>0.5</v>
      </c>
      <c r="Z472" s="66">
        <f>IF('Smart Search'!D13=1,IFERROR(1/'Smart Search'!H13,0),0)</f>
        <v>0</v>
      </c>
      <c r="AA472" s="66">
        <f>IF('Smart Search'!D13=1,IFERROR(1/'Smart Search'!H13,0),0)</f>
        <v>0</v>
      </c>
      <c r="AB472" s="66">
        <f>IF('Smart Search'!E13=1,IFERROR(1/'Smart Search'!H13,0),0)</f>
        <v>0</v>
      </c>
      <c r="AC472" s="66">
        <f>IF('Smart Search'!E13=1,IFERROR(1/'Smart Search'!H13,0),0)</f>
        <v>0</v>
      </c>
      <c r="AD472" s="66">
        <f>IF('Smart Search'!F13=1,IFERROR(1/'Smart Search'!H13,0),0)</f>
        <v>0</v>
      </c>
      <c r="AE472" s="66">
        <f>IF('Smart Search'!F13=1,IFERROR(1/'Smart Search'!H13,0),0)</f>
        <v>0</v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>0</v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>0</v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>0</v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>0</v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>0</v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>0</v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>0</v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>0</v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>0</v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>0</v>
      </c>
      <c r="AP472" s="66">
        <f t="shared" si="98"/>
        <v>0</v>
      </c>
      <c r="AQ472" s="66">
        <f t="shared" si="99"/>
        <v>0</v>
      </c>
      <c r="AR472" s="66">
        <f t="shared" si="100"/>
        <v>0</v>
      </c>
      <c r="AS472" s="66">
        <f t="shared" si="101"/>
        <v>0</v>
      </c>
      <c r="AT472" s="66">
        <f t="shared" si="102"/>
        <v>0</v>
      </c>
      <c r="AU472" s="66">
        <f t="shared" si="103"/>
        <v>0</v>
      </c>
      <c r="AV472" s="66">
        <f t="shared" si="104"/>
        <v>0</v>
      </c>
      <c r="AW472" s="66">
        <f t="shared" si="105"/>
        <v>0</v>
      </c>
      <c r="AX472" s="66">
        <f t="shared" si="106"/>
        <v>0</v>
      </c>
      <c r="AY472" s="66">
        <f t="shared" si="107"/>
        <v>0</v>
      </c>
      <c r="AZ472" s="66">
        <f>'Project Database'!Z476</f>
        <v>0</v>
      </c>
      <c r="BA472" s="66">
        <f>IF(OR(A472="",'Smart Search'!H13=0),"",MAX(0,BE472*BF472*MAX(0,1-BG472)))</f>
        <v>0</v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>0</v>
      </c>
      <c r="BC472" s="66">
        <f>IF('Smart Search'!G13=1,IFERROR(1/'Smart Search'!H13,0),0)</f>
        <v>0</v>
      </c>
      <c r="BD472" s="66">
        <f t="shared" si="108"/>
        <v>0</v>
      </c>
      <c r="BE472" s="66">
        <f t="shared" si="109"/>
        <v>0</v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>0</v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>0</v>
      </c>
      <c r="BH472" s="5" t="str">
        <f>IF(AND('Project Database'!A476&lt;&gt;"",OR('Smart Search'!$L$5="",'Smart Search'!$L$5="All",TRIM('Project Database'!D476)=TRIM('Smart Search'!$L$5)),OR(TRIM('Smart Search'!$L$6)="",TRIM('Smart Search'!$L$6)="All",ISNUMBER(SEARCH(SUBSTITUTE(SUBSTITUTE(SUBSTITUTE(TRIM('Smart Search'!$L$6),"~","~~"),"*","~*"),"?","~?"),'Project Database'!C476))),OR('Smart Search'!$L$7="",AND('Project Database'!E476&lt;&gt;"",'Project Database'!E476='Smart Search'!$L$7)),OR('Smart Search'!$L$8="",'Smart Search'!$L$8="All",TRIM('Project Database'!F476)=TRIM('Smart Search'!$L$8))),IF(BA472="","",BA472+ROW()*0.0000000001),"")</f>
        <v/>
      </c>
      <c r="BI472" s="5" t="str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 t="str">
        <f>IF('Project Database'!A476="","",N('Project Database'!AC476))</f>
        <v/>
      </c>
      <c r="BK472" s="5" t="str">
        <f>IF('Project Database'!A476="","",N('Project Database'!AD476))</f>
        <v/>
      </c>
      <c r="BL472" s="5" t="str">
        <f>IF('Project Database'!A476="","",N('Project Database'!AE476))</f>
        <v/>
      </c>
      <c r="BM472" s="5" t="str">
        <f>IF('Project Database'!A476="","",N('Project Database'!AF476))</f>
        <v/>
      </c>
      <c r="BN472" s="5" t="str">
        <f>IF('Project Database'!A476="","",N('Project Database'!AG476))</f>
        <v/>
      </c>
      <c r="BO472" s="5" t="str">
        <f>IF('Project Database'!A476="","",N('Project Database'!AH476))</f>
        <v/>
      </c>
      <c r="BP472" s="5" t="str">
        <f>IF('Project Database'!A476="","",N('Project Database'!AI476))</f>
        <v/>
      </c>
      <c r="BQ472" s="5" t="str">
        <f>IF('Project Database'!A476="","",N('Project Database'!AJ476))</f>
        <v/>
      </c>
      <c r="BR472" s="5" t="str">
        <f>IF('Project Database'!A476="","",N('Project Database'!AK476))</f>
        <v/>
      </c>
      <c r="BS472" s="5" t="str">
        <f>IF('Project Database'!A476="","",N('Project Database'!AL476))</f>
        <v/>
      </c>
      <c r="BT472" s="5" t="str">
        <f>IF('Project Database'!A476="","",N('Project Database'!AM476))</f>
        <v/>
      </c>
      <c r="BU472" s="5" t="str">
        <f>IF('Project Database'!A476="","",N('Project Database'!AN476))</f>
        <v/>
      </c>
      <c r="BV472" s="5" t="str">
        <f>IF('Project Database'!A476="","",N('Project Database'!AO476))</f>
        <v/>
      </c>
      <c r="BW472" s="5" t="str">
        <f>IF('Project Database'!A476="","",N('Project Database'!AP476))</f>
        <v/>
      </c>
      <c r="BX472" s="5">
        <f t="shared" si="110"/>
        <v>0</v>
      </c>
      <c r="BY472" s="5">
        <f t="shared" si="111"/>
        <v>0</v>
      </c>
    </row>
    <row r="473" spans="1:77" ht="15" customHeight="1" x14ac:dyDescent="0.3">
      <c r="A473" s="66">
        <f>'Project Database'!A477</f>
        <v>0</v>
      </c>
      <c r="B473" s="66">
        <f>'Project Database'!B477</f>
        <v>0</v>
      </c>
      <c r="C473" s="66">
        <f>'Project Database'!G477</f>
        <v>0</v>
      </c>
      <c r="D473" s="66">
        <f>'Project Database'!H477</f>
        <v>0</v>
      </c>
      <c r="E473" s="66">
        <f>'Project Database'!I477</f>
        <v>0</v>
      </c>
      <c r="F473" s="66">
        <f>'Project Database'!J477</f>
        <v>0</v>
      </c>
      <c r="G473" s="66">
        <f>'Project Database'!K477</f>
        <v>0</v>
      </c>
      <c r="H473" s="66">
        <f>'Project Database'!L477</f>
        <v>0</v>
      </c>
      <c r="I473" s="66">
        <f>'Project Database'!M477</f>
        <v>0</v>
      </c>
      <c r="J473" s="66">
        <f>'Project Database'!N477</f>
        <v>0</v>
      </c>
      <c r="K473" s="66">
        <f>'Project Database'!O477</f>
        <v>0</v>
      </c>
      <c r="L473" s="66">
        <f>'Project Database'!P477</f>
        <v>0</v>
      </c>
      <c r="M473" s="66">
        <f>'Project Database'!Q477</f>
        <v>0</v>
      </c>
      <c r="N473" s="66">
        <f>'Project Database'!R477</f>
        <v>0</v>
      </c>
      <c r="O473" s="66">
        <f>'Project Database'!S477</f>
        <v>0</v>
      </c>
      <c r="P473" s="66">
        <f>'Project Database'!T477</f>
        <v>0</v>
      </c>
      <c r="Q473" s="66">
        <f>'Project Database'!U477</f>
        <v>0</v>
      </c>
      <c r="R473" s="66">
        <f>'Project Database'!V477</f>
        <v>0</v>
      </c>
      <c r="S473" s="66">
        <f>'Project Database'!W477</f>
        <v>0</v>
      </c>
      <c r="T473" s="66">
        <f>'Project Database'!X477</f>
        <v>0</v>
      </c>
      <c r="U473" s="67">
        <f>'Project Database'!Y477</f>
        <v>0</v>
      </c>
      <c r="V473" s="66">
        <f>IF('Smart Search'!B13=1,IFERROR(1/'Smart Search'!H13,0),0)</f>
        <v>0</v>
      </c>
      <c r="W473" s="66">
        <f>IF('Smart Search'!B13=1,IFERROR(1/'Smart Search'!H13,0),0)</f>
        <v>0</v>
      </c>
      <c r="X473" s="66">
        <f>IF('Smart Search'!C13=1,IFERROR(1/'Smart Search'!H13,0),0)</f>
        <v>0.5</v>
      </c>
      <c r="Y473" s="66">
        <f>IF('Smart Search'!C13=1,IFERROR(1/'Smart Search'!H13,0),0)</f>
        <v>0.5</v>
      </c>
      <c r="Z473" s="66">
        <f>IF('Smart Search'!D13=1,IFERROR(1/'Smart Search'!H13,0),0)</f>
        <v>0</v>
      </c>
      <c r="AA473" s="66">
        <f>IF('Smart Search'!D13=1,IFERROR(1/'Smart Search'!H13,0),0)</f>
        <v>0</v>
      </c>
      <c r="AB473" s="66">
        <f>IF('Smart Search'!E13=1,IFERROR(1/'Smart Search'!H13,0),0)</f>
        <v>0</v>
      </c>
      <c r="AC473" s="66">
        <f>IF('Smart Search'!E13=1,IFERROR(1/'Smart Search'!H13,0),0)</f>
        <v>0</v>
      </c>
      <c r="AD473" s="66">
        <f>IF('Smart Search'!F13=1,IFERROR(1/'Smart Search'!H13,0),0)</f>
        <v>0</v>
      </c>
      <c r="AE473" s="66">
        <f>IF('Smart Search'!F13=1,IFERROR(1/'Smart Search'!H13,0),0)</f>
        <v>0</v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>0</v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>0</v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>0</v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>0</v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>0</v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>0</v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>0</v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>0</v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>0</v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>0</v>
      </c>
      <c r="AP473" s="66">
        <f t="shared" si="98"/>
        <v>0</v>
      </c>
      <c r="AQ473" s="66">
        <f t="shared" si="99"/>
        <v>0</v>
      </c>
      <c r="AR473" s="66">
        <f t="shared" si="100"/>
        <v>0</v>
      </c>
      <c r="AS473" s="66">
        <f t="shared" si="101"/>
        <v>0</v>
      </c>
      <c r="AT473" s="66">
        <f t="shared" si="102"/>
        <v>0</v>
      </c>
      <c r="AU473" s="66">
        <f t="shared" si="103"/>
        <v>0</v>
      </c>
      <c r="AV473" s="66">
        <f t="shared" si="104"/>
        <v>0</v>
      </c>
      <c r="AW473" s="66">
        <f t="shared" si="105"/>
        <v>0</v>
      </c>
      <c r="AX473" s="66">
        <f t="shared" si="106"/>
        <v>0</v>
      </c>
      <c r="AY473" s="66">
        <f t="shared" si="107"/>
        <v>0</v>
      </c>
      <c r="AZ473" s="66">
        <f>'Project Database'!Z477</f>
        <v>0</v>
      </c>
      <c r="BA473" s="66">
        <f>IF(OR(A473="",'Smart Search'!H13=0),"",MAX(0,BE473*BF473*MAX(0,1-BG473)))</f>
        <v>0</v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>0</v>
      </c>
      <c r="BC473" s="66">
        <f>IF('Smart Search'!G13=1,IFERROR(1/'Smart Search'!H13,0),0)</f>
        <v>0</v>
      </c>
      <c r="BD473" s="66">
        <f t="shared" si="108"/>
        <v>0</v>
      </c>
      <c r="BE473" s="66">
        <f t="shared" si="109"/>
        <v>0</v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>0</v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>0</v>
      </c>
      <c r="BH473" s="5" t="str">
        <f>IF(AND('Project Database'!A477&lt;&gt;"",OR('Smart Search'!$L$5="",'Smart Search'!$L$5="All",TRIM('Project Database'!D477)=TRIM('Smart Search'!$L$5)),OR(TRIM('Smart Search'!$L$6)="",TRIM('Smart Search'!$L$6)="All",ISNUMBER(SEARCH(SUBSTITUTE(SUBSTITUTE(SUBSTITUTE(TRIM('Smart Search'!$L$6),"~","~~"),"*","~*"),"?","~?"),'Project Database'!C477))),OR('Smart Search'!$L$7="",AND('Project Database'!E477&lt;&gt;"",'Project Database'!E477='Smart Search'!$L$7)),OR('Smart Search'!$L$8="",'Smart Search'!$L$8="All",TRIM('Project Database'!F477)=TRIM('Smart Search'!$L$8))),IF(BA473="","",BA473+ROW()*0.0000000001),"")</f>
        <v/>
      </c>
      <c r="BI473" s="5" t="str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 t="str">
        <f>IF('Project Database'!A477="","",N('Project Database'!AC477))</f>
        <v/>
      </c>
      <c r="BK473" s="5" t="str">
        <f>IF('Project Database'!A477="","",N('Project Database'!AD477))</f>
        <v/>
      </c>
      <c r="BL473" s="5" t="str">
        <f>IF('Project Database'!A477="","",N('Project Database'!AE477))</f>
        <v/>
      </c>
      <c r="BM473" s="5" t="str">
        <f>IF('Project Database'!A477="","",N('Project Database'!AF477))</f>
        <v/>
      </c>
      <c r="BN473" s="5" t="str">
        <f>IF('Project Database'!A477="","",N('Project Database'!AG477))</f>
        <v/>
      </c>
      <c r="BO473" s="5" t="str">
        <f>IF('Project Database'!A477="","",N('Project Database'!AH477))</f>
        <v/>
      </c>
      <c r="BP473" s="5" t="str">
        <f>IF('Project Database'!A477="","",N('Project Database'!AI477))</f>
        <v/>
      </c>
      <c r="BQ473" s="5" t="str">
        <f>IF('Project Database'!A477="","",N('Project Database'!AJ477))</f>
        <v/>
      </c>
      <c r="BR473" s="5" t="str">
        <f>IF('Project Database'!A477="","",N('Project Database'!AK477))</f>
        <v/>
      </c>
      <c r="BS473" s="5" t="str">
        <f>IF('Project Database'!A477="","",N('Project Database'!AL477))</f>
        <v/>
      </c>
      <c r="BT473" s="5" t="str">
        <f>IF('Project Database'!A477="","",N('Project Database'!AM477))</f>
        <v/>
      </c>
      <c r="BU473" s="5" t="str">
        <f>IF('Project Database'!A477="","",N('Project Database'!AN477))</f>
        <v/>
      </c>
      <c r="BV473" s="5" t="str">
        <f>IF('Project Database'!A477="","",N('Project Database'!AO477))</f>
        <v/>
      </c>
      <c r="BW473" s="5" t="str">
        <f>IF('Project Database'!A477="","",N('Project Database'!AP477))</f>
        <v/>
      </c>
      <c r="BX473" s="5">
        <f t="shared" si="110"/>
        <v>0</v>
      </c>
      <c r="BY473" s="5">
        <f t="shared" si="111"/>
        <v>0</v>
      </c>
    </row>
    <row r="474" spans="1:77" ht="15" customHeight="1" x14ac:dyDescent="0.3">
      <c r="A474" s="66">
        <f>'Project Database'!A478</f>
        <v>0</v>
      </c>
      <c r="B474" s="66">
        <f>'Project Database'!B478</f>
        <v>0</v>
      </c>
      <c r="C474" s="66">
        <f>'Project Database'!G478</f>
        <v>0</v>
      </c>
      <c r="D474" s="66">
        <f>'Project Database'!H478</f>
        <v>0</v>
      </c>
      <c r="E474" s="66">
        <f>'Project Database'!I478</f>
        <v>0</v>
      </c>
      <c r="F474" s="66">
        <f>'Project Database'!J478</f>
        <v>0</v>
      </c>
      <c r="G474" s="66">
        <f>'Project Database'!K478</f>
        <v>0</v>
      </c>
      <c r="H474" s="66">
        <f>'Project Database'!L478</f>
        <v>0</v>
      </c>
      <c r="I474" s="66">
        <f>'Project Database'!M478</f>
        <v>0</v>
      </c>
      <c r="J474" s="66">
        <f>'Project Database'!N478</f>
        <v>0</v>
      </c>
      <c r="K474" s="66">
        <f>'Project Database'!O478</f>
        <v>0</v>
      </c>
      <c r="L474" s="66">
        <f>'Project Database'!P478</f>
        <v>0</v>
      </c>
      <c r="M474" s="66">
        <f>'Project Database'!Q478</f>
        <v>0</v>
      </c>
      <c r="N474" s="66">
        <f>'Project Database'!R478</f>
        <v>0</v>
      </c>
      <c r="O474" s="66">
        <f>'Project Database'!S478</f>
        <v>0</v>
      </c>
      <c r="P474" s="66">
        <f>'Project Database'!T478</f>
        <v>0</v>
      </c>
      <c r="Q474" s="66">
        <f>'Project Database'!U478</f>
        <v>0</v>
      </c>
      <c r="R474" s="66">
        <f>'Project Database'!V478</f>
        <v>0</v>
      </c>
      <c r="S474" s="66">
        <f>'Project Database'!W478</f>
        <v>0</v>
      </c>
      <c r="T474" s="66">
        <f>'Project Database'!X478</f>
        <v>0</v>
      </c>
      <c r="U474" s="67">
        <f>'Project Database'!Y478</f>
        <v>0</v>
      </c>
      <c r="V474" s="66">
        <f>IF('Smart Search'!B13=1,IFERROR(1/'Smart Search'!H13,0),0)</f>
        <v>0</v>
      </c>
      <c r="W474" s="66">
        <f>IF('Smart Search'!B13=1,IFERROR(1/'Smart Search'!H13,0),0)</f>
        <v>0</v>
      </c>
      <c r="X474" s="66">
        <f>IF('Smart Search'!C13=1,IFERROR(1/'Smart Search'!H13,0),0)</f>
        <v>0.5</v>
      </c>
      <c r="Y474" s="66">
        <f>IF('Smart Search'!C13=1,IFERROR(1/'Smart Search'!H13,0),0)</f>
        <v>0.5</v>
      </c>
      <c r="Z474" s="66">
        <f>IF('Smart Search'!D13=1,IFERROR(1/'Smart Search'!H13,0),0)</f>
        <v>0</v>
      </c>
      <c r="AA474" s="66">
        <f>IF('Smart Search'!D13=1,IFERROR(1/'Smart Search'!H13,0),0)</f>
        <v>0</v>
      </c>
      <c r="AB474" s="66">
        <f>IF('Smart Search'!E13=1,IFERROR(1/'Smart Search'!H13,0),0)</f>
        <v>0</v>
      </c>
      <c r="AC474" s="66">
        <f>IF('Smart Search'!E13=1,IFERROR(1/'Smart Search'!H13,0),0)</f>
        <v>0</v>
      </c>
      <c r="AD474" s="66">
        <f>IF('Smart Search'!F13=1,IFERROR(1/'Smart Search'!H13,0),0)</f>
        <v>0</v>
      </c>
      <c r="AE474" s="66">
        <f>IF('Smart Search'!F13=1,IFERROR(1/'Smart Search'!H13,0),0)</f>
        <v>0</v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>0</v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>0</v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>0</v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>0</v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>0</v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>0</v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>0</v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>0</v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>0</v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>0</v>
      </c>
      <c r="AP474" s="66">
        <f t="shared" si="98"/>
        <v>0</v>
      </c>
      <c r="AQ474" s="66">
        <f t="shared" si="99"/>
        <v>0</v>
      </c>
      <c r="AR474" s="66">
        <f t="shared" si="100"/>
        <v>0</v>
      </c>
      <c r="AS474" s="66">
        <f t="shared" si="101"/>
        <v>0</v>
      </c>
      <c r="AT474" s="66">
        <f t="shared" si="102"/>
        <v>0</v>
      </c>
      <c r="AU474" s="66">
        <f t="shared" si="103"/>
        <v>0</v>
      </c>
      <c r="AV474" s="66">
        <f t="shared" si="104"/>
        <v>0</v>
      </c>
      <c r="AW474" s="66">
        <f t="shared" si="105"/>
        <v>0</v>
      </c>
      <c r="AX474" s="66">
        <f t="shared" si="106"/>
        <v>0</v>
      </c>
      <c r="AY474" s="66">
        <f t="shared" si="107"/>
        <v>0</v>
      </c>
      <c r="AZ474" s="66">
        <f>'Project Database'!Z478</f>
        <v>0</v>
      </c>
      <c r="BA474" s="66">
        <f>IF(OR(A474="",'Smart Search'!H13=0),"",MAX(0,BE474*BF474*MAX(0,1-BG474)))</f>
        <v>0</v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>0</v>
      </c>
      <c r="BC474" s="66">
        <f>IF('Smart Search'!G13=1,IFERROR(1/'Smart Search'!H13,0),0)</f>
        <v>0</v>
      </c>
      <c r="BD474" s="66">
        <f t="shared" si="108"/>
        <v>0</v>
      </c>
      <c r="BE474" s="66">
        <f t="shared" si="109"/>
        <v>0</v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>0</v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>0</v>
      </c>
      <c r="BH474" s="5" t="str">
        <f>IF(AND('Project Database'!A478&lt;&gt;"",OR('Smart Search'!$L$5="",'Smart Search'!$L$5="All",TRIM('Project Database'!D478)=TRIM('Smart Search'!$L$5)),OR(TRIM('Smart Search'!$L$6)="",TRIM('Smart Search'!$L$6)="All",ISNUMBER(SEARCH(SUBSTITUTE(SUBSTITUTE(SUBSTITUTE(TRIM('Smart Search'!$L$6),"~","~~"),"*","~*"),"?","~?"),'Project Database'!C478))),OR('Smart Search'!$L$7="",AND('Project Database'!E478&lt;&gt;"",'Project Database'!E478='Smart Search'!$L$7)),OR('Smart Search'!$L$8="",'Smart Search'!$L$8="All",TRIM('Project Database'!F478)=TRIM('Smart Search'!$L$8))),IF(BA474="","",BA474+ROW()*0.0000000001),"")</f>
        <v/>
      </c>
      <c r="BI474" s="5" t="str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 t="str">
        <f>IF('Project Database'!A478="","",N('Project Database'!AC478))</f>
        <v/>
      </c>
      <c r="BK474" s="5" t="str">
        <f>IF('Project Database'!A478="","",N('Project Database'!AD478))</f>
        <v/>
      </c>
      <c r="BL474" s="5" t="str">
        <f>IF('Project Database'!A478="","",N('Project Database'!AE478))</f>
        <v/>
      </c>
      <c r="BM474" s="5" t="str">
        <f>IF('Project Database'!A478="","",N('Project Database'!AF478))</f>
        <v/>
      </c>
      <c r="BN474" s="5" t="str">
        <f>IF('Project Database'!A478="","",N('Project Database'!AG478))</f>
        <v/>
      </c>
      <c r="BO474" s="5" t="str">
        <f>IF('Project Database'!A478="","",N('Project Database'!AH478))</f>
        <v/>
      </c>
      <c r="BP474" s="5" t="str">
        <f>IF('Project Database'!A478="","",N('Project Database'!AI478))</f>
        <v/>
      </c>
      <c r="BQ474" s="5" t="str">
        <f>IF('Project Database'!A478="","",N('Project Database'!AJ478))</f>
        <v/>
      </c>
      <c r="BR474" s="5" t="str">
        <f>IF('Project Database'!A478="","",N('Project Database'!AK478))</f>
        <v/>
      </c>
      <c r="BS474" s="5" t="str">
        <f>IF('Project Database'!A478="","",N('Project Database'!AL478))</f>
        <v/>
      </c>
      <c r="BT474" s="5" t="str">
        <f>IF('Project Database'!A478="","",N('Project Database'!AM478))</f>
        <v/>
      </c>
      <c r="BU474" s="5" t="str">
        <f>IF('Project Database'!A478="","",N('Project Database'!AN478))</f>
        <v/>
      </c>
      <c r="BV474" s="5" t="str">
        <f>IF('Project Database'!A478="","",N('Project Database'!AO478))</f>
        <v/>
      </c>
      <c r="BW474" s="5" t="str">
        <f>IF('Project Database'!A478="","",N('Project Database'!AP478))</f>
        <v/>
      </c>
      <c r="BX474" s="5">
        <f t="shared" si="110"/>
        <v>0</v>
      </c>
      <c r="BY474" s="5">
        <f t="shared" si="111"/>
        <v>0</v>
      </c>
    </row>
    <row r="475" spans="1:77" ht="15" customHeight="1" x14ac:dyDescent="0.3">
      <c r="A475" s="66">
        <f>'Project Database'!A479</f>
        <v>0</v>
      </c>
      <c r="B475" s="66">
        <f>'Project Database'!B479</f>
        <v>0</v>
      </c>
      <c r="C475" s="66">
        <f>'Project Database'!G479</f>
        <v>0</v>
      </c>
      <c r="D475" s="66">
        <f>'Project Database'!H479</f>
        <v>0</v>
      </c>
      <c r="E475" s="66">
        <f>'Project Database'!I479</f>
        <v>0</v>
      </c>
      <c r="F475" s="66">
        <f>'Project Database'!J479</f>
        <v>0</v>
      </c>
      <c r="G475" s="66">
        <f>'Project Database'!K479</f>
        <v>0</v>
      </c>
      <c r="H475" s="66">
        <f>'Project Database'!L479</f>
        <v>0</v>
      </c>
      <c r="I475" s="66">
        <f>'Project Database'!M479</f>
        <v>0</v>
      </c>
      <c r="J475" s="66">
        <f>'Project Database'!N479</f>
        <v>0</v>
      </c>
      <c r="K475" s="66">
        <f>'Project Database'!O479</f>
        <v>0</v>
      </c>
      <c r="L475" s="66">
        <f>'Project Database'!P479</f>
        <v>0</v>
      </c>
      <c r="M475" s="66">
        <f>'Project Database'!Q479</f>
        <v>0</v>
      </c>
      <c r="N475" s="66">
        <f>'Project Database'!R479</f>
        <v>0</v>
      </c>
      <c r="O475" s="66">
        <f>'Project Database'!S479</f>
        <v>0</v>
      </c>
      <c r="P475" s="66">
        <f>'Project Database'!T479</f>
        <v>0</v>
      </c>
      <c r="Q475" s="66">
        <f>'Project Database'!U479</f>
        <v>0</v>
      </c>
      <c r="R475" s="66">
        <f>'Project Database'!V479</f>
        <v>0</v>
      </c>
      <c r="S475" s="66">
        <f>'Project Database'!W479</f>
        <v>0</v>
      </c>
      <c r="T475" s="66">
        <f>'Project Database'!X479</f>
        <v>0</v>
      </c>
      <c r="U475" s="67">
        <f>'Project Database'!Y479</f>
        <v>0</v>
      </c>
      <c r="V475" s="66">
        <f>IF('Smart Search'!B13=1,IFERROR(1/'Smart Search'!H13,0),0)</f>
        <v>0</v>
      </c>
      <c r="W475" s="66">
        <f>IF('Smart Search'!B13=1,IFERROR(1/'Smart Search'!H13,0),0)</f>
        <v>0</v>
      </c>
      <c r="X475" s="66">
        <f>IF('Smart Search'!C13=1,IFERROR(1/'Smart Search'!H13,0),0)</f>
        <v>0.5</v>
      </c>
      <c r="Y475" s="66">
        <f>IF('Smart Search'!C13=1,IFERROR(1/'Smart Search'!H13,0),0)</f>
        <v>0.5</v>
      </c>
      <c r="Z475" s="66">
        <f>IF('Smart Search'!D13=1,IFERROR(1/'Smart Search'!H13,0),0)</f>
        <v>0</v>
      </c>
      <c r="AA475" s="66">
        <f>IF('Smart Search'!D13=1,IFERROR(1/'Smart Search'!H13,0),0)</f>
        <v>0</v>
      </c>
      <c r="AB475" s="66">
        <f>IF('Smart Search'!E13=1,IFERROR(1/'Smart Search'!H13,0),0)</f>
        <v>0</v>
      </c>
      <c r="AC475" s="66">
        <f>IF('Smart Search'!E13=1,IFERROR(1/'Smart Search'!H13,0),0)</f>
        <v>0</v>
      </c>
      <c r="AD475" s="66">
        <f>IF('Smart Search'!F13=1,IFERROR(1/'Smart Search'!H13,0),0)</f>
        <v>0</v>
      </c>
      <c r="AE475" s="66">
        <f>IF('Smart Search'!F13=1,IFERROR(1/'Smart Search'!H13,0),0)</f>
        <v>0</v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>0</v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>0</v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>0</v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>0</v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>0</v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>0</v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>0</v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>0</v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>0</v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>0</v>
      </c>
      <c r="AP475" s="66">
        <f t="shared" si="98"/>
        <v>0</v>
      </c>
      <c r="AQ475" s="66">
        <f t="shared" si="99"/>
        <v>0</v>
      </c>
      <c r="AR475" s="66">
        <f t="shared" si="100"/>
        <v>0</v>
      </c>
      <c r="AS475" s="66">
        <f t="shared" si="101"/>
        <v>0</v>
      </c>
      <c r="AT475" s="66">
        <f t="shared" si="102"/>
        <v>0</v>
      </c>
      <c r="AU475" s="66">
        <f t="shared" si="103"/>
        <v>0</v>
      </c>
      <c r="AV475" s="66">
        <f t="shared" si="104"/>
        <v>0</v>
      </c>
      <c r="AW475" s="66">
        <f t="shared" si="105"/>
        <v>0</v>
      </c>
      <c r="AX475" s="66">
        <f t="shared" si="106"/>
        <v>0</v>
      </c>
      <c r="AY475" s="66">
        <f t="shared" si="107"/>
        <v>0</v>
      </c>
      <c r="AZ475" s="66">
        <f>'Project Database'!Z479</f>
        <v>0</v>
      </c>
      <c r="BA475" s="66">
        <f>IF(OR(A475="",'Smart Search'!H13=0),"",MAX(0,BE475*BF475*MAX(0,1-BG475)))</f>
        <v>0</v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>0</v>
      </c>
      <c r="BC475" s="66">
        <f>IF('Smart Search'!G13=1,IFERROR(1/'Smart Search'!H13,0),0)</f>
        <v>0</v>
      </c>
      <c r="BD475" s="66">
        <f t="shared" si="108"/>
        <v>0</v>
      </c>
      <c r="BE475" s="66">
        <f t="shared" si="109"/>
        <v>0</v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>0</v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>0</v>
      </c>
      <c r="BH475" s="5" t="str">
        <f>IF(AND('Project Database'!A479&lt;&gt;"",OR('Smart Search'!$L$5="",'Smart Search'!$L$5="All",TRIM('Project Database'!D479)=TRIM('Smart Search'!$L$5)),OR(TRIM('Smart Search'!$L$6)="",TRIM('Smart Search'!$L$6)="All",ISNUMBER(SEARCH(SUBSTITUTE(SUBSTITUTE(SUBSTITUTE(TRIM('Smart Search'!$L$6),"~","~~"),"*","~*"),"?","~?"),'Project Database'!C479))),OR('Smart Search'!$L$7="",AND('Project Database'!E479&lt;&gt;"",'Project Database'!E479='Smart Search'!$L$7)),OR('Smart Search'!$L$8="",'Smart Search'!$L$8="All",TRIM('Project Database'!F479)=TRIM('Smart Search'!$L$8))),IF(BA475="","",BA475+ROW()*0.0000000001),"")</f>
        <v/>
      </c>
      <c r="BI475" s="5" t="str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 t="str">
        <f>IF('Project Database'!A479="","",N('Project Database'!AC479))</f>
        <v/>
      </c>
      <c r="BK475" s="5" t="str">
        <f>IF('Project Database'!A479="","",N('Project Database'!AD479))</f>
        <v/>
      </c>
      <c r="BL475" s="5" t="str">
        <f>IF('Project Database'!A479="","",N('Project Database'!AE479))</f>
        <v/>
      </c>
      <c r="BM475" s="5" t="str">
        <f>IF('Project Database'!A479="","",N('Project Database'!AF479))</f>
        <v/>
      </c>
      <c r="BN475" s="5" t="str">
        <f>IF('Project Database'!A479="","",N('Project Database'!AG479))</f>
        <v/>
      </c>
      <c r="BO475" s="5" t="str">
        <f>IF('Project Database'!A479="","",N('Project Database'!AH479))</f>
        <v/>
      </c>
      <c r="BP475" s="5" t="str">
        <f>IF('Project Database'!A479="","",N('Project Database'!AI479))</f>
        <v/>
      </c>
      <c r="BQ475" s="5" t="str">
        <f>IF('Project Database'!A479="","",N('Project Database'!AJ479))</f>
        <v/>
      </c>
      <c r="BR475" s="5" t="str">
        <f>IF('Project Database'!A479="","",N('Project Database'!AK479))</f>
        <v/>
      </c>
      <c r="BS475" s="5" t="str">
        <f>IF('Project Database'!A479="","",N('Project Database'!AL479))</f>
        <v/>
      </c>
      <c r="BT475" s="5" t="str">
        <f>IF('Project Database'!A479="","",N('Project Database'!AM479))</f>
        <v/>
      </c>
      <c r="BU475" s="5" t="str">
        <f>IF('Project Database'!A479="","",N('Project Database'!AN479))</f>
        <v/>
      </c>
      <c r="BV475" s="5" t="str">
        <f>IF('Project Database'!A479="","",N('Project Database'!AO479))</f>
        <v/>
      </c>
      <c r="BW475" s="5" t="str">
        <f>IF('Project Database'!A479="","",N('Project Database'!AP479))</f>
        <v/>
      </c>
      <c r="BX475" s="5">
        <f t="shared" si="110"/>
        <v>0</v>
      </c>
      <c r="BY475" s="5">
        <f t="shared" si="111"/>
        <v>0</v>
      </c>
    </row>
    <row r="476" spans="1:77" ht="15" customHeight="1" x14ac:dyDescent="0.3">
      <c r="A476" s="66">
        <f>'Project Database'!A480</f>
        <v>0</v>
      </c>
      <c r="B476" s="66">
        <f>'Project Database'!B480</f>
        <v>0</v>
      </c>
      <c r="C476" s="66">
        <f>'Project Database'!G480</f>
        <v>0</v>
      </c>
      <c r="D476" s="66">
        <f>'Project Database'!H480</f>
        <v>0</v>
      </c>
      <c r="E476" s="66">
        <f>'Project Database'!I480</f>
        <v>0</v>
      </c>
      <c r="F476" s="66">
        <f>'Project Database'!J480</f>
        <v>0</v>
      </c>
      <c r="G476" s="66">
        <f>'Project Database'!K480</f>
        <v>0</v>
      </c>
      <c r="H476" s="66">
        <f>'Project Database'!L480</f>
        <v>0</v>
      </c>
      <c r="I476" s="66">
        <f>'Project Database'!M480</f>
        <v>0</v>
      </c>
      <c r="J476" s="66">
        <f>'Project Database'!N480</f>
        <v>0</v>
      </c>
      <c r="K476" s="66">
        <f>'Project Database'!O480</f>
        <v>0</v>
      </c>
      <c r="L476" s="66">
        <f>'Project Database'!P480</f>
        <v>0</v>
      </c>
      <c r="M476" s="66">
        <f>'Project Database'!Q480</f>
        <v>0</v>
      </c>
      <c r="N476" s="66">
        <f>'Project Database'!R480</f>
        <v>0</v>
      </c>
      <c r="O476" s="66">
        <f>'Project Database'!S480</f>
        <v>0</v>
      </c>
      <c r="P476" s="66">
        <f>'Project Database'!T480</f>
        <v>0</v>
      </c>
      <c r="Q476" s="66">
        <f>'Project Database'!U480</f>
        <v>0</v>
      </c>
      <c r="R476" s="66">
        <f>'Project Database'!V480</f>
        <v>0</v>
      </c>
      <c r="S476" s="66">
        <f>'Project Database'!W480</f>
        <v>0</v>
      </c>
      <c r="T476" s="66">
        <f>'Project Database'!X480</f>
        <v>0</v>
      </c>
      <c r="U476" s="67">
        <f>'Project Database'!Y480</f>
        <v>0</v>
      </c>
      <c r="V476" s="66">
        <f>IF('Smart Search'!B13=1,IFERROR(1/'Smart Search'!H13,0),0)</f>
        <v>0</v>
      </c>
      <c r="W476" s="66">
        <f>IF('Smart Search'!B13=1,IFERROR(1/'Smart Search'!H13,0),0)</f>
        <v>0</v>
      </c>
      <c r="X476" s="66">
        <f>IF('Smart Search'!C13=1,IFERROR(1/'Smart Search'!H13,0),0)</f>
        <v>0.5</v>
      </c>
      <c r="Y476" s="66">
        <f>IF('Smart Search'!C13=1,IFERROR(1/'Smart Search'!H13,0),0)</f>
        <v>0.5</v>
      </c>
      <c r="Z476" s="66">
        <f>IF('Smart Search'!D13=1,IFERROR(1/'Smart Search'!H13,0),0)</f>
        <v>0</v>
      </c>
      <c r="AA476" s="66">
        <f>IF('Smart Search'!D13=1,IFERROR(1/'Smart Search'!H13,0),0)</f>
        <v>0</v>
      </c>
      <c r="AB476" s="66">
        <f>IF('Smart Search'!E13=1,IFERROR(1/'Smart Search'!H13,0),0)</f>
        <v>0</v>
      </c>
      <c r="AC476" s="66">
        <f>IF('Smart Search'!E13=1,IFERROR(1/'Smart Search'!H13,0),0)</f>
        <v>0</v>
      </c>
      <c r="AD476" s="66">
        <f>IF('Smart Search'!F13=1,IFERROR(1/'Smart Search'!H13,0),0)</f>
        <v>0</v>
      </c>
      <c r="AE476" s="66">
        <f>IF('Smart Search'!F13=1,IFERROR(1/'Smart Search'!H13,0),0)</f>
        <v>0</v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>0</v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>0</v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>0</v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>0</v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>0</v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>0</v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>0</v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>0</v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>0</v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>0</v>
      </c>
      <c r="AP476" s="66">
        <f t="shared" si="98"/>
        <v>0</v>
      </c>
      <c r="AQ476" s="66">
        <f t="shared" si="99"/>
        <v>0</v>
      </c>
      <c r="AR476" s="66">
        <f t="shared" si="100"/>
        <v>0</v>
      </c>
      <c r="AS476" s="66">
        <f t="shared" si="101"/>
        <v>0</v>
      </c>
      <c r="AT476" s="66">
        <f t="shared" si="102"/>
        <v>0</v>
      </c>
      <c r="AU476" s="66">
        <f t="shared" si="103"/>
        <v>0</v>
      </c>
      <c r="AV476" s="66">
        <f t="shared" si="104"/>
        <v>0</v>
      </c>
      <c r="AW476" s="66">
        <f t="shared" si="105"/>
        <v>0</v>
      </c>
      <c r="AX476" s="66">
        <f t="shared" si="106"/>
        <v>0</v>
      </c>
      <c r="AY476" s="66">
        <f t="shared" si="107"/>
        <v>0</v>
      </c>
      <c r="AZ476" s="66">
        <f>'Project Database'!Z480</f>
        <v>0</v>
      </c>
      <c r="BA476" s="66">
        <f>IF(OR(A476="",'Smart Search'!H13=0),"",MAX(0,BE476*BF476*MAX(0,1-BG476)))</f>
        <v>0</v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>0</v>
      </c>
      <c r="BC476" s="66">
        <f>IF('Smart Search'!G13=1,IFERROR(1/'Smart Search'!H13,0),0)</f>
        <v>0</v>
      </c>
      <c r="BD476" s="66">
        <f t="shared" si="108"/>
        <v>0</v>
      </c>
      <c r="BE476" s="66">
        <f t="shared" si="109"/>
        <v>0</v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>0</v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>0</v>
      </c>
      <c r="BH476" s="5" t="str">
        <f>IF(AND('Project Database'!A480&lt;&gt;"",OR('Smart Search'!$L$5="",'Smart Search'!$L$5="All",TRIM('Project Database'!D480)=TRIM('Smart Search'!$L$5)),OR(TRIM('Smart Search'!$L$6)="",TRIM('Smart Search'!$L$6)="All",ISNUMBER(SEARCH(SUBSTITUTE(SUBSTITUTE(SUBSTITUTE(TRIM('Smart Search'!$L$6),"~","~~"),"*","~*"),"?","~?"),'Project Database'!C480))),OR('Smart Search'!$L$7="",AND('Project Database'!E480&lt;&gt;"",'Project Database'!E480='Smart Search'!$L$7)),OR('Smart Search'!$L$8="",'Smart Search'!$L$8="All",TRIM('Project Database'!F480)=TRIM('Smart Search'!$L$8))),IF(BA476="","",BA476+ROW()*0.0000000001),"")</f>
        <v/>
      </c>
      <c r="BI476" s="5" t="str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 t="str">
        <f>IF('Project Database'!A480="","",N('Project Database'!AC480))</f>
        <v/>
      </c>
      <c r="BK476" s="5" t="str">
        <f>IF('Project Database'!A480="","",N('Project Database'!AD480))</f>
        <v/>
      </c>
      <c r="BL476" s="5" t="str">
        <f>IF('Project Database'!A480="","",N('Project Database'!AE480))</f>
        <v/>
      </c>
      <c r="BM476" s="5" t="str">
        <f>IF('Project Database'!A480="","",N('Project Database'!AF480))</f>
        <v/>
      </c>
      <c r="BN476" s="5" t="str">
        <f>IF('Project Database'!A480="","",N('Project Database'!AG480))</f>
        <v/>
      </c>
      <c r="BO476" s="5" t="str">
        <f>IF('Project Database'!A480="","",N('Project Database'!AH480))</f>
        <v/>
      </c>
      <c r="BP476" s="5" t="str">
        <f>IF('Project Database'!A480="","",N('Project Database'!AI480))</f>
        <v/>
      </c>
      <c r="BQ476" s="5" t="str">
        <f>IF('Project Database'!A480="","",N('Project Database'!AJ480))</f>
        <v/>
      </c>
      <c r="BR476" s="5" t="str">
        <f>IF('Project Database'!A480="","",N('Project Database'!AK480))</f>
        <v/>
      </c>
      <c r="BS476" s="5" t="str">
        <f>IF('Project Database'!A480="","",N('Project Database'!AL480))</f>
        <v/>
      </c>
      <c r="BT476" s="5" t="str">
        <f>IF('Project Database'!A480="","",N('Project Database'!AM480))</f>
        <v/>
      </c>
      <c r="BU476" s="5" t="str">
        <f>IF('Project Database'!A480="","",N('Project Database'!AN480))</f>
        <v/>
      </c>
      <c r="BV476" s="5" t="str">
        <f>IF('Project Database'!A480="","",N('Project Database'!AO480))</f>
        <v/>
      </c>
      <c r="BW476" s="5" t="str">
        <f>IF('Project Database'!A480="","",N('Project Database'!AP480))</f>
        <v/>
      </c>
      <c r="BX476" s="5">
        <f t="shared" si="110"/>
        <v>0</v>
      </c>
      <c r="BY476" s="5">
        <f t="shared" si="111"/>
        <v>0</v>
      </c>
    </row>
    <row r="477" spans="1:77" ht="15" customHeight="1" x14ac:dyDescent="0.3">
      <c r="A477" s="66">
        <f>'Project Database'!A481</f>
        <v>0</v>
      </c>
      <c r="B477" s="66">
        <f>'Project Database'!B481</f>
        <v>0</v>
      </c>
      <c r="C477" s="66">
        <f>'Project Database'!G481</f>
        <v>0</v>
      </c>
      <c r="D477" s="66">
        <f>'Project Database'!H481</f>
        <v>0</v>
      </c>
      <c r="E477" s="66">
        <f>'Project Database'!I481</f>
        <v>0</v>
      </c>
      <c r="F477" s="66">
        <f>'Project Database'!J481</f>
        <v>0</v>
      </c>
      <c r="G477" s="66">
        <f>'Project Database'!K481</f>
        <v>0</v>
      </c>
      <c r="H477" s="66">
        <f>'Project Database'!L481</f>
        <v>0</v>
      </c>
      <c r="I477" s="66">
        <f>'Project Database'!M481</f>
        <v>0</v>
      </c>
      <c r="J477" s="66">
        <f>'Project Database'!N481</f>
        <v>0</v>
      </c>
      <c r="K477" s="66">
        <f>'Project Database'!O481</f>
        <v>0</v>
      </c>
      <c r="L477" s="66">
        <f>'Project Database'!P481</f>
        <v>0</v>
      </c>
      <c r="M477" s="66">
        <f>'Project Database'!Q481</f>
        <v>0</v>
      </c>
      <c r="N477" s="66">
        <f>'Project Database'!R481</f>
        <v>0</v>
      </c>
      <c r="O477" s="66">
        <f>'Project Database'!S481</f>
        <v>0</v>
      </c>
      <c r="P477" s="66">
        <f>'Project Database'!T481</f>
        <v>0</v>
      </c>
      <c r="Q477" s="66">
        <f>'Project Database'!U481</f>
        <v>0</v>
      </c>
      <c r="R477" s="66">
        <f>'Project Database'!V481</f>
        <v>0</v>
      </c>
      <c r="S477" s="66">
        <f>'Project Database'!W481</f>
        <v>0</v>
      </c>
      <c r="T477" s="66">
        <f>'Project Database'!X481</f>
        <v>0</v>
      </c>
      <c r="U477" s="67">
        <f>'Project Database'!Y481</f>
        <v>0</v>
      </c>
      <c r="V477" s="66">
        <f>IF('Smart Search'!B13=1,IFERROR(1/'Smart Search'!H13,0),0)</f>
        <v>0</v>
      </c>
      <c r="W477" s="66">
        <f>IF('Smart Search'!B13=1,IFERROR(1/'Smart Search'!H13,0),0)</f>
        <v>0</v>
      </c>
      <c r="X477" s="66">
        <f>IF('Smart Search'!C13=1,IFERROR(1/'Smart Search'!H13,0),0)</f>
        <v>0.5</v>
      </c>
      <c r="Y477" s="66">
        <f>IF('Smart Search'!C13=1,IFERROR(1/'Smart Search'!H13,0),0)</f>
        <v>0.5</v>
      </c>
      <c r="Z477" s="66">
        <f>IF('Smart Search'!D13=1,IFERROR(1/'Smart Search'!H13,0),0)</f>
        <v>0</v>
      </c>
      <c r="AA477" s="66">
        <f>IF('Smart Search'!D13=1,IFERROR(1/'Smart Search'!H13,0),0)</f>
        <v>0</v>
      </c>
      <c r="AB477" s="66">
        <f>IF('Smart Search'!E13=1,IFERROR(1/'Smart Search'!H13,0),0)</f>
        <v>0</v>
      </c>
      <c r="AC477" s="66">
        <f>IF('Smart Search'!E13=1,IFERROR(1/'Smart Search'!H13,0),0)</f>
        <v>0</v>
      </c>
      <c r="AD477" s="66">
        <f>IF('Smart Search'!F13=1,IFERROR(1/'Smart Search'!H13,0),0)</f>
        <v>0</v>
      </c>
      <c r="AE477" s="66">
        <f>IF('Smart Search'!F13=1,IFERROR(1/'Smart Search'!H13,0),0)</f>
        <v>0</v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>0</v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>0</v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>0</v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>0</v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>0</v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>0</v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>0</v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>0</v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>0</v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>0</v>
      </c>
      <c r="AP477" s="66">
        <f t="shared" si="98"/>
        <v>0</v>
      </c>
      <c r="AQ477" s="66">
        <f t="shared" si="99"/>
        <v>0</v>
      </c>
      <c r="AR477" s="66">
        <f t="shared" si="100"/>
        <v>0</v>
      </c>
      <c r="AS477" s="66">
        <f t="shared" si="101"/>
        <v>0</v>
      </c>
      <c r="AT477" s="66">
        <f t="shared" si="102"/>
        <v>0</v>
      </c>
      <c r="AU477" s="66">
        <f t="shared" si="103"/>
        <v>0</v>
      </c>
      <c r="AV477" s="66">
        <f t="shared" si="104"/>
        <v>0</v>
      </c>
      <c r="AW477" s="66">
        <f t="shared" si="105"/>
        <v>0</v>
      </c>
      <c r="AX477" s="66">
        <f t="shared" si="106"/>
        <v>0</v>
      </c>
      <c r="AY477" s="66">
        <f t="shared" si="107"/>
        <v>0</v>
      </c>
      <c r="AZ477" s="66">
        <f>'Project Database'!Z481</f>
        <v>0</v>
      </c>
      <c r="BA477" s="66">
        <f>IF(OR(A477="",'Smart Search'!H13=0),"",MAX(0,BE477*BF477*MAX(0,1-BG477)))</f>
        <v>0</v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>0</v>
      </c>
      <c r="BC477" s="66">
        <f>IF('Smart Search'!G13=1,IFERROR(1/'Smart Search'!H13,0),0)</f>
        <v>0</v>
      </c>
      <c r="BD477" s="66">
        <f t="shared" si="108"/>
        <v>0</v>
      </c>
      <c r="BE477" s="66">
        <f t="shared" si="109"/>
        <v>0</v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>0</v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>0</v>
      </c>
      <c r="BH477" s="5" t="str">
        <f>IF(AND('Project Database'!A481&lt;&gt;"",OR('Smart Search'!$L$5="",'Smart Search'!$L$5="All",TRIM('Project Database'!D481)=TRIM('Smart Search'!$L$5)),OR(TRIM('Smart Search'!$L$6)="",TRIM('Smart Search'!$L$6)="All",ISNUMBER(SEARCH(SUBSTITUTE(SUBSTITUTE(SUBSTITUTE(TRIM('Smart Search'!$L$6),"~","~~"),"*","~*"),"?","~?"),'Project Database'!C481))),OR('Smart Search'!$L$7="",AND('Project Database'!E481&lt;&gt;"",'Project Database'!E481='Smart Search'!$L$7)),OR('Smart Search'!$L$8="",'Smart Search'!$L$8="All",TRIM('Project Database'!F481)=TRIM('Smart Search'!$L$8))),IF(BA477="","",BA477+ROW()*0.0000000001),"")</f>
        <v/>
      </c>
      <c r="BI477" s="5" t="str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 t="str">
        <f>IF('Project Database'!A481="","",N('Project Database'!AC481))</f>
        <v/>
      </c>
      <c r="BK477" s="5" t="str">
        <f>IF('Project Database'!A481="","",N('Project Database'!AD481))</f>
        <v/>
      </c>
      <c r="BL477" s="5" t="str">
        <f>IF('Project Database'!A481="","",N('Project Database'!AE481))</f>
        <v/>
      </c>
      <c r="BM477" s="5" t="str">
        <f>IF('Project Database'!A481="","",N('Project Database'!AF481))</f>
        <v/>
      </c>
      <c r="BN477" s="5" t="str">
        <f>IF('Project Database'!A481="","",N('Project Database'!AG481))</f>
        <v/>
      </c>
      <c r="BO477" s="5" t="str">
        <f>IF('Project Database'!A481="","",N('Project Database'!AH481))</f>
        <v/>
      </c>
      <c r="BP477" s="5" t="str">
        <f>IF('Project Database'!A481="","",N('Project Database'!AI481))</f>
        <v/>
      </c>
      <c r="BQ477" s="5" t="str">
        <f>IF('Project Database'!A481="","",N('Project Database'!AJ481))</f>
        <v/>
      </c>
      <c r="BR477" s="5" t="str">
        <f>IF('Project Database'!A481="","",N('Project Database'!AK481))</f>
        <v/>
      </c>
      <c r="BS477" s="5" t="str">
        <f>IF('Project Database'!A481="","",N('Project Database'!AL481))</f>
        <v/>
      </c>
      <c r="BT477" s="5" t="str">
        <f>IF('Project Database'!A481="","",N('Project Database'!AM481))</f>
        <v/>
      </c>
      <c r="BU477" s="5" t="str">
        <f>IF('Project Database'!A481="","",N('Project Database'!AN481))</f>
        <v/>
      </c>
      <c r="BV477" s="5" t="str">
        <f>IF('Project Database'!A481="","",N('Project Database'!AO481))</f>
        <v/>
      </c>
      <c r="BW477" s="5" t="str">
        <f>IF('Project Database'!A481="","",N('Project Database'!AP481))</f>
        <v/>
      </c>
      <c r="BX477" s="5">
        <f t="shared" si="110"/>
        <v>0</v>
      </c>
      <c r="BY477" s="5">
        <f t="shared" si="111"/>
        <v>0</v>
      </c>
    </row>
    <row r="478" spans="1:77" ht="15" customHeight="1" x14ac:dyDescent="0.3">
      <c r="A478" s="66">
        <f>'Project Database'!A482</f>
        <v>0</v>
      </c>
      <c r="B478" s="66">
        <f>'Project Database'!B482</f>
        <v>0</v>
      </c>
      <c r="C478" s="66">
        <f>'Project Database'!G482</f>
        <v>0</v>
      </c>
      <c r="D478" s="66">
        <f>'Project Database'!H482</f>
        <v>0</v>
      </c>
      <c r="E478" s="66">
        <f>'Project Database'!I482</f>
        <v>0</v>
      </c>
      <c r="F478" s="66">
        <f>'Project Database'!J482</f>
        <v>0</v>
      </c>
      <c r="G478" s="66">
        <f>'Project Database'!K482</f>
        <v>0</v>
      </c>
      <c r="H478" s="66">
        <f>'Project Database'!L482</f>
        <v>0</v>
      </c>
      <c r="I478" s="66">
        <f>'Project Database'!M482</f>
        <v>0</v>
      </c>
      <c r="J478" s="66">
        <f>'Project Database'!N482</f>
        <v>0</v>
      </c>
      <c r="K478" s="66">
        <f>'Project Database'!O482</f>
        <v>0</v>
      </c>
      <c r="L478" s="66">
        <f>'Project Database'!P482</f>
        <v>0</v>
      </c>
      <c r="M478" s="66">
        <f>'Project Database'!Q482</f>
        <v>0</v>
      </c>
      <c r="N478" s="66">
        <f>'Project Database'!R482</f>
        <v>0</v>
      </c>
      <c r="O478" s="66">
        <f>'Project Database'!S482</f>
        <v>0</v>
      </c>
      <c r="P478" s="66">
        <f>'Project Database'!T482</f>
        <v>0</v>
      </c>
      <c r="Q478" s="66">
        <f>'Project Database'!U482</f>
        <v>0</v>
      </c>
      <c r="R478" s="66">
        <f>'Project Database'!V482</f>
        <v>0</v>
      </c>
      <c r="S478" s="66">
        <f>'Project Database'!W482</f>
        <v>0</v>
      </c>
      <c r="T478" s="66">
        <f>'Project Database'!X482</f>
        <v>0</v>
      </c>
      <c r="U478" s="67">
        <f>'Project Database'!Y482</f>
        <v>0</v>
      </c>
      <c r="V478" s="66">
        <f>IF('Smart Search'!B13=1,IFERROR(1/'Smart Search'!H13,0),0)</f>
        <v>0</v>
      </c>
      <c r="W478" s="66">
        <f>IF('Smart Search'!B13=1,IFERROR(1/'Smart Search'!H13,0),0)</f>
        <v>0</v>
      </c>
      <c r="X478" s="66">
        <f>IF('Smart Search'!C13=1,IFERROR(1/'Smart Search'!H13,0),0)</f>
        <v>0.5</v>
      </c>
      <c r="Y478" s="66">
        <f>IF('Smart Search'!C13=1,IFERROR(1/'Smart Search'!H13,0),0)</f>
        <v>0.5</v>
      </c>
      <c r="Z478" s="66">
        <f>IF('Smart Search'!D13=1,IFERROR(1/'Smart Search'!H13,0),0)</f>
        <v>0</v>
      </c>
      <c r="AA478" s="66">
        <f>IF('Smart Search'!D13=1,IFERROR(1/'Smart Search'!H13,0),0)</f>
        <v>0</v>
      </c>
      <c r="AB478" s="66">
        <f>IF('Smart Search'!E13=1,IFERROR(1/'Smart Search'!H13,0),0)</f>
        <v>0</v>
      </c>
      <c r="AC478" s="66">
        <f>IF('Smart Search'!E13=1,IFERROR(1/'Smart Search'!H13,0),0)</f>
        <v>0</v>
      </c>
      <c r="AD478" s="66">
        <f>IF('Smart Search'!F13=1,IFERROR(1/'Smart Search'!H13,0),0)</f>
        <v>0</v>
      </c>
      <c r="AE478" s="66">
        <f>IF('Smart Search'!F13=1,IFERROR(1/'Smart Search'!H13,0),0)</f>
        <v>0</v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>0</v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>0</v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>0</v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>0</v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>0</v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>0</v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>0</v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>0</v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>0</v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>0</v>
      </c>
      <c r="AP478" s="66">
        <f t="shared" si="98"/>
        <v>0</v>
      </c>
      <c r="AQ478" s="66">
        <f t="shared" si="99"/>
        <v>0</v>
      </c>
      <c r="AR478" s="66">
        <f t="shared" si="100"/>
        <v>0</v>
      </c>
      <c r="AS478" s="66">
        <f t="shared" si="101"/>
        <v>0</v>
      </c>
      <c r="AT478" s="66">
        <f t="shared" si="102"/>
        <v>0</v>
      </c>
      <c r="AU478" s="66">
        <f t="shared" si="103"/>
        <v>0</v>
      </c>
      <c r="AV478" s="66">
        <f t="shared" si="104"/>
        <v>0</v>
      </c>
      <c r="AW478" s="66">
        <f t="shared" si="105"/>
        <v>0</v>
      </c>
      <c r="AX478" s="66">
        <f t="shared" si="106"/>
        <v>0</v>
      </c>
      <c r="AY478" s="66">
        <f t="shared" si="107"/>
        <v>0</v>
      </c>
      <c r="AZ478" s="66">
        <f>'Project Database'!Z482</f>
        <v>0</v>
      </c>
      <c r="BA478" s="66">
        <f>IF(OR(A478="",'Smart Search'!H13=0),"",MAX(0,BE478*BF478*MAX(0,1-BG478)))</f>
        <v>0</v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>0</v>
      </c>
      <c r="BC478" s="66">
        <f>IF('Smart Search'!G13=1,IFERROR(1/'Smart Search'!H13,0),0)</f>
        <v>0</v>
      </c>
      <c r="BD478" s="66">
        <f t="shared" si="108"/>
        <v>0</v>
      </c>
      <c r="BE478" s="66">
        <f t="shared" si="109"/>
        <v>0</v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>0</v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>0</v>
      </c>
      <c r="BH478" s="5" t="str">
        <f>IF(AND('Project Database'!A482&lt;&gt;"",OR('Smart Search'!$L$5="",'Smart Search'!$L$5="All",TRIM('Project Database'!D482)=TRIM('Smart Search'!$L$5)),OR(TRIM('Smart Search'!$L$6)="",TRIM('Smart Search'!$L$6)="All",ISNUMBER(SEARCH(SUBSTITUTE(SUBSTITUTE(SUBSTITUTE(TRIM('Smart Search'!$L$6),"~","~~"),"*","~*"),"?","~?"),'Project Database'!C482))),OR('Smart Search'!$L$7="",AND('Project Database'!E482&lt;&gt;"",'Project Database'!E482='Smart Search'!$L$7)),OR('Smart Search'!$L$8="",'Smart Search'!$L$8="All",TRIM('Project Database'!F482)=TRIM('Smart Search'!$L$8))),IF(BA478="","",BA478+ROW()*0.0000000001),"")</f>
        <v/>
      </c>
      <c r="BI478" s="5" t="str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 t="str">
        <f>IF('Project Database'!A482="","",N('Project Database'!AC482))</f>
        <v/>
      </c>
      <c r="BK478" s="5" t="str">
        <f>IF('Project Database'!A482="","",N('Project Database'!AD482))</f>
        <v/>
      </c>
      <c r="BL478" s="5" t="str">
        <f>IF('Project Database'!A482="","",N('Project Database'!AE482))</f>
        <v/>
      </c>
      <c r="BM478" s="5" t="str">
        <f>IF('Project Database'!A482="","",N('Project Database'!AF482))</f>
        <v/>
      </c>
      <c r="BN478" s="5" t="str">
        <f>IF('Project Database'!A482="","",N('Project Database'!AG482))</f>
        <v/>
      </c>
      <c r="BO478" s="5" t="str">
        <f>IF('Project Database'!A482="","",N('Project Database'!AH482))</f>
        <v/>
      </c>
      <c r="BP478" s="5" t="str">
        <f>IF('Project Database'!A482="","",N('Project Database'!AI482))</f>
        <v/>
      </c>
      <c r="BQ478" s="5" t="str">
        <f>IF('Project Database'!A482="","",N('Project Database'!AJ482))</f>
        <v/>
      </c>
      <c r="BR478" s="5" t="str">
        <f>IF('Project Database'!A482="","",N('Project Database'!AK482))</f>
        <v/>
      </c>
      <c r="BS478" s="5" t="str">
        <f>IF('Project Database'!A482="","",N('Project Database'!AL482))</f>
        <v/>
      </c>
      <c r="BT478" s="5" t="str">
        <f>IF('Project Database'!A482="","",N('Project Database'!AM482))</f>
        <v/>
      </c>
      <c r="BU478" s="5" t="str">
        <f>IF('Project Database'!A482="","",N('Project Database'!AN482))</f>
        <v/>
      </c>
      <c r="BV478" s="5" t="str">
        <f>IF('Project Database'!A482="","",N('Project Database'!AO482))</f>
        <v/>
      </c>
      <c r="BW478" s="5" t="str">
        <f>IF('Project Database'!A482="","",N('Project Database'!AP482))</f>
        <v/>
      </c>
      <c r="BX478" s="5">
        <f t="shared" si="110"/>
        <v>0</v>
      </c>
      <c r="BY478" s="5">
        <f t="shared" si="111"/>
        <v>0</v>
      </c>
    </row>
    <row r="479" spans="1:77" ht="15" customHeight="1" x14ac:dyDescent="0.3">
      <c r="A479" s="66">
        <f>'Project Database'!A483</f>
        <v>0</v>
      </c>
      <c r="B479" s="66">
        <f>'Project Database'!B483</f>
        <v>0</v>
      </c>
      <c r="C479" s="66">
        <f>'Project Database'!G483</f>
        <v>0</v>
      </c>
      <c r="D479" s="66">
        <f>'Project Database'!H483</f>
        <v>0</v>
      </c>
      <c r="E479" s="66">
        <f>'Project Database'!I483</f>
        <v>0</v>
      </c>
      <c r="F479" s="66">
        <f>'Project Database'!J483</f>
        <v>0</v>
      </c>
      <c r="G479" s="66">
        <f>'Project Database'!K483</f>
        <v>0</v>
      </c>
      <c r="H479" s="66">
        <f>'Project Database'!L483</f>
        <v>0</v>
      </c>
      <c r="I479" s="66">
        <f>'Project Database'!M483</f>
        <v>0</v>
      </c>
      <c r="J479" s="66">
        <f>'Project Database'!N483</f>
        <v>0</v>
      </c>
      <c r="K479" s="66">
        <f>'Project Database'!O483</f>
        <v>0</v>
      </c>
      <c r="L479" s="66">
        <f>'Project Database'!P483</f>
        <v>0</v>
      </c>
      <c r="M479" s="66">
        <f>'Project Database'!Q483</f>
        <v>0</v>
      </c>
      <c r="N479" s="66">
        <f>'Project Database'!R483</f>
        <v>0</v>
      </c>
      <c r="O479" s="66">
        <f>'Project Database'!S483</f>
        <v>0</v>
      </c>
      <c r="P479" s="66">
        <f>'Project Database'!T483</f>
        <v>0</v>
      </c>
      <c r="Q479" s="66">
        <f>'Project Database'!U483</f>
        <v>0</v>
      </c>
      <c r="R479" s="66">
        <f>'Project Database'!V483</f>
        <v>0</v>
      </c>
      <c r="S479" s="66">
        <f>'Project Database'!W483</f>
        <v>0</v>
      </c>
      <c r="T479" s="66">
        <f>'Project Database'!X483</f>
        <v>0</v>
      </c>
      <c r="U479" s="67">
        <f>'Project Database'!Y483</f>
        <v>0</v>
      </c>
      <c r="V479" s="66">
        <f>IF('Smart Search'!B13=1,IFERROR(1/'Smart Search'!H13,0),0)</f>
        <v>0</v>
      </c>
      <c r="W479" s="66">
        <f>IF('Smart Search'!B13=1,IFERROR(1/'Smart Search'!H13,0),0)</f>
        <v>0</v>
      </c>
      <c r="X479" s="66">
        <f>IF('Smart Search'!C13=1,IFERROR(1/'Smart Search'!H13,0),0)</f>
        <v>0.5</v>
      </c>
      <c r="Y479" s="66">
        <f>IF('Smart Search'!C13=1,IFERROR(1/'Smart Search'!H13,0),0)</f>
        <v>0.5</v>
      </c>
      <c r="Z479" s="66">
        <f>IF('Smart Search'!D13=1,IFERROR(1/'Smart Search'!H13,0),0)</f>
        <v>0</v>
      </c>
      <c r="AA479" s="66">
        <f>IF('Smart Search'!D13=1,IFERROR(1/'Smart Search'!H13,0),0)</f>
        <v>0</v>
      </c>
      <c r="AB479" s="66">
        <f>IF('Smart Search'!E13=1,IFERROR(1/'Smart Search'!H13,0),0)</f>
        <v>0</v>
      </c>
      <c r="AC479" s="66">
        <f>IF('Smart Search'!E13=1,IFERROR(1/'Smart Search'!H13,0),0)</f>
        <v>0</v>
      </c>
      <c r="AD479" s="66">
        <f>IF('Smart Search'!F13=1,IFERROR(1/'Smart Search'!H13,0),0)</f>
        <v>0</v>
      </c>
      <c r="AE479" s="66">
        <f>IF('Smart Search'!F13=1,IFERROR(1/'Smart Search'!H13,0),0)</f>
        <v>0</v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>0</v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>0</v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>0</v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>0</v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>0</v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>0</v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>0</v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>0</v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>0</v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>0</v>
      </c>
      <c r="AP479" s="66">
        <f t="shared" si="98"/>
        <v>0</v>
      </c>
      <c r="AQ479" s="66">
        <f t="shared" si="99"/>
        <v>0</v>
      </c>
      <c r="AR479" s="66">
        <f t="shared" si="100"/>
        <v>0</v>
      </c>
      <c r="AS479" s="66">
        <f t="shared" si="101"/>
        <v>0</v>
      </c>
      <c r="AT479" s="66">
        <f t="shared" si="102"/>
        <v>0</v>
      </c>
      <c r="AU479" s="66">
        <f t="shared" si="103"/>
        <v>0</v>
      </c>
      <c r="AV479" s="66">
        <f t="shared" si="104"/>
        <v>0</v>
      </c>
      <c r="AW479" s="66">
        <f t="shared" si="105"/>
        <v>0</v>
      </c>
      <c r="AX479" s="66">
        <f t="shared" si="106"/>
        <v>0</v>
      </c>
      <c r="AY479" s="66">
        <f t="shared" si="107"/>
        <v>0</v>
      </c>
      <c r="AZ479" s="66">
        <f>'Project Database'!Z483</f>
        <v>0</v>
      </c>
      <c r="BA479" s="66">
        <f>IF(OR(A479="",'Smart Search'!H13=0),"",MAX(0,BE479*BF479*MAX(0,1-BG479)))</f>
        <v>0</v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>0</v>
      </c>
      <c r="BC479" s="66">
        <f>IF('Smart Search'!G13=1,IFERROR(1/'Smart Search'!H13,0),0)</f>
        <v>0</v>
      </c>
      <c r="BD479" s="66">
        <f t="shared" si="108"/>
        <v>0</v>
      </c>
      <c r="BE479" s="66">
        <f t="shared" si="109"/>
        <v>0</v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>0</v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>0</v>
      </c>
      <c r="BH479" s="5" t="str">
        <f>IF(AND('Project Database'!A483&lt;&gt;"",OR('Smart Search'!$L$5="",'Smart Search'!$L$5="All",TRIM('Project Database'!D483)=TRIM('Smart Search'!$L$5)),OR(TRIM('Smart Search'!$L$6)="",TRIM('Smart Search'!$L$6)="All",ISNUMBER(SEARCH(SUBSTITUTE(SUBSTITUTE(SUBSTITUTE(TRIM('Smart Search'!$L$6),"~","~~"),"*","~*"),"?","~?"),'Project Database'!C483))),OR('Smart Search'!$L$7="",AND('Project Database'!E483&lt;&gt;"",'Project Database'!E483='Smart Search'!$L$7)),OR('Smart Search'!$L$8="",'Smart Search'!$L$8="All",TRIM('Project Database'!F483)=TRIM('Smart Search'!$L$8))),IF(BA479="","",BA479+ROW()*0.0000000001),"")</f>
        <v/>
      </c>
      <c r="BI479" s="5" t="str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 t="str">
        <f>IF('Project Database'!A483="","",N('Project Database'!AC483))</f>
        <v/>
      </c>
      <c r="BK479" s="5" t="str">
        <f>IF('Project Database'!A483="","",N('Project Database'!AD483))</f>
        <v/>
      </c>
      <c r="BL479" s="5" t="str">
        <f>IF('Project Database'!A483="","",N('Project Database'!AE483))</f>
        <v/>
      </c>
      <c r="BM479" s="5" t="str">
        <f>IF('Project Database'!A483="","",N('Project Database'!AF483))</f>
        <v/>
      </c>
      <c r="BN479" s="5" t="str">
        <f>IF('Project Database'!A483="","",N('Project Database'!AG483))</f>
        <v/>
      </c>
      <c r="BO479" s="5" t="str">
        <f>IF('Project Database'!A483="","",N('Project Database'!AH483))</f>
        <v/>
      </c>
      <c r="BP479" s="5" t="str">
        <f>IF('Project Database'!A483="","",N('Project Database'!AI483))</f>
        <v/>
      </c>
      <c r="BQ479" s="5" t="str">
        <f>IF('Project Database'!A483="","",N('Project Database'!AJ483))</f>
        <v/>
      </c>
      <c r="BR479" s="5" t="str">
        <f>IF('Project Database'!A483="","",N('Project Database'!AK483))</f>
        <v/>
      </c>
      <c r="BS479" s="5" t="str">
        <f>IF('Project Database'!A483="","",N('Project Database'!AL483))</f>
        <v/>
      </c>
      <c r="BT479" s="5" t="str">
        <f>IF('Project Database'!A483="","",N('Project Database'!AM483))</f>
        <v/>
      </c>
      <c r="BU479" s="5" t="str">
        <f>IF('Project Database'!A483="","",N('Project Database'!AN483))</f>
        <v/>
      </c>
      <c r="BV479" s="5" t="str">
        <f>IF('Project Database'!A483="","",N('Project Database'!AO483))</f>
        <v/>
      </c>
      <c r="BW479" s="5" t="str">
        <f>IF('Project Database'!A483="","",N('Project Database'!AP483))</f>
        <v/>
      </c>
      <c r="BX479" s="5">
        <f t="shared" si="110"/>
        <v>0</v>
      </c>
      <c r="BY479" s="5">
        <f t="shared" si="111"/>
        <v>0</v>
      </c>
    </row>
    <row r="480" spans="1:77" ht="15" customHeight="1" x14ac:dyDescent="0.3">
      <c r="A480" s="66">
        <f>'Project Database'!A484</f>
        <v>0</v>
      </c>
      <c r="B480" s="66">
        <f>'Project Database'!B484</f>
        <v>0</v>
      </c>
      <c r="C480" s="66">
        <f>'Project Database'!G484</f>
        <v>0</v>
      </c>
      <c r="D480" s="66">
        <f>'Project Database'!H484</f>
        <v>0</v>
      </c>
      <c r="E480" s="66">
        <f>'Project Database'!I484</f>
        <v>0</v>
      </c>
      <c r="F480" s="66">
        <f>'Project Database'!J484</f>
        <v>0</v>
      </c>
      <c r="G480" s="66">
        <f>'Project Database'!K484</f>
        <v>0</v>
      </c>
      <c r="H480" s="66">
        <f>'Project Database'!L484</f>
        <v>0</v>
      </c>
      <c r="I480" s="66">
        <f>'Project Database'!M484</f>
        <v>0</v>
      </c>
      <c r="J480" s="66">
        <f>'Project Database'!N484</f>
        <v>0</v>
      </c>
      <c r="K480" s="66">
        <f>'Project Database'!O484</f>
        <v>0</v>
      </c>
      <c r="L480" s="66">
        <f>'Project Database'!P484</f>
        <v>0</v>
      </c>
      <c r="M480" s="66">
        <f>'Project Database'!Q484</f>
        <v>0</v>
      </c>
      <c r="N480" s="66">
        <f>'Project Database'!R484</f>
        <v>0</v>
      </c>
      <c r="O480" s="66">
        <f>'Project Database'!S484</f>
        <v>0</v>
      </c>
      <c r="P480" s="66">
        <f>'Project Database'!T484</f>
        <v>0</v>
      </c>
      <c r="Q480" s="66">
        <f>'Project Database'!U484</f>
        <v>0</v>
      </c>
      <c r="R480" s="66">
        <f>'Project Database'!V484</f>
        <v>0</v>
      </c>
      <c r="S480" s="66">
        <f>'Project Database'!W484</f>
        <v>0</v>
      </c>
      <c r="T480" s="66">
        <f>'Project Database'!X484</f>
        <v>0</v>
      </c>
      <c r="U480" s="67">
        <f>'Project Database'!Y484</f>
        <v>0</v>
      </c>
      <c r="V480" s="66">
        <f>IF('Smart Search'!B13=1,IFERROR(1/'Smart Search'!H13,0),0)</f>
        <v>0</v>
      </c>
      <c r="W480" s="66">
        <f>IF('Smart Search'!B13=1,IFERROR(1/'Smart Search'!H13,0),0)</f>
        <v>0</v>
      </c>
      <c r="X480" s="66">
        <f>IF('Smart Search'!C13=1,IFERROR(1/'Smart Search'!H13,0),0)</f>
        <v>0.5</v>
      </c>
      <c r="Y480" s="66">
        <f>IF('Smart Search'!C13=1,IFERROR(1/'Smart Search'!H13,0),0)</f>
        <v>0.5</v>
      </c>
      <c r="Z480" s="66">
        <f>IF('Smart Search'!D13=1,IFERROR(1/'Smart Search'!H13,0),0)</f>
        <v>0</v>
      </c>
      <c r="AA480" s="66">
        <f>IF('Smart Search'!D13=1,IFERROR(1/'Smart Search'!H13,0),0)</f>
        <v>0</v>
      </c>
      <c r="AB480" s="66">
        <f>IF('Smart Search'!E13=1,IFERROR(1/'Smart Search'!H13,0),0)</f>
        <v>0</v>
      </c>
      <c r="AC480" s="66">
        <f>IF('Smart Search'!E13=1,IFERROR(1/'Smart Search'!H13,0),0)</f>
        <v>0</v>
      </c>
      <c r="AD480" s="66">
        <f>IF('Smart Search'!F13=1,IFERROR(1/'Smart Search'!H13,0),0)</f>
        <v>0</v>
      </c>
      <c r="AE480" s="66">
        <f>IF('Smart Search'!F13=1,IFERROR(1/'Smart Search'!H13,0),0)</f>
        <v>0</v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>0</v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>0</v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>0</v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>0</v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>0</v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>0</v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>0</v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>0</v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>0</v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>0</v>
      </c>
      <c r="AP480" s="66">
        <f t="shared" si="98"/>
        <v>0</v>
      </c>
      <c r="AQ480" s="66">
        <f t="shared" si="99"/>
        <v>0</v>
      </c>
      <c r="AR480" s="66">
        <f t="shared" si="100"/>
        <v>0</v>
      </c>
      <c r="AS480" s="66">
        <f t="shared" si="101"/>
        <v>0</v>
      </c>
      <c r="AT480" s="66">
        <f t="shared" si="102"/>
        <v>0</v>
      </c>
      <c r="AU480" s="66">
        <f t="shared" si="103"/>
        <v>0</v>
      </c>
      <c r="AV480" s="66">
        <f t="shared" si="104"/>
        <v>0</v>
      </c>
      <c r="AW480" s="66">
        <f t="shared" si="105"/>
        <v>0</v>
      </c>
      <c r="AX480" s="66">
        <f t="shared" si="106"/>
        <v>0</v>
      </c>
      <c r="AY480" s="66">
        <f t="shared" si="107"/>
        <v>0</v>
      </c>
      <c r="AZ480" s="66">
        <f>'Project Database'!Z484</f>
        <v>0</v>
      </c>
      <c r="BA480" s="66">
        <f>IF(OR(A480="",'Smart Search'!H13=0),"",MAX(0,BE480*BF480*MAX(0,1-BG480)))</f>
        <v>0</v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>0</v>
      </c>
      <c r="BC480" s="66">
        <f>IF('Smart Search'!G13=1,IFERROR(1/'Smart Search'!H13,0),0)</f>
        <v>0</v>
      </c>
      <c r="BD480" s="66">
        <f t="shared" si="108"/>
        <v>0</v>
      </c>
      <c r="BE480" s="66">
        <f t="shared" si="109"/>
        <v>0</v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>0</v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>0</v>
      </c>
      <c r="BH480" s="5" t="str">
        <f>IF(AND('Project Database'!A484&lt;&gt;"",OR('Smart Search'!$L$5="",'Smart Search'!$L$5="All",TRIM('Project Database'!D484)=TRIM('Smart Search'!$L$5)),OR(TRIM('Smart Search'!$L$6)="",TRIM('Smart Search'!$L$6)="All",ISNUMBER(SEARCH(SUBSTITUTE(SUBSTITUTE(SUBSTITUTE(TRIM('Smart Search'!$L$6),"~","~~"),"*","~*"),"?","~?"),'Project Database'!C484))),OR('Smart Search'!$L$7="",AND('Project Database'!E484&lt;&gt;"",'Project Database'!E484='Smart Search'!$L$7)),OR('Smart Search'!$L$8="",'Smart Search'!$L$8="All",TRIM('Project Database'!F484)=TRIM('Smart Search'!$L$8))),IF(BA480="","",BA480+ROW()*0.0000000001),"")</f>
        <v/>
      </c>
      <c r="BI480" s="5" t="str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 t="str">
        <f>IF('Project Database'!A484="","",N('Project Database'!AC484))</f>
        <v/>
      </c>
      <c r="BK480" s="5" t="str">
        <f>IF('Project Database'!A484="","",N('Project Database'!AD484))</f>
        <v/>
      </c>
      <c r="BL480" s="5" t="str">
        <f>IF('Project Database'!A484="","",N('Project Database'!AE484))</f>
        <v/>
      </c>
      <c r="BM480" s="5" t="str">
        <f>IF('Project Database'!A484="","",N('Project Database'!AF484))</f>
        <v/>
      </c>
      <c r="BN480" s="5" t="str">
        <f>IF('Project Database'!A484="","",N('Project Database'!AG484))</f>
        <v/>
      </c>
      <c r="BO480" s="5" t="str">
        <f>IF('Project Database'!A484="","",N('Project Database'!AH484))</f>
        <v/>
      </c>
      <c r="BP480" s="5" t="str">
        <f>IF('Project Database'!A484="","",N('Project Database'!AI484))</f>
        <v/>
      </c>
      <c r="BQ480" s="5" t="str">
        <f>IF('Project Database'!A484="","",N('Project Database'!AJ484))</f>
        <v/>
      </c>
      <c r="BR480" s="5" t="str">
        <f>IF('Project Database'!A484="","",N('Project Database'!AK484))</f>
        <v/>
      </c>
      <c r="BS480" s="5" t="str">
        <f>IF('Project Database'!A484="","",N('Project Database'!AL484))</f>
        <v/>
      </c>
      <c r="BT480" s="5" t="str">
        <f>IF('Project Database'!A484="","",N('Project Database'!AM484))</f>
        <v/>
      </c>
      <c r="BU480" s="5" t="str">
        <f>IF('Project Database'!A484="","",N('Project Database'!AN484))</f>
        <v/>
      </c>
      <c r="BV480" s="5" t="str">
        <f>IF('Project Database'!A484="","",N('Project Database'!AO484))</f>
        <v/>
      </c>
      <c r="BW480" s="5" t="str">
        <f>IF('Project Database'!A484="","",N('Project Database'!AP484))</f>
        <v/>
      </c>
      <c r="BX480" s="5">
        <f t="shared" si="110"/>
        <v>0</v>
      </c>
      <c r="BY480" s="5">
        <f t="shared" si="111"/>
        <v>0</v>
      </c>
    </row>
    <row r="481" spans="1:77" ht="15" customHeight="1" x14ac:dyDescent="0.3">
      <c r="A481" s="66">
        <f>'Project Database'!A485</f>
        <v>0</v>
      </c>
      <c r="B481" s="66">
        <f>'Project Database'!B485</f>
        <v>0</v>
      </c>
      <c r="C481" s="66">
        <f>'Project Database'!G485</f>
        <v>0</v>
      </c>
      <c r="D481" s="66">
        <f>'Project Database'!H485</f>
        <v>0</v>
      </c>
      <c r="E481" s="66">
        <f>'Project Database'!I485</f>
        <v>0</v>
      </c>
      <c r="F481" s="66">
        <f>'Project Database'!J485</f>
        <v>0</v>
      </c>
      <c r="G481" s="66">
        <f>'Project Database'!K485</f>
        <v>0</v>
      </c>
      <c r="H481" s="66">
        <f>'Project Database'!L485</f>
        <v>0</v>
      </c>
      <c r="I481" s="66">
        <f>'Project Database'!M485</f>
        <v>0</v>
      </c>
      <c r="J481" s="66">
        <f>'Project Database'!N485</f>
        <v>0</v>
      </c>
      <c r="K481" s="66">
        <f>'Project Database'!O485</f>
        <v>0</v>
      </c>
      <c r="L481" s="66">
        <f>'Project Database'!P485</f>
        <v>0</v>
      </c>
      <c r="M481" s="66">
        <f>'Project Database'!Q485</f>
        <v>0</v>
      </c>
      <c r="N481" s="66">
        <f>'Project Database'!R485</f>
        <v>0</v>
      </c>
      <c r="O481" s="66">
        <f>'Project Database'!S485</f>
        <v>0</v>
      </c>
      <c r="P481" s="66">
        <f>'Project Database'!T485</f>
        <v>0</v>
      </c>
      <c r="Q481" s="66">
        <f>'Project Database'!U485</f>
        <v>0</v>
      </c>
      <c r="R481" s="66">
        <f>'Project Database'!V485</f>
        <v>0</v>
      </c>
      <c r="S481" s="66">
        <f>'Project Database'!W485</f>
        <v>0</v>
      </c>
      <c r="T481" s="66">
        <f>'Project Database'!X485</f>
        <v>0</v>
      </c>
      <c r="U481" s="67">
        <f>'Project Database'!Y485</f>
        <v>0</v>
      </c>
      <c r="V481" s="66">
        <f>IF('Smart Search'!B13=1,IFERROR(1/'Smart Search'!H13,0),0)</f>
        <v>0</v>
      </c>
      <c r="W481" s="66">
        <f>IF('Smart Search'!B13=1,IFERROR(1/'Smart Search'!H13,0),0)</f>
        <v>0</v>
      </c>
      <c r="X481" s="66">
        <f>IF('Smart Search'!C13=1,IFERROR(1/'Smart Search'!H13,0),0)</f>
        <v>0.5</v>
      </c>
      <c r="Y481" s="66">
        <f>IF('Smart Search'!C13=1,IFERROR(1/'Smart Search'!H13,0),0)</f>
        <v>0.5</v>
      </c>
      <c r="Z481" s="66">
        <f>IF('Smart Search'!D13=1,IFERROR(1/'Smart Search'!H13,0),0)</f>
        <v>0</v>
      </c>
      <c r="AA481" s="66">
        <f>IF('Smart Search'!D13=1,IFERROR(1/'Smart Search'!H13,0),0)</f>
        <v>0</v>
      </c>
      <c r="AB481" s="66">
        <f>IF('Smart Search'!E13=1,IFERROR(1/'Smart Search'!H13,0),0)</f>
        <v>0</v>
      </c>
      <c r="AC481" s="66">
        <f>IF('Smart Search'!E13=1,IFERROR(1/'Smart Search'!H13,0),0)</f>
        <v>0</v>
      </c>
      <c r="AD481" s="66">
        <f>IF('Smart Search'!F13=1,IFERROR(1/'Smart Search'!H13,0),0)</f>
        <v>0</v>
      </c>
      <c r="AE481" s="66">
        <f>IF('Smart Search'!F13=1,IFERROR(1/'Smart Search'!H13,0),0)</f>
        <v>0</v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>0</v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>0</v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>0</v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>0</v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>0</v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>0</v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>0</v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>0</v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>0</v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>0</v>
      </c>
      <c r="AP481" s="66">
        <f t="shared" si="98"/>
        <v>0</v>
      </c>
      <c r="AQ481" s="66">
        <f t="shared" si="99"/>
        <v>0</v>
      </c>
      <c r="AR481" s="66">
        <f t="shared" si="100"/>
        <v>0</v>
      </c>
      <c r="AS481" s="66">
        <f t="shared" si="101"/>
        <v>0</v>
      </c>
      <c r="AT481" s="66">
        <f t="shared" si="102"/>
        <v>0</v>
      </c>
      <c r="AU481" s="66">
        <f t="shared" si="103"/>
        <v>0</v>
      </c>
      <c r="AV481" s="66">
        <f t="shared" si="104"/>
        <v>0</v>
      </c>
      <c r="AW481" s="66">
        <f t="shared" si="105"/>
        <v>0</v>
      </c>
      <c r="AX481" s="66">
        <f t="shared" si="106"/>
        <v>0</v>
      </c>
      <c r="AY481" s="66">
        <f t="shared" si="107"/>
        <v>0</v>
      </c>
      <c r="AZ481" s="66">
        <f>'Project Database'!Z485</f>
        <v>0</v>
      </c>
      <c r="BA481" s="66">
        <f>IF(OR(A481="",'Smart Search'!H13=0),"",MAX(0,BE481*BF481*MAX(0,1-BG481)))</f>
        <v>0</v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>0</v>
      </c>
      <c r="BC481" s="66">
        <f>IF('Smart Search'!G13=1,IFERROR(1/'Smart Search'!H13,0),0)</f>
        <v>0</v>
      </c>
      <c r="BD481" s="66">
        <f t="shared" si="108"/>
        <v>0</v>
      </c>
      <c r="BE481" s="66">
        <f t="shared" si="109"/>
        <v>0</v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>0</v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>0</v>
      </c>
      <c r="BH481" s="5" t="str">
        <f>IF(AND('Project Database'!A485&lt;&gt;"",OR('Smart Search'!$L$5="",'Smart Search'!$L$5="All",TRIM('Project Database'!D485)=TRIM('Smart Search'!$L$5)),OR(TRIM('Smart Search'!$L$6)="",TRIM('Smart Search'!$L$6)="All",ISNUMBER(SEARCH(SUBSTITUTE(SUBSTITUTE(SUBSTITUTE(TRIM('Smart Search'!$L$6),"~","~~"),"*","~*"),"?","~?"),'Project Database'!C485))),OR('Smart Search'!$L$7="",AND('Project Database'!E485&lt;&gt;"",'Project Database'!E485='Smart Search'!$L$7)),OR('Smart Search'!$L$8="",'Smart Search'!$L$8="All",TRIM('Project Database'!F485)=TRIM('Smart Search'!$L$8))),IF(BA481="","",BA481+ROW()*0.0000000001),"")</f>
        <v/>
      </c>
      <c r="BI481" s="5" t="str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 t="str">
        <f>IF('Project Database'!A485="","",N('Project Database'!AC485))</f>
        <v/>
      </c>
      <c r="BK481" s="5" t="str">
        <f>IF('Project Database'!A485="","",N('Project Database'!AD485))</f>
        <v/>
      </c>
      <c r="BL481" s="5" t="str">
        <f>IF('Project Database'!A485="","",N('Project Database'!AE485))</f>
        <v/>
      </c>
      <c r="BM481" s="5" t="str">
        <f>IF('Project Database'!A485="","",N('Project Database'!AF485))</f>
        <v/>
      </c>
      <c r="BN481" s="5" t="str">
        <f>IF('Project Database'!A485="","",N('Project Database'!AG485))</f>
        <v/>
      </c>
      <c r="BO481" s="5" t="str">
        <f>IF('Project Database'!A485="","",N('Project Database'!AH485))</f>
        <v/>
      </c>
      <c r="BP481" s="5" t="str">
        <f>IF('Project Database'!A485="","",N('Project Database'!AI485))</f>
        <v/>
      </c>
      <c r="BQ481" s="5" t="str">
        <f>IF('Project Database'!A485="","",N('Project Database'!AJ485))</f>
        <v/>
      </c>
      <c r="BR481" s="5" t="str">
        <f>IF('Project Database'!A485="","",N('Project Database'!AK485))</f>
        <v/>
      </c>
      <c r="BS481" s="5" t="str">
        <f>IF('Project Database'!A485="","",N('Project Database'!AL485))</f>
        <v/>
      </c>
      <c r="BT481" s="5" t="str">
        <f>IF('Project Database'!A485="","",N('Project Database'!AM485))</f>
        <v/>
      </c>
      <c r="BU481" s="5" t="str">
        <f>IF('Project Database'!A485="","",N('Project Database'!AN485))</f>
        <v/>
      </c>
      <c r="BV481" s="5" t="str">
        <f>IF('Project Database'!A485="","",N('Project Database'!AO485))</f>
        <v/>
      </c>
      <c r="BW481" s="5" t="str">
        <f>IF('Project Database'!A485="","",N('Project Database'!AP485))</f>
        <v/>
      </c>
      <c r="BX481" s="5">
        <f t="shared" si="110"/>
        <v>0</v>
      </c>
      <c r="BY481" s="5">
        <f t="shared" si="111"/>
        <v>0</v>
      </c>
    </row>
    <row r="482" spans="1:77" ht="15" customHeight="1" x14ac:dyDescent="0.3">
      <c r="A482" s="66">
        <f>'Project Database'!A486</f>
        <v>0</v>
      </c>
      <c r="B482" s="66">
        <f>'Project Database'!B486</f>
        <v>0</v>
      </c>
      <c r="C482" s="66">
        <f>'Project Database'!G486</f>
        <v>0</v>
      </c>
      <c r="D482" s="66">
        <f>'Project Database'!H486</f>
        <v>0</v>
      </c>
      <c r="E482" s="66">
        <f>'Project Database'!I486</f>
        <v>0</v>
      </c>
      <c r="F482" s="66">
        <f>'Project Database'!J486</f>
        <v>0</v>
      </c>
      <c r="G482" s="66">
        <f>'Project Database'!K486</f>
        <v>0</v>
      </c>
      <c r="H482" s="66">
        <f>'Project Database'!L486</f>
        <v>0</v>
      </c>
      <c r="I482" s="66">
        <f>'Project Database'!M486</f>
        <v>0</v>
      </c>
      <c r="J482" s="66">
        <f>'Project Database'!N486</f>
        <v>0</v>
      </c>
      <c r="K482" s="66">
        <f>'Project Database'!O486</f>
        <v>0</v>
      </c>
      <c r="L482" s="66">
        <f>'Project Database'!P486</f>
        <v>0</v>
      </c>
      <c r="M482" s="66">
        <f>'Project Database'!Q486</f>
        <v>0</v>
      </c>
      <c r="N482" s="66">
        <f>'Project Database'!R486</f>
        <v>0</v>
      </c>
      <c r="O482" s="66">
        <f>'Project Database'!S486</f>
        <v>0</v>
      </c>
      <c r="P482" s="66">
        <f>'Project Database'!T486</f>
        <v>0</v>
      </c>
      <c r="Q482" s="66">
        <f>'Project Database'!U486</f>
        <v>0</v>
      </c>
      <c r="R482" s="66">
        <f>'Project Database'!V486</f>
        <v>0</v>
      </c>
      <c r="S482" s="66">
        <f>'Project Database'!W486</f>
        <v>0</v>
      </c>
      <c r="T482" s="66">
        <f>'Project Database'!X486</f>
        <v>0</v>
      </c>
      <c r="U482" s="67">
        <f>'Project Database'!Y486</f>
        <v>0</v>
      </c>
      <c r="V482" s="66">
        <f>IF('Smart Search'!B13=1,IFERROR(1/'Smart Search'!H13,0),0)</f>
        <v>0</v>
      </c>
      <c r="W482" s="66">
        <f>IF('Smart Search'!B13=1,IFERROR(1/'Smart Search'!H13,0),0)</f>
        <v>0</v>
      </c>
      <c r="X482" s="66">
        <f>IF('Smart Search'!C13=1,IFERROR(1/'Smart Search'!H13,0),0)</f>
        <v>0.5</v>
      </c>
      <c r="Y482" s="66">
        <f>IF('Smart Search'!C13=1,IFERROR(1/'Smart Search'!H13,0),0)</f>
        <v>0.5</v>
      </c>
      <c r="Z482" s="66">
        <f>IF('Smart Search'!D13=1,IFERROR(1/'Smart Search'!H13,0),0)</f>
        <v>0</v>
      </c>
      <c r="AA482" s="66">
        <f>IF('Smart Search'!D13=1,IFERROR(1/'Smart Search'!H13,0),0)</f>
        <v>0</v>
      </c>
      <c r="AB482" s="66">
        <f>IF('Smart Search'!E13=1,IFERROR(1/'Smart Search'!H13,0),0)</f>
        <v>0</v>
      </c>
      <c r="AC482" s="66">
        <f>IF('Smart Search'!E13=1,IFERROR(1/'Smart Search'!H13,0),0)</f>
        <v>0</v>
      </c>
      <c r="AD482" s="66">
        <f>IF('Smart Search'!F13=1,IFERROR(1/'Smart Search'!H13,0),0)</f>
        <v>0</v>
      </c>
      <c r="AE482" s="66">
        <f>IF('Smart Search'!F13=1,IFERROR(1/'Smart Search'!H13,0),0)</f>
        <v>0</v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>0</v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>0</v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>0</v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>0</v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>0</v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>0</v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>0</v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>0</v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>0</v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>0</v>
      </c>
      <c r="AP482" s="66">
        <f t="shared" si="98"/>
        <v>0</v>
      </c>
      <c r="AQ482" s="66">
        <f t="shared" si="99"/>
        <v>0</v>
      </c>
      <c r="AR482" s="66">
        <f t="shared" si="100"/>
        <v>0</v>
      </c>
      <c r="AS482" s="66">
        <f t="shared" si="101"/>
        <v>0</v>
      </c>
      <c r="AT482" s="66">
        <f t="shared" si="102"/>
        <v>0</v>
      </c>
      <c r="AU482" s="66">
        <f t="shared" si="103"/>
        <v>0</v>
      </c>
      <c r="AV482" s="66">
        <f t="shared" si="104"/>
        <v>0</v>
      </c>
      <c r="AW482" s="66">
        <f t="shared" si="105"/>
        <v>0</v>
      </c>
      <c r="AX482" s="66">
        <f t="shared" si="106"/>
        <v>0</v>
      </c>
      <c r="AY482" s="66">
        <f t="shared" si="107"/>
        <v>0</v>
      </c>
      <c r="AZ482" s="66">
        <f>'Project Database'!Z486</f>
        <v>0</v>
      </c>
      <c r="BA482" s="66">
        <f>IF(OR(A482="",'Smart Search'!H13=0),"",MAX(0,BE482*BF482*MAX(0,1-BG482)))</f>
        <v>0</v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>0</v>
      </c>
      <c r="BC482" s="66">
        <f>IF('Smart Search'!G13=1,IFERROR(1/'Smart Search'!H13,0),0)</f>
        <v>0</v>
      </c>
      <c r="BD482" s="66">
        <f t="shared" si="108"/>
        <v>0</v>
      </c>
      <c r="BE482" s="66">
        <f t="shared" si="109"/>
        <v>0</v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>0</v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>0</v>
      </c>
      <c r="BH482" s="5" t="str">
        <f>IF(AND('Project Database'!A486&lt;&gt;"",OR('Smart Search'!$L$5="",'Smart Search'!$L$5="All",TRIM('Project Database'!D486)=TRIM('Smart Search'!$L$5)),OR(TRIM('Smart Search'!$L$6)="",TRIM('Smart Search'!$L$6)="All",ISNUMBER(SEARCH(SUBSTITUTE(SUBSTITUTE(SUBSTITUTE(TRIM('Smart Search'!$L$6),"~","~~"),"*","~*"),"?","~?"),'Project Database'!C486))),OR('Smart Search'!$L$7="",AND('Project Database'!E486&lt;&gt;"",'Project Database'!E486='Smart Search'!$L$7)),OR('Smart Search'!$L$8="",'Smart Search'!$L$8="All",TRIM('Project Database'!F486)=TRIM('Smart Search'!$L$8))),IF(BA482="","",BA482+ROW()*0.0000000001),"")</f>
        <v/>
      </c>
      <c r="BI482" s="5" t="str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 t="str">
        <f>IF('Project Database'!A486="","",N('Project Database'!AC486))</f>
        <v/>
      </c>
      <c r="BK482" s="5" t="str">
        <f>IF('Project Database'!A486="","",N('Project Database'!AD486))</f>
        <v/>
      </c>
      <c r="BL482" s="5" t="str">
        <f>IF('Project Database'!A486="","",N('Project Database'!AE486))</f>
        <v/>
      </c>
      <c r="BM482" s="5" t="str">
        <f>IF('Project Database'!A486="","",N('Project Database'!AF486))</f>
        <v/>
      </c>
      <c r="BN482" s="5" t="str">
        <f>IF('Project Database'!A486="","",N('Project Database'!AG486))</f>
        <v/>
      </c>
      <c r="BO482" s="5" t="str">
        <f>IF('Project Database'!A486="","",N('Project Database'!AH486))</f>
        <v/>
      </c>
      <c r="BP482" s="5" t="str">
        <f>IF('Project Database'!A486="","",N('Project Database'!AI486))</f>
        <v/>
      </c>
      <c r="BQ482" s="5" t="str">
        <f>IF('Project Database'!A486="","",N('Project Database'!AJ486))</f>
        <v/>
      </c>
      <c r="BR482" s="5" t="str">
        <f>IF('Project Database'!A486="","",N('Project Database'!AK486))</f>
        <v/>
      </c>
      <c r="BS482" s="5" t="str">
        <f>IF('Project Database'!A486="","",N('Project Database'!AL486))</f>
        <v/>
      </c>
      <c r="BT482" s="5" t="str">
        <f>IF('Project Database'!A486="","",N('Project Database'!AM486))</f>
        <v/>
      </c>
      <c r="BU482" s="5" t="str">
        <f>IF('Project Database'!A486="","",N('Project Database'!AN486))</f>
        <v/>
      </c>
      <c r="BV482" s="5" t="str">
        <f>IF('Project Database'!A486="","",N('Project Database'!AO486))</f>
        <v/>
      </c>
      <c r="BW482" s="5" t="str">
        <f>IF('Project Database'!A486="","",N('Project Database'!AP486))</f>
        <v/>
      </c>
      <c r="BX482" s="5">
        <f t="shared" si="110"/>
        <v>0</v>
      </c>
      <c r="BY482" s="5">
        <f t="shared" si="111"/>
        <v>0</v>
      </c>
    </row>
    <row r="483" spans="1:77" ht="15" customHeight="1" x14ac:dyDescent="0.3">
      <c r="A483" s="66">
        <f>'Project Database'!A487</f>
        <v>0</v>
      </c>
      <c r="B483" s="66">
        <f>'Project Database'!B487</f>
        <v>0</v>
      </c>
      <c r="C483" s="66">
        <f>'Project Database'!G487</f>
        <v>0</v>
      </c>
      <c r="D483" s="66">
        <f>'Project Database'!H487</f>
        <v>0</v>
      </c>
      <c r="E483" s="66">
        <f>'Project Database'!I487</f>
        <v>0</v>
      </c>
      <c r="F483" s="66">
        <f>'Project Database'!J487</f>
        <v>0</v>
      </c>
      <c r="G483" s="66">
        <f>'Project Database'!K487</f>
        <v>0</v>
      </c>
      <c r="H483" s="66">
        <f>'Project Database'!L487</f>
        <v>0</v>
      </c>
      <c r="I483" s="66">
        <f>'Project Database'!M487</f>
        <v>0</v>
      </c>
      <c r="J483" s="66">
        <f>'Project Database'!N487</f>
        <v>0</v>
      </c>
      <c r="K483" s="66">
        <f>'Project Database'!O487</f>
        <v>0</v>
      </c>
      <c r="L483" s="66">
        <f>'Project Database'!P487</f>
        <v>0</v>
      </c>
      <c r="M483" s="66">
        <f>'Project Database'!Q487</f>
        <v>0</v>
      </c>
      <c r="N483" s="66">
        <f>'Project Database'!R487</f>
        <v>0</v>
      </c>
      <c r="O483" s="66">
        <f>'Project Database'!S487</f>
        <v>0</v>
      </c>
      <c r="P483" s="66">
        <f>'Project Database'!T487</f>
        <v>0</v>
      </c>
      <c r="Q483" s="66">
        <f>'Project Database'!U487</f>
        <v>0</v>
      </c>
      <c r="R483" s="66">
        <f>'Project Database'!V487</f>
        <v>0</v>
      </c>
      <c r="S483" s="66">
        <f>'Project Database'!W487</f>
        <v>0</v>
      </c>
      <c r="T483" s="66">
        <f>'Project Database'!X487</f>
        <v>0</v>
      </c>
      <c r="U483" s="67">
        <f>'Project Database'!Y487</f>
        <v>0</v>
      </c>
      <c r="V483" s="66">
        <f>IF('Smart Search'!B13=1,IFERROR(1/'Smart Search'!H13,0),0)</f>
        <v>0</v>
      </c>
      <c r="W483" s="66">
        <f>IF('Smart Search'!B13=1,IFERROR(1/'Smart Search'!H13,0),0)</f>
        <v>0</v>
      </c>
      <c r="X483" s="66">
        <f>IF('Smart Search'!C13=1,IFERROR(1/'Smart Search'!H13,0),0)</f>
        <v>0.5</v>
      </c>
      <c r="Y483" s="66">
        <f>IF('Smart Search'!C13=1,IFERROR(1/'Smart Search'!H13,0),0)</f>
        <v>0.5</v>
      </c>
      <c r="Z483" s="66">
        <f>IF('Smart Search'!D13=1,IFERROR(1/'Smart Search'!H13,0),0)</f>
        <v>0</v>
      </c>
      <c r="AA483" s="66">
        <f>IF('Smart Search'!D13=1,IFERROR(1/'Smart Search'!H13,0),0)</f>
        <v>0</v>
      </c>
      <c r="AB483" s="66">
        <f>IF('Smart Search'!E13=1,IFERROR(1/'Smart Search'!H13,0),0)</f>
        <v>0</v>
      </c>
      <c r="AC483" s="66">
        <f>IF('Smart Search'!E13=1,IFERROR(1/'Smart Search'!H13,0),0)</f>
        <v>0</v>
      </c>
      <c r="AD483" s="66">
        <f>IF('Smart Search'!F13=1,IFERROR(1/'Smart Search'!H13,0),0)</f>
        <v>0</v>
      </c>
      <c r="AE483" s="66">
        <f>IF('Smart Search'!F13=1,IFERROR(1/'Smart Search'!H13,0),0)</f>
        <v>0</v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>0</v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>0</v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>0</v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>0</v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>0</v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>0</v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>0</v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>0</v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>0</v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>0</v>
      </c>
      <c r="AP483" s="66">
        <f t="shared" si="98"/>
        <v>0</v>
      </c>
      <c r="AQ483" s="66">
        <f t="shared" si="99"/>
        <v>0</v>
      </c>
      <c r="AR483" s="66">
        <f t="shared" si="100"/>
        <v>0</v>
      </c>
      <c r="AS483" s="66">
        <f t="shared" si="101"/>
        <v>0</v>
      </c>
      <c r="AT483" s="66">
        <f t="shared" si="102"/>
        <v>0</v>
      </c>
      <c r="AU483" s="66">
        <f t="shared" si="103"/>
        <v>0</v>
      </c>
      <c r="AV483" s="66">
        <f t="shared" si="104"/>
        <v>0</v>
      </c>
      <c r="AW483" s="66">
        <f t="shared" si="105"/>
        <v>0</v>
      </c>
      <c r="AX483" s="66">
        <f t="shared" si="106"/>
        <v>0</v>
      </c>
      <c r="AY483" s="66">
        <f t="shared" si="107"/>
        <v>0</v>
      </c>
      <c r="AZ483" s="66">
        <f>'Project Database'!Z487</f>
        <v>0</v>
      </c>
      <c r="BA483" s="66">
        <f>IF(OR(A483="",'Smart Search'!H13=0),"",MAX(0,BE483*BF483*MAX(0,1-BG483)))</f>
        <v>0</v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>0</v>
      </c>
      <c r="BC483" s="66">
        <f>IF('Smart Search'!G13=1,IFERROR(1/'Smart Search'!H13,0),0)</f>
        <v>0</v>
      </c>
      <c r="BD483" s="66">
        <f t="shared" si="108"/>
        <v>0</v>
      </c>
      <c r="BE483" s="66">
        <f t="shared" si="109"/>
        <v>0</v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>0</v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>0</v>
      </c>
      <c r="BH483" s="5" t="str">
        <f>IF(AND('Project Database'!A487&lt;&gt;"",OR('Smart Search'!$L$5="",'Smart Search'!$L$5="All",TRIM('Project Database'!D487)=TRIM('Smart Search'!$L$5)),OR(TRIM('Smart Search'!$L$6)="",TRIM('Smart Search'!$L$6)="All",ISNUMBER(SEARCH(SUBSTITUTE(SUBSTITUTE(SUBSTITUTE(TRIM('Smart Search'!$L$6),"~","~~"),"*","~*"),"?","~?"),'Project Database'!C487))),OR('Smart Search'!$L$7="",AND('Project Database'!E487&lt;&gt;"",'Project Database'!E487='Smart Search'!$L$7)),OR('Smart Search'!$L$8="",'Smart Search'!$L$8="All",TRIM('Project Database'!F487)=TRIM('Smart Search'!$L$8))),IF(BA483="","",BA483+ROW()*0.0000000001),"")</f>
        <v/>
      </c>
      <c r="BI483" s="5" t="str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 t="str">
        <f>IF('Project Database'!A487="","",N('Project Database'!AC487))</f>
        <v/>
      </c>
      <c r="BK483" s="5" t="str">
        <f>IF('Project Database'!A487="","",N('Project Database'!AD487))</f>
        <v/>
      </c>
      <c r="BL483" s="5" t="str">
        <f>IF('Project Database'!A487="","",N('Project Database'!AE487))</f>
        <v/>
      </c>
      <c r="BM483" s="5" t="str">
        <f>IF('Project Database'!A487="","",N('Project Database'!AF487))</f>
        <v/>
      </c>
      <c r="BN483" s="5" t="str">
        <f>IF('Project Database'!A487="","",N('Project Database'!AG487))</f>
        <v/>
      </c>
      <c r="BO483" s="5" t="str">
        <f>IF('Project Database'!A487="","",N('Project Database'!AH487))</f>
        <v/>
      </c>
      <c r="BP483" s="5" t="str">
        <f>IF('Project Database'!A487="","",N('Project Database'!AI487))</f>
        <v/>
      </c>
      <c r="BQ483" s="5" t="str">
        <f>IF('Project Database'!A487="","",N('Project Database'!AJ487))</f>
        <v/>
      </c>
      <c r="BR483" s="5" t="str">
        <f>IF('Project Database'!A487="","",N('Project Database'!AK487))</f>
        <v/>
      </c>
      <c r="BS483" s="5" t="str">
        <f>IF('Project Database'!A487="","",N('Project Database'!AL487))</f>
        <v/>
      </c>
      <c r="BT483" s="5" t="str">
        <f>IF('Project Database'!A487="","",N('Project Database'!AM487))</f>
        <v/>
      </c>
      <c r="BU483" s="5" t="str">
        <f>IF('Project Database'!A487="","",N('Project Database'!AN487))</f>
        <v/>
      </c>
      <c r="BV483" s="5" t="str">
        <f>IF('Project Database'!A487="","",N('Project Database'!AO487))</f>
        <v/>
      </c>
      <c r="BW483" s="5" t="str">
        <f>IF('Project Database'!A487="","",N('Project Database'!AP487))</f>
        <v/>
      </c>
      <c r="BX483" s="5">
        <f t="shared" si="110"/>
        <v>0</v>
      </c>
      <c r="BY483" s="5">
        <f t="shared" si="111"/>
        <v>0</v>
      </c>
    </row>
    <row r="484" spans="1:77" ht="15" customHeight="1" x14ac:dyDescent="0.3">
      <c r="A484" s="66">
        <f>'Project Database'!A488</f>
        <v>0</v>
      </c>
      <c r="B484" s="66">
        <f>'Project Database'!B488</f>
        <v>0</v>
      </c>
      <c r="C484" s="66">
        <f>'Project Database'!G488</f>
        <v>0</v>
      </c>
      <c r="D484" s="66">
        <f>'Project Database'!H488</f>
        <v>0</v>
      </c>
      <c r="E484" s="66">
        <f>'Project Database'!I488</f>
        <v>0</v>
      </c>
      <c r="F484" s="66">
        <f>'Project Database'!J488</f>
        <v>0</v>
      </c>
      <c r="G484" s="66">
        <f>'Project Database'!K488</f>
        <v>0</v>
      </c>
      <c r="H484" s="66">
        <f>'Project Database'!L488</f>
        <v>0</v>
      </c>
      <c r="I484" s="66">
        <f>'Project Database'!M488</f>
        <v>0</v>
      </c>
      <c r="J484" s="66">
        <f>'Project Database'!N488</f>
        <v>0</v>
      </c>
      <c r="K484" s="66">
        <f>'Project Database'!O488</f>
        <v>0</v>
      </c>
      <c r="L484" s="66">
        <f>'Project Database'!P488</f>
        <v>0</v>
      </c>
      <c r="M484" s="66">
        <f>'Project Database'!Q488</f>
        <v>0</v>
      </c>
      <c r="N484" s="66">
        <f>'Project Database'!R488</f>
        <v>0</v>
      </c>
      <c r="O484" s="66">
        <f>'Project Database'!S488</f>
        <v>0</v>
      </c>
      <c r="P484" s="66">
        <f>'Project Database'!T488</f>
        <v>0</v>
      </c>
      <c r="Q484" s="66">
        <f>'Project Database'!U488</f>
        <v>0</v>
      </c>
      <c r="R484" s="66">
        <f>'Project Database'!V488</f>
        <v>0</v>
      </c>
      <c r="S484" s="66">
        <f>'Project Database'!W488</f>
        <v>0</v>
      </c>
      <c r="T484" s="66">
        <f>'Project Database'!X488</f>
        <v>0</v>
      </c>
      <c r="U484" s="67">
        <f>'Project Database'!Y488</f>
        <v>0</v>
      </c>
      <c r="V484" s="66">
        <f>IF('Smart Search'!B13=1,IFERROR(1/'Smart Search'!H13,0),0)</f>
        <v>0</v>
      </c>
      <c r="W484" s="66">
        <f>IF('Smart Search'!B13=1,IFERROR(1/'Smart Search'!H13,0),0)</f>
        <v>0</v>
      </c>
      <c r="X484" s="66">
        <f>IF('Smart Search'!C13=1,IFERROR(1/'Smart Search'!H13,0),0)</f>
        <v>0.5</v>
      </c>
      <c r="Y484" s="66">
        <f>IF('Smart Search'!C13=1,IFERROR(1/'Smart Search'!H13,0),0)</f>
        <v>0.5</v>
      </c>
      <c r="Z484" s="66">
        <f>IF('Smart Search'!D13=1,IFERROR(1/'Smart Search'!H13,0),0)</f>
        <v>0</v>
      </c>
      <c r="AA484" s="66">
        <f>IF('Smart Search'!D13=1,IFERROR(1/'Smart Search'!H13,0),0)</f>
        <v>0</v>
      </c>
      <c r="AB484" s="66">
        <f>IF('Smart Search'!E13=1,IFERROR(1/'Smart Search'!H13,0),0)</f>
        <v>0</v>
      </c>
      <c r="AC484" s="66">
        <f>IF('Smart Search'!E13=1,IFERROR(1/'Smart Search'!H13,0),0)</f>
        <v>0</v>
      </c>
      <c r="AD484" s="66">
        <f>IF('Smart Search'!F13=1,IFERROR(1/'Smart Search'!H13,0),0)</f>
        <v>0</v>
      </c>
      <c r="AE484" s="66">
        <f>IF('Smart Search'!F13=1,IFERROR(1/'Smart Search'!H13,0),0)</f>
        <v>0</v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>0</v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>0</v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>0</v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>0</v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>0</v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>0</v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>0</v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>0</v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>0</v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>0</v>
      </c>
      <c r="AP484" s="66">
        <f t="shared" si="98"/>
        <v>0</v>
      </c>
      <c r="AQ484" s="66">
        <f t="shared" si="99"/>
        <v>0</v>
      </c>
      <c r="AR484" s="66">
        <f t="shared" si="100"/>
        <v>0</v>
      </c>
      <c r="AS484" s="66">
        <f t="shared" si="101"/>
        <v>0</v>
      </c>
      <c r="AT484" s="66">
        <f t="shared" si="102"/>
        <v>0</v>
      </c>
      <c r="AU484" s="66">
        <f t="shared" si="103"/>
        <v>0</v>
      </c>
      <c r="AV484" s="66">
        <f t="shared" si="104"/>
        <v>0</v>
      </c>
      <c r="AW484" s="66">
        <f t="shared" si="105"/>
        <v>0</v>
      </c>
      <c r="AX484" s="66">
        <f t="shared" si="106"/>
        <v>0</v>
      </c>
      <c r="AY484" s="66">
        <f t="shared" si="107"/>
        <v>0</v>
      </c>
      <c r="AZ484" s="66">
        <f>'Project Database'!Z488</f>
        <v>0</v>
      </c>
      <c r="BA484" s="66">
        <f>IF(OR(A484="",'Smart Search'!H13=0),"",MAX(0,BE484*BF484*MAX(0,1-BG484)))</f>
        <v>0</v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>0</v>
      </c>
      <c r="BC484" s="66">
        <f>IF('Smart Search'!G13=1,IFERROR(1/'Smart Search'!H13,0),0)</f>
        <v>0</v>
      </c>
      <c r="BD484" s="66">
        <f t="shared" si="108"/>
        <v>0</v>
      </c>
      <c r="BE484" s="66">
        <f t="shared" si="109"/>
        <v>0</v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>0</v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>0</v>
      </c>
      <c r="BH484" s="5" t="str">
        <f>IF(AND('Project Database'!A488&lt;&gt;"",OR('Smart Search'!$L$5="",'Smart Search'!$L$5="All",TRIM('Project Database'!D488)=TRIM('Smart Search'!$L$5)),OR(TRIM('Smart Search'!$L$6)="",TRIM('Smart Search'!$L$6)="All",ISNUMBER(SEARCH(SUBSTITUTE(SUBSTITUTE(SUBSTITUTE(TRIM('Smart Search'!$L$6),"~","~~"),"*","~*"),"?","~?"),'Project Database'!C488))),OR('Smart Search'!$L$7="",AND('Project Database'!E488&lt;&gt;"",'Project Database'!E488='Smart Search'!$L$7)),OR('Smart Search'!$L$8="",'Smart Search'!$L$8="All",TRIM('Project Database'!F488)=TRIM('Smart Search'!$L$8))),IF(BA484="","",BA484+ROW()*0.0000000001),"")</f>
        <v/>
      </c>
      <c r="BI484" s="5" t="str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 t="str">
        <f>IF('Project Database'!A488="","",N('Project Database'!AC488))</f>
        <v/>
      </c>
      <c r="BK484" s="5" t="str">
        <f>IF('Project Database'!A488="","",N('Project Database'!AD488))</f>
        <v/>
      </c>
      <c r="BL484" s="5" t="str">
        <f>IF('Project Database'!A488="","",N('Project Database'!AE488))</f>
        <v/>
      </c>
      <c r="BM484" s="5" t="str">
        <f>IF('Project Database'!A488="","",N('Project Database'!AF488))</f>
        <v/>
      </c>
      <c r="BN484" s="5" t="str">
        <f>IF('Project Database'!A488="","",N('Project Database'!AG488))</f>
        <v/>
      </c>
      <c r="BO484" s="5" t="str">
        <f>IF('Project Database'!A488="","",N('Project Database'!AH488))</f>
        <v/>
      </c>
      <c r="BP484" s="5" t="str">
        <f>IF('Project Database'!A488="","",N('Project Database'!AI488))</f>
        <v/>
      </c>
      <c r="BQ484" s="5" t="str">
        <f>IF('Project Database'!A488="","",N('Project Database'!AJ488))</f>
        <v/>
      </c>
      <c r="BR484" s="5" t="str">
        <f>IF('Project Database'!A488="","",N('Project Database'!AK488))</f>
        <v/>
      </c>
      <c r="BS484" s="5" t="str">
        <f>IF('Project Database'!A488="","",N('Project Database'!AL488))</f>
        <v/>
      </c>
      <c r="BT484" s="5" t="str">
        <f>IF('Project Database'!A488="","",N('Project Database'!AM488))</f>
        <v/>
      </c>
      <c r="BU484" s="5" t="str">
        <f>IF('Project Database'!A488="","",N('Project Database'!AN488))</f>
        <v/>
      </c>
      <c r="BV484" s="5" t="str">
        <f>IF('Project Database'!A488="","",N('Project Database'!AO488))</f>
        <v/>
      </c>
      <c r="BW484" s="5" t="str">
        <f>IF('Project Database'!A488="","",N('Project Database'!AP488))</f>
        <v/>
      </c>
      <c r="BX484" s="5">
        <f t="shared" si="110"/>
        <v>0</v>
      </c>
      <c r="BY484" s="5">
        <f t="shared" si="111"/>
        <v>0</v>
      </c>
    </row>
    <row r="485" spans="1:77" ht="15" customHeight="1" x14ac:dyDescent="0.3">
      <c r="A485" s="66">
        <f>'Project Database'!A489</f>
        <v>0</v>
      </c>
      <c r="B485" s="66">
        <f>'Project Database'!B489</f>
        <v>0</v>
      </c>
      <c r="C485" s="66">
        <f>'Project Database'!G489</f>
        <v>0</v>
      </c>
      <c r="D485" s="66">
        <f>'Project Database'!H489</f>
        <v>0</v>
      </c>
      <c r="E485" s="66">
        <f>'Project Database'!I489</f>
        <v>0</v>
      </c>
      <c r="F485" s="66">
        <f>'Project Database'!J489</f>
        <v>0</v>
      </c>
      <c r="G485" s="66">
        <f>'Project Database'!K489</f>
        <v>0</v>
      </c>
      <c r="H485" s="66">
        <f>'Project Database'!L489</f>
        <v>0</v>
      </c>
      <c r="I485" s="66">
        <f>'Project Database'!M489</f>
        <v>0</v>
      </c>
      <c r="J485" s="66">
        <f>'Project Database'!N489</f>
        <v>0</v>
      </c>
      <c r="K485" s="66">
        <f>'Project Database'!O489</f>
        <v>0</v>
      </c>
      <c r="L485" s="66">
        <f>'Project Database'!P489</f>
        <v>0</v>
      </c>
      <c r="M485" s="66">
        <f>'Project Database'!Q489</f>
        <v>0</v>
      </c>
      <c r="N485" s="66">
        <f>'Project Database'!R489</f>
        <v>0</v>
      </c>
      <c r="O485" s="66">
        <f>'Project Database'!S489</f>
        <v>0</v>
      </c>
      <c r="P485" s="66">
        <f>'Project Database'!T489</f>
        <v>0</v>
      </c>
      <c r="Q485" s="66">
        <f>'Project Database'!U489</f>
        <v>0</v>
      </c>
      <c r="R485" s="66">
        <f>'Project Database'!V489</f>
        <v>0</v>
      </c>
      <c r="S485" s="66">
        <f>'Project Database'!W489</f>
        <v>0</v>
      </c>
      <c r="T485" s="66">
        <f>'Project Database'!X489</f>
        <v>0</v>
      </c>
      <c r="U485" s="67">
        <f>'Project Database'!Y489</f>
        <v>0</v>
      </c>
      <c r="V485" s="66">
        <f>IF('Smart Search'!B13=1,IFERROR(1/'Smart Search'!H13,0),0)</f>
        <v>0</v>
      </c>
      <c r="W485" s="66">
        <f>IF('Smart Search'!B13=1,IFERROR(1/'Smart Search'!H13,0),0)</f>
        <v>0</v>
      </c>
      <c r="X485" s="66">
        <f>IF('Smart Search'!C13=1,IFERROR(1/'Smart Search'!H13,0),0)</f>
        <v>0.5</v>
      </c>
      <c r="Y485" s="66">
        <f>IF('Smart Search'!C13=1,IFERROR(1/'Smart Search'!H13,0),0)</f>
        <v>0.5</v>
      </c>
      <c r="Z485" s="66">
        <f>IF('Smart Search'!D13=1,IFERROR(1/'Smart Search'!H13,0),0)</f>
        <v>0</v>
      </c>
      <c r="AA485" s="66">
        <f>IF('Smart Search'!D13=1,IFERROR(1/'Smart Search'!H13,0),0)</f>
        <v>0</v>
      </c>
      <c r="AB485" s="66">
        <f>IF('Smart Search'!E13=1,IFERROR(1/'Smart Search'!H13,0),0)</f>
        <v>0</v>
      </c>
      <c r="AC485" s="66">
        <f>IF('Smart Search'!E13=1,IFERROR(1/'Smart Search'!H13,0),0)</f>
        <v>0</v>
      </c>
      <c r="AD485" s="66">
        <f>IF('Smart Search'!F13=1,IFERROR(1/'Smart Search'!H13,0),0)</f>
        <v>0</v>
      </c>
      <c r="AE485" s="66">
        <f>IF('Smart Search'!F13=1,IFERROR(1/'Smart Search'!H13,0),0)</f>
        <v>0</v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>0</v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>0</v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>0</v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>0</v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>0</v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>0</v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>0</v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>0</v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>0</v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>0</v>
      </c>
      <c r="AP485" s="66">
        <f t="shared" si="98"/>
        <v>0</v>
      </c>
      <c r="AQ485" s="66">
        <f t="shared" si="99"/>
        <v>0</v>
      </c>
      <c r="AR485" s="66">
        <f t="shared" si="100"/>
        <v>0</v>
      </c>
      <c r="AS485" s="66">
        <f t="shared" si="101"/>
        <v>0</v>
      </c>
      <c r="AT485" s="66">
        <f t="shared" si="102"/>
        <v>0</v>
      </c>
      <c r="AU485" s="66">
        <f t="shared" si="103"/>
        <v>0</v>
      </c>
      <c r="AV485" s="66">
        <f t="shared" si="104"/>
        <v>0</v>
      </c>
      <c r="AW485" s="66">
        <f t="shared" si="105"/>
        <v>0</v>
      </c>
      <c r="AX485" s="66">
        <f t="shared" si="106"/>
        <v>0</v>
      </c>
      <c r="AY485" s="66">
        <f t="shared" si="107"/>
        <v>0</v>
      </c>
      <c r="AZ485" s="66">
        <f>'Project Database'!Z489</f>
        <v>0</v>
      </c>
      <c r="BA485" s="66">
        <f>IF(OR(A485="",'Smart Search'!H13=0),"",MAX(0,BE485*BF485*MAX(0,1-BG485)))</f>
        <v>0</v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>0</v>
      </c>
      <c r="BC485" s="66">
        <f>IF('Smart Search'!G13=1,IFERROR(1/'Smart Search'!H13,0),0)</f>
        <v>0</v>
      </c>
      <c r="BD485" s="66">
        <f t="shared" si="108"/>
        <v>0</v>
      </c>
      <c r="BE485" s="66">
        <f t="shared" si="109"/>
        <v>0</v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>0</v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>0</v>
      </c>
      <c r="BH485" s="5" t="str">
        <f>IF(AND('Project Database'!A489&lt;&gt;"",OR('Smart Search'!$L$5="",'Smart Search'!$L$5="All",TRIM('Project Database'!D489)=TRIM('Smart Search'!$L$5)),OR(TRIM('Smart Search'!$L$6)="",TRIM('Smart Search'!$L$6)="All",ISNUMBER(SEARCH(SUBSTITUTE(SUBSTITUTE(SUBSTITUTE(TRIM('Smart Search'!$L$6),"~","~~"),"*","~*"),"?","~?"),'Project Database'!C489))),OR('Smart Search'!$L$7="",AND('Project Database'!E489&lt;&gt;"",'Project Database'!E489='Smart Search'!$L$7)),OR('Smart Search'!$L$8="",'Smart Search'!$L$8="All",TRIM('Project Database'!F489)=TRIM('Smart Search'!$L$8))),IF(BA485="","",BA485+ROW()*0.0000000001),"")</f>
        <v/>
      </c>
      <c r="BI485" s="5" t="str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 t="str">
        <f>IF('Project Database'!A489="","",N('Project Database'!AC489))</f>
        <v/>
      </c>
      <c r="BK485" s="5" t="str">
        <f>IF('Project Database'!A489="","",N('Project Database'!AD489))</f>
        <v/>
      </c>
      <c r="BL485" s="5" t="str">
        <f>IF('Project Database'!A489="","",N('Project Database'!AE489))</f>
        <v/>
      </c>
      <c r="BM485" s="5" t="str">
        <f>IF('Project Database'!A489="","",N('Project Database'!AF489))</f>
        <v/>
      </c>
      <c r="BN485" s="5" t="str">
        <f>IF('Project Database'!A489="","",N('Project Database'!AG489))</f>
        <v/>
      </c>
      <c r="BO485" s="5" t="str">
        <f>IF('Project Database'!A489="","",N('Project Database'!AH489))</f>
        <v/>
      </c>
      <c r="BP485" s="5" t="str">
        <f>IF('Project Database'!A489="","",N('Project Database'!AI489))</f>
        <v/>
      </c>
      <c r="BQ485" s="5" t="str">
        <f>IF('Project Database'!A489="","",N('Project Database'!AJ489))</f>
        <v/>
      </c>
      <c r="BR485" s="5" t="str">
        <f>IF('Project Database'!A489="","",N('Project Database'!AK489))</f>
        <v/>
      </c>
      <c r="BS485" s="5" t="str">
        <f>IF('Project Database'!A489="","",N('Project Database'!AL489))</f>
        <v/>
      </c>
      <c r="BT485" s="5" t="str">
        <f>IF('Project Database'!A489="","",N('Project Database'!AM489))</f>
        <v/>
      </c>
      <c r="BU485" s="5" t="str">
        <f>IF('Project Database'!A489="","",N('Project Database'!AN489))</f>
        <v/>
      </c>
      <c r="BV485" s="5" t="str">
        <f>IF('Project Database'!A489="","",N('Project Database'!AO489))</f>
        <v/>
      </c>
      <c r="BW485" s="5" t="str">
        <f>IF('Project Database'!A489="","",N('Project Database'!AP489))</f>
        <v/>
      </c>
      <c r="BX485" s="5">
        <f t="shared" si="110"/>
        <v>0</v>
      </c>
      <c r="BY485" s="5">
        <f t="shared" si="111"/>
        <v>0</v>
      </c>
    </row>
    <row r="486" spans="1:77" ht="15" customHeight="1" x14ac:dyDescent="0.3">
      <c r="A486" s="66">
        <f>'Project Database'!A490</f>
        <v>0</v>
      </c>
      <c r="B486" s="66">
        <f>'Project Database'!B490</f>
        <v>0</v>
      </c>
      <c r="C486" s="66">
        <f>'Project Database'!G490</f>
        <v>0</v>
      </c>
      <c r="D486" s="66">
        <f>'Project Database'!H490</f>
        <v>0</v>
      </c>
      <c r="E486" s="66">
        <f>'Project Database'!I490</f>
        <v>0</v>
      </c>
      <c r="F486" s="66">
        <f>'Project Database'!J490</f>
        <v>0</v>
      </c>
      <c r="G486" s="66">
        <f>'Project Database'!K490</f>
        <v>0</v>
      </c>
      <c r="H486" s="66">
        <f>'Project Database'!L490</f>
        <v>0</v>
      </c>
      <c r="I486" s="66">
        <f>'Project Database'!M490</f>
        <v>0</v>
      </c>
      <c r="J486" s="66">
        <f>'Project Database'!N490</f>
        <v>0</v>
      </c>
      <c r="K486" s="66">
        <f>'Project Database'!O490</f>
        <v>0</v>
      </c>
      <c r="L486" s="66">
        <f>'Project Database'!P490</f>
        <v>0</v>
      </c>
      <c r="M486" s="66">
        <f>'Project Database'!Q490</f>
        <v>0</v>
      </c>
      <c r="N486" s="66">
        <f>'Project Database'!R490</f>
        <v>0</v>
      </c>
      <c r="O486" s="66">
        <f>'Project Database'!S490</f>
        <v>0</v>
      </c>
      <c r="P486" s="66">
        <f>'Project Database'!T490</f>
        <v>0</v>
      </c>
      <c r="Q486" s="66">
        <f>'Project Database'!U490</f>
        <v>0</v>
      </c>
      <c r="R486" s="66">
        <f>'Project Database'!V490</f>
        <v>0</v>
      </c>
      <c r="S486" s="66">
        <f>'Project Database'!W490</f>
        <v>0</v>
      </c>
      <c r="T486" s="66">
        <f>'Project Database'!X490</f>
        <v>0</v>
      </c>
      <c r="U486" s="67">
        <f>'Project Database'!Y490</f>
        <v>0</v>
      </c>
      <c r="V486" s="66">
        <f>IF('Smart Search'!B13=1,IFERROR(1/'Smart Search'!H13,0),0)</f>
        <v>0</v>
      </c>
      <c r="W486" s="66">
        <f>IF('Smart Search'!B13=1,IFERROR(1/'Smart Search'!H13,0),0)</f>
        <v>0</v>
      </c>
      <c r="X486" s="66">
        <f>IF('Smart Search'!C13=1,IFERROR(1/'Smart Search'!H13,0),0)</f>
        <v>0.5</v>
      </c>
      <c r="Y486" s="66">
        <f>IF('Smart Search'!C13=1,IFERROR(1/'Smart Search'!H13,0),0)</f>
        <v>0.5</v>
      </c>
      <c r="Z486" s="66">
        <f>IF('Smart Search'!D13=1,IFERROR(1/'Smart Search'!H13,0),0)</f>
        <v>0</v>
      </c>
      <c r="AA486" s="66">
        <f>IF('Smart Search'!D13=1,IFERROR(1/'Smart Search'!H13,0),0)</f>
        <v>0</v>
      </c>
      <c r="AB486" s="66">
        <f>IF('Smart Search'!E13=1,IFERROR(1/'Smart Search'!H13,0),0)</f>
        <v>0</v>
      </c>
      <c r="AC486" s="66">
        <f>IF('Smart Search'!E13=1,IFERROR(1/'Smart Search'!H13,0),0)</f>
        <v>0</v>
      </c>
      <c r="AD486" s="66">
        <f>IF('Smart Search'!F13=1,IFERROR(1/'Smart Search'!H13,0),0)</f>
        <v>0</v>
      </c>
      <c r="AE486" s="66">
        <f>IF('Smart Search'!F13=1,IFERROR(1/'Smart Search'!H13,0),0)</f>
        <v>0</v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>0</v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>0</v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>0</v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>0</v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>0</v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>0</v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>0</v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>0</v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>0</v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>0</v>
      </c>
      <c r="AP486" s="66">
        <f t="shared" si="98"/>
        <v>0</v>
      </c>
      <c r="AQ486" s="66">
        <f t="shared" si="99"/>
        <v>0</v>
      </c>
      <c r="AR486" s="66">
        <f t="shared" si="100"/>
        <v>0</v>
      </c>
      <c r="AS486" s="66">
        <f t="shared" si="101"/>
        <v>0</v>
      </c>
      <c r="AT486" s="66">
        <f t="shared" si="102"/>
        <v>0</v>
      </c>
      <c r="AU486" s="66">
        <f t="shared" si="103"/>
        <v>0</v>
      </c>
      <c r="AV486" s="66">
        <f t="shared" si="104"/>
        <v>0</v>
      </c>
      <c r="AW486" s="66">
        <f t="shared" si="105"/>
        <v>0</v>
      </c>
      <c r="AX486" s="66">
        <f t="shared" si="106"/>
        <v>0</v>
      </c>
      <c r="AY486" s="66">
        <f t="shared" si="107"/>
        <v>0</v>
      </c>
      <c r="AZ486" s="66">
        <f>'Project Database'!Z490</f>
        <v>0</v>
      </c>
      <c r="BA486" s="66">
        <f>IF(OR(A486="",'Smart Search'!H13=0),"",MAX(0,BE486*BF486*MAX(0,1-BG486)))</f>
        <v>0</v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>0</v>
      </c>
      <c r="BC486" s="66">
        <f>IF('Smart Search'!G13=1,IFERROR(1/'Smart Search'!H13,0),0)</f>
        <v>0</v>
      </c>
      <c r="BD486" s="66">
        <f t="shared" si="108"/>
        <v>0</v>
      </c>
      <c r="BE486" s="66">
        <f t="shared" si="109"/>
        <v>0</v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>0</v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>0</v>
      </c>
      <c r="BH486" s="5" t="str">
        <f>IF(AND('Project Database'!A490&lt;&gt;"",OR('Smart Search'!$L$5="",'Smart Search'!$L$5="All",TRIM('Project Database'!D490)=TRIM('Smart Search'!$L$5)),OR(TRIM('Smart Search'!$L$6)="",TRIM('Smart Search'!$L$6)="All",ISNUMBER(SEARCH(SUBSTITUTE(SUBSTITUTE(SUBSTITUTE(TRIM('Smart Search'!$L$6),"~","~~"),"*","~*"),"?","~?"),'Project Database'!C490))),OR('Smart Search'!$L$7="",AND('Project Database'!E490&lt;&gt;"",'Project Database'!E490='Smart Search'!$L$7)),OR('Smart Search'!$L$8="",'Smart Search'!$L$8="All",TRIM('Project Database'!F490)=TRIM('Smart Search'!$L$8))),IF(BA486="","",BA486+ROW()*0.0000000001),"")</f>
        <v/>
      </c>
      <c r="BI486" s="5" t="str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 t="str">
        <f>IF('Project Database'!A490="","",N('Project Database'!AC490))</f>
        <v/>
      </c>
      <c r="BK486" s="5" t="str">
        <f>IF('Project Database'!A490="","",N('Project Database'!AD490))</f>
        <v/>
      </c>
      <c r="BL486" s="5" t="str">
        <f>IF('Project Database'!A490="","",N('Project Database'!AE490))</f>
        <v/>
      </c>
      <c r="BM486" s="5" t="str">
        <f>IF('Project Database'!A490="","",N('Project Database'!AF490))</f>
        <v/>
      </c>
      <c r="BN486" s="5" t="str">
        <f>IF('Project Database'!A490="","",N('Project Database'!AG490))</f>
        <v/>
      </c>
      <c r="BO486" s="5" t="str">
        <f>IF('Project Database'!A490="","",N('Project Database'!AH490))</f>
        <v/>
      </c>
      <c r="BP486" s="5" t="str">
        <f>IF('Project Database'!A490="","",N('Project Database'!AI490))</f>
        <v/>
      </c>
      <c r="BQ486" s="5" t="str">
        <f>IF('Project Database'!A490="","",N('Project Database'!AJ490))</f>
        <v/>
      </c>
      <c r="BR486" s="5" t="str">
        <f>IF('Project Database'!A490="","",N('Project Database'!AK490))</f>
        <v/>
      </c>
      <c r="BS486" s="5" t="str">
        <f>IF('Project Database'!A490="","",N('Project Database'!AL490))</f>
        <v/>
      </c>
      <c r="BT486" s="5" t="str">
        <f>IF('Project Database'!A490="","",N('Project Database'!AM490))</f>
        <v/>
      </c>
      <c r="BU486" s="5" t="str">
        <f>IF('Project Database'!A490="","",N('Project Database'!AN490))</f>
        <v/>
      </c>
      <c r="BV486" s="5" t="str">
        <f>IF('Project Database'!A490="","",N('Project Database'!AO490))</f>
        <v/>
      </c>
      <c r="BW486" s="5" t="str">
        <f>IF('Project Database'!A490="","",N('Project Database'!AP490))</f>
        <v/>
      </c>
      <c r="BX486" s="5">
        <f t="shared" si="110"/>
        <v>0</v>
      </c>
      <c r="BY486" s="5">
        <f t="shared" si="111"/>
        <v>0</v>
      </c>
    </row>
    <row r="487" spans="1:77" ht="15" customHeight="1" x14ac:dyDescent="0.3">
      <c r="A487" s="66">
        <f>'Project Database'!A491</f>
        <v>0</v>
      </c>
      <c r="B487" s="66">
        <f>'Project Database'!B491</f>
        <v>0</v>
      </c>
      <c r="C487" s="66">
        <f>'Project Database'!G491</f>
        <v>0</v>
      </c>
      <c r="D487" s="66">
        <f>'Project Database'!H491</f>
        <v>0</v>
      </c>
      <c r="E487" s="66">
        <f>'Project Database'!I491</f>
        <v>0</v>
      </c>
      <c r="F487" s="66">
        <f>'Project Database'!J491</f>
        <v>0</v>
      </c>
      <c r="G487" s="66">
        <f>'Project Database'!K491</f>
        <v>0</v>
      </c>
      <c r="H487" s="66">
        <f>'Project Database'!L491</f>
        <v>0</v>
      </c>
      <c r="I487" s="66">
        <f>'Project Database'!M491</f>
        <v>0</v>
      </c>
      <c r="J487" s="66">
        <f>'Project Database'!N491</f>
        <v>0</v>
      </c>
      <c r="K487" s="66">
        <f>'Project Database'!O491</f>
        <v>0</v>
      </c>
      <c r="L487" s="66">
        <f>'Project Database'!P491</f>
        <v>0</v>
      </c>
      <c r="M487" s="66">
        <f>'Project Database'!Q491</f>
        <v>0</v>
      </c>
      <c r="N487" s="66">
        <f>'Project Database'!R491</f>
        <v>0</v>
      </c>
      <c r="O487" s="66">
        <f>'Project Database'!S491</f>
        <v>0</v>
      </c>
      <c r="P487" s="66">
        <f>'Project Database'!T491</f>
        <v>0</v>
      </c>
      <c r="Q487" s="66">
        <f>'Project Database'!U491</f>
        <v>0</v>
      </c>
      <c r="R487" s="66">
        <f>'Project Database'!V491</f>
        <v>0</v>
      </c>
      <c r="S487" s="66">
        <f>'Project Database'!W491</f>
        <v>0</v>
      </c>
      <c r="T487" s="66">
        <f>'Project Database'!X491</f>
        <v>0</v>
      </c>
      <c r="U487" s="67">
        <f>'Project Database'!Y491</f>
        <v>0</v>
      </c>
      <c r="V487" s="66">
        <f>IF('Smart Search'!B13=1,IFERROR(1/'Smart Search'!H13,0),0)</f>
        <v>0</v>
      </c>
      <c r="W487" s="66">
        <f>IF('Smart Search'!B13=1,IFERROR(1/'Smart Search'!H13,0),0)</f>
        <v>0</v>
      </c>
      <c r="X487" s="66">
        <f>IF('Smart Search'!C13=1,IFERROR(1/'Smart Search'!H13,0),0)</f>
        <v>0.5</v>
      </c>
      <c r="Y487" s="66">
        <f>IF('Smart Search'!C13=1,IFERROR(1/'Smart Search'!H13,0),0)</f>
        <v>0.5</v>
      </c>
      <c r="Z487" s="66">
        <f>IF('Smart Search'!D13=1,IFERROR(1/'Smart Search'!H13,0),0)</f>
        <v>0</v>
      </c>
      <c r="AA487" s="66">
        <f>IF('Smart Search'!D13=1,IFERROR(1/'Smart Search'!H13,0),0)</f>
        <v>0</v>
      </c>
      <c r="AB487" s="66">
        <f>IF('Smart Search'!E13=1,IFERROR(1/'Smart Search'!H13,0),0)</f>
        <v>0</v>
      </c>
      <c r="AC487" s="66">
        <f>IF('Smart Search'!E13=1,IFERROR(1/'Smart Search'!H13,0),0)</f>
        <v>0</v>
      </c>
      <c r="AD487" s="66">
        <f>IF('Smart Search'!F13=1,IFERROR(1/'Smart Search'!H13,0),0)</f>
        <v>0</v>
      </c>
      <c r="AE487" s="66">
        <f>IF('Smart Search'!F13=1,IFERROR(1/'Smart Search'!H13,0),0)</f>
        <v>0</v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>0</v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>0</v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>0</v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>0</v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>0</v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>0</v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>0</v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>0</v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>0</v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>0</v>
      </c>
      <c r="AP487" s="66">
        <f t="shared" si="98"/>
        <v>0</v>
      </c>
      <c r="AQ487" s="66">
        <f t="shared" si="99"/>
        <v>0</v>
      </c>
      <c r="AR487" s="66">
        <f t="shared" si="100"/>
        <v>0</v>
      </c>
      <c r="AS487" s="66">
        <f t="shared" si="101"/>
        <v>0</v>
      </c>
      <c r="AT487" s="66">
        <f t="shared" si="102"/>
        <v>0</v>
      </c>
      <c r="AU487" s="66">
        <f t="shared" si="103"/>
        <v>0</v>
      </c>
      <c r="AV487" s="66">
        <f t="shared" si="104"/>
        <v>0</v>
      </c>
      <c r="AW487" s="66">
        <f t="shared" si="105"/>
        <v>0</v>
      </c>
      <c r="AX487" s="66">
        <f t="shared" si="106"/>
        <v>0</v>
      </c>
      <c r="AY487" s="66">
        <f t="shared" si="107"/>
        <v>0</v>
      </c>
      <c r="AZ487" s="66">
        <f>'Project Database'!Z491</f>
        <v>0</v>
      </c>
      <c r="BA487" s="66">
        <f>IF(OR(A487="",'Smart Search'!H13=0),"",MAX(0,BE487*BF487*MAX(0,1-BG487)))</f>
        <v>0</v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>0</v>
      </c>
      <c r="BC487" s="66">
        <f>IF('Smart Search'!G13=1,IFERROR(1/'Smart Search'!H13,0),0)</f>
        <v>0</v>
      </c>
      <c r="BD487" s="66">
        <f t="shared" si="108"/>
        <v>0</v>
      </c>
      <c r="BE487" s="66">
        <f t="shared" si="109"/>
        <v>0</v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>0</v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>0</v>
      </c>
      <c r="BH487" s="5" t="str">
        <f>IF(AND('Project Database'!A491&lt;&gt;"",OR('Smart Search'!$L$5="",'Smart Search'!$L$5="All",TRIM('Project Database'!D491)=TRIM('Smart Search'!$L$5)),OR(TRIM('Smart Search'!$L$6)="",TRIM('Smart Search'!$L$6)="All",ISNUMBER(SEARCH(SUBSTITUTE(SUBSTITUTE(SUBSTITUTE(TRIM('Smart Search'!$L$6),"~","~~"),"*","~*"),"?","~?"),'Project Database'!C491))),OR('Smart Search'!$L$7="",AND('Project Database'!E491&lt;&gt;"",'Project Database'!E491='Smart Search'!$L$7)),OR('Smart Search'!$L$8="",'Smart Search'!$L$8="All",TRIM('Project Database'!F491)=TRIM('Smart Search'!$L$8))),IF(BA487="","",BA487+ROW()*0.0000000001),"")</f>
        <v/>
      </c>
      <c r="BI487" s="5" t="str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 t="str">
        <f>IF('Project Database'!A491="","",N('Project Database'!AC491))</f>
        <v/>
      </c>
      <c r="BK487" s="5" t="str">
        <f>IF('Project Database'!A491="","",N('Project Database'!AD491))</f>
        <v/>
      </c>
      <c r="BL487" s="5" t="str">
        <f>IF('Project Database'!A491="","",N('Project Database'!AE491))</f>
        <v/>
      </c>
      <c r="BM487" s="5" t="str">
        <f>IF('Project Database'!A491="","",N('Project Database'!AF491))</f>
        <v/>
      </c>
      <c r="BN487" s="5" t="str">
        <f>IF('Project Database'!A491="","",N('Project Database'!AG491))</f>
        <v/>
      </c>
      <c r="BO487" s="5" t="str">
        <f>IF('Project Database'!A491="","",N('Project Database'!AH491))</f>
        <v/>
      </c>
      <c r="BP487" s="5" t="str">
        <f>IF('Project Database'!A491="","",N('Project Database'!AI491))</f>
        <v/>
      </c>
      <c r="BQ487" s="5" t="str">
        <f>IF('Project Database'!A491="","",N('Project Database'!AJ491))</f>
        <v/>
      </c>
      <c r="BR487" s="5" t="str">
        <f>IF('Project Database'!A491="","",N('Project Database'!AK491))</f>
        <v/>
      </c>
      <c r="BS487" s="5" t="str">
        <f>IF('Project Database'!A491="","",N('Project Database'!AL491))</f>
        <v/>
      </c>
      <c r="BT487" s="5" t="str">
        <f>IF('Project Database'!A491="","",N('Project Database'!AM491))</f>
        <v/>
      </c>
      <c r="BU487" s="5" t="str">
        <f>IF('Project Database'!A491="","",N('Project Database'!AN491))</f>
        <v/>
      </c>
      <c r="BV487" s="5" t="str">
        <f>IF('Project Database'!A491="","",N('Project Database'!AO491))</f>
        <v/>
      </c>
      <c r="BW487" s="5" t="str">
        <f>IF('Project Database'!A491="","",N('Project Database'!AP491))</f>
        <v/>
      </c>
      <c r="BX487" s="5">
        <f t="shared" si="110"/>
        <v>0</v>
      </c>
      <c r="BY487" s="5">
        <f t="shared" si="111"/>
        <v>0</v>
      </c>
    </row>
    <row r="488" spans="1:77" ht="15" customHeight="1" x14ac:dyDescent="0.3">
      <c r="A488" s="66">
        <f>'Project Database'!A492</f>
        <v>0</v>
      </c>
      <c r="B488" s="66">
        <f>'Project Database'!B492</f>
        <v>0</v>
      </c>
      <c r="C488" s="66">
        <f>'Project Database'!G492</f>
        <v>0</v>
      </c>
      <c r="D488" s="66">
        <f>'Project Database'!H492</f>
        <v>0</v>
      </c>
      <c r="E488" s="66">
        <f>'Project Database'!I492</f>
        <v>0</v>
      </c>
      <c r="F488" s="66">
        <f>'Project Database'!J492</f>
        <v>0</v>
      </c>
      <c r="G488" s="66">
        <f>'Project Database'!K492</f>
        <v>0</v>
      </c>
      <c r="H488" s="66">
        <f>'Project Database'!L492</f>
        <v>0</v>
      </c>
      <c r="I488" s="66">
        <f>'Project Database'!M492</f>
        <v>0</v>
      </c>
      <c r="J488" s="66">
        <f>'Project Database'!N492</f>
        <v>0</v>
      </c>
      <c r="K488" s="66">
        <f>'Project Database'!O492</f>
        <v>0</v>
      </c>
      <c r="L488" s="66">
        <f>'Project Database'!P492</f>
        <v>0</v>
      </c>
      <c r="M488" s="66">
        <f>'Project Database'!Q492</f>
        <v>0</v>
      </c>
      <c r="N488" s="66">
        <f>'Project Database'!R492</f>
        <v>0</v>
      </c>
      <c r="O488" s="66">
        <f>'Project Database'!S492</f>
        <v>0</v>
      </c>
      <c r="P488" s="66">
        <f>'Project Database'!T492</f>
        <v>0</v>
      </c>
      <c r="Q488" s="66">
        <f>'Project Database'!U492</f>
        <v>0</v>
      </c>
      <c r="R488" s="66">
        <f>'Project Database'!V492</f>
        <v>0</v>
      </c>
      <c r="S488" s="66">
        <f>'Project Database'!W492</f>
        <v>0</v>
      </c>
      <c r="T488" s="66">
        <f>'Project Database'!X492</f>
        <v>0</v>
      </c>
      <c r="U488" s="67">
        <f>'Project Database'!Y492</f>
        <v>0</v>
      </c>
      <c r="V488" s="66">
        <f>IF('Smart Search'!B13=1,IFERROR(1/'Smart Search'!H13,0),0)</f>
        <v>0</v>
      </c>
      <c r="W488" s="66">
        <f>IF('Smart Search'!B13=1,IFERROR(1/'Smart Search'!H13,0),0)</f>
        <v>0</v>
      </c>
      <c r="X488" s="66">
        <f>IF('Smart Search'!C13=1,IFERROR(1/'Smart Search'!H13,0),0)</f>
        <v>0.5</v>
      </c>
      <c r="Y488" s="66">
        <f>IF('Smart Search'!C13=1,IFERROR(1/'Smart Search'!H13,0),0)</f>
        <v>0.5</v>
      </c>
      <c r="Z488" s="66">
        <f>IF('Smart Search'!D13=1,IFERROR(1/'Smart Search'!H13,0),0)</f>
        <v>0</v>
      </c>
      <c r="AA488" s="66">
        <f>IF('Smart Search'!D13=1,IFERROR(1/'Smart Search'!H13,0),0)</f>
        <v>0</v>
      </c>
      <c r="AB488" s="66">
        <f>IF('Smart Search'!E13=1,IFERROR(1/'Smart Search'!H13,0),0)</f>
        <v>0</v>
      </c>
      <c r="AC488" s="66">
        <f>IF('Smart Search'!E13=1,IFERROR(1/'Smart Search'!H13,0),0)</f>
        <v>0</v>
      </c>
      <c r="AD488" s="66">
        <f>IF('Smart Search'!F13=1,IFERROR(1/'Smart Search'!H13,0),0)</f>
        <v>0</v>
      </c>
      <c r="AE488" s="66">
        <f>IF('Smart Search'!F13=1,IFERROR(1/'Smart Search'!H13,0),0)</f>
        <v>0</v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>0</v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>0</v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>0</v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>0</v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>0</v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>0</v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>0</v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>0</v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>0</v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>0</v>
      </c>
      <c r="AP488" s="66">
        <f t="shared" si="98"/>
        <v>0</v>
      </c>
      <c r="AQ488" s="66">
        <f t="shared" si="99"/>
        <v>0</v>
      </c>
      <c r="AR488" s="66">
        <f t="shared" si="100"/>
        <v>0</v>
      </c>
      <c r="AS488" s="66">
        <f t="shared" si="101"/>
        <v>0</v>
      </c>
      <c r="AT488" s="66">
        <f t="shared" si="102"/>
        <v>0</v>
      </c>
      <c r="AU488" s="66">
        <f t="shared" si="103"/>
        <v>0</v>
      </c>
      <c r="AV488" s="66">
        <f t="shared" si="104"/>
        <v>0</v>
      </c>
      <c r="AW488" s="66">
        <f t="shared" si="105"/>
        <v>0</v>
      </c>
      <c r="AX488" s="66">
        <f t="shared" si="106"/>
        <v>0</v>
      </c>
      <c r="AY488" s="66">
        <f t="shared" si="107"/>
        <v>0</v>
      </c>
      <c r="AZ488" s="66">
        <f>'Project Database'!Z492</f>
        <v>0</v>
      </c>
      <c r="BA488" s="66">
        <f>IF(OR(A488="",'Smart Search'!H13=0),"",MAX(0,BE488*BF488*MAX(0,1-BG488)))</f>
        <v>0</v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>0</v>
      </c>
      <c r="BC488" s="66">
        <f>IF('Smart Search'!G13=1,IFERROR(1/'Smart Search'!H13,0),0)</f>
        <v>0</v>
      </c>
      <c r="BD488" s="66">
        <f t="shared" si="108"/>
        <v>0</v>
      </c>
      <c r="BE488" s="66">
        <f t="shared" si="109"/>
        <v>0</v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>0</v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>0</v>
      </c>
      <c r="BH488" s="5" t="str">
        <f>IF(AND('Project Database'!A492&lt;&gt;"",OR('Smart Search'!$L$5="",'Smart Search'!$L$5="All",TRIM('Project Database'!D492)=TRIM('Smart Search'!$L$5)),OR(TRIM('Smart Search'!$L$6)="",TRIM('Smart Search'!$L$6)="All",ISNUMBER(SEARCH(SUBSTITUTE(SUBSTITUTE(SUBSTITUTE(TRIM('Smart Search'!$L$6),"~","~~"),"*","~*"),"?","~?"),'Project Database'!C492))),OR('Smart Search'!$L$7="",AND('Project Database'!E492&lt;&gt;"",'Project Database'!E492='Smart Search'!$L$7)),OR('Smart Search'!$L$8="",'Smart Search'!$L$8="All",TRIM('Project Database'!F492)=TRIM('Smart Search'!$L$8))),IF(BA488="","",BA488+ROW()*0.0000000001),"")</f>
        <v/>
      </c>
      <c r="BI488" s="5" t="str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 t="str">
        <f>IF('Project Database'!A492="","",N('Project Database'!AC492))</f>
        <v/>
      </c>
      <c r="BK488" s="5" t="str">
        <f>IF('Project Database'!A492="","",N('Project Database'!AD492))</f>
        <v/>
      </c>
      <c r="BL488" s="5" t="str">
        <f>IF('Project Database'!A492="","",N('Project Database'!AE492))</f>
        <v/>
      </c>
      <c r="BM488" s="5" t="str">
        <f>IF('Project Database'!A492="","",N('Project Database'!AF492))</f>
        <v/>
      </c>
      <c r="BN488" s="5" t="str">
        <f>IF('Project Database'!A492="","",N('Project Database'!AG492))</f>
        <v/>
      </c>
      <c r="BO488" s="5" t="str">
        <f>IF('Project Database'!A492="","",N('Project Database'!AH492))</f>
        <v/>
      </c>
      <c r="BP488" s="5" t="str">
        <f>IF('Project Database'!A492="","",N('Project Database'!AI492))</f>
        <v/>
      </c>
      <c r="BQ488" s="5" t="str">
        <f>IF('Project Database'!A492="","",N('Project Database'!AJ492))</f>
        <v/>
      </c>
      <c r="BR488" s="5" t="str">
        <f>IF('Project Database'!A492="","",N('Project Database'!AK492))</f>
        <v/>
      </c>
      <c r="BS488" s="5" t="str">
        <f>IF('Project Database'!A492="","",N('Project Database'!AL492))</f>
        <v/>
      </c>
      <c r="BT488" s="5" t="str">
        <f>IF('Project Database'!A492="","",N('Project Database'!AM492))</f>
        <v/>
      </c>
      <c r="BU488" s="5" t="str">
        <f>IF('Project Database'!A492="","",N('Project Database'!AN492))</f>
        <v/>
      </c>
      <c r="BV488" s="5" t="str">
        <f>IF('Project Database'!A492="","",N('Project Database'!AO492))</f>
        <v/>
      </c>
      <c r="BW488" s="5" t="str">
        <f>IF('Project Database'!A492="","",N('Project Database'!AP492))</f>
        <v/>
      </c>
      <c r="BX488" s="5">
        <f t="shared" si="110"/>
        <v>0</v>
      </c>
      <c r="BY488" s="5">
        <f t="shared" si="111"/>
        <v>0</v>
      </c>
    </row>
    <row r="489" spans="1:77" ht="15" customHeight="1" x14ac:dyDescent="0.3">
      <c r="A489" s="66">
        <f>'Project Database'!A493</f>
        <v>0</v>
      </c>
      <c r="B489" s="66">
        <f>'Project Database'!B493</f>
        <v>0</v>
      </c>
      <c r="C489" s="66">
        <f>'Project Database'!G493</f>
        <v>0</v>
      </c>
      <c r="D489" s="66">
        <f>'Project Database'!H493</f>
        <v>0</v>
      </c>
      <c r="E489" s="66">
        <f>'Project Database'!I493</f>
        <v>0</v>
      </c>
      <c r="F489" s="66">
        <f>'Project Database'!J493</f>
        <v>0</v>
      </c>
      <c r="G489" s="66">
        <f>'Project Database'!K493</f>
        <v>0</v>
      </c>
      <c r="H489" s="66">
        <f>'Project Database'!L493</f>
        <v>0</v>
      </c>
      <c r="I489" s="66">
        <f>'Project Database'!M493</f>
        <v>0</v>
      </c>
      <c r="J489" s="66">
        <f>'Project Database'!N493</f>
        <v>0</v>
      </c>
      <c r="K489" s="66">
        <f>'Project Database'!O493</f>
        <v>0</v>
      </c>
      <c r="L489" s="66">
        <f>'Project Database'!P493</f>
        <v>0</v>
      </c>
      <c r="M489" s="66">
        <f>'Project Database'!Q493</f>
        <v>0</v>
      </c>
      <c r="N489" s="66">
        <f>'Project Database'!R493</f>
        <v>0</v>
      </c>
      <c r="O489" s="66">
        <f>'Project Database'!S493</f>
        <v>0</v>
      </c>
      <c r="P489" s="66">
        <f>'Project Database'!T493</f>
        <v>0</v>
      </c>
      <c r="Q489" s="66">
        <f>'Project Database'!U493</f>
        <v>0</v>
      </c>
      <c r="R489" s="66">
        <f>'Project Database'!V493</f>
        <v>0</v>
      </c>
      <c r="S489" s="66">
        <f>'Project Database'!W493</f>
        <v>0</v>
      </c>
      <c r="T489" s="66">
        <f>'Project Database'!X493</f>
        <v>0</v>
      </c>
      <c r="U489" s="67">
        <f>'Project Database'!Y493</f>
        <v>0</v>
      </c>
      <c r="V489" s="66">
        <f>IF('Smart Search'!B13=1,IFERROR(1/'Smart Search'!H13,0),0)</f>
        <v>0</v>
      </c>
      <c r="W489" s="66">
        <f>IF('Smart Search'!B13=1,IFERROR(1/'Smart Search'!H13,0),0)</f>
        <v>0</v>
      </c>
      <c r="X489" s="66">
        <f>IF('Smart Search'!C13=1,IFERROR(1/'Smart Search'!H13,0),0)</f>
        <v>0.5</v>
      </c>
      <c r="Y489" s="66">
        <f>IF('Smart Search'!C13=1,IFERROR(1/'Smart Search'!H13,0),0)</f>
        <v>0.5</v>
      </c>
      <c r="Z489" s="66">
        <f>IF('Smart Search'!D13=1,IFERROR(1/'Smart Search'!H13,0),0)</f>
        <v>0</v>
      </c>
      <c r="AA489" s="66">
        <f>IF('Smart Search'!D13=1,IFERROR(1/'Smart Search'!H13,0),0)</f>
        <v>0</v>
      </c>
      <c r="AB489" s="66">
        <f>IF('Smart Search'!E13=1,IFERROR(1/'Smart Search'!H13,0),0)</f>
        <v>0</v>
      </c>
      <c r="AC489" s="66">
        <f>IF('Smart Search'!E13=1,IFERROR(1/'Smart Search'!H13,0),0)</f>
        <v>0</v>
      </c>
      <c r="AD489" s="66">
        <f>IF('Smart Search'!F13=1,IFERROR(1/'Smart Search'!H13,0),0)</f>
        <v>0</v>
      </c>
      <c r="AE489" s="66">
        <f>IF('Smart Search'!F13=1,IFERROR(1/'Smart Search'!H13,0),0)</f>
        <v>0</v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>0</v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>0</v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>0</v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>0</v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>0</v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>0</v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>0</v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>0</v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>0</v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>0</v>
      </c>
      <c r="AP489" s="66">
        <f t="shared" si="98"/>
        <v>0</v>
      </c>
      <c r="AQ489" s="66">
        <f t="shared" si="99"/>
        <v>0</v>
      </c>
      <c r="AR489" s="66">
        <f t="shared" si="100"/>
        <v>0</v>
      </c>
      <c r="AS489" s="66">
        <f t="shared" si="101"/>
        <v>0</v>
      </c>
      <c r="AT489" s="66">
        <f t="shared" si="102"/>
        <v>0</v>
      </c>
      <c r="AU489" s="66">
        <f t="shared" si="103"/>
        <v>0</v>
      </c>
      <c r="AV489" s="66">
        <f t="shared" si="104"/>
        <v>0</v>
      </c>
      <c r="AW489" s="66">
        <f t="shared" si="105"/>
        <v>0</v>
      </c>
      <c r="AX489" s="66">
        <f t="shared" si="106"/>
        <v>0</v>
      </c>
      <c r="AY489" s="66">
        <f t="shared" si="107"/>
        <v>0</v>
      </c>
      <c r="AZ489" s="66">
        <f>'Project Database'!Z493</f>
        <v>0</v>
      </c>
      <c r="BA489" s="66">
        <f>IF(OR(A489="",'Smart Search'!H13=0),"",MAX(0,BE489*BF489*MAX(0,1-BG489)))</f>
        <v>0</v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>0</v>
      </c>
      <c r="BC489" s="66">
        <f>IF('Smart Search'!G13=1,IFERROR(1/'Smart Search'!H13,0),0)</f>
        <v>0</v>
      </c>
      <c r="BD489" s="66">
        <f t="shared" si="108"/>
        <v>0</v>
      </c>
      <c r="BE489" s="66">
        <f t="shared" si="109"/>
        <v>0</v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>0</v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>0</v>
      </c>
      <c r="BH489" s="5" t="str">
        <f>IF(AND('Project Database'!A493&lt;&gt;"",OR('Smart Search'!$L$5="",'Smart Search'!$L$5="All",TRIM('Project Database'!D493)=TRIM('Smart Search'!$L$5)),OR(TRIM('Smart Search'!$L$6)="",TRIM('Smart Search'!$L$6)="All",ISNUMBER(SEARCH(SUBSTITUTE(SUBSTITUTE(SUBSTITUTE(TRIM('Smart Search'!$L$6),"~","~~"),"*","~*"),"?","~?"),'Project Database'!C493))),OR('Smart Search'!$L$7="",AND('Project Database'!E493&lt;&gt;"",'Project Database'!E493='Smart Search'!$L$7)),OR('Smart Search'!$L$8="",'Smart Search'!$L$8="All",TRIM('Project Database'!F493)=TRIM('Smart Search'!$L$8))),IF(BA489="","",BA489+ROW()*0.0000000001),"")</f>
        <v/>
      </c>
      <c r="BI489" s="5" t="str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 t="str">
        <f>IF('Project Database'!A493="","",N('Project Database'!AC493))</f>
        <v/>
      </c>
      <c r="BK489" s="5" t="str">
        <f>IF('Project Database'!A493="","",N('Project Database'!AD493))</f>
        <v/>
      </c>
      <c r="BL489" s="5" t="str">
        <f>IF('Project Database'!A493="","",N('Project Database'!AE493))</f>
        <v/>
      </c>
      <c r="BM489" s="5" t="str">
        <f>IF('Project Database'!A493="","",N('Project Database'!AF493))</f>
        <v/>
      </c>
      <c r="BN489" s="5" t="str">
        <f>IF('Project Database'!A493="","",N('Project Database'!AG493))</f>
        <v/>
      </c>
      <c r="BO489" s="5" t="str">
        <f>IF('Project Database'!A493="","",N('Project Database'!AH493))</f>
        <v/>
      </c>
      <c r="BP489" s="5" t="str">
        <f>IF('Project Database'!A493="","",N('Project Database'!AI493))</f>
        <v/>
      </c>
      <c r="BQ489" s="5" t="str">
        <f>IF('Project Database'!A493="","",N('Project Database'!AJ493))</f>
        <v/>
      </c>
      <c r="BR489" s="5" t="str">
        <f>IF('Project Database'!A493="","",N('Project Database'!AK493))</f>
        <v/>
      </c>
      <c r="BS489" s="5" t="str">
        <f>IF('Project Database'!A493="","",N('Project Database'!AL493))</f>
        <v/>
      </c>
      <c r="BT489" s="5" t="str">
        <f>IF('Project Database'!A493="","",N('Project Database'!AM493))</f>
        <v/>
      </c>
      <c r="BU489" s="5" t="str">
        <f>IF('Project Database'!A493="","",N('Project Database'!AN493))</f>
        <v/>
      </c>
      <c r="BV489" s="5" t="str">
        <f>IF('Project Database'!A493="","",N('Project Database'!AO493))</f>
        <v/>
      </c>
      <c r="BW489" s="5" t="str">
        <f>IF('Project Database'!A493="","",N('Project Database'!AP493))</f>
        <v/>
      </c>
      <c r="BX489" s="5">
        <f t="shared" si="110"/>
        <v>0</v>
      </c>
      <c r="BY489" s="5">
        <f t="shared" si="111"/>
        <v>0</v>
      </c>
    </row>
    <row r="490" spans="1:77" ht="15" customHeight="1" x14ac:dyDescent="0.3">
      <c r="A490" s="66">
        <f>'Project Database'!A494</f>
        <v>0</v>
      </c>
      <c r="B490" s="66">
        <f>'Project Database'!B494</f>
        <v>0</v>
      </c>
      <c r="C490" s="66">
        <f>'Project Database'!G494</f>
        <v>0</v>
      </c>
      <c r="D490" s="66">
        <f>'Project Database'!H494</f>
        <v>0</v>
      </c>
      <c r="E490" s="66">
        <f>'Project Database'!I494</f>
        <v>0</v>
      </c>
      <c r="F490" s="66">
        <f>'Project Database'!J494</f>
        <v>0</v>
      </c>
      <c r="G490" s="66">
        <f>'Project Database'!K494</f>
        <v>0</v>
      </c>
      <c r="H490" s="66">
        <f>'Project Database'!L494</f>
        <v>0</v>
      </c>
      <c r="I490" s="66">
        <f>'Project Database'!M494</f>
        <v>0</v>
      </c>
      <c r="J490" s="66">
        <f>'Project Database'!N494</f>
        <v>0</v>
      </c>
      <c r="K490" s="66">
        <f>'Project Database'!O494</f>
        <v>0</v>
      </c>
      <c r="L490" s="66">
        <f>'Project Database'!P494</f>
        <v>0</v>
      </c>
      <c r="M490" s="66">
        <f>'Project Database'!Q494</f>
        <v>0</v>
      </c>
      <c r="N490" s="66">
        <f>'Project Database'!R494</f>
        <v>0</v>
      </c>
      <c r="O490" s="66">
        <f>'Project Database'!S494</f>
        <v>0</v>
      </c>
      <c r="P490" s="66">
        <f>'Project Database'!T494</f>
        <v>0</v>
      </c>
      <c r="Q490" s="66">
        <f>'Project Database'!U494</f>
        <v>0</v>
      </c>
      <c r="R490" s="66">
        <f>'Project Database'!V494</f>
        <v>0</v>
      </c>
      <c r="S490" s="66">
        <f>'Project Database'!W494</f>
        <v>0</v>
      </c>
      <c r="T490" s="66">
        <f>'Project Database'!X494</f>
        <v>0</v>
      </c>
      <c r="U490" s="67">
        <f>'Project Database'!Y494</f>
        <v>0</v>
      </c>
      <c r="V490" s="66">
        <f>IF('Smart Search'!B13=1,IFERROR(1/'Smart Search'!H13,0),0)</f>
        <v>0</v>
      </c>
      <c r="W490" s="66">
        <f>IF('Smart Search'!B13=1,IFERROR(1/'Smart Search'!H13,0),0)</f>
        <v>0</v>
      </c>
      <c r="X490" s="66">
        <f>IF('Smart Search'!C13=1,IFERROR(1/'Smart Search'!H13,0),0)</f>
        <v>0.5</v>
      </c>
      <c r="Y490" s="66">
        <f>IF('Smart Search'!C13=1,IFERROR(1/'Smart Search'!H13,0),0)</f>
        <v>0.5</v>
      </c>
      <c r="Z490" s="66">
        <f>IF('Smart Search'!D13=1,IFERROR(1/'Smart Search'!H13,0),0)</f>
        <v>0</v>
      </c>
      <c r="AA490" s="66">
        <f>IF('Smart Search'!D13=1,IFERROR(1/'Smart Search'!H13,0),0)</f>
        <v>0</v>
      </c>
      <c r="AB490" s="66">
        <f>IF('Smart Search'!E13=1,IFERROR(1/'Smart Search'!H13,0),0)</f>
        <v>0</v>
      </c>
      <c r="AC490" s="66">
        <f>IF('Smart Search'!E13=1,IFERROR(1/'Smart Search'!H13,0),0)</f>
        <v>0</v>
      </c>
      <c r="AD490" s="66">
        <f>IF('Smart Search'!F13=1,IFERROR(1/'Smart Search'!H13,0),0)</f>
        <v>0</v>
      </c>
      <c r="AE490" s="66">
        <f>IF('Smart Search'!F13=1,IFERROR(1/'Smart Search'!H13,0),0)</f>
        <v>0</v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>0</v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>0</v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>0</v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>0</v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>0</v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>0</v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>0</v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>0</v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>0</v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>0</v>
      </c>
      <c r="AP490" s="66">
        <f t="shared" si="98"/>
        <v>0</v>
      </c>
      <c r="AQ490" s="66">
        <f t="shared" si="99"/>
        <v>0</v>
      </c>
      <c r="AR490" s="66">
        <f t="shared" si="100"/>
        <v>0</v>
      </c>
      <c r="AS490" s="66">
        <f t="shared" si="101"/>
        <v>0</v>
      </c>
      <c r="AT490" s="66">
        <f t="shared" si="102"/>
        <v>0</v>
      </c>
      <c r="AU490" s="66">
        <f t="shared" si="103"/>
        <v>0</v>
      </c>
      <c r="AV490" s="66">
        <f t="shared" si="104"/>
        <v>0</v>
      </c>
      <c r="AW490" s="66">
        <f t="shared" si="105"/>
        <v>0</v>
      </c>
      <c r="AX490" s="66">
        <f t="shared" si="106"/>
        <v>0</v>
      </c>
      <c r="AY490" s="66">
        <f t="shared" si="107"/>
        <v>0</v>
      </c>
      <c r="AZ490" s="66">
        <f>'Project Database'!Z494</f>
        <v>0</v>
      </c>
      <c r="BA490" s="66">
        <f>IF(OR(A490="",'Smart Search'!H13=0),"",MAX(0,BE490*BF490*MAX(0,1-BG490)))</f>
        <v>0</v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>0</v>
      </c>
      <c r="BC490" s="66">
        <f>IF('Smart Search'!G13=1,IFERROR(1/'Smart Search'!H13,0),0)</f>
        <v>0</v>
      </c>
      <c r="BD490" s="66">
        <f t="shared" si="108"/>
        <v>0</v>
      </c>
      <c r="BE490" s="66">
        <f t="shared" si="109"/>
        <v>0</v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>0</v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>0</v>
      </c>
      <c r="BH490" s="5" t="str">
        <f>IF(AND('Project Database'!A494&lt;&gt;"",OR('Smart Search'!$L$5="",'Smart Search'!$L$5="All",TRIM('Project Database'!D494)=TRIM('Smart Search'!$L$5)),OR(TRIM('Smart Search'!$L$6)="",TRIM('Smart Search'!$L$6)="All",ISNUMBER(SEARCH(SUBSTITUTE(SUBSTITUTE(SUBSTITUTE(TRIM('Smart Search'!$L$6),"~","~~"),"*","~*"),"?","~?"),'Project Database'!C494))),OR('Smart Search'!$L$7="",AND('Project Database'!E494&lt;&gt;"",'Project Database'!E494='Smart Search'!$L$7)),OR('Smart Search'!$L$8="",'Smart Search'!$L$8="All",TRIM('Project Database'!F494)=TRIM('Smart Search'!$L$8))),IF(BA490="","",BA490+ROW()*0.0000000001),"")</f>
        <v/>
      </c>
      <c r="BI490" s="5" t="str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 t="str">
        <f>IF('Project Database'!A494="","",N('Project Database'!AC494))</f>
        <v/>
      </c>
      <c r="BK490" s="5" t="str">
        <f>IF('Project Database'!A494="","",N('Project Database'!AD494))</f>
        <v/>
      </c>
      <c r="BL490" s="5" t="str">
        <f>IF('Project Database'!A494="","",N('Project Database'!AE494))</f>
        <v/>
      </c>
      <c r="BM490" s="5" t="str">
        <f>IF('Project Database'!A494="","",N('Project Database'!AF494))</f>
        <v/>
      </c>
      <c r="BN490" s="5" t="str">
        <f>IF('Project Database'!A494="","",N('Project Database'!AG494))</f>
        <v/>
      </c>
      <c r="BO490" s="5" t="str">
        <f>IF('Project Database'!A494="","",N('Project Database'!AH494))</f>
        <v/>
      </c>
      <c r="BP490" s="5" t="str">
        <f>IF('Project Database'!A494="","",N('Project Database'!AI494))</f>
        <v/>
      </c>
      <c r="BQ490" s="5" t="str">
        <f>IF('Project Database'!A494="","",N('Project Database'!AJ494))</f>
        <v/>
      </c>
      <c r="BR490" s="5" t="str">
        <f>IF('Project Database'!A494="","",N('Project Database'!AK494))</f>
        <v/>
      </c>
      <c r="BS490" s="5" t="str">
        <f>IF('Project Database'!A494="","",N('Project Database'!AL494))</f>
        <v/>
      </c>
      <c r="BT490" s="5" t="str">
        <f>IF('Project Database'!A494="","",N('Project Database'!AM494))</f>
        <v/>
      </c>
      <c r="BU490" s="5" t="str">
        <f>IF('Project Database'!A494="","",N('Project Database'!AN494))</f>
        <v/>
      </c>
      <c r="BV490" s="5" t="str">
        <f>IF('Project Database'!A494="","",N('Project Database'!AO494))</f>
        <v/>
      </c>
      <c r="BW490" s="5" t="str">
        <f>IF('Project Database'!A494="","",N('Project Database'!AP494))</f>
        <v/>
      </c>
      <c r="BX490" s="5">
        <f t="shared" si="110"/>
        <v>0</v>
      </c>
      <c r="BY490" s="5">
        <f t="shared" si="111"/>
        <v>0</v>
      </c>
    </row>
    <row r="491" spans="1:77" ht="15" customHeight="1" x14ac:dyDescent="0.3">
      <c r="A491" s="66">
        <f>'Project Database'!A495</f>
        <v>0</v>
      </c>
      <c r="B491" s="66">
        <f>'Project Database'!B495</f>
        <v>0</v>
      </c>
      <c r="C491" s="66">
        <f>'Project Database'!G495</f>
        <v>0</v>
      </c>
      <c r="D491" s="66">
        <f>'Project Database'!H495</f>
        <v>0</v>
      </c>
      <c r="E491" s="66">
        <f>'Project Database'!I495</f>
        <v>0</v>
      </c>
      <c r="F491" s="66">
        <f>'Project Database'!J495</f>
        <v>0</v>
      </c>
      <c r="G491" s="66">
        <f>'Project Database'!K495</f>
        <v>0</v>
      </c>
      <c r="H491" s="66">
        <f>'Project Database'!L495</f>
        <v>0</v>
      </c>
      <c r="I491" s="66">
        <f>'Project Database'!M495</f>
        <v>0</v>
      </c>
      <c r="J491" s="66">
        <f>'Project Database'!N495</f>
        <v>0</v>
      </c>
      <c r="K491" s="66">
        <f>'Project Database'!O495</f>
        <v>0</v>
      </c>
      <c r="L491" s="66">
        <f>'Project Database'!P495</f>
        <v>0</v>
      </c>
      <c r="M491" s="66">
        <f>'Project Database'!Q495</f>
        <v>0</v>
      </c>
      <c r="N491" s="66">
        <f>'Project Database'!R495</f>
        <v>0</v>
      </c>
      <c r="O491" s="66">
        <f>'Project Database'!S495</f>
        <v>0</v>
      </c>
      <c r="P491" s="66">
        <f>'Project Database'!T495</f>
        <v>0</v>
      </c>
      <c r="Q491" s="66">
        <f>'Project Database'!U495</f>
        <v>0</v>
      </c>
      <c r="R491" s="66">
        <f>'Project Database'!V495</f>
        <v>0</v>
      </c>
      <c r="S491" s="66">
        <f>'Project Database'!W495</f>
        <v>0</v>
      </c>
      <c r="T491" s="66">
        <f>'Project Database'!X495</f>
        <v>0</v>
      </c>
      <c r="U491" s="67">
        <f>'Project Database'!Y495</f>
        <v>0</v>
      </c>
      <c r="V491" s="66">
        <f>IF('Smart Search'!B13=1,IFERROR(1/'Smart Search'!H13,0),0)</f>
        <v>0</v>
      </c>
      <c r="W491" s="66">
        <f>IF('Smart Search'!B13=1,IFERROR(1/'Smart Search'!H13,0),0)</f>
        <v>0</v>
      </c>
      <c r="X491" s="66">
        <f>IF('Smart Search'!C13=1,IFERROR(1/'Smart Search'!H13,0),0)</f>
        <v>0.5</v>
      </c>
      <c r="Y491" s="66">
        <f>IF('Smart Search'!C13=1,IFERROR(1/'Smart Search'!H13,0),0)</f>
        <v>0.5</v>
      </c>
      <c r="Z491" s="66">
        <f>IF('Smart Search'!D13=1,IFERROR(1/'Smart Search'!H13,0),0)</f>
        <v>0</v>
      </c>
      <c r="AA491" s="66">
        <f>IF('Smart Search'!D13=1,IFERROR(1/'Smart Search'!H13,0),0)</f>
        <v>0</v>
      </c>
      <c r="AB491" s="66">
        <f>IF('Smart Search'!E13=1,IFERROR(1/'Smart Search'!H13,0),0)</f>
        <v>0</v>
      </c>
      <c r="AC491" s="66">
        <f>IF('Smart Search'!E13=1,IFERROR(1/'Smart Search'!H13,0),0)</f>
        <v>0</v>
      </c>
      <c r="AD491" s="66">
        <f>IF('Smart Search'!F13=1,IFERROR(1/'Smart Search'!H13,0),0)</f>
        <v>0</v>
      </c>
      <c r="AE491" s="66">
        <f>IF('Smart Search'!F13=1,IFERROR(1/'Smart Search'!H13,0),0)</f>
        <v>0</v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>0</v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>0</v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>0</v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>0</v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>0</v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>0</v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>0</v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>0</v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>0</v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>0</v>
      </c>
      <c r="AP491" s="66">
        <f t="shared" si="98"/>
        <v>0</v>
      </c>
      <c r="AQ491" s="66">
        <f t="shared" si="99"/>
        <v>0</v>
      </c>
      <c r="AR491" s="66">
        <f t="shared" si="100"/>
        <v>0</v>
      </c>
      <c r="AS491" s="66">
        <f t="shared" si="101"/>
        <v>0</v>
      </c>
      <c r="AT491" s="66">
        <f t="shared" si="102"/>
        <v>0</v>
      </c>
      <c r="AU491" s="66">
        <f t="shared" si="103"/>
        <v>0</v>
      </c>
      <c r="AV491" s="66">
        <f t="shared" si="104"/>
        <v>0</v>
      </c>
      <c r="AW491" s="66">
        <f t="shared" si="105"/>
        <v>0</v>
      </c>
      <c r="AX491" s="66">
        <f t="shared" si="106"/>
        <v>0</v>
      </c>
      <c r="AY491" s="66">
        <f t="shared" si="107"/>
        <v>0</v>
      </c>
      <c r="AZ491" s="66">
        <f>'Project Database'!Z495</f>
        <v>0</v>
      </c>
      <c r="BA491" s="66">
        <f>IF(OR(A491="",'Smart Search'!H13=0),"",MAX(0,BE491*BF491*MAX(0,1-BG491)))</f>
        <v>0</v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>0</v>
      </c>
      <c r="BC491" s="66">
        <f>IF('Smart Search'!G13=1,IFERROR(1/'Smart Search'!H13,0),0)</f>
        <v>0</v>
      </c>
      <c r="BD491" s="66">
        <f t="shared" si="108"/>
        <v>0</v>
      </c>
      <c r="BE491" s="66">
        <f t="shared" si="109"/>
        <v>0</v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>0</v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>0</v>
      </c>
      <c r="BH491" s="5" t="str">
        <f>IF(AND('Project Database'!A495&lt;&gt;"",OR('Smart Search'!$L$5="",'Smart Search'!$L$5="All",TRIM('Project Database'!D495)=TRIM('Smart Search'!$L$5)),OR(TRIM('Smart Search'!$L$6)="",TRIM('Smart Search'!$L$6)="All",ISNUMBER(SEARCH(SUBSTITUTE(SUBSTITUTE(SUBSTITUTE(TRIM('Smart Search'!$L$6),"~","~~"),"*","~*"),"?","~?"),'Project Database'!C495))),OR('Smart Search'!$L$7="",AND('Project Database'!E495&lt;&gt;"",'Project Database'!E495='Smart Search'!$L$7)),OR('Smart Search'!$L$8="",'Smart Search'!$L$8="All",TRIM('Project Database'!F495)=TRIM('Smart Search'!$L$8))),IF(BA491="","",BA491+ROW()*0.0000000001),"")</f>
        <v/>
      </c>
      <c r="BI491" s="5" t="str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 t="str">
        <f>IF('Project Database'!A495="","",N('Project Database'!AC495))</f>
        <v/>
      </c>
      <c r="BK491" s="5" t="str">
        <f>IF('Project Database'!A495="","",N('Project Database'!AD495))</f>
        <v/>
      </c>
      <c r="BL491" s="5" t="str">
        <f>IF('Project Database'!A495="","",N('Project Database'!AE495))</f>
        <v/>
      </c>
      <c r="BM491" s="5" t="str">
        <f>IF('Project Database'!A495="","",N('Project Database'!AF495))</f>
        <v/>
      </c>
      <c r="BN491" s="5" t="str">
        <f>IF('Project Database'!A495="","",N('Project Database'!AG495))</f>
        <v/>
      </c>
      <c r="BO491" s="5" t="str">
        <f>IF('Project Database'!A495="","",N('Project Database'!AH495))</f>
        <v/>
      </c>
      <c r="BP491" s="5" t="str">
        <f>IF('Project Database'!A495="","",N('Project Database'!AI495))</f>
        <v/>
      </c>
      <c r="BQ491" s="5" t="str">
        <f>IF('Project Database'!A495="","",N('Project Database'!AJ495))</f>
        <v/>
      </c>
      <c r="BR491" s="5" t="str">
        <f>IF('Project Database'!A495="","",N('Project Database'!AK495))</f>
        <v/>
      </c>
      <c r="BS491" s="5" t="str">
        <f>IF('Project Database'!A495="","",N('Project Database'!AL495))</f>
        <v/>
      </c>
      <c r="BT491" s="5" t="str">
        <f>IF('Project Database'!A495="","",N('Project Database'!AM495))</f>
        <v/>
      </c>
      <c r="BU491" s="5" t="str">
        <f>IF('Project Database'!A495="","",N('Project Database'!AN495))</f>
        <v/>
      </c>
      <c r="BV491" s="5" t="str">
        <f>IF('Project Database'!A495="","",N('Project Database'!AO495))</f>
        <v/>
      </c>
      <c r="BW491" s="5" t="str">
        <f>IF('Project Database'!A495="","",N('Project Database'!AP495))</f>
        <v/>
      </c>
      <c r="BX491" s="5">
        <f t="shared" si="110"/>
        <v>0</v>
      </c>
      <c r="BY491" s="5">
        <f t="shared" si="111"/>
        <v>0</v>
      </c>
    </row>
    <row r="492" spans="1:77" ht="15" customHeight="1" x14ac:dyDescent="0.3">
      <c r="A492" s="66">
        <f>'Project Database'!A496</f>
        <v>0</v>
      </c>
      <c r="B492" s="66">
        <f>'Project Database'!B496</f>
        <v>0</v>
      </c>
      <c r="C492" s="66">
        <f>'Project Database'!G496</f>
        <v>0</v>
      </c>
      <c r="D492" s="66">
        <f>'Project Database'!H496</f>
        <v>0</v>
      </c>
      <c r="E492" s="66">
        <f>'Project Database'!I496</f>
        <v>0</v>
      </c>
      <c r="F492" s="66">
        <f>'Project Database'!J496</f>
        <v>0</v>
      </c>
      <c r="G492" s="66">
        <f>'Project Database'!K496</f>
        <v>0</v>
      </c>
      <c r="H492" s="66">
        <f>'Project Database'!L496</f>
        <v>0</v>
      </c>
      <c r="I492" s="66">
        <f>'Project Database'!M496</f>
        <v>0</v>
      </c>
      <c r="J492" s="66">
        <f>'Project Database'!N496</f>
        <v>0</v>
      </c>
      <c r="K492" s="66">
        <f>'Project Database'!O496</f>
        <v>0</v>
      </c>
      <c r="L492" s="66">
        <f>'Project Database'!P496</f>
        <v>0</v>
      </c>
      <c r="M492" s="66">
        <f>'Project Database'!Q496</f>
        <v>0</v>
      </c>
      <c r="N492" s="66">
        <f>'Project Database'!R496</f>
        <v>0</v>
      </c>
      <c r="O492" s="66">
        <f>'Project Database'!S496</f>
        <v>0</v>
      </c>
      <c r="P492" s="66">
        <f>'Project Database'!T496</f>
        <v>0</v>
      </c>
      <c r="Q492" s="66">
        <f>'Project Database'!U496</f>
        <v>0</v>
      </c>
      <c r="R492" s="66">
        <f>'Project Database'!V496</f>
        <v>0</v>
      </c>
      <c r="S492" s="66">
        <f>'Project Database'!W496</f>
        <v>0</v>
      </c>
      <c r="T492" s="66">
        <f>'Project Database'!X496</f>
        <v>0</v>
      </c>
      <c r="U492" s="67">
        <f>'Project Database'!Y496</f>
        <v>0</v>
      </c>
      <c r="V492" s="66">
        <f>IF('Smart Search'!B13=1,IFERROR(1/'Smart Search'!H13,0),0)</f>
        <v>0</v>
      </c>
      <c r="W492" s="66">
        <f>IF('Smart Search'!B13=1,IFERROR(1/'Smart Search'!H13,0),0)</f>
        <v>0</v>
      </c>
      <c r="X492" s="66">
        <f>IF('Smart Search'!C13=1,IFERROR(1/'Smart Search'!H13,0),0)</f>
        <v>0.5</v>
      </c>
      <c r="Y492" s="66">
        <f>IF('Smart Search'!C13=1,IFERROR(1/'Smart Search'!H13,0),0)</f>
        <v>0.5</v>
      </c>
      <c r="Z492" s="66">
        <f>IF('Smart Search'!D13=1,IFERROR(1/'Smart Search'!H13,0),0)</f>
        <v>0</v>
      </c>
      <c r="AA492" s="66">
        <f>IF('Smart Search'!D13=1,IFERROR(1/'Smart Search'!H13,0),0)</f>
        <v>0</v>
      </c>
      <c r="AB492" s="66">
        <f>IF('Smart Search'!E13=1,IFERROR(1/'Smart Search'!H13,0),0)</f>
        <v>0</v>
      </c>
      <c r="AC492" s="66">
        <f>IF('Smart Search'!E13=1,IFERROR(1/'Smart Search'!H13,0),0)</f>
        <v>0</v>
      </c>
      <c r="AD492" s="66">
        <f>IF('Smart Search'!F13=1,IFERROR(1/'Smart Search'!H13,0),0)</f>
        <v>0</v>
      </c>
      <c r="AE492" s="66">
        <f>IF('Smart Search'!F13=1,IFERROR(1/'Smart Search'!H13,0),0)</f>
        <v>0</v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>0</v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>0</v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>0</v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>0</v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>0</v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>0</v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>0</v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>0</v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>0</v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>0</v>
      </c>
      <c r="AP492" s="66">
        <f t="shared" si="98"/>
        <v>0</v>
      </c>
      <c r="AQ492" s="66">
        <f t="shared" si="99"/>
        <v>0</v>
      </c>
      <c r="AR492" s="66">
        <f t="shared" si="100"/>
        <v>0</v>
      </c>
      <c r="AS492" s="66">
        <f t="shared" si="101"/>
        <v>0</v>
      </c>
      <c r="AT492" s="66">
        <f t="shared" si="102"/>
        <v>0</v>
      </c>
      <c r="AU492" s="66">
        <f t="shared" si="103"/>
        <v>0</v>
      </c>
      <c r="AV492" s="66">
        <f t="shared" si="104"/>
        <v>0</v>
      </c>
      <c r="AW492" s="66">
        <f t="shared" si="105"/>
        <v>0</v>
      </c>
      <c r="AX492" s="66">
        <f t="shared" si="106"/>
        <v>0</v>
      </c>
      <c r="AY492" s="66">
        <f t="shared" si="107"/>
        <v>0</v>
      </c>
      <c r="AZ492" s="66">
        <f>'Project Database'!Z496</f>
        <v>0</v>
      </c>
      <c r="BA492" s="66">
        <f>IF(OR(A492="",'Smart Search'!H13=0),"",MAX(0,BE492*BF492*MAX(0,1-BG492)))</f>
        <v>0</v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>0</v>
      </c>
      <c r="BC492" s="66">
        <f>IF('Smart Search'!G13=1,IFERROR(1/'Smart Search'!H13,0),0)</f>
        <v>0</v>
      </c>
      <c r="BD492" s="66">
        <f t="shared" si="108"/>
        <v>0</v>
      </c>
      <c r="BE492" s="66">
        <f t="shared" si="109"/>
        <v>0</v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>0</v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>0</v>
      </c>
      <c r="BH492" s="5" t="str">
        <f>IF(AND('Project Database'!A496&lt;&gt;"",OR('Smart Search'!$L$5="",'Smart Search'!$L$5="All",TRIM('Project Database'!D496)=TRIM('Smart Search'!$L$5)),OR(TRIM('Smart Search'!$L$6)="",TRIM('Smart Search'!$L$6)="All",ISNUMBER(SEARCH(SUBSTITUTE(SUBSTITUTE(SUBSTITUTE(TRIM('Smart Search'!$L$6),"~","~~"),"*","~*"),"?","~?"),'Project Database'!C496))),OR('Smart Search'!$L$7="",AND('Project Database'!E496&lt;&gt;"",'Project Database'!E496='Smart Search'!$L$7)),OR('Smart Search'!$L$8="",'Smart Search'!$L$8="All",TRIM('Project Database'!F496)=TRIM('Smart Search'!$L$8))),IF(BA492="","",BA492+ROW()*0.0000000001),"")</f>
        <v/>
      </c>
      <c r="BI492" s="5" t="str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 t="str">
        <f>IF('Project Database'!A496="","",N('Project Database'!AC496))</f>
        <v/>
      </c>
      <c r="BK492" s="5" t="str">
        <f>IF('Project Database'!A496="","",N('Project Database'!AD496))</f>
        <v/>
      </c>
      <c r="BL492" s="5" t="str">
        <f>IF('Project Database'!A496="","",N('Project Database'!AE496))</f>
        <v/>
      </c>
      <c r="BM492" s="5" t="str">
        <f>IF('Project Database'!A496="","",N('Project Database'!AF496))</f>
        <v/>
      </c>
      <c r="BN492" s="5" t="str">
        <f>IF('Project Database'!A496="","",N('Project Database'!AG496))</f>
        <v/>
      </c>
      <c r="BO492" s="5" t="str">
        <f>IF('Project Database'!A496="","",N('Project Database'!AH496))</f>
        <v/>
      </c>
      <c r="BP492" s="5" t="str">
        <f>IF('Project Database'!A496="","",N('Project Database'!AI496))</f>
        <v/>
      </c>
      <c r="BQ492" s="5" t="str">
        <f>IF('Project Database'!A496="","",N('Project Database'!AJ496))</f>
        <v/>
      </c>
      <c r="BR492" s="5" t="str">
        <f>IF('Project Database'!A496="","",N('Project Database'!AK496))</f>
        <v/>
      </c>
      <c r="BS492" s="5" t="str">
        <f>IF('Project Database'!A496="","",N('Project Database'!AL496))</f>
        <v/>
      </c>
      <c r="BT492" s="5" t="str">
        <f>IF('Project Database'!A496="","",N('Project Database'!AM496))</f>
        <v/>
      </c>
      <c r="BU492" s="5" t="str">
        <f>IF('Project Database'!A496="","",N('Project Database'!AN496))</f>
        <v/>
      </c>
      <c r="BV492" s="5" t="str">
        <f>IF('Project Database'!A496="","",N('Project Database'!AO496))</f>
        <v/>
      </c>
      <c r="BW492" s="5" t="str">
        <f>IF('Project Database'!A496="","",N('Project Database'!AP496))</f>
        <v/>
      </c>
      <c r="BX492" s="5">
        <f t="shared" si="110"/>
        <v>0</v>
      </c>
      <c r="BY492" s="5">
        <f t="shared" si="111"/>
        <v>0</v>
      </c>
    </row>
    <row r="493" spans="1:77" ht="15" customHeight="1" x14ac:dyDescent="0.3">
      <c r="A493" s="66">
        <f>'Project Database'!A497</f>
        <v>0</v>
      </c>
      <c r="B493" s="66">
        <f>'Project Database'!B497</f>
        <v>0</v>
      </c>
      <c r="C493" s="66">
        <f>'Project Database'!G497</f>
        <v>0</v>
      </c>
      <c r="D493" s="66">
        <f>'Project Database'!H497</f>
        <v>0</v>
      </c>
      <c r="E493" s="66">
        <f>'Project Database'!I497</f>
        <v>0</v>
      </c>
      <c r="F493" s="66">
        <f>'Project Database'!J497</f>
        <v>0</v>
      </c>
      <c r="G493" s="66">
        <f>'Project Database'!K497</f>
        <v>0</v>
      </c>
      <c r="H493" s="66">
        <f>'Project Database'!L497</f>
        <v>0</v>
      </c>
      <c r="I493" s="66">
        <f>'Project Database'!M497</f>
        <v>0</v>
      </c>
      <c r="J493" s="66">
        <f>'Project Database'!N497</f>
        <v>0</v>
      </c>
      <c r="K493" s="66">
        <f>'Project Database'!O497</f>
        <v>0</v>
      </c>
      <c r="L493" s="66">
        <f>'Project Database'!P497</f>
        <v>0</v>
      </c>
      <c r="M493" s="66">
        <f>'Project Database'!Q497</f>
        <v>0</v>
      </c>
      <c r="N493" s="66">
        <f>'Project Database'!R497</f>
        <v>0</v>
      </c>
      <c r="O493" s="66">
        <f>'Project Database'!S497</f>
        <v>0</v>
      </c>
      <c r="P493" s="66">
        <f>'Project Database'!T497</f>
        <v>0</v>
      </c>
      <c r="Q493" s="66">
        <f>'Project Database'!U497</f>
        <v>0</v>
      </c>
      <c r="R493" s="66">
        <f>'Project Database'!V497</f>
        <v>0</v>
      </c>
      <c r="S493" s="66">
        <f>'Project Database'!W497</f>
        <v>0</v>
      </c>
      <c r="T493" s="66">
        <f>'Project Database'!X497</f>
        <v>0</v>
      </c>
      <c r="U493" s="67">
        <f>'Project Database'!Y497</f>
        <v>0</v>
      </c>
      <c r="V493" s="66">
        <f>IF('Smart Search'!B13=1,IFERROR(1/'Smart Search'!H13,0),0)</f>
        <v>0</v>
      </c>
      <c r="W493" s="66">
        <f>IF('Smart Search'!B13=1,IFERROR(1/'Smart Search'!H13,0),0)</f>
        <v>0</v>
      </c>
      <c r="X493" s="66">
        <f>IF('Smart Search'!C13=1,IFERROR(1/'Smart Search'!H13,0),0)</f>
        <v>0.5</v>
      </c>
      <c r="Y493" s="66">
        <f>IF('Smart Search'!C13=1,IFERROR(1/'Smart Search'!H13,0),0)</f>
        <v>0.5</v>
      </c>
      <c r="Z493" s="66">
        <f>IF('Smart Search'!D13=1,IFERROR(1/'Smart Search'!H13,0),0)</f>
        <v>0</v>
      </c>
      <c r="AA493" s="66">
        <f>IF('Smart Search'!D13=1,IFERROR(1/'Smart Search'!H13,0),0)</f>
        <v>0</v>
      </c>
      <c r="AB493" s="66">
        <f>IF('Smart Search'!E13=1,IFERROR(1/'Smart Search'!H13,0),0)</f>
        <v>0</v>
      </c>
      <c r="AC493" s="66">
        <f>IF('Smart Search'!E13=1,IFERROR(1/'Smart Search'!H13,0),0)</f>
        <v>0</v>
      </c>
      <c r="AD493" s="66">
        <f>IF('Smart Search'!F13=1,IFERROR(1/'Smart Search'!H13,0),0)</f>
        <v>0</v>
      </c>
      <c r="AE493" s="66">
        <f>IF('Smart Search'!F13=1,IFERROR(1/'Smart Search'!H13,0),0)</f>
        <v>0</v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>0</v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>0</v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>0</v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>0</v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>0</v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>0</v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>0</v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>0</v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>0</v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>0</v>
      </c>
      <c r="AP493" s="66">
        <f t="shared" si="98"/>
        <v>0</v>
      </c>
      <c r="AQ493" s="66">
        <f t="shared" si="99"/>
        <v>0</v>
      </c>
      <c r="AR493" s="66">
        <f t="shared" si="100"/>
        <v>0</v>
      </c>
      <c r="AS493" s="66">
        <f t="shared" si="101"/>
        <v>0</v>
      </c>
      <c r="AT493" s="66">
        <f t="shared" si="102"/>
        <v>0</v>
      </c>
      <c r="AU493" s="66">
        <f t="shared" si="103"/>
        <v>0</v>
      </c>
      <c r="AV493" s="66">
        <f t="shared" si="104"/>
        <v>0</v>
      </c>
      <c r="AW493" s="66">
        <f t="shared" si="105"/>
        <v>0</v>
      </c>
      <c r="AX493" s="66">
        <f t="shared" si="106"/>
        <v>0</v>
      </c>
      <c r="AY493" s="66">
        <f t="shared" si="107"/>
        <v>0</v>
      </c>
      <c r="AZ493" s="66">
        <f>'Project Database'!Z497</f>
        <v>0</v>
      </c>
      <c r="BA493" s="66">
        <f>IF(OR(A493="",'Smart Search'!H13=0),"",MAX(0,BE493*BF493*MAX(0,1-BG493)))</f>
        <v>0</v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>0</v>
      </c>
      <c r="BC493" s="66">
        <f>IF('Smart Search'!G13=1,IFERROR(1/'Smart Search'!H13,0),0)</f>
        <v>0</v>
      </c>
      <c r="BD493" s="66">
        <f t="shared" si="108"/>
        <v>0</v>
      </c>
      <c r="BE493" s="66">
        <f t="shared" si="109"/>
        <v>0</v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>0</v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>0</v>
      </c>
      <c r="BH493" s="5" t="str">
        <f>IF(AND('Project Database'!A497&lt;&gt;"",OR('Smart Search'!$L$5="",'Smart Search'!$L$5="All",TRIM('Project Database'!D497)=TRIM('Smart Search'!$L$5)),OR(TRIM('Smart Search'!$L$6)="",TRIM('Smart Search'!$L$6)="All",ISNUMBER(SEARCH(SUBSTITUTE(SUBSTITUTE(SUBSTITUTE(TRIM('Smart Search'!$L$6),"~","~~"),"*","~*"),"?","~?"),'Project Database'!C497))),OR('Smart Search'!$L$7="",AND('Project Database'!E497&lt;&gt;"",'Project Database'!E497='Smart Search'!$L$7)),OR('Smart Search'!$L$8="",'Smart Search'!$L$8="All",TRIM('Project Database'!F497)=TRIM('Smart Search'!$L$8))),IF(BA493="","",BA493+ROW()*0.0000000001),"")</f>
        <v/>
      </c>
      <c r="BI493" s="5" t="str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 t="str">
        <f>IF('Project Database'!A497="","",N('Project Database'!AC497))</f>
        <v/>
      </c>
      <c r="BK493" s="5" t="str">
        <f>IF('Project Database'!A497="","",N('Project Database'!AD497))</f>
        <v/>
      </c>
      <c r="BL493" s="5" t="str">
        <f>IF('Project Database'!A497="","",N('Project Database'!AE497))</f>
        <v/>
      </c>
      <c r="BM493" s="5" t="str">
        <f>IF('Project Database'!A497="","",N('Project Database'!AF497))</f>
        <v/>
      </c>
      <c r="BN493" s="5" t="str">
        <f>IF('Project Database'!A497="","",N('Project Database'!AG497))</f>
        <v/>
      </c>
      <c r="BO493" s="5" t="str">
        <f>IF('Project Database'!A497="","",N('Project Database'!AH497))</f>
        <v/>
      </c>
      <c r="BP493" s="5" t="str">
        <f>IF('Project Database'!A497="","",N('Project Database'!AI497))</f>
        <v/>
      </c>
      <c r="BQ493" s="5" t="str">
        <f>IF('Project Database'!A497="","",N('Project Database'!AJ497))</f>
        <v/>
      </c>
      <c r="BR493" s="5" t="str">
        <f>IF('Project Database'!A497="","",N('Project Database'!AK497))</f>
        <v/>
      </c>
      <c r="BS493" s="5" t="str">
        <f>IF('Project Database'!A497="","",N('Project Database'!AL497))</f>
        <v/>
      </c>
      <c r="BT493" s="5" t="str">
        <f>IF('Project Database'!A497="","",N('Project Database'!AM497))</f>
        <v/>
      </c>
      <c r="BU493" s="5" t="str">
        <f>IF('Project Database'!A497="","",N('Project Database'!AN497))</f>
        <v/>
      </c>
      <c r="BV493" s="5" t="str">
        <f>IF('Project Database'!A497="","",N('Project Database'!AO497))</f>
        <v/>
      </c>
      <c r="BW493" s="5" t="str">
        <f>IF('Project Database'!A497="","",N('Project Database'!AP497))</f>
        <v/>
      </c>
      <c r="BX493" s="5">
        <f t="shared" si="110"/>
        <v>0</v>
      </c>
      <c r="BY493" s="5">
        <f t="shared" si="111"/>
        <v>0</v>
      </c>
    </row>
    <row r="494" spans="1:77" ht="15" customHeight="1" x14ac:dyDescent="0.3">
      <c r="A494" s="66">
        <f>'Project Database'!A498</f>
        <v>0</v>
      </c>
      <c r="B494" s="66">
        <f>'Project Database'!B498</f>
        <v>0</v>
      </c>
      <c r="C494" s="66">
        <f>'Project Database'!G498</f>
        <v>0</v>
      </c>
      <c r="D494" s="66">
        <f>'Project Database'!H498</f>
        <v>0</v>
      </c>
      <c r="E494" s="66">
        <f>'Project Database'!I498</f>
        <v>0</v>
      </c>
      <c r="F494" s="66">
        <f>'Project Database'!J498</f>
        <v>0</v>
      </c>
      <c r="G494" s="66">
        <f>'Project Database'!K498</f>
        <v>0</v>
      </c>
      <c r="H494" s="66">
        <f>'Project Database'!L498</f>
        <v>0</v>
      </c>
      <c r="I494" s="66">
        <f>'Project Database'!M498</f>
        <v>0</v>
      </c>
      <c r="J494" s="66">
        <f>'Project Database'!N498</f>
        <v>0</v>
      </c>
      <c r="K494" s="66">
        <f>'Project Database'!O498</f>
        <v>0</v>
      </c>
      <c r="L494" s="66">
        <f>'Project Database'!P498</f>
        <v>0</v>
      </c>
      <c r="M494" s="66">
        <f>'Project Database'!Q498</f>
        <v>0</v>
      </c>
      <c r="N494" s="66">
        <f>'Project Database'!R498</f>
        <v>0</v>
      </c>
      <c r="O494" s="66">
        <f>'Project Database'!S498</f>
        <v>0</v>
      </c>
      <c r="P494" s="66">
        <f>'Project Database'!T498</f>
        <v>0</v>
      </c>
      <c r="Q494" s="66">
        <f>'Project Database'!U498</f>
        <v>0</v>
      </c>
      <c r="R494" s="66">
        <f>'Project Database'!V498</f>
        <v>0</v>
      </c>
      <c r="S494" s="66">
        <f>'Project Database'!W498</f>
        <v>0</v>
      </c>
      <c r="T494" s="66">
        <f>'Project Database'!X498</f>
        <v>0</v>
      </c>
      <c r="U494" s="67">
        <f>'Project Database'!Y498</f>
        <v>0</v>
      </c>
      <c r="V494" s="66">
        <f>IF('Smart Search'!B13=1,IFERROR(1/'Smart Search'!H13,0),0)</f>
        <v>0</v>
      </c>
      <c r="W494" s="66">
        <f>IF('Smart Search'!B13=1,IFERROR(1/'Smart Search'!H13,0),0)</f>
        <v>0</v>
      </c>
      <c r="X494" s="66">
        <f>IF('Smart Search'!C13=1,IFERROR(1/'Smart Search'!H13,0),0)</f>
        <v>0.5</v>
      </c>
      <c r="Y494" s="66">
        <f>IF('Smart Search'!C13=1,IFERROR(1/'Smart Search'!H13,0),0)</f>
        <v>0.5</v>
      </c>
      <c r="Z494" s="66">
        <f>IF('Smart Search'!D13=1,IFERROR(1/'Smart Search'!H13,0),0)</f>
        <v>0</v>
      </c>
      <c r="AA494" s="66">
        <f>IF('Smart Search'!D13=1,IFERROR(1/'Smart Search'!H13,0),0)</f>
        <v>0</v>
      </c>
      <c r="AB494" s="66">
        <f>IF('Smart Search'!E13=1,IFERROR(1/'Smart Search'!H13,0),0)</f>
        <v>0</v>
      </c>
      <c r="AC494" s="66">
        <f>IF('Smart Search'!E13=1,IFERROR(1/'Smart Search'!H13,0),0)</f>
        <v>0</v>
      </c>
      <c r="AD494" s="66">
        <f>IF('Smart Search'!F13=1,IFERROR(1/'Smart Search'!H13,0),0)</f>
        <v>0</v>
      </c>
      <c r="AE494" s="66">
        <f>IF('Smart Search'!F13=1,IFERROR(1/'Smart Search'!H13,0),0)</f>
        <v>0</v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>0</v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>0</v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>0</v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>0</v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>0</v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>0</v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>0</v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>0</v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>0</v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>0</v>
      </c>
      <c r="AP494" s="66">
        <f t="shared" si="98"/>
        <v>0</v>
      </c>
      <c r="AQ494" s="66">
        <f t="shared" si="99"/>
        <v>0</v>
      </c>
      <c r="AR494" s="66">
        <f t="shared" si="100"/>
        <v>0</v>
      </c>
      <c r="AS494" s="66">
        <f t="shared" si="101"/>
        <v>0</v>
      </c>
      <c r="AT494" s="66">
        <f t="shared" si="102"/>
        <v>0</v>
      </c>
      <c r="AU494" s="66">
        <f t="shared" si="103"/>
        <v>0</v>
      </c>
      <c r="AV494" s="66">
        <f t="shared" si="104"/>
        <v>0</v>
      </c>
      <c r="AW494" s="66">
        <f t="shared" si="105"/>
        <v>0</v>
      </c>
      <c r="AX494" s="66">
        <f t="shared" si="106"/>
        <v>0</v>
      </c>
      <c r="AY494" s="66">
        <f t="shared" si="107"/>
        <v>0</v>
      </c>
      <c r="AZ494" s="66">
        <f>'Project Database'!Z498</f>
        <v>0</v>
      </c>
      <c r="BA494" s="66">
        <f>IF(OR(A494="",'Smart Search'!H13=0),"",MAX(0,BE494*BF494*MAX(0,1-BG494)))</f>
        <v>0</v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>0</v>
      </c>
      <c r="BC494" s="66">
        <f>IF('Smart Search'!G13=1,IFERROR(1/'Smart Search'!H13,0),0)</f>
        <v>0</v>
      </c>
      <c r="BD494" s="66">
        <f t="shared" si="108"/>
        <v>0</v>
      </c>
      <c r="BE494" s="66">
        <f t="shared" si="109"/>
        <v>0</v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>0</v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>0</v>
      </c>
      <c r="BH494" s="5" t="str">
        <f>IF(AND('Project Database'!A498&lt;&gt;"",OR('Smart Search'!$L$5="",'Smart Search'!$L$5="All",TRIM('Project Database'!D498)=TRIM('Smart Search'!$L$5)),OR(TRIM('Smart Search'!$L$6)="",TRIM('Smart Search'!$L$6)="All",ISNUMBER(SEARCH(SUBSTITUTE(SUBSTITUTE(SUBSTITUTE(TRIM('Smart Search'!$L$6),"~","~~"),"*","~*"),"?","~?"),'Project Database'!C498))),OR('Smart Search'!$L$7="",AND('Project Database'!E498&lt;&gt;"",'Project Database'!E498='Smart Search'!$L$7)),OR('Smart Search'!$L$8="",'Smart Search'!$L$8="All",TRIM('Project Database'!F498)=TRIM('Smart Search'!$L$8))),IF(BA494="","",BA494+ROW()*0.0000000001),"")</f>
        <v/>
      </c>
      <c r="BI494" s="5" t="str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 t="str">
        <f>IF('Project Database'!A498="","",N('Project Database'!AC498))</f>
        <v/>
      </c>
      <c r="BK494" s="5" t="str">
        <f>IF('Project Database'!A498="","",N('Project Database'!AD498))</f>
        <v/>
      </c>
      <c r="BL494" s="5" t="str">
        <f>IF('Project Database'!A498="","",N('Project Database'!AE498))</f>
        <v/>
      </c>
      <c r="BM494" s="5" t="str">
        <f>IF('Project Database'!A498="","",N('Project Database'!AF498))</f>
        <v/>
      </c>
      <c r="BN494" s="5" t="str">
        <f>IF('Project Database'!A498="","",N('Project Database'!AG498))</f>
        <v/>
      </c>
      <c r="BO494" s="5" t="str">
        <f>IF('Project Database'!A498="","",N('Project Database'!AH498))</f>
        <v/>
      </c>
      <c r="BP494" s="5" t="str">
        <f>IF('Project Database'!A498="","",N('Project Database'!AI498))</f>
        <v/>
      </c>
      <c r="BQ494" s="5" t="str">
        <f>IF('Project Database'!A498="","",N('Project Database'!AJ498))</f>
        <v/>
      </c>
      <c r="BR494" s="5" t="str">
        <f>IF('Project Database'!A498="","",N('Project Database'!AK498))</f>
        <v/>
      </c>
      <c r="BS494" s="5" t="str">
        <f>IF('Project Database'!A498="","",N('Project Database'!AL498))</f>
        <v/>
      </c>
      <c r="BT494" s="5" t="str">
        <f>IF('Project Database'!A498="","",N('Project Database'!AM498))</f>
        <v/>
      </c>
      <c r="BU494" s="5" t="str">
        <f>IF('Project Database'!A498="","",N('Project Database'!AN498))</f>
        <v/>
      </c>
      <c r="BV494" s="5" t="str">
        <f>IF('Project Database'!A498="","",N('Project Database'!AO498))</f>
        <v/>
      </c>
      <c r="BW494" s="5" t="str">
        <f>IF('Project Database'!A498="","",N('Project Database'!AP498))</f>
        <v/>
      </c>
      <c r="BX494" s="5">
        <f t="shared" si="110"/>
        <v>0</v>
      </c>
      <c r="BY494" s="5">
        <f t="shared" si="111"/>
        <v>0</v>
      </c>
    </row>
    <row r="495" spans="1:77" ht="15" customHeight="1" x14ac:dyDescent="0.3">
      <c r="A495" s="66">
        <f>'Project Database'!A499</f>
        <v>0</v>
      </c>
      <c r="B495" s="66">
        <f>'Project Database'!B499</f>
        <v>0</v>
      </c>
      <c r="C495" s="66">
        <f>'Project Database'!G499</f>
        <v>0</v>
      </c>
      <c r="D495" s="66">
        <f>'Project Database'!H499</f>
        <v>0</v>
      </c>
      <c r="E495" s="66">
        <f>'Project Database'!I499</f>
        <v>0</v>
      </c>
      <c r="F495" s="66">
        <f>'Project Database'!J499</f>
        <v>0</v>
      </c>
      <c r="G495" s="66">
        <f>'Project Database'!K499</f>
        <v>0</v>
      </c>
      <c r="H495" s="66">
        <f>'Project Database'!L499</f>
        <v>0</v>
      </c>
      <c r="I495" s="66">
        <f>'Project Database'!M499</f>
        <v>0</v>
      </c>
      <c r="J495" s="66">
        <f>'Project Database'!N499</f>
        <v>0</v>
      </c>
      <c r="K495" s="66">
        <f>'Project Database'!O499</f>
        <v>0</v>
      </c>
      <c r="L495" s="66">
        <f>'Project Database'!P499</f>
        <v>0</v>
      </c>
      <c r="M495" s="66">
        <f>'Project Database'!Q499</f>
        <v>0</v>
      </c>
      <c r="N495" s="66">
        <f>'Project Database'!R499</f>
        <v>0</v>
      </c>
      <c r="O495" s="66">
        <f>'Project Database'!S499</f>
        <v>0</v>
      </c>
      <c r="P495" s="66">
        <f>'Project Database'!T499</f>
        <v>0</v>
      </c>
      <c r="Q495" s="66">
        <f>'Project Database'!U499</f>
        <v>0</v>
      </c>
      <c r="R495" s="66">
        <f>'Project Database'!V499</f>
        <v>0</v>
      </c>
      <c r="S495" s="66">
        <f>'Project Database'!W499</f>
        <v>0</v>
      </c>
      <c r="T495" s="66">
        <f>'Project Database'!X499</f>
        <v>0</v>
      </c>
      <c r="U495" s="67">
        <f>'Project Database'!Y499</f>
        <v>0</v>
      </c>
      <c r="V495" s="66">
        <f>IF('Smart Search'!B13=1,IFERROR(1/'Smart Search'!H13,0),0)</f>
        <v>0</v>
      </c>
      <c r="W495" s="66">
        <f>IF('Smart Search'!B13=1,IFERROR(1/'Smart Search'!H13,0),0)</f>
        <v>0</v>
      </c>
      <c r="X495" s="66">
        <f>IF('Smart Search'!C13=1,IFERROR(1/'Smart Search'!H13,0),0)</f>
        <v>0.5</v>
      </c>
      <c r="Y495" s="66">
        <f>IF('Smart Search'!C13=1,IFERROR(1/'Smart Search'!H13,0),0)</f>
        <v>0.5</v>
      </c>
      <c r="Z495" s="66">
        <f>IF('Smart Search'!D13=1,IFERROR(1/'Smart Search'!H13,0),0)</f>
        <v>0</v>
      </c>
      <c r="AA495" s="66">
        <f>IF('Smart Search'!D13=1,IFERROR(1/'Smart Search'!H13,0),0)</f>
        <v>0</v>
      </c>
      <c r="AB495" s="66">
        <f>IF('Smart Search'!E13=1,IFERROR(1/'Smart Search'!H13,0),0)</f>
        <v>0</v>
      </c>
      <c r="AC495" s="66">
        <f>IF('Smart Search'!E13=1,IFERROR(1/'Smart Search'!H13,0),0)</f>
        <v>0</v>
      </c>
      <c r="AD495" s="66">
        <f>IF('Smart Search'!F13=1,IFERROR(1/'Smart Search'!H13,0),0)</f>
        <v>0</v>
      </c>
      <c r="AE495" s="66">
        <f>IF('Smart Search'!F13=1,IFERROR(1/'Smart Search'!H13,0),0)</f>
        <v>0</v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>0</v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>0</v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>0</v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>0</v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>0</v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>0</v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>0</v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>0</v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>0</v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>0</v>
      </c>
      <c r="AP495" s="66">
        <f t="shared" si="98"/>
        <v>0</v>
      </c>
      <c r="AQ495" s="66">
        <f t="shared" si="99"/>
        <v>0</v>
      </c>
      <c r="AR495" s="66">
        <f t="shared" si="100"/>
        <v>0</v>
      </c>
      <c r="AS495" s="66">
        <f t="shared" si="101"/>
        <v>0</v>
      </c>
      <c r="AT495" s="66">
        <f t="shared" si="102"/>
        <v>0</v>
      </c>
      <c r="AU495" s="66">
        <f t="shared" si="103"/>
        <v>0</v>
      </c>
      <c r="AV495" s="66">
        <f t="shared" si="104"/>
        <v>0</v>
      </c>
      <c r="AW495" s="66">
        <f t="shared" si="105"/>
        <v>0</v>
      </c>
      <c r="AX495" s="66">
        <f t="shared" si="106"/>
        <v>0</v>
      </c>
      <c r="AY495" s="66">
        <f t="shared" si="107"/>
        <v>0</v>
      </c>
      <c r="AZ495" s="66">
        <f>'Project Database'!Z499</f>
        <v>0</v>
      </c>
      <c r="BA495" s="66">
        <f>IF(OR(A495="",'Smart Search'!H13=0),"",MAX(0,BE495*BF495*MAX(0,1-BG495)))</f>
        <v>0</v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>0</v>
      </c>
      <c r="BC495" s="66">
        <f>IF('Smart Search'!G13=1,IFERROR(1/'Smart Search'!H13,0),0)</f>
        <v>0</v>
      </c>
      <c r="BD495" s="66">
        <f t="shared" si="108"/>
        <v>0</v>
      </c>
      <c r="BE495" s="66">
        <f t="shared" si="109"/>
        <v>0</v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>0</v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>0</v>
      </c>
      <c r="BH495" s="5" t="str">
        <f>IF(AND('Project Database'!A499&lt;&gt;"",OR('Smart Search'!$L$5="",'Smart Search'!$L$5="All",TRIM('Project Database'!D499)=TRIM('Smart Search'!$L$5)),OR(TRIM('Smart Search'!$L$6)="",TRIM('Smart Search'!$L$6)="All",ISNUMBER(SEARCH(SUBSTITUTE(SUBSTITUTE(SUBSTITUTE(TRIM('Smart Search'!$L$6),"~","~~"),"*","~*"),"?","~?"),'Project Database'!C499))),OR('Smart Search'!$L$7="",AND('Project Database'!E499&lt;&gt;"",'Project Database'!E499='Smart Search'!$L$7)),OR('Smart Search'!$L$8="",'Smart Search'!$L$8="All",TRIM('Project Database'!F499)=TRIM('Smart Search'!$L$8))),IF(BA495="","",BA495+ROW()*0.0000000001),"")</f>
        <v/>
      </c>
      <c r="BI495" s="5" t="str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 t="str">
        <f>IF('Project Database'!A499="","",N('Project Database'!AC499))</f>
        <v/>
      </c>
      <c r="BK495" s="5" t="str">
        <f>IF('Project Database'!A499="","",N('Project Database'!AD499))</f>
        <v/>
      </c>
      <c r="BL495" s="5" t="str">
        <f>IF('Project Database'!A499="","",N('Project Database'!AE499))</f>
        <v/>
      </c>
      <c r="BM495" s="5" t="str">
        <f>IF('Project Database'!A499="","",N('Project Database'!AF499))</f>
        <v/>
      </c>
      <c r="BN495" s="5" t="str">
        <f>IF('Project Database'!A499="","",N('Project Database'!AG499))</f>
        <v/>
      </c>
      <c r="BO495" s="5" t="str">
        <f>IF('Project Database'!A499="","",N('Project Database'!AH499))</f>
        <v/>
      </c>
      <c r="BP495" s="5" t="str">
        <f>IF('Project Database'!A499="","",N('Project Database'!AI499))</f>
        <v/>
      </c>
      <c r="BQ495" s="5" t="str">
        <f>IF('Project Database'!A499="","",N('Project Database'!AJ499))</f>
        <v/>
      </c>
      <c r="BR495" s="5" t="str">
        <f>IF('Project Database'!A499="","",N('Project Database'!AK499))</f>
        <v/>
      </c>
      <c r="BS495" s="5" t="str">
        <f>IF('Project Database'!A499="","",N('Project Database'!AL499))</f>
        <v/>
      </c>
      <c r="BT495" s="5" t="str">
        <f>IF('Project Database'!A499="","",N('Project Database'!AM499))</f>
        <v/>
      </c>
      <c r="BU495" s="5" t="str">
        <f>IF('Project Database'!A499="","",N('Project Database'!AN499))</f>
        <v/>
      </c>
      <c r="BV495" s="5" t="str">
        <f>IF('Project Database'!A499="","",N('Project Database'!AO499))</f>
        <v/>
      </c>
      <c r="BW495" s="5" t="str">
        <f>IF('Project Database'!A499="","",N('Project Database'!AP499))</f>
        <v/>
      </c>
      <c r="BX495" s="5">
        <f t="shared" si="110"/>
        <v>0</v>
      </c>
      <c r="BY495" s="5">
        <f t="shared" si="111"/>
        <v>0</v>
      </c>
    </row>
    <row r="496" spans="1:77" ht="15" customHeight="1" x14ac:dyDescent="0.3">
      <c r="A496" s="66">
        <f>'Project Database'!A500</f>
        <v>0</v>
      </c>
      <c r="B496" s="66">
        <f>'Project Database'!B500</f>
        <v>0</v>
      </c>
      <c r="C496" s="66">
        <f>'Project Database'!G500</f>
        <v>0</v>
      </c>
      <c r="D496" s="66">
        <f>'Project Database'!H500</f>
        <v>0</v>
      </c>
      <c r="E496" s="66">
        <f>'Project Database'!I500</f>
        <v>0</v>
      </c>
      <c r="F496" s="66">
        <f>'Project Database'!J500</f>
        <v>0</v>
      </c>
      <c r="G496" s="66">
        <f>'Project Database'!K500</f>
        <v>0</v>
      </c>
      <c r="H496" s="66">
        <f>'Project Database'!L500</f>
        <v>0</v>
      </c>
      <c r="I496" s="66">
        <f>'Project Database'!M500</f>
        <v>0</v>
      </c>
      <c r="J496" s="66">
        <f>'Project Database'!N500</f>
        <v>0</v>
      </c>
      <c r="K496" s="66">
        <f>'Project Database'!O500</f>
        <v>0</v>
      </c>
      <c r="L496" s="66">
        <f>'Project Database'!P500</f>
        <v>0</v>
      </c>
      <c r="M496" s="66">
        <f>'Project Database'!Q500</f>
        <v>0</v>
      </c>
      <c r="N496" s="66">
        <f>'Project Database'!R500</f>
        <v>0</v>
      </c>
      <c r="O496" s="66">
        <f>'Project Database'!S500</f>
        <v>0</v>
      </c>
      <c r="P496" s="66">
        <f>'Project Database'!T500</f>
        <v>0</v>
      </c>
      <c r="Q496" s="66">
        <f>'Project Database'!U500</f>
        <v>0</v>
      </c>
      <c r="R496" s="66">
        <f>'Project Database'!V500</f>
        <v>0</v>
      </c>
      <c r="S496" s="66">
        <f>'Project Database'!W500</f>
        <v>0</v>
      </c>
      <c r="T496" s="66">
        <f>'Project Database'!X500</f>
        <v>0</v>
      </c>
      <c r="U496" s="67">
        <f>'Project Database'!Y500</f>
        <v>0</v>
      </c>
      <c r="V496" s="66">
        <f>IF('Smart Search'!B13=1,IFERROR(1/'Smart Search'!H13,0),0)</f>
        <v>0</v>
      </c>
      <c r="W496" s="66">
        <f>IF('Smart Search'!B13=1,IFERROR(1/'Smart Search'!H13,0),0)</f>
        <v>0</v>
      </c>
      <c r="X496" s="66">
        <f>IF('Smart Search'!C13=1,IFERROR(1/'Smart Search'!H13,0),0)</f>
        <v>0.5</v>
      </c>
      <c r="Y496" s="66">
        <f>IF('Smart Search'!C13=1,IFERROR(1/'Smart Search'!H13,0),0)</f>
        <v>0.5</v>
      </c>
      <c r="Z496" s="66">
        <f>IF('Smart Search'!D13=1,IFERROR(1/'Smart Search'!H13,0),0)</f>
        <v>0</v>
      </c>
      <c r="AA496" s="66">
        <f>IF('Smart Search'!D13=1,IFERROR(1/'Smart Search'!H13,0),0)</f>
        <v>0</v>
      </c>
      <c r="AB496" s="66">
        <f>IF('Smart Search'!E13=1,IFERROR(1/'Smart Search'!H13,0),0)</f>
        <v>0</v>
      </c>
      <c r="AC496" s="66">
        <f>IF('Smart Search'!E13=1,IFERROR(1/'Smart Search'!H13,0),0)</f>
        <v>0</v>
      </c>
      <c r="AD496" s="66">
        <f>IF('Smart Search'!F13=1,IFERROR(1/'Smart Search'!H13,0),0)</f>
        <v>0</v>
      </c>
      <c r="AE496" s="66">
        <f>IF('Smart Search'!F13=1,IFERROR(1/'Smart Search'!H13,0),0)</f>
        <v>0</v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>0</v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>0</v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>0</v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>0</v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>0</v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>0</v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>0</v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>0</v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>0</v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>0</v>
      </c>
      <c r="AP496" s="66">
        <f t="shared" si="98"/>
        <v>0</v>
      </c>
      <c r="AQ496" s="66">
        <f t="shared" si="99"/>
        <v>0</v>
      </c>
      <c r="AR496" s="66">
        <f t="shared" si="100"/>
        <v>0</v>
      </c>
      <c r="AS496" s="66">
        <f t="shared" si="101"/>
        <v>0</v>
      </c>
      <c r="AT496" s="66">
        <f t="shared" si="102"/>
        <v>0</v>
      </c>
      <c r="AU496" s="66">
        <f t="shared" si="103"/>
        <v>0</v>
      </c>
      <c r="AV496" s="66">
        <f t="shared" si="104"/>
        <v>0</v>
      </c>
      <c r="AW496" s="66">
        <f t="shared" si="105"/>
        <v>0</v>
      </c>
      <c r="AX496" s="66">
        <f t="shared" si="106"/>
        <v>0</v>
      </c>
      <c r="AY496" s="66">
        <f t="shared" si="107"/>
        <v>0</v>
      </c>
      <c r="AZ496" s="66">
        <f>'Project Database'!Z500</f>
        <v>0</v>
      </c>
      <c r="BA496" s="66">
        <f>IF(OR(A496="",'Smart Search'!H13=0),"",MAX(0,BE496*BF496*MAX(0,1-BG496)))</f>
        <v>0</v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>0</v>
      </c>
      <c r="BC496" s="66">
        <f>IF('Smart Search'!G13=1,IFERROR(1/'Smart Search'!H13,0),0)</f>
        <v>0</v>
      </c>
      <c r="BD496" s="66">
        <f t="shared" si="108"/>
        <v>0</v>
      </c>
      <c r="BE496" s="66">
        <f t="shared" si="109"/>
        <v>0</v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>0</v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>0</v>
      </c>
      <c r="BH496" s="5" t="str">
        <f>IF(AND('Project Database'!A500&lt;&gt;"",OR('Smart Search'!$L$5="",'Smart Search'!$L$5="All",TRIM('Project Database'!D500)=TRIM('Smart Search'!$L$5)),OR(TRIM('Smart Search'!$L$6)="",TRIM('Smart Search'!$L$6)="All",ISNUMBER(SEARCH(SUBSTITUTE(SUBSTITUTE(SUBSTITUTE(TRIM('Smart Search'!$L$6),"~","~~"),"*","~*"),"?","~?"),'Project Database'!C500))),OR('Smart Search'!$L$7="",AND('Project Database'!E500&lt;&gt;"",'Project Database'!E500='Smart Search'!$L$7)),OR('Smart Search'!$L$8="",'Smart Search'!$L$8="All",TRIM('Project Database'!F500)=TRIM('Smart Search'!$L$8))),IF(BA496="","",BA496+ROW()*0.0000000001),"")</f>
        <v/>
      </c>
      <c r="BI496" s="5" t="str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 t="str">
        <f>IF('Project Database'!A500="","",N('Project Database'!AC500))</f>
        <v/>
      </c>
      <c r="BK496" s="5" t="str">
        <f>IF('Project Database'!A500="","",N('Project Database'!AD500))</f>
        <v/>
      </c>
      <c r="BL496" s="5" t="str">
        <f>IF('Project Database'!A500="","",N('Project Database'!AE500))</f>
        <v/>
      </c>
      <c r="BM496" s="5" t="str">
        <f>IF('Project Database'!A500="","",N('Project Database'!AF500))</f>
        <v/>
      </c>
      <c r="BN496" s="5" t="str">
        <f>IF('Project Database'!A500="","",N('Project Database'!AG500))</f>
        <v/>
      </c>
      <c r="BO496" s="5" t="str">
        <f>IF('Project Database'!A500="","",N('Project Database'!AH500))</f>
        <v/>
      </c>
      <c r="BP496" s="5" t="str">
        <f>IF('Project Database'!A500="","",N('Project Database'!AI500))</f>
        <v/>
      </c>
      <c r="BQ496" s="5" t="str">
        <f>IF('Project Database'!A500="","",N('Project Database'!AJ500))</f>
        <v/>
      </c>
      <c r="BR496" s="5" t="str">
        <f>IF('Project Database'!A500="","",N('Project Database'!AK500))</f>
        <v/>
      </c>
      <c r="BS496" s="5" t="str">
        <f>IF('Project Database'!A500="","",N('Project Database'!AL500))</f>
        <v/>
      </c>
      <c r="BT496" s="5" t="str">
        <f>IF('Project Database'!A500="","",N('Project Database'!AM500))</f>
        <v/>
      </c>
      <c r="BU496" s="5" t="str">
        <f>IF('Project Database'!A500="","",N('Project Database'!AN500))</f>
        <v/>
      </c>
      <c r="BV496" s="5" t="str">
        <f>IF('Project Database'!A500="","",N('Project Database'!AO500))</f>
        <v/>
      </c>
      <c r="BW496" s="5" t="str">
        <f>IF('Project Database'!A500="","",N('Project Database'!AP500))</f>
        <v/>
      </c>
      <c r="BX496" s="5">
        <f t="shared" si="110"/>
        <v>0</v>
      </c>
      <c r="BY496" s="5">
        <f t="shared" si="111"/>
        <v>0</v>
      </c>
    </row>
    <row r="497" spans="1:77" ht="15" customHeight="1" x14ac:dyDescent="0.3">
      <c r="A497" s="66">
        <f>'Project Database'!A501</f>
        <v>0</v>
      </c>
      <c r="B497" s="66">
        <f>'Project Database'!B501</f>
        <v>0</v>
      </c>
      <c r="C497" s="66">
        <f>'Project Database'!G501</f>
        <v>0</v>
      </c>
      <c r="D497" s="66">
        <f>'Project Database'!H501</f>
        <v>0</v>
      </c>
      <c r="E497" s="66">
        <f>'Project Database'!I501</f>
        <v>0</v>
      </c>
      <c r="F497" s="66">
        <f>'Project Database'!J501</f>
        <v>0</v>
      </c>
      <c r="G497" s="66">
        <f>'Project Database'!K501</f>
        <v>0</v>
      </c>
      <c r="H497" s="66">
        <f>'Project Database'!L501</f>
        <v>0</v>
      </c>
      <c r="I497" s="66">
        <f>'Project Database'!M501</f>
        <v>0</v>
      </c>
      <c r="J497" s="66">
        <f>'Project Database'!N501</f>
        <v>0</v>
      </c>
      <c r="K497" s="66">
        <f>'Project Database'!O501</f>
        <v>0</v>
      </c>
      <c r="L497" s="66">
        <f>'Project Database'!P501</f>
        <v>0</v>
      </c>
      <c r="M497" s="66">
        <f>'Project Database'!Q501</f>
        <v>0</v>
      </c>
      <c r="N497" s="66">
        <f>'Project Database'!R501</f>
        <v>0</v>
      </c>
      <c r="O497" s="66">
        <f>'Project Database'!S501</f>
        <v>0</v>
      </c>
      <c r="P497" s="66">
        <f>'Project Database'!T501</f>
        <v>0</v>
      </c>
      <c r="Q497" s="66">
        <f>'Project Database'!U501</f>
        <v>0</v>
      </c>
      <c r="R497" s="66">
        <f>'Project Database'!V501</f>
        <v>0</v>
      </c>
      <c r="S497" s="66">
        <f>'Project Database'!W501</f>
        <v>0</v>
      </c>
      <c r="T497" s="66">
        <f>'Project Database'!X501</f>
        <v>0</v>
      </c>
      <c r="U497" s="67">
        <f>'Project Database'!Y501</f>
        <v>0</v>
      </c>
      <c r="V497" s="66">
        <f>IF('Smart Search'!B13=1,IFERROR(1/'Smart Search'!H13,0),0)</f>
        <v>0</v>
      </c>
      <c r="W497" s="66">
        <f>IF('Smart Search'!B13=1,IFERROR(1/'Smart Search'!H13,0),0)</f>
        <v>0</v>
      </c>
      <c r="X497" s="66">
        <f>IF('Smart Search'!C13=1,IFERROR(1/'Smart Search'!H13,0),0)</f>
        <v>0.5</v>
      </c>
      <c r="Y497" s="66">
        <f>IF('Smart Search'!C13=1,IFERROR(1/'Smart Search'!H13,0),0)</f>
        <v>0.5</v>
      </c>
      <c r="Z497" s="66">
        <f>IF('Smart Search'!D13=1,IFERROR(1/'Smart Search'!H13,0),0)</f>
        <v>0</v>
      </c>
      <c r="AA497" s="66">
        <f>IF('Smart Search'!D13=1,IFERROR(1/'Smart Search'!H13,0),0)</f>
        <v>0</v>
      </c>
      <c r="AB497" s="66">
        <f>IF('Smart Search'!E13=1,IFERROR(1/'Smart Search'!H13,0),0)</f>
        <v>0</v>
      </c>
      <c r="AC497" s="66">
        <f>IF('Smart Search'!E13=1,IFERROR(1/'Smart Search'!H13,0),0)</f>
        <v>0</v>
      </c>
      <c r="AD497" s="66">
        <f>IF('Smart Search'!F13=1,IFERROR(1/'Smart Search'!H13,0),0)</f>
        <v>0</v>
      </c>
      <c r="AE497" s="66">
        <f>IF('Smart Search'!F13=1,IFERROR(1/'Smart Search'!H13,0),0)</f>
        <v>0</v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>0</v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>0</v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>0</v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>0</v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>0</v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>0</v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>0</v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>0</v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>0</v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>0</v>
      </c>
      <c r="AP497" s="66">
        <f t="shared" si="98"/>
        <v>0</v>
      </c>
      <c r="AQ497" s="66">
        <f t="shared" si="99"/>
        <v>0</v>
      </c>
      <c r="AR497" s="66">
        <f t="shared" si="100"/>
        <v>0</v>
      </c>
      <c r="AS497" s="66">
        <f t="shared" si="101"/>
        <v>0</v>
      </c>
      <c r="AT497" s="66">
        <f t="shared" si="102"/>
        <v>0</v>
      </c>
      <c r="AU497" s="66">
        <f t="shared" si="103"/>
        <v>0</v>
      </c>
      <c r="AV497" s="66">
        <f t="shared" si="104"/>
        <v>0</v>
      </c>
      <c r="AW497" s="66">
        <f t="shared" si="105"/>
        <v>0</v>
      </c>
      <c r="AX497" s="66">
        <f t="shared" si="106"/>
        <v>0</v>
      </c>
      <c r="AY497" s="66">
        <f t="shared" si="107"/>
        <v>0</v>
      </c>
      <c r="AZ497" s="66">
        <f>'Project Database'!Z501</f>
        <v>0</v>
      </c>
      <c r="BA497" s="66">
        <f>IF(OR(A497="",'Smart Search'!H13=0),"",MAX(0,BE497*BF497*MAX(0,1-BG497)))</f>
        <v>0</v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>0</v>
      </c>
      <c r="BC497" s="66">
        <f>IF('Smart Search'!G13=1,IFERROR(1/'Smart Search'!H13,0),0)</f>
        <v>0</v>
      </c>
      <c r="BD497" s="66">
        <f t="shared" si="108"/>
        <v>0</v>
      </c>
      <c r="BE497" s="66">
        <f t="shared" si="109"/>
        <v>0</v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>0</v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>0</v>
      </c>
      <c r="BH497" s="5" t="str">
        <f>IF(AND('Project Database'!A501&lt;&gt;"",OR('Smart Search'!$L$5="",'Smart Search'!$L$5="All",TRIM('Project Database'!D501)=TRIM('Smart Search'!$L$5)),OR(TRIM('Smart Search'!$L$6)="",TRIM('Smart Search'!$L$6)="All",ISNUMBER(SEARCH(SUBSTITUTE(SUBSTITUTE(SUBSTITUTE(TRIM('Smart Search'!$L$6),"~","~~"),"*","~*"),"?","~?"),'Project Database'!C501))),OR('Smart Search'!$L$7="",AND('Project Database'!E501&lt;&gt;"",'Project Database'!E501='Smart Search'!$L$7)),OR('Smart Search'!$L$8="",'Smart Search'!$L$8="All",TRIM('Project Database'!F501)=TRIM('Smart Search'!$L$8))),IF(BA497="","",BA497+ROW()*0.0000000001),"")</f>
        <v/>
      </c>
      <c r="BI497" s="5" t="str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 t="str">
        <f>IF('Project Database'!A501="","",N('Project Database'!AC501))</f>
        <v/>
      </c>
      <c r="BK497" s="5" t="str">
        <f>IF('Project Database'!A501="","",N('Project Database'!AD501))</f>
        <v/>
      </c>
      <c r="BL497" s="5" t="str">
        <f>IF('Project Database'!A501="","",N('Project Database'!AE501))</f>
        <v/>
      </c>
      <c r="BM497" s="5" t="str">
        <f>IF('Project Database'!A501="","",N('Project Database'!AF501))</f>
        <v/>
      </c>
      <c r="BN497" s="5" t="str">
        <f>IF('Project Database'!A501="","",N('Project Database'!AG501))</f>
        <v/>
      </c>
      <c r="BO497" s="5" t="str">
        <f>IF('Project Database'!A501="","",N('Project Database'!AH501))</f>
        <v/>
      </c>
      <c r="BP497" s="5" t="str">
        <f>IF('Project Database'!A501="","",N('Project Database'!AI501))</f>
        <v/>
      </c>
      <c r="BQ497" s="5" t="str">
        <f>IF('Project Database'!A501="","",N('Project Database'!AJ501))</f>
        <v/>
      </c>
      <c r="BR497" s="5" t="str">
        <f>IF('Project Database'!A501="","",N('Project Database'!AK501))</f>
        <v/>
      </c>
      <c r="BS497" s="5" t="str">
        <f>IF('Project Database'!A501="","",N('Project Database'!AL501))</f>
        <v/>
      </c>
      <c r="BT497" s="5" t="str">
        <f>IF('Project Database'!A501="","",N('Project Database'!AM501))</f>
        <v/>
      </c>
      <c r="BU497" s="5" t="str">
        <f>IF('Project Database'!A501="","",N('Project Database'!AN501))</f>
        <v/>
      </c>
      <c r="BV497" s="5" t="str">
        <f>IF('Project Database'!A501="","",N('Project Database'!AO501))</f>
        <v/>
      </c>
      <c r="BW497" s="5" t="str">
        <f>IF('Project Database'!A501="","",N('Project Database'!AP501))</f>
        <v/>
      </c>
      <c r="BX497" s="5">
        <f t="shared" si="110"/>
        <v>0</v>
      </c>
      <c r="BY497" s="5">
        <f t="shared" si="111"/>
        <v>0</v>
      </c>
    </row>
    <row r="498" spans="1:77" ht="15" customHeight="1" x14ac:dyDescent="0.3">
      <c r="A498" s="66">
        <f>'Project Database'!A502</f>
        <v>0</v>
      </c>
      <c r="B498" s="66">
        <f>'Project Database'!B502</f>
        <v>0</v>
      </c>
      <c r="C498" s="66">
        <f>'Project Database'!G502</f>
        <v>0</v>
      </c>
      <c r="D498" s="66">
        <f>'Project Database'!H502</f>
        <v>0</v>
      </c>
      <c r="E498" s="66">
        <f>'Project Database'!I502</f>
        <v>0</v>
      </c>
      <c r="F498" s="66">
        <f>'Project Database'!J502</f>
        <v>0</v>
      </c>
      <c r="G498" s="66">
        <f>'Project Database'!K502</f>
        <v>0</v>
      </c>
      <c r="H498" s="66">
        <f>'Project Database'!L502</f>
        <v>0</v>
      </c>
      <c r="I498" s="66">
        <f>'Project Database'!M502</f>
        <v>0</v>
      </c>
      <c r="J498" s="66">
        <f>'Project Database'!N502</f>
        <v>0</v>
      </c>
      <c r="K498" s="66">
        <f>'Project Database'!O502</f>
        <v>0</v>
      </c>
      <c r="L498" s="66">
        <f>'Project Database'!P502</f>
        <v>0</v>
      </c>
      <c r="M498" s="66">
        <f>'Project Database'!Q502</f>
        <v>0</v>
      </c>
      <c r="N498" s="66">
        <f>'Project Database'!R502</f>
        <v>0</v>
      </c>
      <c r="O498" s="66">
        <f>'Project Database'!S502</f>
        <v>0</v>
      </c>
      <c r="P498" s="66">
        <f>'Project Database'!T502</f>
        <v>0</v>
      </c>
      <c r="Q498" s="66">
        <f>'Project Database'!U502</f>
        <v>0</v>
      </c>
      <c r="R498" s="66">
        <f>'Project Database'!V502</f>
        <v>0</v>
      </c>
      <c r="S498" s="66">
        <f>'Project Database'!W502</f>
        <v>0</v>
      </c>
      <c r="T498" s="66">
        <f>'Project Database'!X502</f>
        <v>0</v>
      </c>
      <c r="U498" s="67">
        <f>'Project Database'!Y502</f>
        <v>0</v>
      </c>
      <c r="V498" s="66">
        <f>IF('Smart Search'!B13=1,IFERROR(1/'Smart Search'!H13,0),0)</f>
        <v>0</v>
      </c>
      <c r="W498" s="66">
        <f>IF('Smart Search'!B13=1,IFERROR(1/'Smart Search'!H13,0),0)</f>
        <v>0</v>
      </c>
      <c r="X498" s="66">
        <f>IF('Smart Search'!C13=1,IFERROR(1/'Smart Search'!H13,0),0)</f>
        <v>0.5</v>
      </c>
      <c r="Y498" s="66">
        <f>IF('Smart Search'!C13=1,IFERROR(1/'Smart Search'!H13,0),0)</f>
        <v>0.5</v>
      </c>
      <c r="Z498" s="66">
        <f>IF('Smart Search'!D13=1,IFERROR(1/'Smart Search'!H13,0),0)</f>
        <v>0</v>
      </c>
      <c r="AA498" s="66">
        <f>IF('Smart Search'!D13=1,IFERROR(1/'Smart Search'!H13,0),0)</f>
        <v>0</v>
      </c>
      <c r="AB498" s="66">
        <f>IF('Smart Search'!E13=1,IFERROR(1/'Smart Search'!H13,0),0)</f>
        <v>0</v>
      </c>
      <c r="AC498" s="66">
        <f>IF('Smart Search'!E13=1,IFERROR(1/'Smart Search'!H13,0),0)</f>
        <v>0</v>
      </c>
      <c r="AD498" s="66">
        <f>IF('Smart Search'!F13=1,IFERROR(1/'Smart Search'!H13,0),0)</f>
        <v>0</v>
      </c>
      <c r="AE498" s="66">
        <f>IF('Smart Search'!F13=1,IFERROR(1/'Smart Search'!H13,0),0)</f>
        <v>0</v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>0</v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>0</v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>0</v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>0</v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>0</v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>0</v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>0</v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>0</v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>0</v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>0</v>
      </c>
      <c r="AP498" s="66">
        <f t="shared" si="98"/>
        <v>0</v>
      </c>
      <c r="AQ498" s="66">
        <f t="shared" si="99"/>
        <v>0</v>
      </c>
      <c r="AR498" s="66">
        <f t="shared" si="100"/>
        <v>0</v>
      </c>
      <c r="AS498" s="66">
        <f t="shared" si="101"/>
        <v>0</v>
      </c>
      <c r="AT498" s="66">
        <f t="shared" si="102"/>
        <v>0</v>
      </c>
      <c r="AU498" s="66">
        <f t="shared" si="103"/>
        <v>0</v>
      </c>
      <c r="AV498" s="66">
        <f t="shared" si="104"/>
        <v>0</v>
      </c>
      <c r="AW498" s="66">
        <f t="shared" si="105"/>
        <v>0</v>
      </c>
      <c r="AX498" s="66">
        <f t="shared" si="106"/>
        <v>0</v>
      </c>
      <c r="AY498" s="66">
        <f t="shared" si="107"/>
        <v>0</v>
      </c>
      <c r="AZ498" s="66">
        <f>'Project Database'!Z502</f>
        <v>0</v>
      </c>
      <c r="BA498" s="66">
        <f>IF(OR(A498="",'Smart Search'!H13=0),"",MAX(0,BE498*BF498*MAX(0,1-BG498)))</f>
        <v>0</v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>0</v>
      </c>
      <c r="BC498" s="66">
        <f>IF('Smart Search'!G13=1,IFERROR(1/'Smart Search'!H13,0),0)</f>
        <v>0</v>
      </c>
      <c r="BD498" s="66">
        <f t="shared" si="108"/>
        <v>0</v>
      </c>
      <c r="BE498" s="66">
        <f t="shared" si="109"/>
        <v>0</v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>0</v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>0</v>
      </c>
      <c r="BH498" s="5" t="str">
        <f>IF(AND('Project Database'!A502&lt;&gt;"",OR('Smart Search'!$L$5="",'Smart Search'!$L$5="All",TRIM('Project Database'!D502)=TRIM('Smart Search'!$L$5)),OR(TRIM('Smart Search'!$L$6)="",TRIM('Smart Search'!$L$6)="All",ISNUMBER(SEARCH(SUBSTITUTE(SUBSTITUTE(SUBSTITUTE(TRIM('Smart Search'!$L$6),"~","~~"),"*","~*"),"?","~?"),'Project Database'!C502))),OR('Smart Search'!$L$7="",AND('Project Database'!E502&lt;&gt;"",'Project Database'!E502='Smart Search'!$L$7)),OR('Smart Search'!$L$8="",'Smart Search'!$L$8="All",TRIM('Project Database'!F502)=TRIM('Smart Search'!$L$8))),IF(BA498="","",BA498+ROW()*0.0000000001),"")</f>
        <v/>
      </c>
      <c r="BI498" s="5" t="str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 t="str">
        <f>IF('Project Database'!A502="","",N('Project Database'!AC502))</f>
        <v/>
      </c>
      <c r="BK498" s="5" t="str">
        <f>IF('Project Database'!A502="","",N('Project Database'!AD502))</f>
        <v/>
      </c>
      <c r="BL498" s="5" t="str">
        <f>IF('Project Database'!A502="","",N('Project Database'!AE502))</f>
        <v/>
      </c>
      <c r="BM498" s="5" t="str">
        <f>IF('Project Database'!A502="","",N('Project Database'!AF502))</f>
        <v/>
      </c>
      <c r="BN498" s="5" t="str">
        <f>IF('Project Database'!A502="","",N('Project Database'!AG502))</f>
        <v/>
      </c>
      <c r="BO498" s="5" t="str">
        <f>IF('Project Database'!A502="","",N('Project Database'!AH502))</f>
        <v/>
      </c>
      <c r="BP498" s="5" t="str">
        <f>IF('Project Database'!A502="","",N('Project Database'!AI502))</f>
        <v/>
      </c>
      <c r="BQ498" s="5" t="str">
        <f>IF('Project Database'!A502="","",N('Project Database'!AJ502))</f>
        <v/>
      </c>
      <c r="BR498" s="5" t="str">
        <f>IF('Project Database'!A502="","",N('Project Database'!AK502))</f>
        <v/>
      </c>
      <c r="BS498" s="5" t="str">
        <f>IF('Project Database'!A502="","",N('Project Database'!AL502))</f>
        <v/>
      </c>
      <c r="BT498" s="5" t="str">
        <f>IF('Project Database'!A502="","",N('Project Database'!AM502))</f>
        <v/>
      </c>
      <c r="BU498" s="5" t="str">
        <f>IF('Project Database'!A502="","",N('Project Database'!AN502))</f>
        <v/>
      </c>
      <c r="BV498" s="5" t="str">
        <f>IF('Project Database'!A502="","",N('Project Database'!AO502))</f>
        <v/>
      </c>
      <c r="BW498" s="5" t="str">
        <f>IF('Project Database'!A502="","",N('Project Database'!AP502))</f>
        <v/>
      </c>
      <c r="BX498" s="5">
        <f t="shared" si="110"/>
        <v>0</v>
      </c>
      <c r="BY498" s="5">
        <f t="shared" si="111"/>
        <v>0</v>
      </c>
    </row>
    <row r="499" spans="1:77" ht="15" customHeight="1" x14ac:dyDescent="0.3">
      <c r="A499" s="66">
        <f>'Project Database'!A503</f>
        <v>0</v>
      </c>
      <c r="B499" s="66">
        <f>'Project Database'!B503</f>
        <v>0</v>
      </c>
      <c r="C499" s="66">
        <f>'Project Database'!G503</f>
        <v>0</v>
      </c>
      <c r="D499" s="66">
        <f>'Project Database'!H503</f>
        <v>0</v>
      </c>
      <c r="E499" s="66">
        <f>'Project Database'!I503</f>
        <v>0</v>
      </c>
      <c r="F499" s="66">
        <f>'Project Database'!J503</f>
        <v>0</v>
      </c>
      <c r="G499" s="66">
        <f>'Project Database'!K503</f>
        <v>0</v>
      </c>
      <c r="H499" s="66">
        <f>'Project Database'!L503</f>
        <v>0</v>
      </c>
      <c r="I499" s="66">
        <f>'Project Database'!M503</f>
        <v>0</v>
      </c>
      <c r="J499" s="66">
        <f>'Project Database'!N503</f>
        <v>0</v>
      </c>
      <c r="K499" s="66">
        <f>'Project Database'!O503</f>
        <v>0</v>
      </c>
      <c r="L499" s="66">
        <f>'Project Database'!P503</f>
        <v>0</v>
      </c>
      <c r="M499" s="66">
        <f>'Project Database'!Q503</f>
        <v>0</v>
      </c>
      <c r="N499" s="66">
        <f>'Project Database'!R503</f>
        <v>0</v>
      </c>
      <c r="O499" s="66">
        <f>'Project Database'!S503</f>
        <v>0</v>
      </c>
      <c r="P499" s="66">
        <f>'Project Database'!T503</f>
        <v>0</v>
      </c>
      <c r="Q499" s="66">
        <f>'Project Database'!U503</f>
        <v>0</v>
      </c>
      <c r="R499" s="66">
        <f>'Project Database'!V503</f>
        <v>0</v>
      </c>
      <c r="S499" s="66">
        <f>'Project Database'!W503</f>
        <v>0</v>
      </c>
      <c r="T499" s="66">
        <f>'Project Database'!X503</f>
        <v>0</v>
      </c>
      <c r="U499" s="67">
        <f>'Project Database'!Y503</f>
        <v>0</v>
      </c>
      <c r="V499" s="66">
        <f>IF('Smart Search'!B13=1,IFERROR(1/'Smart Search'!H13,0),0)</f>
        <v>0</v>
      </c>
      <c r="W499" s="66">
        <f>IF('Smart Search'!B13=1,IFERROR(1/'Smart Search'!H13,0),0)</f>
        <v>0</v>
      </c>
      <c r="X499" s="66">
        <f>IF('Smart Search'!C13=1,IFERROR(1/'Smart Search'!H13,0),0)</f>
        <v>0.5</v>
      </c>
      <c r="Y499" s="66">
        <f>IF('Smart Search'!C13=1,IFERROR(1/'Smart Search'!H13,0),0)</f>
        <v>0.5</v>
      </c>
      <c r="Z499" s="66">
        <f>IF('Smart Search'!D13=1,IFERROR(1/'Smart Search'!H13,0),0)</f>
        <v>0</v>
      </c>
      <c r="AA499" s="66">
        <f>IF('Smart Search'!D13=1,IFERROR(1/'Smart Search'!H13,0),0)</f>
        <v>0</v>
      </c>
      <c r="AB499" s="66">
        <f>IF('Smart Search'!E13=1,IFERROR(1/'Smart Search'!H13,0),0)</f>
        <v>0</v>
      </c>
      <c r="AC499" s="66">
        <f>IF('Smart Search'!E13=1,IFERROR(1/'Smart Search'!H13,0),0)</f>
        <v>0</v>
      </c>
      <c r="AD499" s="66">
        <f>IF('Smart Search'!F13=1,IFERROR(1/'Smart Search'!H13,0),0)</f>
        <v>0</v>
      </c>
      <c r="AE499" s="66">
        <f>IF('Smart Search'!F13=1,IFERROR(1/'Smart Search'!H13,0),0)</f>
        <v>0</v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>0</v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>0</v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>0</v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>0</v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>0</v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>0</v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>0</v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>0</v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>0</v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>0</v>
      </c>
      <c r="AP499" s="66">
        <f t="shared" si="98"/>
        <v>0</v>
      </c>
      <c r="AQ499" s="66">
        <f t="shared" si="99"/>
        <v>0</v>
      </c>
      <c r="AR499" s="66">
        <f t="shared" si="100"/>
        <v>0</v>
      </c>
      <c r="AS499" s="66">
        <f t="shared" si="101"/>
        <v>0</v>
      </c>
      <c r="AT499" s="66">
        <f t="shared" si="102"/>
        <v>0</v>
      </c>
      <c r="AU499" s="66">
        <f t="shared" si="103"/>
        <v>0</v>
      </c>
      <c r="AV499" s="66">
        <f t="shared" si="104"/>
        <v>0</v>
      </c>
      <c r="AW499" s="66">
        <f t="shared" si="105"/>
        <v>0</v>
      </c>
      <c r="AX499" s="66">
        <f t="shared" si="106"/>
        <v>0</v>
      </c>
      <c r="AY499" s="66">
        <f t="shared" si="107"/>
        <v>0</v>
      </c>
      <c r="AZ499" s="66">
        <f>'Project Database'!Z503</f>
        <v>0</v>
      </c>
      <c r="BA499" s="66">
        <f>IF(OR(A499="",'Smart Search'!H13=0),"",MAX(0,BE499*BF499*MAX(0,1-BG499)))</f>
        <v>0</v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>0</v>
      </c>
      <c r="BC499" s="66">
        <f>IF('Smart Search'!G13=1,IFERROR(1/'Smart Search'!H13,0),0)</f>
        <v>0</v>
      </c>
      <c r="BD499" s="66">
        <f t="shared" si="108"/>
        <v>0</v>
      </c>
      <c r="BE499" s="66">
        <f t="shared" si="109"/>
        <v>0</v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>0</v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>0</v>
      </c>
      <c r="BH499" s="5" t="str">
        <f>IF(AND('Project Database'!A503&lt;&gt;"",OR('Smart Search'!$L$5="",'Smart Search'!$L$5="All",TRIM('Project Database'!D503)=TRIM('Smart Search'!$L$5)),OR(TRIM('Smart Search'!$L$6)="",TRIM('Smart Search'!$L$6)="All",ISNUMBER(SEARCH(SUBSTITUTE(SUBSTITUTE(SUBSTITUTE(TRIM('Smart Search'!$L$6),"~","~~"),"*","~*"),"?","~?"),'Project Database'!C503))),OR('Smart Search'!$L$7="",AND('Project Database'!E503&lt;&gt;"",'Project Database'!E503='Smart Search'!$L$7)),OR('Smart Search'!$L$8="",'Smart Search'!$L$8="All",TRIM('Project Database'!F503)=TRIM('Smart Search'!$L$8))),IF(BA499="","",BA499+ROW()*0.0000000001),"")</f>
        <v/>
      </c>
      <c r="BI499" s="5" t="str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 t="str">
        <f>IF('Project Database'!A503="","",N('Project Database'!AC503))</f>
        <v/>
      </c>
      <c r="BK499" s="5" t="str">
        <f>IF('Project Database'!A503="","",N('Project Database'!AD503))</f>
        <v/>
      </c>
      <c r="BL499" s="5" t="str">
        <f>IF('Project Database'!A503="","",N('Project Database'!AE503))</f>
        <v/>
      </c>
      <c r="BM499" s="5" t="str">
        <f>IF('Project Database'!A503="","",N('Project Database'!AF503))</f>
        <v/>
      </c>
      <c r="BN499" s="5" t="str">
        <f>IF('Project Database'!A503="","",N('Project Database'!AG503))</f>
        <v/>
      </c>
      <c r="BO499" s="5" t="str">
        <f>IF('Project Database'!A503="","",N('Project Database'!AH503))</f>
        <v/>
      </c>
      <c r="BP499" s="5" t="str">
        <f>IF('Project Database'!A503="","",N('Project Database'!AI503))</f>
        <v/>
      </c>
      <c r="BQ499" s="5" t="str">
        <f>IF('Project Database'!A503="","",N('Project Database'!AJ503))</f>
        <v/>
      </c>
      <c r="BR499" s="5" t="str">
        <f>IF('Project Database'!A503="","",N('Project Database'!AK503))</f>
        <v/>
      </c>
      <c r="BS499" s="5" t="str">
        <f>IF('Project Database'!A503="","",N('Project Database'!AL503))</f>
        <v/>
      </c>
      <c r="BT499" s="5" t="str">
        <f>IF('Project Database'!A503="","",N('Project Database'!AM503))</f>
        <v/>
      </c>
      <c r="BU499" s="5" t="str">
        <f>IF('Project Database'!A503="","",N('Project Database'!AN503))</f>
        <v/>
      </c>
      <c r="BV499" s="5" t="str">
        <f>IF('Project Database'!A503="","",N('Project Database'!AO503))</f>
        <v/>
      </c>
      <c r="BW499" s="5" t="str">
        <f>IF('Project Database'!A503="","",N('Project Database'!AP503))</f>
        <v/>
      </c>
      <c r="BX499" s="5">
        <f t="shared" si="110"/>
        <v>0</v>
      </c>
      <c r="BY499" s="5">
        <f t="shared" si="111"/>
        <v>0</v>
      </c>
    </row>
    <row r="500" spans="1:77" ht="15" customHeight="1" x14ac:dyDescent="0.3">
      <c r="A500" s="66">
        <f>'Project Database'!A504</f>
        <v>0</v>
      </c>
      <c r="B500" s="66">
        <f>'Project Database'!B504</f>
        <v>0</v>
      </c>
      <c r="C500" s="66">
        <f>'Project Database'!G504</f>
        <v>0</v>
      </c>
      <c r="D500" s="66">
        <f>'Project Database'!H504</f>
        <v>0</v>
      </c>
      <c r="E500" s="66">
        <f>'Project Database'!I504</f>
        <v>0</v>
      </c>
      <c r="F500" s="66">
        <f>'Project Database'!J504</f>
        <v>0</v>
      </c>
      <c r="G500" s="66">
        <f>'Project Database'!K504</f>
        <v>0</v>
      </c>
      <c r="H500" s="66">
        <f>'Project Database'!L504</f>
        <v>0</v>
      </c>
      <c r="I500" s="66">
        <f>'Project Database'!M504</f>
        <v>0</v>
      </c>
      <c r="J500" s="66">
        <f>'Project Database'!N504</f>
        <v>0</v>
      </c>
      <c r="K500" s="66">
        <f>'Project Database'!O504</f>
        <v>0</v>
      </c>
      <c r="L500" s="66">
        <f>'Project Database'!P504</f>
        <v>0</v>
      </c>
      <c r="M500" s="66">
        <f>'Project Database'!Q504</f>
        <v>0</v>
      </c>
      <c r="N500" s="66">
        <f>'Project Database'!R504</f>
        <v>0</v>
      </c>
      <c r="O500" s="66">
        <f>'Project Database'!S504</f>
        <v>0</v>
      </c>
      <c r="P500" s="66">
        <f>'Project Database'!T504</f>
        <v>0</v>
      </c>
      <c r="Q500" s="66">
        <f>'Project Database'!U504</f>
        <v>0</v>
      </c>
      <c r="R500" s="66">
        <f>'Project Database'!V504</f>
        <v>0</v>
      </c>
      <c r="S500" s="66">
        <f>'Project Database'!W504</f>
        <v>0</v>
      </c>
      <c r="T500" s="66">
        <f>'Project Database'!X504</f>
        <v>0</v>
      </c>
      <c r="U500" s="67">
        <f>'Project Database'!Y504</f>
        <v>0</v>
      </c>
      <c r="V500" s="66">
        <f>IF('Smart Search'!B13=1,IFERROR(1/'Smart Search'!H13,0),0)</f>
        <v>0</v>
      </c>
      <c r="W500" s="66">
        <f>IF('Smart Search'!B13=1,IFERROR(1/'Smart Search'!H13,0),0)</f>
        <v>0</v>
      </c>
      <c r="X500" s="66">
        <f>IF('Smart Search'!C13=1,IFERROR(1/'Smart Search'!H13,0),0)</f>
        <v>0.5</v>
      </c>
      <c r="Y500" s="66">
        <f>IF('Smart Search'!C13=1,IFERROR(1/'Smart Search'!H13,0),0)</f>
        <v>0.5</v>
      </c>
      <c r="Z500" s="66">
        <f>IF('Smart Search'!D13=1,IFERROR(1/'Smart Search'!H13,0),0)</f>
        <v>0</v>
      </c>
      <c r="AA500" s="66">
        <f>IF('Smart Search'!D13=1,IFERROR(1/'Smart Search'!H13,0),0)</f>
        <v>0</v>
      </c>
      <c r="AB500" s="66">
        <f>IF('Smart Search'!E13=1,IFERROR(1/'Smart Search'!H13,0),0)</f>
        <v>0</v>
      </c>
      <c r="AC500" s="66">
        <f>IF('Smart Search'!E13=1,IFERROR(1/'Smart Search'!H13,0),0)</f>
        <v>0</v>
      </c>
      <c r="AD500" s="66">
        <f>IF('Smart Search'!F13=1,IFERROR(1/'Smart Search'!H13,0),0)</f>
        <v>0</v>
      </c>
      <c r="AE500" s="66">
        <f>IF('Smart Search'!F13=1,IFERROR(1/'Smart Search'!H13,0),0)</f>
        <v>0</v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>0</v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>0</v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>0</v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>0</v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>0</v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>0</v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>0</v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>0</v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>0</v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>0</v>
      </c>
      <c r="AP500" s="66">
        <f t="shared" si="98"/>
        <v>0</v>
      </c>
      <c r="AQ500" s="66">
        <f t="shared" si="99"/>
        <v>0</v>
      </c>
      <c r="AR500" s="66">
        <f t="shared" si="100"/>
        <v>0</v>
      </c>
      <c r="AS500" s="66">
        <f t="shared" si="101"/>
        <v>0</v>
      </c>
      <c r="AT500" s="66">
        <f t="shared" si="102"/>
        <v>0</v>
      </c>
      <c r="AU500" s="66">
        <f t="shared" si="103"/>
        <v>0</v>
      </c>
      <c r="AV500" s="66">
        <f t="shared" si="104"/>
        <v>0</v>
      </c>
      <c r="AW500" s="66">
        <f t="shared" si="105"/>
        <v>0</v>
      </c>
      <c r="AX500" s="66">
        <f t="shared" si="106"/>
        <v>0</v>
      </c>
      <c r="AY500" s="66">
        <f t="shared" si="107"/>
        <v>0</v>
      </c>
      <c r="AZ500" s="66">
        <f>'Project Database'!Z504</f>
        <v>0</v>
      </c>
      <c r="BA500" s="66">
        <f>IF(OR(A500="",'Smart Search'!H13=0),"",MAX(0,BE500*BF500*MAX(0,1-BG500)))</f>
        <v>0</v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>0</v>
      </c>
      <c r="BC500" s="66">
        <f>IF('Smart Search'!G13=1,IFERROR(1/'Smart Search'!H13,0),0)</f>
        <v>0</v>
      </c>
      <c r="BD500" s="66">
        <f t="shared" si="108"/>
        <v>0</v>
      </c>
      <c r="BE500" s="66">
        <f t="shared" si="109"/>
        <v>0</v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>0</v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>0</v>
      </c>
      <c r="BH500" s="5" t="str">
        <f>IF(AND('Project Database'!A504&lt;&gt;"",OR('Smart Search'!$L$5="",'Smart Search'!$L$5="All",TRIM('Project Database'!D504)=TRIM('Smart Search'!$L$5)),OR(TRIM('Smart Search'!$L$6)="",TRIM('Smart Search'!$L$6)="All",ISNUMBER(SEARCH(SUBSTITUTE(SUBSTITUTE(SUBSTITUTE(TRIM('Smart Search'!$L$6),"~","~~"),"*","~*"),"?","~?"),'Project Database'!C504))),OR('Smart Search'!$L$7="",AND('Project Database'!E504&lt;&gt;"",'Project Database'!E504='Smart Search'!$L$7)),OR('Smart Search'!$L$8="",'Smart Search'!$L$8="All",TRIM('Project Database'!F504)=TRIM('Smart Search'!$L$8))),IF(BA500="","",BA500+ROW()*0.0000000001),"")</f>
        <v/>
      </c>
      <c r="BI500" s="5" t="str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 t="str">
        <f>IF('Project Database'!A504="","",N('Project Database'!AC504))</f>
        <v/>
      </c>
      <c r="BK500" s="5" t="str">
        <f>IF('Project Database'!A504="","",N('Project Database'!AD504))</f>
        <v/>
      </c>
      <c r="BL500" s="5" t="str">
        <f>IF('Project Database'!A504="","",N('Project Database'!AE504))</f>
        <v/>
      </c>
      <c r="BM500" s="5" t="str">
        <f>IF('Project Database'!A504="","",N('Project Database'!AF504))</f>
        <v/>
      </c>
      <c r="BN500" s="5" t="str">
        <f>IF('Project Database'!A504="","",N('Project Database'!AG504))</f>
        <v/>
      </c>
      <c r="BO500" s="5" t="str">
        <f>IF('Project Database'!A504="","",N('Project Database'!AH504))</f>
        <v/>
      </c>
      <c r="BP500" s="5" t="str">
        <f>IF('Project Database'!A504="","",N('Project Database'!AI504))</f>
        <v/>
      </c>
      <c r="BQ500" s="5" t="str">
        <f>IF('Project Database'!A504="","",N('Project Database'!AJ504))</f>
        <v/>
      </c>
      <c r="BR500" s="5" t="str">
        <f>IF('Project Database'!A504="","",N('Project Database'!AK504))</f>
        <v/>
      </c>
      <c r="BS500" s="5" t="str">
        <f>IF('Project Database'!A504="","",N('Project Database'!AL504))</f>
        <v/>
      </c>
      <c r="BT500" s="5" t="str">
        <f>IF('Project Database'!A504="","",N('Project Database'!AM504))</f>
        <v/>
      </c>
      <c r="BU500" s="5" t="str">
        <f>IF('Project Database'!A504="","",N('Project Database'!AN504))</f>
        <v/>
      </c>
      <c r="BV500" s="5" t="str">
        <f>IF('Project Database'!A504="","",N('Project Database'!AO504))</f>
        <v/>
      </c>
      <c r="BW500" s="5" t="str">
        <f>IF('Project Database'!A504="","",N('Project Database'!AP504))</f>
        <v/>
      </c>
      <c r="BX500" s="5">
        <f t="shared" si="110"/>
        <v>0</v>
      </c>
      <c r="BY500" s="5">
        <f t="shared" si="111"/>
        <v>0</v>
      </c>
    </row>
    <row r="501" spans="1:77" ht="15" customHeight="1" x14ac:dyDescent="0.3">
      <c r="A501" s="66">
        <f>'Project Database'!A505</f>
        <v>0</v>
      </c>
      <c r="B501" s="66">
        <f>'Project Database'!B505</f>
        <v>0</v>
      </c>
      <c r="C501" s="66">
        <f>'Project Database'!G505</f>
        <v>0</v>
      </c>
      <c r="D501" s="66">
        <f>'Project Database'!H505</f>
        <v>0</v>
      </c>
      <c r="E501" s="66">
        <f>'Project Database'!I505</f>
        <v>0</v>
      </c>
      <c r="F501" s="66">
        <f>'Project Database'!J505</f>
        <v>0</v>
      </c>
      <c r="G501" s="66">
        <f>'Project Database'!K505</f>
        <v>0</v>
      </c>
      <c r="H501" s="66">
        <f>'Project Database'!L505</f>
        <v>0</v>
      </c>
      <c r="I501" s="66">
        <f>'Project Database'!M505</f>
        <v>0</v>
      </c>
      <c r="J501" s="66">
        <f>'Project Database'!N505</f>
        <v>0</v>
      </c>
      <c r="K501" s="66">
        <f>'Project Database'!O505</f>
        <v>0</v>
      </c>
      <c r="L501" s="66">
        <f>'Project Database'!P505</f>
        <v>0</v>
      </c>
      <c r="M501" s="66">
        <f>'Project Database'!Q505</f>
        <v>0</v>
      </c>
      <c r="N501" s="66">
        <f>'Project Database'!R505</f>
        <v>0</v>
      </c>
      <c r="O501" s="66">
        <f>'Project Database'!S505</f>
        <v>0</v>
      </c>
      <c r="P501" s="66">
        <f>'Project Database'!T505</f>
        <v>0</v>
      </c>
      <c r="Q501" s="66">
        <f>'Project Database'!U505</f>
        <v>0</v>
      </c>
      <c r="R501" s="66">
        <f>'Project Database'!V505</f>
        <v>0</v>
      </c>
      <c r="S501" s="66">
        <f>'Project Database'!W505</f>
        <v>0</v>
      </c>
      <c r="T501" s="66">
        <f>'Project Database'!X505</f>
        <v>0</v>
      </c>
      <c r="U501" s="67">
        <f>'Project Database'!Y505</f>
        <v>0</v>
      </c>
      <c r="V501" s="66">
        <f>IF('Smart Search'!B13=1,IFERROR(1/'Smart Search'!H13,0),0)</f>
        <v>0</v>
      </c>
      <c r="W501" s="66">
        <f>IF('Smart Search'!B13=1,IFERROR(1/'Smart Search'!H13,0),0)</f>
        <v>0</v>
      </c>
      <c r="X501" s="66">
        <f>IF('Smart Search'!C13=1,IFERROR(1/'Smart Search'!H13,0),0)</f>
        <v>0.5</v>
      </c>
      <c r="Y501" s="66">
        <f>IF('Smart Search'!C13=1,IFERROR(1/'Smart Search'!H13,0),0)</f>
        <v>0.5</v>
      </c>
      <c r="Z501" s="66">
        <f>IF('Smart Search'!D13=1,IFERROR(1/'Smart Search'!H13,0),0)</f>
        <v>0</v>
      </c>
      <c r="AA501" s="66">
        <f>IF('Smart Search'!D13=1,IFERROR(1/'Smart Search'!H13,0),0)</f>
        <v>0</v>
      </c>
      <c r="AB501" s="66">
        <f>IF('Smart Search'!E13=1,IFERROR(1/'Smart Search'!H13,0),0)</f>
        <v>0</v>
      </c>
      <c r="AC501" s="66">
        <f>IF('Smart Search'!E13=1,IFERROR(1/'Smart Search'!H13,0),0)</f>
        <v>0</v>
      </c>
      <c r="AD501" s="66">
        <f>IF('Smart Search'!F13=1,IFERROR(1/'Smart Search'!H13,0),0)</f>
        <v>0</v>
      </c>
      <c r="AE501" s="66">
        <f>IF('Smart Search'!F13=1,IFERROR(1/'Smart Search'!H13,0),0)</f>
        <v>0</v>
      </c>
      <c r="AF501" s="66">
        <f>IF('Smart Search'!B13=0,0,IF(AND(OR(C501="",C501=0),OR('Smart Search'!E5="",'Smart Search'!E5=0)),1,IF(OR(C501="",C501=0,'Smart Search'!E5="",'Smart Search'!E5=0),0,MAX(0,1-ABS(C501-'Smart Search'!E5)/MAX(ABS(C501),ABS('Smart Search'!E5))))))</f>
        <v>0</v>
      </c>
      <c r="AG501" s="66">
        <f>IF('Smart Search'!B13=0,0,IF(AND(OR(D501="",D501=0),OR('Smart Search'!G5="",'Smart Search'!G5=0)),1,IF(OR(D501="",D501=0,'Smart Search'!G5="",'Smart Search'!G5=0),0,MAX(0,1-ABS(D501-'Smart Search'!G5)/MAX(ABS(D501),ABS('Smart Search'!G5))))))</f>
        <v>0</v>
      </c>
      <c r="AH501" s="66">
        <f>IF('Smart Search'!C13=0,0,IF(AND(OR(E501="",E501=0),OR('Smart Search'!E6="",'Smart Search'!E6=0)),1,IF(OR(E501="",E501=0,'Smart Search'!E6="",'Smart Search'!E6=0),0,MAX(0,1-ABS(E501-'Smart Search'!E6)/MAX(ABS(E501),ABS('Smart Search'!E6))))))</f>
        <v>0</v>
      </c>
      <c r="AI501" s="66">
        <f>IF('Smart Search'!C13=0,0,IF(AND(OR(F501="",F501=0),OR('Smart Search'!G6="",'Smart Search'!G6=0)),1,IF(OR(F501="",F501=0,'Smart Search'!G6="",'Smart Search'!G6=0),0,MAX(0,1-ABS(F501-'Smart Search'!G6)/MAX(ABS(F501),ABS('Smart Search'!G6))))))</f>
        <v>0</v>
      </c>
      <c r="AJ501" s="66">
        <f>IF('Smart Search'!D13=0,0,IF(AND(OR(G501="",G501=0),OR('Smart Search'!E7="",'Smart Search'!E7=0)),1,IF(OR(G501="",G501=0,'Smart Search'!E7="",'Smart Search'!E7=0),0,MAX(0,1-ABS(G501-'Smart Search'!E7)/MAX(ABS(G501),ABS('Smart Search'!E7))))))</f>
        <v>0</v>
      </c>
      <c r="AK501" s="66">
        <f>IF('Smart Search'!D13=0,0,IF(AND(OR(H501="",H501=0),OR('Smart Search'!G7="",'Smart Search'!G7=0)),1,IF(OR(H501="",H501=0,'Smart Search'!G7="",'Smart Search'!G7=0),0,MAX(0,1-ABS(H501-'Smart Search'!G7)/MAX(ABS(H501),ABS('Smart Search'!G7))))))</f>
        <v>0</v>
      </c>
      <c r="AL501" s="66">
        <f>IF('Smart Search'!E13=0,0,IF(AND(OR(I501="",I501=0),OR('Smart Search'!E8="",'Smart Search'!E8=0)),1,IF(OR(I501="",I501=0,'Smart Search'!E8="",'Smart Search'!E8=0),0,MAX(0,1-ABS(I501-'Smart Search'!E8)/MAX(ABS(I501),ABS('Smart Search'!E8))))))</f>
        <v>0</v>
      </c>
      <c r="AM501" s="66">
        <f>IF('Smart Search'!E13=0,0,IF(AND(OR(J501="",J501=0),OR('Smart Search'!G8="",'Smart Search'!G8=0)),1,IF(OR(J501="",J501=0,'Smart Search'!G8="",'Smart Search'!G8=0),0,MAX(0,1-ABS(J501-'Smart Search'!G8)/MAX(ABS(J501),ABS('Smart Search'!G8))))))</f>
        <v>0</v>
      </c>
      <c r="AN501" s="66">
        <f>IF('Smart Search'!F13=0,0,IF(AND(OR(K501="",K501=0),OR('Smart Search'!E9="",'Smart Search'!E9=0)),1,IF(OR(K501="",K501=0,'Smart Search'!E9="",'Smart Search'!E9=0),0,MAX(0,1-ABS(K501-'Smart Search'!E9)/MAX(ABS(K501),ABS('Smart Search'!E9))))))</f>
        <v>0</v>
      </c>
      <c r="AO501" s="66">
        <f>IF('Smart Search'!F13=0,0,IF(AND(OR(L501="",L501=0),OR('Smart Search'!G9="",'Smart Search'!G9=0)),1,IF(OR(L501="",L501=0,'Smart Search'!G9="",'Smart Search'!G9=0),0,MAX(0,1-ABS(L501-'Smart Search'!G9)/MAX(ABS(L501),ABS('Smart Search'!G9))))))</f>
        <v>0</v>
      </c>
      <c r="AP501" s="66">
        <f t="shared" si="98"/>
        <v>0</v>
      </c>
      <c r="AQ501" s="66">
        <f t="shared" si="99"/>
        <v>0</v>
      </c>
      <c r="AR501" s="66">
        <f t="shared" si="100"/>
        <v>0</v>
      </c>
      <c r="AS501" s="66">
        <f t="shared" si="101"/>
        <v>0</v>
      </c>
      <c r="AT501" s="66">
        <f t="shared" si="102"/>
        <v>0</v>
      </c>
      <c r="AU501" s="66">
        <f t="shared" si="103"/>
        <v>0</v>
      </c>
      <c r="AV501" s="66">
        <f t="shared" si="104"/>
        <v>0</v>
      </c>
      <c r="AW501" s="66">
        <f t="shared" si="105"/>
        <v>0</v>
      </c>
      <c r="AX501" s="66">
        <f t="shared" si="106"/>
        <v>0</v>
      </c>
      <c r="AY501" s="66">
        <f t="shared" si="107"/>
        <v>0</v>
      </c>
      <c r="AZ501" s="66">
        <f>'Project Database'!Z505</f>
        <v>0</v>
      </c>
      <c r="BA501" s="66">
        <f>IF(OR(A501="",'Smart Search'!H13=0),"",MAX(0,BE501*BF501*MAX(0,1-BG501)))</f>
        <v>0</v>
      </c>
      <c r="BB501" s="66">
        <f>IF(OR('Smart Search'!G13=0,'Smart Search'!W13=0,AZ501=""),0,IFERROR(SUMPRODUCT((ISNUMBER(SEARCH(" "&amp;'Smart Search'!I13:V13&amp;" "," "&amp;AZ501&amp;" ")))*(LEN(TRIM('Smart Search'!I13:V13))&gt;0))/MAX('Smart Search'!W13,IF(TRIM(AZ501)="",0,LEN(TRIM(AZ501))-LEN(SUBSTITUTE(TRIM(AZ501)," ",""))+1)),0))</f>
        <v>0</v>
      </c>
      <c r="BC501" s="66">
        <f>IF('Smart Search'!G13=1,IFERROR(1/'Smart Search'!H13,0),0)</f>
        <v>0</v>
      </c>
      <c r="BD501" s="66">
        <f t="shared" si="108"/>
        <v>0</v>
      </c>
      <c r="BE501" s="66">
        <f t="shared" si="109"/>
        <v>0</v>
      </c>
      <c r="BF501" s="5">
        <f>IFERROR((IF(AND('Smart Search'!B13=1,OR(C501&gt;0,D501&gt;0)),1,0)+IF(AND('Smart Search'!C13=1,OR(E501&gt;0,F501&gt;0)),1,0)+IF(AND('Smart Search'!D13=1,OR(G501&gt;0,H501&gt;0)),1,0)+IF(AND('Smart Search'!E13=1,OR(I501&gt;0,J501&gt;0)),1,0)+IF(AND('Smart Search'!F13=1,OR(K501&gt;0,L501&gt;0)),1,0))/('Smart Search'!B13+'Smart Search'!C13+'Smart Search'!D13+'Smart Search'!E13+'Smart Search'!F13),0)</f>
        <v>0</v>
      </c>
      <c r="BG501" s="5">
        <f>IF(AND('Smart Search'!B13=0,OR(C501&gt;0,D501&gt;0)),0.25,0)+IF(AND('Smart Search'!C13=0,OR(E501&gt;0,F501&gt;0)),0.25,0)+IF(AND('Smart Search'!D13=0,OR(G501&gt;0,H501&gt;0)),0.25,0)+IF(AND('Smart Search'!E13=0,OR(I501&gt;0,J501&gt;0)),0.25,0)+IF(AND('Smart Search'!F13=0,OR(K501&gt;0,L501&gt;0)),0.25,0)</f>
        <v>0</v>
      </c>
      <c r="BH501" s="5" t="str">
        <f>IF(AND('Project Database'!A505&lt;&gt;"",OR('Smart Search'!$L$5="",'Smart Search'!$L$5="All",TRIM('Project Database'!D505)=TRIM('Smart Search'!$L$5)),OR(TRIM('Smart Search'!$L$6)="",TRIM('Smart Search'!$L$6)="All",ISNUMBER(SEARCH(SUBSTITUTE(SUBSTITUTE(SUBSTITUTE(TRIM('Smart Search'!$L$6),"~","~~"),"*","~*"),"?","~?"),'Project Database'!C505))),OR('Smart Search'!$L$7="",AND('Project Database'!E505&lt;&gt;"",'Project Database'!E505='Smart Search'!$L$7)),OR('Smart Search'!$L$8="",'Smart Search'!$L$8="All",TRIM('Project Database'!F505)=TRIM('Smart Search'!$L$8))),IF(BA501="","",BA501+ROW()*0.0000000001),"")</f>
        <v/>
      </c>
      <c r="BI501" s="5" t="str">
        <f>IF(A501="","",IF(AND('Smart Search'!B13=0,OR(C501&gt;0,D501&gt;0)),"Multishuttle, ","")&amp;IF(AND('Smart Search'!C13=0,OR(E501&gt;0,F501&gt;0)),"AutoStore, ","")&amp;IF(AND('Smart Search'!D13=0,OR(G501&gt;0,H501&gt;0)),"Pallet Shuttle, ","")&amp;IF(AND('Smart Search'!E13=0,OR(I501&gt;0,J501&gt;0)),"SRM Crane, ",""))</f>
        <v/>
      </c>
      <c r="BJ501" s="5" t="str">
        <f>IF('Project Database'!A505="","",N('Project Database'!AC505))</f>
        <v/>
      </c>
      <c r="BK501" s="5" t="str">
        <f>IF('Project Database'!A505="","",N('Project Database'!AD505))</f>
        <v/>
      </c>
      <c r="BL501" s="5" t="str">
        <f>IF('Project Database'!A505="","",N('Project Database'!AE505))</f>
        <v/>
      </c>
      <c r="BM501" s="5" t="str">
        <f>IF('Project Database'!A505="","",N('Project Database'!AF505))</f>
        <v/>
      </c>
      <c r="BN501" s="5" t="str">
        <f>IF('Project Database'!A505="","",N('Project Database'!AG505))</f>
        <v/>
      </c>
      <c r="BO501" s="5" t="str">
        <f>IF('Project Database'!A505="","",N('Project Database'!AH505))</f>
        <v/>
      </c>
      <c r="BP501" s="5" t="str">
        <f>IF('Project Database'!A505="","",N('Project Database'!AI505))</f>
        <v/>
      </c>
      <c r="BQ501" s="5" t="str">
        <f>IF('Project Database'!A505="","",N('Project Database'!AJ505))</f>
        <v/>
      </c>
      <c r="BR501" s="5" t="str">
        <f>IF('Project Database'!A505="","",N('Project Database'!AK505))</f>
        <v/>
      </c>
      <c r="BS501" s="5" t="str">
        <f>IF('Project Database'!A505="","",N('Project Database'!AL505))</f>
        <v/>
      </c>
      <c r="BT501" s="5" t="str">
        <f>IF('Project Database'!A505="","",N('Project Database'!AM505))</f>
        <v/>
      </c>
      <c r="BU501" s="5" t="str">
        <f>IF('Project Database'!A505="","",N('Project Database'!AN505))</f>
        <v/>
      </c>
      <c r="BV501" s="5" t="str">
        <f>IF('Project Database'!A505="","",N('Project Database'!AO505))</f>
        <v/>
      </c>
      <c r="BW501" s="5" t="str">
        <f>IF('Project Database'!A505="","",N('Project Database'!AP505))</f>
        <v/>
      </c>
      <c r="BX501" s="5">
        <f t="shared" si="110"/>
        <v>0</v>
      </c>
      <c r="BY501" s="5">
        <f t="shared" si="111"/>
        <v>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8931A"/>
  </sheetPr>
  <dimension ref="A1:V33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defaultColWidth="8.6640625" defaultRowHeight="14.4" x14ac:dyDescent="0.3"/>
  <cols>
    <col min="1" max="1" width="28" customWidth="1"/>
    <col min="2" max="2" width="2" customWidth="1"/>
    <col min="3" max="8" width="12" customWidth="1"/>
    <col min="9" max="9" width="2" customWidth="1"/>
    <col min="10" max="15" width="12" customWidth="1"/>
    <col min="16" max="16" width="2" customWidth="1"/>
    <col min="17" max="22" width="12" customWidth="1"/>
  </cols>
  <sheetData>
    <row r="1" spans="1:22" ht="36" customHeight="1" x14ac:dyDescent="0.3">
      <c r="A1" s="147" t="s">
        <v>326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</row>
    <row r="2" spans="1:22" ht="15.75" customHeight="1" x14ac:dyDescent="0.3">
      <c r="A2" s="73" t="s">
        <v>183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</row>
    <row r="3" spans="1:22" ht="27.75" customHeight="1" x14ac:dyDescent="0.3">
      <c r="A3" s="153"/>
      <c r="B3" s="74"/>
      <c r="C3" s="148" t="s">
        <v>327</v>
      </c>
      <c r="D3" s="74"/>
      <c r="E3" s="74"/>
      <c r="F3" s="74"/>
      <c r="G3" s="74"/>
      <c r="H3" s="74"/>
      <c r="I3" s="6"/>
      <c r="J3" s="144" t="s">
        <v>328</v>
      </c>
      <c r="K3" s="74"/>
      <c r="L3" s="74"/>
      <c r="M3" s="74"/>
      <c r="N3" s="74"/>
      <c r="O3" s="74"/>
      <c r="P3" s="6"/>
      <c r="Q3" s="142" t="s">
        <v>329</v>
      </c>
      <c r="R3" s="74"/>
      <c r="S3" s="74"/>
      <c r="T3" s="74"/>
      <c r="U3" s="74"/>
      <c r="V3" s="74"/>
    </row>
    <row r="4" spans="1:22" ht="27.75" customHeight="1" x14ac:dyDescent="0.3">
      <c r="A4" s="149" t="s">
        <v>236</v>
      </c>
      <c r="B4" s="88"/>
      <c r="C4" s="143" t="str">
        <f>IFERROR(TEXT(LARGE(_Helper!BH2:BH501,1),"0%"),"-")</f>
        <v>80%</v>
      </c>
      <c r="D4" s="94"/>
      <c r="E4" s="94"/>
      <c r="F4" s="94"/>
      <c r="G4" s="94"/>
      <c r="H4" s="94"/>
      <c r="J4" s="141" t="str">
        <f>IFERROR(TEXT(LARGE(_Helper!BH2:BH501,2),"0%"),"-")</f>
        <v>80%</v>
      </c>
      <c r="K4" s="72"/>
      <c r="L4" s="72"/>
      <c r="M4" s="72"/>
      <c r="N4" s="72"/>
      <c r="O4" s="72"/>
      <c r="Q4" s="152" t="str">
        <f>IFERROR(TEXT(LARGE(_Helper!BH2:BH501,3),"0%"),"-")</f>
        <v>75%</v>
      </c>
      <c r="R4" s="72"/>
      <c r="S4" s="72"/>
      <c r="T4" s="72"/>
      <c r="U4" s="72"/>
      <c r="V4" s="72"/>
    </row>
    <row r="5" spans="1:22" ht="19.5" customHeight="1" x14ac:dyDescent="0.3">
      <c r="A5" s="139" t="s">
        <v>330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</row>
    <row r="6" spans="1:22" ht="19.5" customHeight="1" x14ac:dyDescent="0.3">
      <c r="A6" s="140" t="s">
        <v>214</v>
      </c>
      <c r="B6" s="91"/>
      <c r="C6" s="135" t="str">
        <f>IFERROR(INDEX(_Helper!A2:A501,MATCH(LARGE(_Helper!BH2:BH501,1),_Helper!BH2:BH501,0)),"-")</f>
        <v>SC22126</v>
      </c>
      <c r="D6" s="91"/>
      <c r="E6" s="91"/>
      <c r="F6" s="91"/>
      <c r="G6" s="91"/>
      <c r="H6" s="91"/>
      <c r="I6" s="7"/>
      <c r="J6" s="136" t="str">
        <f>IFERROR(INDEX(_Helper!A2:A501,MATCH(LARGE(_Helper!BH2:BH501,2),_Helper!BH2:BH501,0)),"-")</f>
        <v>SW31261</v>
      </c>
      <c r="K6" s="91"/>
      <c r="L6" s="91"/>
      <c r="M6" s="91"/>
      <c r="N6" s="91"/>
      <c r="O6" s="91"/>
      <c r="P6" s="7"/>
      <c r="Q6" s="138" t="str">
        <f>IFERROR(INDEX(_Helper!A2:A501,MATCH(LARGE(_Helper!BH2:BH501,3),_Helper!BH2:BH501,0)),"-")</f>
        <v>SW31269</v>
      </c>
      <c r="R6" s="91"/>
      <c r="S6" s="91"/>
      <c r="T6" s="91"/>
      <c r="U6" s="91"/>
      <c r="V6" s="91"/>
    </row>
    <row r="7" spans="1:22" ht="19.5" customHeight="1" x14ac:dyDescent="0.3">
      <c r="A7" s="137" t="s">
        <v>215</v>
      </c>
      <c r="B7" s="91"/>
      <c r="C7" s="135" t="str">
        <f>IFERROR(INDEX(_Helper!B2:B501,MATCH(LARGE(_Helper!BH2:BH501,1),_Helper!BH2:BH501,0)),"-")</f>
        <v>Plexus Riverside</v>
      </c>
      <c r="D7" s="91"/>
      <c r="E7" s="91"/>
      <c r="F7" s="91"/>
      <c r="G7" s="91"/>
      <c r="H7" s="91"/>
      <c r="I7" s="8"/>
      <c r="J7" s="136" t="str">
        <f>IFERROR(INDEX(_Helper!B2:B501,MATCH(LARGE(_Helper!BH2:BH501,2),_Helper!BH2:BH501,0)),"-")</f>
        <v>Plexus Seaside</v>
      </c>
      <c r="K7" s="91"/>
      <c r="L7" s="91"/>
      <c r="M7" s="91"/>
      <c r="N7" s="91"/>
      <c r="O7" s="91"/>
      <c r="P7" s="8"/>
      <c r="Q7" s="138" t="str">
        <f>IFERROR(INDEX(_Helper!B2:B501,MATCH(LARGE(_Helper!BH2:BH501,3),_Helper!BH2:BH501,0)),"-")</f>
        <v>Plexus Bangkok</v>
      </c>
      <c r="R7" s="91"/>
      <c r="S7" s="91"/>
      <c r="T7" s="91"/>
      <c r="U7" s="91"/>
      <c r="V7" s="91"/>
    </row>
    <row r="8" spans="1:22" ht="19.5" customHeight="1" x14ac:dyDescent="0.3">
      <c r="A8" s="140" t="s">
        <v>14</v>
      </c>
      <c r="B8" s="91"/>
      <c r="C8" s="135" t="str">
        <f>IFERROR(INDEX('Project Database'!C:C,MATCH(INDEX(_Helper!A2:A501,MATCH(LARGE(_Helper!BH2:BH501,1),_Helper!BH2:BH501,0)),'Project Database'!A:A,0)),"-")</f>
        <v>Malaysia ASIA</v>
      </c>
      <c r="D8" s="91"/>
      <c r="E8" s="91"/>
      <c r="F8" s="91"/>
      <c r="G8" s="91"/>
      <c r="H8" s="91"/>
      <c r="I8" s="7"/>
      <c r="J8" s="136" t="str">
        <f>IFERROR(INDEX('Project Database'!C:C,MATCH(INDEX(_Helper!A2:A501,MATCH(LARGE(_Helper!BH2:BH501,2),_Helper!BH2:BH501,0)),'Project Database'!A:A,0)),"-")</f>
        <v>Malaysia ASIA</v>
      </c>
      <c r="K8" s="91"/>
      <c r="L8" s="91"/>
      <c r="M8" s="91"/>
      <c r="N8" s="91"/>
      <c r="O8" s="91"/>
      <c r="P8" s="7"/>
      <c r="Q8" s="138" t="str">
        <f>IFERROR(INDEX('Project Database'!C:C,MATCH(INDEX(_Helper!A2:A501,MATCH(LARGE(_Helper!BH2:BH501,3),_Helper!BH2:BH501,0)),'Project Database'!A:A,0)),"-")</f>
        <v>Malaysia ASIA</v>
      </c>
      <c r="R8" s="91"/>
      <c r="S8" s="91"/>
      <c r="T8" s="91"/>
      <c r="U8" s="91"/>
      <c r="V8" s="91"/>
    </row>
    <row r="9" spans="1:22" ht="19.5" customHeight="1" x14ac:dyDescent="0.3">
      <c r="A9" s="137" t="s">
        <v>16</v>
      </c>
      <c r="B9" s="91"/>
      <c r="C9" s="135">
        <f>IFERROR(INDEX('Project Database'!E:E,MATCH(INDEX(_Helper!A2:A501,MATCH(LARGE(_Helper!BH2:BH501,1),_Helper!BH2:BH501,0)),'Project Database'!A:A,0)),"-")</f>
        <v>2022</v>
      </c>
      <c r="D9" s="91"/>
      <c r="E9" s="91"/>
      <c r="F9" s="91"/>
      <c r="G9" s="91"/>
      <c r="H9" s="91"/>
      <c r="I9" s="8"/>
      <c r="J9" s="136">
        <f>IFERROR(INDEX('Project Database'!E:E,MATCH(INDEX(_Helper!A2:A501,MATCH(LARGE(_Helper!BH2:BH501,2),_Helper!BH2:BH501,0)),'Project Database'!A:A,0)),"-")</f>
        <v>2024</v>
      </c>
      <c r="K9" s="91"/>
      <c r="L9" s="91"/>
      <c r="M9" s="91"/>
      <c r="N9" s="91"/>
      <c r="O9" s="91"/>
      <c r="P9" s="8"/>
      <c r="Q9" s="138">
        <f>IFERROR(INDEX('Project Database'!E:E,MATCH(INDEX(_Helper!A2:A501,MATCH(LARGE(_Helper!BH2:BH501,3),_Helper!BH2:BH501,0)),'Project Database'!A:A,0)),"-")</f>
        <v>2025</v>
      </c>
      <c r="R9" s="91"/>
      <c r="S9" s="91"/>
      <c r="T9" s="91"/>
      <c r="U9" s="91"/>
      <c r="V9" s="91"/>
    </row>
    <row r="10" spans="1:22" ht="19.5" customHeight="1" x14ac:dyDescent="0.3">
      <c r="A10" s="140" t="s">
        <v>331</v>
      </c>
      <c r="B10" s="91"/>
      <c r="C10" s="135" t="str">
        <f>IFERROR(INDEX(_Helper!T2:T501,MATCH(LARGE(_Helper!BH2:BH501,1),_Helper!BH2:BH501,0))&amp;" "&amp;TEXT(INDEX(_Helper!U2:U501,MATCH(LARGE(_Helper!BH2:BH501,1),_Helper!BH2:BH501,0)),"#,##0.00")&amp;" M","-")</f>
        <v>USD 1.79 M</v>
      </c>
      <c r="D10" s="91"/>
      <c r="E10" s="91"/>
      <c r="F10" s="91"/>
      <c r="G10" s="91"/>
      <c r="H10" s="91"/>
      <c r="I10" s="7"/>
      <c r="J10" s="136" t="str">
        <f>IFERROR(INDEX(_Helper!T2:T501,MATCH(LARGE(_Helper!BH2:BH501,2),_Helper!BH2:BH501,0))&amp;" "&amp;TEXT(INDEX(_Helper!U2:U501,MATCH(LARGE(_Helper!BH2:BH501,2),_Helper!BH2:BH501,0)),"#,##0.00")&amp;" M","-")</f>
        <v>USD 1.63 M</v>
      </c>
      <c r="K10" s="91"/>
      <c r="L10" s="91"/>
      <c r="M10" s="91"/>
      <c r="N10" s="91"/>
      <c r="O10" s="91"/>
      <c r="P10" s="7"/>
      <c r="Q10" s="138" t="str">
        <f>IFERROR(INDEX(_Helper!T2:T501,MATCH(LARGE(_Helper!BH2:BH501,3),_Helper!BH2:BH501,0))&amp;" "&amp;TEXT(INDEX(_Helper!U2:U501,MATCH(LARGE(_Helper!BH2:BH501,3),_Helper!BH2:BH501,0)),"#,##0.00")&amp;" M","-")</f>
        <v>USD 1.70 M</v>
      </c>
      <c r="R10" s="91"/>
      <c r="S10" s="91"/>
      <c r="T10" s="91"/>
      <c r="U10" s="91"/>
      <c r="V10" s="91"/>
    </row>
    <row r="11" spans="1:22" ht="19.5" customHeight="1" x14ac:dyDescent="0.3">
      <c r="A11" s="139" t="s">
        <v>332</v>
      </c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</row>
    <row r="12" spans="1:22" ht="19.5" customHeight="1" x14ac:dyDescent="0.3">
      <c r="A12" s="140" t="s">
        <v>255</v>
      </c>
      <c r="B12" s="91"/>
      <c r="C12" s="135">
        <f>IFERROR(INDEX(_Helper!C2:C501,MATCH(LARGE(_Helper!BH2:BH501,1),_Helper!BH2:BH501,0)),"-")</f>
        <v>0</v>
      </c>
      <c r="D12" s="91"/>
      <c r="E12" s="91"/>
      <c r="F12" s="91"/>
      <c r="G12" s="91"/>
      <c r="H12" s="91"/>
      <c r="I12" s="7"/>
      <c r="J12" s="136">
        <f>IFERROR(INDEX(_Helper!C2:C501,MATCH(LARGE(_Helper!BH2:BH501,2),_Helper!BH2:BH501,0)),"-")</f>
        <v>0</v>
      </c>
      <c r="K12" s="91"/>
      <c r="L12" s="91"/>
      <c r="M12" s="91"/>
      <c r="N12" s="91"/>
      <c r="O12" s="91"/>
      <c r="P12" s="7"/>
      <c r="Q12" s="138">
        <f>IFERROR(INDEX(_Helper!C2:C501,MATCH(LARGE(_Helper!BH2:BH501,3),_Helper!BH2:BH501,0)),"-")</f>
        <v>0</v>
      </c>
      <c r="R12" s="91"/>
      <c r="S12" s="91"/>
      <c r="T12" s="91"/>
      <c r="U12" s="91"/>
      <c r="V12" s="91"/>
    </row>
    <row r="13" spans="1:22" ht="19.5" customHeight="1" x14ac:dyDescent="0.3">
      <c r="A13" s="137" t="s">
        <v>333</v>
      </c>
      <c r="B13" s="91"/>
      <c r="C13" s="135">
        <f>IFERROR(INDEX(_Helper!D2:D501,MATCH(LARGE(_Helper!BH2:BH501,1),_Helper!BH2:BH501,0)),"-")</f>
        <v>0</v>
      </c>
      <c r="D13" s="91"/>
      <c r="E13" s="91"/>
      <c r="F13" s="91"/>
      <c r="G13" s="91"/>
      <c r="H13" s="91"/>
      <c r="I13" s="8"/>
      <c r="J13" s="136">
        <f>IFERROR(INDEX(_Helper!D2:D501,MATCH(LARGE(_Helper!BH2:BH501,2),_Helper!BH2:BH501,0)),"-")</f>
        <v>0</v>
      </c>
      <c r="K13" s="91"/>
      <c r="L13" s="91"/>
      <c r="M13" s="91"/>
      <c r="N13" s="91"/>
      <c r="O13" s="91"/>
      <c r="P13" s="8"/>
      <c r="Q13" s="138">
        <f>IFERROR(INDEX(_Helper!D2:D501,MATCH(LARGE(_Helper!BH2:BH501,3),_Helper!BH2:BH501,0)),"-")</f>
        <v>0</v>
      </c>
      <c r="R13" s="91"/>
      <c r="S13" s="91"/>
      <c r="T13" s="91"/>
      <c r="U13" s="91"/>
      <c r="V13" s="91"/>
    </row>
    <row r="14" spans="1:22" ht="19.5" customHeight="1" x14ac:dyDescent="0.3">
      <c r="A14" s="140" t="s">
        <v>257</v>
      </c>
      <c r="B14" s="91"/>
      <c r="C14" s="135">
        <f>IFERROR(INDEX(_Helper!E2:E501,MATCH(LARGE(_Helper!BH2:BH501,1),_Helper!BH2:BH501,0)),"-")</f>
        <v>14</v>
      </c>
      <c r="D14" s="91"/>
      <c r="E14" s="91"/>
      <c r="F14" s="91"/>
      <c r="G14" s="91"/>
      <c r="H14" s="91"/>
      <c r="I14" s="7"/>
      <c r="J14" s="136">
        <f>IFERROR(INDEX(_Helper!E2:E501,MATCH(LARGE(_Helper!BH2:BH501,2),_Helper!BH2:BH501,0)),"-")</f>
        <v>12</v>
      </c>
      <c r="K14" s="91"/>
      <c r="L14" s="91"/>
      <c r="M14" s="91"/>
      <c r="N14" s="91"/>
      <c r="O14" s="91"/>
      <c r="P14" s="7"/>
      <c r="Q14" s="138">
        <f>IFERROR(INDEX(_Helper!E2:E501,MATCH(LARGE(_Helper!BH2:BH501,3),_Helper!BH2:BH501,0)),"-")</f>
        <v>10</v>
      </c>
      <c r="R14" s="91"/>
      <c r="S14" s="91"/>
      <c r="T14" s="91"/>
      <c r="U14" s="91"/>
      <c r="V14" s="91"/>
    </row>
    <row r="15" spans="1:22" ht="19.5" customHeight="1" x14ac:dyDescent="0.3">
      <c r="A15" s="137" t="s">
        <v>334</v>
      </c>
      <c r="B15" s="91"/>
      <c r="C15" s="135">
        <f>IFERROR(INDEX(_Helper!F2:F501,MATCH(LARGE(_Helper!BH2:BH501,1),_Helper!BH2:BH501,0)),"-")</f>
        <v>11000</v>
      </c>
      <c r="D15" s="91"/>
      <c r="E15" s="91"/>
      <c r="F15" s="91"/>
      <c r="G15" s="91"/>
      <c r="H15" s="91"/>
      <c r="I15" s="8"/>
      <c r="J15" s="136">
        <f>IFERROR(INDEX(_Helper!F2:F501,MATCH(LARGE(_Helper!BH2:BH501,2),_Helper!BH2:BH501,0)),"-")</f>
        <v>10000</v>
      </c>
      <c r="K15" s="91"/>
      <c r="L15" s="91"/>
      <c r="M15" s="91"/>
      <c r="N15" s="91"/>
      <c r="O15" s="91"/>
      <c r="P15" s="8"/>
      <c r="Q15" s="138">
        <f>IFERROR(INDEX(_Helper!F2:F501,MATCH(LARGE(_Helper!BH2:BH501,3),_Helper!BH2:BH501,0)),"-")</f>
        <v>10000</v>
      </c>
      <c r="R15" s="91"/>
      <c r="S15" s="91"/>
      <c r="T15" s="91"/>
      <c r="U15" s="91"/>
      <c r="V15" s="91"/>
    </row>
    <row r="16" spans="1:22" ht="19.5" customHeight="1" x14ac:dyDescent="0.3">
      <c r="A16" s="140" t="s">
        <v>259</v>
      </c>
      <c r="B16" s="91"/>
      <c r="C16" s="135">
        <f>IFERROR(INDEX(_Helper!G2:G501,MATCH(LARGE(_Helper!BH2:BH501,1),_Helper!BH2:BH501,0)),"-")</f>
        <v>0</v>
      </c>
      <c r="D16" s="91"/>
      <c r="E16" s="91"/>
      <c r="F16" s="91"/>
      <c r="G16" s="91"/>
      <c r="H16" s="91"/>
      <c r="I16" s="7"/>
      <c r="J16" s="136">
        <f>IFERROR(INDEX(_Helper!G2:G501,MATCH(LARGE(_Helper!BH2:BH501,2),_Helper!BH2:BH501,0)),"-")</f>
        <v>0</v>
      </c>
      <c r="K16" s="91"/>
      <c r="L16" s="91"/>
      <c r="M16" s="91"/>
      <c r="N16" s="91"/>
      <c r="O16" s="91"/>
      <c r="P16" s="7"/>
      <c r="Q16" s="138">
        <f>IFERROR(INDEX(_Helper!G2:G501,MATCH(LARGE(_Helper!BH2:BH501,3),_Helper!BH2:BH501,0)),"-")</f>
        <v>0</v>
      </c>
      <c r="R16" s="91"/>
      <c r="S16" s="91"/>
      <c r="T16" s="91"/>
      <c r="U16" s="91"/>
      <c r="V16" s="91"/>
    </row>
    <row r="17" spans="1:22" ht="19.5" customHeight="1" x14ac:dyDescent="0.3">
      <c r="A17" s="137" t="s">
        <v>335</v>
      </c>
      <c r="B17" s="91"/>
      <c r="C17" s="135">
        <f>IFERROR(INDEX(_Helper!H2:H501,MATCH(LARGE(_Helper!BH2:BH501,1),_Helper!BH2:BH501,0)),"-")</f>
        <v>0</v>
      </c>
      <c r="D17" s="91"/>
      <c r="E17" s="91"/>
      <c r="F17" s="91"/>
      <c r="G17" s="91"/>
      <c r="H17" s="91"/>
      <c r="I17" s="8"/>
      <c r="J17" s="136">
        <f>IFERROR(INDEX(_Helper!H2:H501,MATCH(LARGE(_Helper!BH2:BH501,2),_Helper!BH2:BH501,0)),"-")</f>
        <v>0</v>
      </c>
      <c r="K17" s="91"/>
      <c r="L17" s="91"/>
      <c r="M17" s="91"/>
      <c r="N17" s="91"/>
      <c r="O17" s="91"/>
      <c r="P17" s="8"/>
      <c r="Q17" s="138">
        <f>IFERROR(INDEX(_Helper!H2:H501,MATCH(LARGE(_Helper!BH2:BH501,3),_Helper!BH2:BH501,0)),"-")</f>
        <v>0</v>
      </c>
      <c r="R17" s="91"/>
      <c r="S17" s="91"/>
      <c r="T17" s="91"/>
      <c r="U17" s="91"/>
      <c r="V17" s="91"/>
    </row>
    <row r="18" spans="1:22" ht="19.5" customHeight="1" x14ac:dyDescent="0.3">
      <c r="A18" s="140" t="s">
        <v>261</v>
      </c>
      <c r="B18" s="91"/>
      <c r="C18" s="135">
        <f>IFERROR(INDEX(_Helper!I2:I501,MATCH(LARGE(_Helper!BH2:BH501,1),_Helper!BH2:BH501,0)),"-")</f>
        <v>0</v>
      </c>
      <c r="D18" s="91"/>
      <c r="E18" s="91"/>
      <c r="F18" s="91"/>
      <c r="G18" s="91"/>
      <c r="H18" s="91"/>
      <c r="I18" s="7"/>
      <c r="J18" s="136">
        <f>IFERROR(INDEX(_Helper!I2:I501,MATCH(LARGE(_Helper!BH2:BH501,2),_Helper!BH2:BH501,0)),"-")</f>
        <v>0</v>
      </c>
      <c r="K18" s="91"/>
      <c r="L18" s="91"/>
      <c r="M18" s="91"/>
      <c r="N18" s="91"/>
      <c r="O18" s="91"/>
      <c r="P18" s="7"/>
      <c r="Q18" s="138">
        <f>IFERROR(INDEX(_Helper!I2:I501,MATCH(LARGE(_Helper!BH2:BH501,3),_Helper!BH2:BH501,0)),"-")</f>
        <v>0</v>
      </c>
      <c r="R18" s="91"/>
      <c r="S18" s="91"/>
      <c r="T18" s="91"/>
      <c r="U18" s="91"/>
      <c r="V18" s="91"/>
    </row>
    <row r="19" spans="1:22" ht="19.5" customHeight="1" x14ac:dyDescent="0.3">
      <c r="A19" s="137" t="s">
        <v>336</v>
      </c>
      <c r="B19" s="91"/>
      <c r="C19" s="135">
        <f>IFERROR(INDEX(_Helper!J2:J501,MATCH(LARGE(_Helper!BH2:BH501,1),_Helper!BH2:BH501,0)),"-")</f>
        <v>0</v>
      </c>
      <c r="D19" s="91"/>
      <c r="E19" s="91"/>
      <c r="F19" s="91"/>
      <c r="G19" s="91"/>
      <c r="H19" s="91"/>
      <c r="I19" s="8"/>
      <c r="J19" s="136">
        <f>IFERROR(INDEX(_Helper!J2:J501,MATCH(LARGE(_Helper!BH2:BH501,2),_Helper!BH2:BH501,0)),"-")</f>
        <v>0</v>
      </c>
      <c r="K19" s="91"/>
      <c r="L19" s="91"/>
      <c r="M19" s="91"/>
      <c r="N19" s="91"/>
      <c r="O19" s="91"/>
      <c r="P19" s="8"/>
      <c r="Q19" s="138">
        <f>IFERROR(INDEX(_Helper!J2:J501,MATCH(LARGE(_Helper!BH2:BH501,3),_Helper!BH2:BH501,0)),"-")</f>
        <v>0</v>
      </c>
      <c r="R19" s="91"/>
      <c r="S19" s="91"/>
      <c r="T19" s="91"/>
      <c r="U19" s="91"/>
      <c r="V19" s="91"/>
    </row>
    <row r="20" spans="1:22" ht="19.5" customHeight="1" x14ac:dyDescent="0.3">
      <c r="A20" s="140" t="s">
        <v>337</v>
      </c>
      <c r="B20" s="91"/>
      <c r="C20" s="135">
        <f>IFERROR(INDEX(_Helper!K2:K501,MATCH(LARGE(_Helper!BH2:BH501,1),_Helper!BH2:BH501,0)),"-")</f>
        <v>0</v>
      </c>
      <c r="D20" s="91"/>
      <c r="E20" s="91"/>
      <c r="F20" s="91"/>
      <c r="G20" s="91"/>
      <c r="H20" s="91"/>
      <c r="I20" s="7"/>
      <c r="J20" s="136">
        <f>IFERROR(INDEX(_Helper!K2:K501,MATCH(LARGE(_Helper!BH2:BH501,2),_Helper!BH2:BH501,0)),"-")</f>
        <v>0</v>
      </c>
      <c r="K20" s="91"/>
      <c r="L20" s="91"/>
      <c r="M20" s="91"/>
      <c r="N20" s="91"/>
      <c r="O20" s="91"/>
      <c r="P20" s="7"/>
      <c r="Q20" s="138">
        <f>IFERROR(INDEX(_Helper!K2:K501,MATCH(LARGE(_Helper!BH2:BH501,3),_Helper!BH2:BH501,0)),"-")</f>
        <v>0</v>
      </c>
      <c r="R20" s="91"/>
      <c r="S20" s="91"/>
      <c r="T20" s="91"/>
      <c r="U20" s="91"/>
      <c r="V20" s="91"/>
    </row>
    <row r="21" spans="1:22" ht="19.5" customHeight="1" x14ac:dyDescent="0.3">
      <c r="A21" s="137" t="s">
        <v>338</v>
      </c>
      <c r="B21" s="91"/>
      <c r="C21" s="135">
        <f>IFERROR(INDEX(_Helper!L2:L501,MATCH(LARGE(_Helper!BH2:BH501,1),_Helper!BH2:BH501,0)),"-")</f>
        <v>0</v>
      </c>
      <c r="D21" s="91"/>
      <c r="E21" s="91"/>
      <c r="F21" s="91"/>
      <c r="G21" s="91"/>
      <c r="H21" s="91"/>
      <c r="I21" s="8"/>
      <c r="J21" s="136">
        <f>IFERROR(INDEX(_Helper!L2:L501,MATCH(LARGE(_Helper!BH2:BH501,2),_Helper!BH2:BH501,0)),"-")</f>
        <v>0</v>
      </c>
      <c r="K21" s="91"/>
      <c r="L21" s="91"/>
      <c r="M21" s="91"/>
      <c r="N21" s="91"/>
      <c r="O21" s="91"/>
      <c r="P21" s="8"/>
      <c r="Q21" s="138">
        <f>IFERROR(INDEX(_Helper!L2:L501,MATCH(LARGE(_Helper!BH2:BH501,3),_Helper!BH2:BH501,0)),"-")</f>
        <v>0</v>
      </c>
      <c r="R21" s="91"/>
      <c r="S21" s="91"/>
      <c r="T21" s="91"/>
      <c r="U21" s="91"/>
      <c r="V21" s="91"/>
    </row>
    <row r="22" spans="1:22" ht="19.5" customHeight="1" x14ac:dyDescent="0.3">
      <c r="A22" s="139" t="s">
        <v>339</v>
      </c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</row>
    <row r="23" spans="1:22" ht="19.5" customHeight="1" x14ac:dyDescent="0.3">
      <c r="A23" s="140" t="s">
        <v>237</v>
      </c>
      <c r="B23" s="91"/>
      <c r="C23" s="135">
        <f>IFERROR(INDEX(_Helper!M2:M501,MATCH(LARGE(_Helper!BH2:BH501,1),_Helper!BH2:BH501,0)),"-")</f>
        <v>25</v>
      </c>
      <c r="D23" s="91"/>
      <c r="E23" s="91"/>
      <c r="F23" s="91"/>
      <c r="G23" s="91"/>
      <c r="H23" s="91"/>
      <c r="I23" s="7"/>
      <c r="J23" s="136">
        <f>IFERROR(INDEX(_Helper!M2:M501,MATCH(LARGE(_Helper!BH2:BH501,2),_Helper!BH2:BH501,0)),"-")</f>
        <v>18</v>
      </c>
      <c r="K23" s="91"/>
      <c r="L23" s="91"/>
      <c r="M23" s="91"/>
      <c r="N23" s="91"/>
      <c r="O23" s="91"/>
      <c r="P23" s="7"/>
      <c r="Q23" s="138">
        <f>IFERROR(INDEX(_Helper!M2:M501,MATCH(LARGE(_Helper!BH2:BH501,3),_Helper!BH2:BH501,0)),"-")</f>
        <v>24</v>
      </c>
      <c r="R23" s="91"/>
      <c r="S23" s="91"/>
      <c r="T23" s="91"/>
      <c r="U23" s="91"/>
      <c r="V23" s="91"/>
    </row>
    <row r="24" spans="1:22" ht="19.5" customHeight="1" x14ac:dyDescent="0.3">
      <c r="A24" s="137" t="s">
        <v>238</v>
      </c>
      <c r="B24" s="91"/>
      <c r="C24" s="135">
        <f>IFERROR(INDEX(_Helper!N2:N501,MATCH(LARGE(_Helper!BH2:BH501,1),_Helper!BH2:BH501,0)),"-")</f>
        <v>2</v>
      </c>
      <c r="D24" s="91"/>
      <c r="E24" s="91"/>
      <c r="F24" s="91"/>
      <c r="G24" s="91"/>
      <c r="H24" s="91"/>
      <c r="I24" s="8"/>
      <c r="J24" s="136">
        <f>IFERROR(INDEX(_Helper!N2:N501,MATCH(LARGE(_Helper!BH2:BH501,2),_Helper!BH2:BH501,0)),"-")</f>
        <v>2</v>
      </c>
      <c r="K24" s="91"/>
      <c r="L24" s="91"/>
      <c r="M24" s="91"/>
      <c r="N24" s="91"/>
      <c r="O24" s="91"/>
      <c r="P24" s="8"/>
      <c r="Q24" s="138">
        <f>IFERROR(INDEX(_Helper!N2:N501,MATCH(LARGE(_Helper!BH2:BH501,3),_Helper!BH2:BH501,0)),"-")</f>
        <v>2</v>
      </c>
      <c r="R24" s="91"/>
      <c r="S24" s="91"/>
      <c r="T24" s="91"/>
      <c r="U24" s="91"/>
      <c r="V24" s="91"/>
    </row>
    <row r="25" spans="1:22" ht="19.5" customHeight="1" x14ac:dyDescent="0.3">
      <c r="A25" s="140" t="s">
        <v>239</v>
      </c>
      <c r="B25" s="91"/>
      <c r="C25" s="135">
        <f>IFERROR(INDEX(_Helper!O2:O501,MATCH(LARGE(_Helper!BH2:BH501,1),_Helper!BH2:BH501,0)),"-")</f>
        <v>12</v>
      </c>
      <c r="D25" s="91"/>
      <c r="E25" s="91"/>
      <c r="F25" s="91"/>
      <c r="G25" s="91"/>
      <c r="H25" s="91"/>
      <c r="I25" s="7"/>
      <c r="J25" s="136">
        <f>IFERROR(INDEX(_Helper!O2:O501,MATCH(LARGE(_Helper!BH2:BH501,2),_Helper!BH2:BH501,0)),"-")</f>
        <v>12</v>
      </c>
      <c r="K25" s="91"/>
      <c r="L25" s="91"/>
      <c r="M25" s="91"/>
      <c r="N25" s="91"/>
      <c r="O25" s="91"/>
      <c r="P25" s="7"/>
      <c r="Q25" s="138">
        <f>IFERROR(INDEX(_Helper!O2:O501,MATCH(LARGE(_Helper!BH2:BH501,3),_Helper!BH2:BH501,0)),"-")</f>
        <v>12</v>
      </c>
      <c r="R25" s="91"/>
      <c r="S25" s="91"/>
      <c r="T25" s="91"/>
      <c r="U25" s="91"/>
      <c r="V25" s="91"/>
    </row>
    <row r="26" spans="1:22" ht="19.5" customHeight="1" x14ac:dyDescent="0.3">
      <c r="A26" s="137" t="s">
        <v>240</v>
      </c>
      <c r="B26" s="91"/>
      <c r="C26" s="135">
        <f>IFERROR(INDEX(_Helper!P2:P501,MATCH(LARGE(_Helper!BH2:BH501,1),_Helper!BH2:BH501,0)),"-")</f>
        <v>40</v>
      </c>
      <c r="D26" s="91"/>
      <c r="E26" s="91"/>
      <c r="F26" s="91"/>
      <c r="G26" s="91"/>
      <c r="H26" s="91"/>
      <c r="I26" s="8"/>
      <c r="J26" s="136">
        <f>IFERROR(INDEX(_Helper!P2:P501,MATCH(LARGE(_Helper!BH2:BH501,2),_Helper!BH2:BH501,0)),"-")</f>
        <v>24</v>
      </c>
      <c r="K26" s="91"/>
      <c r="L26" s="91"/>
      <c r="M26" s="91"/>
      <c r="N26" s="91"/>
      <c r="O26" s="91"/>
      <c r="P26" s="8"/>
      <c r="Q26" s="138">
        <f>IFERROR(INDEX(_Helper!P2:P501,MATCH(LARGE(_Helper!BH2:BH501,3),_Helper!BH2:BH501,0)),"-")</f>
        <v>23</v>
      </c>
      <c r="R26" s="91"/>
      <c r="S26" s="91"/>
      <c r="T26" s="91"/>
      <c r="U26" s="91"/>
      <c r="V26" s="91"/>
    </row>
    <row r="27" spans="1:22" ht="19.5" customHeight="1" x14ac:dyDescent="0.3">
      <c r="A27" s="140" t="s">
        <v>241</v>
      </c>
      <c r="B27" s="91"/>
      <c r="C27" s="135">
        <f>IFERROR(INDEX(_Helper!Q2:Q501,MATCH(LARGE(_Helper!BH2:BH501,1),_Helper!BH2:BH501,0)),"-")</f>
        <v>10</v>
      </c>
      <c r="D27" s="91"/>
      <c r="E27" s="91"/>
      <c r="F27" s="91"/>
      <c r="G27" s="91"/>
      <c r="H27" s="91"/>
      <c r="I27" s="7"/>
      <c r="J27" s="136">
        <f>IFERROR(INDEX(_Helper!Q2:Q501,MATCH(LARGE(_Helper!BH2:BH501,2),_Helper!BH2:BH501,0)),"-")</f>
        <v>10</v>
      </c>
      <c r="K27" s="91"/>
      <c r="L27" s="91"/>
      <c r="M27" s="91"/>
      <c r="N27" s="91"/>
      <c r="O27" s="91"/>
      <c r="P27" s="7"/>
      <c r="Q27" s="138">
        <f>IFERROR(INDEX(_Helper!Q2:Q501,MATCH(LARGE(_Helper!BH2:BH501,3),_Helper!BH2:BH501,0)),"-")</f>
        <v>9</v>
      </c>
      <c r="R27" s="91"/>
      <c r="S27" s="91"/>
      <c r="T27" s="91"/>
      <c r="U27" s="91"/>
      <c r="V27" s="91"/>
    </row>
    <row r="28" spans="1:22" ht="19.5" customHeight="1" x14ac:dyDescent="0.3">
      <c r="A28" s="137" t="s">
        <v>30</v>
      </c>
      <c r="B28" s="91"/>
      <c r="C28" s="135">
        <f>IFERROR(INDEX(_Helper!R2:R501,MATCH(LARGE(_Helper!BH2:BH501,1),_Helper!BH2:BH501,0)),"-")</f>
        <v>15</v>
      </c>
      <c r="D28" s="91"/>
      <c r="E28" s="91"/>
      <c r="F28" s="91"/>
      <c r="G28" s="91"/>
      <c r="H28" s="91"/>
      <c r="I28" s="8"/>
      <c r="J28" s="136">
        <f>IFERROR(INDEX(_Helper!R2:R501,MATCH(LARGE(_Helper!BH2:BH501,2),_Helper!BH2:BH501,0)),"-")</f>
        <v>23</v>
      </c>
      <c r="K28" s="91"/>
      <c r="L28" s="91"/>
      <c r="M28" s="91"/>
      <c r="N28" s="91"/>
      <c r="O28" s="91"/>
      <c r="P28" s="8"/>
      <c r="Q28" s="138">
        <f>IFERROR(INDEX(_Helper!R2:R501,MATCH(LARGE(_Helper!BH2:BH501,3),_Helper!BH2:BH501,0)),"-")</f>
        <v>11</v>
      </c>
      <c r="R28" s="91"/>
      <c r="S28" s="91"/>
      <c r="T28" s="91"/>
      <c r="U28" s="91"/>
      <c r="V28" s="91"/>
    </row>
    <row r="29" spans="1:22" ht="19.5" customHeight="1" x14ac:dyDescent="0.3">
      <c r="A29" s="134" t="s">
        <v>242</v>
      </c>
      <c r="B29" s="91"/>
      <c r="C29" s="150">
        <f>IFERROR(INDEX(_Helper!S2:S501,MATCH(LARGE(_Helper!BH2:BH501,1),_Helper!BH2:BH501,0)),"-")</f>
        <v>52</v>
      </c>
      <c r="D29" s="91"/>
      <c r="E29" s="91"/>
      <c r="F29" s="91"/>
      <c r="G29" s="91"/>
      <c r="H29" s="91"/>
      <c r="I29" s="9"/>
      <c r="J29" s="146">
        <f>IFERROR(INDEX(_Helper!S2:S501,MATCH(LARGE(_Helper!BH2:BH501,2),_Helper!BH2:BH501,0)),"-")</f>
        <v>42</v>
      </c>
      <c r="K29" s="91"/>
      <c r="L29" s="91"/>
      <c r="M29" s="91"/>
      <c r="N29" s="91"/>
      <c r="O29" s="91"/>
      <c r="P29" s="9"/>
      <c r="Q29" s="151">
        <f>IFERROR(INDEX(_Helper!S2:S501,MATCH(LARGE(_Helper!BH2:BH501,3),_Helper!BH2:BH501,0)),"-")</f>
        <v>47</v>
      </c>
      <c r="R29" s="91"/>
      <c r="S29" s="91"/>
      <c r="T29" s="91"/>
      <c r="U29" s="91"/>
      <c r="V29" s="91"/>
    </row>
    <row r="30" spans="1:22" ht="19.5" customHeight="1" x14ac:dyDescent="0.3">
      <c r="A30" s="139" t="s">
        <v>340</v>
      </c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</row>
    <row r="31" spans="1:22" ht="39.75" customHeight="1" x14ac:dyDescent="0.3">
      <c r="A31" s="140" t="s">
        <v>341</v>
      </c>
      <c r="B31" s="91"/>
      <c r="C31" s="135" t="str">
        <f>IFERROR(INDEX('Project Database'!Z:Z,MATCH(INDEX(_Helper!A2:A501,MATCH(LARGE(_Helper!BH2:BH501,1),_Helper!BH2:BH501,0)),'Project Database'!A:A,0)),"-")</f>
        <v>Autostore</v>
      </c>
      <c r="D31" s="91"/>
      <c r="E31" s="91"/>
      <c r="F31" s="91"/>
      <c r="G31" s="91"/>
      <c r="H31" s="91"/>
      <c r="I31" s="7"/>
      <c r="J31" s="136" t="str">
        <f>IFERROR(INDEX('Project Database'!Z:Z,MATCH(INDEX(_Helper!A2:A501,MATCH(LARGE(_Helper!BH2:BH501,2),_Helper!BH2:BH501,0)),'Project Database'!A:A,0)),"-")</f>
        <v>Autostore</v>
      </c>
      <c r="K31" s="91"/>
      <c r="L31" s="91"/>
      <c r="M31" s="91"/>
      <c r="N31" s="91"/>
      <c r="O31" s="91"/>
      <c r="P31" s="7"/>
      <c r="Q31" s="138" t="str">
        <f>IFERROR(INDEX('Project Database'!Z:Z,MATCH(INDEX(_Helper!A2:A501,MATCH(LARGE(_Helper!BH2:BH501,3),_Helper!BH2:BH501,0)),'Project Database'!A:A,0)),"-")</f>
        <v>Autostore</v>
      </c>
      <c r="R31" s="91"/>
      <c r="S31" s="91"/>
      <c r="T31" s="91"/>
      <c r="U31" s="91"/>
      <c r="V31" s="91"/>
    </row>
    <row r="32" spans="1:22" ht="49.5" customHeight="1" x14ac:dyDescent="0.3">
      <c r="A32" s="137" t="s">
        <v>35</v>
      </c>
      <c r="B32" s="91"/>
      <c r="C32" s="135" t="str">
        <f>IFERROR(INDEX('Project Database'!AA:AA,MATCH(INDEX(_Helper!A2:A501,MATCH(LARGE(_Helper!BH2:BH501,1),_Helper!BH2:BH501,0)),'Project Database'!A:A,0)),"-")</f>
        <v>First Plexus project, longer everything.</v>
      </c>
      <c r="D32" s="91"/>
      <c r="E32" s="91"/>
      <c r="F32" s="91"/>
      <c r="G32" s="91"/>
      <c r="H32" s="91"/>
      <c r="I32" s="8"/>
      <c r="J32" s="136">
        <f>IFERROR(INDEX('Project Database'!AA:AA,MATCH(INDEX(_Helper!A2:A501,MATCH(LARGE(_Helper!BH2:BH501,2),_Helper!BH2:BH501,0)),'Project Database'!A:A,0)),"-")</f>
        <v>0</v>
      </c>
      <c r="K32" s="91"/>
      <c r="L32" s="91"/>
      <c r="M32" s="91"/>
      <c r="N32" s="91"/>
      <c r="O32" s="91"/>
      <c r="P32" s="8"/>
      <c r="Q32" s="138">
        <f>IFERROR(INDEX('Project Database'!AA:AA,MATCH(INDEX(_Helper!A2:A501,MATCH(LARGE(_Helper!BH2:BH501,3),_Helper!BH2:BH501,0)),'Project Database'!A:A,0)),"-")</f>
        <v>0</v>
      </c>
      <c r="R32" s="91"/>
      <c r="S32" s="91"/>
      <c r="T32" s="91"/>
      <c r="U32" s="91"/>
      <c r="V32" s="91"/>
    </row>
    <row r="33" spans="1:22" ht="18" customHeight="1" x14ac:dyDescent="0.3">
      <c r="A33" s="145" t="s">
        <v>342</v>
      </c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</row>
  </sheetData>
  <mergeCells count="111">
    <mergeCell ref="A1:V1"/>
    <mergeCell ref="A32:B32"/>
    <mergeCell ref="A14:B14"/>
    <mergeCell ref="J23:O23"/>
    <mergeCell ref="C3:H3"/>
    <mergeCell ref="A23:B23"/>
    <mergeCell ref="A4:B4"/>
    <mergeCell ref="Q28:V28"/>
    <mergeCell ref="C20:H20"/>
    <mergeCell ref="C29:H29"/>
    <mergeCell ref="J24:O24"/>
    <mergeCell ref="A24:B24"/>
    <mergeCell ref="Q20:V20"/>
    <mergeCell ref="Q14:V14"/>
    <mergeCell ref="Q29:V29"/>
    <mergeCell ref="Q23:V23"/>
    <mergeCell ref="C31:H31"/>
    <mergeCell ref="Q4:V4"/>
    <mergeCell ref="J26:O26"/>
    <mergeCell ref="C12:H12"/>
    <mergeCell ref="Q31:V31"/>
    <mergeCell ref="C21:H21"/>
    <mergeCell ref="A3:B3"/>
    <mergeCell ref="A12:B12"/>
    <mergeCell ref="A33:V33"/>
    <mergeCell ref="J27:O27"/>
    <mergeCell ref="Q26:V26"/>
    <mergeCell ref="J20:O20"/>
    <mergeCell ref="C27:H27"/>
    <mergeCell ref="J31:O31"/>
    <mergeCell ref="C8:H8"/>
    <mergeCell ref="C17:H17"/>
    <mergeCell ref="Q32:V32"/>
    <mergeCell ref="A27:B27"/>
    <mergeCell ref="C32:H32"/>
    <mergeCell ref="A19:B19"/>
    <mergeCell ref="J28:O28"/>
    <mergeCell ref="A28:B28"/>
    <mergeCell ref="J9:O9"/>
    <mergeCell ref="C26:H26"/>
    <mergeCell ref="A9:B9"/>
    <mergeCell ref="Q8:V8"/>
    <mergeCell ref="Q16:V16"/>
    <mergeCell ref="Q25:V25"/>
    <mergeCell ref="A20:B20"/>
    <mergeCell ref="J29:O29"/>
    <mergeCell ref="A31:B31"/>
    <mergeCell ref="J12:O12"/>
    <mergeCell ref="J3:O3"/>
    <mergeCell ref="C13:H13"/>
    <mergeCell ref="J17:O17"/>
    <mergeCell ref="A17:B17"/>
    <mergeCell ref="Q13:V13"/>
    <mergeCell ref="Q7:V7"/>
    <mergeCell ref="Q21:V21"/>
    <mergeCell ref="C15:H15"/>
    <mergeCell ref="C24:H24"/>
    <mergeCell ref="J19:O19"/>
    <mergeCell ref="J14:O14"/>
    <mergeCell ref="J21:O21"/>
    <mergeCell ref="A21:B21"/>
    <mergeCell ref="A11:V11"/>
    <mergeCell ref="Q6:V6"/>
    <mergeCell ref="A16:B16"/>
    <mergeCell ref="Q15:V15"/>
    <mergeCell ref="C23:H23"/>
    <mergeCell ref="A18:B18"/>
    <mergeCell ref="C7:H7"/>
    <mergeCell ref="A2:V2"/>
    <mergeCell ref="C10:H10"/>
    <mergeCell ref="C16:H16"/>
    <mergeCell ref="A22:V22"/>
    <mergeCell ref="J4:O4"/>
    <mergeCell ref="J32:O32"/>
    <mergeCell ref="Q9:V9"/>
    <mergeCell ref="Q27:V27"/>
    <mergeCell ref="A30:V30"/>
    <mergeCell ref="Q17:V17"/>
    <mergeCell ref="A26:B26"/>
    <mergeCell ref="C19:H19"/>
    <mergeCell ref="C28:H28"/>
    <mergeCell ref="J18:O18"/>
    <mergeCell ref="J8:O8"/>
    <mergeCell ref="A8:B8"/>
    <mergeCell ref="Q3:V3"/>
    <mergeCell ref="Q12:V12"/>
    <mergeCell ref="C6:H6"/>
    <mergeCell ref="C14:H14"/>
    <mergeCell ref="J10:O10"/>
    <mergeCell ref="A10:B10"/>
    <mergeCell ref="C4:H4"/>
    <mergeCell ref="C18:H18"/>
    <mergeCell ref="A29:B29"/>
    <mergeCell ref="C25:H25"/>
    <mergeCell ref="J15:O15"/>
    <mergeCell ref="A15:B15"/>
    <mergeCell ref="Q10:V10"/>
    <mergeCell ref="A5:V5"/>
    <mergeCell ref="Q19:V19"/>
    <mergeCell ref="C9:H9"/>
    <mergeCell ref="J7:O7"/>
    <mergeCell ref="A7:B7"/>
    <mergeCell ref="Q24:V24"/>
    <mergeCell ref="Q18:V18"/>
    <mergeCell ref="J13:O13"/>
    <mergeCell ref="A13:B13"/>
    <mergeCell ref="A6:B6"/>
    <mergeCell ref="J16:O16"/>
    <mergeCell ref="J6:O6"/>
    <mergeCell ref="J25:O25"/>
    <mergeCell ref="A25:B25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E2E2C"/>
  </sheetPr>
  <dimension ref="A1:B44"/>
  <sheetViews>
    <sheetView showGridLines="0" topLeftCell="A2" zoomScaleNormal="100" workbookViewId="0">
      <selection activeCell="F18" sqref="F18"/>
    </sheetView>
  </sheetViews>
  <sheetFormatPr defaultColWidth="8.6640625" defaultRowHeight="14.4" x14ac:dyDescent="0.3"/>
  <cols>
    <col min="1" max="1" width="89" customWidth="1"/>
    <col min="2" max="2" width="78" customWidth="1"/>
  </cols>
  <sheetData>
    <row r="1" spans="1:2" ht="36" customHeight="1" x14ac:dyDescent="0.3">
      <c r="A1" s="147" t="s">
        <v>343</v>
      </c>
      <c r="B1" s="74"/>
    </row>
    <row r="2" spans="1:2" ht="15.75" customHeight="1" x14ac:dyDescent="0.3">
      <c r="A2" s="73" t="s">
        <v>183</v>
      </c>
      <c r="B2" s="74"/>
    </row>
    <row r="3" spans="1:2" ht="21.75" customHeight="1" x14ac:dyDescent="0.3">
      <c r="A3" s="117" t="s">
        <v>344</v>
      </c>
      <c r="B3" s="74"/>
    </row>
    <row r="4" spans="1:2" ht="15.75" customHeight="1" x14ac:dyDescent="0.3">
      <c r="A4" s="154" t="s">
        <v>345</v>
      </c>
      <c r="B4" s="74"/>
    </row>
    <row r="5" spans="1:2" ht="15.75" customHeight="1" x14ac:dyDescent="0.3">
      <c r="A5" s="154" t="s">
        <v>346</v>
      </c>
      <c r="B5" s="74"/>
    </row>
    <row r="6" spans="1:2" ht="15.75" customHeight="1" x14ac:dyDescent="0.3">
      <c r="A6" s="154" t="s">
        <v>347</v>
      </c>
      <c r="B6" s="74"/>
    </row>
    <row r="7" spans="1:2" ht="15.75" customHeight="1" x14ac:dyDescent="0.3">
      <c r="A7" s="154" t="s">
        <v>348</v>
      </c>
      <c r="B7" s="74"/>
    </row>
    <row r="8" spans="1:2" ht="7.5" customHeight="1" x14ac:dyDescent="0.3"/>
    <row r="9" spans="1:2" ht="21.75" customHeight="1" x14ac:dyDescent="0.3">
      <c r="A9" s="117" t="s">
        <v>349</v>
      </c>
      <c r="B9" s="74"/>
    </row>
    <row r="10" spans="1:2" ht="15.75" customHeight="1" x14ac:dyDescent="0.3">
      <c r="A10" s="154" t="s">
        <v>350</v>
      </c>
      <c r="B10" s="74"/>
    </row>
    <row r="11" spans="1:2" ht="15.75" customHeight="1" x14ac:dyDescent="0.3">
      <c r="A11" s="154" t="s">
        <v>351</v>
      </c>
      <c r="B11" s="74"/>
    </row>
    <row r="12" spans="1:2" ht="15.75" customHeight="1" x14ac:dyDescent="0.3">
      <c r="A12" s="154" t="s">
        <v>352</v>
      </c>
      <c r="B12" s="74"/>
    </row>
    <row r="13" spans="1:2" ht="15.75" customHeight="1" x14ac:dyDescent="0.3">
      <c r="A13" s="154" t="s">
        <v>353</v>
      </c>
      <c r="B13" s="74"/>
    </row>
    <row r="14" spans="1:2" ht="12" customHeight="1" x14ac:dyDescent="0.3">
      <c r="A14" s="154" t="s">
        <v>354</v>
      </c>
      <c r="B14" s="74"/>
    </row>
    <row r="15" spans="1:2" ht="21.75" customHeight="1" x14ac:dyDescent="0.3">
      <c r="A15" s="117" t="s">
        <v>355</v>
      </c>
      <c r="B15" s="74"/>
    </row>
    <row r="16" spans="1:2" ht="15.75" customHeight="1" x14ac:dyDescent="0.3">
      <c r="A16" s="154" t="s">
        <v>356</v>
      </c>
      <c r="B16" s="74"/>
    </row>
    <row r="17" spans="1:2" ht="15.75" customHeight="1" x14ac:dyDescent="0.3">
      <c r="A17" s="154" t="s">
        <v>357</v>
      </c>
      <c r="B17" s="74"/>
    </row>
    <row r="18" spans="1:2" ht="15.75" customHeight="1" x14ac:dyDescent="0.3">
      <c r="A18" s="154" t="s">
        <v>358</v>
      </c>
      <c r="B18" s="74"/>
    </row>
    <row r="19" spans="1:2" ht="15.75" customHeight="1" x14ac:dyDescent="0.3">
      <c r="A19" s="154" t="s">
        <v>359</v>
      </c>
      <c r="B19" s="74"/>
    </row>
    <row r="20" spans="1:2" ht="15.75" customHeight="1" x14ac:dyDescent="0.3">
      <c r="A20" s="154" t="s">
        <v>360</v>
      </c>
      <c r="B20" s="74"/>
    </row>
    <row r="21" spans="1:2" ht="7.5" customHeight="1" x14ac:dyDescent="0.3"/>
    <row r="22" spans="1:2" ht="21.75" customHeight="1" x14ac:dyDescent="0.3">
      <c r="A22" s="117" t="s">
        <v>361</v>
      </c>
      <c r="B22" s="74"/>
    </row>
    <row r="23" spans="1:2" ht="15.75" customHeight="1" x14ac:dyDescent="0.3">
      <c r="A23" s="154" t="s">
        <v>362</v>
      </c>
      <c r="B23" s="74"/>
    </row>
    <row r="24" spans="1:2" ht="15.75" customHeight="1" x14ac:dyDescent="0.3">
      <c r="A24" s="154" t="s">
        <v>363</v>
      </c>
      <c r="B24" s="74"/>
    </row>
    <row r="25" spans="1:2" ht="15.75" customHeight="1" x14ac:dyDescent="0.3">
      <c r="A25" s="154" t="s">
        <v>364</v>
      </c>
      <c r="B25" s="74"/>
    </row>
    <row r="26" spans="1:2" ht="15.75" customHeight="1" x14ac:dyDescent="0.3">
      <c r="A26" s="154" t="s">
        <v>365</v>
      </c>
      <c r="B26" s="74"/>
    </row>
    <row r="27" spans="1:2" ht="15.75" customHeight="1" x14ac:dyDescent="0.3">
      <c r="A27" s="154" t="s">
        <v>366</v>
      </c>
      <c r="B27" s="74"/>
    </row>
    <row r="28" spans="1:2" ht="15.75" customHeight="1" x14ac:dyDescent="0.3">
      <c r="A28" s="154" t="s">
        <v>367</v>
      </c>
      <c r="B28" s="74"/>
    </row>
    <row r="29" spans="1:2" ht="21.75" customHeight="1" x14ac:dyDescent="0.3">
      <c r="A29" s="74"/>
      <c r="B29" s="74"/>
    </row>
    <row r="30" spans="1:2" ht="15.75" customHeight="1" x14ac:dyDescent="0.3">
      <c r="A30" s="117" t="s">
        <v>368</v>
      </c>
      <c r="B30" s="74"/>
    </row>
    <row r="31" spans="1:2" ht="15.75" customHeight="1" x14ac:dyDescent="0.3">
      <c r="A31" s="154" t="s">
        <v>369</v>
      </c>
      <c r="B31" s="74"/>
    </row>
    <row r="32" spans="1:2" ht="15.75" customHeight="1" x14ac:dyDescent="0.3">
      <c r="A32" s="154" t="s">
        <v>370</v>
      </c>
      <c r="B32" s="74"/>
    </row>
    <row r="33" spans="1:2" ht="15.75" customHeight="1" x14ac:dyDescent="0.3">
      <c r="A33" s="154" t="s">
        <v>371</v>
      </c>
      <c r="B33" s="74"/>
    </row>
    <row r="34" spans="1:2" ht="15.75" customHeight="1" x14ac:dyDescent="0.3">
      <c r="A34" s="154" t="s">
        <v>372</v>
      </c>
      <c r="B34" s="74"/>
    </row>
    <row r="35" spans="1:2" ht="15.75" customHeight="1" x14ac:dyDescent="0.3">
      <c r="A35" s="154" t="s">
        <v>373</v>
      </c>
      <c r="B35" s="74"/>
    </row>
    <row r="36" spans="1:2" x14ac:dyDescent="0.3">
      <c r="A36" s="11" t="s">
        <v>374</v>
      </c>
    </row>
    <row r="38" spans="1:2" ht="26.1" customHeight="1" x14ac:dyDescent="0.3">
      <c r="A38" s="74" t="s">
        <v>375</v>
      </c>
      <c r="B38" s="74"/>
    </row>
    <row r="39" spans="1:2" ht="26.1" customHeight="1" x14ac:dyDescent="0.3">
      <c r="A39" s="74" t="s">
        <v>376</v>
      </c>
      <c r="B39" s="74"/>
    </row>
    <row r="40" spans="1:2" ht="26.1" customHeight="1" x14ac:dyDescent="0.3">
      <c r="A40" s="74" t="s">
        <v>377</v>
      </c>
      <c r="B40" s="74"/>
    </row>
    <row r="41" spans="1:2" ht="26.1" customHeight="1" x14ac:dyDescent="0.3">
      <c r="A41" s="74" t="s">
        <v>378</v>
      </c>
      <c r="B41" s="74"/>
    </row>
    <row r="42" spans="1:2" ht="26.1" customHeight="1" x14ac:dyDescent="0.3">
      <c r="A42" s="74" t="s">
        <v>379</v>
      </c>
      <c r="B42" s="74"/>
    </row>
    <row r="43" spans="1:2" ht="26.1" customHeight="1" x14ac:dyDescent="0.3">
      <c r="A43" s="74" t="s">
        <v>380</v>
      </c>
      <c r="B43" s="74"/>
    </row>
    <row r="44" spans="1:2" ht="26.1" customHeight="1" x14ac:dyDescent="0.3">
      <c r="A44" s="74" t="s">
        <v>381</v>
      </c>
      <c r="B44" s="74"/>
    </row>
  </sheetData>
  <mergeCells count="40">
    <mergeCell ref="A43:B43"/>
    <mergeCell ref="A44:B44"/>
    <mergeCell ref="A38:B38"/>
    <mergeCell ref="A39:B39"/>
    <mergeCell ref="A40:B40"/>
    <mergeCell ref="A41:B41"/>
    <mergeCell ref="A42:B42"/>
    <mergeCell ref="A35:B35"/>
    <mergeCell ref="A4:B4"/>
    <mergeCell ref="A20:B20"/>
    <mergeCell ref="A29:B29"/>
    <mergeCell ref="A19:B19"/>
    <mergeCell ref="A10:B10"/>
    <mergeCell ref="A28:B28"/>
    <mergeCell ref="A13:B13"/>
    <mergeCell ref="A9:B9"/>
    <mergeCell ref="A31:B31"/>
    <mergeCell ref="A34:B34"/>
    <mergeCell ref="A33:B33"/>
    <mergeCell ref="A5:B5"/>
    <mergeCell ref="A32:B32"/>
    <mergeCell ref="A14:B14"/>
    <mergeCell ref="A23:B23"/>
    <mergeCell ref="A17:B17"/>
    <mergeCell ref="A22:B22"/>
    <mergeCell ref="A30:B30"/>
    <mergeCell ref="A24:B24"/>
    <mergeCell ref="A15:B15"/>
    <mergeCell ref="A25:B25"/>
    <mergeCell ref="A18:B18"/>
    <mergeCell ref="A27:B27"/>
    <mergeCell ref="A26:B26"/>
    <mergeCell ref="A11:B11"/>
    <mergeCell ref="A1:B1"/>
    <mergeCell ref="A6:B6"/>
    <mergeCell ref="A16:B16"/>
    <mergeCell ref="A7:B7"/>
    <mergeCell ref="A3:B3"/>
    <mergeCell ref="A12:B12"/>
    <mergeCell ref="A2:B2"/>
  </mergeCells>
  <pageMargins left="0.75" right="0.75" top="1" bottom="1" header="0.511811023622047" footer="0.511811023622047"/>
  <pageSetup paperSize="9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 Database</vt:lpstr>
      <vt:lpstr>Smart Search</vt:lpstr>
      <vt:lpstr>_Helper</vt:lpstr>
      <vt:lpstr>Project Comparison</vt:lpstr>
      <vt:lpstr>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Fong, Jia Jin</cp:lastModifiedBy>
  <cp:revision>1</cp:revision>
  <dcterms:created xsi:type="dcterms:W3CDTF">2026-03-22T00:37:22Z</dcterms:created>
  <dcterms:modified xsi:type="dcterms:W3CDTF">2026-09-25T03:52:48Z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0x010100C4CE7C4A52D4C042A1EBD243D9876B45</vt:lpwstr>
  </property>
  <property fmtid="{D5CDD505-2E9C-101B-9397-08002B2CF9AE}" pid="3" name="MediaServiceImageTags">
    <vt:lpwstr/>
  </property>
  <property fmtid="{D5CDD505-2E9C-101B-9397-08002B2CF9AE}" pid="4" name="_dlc_DocIdItemGuid">
    <vt:lpwstr>ca830056-0a89-4eae-acb2-75906cd5d3f2</vt:lpwstr>
  </property>
</Properties>
</file>